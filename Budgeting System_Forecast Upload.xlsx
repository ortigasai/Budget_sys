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F54755E8-B61B-4B00-B019-B1DF47AFFEA2}" xr6:coauthVersionLast="47" xr6:coauthVersionMax="47" xr10:uidLastSave="{00000000-0000-0000-0000-000000000000}"/>
  <bookViews>
    <workbookView xWindow="-110" yWindow="-110" windowWidth="19420" windowHeight="10300" firstSheet="1" activeTab="1" xr2:uid="{9560371F-33DF-4766-A6E4-5EA2F775C409}"/>
  </bookViews>
  <sheets>
    <sheet name="Sheet1" sheetId="1" state="hidden" r:id="rId1"/>
    <sheet name="Upload Template" sheetId="4" r:id="rId2"/>
    <sheet name="2026B and 2026F Details" sheetId="3" r:id="rId3"/>
  </sheets>
  <externalReferences>
    <externalReference r:id="rId4"/>
    <externalReference r:id="rId5"/>
    <externalReference r:id="rId6"/>
  </externalReferences>
  <definedNames>
    <definedName name="_xlnm._FilterDatabase" localSheetId="2" hidden="1">'2026B and 2026F Details'!$A$3:$CK$781</definedName>
    <definedName name="_xlnm._FilterDatabase" localSheetId="0" hidden="1">Sheet1!$B$2:$P$393</definedName>
    <definedName name="_xlnm._FilterDatabase" localSheetId="1" hidden="1">'Upload Template'!$A$3:$CI$800</definedName>
    <definedName name="Contracted">#REF!</definedName>
    <definedName name="Details">#REF!</definedName>
    <definedName name="Details2024">#REF!</definedName>
    <definedName name="ManpowerStandard">#REF!</definedName>
    <definedName name="PC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4" l="1"/>
  <c r="U800" i="4"/>
  <c r="U799" i="4"/>
  <c r="U798" i="4"/>
  <c r="U797" i="4"/>
  <c r="U796" i="4"/>
  <c r="U795" i="4"/>
  <c r="U794" i="4"/>
  <c r="U793" i="4"/>
  <c r="U792" i="4"/>
  <c r="U791" i="4"/>
  <c r="U790" i="4"/>
  <c r="U789" i="4"/>
  <c r="U788" i="4"/>
  <c r="U787" i="4"/>
  <c r="U786" i="4"/>
  <c r="U785" i="4"/>
  <c r="U784" i="4"/>
  <c r="U783" i="4"/>
  <c r="U782" i="4"/>
  <c r="U781" i="4"/>
  <c r="U780" i="4"/>
  <c r="U779" i="4"/>
  <c r="U778" i="4"/>
  <c r="U777" i="4"/>
  <c r="U776" i="4"/>
  <c r="U775" i="4"/>
  <c r="U774" i="4"/>
  <c r="U773" i="4"/>
  <c r="U772" i="4"/>
  <c r="U771" i="4"/>
  <c r="U770" i="4"/>
  <c r="U769" i="4"/>
  <c r="U768" i="4"/>
  <c r="U767" i="4"/>
  <c r="U766" i="4"/>
  <c r="U765" i="4"/>
  <c r="U764" i="4"/>
  <c r="U763" i="4"/>
  <c r="U762" i="4"/>
  <c r="U761" i="4"/>
  <c r="U760" i="4"/>
  <c r="U759" i="4"/>
  <c r="U758" i="4"/>
  <c r="U757" i="4"/>
  <c r="U756" i="4"/>
  <c r="U755" i="4"/>
  <c r="U754" i="4"/>
  <c r="U753" i="4"/>
  <c r="U752" i="4"/>
  <c r="U751" i="4"/>
  <c r="U750" i="4"/>
  <c r="U749" i="4"/>
  <c r="U748" i="4"/>
  <c r="U747" i="4"/>
  <c r="U746" i="4"/>
  <c r="U745" i="4"/>
  <c r="U744" i="4"/>
  <c r="U743" i="4"/>
  <c r="U742" i="4"/>
  <c r="U741" i="4"/>
  <c r="U740" i="4"/>
  <c r="U739" i="4"/>
  <c r="U738" i="4"/>
  <c r="U737" i="4"/>
  <c r="U736" i="4"/>
  <c r="U735" i="4"/>
  <c r="U734" i="4"/>
  <c r="U733" i="4"/>
  <c r="U732" i="4"/>
  <c r="U731" i="4"/>
  <c r="U730" i="4"/>
  <c r="U729" i="4"/>
  <c r="U728" i="4"/>
  <c r="U727" i="4"/>
  <c r="U726" i="4"/>
  <c r="U725" i="4"/>
  <c r="U724" i="4"/>
  <c r="U723" i="4"/>
  <c r="U722" i="4"/>
  <c r="U721" i="4"/>
  <c r="U720" i="4"/>
  <c r="U719" i="4"/>
  <c r="U718" i="4"/>
  <c r="U717" i="4"/>
  <c r="U716" i="4"/>
  <c r="U715" i="4"/>
  <c r="U714" i="4"/>
  <c r="U713" i="4"/>
  <c r="U712" i="4"/>
  <c r="U711" i="4"/>
  <c r="U710" i="4"/>
  <c r="U709" i="4"/>
  <c r="U708" i="4"/>
  <c r="U707" i="4"/>
  <c r="U706" i="4"/>
  <c r="U705" i="4"/>
  <c r="U704" i="4"/>
  <c r="U703" i="4"/>
  <c r="U702" i="4"/>
  <c r="U701" i="4"/>
  <c r="U700" i="4"/>
  <c r="U699" i="4"/>
  <c r="U698" i="4"/>
  <c r="U697" i="4"/>
  <c r="U696" i="4"/>
  <c r="U695" i="4"/>
  <c r="U694" i="4"/>
  <c r="U693" i="4"/>
  <c r="U692" i="4"/>
  <c r="U691" i="4"/>
  <c r="U690" i="4"/>
  <c r="U689" i="4"/>
  <c r="U688" i="4"/>
  <c r="U687" i="4"/>
  <c r="U686" i="4"/>
  <c r="U685" i="4"/>
  <c r="U684" i="4"/>
  <c r="U683" i="4"/>
  <c r="U682" i="4"/>
  <c r="U681" i="4"/>
  <c r="U680" i="4"/>
  <c r="U679" i="4"/>
  <c r="U678" i="4"/>
  <c r="U677" i="4"/>
  <c r="U676" i="4"/>
  <c r="U675" i="4"/>
  <c r="U674" i="4"/>
  <c r="U673" i="4"/>
  <c r="U672" i="4"/>
  <c r="U671" i="4"/>
  <c r="U670" i="4"/>
  <c r="U669" i="4"/>
  <c r="U668" i="4"/>
  <c r="U667" i="4"/>
  <c r="U666" i="4"/>
  <c r="U665" i="4"/>
  <c r="U664" i="4"/>
  <c r="U663" i="4"/>
  <c r="U662" i="4"/>
  <c r="U661" i="4"/>
  <c r="U660" i="4"/>
  <c r="U659" i="4"/>
  <c r="U658" i="4"/>
  <c r="U657" i="4"/>
  <c r="U656" i="4"/>
  <c r="U655" i="4"/>
  <c r="U654" i="4"/>
  <c r="U653" i="4"/>
  <c r="U652" i="4"/>
  <c r="U651" i="4"/>
  <c r="U650" i="4"/>
  <c r="U649" i="4"/>
  <c r="U648" i="4"/>
  <c r="U647" i="4"/>
  <c r="U646" i="4"/>
  <c r="U645" i="4"/>
  <c r="U644" i="4"/>
  <c r="U643" i="4"/>
  <c r="U642" i="4"/>
  <c r="U641" i="4"/>
  <c r="U640" i="4"/>
  <c r="U639" i="4"/>
  <c r="U638" i="4"/>
  <c r="U637" i="4"/>
  <c r="U636" i="4"/>
  <c r="U635" i="4"/>
  <c r="U634" i="4"/>
  <c r="U633" i="4"/>
  <c r="U632" i="4"/>
  <c r="U631" i="4"/>
  <c r="U630" i="4"/>
  <c r="U629" i="4"/>
  <c r="U628" i="4"/>
  <c r="U627" i="4"/>
  <c r="U626" i="4"/>
  <c r="U625" i="4"/>
  <c r="U624" i="4"/>
  <c r="U623" i="4"/>
  <c r="U622" i="4"/>
  <c r="U621" i="4"/>
  <c r="U620" i="4"/>
  <c r="U619" i="4"/>
  <c r="U618" i="4"/>
  <c r="U617" i="4"/>
  <c r="U616" i="4"/>
  <c r="U615" i="4"/>
  <c r="U614" i="4"/>
  <c r="U613" i="4"/>
  <c r="U612" i="4"/>
  <c r="U611" i="4"/>
  <c r="U610" i="4"/>
  <c r="U609" i="4"/>
  <c r="U608" i="4"/>
  <c r="U607" i="4"/>
  <c r="U606" i="4"/>
  <c r="U605" i="4"/>
  <c r="U604" i="4"/>
  <c r="U603" i="4"/>
  <c r="U602" i="4"/>
  <c r="U601" i="4"/>
  <c r="U600" i="4"/>
  <c r="U599" i="4"/>
  <c r="U598" i="4"/>
  <c r="U597" i="4"/>
  <c r="U596" i="4"/>
  <c r="U595" i="4"/>
  <c r="U594" i="4"/>
  <c r="U593" i="4"/>
  <c r="U592" i="4"/>
  <c r="U591" i="4"/>
  <c r="U590" i="4"/>
  <c r="U589" i="4"/>
  <c r="U588" i="4"/>
  <c r="U587" i="4"/>
  <c r="U586" i="4"/>
  <c r="U585" i="4"/>
  <c r="U584" i="4"/>
  <c r="U583" i="4"/>
  <c r="U582" i="4"/>
  <c r="U581" i="4"/>
  <c r="U580" i="4"/>
  <c r="U579" i="4"/>
  <c r="U578" i="4"/>
  <c r="U577" i="4"/>
  <c r="U576" i="4"/>
  <c r="U575" i="4"/>
  <c r="U574" i="4"/>
  <c r="U573" i="4"/>
  <c r="U572" i="4"/>
  <c r="U571" i="4"/>
  <c r="U570" i="4"/>
  <c r="U569" i="4"/>
  <c r="U568" i="4"/>
  <c r="U567" i="4"/>
  <c r="U566" i="4"/>
  <c r="U565" i="4"/>
  <c r="U564" i="4"/>
  <c r="U563" i="4"/>
  <c r="U562" i="4"/>
  <c r="U561" i="4"/>
  <c r="U560" i="4"/>
  <c r="U559" i="4"/>
  <c r="U558" i="4"/>
  <c r="U557" i="4"/>
  <c r="U556" i="4"/>
  <c r="U555" i="4"/>
  <c r="U554" i="4"/>
  <c r="U553" i="4"/>
  <c r="U552" i="4"/>
  <c r="U551" i="4"/>
  <c r="U550" i="4"/>
  <c r="U549" i="4"/>
  <c r="U548" i="4"/>
  <c r="U547" i="4"/>
  <c r="U546" i="4"/>
  <c r="U545" i="4"/>
  <c r="U544" i="4"/>
  <c r="U543" i="4"/>
  <c r="U542" i="4"/>
  <c r="U541" i="4"/>
  <c r="U540" i="4"/>
  <c r="U539" i="4"/>
  <c r="U538" i="4"/>
  <c r="U537" i="4"/>
  <c r="U536" i="4"/>
  <c r="U535" i="4"/>
  <c r="U534" i="4"/>
  <c r="U533" i="4"/>
  <c r="U532" i="4"/>
  <c r="U531" i="4"/>
  <c r="U530" i="4"/>
  <c r="U529" i="4"/>
  <c r="U528" i="4"/>
  <c r="U527" i="4"/>
  <c r="U526" i="4"/>
  <c r="U525" i="4"/>
  <c r="U524" i="4"/>
  <c r="U523" i="4"/>
  <c r="U522" i="4"/>
  <c r="U521" i="4"/>
  <c r="U520" i="4"/>
  <c r="U519" i="4"/>
  <c r="U518" i="4"/>
  <c r="U517" i="4"/>
  <c r="U516" i="4"/>
  <c r="U515" i="4"/>
  <c r="U514" i="4"/>
  <c r="U513" i="4"/>
  <c r="U512" i="4"/>
  <c r="U511" i="4"/>
  <c r="U510" i="4"/>
  <c r="U509" i="4"/>
  <c r="U508" i="4"/>
  <c r="U507" i="4"/>
  <c r="U506" i="4"/>
  <c r="U505" i="4"/>
  <c r="U504" i="4"/>
  <c r="U503" i="4"/>
  <c r="U502" i="4"/>
  <c r="U501" i="4"/>
  <c r="U500" i="4"/>
  <c r="U499" i="4"/>
  <c r="U498" i="4"/>
  <c r="U497" i="4"/>
  <c r="U496" i="4"/>
  <c r="U495" i="4"/>
  <c r="U494" i="4"/>
  <c r="U493" i="4"/>
  <c r="U492" i="4"/>
  <c r="U491" i="4"/>
  <c r="U490" i="4"/>
  <c r="U489" i="4"/>
  <c r="U488" i="4"/>
  <c r="U487" i="4"/>
  <c r="U486" i="4"/>
  <c r="U485" i="4"/>
  <c r="U484" i="4"/>
  <c r="U483" i="4"/>
  <c r="U482" i="4"/>
  <c r="U481" i="4"/>
  <c r="U480" i="4"/>
  <c r="U479" i="4"/>
  <c r="U478" i="4"/>
  <c r="U477" i="4"/>
  <c r="U476" i="4"/>
  <c r="U475" i="4"/>
  <c r="U474" i="4"/>
  <c r="U473" i="4"/>
  <c r="U472" i="4"/>
  <c r="U471" i="4"/>
  <c r="U470" i="4"/>
  <c r="U469" i="4"/>
  <c r="U468" i="4"/>
  <c r="U467" i="4"/>
  <c r="U466" i="4"/>
  <c r="U465" i="4"/>
  <c r="U464" i="4"/>
  <c r="U463" i="4"/>
  <c r="U462" i="4"/>
  <c r="U461" i="4"/>
  <c r="U460" i="4"/>
  <c r="U459" i="4"/>
  <c r="U458" i="4"/>
  <c r="U457" i="4"/>
  <c r="U456" i="4"/>
  <c r="U455" i="4"/>
  <c r="U454" i="4"/>
  <c r="U453" i="4"/>
  <c r="U452" i="4"/>
  <c r="U451" i="4"/>
  <c r="U450" i="4"/>
  <c r="U449" i="4"/>
  <c r="U448" i="4"/>
  <c r="U447" i="4"/>
  <c r="U446" i="4"/>
  <c r="U445" i="4"/>
  <c r="U444" i="4"/>
  <c r="U443" i="4"/>
  <c r="U442" i="4"/>
  <c r="U441" i="4"/>
  <c r="U440" i="4"/>
  <c r="U439" i="4"/>
  <c r="U438" i="4"/>
  <c r="U437" i="4"/>
  <c r="U436" i="4"/>
  <c r="U435" i="4"/>
  <c r="U434" i="4"/>
  <c r="U433" i="4"/>
  <c r="U432" i="4"/>
  <c r="U431" i="4"/>
  <c r="U430" i="4"/>
  <c r="U429" i="4"/>
  <c r="U428" i="4"/>
  <c r="U427" i="4"/>
  <c r="U426" i="4"/>
  <c r="U425" i="4"/>
  <c r="U424" i="4"/>
  <c r="U423" i="4"/>
  <c r="U422" i="4"/>
  <c r="U421" i="4"/>
  <c r="U420" i="4"/>
  <c r="U419" i="4"/>
  <c r="U418" i="4"/>
  <c r="U417" i="4"/>
  <c r="U416" i="4"/>
  <c r="U415" i="4"/>
  <c r="U414" i="4"/>
  <c r="U413" i="4"/>
  <c r="U412" i="4"/>
  <c r="U411" i="4"/>
  <c r="U410" i="4"/>
  <c r="U409" i="4"/>
  <c r="U408" i="4"/>
  <c r="U407" i="4"/>
  <c r="U406" i="4"/>
  <c r="U405" i="4"/>
  <c r="U404" i="4"/>
  <c r="U403" i="4"/>
  <c r="U402" i="4"/>
  <c r="U401" i="4"/>
  <c r="U400" i="4"/>
  <c r="U399" i="4"/>
  <c r="U398" i="4"/>
  <c r="U397" i="4"/>
  <c r="U396" i="4"/>
  <c r="U395" i="4"/>
  <c r="U394" i="4"/>
  <c r="U393" i="4"/>
  <c r="U392" i="4"/>
  <c r="U391" i="4"/>
  <c r="U390" i="4"/>
  <c r="U389" i="4"/>
  <c r="U388" i="4"/>
  <c r="U387" i="4"/>
  <c r="U386" i="4"/>
  <c r="U385" i="4"/>
  <c r="U384" i="4"/>
  <c r="U383" i="4"/>
  <c r="U382" i="4"/>
  <c r="U381" i="4"/>
  <c r="U380" i="4"/>
  <c r="U379" i="4"/>
  <c r="U378" i="4"/>
  <c r="U377" i="4"/>
  <c r="U376" i="4"/>
  <c r="U375" i="4"/>
  <c r="U374" i="4"/>
  <c r="U373" i="4"/>
  <c r="U372" i="4"/>
  <c r="U371" i="4"/>
  <c r="U370" i="4"/>
  <c r="U369" i="4"/>
  <c r="U368" i="4"/>
  <c r="U367" i="4"/>
  <c r="U366" i="4"/>
  <c r="U365" i="4"/>
  <c r="U364" i="4"/>
  <c r="U363" i="4"/>
  <c r="U362" i="4"/>
  <c r="U361" i="4"/>
  <c r="U360" i="4"/>
  <c r="U359" i="4"/>
  <c r="U358" i="4"/>
  <c r="U357" i="4"/>
  <c r="U356" i="4"/>
  <c r="U355" i="4"/>
  <c r="U354" i="4"/>
  <c r="U353" i="4"/>
  <c r="U352" i="4"/>
  <c r="U351" i="4"/>
  <c r="U350" i="4"/>
  <c r="U349" i="4"/>
  <c r="U348" i="4"/>
  <c r="U347" i="4"/>
  <c r="U346" i="4"/>
  <c r="U345" i="4"/>
  <c r="U344" i="4"/>
  <c r="U343" i="4"/>
  <c r="U342" i="4"/>
  <c r="U341" i="4"/>
  <c r="U340" i="4"/>
  <c r="U339" i="4"/>
  <c r="U338" i="4"/>
  <c r="U337" i="4"/>
  <c r="U336" i="4"/>
  <c r="U335" i="4"/>
  <c r="U334" i="4"/>
  <c r="U333" i="4"/>
  <c r="U332" i="4"/>
  <c r="U331" i="4"/>
  <c r="U330" i="4"/>
  <c r="U329" i="4"/>
  <c r="U328" i="4"/>
  <c r="U327" i="4"/>
  <c r="U326" i="4"/>
  <c r="U325" i="4"/>
  <c r="U324" i="4"/>
  <c r="U323" i="4"/>
  <c r="U322" i="4"/>
  <c r="U321" i="4"/>
  <c r="U320" i="4"/>
  <c r="U319" i="4"/>
  <c r="U318" i="4"/>
  <c r="U317" i="4"/>
  <c r="U316" i="4"/>
  <c r="U315" i="4"/>
  <c r="U314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U280" i="4"/>
  <c r="U279" i="4"/>
  <c r="U278" i="4"/>
  <c r="U277" i="4"/>
  <c r="U276" i="4"/>
  <c r="U275" i="4"/>
  <c r="U274" i="4"/>
  <c r="U273" i="4"/>
  <c r="U272" i="4"/>
  <c r="U271" i="4"/>
  <c r="U270" i="4"/>
  <c r="U269" i="4"/>
  <c r="U268" i="4"/>
  <c r="U267" i="4"/>
  <c r="U266" i="4"/>
  <c r="U265" i="4"/>
  <c r="U264" i="4"/>
  <c r="U263" i="4"/>
  <c r="U262" i="4"/>
  <c r="U261" i="4"/>
  <c r="U260" i="4"/>
  <c r="U259" i="4"/>
  <c r="U258" i="4"/>
  <c r="U257" i="4"/>
  <c r="U256" i="4"/>
  <c r="U255" i="4"/>
  <c r="U254" i="4"/>
  <c r="U253" i="4"/>
  <c r="U252" i="4"/>
  <c r="U251" i="4"/>
  <c r="U250" i="4"/>
  <c r="U249" i="4"/>
  <c r="U248" i="4"/>
  <c r="U247" i="4"/>
  <c r="U246" i="4"/>
  <c r="U245" i="4"/>
  <c r="U244" i="4"/>
  <c r="U243" i="4"/>
  <c r="U242" i="4"/>
  <c r="U241" i="4"/>
  <c r="U240" i="4"/>
  <c r="U239" i="4"/>
  <c r="U238" i="4"/>
  <c r="U237" i="4"/>
  <c r="U236" i="4"/>
  <c r="U235" i="4"/>
  <c r="U234" i="4"/>
  <c r="U233" i="4"/>
  <c r="U232" i="4"/>
  <c r="U231" i="4"/>
  <c r="U230" i="4"/>
  <c r="U229" i="4"/>
  <c r="U228" i="4"/>
  <c r="U227" i="4"/>
  <c r="U226" i="4"/>
  <c r="U225" i="4"/>
  <c r="U224" i="4"/>
  <c r="U223" i="4"/>
  <c r="U222" i="4"/>
  <c r="U221" i="4"/>
  <c r="U220" i="4"/>
  <c r="U219" i="4"/>
  <c r="U218" i="4"/>
  <c r="U217" i="4"/>
  <c r="U216" i="4"/>
  <c r="U215" i="4"/>
  <c r="U214" i="4"/>
  <c r="U213" i="4"/>
  <c r="U212" i="4"/>
  <c r="U211" i="4"/>
  <c r="U210" i="4"/>
  <c r="U209" i="4"/>
  <c r="U208" i="4"/>
  <c r="U207" i="4"/>
  <c r="U206" i="4"/>
  <c r="U205" i="4"/>
  <c r="U204" i="4"/>
  <c r="U203" i="4"/>
  <c r="U202" i="4"/>
  <c r="U201" i="4"/>
  <c r="U200" i="4"/>
  <c r="U199" i="4"/>
  <c r="U198" i="4"/>
  <c r="U197" i="4"/>
  <c r="U196" i="4"/>
  <c r="U195" i="4"/>
  <c r="U194" i="4"/>
  <c r="U193" i="4"/>
  <c r="U192" i="4"/>
  <c r="U191" i="4"/>
  <c r="U190" i="4"/>
  <c r="U189" i="4"/>
  <c r="U188" i="4"/>
  <c r="U187" i="4"/>
  <c r="U186" i="4"/>
  <c r="U185" i="4"/>
  <c r="U184" i="4"/>
  <c r="U183" i="4"/>
  <c r="U182" i="4"/>
  <c r="U181" i="4"/>
  <c r="U180" i="4"/>
  <c r="U179" i="4"/>
  <c r="U178" i="4"/>
  <c r="U177" i="4"/>
  <c r="U176" i="4"/>
  <c r="U175" i="4"/>
  <c r="U174" i="4"/>
  <c r="U173" i="4"/>
  <c r="U172" i="4"/>
  <c r="U171" i="4"/>
  <c r="U170" i="4"/>
  <c r="U169" i="4"/>
  <c r="U168" i="4"/>
  <c r="U167" i="4"/>
  <c r="U166" i="4"/>
  <c r="U165" i="4"/>
  <c r="U164" i="4"/>
  <c r="U163" i="4"/>
  <c r="U162" i="4"/>
  <c r="U161" i="4"/>
  <c r="U160" i="4"/>
  <c r="U159" i="4"/>
  <c r="U158" i="4"/>
  <c r="U157" i="4"/>
  <c r="U156" i="4"/>
  <c r="U155" i="4"/>
  <c r="U154" i="4"/>
  <c r="U153" i="4"/>
  <c r="U152" i="4"/>
  <c r="U151" i="4"/>
  <c r="U150" i="4"/>
  <c r="U149" i="4"/>
  <c r="U148" i="4"/>
  <c r="U147" i="4"/>
  <c r="U146" i="4"/>
  <c r="U145" i="4"/>
  <c r="U144" i="4"/>
  <c r="U143" i="4"/>
  <c r="U142" i="4"/>
  <c r="U141" i="4"/>
  <c r="U140" i="4"/>
  <c r="U139" i="4"/>
  <c r="U138" i="4"/>
  <c r="U137" i="4"/>
  <c r="U136" i="4"/>
  <c r="U135" i="4"/>
  <c r="U134" i="4"/>
  <c r="U133" i="4"/>
  <c r="U132" i="4"/>
  <c r="U131" i="4"/>
  <c r="U130" i="4"/>
  <c r="U129" i="4"/>
  <c r="U128" i="4"/>
  <c r="U127" i="4"/>
  <c r="U126" i="4"/>
  <c r="U125" i="4"/>
  <c r="U124" i="4"/>
  <c r="U123" i="4"/>
  <c r="U122" i="4"/>
  <c r="U121" i="4"/>
  <c r="U120" i="4"/>
  <c r="U119" i="4"/>
  <c r="U118" i="4"/>
  <c r="U117" i="4"/>
  <c r="U116" i="4"/>
  <c r="U115" i="4"/>
  <c r="U114" i="4"/>
  <c r="U113" i="4"/>
  <c r="U112" i="4"/>
  <c r="U111" i="4"/>
  <c r="U110" i="4"/>
  <c r="U109" i="4"/>
  <c r="U108" i="4"/>
  <c r="U107" i="4"/>
  <c r="U106" i="4"/>
  <c r="U105" i="4"/>
  <c r="U104" i="4"/>
  <c r="U103" i="4"/>
  <c r="U102" i="4"/>
  <c r="U101" i="4"/>
  <c r="U100" i="4"/>
  <c r="U99" i="4"/>
  <c r="U98" i="4"/>
  <c r="U97" i="4"/>
  <c r="U96" i="4"/>
  <c r="U95" i="4"/>
  <c r="U94" i="4"/>
  <c r="U93" i="4"/>
  <c r="U92" i="4"/>
  <c r="U91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T2" i="4"/>
  <c r="K610" i="4"/>
  <c r="S2" i="4"/>
  <c r="R2" i="4"/>
  <c r="Q2" i="4"/>
  <c r="P2" i="4"/>
  <c r="O2" i="4"/>
  <c r="N2" i="4"/>
  <c r="M2" i="4"/>
  <c r="L2" i="4"/>
  <c r="K2" i="4"/>
  <c r="J2" i="4"/>
  <c r="I2" i="4"/>
  <c r="H2" i="4"/>
  <c r="CH282" i="3"/>
  <c r="CH703" i="3"/>
  <c r="CH686" i="3"/>
  <c r="CH380" i="3"/>
  <c r="CH365" i="3"/>
  <c r="AT25" i="3"/>
  <c r="AT24" i="3"/>
  <c r="AT765" i="3"/>
  <c r="AT775" i="3"/>
  <c r="AT778" i="3"/>
  <c r="AT362" i="3"/>
  <c r="AT73" i="3"/>
  <c r="AT693" i="3"/>
  <c r="AT548" i="3"/>
  <c r="AT468" i="3"/>
  <c r="AT14" i="3"/>
  <c r="AT11" i="3"/>
  <c r="AT630" i="3"/>
  <c r="AT593" i="3"/>
  <c r="AT114" i="3"/>
  <c r="AT74" i="3"/>
  <c r="AT776" i="3"/>
  <c r="AT649" i="3"/>
  <c r="AT72" i="3"/>
  <c r="AT455" i="3"/>
  <c r="AT454" i="3"/>
  <c r="AT399" i="3"/>
  <c r="AT744" i="3"/>
  <c r="AT710" i="3"/>
  <c r="AT203" i="3"/>
  <c r="AT517" i="3"/>
  <c r="AT661" i="3"/>
  <c r="AT601" i="3"/>
  <c r="AT640" i="3"/>
  <c r="AT553" i="3"/>
  <c r="AT335" i="3"/>
  <c r="AT518" i="3"/>
  <c r="AT626" i="3"/>
  <c r="AT742" i="3"/>
  <c r="AT631" i="3"/>
  <c r="AT731" i="3"/>
  <c r="AT453" i="3"/>
  <c r="AT677" i="3"/>
  <c r="AT466" i="3"/>
  <c r="AT407" i="3"/>
  <c r="AT777" i="3"/>
  <c r="AT668" i="3"/>
  <c r="AT667" i="3"/>
  <c r="AT671" i="3"/>
  <c r="AT519" i="3"/>
  <c r="AT672" i="3"/>
  <c r="AT264" i="3"/>
  <c r="AT659" i="3"/>
  <c r="AT612" i="3"/>
  <c r="AT262" i="3"/>
  <c r="AT639" i="3"/>
  <c r="AT552" i="3"/>
  <c r="AT409" i="3"/>
  <c r="AT733" i="3"/>
  <c r="AT730" i="3"/>
  <c r="AT754" i="3"/>
  <c r="AT753" i="3"/>
  <c r="AT483" i="3"/>
  <c r="AT408" i="3"/>
  <c r="AT723" i="3"/>
  <c r="AT720" i="3"/>
  <c r="AT683" i="3"/>
  <c r="AT722" i="3"/>
  <c r="AT685" i="3"/>
  <c r="AT757" i="3"/>
  <c r="AT756" i="3"/>
  <c r="AT721" i="3"/>
  <c r="AT684" i="3"/>
  <c r="AT741" i="3"/>
  <c r="AT712" i="3"/>
  <c r="AT676" i="3"/>
  <c r="AT679" i="3"/>
  <c r="AT715" i="3"/>
  <c r="AT678" i="3"/>
  <c r="AT711" i="3"/>
  <c r="AT675" i="3"/>
  <c r="AT201" i="3"/>
  <c r="AT200" i="3"/>
  <c r="AT198" i="3"/>
  <c r="AT199" i="3"/>
  <c r="AT628" i="3"/>
  <c r="AT627" i="3"/>
  <c r="AT624" i="3"/>
  <c r="AT625" i="3"/>
  <c r="AT5" i="3"/>
  <c r="AT4" i="3"/>
  <c r="AT496" i="3"/>
  <c r="AT623" i="3"/>
  <c r="AT600" i="3"/>
  <c r="AT602" i="3"/>
  <c r="AT700" i="3"/>
  <c r="AT702" i="3"/>
  <c r="AT692" i="3"/>
  <c r="AT695" i="3"/>
  <c r="AT243" i="3"/>
  <c r="AT587" i="3"/>
  <c r="AT202" i="3"/>
  <c r="AT556" i="3"/>
  <c r="AT235" i="3"/>
  <c r="AT555" i="3"/>
  <c r="AT67" i="3"/>
  <c r="AT701" i="3"/>
  <c r="AT638" i="3"/>
  <c r="AT637" i="3"/>
  <c r="AT529" i="3"/>
  <c r="AT554" i="3"/>
  <c r="AT467" i="3"/>
  <c r="AT691" i="3"/>
  <c r="AT674" i="3"/>
  <c r="AT761" i="3"/>
  <c r="AT611" i="3"/>
  <c r="AT610" i="3"/>
  <c r="AT584" i="3"/>
  <c r="AT69" i="3"/>
  <c r="AT219" i="3"/>
  <c r="AT755" i="3"/>
  <c r="AT71" i="3"/>
  <c r="AT551" i="3"/>
  <c r="AT629" i="3"/>
  <c r="AT263" i="3"/>
  <c r="AT10" i="3"/>
  <c r="AT482" i="3"/>
  <c r="AT767" i="3"/>
  <c r="AT66" i="3"/>
  <c r="AT558" i="3"/>
  <c r="AT499" i="3"/>
  <c r="AT673" i="3"/>
  <c r="AS765" i="3"/>
  <c r="AX530" i="3"/>
  <c r="AX531" i="3"/>
  <c r="BO781" i="3"/>
  <c r="BT781" i="3" s="1"/>
  <c r="AY781" i="3"/>
  <c r="AX781" i="3"/>
  <c r="AN781" i="3"/>
  <c r="BO780" i="3"/>
  <c r="BT780" i="3" s="1"/>
  <c r="AY780" i="3"/>
  <c r="AX780" i="3"/>
  <c r="AN780" i="3"/>
  <c r="BO779" i="3"/>
  <c r="BN779" i="3"/>
  <c r="BM779" i="3"/>
  <c r="BK779" i="3"/>
  <c r="BJ779" i="3"/>
  <c r="BI779" i="3"/>
  <c r="BH779" i="3"/>
  <c r="AY779" i="3"/>
  <c r="AX779" i="3"/>
  <c r="AN779" i="3"/>
  <c r="BO778" i="3"/>
  <c r="BN778" i="3"/>
  <c r="BM778" i="3"/>
  <c r="BL778" i="3"/>
  <c r="BK778" i="3"/>
  <c r="AY778" i="3"/>
  <c r="AX778" i="3"/>
  <c r="AN778" i="3"/>
  <c r="BO777" i="3"/>
  <c r="BN777" i="3"/>
  <c r="BM777" i="3"/>
  <c r="BL777" i="3"/>
  <c r="AX777" i="3"/>
  <c r="AN777" i="3"/>
  <c r="CG776" i="3"/>
  <c r="CF776" i="3"/>
  <c r="CE776" i="3"/>
  <c r="CD776" i="3"/>
  <c r="BO776" i="3"/>
  <c r="CC776" i="3" s="1"/>
  <c r="BN776" i="3"/>
  <c r="CB776" i="3" s="1"/>
  <c r="BM776" i="3"/>
  <c r="CA776" i="3" s="1"/>
  <c r="BL776" i="3"/>
  <c r="BZ776" i="3" s="1"/>
  <c r="BK776" i="3"/>
  <c r="BY776" i="3" s="1"/>
  <c r="BJ776" i="3"/>
  <c r="BX776" i="3" s="1"/>
  <c r="BI776" i="3"/>
  <c r="BW776" i="3" s="1"/>
  <c r="BH776" i="3"/>
  <c r="AX776" i="3"/>
  <c r="AN776" i="3"/>
  <c r="BO775" i="3"/>
  <c r="BN775" i="3"/>
  <c r="CB775" i="3" s="1"/>
  <c r="BM775" i="3"/>
  <c r="CA775" i="3" s="1"/>
  <c r="BL775" i="3"/>
  <c r="BZ775" i="3" s="1"/>
  <c r="BK775" i="3"/>
  <c r="BY775" i="3" s="1"/>
  <c r="BJ775" i="3"/>
  <c r="BX775" i="3" s="1"/>
  <c r="BI775" i="3"/>
  <c r="BW775" i="3" s="1"/>
  <c r="BH775" i="3"/>
  <c r="AX775" i="3"/>
  <c r="AN775" i="3"/>
  <c r="BO774" i="3"/>
  <c r="BN774" i="3"/>
  <c r="AX774" i="3"/>
  <c r="AN774" i="3"/>
  <c r="BO773" i="3"/>
  <c r="BN773" i="3"/>
  <c r="BM773" i="3"/>
  <c r="BK773" i="3"/>
  <c r="AX773" i="3"/>
  <c r="AN773" i="3"/>
  <c r="BO772" i="3"/>
  <c r="BN772" i="3"/>
  <c r="BM772" i="3"/>
  <c r="BL772" i="3"/>
  <c r="BK772" i="3"/>
  <c r="AX772" i="3"/>
  <c r="AN772" i="3"/>
  <c r="BV771" i="3"/>
  <c r="BO771" i="3"/>
  <c r="BN771" i="3"/>
  <c r="CB771" i="3" s="1"/>
  <c r="BM771" i="3"/>
  <c r="CA771" i="3" s="1"/>
  <c r="BL771" i="3"/>
  <c r="BZ771" i="3" s="1"/>
  <c r="BK771" i="3"/>
  <c r="BY771" i="3" s="1"/>
  <c r="BJ771" i="3"/>
  <c r="BX771" i="3" s="1"/>
  <c r="BI771" i="3"/>
  <c r="AX771" i="3"/>
  <c r="AN771" i="3"/>
  <c r="CG770" i="3"/>
  <c r="CF770" i="3"/>
  <c r="CE770" i="3"/>
  <c r="CD770" i="3"/>
  <c r="BV770" i="3"/>
  <c r="BO770" i="3"/>
  <c r="CC770" i="3" s="1"/>
  <c r="BN770" i="3"/>
  <c r="CB770" i="3" s="1"/>
  <c r="BM770" i="3"/>
  <c r="CA770" i="3" s="1"/>
  <c r="BL770" i="3"/>
  <c r="BZ770" i="3" s="1"/>
  <c r="BK770" i="3"/>
  <c r="BY770" i="3" s="1"/>
  <c r="BJ770" i="3"/>
  <c r="BX770" i="3" s="1"/>
  <c r="BI770" i="3"/>
  <c r="AX770" i="3"/>
  <c r="AN770" i="3"/>
  <c r="CG769" i="3"/>
  <c r="CF769" i="3"/>
  <c r="CE769" i="3"/>
  <c r="CD769" i="3"/>
  <c r="BO769" i="3"/>
  <c r="CC769" i="3" s="1"/>
  <c r="BN769" i="3"/>
  <c r="CB769" i="3" s="1"/>
  <c r="BM769" i="3"/>
  <c r="CA769" i="3" s="1"/>
  <c r="BL769" i="3"/>
  <c r="BZ769" i="3" s="1"/>
  <c r="BK769" i="3"/>
  <c r="BY769" i="3" s="1"/>
  <c r="BJ769" i="3"/>
  <c r="BX769" i="3" s="1"/>
  <c r="BI769" i="3"/>
  <c r="BW769" i="3" s="1"/>
  <c r="BH769" i="3"/>
  <c r="AX769" i="3"/>
  <c r="AN769" i="3"/>
  <c r="BO768" i="3"/>
  <c r="BN768" i="3"/>
  <c r="CB768" i="3" s="1"/>
  <c r="BM768" i="3"/>
  <c r="CA768" i="3" s="1"/>
  <c r="BL768" i="3"/>
  <c r="BZ768" i="3" s="1"/>
  <c r="BK768" i="3"/>
  <c r="BY768" i="3" s="1"/>
  <c r="BJ768" i="3"/>
  <c r="BX768" i="3" s="1"/>
  <c r="BI768" i="3"/>
  <c r="BW768" i="3" s="1"/>
  <c r="BH768" i="3"/>
  <c r="AX768" i="3"/>
  <c r="AN768" i="3"/>
  <c r="BO767" i="3"/>
  <c r="BN767" i="3"/>
  <c r="BM767" i="3"/>
  <c r="BK767" i="3"/>
  <c r="BJ767" i="3"/>
  <c r="BI767" i="3"/>
  <c r="BH767" i="3"/>
  <c r="AY767" i="3"/>
  <c r="AX767" i="3"/>
  <c r="AM767" i="3"/>
  <c r="CG767" i="3" s="1"/>
  <c r="AL767" i="3"/>
  <c r="CF767" i="3" s="1"/>
  <c r="AK767" i="3"/>
  <c r="CE767" i="3" s="1"/>
  <c r="AJ767" i="3"/>
  <c r="CD767" i="3" s="1"/>
  <c r="AI767" i="3"/>
  <c r="AH767" i="3"/>
  <c r="AG767" i="3"/>
  <c r="AF767" i="3"/>
  <c r="BZ767" i="3" s="1"/>
  <c r="AE767" i="3"/>
  <c r="AD767" i="3"/>
  <c r="AC767" i="3"/>
  <c r="AB767" i="3"/>
  <c r="AA767" i="3"/>
  <c r="N767" i="3"/>
  <c r="BS766" i="3"/>
  <c r="BO766" i="3"/>
  <c r="BN766" i="3"/>
  <c r="AY766" i="3"/>
  <c r="AX766" i="3"/>
  <c r="AN766" i="3"/>
  <c r="BO765" i="3"/>
  <c r="BN765" i="3"/>
  <c r="BM765" i="3"/>
  <c r="BL765" i="3"/>
  <c r="BK765" i="3"/>
  <c r="BJ765" i="3"/>
  <c r="BI765" i="3"/>
  <c r="BH765" i="3"/>
  <c r="AY765" i="3"/>
  <c r="AX765" i="3"/>
  <c r="AA765" i="3"/>
  <c r="B765" i="3"/>
  <c r="N765" i="3" s="1"/>
  <c r="BO764" i="3"/>
  <c r="BN764" i="3"/>
  <c r="BM764" i="3"/>
  <c r="AY764" i="3"/>
  <c r="AX764" i="3"/>
  <c r="AA764" i="3"/>
  <c r="N764" i="3"/>
  <c r="BO763" i="3"/>
  <c r="BN763" i="3"/>
  <c r="BM763" i="3"/>
  <c r="BL763" i="3"/>
  <c r="BK763" i="3"/>
  <c r="BJ763" i="3"/>
  <c r="BI763" i="3"/>
  <c r="BH763" i="3"/>
  <c r="AY763" i="3"/>
  <c r="AX763" i="3"/>
  <c r="AA763" i="3"/>
  <c r="N763" i="3"/>
  <c r="BO762" i="3"/>
  <c r="BN762" i="3"/>
  <c r="BM762" i="3"/>
  <c r="BL762" i="3"/>
  <c r="BK762" i="3"/>
  <c r="BJ762" i="3"/>
  <c r="BI762" i="3"/>
  <c r="BH762" i="3"/>
  <c r="AY762" i="3"/>
  <c r="AX762" i="3"/>
  <c r="AA762" i="3"/>
  <c r="N762" i="3"/>
  <c r="BO761" i="3"/>
  <c r="BN761" i="3"/>
  <c r="BM761" i="3"/>
  <c r="BL761" i="3"/>
  <c r="BK761" i="3"/>
  <c r="BI761" i="3"/>
  <c r="BH761" i="3"/>
  <c r="AY761" i="3"/>
  <c r="AX761" i="3"/>
  <c r="AM761" i="3"/>
  <c r="CG761" i="3" s="1"/>
  <c r="AL761" i="3"/>
  <c r="CF761" i="3" s="1"/>
  <c r="AK761" i="3"/>
  <c r="CE761" i="3" s="1"/>
  <c r="AJ761" i="3"/>
  <c r="CD761" i="3" s="1"/>
  <c r="AI761" i="3"/>
  <c r="AH761" i="3"/>
  <c r="AG761" i="3"/>
  <c r="AF761" i="3"/>
  <c r="AE761" i="3"/>
  <c r="AD761" i="3"/>
  <c r="AC761" i="3"/>
  <c r="AB761" i="3"/>
  <c r="AA761" i="3"/>
  <c r="N761" i="3"/>
  <c r="BO760" i="3"/>
  <c r="BN760" i="3"/>
  <c r="BM760" i="3"/>
  <c r="BL760" i="3"/>
  <c r="BK760" i="3"/>
  <c r="BI760" i="3"/>
  <c r="BH760" i="3"/>
  <c r="AY760" i="3"/>
  <c r="AX760" i="3"/>
  <c r="AM760" i="3"/>
  <c r="CG760" i="3" s="1"/>
  <c r="AL760" i="3"/>
  <c r="CF760" i="3" s="1"/>
  <c r="AK760" i="3"/>
  <c r="CE760" i="3" s="1"/>
  <c r="AJ760" i="3"/>
  <c r="CD760" i="3" s="1"/>
  <c r="AI760" i="3"/>
  <c r="AH760" i="3"/>
  <c r="AG760" i="3"/>
  <c r="AF760" i="3"/>
  <c r="AE760" i="3"/>
  <c r="AD760" i="3"/>
  <c r="AC760" i="3"/>
  <c r="AB760" i="3"/>
  <c r="AA760" i="3"/>
  <c r="N760" i="3"/>
  <c r="BO759" i="3"/>
  <c r="BN759" i="3"/>
  <c r="BM759" i="3"/>
  <c r="BL759" i="3"/>
  <c r="BK759" i="3"/>
  <c r="BJ759" i="3"/>
  <c r="BI759" i="3"/>
  <c r="BH759" i="3"/>
  <c r="AY759" i="3"/>
  <c r="AX759" i="3"/>
  <c r="AM759" i="3"/>
  <c r="AL759" i="3"/>
  <c r="CF759" i="3" s="1"/>
  <c r="AK759" i="3"/>
  <c r="CE759" i="3" s="1"/>
  <c r="AJ759" i="3"/>
  <c r="CD759" i="3" s="1"/>
  <c r="AI759" i="3"/>
  <c r="AH759" i="3"/>
  <c r="AG759" i="3"/>
  <c r="AF759" i="3"/>
  <c r="AE759" i="3"/>
  <c r="AD759" i="3"/>
  <c r="AC759" i="3"/>
  <c r="AA759" i="3"/>
  <c r="B759" i="3"/>
  <c r="BO758" i="3"/>
  <c r="BN758" i="3"/>
  <c r="BM758" i="3"/>
  <c r="BL758" i="3"/>
  <c r="BK758" i="3"/>
  <c r="BJ758" i="3"/>
  <c r="BI758" i="3"/>
  <c r="BH758" i="3"/>
  <c r="AY758" i="3"/>
  <c r="AX758" i="3"/>
  <c r="AM758" i="3"/>
  <c r="CG758" i="3" s="1"/>
  <c r="AL758" i="3"/>
  <c r="CF758" i="3" s="1"/>
  <c r="AK758" i="3"/>
  <c r="CE758" i="3" s="1"/>
  <c r="AJ758" i="3"/>
  <c r="CD758" i="3" s="1"/>
  <c r="AI758" i="3"/>
  <c r="AH758" i="3"/>
  <c r="AG758" i="3"/>
  <c r="AF758" i="3"/>
  <c r="AE758" i="3"/>
  <c r="AD758" i="3"/>
  <c r="AC758" i="3"/>
  <c r="AA758" i="3"/>
  <c r="B758" i="3"/>
  <c r="BO757" i="3"/>
  <c r="BN757" i="3"/>
  <c r="BM757" i="3"/>
  <c r="BL757" i="3"/>
  <c r="BK757" i="3"/>
  <c r="BJ757" i="3"/>
  <c r="BI757" i="3"/>
  <c r="BH757" i="3"/>
  <c r="AX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N757" i="3"/>
  <c r="BO756" i="3"/>
  <c r="BN756" i="3"/>
  <c r="BM756" i="3"/>
  <c r="BL756" i="3"/>
  <c r="BK756" i="3"/>
  <c r="BJ756" i="3"/>
  <c r="BI756" i="3"/>
  <c r="BH756" i="3"/>
  <c r="AX756" i="3"/>
  <c r="AM756" i="3"/>
  <c r="AL756" i="3"/>
  <c r="AK756" i="3"/>
  <c r="AJ756" i="3"/>
  <c r="AI756" i="3"/>
  <c r="AH756" i="3"/>
  <c r="AG756" i="3"/>
  <c r="AF756" i="3"/>
  <c r="AE756" i="3"/>
  <c r="AD756" i="3"/>
  <c r="AC756" i="3"/>
  <c r="AB756" i="3"/>
  <c r="AA756" i="3"/>
  <c r="N756" i="3"/>
  <c r="AN756" i="3" s="1"/>
  <c r="BO755" i="3"/>
  <c r="BN755" i="3"/>
  <c r="BM755" i="3"/>
  <c r="BL755" i="3"/>
  <c r="BK755" i="3"/>
  <c r="BJ755" i="3"/>
  <c r="BI755" i="3"/>
  <c r="BH755" i="3"/>
  <c r="AX755" i="3"/>
  <c r="AM755" i="3"/>
  <c r="AL755" i="3"/>
  <c r="AK755" i="3"/>
  <c r="AJ755" i="3"/>
  <c r="AI755" i="3"/>
  <c r="AH755" i="3"/>
  <c r="AG755" i="3"/>
  <c r="AF755" i="3"/>
  <c r="AE755" i="3"/>
  <c r="AD755" i="3"/>
  <c r="AC755" i="3"/>
  <c r="AB755" i="3"/>
  <c r="AA755" i="3"/>
  <c r="N755" i="3"/>
  <c r="BO754" i="3"/>
  <c r="BN754" i="3"/>
  <c r="BM754" i="3"/>
  <c r="BK754" i="3"/>
  <c r="BJ754" i="3"/>
  <c r="BI754" i="3"/>
  <c r="BH754" i="3"/>
  <c r="AX754" i="3"/>
  <c r="AM754" i="3"/>
  <c r="CG754" i="3" s="1"/>
  <c r="AL754" i="3"/>
  <c r="CF754" i="3" s="1"/>
  <c r="AK754" i="3"/>
  <c r="CE754" i="3" s="1"/>
  <c r="AJ754" i="3"/>
  <c r="CD754" i="3" s="1"/>
  <c r="AI754" i="3"/>
  <c r="AH754" i="3"/>
  <c r="AG754" i="3"/>
  <c r="AF754" i="3"/>
  <c r="BZ754" i="3" s="1"/>
  <c r="AE754" i="3"/>
  <c r="AD754" i="3"/>
  <c r="AC754" i="3"/>
  <c r="AB754" i="3"/>
  <c r="AA754" i="3"/>
  <c r="N754" i="3"/>
  <c r="BO753" i="3"/>
  <c r="BN753" i="3"/>
  <c r="BM753" i="3"/>
  <c r="BK753" i="3"/>
  <c r="BJ753" i="3"/>
  <c r="BI753" i="3"/>
  <c r="BH753" i="3"/>
  <c r="AX753" i="3"/>
  <c r="AM753" i="3"/>
  <c r="CG753" i="3" s="1"/>
  <c r="AL753" i="3"/>
  <c r="CF753" i="3" s="1"/>
  <c r="AK753" i="3"/>
  <c r="CE753" i="3" s="1"/>
  <c r="AJ753" i="3"/>
  <c r="CD753" i="3" s="1"/>
  <c r="AI753" i="3"/>
  <c r="AH753" i="3"/>
  <c r="AG753" i="3"/>
  <c r="AF753" i="3"/>
  <c r="BZ753" i="3" s="1"/>
  <c r="AE753" i="3"/>
  <c r="AD753" i="3"/>
  <c r="AC753" i="3"/>
  <c r="AB753" i="3"/>
  <c r="AA753" i="3"/>
  <c r="N753" i="3"/>
  <c r="AN753" i="3" s="1"/>
  <c r="BO752" i="3"/>
  <c r="BN752" i="3"/>
  <c r="BM752" i="3"/>
  <c r="BK752" i="3"/>
  <c r="BJ752" i="3"/>
  <c r="BI752" i="3"/>
  <c r="BH752" i="3"/>
  <c r="AX752" i="3"/>
  <c r="AM752" i="3"/>
  <c r="CG752" i="3" s="1"/>
  <c r="AL752" i="3"/>
  <c r="CF752" i="3" s="1"/>
  <c r="AK752" i="3"/>
  <c r="CE752" i="3" s="1"/>
  <c r="AJ752" i="3"/>
  <c r="CD752" i="3" s="1"/>
  <c r="AI752" i="3"/>
  <c r="AH752" i="3"/>
  <c r="AG752" i="3"/>
  <c r="AF752" i="3"/>
  <c r="BZ752" i="3" s="1"/>
  <c r="AE752" i="3"/>
  <c r="AD752" i="3"/>
  <c r="AC752" i="3"/>
  <c r="AB752" i="3"/>
  <c r="AA752" i="3"/>
  <c r="N752" i="3"/>
  <c r="CG751" i="3"/>
  <c r="CF751" i="3"/>
  <c r="CE751" i="3"/>
  <c r="CD751" i="3"/>
  <c r="BZ751" i="3"/>
  <c r="BX751" i="3"/>
  <c r="BV751" i="3"/>
  <c r="BO751" i="3"/>
  <c r="CC751" i="3" s="1"/>
  <c r="BN751" i="3"/>
  <c r="CB751" i="3" s="1"/>
  <c r="BM751" i="3"/>
  <c r="CA751" i="3" s="1"/>
  <c r="BK751" i="3"/>
  <c r="BY751" i="3" s="1"/>
  <c r="BI751" i="3"/>
  <c r="AY751" i="3"/>
  <c r="AX751" i="3"/>
  <c r="AN751" i="3"/>
  <c r="BO750" i="3"/>
  <c r="BN750" i="3"/>
  <c r="BM750" i="3"/>
  <c r="BK750" i="3"/>
  <c r="BI750" i="3"/>
  <c r="BH750" i="3"/>
  <c r="AY750" i="3"/>
  <c r="AX750" i="3"/>
  <c r="AM750" i="3"/>
  <c r="CG750" i="3" s="1"/>
  <c r="AL750" i="3"/>
  <c r="CF750" i="3" s="1"/>
  <c r="AK750" i="3"/>
  <c r="CE750" i="3" s="1"/>
  <c r="AJ750" i="3"/>
  <c r="CD750" i="3" s="1"/>
  <c r="AI750" i="3"/>
  <c r="AH750" i="3"/>
  <c r="AG750" i="3"/>
  <c r="AF750" i="3"/>
  <c r="BZ750" i="3" s="1"/>
  <c r="AE750" i="3"/>
  <c r="AD750" i="3"/>
  <c r="BX750" i="3" s="1"/>
  <c r="AC750" i="3"/>
  <c r="AB750" i="3"/>
  <c r="AA750" i="3"/>
  <c r="N750" i="3"/>
  <c r="BO749" i="3"/>
  <c r="BN749" i="3"/>
  <c r="BM749" i="3"/>
  <c r="BL749" i="3"/>
  <c r="BK749" i="3"/>
  <c r="BJ749" i="3"/>
  <c r="BI749" i="3"/>
  <c r="BH749" i="3"/>
  <c r="AY749" i="3"/>
  <c r="AX749" i="3"/>
  <c r="AM749" i="3"/>
  <c r="CG749" i="3" s="1"/>
  <c r="AL749" i="3"/>
  <c r="CF749" i="3" s="1"/>
  <c r="AK749" i="3"/>
  <c r="CE749" i="3" s="1"/>
  <c r="AJ749" i="3"/>
  <c r="CD749" i="3" s="1"/>
  <c r="AI749" i="3"/>
  <c r="AH749" i="3"/>
  <c r="AG749" i="3"/>
  <c r="AF749" i="3"/>
  <c r="AE749" i="3"/>
  <c r="AD749" i="3"/>
  <c r="AC749" i="3"/>
  <c r="AB749" i="3"/>
  <c r="AA749" i="3"/>
  <c r="N749" i="3"/>
  <c r="BT748" i="3"/>
  <c r="AY748" i="3"/>
  <c r="AX748" i="3"/>
  <c r="AM748" i="3"/>
  <c r="CG748" i="3" s="1"/>
  <c r="AL748" i="3"/>
  <c r="CF748" i="3" s="1"/>
  <c r="AK748" i="3"/>
  <c r="CE748" i="3" s="1"/>
  <c r="AJ748" i="3"/>
  <c r="CD748" i="3" s="1"/>
  <c r="AI748" i="3"/>
  <c r="CC748" i="3" s="1"/>
  <c r="AH748" i="3"/>
  <c r="CB748" i="3" s="1"/>
  <c r="AG748" i="3"/>
  <c r="CA748" i="3" s="1"/>
  <c r="AF748" i="3"/>
  <c r="BZ748" i="3" s="1"/>
  <c r="AE748" i="3"/>
  <c r="BY748" i="3" s="1"/>
  <c r="AD748" i="3"/>
  <c r="BX748" i="3" s="1"/>
  <c r="AC748" i="3"/>
  <c r="BW748" i="3" s="1"/>
  <c r="AB748" i="3"/>
  <c r="BV748" i="3" s="1"/>
  <c r="AA748" i="3"/>
  <c r="N748" i="3"/>
  <c r="BT747" i="3"/>
  <c r="AY747" i="3"/>
  <c r="AX747" i="3"/>
  <c r="AM747" i="3"/>
  <c r="CG747" i="3" s="1"/>
  <c r="AL747" i="3"/>
  <c r="CF747" i="3" s="1"/>
  <c r="AK747" i="3"/>
  <c r="CE747" i="3" s="1"/>
  <c r="AJ747" i="3"/>
  <c r="CD747" i="3" s="1"/>
  <c r="AI747" i="3"/>
  <c r="CC747" i="3" s="1"/>
  <c r="AH747" i="3"/>
  <c r="CB747" i="3" s="1"/>
  <c r="AG747" i="3"/>
  <c r="CA747" i="3" s="1"/>
  <c r="AF747" i="3"/>
  <c r="BZ747" i="3" s="1"/>
  <c r="AE747" i="3"/>
  <c r="BY747" i="3" s="1"/>
  <c r="AD747" i="3"/>
  <c r="BX747" i="3" s="1"/>
  <c r="AC747" i="3"/>
  <c r="BW747" i="3" s="1"/>
  <c r="AB747" i="3"/>
  <c r="BV747" i="3" s="1"/>
  <c r="AA747" i="3"/>
  <c r="N747" i="3"/>
  <c r="AN747" i="3" s="1"/>
  <c r="BT746" i="3"/>
  <c r="AY746" i="3"/>
  <c r="AX746" i="3"/>
  <c r="AM746" i="3"/>
  <c r="CG746" i="3" s="1"/>
  <c r="AL746" i="3"/>
  <c r="CF746" i="3" s="1"/>
  <c r="AK746" i="3"/>
  <c r="CE746" i="3" s="1"/>
  <c r="AJ746" i="3"/>
  <c r="CD746" i="3" s="1"/>
  <c r="AI746" i="3"/>
  <c r="CC746" i="3" s="1"/>
  <c r="AH746" i="3"/>
  <c r="CB746" i="3" s="1"/>
  <c r="AG746" i="3"/>
  <c r="CA746" i="3" s="1"/>
  <c r="AF746" i="3"/>
  <c r="BZ746" i="3" s="1"/>
  <c r="AE746" i="3"/>
  <c r="BY746" i="3" s="1"/>
  <c r="AD746" i="3"/>
  <c r="BX746" i="3" s="1"/>
  <c r="AC746" i="3"/>
  <c r="BW746" i="3" s="1"/>
  <c r="AB746" i="3"/>
  <c r="BV746" i="3" s="1"/>
  <c r="AA746" i="3"/>
  <c r="N746" i="3"/>
  <c r="BT745" i="3"/>
  <c r="AY745" i="3"/>
  <c r="AX745" i="3"/>
  <c r="AM745" i="3"/>
  <c r="CG745" i="3" s="1"/>
  <c r="AL745" i="3"/>
  <c r="CF745" i="3" s="1"/>
  <c r="AK745" i="3"/>
  <c r="CE745" i="3" s="1"/>
  <c r="AJ745" i="3"/>
  <c r="CD745" i="3" s="1"/>
  <c r="AI745" i="3"/>
  <c r="CC745" i="3" s="1"/>
  <c r="AH745" i="3"/>
  <c r="CB745" i="3" s="1"/>
  <c r="AG745" i="3"/>
  <c r="CA745" i="3" s="1"/>
  <c r="AF745" i="3"/>
  <c r="BZ745" i="3" s="1"/>
  <c r="AE745" i="3"/>
  <c r="BY745" i="3" s="1"/>
  <c r="AD745" i="3"/>
  <c r="BX745" i="3" s="1"/>
  <c r="AC745" i="3"/>
  <c r="BW745" i="3" s="1"/>
  <c r="AB745" i="3"/>
  <c r="BV745" i="3" s="1"/>
  <c r="AA745" i="3"/>
  <c r="N745" i="3"/>
  <c r="BO744" i="3"/>
  <c r="BN744" i="3"/>
  <c r="BM744" i="3"/>
  <c r="BK744" i="3"/>
  <c r="BJ744" i="3"/>
  <c r="BI744" i="3"/>
  <c r="BH744" i="3"/>
  <c r="AY744" i="3"/>
  <c r="AX744" i="3"/>
  <c r="AM744" i="3"/>
  <c r="CG744" i="3" s="1"/>
  <c r="AL744" i="3"/>
  <c r="CF744" i="3" s="1"/>
  <c r="AK744" i="3"/>
  <c r="CE744" i="3" s="1"/>
  <c r="AJ744" i="3"/>
  <c r="CD744" i="3" s="1"/>
  <c r="AI744" i="3"/>
  <c r="AH744" i="3"/>
  <c r="AG744" i="3"/>
  <c r="AF744" i="3"/>
  <c r="BZ744" i="3" s="1"/>
  <c r="AE744" i="3"/>
  <c r="AD744" i="3"/>
  <c r="AC744" i="3"/>
  <c r="AB744" i="3"/>
  <c r="AA744" i="3"/>
  <c r="N744" i="3"/>
  <c r="BO743" i="3"/>
  <c r="BN743" i="3"/>
  <c r="BM743" i="3"/>
  <c r="BL743" i="3"/>
  <c r="BK743" i="3"/>
  <c r="BJ743" i="3"/>
  <c r="BI743" i="3"/>
  <c r="BH743" i="3"/>
  <c r="AY743" i="3"/>
  <c r="AX743" i="3"/>
  <c r="AM743" i="3"/>
  <c r="CG743" i="3" s="1"/>
  <c r="AL743" i="3"/>
  <c r="CF743" i="3" s="1"/>
  <c r="AK743" i="3"/>
  <c r="CE743" i="3" s="1"/>
  <c r="AJ743" i="3"/>
  <c r="CD743" i="3" s="1"/>
  <c r="AI743" i="3"/>
  <c r="AH743" i="3"/>
  <c r="AG743" i="3"/>
  <c r="AF743" i="3"/>
  <c r="AE743" i="3"/>
  <c r="AD743" i="3"/>
  <c r="AC743" i="3"/>
  <c r="AB743" i="3"/>
  <c r="AA743" i="3"/>
  <c r="N743" i="3"/>
  <c r="BO742" i="3"/>
  <c r="BN742" i="3"/>
  <c r="BM742" i="3"/>
  <c r="BK742" i="3"/>
  <c r="BJ742" i="3"/>
  <c r="BI742" i="3"/>
  <c r="BH742" i="3"/>
  <c r="AY742" i="3"/>
  <c r="AX742" i="3"/>
  <c r="AM742" i="3"/>
  <c r="CG742" i="3" s="1"/>
  <c r="AL742" i="3"/>
  <c r="CF742" i="3" s="1"/>
  <c r="AK742" i="3"/>
  <c r="CE742" i="3" s="1"/>
  <c r="AJ742" i="3"/>
  <c r="CD742" i="3" s="1"/>
  <c r="AI742" i="3"/>
  <c r="AH742" i="3"/>
  <c r="AG742" i="3"/>
  <c r="AF742" i="3"/>
  <c r="BZ742" i="3" s="1"/>
  <c r="AE742" i="3"/>
  <c r="AD742" i="3"/>
  <c r="AC742" i="3"/>
  <c r="AB742" i="3"/>
  <c r="AA742" i="3"/>
  <c r="N742" i="3"/>
  <c r="BO741" i="3"/>
  <c r="BN741" i="3"/>
  <c r="BM741" i="3"/>
  <c r="BK741" i="3"/>
  <c r="BJ741" i="3"/>
  <c r="BI741" i="3"/>
  <c r="BH741" i="3"/>
  <c r="AY741" i="3"/>
  <c r="AX741" i="3"/>
  <c r="AM741" i="3"/>
  <c r="CG741" i="3" s="1"/>
  <c r="AL741" i="3"/>
  <c r="CF741" i="3" s="1"/>
  <c r="AK741" i="3"/>
  <c r="CE741" i="3" s="1"/>
  <c r="AJ741" i="3"/>
  <c r="CD741" i="3" s="1"/>
  <c r="AI741" i="3"/>
  <c r="AH741" i="3"/>
  <c r="AG741" i="3"/>
  <c r="AF741" i="3"/>
  <c r="BZ741" i="3" s="1"/>
  <c r="AE741" i="3"/>
  <c r="AD741" i="3"/>
  <c r="AC741" i="3"/>
  <c r="AB741" i="3"/>
  <c r="AA741" i="3"/>
  <c r="N741" i="3"/>
  <c r="BT740" i="3"/>
  <c r="AY740" i="3"/>
  <c r="AX740" i="3"/>
  <c r="AM740" i="3"/>
  <c r="CG740" i="3" s="1"/>
  <c r="AL740" i="3"/>
  <c r="CF740" i="3" s="1"/>
  <c r="AK740" i="3"/>
  <c r="CE740" i="3" s="1"/>
  <c r="AJ740" i="3"/>
  <c r="CD740" i="3" s="1"/>
  <c r="AI740" i="3"/>
  <c r="CC740" i="3" s="1"/>
  <c r="AH740" i="3"/>
  <c r="CB740" i="3" s="1"/>
  <c r="AG740" i="3"/>
  <c r="CA740" i="3" s="1"/>
  <c r="AF740" i="3"/>
  <c r="BZ740" i="3" s="1"/>
  <c r="AE740" i="3"/>
  <c r="BY740" i="3" s="1"/>
  <c r="AD740" i="3"/>
  <c r="BX740" i="3" s="1"/>
  <c r="AC740" i="3"/>
  <c r="BW740" i="3" s="1"/>
  <c r="AB740" i="3"/>
  <c r="BV740" i="3" s="1"/>
  <c r="AA740" i="3"/>
  <c r="N740" i="3"/>
  <c r="BT739" i="3"/>
  <c r="AY739" i="3"/>
  <c r="AX739" i="3"/>
  <c r="AM739" i="3"/>
  <c r="CG739" i="3" s="1"/>
  <c r="AL739" i="3"/>
  <c r="CF739" i="3" s="1"/>
  <c r="AK739" i="3"/>
  <c r="CE739" i="3" s="1"/>
  <c r="AJ739" i="3"/>
  <c r="CD739" i="3" s="1"/>
  <c r="AI739" i="3"/>
  <c r="CC739" i="3" s="1"/>
  <c r="AH739" i="3"/>
  <c r="CB739" i="3" s="1"/>
  <c r="AG739" i="3"/>
  <c r="CA739" i="3" s="1"/>
  <c r="AF739" i="3"/>
  <c r="BZ739" i="3" s="1"/>
  <c r="AE739" i="3"/>
  <c r="BY739" i="3" s="1"/>
  <c r="AD739" i="3"/>
  <c r="BX739" i="3" s="1"/>
  <c r="AC739" i="3"/>
  <c r="BW739" i="3" s="1"/>
  <c r="AB739" i="3"/>
  <c r="BV739" i="3" s="1"/>
  <c r="AA739" i="3"/>
  <c r="N739" i="3"/>
  <c r="BT738" i="3"/>
  <c r="AY738" i="3"/>
  <c r="AX738" i="3"/>
  <c r="AM738" i="3"/>
  <c r="CG738" i="3" s="1"/>
  <c r="AL738" i="3"/>
  <c r="CF738" i="3" s="1"/>
  <c r="AK738" i="3"/>
  <c r="CE738" i="3" s="1"/>
  <c r="AJ738" i="3"/>
  <c r="CD738" i="3" s="1"/>
  <c r="AI738" i="3"/>
  <c r="CC738" i="3" s="1"/>
  <c r="AH738" i="3"/>
  <c r="CB738" i="3" s="1"/>
  <c r="AG738" i="3"/>
  <c r="CA738" i="3" s="1"/>
  <c r="AF738" i="3"/>
  <c r="BZ738" i="3" s="1"/>
  <c r="AE738" i="3"/>
  <c r="BY738" i="3" s="1"/>
  <c r="AD738" i="3"/>
  <c r="BX738" i="3" s="1"/>
  <c r="AC738" i="3"/>
  <c r="BW738" i="3" s="1"/>
  <c r="AB738" i="3"/>
  <c r="BV738" i="3" s="1"/>
  <c r="AA738" i="3"/>
  <c r="N738" i="3"/>
  <c r="BT737" i="3"/>
  <c r="AY737" i="3"/>
  <c r="AX737" i="3"/>
  <c r="AM737" i="3"/>
  <c r="CG737" i="3" s="1"/>
  <c r="AL737" i="3"/>
  <c r="CF737" i="3" s="1"/>
  <c r="AK737" i="3"/>
  <c r="CE737" i="3" s="1"/>
  <c r="AJ737" i="3"/>
  <c r="CD737" i="3" s="1"/>
  <c r="AI737" i="3"/>
  <c r="CC737" i="3" s="1"/>
  <c r="AH737" i="3"/>
  <c r="CB737" i="3" s="1"/>
  <c r="AG737" i="3"/>
  <c r="CA737" i="3" s="1"/>
  <c r="AF737" i="3"/>
  <c r="BZ737" i="3" s="1"/>
  <c r="AE737" i="3"/>
  <c r="BY737" i="3" s="1"/>
  <c r="AD737" i="3"/>
  <c r="BX737" i="3" s="1"/>
  <c r="AC737" i="3"/>
  <c r="BW737" i="3" s="1"/>
  <c r="AB737" i="3"/>
  <c r="BV737" i="3" s="1"/>
  <c r="AA737" i="3"/>
  <c r="N737" i="3"/>
  <c r="BO736" i="3"/>
  <c r="BN736" i="3"/>
  <c r="BM736" i="3"/>
  <c r="BL736" i="3"/>
  <c r="BK736" i="3"/>
  <c r="BJ736" i="3"/>
  <c r="BI736" i="3"/>
  <c r="BH736" i="3"/>
  <c r="AY736" i="3"/>
  <c r="AX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N736" i="3"/>
  <c r="BO735" i="3"/>
  <c r="BN735" i="3"/>
  <c r="BM735" i="3"/>
  <c r="BL735" i="3"/>
  <c r="BK735" i="3"/>
  <c r="BJ735" i="3"/>
  <c r="BI735" i="3"/>
  <c r="BH735" i="3"/>
  <c r="AY735" i="3"/>
  <c r="AX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N735" i="3"/>
  <c r="BO734" i="3"/>
  <c r="BN734" i="3"/>
  <c r="BM734" i="3"/>
  <c r="BL734" i="3"/>
  <c r="BK734" i="3"/>
  <c r="BJ734" i="3"/>
  <c r="BI734" i="3"/>
  <c r="BH734" i="3"/>
  <c r="AY734" i="3"/>
  <c r="AX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N734" i="3"/>
  <c r="BO733" i="3"/>
  <c r="BN733" i="3"/>
  <c r="BM733" i="3"/>
  <c r="BL733" i="3"/>
  <c r="BK733" i="3"/>
  <c r="BJ733" i="3"/>
  <c r="BI733" i="3"/>
  <c r="BH733" i="3"/>
  <c r="AY733" i="3"/>
  <c r="AX733" i="3"/>
  <c r="AM733" i="3"/>
  <c r="CG733" i="3" s="1"/>
  <c r="AL733" i="3"/>
  <c r="CF733" i="3" s="1"/>
  <c r="AK733" i="3"/>
  <c r="CE733" i="3" s="1"/>
  <c r="AJ733" i="3"/>
  <c r="CD733" i="3" s="1"/>
  <c r="AI733" i="3"/>
  <c r="AH733" i="3"/>
  <c r="AG733" i="3"/>
  <c r="AF733" i="3"/>
  <c r="AE733" i="3"/>
  <c r="AD733" i="3"/>
  <c r="AC733" i="3"/>
  <c r="AB733" i="3"/>
  <c r="AA733" i="3"/>
  <c r="N733" i="3"/>
  <c r="BO732" i="3"/>
  <c r="BN732" i="3"/>
  <c r="BM732" i="3"/>
  <c r="BL732" i="3"/>
  <c r="BK732" i="3"/>
  <c r="BJ732" i="3"/>
  <c r="BI732" i="3"/>
  <c r="BH732" i="3"/>
  <c r="AY732" i="3"/>
  <c r="AX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N732" i="3"/>
  <c r="BO731" i="3"/>
  <c r="BN731" i="3"/>
  <c r="BM731" i="3"/>
  <c r="BL731" i="3"/>
  <c r="BK731" i="3"/>
  <c r="BJ731" i="3"/>
  <c r="BI731" i="3"/>
  <c r="BH731" i="3"/>
  <c r="AY731" i="3"/>
  <c r="AX731" i="3"/>
  <c r="AM731" i="3"/>
  <c r="CG731" i="3" s="1"/>
  <c r="AL731" i="3"/>
  <c r="CF731" i="3" s="1"/>
  <c r="AK731" i="3"/>
  <c r="CE731" i="3" s="1"/>
  <c r="AJ731" i="3"/>
  <c r="CD731" i="3" s="1"/>
  <c r="AI731" i="3"/>
  <c r="AH731" i="3"/>
  <c r="AG731" i="3"/>
  <c r="AF731" i="3"/>
  <c r="AE731" i="3"/>
  <c r="AD731" i="3"/>
  <c r="AC731" i="3"/>
  <c r="AB731" i="3"/>
  <c r="AA731" i="3"/>
  <c r="N731" i="3"/>
  <c r="BO730" i="3"/>
  <c r="BN730" i="3"/>
  <c r="BM730" i="3"/>
  <c r="BL730" i="3"/>
  <c r="BK730" i="3"/>
  <c r="BJ730" i="3"/>
  <c r="BI730" i="3"/>
  <c r="BH730" i="3"/>
  <c r="AY730" i="3"/>
  <c r="AX730" i="3"/>
  <c r="AM730" i="3"/>
  <c r="CG730" i="3" s="1"/>
  <c r="AL730" i="3"/>
  <c r="CF730" i="3" s="1"/>
  <c r="AK730" i="3"/>
  <c r="CE730" i="3" s="1"/>
  <c r="AJ730" i="3"/>
  <c r="CD730" i="3" s="1"/>
  <c r="AI730" i="3"/>
  <c r="AH730" i="3"/>
  <c r="AG730" i="3"/>
  <c r="AF730" i="3"/>
  <c r="AE730" i="3"/>
  <c r="AD730" i="3"/>
  <c r="AC730" i="3"/>
  <c r="AB730" i="3"/>
  <c r="AA730" i="3"/>
  <c r="N730" i="3"/>
  <c r="CJ729" i="3"/>
  <c r="CK729" i="3" s="1"/>
  <c r="BO729" i="3"/>
  <c r="BN729" i="3"/>
  <c r="BM729" i="3"/>
  <c r="BL729" i="3"/>
  <c r="BK729" i="3"/>
  <c r="BJ729" i="3"/>
  <c r="BI729" i="3"/>
  <c r="BH729" i="3"/>
  <c r="AY729" i="3"/>
  <c r="AX729" i="3"/>
  <c r="AM729" i="3"/>
  <c r="CG729" i="3" s="1"/>
  <c r="AL729" i="3"/>
  <c r="CF729" i="3" s="1"/>
  <c r="AK729" i="3"/>
  <c r="CE729" i="3" s="1"/>
  <c r="AJ729" i="3"/>
  <c r="CD729" i="3" s="1"/>
  <c r="AI729" i="3"/>
  <c r="AH729" i="3"/>
  <c r="AG729" i="3"/>
  <c r="AF729" i="3"/>
  <c r="AE729" i="3"/>
  <c r="AD729" i="3"/>
  <c r="AC729" i="3"/>
  <c r="AB729" i="3"/>
  <c r="AA729" i="3"/>
  <c r="N729" i="3"/>
  <c r="BO728" i="3"/>
  <c r="BN728" i="3"/>
  <c r="BM728" i="3"/>
  <c r="BK728" i="3"/>
  <c r="BI728" i="3"/>
  <c r="BH728" i="3"/>
  <c r="AY728" i="3"/>
  <c r="AX728" i="3"/>
  <c r="AM728" i="3"/>
  <c r="CG728" i="3" s="1"/>
  <c r="AL728" i="3"/>
  <c r="CF728" i="3" s="1"/>
  <c r="AK728" i="3"/>
  <c r="CE728" i="3" s="1"/>
  <c r="AJ728" i="3"/>
  <c r="CD728" i="3" s="1"/>
  <c r="AI728" i="3"/>
  <c r="AH728" i="3"/>
  <c r="AG728" i="3"/>
  <c r="AF728" i="3"/>
  <c r="BZ728" i="3" s="1"/>
  <c r="AE728" i="3"/>
  <c r="AD728" i="3"/>
  <c r="BX728" i="3" s="1"/>
  <c r="AC728" i="3"/>
  <c r="AB728" i="3"/>
  <c r="AA728" i="3"/>
  <c r="N728" i="3"/>
  <c r="BO727" i="3"/>
  <c r="BN727" i="3"/>
  <c r="BM727" i="3"/>
  <c r="BL727" i="3"/>
  <c r="BK727" i="3"/>
  <c r="BJ727" i="3"/>
  <c r="BI727" i="3"/>
  <c r="BH727" i="3"/>
  <c r="AY727" i="3"/>
  <c r="AX727" i="3"/>
  <c r="AM727" i="3"/>
  <c r="CG727" i="3" s="1"/>
  <c r="AL727" i="3"/>
  <c r="CF727" i="3" s="1"/>
  <c r="AK727" i="3"/>
  <c r="CE727" i="3" s="1"/>
  <c r="AJ727" i="3"/>
  <c r="CD727" i="3" s="1"/>
  <c r="AI727" i="3"/>
  <c r="AH727" i="3"/>
  <c r="AG727" i="3"/>
  <c r="AF727" i="3"/>
  <c r="AE727" i="3"/>
  <c r="AD727" i="3"/>
  <c r="AC727" i="3"/>
  <c r="AB727" i="3"/>
  <c r="AA727" i="3"/>
  <c r="N727" i="3"/>
  <c r="BO726" i="3"/>
  <c r="BN726" i="3"/>
  <c r="BM726" i="3"/>
  <c r="BL726" i="3"/>
  <c r="BK726" i="3"/>
  <c r="BJ726" i="3"/>
  <c r="BI726" i="3"/>
  <c r="BH726" i="3"/>
  <c r="AY726" i="3"/>
  <c r="AX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N726" i="3"/>
  <c r="BO725" i="3"/>
  <c r="BN725" i="3"/>
  <c r="BM725" i="3"/>
  <c r="BL725" i="3"/>
  <c r="BK725" i="3"/>
  <c r="BJ725" i="3"/>
  <c r="BI725" i="3"/>
  <c r="BH725" i="3"/>
  <c r="AY725" i="3"/>
  <c r="AX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N725" i="3"/>
  <c r="BO724" i="3"/>
  <c r="BN724" i="3"/>
  <c r="BM724" i="3"/>
  <c r="BL724" i="3"/>
  <c r="BK724" i="3"/>
  <c r="BJ724" i="3"/>
  <c r="BI724" i="3"/>
  <c r="BH724" i="3"/>
  <c r="AY724" i="3"/>
  <c r="AX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N724" i="3"/>
  <c r="BO723" i="3"/>
  <c r="BN723" i="3"/>
  <c r="BM723" i="3"/>
  <c r="BK723" i="3"/>
  <c r="BJ723" i="3"/>
  <c r="BI723" i="3"/>
  <c r="BH723" i="3"/>
  <c r="AY723" i="3"/>
  <c r="AX723" i="3"/>
  <c r="AM723" i="3"/>
  <c r="CG723" i="3" s="1"/>
  <c r="AL723" i="3"/>
  <c r="CF723" i="3" s="1"/>
  <c r="AK723" i="3"/>
  <c r="CE723" i="3" s="1"/>
  <c r="AJ723" i="3"/>
  <c r="CD723" i="3" s="1"/>
  <c r="AI723" i="3"/>
  <c r="AH723" i="3"/>
  <c r="AG723" i="3"/>
  <c r="AF723" i="3"/>
  <c r="BZ723" i="3" s="1"/>
  <c r="AE723" i="3"/>
  <c r="AD723" i="3"/>
  <c r="AC723" i="3"/>
  <c r="AB723" i="3"/>
  <c r="AA723" i="3"/>
  <c r="N723" i="3"/>
  <c r="BO722" i="3"/>
  <c r="BN722" i="3"/>
  <c r="BM722" i="3"/>
  <c r="BK722" i="3"/>
  <c r="BJ722" i="3"/>
  <c r="BI722" i="3"/>
  <c r="BH722" i="3"/>
  <c r="AY722" i="3"/>
  <c r="AX722" i="3"/>
  <c r="AM722" i="3"/>
  <c r="CG722" i="3" s="1"/>
  <c r="AL722" i="3"/>
  <c r="CF722" i="3" s="1"/>
  <c r="AK722" i="3"/>
  <c r="CE722" i="3" s="1"/>
  <c r="AJ722" i="3"/>
  <c r="CD722" i="3" s="1"/>
  <c r="AI722" i="3"/>
  <c r="AH722" i="3"/>
  <c r="AG722" i="3"/>
  <c r="AF722" i="3"/>
  <c r="BZ722" i="3" s="1"/>
  <c r="AE722" i="3"/>
  <c r="AD722" i="3"/>
  <c r="AC722" i="3"/>
  <c r="AB722" i="3"/>
  <c r="AA722" i="3"/>
  <c r="N722" i="3"/>
  <c r="BO721" i="3"/>
  <c r="BN721" i="3"/>
  <c r="BM721" i="3"/>
  <c r="BK721" i="3"/>
  <c r="BI721" i="3"/>
  <c r="BH721" i="3"/>
  <c r="AY721" i="3"/>
  <c r="AX721" i="3"/>
  <c r="AM721" i="3"/>
  <c r="CG721" i="3" s="1"/>
  <c r="AL721" i="3"/>
  <c r="CF721" i="3" s="1"/>
  <c r="AK721" i="3"/>
  <c r="CE721" i="3" s="1"/>
  <c r="AJ721" i="3"/>
  <c r="AI721" i="3"/>
  <c r="AH721" i="3"/>
  <c r="AG721" i="3"/>
  <c r="AF721" i="3"/>
  <c r="BZ721" i="3" s="1"/>
  <c r="AE721" i="3"/>
  <c r="AD721" i="3"/>
  <c r="BX721" i="3" s="1"/>
  <c r="AC721" i="3"/>
  <c r="AB721" i="3"/>
  <c r="AA721" i="3"/>
  <c r="N721" i="3"/>
  <c r="BO720" i="3"/>
  <c r="BN720" i="3"/>
  <c r="BM720" i="3"/>
  <c r="BL720" i="3"/>
  <c r="BK720" i="3"/>
  <c r="BJ720" i="3"/>
  <c r="BI720" i="3"/>
  <c r="BH720" i="3"/>
  <c r="AY720" i="3"/>
  <c r="AX720" i="3"/>
  <c r="AM720" i="3"/>
  <c r="CG720" i="3" s="1"/>
  <c r="AL720" i="3"/>
  <c r="CF720" i="3" s="1"/>
  <c r="AK720" i="3"/>
  <c r="CE720" i="3" s="1"/>
  <c r="AJ720" i="3"/>
  <c r="CD720" i="3" s="1"/>
  <c r="AI720" i="3"/>
  <c r="AH720" i="3"/>
  <c r="AG720" i="3"/>
  <c r="AF720" i="3"/>
  <c r="AE720" i="3"/>
  <c r="AD720" i="3"/>
  <c r="AC720" i="3"/>
  <c r="AB720" i="3"/>
  <c r="AA720" i="3"/>
  <c r="N720" i="3"/>
  <c r="BO719" i="3"/>
  <c r="BN719" i="3"/>
  <c r="BM719" i="3"/>
  <c r="BL719" i="3"/>
  <c r="BK719" i="3"/>
  <c r="BJ719" i="3"/>
  <c r="BI719" i="3"/>
  <c r="BH719" i="3"/>
  <c r="AY719" i="3"/>
  <c r="AX719" i="3"/>
  <c r="AM719" i="3"/>
  <c r="CG719" i="3" s="1"/>
  <c r="AL719" i="3"/>
  <c r="CF719" i="3" s="1"/>
  <c r="AK719" i="3"/>
  <c r="CE719" i="3" s="1"/>
  <c r="AJ719" i="3"/>
  <c r="CD719" i="3" s="1"/>
  <c r="AI719" i="3"/>
  <c r="AH719" i="3"/>
  <c r="AG719" i="3"/>
  <c r="AF719" i="3"/>
  <c r="AE719" i="3"/>
  <c r="AD719" i="3"/>
  <c r="AC719" i="3"/>
  <c r="AB719" i="3"/>
  <c r="AA719" i="3"/>
  <c r="N719" i="3"/>
  <c r="BO718" i="3"/>
  <c r="BN718" i="3"/>
  <c r="BM718" i="3"/>
  <c r="BL718" i="3"/>
  <c r="BK718" i="3"/>
  <c r="BJ718" i="3"/>
  <c r="BI718" i="3"/>
  <c r="BH718" i="3"/>
  <c r="AY718" i="3"/>
  <c r="AX718" i="3"/>
  <c r="AM718" i="3"/>
  <c r="CG718" i="3" s="1"/>
  <c r="AL718" i="3"/>
  <c r="CF718" i="3" s="1"/>
  <c r="AK718" i="3"/>
  <c r="CE718" i="3" s="1"/>
  <c r="AJ718" i="3"/>
  <c r="CD718" i="3" s="1"/>
  <c r="AI718" i="3"/>
  <c r="AH718" i="3"/>
  <c r="AG718" i="3"/>
  <c r="AF718" i="3"/>
  <c r="AE718" i="3"/>
  <c r="AD718" i="3"/>
  <c r="AC718" i="3"/>
  <c r="AB718" i="3"/>
  <c r="AA718" i="3"/>
  <c r="N718" i="3"/>
  <c r="BO717" i="3"/>
  <c r="BN717" i="3"/>
  <c r="BM717" i="3"/>
  <c r="BL717" i="3"/>
  <c r="BK717" i="3"/>
  <c r="BJ717" i="3"/>
  <c r="BI717" i="3"/>
  <c r="BH717" i="3"/>
  <c r="AY717" i="3"/>
  <c r="AX717" i="3"/>
  <c r="AM717" i="3"/>
  <c r="CG717" i="3" s="1"/>
  <c r="AL717" i="3"/>
  <c r="CF717" i="3" s="1"/>
  <c r="AK717" i="3"/>
  <c r="CE717" i="3" s="1"/>
  <c r="AJ717" i="3"/>
  <c r="CD717" i="3" s="1"/>
  <c r="AI717" i="3"/>
  <c r="AH717" i="3"/>
  <c r="AG717" i="3"/>
  <c r="AF717" i="3"/>
  <c r="AE717" i="3"/>
  <c r="AD717" i="3"/>
  <c r="AC717" i="3"/>
  <c r="AB717" i="3"/>
  <c r="AA717" i="3"/>
  <c r="N717" i="3"/>
  <c r="BO716" i="3"/>
  <c r="BN716" i="3"/>
  <c r="BM716" i="3"/>
  <c r="BL716" i="3"/>
  <c r="BK716" i="3"/>
  <c r="BJ716" i="3"/>
  <c r="BI716" i="3"/>
  <c r="BH716" i="3"/>
  <c r="AY716" i="3"/>
  <c r="AX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N716" i="3"/>
  <c r="BO715" i="3"/>
  <c r="BN715" i="3"/>
  <c r="BM715" i="3"/>
  <c r="BL715" i="3"/>
  <c r="BK715" i="3"/>
  <c r="BJ715" i="3"/>
  <c r="BI715" i="3"/>
  <c r="BH715" i="3"/>
  <c r="AY715" i="3"/>
  <c r="AX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N715" i="3"/>
  <c r="BO714" i="3"/>
  <c r="BN714" i="3"/>
  <c r="BM714" i="3"/>
  <c r="BL714" i="3"/>
  <c r="BK714" i="3"/>
  <c r="BJ714" i="3"/>
  <c r="BI714" i="3"/>
  <c r="BH714" i="3"/>
  <c r="AY714" i="3"/>
  <c r="AX714" i="3"/>
  <c r="AM714" i="3"/>
  <c r="CG714" i="3" s="1"/>
  <c r="AL714" i="3"/>
  <c r="CF714" i="3" s="1"/>
  <c r="AK714" i="3"/>
  <c r="CE714" i="3" s="1"/>
  <c r="AJ714" i="3"/>
  <c r="CD714" i="3" s="1"/>
  <c r="AI714" i="3"/>
  <c r="AH714" i="3"/>
  <c r="AG714" i="3"/>
  <c r="AF714" i="3"/>
  <c r="AE714" i="3"/>
  <c r="AD714" i="3"/>
  <c r="AC714" i="3"/>
  <c r="AB714" i="3"/>
  <c r="AA714" i="3"/>
  <c r="N714" i="3"/>
  <c r="BO713" i="3"/>
  <c r="BN713" i="3"/>
  <c r="BM713" i="3"/>
  <c r="BL713" i="3"/>
  <c r="BK713" i="3"/>
  <c r="BI713" i="3"/>
  <c r="BH713" i="3"/>
  <c r="AY713" i="3"/>
  <c r="AX713" i="3"/>
  <c r="AM713" i="3"/>
  <c r="CG713" i="3" s="1"/>
  <c r="AL713" i="3"/>
  <c r="CF713" i="3" s="1"/>
  <c r="AK713" i="3"/>
  <c r="CE713" i="3" s="1"/>
  <c r="AJ713" i="3"/>
  <c r="CD713" i="3" s="1"/>
  <c r="AI713" i="3"/>
  <c r="AH713" i="3"/>
  <c r="AG713" i="3"/>
  <c r="AF713" i="3"/>
  <c r="AE713" i="3"/>
  <c r="AD713" i="3"/>
  <c r="BX713" i="3" s="1"/>
  <c r="AC713" i="3"/>
  <c r="AB713" i="3"/>
  <c r="AA713" i="3"/>
  <c r="N713" i="3"/>
  <c r="BO712" i="3"/>
  <c r="BN712" i="3"/>
  <c r="BM712" i="3"/>
  <c r="BL712" i="3"/>
  <c r="BK712" i="3"/>
  <c r="BJ712" i="3"/>
  <c r="BI712" i="3"/>
  <c r="BH712" i="3"/>
  <c r="AY712" i="3"/>
  <c r="AX712" i="3"/>
  <c r="AL712" i="3"/>
  <c r="CF712" i="3" s="1"/>
  <c r="AK712" i="3"/>
  <c r="BQ712" i="3" s="1"/>
  <c r="CE712" i="3" s="1"/>
  <c r="AJ712" i="3"/>
  <c r="BP712" i="3" s="1"/>
  <c r="CD712" i="3" s="1"/>
  <c r="AH712" i="3"/>
  <c r="AG712" i="3"/>
  <c r="AF712" i="3"/>
  <c r="AD712" i="3"/>
  <c r="AC712" i="3"/>
  <c r="AB712" i="3"/>
  <c r="AA712" i="3"/>
  <c r="M712" i="3"/>
  <c r="AM712" i="3" s="1"/>
  <c r="I712" i="3"/>
  <c r="AI712" i="3" s="1"/>
  <c r="E712" i="3"/>
  <c r="CG711" i="3"/>
  <c r="CF711" i="3"/>
  <c r="CE711" i="3"/>
  <c r="CD711" i="3"/>
  <c r="BO711" i="3"/>
  <c r="CC711" i="3" s="1"/>
  <c r="BN711" i="3"/>
  <c r="CB711" i="3" s="1"/>
  <c r="BM711" i="3"/>
  <c r="CA711" i="3" s="1"/>
  <c r="BL711" i="3"/>
  <c r="BZ711" i="3" s="1"/>
  <c r="BK711" i="3"/>
  <c r="BY711" i="3" s="1"/>
  <c r="BJ711" i="3"/>
  <c r="BX711" i="3" s="1"/>
  <c r="BI711" i="3"/>
  <c r="BW711" i="3" s="1"/>
  <c r="BH711" i="3"/>
  <c r="AY711" i="3"/>
  <c r="AX711" i="3"/>
  <c r="AN711" i="3"/>
  <c r="BO710" i="3"/>
  <c r="BN710" i="3"/>
  <c r="BM710" i="3"/>
  <c r="BK710" i="3"/>
  <c r="BI710" i="3"/>
  <c r="BH710" i="3"/>
  <c r="AY710" i="3"/>
  <c r="AX710" i="3"/>
  <c r="AM710" i="3"/>
  <c r="CG710" i="3" s="1"/>
  <c r="AL710" i="3"/>
  <c r="CF710" i="3" s="1"/>
  <c r="AK710" i="3"/>
  <c r="CE710" i="3" s="1"/>
  <c r="AJ710" i="3"/>
  <c r="CD710" i="3" s="1"/>
  <c r="AI710" i="3"/>
  <c r="AH710" i="3"/>
  <c r="AG710" i="3"/>
  <c r="AF710" i="3"/>
  <c r="BZ710" i="3" s="1"/>
  <c r="AE710" i="3"/>
  <c r="AD710" i="3"/>
  <c r="BX710" i="3" s="1"/>
  <c r="AC710" i="3"/>
  <c r="AB710" i="3"/>
  <c r="AA710" i="3"/>
  <c r="N710" i="3"/>
  <c r="BO709" i="3"/>
  <c r="BN709" i="3"/>
  <c r="BM709" i="3"/>
  <c r="BL709" i="3"/>
  <c r="BK709" i="3"/>
  <c r="BJ709" i="3"/>
  <c r="BI709" i="3"/>
  <c r="BH709" i="3"/>
  <c r="AY709" i="3"/>
  <c r="AX709" i="3"/>
  <c r="AM709" i="3"/>
  <c r="CG709" i="3" s="1"/>
  <c r="AL709" i="3"/>
  <c r="CF709" i="3" s="1"/>
  <c r="AK709" i="3"/>
  <c r="CE709" i="3" s="1"/>
  <c r="AJ709" i="3"/>
  <c r="CD709" i="3" s="1"/>
  <c r="AI709" i="3"/>
  <c r="AH709" i="3"/>
  <c r="AG709" i="3"/>
  <c r="AF709" i="3"/>
  <c r="AE709" i="3"/>
  <c r="AD709" i="3"/>
  <c r="AC709" i="3"/>
  <c r="AB709" i="3"/>
  <c r="AA709" i="3"/>
  <c r="N709" i="3"/>
  <c r="BO708" i="3"/>
  <c r="BN708" i="3"/>
  <c r="BM708" i="3"/>
  <c r="BK708" i="3"/>
  <c r="BI708" i="3"/>
  <c r="BH708" i="3"/>
  <c r="AY708" i="3"/>
  <c r="AX708" i="3"/>
  <c r="AM708" i="3"/>
  <c r="CG708" i="3" s="1"/>
  <c r="AL708" i="3"/>
  <c r="CF708" i="3" s="1"/>
  <c r="AK708" i="3"/>
  <c r="CE708" i="3" s="1"/>
  <c r="AJ708" i="3"/>
  <c r="CD708" i="3" s="1"/>
  <c r="AI708" i="3"/>
  <c r="AH708" i="3"/>
  <c r="AG708" i="3"/>
  <c r="AF708" i="3"/>
  <c r="BZ708" i="3" s="1"/>
  <c r="AE708" i="3"/>
  <c r="AD708" i="3"/>
  <c r="BX708" i="3" s="1"/>
  <c r="AC708" i="3"/>
  <c r="AB708" i="3"/>
  <c r="AA708" i="3"/>
  <c r="N708" i="3"/>
  <c r="BO707" i="3"/>
  <c r="BN707" i="3"/>
  <c r="BM707" i="3"/>
  <c r="BL707" i="3"/>
  <c r="BJ707" i="3"/>
  <c r="BI707" i="3"/>
  <c r="BH707" i="3"/>
  <c r="AY707" i="3"/>
  <c r="AX707" i="3"/>
  <c r="AM707" i="3"/>
  <c r="CG707" i="3" s="1"/>
  <c r="AL707" i="3"/>
  <c r="CF707" i="3" s="1"/>
  <c r="AK707" i="3"/>
  <c r="CE707" i="3" s="1"/>
  <c r="AJ707" i="3"/>
  <c r="CD707" i="3" s="1"/>
  <c r="AI707" i="3"/>
  <c r="AH707" i="3"/>
  <c r="AG707" i="3"/>
  <c r="AF707" i="3"/>
  <c r="AE707" i="3"/>
  <c r="BY707" i="3" s="1"/>
  <c r="AD707" i="3"/>
  <c r="AC707" i="3"/>
  <c r="AB707" i="3"/>
  <c r="AA707" i="3"/>
  <c r="N707" i="3"/>
  <c r="BO706" i="3"/>
  <c r="BN706" i="3"/>
  <c r="BM706" i="3"/>
  <c r="BL706" i="3"/>
  <c r="BK706" i="3"/>
  <c r="BJ706" i="3"/>
  <c r="BI706" i="3"/>
  <c r="BH706" i="3"/>
  <c r="AY706" i="3"/>
  <c r="AX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N706" i="3"/>
  <c r="BO705" i="3"/>
  <c r="BN705" i="3"/>
  <c r="BM705" i="3"/>
  <c r="BL705" i="3"/>
  <c r="BK705" i="3"/>
  <c r="BJ705" i="3"/>
  <c r="BI705" i="3"/>
  <c r="BH705" i="3"/>
  <c r="AY705" i="3"/>
  <c r="AX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N705" i="3"/>
  <c r="BO704" i="3"/>
  <c r="BN704" i="3"/>
  <c r="BM704" i="3"/>
  <c r="BL704" i="3"/>
  <c r="BK704" i="3"/>
  <c r="BJ704" i="3"/>
  <c r="BI704" i="3"/>
  <c r="BH704" i="3"/>
  <c r="AY704" i="3"/>
  <c r="AX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N704" i="3"/>
  <c r="BO703" i="3"/>
  <c r="AY703" i="3"/>
  <c r="AX703" i="3"/>
  <c r="BO702" i="3"/>
  <c r="BN702" i="3"/>
  <c r="BM702" i="3"/>
  <c r="BK702" i="3"/>
  <c r="BJ702" i="3"/>
  <c r="BI702" i="3"/>
  <c r="BH702" i="3"/>
  <c r="AY702" i="3"/>
  <c r="AX702" i="3"/>
  <c r="AM702" i="3"/>
  <c r="CG702" i="3" s="1"/>
  <c r="AL702" i="3"/>
  <c r="CF702" i="3" s="1"/>
  <c r="AK702" i="3"/>
  <c r="CE702" i="3" s="1"/>
  <c r="AJ702" i="3"/>
  <c r="CD702" i="3" s="1"/>
  <c r="AI702" i="3"/>
  <c r="AH702" i="3"/>
  <c r="AG702" i="3"/>
  <c r="AF702" i="3"/>
  <c r="BZ702" i="3" s="1"/>
  <c r="AE702" i="3"/>
  <c r="AD702" i="3"/>
  <c r="AC702" i="3"/>
  <c r="AB702" i="3"/>
  <c r="AA702" i="3"/>
  <c r="N702" i="3"/>
  <c r="BO701" i="3"/>
  <c r="BN701" i="3"/>
  <c r="BM701" i="3"/>
  <c r="BK701" i="3"/>
  <c r="BI701" i="3"/>
  <c r="BH701" i="3"/>
  <c r="AY701" i="3"/>
  <c r="AX701" i="3"/>
  <c r="AM701" i="3"/>
  <c r="CG701" i="3" s="1"/>
  <c r="AL701" i="3"/>
  <c r="CF701" i="3" s="1"/>
  <c r="AK701" i="3"/>
  <c r="CE701" i="3" s="1"/>
  <c r="AJ701" i="3"/>
  <c r="AI701" i="3"/>
  <c r="AH701" i="3"/>
  <c r="AG701" i="3"/>
  <c r="AF701" i="3"/>
  <c r="BZ701" i="3" s="1"/>
  <c r="AE701" i="3"/>
  <c r="AD701" i="3"/>
  <c r="BX701" i="3" s="1"/>
  <c r="AC701" i="3"/>
  <c r="AB701" i="3"/>
  <c r="AA701" i="3"/>
  <c r="N701" i="3"/>
  <c r="BO700" i="3"/>
  <c r="BN700" i="3"/>
  <c r="BM700" i="3"/>
  <c r="BL700" i="3"/>
  <c r="BK700" i="3"/>
  <c r="BJ700" i="3"/>
  <c r="BI700" i="3"/>
  <c r="BH700" i="3"/>
  <c r="AY700" i="3"/>
  <c r="AX700" i="3"/>
  <c r="AM700" i="3"/>
  <c r="CG700" i="3" s="1"/>
  <c r="AL700" i="3"/>
  <c r="CF700" i="3" s="1"/>
  <c r="AK700" i="3"/>
  <c r="CE700" i="3" s="1"/>
  <c r="AJ700" i="3"/>
  <c r="CD700" i="3" s="1"/>
  <c r="AI700" i="3"/>
  <c r="AH700" i="3"/>
  <c r="AG700" i="3"/>
  <c r="AF700" i="3"/>
  <c r="AE700" i="3"/>
  <c r="AD700" i="3"/>
  <c r="AC700" i="3"/>
  <c r="AB700" i="3"/>
  <c r="AA700" i="3"/>
  <c r="N700" i="3"/>
  <c r="BO699" i="3"/>
  <c r="BN699" i="3"/>
  <c r="BM699" i="3"/>
  <c r="BL699" i="3"/>
  <c r="BK699" i="3"/>
  <c r="BJ699" i="3"/>
  <c r="BI699" i="3"/>
  <c r="BH699" i="3"/>
  <c r="AY699" i="3"/>
  <c r="AX699" i="3"/>
  <c r="AM699" i="3"/>
  <c r="CG699" i="3" s="1"/>
  <c r="AL699" i="3"/>
  <c r="CF699" i="3" s="1"/>
  <c r="AK699" i="3"/>
  <c r="CE699" i="3" s="1"/>
  <c r="AJ699" i="3"/>
  <c r="CD699" i="3" s="1"/>
  <c r="AI699" i="3"/>
  <c r="AH699" i="3"/>
  <c r="AG699" i="3"/>
  <c r="AF699" i="3"/>
  <c r="AE699" i="3"/>
  <c r="AD699" i="3"/>
  <c r="AC699" i="3"/>
  <c r="AB699" i="3"/>
  <c r="AA699" i="3"/>
  <c r="N699" i="3"/>
  <c r="AN699" i="3" s="1"/>
  <c r="BO698" i="3"/>
  <c r="BN698" i="3"/>
  <c r="BM698" i="3"/>
  <c r="BL698" i="3"/>
  <c r="BK698" i="3"/>
  <c r="BJ698" i="3"/>
  <c r="BI698" i="3"/>
  <c r="BH698" i="3"/>
  <c r="AY698" i="3"/>
  <c r="AX698" i="3"/>
  <c r="AM698" i="3"/>
  <c r="CG698" i="3" s="1"/>
  <c r="AL698" i="3"/>
  <c r="CF698" i="3" s="1"/>
  <c r="AK698" i="3"/>
  <c r="CE698" i="3" s="1"/>
  <c r="AJ698" i="3"/>
  <c r="CD698" i="3" s="1"/>
  <c r="AI698" i="3"/>
  <c r="AH698" i="3"/>
  <c r="AG698" i="3"/>
  <c r="AF698" i="3"/>
  <c r="AE698" i="3"/>
  <c r="AD698" i="3"/>
  <c r="AC698" i="3"/>
  <c r="AB698" i="3"/>
  <c r="AA698" i="3"/>
  <c r="N698" i="3"/>
  <c r="BO697" i="3"/>
  <c r="BN697" i="3"/>
  <c r="BM697" i="3"/>
  <c r="BL697" i="3"/>
  <c r="BK697" i="3"/>
  <c r="BJ697" i="3"/>
  <c r="BI697" i="3"/>
  <c r="BH697" i="3"/>
  <c r="AY697" i="3"/>
  <c r="AX697" i="3"/>
  <c r="AM697" i="3"/>
  <c r="CG697" i="3" s="1"/>
  <c r="AL697" i="3"/>
  <c r="CF697" i="3" s="1"/>
  <c r="AK697" i="3"/>
  <c r="CE697" i="3" s="1"/>
  <c r="AJ697" i="3"/>
  <c r="CD697" i="3" s="1"/>
  <c r="AI697" i="3"/>
  <c r="AH697" i="3"/>
  <c r="AG697" i="3"/>
  <c r="AF697" i="3"/>
  <c r="AE697" i="3"/>
  <c r="AD697" i="3"/>
  <c r="AC697" i="3"/>
  <c r="AB697" i="3"/>
  <c r="AA697" i="3"/>
  <c r="N697" i="3"/>
  <c r="BO696" i="3"/>
  <c r="BN696" i="3"/>
  <c r="BM696" i="3"/>
  <c r="BL696" i="3"/>
  <c r="BK696" i="3"/>
  <c r="BJ696" i="3"/>
  <c r="BI696" i="3"/>
  <c r="BH696" i="3"/>
  <c r="AY696" i="3"/>
  <c r="AX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N696" i="3"/>
  <c r="BO695" i="3"/>
  <c r="BN695" i="3"/>
  <c r="BM695" i="3"/>
  <c r="BL695" i="3"/>
  <c r="BK695" i="3"/>
  <c r="BJ695" i="3"/>
  <c r="BI695" i="3"/>
  <c r="BH695" i="3"/>
  <c r="AY695" i="3"/>
  <c r="AX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N695" i="3"/>
  <c r="BO694" i="3"/>
  <c r="BN694" i="3"/>
  <c r="BM694" i="3"/>
  <c r="BL694" i="3"/>
  <c r="BK694" i="3"/>
  <c r="BJ694" i="3"/>
  <c r="BI694" i="3"/>
  <c r="BH694" i="3"/>
  <c r="AY694" i="3"/>
  <c r="AX694" i="3"/>
  <c r="AM694" i="3"/>
  <c r="CG694" i="3" s="1"/>
  <c r="AL694" i="3"/>
  <c r="CF694" i="3" s="1"/>
  <c r="AK694" i="3"/>
  <c r="CE694" i="3" s="1"/>
  <c r="AJ694" i="3"/>
  <c r="CD694" i="3" s="1"/>
  <c r="AI694" i="3"/>
  <c r="AH694" i="3"/>
  <c r="AG694" i="3"/>
  <c r="AF694" i="3"/>
  <c r="AE694" i="3"/>
  <c r="AD694" i="3"/>
  <c r="AC694" i="3"/>
  <c r="AB694" i="3"/>
  <c r="AA694" i="3"/>
  <c r="N694" i="3"/>
  <c r="BR693" i="3"/>
  <c r="BQ693" i="3"/>
  <c r="BP693" i="3"/>
  <c r="BO693" i="3"/>
  <c r="BS693" i="3" s="1"/>
  <c r="BN693" i="3"/>
  <c r="BM693" i="3"/>
  <c r="BL693" i="3"/>
  <c r="BK693" i="3"/>
  <c r="BJ693" i="3"/>
  <c r="BI693" i="3"/>
  <c r="BH693" i="3"/>
  <c r="AY693" i="3"/>
  <c r="AX693" i="3"/>
  <c r="AN693" i="3"/>
  <c r="BO692" i="3"/>
  <c r="BN692" i="3"/>
  <c r="BM692" i="3"/>
  <c r="BL692" i="3"/>
  <c r="BK692" i="3"/>
  <c r="BJ692" i="3"/>
  <c r="BI692" i="3"/>
  <c r="BH692" i="3"/>
  <c r="AY692" i="3"/>
  <c r="AX692" i="3"/>
  <c r="AL692" i="3"/>
  <c r="BR692" i="3" s="1"/>
  <c r="CF692" i="3" s="1"/>
  <c r="AK692" i="3"/>
  <c r="BQ692" i="3" s="1"/>
  <c r="CE692" i="3" s="1"/>
  <c r="AJ692" i="3"/>
  <c r="BP692" i="3" s="1"/>
  <c r="CD692" i="3" s="1"/>
  <c r="AH692" i="3"/>
  <c r="AG692" i="3"/>
  <c r="AF692" i="3"/>
  <c r="AD692" i="3"/>
  <c r="AC692" i="3"/>
  <c r="AB692" i="3"/>
  <c r="AA692" i="3"/>
  <c r="M692" i="3"/>
  <c r="AM692" i="3" s="1"/>
  <c r="I692" i="3"/>
  <c r="AI692" i="3" s="1"/>
  <c r="E692" i="3"/>
  <c r="BO691" i="3"/>
  <c r="BN691" i="3"/>
  <c r="BM691" i="3"/>
  <c r="BL691" i="3"/>
  <c r="BK691" i="3"/>
  <c r="BJ691" i="3"/>
  <c r="BI691" i="3"/>
  <c r="BH691" i="3"/>
  <c r="AY691" i="3"/>
  <c r="AX691" i="3"/>
  <c r="AM691" i="3"/>
  <c r="CG691" i="3" s="1"/>
  <c r="AL691" i="3"/>
  <c r="CF691" i="3" s="1"/>
  <c r="AK691" i="3"/>
  <c r="CE691" i="3" s="1"/>
  <c r="AJ691" i="3"/>
  <c r="CD691" i="3" s="1"/>
  <c r="AI691" i="3"/>
  <c r="AH691" i="3"/>
  <c r="AG691" i="3"/>
  <c r="AF691" i="3"/>
  <c r="AE691" i="3"/>
  <c r="AD691" i="3"/>
  <c r="AC691" i="3"/>
  <c r="AB691" i="3"/>
  <c r="AA691" i="3"/>
  <c r="N691" i="3"/>
  <c r="BO690" i="3"/>
  <c r="BN690" i="3"/>
  <c r="BM690" i="3"/>
  <c r="BL690" i="3"/>
  <c r="BK690" i="3"/>
  <c r="BJ690" i="3"/>
  <c r="BI690" i="3"/>
  <c r="BH690" i="3"/>
  <c r="AY690" i="3"/>
  <c r="AX690" i="3"/>
  <c r="AM690" i="3"/>
  <c r="CG690" i="3" s="1"/>
  <c r="AL690" i="3"/>
  <c r="CF690" i="3" s="1"/>
  <c r="AK690" i="3"/>
  <c r="CE690" i="3" s="1"/>
  <c r="AJ690" i="3"/>
  <c r="CD690" i="3" s="1"/>
  <c r="AI690" i="3"/>
  <c r="AH690" i="3"/>
  <c r="AG690" i="3"/>
  <c r="AF690" i="3"/>
  <c r="AE690" i="3"/>
  <c r="AD690" i="3"/>
  <c r="AC690" i="3"/>
  <c r="AB690" i="3"/>
  <c r="AA690" i="3"/>
  <c r="N690" i="3"/>
  <c r="BO689" i="3"/>
  <c r="BN689" i="3"/>
  <c r="BM689" i="3"/>
  <c r="BK689" i="3"/>
  <c r="AY689" i="3"/>
  <c r="AX689" i="3"/>
  <c r="AM689" i="3"/>
  <c r="CG689" i="3" s="1"/>
  <c r="AL689" i="3"/>
  <c r="CF689" i="3" s="1"/>
  <c r="AK689" i="3"/>
  <c r="CE689" i="3" s="1"/>
  <c r="AJ689" i="3"/>
  <c r="CD689" i="3" s="1"/>
  <c r="AI689" i="3"/>
  <c r="AH689" i="3"/>
  <c r="AG689" i="3"/>
  <c r="AF689" i="3"/>
  <c r="BZ689" i="3" s="1"/>
  <c r="AE689" i="3"/>
  <c r="AD689" i="3"/>
  <c r="BX689" i="3" s="1"/>
  <c r="AC689" i="3"/>
  <c r="BW689" i="3" s="1"/>
  <c r="AB689" i="3"/>
  <c r="BV689" i="3" s="1"/>
  <c r="AA689" i="3"/>
  <c r="N689" i="3"/>
  <c r="BO688" i="3"/>
  <c r="BN688" i="3"/>
  <c r="BM688" i="3"/>
  <c r="BL688" i="3"/>
  <c r="BK688" i="3"/>
  <c r="BJ688" i="3"/>
  <c r="BI688" i="3"/>
  <c r="BH688" i="3"/>
  <c r="AY688" i="3"/>
  <c r="AX688" i="3"/>
  <c r="AM688" i="3"/>
  <c r="CG688" i="3" s="1"/>
  <c r="AL688" i="3"/>
  <c r="CF688" i="3" s="1"/>
  <c r="AK688" i="3"/>
  <c r="CE688" i="3" s="1"/>
  <c r="AJ688" i="3"/>
  <c r="CD688" i="3" s="1"/>
  <c r="AI688" i="3"/>
  <c r="AH688" i="3"/>
  <c r="AG688" i="3"/>
  <c r="AF688" i="3"/>
  <c r="AE688" i="3"/>
  <c r="AD688" i="3"/>
  <c r="AC688" i="3"/>
  <c r="AB688" i="3"/>
  <c r="AA688" i="3"/>
  <c r="N688" i="3"/>
  <c r="BO687" i="3"/>
  <c r="BN687" i="3"/>
  <c r="BM687" i="3"/>
  <c r="BL687" i="3"/>
  <c r="BK687" i="3"/>
  <c r="BJ687" i="3"/>
  <c r="BI687" i="3"/>
  <c r="BH687" i="3"/>
  <c r="AY687" i="3"/>
  <c r="AX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N687" i="3"/>
  <c r="BO686" i="3"/>
  <c r="AY686" i="3"/>
  <c r="AX686" i="3"/>
  <c r="BO685" i="3"/>
  <c r="BN685" i="3"/>
  <c r="BM685" i="3"/>
  <c r="BK685" i="3"/>
  <c r="BJ685" i="3"/>
  <c r="BI685" i="3"/>
  <c r="BH685" i="3"/>
  <c r="AY685" i="3"/>
  <c r="AX685" i="3"/>
  <c r="AM685" i="3"/>
  <c r="CG685" i="3" s="1"/>
  <c r="AL685" i="3"/>
  <c r="CF685" i="3" s="1"/>
  <c r="AK685" i="3"/>
  <c r="CE685" i="3" s="1"/>
  <c r="AJ685" i="3"/>
  <c r="CD685" i="3" s="1"/>
  <c r="AI685" i="3"/>
  <c r="AH685" i="3"/>
  <c r="AG685" i="3"/>
  <c r="AF685" i="3"/>
  <c r="BZ685" i="3" s="1"/>
  <c r="AE685" i="3"/>
  <c r="AD685" i="3"/>
  <c r="AC685" i="3"/>
  <c r="AB685" i="3"/>
  <c r="AA685" i="3"/>
  <c r="N685" i="3"/>
  <c r="BO684" i="3"/>
  <c r="BN684" i="3"/>
  <c r="BM684" i="3"/>
  <c r="BK684" i="3"/>
  <c r="BI684" i="3"/>
  <c r="BH684" i="3"/>
  <c r="AY684" i="3"/>
  <c r="AX684" i="3"/>
  <c r="AM684" i="3"/>
  <c r="CG684" i="3" s="1"/>
  <c r="AL684" i="3"/>
  <c r="CF684" i="3" s="1"/>
  <c r="AK684" i="3"/>
  <c r="CE684" i="3" s="1"/>
  <c r="AJ684" i="3"/>
  <c r="AI684" i="3"/>
  <c r="AH684" i="3"/>
  <c r="AG684" i="3"/>
  <c r="AF684" i="3"/>
  <c r="BZ684" i="3" s="1"/>
  <c r="AE684" i="3"/>
  <c r="AD684" i="3"/>
  <c r="BX684" i="3" s="1"/>
  <c r="AC684" i="3"/>
  <c r="AB684" i="3"/>
  <c r="AA684" i="3"/>
  <c r="N684" i="3"/>
  <c r="BO683" i="3"/>
  <c r="BN683" i="3"/>
  <c r="BM683" i="3"/>
  <c r="BL683" i="3"/>
  <c r="BK683" i="3"/>
  <c r="BJ683" i="3"/>
  <c r="BI683" i="3"/>
  <c r="BH683" i="3"/>
  <c r="AY683" i="3"/>
  <c r="AX683" i="3"/>
  <c r="AO683" i="3"/>
  <c r="AM683" i="3"/>
  <c r="CG683" i="3" s="1"/>
  <c r="AL683" i="3"/>
  <c r="CF683" i="3" s="1"/>
  <c r="AK683" i="3"/>
  <c r="CE683" i="3" s="1"/>
  <c r="AJ683" i="3"/>
  <c r="CD683" i="3" s="1"/>
  <c r="AI683" i="3"/>
  <c r="AH683" i="3"/>
  <c r="AG683" i="3"/>
  <c r="AF683" i="3"/>
  <c r="AE683" i="3"/>
  <c r="AD683" i="3"/>
  <c r="AC683" i="3"/>
  <c r="AB683" i="3"/>
  <c r="AA683" i="3"/>
  <c r="N683" i="3"/>
  <c r="BO682" i="3"/>
  <c r="BN682" i="3"/>
  <c r="BM682" i="3"/>
  <c r="BL682" i="3"/>
  <c r="BK682" i="3"/>
  <c r="BJ682" i="3"/>
  <c r="BI682" i="3"/>
  <c r="BH682" i="3"/>
  <c r="AY682" i="3"/>
  <c r="AX682" i="3"/>
  <c r="AM682" i="3"/>
  <c r="CG682" i="3" s="1"/>
  <c r="AL682" i="3"/>
  <c r="CF682" i="3" s="1"/>
  <c r="AK682" i="3"/>
  <c r="CE682" i="3" s="1"/>
  <c r="AJ682" i="3"/>
  <c r="CD682" i="3" s="1"/>
  <c r="AI682" i="3"/>
  <c r="AH682" i="3"/>
  <c r="AG682" i="3"/>
  <c r="AF682" i="3"/>
  <c r="AE682" i="3"/>
  <c r="AD682" i="3"/>
  <c r="AC682" i="3"/>
  <c r="AB682" i="3"/>
  <c r="AA682" i="3"/>
  <c r="N682" i="3"/>
  <c r="BO681" i="3"/>
  <c r="BN681" i="3"/>
  <c r="BM681" i="3"/>
  <c r="BL681" i="3"/>
  <c r="BK681" i="3"/>
  <c r="BJ681" i="3"/>
  <c r="BI681" i="3"/>
  <c r="BH681" i="3"/>
  <c r="AY681" i="3"/>
  <c r="AX681" i="3"/>
  <c r="AM681" i="3"/>
  <c r="CG681" i="3" s="1"/>
  <c r="AL681" i="3"/>
  <c r="CF681" i="3" s="1"/>
  <c r="AK681" i="3"/>
  <c r="CE681" i="3" s="1"/>
  <c r="AJ681" i="3"/>
  <c r="CD681" i="3" s="1"/>
  <c r="AI681" i="3"/>
  <c r="AH681" i="3"/>
  <c r="AG681" i="3"/>
  <c r="AF681" i="3"/>
  <c r="AE681" i="3"/>
  <c r="AD681" i="3"/>
  <c r="AC681" i="3"/>
  <c r="AB681" i="3"/>
  <c r="AA681" i="3"/>
  <c r="N681" i="3"/>
  <c r="BO680" i="3"/>
  <c r="BN680" i="3"/>
  <c r="BM680" i="3"/>
  <c r="BL680" i="3"/>
  <c r="BK680" i="3"/>
  <c r="BJ680" i="3"/>
  <c r="BI680" i="3"/>
  <c r="BH680" i="3"/>
  <c r="AY680" i="3"/>
  <c r="AX680" i="3"/>
  <c r="AM680" i="3"/>
  <c r="CG680" i="3" s="1"/>
  <c r="AL680" i="3"/>
  <c r="CF680" i="3" s="1"/>
  <c r="AK680" i="3"/>
  <c r="CE680" i="3" s="1"/>
  <c r="AJ680" i="3"/>
  <c r="CD680" i="3" s="1"/>
  <c r="AI680" i="3"/>
  <c r="AH680" i="3"/>
  <c r="AG680" i="3"/>
  <c r="AF680" i="3"/>
  <c r="AE680" i="3"/>
  <c r="AD680" i="3"/>
  <c r="AC680" i="3"/>
  <c r="AB680" i="3"/>
  <c r="AA680" i="3"/>
  <c r="N680" i="3"/>
  <c r="BO679" i="3"/>
  <c r="BN679" i="3"/>
  <c r="BM679" i="3"/>
  <c r="BL679" i="3"/>
  <c r="BK679" i="3"/>
  <c r="BJ679" i="3"/>
  <c r="BI679" i="3"/>
  <c r="BH679" i="3"/>
  <c r="AY679" i="3"/>
  <c r="AX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N679" i="3"/>
  <c r="BO678" i="3"/>
  <c r="BN678" i="3"/>
  <c r="BM678" i="3"/>
  <c r="BL678" i="3"/>
  <c r="BK678" i="3"/>
  <c r="BJ678" i="3"/>
  <c r="BI678" i="3"/>
  <c r="BH678" i="3"/>
  <c r="AY678" i="3"/>
  <c r="AX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N678" i="3"/>
  <c r="BO677" i="3"/>
  <c r="BN677" i="3"/>
  <c r="BM677" i="3"/>
  <c r="BL677" i="3"/>
  <c r="BK677" i="3"/>
  <c r="BJ677" i="3"/>
  <c r="BI677" i="3"/>
  <c r="BH677" i="3"/>
  <c r="AY677" i="3"/>
  <c r="AX677" i="3"/>
  <c r="AM677" i="3"/>
  <c r="CG677" i="3" s="1"/>
  <c r="AL677" i="3"/>
  <c r="CF677" i="3" s="1"/>
  <c r="AK677" i="3"/>
  <c r="CE677" i="3" s="1"/>
  <c r="AJ677" i="3"/>
  <c r="CD677" i="3" s="1"/>
  <c r="AI677" i="3"/>
  <c r="AH677" i="3"/>
  <c r="AG677" i="3"/>
  <c r="AF677" i="3"/>
  <c r="AE677" i="3"/>
  <c r="AD677" i="3"/>
  <c r="AC677" i="3"/>
  <c r="AB677" i="3"/>
  <c r="AA677" i="3"/>
  <c r="N677" i="3"/>
  <c r="BO676" i="3"/>
  <c r="BN676" i="3"/>
  <c r="BM676" i="3"/>
  <c r="BL676" i="3"/>
  <c r="BK676" i="3"/>
  <c r="BJ676" i="3"/>
  <c r="BI676" i="3"/>
  <c r="BH676" i="3"/>
  <c r="AX676" i="3"/>
  <c r="AL676" i="3"/>
  <c r="BR676" i="3" s="1"/>
  <c r="CF676" i="3" s="1"/>
  <c r="AK676" i="3"/>
  <c r="BQ676" i="3" s="1"/>
  <c r="CE676" i="3" s="1"/>
  <c r="AJ676" i="3"/>
  <c r="BP676" i="3" s="1"/>
  <c r="CD676" i="3" s="1"/>
  <c r="AH676" i="3"/>
  <c r="AG676" i="3"/>
  <c r="AF676" i="3"/>
  <c r="AD676" i="3"/>
  <c r="AC676" i="3"/>
  <c r="AB676" i="3"/>
  <c r="AA676" i="3"/>
  <c r="M676" i="3"/>
  <c r="AM676" i="3" s="1"/>
  <c r="I676" i="3"/>
  <c r="E676" i="3"/>
  <c r="E2" i="3" s="1"/>
  <c r="BO675" i="3"/>
  <c r="BN675" i="3"/>
  <c r="BM675" i="3"/>
  <c r="BL675" i="3"/>
  <c r="BK675" i="3"/>
  <c r="BJ675" i="3"/>
  <c r="BI675" i="3"/>
  <c r="BH675" i="3"/>
  <c r="AY675" i="3"/>
  <c r="AX675" i="3"/>
  <c r="AM675" i="3"/>
  <c r="CG675" i="3" s="1"/>
  <c r="AL675" i="3"/>
  <c r="CF675" i="3" s="1"/>
  <c r="AK675" i="3"/>
  <c r="CE675" i="3" s="1"/>
  <c r="AJ675" i="3"/>
  <c r="CD675" i="3" s="1"/>
  <c r="AI675" i="3"/>
  <c r="AH675" i="3"/>
  <c r="AG675" i="3"/>
  <c r="AF675" i="3"/>
  <c r="AE675" i="3"/>
  <c r="AD675" i="3"/>
  <c r="AC675" i="3"/>
  <c r="AB675" i="3"/>
  <c r="AA675" i="3"/>
  <c r="N675" i="3"/>
  <c r="BS674" i="3"/>
  <c r="BR674" i="3"/>
  <c r="BQ674" i="3"/>
  <c r="BP674" i="3"/>
  <c r="BO674" i="3"/>
  <c r="BN674" i="3"/>
  <c r="BM674" i="3"/>
  <c r="BL674" i="3"/>
  <c r="BK674" i="3"/>
  <c r="BJ674" i="3"/>
  <c r="BI674" i="3"/>
  <c r="BH674" i="3"/>
  <c r="AX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N674" i="3"/>
  <c r="BO673" i="3"/>
  <c r="BN673" i="3"/>
  <c r="BM673" i="3"/>
  <c r="BL673" i="3"/>
  <c r="BK673" i="3"/>
  <c r="BJ673" i="3"/>
  <c r="BI673" i="3"/>
  <c r="BH673" i="3"/>
  <c r="AX673" i="3"/>
  <c r="AM673" i="3"/>
  <c r="CG673" i="3" s="1"/>
  <c r="AL673" i="3"/>
  <c r="CF673" i="3" s="1"/>
  <c r="AK673" i="3"/>
  <c r="CE673" i="3" s="1"/>
  <c r="AJ673" i="3"/>
  <c r="CD673" i="3" s="1"/>
  <c r="AI673" i="3"/>
  <c r="AH673" i="3"/>
  <c r="AG673" i="3"/>
  <c r="AF673" i="3"/>
  <c r="AE673" i="3"/>
  <c r="AD673" i="3"/>
  <c r="AC673" i="3"/>
  <c r="AB673" i="3"/>
  <c r="AA673" i="3"/>
  <c r="N673" i="3"/>
  <c r="AN673" i="3" s="1"/>
  <c r="BO672" i="3"/>
  <c r="BN672" i="3"/>
  <c r="BM672" i="3"/>
  <c r="BL672" i="3"/>
  <c r="BK672" i="3"/>
  <c r="BJ672" i="3"/>
  <c r="BI672" i="3"/>
  <c r="BH672" i="3"/>
  <c r="AX672" i="3"/>
  <c r="AM672" i="3"/>
  <c r="CG672" i="3" s="1"/>
  <c r="AL672" i="3"/>
  <c r="CF672" i="3" s="1"/>
  <c r="AK672" i="3"/>
  <c r="CE672" i="3" s="1"/>
  <c r="AJ672" i="3"/>
  <c r="CD672" i="3" s="1"/>
  <c r="AI672" i="3"/>
  <c r="AH672" i="3"/>
  <c r="AG672" i="3"/>
  <c r="AF672" i="3"/>
  <c r="AE672" i="3"/>
  <c r="AD672" i="3"/>
  <c r="AC672" i="3"/>
  <c r="AB672" i="3"/>
  <c r="AA672" i="3"/>
  <c r="N672" i="3"/>
  <c r="BO671" i="3"/>
  <c r="BN671" i="3"/>
  <c r="BM671" i="3"/>
  <c r="BL671" i="3"/>
  <c r="BK671" i="3"/>
  <c r="BJ671" i="3"/>
  <c r="BI671" i="3"/>
  <c r="BH671" i="3"/>
  <c r="AX671" i="3"/>
  <c r="AM671" i="3"/>
  <c r="CG671" i="3" s="1"/>
  <c r="AL671" i="3"/>
  <c r="CF671" i="3" s="1"/>
  <c r="AK671" i="3"/>
  <c r="CE671" i="3" s="1"/>
  <c r="AJ671" i="3"/>
  <c r="CD671" i="3" s="1"/>
  <c r="AI671" i="3"/>
  <c r="AH671" i="3"/>
  <c r="AG671" i="3"/>
  <c r="AF671" i="3"/>
  <c r="AE671" i="3"/>
  <c r="AD671" i="3"/>
  <c r="AC671" i="3"/>
  <c r="AB671" i="3"/>
  <c r="AA671" i="3"/>
  <c r="N671" i="3"/>
  <c r="BO670" i="3"/>
  <c r="BN670" i="3"/>
  <c r="BM670" i="3"/>
  <c r="BL670" i="3"/>
  <c r="BK670" i="3"/>
  <c r="BJ670" i="3"/>
  <c r="BI670" i="3"/>
  <c r="BH670" i="3"/>
  <c r="AX670" i="3"/>
  <c r="AM670" i="3"/>
  <c r="CG670" i="3" s="1"/>
  <c r="AL670" i="3"/>
  <c r="CF670" i="3" s="1"/>
  <c r="AK670" i="3"/>
  <c r="CE670" i="3" s="1"/>
  <c r="AJ670" i="3"/>
  <c r="CD670" i="3" s="1"/>
  <c r="AI670" i="3"/>
  <c r="AH670" i="3"/>
  <c r="AG670" i="3"/>
  <c r="AF670" i="3"/>
  <c r="AE670" i="3"/>
  <c r="AD670" i="3"/>
  <c r="AC670" i="3"/>
  <c r="AB670" i="3"/>
  <c r="AA670" i="3"/>
  <c r="N670" i="3"/>
  <c r="BO669" i="3"/>
  <c r="BN669" i="3"/>
  <c r="BM669" i="3"/>
  <c r="BK669" i="3"/>
  <c r="BJ669" i="3"/>
  <c r="BI669" i="3"/>
  <c r="BH669" i="3"/>
  <c r="AX669" i="3"/>
  <c r="AM669" i="3"/>
  <c r="CG669" i="3" s="1"/>
  <c r="AL669" i="3"/>
  <c r="CF669" i="3" s="1"/>
  <c r="AK669" i="3"/>
  <c r="CE669" i="3" s="1"/>
  <c r="AJ669" i="3"/>
  <c r="CD669" i="3" s="1"/>
  <c r="AI669" i="3"/>
  <c r="AH669" i="3"/>
  <c r="AG669" i="3"/>
  <c r="AF669" i="3"/>
  <c r="BZ669" i="3" s="1"/>
  <c r="AE669" i="3"/>
  <c r="AD669" i="3"/>
  <c r="AC669" i="3"/>
  <c r="AB669" i="3"/>
  <c r="AA669" i="3"/>
  <c r="N669" i="3"/>
  <c r="BO668" i="3"/>
  <c r="BM668" i="3"/>
  <c r="BL668" i="3"/>
  <c r="BK668" i="3"/>
  <c r="BJ668" i="3"/>
  <c r="BI668" i="3"/>
  <c r="BH668" i="3"/>
  <c r="AX668" i="3"/>
  <c r="AM668" i="3"/>
  <c r="AL668" i="3"/>
  <c r="AK668" i="3"/>
  <c r="AJ668" i="3"/>
  <c r="AI668" i="3"/>
  <c r="AH668" i="3"/>
  <c r="CB668" i="3" s="1"/>
  <c r="AG668" i="3"/>
  <c r="AF668" i="3"/>
  <c r="AE668" i="3"/>
  <c r="AD668" i="3"/>
  <c r="AC668" i="3"/>
  <c r="AB668" i="3"/>
  <c r="AA668" i="3"/>
  <c r="N668" i="3"/>
  <c r="BO667" i="3"/>
  <c r="BN667" i="3"/>
  <c r="BM667" i="3"/>
  <c r="BL667" i="3"/>
  <c r="BK667" i="3"/>
  <c r="BJ667" i="3"/>
  <c r="BI667" i="3"/>
  <c r="BH667" i="3"/>
  <c r="AX667" i="3"/>
  <c r="AO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N667" i="3"/>
  <c r="BO666" i="3"/>
  <c r="BN666" i="3"/>
  <c r="BM666" i="3"/>
  <c r="BL666" i="3"/>
  <c r="BK666" i="3"/>
  <c r="BJ666" i="3"/>
  <c r="BI666" i="3"/>
  <c r="BH666" i="3"/>
  <c r="AY666" i="3"/>
  <c r="AX666" i="3"/>
  <c r="AM666" i="3"/>
  <c r="CG666" i="3" s="1"/>
  <c r="AL666" i="3"/>
  <c r="CF666" i="3" s="1"/>
  <c r="AK666" i="3"/>
  <c r="CE666" i="3" s="1"/>
  <c r="AJ666" i="3"/>
  <c r="CD666" i="3" s="1"/>
  <c r="AI666" i="3"/>
  <c r="AH666" i="3"/>
  <c r="AG666" i="3"/>
  <c r="AF666" i="3"/>
  <c r="AE666" i="3"/>
  <c r="AD666" i="3"/>
  <c r="AC666" i="3"/>
  <c r="AB666" i="3"/>
  <c r="AA666" i="3"/>
  <c r="N666" i="3"/>
  <c r="BO665" i="3"/>
  <c r="BN665" i="3"/>
  <c r="BM665" i="3"/>
  <c r="BL665" i="3"/>
  <c r="BK665" i="3"/>
  <c r="BJ665" i="3"/>
  <c r="BI665" i="3"/>
  <c r="BH665" i="3"/>
  <c r="AY665" i="3"/>
  <c r="AX665" i="3"/>
  <c r="AN665" i="3"/>
  <c r="BO664" i="3"/>
  <c r="BN664" i="3"/>
  <c r="BM664" i="3"/>
  <c r="BL664" i="3"/>
  <c r="BK664" i="3"/>
  <c r="BJ664" i="3"/>
  <c r="BI664" i="3"/>
  <c r="BH664" i="3"/>
  <c r="AY664" i="3"/>
  <c r="AX664" i="3"/>
  <c r="AM664" i="3"/>
  <c r="CG664" i="3" s="1"/>
  <c r="AL664" i="3"/>
  <c r="CF664" i="3" s="1"/>
  <c r="AK664" i="3"/>
  <c r="CE664" i="3" s="1"/>
  <c r="AJ664" i="3"/>
  <c r="CD664" i="3" s="1"/>
  <c r="AI664" i="3"/>
  <c r="AH664" i="3"/>
  <c r="AG664" i="3"/>
  <c r="AF664" i="3"/>
  <c r="AE664" i="3"/>
  <c r="AD664" i="3"/>
  <c r="AC664" i="3"/>
  <c r="AB664" i="3"/>
  <c r="AA664" i="3"/>
  <c r="N664" i="3"/>
  <c r="CG663" i="3"/>
  <c r="CF663" i="3"/>
  <c r="CE663" i="3"/>
  <c r="CD663" i="3"/>
  <c r="BW663" i="3"/>
  <c r="BV663" i="3"/>
  <c r="BO663" i="3"/>
  <c r="CC663" i="3" s="1"/>
  <c r="BN663" i="3"/>
  <c r="CB663" i="3" s="1"/>
  <c r="BM663" i="3"/>
  <c r="CA663" i="3" s="1"/>
  <c r="BL663" i="3"/>
  <c r="BZ663" i="3" s="1"/>
  <c r="BK663" i="3"/>
  <c r="BY663" i="3" s="1"/>
  <c r="BJ663" i="3"/>
  <c r="AY663" i="3"/>
  <c r="AX663" i="3"/>
  <c r="AN663" i="3"/>
  <c r="BO662" i="3"/>
  <c r="BN662" i="3"/>
  <c r="BM662" i="3"/>
  <c r="BL662" i="3"/>
  <c r="BK662" i="3"/>
  <c r="BJ662" i="3"/>
  <c r="BI662" i="3"/>
  <c r="BH662" i="3"/>
  <c r="AY662" i="3"/>
  <c r="AX662" i="3"/>
  <c r="AM662" i="3"/>
  <c r="CG662" i="3" s="1"/>
  <c r="AL662" i="3"/>
  <c r="CF662" i="3" s="1"/>
  <c r="AK662" i="3"/>
  <c r="CE662" i="3" s="1"/>
  <c r="AJ662" i="3"/>
  <c r="CD662" i="3" s="1"/>
  <c r="AI662" i="3"/>
  <c r="AH662" i="3"/>
  <c r="AG662" i="3"/>
  <c r="AF662" i="3"/>
  <c r="AE662" i="3"/>
  <c r="AD662" i="3"/>
  <c r="AC662" i="3"/>
  <c r="AB662" i="3"/>
  <c r="AA662" i="3"/>
  <c r="N662" i="3"/>
  <c r="BO661" i="3"/>
  <c r="BN661" i="3"/>
  <c r="BM661" i="3"/>
  <c r="BL661" i="3"/>
  <c r="BK661" i="3"/>
  <c r="BJ661" i="3"/>
  <c r="BI661" i="3"/>
  <c r="BH661" i="3"/>
  <c r="AY661" i="3"/>
  <c r="AX661" i="3"/>
  <c r="AN661" i="3"/>
  <c r="BO660" i="3"/>
  <c r="BN660" i="3"/>
  <c r="BM660" i="3"/>
  <c r="BL660" i="3"/>
  <c r="BK660" i="3"/>
  <c r="BJ660" i="3"/>
  <c r="BI660" i="3"/>
  <c r="BH660" i="3"/>
  <c r="AY660" i="3"/>
  <c r="AX660" i="3"/>
  <c r="AM660" i="3"/>
  <c r="CG660" i="3" s="1"/>
  <c r="AL660" i="3"/>
  <c r="CF660" i="3" s="1"/>
  <c r="AK660" i="3"/>
  <c r="CE660" i="3" s="1"/>
  <c r="AJ660" i="3"/>
  <c r="CD660" i="3" s="1"/>
  <c r="AI660" i="3"/>
  <c r="AH660" i="3"/>
  <c r="AG660" i="3"/>
  <c r="AF660" i="3"/>
  <c r="AE660" i="3"/>
  <c r="AD660" i="3"/>
  <c r="AC660" i="3"/>
  <c r="AB660" i="3"/>
  <c r="AA660" i="3"/>
  <c r="N660" i="3"/>
  <c r="CG659" i="3"/>
  <c r="CF659" i="3"/>
  <c r="CE659" i="3"/>
  <c r="CD659" i="3"/>
  <c r="BW659" i="3"/>
  <c r="BV659" i="3"/>
  <c r="BO659" i="3"/>
  <c r="CC659" i="3" s="1"/>
  <c r="BN659" i="3"/>
  <c r="CB659" i="3" s="1"/>
  <c r="BM659" i="3"/>
  <c r="CA659" i="3" s="1"/>
  <c r="BL659" i="3"/>
  <c r="BZ659" i="3" s="1"/>
  <c r="BK659" i="3"/>
  <c r="BY659" i="3" s="1"/>
  <c r="BJ659" i="3"/>
  <c r="AY659" i="3"/>
  <c r="AX659" i="3"/>
  <c r="AN659" i="3"/>
  <c r="BO658" i="3"/>
  <c r="BN658" i="3"/>
  <c r="BM658" i="3"/>
  <c r="BL658" i="3"/>
  <c r="BK658" i="3"/>
  <c r="BJ658" i="3"/>
  <c r="BI658" i="3"/>
  <c r="BH658" i="3"/>
  <c r="AY658" i="3"/>
  <c r="AX658" i="3"/>
  <c r="AM658" i="3"/>
  <c r="CG658" i="3" s="1"/>
  <c r="AL658" i="3"/>
  <c r="CF658" i="3" s="1"/>
  <c r="AK658" i="3"/>
  <c r="CE658" i="3" s="1"/>
  <c r="AJ658" i="3"/>
  <c r="CD658" i="3" s="1"/>
  <c r="AI658" i="3"/>
  <c r="AH658" i="3"/>
  <c r="AG658" i="3"/>
  <c r="AF658" i="3"/>
  <c r="AE658" i="3"/>
  <c r="AD658" i="3"/>
  <c r="AC658" i="3"/>
  <c r="AB658" i="3"/>
  <c r="AA658" i="3"/>
  <c r="N658" i="3"/>
  <c r="BO657" i="3"/>
  <c r="BN657" i="3"/>
  <c r="BM657" i="3"/>
  <c r="BL657" i="3"/>
  <c r="BK657" i="3"/>
  <c r="BJ657" i="3"/>
  <c r="BI657" i="3"/>
  <c r="BH657" i="3"/>
  <c r="AY657" i="3"/>
  <c r="AX657" i="3"/>
  <c r="AM657" i="3"/>
  <c r="CG657" i="3" s="1"/>
  <c r="AL657" i="3"/>
  <c r="CF657" i="3" s="1"/>
  <c r="AK657" i="3"/>
  <c r="CE657" i="3" s="1"/>
  <c r="AJ657" i="3"/>
  <c r="CD657" i="3" s="1"/>
  <c r="AI657" i="3"/>
  <c r="AH657" i="3"/>
  <c r="AG657" i="3"/>
  <c r="AF657" i="3"/>
  <c r="AE657" i="3"/>
  <c r="AD657" i="3"/>
  <c r="AC657" i="3"/>
  <c r="AB657" i="3"/>
  <c r="AA657" i="3"/>
  <c r="N657" i="3"/>
  <c r="BO656" i="3"/>
  <c r="BN656" i="3"/>
  <c r="CB656" i="3" s="1"/>
  <c r="BM656" i="3"/>
  <c r="CA656" i="3" s="1"/>
  <c r="BL656" i="3"/>
  <c r="BZ656" i="3" s="1"/>
  <c r="BK656" i="3"/>
  <c r="BY656" i="3" s="1"/>
  <c r="BJ656" i="3"/>
  <c r="BX656" i="3" s="1"/>
  <c r="BI656" i="3"/>
  <c r="BW656" i="3" s="1"/>
  <c r="BH656" i="3"/>
  <c r="AY656" i="3"/>
  <c r="AX656" i="3"/>
  <c r="AN656" i="3"/>
  <c r="BO655" i="3"/>
  <c r="BN655" i="3"/>
  <c r="BM655" i="3"/>
  <c r="BL655" i="3"/>
  <c r="BK655" i="3"/>
  <c r="BJ655" i="3"/>
  <c r="BI655" i="3"/>
  <c r="BH655" i="3"/>
  <c r="AY655" i="3"/>
  <c r="AX655" i="3"/>
  <c r="AO655" i="3"/>
  <c r="AM655" i="3"/>
  <c r="CG655" i="3" s="1"/>
  <c r="AL655" i="3"/>
  <c r="CF655" i="3" s="1"/>
  <c r="AK655" i="3"/>
  <c r="CE655" i="3" s="1"/>
  <c r="AJ655" i="3"/>
  <c r="CD655" i="3" s="1"/>
  <c r="AI655" i="3"/>
  <c r="AH655" i="3"/>
  <c r="AG655" i="3"/>
  <c r="AF655" i="3"/>
  <c r="AE655" i="3"/>
  <c r="AD655" i="3"/>
  <c r="AC655" i="3"/>
  <c r="AB655" i="3"/>
  <c r="AA655" i="3"/>
  <c r="N655" i="3"/>
  <c r="BO654" i="3"/>
  <c r="BN654" i="3"/>
  <c r="BM654" i="3"/>
  <c r="BL654" i="3"/>
  <c r="BK654" i="3"/>
  <c r="BJ654" i="3"/>
  <c r="BI654" i="3"/>
  <c r="BH654" i="3"/>
  <c r="AY654" i="3"/>
  <c r="AX654" i="3"/>
  <c r="AO654" i="3"/>
  <c r="AM654" i="3"/>
  <c r="CG654" i="3" s="1"/>
  <c r="AL654" i="3"/>
  <c r="CF654" i="3" s="1"/>
  <c r="AK654" i="3"/>
  <c r="CE654" i="3" s="1"/>
  <c r="AJ654" i="3"/>
  <c r="CD654" i="3" s="1"/>
  <c r="AI654" i="3"/>
  <c r="AH654" i="3"/>
  <c r="AG654" i="3"/>
  <c r="AF654" i="3"/>
  <c r="AE654" i="3"/>
  <c r="AD654" i="3"/>
  <c r="AC654" i="3"/>
  <c r="AB654" i="3"/>
  <c r="AA654" i="3"/>
  <c r="N654" i="3"/>
  <c r="BO653" i="3"/>
  <c r="BN653" i="3"/>
  <c r="BM653" i="3"/>
  <c r="BL653" i="3"/>
  <c r="BK653" i="3"/>
  <c r="BJ653" i="3"/>
  <c r="BI653" i="3"/>
  <c r="BH653" i="3"/>
  <c r="AY653" i="3"/>
  <c r="AX653" i="3"/>
  <c r="AM653" i="3"/>
  <c r="CG653" i="3" s="1"/>
  <c r="AL653" i="3"/>
  <c r="CF653" i="3" s="1"/>
  <c r="AK653" i="3"/>
  <c r="CE653" i="3" s="1"/>
  <c r="AJ653" i="3"/>
  <c r="CD653" i="3" s="1"/>
  <c r="AI653" i="3"/>
  <c r="AH653" i="3"/>
  <c r="AG653" i="3"/>
  <c r="AF653" i="3"/>
  <c r="AE653" i="3"/>
  <c r="AD653" i="3"/>
  <c r="AC653" i="3"/>
  <c r="AB653" i="3"/>
  <c r="AA653" i="3"/>
  <c r="N653" i="3"/>
  <c r="BO652" i="3"/>
  <c r="BN652" i="3"/>
  <c r="CB652" i="3" s="1"/>
  <c r="BM652" i="3"/>
  <c r="CA652" i="3" s="1"/>
  <c r="BL652" i="3"/>
  <c r="BZ652" i="3" s="1"/>
  <c r="BK652" i="3"/>
  <c r="BY652" i="3" s="1"/>
  <c r="BJ652" i="3"/>
  <c r="BX652" i="3" s="1"/>
  <c r="BI652" i="3"/>
  <c r="BW652" i="3" s="1"/>
  <c r="BH652" i="3"/>
  <c r="AY652" i="3"/>
  <c r="AX652" i="3"/>
  <c r="AN652" i="3"/>
  <c r="BO651" i="3"/>
  <c r="BN651" i="3"/>
  <c r="BM651" i="3"/>
  <c r="BL651" i="3"/>
  <c r="BK651" i="3"/>
  <c r="BJ651" i="3"/>
  <c r="BI651" i="3"/>
  <c r="BH651" i="3"/>
  <c r="AY651" i="3"/>
  <c r="AX651" i="3"/>
  <c r="AO651" i="3"/>
  <c r="AM651" i="3"/>
  <c r="CG651" i="3" s="1"/>
  <c r="AL651" i="3"/>
  <c r="CF651" i="3" s="1"/>
  <c r="AK651" i="3"/>
  <c r="CE651" i="3" s="1"/>
  <c r="AJ651" i="3"/>
  <c r="CD651" i="3" s="1"/>
  <c r="AI651" i="3"/>
  <c r="AH651" i="3"/>
  <c r="AG651" i="3"/>
  <c r="AF651" i="3"/>
  <c r="AE651" i="3"/>
  <c r="AD651" i="3"/>
  <c r="AC651" i="3"/>
  <c r="AB651" i="3"/>
  <c r="AA651" i="3"/>
  <c r="N651" i="3"/>
  <c r="BO650" i="3"/>
  <c r="BN650" i="3"/>
  <c r="BM650" i="3"/>
  <c r="BL650" i="3"/>
  <c r="BK650" i="3"/>
  <c r="BJ650" i="3"/>
  <c r="BI650" i="3"/>
  <c r="BH650" i="3"/>
  <c r="AY650" i="3"/>
  <c r="AX650" i="3"/>
  <c r="AO650" i="3"/>
  <c r="AM650" i="3"/>
  <c r="CG650" i="3" s="1"/>
  <c r="AL650" i="3"/>
  <c r="CF650" i="3" s="1"/>
  <c r="AK650" i="3"/>
  <c r="CE650" i="3" s="1"/>
  <c r="AJ650" i="3"/>
  <c r="CD650" i="3" s="1"/>
  <c r="AI650" i="3"/>
  <c r="AH650" i="3"/>
  <c r="AG650" i="3"/>
  <c r="AF650" i="3"/>
  <c r="AE650" i="3"/>
  <c r="AD650" i="3"/>
  <c r="AC650" i="3"/>
  <c r="AB650" i="3"/>
  <c r="AA650" i="3"/>
  <c r="N650" i="3"/>
  <c r="CG649" i="3"/>
  <c r="CF649" i="3"/>
  <c r="CE649" i="3"/>
  <c r="CD649" i="3"/>
  <c r="BO649" i="3"/>
  <c r="CC649" i="3" s="1"/>
  <c r="BN649" i="3"/>
  <c r="CB649" i="3" s="1"/>
  <c r="BM649" i="3"/>
  <c r="CA649" i="3" s="1"/>
  <c r="BL649" i="3"/>
  <c r="BZ649" i="3" s="1"/>
  <c r="BK649" i="3"/>
  <c r="BY649" i="3" s="1"/>
  <c r="BJ649" i="3"/>
  <c r="BX649" i="3" s="1"/>
  <c r="BI649" i="3"/>
  <c r="BW649" i="3" s="1"/>
  <c r="BH649" i="3"/>
  <c r="AY649" i="3"/>
  <c r="AX649" i="3"/>
  <c r="AN649" i="3"/>
  <c r="BO648" i="3"/>
  <c r="BN648" i="3"/>
  <c r="BM648" i="3"/>
  <c r="BL648" i="3"/>
  <c r="BK648" i="3"/>
  <c r="BJ648" i="3"/>
  <c r="BI648" i="3"/>
  <c r="BH648" i="3"/>
  <c r="AY648" i="3"/>
  <c r="AX648" i="3"/>
  <c r="AO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N648" i="3"/>
  <c r="CG647" i="3"/>
  <c r="CF647" i="3"/>
  <c r="CE647" i="3"/>
  <c r="CD647" i="3"/>
  <c r="BZ647" i="3"/>
  <c r="BO647" i="3"/>
  <c r="CC647" i="3" s="1"/>
  <c r="BN647" i="3"/>
  <c r="CB647" i="3" s="1"/>
  <c r="BM647" i="3"/>
  <c r="CA647" i="3" s="1"/>
  <c r="BK647" i="3"/>
  <c r="BY647" i="3" s="1"/>
  <c r="BJ647" i="3"/>
  <c r="BX647" i="3" s="1"/>
  <c r="BI647" i="3"/>
  <c r="BW647" i="3" s="1"/>
  <c r="BH647" i="3"/>
  <c r="AY647" i="3"/>
  <c r="AX647" i="3"/>
  <c r="AN647" i="3"/>
  <c r="BO646" i="3"/>
  <c r="BN646" i="3"/>
  <c r="BM646" i="3"/>
  <c r="BL646" i="3"/>
  <c r="BK646" i="3"/>
  <c r="BJ646" i="3"/>
  <c r="BI646" i="3"/>
  <c r="BH646" i="3"/>
  <c r="AY646" i="3"/>
  <c r="AX646" i="3"/>
  <c r="AO646" i="3"/>
  <c r="AM646" i="3"/>
  <c r="CG646" i="3" s="1"/>
  <c r="AL646" i="3"/>
  <c r="CF646" i="3" s="1"/>
  <c r="AK646" i="3"/>
  <c r="CE646" i="3" s="1"/>
  <c r="AJ646" i="3"/>
  <c r="CD646" i="3" s="1"/>
  <c r="AI646" i="3"/>
  <c r="AH646" i="3"/>
  <c r="AG646" i="3"/>
  <c r="AF646" i="3"/>
  <c r="AE646" i="3"/>
  <c r="AD646" i="3"/>
  <c r="AC646" i="3"/>
  <c r="AB646" i="3"/>
  <c r="AA646" i="3"/>
  <c r="N646" i="3"/>
  <c r="BO645" i="3"/>
  <c r="BN645" i="3"/>
  <c r="BM645" i="3"/>
  <c r="BL645" i="3"/>
  <c r="BK645" i="3"/>
  <c r="BJ645" i="3"/>
  <c r="BI645" i="3"/>
  <c r="BH645" i="3"/>
  <c r="AY645" i="3"/>
  <c r="AX645" i="3"/>
  <c r="AO645" i="3"/>
  <c r="AM645" i="3"/>
  <c r="CG645" i="3" s="1"/>
  <c r="AL645" i="3"/>
  <c r="CF645" i="3" s="1"/>
  <c r="AK645" i="3"/>
  <c r="CE645" i="3" s="1"/>
  <c r="AJ645" i="3"/>
  <c r="CD645" i="3" s="1"/>
  <c r="AI645" i="3"/>
  <c r="AH645" i="3"/>
  <c r="AG645" i="3"/>
  <c r="AF645" i="3"/>
  <c r="AE645" i="3"/>
  <c r="AD645" i="3"/>
  <c r="AC645" i="3"/>
  <c r="AB645" i="3"/>
  <c r="AA645" i="3"/>
  <c r="N645" i="3"/>
  <c r="BO644" i="3"/>
  <c r="BN644" i="3"/>
  <c r="BM644" i="3"/>
  <c r="BL644" i="3"/>
  <c r="BK644" i="3"/>
  <c r="BJ644" i="3"/>
  <c r="BI644" i="3"/>
  <c r="BH644" i="3"/>
  <c r="AY644" i="3"/>
  <c r="AX644" i="3"/>
  <c r="AO644" i="3"/>
  <c r="AM644" i="3"/>
  <c r="CG644" i="3" s="1"/>
  <c r="AL644" i="3"/>
  <c r="CF644" i="3" s="1"/>
  <c r="AK644" i="3"/>
  <c r="CE644" i="3" s="1"/>
  <c r="AJ644" i="3"/>
  <c r="CD644" i="3" s="1"/>
  <c r="AI644" i="3"/>
  <c r="AH644" i="3"/>
  <c r="AG644" i="3"/>
  <c r="AF644" i="3"/>
  <c r="AE644" i="3"/>
  <c r="AD644" i="3"/>
  <c r="AC644" i="3"/>
  <c r="AB644" i="3"/>
  <c r="AA644" i="3"/>
  <c r="N644" i="3"/>
  <c r="BO643" i="3"/>
  <c r="BN643" i="3"/>
  <c r="BM643" i="3"/>
  <c r="BK643" i="3"/>
  <c r="BI643" i="3"/>
  <c r="BH643" i="3"/>
  <c r="AY643" i="3"/>
  <c r="AX643" i="3"/>
  <c r="AM643" i="3"/>
  <c r="CG643" i="3" s="1"/>
  <c r="AL643" i="3"/>
  <c r="CF643" i="3" s="1"/>
  <c r="AK643" i="3"/>
  <c r="CE643" i="3" s="1"/>
  <c r="AJ643" i="3"/>
  <c r="CD643" i="3" s="1"/>
  <c r="AI643" i="3"/>
  <c r="AH643" i="3"/>
  <c r="AG643" i="3"/>
  <c r="AF643" i="3"/>
  <c r="BZ643" i="3" s="1"/>
  <c r="AE643" i="3"/>
  <c r="AD643" i="3"/>
  <c r="BX643" i="3" s="1"/>
  <c r="AC643" i="3"/>
  <c r="AB643" i="3"/>
  <c r="AA643" i="3"/>
  <c r="N643" i="3"/>
  <c r="CG642" i="3"/>
  <c r="CF642" i="3"/>
  <c r="CE642" i="3"/>
  <c r="CD642" i="3"/>
  <c r="BZ642" i="3"/>
  <c r="BO642" i="3"/>
  <c r="CC642" i="3" s="1"/>
  <c r="BN642" i="3"/>
  <c r="CB642" i="3" s="1"/>
  <c r="BM642" i="3"/>
  <c r="CA642" i="3" s="1"/>
  <c r="BK642" i="3"/>
  <c r="BY642" i="3" s="1"/>
  <c r="BJ642" i="3"/>
  <c r="BX642" i="3" s="1"/>
  <c r="BI642" i="3"/>
  <c r="BW642" i="3" s="1"/>
  <c r="BH642" i="3"/>
  <c r="AY642" i="3"/>
  <c r="AX642" i="3"/>
  <c r="AN642" i="3"/>
  <c r="BO641" i="3"/>
  <c r="BN641" i="3"/>
  <c r="BM641" i="3"/>
  <c r="BL641" i="3"/>
  <c r="BK641" i="3"/>
  <c r="BJ641" i="3"/>
  <c r="BI641" i="3"/>
  <c r="BH641" i="3"/>
  <c r="AY641" i="3"/>
  <c r="AX641" i="3"/>
  <c r="AM641" i="3"/>
  <c r="CG641" i="3" s="1"/>
  <c r="AL641" i="3"/>
  <c r="CF641" i="3" s="1"/>
  <c r="AK641" i="3"/>
  <c r="CE641" i="3" s="1"/>
  <c r="AJ641" i="3"/>
  <c r="CD641" i="3" s="1"/>
  <c r="AI641" i="3"/>
  <c r="AH641" i="3"/>
  <c r="AG641" i="3"/>
  <c r="AF641" i="3"/>
  <c r="AE641" i="3"/>
  <c r="AD641" i="3"/>
  <c r="AC641" i="3"/>
  <c r="AB641" i="3"/>
  <c r="AA641" i="3"/>
  <c r="N641" i="3"/>
  <c r="BO640" i="3"/>
  <c r="BN640" i="3"/>
  <c r="BM640" i="3"/>
  <c r="BL640" i="3"/>
  <c r="BK640" i="3"/>
  <c r="BJ640" i="3"/>
  <c r="BI640" i="3"/>
  <c r="BH640" i="3"/>
  <c r="AY640" i="3"/>
  <c r="AX640" i="3"/>
  <c r="AM640" i="3"/>
  <c r="CG640" i="3" s="1"/>
  <c r="AL640" i="3"/>
  <c r="CF640" i="3" s="1"/>
  <c r="AK640" i="3"/>
  <c r="CE640" i="3" s="1"/>
  <c r="AJ640" i="3"/>
  <c r="CD640" i="3" s="1"/>
  <c r="AI640" i="3"/>
  <c r="AH640" i="3"/>
  <c r="AG640" i="3"/>
  <c r="AF640" i="3"/>
  <c r="AE640" i="3"/>
  <c r="AD640" i="3"/>
  <c r="AC640" i="3"/>
  <c r="AB640" i="3"/>
  <c r="AA640" i="3"/>
  <c r="N640" i="3"/>
  <c r="BO639" i="3"/>
  <c r="BN639" i="3"/>
  <c r="BM639" i="3"/>
  <c r="BL639" i="3"/>
  <c r="BK639" i="3"/>
  <c r="BJ639" i="3"/>
  <c r="BI639" i="3"/>
  <c r="BH639" i="3"/>
  <c r="AY639" i="3"/>
  <c r="AX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N639" i="3"/>
  <c r="BO638" i="3"/>
  <c r="BN638" i="3"/>
  <c r="BM638" i="3"/>
  <c r="BL638" i="3"/>
  <c r="BK638" i="3"/>
  <c r="BJ638" i="3"/>
  <c r="BI638" i="3"/>
  <c r="BH638" i="3"/>
  <c r="AY638" i="3"/>
  <c r="AX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N638" i="3"/>
  <c r="BO637" i="3"/>
  <c r="BN637" i="3"/>
  <c r="BM637" i="3"/>
  <c r="BL637" i="3"/>
  <c r="BK637" i="3"/>
  <c r="BJ637" i="3"/>
  <c r="BI637" i="3"/>
  <c r="BH637" i="3"/>
  <c r="AY637" i="3"/>
  <c r="AX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N637" i="3"/>
  <c r="BO636" i="3"/>
  <c r="BN636" i="3"/>
  <c r="BM636" i="3"/>
  <c r="BK636" i="3"/>
  <c r="BI636" i="3"/>
  <c r="BH636" i="3"/>
  <c r="AY636" i="3"/>
  <c r="AX636" i="3"/>
  <c r="AM636" i="3"/>
  <c r="CG636" i="3" s="1"/>
  <c r="AL636" i="3"/>
  <c r="CF636" i="3" s="1"/>
  <c r="AK636" i="3"/>
  <c r="CE636" i="3" s="1"/>
  <c r="AJ636" i="3"/>
  <c r="CD636" i="3" s="1"/>
  <c r="AI636" i="3"/>
  <c r="AH636" i="3"/>
  <c r="AG636" i="3"/>
  <c r="AF636" i="3"/>
  <c r="BZ636" i="3" s="1"/>
  <c r="AE636" i="3"/>
  <c r="AD636" i="3"/>
  <c r="BX636" i="3" s="1"/>
  <c r="AC636" i="3"/>
  <c r="AB636" i="3"/>
  <c r="AA636" i="3"/>
  <c r="N636" i="3"/>
  <c r="BO635" i="3"/>
  <c r="BN635" i="3"/>
  <c r="BM635" i="3"/>
  <c r="BL635" i="3"/>
  <c r="BK635" i="3"/>
  <c r="BJ635" i="3"/>
  <c r="BI635" i="3"/>
  <c r="BH635" i="3"/>
  <c r="AY635" i="3"/>
  <c r="AX635" i="3"/>
  <c r="AM635" i="3"/>
  <c r="CG635" i="3" s="1"/>
  <c r="AL635" i="3"/>
  <c r="CF635" i="3" s="1"/>
  <c r="AK635" i="3"/>
  <c r="CE635" i="3" s="1"/>
  <c r="AJ635" i="3"/>
  <c r="CD635" i="3" s="1"/>
  <c r="AI635" i="3"/>
  <c r="AH635" i="3"/>
  <c r="AG635" i="3"/>
  <c r="AF635" i="3"/>
  <c r="AE635" i="3"/>
  <c r="AD635" i="3"/>
  <c r="AC635" i="3"/>
  <c r="AB635" i="3"/>
  <c r="AA635" i="3"/>
  <c r="N635" i="3"/>
  <c r="BO634" i="3"/>
  <c r="BN634" i="3"/>
  <c r="BM634" i="3"/>
  <c r="BL634" i="3"/>
  <c r="BK634" i="3"/>
  <c r="BJ634" i="3"/>
  <c r="BI634" i="3"/>
  <c r="BH634" i="3"/>
  <c r="AY634" i="3"/>
  <c r="AX634" i="3"/>
  <c r="AM634" i="3"/>
  <c r="CG634" i="3" s="1"/>
  <c r="AL634" i="3"/>
  <c r="CF634" i="3" s="1"/>
  <c r="AK634" i="3"/>
  <c r="CE634" i="3" s="1"/>
  <c r="AJ634" i="3"/>
  <c r="CD634" i="3" s="1"/>
  <c r="AI634" i="3"/>
  <c r="AH634" i="3"/>
  <c r="AG634" i="3"/>
  <c r="AF634" i="3"/>
  <c r="AE634" i="3"/>
  <c r="AD634" i="3"/>
  <c r="AC634" i="3"/>
  <c r="AB634" i="3"/>
  <c r="AA634" i="3"/>
  <c r="N634" i="3"/>
  <c r="BO633" i="3"/>
  <c r="BN633" i="3"/>
  <c r="BM633" i="3"/>
  <c r="BL633" i="3"/>
  <c r="BK633" i="3"/>
  <c r="BJ633" i="3"/>
  <c r="BI633" i="3"/>
  <c r="BH633" i="3"/>
  <c r="AY633" i="3"/>
  <c r="AX633" i="3"/>
  <c r="AM633" i="3"/>
  <c r="CG633" i="3" s="1"/>
  <c r="AL633" i="3"/>
  <c r="CF633" i="3" s="1"/>
  <c r="AK633" i="3"/>
  <c r="CE633" i="3" s="1"/>
  <c r="AJ633" i="3"/>
  <c r="CD633" i="3" s="1"/>
  <c r="AI633" i="3"/>
  <c r="AH633" i="3"/>
  <c r="AG633" i="3"/>
  <c r="AF633" i="3"/>
  <c r="AE633" i="3"/>
  <c r="AD633" i="3"/>
  <c r="AC633" i="3"/>
  <c r="AB633" i="3"/>
  <c r="AA633" i="3"/>
  <c r="N633" i="3"/>
  <c r="BO632" i="3"/>
  <c r="BN632" i="3"/>
  <c r="BM632" i="3"/>
  <c r="BL632" i="3"/>
  <c r="BK632" i="3"/>
  <c r="BJ632" i="3"/>
  <c r="BI632" i="3"/>
  <c r="BH632" i="3"/>
  <c r="AY632" i="3"/>
  <c r="AX632" i="3"/>
  <c r="AM632" i="3"/>
  <c r="CG632" i="3" s="1"/>
  <c r="AL632" i="3"/>
  <c r="CF632" i="3" s="1"/>
  <c r="AK632" i="3"/>
  <c r="CE632" i="3" s="1"/>
  <c r="AJ632" i="3"/>
  <c r="CD632" i="3" s="1"/>
  <c r="AI632" i="3"/>
  <c r="AH632" i="3"/>
  <c r="AG632" i="3"/>
  <c r="AF632" i="3"/>
  <c r="AE632" i="3"/>
  <c r="AD632" i="3"/>
  <c r="AC632" i="3"/>
  <c r="AB632" i="3"/>
  <c r="AA632" i="3"/>
  <c r="N632" i="3"/>
  <c r="BO631" i="3"/>
  <c r="BN631" i="3"/>
  <c r="BM631" i="3"/>
  <c r="BL631" i="3"/>
  <c r="AY631" i="3"/>
  <c r="AX631" i="3"/>
  <c r="AN631" i="3"/>
  <c r="BO630" i="3"/>
  <c r="BN630" i="3"/>
  <c r="BM630" i="3"/>
  <c r="BL630" i="3"/>
  <c r="BK630" i="3"/>
  <c r="BJ630" i="3"/>
  <c r="BI630" i="3"/>
  <c r="BH630" i="3"/>
  <c r="AY630" i="3"/>
  <c r="AX630" i="3"/>
  <c r="AN630" i="3"/>
  <c r="CG629" i="3"/>
  <c r="CF629" i="3"/>
  <c r="CE629" i="3"/>
  <c r="CD629" i="3"/>
  <c r="BO629" i="3"/>
  <c r="CC629" i="3" s="1"/>
  <c r="BN629" i="3"/>
  <c r="CB629" i="3" s="1"/>
  <c r="BM629" i="3"/>
  <c r="CA629" i="3" s="1"/>
  <c r="BL629" i="3"/>
  <c r="BZ629" i="3" s="1"/>
  <c r="BK629" i="3"/>
  <c r="BY629" i="3" s="1"/>
  <c r="BJ629" i="3"/>
  <c r="BX629" i="3" s="1"/>
  <c r="BI629" i="3"/>
  <c r="BW629" i="3" s="1"/>
  <c r="BH629" i="3"/>
  <c r="AY629" i="3"/>
  <c r="AX629" i="3"/>
  <c r="AN629" i="3"/>
  <c r="BO628" i="3"/>
  <c r="BN628" i="3"/>
  <c r="BM628" i="3"/>
  <c r="BL628" i="3"/>
  <c r="BK628" i="3"/>
  <c r="BJ628" i="3"/>
  <c r="BI628" i="3"/>
  <c r="BH628" i="3"/>
  <c r="AY628" i="3"/>
  <c r="AX628" i="3"/>
  <c r="AM628" i="3"/>
  <c r="CG628" i="3" s="1"/>
  <c r="AL628" i="3"/>
  <c r="CF628" i="3" s="1"/>
  <c r="AK628" i="3"/>
  <c r="CE628" i="3" s="1"/>
  <c r="AJ628" i="3"/>
  <c r="CD628" i="3" s="1"/>
  <c r="AI628" i="3"/>
  <c r="AH628" i="3"/>
  <c r="AG628" i="3"/>
  <c r="AF628" i="3"/>
  <c r="AE628" i="3"/>
  <c r="AD628" i="3"/>
  <c r="AC628" i="3"/>
  <c r="AB628" i="3"/>
  <c r="AA628" i="3"/>
  <c r="N628" i="3"/>
  <c r="BO627" i="3"/>
  <c r="BN627" i="3"/>
  <c r="BM627" i="3"/>
  <c r="BL627" i="3"/>
  <c r="BK627" i="3"/>
  <c r="BJ627" i="3"/>
  <c r="BI627" i="3"/>
  <c r="BH627" i="3"/>
  <c r="AY627" i="3"/>
  <c r="AX627" i="3"/>
  <c r="AM627" i="3"/>
  <c r="CG627" i="3" s="1"/>
  <c r="AL627" i="3"/>
  <c r="CF627" i="3" s="1"/>
  <c r="AK627" i="3"/>
  <c r="CE627" i="3" s="1"/>
  <c r="AJ627" i="3"/>
  <c r="CD627" i="3" s="1"/>
  <c r="AI627" i="3"/>
  <c r="AH627" i="3"/>
  <c r="AG627" i="3"/>
  <c r="AF627" i="3"/>
  <c r="AE627" i="3"/>
  <c r="AD627" i="3"/>
  <c r="AC627" i="3"/>
  <c r="AB627" i="3"/>
  <c r="AA627" i="3"/>
  <c r="N627" i="3"/>
  <c r="BO626" i="3"/>
  <c r="BN626" i="3"/>
  <c r="BM626" i="3"/>
  <c r="BL626" i="3"/>
  <c r="BK626" i="3"/>
  <c r="BJ626" i="3"/>
  <c r="BI626" i="3"/>
  <c r="BH626" i="3"/>
  <c r="AY626" i="3"/>
  <c r="AX626" i="3"/>
  <c r="AM626" i="3"/>
  <c r="CG626" i="3" s="1"/>
  <c r="AL626" i="3"/>
  <c r="CF626" i="3" s="1"/>
  <c r="AK626" i="3"/>
  <c r="CE626" i="3" s="1"/>
  <c r="AJ626" i="3"/>
  <c r="CD626" i="3" s="1"/>
  <c r="AI626" i="3"/>
  <c r="AH626" i="3"/>
  <c r="AG626" i="3"/>
  <c r="AF626" i="3"/>
  <c r="AE626" i="3"/>
  <c r="AD626" i="3"/>
  <c r="AC626" i="3"/>
  <c r="AB626" i="3"/>
  <c r="AA626" i="3"/>
  <c r="N626" i="3"/>
  <c r="BO625" i="3"/>
  <c r="BN625" i="3"/>
  <c r="BM625" i="3"/>
  <c r="BL625" i="3"/>
  <c r="BK625" i="3"/>
  <c r="BJ625" i="3"/>
  <c r="BI625" i="3"/>
  <c r="BH625" i="3"/>
  <c r="AY625" i="3"/>
  <c r="AX625" i="3"/>
  <c r="AM625" i="3"/>
  <c r="CG625" i="3" s="1"/>
  <c r="AL625" i="3"/>
  <c r="CF625" i="3" s="1"/>
  <c r="AK625" i="3"/>
  <c r="CE625" i="3" s="1"/>
  <c r="AJ625" i="3"/>
  <c r="CD625" i="3" s="1"/>
  <c r="AI625" i="3"/>
  <c r="AH625" i="3"/>
  <c r="AG625" i="3"/>
  <c r="AF625" i="3"/>
  <c r="AE625" i="3"/>
  <c r="AD625" i="3"/>
  <c r="AC625" i="3"/>
  <c r="AB625" i="3"/>
  <c r="AA625" i="3"/>
  <c r="N625" i="3"/>
  <c r="BO624" i="3"/>
  <c r="BN624" i="3"/>
  <c r="BM624" i="3"/>
  <c r="BL624" i="3"/>
  <c r="BK624" i="3"/>
  <c r="BJ624" i="3"/>
  <c r="BI624" i="3"/>
  <c r="BH624" i="3"/>
  <c r="AY624" i="3"/>
  <c r="AX624" i="3"/>
  <c r="AM624" i="3"/>
  <c r="CG624" i="3" s="1"/>
  <c r="AL624" i="3"/>
  <c r="CF624" i="3" s="1"/>
  <c r="AK624" i="3"/>
  <c r="CE624" i="3" s="1"/>
  <c r="AJ624" i="3"/>
  <c r="CD624" i="3" s="1"/>
  <c r="AI624" i="3"/>
  <c r="AH624" i="3"/>
  <c r="AG624" i="3"/>
  <c r="AF624" i="3"/>
  <c r="AE624" i="3"/>
  <c r="AD624" i="3"/>
  <c r="AC624" i="3"/>
  <c r="AB624" i="3"/>
  <c r="AA624" i="3"/>
  <c r="N624" i="3"/>
  <c r="BO623" i="3"/>
  <c r="BN623" i="3"/>
  <c r="BM623" i="3"/>
  <c r="BL623" i="3"/>
  <c r="BK623" i="3"/>
  <c r="BJ623" i="3"/>
  <c r="BI623" i="3"/>
  <c r="BH623" i="3"/>
  <c r="AY623" i="3"/>
  <c r="AX623" i="3"/>
  <c r="AM623" i="3"/>
  <c r="CG623" i="3" s="1"/>
  <c r="AL623" i="3"/>
  <c r="CF623" i="3" s="1"/>
  <c r="AK623" i="3"/>
  <c r="CE623" i="3" s="1"/>
  <c r="AJ623" i="3"/>
  <c r="CD623" i="3" s="1"/>
  <c r="AI623" i="3"/>
  <c r="AH623" i="3"/>
  <c r="AG623" i="3"/>
  <c r="AF623" i="3"/>
  <c r="AE623" i="3"/>
  <c r="AD623" i="3"/>
  <c r="AC623" i="3"/>
  <c r="AB623" i="3"/>
  <c r="AA623" i="3"/>
  <c r="N623" i="3"/>
  <c r="BO622" i="3"/>
  <c r="BN622" i="3"/>
  <c r="BM622" i="3"/>
  <c r="BL622" i="3"/>
  <c r="BK622" i="3"/>
  <c r="BJ622" i="3"/>
  <c r="BI622" i="3"/>
  <c r="BH622" i="3"/>
  <c r="AY622" i="3"/>
  <c r="AX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N622" i="3"/>
  <c r="BO621" i="3"/>
  <c r="BN621" i="3"/>
  <c r="BM621" i="3"/>
  <c r="BL621" i="3"/>
  <c r="BK621" i="3"/>
  <c r="BJ621" i="3"/>
  <c r="BI621" i="3"/>
  <c r="BH621" i="3"/>
  <c r="AY621" i="3"/>
  <c r="AX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N621" i="3"/>
  <c r="BO620" i="3"/>
  <c r="BN620" i="3"/>
  <c r="BM620" i="3"/>
  <c r="BL620" i="3"/>
  <c r="BK620" i="3"/>
  <c r="BJ620" i="3"/>
  <c r="BI620" i="3"/>
  <c r="BH620" i="3"/>
  <c r="AY620" i="3"/>
  <c r="AX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N620" i="3"/>
  <c r="BO619" i="3"/>
  <c r="BN619" i="3"/>
  <c r="BM619" i="3"/>
  <c r="BK619" i="3"/>
  <c r="BJ619" i="3"/>
  <c r="BI619" i="3"/>
  <c r="BH619" i="3"/>
  <c r="AY619" i="3"/>
  <c r="AX619" i="3"/>
  <c r="AM619" i="3"/>
  <c r="AL619" i="3"/>
  <c r="AK619" i="3"/>
  <c r="AJ619" i="3"/>
  <c r="AI619" i="3"/>
  <c r="AH619" i="3"/>
  <c r="AG619" i="3"/>
  <c r="AF619" i="3"/>
  <c r="BZ619" i="3" s="1"/>
  <c r="AE619" i="3"/>
  <c r="AD619" i="3"/>
  <c r="AC619" i="3"/>
  <c r="AB619" i="3"/>
  <c r="AA619" i="3"/>
  <c r="N619" i="3"/>
  <c r="BO618" i="3"/>
  <c r="BN618" i="3"/>
  <c r="BM618" i="3"/>
  <c r="BL618" i="3"/>
  <c r="BK618" i="3"/>
  <c r="BJ618" i="3"/>
  <c r="BI618" i="3"/>
  <c r="BH618" i="3"/>
  <c r="AY618" i="3"/>
  <c r="AX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N618" i="3"/>
  <c r="BO617" i="3"/>
  <c r="BN617" i="3"/>
  <c r="BM617" i="3"/>
  <c r="BL617" i="3"/>
  <c r="BK617" i="3"/>
  <c r="BJ617" i="3"/>
  <c r="BI617" i="3"/>
  <c r="BH617" i="3"/>
  <c r="AY617" i="3"/>
  <c r="AX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N617" i="3"/>
  <c r="BO616" i="3"/>
  <c r="BN616" i="3"/>
  <c r="BM616" i="3"/>
  <c r="BK616" i="3"/>
  <c r="BJ616" i="3"/>
  <c r="BI616" i="3"/>
  <c r="BH616" i="3"/>
  <c r="AY616" i="3"/>
  <c r="AX616" i="3"/>
  <c r="AM616" i="3"/>
  <c r="AL616" i="3"/>
  <c r="AK616" i="3"/>
  <c r="AJ616" i="3"/>
  <c r="AI616" i="3"/>
  <c r="AH616" i="3"/>
  <c r="AG616" i="3"/>
  <c r="AF616" i="3"/>
  <c r="BZ616" i="3" s="1"/>
  <c r="AE616" i="3"/>
  <c r="AD616" i="3"/>
  <c r="AC616" i="3"/>
  <c r="AB616" i="3"/>
  <c r="AA616" i="3"/>
  <c r="N616" i="3"/>
  <c r="CG615" i="3"/>
  <c r="CF615" i="3"/>
  <c r="CE615" i="3"/>
  <c r="CD615" i="3"/>
  <c r="BZ615" i="3"/>
  <c r="BX615" i="3"/>
  <c r="BO615" i="3"/>
  <c r="CC615" i="3" s="1"/>
  <c r="BN615" i="3"/>
  <c r="CB615" i="3" s="1"/>
  <c r="BM615" i="3"/>
  <c r="CA615" i="3" s="1"/>
  <c r="BK615" i="3"/>
  <c r="BY615" i="3" s="1"/>
  <c r="BI615" i="3"/>
  <c r="BW615" i="3" s="1"/>
  <c r="BH615" i="3"/>
  <c r="AY615" i="3"/>
  <c r="AX615" i="3"/>
  <c r="AN615" i="3"/>
  <c r="BO614" i="3"/>
  <c r="BN614" i="3"/>
  <c r="BM614" i="3"/>
  <c r="BL614" i="3"/>
  <c r="BK614" i="3"/>
  <c r="BJ614" i="3"/>
  <c r="BI614" i="3"/>
  <c r="BH614" i="3"/>
  <c r="AY614" i="3"/>
  <c r="AX614" i="3"/>
  <c r="AM614" i="3"/>
  <c r="CG614" i="3" s="1"/>
  <c r="AL614" i="3"/>
  <c r="CF614" i="3" s="1"/>
  <c r="AK614" i="3"/>
  <c r="CE614" i="3" s="1"/>
  <c r="AJ614" i="3"/>
  <c r="CD614" i="3" s="1"/>
  <c r="AI614" i="3"/>
  <c r="AH614" i="3"/>
  <c r="AG614" i="3"/>
  <c r="AF614" i="3"/>
  <c r="AE614" i="3"/>
  <c r="AD614" i="3"/>
  <c r="AC614" i="3"/>
  <c r="AB614" i="3"/>
  <c r="AA614" i="3"/>
  <c r="N614" i="3"/>
  <c r="CG613" i="3"/>
  <c r="CF613" i="3"/>
  <c r="CE613" i="3"/>
  <c r="CD613" i="3"/>
  <c r="BZ613" i="3"/>
  <c r="BW613" i="3"/>
  <c r="BV613" i="3"/>
  <c r="BO613" i="3"/>
  <c r="CC613" i="3" s="1"/>
  <c r="BN613" i="3"/>
  <c r="CB613" i="3" s="1"/>
  <c r="BM613" i="3"/>
  <c r="CA613" i="3" s="1"/>
  <c r="BK613" i="3"/>
  <c r="BY613" i="3" s="1"/>
  <c r="BJ613" i="3"/>
  <c r="AY613" i="3"/>
  <c r="AX613" i="3"/>
  <c r="AN613" i="3"/>
  <c r="CG612" i="3"/>
  <c r="CF612" i="3"/>
  <c r="CE612" i="3"/>
  <c r="CD612" i="3"/>
  <c r="BO612" i="3"/>
  <c r="CC612" i="3" s="1"/>
  <c r="BN612" i="3"/>
  <c r="CB612" i="3" s="1"/>
  <c r="BM612" i="3"/>
  <c r="CA612" i="3" s="1"/>
  <c r="BL612" i="3"/>
  <c r="BZ612" i="3" s="1"/>
  <c r="BK612" i="3"/>
  <c r="BY612" i="3" s="1"/>
  <c r="BJ612" i="3"/>
  <c r="BX612" i="3" s="1"/>
  <c r="BI612" i="3"/>
  <c r="BW612" i="3" s="1"/>
  <c r="BH612" i="3"/>
  <c r="AY612" i="3"/>
  <c r="AX612" i="3"/>
  <c r="AN612" i="3"/>
  <c r="CG611" i="3"/>
  <c r="CF611" i="3"/>
  <c r="CE611" i="3"/>
  <c r="CD611" i="3"/>
  <c r="BZ611" i="3"/>
  <c r="BW611" i="3"/>
  <c r="BV611" i="3"/>
  <c r="BO611" i="3"/>
  <c r="CC611" i="3" s="1"/>
  <c r="BN611" i="3"/>
  <c r="CB611" i="3" s="1"/>
  <c r="BM611" i="3"/>
  <c r="CA611" i="3" s="1"/>
  <c r="BK611" i="3"/>
  <c r="BY611" i="3" s="1"/>
  <c r="BJ611" i="3"/>
  <c r="AY611" i="3"/>
  <c r="AX611" i="3"/>
  <c r="AN611" i="3"/>
  <c r="CG610" i="3"/>
  <c r="CF610" i="3"/>
  <c r="CE610" i="3"/>
  <c r="CD610" i="3"/>
  <c r="BZ610" i="3"/>
  <c r="BW610" i="3"/>
  <c r="BV610" i="3"/>
  <c r="BO610" i="3"/>
  <c r="CC610" i="3" s="1"/>
  <c r="BN610" i="3"/>
  <c r="CB610" i="3" s="1"/>
  <c r="BM610" i="3"/>
  <c r="CA610" i="3" s="1"/>
  <c r="BK610" i="3"/>
  <c r="BY610" i="3" s="1"/>
  <c r="BJ610" i="3"/>
  <c r="AY610" i="3"/>
  <c r="AX610" i="3"/>
  <c r="AN610" i="3"/>
  <c r="BO609" i="3"/>
  <c r="BN609" i="3"/>
  <c r="BM609" i="3"/>
  <c r="BL609" i="3"/>
  <c r="BK609" i="3"/>
  <c r="BJ609" i="3"/>
  <c r="BI609" i="3"/>
  <c r="BH609" i="3"/>
  <c r="AY609" i="3"/>
  <c r="AX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N609" i="3"/>
  <c r="BO608" i="3"/>
  <c r="BN608" i="3"/>
  <c r="BM608" i="3"/>
  <c r="BL608" i="3"/>
  <c r="BK608" i="3"/>
  <c r="BJ608" i="3"/>
  <c r="BI608" i="3"/>
  <c r="BH608" i="3"/>
  <c r="AY608" i="3"/>
  <c r="AX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N608" i="3"/>
  <c r="BO607" i="3"/>
  <c r="BN607" i="3"/>
  <c r="BM607" i="3"/>
  <c r="BL607" i="3"/>
  <c r="BK607" i="3"/>
  <c r="BJ607" i="3"/>
  <c r="BI607" i="3"/>
  <c r="BH607" i="3"/>
  <c r="AY607" i="3"/>
  <c r="AX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N607" i="3"/>
  <c r="BO606" i="3"/>
  <c r="BN606" i="3"/>
  <c r="BM606" i="3"/>
  <c r="BL606" i="3"/>
  <c r="BK606" i="3"/>
  <c r="BJ606" i="3"/>
  <c r="BI606" i="3"/>
  <c r="BH606" i="3"/>
  <c r="AY606" i="3"/>
  <c r="AX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N606" i="3"/>
  <c r="BO605" i="3"/>
  <c r="BN605" i="3"/>
  <c r="BM605" i="3"/>
  <c r="BL605" i="3"/>
  <c r="BK605" i="3"/>
  <c r="BJ605" i="3"/>
  <c r="BI605" i="3"/>
  <c r="BH605" i="3"/>
  <c r="AY605" i="3"/>
  <c r="AX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N605" i="3"/>
  <c r="BO604" i="3"/>
  <c r="BN604" i="3"/>
  <c r="BM604" i="3"/>
  <c r="BL604" i="3"/>
  <c r="BK604" i="3"/>
  <c r="BJ604" i="3"/>
  <c r="BI604" i="3"/>
  <c r="BH604" i="3"/>
  <c r="AY604" i="3"/>
  <c r="AX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N604" i="3"/>
  <c r="BO603" i="3"/>
  <c r="BN603" i="3"/>
  <c r="BM603" i="3"/>
  <c r="BL603" i="3"/>
  <c r="BK603" i="3"/>
  <c r="BJ603" i="3"/>
  <c r="BI603" i="3"/>
  <c r="BH603" i="3"/>
  <c r="AY603" i="3"/>
  <c r="AX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N603" i="3"/>
  <c r="BO602" i="3"/>
  <c r="BP602" i="3" s="1"/>
  <c r="BQ602" i="3" s="1"/>
  <c r="BR602" i="3" s="1"/>
  <c r="BS602" i="3" s="1"/>
  <c r="BN602" i="3"/>
  <c r="BM602" i="3"/>
  <c r="BK602" i="3"/>
  <c r="BJ602" i="3"/>
  <c r="BI602" i="3"/>
  <c r="BH602" i="3"/>
  <c r="AY602" i="3"/>
  <c r="AX602" i="3"/>
  <c r="AN602" i="3"/>
  <c r="BO601" i="3"/>
  <c r="BN601" i="3"/>
  <c r="BM601" i="3"/>
  <c r="BL601" i="3"/>
  <c r="BK601" i="3"/>
  <c r="BJ601" i="3"/>
  <c r="BI601" i="3"/>
  <c r="BH601" i="3"/>
  <c r="AY601" i="3"/>
  <c r="AX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N601" i="3"/>
  <c r="BO600" i="3"/>
  <c r="BN600" i="3"/>
  <c r="BM600" i="3"/>
  <c r="BL600" i="3"/>
  <c r="BK600" i="3"/>
  <c r="BJ600" i="3"/>
  <c r="BI600" i="3"/>
  <c r="BH600" i="3"/>
  <c r="AY600" i="3"/>
  <c r="AX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N600" i="3"/>
  <c r="BO599" i="3"/>
  <c r="BN599" i="3"/>
  <c r="BM599" i="3"/>
  <c r="BL599" i="3"/>
  <c r="BK599" i="3"/>
  <c r="BJ599" i="3"/>
  <c r="BI599" i="3"/>
  <c r="BH599" i="3"/>
  <c r="AY599" i="3"/>
  <c r="AX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N599" i="3"/>
  <c r="BO598" i="3"/>
  <c r="BN598" i="3"/>
  <c r="BM598" i="3"/>
  <c r="BL598" i="3"/>
  <c r="BK598" i="3"/>
  <c r="BJ598" i="3"/>
  <c r="BI598" i="3"/>
  <c r="BH598" i="3"/>
  <c r="AY598" i="3"/>
  <c r="AX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N598" i="3"/>
  <c r="BO597" i="3"/>
  <c r="BN597" i="3"/>
  <c r="BM597" i="3"/>
  <c r="BL597" i="3"/>
  <c r="BK597" i="3"/>
  <c r="BJ597" i="3"/>
  <c r="BI597" i="3"/>
  <c r="BH597" i="3"/>
  <c r="AY597" i="3"/>
  <c r="AX597" i="3"/>
  <c r="AM597" i="3"/>
  <c r="CG597" i="3" s="1"/>
  <c r="AL597" i="3"/>
  <c r="CF597" i="3" s="1"/>
  <c r="AK597" i="3"/>
  <c r="CE597" i="3" s="1"/>
  <c r="AJ597" i="3"/>
  <c r="CD597" i="3" s="1"/>
  <c r="AI597" i="3"/>
  <c r="AH597" i="3"/>
  <c r="AG597" i="3"/>
  <c r="AF597" i="3"/>
  <c r="AE597" i="3"/>
  <c r="AD597" i="3"/>
  <c r="AC597" i="3"/>
  <c r="AB597" i="3"/>
  <c r="AA597" i="3"/>
  <c r="N597" i="3"/>
  <c r="BO596" i="3"/>
  <c r="BN596" i="3"/>
  <c r="BM596" i="3"/>
  <c r="BL596" i="3"/>
  <c r="BK596" i="3"/>
  <c r="BJ596" i="3"/>
  <c r="BI596" i="3"/>
  <c r="BH596" i="3"/>
  <c r="AY596" i="3"/>
  <c r="AX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N596" i="3"/>
  <c r="BO595" i="3"/>
  <c r="BN595" i="3"/>
  <c r="BM595" i="3"/>
  <c r="BL595" i="3"/>
  <c r="BK595" i="3"/>
  <c r="BJ595" i="3"/>
  <c r="BI595" i="3"/>
  <c r="BH595" i="3"/>
  <c r="AY595" i="3"/>
  <c r="AX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N595" i="3"/>
  <c r="BO594" i="3"/>
  <c r="BN594" i="3"/>
  <c r="BM594" i="3"/>
  <c r="BL594" i="3"/>
  <c r="BK594" i="3"/>
  <c r="BJ594" i="3"/>
  <c r="BI594" i="3"/>
  <c r="BH594" i="3"/>
  <c r="AY594" i="3"/>
  <c r="AX594" i="3"/>
  <c r="AM594" i="3"/>
  <c r="CG594" i="3" s="1"/>
  <c r="AL594" i="3"/>
  <c r="CF594" i="3" s="1"/>
  <c r="AK594" i="3"/>
  <c r="CE594" i="3" s="1"/>
  <c r="AJ594" i="3"/>
  <c r="CD594" i="3" s="1"/>
  <c r="AI594" i="3"/>
  <c r="AH594" i="3"/>
  <c r="AG594" i="3"/>
  <c r="AF594" i="3"/>
  <c r="AE594" i="3"/>
  <c r="AD594" i="3"/>
  <c r="AC594" i="3"/>
  <c r="AB594" i="3"/>
  <c r="AA594" i="3"/>
  <c r="N594" i="3"/>
  <c r="BO593" i="3"/>
  <c r="BP593" i="3" s="1"/>
  <c r="BQ593" i="3" s="1"/>
  <c r="BR593" i="3" s="1"/>
  <c r="BS593" i="3" s="1"/>
  <c r="BN593" i="3"/>
  <c r="BM593" i="3"/>
  <c r="BL593" i="3"/>
  <c r="BK593" i="3"/>
  <c r="BJ593" i="3"/>
  <c r="BI593" i="3"/>
  <c r="BH593" i="3"/>
  <c r="AY593" i="3"/>
  <c r="AX593" i="3"/>
  <c r="AN593" i="3"/>
  <c r="BO592" i="3"/>
  <c r="BN592" i="3"/>
  <c r="BM592" i="3"/>
  <c r="BL592" i="3"/>
  <c r="BK592" i="3"/>
  <c r="BJ592" i="3"/>
  <c r="BI592" i="3"/>
  <c r="BH592" i="3"/>
  <c r="AY592" i="3"/>
  <c r="AX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N592" i="3"/>
  <c r="BO591" i="3"/>
  <c r="BN591" i="3"/>
  <c r="BM591" i="3"/>
  <c r="BL591" i="3"/>
  <c r="BK591" i="3"/>
  <c r="BJ591" i="3"/>
  <c r="BI591" i="3"/>
  <c r="BH591" i="3"/>
  <c r="AY591" i="3"/>
  <c r="AX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N591" i="3"/>
  <c r="BO590" i="3"/>
  <c r="BN590" i="3"/>
  <c r="BM590" i="3"/>
  <c r="BL590" i="3"/>
  <c r="BK590" i="3"/>
  <c r="BJ590" i="3"/>
  <c r="BI590" i="3"/>
  <c r="BH590" i="3"/>
  <c r="AY590" i="3"/>
  <c r="AX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N590" i="3"/>
  <c r="BO589" i="3"/>
  <c r="BN589" i="3"/>
  <c r="BM589" i="3"/>
  <c r="BL589" i="3"/>
  <c r="BK589" i="3"/>
  <c r="BJ589" i="3"/>
  <c r="BI589" i="3"/>
  <c r="BH589" i="3"/>
  <c r="AY589" i="3"/>
  <c r="AX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N589" i="3"/>
  <c r="BO588" i="3"/>
  <c r="BN588" i="3"/>
  <c r="BM588" i="3"/>
  <c r="BL588" i="3"/>
  <c r="BK588" i="3"/>
  <c r="BJ588" i="3"/>
  <c r="BI588" i="3"/>
  <c r="BH588" i="3"/>
  <c r="AY588" i="3"/>
  <c r="AX588" i="3"/>
  <c r="AM588" i="3"/>
  <c r="CG588" i="3" s="1"/>
  <c r="AL588" i="3"/>
  <c r="CF588" i="3" s="1"/>
  <c r="AK588" i="3"/>
  <c r="CE588" i="3" s="1"/>
  <c r="AJ588" i="3"/>
  <c r="CD588" i="3" s="1"/>
  <c r="AI588" i="3"/>
  <c r="AH588" i="3"/>
  <c r="AG588" i="3"/>
  <c r="AF588" i="3"/>
  <c r="AE588" i="3"/>
  <c r="AD588" i="3"/>
  <c r="AC588" i="3"/>
  <c r="AB588" i="3"/>
  <c r="AA588" i="3"/>
  <c r="N588" i="3"/>
  <c r="BO587" i="3"/>
  <c r="BN587" i="3"/>
  <c r="BM587" i="3"/>
  <c r="BL587" i="3"/>
  <c r="BK587" i="3"/>
  <c r="BJ587" i="3"/>
  <c r="BI587" i="3"/>
  <c r="BH587" i="3"/>
  <c r="AY587" i="3"/>
  <c r="AX587" i="3"/>
  <c r="AM587" i="3"/>
  <c r="CG587" i="3" s="1"/>
  <c r="AL587" i="3"/>
  <c r="CF587" i="3" s="1"/>
  <c r="AK587" i="3"/>
  <c r="CE587" i="3" s="1"/>
  <c r="AJ587" i="3"/>
  <c r="CD587" i="3" s="1"/>
  <c r="AI587" i="3"/>
  <c r="AH587" i="3"/>
  <c r="AG587" i="3"/>
  <c r="AF587" i="3"/>
  <c r="AE587" i="3"/>
  <c r="AD587" i="3"/>
  <c r="AC587" i="3"/>
  <c r="AB587" i="3"/>
  <c r="AA587" i="3"/>
  <c r="N587" i="3"/>
  <c r="BO586" i="3"/>
  <c r="BN586" i="3"/>
  <c r="BM586" i="3"/>
  <c r="BL586" i="3"/>
  <c r="BK586" i="3"/>
  <c r="BJ586" i="3"/>
  <c r="BI586" i="3"/>
  <c r="BH586" i="3"/>
  <c r="AY586" i="3"/>
  <c r="AX586" i="3"/>
  <c r="AM586" i="3"/>
  <c r="CG586" i="3" s="1"/>
  <c r="AL586" i="3"/>
  <c r="CF586" i="3" s="1"/>
  <c r="AK586" i="3"/>
  <c r="CE586" i="3" s="1"/>
  <c r="AJ586" i="3"/>
  <c r="CD586" i="3" s="1"/>
  <c r="AI586" i="3"/>
  <c r="AH586" i="3"/>
  <c r="AG586" i="3"/>
  <c r="AF586" i="3"/>
  <c r="AE586" i="3"/>
  <c r="AD586" i="3"/>
  <c r="AC586" i="3"/>
  <c r="AB586" i="3"/>
  <c r="AA586" i="3"/>
  <c r="N586" i="3"/>
  <c r="BO585" i="3"/>
  <c r="BN585" i="3"/>
  <c r="BM585" i="3"/>
  <c r="BL585" i="3"/>
  <c r="BK585" i="3"/>
  <c r="BJ585" i="3"/>
  <c r="BI585" i="3"/>
  <c r="BH585" i="3"/>
  <c r="AY585" i="3"/>
  <c r="AX585" i="3"/>
  <c r="AM585" i="3"/>
  <c r="CG585" i="3" s="1"/>
  <c r="AL585" i="3"/>
  <c r="CF585" i="3" s="1"/>
  <c r="AK585" i="3"/>
  <c r="CE585" i="3" s="1"/>
  <c r="AJ585" i="3"/>
  <c r="CD585" i="3" s="1"/>
  <c r="AI585" i="3"/>
  <c r="AH585" i="3"/>
  <c r="AG585" i="3"/>
  <c r="AF585" i="3"/>
  <c r="AE585" i="3"/>
  <c r="AD585" i="3"/>
  <c r="AC585" i="3"/>
  <c r="AB585" i="3"/>
  <c r="AA585" i="3"/>
  <c r="N585" i="3"/>
  <c r="BO584" i="3"/>
  <c r="BN584" i="3"/>
  <c r="BM584" i="3"/>
  <c r="BL584" i="3"/>
  <c r="BK584" i="3"/>
  <c r="BJ584" i="3"/>
  <c r="BI584" i="3"/>
  <c r="BH584" i="3"/>
  <c r="AY584" i="3"/>
  <c r="AX584" i="3"/>
  <c r="AM584" i="3"/>
  <c r="CG584" i="3" s="1"/>
  <c r="AL584" i="3"/>
  <c r="CF584" i="3" s="1"/>
  <c r="AK584" i="3"/>
  <c r="CE584" i="3" s="1"/>
  <c r="AJ584" i="3"/>
  <c r="CD584" i="3" s="1"/>
  <c r="AI584" i="3"/>
  <c r="AH584" i="3"/>
  <c r="AG584" i="3"/>
  <c r="AF584" i="3"/>
  <c r="AE584" i="3"/>
  <c r="AD584" i="3"/>
  <c r="AC584" i="3"/>
  <c r="AB584" i="3"/>
  <c r="AA584" i="3"/>
  <c r="N584" i="3"/>
  <c r="BO583" i="3"/>
  <c r="BN583" i="3"/>
  <c r="BM583" i="3"/>
  <c r="BL583" i="3"/>
  <c r="BK583" i="3"/>
  <c r="BJ583" i="3"/>
  <c r="BI583" i="3"/>
  <c r="BH583" i="3"/>
  <c r="AY583" i="3"/>
  <c r="AX583" i="3"/>
  <c r="AM583" i="3"/>
  <c r="CG583" i="3" s="1"/>
  <c r="AL583" i="3"/>
  <c r="CF583" i="3" s="1"/>
  <c r="AK583" i="3"/>
  <c r="CE583" i="3" s="1"/>
  <c r="AJ583" i="3"/>
  <c r="CD583" i="3" s="1"/>
  <c r="AI583" i="3"/>
  <c r="AH583" i="3"/>
  <c r="AG583" i="3"/>
  <c r="AF583" i="3"/>
  <c r="AE583" i="3"/>
  <c r="AD583" i="3"/>
  <c r="AC583" i="3"/>
  <c r="AB583" i="3"/>
  <c r="AA583" i="3"/>
  <c r="N583" i="3"/>
  <c r="BO582" i="3"/>
  <c r="BN582" i="3"/>
  <c r="BM582" i="3"/>
  <c r="BL582" i="3"/>
  <c r="BK582" i="3"/>
  <c r="BJ582" i="3"/>
  <c r="BI582" i="3"/>
  <c r="BH582" i="3"/>
  <c r="AY582" i="3"/>
  <c r="AX582" i="3"/>
  <c r="AM582" i="3"/>
  <c r="CG582" i="3" s="1"/>
  <c r="AL582" i="3"/>
  <c r="CF582" i="3" s="1"/>
  <c r="AK582" i="3"/>
  <c r="CE582" i="3" s="1"/>
  <c r="AJ582" i="3"/>
  <c r="CD582" i="3" s="1"/>
  <c r="AI582" i="3"/>
  <c r="AH582" i="3"/>
  <c r="AG582" i="3"/>
  <c r="AF582" i="3"/>
  <c r="AE582" i="3"/>
  <c r="AD582" i="3"/>
  <c r="AC582" i="3"/>
  <c r="AB582" i="3"/>
  <c r="AA582" i="3"/>
  <c r="N582" i="3"/>
  <c r="AN582" i="3" s="1"/>
  <c r="BO581" i="3"/>
  <c r="BN581" i="3"/>
  <c r="BM581" i="3"/>
  <c r="BL581" i="3"/>
  <c r="BK581" i="3"/>
  <c r="BJ581" i="3"/>
  <c r="BI581" i="3"/>
  <c r="BH581" i="3"/>
  <c r="AY581" i="3"/>
  <c r="AX581" i="3"/>
  <c r="AM581" i="3"/>
  <c r="CG581" i="3" s="1"/>
  <c r="AL581" i="3"/>
  <c r="CF581" i="3" s="1"/>
  <c r="AK581" i="3"/>
  <c r="CE581" i="3" s="1"/>
  <c r="AJ581" i="3"/>
  <c r="CD581" i="3" s="1"/>
  <c r="AI581" i="3"/>
  <c r="AH581" i="3"/>
  <c r="AG581" i="3"/>
  <c r="AF581" i="3"/>
  <c r="AE581" i="3"/>
  <c r="AD581" i="3"/>
  <c r="AC581" i="3"/>
  <c r="AB581" i="3"/>
  <c r="AA581" i="3"/>
  <c r="N581" i="3"/>
  <c r="BO580" i="3"/>
  <c r="BN580" i="3"/>
  <c r="BM580" i="3"/>
  <c r="BK580" i="3"/>
  <c r="BJ580" i="3"/>
  <c r="BI580" i="3"/>
  <c r="BH580" i="3"/>
  <c r="AY580" i="3"/>
  <c r="AX580" i="3"/>
  <c r="AM580" i="3"/>
  <c r="AL580" i="3"/>
  <c r="AK580" i="3"/>
  <c r="AJ580" i="3"/>
  <c r="AI580" i="3"/>
  <c r="AH580" i="3"/>
  <c r="AG580" i="3"/>
  <c r="AF580" i="3"/>
  <c r="BZ580" i="3" s="1"/>
  <c r="AE580" i="3"/>
  <c r="AD580" i="3"/>
  <c r="AC580" i="3"/>
  <c r="AB580" i="3"/>
  <c r="AA580" i="3"/>
  <c r="N580" i="3"/>
  <c r="AN580" i="3" s="1"/>
  <c r="BO579" i="3"/>
  <c r="BN579" i="3"/>
  <c r="BM579" i="3"/>
  <c r="BL579" i="3"/>
  <c r="BK579" i="3"/>
  <c r="BJ579" i="3"/>
  <c r="BI579" i="3"/>
  <c r="BH579" i="3"/>
  <c r="AY579" i="3"/>
  <c r="AX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N579" i="3"/>
  <c r="BO578" i="3"/>
  <c r="BN578" i="3"/>
  <c r="BM578" i="3"/>
  <c r="BL578" i="3"/>
  <c r="BK578" i="3"/>
  <c r="BJ578" i="3"/>
  <c r="BI578" i="3"/>
  <c r="BH578" i="3"/>
  <c r="AY578" i="3"/>
  <c r="AX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N578" i="3"/>
  <c r="BO577" i="3"/>
  <c r="BN577" i="3"/>
  <c r="BM577" i="3"/>
  <c r="BK577" i="3"/>
  <c r="BJ577" i="3"/>
  <c r="BI577" i="3"/>
  <c r="BH577" i="3"/>
  <c r="AY577" i="3"/>
  <c r="AX577" i="3"/>
  <c r="AM577" i="3"/>
  <c r="AL577" i="3"/>
  <c r="AK577" i="3"/>
  <c r="AJ577" i="3"/>
  <c r="AI577" i="3"/>
  <c r="AH577" i="3"/>
  <c r="AG577" i="3"/>
  <c r="AF577" i="3"/>
  <c r="BZ577" i="3" s="1"/>
  <c r="AE577" i="3"/>
  <c r="AD577" i="3"/>
  <c r="AC577" i="3"/>
  <c r="AB577" i="3"/>
  <c r="AA577" i="3"/>
  <c r="N577" i="3"/>
  <c r="BO576" i="3"/>
  <c r="BN576" i="3"/>
  <c r="BM576" i="3"/>
  <c r="BL576" i="3"/>
  <c r="BK576" i="3"/>
  <c r="BJ576" i="3"/>
  <c r="BI576" i="3"/>
  <c r="BH576" i="3"/>
  <c r="AY576" i="3"/>
  <c r="AX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N576" i="3"/>
  <c r="BO575" i="3"/>
  <c r="BN575" i="3"/>
  <c r="BM575" i="3"/>
  <c r="BL575" i="3"/>
  <c r="BK575" i="3"/>
  <c r="BJ575" i="3"/>
  <c r="BI575" i="3"/>
  <c r="BH575" i="3"/>
  <c r="AY575" i="3"/>
  <c r="AX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N575" i="3"/>
  <c r="AN575" i="3" s="1"/>
  <c r="BO574" i="3"/>
  <c r="BN574" i="3"/>
  <c r="BM574" i="3"/>
  <c r="BK574" i="3"/>
  <c r="BJ574" i="3"/>
  <c r="BI574" i="3"/>
  <c r="BH574" i="3"/>
  <c r="AY574" i="3"/>
  <c r="AX574" i="3"/>
  <c r="AM574" i="3"/>
  <c r="AL574" i="3"/>
  <c r="AK574" i="3"/>
  <c r="AJ574" i="3"/>
  <c r="AI574" i="3"/>
  <c r="AH574" i="3"/>
  <c r="AG574" i="3"/>
  <c r="AF574" i="3"/>
  <c r="BZ574" i="3" s="1"/>
  <c r="AE574" i="3"/>
  <c r="AD574" i="3"/>
  <c r="AC574" i="3"/>
  <c r="AB574" i="3"/>
  <c r="AA574" i="3"/>
  <c r="N574" i="3"/>
  <c r="BO573" i="3"/>
  <c r="BN573" i="3"/>
  <c r="BM573" i="3"/>
  <c r="BL573" i="3"/>
  <c r="BK573" i="3"/>
  <c r="BJ573" i="3"/>
  <c r="BI573" i="3"/>
  <c r="BH573" i="3"/>
  <c r="AY573" i="3"/>
  <c r="AX573" i="3"/>
  <c r="AO573" i="3"/>
  <c r="AM573" i="3"/>
  <c r="CG573" i="3" s="1"/>
  <c r="AL573" i="3"/>
  <c r="CF573" i="3" s="1"/>
  <c r="AK573" i="3"/>
  <c r="CE573" i="3" s="1"/>
  <c r="AJ573" i="3"/>
  <c r="CD573" i="3" s="1"/>
  <c r="AI573" i="3"/>
  <c r="AH573" i="3"/>
  <c r="AG573" i="3"/>
  <c r="AF573" i="3"/>
  <c r="AE573" i="3"/>
  <c r="AD573" i="3"/>
  <c r="AC573" i="3"/>
  <c r="AB573" i="3"/>
  <c r="AA573" i="3"/>
  <c r="N573" i="3"/>
  <c r="BO572" i="3"/>
  <c r="BN572" i="3"/>
  <c r="BM572" i="3"/>
  <c r="BL572" i="3"/>
  <c r="BK572" i="3"/>
  <c r="BJ572" i="3"/>
  <c r="BI572" i="3"/>
  <c r="BH572" i="3"/>
  <c r="AY572" i="3"/>
  <c r="AX572" i="3"/>
  <c r="AO572" i="3"/>
  <c r="AM572" i="3"/>
  <c r="CG572" i="3" s="1"/>
  <c r="AL572" i="3"/>
  <c r="CF572" i="3" s="1"/>
  <c r="AK572" i="3"/>
  <c r="CE572" i="3" s="1"/>
  <c r="AJ572" i="3"/>
  <c r="CD572" i="3" s="1"/>
  <c r="AI572" i="3"/>
  <c r="AH572" i="3"/>
  <c r="AG572" i="3"/>
  <c r="AF572" i="3"/>
  <c r="AE572" i="3"/>
  <c r="AD572" i="3"/>
  <c r="AC572" i="3"/>
  <c r="AB572" i="3"/>
  <c r="AA572" i="3"/>
  <c r="N572" i="3"/>
  <c r="BO571" i="3"/>
  <c r="BN571" i="3"/>
  <c r="BM571" i="3"/>
  <c r="BL571" i="3"/>
  <c r="BK571" i="3"/>
  <c r="BJ571" i="3"/>
  <c r="BI571" i="3"/>
  <c r="BH571" i="3"/>
  <c r="AY571" i="3"/>
  <c r="AX571" i="3"/>
  <c r="AO571" i="3"/>
  <c r="AM571" i="3"/>
  <c r="CG571" i="3" s="1"/>
  <c r="AL571" i="3"/>
  <c r="CF571" i="3" s="1"/>
  <c r="AK571" i="3"/>
  <c r="CE571" i="3" s="1"/>
  <c r="AJ571" i="3"/>
  <c r="CD571" i="3" s="1"/>
  <c r="AI571" i="3"/>
  <c r="AH571" i="3"/>
  <c r="AG571" i="3"/>
  <c r="AF571" i="3"/>
  <c r="AE571" i="3"/>
  <c r="AD571" i="3"/>
  <c r="AC571" i="3"/>
  <c r="AB571" i="3"/>
  <c r="AA571" i="3"/>
  <c r="N571" i="3"/>
  <c r="BO570" i="3"/>
  <c r="BN570" i="3"/>
  <c r="BM570" i="3"/>
  <c r="BK570" i="3"/>
  <c r="BI570" i="3"/>
  <c r="BH570" i="3"/>
  <c r="AY570" i="3"/>
  <c r="AX570" i="3"/>
  <c r="AO570" i="3"/>
  <c r="AM570" i="3"/>
  <c r="CG570" i="3" s="1"/>
  <c r="AL570" i="3"/>
  <c r="CF570" i="3" s="1"/>
  <c r="AK570" i="3"/>
  <c r="CE570" i="3" s="1"/>
  <c r="AJ570" i="3"/>
  <c r="CD570" i="3" s="1"/>
  <c r="AI570" i="3"/>
  <c r="AH570" i="3"/>
  <c r="AG570" i="3"/>
  <c r="AF570" i="3"/>
  <c r="BZ570" i="3" s="1"/>
  <c r="AE570" i="3"/>
  <c r="AD570" i="3"/>
  <c r="BX570" i="3" s="1"/>
  <c r="AC570" i="3"/>
  <c r="AB570" i="3"/>
  <c r="AA570" i="3"/>
  <c r="N570" i="3"/>
  <c r="BO569" i="3"/>
  <c r="BN569" i="3"/>
  <c r="BM569" i="3"/>
  <c r="BL569" i="3"/>
  <c r="BK569" i="3"/>
  <c r="BJ569" i="3"/>
  <c r="BI569" i="3"/>
  <c r="BH569" i="3"/>
  <c r="AY569" i="3"/>
  <c r="AX569" i="3"/>
  <c r="AO569" i="3"/>
  <c r="AM569" i="3"/>
  <c r="CG569" i="3" s="1"/>
  <c r="AL569" i="3"/>
  <c r="CF569" i="3" s="1"/>
  <c r="AK569" i="3"/>
  <c r="CE569" i="3" s="1"/>
  <c r="AJ569" i="3"/>
  <c r="CD569" i="3" s="1"/>
  <c r="AI569" i="3"/>
  <c r="AH569" i="3"/>
  <c r="AG569" i="3"/>
  <c r="AF569" i="3"/>
  <c r="AE569" i="3"/>
  <c r="AD569" i="3"/>
  <c r="AC569" i="3"/>
  <c r="AB569" i="3"/>
  <c r="AA569" i="3"/>
  <c r="N569" i="3"/>
  <c r="AN569" i="3" s="1"/>
  <c r="BO568" i="3"/>
  <c r="BN568" i="3"/>
  <c r="BM568" i="3"/>
  <c r="BL568" i="3"/>
  <c r="BK568" i="3"/>
  <c r="BJ568" i="3"/>
  <c r="BI568" i="3"/>
  <c r="BH568" i="3"/>
  <c r="AY568" i="3"/>
  <c r="AX568" i="3"/>
  <c r="AO568" i="3"/>
  <c r="AM568" i="3"/>
  <c r="CG568" i="3" s="1"/>
  <c r="AL568" i="3"/>
  <c r="CF568" i="3" s="1"/>
  <c r="AK568" i="3"/>
  <c r="CE568" i="3" s="1"/>
  <c r="AJ568" i="3"/>
  <c r="CD568" i="3" s="1"/>
  <c r="AI568" i="3"/>
  <c r="AH568" i="3"/>
  <c r="AG568" i="3"/>
  <c r="AF568" i="3"/>
  <c r="AE568" i="3"/>
  <c r="AD568" i="3"/>
  <c r="AC568" i="3"/>
  <c r="AB568" i="3"/>
  <c r="AA568" i="3"/>
  <c r="N568" i="3"/>
  <c r="BO567" i="3"/>
  <c r="BN567" i="3"/>
  <c r="BM567" i="3"/>
  <c r="BL567" i="3"/>
  <c r="BK567" i="3"/>
  <c r="BJ567" i="3"/>
  <c r="BI567" i="3"/>
  <c r="BH567" i="3"/>
  <c r="AY567" i="3"/>
  <c r="AX567" i="3"/>
  <c r="AM567" i="3"/>
  <c r="CG567" i="3" s="1"/>
  <c r="AL567" i="3"/>
  <c r="CF567" i="3" s="1"/>
  <c r="AK567" i="3"/>
  <c r="CE567" i="3" s="1"/>
  <c r="AJ567" i="3"/>
  <c r="CD567" i="3" s="1"/>
  <c r="AI567" i="3"/>
  <c r="AH567" i="3"/>
  <c r="AG567" i="3"/>
  <c r="AF567" i="3"/>
  <c r="AE567" i="3"/>
  <c r="AD567" i="3"/>
  <c r="AC567" i="3"/>
  <c r="AB567" i="3"/>
  <c r="AA567" i="3"/>
  <c r="N567" i="3"/>
  <c r="BO566" i="3"/>
  <c r="BN566" i="3"/>
  <c r="BM566" i="3"/>
  <c r="BK566" i="3"/>
  <c r="BJ566" i="3"/>
  <c r="BI566" i="3"/>
  <c r="BH566" i="3"/>
  <c r="AY566" i="3"/>
  <c r="AX566" i="3"/>
  <c r="AM566" i="3"/>
  <c r="AL566" i="3"/>
  <c r="AK566" i="3"/>
  <c r="AJ566" i="3"/>
  <c r="AI566" i="3"/>
  <c r="AH566" i="3"/>
  <c r="AG566" i="3"/>
  <c r="AF566" i="3"/>
  <c r="BZ566" i="3" s="1"/>
  <c r="AE566" i="3"/>
  <c r="AD566" i="3"/>
  <c r="AC566" i="3"/>
  <c r="AB566" i="3"/>
  <c r="AA566" i="3"/>
  <c r="N566" i="3"/>
  <c r="BO565" i="3"/>
  <c r="BN565" i="3"/>
  <c r="BM565" i="3"/>
  <c r="BL565" i="3"/>
  <c r="BK565" i="3"/>
  <c r="BJ565" i="3"/>
  <c r="BI565" i="3"/>
  <c r="BH565" i="3"/>
  <c r="AY565" i="3"/>
  <c r="AX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N565" i="3"/>
  <c r="BO564" i="3"/>
  <c r="BN564" i="3"/>
  <c r="BM564" i="3"/>
  <c r="BL564" i="3"/>
  <c r="BK564" i="3"/>
  <c r="BJ564" i="3"/>
  <c r="BI564" i="3"/>
  <c r="BH564" i="3"/>
  <c r="AY564" i="3"/>
  <c r="AX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N564" i="3"/>
  <c r="BO563" i="3"/>
  <c r="BN563" i="3"/>
  <c r="BM563" i="3"/>
  <c r="BL563" i="3"/>
  <c r="BK563" i="3"/>
  <c r="BJ563" i="3"/>
  <c r="BI563" i="3"/>
  <c r="BH563" i="3"/>
  <c r="AY563" i="3"/>
  <c r="AX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N563" i="3"/>
  <c r="CG562" i="3"/>
  <c r="CF562" i="3"/>
  <c r="CE562" i="3"/>
  <c r="CD562" i="3"/>
  <c r="BO562" i="3"/>
  <c r="CC562" i="3" s="1"/>
  <c r="BN562" i="3"/>
  <c r="CB562" i="3" s="1"/>
  <c r="BM562" i="3"/>
  <c r="CA562" i="3" s="1"/>
  <c r="BL562" i="3"/>
  <c r="BZ562" i="3" s="1"/>
  <c r="BK562" i="3"/>
  <c r="BY562" i="3" s="1"/>
  <c r="BJ562" i="3"/>
  <c r="BX562" i="3" s="1"/>
  <c r="BI562" i="3"/>
  <c r="BW562" i="3" s="1"/>
  <c r="BH562" i="3"/>
  <c r="AY562" i="3"/>
  <c r="AX562" i="3"/>
  <c r="AN562" i="3"/>
  <c r="BO561" i="3"/>
  <c r="BN561" i="3"/>
  <c r="BM561" i="3"/>
  <c r="BL561" i="3"/>
  <c r="BK561" i="3"/>
  <c r="BJ561" i="3"/>
  <c r="BI561" i="3"/>
  <c r="BH561" i="3"/>
  <c r="AY561" i="3"/>
  <c r="AX561" i="3"/>
  <c r="AM561" i="3"/>
  <c r="CG561" i="3" s="1"/>
  <c r="AL561" i="3"/>
  <c r="CF561" i="3" s="1"/>
  <c r="AK561" i="3"/>
  <c r="CE561" i="3" s="1"/>
  <c r="AJ561" i="3"/>
  <c r="CD561" i="3" s="1"/>
  <c r="AI561" i="3"/>
  <c r="AH561" i="3"/>
  <c r="AG561" i="3"/>
  <c r="AF561" i="3"/>
  <c r="AE561" i="3"/>
  <c r="AD561" i="3"/>
  <c r="AC561" i="3"/>
  <c r="AB561" i="3"/>
  <c r="AA561" i="3"/>
  <c r="N561" i="3"/>
  <c r="BO560" i="3"/>
  <c r="BN560" i="3"/>
  <c r="BM560" i="3"/>
  <c r="BL560" i="3"/>
  <c r="BK560" i="3"/>
  <c r="BI560" i="3"/>
  <c r="BH560" i="3"/>
  <c r="AY560" i="3"/>
  <c r="AX560" i="3"/>
  <c r="AM560" i="3"/>
  <c r="CG560" i="3" s="1"/>
  <c r="AL560" i="3"/>
  <c r="CF560" i="3" s="1"/>
  <c r="AK560" i="3"/>
  <c r="CE560" i="3" s="1"/>
  <c r="AJ560" i="3"/>
  <c r="CD560" i="3" s="1"/>
  <c r="AI560" i="3"/>
  <c r="AH560" i="3"/>
  <c r="AG560" i="3"/>
  <c r="AF560" i="3"/>
  <c r="AE560" i="3"/>
  <c r="AD560" i="3"/>
  <c r="BX560" i="3" s="1"/>
  <c r="AC560" i="3"/>
  <c r="AB560" i="3"/>
  <c r="AA560" i="3"/>
  <c r="N560" i="3"/>
  <c r="BO559" i="3"/>
  <c r="BN559" i="3"/>
  <c r="BM559" i="3"/>
  <c r="BL559" i="3"/>
  <c r="BK559" i="3"/>
  <c r="BJ559" i="3"/>
  <c r="BI559" i="3"/>
  <c r="BH559" i="3"/>
  <c r="AY559" i="3"/>
  <c r="AX559" i="3"/>
  <c r="AM559" i="3"/>
  <c r="CG559" i="3" s="1"/>
  <c r="AL559" i="3"/>
  <c r="CF559" i="3" s="1"/>
  <c r="AK559" i="3"/>
  <c r="CE559" i="3" s="1"/>
  <c r="AJ559" i="3"/>
  <c r="CD559" i="3" s="1"/>
  <c r="AI559" i="3"/>
  <c r="AH559" i="3"/>
  <c r="AG559" i="3"/>
  <c r="AF559" i="3"/>
  <c r="AE559" i="3"/>
  <c r="AD559" i="3"/>
  <c r="AC559" i="3"/>
  <c r="AB559" i="3"/>
  <c r="AA559" i="3"/>
  <c r="N559" i="3"/>
  <c r="BO558" i="3"/>
  <c r="BN558" i="3"/>
  <c r="BM558" i="3"/>
  <c r="BL558" i="3"/>
  <c r="BK558" i="3"/>
  <c r="BJ558" i="3"/>
  <c r="BI558" i="3"/>
  <c r="BH558" i="3"/>
  <c r="AY558" i="3"/>
  <c r="AX558" i="3"/>
  <c r="AM558" i="3"/>
  <c r="CG558" i="3" s="1"/>
  <c r="AL558" i="3"/>
  <c r="CF558" i="3" s="1"/>
  <c r="AK558" i="3"/>
  <c r="CE558" i="3" s="1"/>
  <c r="AJ558" i="3"/>
  <c r="CD558" i="3" s="1"/>
  <c r="AI558" i="3"/>
  <c r="AH558" i="3"/>
  <c r="AG558" i="3"/>
  <c r="AF558" i="3"/>
  <c r="AE558" i="3"/>
  <c r="AD558" i="3"/>
  <c r="AC558" i="3"/>
  <c r="AB558" i="3"/>
  <c r="AA558" i="3"/>
  <c r="N558" i="3"/>
  <c r="BO557" i="3"/>
  <c r="BN557" i="3"/>
  <c r="CB557" i="3" s="1"/>
  <c r="BM557" i="3"/>
  <c r="CA557" i="3" s="1"/>
  <c r="BL557" i="3"/>
  <c r="BZ557" i="3" s="1"/>
  <c r="BK557" i="3"/>
  <c r="BY557" i="3" s="1"/>
  <c r="BJ557" i="3"/>
  <c r="BX557" i="3" s="1"/>
  <c r="BI557" i="3"/>
  <c r="BW557" i="3" s="1"/>
  <c r="BH557" i="3"/>
  <c r="AY557" i="3"/>
  <c r="AX557" i="3"/>
  <c r="AN557" i="3"/>
  <c r="BO556" i="3"/>
  <c r="BN556" i="3"/>
  <c r="BM556" i="3"/>
  <c r="BL556" i="3"/>
  <c r="BK556" i="3"/>
  <c r="BJ556" i="3"/>
  <c r="BI556" i="3"/>
  <c r="BH556" i="3"/>
  <c r="AY556" i="3"/>
  <c r="AX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N556" i="3"/>
  <c r="BO555" i="3"/>
  <c r="BN555" i="3"/>
  <c r="BM555" i="3"/>
  <c r="BL555" i="3"/>
  <c r="BK555" i="3"/>
  <c r="BJ555" i="3"/>
  <c r="BI555" i="3"/>
  <c r="BH555" i="3"/>
  <c r="AY555" i="3"/>
  <c r="AX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N555" i="3"/>
  <c r="BO554" i="3"/>
  <c r="BN554" i="3"/>
  <c r="BM554" i="3"/>
  <c r="BL554" i="3"/>
  <c r="BK554" i="3"/>
  <c r="BJ554" i="3"/>
  <c r="BI554" i="3"/>
  <c r="BH554" i="3"/>
  <c r="AY554" i="3"/>
  <c r="AX554" i="3"/>
  <c r="AM554" i="3"/>
  <c r="CG554" i="3" s="1"/>
  <c r="AL554" i="3"/>
  <c r="CF554" i="3" s="1"/>
  <c r="AK554" i="3"/>
  <c r="CE554" i="3" s="1"/>
  <c r="AJ554" i="3"/>
  <c r="CD554" i="3" s="1"/>
  <c r="AI554" i="3"/>
  <c r="AH554" i="3"/>
  <c r="AG554" i="3"/>
  <c r="AF554" i="3"/>
  <c r="AE554" i="3"/>
  <c r="AD554" i="3"/>
  <c r="AC554" i="3"/>
  <c r="AB554" i="3"/>
  <c r="AA554" i="3"/>
  <c r="N554" i="3"/>
  <c r="BO553" i="3"/>
  <c r="BN553" i="3"/>
  <c r="BM553" i="3"/>
  <c r="BL553" i="3"/>
  <c r="BK553" i="3"/>
  <c r="BJ553" i="3"/>
  <c r="BI553" i="3"/>
  <c r="BH553" i="3"/>
  <c r="AY553" i="3"/>
  <c r="AX553" i="3"/>
  <c r="AM553" i="3"/>
  <c r="CG553" i="3" s="1"/>
  <c r="AL553" i="3"/>
  <c r="CF553" i="3" s="1"/>
  <c r="AK553" i="3"/>
  <c r="CE553" i="3" s="1"/>
  <c r="AJ553" i="3"/>
  <c r="CD553" i="3" s="1"/>
  <c r="AI553" i="3"/>
  <c r="AH553" i="3"/>
  <c r="AG553" i="3"/>
  <c r="AF553" i="3"/>
  <c r="AE553" i="3"/>
  <c r="AD553" i="3"/>
  <c r="AC553" i="3"/>
  <c r="AB553" i="3"/>
  <c r="AA553" i="3"/>
  <c r="N553" i="3"/>
  <c r="AN553" i="3" s="1"/>
  <c r="BO552" i="3"/>
  <c r="BN552" i="3"/>
  <c r="BM552" i="3"/>
  <c r="BL552" i="3"/>
  <c r="BK552" i="3"/>
  <c r="BJ552" i="3"/>
  <c r="BI552" i="3"/>
  <c r="BH552" i="3"/>
  <c r="AY552" i="3"/>
  <c r="AX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N552" i="3"/>
  <c r="BO551" i="3"/>
  <c r="BN551" i="3"/>
  <c r="BM551" i="3"/>
  <c r="BL551" i="3"/>
  <c r="BK551" i="3"/>
  <c r="BJ551" i="3"/>
  <c r="BI551" i="3"/>
  <c r="BH551" i="3"/>
  <c r="AY551" i="3"/>
  <c r="AX551" i="3"/>
  <c r="AM551" i="3"/>
  <c r="CG551" i="3" s="1"/>
  <c r="AL551" i="3"/>
  <c r="CF551" i="3" s="1"/>
  <c r="AK551" i="3"/>
  <c r="CE551" i="3" s="1"/>
  <c r="AJ551" i="3"/>
  <c r="CD551" i="3" s="1"/>
  <c r="AI551" i="3"/>
  <c r="AH551" i="3"/>
  <c r="AG551" i="3"/>
  <c r="AF551" i="3"/>
  <c r="AE551" i="3"/>
  <c r="AD551" i="3"/>
  <c r="AC551" i="3"/>
  <c r="AB551" i="3"/>
  <c r="AA551" i="3"/>
  <c r="N551" i="3"/>
  <c r="BO550" i="3"/>
  <c r="BN550" i="3"/>
  <c r="BM550" i="3"/>
  <c r="BL550" i="3"/>
  <c r="BK550" i="3"/>
  <c r="BJ550" i="3"/>
  <c r="BI550" i="3"/>
  <c r="BH550" i="3"/>
  <c r="AY550" i="3"/>
  <c r="AX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N550" i="3"/>
  <c r="BO549" i="3"/>
  <c r="BN549" i="3"/>
  <c r="BM549" i="3"/>
  <c r="BL549" i="3"/>
  <c r="BK549" i="3"/>
  <c r="BJ549" i="3"/>
  <c r="BI549" i="3"/>
  <c r="BH549" i="3"/>
  <c r="AY549" i="3"/>
  <c r="AX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N549" i="3"/>
  <c r="BO548" i="3"/>
  <c r="BN548" i="3"/>
  <c r="BM548" i="3"/>
  <c r="BK548" i="3"/>
  <c r="BJ548" i="3"/>
  <c r="BI548" i="3"/>
  <c r="BH548" i="3"/>
  <c r="AX548" i="3"/>
  <c r="AN548" i="3"/>
  <c r="BO547" i="3"/>
  <c r="BN547" i="3"/>
  <c r="BM547" i="3"/>
  <c r="AX547" i="3"/>
  <c r="AN547" i="3"/>
  <c r="CG546" i="3"/>
  <c r="CF546" i="3"/>
  <c r="CE546" i="3"/>
  <c r="CD546" i="3"/>
  <c r="BZ546" i="3"/>
  <c r="BO546" i="3"/>
  <c r="CC546" i="3" s="1"/>
  <c r="BN546" i="3"/>
  <c r="CB546" i="3" s="1"/>
  <c r="BM546" i="3"/>
  <c r="CA546" i="3" s="1"/>
  <c r="BK546" i="3"/>
  <c r="BY546" i="3" s="1"/>
  <c r="BJ546" i="3"/>
  <c r="BX546" i="3" s="1"/>
  <c r="BI546" i="3"/>
  <c r="BW546" i="3" s="1"/>
  <c r="BH546" i="3"/>
  <c r="AX546" i="3"/>
  <c r="AN546" i="3"/>
  <c r="BO545" i="3"/>
  <c r="BN545" i="3"/>
  <c r="CB545" i="3" s="1"/>
  <c r="BM545" i="3"/>
  <c r="CA545" i="3" s="1"/>
  <c r="BL545" i="3"/>
  <c r="BZ545" i="3" s="1"/>
  <c r="BK545" i="3"/>
  <c r="BY545" i="3" s="1"/>
  <c r="BJ545" i="3"/>
  <c r="BX545" i="3" s="1"/>
  <c r="BI545" i="3"/>
  <c r="BW545" i="3" s="1"/>
  <c r="BH545" i="3"/>
  <c r="AX545" i="3"/>
  <c r="AN545" i="3"/>
  <c r="BO544" i="3"/>
  <c r="BN544" i="3"/>
  <c r="CB544" i="3" s="1"/>
  <c r="BM544" i="3"/>
  <c r="CA544" i="3" s="1"/>
  <c r="BL544" i="3"/>
  <c r="BZ544" i="3" s="1"/>
  <c r="BK544" i="3"/>
  <c r="BY544" i="3" s="1"/>
  <c r="BJ544" i="3"/>
  <c r="BX544" i="3" s="1"/>
  <c r="BI544" i="3"/>
  <c r="BW544" i="3" s="1"/>
  <c r="BH544" i="3"/>
  <c r="AX544" i="3"/>
  <c r="AN544" i="3"/>
  <c r="BO543" i="3"/>
  <c r="BN543" i="3"/>
  <c r="CB543" i="3" s="1"/>
  <c r="BM543" i="3"/>
  <c r="CA543" i="3" s="1"/>
  <c r="BL543" i="3"/>
  <c r="BZ543" i="3" s="1"/>
  <c r="BK543" i="3"/>
  <c r="BY543" i="3" s="1"/>
  <c r="BJ543" i="3"/>
  <c r="BX543" i="3" s="1"/>
  <c r="BI543" i="3"/>
  <c r="BW543" i="3" s="1"/>
  <c r="BH543" i="3"/>
  <c r="AX543" i="3"/>
  <c r="AN543" i="3"/>
  <c r="CG542" i="3"/>
  <c r="CF542" i="3"/>
  <c r="CE542" i="3"/>
  <c r="CD542" i="3"/>
  <c r="BO542" i="3"/>
  <c r="CC542" i="3" s="1"/>
  <c r="BN542" i="3"/>
  <c r="CB542" i="3" s="1"/>
  <c r="BM542" i="3"/>
  <c r="CA542" i="3" s="1"/>
  <c r="BL542" i="3"/>
  <c r="BZ542" i="3" s="1"/>
  <c r="BK542" i="3"/>
  <c r="BY542" i="3" s="1"/>
  <c r="BJ542" i="3"/>
  <c r="BX542" i="3" s="1"/>
  <c r="BI542" i="3"/>
  <c r="BW542" i="3" s="1"/>
  <c r="BH542" i="3"/>
  <c r="AX542" i="3"/>
  <c r="AN542" i="3"/>
  <c r="CG541" i="3"/>
  <c r="CF541" i="3"/>
  <c r="CE541" i="3"/>
  <c r="CD541" i="3"/>
  <c r="BZ541" i="3"/>
  <c r="BO541" i="3"/>
  <c r="CC541" i="3" s="1"/>
  <c r="BN541" i="3"/>
  <c r="CB541" i="3" s="1"/>
  <c r="BM541" i="3"/>
  <c r="CA541" i="3" s="1"/>
  <c r="BK541" i="3"/>
  <c r="BY541" i="3" s="1"/>
  <c r="BJ541" i="3"/>
  <c r="BX541" i="3" s="1"/>
  <c r="BI541" i="3"/>
  <c r="BW541" i="3" s="1"/>
  <c r="BH541" i="3"/>
  <c r="AX541" i="3"/>
  <c r="AN541" i="3"/>
  <c r="CG540" i="3"/>
  <c r="CF540" i="3"/>
  <c r="CE540" i="3"/>
  <c r="CD540" i="3"/>
  <c r="BO540" i="3"/>
  <c r="CC540" i="3" s="1"/>
  <c r="BN540" i="3"/>
  <c r="CB540" i="3" s="1"/>
  <c r="BM540" i="3"/>
  <c r="CA540" i="3" s="1"/>
  <c r="BL540" i="3"/>
  <c r="BZ540" i="3" s="1"/>
  <c r="BK540" i="3"/>
  <c r="BY540" i="3" s="1"/>
  <c r="BJ540" i="3"/>
  <c r="BX540" i="3" s="1"/>
  <c r="BI540" i="3"/>
  <c r="BW540" i="3" s="1"/>
  <c r="BH540" i="3"/>
  <c r="AX540" i="3"/>
  <c r="AN540" i="3"/>
  <c r="CG539" i="3"/>
  <c r="CF539" i="3"/>
  <c r="CE539" i="3"/>
  <c r="CD539" i="3"/>
  <c r="BO539" i="3"/>
  <c r="CC539" i="3" s="1"/>
  <c r="BN539" i="3"/>
  <c r="CB539" i="3" s="1"/>
  <c r="BM539" i="3"/>
  <c r="CA539" i="3" s="1"/>
  <c r="BL539" i="3"/>
  <c r="BZ539" i="3" s="1"/>
  <c r="BK539" i="3"/>
  <c r="BY539" i="3" s="1"/>
  <c r="BJ539" i="3"/>
  <c r="BX539" i="3" s="1"/>
  <c r="BI539" i="3"/>
  <c r="BW539" i="3" s="1"/>
  <c r="BH539" i="3"/>
  <c r="AX539" i="3"/>
  <c r="AN539" i="3"/>
  <c r="CG538" i="3"/>
  <c r="CF538" i="3"/>
  <c r="CE538" i="3"/>
  <c r="CD538" i="3"/>
  <c r="BZ538" i="3"/>
  <c r="BO538" i="3"/>
  <c r="CC538" i="3" s="1"/>
  <c r="BN538" i="3"/>
  <c r="CB538" i="3" s="1"/>
  <c r="BM538" i="3"/>
  <c r="CA538" i="3" s="1"/>
  <c r="BK538" i="3"/>
  <c r="BY538" i="3" s="1"/>
  <c r="BJ538" i="3"/>
  <c r="BX538" i="3" s="1"/>
  <c r="BI538" i="3"/>
  <c r="BW538" i="3" s="1"/>
  <c r="BH538" i="3"/>
  <c r="AX538" i="3"/>
  <c r="AN538" i="3"/>
  <c r="CG537" i="3"/>
  <c r="CF537" i="3"/>
  <c r="CE537" i="3"/>
  <c r="CD537" i="3"/>
  <c r="BZ537" i="3"/>
  <c r="BO537" i="3"/>
  <c r="CC537" i="3" s="1"/>
  <c r="BN537" i="3"/>
  <c r="CB537" i="3" s="1"/>
  <c r="BM537" i="3"/>
  <c r="CA537" i="3" s="1"/>
  <c r="BK537" i="3"/>
  <c r="BY537" i="3" s="1"/>
  <c r="BJ537" i="3"/>
  <c r="BX537" i="3" s="1"/>
  <c r="BI537" i="3"/>
  <c r="BW537" i="3" s="1"/>
  <c r="BH537" i="3"/>
  <c r="AX537" i="3"/>
  <c r="AN537" i="3"/>
  <c r="BO536" i="3"/>
  <c r="BN536" i="3"/>
  <c r="BM536" i="3"/>
  <c r="BL536" i="3"/>
  <c r="BK536" i="3"/>
  <c r="BJ536" i="3"/>
  <c r="BI536" i="3"/>
  <c r="BH536" i="3"/>
  <c r="AX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N536" i="3"/>
  <c r="BO535" i="3"/>
  <c r="BN535" i="3"/>
  <c r="BM535" i="3"/>
  <c r="BL535" i="3"/>
  <c r="BK535" i="3"/>
  <c r="BJ535" i="3"/>
  <c r="BI535" i="3"/>
  <c r="BH535" i="3"/>
  <c r="AX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N535" i="3"/>
  <c r="BO534" i="3"/>
  <c r="BN534" i="3"/>
  <c r="BM534" i="3"/>
  <c r="BL534" i="3"/>
  <c r="BK534" i="3"/>
  <c r="BJ534" i="3"/>
  <c r="BI534" i="3"/>
  <c r="BH534" i="3"/>
  <c r="AX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N534" i="3"/>
  <c r="BO533" i="3"/>
  <c r="BN533" i="3"/>
  <c r="BM533" i="3"/>
  <c r="BL533" i="3"/>
  <c r="BK533" i="3"/>
  <c r="BJ533" i="3"/>
  <c r="BI533" i="3"/>
  <c r="BH533" i="3"/>
  <c r="AX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N533" i="3"/>
  <c r="BO532" i="3"/>
  <c r="BN532" i="3"/>
  <c r="BM532" i="3"/>
  <c r="BL532" i="3"/>
  <c r="BK532" i="3"/>
  <c r="BJ532" i="3"/>
  <c r="BI532" i="3"/>
  <c r="BH532" i="3"/>
  <c r="AX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N532" i="3"/>
  <c r="BO531" i="3"/>
  <c r="BN531" i="3"/>
  <c r="BM531" i="3"/>
  <c r="BL531" i="3"/>
  <c r="BK531" i="3"/>
  <c r="BJ531" i="3"/>
  <c r="BI531" i="3"/>
  <c r="BH531" i="3"/>
  <c r="AY531" i="3"/>
  <c r="AM531" i="3"/>
  <c r="BS531" i="3" s="1"/>
  <c r="CG531" i="3" s="1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N531" i="3"/>
  <c r="BO530" i="3"/>
  <c r="BN530" i="3"/>
  <c r="BM530" i="3"/>
  <c r="BL530" i="3"/>
  <c r="BK530" i="3"/>
  <c r="BJ530" i="3"/>
  <c r="BI530" i="3"/>
  <c r="BH530" i="3"/>
  <c r="AY530" i="3"/>
  <c r="AM530" i="3"/>
  <c r="BS530" i="3" s="1"/>
  <c r="CG530" i="3" s="1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N530" i="3"/>
  <c r="BO529" i="3"/>
  <c r="BN529" i="3"/>
  <c r="BM529" i="3"/>
  <c r="BL529" i="3"/>
  <c r="BK529" i="3"/>
  <c r="BJ529" i="3"/>
  <c r="BI529" i="3"/>
  <c r="BH529" i="3"/>
  <c r="AY529" i="3"/>
  <c r="AX529" i="3"/>
  <c r="AM529" i="3"/>
  <c r="CG529" i="3" s="1"/>
  <c r="AL529" i="3"/>
  <c r="CF529" i="3" s="1"/>
  <c r="AK529" i="3"/>
  <c r="CE529" i="3" s="1"/>
  <c r="AJ529" i="3"/>
  <c r="CD529" i="3" s="1"/>
  <c r="AI529" i="3"/>
  <c r="AH529" i="3"/>
  <c r="AG529" i="3"/>
  <c r="AF529" i="3"/>
  <c r="AE529" i="3"/>
  <c r="AD529" i="3"/>
  <c r="AC529" i="3"/>
  <c r="AB529" i="3"/>
  <c r="AA529" i="3"/>
  <c r="N529" i="3"/>
  <c r="BO528" i="3"/>
  <c r="BN528" i="3"/>
  <c r="BM528" i="3"/>
  <c r="BL528" i="3"/>
  <c r="BK528" i="3"/>
  <c r="BJ528" i="3"/>
  <c r="BI528" i="3"/>
  <c r="BH528" i="3"/>
  <c r="AY528" i="3"/>
  <c r="AX528" i="3"/>
  <c r="AM528" i="3"/>
  <c r="CG528" i="3" s="1"/>
  <c r="AL528" i="3"/>
  <c r="CF528" i="3" s="1"/>
  <c r="AK528" i="3"/>
  <c r="CE528" i="3" s="1"/>
  <c r="AJ528" i="3"/>
  <c r="CD528" i="3" s="1"/>
  <c r="AI528" i="3"/>
  <c r="AH528" i="3"/>
  <c r="AG528" i="3"/>
  <c r="AF528" i="3"/>
  <c r="AE528" i="3"/>
  <c r="AD528" i="3"/>
  <c r="AC528" i="3"/>
  <c r="AB528" i="3"/>
  <c r="AA528" i="3"/>
  <c r="N528" i="3"/>
  <c r="BO527" i="3"/>
  <c r="BN527" i="3"/>
  <c r="BM527" i="3"/>
  <c r="BL527" i="3"/>
  <c r="BK527" i="3"/>
  <c r="BJ527" i="3"/>
  <c r="BI527" i="3"/>
  <c r="BH527" i="3"/>
  <c r="AY527" i="3"/>
  <c r="AX527" i="3"/>
  <c r="AM527" i="3"/>
  <c r="CG527" i="3" s="1"/>
  <c r="AL527" i="3"/>
  <c r="CF527" i="3" s="1"/>
  <c r="AK527" i="3"/>
  <c r="CE527" i="3" s="1"/>
  <c r="AJ527" i="3"/>
  <c r="CD527" i="3" s="1"/>
  <c r="AI527" i="3"/>
  <c r="AH527" i="3"/>
  <c r="AG527" i="3"/>
  <c r="AF527" i="3"/>
  <c r="AE527" i="3"/>
  <c r="AD527" i="3"/>
  <c r="AC527" i="3"/>
  <c r="AB527" i="3"/>
  <c r="AA527" i="3"/>
  <c r="N527" i="3"/>
  <c r="BO526" i="3"/>
  <c r="BN526" i="3"/>
  <c r="BM526" i="3"/>
  <c r="BL526" i="3"/>
  <c r="BK526" i="3"/>
  <c r="BJ526" i="3"/>
  <c r="BI526" i="3"/>
  <c r="BH526" i="3"/>
  <c r="AY526" i="3"/>
  <c r="AX526" i="3"/>
  <c r="AM526" i="3"/>
  <c r="CG526" i="3" s="1"/>
  <c r="AL526" i="3"/>
  <c r="CF526" i="3" s="1"/>
  <c r="AK526" i="3"/>
  <c r="CE526" i="3" s="1"/>
  <c r="AJ526" i="3"/>
  <c r="CD526" i="3" s="1"/>
  <c r="AI526" i="3"/>
  <c r="AH526" i="3"/>
  <c r="AG526" i="3"/>
  <c r="AF526" i="3"/>
  <c r="AE526" i="3"/>
  <c r="AD526" i="3"/>
  <c r="AC526" i="3"/>
  <c r="AB526" i="3"/>
  <c r="AA526" i="3"/>
  <c r="N526" i="3"/>
  <c r="BO525" i="3"/>
  <c r="BN525" i="3"/>
  <c r="BM525" i="3"/>
  <c r="BL525" i="3"/>
  <c r="BK525" i="3"/>
  <c r="BJ525" i="3"/>
  <c r="BI525" i="3"/>
  <c r="BH525" i="3"/>
  <c r="AY525" i="3"/>
  <c r="AX525" i="3"/>
  <c r="AM525" i="3"/>
  <c r="CG525" i="3" s="1"/>
  <c r="AL525" i="3"/>
  <c r="CF525" i="3" s="1"/>
  <c r="AK525" i="3"/>
  <c r="CE525" i="3" s="1"/>
  <c r="AJ525" i="3"/>
  <c r="CD525" i="3" s="1"/>
  <c r="AI525" i="3"/>
  <c r="AH525" i="3"/>
  <c r="AG525" i="3"/>
  <c r="AF525" i="3"/>
  <c r="AE525" i="3"/>
  <c r="AD525" i="3"/>
  <c r="AC525" i="3"/>
  <c r="AB525" i="3"/>
  <c r="AA525" i="3"/>
  <c r="N525" i="3"/>
  <c r="BO524" i="3"/>
  <c r="BN524" i="3"/>
  <c r="BM524" i="3"/>
  <c r="BL524" i="3"/>
  <c r="BK524" i="3"/>
  <c r="BJ524" i="3"/>
  <c r="BI524" i="3"/>
  <c r="BH524" i="3"/>
  <c r="AY524" i="3"/>
  <c r="AX524" i="3"/>
  <c r="AM524" i="3"/>
  <c r="CG524" i="3" s="1"/>
  <c r="AL524" i="3"/>
  <c r="CF524" i="3" s="1"/>
  <c r="AK524" i="3"/>
  <c r="CE524" i="3" s="1"/>
  <c r="AJ524" i="3"/>
  <c r="CD524" i="3" s="1"/>
  <c r="AI524" i="3"/>
  <c r="AH524" i="3"/>
  <c r="AG524" i="3"/>
  <c r="AF524" i="3"/>
  <c r="AE524" i="3"/>
  <c r="AD524" i="3"/>
  <c r="AC524" i="3"/>
  <c r="AB524" i="3"/>
  <c r="AA524" i="3"/>
  <c r="N524" i="3"/>
  <c r="BO523" i="3"/>
  <c r="BN523" i="3"/>
  <c r="BM523" i="3"/>
  <c r="BL523" i="3"/>
  <c r="BK523" i="3"/>
  <c r="BJ523" i="3"/>
  <c r="BI523" i="3"/>
  <c r="BH523" i="3"/>
  <c r="AY523" i="3"/>
  <c r="AX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N523" i="3"/>
  <c r="AN523" i="3" s="1"/>
  <c r="BO522" i="3"/>
  <c r="BN522" i="3"/>
  <c r="BM522" i="3"/>
  <c r="BL522" i="3"/>
  <c r="BK522" i="3"/>
  <c r="BJ522" i="3"/>
  <c r="BI522" i="3"/>
  <c r="BH522" i="3"/>
  <c r="AY522" i="3"/>
  <c r="AX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N522" i="3"/>
  <c r="BO521" i="3"/>
  <c r="BN521" i="3"/>
  <c r="BM521" i="3"/>
  <c r="BL521" i="3"/>
  <c r="BK521" i="3"/>
  <c r="BJ521" i="3"/>
  <c r="BI521" i="3"/>
  <c r="BH521" i="3"/>
  <c r="AY521" i="3"/>
  <c r="AX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N521" i="3"/>
  <c r="BO520" i="3"/>
  <c r="BN520" i="3"/>
  <c r="BM520" i="3"/>
  <c r="BL520" i="3"/>
  <c r="BK520" i="3"/>
  <c r="BJ520" i="3"/>
  <c r="BI520" i="3"/>
  <c r="BH520" i="3"/>
  <c r="AY520" i="3"/>
  <c r="AX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N520" i="3"/>
  <c r="BO519" i="3"/>
  <c r="BN519" i="3"/>
  <c r="BM519" i="3"/>
  <c r="BK519" i="3"/>
  <c r="BJ519" i="3"/>
  <c r="BI519" i="3"/>
  <c r="BH519" i="3"/>
  <c r="AX519" i="3"/>
  <c r="AM519" i="3"/>
  <c r="CG519" i="3" s="1"/>
  <c r="AL519" i="3"/>
  <c r="CF519" i="3" s="1"/>
  <c r="AK519" i="3"/>
  <c r="CE519" i="3" s="1"/>
  <c r="AJ519" i="3"/>
  <c r="CD519" i="3" s="1"/>
  <c r="AI519" i="3"/>
  <c r="AH519" i="3"/>
  <c r="AG519" i="3"/>
  <c r="AF519" i="3"/>
  <c r="BZ519" i="3" s="1"/>
  <c r="AE519" i="3"/>
  <c r="AD519" i="3"/>
  <c r="AC519" i="3"/>
  <c r="AB519" i="3"/>
  <c r="AA519" i="3"/>
  <c r="N519" i="3"/>
  <c r="BO518" i="3"/>
  <c r="BN518" i="3"/>
  <c r="BM518" i="3"/>
  <c r="BL518" i="3"/>
  <c r="BK518" i="3"/>
  <c r="BJ518" i="3"/>
  <c r="BI518" i="3"/>
  <c r="BH518" i="3"/>
  <c r="AY518" i="3"/>
  <c r="AX518" i="3"/>
  <c r="AL518" i="3"/>
  <c r="BR518" i="3" s="1"/>
  <c r="CF518" i="3" s="1"/>
  <c r="AK518" i="3"/>
  <c r="BQ518" i="3" s="1"/>
  <c r="CE518" i="3" s="1"/>
  <c r="AJ518" i="3"/>
  <c r="BP518" i="3" s="1"/>
  <c r="CD518" i="3" s="1"/>
  <c r="AI518" i="3"/>
  <c r="AH518" i="3"/>
  <c r="AG518" i="3"/>
  <c r="AF518" i="3"/>
  <c r="AE518" i="3"/>
  <c r="AD518" i="3"/>
  <c r="AC518" i="3"/>
  <c r="AB518" i="3"/>
  <c r="AA518" i="3"/>
  <c r="M518" i="3"/>
  <c r="BO517" i="3"/>
  <c r="BN517" i="3"/>
  <c r="BM517" i="3"/>
  <c r="BL517" i="3"/>
  <c r="BK517" i="3"/>
  <c r="BJ517" i="3"/>
  <c r="BI517" i="3"/>
  <c r="BH517" i="3"/>
  <c r="AY517" i="3"/>
  <c r="AX517" i="3"/>
  <c r="AM517" i="3"/>
  <c r="BS517" i="3" s="1"/>
  <c r="CG517" i="3" s="1"/>
  <c r="AL517" i="3"/>
  <c r="BR517" i="3" s="1"/>
  <c r="CF517" i="3" s="1"/>
  <c r="AK517" i="3"/>
  <c r="BQ517" i="3" s="1"/>
  <c r="CE517" i="3" s="1"/>
  <c r="AJ517" i="3"/>
  <c r="BP517" i="3" s="1"/>
  <c r="CD517" i="3" s="1"/>
  <c r="AI517" i="3"/>
  <c r="AH517" i="3"/>
  <c r="AG517" i="3"/>
  <c r="AF517" i="3"/>
  <c r="AE517" i="3"/>
  <c r="AD517" i="3"/>
  <c r="AC517" i="3"/>
  <c r="AB517" i="3"/>
  <c r="AA517" i="3"/>
  <c r="N517" i="3"/>
  <c r="BO516" i="3"/>
  <c r="BN516" i="3"/>
  <c r="BM516" i="3"/>
  <c r="BL516" i="3"/>
  <c r="BK516" i="3"/>
  <c r="BJ516" i="3"/>
  <c r="BI516" i="3"/>
  <c r="BH516" i="3"/>
  <c r="AY516" i="3"/>
  <c r="AX516" i="3"/>
  <c r="AM516" i="3"/>
  <c r="CG516" i="3" s="1"/>
  <c r="AL516" i="3"/>
  <c r="CF516" i="3" s="1"/>
  <c r="AK516" i="3"/>
  <c r="CE516" i="3" s="1"/>
  <c r="AJ516" i="3"/>
  <c r="CD516" i="3" s="1"/>
  <c r="AI516" i="3"/>
  <c r="AH516" i="3"/>
  <c r="AG516" i="3"/>
  <c r="AF516" i="3"/>
  <c r="AE516" i="3"/>
  <c r="AD516" i="3"/>
  <c r="AC516" i="3"/>
  <c r="AB516" i="3"/>
  <c r="AA516" i="3"/>
  <c r="N516" i="3"/>
  <c r="AN516" i="3" s="1"/>
  <c r="CG515" i="3"/>
  <c r="CF515" i="3"/>
  <c r="CE515" i="3"/>
  <c r="CD515" i="3"/>
  <c r="BO515" i="3"/>
  <c r="CC515" i="3" s="1"/>
  <c r="BN515" i="3"/>
  <c r="CB515" i="3" s="1"/>
  <c r="BM515" i="3"/>
  <c r="CA515" i="3" s="1"/>
  <c r="BL515" i="3"/>
  <c r="BZ515" i="3" s="1"/>
  <c r="BK515" i="3"/>
  <c r="BY515" i="3" s="1"/>
  <c r="BJ515" i="3"/>
  <c r="BX515" i="3" s="1"/>
  <c r="BI515" i="3"/>
  <c r="BW515" i="3" s="1"/>
  <c r="BH515" i="3"/>
  <c r="AY515" i="3"/>
  <c r="AX515" i="3"/>
  <c r="AN515" i="3"/>
  <c r="BO514" i="3"/>
  <c r="BN514" i="3"/>
  <c r="BM514" i="3"/>
  <c r="BL514" i="3"/>
  <c r="BK514" i="3"/>
  <c r="BJ514" i="3"/>
  <c r="BI514" i="3"/>
  <c r="BH514" i="3"/>
  <c r="AY514" i="3"/>
  <c r="AX514" i="3"/>
  <c r="AM514" i="3"/>
  <c r="CG514" i="3" s="1"/>
  <c r="AL514" i="3"/>
  <c r="CF514" i="3" s="1"/>
  <c r="AK514" i="3"/>
  <c r="CE514" i="3" s="1"/>
  <c r="AJ514" i="3"/>
  <c r="CD514" i="3" s="1"/>
  <c r="AI514" i="3"/>
  <c r="AH514" i="3"/>
  <c r="AG514" i="3"/>
  <c r="AF514" i="3"/>
  <c r="AE514" i="3"/>
  <c r="AD514" i="3"/>
  <c r="AC514" i="3"/>
  <c r="AB514" i="3"/>
  <c r="AA514" i="3"/>
  <c r="N514" i="3"/>
  <c r="CG513" i="3"/>
  <c r="CF513" i="3"/>
  <c r="CE513" i="3"/>
  <c r="CD513" i="3"/>
  <c r="BO513" i="3"/>
  <c r="CC513" i="3" s="1"/>
  <c r="BN513" i="3"/>
  <c r="CB513" i="3" s="1"/>
  <c r="BM513" i="3"/>
  <c r="CA513" i="3" s="1"/>
  <c r="BL513" i="3"/>
  <c r="BZ513" i="3" s="1"/>
  <c r="BK513" i="3"/>
  <c r="BY513" i="3" s="1"/>
  <c r="BJ513" i="3"/>
  <c r="BX513" i="3" s="1"/>
  <c r="BI513" i="3"/>
  <c r="BW513" i="3" s="1"/>
  <c r="BH513" i="3"/>
  <c r="AY513" i="3"/>
  <c r="AX513" i="3"/>
  <c r="AN513" i="3"/>
  <c r="BO512" i="3"/>
  <c r="BN512" i="3"/>
  <c r="BM512" i="3"/>
  <c r="BL512" i="3"/>
  <c r="BK512" i="3"/>
  <c r="BJ512" i="3"/>
  <c r="BI512" i="3"/>
  <c r="BH512" i="3"/>
  <c r="AY512" i="3"/>
  <c r="AX512" i="3"/>
  <c r="AM512" i="3"/>
  <c r="CG512" i="3" s="1"/>
  <c r="AL512" i="3"/>
  <c r="CF512" i="3" s="1"/>
  <c r="AK512" i="3"/>
  <c r="CE512" i="3" s="1"/>
  <c r="AJ512" i="3"/>
  <c r="CD512" i="3" s="1"/>
  <c r="AI512" i="3"/>
  <c r="AH512" i="3"/>
  <c r="AG512" i="3"/>
  <c r="AF512" i="3"/>
  <c r="AE512" i="3"/>
  <c r="AD512" i="3"/>
  <c r="AC512" i="3"/>
  <c r="AB512" i="3"/>
  <c r="AA512" i="3"/>
  <c r="N512" i="3"/>
  <c r="BO511" i="3"/>
  <c r="BN511" i="3"/>
  <c r="BM511" i="3"/>
  <c r="BL511" i="3"/>
  <c r="BK511" i="3"/>
  <c r="BJ511" i="3"/>
  <c r="BI511" i="3"/>
  <c r="BH511" i="3"/>
  <c r="AY511" i="3"/>
  <c r="AX511" i="3"/>
  <c r="AM511" i="3"/>
  <c r="CG511" i="3" s="1"/>
  <c r="AL511" i="3"/>
  <c r="CF511" i="3" s="1"/>
  <c r="AK511" i="3"/>
  <c r="CE511" i="3" s="1"/>
  <c r="AJ511" i="3"/>
  <c r="CD511" i="3" s="1"/>
  <c r="AI511" i="3"/>
  <c r="AH511" i="3"/>
  <c r="AG511" i="3"/>
  <c r="AF511" i="3"/>
  <c r="AE511" i="3"/>
  <c r="AD511" i="3"/>
  <c r="AC511" i="3"/>
  <c r="AB511" i="3"/>
  <c r="AA511" i="3"/>
  <c r="N511" i="3"/>
  <c r="BO510" i="3"/>
  <c r="BN510" i="3"/>
  <c r="BM510" i="3"/>
  <c r="BL510" i="3"/>
  <c r="BK510" i="3"/>
  <c r="BJ510" i="3"/>
  <c r="BI510" i="3"/>
  <c r="BH510" i="3"/>
  <c r="AY510" i="3"/>
  <c r="AX510" i="3"/>
  <c r="AM510" i="3"/>
  <c r="CG510" i="3" s="1"/>
  <c r="AL510" i="3"/>
  <c r="CF510" i="3" s="1"/>
  <c r="AK510" i="3"/>
  <c r="CE510" i="3" s="1"/>
  <c r="AJ510" i="3"/>
  <c r="CD510" i="3" s="1"/>
  <c r="AI510" i="3"/>
  <c r="AH510" i="3"/>
  <c r="AG510" i="3"/>
  <c r="AF510" i="3"/>
  <c r="AE510" i="3"/>
  <c r="AD510" i="3"/>
  <c r="AC510" i="3"/>
  <c r="AB510" i="3"/>
  <c r="AA510" i="3"/>
  <c r="N510" i="3"/>
  <c r="BO509" i="3"/>
  <c r="BN509" i="3"/>
  <c r="BM509" i="3"/>
  <c r="BL509" i="3"/>
  <c r="BK509" i="3"/>
  <c r="BJ509" i="3"/>
  <c r="BI509" i="3"/>
  <c r="BH509" i="3"/>
  <c r="AY509" i="3"/>
  <c r="AX509" i="3"/>
  <c r="AM509" i="3"/>
  <c r="CG509" i="3" s="1"/>
  <c r="AL509" i="3"/>
  <c r="CF509" i="3" s="1"/>
  <c r="AK509" i="3"/>
  <c r="CE509" i="3" s="1"/>
  <c r="AJ509" i="3"/>
  <c r="CD509" i="3" s="1"/>
  <c r="AI509" i="3"/>
  <c r="AH509" i="3"/>
  <c r="AG509" i="3"/>
  <c r="AF509" i="3"/>
  <c r="AE509" i="3"/>
  <c r="AD509" i="3"/>
  <c r="AC509" i="3"/>
  <c r="AB509" i="3"/>
  <c r="AA509" i="3"/>
  <c r="N509" i="3"/>
  <c r="BO508" i="3"/>
  <c r="BN508" i="3"/>
  <c r="BM508" i="3"/>
  <c r="BL508" i="3"/>
  <c r="BK508" i="3"/>
  <c r="BJ508" i="3"/>
  <c r="BI508" i="3"/>
  <c r="BH508" i="3"/>
  <c r="AY508" i="3"/>
  <c r="AX508" i="3"/>
  <c r="AM508" i="3"/>
  <c r="CG508" i="3" s="1"/>
  <c r="AL508" i="3"/>
  <c r="CF508" i="3" s="1"/>
  <c r="AK508" i="3"/>
  <c r="CE508" i="3" s="1"/>
  <c r="AJ508" i="3"/>
  <c r="CD508" i="3" s="1"/>
  <c r="AI508" i="3"/>
  <c r="AH508" i="3"/>
  <c r="AG508" i="3"/>
  <c r="AF508" i="3"/>
  <c r="AE508" i="3"/>
  <c r="AD508" i="3"/>
  <c r="AC508" i="3"/>
  <c r="AB508" i="3"/>
  <c r="AA508" i="3"/>
  <c r="N508" i="3"/>
  <c r="BO507" i="3"/>
  <c r="BN507" i="3"/>
  <c r="BM507" i="3"/>
  <c r="BL507" i="3"/>
  <c r="BK507" i="3"/>
  <c r="BJ507" i="3"/>
  <c r="BI507" i="3"/>
  <c r="BH507" i="3"/>
  <c r="AY507" i="3"/>
  <c r="AX507" i="3"/>
  <c r="AM507" i="3"/>
  <c r="CG507" i="3" s="1"/>
  <c r="AL507" i="3"/>
  <c r="CF507" i="3" s="1"/>
  <c r="AK507" i="3"/>
  <c r="CE507" i="3" s="1"/>
  <c r="AJ507" i="3"/>
  <c r="CD507" i="3" s="1"/>
  <c r="AI507" i="3"/>
  <c r="AH507" i="3"/>
  <c r="AG507" i="3"/>
  <c r="AF507" i="3"/>
  <c r="AE507" i="3"/>
  <c r="AD507" i="3"/>
  <c r="AC507" i="3"/>
  <c r="AB507" i="3"/>
  <c r="AA507" i="3"/>
  <c r="N507" i="3"/>
  <c r="BO506" i="3"/>
  <c r="BN506" i="3"/>
  <c r="BM506" i="3"/>
  <c r="BL506" i="3"/>
  <c r="BK506" i="3"/>
  <c r="BJ506" i="3"/>
  <c r="BI506" i="3"/>
  <c r="BH506" i="3"/>
  <c r="AY506" i="3"/>
  <c r="AX506" i="3"/>
  <c r="AM506" i="3"/>
  <c r="CG506" i="3" s="1"/>
  <c r="AL506" i="3"/>
  <c r="CF506" i="3" s="1"/>
  <c r="AK506" i="3"/>
  <c r="CE506" i="3" s="1"/>
  <c r="AJ506" i="3"/>
  <c r="CD506" i="3" s="1"/>
  <c r="AI506" i="3"/>
  <c r="AH506" i="3"/>
  <c r="AG506" i="3"/>
  <c r="AF506" i="3"/>
  <c r="AE506" i="3"/>
  <c r="AD506" i="3"/>
  <c r="AC506" i="3"/>
  <c r="AB506" i="3"/>
  <c r="AA506" i="3"/>
  <c r="N506" i="3"/>
  <c r="BO505" i="3"/>
  <c r="BN505" i="3"/>
  <c r="BM505" i="3"/>
  <c r="BL505" i="3"/>
  <c r="BK505" i="3"/>
  <c r="BJ505" i="3"/>
  <c r="BI505" i="3"/>
  <c r="BH505" i="3"/>
  <c r="AY505" i="3"/>
  <c r="AX505" i="3"/>
  <c r="AM505" i="3"/>
  <c r="CG505" i="3" s="1"/>
  <c r="AL505" i="3"/>
  <c r="CF505" i="3" s="1"/>
  <c r="AK505" i="3"/>
  <c r="CE505" i="3" s="1"/>
  <c r="AJ505" i="3"/>
  <c r="CD505" i="3" s="1"/>
  <c r="AI505" i="3"/>
  <c r="AH505" i="3"/>
  <c r="AG505" i="3"/>
  <c r="AF505" i="3"/>
  <c r="AE505" i="3"/>
  <c r="AD505" i="3"/>
  <c r="AC505" i="3"/>
  <c r="AB505" i="3"/>
  <c r="AA505" i="3"/>
  <c r="N505" i="3"/>
  <c r="BO504" i="3"/>
  <c r="BN504" i="3"/>
  <c r="BM504" i="3"/>
  <c r="BL504" i="3"/>
  <c r="BK504" i="3"/>
  <c r="BJ504" i="3"/>
  <c r="BI504" i="3"/>
  <c r="BH504" i="3"/>
  <c r="AY504" i="3"/>
  <c r="AX504" i="3"/>
  <c r="AM504" i="3"/>
  <c r="CG504" i="3" s="1"/>
  <c r="AL504" i="3"/>
  <c r="CF504" i="3" s="1"/>
  <c r="AK504" i="3"/>
  <c r="CE504" i="3" s="1"/>
  <c r="AJ504" i="3"/>
  <c r="CD504" i="3" s="1"/>
  <c r="AI504" i="3"/>
  <c r="AH504" i="3"/>
  <c r="AG504" i="3"/>
  <c r="AF504" i="3"/>
  <c r="AE504" i="3"/>
  <c r="AD504" i="3"/>
  <c r="AC504" i="3"/>
  <c r="AB504" i="3"/>
  <c r="AA504" i="3"/>
  <c r="N504" i="3"/>
  <c r="CG503" i="3"/>
  <c r="CF503" i="3"/>
  <c r="CE503" i="3"/>
  <c r="CD503" i="3"/>
  <c r="BW503" i="3"/>
  <c r="BV503" i="3"/>
  <c r="BO503" i="3"/>
  <c r="CC503" i="3" s="1"/>
  <c r="BN503" i="3"/>
  <c r="CB503" i="3" s="1"/>
  <c r="BM503" i="3"/>
  <c r="CA503" i="3" s="1"/>
  <c r="BL503" i="3"/>
  <c r="BZ503" i="3" s="1"/>
  <c r="BK503" i="3"/>
  <c r="BY503" i="3" s="1"/>
  <c r="BJ503" i="3"/>
  <c r="AY503" i="3"/>
  <c r="AX503" i="3"/>
  <c r="AN503" i="3"/>
  <c r="BO502" i="3"/>
  <c r="BN502" i="3"/>
  <c r="BM502" i="3"/>
  <c r="BL502" i="3"/>
  <c r="BK502" i="3"/>
  <c r="BJ502" i="3"/>
  <c r="BI502" i="3"/>
  <c r="BH502" i="3"/>
  <c r="AY502" i="3"/>
  <c r="AX502" i="3"/>
  <c r="AM502" i="3"/>
  <c r="CG502" i="3" s="1"/>
  <c r="AL502" i="3"/>
  <c r="CF502" i="3" s="1"/>
  <c r="AK502" i="3"/>
  <c r="CE502" i="3" s="1"/>
  <c r="AJ502" i="3"/>
  <c r="CD502" i="3" s="1"/>
  <c r="AI502" i="3"/>
  <c r="AH502" i="3"/>
  <c r="AG502" i="3"/>
  <c r="AF502" i="3"/>
  <c r="AE502" i="3"/>
  <c r="AD502" i="3"/>
  <c r="AC502" i="3"/>
  <c r="AB502" i="3"/>
  <c r="AA502" i="3"/>
  <c r="N502" i="3"/>
  <c r="BO501" i="3"/>
  <c r="BN501" i="3"/>
  <c r="BM501" i="3"/>
  <c r="BL501" i="3"/>
  <c r="BK501" i="3"/>
  <c r="BJ501" i="3"/>
  <c r="BI501" i="3"/>
  <c r="BH501" i="3"/>
  <c r="AY501" i="3"/>
  <c r="AX501" i="3"/>
  <c r="AM501" i="3"/>
  <c r="CG501" i="3" s="1"/>
  <c r="AL501" i="3"/>
  <c r="CF501" i="3" s="1"/>
  <c r="AK501" i="3"/>
  <c r="CE501" i="3" s="1"/>
  <c r="AJ501" i="3"/>
  <c r="CD501" i="3" s="1"/>
  <c r="AI501" i="3"/>
  <c r="AH501" i="3"/>
  <c r="AG501" i="3"/>
  <c r="AF501" i="3"/>
  <c r="AE501" i="3"/>
  <c r="AD501" i="3"/>
  <c r="AC501" i="3"/>
  <c r="AB501" i="3"/>
  <c r="AA501" i="3"/>
  <c r="N501" i="3"/>
  <c r="BO500" i="3"/>
  <c r="BN500" i="3"/>
  <c r="BM500" i="3"/>
  <c r="BL500" i="3"/>
  <c r="BK500" i="3"/>
  <c r="BJ500" i="3"/>
  <c r="BI500" i="3"/>
  <c r="BH500" i="3"/>
  <c r="AY500" i="3"/>
  <c r="AX500" i="3"/>
  <c r="AM500" i="3"/>
  <c r="CG500" i="3" s="1"/>
  <c r="AL500" i="3"/>
  <c r="CF500" i="3" s="1"/>
  <c r="AK500" i="3"/>
  <c r="CE500" i="3" s="1"/>
  <c r="AJ500" i="3"/>
  <c r="CD500" i="3" s="1"/>
  <c r="AI500" i="3"/>
  <c r="AH500" i="3"/>
  <c r="AG500" i="3"/>
  <c r="AF500" i="3"/>
  <c r="AE500" i="3"/>
  <c r="AD500" i="3"/>
  <c r="AC500" i="3"/>
  <c r="AB500" i="3"/>
  <c r="AA500" i="3"/>
  <c r="N500" i="3"/>
  <c r="BO499" i="3"/>
  <c r="BN499" i="3"/>
  <c r="BM499" i="3"/>
  <c r="BL499" i="3"/>
  <c r="BK499" i="3"/>
  <c r="BJ499" i="3"/>
  <c r="BI499" i="3"/>
  <c r="BH499" i="3"/>
  <c r="AY499" i="3"/>
  <c r="AX499" i="3"/>
  <c r="AM499" i="3"/>
  <c r="CG499" i="3" s="1"/>
  <c r="AL499" i="3"/>
  <c r="CF499" i="3" s="1"/>
  <c r="AK499" i="3"/>
  <c r="CE499" i="3" s="1"/>
  <c r="AJ499" i="3"/>
  <c r="CD499" i="3" s="1"/>
  <c r="AI499" i="3"/>
  <c r="AH499" i="3"/>
  <c r="AG499" i="3"/>
  <c r="AF499" i="3"/>
  <c r="AE499" i="3"/>
  <c r="AD499" i="3"/>
  <c r="AC499" i="3"/>
  <c r="AB499" i="3"/>
  <c r="AA499" i="3"/>
  <c r="N499" i="3"/>
  <c r="AN499" i="3" s="1"/>
  <c r="BO498" i="3"/>
  <c r="BN498" i="3"/>
  <c r="BM498" i="3"/>
  <c r="BL498" i="3"/>
  <c r="BK498" i="3"/>
  <c r="BJ498" i="3"/>
  <c r="BI498" i="3"/>
  <c r="BH498" i="3"/>
  <c r="AY498" i="3"/>
  <c r="AX498" i="3"/>
  <c r="AM498" i="3"/>
  <c r="CG498" i="3" s="1"/>
  <c r="AL498" i="3"/>
  <c r="CF498" i="3" s="1"/>
  <c r="AK498" i="3"/>
  <c r="CE498" i="3" s="1"/>
  <c r="AJ498" i="3"/>
  <c r="CD498" i="3" s="1"/>
  <c r="AI498" i="3"/>
  <c r="AH498" i="3"/>
  <c r="AG498" i="3"/>
  <c r="AF498" i="3"/>
  <c r="AE498" i="3"/>
  <c r="AD498" i="3"/>
  <c r="AC498" i="3"/>
  <c r="AB498" i="3"/>
  <c r="AA498" i="3"/>
  <c r="N498" i="3"/>
  <c r="BO497" i="3"/>
  <c r="BN497" i="3"/>
  <c r="BM497" i="3"/>
  <c r="BL497" i="3"/>
  <c r="BK497" i="3"/>
  <c r="BJ497" i="3"/>
  <c r="BI497" i="3"/>
  <c r="BH497" i="3"/>
  <c r="AY497" i="3"/>
  <c r="AX497" i="3"/>
  <c r="AM497" i="3"/>
  <c r="CG497" i="3" s="1"/>
  <c r="AL497" i="3"/>
  <c r="CF497" i="3" s="1"/>
  <c r="AK497" i="3"/>
  <c r="CE497" i="3" s="1"/>
  <c r="AJ497" i="3"/>
  <c r="CD497" i="3" s="1"/>
  <c r="AI497" i="3"/>
  <c r="AH497" i="3"/>
  <c r="AG497" i="3"/>
  <c r="AF497" i="3"/>
  <c r="AE497" i="3"/>
  <c r="AD497" i="3"/>
  <c r="AC497" i="3"/>
  <c r="AB497" i="3"/>
  <c r="AA497" i="3"/>
  <c r="N497" i="3"/>
  <c r="BO496" i="3"/>
  <c r="BN496" i="3"/>
  <c r="BM496" i="3"/>
  <c r="BL496" i="3"/>
  <c r="BK496" i="3"/>
  <c r="BJ496" i="3"/>
  <c r="BI496" i="3"/>
  <c r="BH496" i="3"/>
  <c r="AY496" i="3"/>
  <c r="AX496" i="3"/>
  <c r="AM496" i="3"/>
  <c r="CG496" i="3" s="1"/>
  <c r="AL496" i="3"/>
  <c r="CF496" i="3" s="1"/>
  <c r="AK496" i="3"/>
  <c r="CE496" i="3" s="1"/>
  <c r="AJ496" i="3"/>
  <c r="CD496" i="3" s="1"/>
  <c r="AI496" i="3"/>
  <c r="AH496" i="3"/>
  <c r="AG496" i="3"/>
  <c r="AF496" i="3"/>
  <c r="AE496" i="3"/>
  <c r="AD496" i="3"/>
  <c r="AC496" i="3"/>
  <c r="AB496" i="3"/>
  <c r="AA496" i="3"/>
  <c r="N496" i="3"/>
  <c r="BO495" i="3"/>
  <c r="BN495" i="3"/>
  <c r="BM495" i="3"/>
  <c r="BL495" i="3"/>
  <c r="BK495" i="3"/>
  <c r="BJ495" i="3"/>
  <c r="BI495" i="3"/>
  <c r="BH495" i="3"/>
  <c r="AY495" i="3"/>
  <c r="AX495" i="3"/>
  <c r="AM495" i="3"/>
  <c r="CG495" i="3" s="1"/>
  <c r="AL495" i="3"/>
  <c r="CF495" i="3" s="1"/>
  <c r="AK495" i="3"/>
  <c r="CE495" i="3" s="1"/>
  <c r="AJ495" i="3"/>
  <c r="CD495" i="3" s="1"/>
  <c r="AI495" i="3"/>
  <c r="AH495" i="3"/>
  <c r="AG495" i="3"/>
  <c r="AF495" i="3"/>
  <c r="AE495" i="3"/>
  <c r="AD495" i="3"/>
  <c r="AC495" i="3"/>
  <c r="AB495" i="3"/>
  <c r="AA495" i="3"/>
  <c r="N495" i="3"/>
  <c r="BO494" i="3"/>
  <c r="BN494" i="3"/>
  <c r="BM494" i="3"/>
  <c r="BL494" i="3"/>
  <c r="BK494" i="3"/>
  <c r="BJ494" i="3"/>
  <c r="BI494" i="3"/>
  <c r="BH494" i="3"/>
  <c r="AY494" i="3"/>
  <c r="AX494" i="3"/>
  <c r="AM494" i="3"/>
  <c r="CG494" i="3" s="1"/>
  <c r="AL494" i="3"/>
  <c r="CF494" i="3" s="1"/>
  <c r="AK494" i="3"/>
  <c r="CE494" i="3" s="1"/>
  <c r="AJ494" i="3"/>
  <c r="CD494" i="3" s="1"/>
  <c r="AI494" i="3"/>
  <c r="AH494" i="3"/>
  <c r="AG494" i="3"/>
  <c r="AF494" i="3"/>
  <c r="AE494" i="3"/>
  <c r="AD494" i="3"/>
  <c r="AC494" i="3"/>
  <c r="AB494" i="3"/>
  <c r="AA494" i="3"/>
  <c r="N494" i="3"/>
  <c r="BS493" i="3"/>
  <c r="BO493" i="3"/>
  <c r="BN493" i="3"/>
  <c r="BM493" i="3"/>
  <c r="BL493" i="3"/>
  <c r="BK493" i="3"/>
  <c r="BJ493" i="3"/>
  <c r="BI493" i="3"/>
  <c r="BH493" i="3"/>
  <c r="AX493" i="3"/>
  <c r="AM493" i="3"/>
  <c r="AL493" i="3"/>
  <c r="CF493" i="3" s="1"/>
  <c r="AK493" i="3"/>
  <c r="CE493" i="3" s="1"/>
  <c r="AJ493" i="3"/>
  <c r="AI493" i="3"/>
  <c r="AH493" i="3"/>
  <c r="AG493" i="3"/>
  <c r="AF493" i="3"/>
  <c r="AE493" i="3"/>
  <c r="AD493" i="3"/>
  <c r="AC493" i="3"/>
  <c r="AB493" i="3"/>
  <c r="AA493" i="3"/>
  <c r="N493" i="3"/>
  <c r="CG492" i="3"/>
  <c r="CF492" i="3"/>
  <c r="CE492" i="3"/>
  <c r="CD492" i="3"/>
  <c r="BZ492" i="3"/>
  <c r="BV492" i="3"/>
  <c r="BO492" i="3"/>
  <c r="CC492" i="3" s="1"/>
  <c r="BN492" i="3"/>
  <c r="CB492" i="3" s="1"/>
  <c r="BM492" i="3"/>
  <c r="CA492" i="3" s="1"/>
  <c r="BK492" i="3"/>
  <c r="BY492" i="3" s="1"/>
  <c r="BJ492" i="3"/>
  <c r="BX492" i="3" s="1"/>
  <c r="BI492" i="3"/>
  <c r="AY492" i="3"/>
  <c r="AX492" i="3"/>
  <c r="AN492" i="3"/>
  <c r="BO491" i="3"/>
  <c r="BN491" i="3"/>
  <c r="BM491" i="3"/>
  <c r="BL491" i="3"/>
  <c r="BK491" i="3"/>
  <c r="BJ491" i="3"/>
  <c r="BI491" i="3"/>
  <c r="BH491" i="3"/>
  <c r="AY491" i="3"/>
  <c r="AX491" i="3"/>
  <c r="AM491" i="3"/>
  <c r="CG491" i="3" s="1"/>
  <c r="AL491" i="3"/>
  <c r="CF491" i="3" s="1"/>
  <c r="AK491" i="3"/>
  <c r="CE491" i="3" s="1"/>
  <c r="AJ491" i="3"/>
  <c r="CD491" i="3" s="1"/>
  <c r="AI491" i="3"/>
  <c r="AH491" i="3"/>
  <c r="AG491" i="3"/>
  <c r="AF491" i="3"/>
  <c r="AE491" i="3"/>
  <c r="AD491" i="3"/>
  <c r="AC491" i="3"/>
  <c r="AB491" i="3"/>
  <c r="AA491" i="3"/>
  <c r="N491" i="3"/>
  <c r="CG490" i="3"/>
  <c r="CF490" i="3"/>
  <c r="CE490" i="3"/>
  <c r="CD490" i="3"/>
  <c r="BZ490" i="3"/>
  <c r="BV490" i="3"/>
  <c r="BO490" i="3"/>
  <c r="CC490" i="3" s="1"/>
  <c r="BN490" i="3"/>
  <c r="CB490" i="3" s="1"/>
  <c r="BM490" i="3"/>
  <c r="CA490" i="3" s="1"/>
  <c r="BK490" i="3"/>
  <c r="BY490" i="3" s="1"/>
  <c r="BJ490" i="3"/>
  <c r="BX490" i="3" s="1"/>
  <c r="BI490" i="3"/>
  <c r="AY490" i="3"/>
  <c r="AX490" i="3"/>
  <c r="AN490" i="3"/>
  <c r="BO489" i="3"/>
  <c r="BN489" i="3"/>
  <c r="BM489" i="3"/>
  <c r="BK489" i="3"/>
  <c r="BI489" i="3"/>
  <c r="BH489" i="3"/>
  <c r="AY489" i="3"/>
  <c r="AX489" i="3"/>
  <c r="AM489" i="3"/>
  <c r="CG489" i="3" s="1"/>
  <c r="AL489" i="3"/>
  <c r="CF489" i="3" s="1"/>
  <c r="AK489" i="3"/>
  <c r="CE489" i="3" s="1"/>
  <c r="AJ489" i="3"/>
  <c r="CD489" i="3" s="1"/>
  <c r="AI489" i="3"/>
  <c r="AH489" i="3"/>
  <c r="AG489" i="3"/>
  <c r="AF489" i="3"/>
  <c r="BZ489" i="3" s="1"/>
  <c r="AE489" i="3"/>
  <c r="AD489" i="3"/>
  <c r="BX489" i="3" s="1"/>
  <c r="AC489" i="3"/>
  <c r="AB489" i="3"/>
  <c r="AA489" i="3"/>
  <c r="N489" i="3"/>
  <c r="BO488" i="3"/>
  <c r="BN488" i="3"/>
  <c r="BM488" i="3"/>
  <c r="BL488" i="3"/>
  <c r="BK488" i="3"/>
  <c r="BJ488" i="3"/>
  <c r="BI488" i="3"/>
  <c r="BH488" i="3"/>
  <c r="AY488" i="3"/>
  <c r="AX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N488" i="3"/>
  <c r="BO487" i="3"/>
  <c r="BN487" i="3"/>
  <c r="BM487" i="3"/>
  <c r="BK487" i="3"/>
  <c r="BI487" i="3"/>
  <c r="BH487" i="3"/>
  <c r="AY487" i="3"/>
  <c r="AX487" i="3"/>
  <c r="AM487" i="3"/>
  <c r="CG487" i="3" s="1"/>
  <c r="AL487" i="3"/>
  <c r="CF487" i="3" s="1"/>
  <c r="AK487" i="3"/>
  <c r="CE487" i="3" s="1"/>
  <c r="AJ487" i="3"/>
  <c r="CD487" i="3" s="1"/>
  <c r="AI487" i="3"/>
  <c r="AH487" i="3"/>
  <c r="AG487" i="3"/>
  <c r="AF487" i="3"/>
  <c r="BZ487" i="3" s="1"/>
  <c r="AE487" i="3"/>
  <c r="AD487" i="3"/>
  <c r="BX487" i="3" s="1"/>
  <c r="AC487" i="3"/>
  <c r="AB487" i="3"/>
  <c r="AA487" i="3"/>
  <c r="N487" i="3"/>
  <c r="BO486" i="3"/>
  <c r="BN486" i="3"/>
  <c r="BM486" i="3"/>
  <c r="BK486" i="3"/>
  <c r="BI486" i="3"/>
  <c r="BH486" i="3"/>
  <c r="AY486" i="3"/>
  <c r="AX486" i="3"/>
  <c r="AM486" i="3"/>
  <c r="CG486" i="3" s="1"/>
  <c r="AL486" i="3"/>
  <c r="CF486" i="3" s="1"/>
  <c r="AK486" i="3"/>
  <c r="CE486" i="3" s="1"/>
  <c r="AJ486" i="3"/>
  <c r="CD486" i="3" s="1"/>
  <c r="AI486" i="3"/>
  <c r="AH486" i="3"/>
  <c r="AG486" i="3"/>
  <c r="AF486" i="3"/>
  <c r="BZ486" i="3" s="1"/>
  <c r="AE486" i="3"/>
  <c r="AD486" i="3"/>
  <c r="BX486" i="3" s="1"/>
  <c r="AC486" i="3"/>
  <c r="AB486" i="3"/>
  <c r="AA486" i="3"/>
  <c r="N486" i="3"/>
  <c r="CG485" i="3"/>
  <c r="CF485" i="3"/>
  <c r="CE485" i="3"/>
  <c r="CD485" i="3"/>
  <c r="BZ485" i="3"/>
  <c r="BW485" i="3"/>
  <c r="BV485" i="3"/>
  <c r="BO485" i="3"/>
  <c r="CC485" i="3" s="1"/>
  <c r="BN485" i="3"/>
  <c r="CB485" i="3" s="1"/>
  <c r="BM485" i="3"/>
  <c r="CA485" i="3" s="1"/>
  <c r="BK485" i="3"/>
  <c r="BY485" i="3" s="1"/>
  <c r="BJ485" i="3"/>
  <c r="AY485" i="3"/>
  <c r="AX485" i="3"/>
  <c r="AN485" i="3"/>
  <c r="BO484" i="3"/>
  <c r="BN484" i="3"/>
  <c r="BM484" i="3"/>
  <c r="BL484" i="3"/>
  <c r="BK484" i="3"/>
  <c r="BJ484" i="3"/>
  <c r="BI484" i="3"/>
  <c r="BH484" i="3"/>
  <c r="AY484" i="3"/>
  <c r="AX484" i="3"/>
  <c r="AM484" i="3"/>
  <c r="CG484" i="3" s="1"/>
  <c r="AL484" i="3"/>
  <c r="CF484" i="3" s="1"/>
  <c r="AK484" i="3"/>
  <c r="CE484" i="3" s="1"/>
  <c r="AJ484" i="3"/>
  <c r="CD484" i="3" s="1"/>
  <c r="AI484" i="3"/>
  <c r="AH484" i="3"/>
  <c r="AG484" i="3"/>
  <c r="AF484" i="3"/>
  <c r="AE484" i="3"/>
  <c r="AD484" i="3"/>
  <c r="AC484" i="3"/>
  <c r="AB484" i="3"/>
  <c r="AA484" i="3"/>
  <c r="N484" i="3"/>
  <c r="BO483" i="3"/>
  <c r="BN483" i="3"/>
  <c r="BM483" i="3"/>
  <c r="BL483" i="3"/>
  <c r="BK483" i="3"/>
  <c r="BJ483" i="3"/>
  <c r="BI483" i="3"/>
  <c r="BH483" i="3"/>
  <c r="AY483" i="3"/>
  <c r="AX483" i="3"/>
  <c r="AM483" i="3"/>
  <c r="CG483" i="3" s="1"/>
  <c r="AL483" i="3"/>
  <c r="CF483" i="3" s="1"/>
  <c r="AK483" i="3"/>
  <c r="CE483" i="3" s="1"/>
  <c r="AJ483" i="3"/>
  <c r="CD483" i="3" s="1"/>
  <c r="AI483" i="3"/>
  <c r="AH483" i="3"/>
  <c r="AG483" i="3"/>
  <c r="AF483" i="3"/>
  <c r="AE483" i="3"/>
  <c r="AD483" i="3"/>
  <c r="AC483" i="3"/>
  <c r="AB483" i="3"/>
  <c r="AA483" i="3"/>
  <c r="N483" i="3"/>
  <c r="BO482" i="3"/>
  <c r="BN482" i="3"/>
  <c r="BM482" i="3"/>
  <c r="BL482" i="3"/>
  <c r="BK482" i="3"/>
  <c r="BJ482" i="3"/>
  <c r="BI482" i="3"/>
  <c r="BH482" i="3"/>
  <c r="AY482" i="3"/>
  <c r="AX482" i="3"/>
  <c r="AM482" i="3"/>
  <c r="CG482" i="3" s="1"/>
  <c r="AL482" i="3"/>
  <c r="CF482" i="3" s="1"/>
  <c r="AK482" i="3"/>
  <c r="CE482" i="3" s="1"/>
  <c r="AJ482" i="3"/>
  <c r="CD482" i="3" s="1"/>
  <c r="AI482" i="3"/>
  <c r="AH482" i="3"/>
  <c r="AG482" i="3"/>
  <c r="AF482" i="3"/>
  <c r="AE482" i="3"/>
  <c r="AD482" i="3"/>
  <c r="AC482" i="3"/>
  <c r="AB482" i="3"/>
  <c r="AA482" i="3"/>
  <c r="N482" i="3"/>
  <c r="BO481" i="3"/>
  <c r="BN481" i="3"/>
  <c r="BM481" i="3"/>
  <c r="BL481" i="3"/>
  <c r="BK481" i="3"/>
  <c r="BJ481" i="3"/>
  <c r="BI481" i="3"/>
  <c r="BH481" i="3"/>
  <c r="AY481" i="3"/>
  <c r="AX481" i="3"/>
  <c r="AM481" i="3"/>
  <c r="CG481" i="3" s="1"/>
  <c r="AL481" i="3"/>
  <c r="CF481" i="3" s="1"/>
  <c r="AK481" i="3"/>
  <c r="CE481" i="3" s="1"/>
  <c r="AJ481" i="3"/>
  <c r="CD481" i="3" s="1"/>
  <c r="AI481" i="3"/>
  <c r="AH481" i="3"/>
  <c r="AG481" i="3"/>
  <c r="AF481" i="3"/>
  <c r="AE481" i="3"/>
  <c r="AD481" i="3"/>
  <c r="AC481" i="3"/>
  <c r="AB481" i="3"/>
  <c r="AA481" i="3"/>
  <c r="N481" i="3"/>
  <c r="BO480" i="3"/>
  <c r="BN480" i="3"/>
  <c r="BM480" i="3"/>
  <c r="BL480" i="3"/>
  <c r="BK480" i="3"/>
  <c r="BJ480" i="3"/>
  <c r="BI480" i="3"/>
  <c r="BH480" i="3"/>
  <c r="AY480" i="3"/>
  <c r="AX480" i="3"/>
  <c r="AM480" i="3"/>
  <c r="CG480" i="3" s="1"/>
  <c r="AL480" i="3"/>
  <c r="CF480" i="3" s="1"/>
  <c r="AK480" i="3"/>
  <c r="CE480" i="3" s="1"/>
  <c r="AJ480" i="3"/>
  <c r="CD480" i="3" s="1"/>
  <c r="AI480" i="3"/>
  <c r="AH480" i="3"/>
  <c r="AG480" i="3"/>
  <c r="AF480" i="3"/>
  <c r="AE480" i="3"/>
  <c r="AD480" i="3"/>
  <c r="AC480" i="3"/>
  <c r="AB480" i="3"/>
  <c r="AA480" i="3"/>
  <c r="N480" i="3"/>
  <c r="BO479" i="3"/>
  <c r="BN479" i="3"/>
  <c r="BM479" i="3"/>
  <c r="BL479" i="3"/>
  <c r="BK479" i="3"/>
  <c r="BJ479" i="3"/>
  <c r="BI479" i="3"/>
  <c r="BH479" i="3"/>
  <c r="AY479" i="3"/>
  <c r="AX479" i="3"/>
  <c r="AM479" i="3"/>
  <c r="CG479" i="3" s="1"/>
  <c r="AL479" i="3"/>
  <c r="CF479" i="3" s="1"/>
  <c r="AK479" i="3"/>
  <c r="CE479" i="3" s="1"/>
  <c r="AJ479" i="3"/>
  <c r="CD479" i="3" s="1"/>
  <c r="AI479" i="3"/>
  <c r="AH479" i="3"/>
  <c r="AG479" i="3"/>
  <c r="AF479" i="3"/>
  <c r="AE479" i="3"/>
  <c r="AD479" i="3"/>
  <c r="AC479" i="3"/>
  <c r="AB479" i="3"/>
  <c r="AA479" i="3"/>
  <c r="N479" i="3"/>
  <c r="BO478" i="3"/>
  <c r="BN478" i="3"/>
  <c r="BM478" i="3"/>
  <c r="BL478" i="3"/>
  <c r="BK478" i="3"/>
  <c r="BJ478" i="3"/>
  <c r="BI478" i="3"/>
  <c r="BH478" i="3"/>
  <c r="AY478" i="3"/>
  <c r="AX478" i="3"/>
  <c r="AM478" i="3"/>
  <c r="CG478" i="3" s="1"/>
  <c r="AL478" i="3"/>
  <c r="CF478" i="3" s="1"/>
  <c r="AK478" i="3"/>
  <c r="CE478" i="3" s="1"/>
  <c r="AJ478" i="3"/>
  <c r="CD478" i="3" s="1"/>
  <c r="AI478" i="3"/>
  <c r="AH478" i="3"/>
  <c r="AG478" i="3"/>
  <c r="AF478" i="3"/>
  <c r="AE478" i="3"/>
  <c r="AD478" i="3"/>
  <c r="AC478" i="3"/>
  <c r="AB478" i="3"/>
  <c r="AA478" i="3"/>
  <c r="N478" i="3"/>
  <c r="BO477" i="3"/>
  <c r="BN477" i="3"/>
  <c r="BM477" i="3"/>
  <c r="BL477" i="3"/>
  <c r="BK477" i="3"/>
  <c r="BJ477" i="3"/>
  <c r="BI477" i="3"/>
  <c r="BH477" i="3"/>
  <c r="AY477" i="3"/>
  <c r="AX477" i="3"/>
  <c r="AM477" i="3"/>
  <c r="CG477" i="3" s="1"/>
  <c r="AL477" i="3"/>
  <c r="CF477" i="3" s="1"/>
  <c r="AK477" i="3"/>
  <c r="CE477" i="3" s="1"/>
  <c r="AJ477" i="3"/>
  <c r="CD477" i="3" s="1"/>
  <c r="AI477" i="3"/>
  <c r="AH477" i="3"/>
  <c r="AG477" i="3"/>
  <c r="AF477" i="3"/>
  <c r="AE477" i="3"/>
  <c r="AD477" i="3"/>
  <c r="AC477" i="3"/>
  <c r="AB477" i="3"/>
  <c r="AA477" i="3"/>
  <c r="N477" i="3"/>
  <c r="BO476" i="3"/>
  <c r="BN476" i="3"/>
  <c r="BM476" i="3"/>
  <c r="BL476" i="3"/>
  <c r="BK476" i="3"/>
  <c r="BJ476" i="3"/>
  <c r="BI476" i="3"/>
  <c r="BH476" i="3"/>
  <c r="AY476" i="3"/>
  <c r="AX476" i="3"/>
  <c r="AM476" i="3"/>
  <c r="CG476" i="3" s="1"/>
  <c r="AL476" i="3"/>
  <c r="CF476" i="3" s="1"/>
  <c r="AK476" i="3"/>
  <c r="CE476" i="3" s="1"/>
  <c r="AJ476" i="3"/>
  <c r="CD476" i="3" s="1"/>
  <c r="AI476" i="3"/>
  <c r="AH476" i="3"/>
  <c r="AG476" i="3"/>
  <c r="AF476" i="3"/>
  <c r="AE476" i="3"/>
  <c r="AD476" i="3"/>
  <c r="AC476" i="3"/>
  <c r="AB476" i="3"/>
  <c r="AA476" i="3"/>
  <c r="N476" i="3"/>
  <c r="BO475" i="3"/>
  <c r="BN475" i="3"/>
  <c r="BM475" i="3"/>
  <c r="BL475" i="3"/>
  <c r="BK475" i="3"/>
  <c r="BJ475" i="3"/>
  <c r="BI475" i="3"/>
  <c r="BH475" i="3"/>
  <c r="AY475" i="3"/>
  <c r="AX475" i="3"/>
  <c r="AM475" i="3"/>
  <c r="CG475" i="3" s="1"/>
  <c r="AL475" i="3"/>
  <c r="CF475" i="3" s="1"/>
  <c r="AK475" i="3"/>
  <c r="CE475" i="3" s="1"/>
  <c r="AJ475" i="3"/>
  <c r="CD475" i="3" s="1"/>
  <c r="AI475" i="3"/>
  <c r="AH475" i="3"/>
  <c r="AG475" i="3"/>
  <c r="AF475" i="3"/>
  <c r="AE475" i="3"/>
  <c r="AD475" i="3"/>
  <c r="AC475" i="3"/>
  <c r="AB475" i="3"/>
  <c r="AA475" i="3"/>
  <c r="N475" i="3"/>
  <c r="BO474" i="3"/>
  <c r="BN474" i="3"/>
  <c r="BM474" i="3"/>
  <c r="BL474" i="3"/>
  <c r="BK474" i="3"/>
  <c r="BJ474" i="3"/>
  <c r="BI474" i="3"/>
  <c r="BH474" i="3"/>
  <c r="AY474" i="3"/>
  <c r="AX474" i="3"/>
  <c r="AM474" i="3"/>
  <c r="CG474" i="3" s="1"/>
  <c r="AL474" i="3"/>
  <c r="CF474" i="3" s="1"/>
  <c r="AK474" i="3"/>
  <c r="CE474" i="3" s="1"/>
  <c r="AJ474" i="3"/>
  <c r="CD474" i="3" s="1"/>
  <c r="AI474" i="3"/>
  <c r="AH474" i="3"/>
  <c r="AG474" i="3"/>
  <c r="AF474" i="3"/>
  <c r="AE474" i="3"/>
  <c r="AD474" i="3"/>
  <c r="AC474" i="3"/>
  <c r="AB474" i="3"/>
  <c r="AA474" i="3"/>
  <c r="N474" i="3"/>
  <c r="BO473" i="3"/>
  <c r="BN473" i="3"/>
  <c r="BM473" i="3"/>
  <c r="BL473" i="3"/>
  <c r="BK473" i="3"/>
  <c r="BJ473" i="3"/>
  <c r="BI473" i="3"/>
  <c r="BH473" i="3"/>
  <c r="AY473" i="3"/>
  <c r="AX473" i="3"/>
  <c r="AM473" i="3"/>
  <c r="CG473" i="3" s="1"/>
  <c r="AL473" i="3"/>
  <c r="CF473" i="3" s="1"/>
  <c r="AK473" i="3"/>
  <c r="CE473" i="3" s="1"/>
  <c r="AJ473" i="3"/>
  <c r="CD473" i="3" s="1"/>
  <c r="AI473" i="3"/>
  <c r="AH473" i="3"/>
  <c r="AG473" i="3"/>
  <c r="AF473" i="3"/>
  <c r="AE473" i="3"/>
  <c r="AD473" i="3"/>
  <c r="AC473" i="3"/>
  <c r="AB473" i="3"/>
  <c r="AA473" i="3"/>
  <c r="N473" i="3"/>
  <c r="BO472" i="3"/>
  <c r="BN472" i="3"/>
  <c r="BM472" i="3"/>
  <c r="BL472" i="3"/>
  <c r="BK472" i="3"/>
  <c r="BJ472" i="3"/>
  <c r="BI472" i="3"/>
  <c r="BH472" i="3"/>
  <c r="AY472" i="3"/>
  <c r="AX472" i="3"/>
  <c r="AM472" i="3"/>
  <c r="CG472" i="3" s="1"/>
  <c r="AL472" i="3"/>
  <c r="CF472" i="3" s="1"/>
  <c r="AK472" i="3"/>
  <c r="CE472" i="3" s="1"/>
  <c r="AJ472" i="3"/>
  <c r="CD472" i="3" s="1"/>
  <c r="AI472" i="3"/>
  <c r="AH472" i="3"/>
  <c r="AG472" i="3"/>
  <c r="AF472" i="3"/>
  <c r="AE472" i="3"/>
  <c r="AD472" i="3"/>
  <c r="AC472" i="3"/>
  <c r="AB472" i="3"/>
  <c r="AA472" i="3"/>
  <c r="N472" i="3"/>
  <c r="BO471" i="3"/>
  <c r="BN471" i="3"/>
  <c r="BM471" i="3"/>
  <c r="BL471" i="3"/>
  <c r="BK471" i="3"/>
  <c r="BJ471" i="3"/>
  <c r="BI471" i="3"/>
  <c r="BH471" i="3"/>
  <c r="AY471" i="3"/>
  <c r="AX471" i="3"/>
  <c r="AM471" i="3"/>
  <c r="CG471" i="3" s="1"/>
  <c r="AL471" i="3"/>
  <c r="CF471" i="3" s="1"/>
  <c r="AK471" i="3"/>
  <c r="CE471" i="3" s="1"/>
  <c r="AJ471" i="3"/>
  <c r="CD471" i="3" s="1"/>
  <c r="AI471" i="3"/>
  <c r="AH471" i="3"/>
  <c r="AG471" i="3"/>
  <c r="AF471" i="3"/>
  <c r="AE471" i="3"/>
  <c r="AD471" i="3"/>
  <c r="AC471" i="3"/>
  <c r="AB471" i="3"/>
  <c r="AA471" i="3"/>
  <c r="N471" i="3"/>
  <c r="BO470" i="3"/>
  <c r="BN470" i="3"/>
  <c r="BM470" i="3"/>
  <c r="BL470" i="3"/>
  <c r="BK470" i="3"/>
  <c r="BJ470" i="3"/>
  <c r="BI470" i="3"/>
  <c r="BH470" i="3"/>
  <c r="AY470" i="3"/>
  <c r="AX470" i="3"/>
  <c r="AM470" i="3"/>
  <c r="CG470" i="3" s="1"/>
  <c r="AL470" i="3"/>
  <c r="CF470" i="3" s="1"/>
  <c r="AK470" i="3"/>
  <c r="CE470" i="3" s="1"/>
  <c r="AJ470" i="3"/>
  <c r="CD470" i="3" s="1"/>
  <c r="AI470" i="3"/>
  <c r="AH470" i="3"/>
  <c r="AG470" i="3"/>
  <c r="AF470" i="3"/>
  <c r="AE470" i="3"/>
  <c r="AD470" i="3"/>
  <c r="AC470" i="3"/>
  <c r="AB470" i="3"/>
  <c r="AA470" i="3"/>
  <c r="N470" i="3"/>
  <c r="BO469" i="3"/>
  <c r="BN469" i="3"/>
  <c r="BM469" i="3"/>
  <c r="BL469" i="3"/>
  <c r="BK469" i="3"/>
  <c r="BJ469" i="3"/>
  <c r="BI469" i="3"/>
  <c r="BH469" i="3"/>
  <c r="AY469" i="3"/>
  <c r="AX469" i="3"/>
  <c r="AM469" i="3"/>
  <c r="CG469" i="3" s="1"/>
  <c r="AL469" i="3"/>
  <c r="CF469" i="3" s="1"/>
  <c r="AK469" i="3"/>
  <c r="CE469" i="3" s="1"/>
  <c r="AJ469" i="3"/>
  <c r="CD469" i="3" s="1"/>
  <c r="AI469" i="3"/>
  <c r="AH469" i="3"/>
  <c r="AG469" i="3"/>
  <c r="AF469" i="3"/>
  <c r="AE469" i="3"/>
  <c r="AD469" i="3"/>
  <c r="AC469" i="3"/>
  <c r="AB469" i="3"/>
  <c r="AA469" i="3"/>
  <c r="N469" i="3"/>
  <c r="BO468" i="3"/>
  <c r="BN468" i="3"/>
  <c r="BM468" i="3"/>
  <c r="BK468" i="3"/>
  <c r="BJ468" i="3"/>
  <c r="BI468" i="3"/>
  <c r="BH468" i="3"/>
  <c r="AY468" i="3"/>
  <c r="AX468" i="3"/>
  <c r="AN468" i="3"/>
  <c r="CG467" i="3"/>
  <c r="CF467" i="3"/>
  <c r="CE467" i="3"/>
  <c r="CD467" i="3"/>
  <c r="BZ467" i="3"/>
  <c r="BO467" i="3"/>
  <c r="CC467" i="3" s="1"/>
  <c r="BN467" i="3"/>
  <c r="CB467" i="3" s="1"/>
  <c r="BM467" i="3"/>
  <c r="CA467" i="3" s="1"/>
  <c r="BK467" i="3"/>
  <c r="BY467" i="3" s="1"/>
  <c r="BJ467" i="3"/>
  <c r="BX467" i="3" s="1"/>
  <c r="BI467" i="3"/>
  <c r="BW467" i="3" s="1"/>
  <c r="BH467" i="3"/>
  <c r="AY467" i="3"/>
  <c r="AX467" i="3"/>
  <c r="AN467" i="3"/>
  <c r="CG466" i="3"/>
  <c r="CF466" i="3"/>
  <c r="CE466" i="3"/>
  <c r="CD466" i="3"/>
  <c r="BZ466" i="3"/>
  <c r="BW466" i="3"/>
  <c r="BV466" i="3"/>
  <c r="BO466" i="3"/>
  <c r="CC466" i="3" s="1"/>
  <c r="BN466" i="3"/>
  <c r="CB466" i="3" s="1"/>
  <c r="BM466" i="3"/>
  <c r="CA466" i="3" s="1"/>
  <c r="BK466" i="3"/>
  <c r="BY466" i="3" s="1"/>
  <c r="BJ466" i="3"/>
  <c r="AY466" i="3"/>
  <c r="AX466" i="3"/>
  <c r="AN466" i="3"/>
  <c r="BO465" i="3"/>
  <c r="BN465" i="3"/>
  <c r="BM465" i="3"/>
  <c r="BK465" i="3"/>
  <c r="BJ465" i="3"/>
  <c r="BI465" i="3"/>
  <c r="BH465" i="3"/>
  <c r="AY465" i="3"/>
  <c r="AX465" i="3"/>
  <c r="AM465" i="3"/>
  <c r="CG465" i="3" s="1"/>
  <c r="AL465" i="3"/>
  <c r="CF465" i="3" s="1"/>
  <c r="AK465" i="3"/>
  <c r="CE465" i="3" s="1"/>
  <c r="AJ465" i="3"/>
  <c r="CD465" i="3" s="1"/>
  <c r="AI465" i="3"/>
  <c r="AH465" i="3"/>
  <c r="AG465" i="3"/>
  <c r="AF465" i="3"/>
  <c r="BZ465" i="3" s="1"/>
  <c r="AE465" i="3"/>
  <c r="AD465" i="3"/>
  <c r="AC465" i="3"/>
  <c r="AB465" i="3"/>
  <c r="AA465" i="3"/>
  <c r="N465" i="3"/>
  <c r="BO464" i="3"/>
  <c r="BP464" i="3" s="1"/>
  <c r="BQ464" i="3" s="1"/>
  <c r="BR464" i="3" s="1"/>
  <c r="BS464" i="3" s="1"/>
  <c r="BN464" i="3"/>
  <c r="BM464" i="3"/>
  <c r="BL464" i="3"/>
  <c r="BK464" i="3"/>
  <c r="BJ464" i="3"/>
  <c r="BI464" i="3"/>
  <c r="BH464" i="3"/>
  <c r="AY464" i="3"/>
  <c r="AX464" i="3"/>
  <c r="BO463" i="3"/>
  <c r="BN463" i="3"/>
  <c r="BM463" i="3"/>
  <c r="BL463" i="3"/>
  <c r="BK463" i="3"/>
  <c r="BJ463" i="3"/>
  <c r="BI463" i="3"/>
  <c r="BH463" i="3"/>
  <c r="AY463" i="3"/>
  <c r="AX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N463" i="3"/>
  <c r="BO462" i="3"/>
  <c r="BN462" i="3"/>
  <c r="BM462" i="3"/>
  <c r="BL462" i="3"/>
  <c r="BK462" i="3"/>
  <c r="BJ462" i="3"/>
  <c r="BI462" i="3"/>
  <c r="BH462" i="3"/>
  <c r="AY462" i="3"/>
  <c r="AX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N462" i="3"/>
  <c r="BO461" i="3"/>
  <c r="BN461" i="3"/>
  <c r="BM461" i="3"/>
  <c r="BL461" i="3"/>
  <c r="BK461" i="3"/>
  <c r="BJ461" i="3"/>
  <c r="BI461" i="3"/>
  <c r="BH461" i="3"/>
  <c r="AY461" i="3"/>
  <c r="AX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N461" i="3"/>
  <c r="BO460" i="3"/>
  <c r="BN460" i="3"/>
  <c r="BM460" i="3"/>
  <c r="BL460" i="3"/>
  <c r="BK460" i="3"/>
  <c r="BJ460" i="3"/>
  <c r="BI460" i="3"/>
  <c r="BH460" i="3"/>
  <c r="AY460" i="3"/>
  <c r="AX460" i="3"/>
  <c r="AM460" i="3"/>
  <c r="CG460" i="3" s="1"/>
  <c r="AL460" i="3"/>
  <c r="CF460" i="3" s="1"/>
  <c r="AK460" i="3"/>
  <c r="CE460" i="3" s="1"/>
  <c r="AJ460" i="3"/>
  <c r="AI460" i="3"/>
  <c r="AH460" i="3"/>
  <c r="AG460" i="3"/>
  <c r="AF460" i="3"/>
  <c r="AE460" i="3"/>
  <c r="AD460" i="3"/>
  <c r="AC460" i="3"/>
  <c r="AB460" i="3"/>
  <c r="AA460" i="3"/>
  <c r="N460" i="3"/>
  <c r="BO459" i="3"/>
  <c r="BN459" i="3"/>
  <c r="BM459" i="3"/>
  <c r="BL459" i="3"/>
  <c r="BK459" i="3"/>
  <c r="BJ459" i="3"/>
  <c r="BI459" i="3"/>
  <c r="BH459" i="3"/>
  <c r="AY459" i="3"/>
  <c r="AX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N459" i="3"/>
  <c r="AN459" i="3" s="1"/>
  <c r="BS458" i="3"/>
  <c r="BO458" i="3"/>
  <c r="BN458" i="3"/>
  <c r="BM458" i="3"/>
  <c r="BL458" i="3"/>
  <c r="BK458" i="3"/>
  <c r="BJ458" i="3"/>
  <c r="BI458" i="3"/>
  <c r="BH458" i="3"/>
  <c r="AY458" i="3"/>
  <c r="AX458" i="3"/>
  <c r="AM458" i="3"/>
  <c r="AL458" i="3"/>
  <c r="CF458" i="3" s="1"/>
  <c r="AK458" i="3"/>
  <c r="CE458" i="3" s="1"/>
  <c r="AJ458" i="3"/>
  <c r="CD458" i="3" s="1"/>
  <c r="AI458" i="3"/>
  <c r="AH458" i="3"/>
  <c r="AG458" i="3"/>
  <c r="AF458" i="3"/>
  <c r="AE458" i="3"/>
  <c r="AD458" i="3"/>
  <c r="AC458" i="3"/>
  <c r="AB458" i="3"/>
  <c r="AA458" i="3"/>
  <c r="N458" i="3"/>
  <c r="BS457" i="3"/>
  <c r="BO457" i="3"/>
  <c r="BN457" i="3"/>
  <c r="BM457" i="3"/>
  <c r="BL457" i="3"/>
  <c r="BK457" i="3"/>
  <c r="BJ457" i="3"/>
  <c r="BI457" i="3"/>
  <c r="BH457" i="3"/>
  <c r="AY457" i="3"/>
  <c r="AX457" i="3"/>
  <c r="AM457" i="3"/>
  <c r="AL457" i="3"/>
  <c r="CF457" i="3" s="1"/>
  <c r="AK457" i="3"/>
  <c r="CE457" i="3" s="1"/>
  <c r="AJ457" i="3"/>
  <c r="CD457" i="3" s="1"/>
  <c r="AI457" i="3"/>
  <c r="AH457" i="3"/>
  <c r="AG457" i="3"/>
  <c r="AF457" i="3"/>
  <c r="AE457" i="3"/>
  <c r="AD457" i="3"/>
  <c r="AC457" i="3"/>
  <c r="AB457" i="3"/>
  <c r="AA457" i="3"/>
  <c r="N457" i="3"/>
  <c r="BS456" i="3"/>
  <c r="BO456" i="3"/>
  <c r="BN456" i="3"/>
  <c r="BM456" i="3"/>
  <c r="BL456" i="3"/>
  <c r="BK456" i="3"/>
  <c r="BJ456" i="3"/>
  <c r="BI456" i="3"/>
  <c r="BH456" i="3"/>
  <c r="AY456" i="3"/>
  <c r="AX456" i="3"/>
  <c r="AM456" i="3"/>
  <c r="AL456" i="3"/>
  <c r="CF456" i="3" s="1"/>
  <c r="AK456" i="3"/>
  <c r="CE456" i="3" s="1"/>
  <c r="AJ456" i="3"/>
  <c r="CD456" i="3" s="1"/>
  <c r="AI456" i="3"/>
  <c r="AH456" i="3"/>
  <c r="AG456" i="3"/>
  <c r="AF456" i="3"/>
  <c r="AE456" i="3"/>
  <c r="AD456" i="3"/>
  <c r="AC456" i="3"/>
  <c r="AB456" i="3"/>
  <c r="AA456" i="3"/>
  <c r="N456" i="3"/>
  <c r="BO455" i="3"/>
  <c r="BN455" i="3"/>
  <c r="BM455" i="3"/>
  <c r="BK455" i="3"/>
  <c r="BJ455" i="3"/>
  <c r="BI455" i="3"/>
  <c r="BH455" i="3"/>
  <c r="AY455" i="3"/>
  <c r="AX455" i="3"/>
  <c r="AM455" i="3"/>
  <c r="AL455" i="3"/>
  <c r="CF455" i="3" s="1"/>
  <c r="AK455" i="3"/>
  <c r="CE455" i="3" s="1"/>
  <c r="AJ455" i="3"/>
  <c r="CD455" i="3" s="1"/>
  <c r="AI455" i="3"/>
  <c r="AH455" i="3"/>
  <c r="AG455" i="3"/>
  <c r="AF455" i="3"/>
  <c r="BZ455" i="3" s="1"/>
  <c r="AE455" i="3"/>
  <c r="AD455" i="3"/>
  <c r="AC455" i="3"/>
  <c r="AB455" i="3"/>
  <c r="AA455" i="3"/>
  <c r="N455" i="3"/>
  <c r="BO454" i="3"/>
  <c r="BN454" i="3"/>
  <c r="BM454" i="3"/>
  <c r="BK454" i="3"/>
  <c r="BJ454" i="3"/>
  <c r="BI454" i="3"/>
  <c r="BH454" i="3"/>
  <c r="AY454" i="3"/>
  <c r="AX454" i="3"/>
  <c r="AM454" i="3"/>
  <c r="AL454" i="3"/>
  <c r="CF454" i="3" s="1"/>
  <c r="AK454" i="3"/>
  <c r="CE454" i="3" s="1"/>
  <c r="AJ454" i="3"/>
  <c r="CD454" i="3" s="1"/>
  <c r="AI454" i="3"/>
  <c r="AH454" i="3"/>
  <c r="AG454" i="3"/>
  <c r="AF454" i="3"/>
  <c r="BZ454" i="3" s="1"/>
  <c r="AE454" i="3"/>
  <c r="AD454" i="3"/>
  <c r="AC454" i="3"/>
  <c r="AB454" i="3"/>
  <c r="AA454" i="3"/>
  <c r="N454" i="3"/>
  <c r="AN454" i="3" s="1"/>
  <c r="BS454" i="3" s="1"/>
  <c r="CG454" i="3" s="1"/>
  <c r="BO453" i="3"/>
  <c r="BN453" i="3"/>
  <c r="BM453" i="3"/>
  <c r="BK453" i="3"/>
  <c r="BJ453" i="3"/>
  <c r="BI453" i="3"/>
  <c r="BH453" i="3"/>
  <c r="AY453" i="3"/>
  <c r="AX453" i="3"/>
  <c r="AM453" i="3"/>
  <c r="AL453" i="3"/>
  <c r="CF453" i="3" s="1"/>
  <c r="AK453" i="3"/>
  <c r="CE453" i="3" s="1"/>
  <c r="AJ453" i="3"/>
  <c r="CD453" i="3" s="1"/>
  <c r="AI453" i="3"/>
  <c r="AH453" i="3"/>
  <c r="AG453" i="3"/>
  <c r="AF453" i="3"/>
  <c r="BZ453" i="3" s="1"/>
  <c r="AE453" i="3"/>
  <c r="AD453" i="3"/>
  <c r="AC453" i="3"/>
  <c r="AB453" i="3"/>
  <c r="AA453" i="3"/>
  <c r="N453" i="3"/>
  <c r="BO452" i="3"/>
  <c r="BN452" i="3"/>
  <c r="BM452" i="3"/>
  <c r="BL452" i="3"/>
  <c r="BK452" i="3"/>
  <c r="BJ452" i="3"/>
  <c r="BI452" i="3"/>
  <c r="BH452" i="3"/>
  <c r="AY452" i="3"/>
  <c r="AX452" i="3"/>
  <c r="AM452" i="3"/>
  <c r="BS452" i="3" s="1"/>
  <c r="CG452" i="3" s="1"/>
  <c r="AL452" i="3"/>
  <c r="BR452" i="3" s="1"/>
  <c r="CF452" i="3" s="1"/>
  <c r="AK452" i="3"/>
  <c r="CE452" i="3" s="1"/>
  <c r="AJ452" i="3"/>
  <c r="BP452" i="3" s="1"/>
  <c r="CD452" i="3" s="1"/>
  <c r="AI452" i="3"/>
  <c r="AH452" i="3"/>
  <c r="AG452" i="3"/>
  <c r="AF452" i="3"/>
  <c r="AE452" i="3"/>
  <c r="AD452" i="3"/>
  <c r="AC452" i="3"/>
  <c r="AB452" i="3"/>
  <c r="AA452" i="3"/>
  <c r="N452" i="3"/>
  <c r="BS451" i="3"/>
  <c r="BO451" i="3"/>
  <c r="BN451" i="3"/>
  <c r="BM451" i="3"/>
  <c r="BL451" i="3"/>
  <c r="BK451" i="3"/>
  <c r="BJ451" i="3"/>
  <c r="BI451" i="3"/>
  <c r="BH451" i="3"/>
  <c r="AY451" i="3"/>
  <c r="AX451" i="3"/>
  <c r="AM451" i="3"/>
  <c r="AL451" i="3"/>
  <c r="CF451" i="3" s="1"/>
  <c r="AK451" i="3"/>
  <c r="CE451" i="3" s="1"/>
  <c r="AJ451" i="3"/>
  <c r="CD451" i="3" s="1"/>
  <c r="AI451" i="3"/>
  <c r="AH451" i="3"/>
  <c r="AG451" i="3"/>
  <c r="AF451" i="3"/>
  <c r="AE451" i="3"/>
  <c r="AD451" i="3"/>
  <c r="AC451" i="3"/>
  <c r="AB451" i="3"/>
  <c r="AA451" i="3"/>
  <c r="N451" i="3"/>
  <c r="BO450" i="3"/>
  <c r="BN450" i="3"/>
  <c r="BM450" i="3"/>
  <c r="BL450" i="3"/>
  <c r="BK450" i="3"/>
  <c r="BJ450" i="3"/>
  <c r="BI450" i="3"/>
  <c r="BH450" i="3"/>
  <c r="AY450" i="3"/>
  <c r="AX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N450" i="3"/>
  <c r="BO449" i="3"/>
  <c r="BN449" i="3"/>
  <c r="BM449" i="3"/>
  <c r="BL449" i="3"/>
  <c r="BK449" i="3"/>
  <c r="BJ449" i="3"/>
  <c r="BI449" i="3"/>
  <c r="BH449" i="3"/>
  <c r="AY449" i="3"/>
  <c r="AX449" i="3"/>
  <c r="AM449" i="3"/>
  <c r="CG449" i="3" s="1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N449" i="3"/>
  <c r="BO448" i="3"/>
  <c r="BN448" i="3"/>
  <c r="BM448" i="3"/>
  <c r="BL448" i="3"/>
  <c r="BK448" i="3"/>
  <c r="BJ448" i="3"/>
  <c r="AY448" i="3"/>
  <c r="AX448" i="3"/>
  <c r="AN448" i="3"/>
  <c r="BO447" i="3"/>
  <c r="BN447" i="3"/>
  <c r="BM447" i="3"/>
  <c r="BL447" i="3"/>
  <c r="BK447" i="3"/>
  <c r="BJ447" i="3"/>
  <c r="BI447" i="3"/>
  <c r="BH447" i="3"/>
  <c r="AY447" i="3"/>
  <c r="AX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N447" i="3"/>
  <c r="BO446" i="3"/>
  <c r="BN446" i="3"/>
  <c r="BM446" i="3"/>
  <c r="BL446" i="3"/>
  <c r="BK446" i="3"/>
  <c r="BJ446" i="3"/>
  <c r="BI446" i="3"/>
  <c r="BH446" i="3"/>
  <c r="AY446" i="3"/>
  <c r="AX446" i="3"/>
  <c r="AM446" i="3"/>
  <c r="CG446" i="3" s="1"/>
  <c r="AL446" i="3"/>
  <c r="CF446" i="3" s="1"/>
  <c r="AK446" i="3"/>
  <c r="CE446" i="3" s="1"/>
  <c r="AJ446" i="3"/>
  <c r="CD446" i="3" s="1"/>
  <c r="AI446" i="3"/>
  <c r="AH446" i="3"/>
  <c r="AG446" i="3"/>
  <c r="AF446" i="3"/>
  <c r="AE446" i="3"/>
  <c r="AD446" i="3"/>
  <c r="AC446" i="3"/>
  <c r="AB446" i="3"/>
  <c r="AA446" i="3"/>
  <c r="N446" i="3"/>
  <c r="BO445" i="3"/>
  <c r="BP445" i="3" s="1"/>
  <c r="BQ445" i="3" s="1"/>
  <c r="BR445" i="3" s="1"/>
  <c r="BS445" i="3" s="1"/>
  <c r="BN445" i="3"/>
  <c r="BM445" i="3"/>
  <c r="BL445" i="3"/>
  <c r="AY445" i="3"/>
  <c r="AX445" i="3"/>
  <c r="AN445" i="3"/>
  <c r="BO444" i="3"/>
  <c r="BN444" i="3"/>
  <c r="CB444" i="3" s="1"/>
  <c r="BM444" i="3"/>
  <c r="CA444" i="3" s="1"/>
  <c r="BL444" i="3"/>
  <c r="BZ444" i="3" s="1"/>
  <c r="BK444" i="3"/>
  <c r="BY444" i="3" s="1"/>
  <c r="BJ444" i="3"/>
  <c r="BX444" i="3" s="1"/>
  <c r="BI444" i="3"/>
  <c r="BW444" i="3" s="1"/>
  <c r="BH444" i="3"/>
  <c r="AY444" i="3"/>
  <c r="AX444" i="3"/>
  <c r="AN444" i="3"/>
  <c r="BO443" i="3"/>
  <c r="BN443" i="3"/>
  <c r="CB443" i="3" s="1"/>
  <c r="BM443" i="3"/>
  <c r="CA443" i="3" s="1"/>
  <c r="BL443" i="3"/>
  <c r="BZ443" i="3" s="1"/>
  <c r="BK443" i="3"/>
  <c r="BY443" i="3" s="1"/>
  <c r="BJ443" i="3"/>
  <c r="BX443" i="3" s="1"/>
  <c r="BI443" i="3"/>
  <c r="BW443" i="3" s="1"/>
  <c r="BH443" i="3"/>
  <c r="AY443" i="3"/>
  <c r="AX443" i="3"/>
  <c r="AN443" i="3"/>
  <c r="BO442" i="3"/>
  <c r="BN442" i="3"/>
  <c r="BM442" i="3"/>
  <c r="BL442" i="3"/>
  <c r="BK442" i="3"/>
  <c r="BJ442" i="3"/>
  <c r="BI442" i="3"/>
  <c r="BH442" i="3"/>
  <c r="AY442" i="3"/>
  <c r="AX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N442" i="3"/>
  <c r="BO441" i="3"/>
  <c r="BN441" i="3"/>
  <c r="BM441" i="3"/>
  <c r="BL441" i="3"/>
  <c r="BK441" i="3"/>
  <c r="BJ441" i="3"/>
  <c r="BI441" i="3"/>
  <c r="BH441" i="3"/>
  <c r="AY441" i="3"/>
  <c r="AX441" i="3"/>
  <c r="AM441" i="3"/>
  <c r="CG441" i="3" s="1"/>
  <c r="AL441" i="3"/>
  <c r="CF441" i="3" s="1"/>
  <c r="AK441" i="3"/>
  <c r="CE441" i="3" s="1"/>
  <c r="AJ441" i="3"/>
  <c r="CD441" i="3" s="1"/>
  <c r="AI441" i="3"/>
  <c r="AH441" i="3"/>
  <c r="AG441" i="3"/>
  <c r="AF441" i="3"/>
  <c r="AE441" i="3"/>
  <c r="AD441" i="3"/>
  <c r="AC441" i="3"/>
  <c r="AB441" i="3"/>
  <c r="AA441" i="3"/>
  <c r="N441" i="3"/>
  <c r="AN441" i="3" s="1"/>
  <c r="BO440" i="3"/>
  <c r="BP440" i="3" s="1"/>
  <c r="BQ440" i="3" s="1"/>
  <c r="BR440" i="3" s="1"/>
  <c r="BS440" i="3" s="1"/>
  <c r="BN440" i="3"/>
  <c r="BM440" i="3"/>
  <c r="BL440" i="3"/>
  <c r="BK440" i="3"/>
  <c r="BJ440" i="3"/>
  <c r="BI440" i="3"/>
  <c r="BH440" i="3"/>
  <c r="AY440" i="3"/>
  <c r="AX440" i="3"/>
  <c r="AN440" i="3"/>
  <c r="CG439" i="3"/>
  <c r="CF439" i="3"/>
  <c r="CE439" i="3"/>
  <c r="CD439" i="3"/>
  <c r="BW439" i="3"/>
  <c r="BV439" i="3"/>
  <c r="BO439" i="3"/>
  <c r="CC439" i="3" s="1"/>
  <c r="BN439" i="3"/>
  <c r="CB439" i="3" s="1"/>
  <c r="BM439" i="3"/>
  <c r="CA439" i="3" s="1"/>
  <c r="BL439" i="3"/>
  <c r="BZ439" i="3" s="1"/>
  <c r="BK439" i="3"/>
  <c r="BY439" i="3" s="1"/>
  <c r="BJ439" i="3"/>
  <c r="AY439" i="3"/>
  <c r="AX439" i="3"/>
  <c r="AN439" i="3"/>
  <c r="BO438" i="3"/>
  <c r="BN438" i="3"/>
  <c r="BM438" i="3"/>
  <c r="BL438" i="3"/>
  <c r="BK438" i="3"/>
  <c r="BJ438" i="3"/>
  <c r="BI438" i="3"/>
  <c r="BH438" i="3"/>
  <c r="AY438" i="3"/>
  <c r="AX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N438" i="3"/>
  <c r="BO437" i="3"/>
  <c r="BN437" i="3"/>
  <c r="BM437" i="3"/>
  <c r="BL437" i="3"/>
  <c r="BK437" i="3"/>
  <c r="BJ437" i="3"/>
  <c r="BI437" i="3"/>
  <c r="BH437" i="3"/>
  <c r="AY437" i="3"/>
  <c r="AX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N437" i="3"/>
  <c r="BO436" i="3"/>
  <c r="BN436" i="3"/>
  <c r="BM436" i="3"/>
  <c r="BL436" i="3"/>
  <c r="BK436" i="3"/>
  <c r="BJ436" i="3"/>
  <c r="BI436" i="3"/>
  <c r="BH436" i="3"/>
  <c r="AY436" i="3"/>
  <c r="AX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N436" i="3"/>
  <c r="AN436" i="3" s="1"/>
  <c r="BO435" i="3"/>
  <c r="BN435" i="3"/>
  <c r="BM435" i="3"/>
  <c r="BL435" i="3"/>
  <c r="BK435" i="3"/>
  <c r="BJ435" i="3"/>
  <c r="BI435" i="3"/>
  <c r="BH435" i="3"/>
  <c r="AY435" i="3"/>
  <c r="AX435" i="3"/>
  <c r="AM435" i="3"/>
  <c r="CG435" i="3" s="1"/>
  <c r="AL435" i="3"/>
  <c r="CF435" i="3" s="1"/>
  <c r="AK435" i="3"/>
  <c r="CE435" i="3" s="1"/>
  <c r="AJ435" i="3"/>
  <c r="CD435" i="3" s="1"/>
  <c r="AI435" i="3"/>
  <c r="AH435" i="3"/>
  <c r="AG435" i="3"/>
  <c r="AF435" i="3"/>
  <c r="AE435" i="3"/>
  <c r="AD435" i="3"/>
  <c r="AC435" i="3"/>
  <c r="AB435" i="3"/>
  <c r="AA435" i="3"/>
  <c r="N435" i="3"/>
  <c r="BO434" i="3"/>
  <c r="BN434" i="3"/>
  <c r="BM434" i="3"/>
  <c r="BL434" i="3"/>
  <c r="BK434" i="3"/>
  <c r="BJ434" i="3"/>
  <c r="BI434" i="3"/>
  <c r="BH434" i="3"/>
  <c r="AY434" i="3"/>
  <c r="AX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N434" i="3"/>
  <c r="BO433" i="3"/>
  <c r="BN433" i="3"/>
  <c r="BM433" i="3"/>
  <c r="BL433" i="3"/>
  <c r="BK433" i="3"/>
  <c r="BJ433" i="3"/>
  <c r="BI433" i="3"/>
  <c r="BH433" i="3"/>
  <c r="AY433" i="3"/>
  <c r="AX433" i="3"/>
  <c r="AM433" i="3"/>
  <c r="CG433" i="3" s="1"/>
  <c r="AL433" i="3"/>
  <c r="CF433" i="3" s="1"/>
  <c r="AK433" i="3"/>
  <c r="CE433" i="3" s="1"/>
  <c r="AJ433" i="3"/>
  <c r="CD433" i="3" s="1"/>
  <c r="AI433" i="3"/>
  <c r="AH433" i="3"/>
  <c r="AG433" i="3"/>
  <c r="AF433" i="3"/>
  <c r="AE433" i="3"/>
  <c r="AD433" i="3"/>
  <c r="AC433" i="3"/>
  <c r="AB433" i="3"/>
  <c r="AA433" i="3"/>
  <c r="N433" i="3"/>
  <c r="BO432" i="3"/>
  <c r="BN432" i="3"/>
  <c r="BM432" i="3"/>
  <c r="BL432" i="3"/>
  <c r="BK432" i="3"/>
  <c r="BJ432" i="3"/>
  <c r="BI432" i="3"/>
  <c r="BH432" i="3"/>
  <c r="AY432" i="3"/>
  <c r="AX432" i="3"/>
  <c r="AM432" i="3"/>
  <c r="CG432" i="3" s="1"/>
  <c r="AL432" i="3"/>
  <c r="CF432" i="3" s="1"/>
  <c r="AK432" i="3"/>
  <c r="CE432" i="3" s="1"/>
  <c r="AJ432" i="3"/>
  <c r="CD432" i="3" s="1"/>
  <c r="AI432" i="3"/>
  <c r="AH432" i="3"/>
  <c r="AG432" i="3"/>
  <c r="AF432" i="3"/>
  <c r="AE432" i="3"/>
  <c r="AD432" i="3"/>
  <c r="AC432" i="3"/>
  <c r="AB432" i="3"/>
  <c r="AA432" i="3"/>
  <c r="N432" i="3"/>
  <c r="CG431" i="3"/>
  <c r="BO431" i="3"/>
  <c r="BN431" i="3"/>
  <c r="CB431" i="3" s="1"/>
  <c r="BM431" i="3"/>
  <c r="CA431" i="3" s="1"/>
  <c r="BL431" i="3"/>
  <c r="BZ431" i="3" s="1"/>
  <c r="BK431" i="3"/>
  <c r="BY431" i="3" s="1"/>
  <c r="BJ431" i="3"/>
  <c r="BX431" i="3" s="1"/>
  <c r="BI431" i="3"/>
  <c r="BW431" i="3" s="1"/>
  <c r="BH431" i="3"/>
  <c r="AY431" i="3"/>
  <c r="AX431" i="3"/>
  <c r="AN431" i="3"/>
  <c r="BO430" i="3"/>
  <c r="BN430" i="3"/>
  <c r="CB430" i="3" s="1"/>
  <c r="BM430" i="3"/>
  <c r="CA430" i="3" s="1"/>
  <c r="BL430" i="3"/>
  <c r="BZ430" i="3" s="1"/>
  <c r="BK430" i="3"/>
  <c r="BY430" i="3" s="1"/>
  <c r="BJ430" i="3"/>
  <c r="BX430" i="3" s="1"/>
  <c r="BI430" i="3"/>
  <c r="BW430" i="3" s="1"/>
  <c r="BH430" i="3"/>
  <c r="AY430" i="3"/>
  <c r="AX430" i="3"/>
  <c r="AN430" i="3"/>
  <c r="BO429" i="3"/>
  <c r="BN429" i="3"/>
  <c r="BM429" i="3"/>
  <c r="BL429" i="3"/>
  <c r="BK429" i="3"/>
  <c r="BJ429" i="3"/>
  <c r="BI429" i="3"/>
  <c r="BH429" i="3"/>
  <c r="AY429" i="3"/>
  <c r="AX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N429" i="3"/>
  <c r="BO428" i="3"/>
  <c r="BN428" i="3"/>
  <c r="BM428" i="3"/>
  <c r="BK428" i="3"/>
  <c r="BJ428" i="3"/>
  <c r="BI428" i="3"/>
  <c r="BH428" i="3"/>
  <c r="AY428" i="3"/>
  <c r="AX428" i="3"/>
  <c r="AM428" i="3"/>
  <c r="CG428" i="3" s="1"/>
  <c r="AL428" i="3"/>
  <c r="CF428" i="3" s="1"/>
  <c r="AK428" i="3"/>
  <c r="CE428" i="3" s="1"/>
  <c r="AJ428" i="3"/>
  <c r="CD428" i="3" s="1"/>
  <c r="AI428" i="3"/>
  <c r="AH428" i="3"/>
  <c r="AG428" i="3"/>
  <c r="AF428" i="3"/>
  <c r="BZ428" i="3" s="1"/>
  <c r="AE428" i="3"/>
  <c r="AD428" i="3"/>
  <c r="AC428" i="3"/>
  <c r="AB428" i="3"/>
  <c r="AA428" i="3"/>
  <c r="N428" i="3"/>
  <c r="BO427" i="3"/>
  <c r="BN427" i="3"/>
  <c r="BM427" i="3"/>
  <c r="BL427" i="3"/>
  <c r="BK427" i="3"/>
  <c r="BJ427" i="3"/>
  <c r="BI427" i="3"/>
  <c r="BH427" i="3"/>
  <c r="AY427" i="3"/>
  <c r="AX427" i="3"/>
  <c r="AM427" i="3"/>
  <c r="CG427" i="3" s="1"/>
  <c r="AL427" i="3"/>
  <c r="CF427" i="3" s="1"/>
  <c r="AK427" i="3"/>
  <c r="CE427" i="3" s="1"/>
  <c r="AJ427" i="3"/>
  <c r="CD427" i="3" s="1"/>
  <c r="AI427" i="3"/>
  <c r="AH427" i="3"/>
  <c r="AG427" i="3"/>
  <c r="AF427" i="3"/>
  <c r="AE427" i="3"/>
  <c r="AD427" i="3"/>
  <c r="AC427" i="3"/>
  <c r="AB427" i="3"/>
  <c r="AA427" i="3"/>
  <c r="N427" i="3"/>
  <c r="BO426" i="3"/>
  <c r="BN426" i="3"/>
  <c r="BM426" i="3"/>
  <c r="BL426" i="3"/>
  <c r="BK426" i="3"/>
  <c r="BJ426" i="3"/>
  <c r="BI426" i="3"/>
  <c r="BH426" i="3"/>
  <c r="AY426" i="3"/>
  <c r="AX426" i="3"/>
  <c r="AM426" i="3"/>
  <c r="CG426" i="3" s="1"/>
  <c r="AL426" i="3"/>
  <c r="BR426" i="3" s="1"/>
  <c r="CF426" i="3" s="1"/>
  <c r="AK426" i="3"/>
  <c r="BQ426" i="3" s="1"/>
  <c r="CE426" i="3" s="1"/>
  <c r="AJ426" i="3"/>
  <c r="CD426" i="3" s="1"/>
  <c r="AI426" i="3"/>
  <c r="AH426" i="3"/>
  <c r="AG426" i="3"/>
  <c r="AF426" i="3"/>
  <c r="AE426" i="3"/>
  <c r="AD426" i="3"/>
  <c r="AC426" i="3"/>
  <c r="AB426" i="3"/>
  <c r="AA426" i="3"/>
  <c r="N426" i="3"/>
  <c r="CG425" i="3"/>
  <c r="CF425" i="3"/>
  <c r="CE425" i="3"/>
  <c r="CD425" i="3"/>
  <c r="BZ425" i="3"/>
  <c r="BW425" i="3"/>
  <c r="BV425" i="3"/>
  <c r="BO425" i="3"/>
  <c r="CC425" i="3" s="1"/>
  <c r="BN425" i="3"/>
  <c r="CB425" i="3" s="1"/>
  <c r="BM425" i="3"/>
  <c r="CA425" i="3" s="1"/>
  <c r="BK425" i="3"/>
  <c r="BY425" i="3" s="1"/>
  <c r="BJ425" i="3"/>
  <c r="AY425" i="3"/>
  <c r="AX425" i="3"/>
  <c r="AN425" i="3"/>
  <c r="BO424" i="3"/>
  <c r="BN424" i="3"/>
  <c r="BM424" i="3"/>
  <c r="BL424" i="3"/>
  <c r="BK424" i="3"/>
  <c r="BJ424" i="3"/>
  <c r="BI424" i="3"/>
  <c r="BH424" i="3"/>
  <c r="AY424" i="3"/>
  <c r="AX424" i="3"/>
  <c r="AO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N424" i="3"/>
  <c r="AN424" i="3" s="1"/>
  <c r="BW423" i="3"/>
  <c r="BV423" i="3"/>
  <c r="BO423" i="3"/>
  <c r="BN423" i="3"/>
  <c r="CB423" i="3" s="1"/>
  <c r="BM423" i="3"/>
  <c r="CA423" i="3" s="1"/>
  <c r="BL423" i="3"/>
  <c r="BZ423" i="3" s="1"/>
  <c r="BK423" i="3"/>
  <c r="BY423" i="3" s="1"/>
  <c r="BJ423" i="3"/>
  <c r="AY423" i="3"/>
  <c r="AX423" i="3"/>
  <c r="AN423" i="3"/>
  <c r="BR422" i="3"/>
  <c r="BO422" i="3"/>
  <c r="BN422" i="3"/>
  <c r="BM422" i="3"/>
  <c r="BK422" i="3"/>
  <c r="BJ422" i="3"/>
  <c r="BI422" i="3"/>
  <c r="BH422" i="3"/>
  <c r="AY422" i="3"/>
  <c r="AX422" i="3"/>
  <c r="AM422" i="3"/>
  <c r="CG422" i="3" s="1"/>
  <c r="AL422" i="3"/>
  <c r="AK422" i="3"/>
  <c r="CE422" i="3" s="1"/>
  <c r="AJ422" i="3"/>
  <c r="CD422" i="3" s="1"/>
  <c r="AI422" i="3"/>
  <c r="AH422" i="3"/>
  <c r="AG422" i="3"/>
  <c r="AF422" i="3"/>
  <c r="BZ422" i="3" s="1"/>
  <c r="AE422" i="3"/>
  <c r="AD422" i="3"/>
  <c r="AC422" i="3"/>
  <c r="AB422" i="3"/>
  <c r="AA422" i="3"/>
  <c r="N422" i="3"/>
  <c r="BO421" i="3"/>
  <c r="BN421" i="3"/>
  <c r="BM421" i="3"/>
  <c r="BK421" i="3"/>
  <c r="BJ421" i="3"/>
  <c r="BI421" i="3"/>
  <c r="BH421" i="3"/>
  <c r="AY421" i="3"/>
  <c r="AX421" i="3"/>
  <c r="AM421" i="3"/>
  <c r="CG421" i="3" s="1"/>
  <c r="AL421" i="3"/>
  <c r="CF421" i="3" s="1"/>
  <c r="AK421" i="3"/>
  <c r="CE421" i="3" s="1"/>
  <c r="AJ421" i="3"/>
  <c r="CD421" i="3" s="1"/>
  <c r="AI421" i="3"/>
  <c r="AH421" i="3"/>
  <c r="AG421" i="3"/>
  <c r="AF421" i="3"/>
  <c r="BZ421" i="3" s="1"/>
  <c r="AE421" i="3"/>
  <c r="AD421" i="3"/>
  <c r="AC421" i="3"/>
  <c r="AB421" i="3"/>
  <c r="AA421" i="3"/>
  <c r="N421" i="3"/>
  <c r="BO420" i="3"/>
  <c r="BN420" i="3"/>
  <c r="BM420" i="3"/>
  <c r="BK420" i="3"/>
  <c r="BJ420" i="3"/>
  <c r="BI420" i="3"/>
  <c r="BH420" i="3"/>
  <c r="AY420" i="3"/>
  <c r="AX420" i="3"/>
  <c r="AM420" i="3"/>
  <c r="CG420" i="3" s="1"/>
  <c r="AL420" i="3"/>
  <c r="CF420" i="3" s="1"/>
  <c r="AK420" i="3"/>
  <c r="CE420" i="3" s="1"/>
  <c r="AJ420" i="3"/>
  <c r="CD420" i="3" s="1"/>
  <c r="AI420" i="3"/>
  <c r="AH420" i="3"/>
  <c r="AG420" i="3"/>
  <c r="AF420" i="3"/>
  <c r="BZ420" i="3" s="1"/>
  <c r="AE420" i="3"/>
  <c r="AD420" i="3"/>
  <c r="AC420" i="3"/>
  <c r="AB420" i="3"/>
  <c r="AA420" i="3"/>
  <c r="N420" i="3"/>
  <c r="BO419" i="3"/>
  <c r="BN419" i="3"/>
  <c r="BM419" i="3"/>
  <c r="BK419" i="3"/>
  <c r="BJ419" i="3"/>
  <c r="BI419" i="3"/>
  <c r="BH419" i="3"/>
  <c r="AY419" i="3"/>
  <c r="AX419" i="3"/>
  <c r="AM419" i="3"/>
  <c r="CG419" i="3" s="1"/>
  <c r="AL419" i="3"/>
  <c r="CF419" i="3" s="1"/>
  <c r="AK419" i="3"/>
  <c r="CE419" i="3" s="1"/>
  <c r="AJ419" i="3"/>
  <c r="CD419" i="3" s="1"/>
  <c r="AI419" i="3"/>
  <c r="AH419" i="3"/>
  <c r="AG419" i="3"/>
  <c r="AF419" i="3"/>
  <c r="BZ419" i="3" s="1"/>
  <c r="AE419" i="3"/>
  <c r="AD419" i="3"/>
  <c r="AC419" i="3"/>
  <c r="AB419" i="3"/>
  <c r="AA419" i="3"/>
  <c r="N419" i="3"/>
  <c r="BO418" i="3"/>
  <c r="BN418" i="3"/>
  <c r="BM418" i="3"/>
  <c r="BK418" i="3"/>
  <c r="BJ418" i="3"/>
  <c r="BI418" i="3"/>
  <c r="BH418" i="3"/>
  <c r="AY418" i="3"/>
  <c r="AX418" i="3"/>
  <c r="AM418" i="3"/>
  <c r="CG418" i="3" s="1"/>
  <c r="AL418" i="3"/>
  <c r="CF418" i="3" s="1"/>
  <c r="AK418" i="3"/>
  <c r="CE418" i="3" s="1"/>
  <c r="AJ418" i="3"/>
  <c r="CD418" i="3" s="1"/>
  <c r="AI418" i="3"/>
  <c r="AH418" i="3"/>
  <c r="AG418" i="3"/>
  <c r="AF418" i="3"/>
  <c r="BZ418" i="3" s="1"/>
  <c r="AE418" i="3"/>
  <c r="AD418" i="3"/>
  <c r="AC418" i="3"/>
  <c r="AB418" i="3"/>
  <c r="AA418" i="3"/>
  <c r="N418" i="3"/>
  <c r="BO417" i="3"/>
  <c r="BN417" i="3"/>
  <c r="BM417" i="3"/>
  <c r="BK417" i="3"/>
  <c r="BJ417" i="3"/>
  <c r="BI417" i="3"/>
  <c r="BH417" i="3"/>
  <c r="AY417" i="3"/>
  <c r="AX417" i="3"/>
  <c r="AM417" i="3"/>
  <c r="CG417" i="3" s="1"/>
  <c r="AL417" i="3"/>
  <c r="CF417" i="3" s="1"/>
  <c r="AK417" i="3"/>
  <c r="CE417" i="3" s="1"/>
  <c r="AJ417" i="3"/>
  <c r="CD417" i="3" s="1"/>
  <c r="AI417" i="3"/>
  <c r="AH417" i="3"/>
  <c r="AG417" i="3"/>
  <c r="AF417" i="3"/>
  <c r="BZ417" i="3" s="1"/>
  <c r="AE417" i="3"/>
  <c r="AD417" i="3"/>
  <c r="AC417" i="3"/>
  <c r="AB417" i="3"/>
  <c r="AA417" i="3"/>
  <c r="N417" i="3"/>
  <c r="BO416" i="3"/>
  <c r="BN416" i="3"/>
  <c r="BM416" i="3"/>
  <c r="BL416" i="3"/>
  <c r="BK416" i="3"/>
  <c r="BJ416" i="3"/>
  <c r="BI416" i="3"/>
  <c r="BH416" i="3"/>
  <c r="AY416" i="3"/>
  <c r="AX416" i="3"/>
  <c r="AM416" i="3"/>
  <c r="CG416" i="3" s="1"/>
  <c r="AL416" i="3"/>
  <c r="CF416" i="3" s="1"/>
  <c r="AK416" i="3"/>
  <c r="CE416" i="3" s="1"/>
  <c r="AJ416" i="3"/>
  <c r="CD416" i="3" s="1"/>
  <c r="AI416" i="3"/>
  <c r="AH416" i="3"/>
  <c r="AG416" i="3"/>
  <c r="AF416" i="3"/>
  <c r="AE416" i="3"/>
  <c r="AD416" i="3"/>
  <c r="AC416" i="3"/>
  <c r="AB416" i="3"/>
  <c r="AA416" i="3"/>
  <c r="N416" i="3"/>
  <c r="BO415" i="3"/>
  <c r="BN415" i="3"/>
  <c r="BM415" i="3"/>
  <c r="BL415" i="3"/>
  <c r="BK415" i="3"/>
  <c r="BJ415" i="3"/>
  <c r="BI415" i="3"/>
  <c r="BH415" i="3"/>
  <c r="AY415" i="3"/>
  <c r="AX415" i="3"/>
  <c r="AM415" i="3"/>
  <c r="CG415" i="3" s="1"/>
  <c r="AL415" i="3"/>
  <c r="CF415" i="3" s="1"/>
  <c r="AK415" i="3"/>
  <c r="CE415" i="3" s="1"/>
  <c r="AJ415" i="3"/>
  <c r="CD415" i="3" s="1"/>
  <c r="AI415" i="3"/>
  <c r="AH415" i="3"/>
  <c r="AG415" i="3"/>
  <c r="AF415" i="3"/>
  <c r="AE415" i="3"/>
  <c r="AD415" i="3"/>
  <c r="AC415" i="3"/>
  <c r="AB415" i="3"/>
  <c r="AA415" i="3"/>
  <c r="N415" i="3"/>
  <c r="BO414" i="3"/>
  <c r="BN414" i="3"/>
  <c r="BM414" i="3"/>
  <c r="BL414" i="3"/>
  <c r="BK414" i="3"/>
  <c r="BJ414" i="3"/>
  <c r="BI414" i="3"/>
  <c r="BH414" i="3"/>
  <c r="AY414" i="3"/>
  <c r="AX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N414" i="3"/>
  <c r="BO413" i="3"/>
  <c r="BN413" i="3"/>
  <c r="BM413" i="3"/>
  <c r="BL413" i="3"/>
  <c r="BK413" i="3"/>
  <c r="BJ413" i="3"/>
  <c r="BI413" i="3"/>
  <c r="BH413" i="3"/>
  <c r="AY413" i="3"/>
  <c r="AX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N413" i="3"/>
  <c r="BO412" i="3"/>
  <c r="BN412" i="3"/>
  <c r="BM412" i="3"/>
  <c r="BL412" i="3"/>
  <c r="BK412" i="3"/>
  <c r="BJ412" i="3"/>
  <c r="BI412" i="3"/>
  <c r="BH412" i="3"/>
  <c r="AY412" i="3"/>
  <c r="AX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N412" i="3"/>
  <c r="BO411" i="3"/>
  <c r="BN411" i="3"/>
  <c r="BM411" i="3"/>
  <c r="BL411" i="3"/>
  <c r="BK411" i="3"/>
  <c r="BJ411" i="3"/>
  <c r="BI411" i="3"/>
  <c r="BH411" i="3"/>
  <c r="AY411" i="3"/>
  <c r="AX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N411" i="3"/>
  <c r="BO410" i="3"/>
  <c r="BN410" i="3"/>
  <c r="BM410" i="3"/>
  <c r="BL410" i="3"/>
  <c r="BK410" i="3"/>
  <c r="BJ410" i="3"/>
  <c r="BI410" i="3"/>
  <c r="BH410" i="3"/>
  <c r="AY410" i="3"/>
  <c r="AX410" i="3"/>
  <c r="AO410" i="3"/>
  <c r="O410" i="3"/>
  <c r="N410" i="3"/>
  <c r="BO409" i="3"/>
  <c r="BN409" i="3"/>
  <c r="BM409" i="3"/>
  <c r="BL409" i="3"/>
  <c r="BK409" i="3"/>
  <c r="BJ409" i="3"/>
  <c r="BI409" i="3"/>
  <c r="BH409" i="3"/>
  <c r="AY409" i="3"/>
  <c r="AX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N409" i="3"/>
  <c r="BO408" i="3"/>
  <c r="BN408" i="3"/>
  <c r="BM408" i="3"/>
  <c r="BL408" i="3"/>
  <c r="BK408" i="3"/>
  <c r="BJ408" i="3"/>
  <c r="BI408" i="3"/>
  <c r="BH408" i="3"/>
  <c r="AY408" i="3"/>
  <c r="AX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N408" i="3"/>
  <c r="BO407" i="3"/>
  <c r="BN407" i="3"/>
  <c r="BM407" i="3"/>
  <c r="BL407" i="3"/>
  <c r="BK407" i="3"/>
  <c r="BJ407" i="3"/>
  <c r="BI407" i="3"/>
  <c r="BH407" i="3"/>
  <c r="AY407" i="3"/>
  <c r="AX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N407" i="3"/>
  <c r="BW406" i="3"/>
  <c r="BV406" i="3"/>
  <c r="BO406" i="3"/>
  <c r="BN406" i="3"/>
  <c r="CB406" i="3" s="1"/>
  <c r="BM406" i="3"/>
  <c r="CA406" i="3" s="1"/>
  <c r="BL406" i="3"/>
  <c r="BZ406" i="3" s="1"/>
  <c r="BK406" i="3"/>
  <c r="BY406" i="3" s="1"/>
  <c r="BJ406" i="3"/>
  <c r="AY406" i="3"/>
  <c r="AX406" i="3"/>
  <c r="AN406" i="3"/>
  <c r="BS405" i="3"/>
  <c r="BR405" i="3"/>
  <c r="BO405" i="3"/>
  <c r="BN405" i="3"/>
  <c r="BM405" i="3"/>
  <c r="BK405" i="3"/>
  <c r="BJ405" i="3"/>
  <c r="BI405" i="3"/>
  <c r="BH405" i="3"/>
  <c r="AY405" i="3"/>
  <c r="AX405" i="3"/>
  <c r="AM405" i="3"/>
  <c r="AL405" i="3"/>
  <c r="AK405" i="3"/>
  <c r="CE405" i="3" s="1"/>
  <c r="AJ405" i="3"/>
  <c r="CD405" i="3" s="1"/>
  <c r="AI405" i="3"/>
  <c r="AH405" i="3"/>
  <c r="AG405" i="3"/>
  <c r="AF405" i="3"/>
  <c r="BZ405" i="3" s="1"/>
  <c r="AE405" i="3"/>
  <c r="AD405" i="3"/>
  <c r="AC405" i="3"/>
  <c r="AB405" i="3"/>
  <c r="AA405" i="3"/>
  <c r="N405" i="3"/>
  <c r="BO404" i="3"/>
  <c r="BN404" i="3"/>
  <c r="BM404" i="3"/>
  <c r="BL404" i="3"/>
  <c r="BK404" i="3"/>
  <c r="BJ404" i="3"/>
  <c r="BI404" i="3"/>
  <c r="BH404" i="3"/>
  <c r="AY404" i="3"/>
  <c r="AX404" i="3"/>
  <c r="AM404" i="3"/>
  <c r="CG404" i="3" s="1"/>
  <c r="AL404" i="3"/>
  <c r="CF404" i="3" s="1"/>
  <c r="AK404" i="3"/>
  <c r="CE404" i="3" s="1"/>
  <c r="AJ404" i="3"/>
  <c r="CD404" i="3" s="1"/>
  <c r="AI404" i="3"/>
  <c r="AH404" i="3"/>
  <c r="AG404" i="3"/>
  <c r="AF404" i="3"/>
  <c r="AE404" i="3"/>
  <c r="AD404" i="3"/>
  <c r="AC404" i="3"/>
  <c r="AB404" i="3"/>
  <c r="AA404" i="3"/>
  <c r="N404" i="3"/>
  <c r="BO403" i="3"/>
  <c r="BN403" i="3"/>
  <c r="BM403" i="3"/>
  <c r="BL403" i="3"/>
  <c r="BK403" i="3"/>
  <c r="BJ403" i="3"/>
  <c r="BI403" i="3"/>
  <c r="BH403" i="3"/>
  <c r="AY403" i="3"/>
  <c r="AX403" i="3"/>
  <c r="AM403" i="3"/>
  <c r="BS403" i="3" s="1"/>
  <c r="CG403" i="3" s="1"/>
  <c r="AL403" i="3"/>
  <c r="BR403" i="3" s="1"/>
  <c r="CF403" i="3" s="1"/>
  <c r="AK403" i="3"/>
  <c r="BQ403" i="3" s="1"/>
  <c r="CE403" i="3" s="1"/>
  <c r="AJ403" i="3"/>
  <c r="BP403" i="3" s="1"/>
  <c r="CD403" i="3" s="1"/>
  <c r="AI403" i="3"/>
  <c r="AH403" i="3"/>
  <c r="AG403" i="3"/>
  <c r="AF403" i="3"/>
  <c r="AE403" i="3"/>
  <c r="AD403" i="3"/>
  <c r="AC403" i="3"/>
  <c r="AB403" i="3"/>
  <c r="AA403" i="3"/>
  <c r="N403" i="3"/>
  <c r="BO402" i="3"/>
  <c r="BN402" i="3"/>
  <c r="BM402" i="3"/>
  <c r="BL402" i="3"/>
  <c r="BK402" i="3"/>
  <c r="BJ402" i="3"/>
  <c r="BI402" i="3"/>
  <c r="BH402" i="3"/>
  <c r="AY402" i="3"/>
  <c r="AX402" i="3"/>
  <c r="AM402" i="3"/>
  <c r="BS402" i="3" s="1"/>
  <c r="CG402" i="3" s="1"/>
  <c r="AL402" i="3"/>
  <c r="BR402" i="3" s="1"/>
  <c r="CF402" i="3" s="1"/>
  <c r="AK402" i="3"/>
  <c r="BQ402" i="3" s="1"/>
  <c r="CE402" i="3" s="1"/>
  <c r="AJ402" i="3"/>
  <c r="BP402" i="3" s="1"/>
  <c r="CD402" i="3" s="1"/>
  <c r="AI402" i="3"/>
  <c r="AH402" i="3"/>
  <c r="AG402" i="3"/>
  <c r="AF402" i="3"/>
  <c r="AE402" i="3"/>
  <c r="AD402" i="3"/>
  <c r="AC402" i="3"/>
  <c r="AB402" i="3"/>
  <c r="AA402" i="3"/>
  <c r="N402" i="3"/>
  <c r="BO401" i="3"/>
  <c r="BN401" i="3"/>
  <c r="BM401" i="3"/>
  <c r="BL401" i="3"/>
  <c r="BK401" i="3"/>
  <c r="BJ401" i="3"/>
  <c r="BI401" i="3"/>
  <c r="BH401" i="3"/>
  <c r="AY401" i="3"/>
  <c r="AX401" i="3"/>
  <c r="AM401" i="3"/>
  <c r="BS401" i="3" s="1"/>
  <c r="CG401" i="3" s="1"/>
  <c r="AL401" i="3"/>
  <c r="BR401" i="3" s="1"/>
  <c r="CF401" i="3" s="1"/>
  <c r="AK401" i="3"/>
  <c r="BQ401" i="3" s="1"/>
  <c r="CE401" i="3" s="1"/>
  <c r="AJ401" i="3"/>
  <c r="BP401" i="3" s="1"/>
  <c r="CD401" i="3" s="1"/>
  <c r="AI401" i="3"/>
  <c r="AH401" i="3"/>
  <c r="AG401" i="3"/>
  <c r="AF401" i="3"/>
  <c r="AE401" i="3"/>
  <c r="AD401" i="3"/>
  <c r="AC401" i="3"/>
  <c r="AB401" i="3"/>
  <c r="AA401" i="3"/>
  <c r="N401" i="3"/>
  <c r="BO400" i="3"/>
  <c r="BN400" i="3"/>
  <c r="BM400" i="3"/>
  <c r="BL400" i="3"/>
  <c r="BK400" i="3"/>
  <c r="BJ400" i="3"/>
  <c r="BI400" i="3"/>
  <c r="BH400" i="3"/>
  <c r="AY400" i="3"/>
  <c r="AX400" i="3"/>
  <c r="O400" i="3"/>
  <c r="N400" i="3"/>
  <c r="BO399" i="3"/>
  <c r="BN399" i="3"/>
  <c r="BM399" i="3"/>
  <c r="BL399" i="3"/>
  <c r="BK399" i="3"/>
  <c r="BJ399" i="3"/>
  <c r="BI399" i="3"/>
  <c r="BH399" i="3"/>
  <c r="AY399" i="3"/>
  <c r="AX399" i="3"/>
  <c r="AM399" i="3"/>
  <c r="CG399" i="3" s="1"/>
  <c r="AL399" i="3"/>
  <c r="CF399" i="3" s="1"/>
  <c r="AK399" i="3"/>
  <c r="CE399" i="3" s="1"/>
  <c r="AJ399" i="3"/>
  <c r="CD399" i="3" s="1"/>
  <c r="AI399" i="3"/>
  <c r="AH399" i="3"/>
  <c r="AG399" i="3"/>
  <c r="AF399" i="3"/>
  <c r="AE399" i="3"/>
  <c r="AD399" i="3"/>
  <c r="AC399" i="3"/>
  <c r="AB399" i="3"/>
  <c r="AA399" i="3"/>
  <c r="N399" i="3"/>
  <c r="BO398" i="3"/>
  <c r="BN398" i="3"/>
  <c r="BM398" i="3"/>
  <c r="BL398" i="3"/>
  <c r="AY398" i="3"/>
  <c r="AX398" i="3"/>
  <c r="AN398" i="3"/>
  <c r="BO397" i="3"/>
  <c r="BN397" i="3"/>
  <c r="BM397" i="3"/>
  <c r="BL397" i="3"/>
  <c r="BK397" i="3"/>
  <c r="BJ397" i="3"/>
  <c r="BI397" i="3"/>
  <c r="BH397" i="3"/>
  <c r="AY397" i="3"/>
  <c r="AX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N397" i="3"/>
  <c r="BO396" i="3"/>
  <c r="BN396" i="3"/>
  <c r="BM396" i="3"/>
  <c r="BL396" i="3"/>
  <c r="BK396" i="3"/>
  <c r="BJ396" i="3"/>
  <c r="BI396" i="3"/>
  <c r="BH396" i="3"/>
  <c r="AY396" i="3"/>
  <c r="AX396" i="3"/>
  <c r="AM396" i="3"/>
  <c r="CG396" i="3" s="1"/>
  <c r="AL396" i="3"/>
  <c r="CF396" i="3" s="1"/>
  <c r="AK396" i="3"/>
  <c r="CE396" i="3" s="1"/>
  <c r="AJ396" i="3"/>
  <c r="CD396" i="3" s="1"/>
  <c r="AI396" i="3"/>
  <c r="AH396" i="3"/>
  <c r="AG396" i="3"/>
  <c r="AF396" i="3"/>
  <c r="AE396" i="3"/>
  <c r="AD396" i="3"/>
  <c r="AC396" i="3"/>
  <c r="AB396" i="3"/>
  <c r="AA396" i="3"/>
  <c r="N396" i="3"/>
  <c r="BO395" i="3"/>
  <c r="BN395" i="3"/>
  <c r="BM395" i="3"/>
  <c r="BL395" i="3"/>
  <c r="BK395" i="3"/>
  <c r="BJ395" i="3"/>
  <c r="BI395" i="3"/>
  <c r="BH395" i="3"/>
  <c r="AY395" i="3"/>
  <c r="AX395" i="3"/>
  <c r="AM395" i="3"/>
  <c r="CG395" i="3" s="1"/>
  <c r="AL395" i="3"/>
  <c r="CF395" i="3" s="1"/>
  <c r="AK395" i="3"/>
  <c r="CE395" i="3" s="1"/>
  <c r="AJ395" i="3"/>
  <c r="CD395" i="3" s="1"/>
  <c r="AI395" i="3"/>
  <c r="AH395" i="3"/>
  <c r="AG395" i="3"/>
  <c r="AF395" i="3"/>
  <c r="AE395" i="3"/>
  <c r="AD395" i="3"/>
  <c r="AC395" i="3"/>
  <c r="AB395" i="3"/>
  <c r="AA395" i="3"/>
  <c r="N395" i="3"/>
  <c r="BO394" i="3"/>
  <c r="BN394" i="3"/>
  <c r="BM394" i="3"/>
  <c r="BL394" i="3"/>
  <c r="BK394" i="3"/>
  <c r="BJ394" i="3"/>
  <c r="BI394" i="3"/>
  <c r="BH394" i="3"/>
  <c r="AY394" i="3"/>
  <c r="AX394" i="3"/>
  <c r="AM394" i="3"/>
  <c r="CG394" i="3" s="1"/>
  <c r="AL394" i="3"/>
  <c r="CF394" i="3" s="1"/>
  <c r="AK394" i="3"/>
  <c r="CE394" i="3" s="1"/>
  <c r="AJ394" i="3"/>
  <c r="CD394" i="3" s="1"/>
  <c r="AI394" i="3"/>
  <c r="AH394" i="3"/>
  <c r="AG394" i="3"/>
  <c r="AF394" i="3"/>
  <c r="AE394" i="3"/>
  <c r="AD394" i="3"/>
  <c r="AC394" i="3"/>
  <c r="AB394" i="3"/>
  <c r="AA394" i="3"/>
  <c r="N394" i="3"/>
  <c r="BO393" i="3"/>
  <c r="BN393" i="3"/>
  <c r="BM393" i="3"/>
  <c r="BL393" i="3"/>
  <c r="BK393" i="3"/>
  <c r="BJ393" i="3"/>
  <c r="BI393" i="3"/>
  <c r="BH393" i="3"/>
  <c r="AY393" i="3"/>
  <c r="AX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N393" i="3"/>
  <c r="BO392" i="3"/>
  <c r="BN392" i="3"/>
  <c r="BM392" i="3"/>
  <c r="BL392" i="3"/>
  <c r="BK392" i="3"/>
  <c r="BJ392" i="3"/>
  <c r="BI392" i="3"/>
  <c r="BH392" i="3"/>
  <c r="AY392" i="3"/>
  <c r="AX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N392" i="3"/>
  <c r="BO391" i="3"/>
  <c r="BN391" i="3"/>
  <c r="BM391" i="3"/>
  <c r="BL391" i="3"/>
  <c r="BK391" i="3"/>
  <c r="BJ391" i="3"/>
  <c r="BI391" i="3"/>
  <c r="BH391" i="3"/>
  <c r="AY391" i="3"/>
  <c r="AX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N391" i="3"/>
  <c r="BO390" i="3"/>
  <c r="BN390" i="3"/>
  <c r="BM390" i="3"/>
  <c r="BL390" i="3"/>
  <c r="BK390" i="3"/>
  <c r="BJ390" i="3"/>
  <c r="BI390" i="3"/>
  <c r="BH390" i="3"/>
  <c r="AY390" i="3"/>
  <c r="AX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N390" i="3"/>
  <c r="BO389" i="3"/>
  <c r="BN389" i="3"/>
  <c r="BM389" i="3"/>
  <c r="BL389" i="3"/>
  <c r="BK389" i="3"/>
  <c r="BJ389" i="3"/>
  <c r="BI389" i="3"/>
  <c r="BH389" i="3"/>
  <c r="AY389" i="3"/>
  <c r="AX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N389" i="3"/>
  <c r="BO388" i="3"/>
  <c r="BN388" i="3"/>
  <c r="BM388" i="3"/>
  <c r="BL388" i="3"/>
  <c r="BK388" i="3"/>
  <c r="BJ388" i="3"/>
  <c r="BI388" i="3"/>
  <c r="BH388" i="3"/>
  <c r="AY388" i="3"/>
  <c r="AX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N388" i="3"/>
  <c r="BO387" i="3"/>
  <c r="BN387" i="3"/>
  <c r="BM387" i="3"/>
  <c r="BL387" i="3"/>
  <c r="BK387" i="3"/>
  <c r="BJ387" i="3"/>
  <c r="BI387" i="3"/>
  <c r="BH387" i="3"/>
  <c r="AY387" i="3"/>
  <c r="AX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N387" i="3"/>
  <c r="BO386" i="3"/>
  <c r="BN386" i="3"/>
  <c r="BM386" i="3"/>
  <c r="BL386" i="3"/>
  <c r="BK386" i="3"/>
  <c r="BJ386" i="3"/>
  <c r="BI386" i="3"/>
  <c r="BH386" i="3"/>
  <c r="AY386" i="3"/>
  <c r="AX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N386" i="3"/>
  <c r="BO385" i="3"/>
  <c r="BN385" i="3"/>
  <c r="BM385" i="3"/>
  <c r="BL385" i="3"/>
  <c r="BK385" i="3"/>
  <c r="BJ385" i="3"/>
  <c r="BI385" i="3"/>
  <c r="BH385" i="3"/>
  <c r="AY385" i="3"/>
  <c r="AX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N385" i="3"/>
  <c r="BO384" i="3"/>
  <c r="BN384" i="3"/>
  <c r="BM384" i="3"/>
  <c r="BL384" i="3"/>
  <c r="BK384" i="3"/>
  <c r="BJ384" i="3"/>
  <c r="BI384" i="3"/>
  <c r="BH384" i="3"/>
  <c r="AY384" i="3"/>
  <c r="AX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N384" i="3"/>
  <c r="BO383" i="3"/>
  <c r="BN383" i="3"/>
  <c r="BM383" i="3"/>
  <c r="BL383" i="3"/>
  <c r="BK383" i="3"/>
  <c r="BJ383" i="3"/>
  <c r="BI383" i="3"/>
  <c r="BH383" i="3"/>
  <c r="AY383" i="3"/>
  <c r="AX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N383" i="3"/>
  <c r="CG382" i="3"/>
  <c r="CF382" i="3"/>
  <c r="CE382" i="3"/>
  <c r="CD382" i="3"/>
  <c r="BO382" i="3"/>
  <c r="CC382" i="3" s="1"/>
  <c r="BN382" i="3"/>
  <c r="CB382" i="3" s="1"/>
  <c r="BM382" i="3"/>
  <c r="CA382" i="3" s="1"/>
  <c r="BL382" i="3"/>
  <c r="BZ382" i="3" s="1"/>
  <c r="BK382" i="3"/>
  <c r="BY382" i="3" s="1"/>
  <c r="BJ382" i="3"/>
  <c r="BX382" i="3" s="1"/>
  <c r="BI382" i="3"/>
  <c r="BW382" i="3" s="1"/>
  <c r="BH382" i="3"/>
  <c r="AY382" i="3"/>
  <c r="AX382" i="3"/>
  <c r="AN382" i="3"/>
  <c r="BO381" i="3"/>
  <c r="BN381" i="3"/>
  <c r="BM381" i="3"/>
  <c r="BL381" i="3"/>
  <c r="BK381" i="3"/>
  <c r="BJ381" i="3"/>
  <c r="BI381" i="3"/>
  <c r="BH381" i="3"/>
  <c r="AY381" i="3"/>
  <c r="AX381" i="3"/>
  <c r="AO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N381" i="3"/>
  <c r="BO379" i="3"/>
  <c r="BN379" i="3"/>
  <c r="BM379" i="3"/>
  <c r="BL379" i="3"/>
  <c r="AY379" i="3"/>
  <c r="AX379" i="3"/>
  <c r="AN379" i="3"/>
  <c r="CF378" i="3"/>
  <c r="CE378" i="3"/>
  <c r="CD378" i="3"/>
  <c r="BS378" i="3"/>
  <c r="CG378" i="3" s="1"/>
  <c r="BO378" i="3"/>
  <c r="CC378" i="3" s="1"/>
  <c r="BN378" i="3"/>
  <c r="CB378" i="3" s="1"/>
  <c r="BM378" i="3"/>
  <c r="CA378" i="3" s="1"/>
  <c r="BL378" i="3"/>
  <c r="BZ378" i="3" s="1"/>
  <c r="BK378" i="3"/>
  <c r="BY378" i="3" s="1"/>
  <c r="BJ378" i="3"/>
  <c r="BX378" i="3" s="1"/>
  <c r="BI378" i="3"/>
  <c r="BW378" i="3" s="1"/>
  <c r="BH378" i="3"/>
  <c r="AY378" i="3"/>
  <c r="AX378" i="3"/>
  <c r="AN378" i="3"/>
  <c r="BO377" i="3"/>
  <c r="BN377" i="3"/>
  <c r="BM377" i="3"/>
  <c r="BL377" i="3"/>
  <c r="BK377" i="3"/>
  <c r="BJ377" i="3"/>
  <c r="BI377" i="3"/>
  <c r="BH377" i="3"/>
  <c r="AY377" i="3"/>
  <c r="AX377" i="3"/>
  <c r="AM377" i="3"/>
  <c r="CG377" i="3" s="1"/>
  <c r="AL377" i="3"/>
  <c r="CF377" i="3" s="1"/>
  <c r="AK377" i="3"/>
  <c r="CE377" i="3" s="1"/>
  <c r="AJ377" i="3"/>
  <c r="CD377" i="3" s="1"/>
  <c r="AI377" i="3"/>
  <c r="AH377" i="3"/>
  <c r="AG377" i="3"/>
  <c r="AF377" i="3"/>
  <c r="AE377" i="3"/>
  <c r="AD377" i="3"/>
  <c r="AC377" i="3"/>
  <c r="AB377" i="3"/>
  <c r="AA377" i="3"/>
  <c r="N377" i="3"/>
  <c r="BO376" i="3"/>
  <c r="BN376" i="3"/>
  <c r="BM376" i="3"/>
  <c r="BL376" i="3"/>
  <c r="BK376" i="3"/>
  <c r="BJ376" i="3"/>
  <c r="BI376" i="3"/>
  <c r="BH376" i="3"/>
  <c r="AY376" i="3"/>
  <c r="AX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N376" i="3"/>
  <c r="BO375" i="3"/>
  <c r="BN375" i="3"/>
  <c r="BM375" i="3"/>
  <c r="BL375" i="3"/>
  <c r="BK375" i="3"/>
  <c r="BJ375" i="3"/>
  <c r="BI375" i="3"/>
  <c r="BH375" i="3"/>
  <c r="AY375" i="3"/>
  <c r="AX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N375" i="3"/>
  <c r="BO374" i="3"/>
  <c r="BN374" i="3"/>
  <c r="BM374" i="3"/>
  <c r="BL374" i="3"/>
  <c r="BK374" i="3"/>
  <c r="BJ374" i="3"/>
  <c r="BI374" i="3"/>
  <c r="BH374" i="3"/>
  <c r="AY374" i="3"/>
  <c r="AX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N374" i="3"/>
  <c r="BO373" i="3"/>
  <c r="BN373" i="3"/>
  <c r="BM373" i="3"/>
  <c r="BL373" i="3"/>
  <c r="BK373" i="3"/>
  <c r="BJ373" i="3"/>
  <c r="BI373" i="3"/>
  <c r="BH373" i="3"/>
  <c r="AY373" i="3"/>
  <c r="AX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N373" i="3"/>
  <c r="BO372" i="3"/>
  <c r="BN372" i="3"/>
  <c r="BM372" i="3"/>
  <c r="BL372" i="3"/>
  <c r="BK372" i="3"/>
  <c r="BJ372" i="3"/>
  <c r="BI372" i="3"/>
  <c r="BH372" i="3"/>
  <c r="AY372" i="3"/>
  <c r="AX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N372" i="3"/>
  <c r="BO371" i="3"/>
  <c r="BN371" i="3"/>
  <c r="BM371" i="3"/>
  <c r="BL371" i="3"/>
  <c r="BK371" i="3"/>
  <c r="BJ371" i="3"/>
  <c r="BI371" i="3"/>
  <c r="BH371" i="3"/>
  <c r="AY371" i="3"/>
  <c r="AX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N371" i="3"/>
  <c r="BO370" i="3"/>
  <c r="BN370" i="3"/>
  <c r="BM370" i="3"/>
  <c r="BL370" i="3"/>
  <c r="BK370" i="3"/>
  <c r="BJ370" i="3"/>
  <c r="BI370" i="3"/>
  <c r="BH370" i="3"/>
  <c r="AY370" i="3"/>
  <c r="AX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N370" i="3"/>
  <c r="BO369" i="3"/>
  <c r="BN369" i="3"/>
  <c r="BM369" i="3"/>
  <c r="BL369" i="3"/>
  <c r="BK369" i="3"/>
  <c r="BJ369" i="3"/>
  <c r="BI369" i="3"/>
  <c r="BH369" i="3"/>
  <c r="AY369" i="3"/>
  <c r="AX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N369" i="3"/>
  <c r="BO368" i="3"/>
  <c r="BN368" i="3"/>
  <c r="BM368" i="3"/>
  <c r="BL368" i="3"/>
  <c r="BK368" i="3"/>
  <c r="BJ368" i="3"/>
  <c r="BI368" i="3"/>
  <c r="BH368" i="3"/>
  <c r="AY368" i="3"/>
  <c r="AX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N368" i="3"/>
  <c r="BO367" i="3"/>
  <c r="BN367" i="3"/>
  <c r="BM367" i="3"/>
  <c r="BL367" i="3"/>
  <c r="BK367" i="3"/>
  <c r="BJ367" i="3"/>
  <c r="BI367" i="3"/>
  <c r="BH367" i="3"/>
  <c r="AY367" i="3"/>
  <c r="AX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N367" i="3"/>
  <c r="BO366" i="3"/>
  <c r="BN366" i="3"/>
  <c r="BM366" i="3"/>
  <c r="BL366" i="3"/>
  <c r="BK366" i="3"/>
  <c r="BJ366" i="3"/>
  <c r="BI366" i="3"/>
  <c r="BH366" i="3"/>
  <c r="AY366" i="3"/>
  <c r="AX366" i="3"/>
  <c r="AM366" i="3"/>
  <c r="CG366" i="3" s="1"/>
  <c r="AL366" i="3"/>
  <c r="CF366" i="3" s="1"/>
  <c r="AK366" i="3"/>
  <c r="CE366" i="3" s="1"/>
  <c r="AJ366" i="3"/>
  <c r="CD366" i="3" s="1"/>
  <c r="AI366" i="3"/>
  <c r="AH366" i="3"/>
  <c r="AG366" i="3"/>
  <c r="AF366" i="3"/>
  <c r="AE366" i="3"/>
  <c r="AD366" i="3"/>
  <c r="AC366" i="3"/>
  <c r="AB366" i="3"/>
  <c r="AA366" i="3"/>
  <c r="N366" i="3"/>
  <c r="BO364" i="3"/>
  <c r="BN364" i="3"/>
  <c r="CB364" i="3" s="1"/>
  <c r="BM364" i="3"/>
  <c r="CA364" i="3" s="1"/>
  <c r="BL364" i="3"/>
  <c r="BZ364" i="3" s="1"/>
  <c r="BK364" i="3"/>
  <c r="BY364" i="3" s="1"/>
  <c r="BJ364" i="3"/>
  <c r="BX364" i="3" s="1"/>
  <c r="BI364" i="3"/>
  <c r="BW364" i="3" s="1"/>
  <c r="BH364" i="3"/>
  <c r="AY364" i="3"/>
  <c r="AX364" i="3"/>
  <c r="AN364" i="3"/>
  <c r="BO363" i="3"/>
  <c r="BN363" i="3"/>
  <c r="BM363" i="3"/>
  <c r="BL363" i="3"/>
  <c r="BK363" i="3"/>
  <c r="BJ363" i="3"/>
  <c r="BI363" i="3"/>
  <c r="BH363" i="3"/>
  <c r="AY363" i="3"/>
  <c r="AX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N363" i="3"/>
  <c r="BO362" i="3"/>
  <c r="BN362" i="3"/>
  <c r="BM362" i="3"/>
  <c r="BK362" i="3"/>
  <c r="BJ362" i="3"/>
  <c r="BI362" i="3"/>
  <c r="BH362" i="3"/>
  <c r="AY362" i="3"/>
  <c r="AX362" i="3"/>
  <c r="AN362" i="3"/>
  <c r="BO361" i="3"/>
  <c r="BN361" i="3"/>
  <c r="BM361" i="3"/>
  <c r="BL361" i="3"/>
  <c r="BK361" i="3"/>
  <c r="BJ361" i="3"/>
  <c r="BI361" i="3"/>
  <c r="BH361" i="3"/>
  <c r="AY361" i="3"/>
  <c r="AX361" i="3"/>
  <c r="AO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N361" i="3"/>
  <c r="BO360" i="3"/>
  <c r="BN360" i="3"/>
  <c r="BM360" i="3"/>
  <c r="BL360" i="3"/>
  <c r="BK360" i="3"/>
  <c r="BJ360" i="3"/>
  <c r="BI360" i="3"/>
  <c r="BH360" i="3"/>
  <c r="AY360" i="3"/>
  <c r="AX360" i="3"/>
  <c r="AO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N360" i="3"/>
  <c r="BO359" i="3"/>
  <c r="BN359" i="3"/>
  <c r="BM359" i="3"/>
  <c r="BL359" i="3"/>
  <c r="BK359" i="3"/>
  <c r="BJ359" i="3"/>
  <c r="BI359" i="3"/>
  <c r="BH359" i="3"/>
  <c r="AY359" i="3"/>
  <c r="AX359" i="3"/>
  <c r="AO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N359" i="3"/>
  <c r="BO358" i="3"/>
  <c r="BN358" i="3"/>
  <c r="BM358" i="3"/>
  <c r="BL358" i="3"/>
  <c r="BK358" i="3"/>
  <c r="BJ358" i="3"/>
  <c r="BI358" i="3"/>
  <c r="BH358" i="3"/>
  <c r="AY358" i="3"/>
  <c r="AX358" i="3"/>
  <c r="AO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N358" i="3"/>
  <c r="CG357" i="3"/>
  <c r="CF357" i="3"/>
  <c r="CE357" i="3"/>
  <c r="CD357" i="3"/>
  <c r="BO357" i="3"/>
  <c r="CC357" i="3" s="1"/>
  <c r="BN357" i="3"/>
  <c r="CB357" i="3" s="1"/>
  <c r="BM357" i="3"/>
  <c r="CA357" i="3" s="1"/>
  <c r="BL357" i="3"/>
  <c r="BZ357" i="3" s="1"/>
  <c r="BK357" i="3"/>
  <c r="BY357" i="3" s="1"/>
  <c r="BJ357" i="3"/>
  <c r="BX357" i="3" s="1"/>
  <c r="BI357" i="3"/>
  <c r="BW357" i="3" s="1"/>
  <c r="BH357" i="3"/>
  <c r="AY357" i="3"/>
  <c r="AX357" i="3"/>
  <c r="AN357" i="3"/>
  <c r="BO356" i="3"/>
  <c r="BN356" i="3"/>
  <c r="BM356" i="3"/>
  <c r="BL356" i="3"/>
  <c r="BK356" i="3"/>
  <c r="BJ356" i="3"/>
  <c r="BI356" i="3"/>
  <c r="BH356" i="3"/>
  <c r="AY356" i="3"/>
  <c r="AX356" i="3"/>
  <c r="AM356" i="3"/>
  <c r="CG356" i="3" s="1"/>
  <c r="AL356" i="3"/>
  <c r="CF356" i="3" s="1"/>
  <c r="AK356" i="3"/>
  <c r="CE356" i="3" s="1"/>
  <c r="AJ356" i="3"/>
  <c r="CD356" i="3" s="1"/>
  <c r="AI356" i="3"/>
  <c r="AH356" i="3"/>
  <c r="AG356" i="3"/>
  <c r="AF356" i="3"/>
  <c r="AE356" i="3"/>
  <c r="AD356" i="3"/>
  <c r="AC356" i="3"/>
  <c r="AB356" i="3"/>
  <c r="AA356" i="3"/>
  <c r="N356" i="3"/>
  <c r="BO355" i="3"/>
  <c r="BN355" i="3"/>
  <c r="BM355" i="3"/>
  <c r="BL355" i="3"/>
  <c r="BK355" i="3"/>
  <c r="BJ355" i="3"/>
  <c r="BI355" i="3"/>
  <c r="BH355" i="3"/>
  <c r="AY355" i="3"/>
  <c r="AX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N355" i="3"/>
  <c r="BO354" i="3"/>
  <c r="BN354" i="3"/>
  <c r="BM354" i="3"/>
  <c r="BL354" i="3"/>
  <c r="BK354" i="3"/>
  <c r="BJ354" i="3"/>
  <c r="BI354" i="3"/>
  <c r="BH354" i="3"/>
  <c r="AY354" i="3"/>
  <c r="AX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N354" i="3"/>
  <c r="BO353" i="3"/>
  <c r="BN353" i="3"/>
  <c r="BM353" i="3"/>
  <c r="BL353" i="3"/>
  <c r="BK353" i="3"/>
  <c r="BJ353" i="3"/>
  <c r="BI353" i="3"/>
  <c r="BH353" i="3"/>
  <c r="AY353" i="3"/>
  <c r="AX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N353" i="3"/>
  <c r="BO352" i="3"/>
  <c r="BN352" i="3"/>
  <c r="BM352" i="3"/>
  <c r="BL352" i="3"/>
  <c r="BK352" i="3"/>
  <c r="BJ352" i="3"/>
  <c r="BI352" i="3"/>
  <c r="BH352" i="3"/>
  <c r="AY352" i="3"/>
  <c r="AX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N352" i="3"/>
  <c r="BO351" i="3"/>
  <c r="BN351" i="3"/>
  <c r="BM351" i="3"/>
  <c r="BL351" i="3"/>
  <c r="BK351" i="3"/>
  <c r="BJ351" i="3"/>
  <c r="BI351" i="3"/>
  <c r="BH351" i="3"/>
  <c r="AY351" i="3"/>
  <c r="AX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N351" i="3"/>
  <c r="BO350" i="3"/>
  <c r="BN350" i="3"/>
  <c r="BM350" i="3"/>
  <c r="BL350" i="3"/>
  <c r="BK350" i="3"/>
  <c r="BJ350" i="3"/>
  <c r="BI350" i="3"/>
  <c r="BH350" i="3"/>
  <c r="AY350" i="3"/>
  <c r="AX350" i="3"/>
  <c r="AM350" i="3"/>
  <c r="CG350" i="3" s="1"/>
  <c r="AL350" i="3"/>
  <c r="CF350" i="3" s="1"/>
  <c r="AK350" i="3"/>
  <c r="CE350" i="3" s="1"/>
  <c r="AJ350" i="3"/>
  <c r="CD350" i="3" s="1"/>
  <c r="AI350" i="3"/>
  <c r="AH350" i="3"/>
  <c r="AG350" i="3"/>
  <c r="AF350" i="3"/>
  <c r="AE350" i="3"/>
  <c r="AD350" i="3"/>
  <c r="AC350" i="3"/>
  <c r="AB350" i="3"/>
  <c r="AA350" i="3"/>
  <c r="N350" i="3"/>
  <c r="BO349" i="3"/>
  <c r="BN349" i="3"/>
  <c r="BM349" i="3"/>
  <c r="BL349" i="3"/>
  <c r="BK349" i="3"/>
  <c r="BJ349" i="3"/>
  <c r="BI349" i="3"/>
  <c r="BH349" i="3"/>
  <c r="AY349" i="3"/>
  <c r="AX349" i="3"/>
  <c r="AO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N349" i="3"/>
  <c r="BO348" i="3"/>
  <c r="BN348" i="3"/>
  <c r="BM348" i="3"/>
  <c r="BL348" i="3"/>
  <c r="AX348" i="3"/>
  <c r="AN348" i="3"/>
  <c r="BO347" i="3"/>
  <c r="BN347" i="3"/>
  <c r="BM347" i="3"/>
  <c r="BL347" i="3"/>
  <c r="AX347" i="3"/>
  <c r="AN347" i="3"/>
  <c r="BO346" i="3"/>
  <c r="BN346" i="3"/>
  <c r="BM346" i="3"/>
  <c r="BL346" i="3"/>
  <c r="BK346" i="3"/>
  <c r="BJ346" i="3"/>
  <c r="BI346" i="3"/>
  <c r="BH346" i="3"/>
  <c r="AX346" i="3"/>
  <c r="AO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N346" i="3"/>
  <c r="BO345" i="3"/>
  <c r="BN345" i="3"/>
  <c r="BM345" i="3"/>
  <c r="BL345" i="3"/>
  <c r="BK345" i="3"/>
  <c r="BJ345" i="3"/>
  <c r="BI345" i="3"/>
  <c r="BH345" i="3"/>
  <c r="AX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N345" i="3"/>
  <c r="BO344" i="3"/>
  <c r="BN344" i="3"/>
  <c r="BM344" i="3"/>
  <c r="BL344" i="3"/>
  <c r="BK344" i="3"/>
  <c r="BJ344" i="3"/>
  <c r="BI344" i="3"/>
  <c r="BH344" i="3"/>
  <c r="AX344" i="3"/>
  <c r="AO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N344" i="3"/>
  <c r="BO343" i="3"/>
  <c r="BN343" i="3"/>
  <c r="BM343" i="3"/>
  <c r="BL343" i="3"/>
  <c r="BK343" i="3"/>
  <c r="BJ343" i="3"/>
  <c r="BI343" i="3"/>
  <c r="BH343" i="3"/>
  <c r="AX343" i="3"/>
  <c r="AO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N343" i="3"/>
  <c r="BV342" i="3"/>
  <c r="BO342" i="3"/>
  <c r="BN342" i="3"/>
  <c r="CB342" i="3" s="1"/>
  <c r="BM342" i="3"/>
  <c r="CA342" i="3" s="1"/>
  <c r="BL342" i="3"/>
  <c r="BZ342" i="3" s="1"/>
  <c r="BK342" i="3"/>
  <c r="BY342" i="3" s="1"/>
  <c r="BJ342" i="3"/>
  <c r="BX342" i="3" s="1"/>
  <c r="BI342" i="3"/>
  <c r="AX342" i="3"/>
  <c r="AN342" i="3"/>
  <c r="CG341" i="3"/>
  <c r="CF341" i="3"/>
  <c r="CE341" i="3"/>
  <c r="CD341" i="3"/>
  <c r="BV341" i="3"/>
  <c r="BO341" i="3"/>
  <c r="CC341" i="3" s="1"/>
  <c r="BN341" i="3"/>
  <c r="CB341" i="3" s="1"/>
  <c r="BM341" i="3"/>
  <c r="CA341" i="3" s="1"/>
  <c r="BL341" i="3"/>
  <c r="BZ341" i="3" s="1"/>
  <c r="BK341" i="3"/>
  <c r="BY341" i="3" s="1"/>
  <c r="BJ341" i="3"/>
  <c r="BX341" i="3" s="1"/>
  <c r="BI341" i="3"/>
  <c r="AX341" i="3"/>
  <c r="AN341" i="3"/>
  <c r="BO340" i="3"/>
  <c r="BN340" i="3"/>
  <c r="BM340" i="3"/>
  <c r="BL340" i="3"/>
  <c r="BK340" i="3"/>
  <c r="BJ340" i="3"/>
  <c r="BI340" i="3"/>
  <c r="BH340" i="3"/>
  <c r="AX340" i="3"/>
  <c r="AN340" i="3"/>
  <c r="CG339" i="3"/>
  <c r="CF339" i="3"/>
  <c r="CE339" i="3"/>
  <c r="CD339" i="3"/>
  <c r="BO339" i="3"/>
  <c r="CC339" i="3" s="1"/>
  <c r="BN339" i="3"/>
  <c r="CB339" i="3" s="1"/>
  <c r="BM339" i="3"/>
  <c r="CA339" i="3" s="1"/>
  <c r="BL339" i="3"/>
  <c r="BZ339" i="3" s="1"/>
  <c r="BK339" i="3"/>
  <c r="BY339" i="3" s="1"/>
  <c r="BJ339" i="3"/>
  <c r="BX339" i="3" s="1"/>
  <c r="BI339" i="3"/>
  <c r="BW339" i="3" s="1"/>
  <c r="BH339" i="3"/>
  <c r="AX339" i="3"/>
  <c r="AN339" i="3"/>
  <c r="BO338" i="3"/>
  <c r="AX338" i="3"/>
  <c r="AN338" i="3"/>
  <c r="CH338" i="3" s="1"/>
  <c r="CG337" i="3"/>
  <c r="CF337" i="3"/>
  <c r="CE337" i="3"/>
  <c r="CD337" i="3"/>
  <c r="BO337" i="3"/>
  <c r="CC337" i="3" s="1"/>
  <c r="BN337" i="3"/>
  <c r="CB337" i="3" s="1"/>
  <c r="BM337" i="3"/>
  <c r="CA337" i="3" s="1"/>
  <c r="BL337" i="3"/>
  <c r="BZ337" i="3" s="1"/>
  <c r="BK337" i="3"/>
  <c r="BY337" i="3" s="1"/>
  <c r="BJ337" i="3"/>
  <c r="BX337" i="3" s="1"/>
  <c r="BI337" i="3"/>
  <c r="BW337" i="3" s="1"/>
  <c r="BH337" i="3"/>
  <c r="AX337" i="3"/>
  <c r="AN337" i="3"/>
  <c r="BO336" i="3"/>
  <c r="BN336" i="3"/>
  <c r="BM336" i="3"/>
  <c r="BL336" i="3"/>
  <c r="BK336" i="3"/>
  <c r="BJ336" i="3"/>
  <c r="BI336" i="3"/>
  <c r="BH336" i="3"/>
  <c r="AX336" i="3"/>
  <c r="AO336" i="3"/>
  <c r="AM336" i="3"/>
  <c r="CG336" i="3" s="1"/>
  <c r="AL336" i="3"/>
  <c r="CF336" i="3" s="1"/>
  <c r="AK336" i="3"/>
  <c r="CE336" i="3" s="1"/>
  <c r="AJ336" i="3"/>
  <c r="CD336" i="3" s="1"/>
  <c r="AI336" i="3"/>
  <c r="AH336" i="3"/>
  <c r="AG336" i="3"/>
  <c r="AF336" i="3"/>
  <c r="AE336" i="3"/>
  <c r="AD336" i="3"/>
  <c r="AC336" i="3"/>
  <c r="AB336" i="3"/>
  <c r="AA336" i="3"/>
  <c r="N336" i="3"/>
  <c r="BO335" i="3"/>
  <c r="BN335" i="3"/>
  <c r="BM335" i="3"/>
  <c r="AX335" i="3"/>
  <c r="AN335" i="3"/>
  <c r="BO334" i="3"/>
  <c r="BN334" i="3"/>
  <c r="BM334" i="3"/>
  <c r="BL334" i="3"/>
  <c r="BK334" i="3"/>
  <c r="BJ334" i="3"/>
  <c r="BI334" i="3"/>
  <c r="BH334" i="3"/>
  <c r="AX334" i="3"/>
  <c r="AO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N334" i="3"/>
  <c r="BO333" i="3"/>
  <c r="BN333" i="3"/>
  <c r="BM333" i="3"/>
  <c r="BL333" i="3"/>
  <c r="BK333" i="3"/>
  <c r="BJ333" i="3"/>
  <c r="BI333" i="3"/>
  <c r="BH333" i="3"/>
  <c r="AX333" i="3"/>
  <c r="AO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N333" i="3"/>
  <c r="BO332" i="3"/>
  <c r="BN332" i="3"/>
  <c r="BM332" i="3"/>
  <c r="BL332" i="3"/>
  <c r="BK332" i="3"/>
  <c r="BJ332" i="3"/>
  <c r="BI332" i="3"/>
  <c r="BH332" i="3"/>
  <c r="AX332" i="3"/>
  <c r="AO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N332" i="3"/>
  <c r="BO331" i="3"/>
  <c r="BN331" i="3"/>
  <c r="BM331" i="3"/>
  <c r="BL331" i="3"/>
  <c r="BK331" i="3"/>
  <c r="BJ331" i="3"/>
  <c r="BI331" i="3"/>
  <c r="BH331" i="3"/>
  <c r="AX331" i="3"/>
  <c r="AO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N331" i="3"/>
  <c r="BW330" i="3"/>
  <c r="BV330" i="3"/>
  <c r="BO330" i="3"/>
  <c r="BN330" i="3"/>
  <c r="CB330" i="3" s="1"/>
  <c r="BM330" i="3"/>
  <c r="CA330" i="3" s="1"/>
  <c r="BL330" i="3"/>
  <c r="BZ330" i="3" s="1"/>
  <c r="BK330" i="3"/>
  <c r="BY330" i="3" s="1"/>
  <c r="BJ330" i="3"/>
  <c r="AX330" i="3"/>
  <c r="AN330" i="3"/>
  <c r="BO329" i="3"/>
  <c r="BN329" i="3"/>
  <c r="BM329" i="3"/>
  <c r="BL329" i="3"/>
  <c r="BK329" i="3"/>
  <c r="BJ329" i="3"/>
  <c r="BI329" i="3"/>
  <c r="BH329" i="3"/>
  <c r="AX329" i="3"/>
  <c r="AO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N329" i="3"/>
  <c r="BW328" i="3"/>
  <c r="BV328" i="3"/>
  <c r="BO328" i="3"/>
  <c r="BN328" i="3"/>
  <c r="CB328" i="3" s="1"/>
  <c r="BM328" i="3"/>
  <c r="CA328" i="3" s="1"/>
  <c r="BL328" i="3"/>
  <c r="BZ328" i="3" s="1"/>
  <c r="BK328" i="3"/>
  <c r="BY328" i="3" s="1"/>
  <c r="BJ328" i="3"/>
  <c r="AX328" i="3"/>
  <c r="AN328" i="3"/>
  <c r="BO327" i="3"/>
  <c r="BN327" i="3"/>
  <c r="BM327" i="3"/>
  <c r="BL327" i="3"/>
  <c r="BK327" i="3"/>
  <c r="BJ327" i="3"/>
  <c r="BI327" i="3"/>
  <c r="BH327" i="3"/>
  <c r="AX327" i="3"/>
  <c r="AO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N327" i="3"/>
  <c r="BO326" i="3"/>
  <c r="BN326" i="3"/>
  <c r="BM326" i="3"/>
  <c r="BL326" i="3"/>
  <c r="BK326" i="3"/>
  <c r="BJ326" i="3"/>
  <c r="BI326" i="3"/>
  <c r="BH326" i="3"/>
  <c r="AX326" i="3"/>
  <c r="AO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N326" i="3"/>
  <c r="BO325" i="3"/>
  <c r="BP325" i="3" s="1"/>
  <c r="BQ325" i="3" s="1"/>
  <c r="BR325" i="3" s="1"/>
  <c r="BS325" i="3" s="1"/>
  <c r="BN325" i="3"/>
  <c r="BM325" i="3"/>
  <c r="BL325" i="3"/>
  <c r="AX325" i="3"/>
  <c r="AN325" i="3"/>
  <c r="BO324" i="3"/>
  <c r="BN324" i="3"/>
  <c r="BM324" i="3"/>
  <c r="BL324" i="3"/>
  <c r="BK324" i="3"/>
  <c r="BJ324" i="3"/>
  <c r="BI324" i="3"/>
  <c r="BH324" i="3"/>
  <c r="AX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N324" i="3"/>
  <c r="BO323" i="3"/>
  <c r="BN323" i="3"/>
  <c r="BM323" i="3"/>
  <c r="BL323" i="3"/>
  <c r="BK323" i="3"/>
  <c r="BJ323" i="3"/>
  <c r="BI323" i="3"/>
  <c r="BH323" i="3"/>
  <c r="AX323" i="3"/>
  <c r="AO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N323" i="3"/>
  <c r="CG322" i="3"/>
  <c r="CF322" i="3"/>
  <c r="CE322" i="3"/>
  <c r="CD322" i="3"/>
  <c r="BO322" i="3"/>
  <c r="CC322" i="3" s="1"/>
  <c r="BN322" i="3"/>
  <c r="CB322" i="3" s="1"/>
  <c r="BM322" i="3"/>
  <c r="CA322" i="3" s="1"/>
  <c r="BL322" i="3"/>
  <c r="BZ322" i="3" s="1"/>
  <c r="BK322" i="3"/>
  <c r="BY322" i="3" s="1"/>
  <c r="BJ322" i="3"/>
  <c r="BX322" i="3" s="1"/>
  <c r="BI322" i="3"/>
  <c r="BW322" i="3" s="1"/>
  <c r="BH322" i="3"/>
  <c r="AX322" i="3"/>
  <c r="AN322" i="3"/>
  <c r="BO321" i="3"/>
  <c r="BN321" i="3"/>
  <c r="BM321" i="3"/>
  <c r="BL321" i="3"/>
  <c r="BK321" i="3"/>
  <c r="BJ321" i="3"/>
  <c r="BI321" i="3"/>
  <c r="BH321" i="3"/>
  <c r="AX321" i="3"/>
  <c r="AO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N321" i="3"/>
  <c r="BW320" i="3"/>
  <c r="BV320" i="3"/>
  <c r="BO320" i="3"/>
  <c r="BN320" i="3"/>
  <c r="CB320" i="3" s="1"/>
  <c r="BM320" i="3"/>
  <c r="CA320" i="3" s="1"/>
  <c r="BL320" i="3"/>
  <c r="BZ320" i="3" s="1"/>
  <c r="BK320" i="3"/>
  <c r="BY320" i="3" s="1"/>
  <c r="BJ320" i="3"/>
  <c r="AX320" i="3"/>
  <c r="AN320" i="3"/>
  <c r="BO319" i="3"/>
  <c r="BN319" i="3"/>
  <c r="BM319" i="3"/>
  <c r="BL319" i="3"/>
  <c r="BK319" i="3"/>
  <c r="BJ319" i="3"/>
  <c r="BI319" i="3"/>
  <c r="BH319" i="3"/>
  <c r="AX319" i="3"/>
  <c r="AO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N319" i="3"/>
  <c r="BO318" i="3"/>
  <c r="BN318" i="3"/>
  <c r="BM318" i="3"/>
  <c r="BL318" i="3"/>
  <c r="BK318" i="3"/>
  <c r="BJ318" i="3"/>
  <c r="BI318" i="3"/>
  <c r="BH318" i="3"/>
  <c r="AX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N318" i="3"/>
  <c r="BO317" i="3"/>
  <c r="BN317" i="3"/>
  <c r="BM317" i="3"/>
  <c r="BL317" i="3"/>
  <c r="BK317" i="3"/>
  <c r="BJ317" i="3"/>
  <c r="BI317" i="3"/>
  <c r="BH317" i="3"/>
  <c r="AX317" i="3"/>
  <c r="AO317" i="3"/>
  <c r="AM317" i="3"/>
  <c r="CG317" i="3" s="1"/>
  <c r="AL317" i="3"/>
  <c r="CF317" i="3" s="1"/>
  <c r="AK317" i="3"/>
  <c r="CE317" i="3" s="1"/>
  <c r="AJ317" i="3"/>
  <c r="CD317" i="3" s="1"/>
  <c r="AI317" i="3"/>
  <c r="AH317" i="3"/>
  <c r="AG317" i="3"/>
  <c r="AF317" i="3"/>
  <c r="AE317" i="3"/>
  <c r="AD317" i="3"/>
  <c r="AC317" i="3"/>
  <c r="AB317" i="3"/>
  <c r="AA317" i="3"/>
  <c r="N317" i="3"/>
  <c r="BO316" i="3"/>
  <c r="BN316" i="3"/>
  <c r="CB316" i="3" s="1"/>
  <c r="BM316" i="3"/>
  <c r="CA316" i="3" s="1"/>
  <c r="BL316" i="3"/>
  <c r="BZ316" i="3" s="1"/>
  <c r="BK316" i="3"/>
  <c r="BY316" i="3" s="1"/>
  <c r="BJ316" i="3"/>
  <c r="BX316" i="3" s="1"/>
  <c r="BI316" i="3"/>
  <c r="BW316" i="3" s="1"/>
  <c r="BH316" i="3"/>
  <c r="AX316" i="3"/>
  <c r="AN316" i="3"/>
  <c r="CG315" i="3"/>
  <c r="CF315" i="3"/>
  <c r="CE315" i="3"/>
  <c r="CD315" i="3"/>
  <c r="BZ315" i="3"/>
  <c r="BV315" i="3"/>
  <c r="BO315" i="3"/>
  <c r="CC315" i="3" s="1"/>
  <c r="BN315" i="3"/>
  <c r="CB315" i="3" s="1"/>
  <c r="BM315" i="3"/>
  <c r="CA315" i="3" s="1"/>
  <c r="BK315" i="3"/>
  <c r="BY315" i="3" s="1"/>
  <c r="BJ315" i="3"/>
  <c r="BX315" i="3" s="1"/>
  <c r="BI315" i="3"/>
  <c r="AX315" i="3"/>
  <c r="AN315" i="3"/>
  <c r="CG314" i="3"/>
  <c r="CF314" i="3"/>
  <c r="CE314" i="3"/>
  <c r="CD314" i="3"/>
  <c r="BZ314" i="3"/>
  <c r="BV314" i="3"/>
  <c r="BO314" i="3"/>
  <c r="CC314" i="3" s="1"/>
  <c r="BN314" i="3"/>
  <c r="CB314" i="3" s="1"/>
  <c r="BM314" i="3"/>
  <c r="CA314" i="3" s="1"/>
  <c r="BK314" i="3"/>
  <c r="BY314" i="3" s="1"/>
  <c r="BJ314" i="3"/>
  <c r="BX314" i="3" s="1"/>
  <c r="BI314" i="3"/>
  <c r="AX314" i="3"/>
  <c r="AN314" i="3"/>
  <c r="BO313" i="3"/>
  <c r="BN313" i="3"/>
  <c r="BM313" i="3"/>
  <c r="BL313" i="3"/>
  <c r="BK313" i="3"/>
  <c r="BJ313" i="3"/>
  <c r="BI313" i="3"/>
  <c r="BH313" i="3"/>
  <c r="AX313" i="3"/>
  <c r="AO313" i="3"/>
  <c r="AM313" i="3"/>
  <c r="CG313" i="3" s="1"/>
  <c r="AL313" i="3"/>
  <c r="CF313" i="3" s="1"/>
  <c r="AK313" i="3"/>
  <c r="CE313" i="3" s="1"/>
  <c r="AJ313" i="3"/>
  <c r="CD313" i="3" s="1"/>
  <c r="AI313" i="3"/>
  <c r="AH313" i="3"/>
  <c r="AG313" i="3"/>
  <c r="AF313" i="3"/>
  <c r="AE313" i="3"/>
  <c r="AD313" i="3"/>
  <c r="AC313" i="3"/>
  <c r="AB313" i="3"/>
  <c r="AA313" i="3"/>
  <c r="N313" i="3"/>
  <c r="BO312" i="3"/>
  <c r="BN312" i="3"/>
  <c r="BM312" i="3"/>
  <c r="BL312" i="3"/>
  <c r="BK312" i="3"/>
  <c r="BJ312" i="3"/>
  <c r="BI312" i="3"/>
  <c r="BH312" i="3"/>
  <c r="AX312" i="3"/>
  <c r="AO312" i="3"/>
  <c r="AM312" i="3"/>
  <c r="CG312" i="3" s="1"/>
  <c r="AL312" i="3"/>
  <c r="CF312" i="3" s="1"/>
  <c r="AK312" i="3"/>
  <c r="CE312" i="3" s="1"/>
  <c r="AJ312" i="3"/>
  <c r="CD312" i="3" s="1"/>
  <c r="AI312" i="3"/>
  <c r="AH312" i="3"/>
  <c r="AG312" i="3"/>
  <c r="AF312" i="3"/>
  <c r="AE312" i="3"/>
  <c r="AD312" i="3"/>
  <c r="AC312" i="3"/>
  <c r="AB312" i="3"/>
  <c r="AA312" i="3"/>
  <c r="N312" i="3"/>
  <c r="BO311" i="3"/>
  <c r="BN311" i="3"/>
  <c r="BM311" i="3"/>
  <c r="BL311" i="3"/>
  <c r="BK311" i="3"/>
  <c r="BJ311" i="3"/>
  <c r="BI311" i="3"/>
  <c r="BH311" i="3"/>
  <c r="AX311" i="3"/>
  <c r="AO311" i="3"/>
  <c r="AM311" i="3"/>
  <c r="CG311" i="3" s="1"/>
  <c r="AL311" i="3"/>
  <c r="CF311" i="3" s="1"/>
  <c r="AK311" i="3"/>
  <c r="CE311" i="3" s="1"/>
  <c r="AJ311" i="3"/>
  <c r="CD311" i="3" s="1"/>
  <c r="AI311" i="3"/>
  <c r="AH311" i="3"/>
  <c r="AG311" i="3"/>
  <c r="AF311" i="3"/>
  <c r="AE311" i="3"/>
  <c r="AD311" i="3"/>
  <c r="AC311" i="3"/>
  <c r="AB311" i="3"/>
  <c r="AA311" i="3"/>
  <c r="N311" i="3"/>
  <c r="BO310" i="3"/>
  <c r="BN310" i="3"/>
  <c r="BM310" i="3"/>
  <c r="BL310" i="3"/>
  <c r="BK310" i="3"/>
  <c r="BJ310" i="3"/>
  <c r="BI310" i="3"/>
  <c r="BH310" i="3"/>
  <c r="AX310" i="3"/>
  <c r="AO310" i="3"/>
  <c r="AM310" i="3"/>
  <c r="CG310" i="3" s="1"/>
  <c r="AL310" i="3"/>
  <c r="CF310" i="3" s="1"/>
  <c r="AK310" i="3"/>
  <c r="CE310" i="3" s="1"/>
  <c r="AJ310" i="3"/>
  <c r="CD310" i="3" s="1"/>
  <c r="AI310" i="3"/>
  <c r="AH310" i="3"/>
  <c r="AG310" i="3"/>
  <c r="AF310" i="3"/>
  <c r="AE310" i="3"/>
  <c r="AD310" i="3"/>
  <c r="AC310" i="3"/>
  <c r="AB310" i="3"/>
  <c r="AA310" i="3"/>
  <c r="N310" i="3"/>
  <c r="BO309" i="3"/>
  <c r="BN309" i="3"/>
  <c r="BM309" i="3"/>
  <c r="BL309" i="3"/>
  <c r="BK309" i="3"/>
  <c r="BJ309" i="3"/>
  <c r="BI309" i="3"/>
  <c r="BH309" i="3"/>
  <c r="AX309" i="3"/>
  <c r="AO309" i="3"/>
  <c r="AM309" i="3"/>
  <c r="CG309" i="3" s="1"/>
  <c r="AL309" i="3"/>
  <c r="CF309" i="3" s="1"/>
  <c r="AK309" i="3"/>
  <c r="CE309" i="3" s="1"/>
  <c r="AJ309" i="3"/>
  <c r="CD309" i="3" s="1"/>
  <c r="AI309" i="3"/>
  <c r="AH309" i="3"/>
  <c r="AG309" i="3"/>
  <c r="AF309" i="3"/>
  <c r="AE309" i="3"/>
  <c r="AD309" i="3"/>
  <c r="AC309" i="3"/>
  <c r="AB309" i="3"/>
  <c r="AA309" i="3"/>
  <c r="N309" i="3"/>
  <c r="BO308" i="3"/>
  <c r="BN308" i="3"/>
  <c r="BM308" i="3"/>
  <c r="BL308" i="3"/>
  <c r="BK308" i="3"/>
  <c r="BJ308" i="3"/>
  <c r="BI308" i="3"/>
  <c r="BH308" i="3"/>
  <c r="AX308" i="3"/>
  <c r="AO308" i="3"/>
  <c r="AM308" i="3"/>
  <c r="CG308" i="3" s="1"/>
  <c r="AL308" i="3"/>
  <c r="CF308" i="3" s="1"/>
  <c r="AK308" i="3"/>
  <c r="CE308" i="3" s="1"/>
  <c r="AJ308" i="3"/>
  <c r="CD308" i="3" s="1"/>
  <c r="AI308" i="3"/>
  <c r="AH308" i="3"/>
  <c r="AG308" i="3"/>
  <c r="AF308" i="3"/>
  <c r="AE308" i="3"/>
  <c r="AD308" i="3"/>
  <c r="AC308" i="3"/>
  <c r="AB308" i="3"/>
  <c r="AA308" i="3"/>
  <c r="N308" i="3"/>
  <c r="BO307" i="3"/>
  <c r="BN307" i="3"/>
  <c r="BM307" i="3"/>
  <c r="BL307" i="3"/>
  <c r="BK307" i="3"/>
  <c r="BJ307" i="3"/>
  <c r="BI307" i="3"/>
  <c r="BH307" i="3"/>
  <c r="AX307" i="3"/>
  <c r="AO307" i="3"/>
  <c r="AM307" i="3"/>
  <c r="CG307" i="3" s="1"/>
  <c r="AL307" i="3"/>
  <c r="CF307" i="3" s="1"/>
  <c r="AK307" i="3"/>
  <c r="CE307" i="3" s="1"/>
  <c r="AJ307" i="3"/>
  <c r="CD307" i="3" s="1"/>
  <c r="AI307" i="3"/>
  <c r="AH307" i="3"/>
  <c r="AG307" i="3"/>
  <c r="AF307" i="3"/>
  <c r="AE307" i="3"/>
  <c r="AD307" i="3"/>
  <c r="AC307" i="3"/>
  <c r="AB307" i="3"/>
  <c r="AA307" i="3"/>
  <c r="N307" i="3"/>
  <c r="AN307" i="3" s="1"/>
  <c r="BO306" i="3"/>
  <c r="BN306" i="3"/>
  <c r="BM306" i="3"/>
  <c r="BL306" i="3"/>
  <c r="BK306" i="3"/>
  <c r="BJ306" i="3"/>
  <c r="BI306" i="3"/>
  <c r="BH306" i="3"/>
  <c r="AX306" i="3"/>
  <c r="AO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N306" i="3"/>
  <c r="BO305" i="3"/>
  <c r="BN305" i="3"/>
  <c r="BM305" i="3"/>
  <c r="BL305" i="3"/>
  <c r="BK305" i="3"/>
  <c r="BJ305" i="3"/>
  <c r="BI305" i="3"/>
  <c r="BH305" i="3"/>
  <c r="AX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N305" i="3"/>
  <c r="BO304" i="3"/>
  <c r="BN304" i="3"/>
  <c r="BM304" i="3"/>
  <c r="BL304" i="3"/>
  <c r="BK304" i="3"/>
  <c r="BJ304" i="3"/>
  <c r="BI304" i="3"/>
  <c r="BH304" i="3"/>
  <c r="AX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N304" i="3"/>
  <c r="CG303" i="3"/>
  <c r="CF303" i="3"/>
  <c r="CE303" i="3"/>
  <c r="CD303" i="3"/>
  <c r="BW303" i="3"/>
  <c r="BV303" i="3"/>
  <c r="BO303" i="3"/>
  <c r="CC303" i="3" s="1"/>
  <c r="BN303" i="3"/>
  <c r="CB303" i="3" s="1"/>
  <c r="BM303" i="3"/>
  <c r="CA303" i="3" s="1"/>
  <c r="BL303" i="3"/>
  <c r="BZ303" i="3" s="1"/>
  <c r="BK303" i="3"/>
  <c r="BY303" i="3" s="1"/>
  <c r="BJ303" i="3"/>
  <c r="AX303" i="3"/>
  <c r="AN303" i="3"/>
  <c r="BO302" i="3"/>
  <c r="BN302" i="3"/>
  <c r="BM302" i="3"/>
  <c r="BL302" i="3"/>
  <c r="BK302" i="3"/>
  <c r="BJ302" i="3"/>
  <c r="BI302" i="3"/>
  <c r="BH302" i="3"/>
  <c r="AX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N302" i="3"/>
  <c r="BO301" i="3"/>
  <c r="BN301" i="3"/>
  <c r="BM301" i="3"/>
  <c r="BL301" i="3"/>
  <c r="BK301" i="3"/>
  <c r="BJ301" i="3"/>
  <c r="BI301" i="3"/>
  <c r="BH301" i="3"/>
  <c r="AX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N301" i="3"/>
  <c r="BO300" i="3"/>
  <c r="BN300" i="3"/>
  <c r="BM300" i="3"/>
  <c r="BL300" i="3"/>
  <c r="BK300" i="3"/>
  <c r="BJ300" i="3"/>
  <c r="BI300" i="3"/>
  <c r="BH300" i="3"/>
  <c r="AX300" i="3"/>
  <c r="AO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N300" i="3"/>
  <c r="CG299" i="3"/>
  <c r="CF299" i="3"/>
  <c r="CE299" i="3"/>
  <c r="CD299" i="3"/>
  <c r="BO299" i="3"/>
  <c r="CC299" i="3" s="1"/>
  <c r="BN299" i="3"/>
  <c r="CB299" i="3" s="1"/>
  <c r="BM299" i="3"/>
  <c r="CA299" i="3" s="1"/>
  <c r="BL299" i="3"/>
  <c r="BZ299" i="3" s="1"/>
  <c r="BK299" i="3"/>
  <c r="BY299" i="3" s="1"/>
  <c r="BJ299" i="3"/>
  <c r="BX299" i="3" s="1"/>
  <c r="BI299" i="3"/>
  <c r="BW299" i="3" s="1"/>
  <c r="BH299" i="3"/>
  <c r="AX299" i="3"/>
  <c r="AN299" i="3"/>
  <c r="BO298" i="3"/>
  <c r="BN298" i="3"/>
  <c r="BM298" i="3"/>
  <c r="BL298" i="3"/>
  <c r="BK298" i="3"/>
  <c r="BJ298" i="3"/>
  <c r="BI298" i="3"/>
  <c r="BH298" i="3"/>
  <c r="AX298" i="3"/>
  <c r="AO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N298" i="3"/>
  <c r="BO297" i="3"/>
  <c r="BN297" i="3"/>
  <c r="BM297" i="3"/>
  <c r="BL297" i="3"/>
  <c r="AX297" i="3"/>
  <c r="AN297" i="3"/>
  <c r="BO296" i="3"/>
  <c r="BN296" i="3"/>
  <c r="BM296" i="3"/>
  <c r="BL296" i="3"/>
  <c r="BK296" i="3"/>
  <c r="BJ296" i="3"/>
  <c r="BI296" i="3"/>
  <c r="BH296" i="3"/>
  <c r="AX296" i="3"/>
  <c r="AO296" i="3"/>
  <c r="AM296" i="3"/>
  <c r="CG296" i="3" s="1"/>
  <c r="AL296" i="3"/>
  <c r="CF296" i="3" s="1"/>
  <c r="AK296" i="3"/>
  <c r="CE296" i="3" s="1"/>
  <c r="AJ296" i="3"/>
  <c r="CD296" i="3" s="1"/>
  <c r="AI296" i="3"/>
  <c r="AH296" i="3"/>
  <c r="AG296" i="3"/>
  <c r="AF296" i="3"/>
  <c r="AE296" i="3"/>
  <c r="AD296" i="3"/>
  <c r="AC296" i="3"/>
  <c r="AB296" i="3"/>
  <c r="AA296" i="3"/>
  <c r="N296" i="3"/>
  <c r="BO295" i="3"/>
  <c r="BN295" i="3"/>
  <c r="BM295" i="3"/>
  <c r="BL295" i="3"/>
  <c r="AX295" i="3"/>
  <c r="AN295" i="3"/>
  <c r="BO294" i="3"/>
  <c r="BN294" i="3"/>
  <c r="BM294" i="3"/>
  <c r="BL294" i="3"/>
  <c r="BK294" i="3"/>
  <c r="BJ294" i="3"/>
  <c r="BI294" i="3"/>
  <c r="BH294" i="3"/>
  <c r="AX294" i="3"/>
  <c r="AO294" i="3"/>
  <c r="AM294" i="3"/>
  <c r="CG294" i="3" s="1"/>
  <c r="AL294" i="3"/>
  <c r="CF294" i="3" s="1"/>
  <c r="AK294" i="3"/>
  <c r="CE294" i="3" s="1"/>
  <c r="AJ294" i="3"/>
  <c r="CD294" i="3" s="1"/>
  <c r="AI294" i="3"/>
  <c r="AH294" i="3"/>
  <c r="AG294" i="3"/>
  <c r="AF294" i="3"/>
  <c r="AE294" i="3"/>
  <c r="AD294" i="3"/>
  <c r="AC294" i="3"/>
  <c r="AB294" i="3"/>
  <c r="AA294" i="3"/>
  <c r="N294" i="3"/>
  <c r="CG293" i="3"/>
  <c r="CF293" i="3"/>
  <c r="CE293" i="3"/>
  <c r="CD293" i="3"/>
  <c r="BO293" i="3"/>
  <c r="CC293" i="3" s="1"/>
  <c r="BN293" i="3"/>
  <c r="CB293" i="3" s="1"/>
  <c r="BM293" i="3"/>
  <c r="CA293" i="3" s="1"/>
  <c r="BL293" i="3"/>
  <c r="BZ293" i="3" s="1"/>
  <c r="BK293" i="3"/>
  <c r="BY293" i="3" s="1"/>
  <c r="BJ293" i="3"/>
  <c r="BX293" i="3" s="1"/>
  <c r="BI293" i="3"/>
  <c r="BW293" i="3" s="1"/>
  <c r="BH293" i="3"/>
  <c r="AX293" i="3"/>
  <c r="AN293" i="3"/>
  <c r="BO292" i="3"/>
  <c r="BN292" i="3"/>
  <c r="BM292" i="3"/>
  <c r="BL292" i="3"/>
  <c r="BK292" i="3"/>
  <c r="BJ292" i="3"/>
  <c r="BI292" i="3"/>
  <c r="BH292" i="3"/>
  <c r="AX292" i="3"/>
  <c r="AO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N292" i="3"/>
  <c r="BO291" i="3"/>
  <c r="BN291" i="3"/>
  <c r="BM291" i="3"/>
  <c r="BL291" i="3"/>
  <c r="BK291" i="3"/>
  <c r="BJ291" i="3"/>
  <c r="BI291" i="3"/>
  <c r="BH291" i="3"/>
  <c r="AX291" i="3"/>
  <c r="AO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N291" i="3"/>
  <c r="BO290" i="3"/>
  <c r="BN290" i="3"/>
  <c r="BM290" i="3"/>
  <c r="BL290" i="3"/>
  <c r="BK290" i="3"/>
  <c r="BJ290" i="3"/>
  <c r="BI290" i="3"/>
  <c r="BH290" i="3"/>
  <c r="AX290" i="3"/>
  <c r="AO290" i="3"/>
  <c r="AM290" i="3"/>
  <c r="CG290" i="3" s="1"/>
  <c r="AL290" i="3"/>
  <c r="CF290" i="3" s="1"/>
  <c r="AK290" i="3"/>
  <c r="CE290" i="3" s="1"/>
  <c r="AJ290" i="3"/>
  <c r="CD290" i="3" s="1"/>
  <c r="AI290" i="3"/>
  <c r="AH290" i="3"/>
  <c r="AG290" i="3"/>
  <c r="AF290" i="3"/>
  <c r="AE290" i="3"/>
  <c r="AD290" i="3"/>
  <c r="AC290" i="3"/>
  <c r="AB290" i="3"/>
  <c r="AA290" i="3"/>
  <c r="N290" i="3"/>
  <c r="BO289" i="3"/>
  <c r="BN289" i="3"/>
  <c r="BM289" i="3"/>
  <c r="BL289" i="3"/>
  <c r="BK289" i="3"/>
  <c r="BJ289" i="3"/>
  <c r="BI289" i="3"/>
  <c r="BH289" i="3"/>
  <c r="AX289" i="3"/>
  <c r="AO289" i="3"/>
  <c r="AM289" i="3"/>
  <c r="CG289" i="3" s="1"/>
  <c r="AL289" i="3"/>
  <c r="CF289" i="3" s="1"/>
  <c r="AK289" i="3"/>
  <c r="CE289" i="3" s="1"/>
  <c r="AJ289" i="3"/>
  <c r="CD289" i="3" s="1"/>
  <c r="AI289" i="3"/>
  <c r="AH289" i="3"/>
  <c r="AG289" i="3"/>
  <c r="AF289" i="3"/>
  <c r="AE289" i="3"/>
  <c r="AD289" i="3"/>
  <c r="AC289" i="3"/>
  <c r="AB289" i="3"/>
  <c r="AA289" i="3"/>
  <c r="N289" i="3"/>
  <c r="BO288" i="3"/>
  <c r="BN288" i="3"/>
  <c r="BM288" i="3"/>
  <c r="BL288" i="3"/>
  <c r="BK288" i="3"/>
  <c r="BJ288" i="3"/>
  <c r="BI288" i="3"/>
  <c r="BH288" i="3"/>
  <c r="AX288" i="3"/>
  <c r="AO288" i="3"/>
  <c r="AM288" i="3"/>
  <c r="CG288" i="3" s="1"/>
  <c r="AL288" i="3"/>
  <c r="CF288" i="3" s="1"/>
  <c r="AK288" i="3"/>
  <c r="CE288" i="3" s="1"/>
  <c r="AJ288" i="3"/>
  <c r="CD288" i="3" s="1"/>
  <c r="AI288" i="3"/>
  <c r="AH288" i="3"/>
  <c r="AG288" i="3"/>
  <c r="AF288" i="3"/>
  <c r="AE288" i="3"/>
  <c r="AD288" i="3"/>
  <c r="AC288" i="3"/>
  <c r="AB288" i="3"/>
  <c r="AA288" i="3"/>
  <c r="N288" i="3"/>
  <c r="BO287" i="3"/>
  <c r="BN287" i="3"/>
  <c r="BM287" i="3"/>
  <c r="BL287" i="3"/>
  <c r="BK287" i="3"/>
  <c r="AX287" i="3"/>
  <c r="AN287" i="3"/>
  <c r="BO286" i="3"/>
  <c r="BN286" i="3"/>
  <c r="BM286" i="3"/>
  <c r="BL286" i="3"/>
  <c r="BK286" i="3"/>
  <c r="BJ286" i="3"/>
  <c r="BI286" i="3"/>
  <c r="BH286" i="3"/>
  <c r="AX286" i="3"/>
  <c r="AO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N286" i="3"/>
  <c r="BO285" i="3"/>
  <c r="BN285" i="3"/>
  <c r="BM285" i="3"/>
  <c r="BL285" i="3"/>
  <c r="BK285" i="3"/>
  <c r="BJ285" i="3"/>
  <c r="BI285" i="3"/>
  <c r="BH285" i="3"/>
  <c r="AX285" i="3"/>
  <c r="AO285" i="3"/>
  <c r="AM285" i="3"/>
  <c r="CG285" i="3" s="1"/>
  <c r="AL285" i="3"/>
  <c r="CF285" i="3" s="1"/>
  <c r="AK285" i="3"/>
  <c r="CE285" i="3" s="1"/>
  <c r="AJ285" i="3"/>
  <c r="CD285" i="3" s="1"/>
  <c r="AI285" i="3"/>
  <c r="AH285" i="3"/>
  <c r="AG285" i="3"/>
  <c r="AF285" i="3"/>
  <c r="AE285" i="3"/>
  <c r="AD285" i="3"/>
  <c r="AC285" i="3"/>
  <c r="AB285" i="3"/>
  <c r="AA285" i="3"/>
  <c r="N285" i="3"/>
  <c r="BO284" i="3"/>
  <c r="BN284" i="3"/>
  <c r="BM284" i="3"/>
  <c r="BL284" i="3"/>
  <c r="BK284" i="3"/>
  <c r="BJ284" i="3"/>
  <c r="BI284" i="3"/>
  <c r="BH284" i="3"/>
  <c r="AX284" i="3"/>
  <c r="AO284" i="3"/>
  <c r="AM284" i="3"/>
  <c r="CG284" i="3" s="1"/>
  <c r="AL284" i="3"/>
  <c r="CF284" i="3" s="1"/>
  <c r="AK284" i="3"/>
  <c r="CE284" i="3" s="1"/>
  <c r="AJ284" i="3"/>
  <c r="CD284" i="3" s="1"/>
  <c r="AI284" i="3"/>
  <c r="AH284" i="3"/>
  <c r="AG284" i="3"/>
  <c r="AF284" i="3"/>
  <c r="AE284" i="3"/>
  <c r="AD284" i="3"/>
  <c r="AC284" i="3"/>
  <c r="AB284" i="3"/>
  <c r="AA284" i="3"/>
  <c r="N284" i="3"/>
  <c r="BO283" i="3"/>
  <c r="BN283" i="3"/>
  <c r="BM283" i="3"/>
  <c r="BL283" i="3"/>
  <c r="BK283" i="3"/>
  <c r="BJ283" i="3"/>
  <c r="BI283" i="3"/>
  <c r="BH283" i="3"/>
  <c r="AX283" i="3"/>
  <c r="AO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N283" i="3"/>
  <c r="BO281" i="3"/>
  <c r="BN281" i="3"/>
  <c r="BM281" i="3"/>
  <c r="BL281" i="3"/>
  <c r="BK281" i="3"/>
  <c r="BJ281" i="3"/>
  <c r="BI281" i="3"/>
  <c r="BH281" i="3"/>
  <c r="AX281" i="3"/>
  <c r="AO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N281" i="3"/>
  <c r="BO280" i="3"/>
  <c r="BN280" i="3"/>
  <c r="BM280" i="3"/>
  <c r="BL280" i="3"/>
  <c r="BK280" i="3"/>
  <c r="BJ280" i="3"/>
  <c r="BI280" i="3"/>
  <c r="BH280" i="3"/>
  <c r="AX280" i="3"/>
  <c r="AO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N280" i="3"/>
  <c r="BO279" i="3"/>
  <c r="BN279" i="3"/>
  <c r="BM279" i="3"/>
  <c r="BL279" i="3"/>
  <c r="BK279" i="3"/>
  <c r="BJ279" i="3"/>
  <c r="BI279" i="3"/>
  <c r="BH279" i="3"/>
  <c r="AX279" i="3"/>
  <c r="AO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N279" i="3"/>
  <c r="AN279" i="3" s="1"/>
  <c r="CG278" i="3"/>
  <c r="CF278" i="3"/>
  <c r="CE278" i="3"/>
  <c r="CD278" i="3"/>
  <c r="BO278" i="3"/>
  <c r="CC278" i="3" s="1"/>
  <c r="BN278" i="3"/>
  <c r="CB278" i="3" s="1"/>
  <c r="BM278" i="3"/>
  <c r="CA278" i="3" s="1"/>
  <c r="BL278" i="3"/>
  <c r="BZ278" i="3" s="1"/>
  <c r="BK278" i="3"/>
  <c r="BY278" i="3" s="1"/>
  <c r="BJ278" i="3"/>
  <c r="BX278" i="3" s="1"/>
  <c r="BI278" i="3"/>
  <c r="BW278" i="3" s="1"/>
  <c r="BH278" i="3"/>
  <c r="AX278" i="3"/>
  <c r="AN278" i="3"/>
  <c r="BO277" i="3"/>
  <c r="BN277" i="3"/>
  <c r="BM277" i="3"/>
  <c r="BL277" i="3"/>
  <c r="BK277" i="3"/>
  <c r="BJ277" i="3"/>
  <c r="BI277" i="3"/>
  <c r="BH277" i="3"/>
  <c r="AX277" i="3"/>
  <c r="AM277" i="3"/>
  <c r="CG277" i="3" s="1"/>
  <c r="AL277" i="3"/>
  <c r="CF277" i="3" s="1"/>
  <c r="AK277" i="3"/>
  <c r="CE277" i="3" s="1"/>
  <c r="AJ277" i="3"/>
  <c r="CD277" i="3" s="1"/>
  <c r="AI277" i="3"/>
  <c r="AH277" i="3"/>
  <c r="AG277" i="3"/>
  <c r="AF277" i="3"/>
  <c r="AE277" i="3"/>
  <c r="AD277" i="3"/>
  <c r="AC277" i="3"/>
  <c r="AB277" i="3"/>
  <c r="AA277" i="3"/>
  <c r="N277" i="3"/>
  <c r="AN277" i="3" s="1"/>
  <c r="CG276" i="3"/>
  <c r="CF276" i="3"/>
  <c r="CE276" i="3"/>
  <c r="CD276" i="3"/>
  <c r="BO276" i="3"/>
  <c r="CC276" i="3" s="1"/>
  <c r="BN276" i="3"/>
  <c r="CB276" i="3" s="1"/>
  <c r="BM276" i="3"/>
  <c r="CA276" i="3" s="1"/>
  <c r="BL276" i="3"/>
  <c r="BZ276" i="3" s="1"/>
  <c r="BK276" i="3"/>
  <c r="BY276" i="3" s="1"/>
  <c r="BJ276" i="3"/>
  <c r="BX276" i="3" s="1"/>
  <c r="BI276" i="3"/>
  <c r="BW276" i="3" s="1"/>
  <c r="BH276" i="3"/>
  <c r="AX276" i="3"/>
  <c r="AN276" i="3"/>
  <c r="BO275" i="3"/>
  <c r="BN275" i="3"/>
  <c r="BM275" i="3"/>
  <c r="BL275" i="3"/>
  <c r="BK275" i="3"/>
  <c r="BJ275" i="3"/>
  <c r="BI275" i="3"/>
  <c r="BH275" i="3"/>
  <c r="AX275" i="3"/>
  <c r="AO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N275" i="3"/>
  <c r="BO274" i="3"/>
  <c r="BN274" i="3"/>
  <c r="BM274" i="3"/>
  <c r="BL274" i="3"/>
  <c r="BK274" i="3"/>
  <c r="BJ274" i="3"/>
  <c r="BI274" i="3"/>
  <c r="BH274" i="3"/>
  <c r="AX274" i="3"/>
  <c r="AO274" i="3"/>
  <c r="AM274" i="3"/>
  <c r="CG274" i="3" s="1"/>
  <c r="AL274" i="3"/>
  <c r="CF274" i="3" s="1"/>
  <c r="AK274" i="3"/>
  <c r="CE274" i="3" s="1"/>
  <c r="AJ274" i="3"/>
  <c r="CD274" i="3" s="1"/>
  <c r="AI274" i="3"/>
  <c r="AH274" i="3"/>
  <c r="AG274" i="3"/>
  <c r="AF274" i="3"/>
  <c r="AE274" i="3"/>
  <c r="AD274" i="3"/>
  <c r="AC274" i="3"/>
  <c r="AB274" i="3"/>
  <c r="AA274" i="3"/>
  <c r="N274" i="3"/>
  <c r="BO273" i="3"/>
  <c r="BP273" i="3" s="1"/>
  <c r="BQ273" i="3" s="1"/>
  <c r="BR273" i="3" s="1"/>
  <c r="BS273" i="3" s="1"/>
  <c r="BN273" i="3"/>
  <c r="BM273" i="3"/>
  <c r="BL273" i="3"/>
  <c r="BK273" i="3"/>
  <c r="BJ273" i="3"/>
  <c r="BI273" i="3"/>
  <c r="BH273" i="3"/>
  <c r="AX273" i="3"/>
  <c r="AN273" i="3"/>
  <c r="BO272" i="3"/>
  <c r="BN272" i="3"/>
  <c r="BM272" i="3"/>
  <c r="BL272" i="3"/>
  <c r="BK272" i="3"/>
  <c r="BJ272" i="3"/>
  <c r="BI272" i="3"/>
  <c r="BH272" i="3"/>
  <c r="AX272" i="3"/>
  <c r="AO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N272" i="3"/>
  <c r="AN272" i="3" s="1"/>
  <c r="BO271" i="3"/>
  <c r="BN271" i="3"/>
  <c r="BM271" i="3"/>
  <c r="BL271" i="3"/>
  <c r="BK271" i="3"/>
  <c r="BJ271" i="3"/>
  <c r="BI271" i="3"/>
  <c r="BH271" i="3"/>
  <c r="AX271" i="3"/>
  <c r="AO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N271" i="3"/>
  <c r="BO270" i="3"/>
  <c r="BN270" i="3"/>
  <c r="BM270" i="3"/>
  <c r="BL270" i="3"/>
  <c r="BK270" i="3"/>
  <c r="BJ270" i="3"/>
  <c r="BI270" i="3"/>
  <c r="BH270" i="3"/>
  <c r="AX270" i="3"/>
  <c r="AO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N270" i="3"/>
  <c r="BO269" i="3"/>
  <c r="BN269" i="3"/>
  <c r="BM269" i="3"/>
  <c r="BL269" i="3"/>
  <c r="BK269" i="3"/>
  <c r="BJ269" i="3"/>
  <c r="BI269" i="3"/>
  <c r="BH269" i="3"/>
  <c r="AX269" i="3"/>
  <c r="AO269" i="3"/>
  <c r="AM269" i="3"/>
  <c r="CG269" i="3" s="1"/>
  <c r="AL269" i="3"/>
  <c r="CF269" i="3" s="1"/>
  <c r="AK269" i="3"/>
  <c r="CE269" i="3" s="1"/>
  <c r="AJ269" i="3"/>
  <c r="CD269" i="3" s="1"/>
  <c r="AI269" i="3"/>
  <c r="AH269" i="3"/>
  <c r="AG269" i="3"/>
  <c r="AF269" i="3"/>
  <c r="AE269" i="3"/>
  <c r="AD269" i="3"/>
  <c r="AC269" i="3"/>
  <c r="AB269" i="3"/>
  <c r="AA269" i="3"/>
  <c r="N269" i="3"/>
  <c r="BO268" i="3"/>
  <c r="BN268" i="3"/>
  <c r="BM268" i="3"/>
  <c r="BL268" i="3"/>
  <c r="BK268" i="3"/>
  <c r="BJ268" i="3"/>
  <c r="BI268" i="3"/>
  <c r="BH268" i="3"/>
  <c r="AX268" i="3"/>
  <c r="AO268" i="3"/>
  <c r="AM268" i="3"/>
  <c r="CG268" i="3" s="1"/>
  <c r="AL268" i="3"/>
  <c r="CF268" i="3" s="1"/>
  <c r="AK268" i="3"/>
  <c r="CE268" i="3" s="1"/>
  <c r="AJ268" i="3"/>
  <c r="CD268" i="3" s="1"/>
  <c r="AI268" i="3"/>
  <c r="AH268" i="3"/>
  <c r="AG268" i="3"/>
  <c r="AF268" i="3"/>
  <c r="AE268" i="3"/>
  <c r="AD268" i="3"/>
  <c r="AC268" i="3"/>
  <c r="AB268" i="3"/>
  <c r="AA268" i="3"/>
  <c r="N268" i="3"/>
  <c r="BO267" i="3"/>
  <c r="BN267" i="3"/>
  <c r="BM267" i="3"/>
  <c r="BL267" i="3"/>
  <c r="BK267" i="3"/>
  <c r="BJ267" i="3"/>
  <c r="BI267" i="3"/>
  <c r="BH267" i="3"/>
  <c r="AX267" i="3"/>
  <c r="AO267" i="3"/>
  <c r="AM267" i="3"/>
  <c r="CG267" i="3" s="1"/>
  <c r="AL267" i="3"/>
  <c r="CF267" i="3" s="1"/>
  <c r="AK267" i="3"/>
  <c r="CE267" i="3" s="1"/>
  <c r="AJ267" i="3"/>
  <c r="CD267" i="3" s="1"/>
  <c r="AI267" i="3"/>
  <c r="AH267" i="3"/>
  <c r="AG267" i="3"/>
  <c r="AF267" i="3"/>
  <c r="AE267" i="3"/>
  <c r="AD267" i="3"/>
  <c r="AC267" i="3"/>
  <c r="AB267" i="3"/>
  <c r="AA267" i="3"/>
  <c r="N267" i="3"/>
  <c r="BO266" i="3"/>
  <c r="BN266" i="3"/>
  <c r="AX266" i="3"/>
  <c r="AN266" i="3"/>
  <c r="BO265" i="3"/>
  <c r="BN265" i="3"/>
  <c r="BM265" i="3"/>
  <c r="BL265" i="3"/>
  <c r="BK265" i="3"/>
  <c r="BJ265" i="3"/>
  <c r="BI265" i="3"/>
  <c r="BH265" i="3"/>
  <c r="AX265" i="3"/>
  <c r="AO265" i="3"/>
  <c r="AM265" i="3"/>
  <c r="CG265" i="3" s="1"/>
  <c r="AL265" i="3"/>
  <c r="CF265" i="3" s="1"/>
  <c r="AK265" i="3"/>
  <c r="CE265" i="3" s="1"/>
  <c r="AJ265" i="3"/>
  <c r="CD265" i="3" s="1"/>
  <c r="AI265" i="3"/>
  <c r="AH265" i="3"/>
  <c r="AG265" i="3"/>
  <c r="AF265" i="3"/>
  <c r="AE265" i="3"/>
  <c r="AD265" i="3"/>
  <c r="AC265" i="3"/>
  <c r="AB265" i="3"/>
  <c r="AA265" i="3"/>
  <c r="N265" i="3"/>
  <c r="BO264" i="3"/>
  <c r="BN264" i="3"/>
  <c r="BM264" i="3"/>
  <c r="BL264" i="3"/>
  <c r="BK264" i="3"/>
  <c r="BJ264" i="3"/>
  <c r="BI264" i="3"/>
  <c r="BH264" i="3"/>
  <c r="AY264" i="3"/>
  <c r="AX264" i="3"/>
  <c r="AM264" i="3"/>
  <c r="CG264" i="3" s="1"/>
  <c r="AL264" i="3"/>
  <c r="CF264" i="3" s="1"/>
  <c r="AK264" i="3"/>
  <c r="CE264" i="3" s="1"/>
  <c r="AJ264" i="3"/>
  <c r="CD264" i="3" s="1"/>
  <c r="AI264" i="3"/>
  <c r="AH264" i="3"/>
  <c r="AG264" i="3"/>
  <c r="AF264" i="3"/>
  <c r="AE264" i="3"/>
  <c r="AD264" i="3"/>
  <c r="AC264" i="3"/>
  <c r="AB264" i="3"/>
  <c r="AA264" i="3"/>
  <c r="N264" i="3"/>
  <c r="BO263" i="3"/>
  <c r="BN263" i="3"/>
  <c r="BM263" i="3"/>
  <c r="BL263" i="3"/>
  <c r="BK263" i="3"/>
  <c r="BJ263" i="3"/>
  <c r="BI263" i="3"/>
  <c r="BH263" i="3"/>
  <c r="AY263" i="3"/>
  <c r="AX263" i="3"/>
  <c r="AM263" i="3"/>
  <c r="CG263" i="3" s="1"/>
  <c r="AL263" i="3"/>
  <c r="CF263" i="3" s="1"/>
  <c r="AK263" i="3"/>
  <c r="CE263" i="3" s="1"/>
  <c r="AJ263" i="3"/>
  <c r="CD263" i="3" s="1"/>
  <c r="AI263" i="3"/>
  <c r="AH263" i="3"/>
  <c r="AG263" i="3"/>
  <c r="AF263" i="3"/>
  <c r="AE263" i="3"/>
  <c r="AD263" i="3"/>
  <c r="AC263" i="3"/>
  <c r="AB263" i="3"/>
  <c r="AA263" i="3"/>
  <c r="N263" i="3"/>
  <c r="BO262" i="3"/>
  <c r="BN262" i="3"/>
  <c r="BM262" i="3"/>
  <c r="BL262" i="3"/>
  <c r="BK262" i="3"/>
  <c r="BJ262" i="3"/>
  <c r="BI262" i="3"/>
  <c r="BH262" i="3"/>
  <c r="AY262" i="3"/>
  <c r="AX262" i="3"/>
  <c r="AM262" i="3"/>
  <c r="CG262" i="3" s="1"/>
  <c r="AL262" i="3"/>
  <c r="CF262" i="3" s="1"/>
  <c r="AK262" i="3"/>
  <c r="CE262" i="3" s="1"/>
  <c r="AJ262" i="3"/>
  <c r="CD262" i="3" s="1"/>
  <c r="AI262" i="3"/>
  <c r="AH262" i="3"/>
  <c r="AG262" i="3"/>
  <c r="AF262" i="3"/>
  <c r="AE262" i="3"/>
  <c r="AD262" i="3"/>
  <c r="AC262" i="3"/>
  <c r="AB262" i="3"/>
  <c r="AA262" i="3"/>
  <c r="N262" i="3"/>
  <c r="BO261" i="3"/>
  <c r="BN261" i="3"/>
  <c r="BM261" i="3"/>
  <c r="BL261" i="3"/>
  <c r="BK261" i="3"/>
  <c r="BI261" i="3"/>
  <c r="BH261" i="3"/>
  <c r="AY261" i="3"/>
  <c r="AX261" i="3"/>
  <c r="AM261" i="3"/>
  <c r="AL261" i="3"/>
  <c r="AK261" i="3"/>
  <c r="AJ261" i="3"/>
  <c r="AI261" i="3"/>
  <c r="AH261" i="3"/>
  <c r="AG261" i="3"/>
  <c r="AF261" i="3"/>
  <c r="AE261" i="3"/>
  <c r="AD261" i="3"/>
  <c r="BX261" i="3" s="1"/>
  <c r="AC261" i="3"/>
  <c r="AB261" i="3"/>
  <c r="AA261" i="3"/>
  <c r="N261" i="3"/>
  <c r="BO260" i="3"/>
  <c r="BN260" i="3"/>
  <c r="BM260" i="3"/>
  <c r="BL260" i="3"/>
  <c r="BK260" i="3"/>
  <c r="BI260" i="3"/>
  <c r="BH260" i="3"/>
  <c r="AY260" i="3"/>
  <c r="AX260" i="3"/>
  <c r="AM260" i="3"/>
  <c r="AL260" i="3"/>
  <c r="AK260" i="3"/>
  <c r="AJ260" i="3"/>
  <c r="AI260" i="3"/>
  <c r="AH260" i="3"/>
  <c r="AG260" i="3"/>
  <c r="AF260" i="3"/>
  <c r="AE260" i="3"/>
  <c r="AD260" i="3"/>
  <c r="BX260" i="3" s="1"/>
  <c r="AC260" i="3"/>
  <c r="AB260" i="3"/>
  <c r="AA260" i="3"/>
  <c r="N260" i="3"/>
  <c r="BO259" i="3"/>
  <c r="BN259" i="3"/>
  <c r="BM259" i="3"/>
  <c r="BL259" i="3"/>
  <c r="BK259" i="3"/>
  <c r="BI259" i="3"/>
  <c r="BH259" i="3"/>
  <c r="AY259" i="3"/>
  <c r="AX259" i="3"/>
  <c r="AM259" i="3"/>
  <c r="AL259" i="3"/>
  <c r="AK259" i="3"/>
  <c r="AJ259" i="3"/>
  <c r="AI259" i="3"/>
  <c r="AH259" i="3"/>
  <c r="AG259" i="3"/>
  <c r="AF259" i="3"/>
  <c r="AE259" i="3"/>
  <c r="AD259" i="3"/>
  <c r="BX259" i="3" s="1"/>
  <c r="AC259" i="3"/>
  <c r="AB259" i="3"/>
  <c r="AA259" i="3"/>
  <c r="N259" i="3"/>
  <c r="BO258" i="3"/>
  <c r="BN258" i="3"/>
  <c r="BM258" i="3"/>
  <c r="BL258" i="3"/>
  <c r="BK258" i="3"/>
  <c r="BI258" i="3"/>
  <c r="BH258" i="3"/>
  <c r="AY258" i="3"/>
  <c r="AX258" i="3"/>
  <c r="AM258" i="3"/>
  <c r="AL258" i="3"/>
  <c r="AK258" i="3"/>
  <c r="AJ258" i="3"/>
  <c r="AI258" i="3"/>
  <c r="AH258" i="3"/>
  <c r="AG258" i="3"/>
  <c r="AF258" i="3"/>
  <c r="AE258" i="3"/>
  <c r="AD258" i="3"/>
  <c r="BX258" i="3" s="1"/>
  <c r="AC258" i="3"/>
  <c r="AB258" i="3"/>
  <c r="AA258" i="3"/>
  <c r="N258" i="3"/>
  <c r="AN258" i="3" s="1"/>
  <c r="BO257" i="3"/>
  <c r="BN257" i="3"/>
  <c r="BM257" i="3"/>
  <c r="BL257" i="3"/>
  <c r="BK257" i="3"/>
  <c r="BI257" i="3"/>
  <c r="BH257" i="3"/>
  <c r="AY257" i="3"/>
  <c r="AX257" i="3"/>
  <c r="AM257" i="3"/>
  <c r="AL257" i="3"/>
  <c r="AK257" i="3"/>
  <c r="AJ257" i="3"/>
  <c r="AI257" i="3"/>
  <c r="AH257" i="3"/>
  <c r="AG257" i="3"/>
  <c r="AF257" i="3"/>
  <c r="AE257" i="3"/>
  <c r="AD257" i="3"/>
  <c r="BX257" i="3" s="1"/>
  <c r="AC257" i="3"/>
  <c r="AB257" i="3"/>
  <c r="AA257" i="3"/>
  <c r="N257" i="3"/>
  <c r="BO256" i="3"/>
  <c r="BN256" i="3"/>
  <c r="BM256" i="3"/>
  <c r="BL256" i="3"/>
  <c r="BK256" i="3"/>
  <c r="BI256" i="3"/>
  <c r="BH256" i="3"/>
  <c r="AY256" i="3"/>
  <c r="AX256" i="3"/>
  <c r="AM256" i="3"/>
  <c r="AL256" i="3"/>
  <c r="AK256" i="3"/>
  <c r="AJ256" i="3"/>
  <c r="AI256" i="3"/>
  <c r="AH256" i="3"/>
  <c r="AG256" i="3"/>
  <c r="AF256" i="3"/>
  <c r="AE256" i="3"/>
  <c r="AD256" i="3"/>
  <c r="BX256" i="3" s="1"/>
  <c r="AC256" i="3"/>
  <c r="AB256" i="3"/>
  <c r="AA256" i="3"/>
  <c r="N256" i="3"/>
  <c r="BO255" i="3"/>
  <c r="BN255" i="3"/>
  <c r="BM255" i="3"/>
  <c r="BL255" i="3"/>
  <c r="BK255" i="3"/>
  <c r="BI255" i="3"/>
  <c r="BH255" i="3"/>
  <c r="AY255" i="3"/>
  <c r="AX255" i="3"/>
  <c r="AM255" i="3"/>
  <c r="AL255" i="3"/>
  <c r="AK255" i="3"/>
  <c r="AJ255" i="3"/>
  <c r="AI255" i="3"/>
  <c r="AH255" i="3"/>
  <c r="AG255" i="3"/>
  <c r="AF255" i="3"/>
  <c r="AE255" i="3"/>
  <c r="AD255" i="3"/>
  <c r="BX255" i="3" s="1"/>
  <c r="AC255" i="3"/>
  <c r="AB255" i="3"/>
  <c r="AA255" i="3"/>
  <c r="N255" i="3"/>
  <c r="BO254" i="3"/>
  <c r="BN254" i="3"/>
  <c r="BM254" i="3"/>
  <c r="BL254" i="3"/>
  <c r="BK254" i="3"/>
  <c r="BI254" i="3"/>
  <c r="BH254" i="3"/>
  <c r="AY254" i="3"/>
  <c r="AX254" i="3"/>
  <c r="AM254" i="3"/>
  <c r="AL254" i="3"/>
  <c r="AK254" i="3"/>
  <c r="AJ254" i="3"/>
  <c r="AI254" i="3"/>
  <c r="AH254" i="3"/>
  <c r="AG254" i="3"/>
  <c r="AF254" i="3"/>
  <c r="AE254" i="3"/>
  <c r="AD254" i="3"/>
  <c r="BX254" i="3" s="1"/>
  <c r="AC254" i="3"/>
  <c r="AB254" i="3"/>
  <c r="AA254" i="3"/>
  <c r="N254" i="3"/>
  <c r="BO253" i="3"/>
  <c r="BN253" i="3"/>
  <c r="BM253" i="3"/>
  <c r="BL253" i="3"/>
  <c r="BK253" i="3"/>
  <c r="BI253" i="3"/>
  <c r="BH253" i="3"/>
  <c r="AY253" i="3"/>
  <c r="AX253" i="3"/>
  <c r="AM253" i="3"/>
  <c r="AL253" i="3"/>
  <c r="AK253" i="3"/>
  <c r="AJ253" i="3"/>
  <c r="AI253" i="3"/>
  <c r="AH253" i="3"/>
  <c r="AG253" i="3"/>
  <c r="AF253" i="3"/>
  <c r="AE253" i="3"/>
  <c r="AD253" i="3"/>
  <c r="BX253" i="3" s="1"/>
  <c r="AC253" i="3"/>
  <c r="AB253" i="3"/>
  <c r="AA253" i="3"/>
  <c r="N253" i="3"/>
  <c r="BO252" i="3"/>
  <c r="BN252" i="3"/>
  <c r="BM252" i="3"/>
  <c r="BL252" i="3"/>
  <c r="BK252" i="3"/>
  <c r="BI252" i="3"/>
  <c r="BH252" i="3"/>
  <c r="AY252" i="3"/>
  <c r="AX252" i="3"/>
  <c r="AM252" i="3"/>
  <c r="AL252" i="3"/>
  <c r="AK252" i="3"/>
  <c r="AJ252" i="3"/>
  <c r="AI252" i="3"/>
  <c r="AH252" i="3"/>
  <c r="AG252" i="3"/>
  <c r="AF252" i="3"/>
  <c r="AE252" i="3"/>
  <c r="AD252" i="3"/>
  <c r="BX252" i="3" s="1"/>
  <c r="AC252" i="3"/>
  <c r="AB252" i="3"/>
  <c r="AA252" i="3"/>
  <c r="N252" i="3"/>
  <c r="BO251" i="3"/>
  <c r="BN251" i="3"/>
  <c r="BM251" i="3"/>
  <c r="BL251" i="3"/>
  <c r="BK251" i="3"/>
  <c r="BI251" i="3"/>
  <c r="BH251" i="3"/>
  <c r="AY251" i="3"/>
  <c r="AX251" i="3"/>
  <c r="AM251" i="3"/>
  <c r="AL251" i="3"/>
  <c r="AK251" i="3"/>
  <c r="AJ251" i="3"/>
  <c r="AI251" i="3"/>
  <c r="AH251" i="3"/>
  <c r="AG251" i="3"/>
  <c r="AF251" i="3"/>
  <c r="AE251" i="3"/>
  <c r="AD251" i="3"/>
  <c r="BX251" i="3" s="1"/>
  <c r="AC251" i="3"/>
  <c r="AB251" i="3"/>
  <c r="AA251" i="3"/>
  <c r="N251" i="3"/>
  <c r="BO250" i="3"/>
  <c r="BN250" i="3"/>
  <c r="BM250" i="3"/>
  <c r="BL250" i="3"/>
  <c r="BK250" i="3"/>
  <c r="BI250" i="3"/>
  <c r="BH250" i="3"/>
  <c r="AY250" i="3"/>
  <c r="AX250" i="3"/>
  <c r="AM250" i="3"/>
  <c r="AL250" i="3"/>
  <c r="AK250" i="3"/>
  <c r="AJ250" i="3"/>
  <c r="AI250" i="3"/>
  <c r="AH250" i="3"/>
  <c r="AG250" i="3"/>
  <c r="AF250" i="3"/>
  <c r="AE250" i="3"/>
  <c r="AD250" i="3"/>
  <c r="BX250" i="3" s="1"/>
  <c r="AC250" i="3"/>
  <c r="AB250" i="3"/>
  <c r="AA250" i="3"/>
  <c r="N250" i="3"/>
  <c r="CG249" i="3"/>
  <c r="CF249" i="3"/>
  <c r="CE249" i="3"/>
  <c r="CD249" i="3"/>
  <c r="BO249" i="3"/>
  <c r="CC249" i="3" s="1"/>
  <c r="BN249" i="3"/>
  <c r="CB249" i="3" s="1"/>
  <c r="BM249" i="3"/>
  <c r="CA249" i="3" s="1"/>
  <c r="BL249" i="3"/>
  <c r="BZ249" i="3" s="1"/>
  <c r="BK249" i="3"/>
  <c r="BY249" i="3" s="1"/>
  <c r="BJ249" i="3"/>
  <c r="BX249" i="3" s="1"/>
  <c r="BI249" i="3"/>
  <c r="BW249" i="3" s="1"/>
  <c r="BH249" i="3"/>
  <c r="AY249" i="3"/>
  <c r="AX249" i="3"/>
  <c r="AN249" i="3"/>
  <c r="BO248" i="3"/>
  <c r="BN248" i="3"/>
  <c r="BM248" i="3"/>
  <c r="BL248" i="3"/>
  <c r="BK248" i="3"/>
  <c r="BJ248" i="3"/>
  <c r="BI248" i="3"/>
  <c r="BH248" i="3"/>
  <c r="AY248" i="3"/>
  <c r="AX248" i="3"/>
  <c r="AN248" i="3"/>
  <c r="BO247" i="3"/>
  <c r="BN247" i="3"/>
  <c r="BM247" i="3"/>
  <c r="BL247" i="3"/>
  <c r="BK247" i="3"/>
  <c r="BJ247" i="3"/>
  <c r="BI247" i="3"/>
  <c r="BH247" i="3"/>
  <c r="AY247" i="3"/>
  <c r="AX247" i="3"/>
  <c r="AN247" i="3"/>
  <c r="BO246" i="3"/>
  <c r="BP246" i="3" s="1"/>
  <c r="BQ246" i="3" s="1"/>
  <c r="BR246" i="3" s="1"/>
  <c r="BS246" i="3" s="1"/>
  <c r="BN246" i="3"/>
  <c r="BM246" i="3"/>
  <c r="BL246" i="3"/>
  <c r="BK246" i="3"/>
  <c r="BJ246" i="3"/>
  <c r="BI246" i="3"/>
  <c r="BH246" i="3"/>
  <c r="AY246" i="3"/>
  <c r="AX246" i="3"/>
  <c r="AN246" i="3"/>
  <c r="BO245" i="3"/>
  <c r="BN245" i="3"/>
  <c r="BM245" i="3"/>
  <c r="BL245" i="3"/>
  <c r="BK245" i="3"/>
  <c r="BJ245" i="3"/>
  <c r="BI245" i="3"/>
  <c r="BH245" i="3"/>
  <c r="AY245" i="3"/>
  <c r="AX245" i="3"/>
  <c r="AM245" i="3"/>
  <c r="CG245" i="3" s="1"/>
  <c r="AL245" i="3"/>
  <c r="CF245" i="3" s="1"/>
  <c r="AK245" i="3"/>
  <c r="CE245" i="3" s="1"/>
  <c r="AJ245" i="3"/>
  <c r="CD245" i="3" s="1"/>
  <c r="AI245" i="3"/>
  <c r="AH245" i="3"/>
  <c r="AG245" i="3"/>
  <c r="AF245" i="3"/>
  <c r="AE245" i="3"/>
  <c r="AD245" i="3"/>
  <c r="AC245" i="3"/>
  <c r="AB245" i="3"/>
  <c r="AA245" i="3"/>
  <c r="N245" i="3"/>
  <c r="BO244" i="3"/>
  <c r="BN244" i="3"/>
  <c r="BM244" i="3"/>
  <c r="BL244" i="3"/>
  <c r="BK244" i="3"/>
  <c r="BJ244" i="3"/>
  <c r="BI244" i="3"/>
  <c r="BH244" i="3"/>
  <c r="AY244" i="3"/>
  <c r="AX244" i="3"/>
  <c r="AM244" i="3"/>
  <c r="CG244" i="3" s="1"/>
  <c r="AL244" i="3"/>
  <c r="CF244" i="3" s="1"/>
  <c r="AK244" i="3"/>
  <c r="CE244" i="3" s="1"/>
  <c r="AJ244" i="3"/>
  <c r="CD244" i="3" s="1"/>
  <c r="AI244" i="3"/>
  <c r="AH244" i="3"/>
  <c r="AG244" i="3"/>
  <c r="AF244" i="3"/>
  <c r="AE244" i="3"/>
  <c r="AD244" i="3"/>
  <c r="AC244" i="3"/>
  <c r="AB244" i="3"/>
  <c r="AA244" i="3"/>
  <c r="N244" i="3"/>
  <c r="BS243" i="3"/>
  <c r="BO243" i="3"/>
  <c r="BN243" i="3"/>
  <c r="BM243" i="3"/>
  <c r="BL243" i="3"/>
  <c r="BK243" i="3"/>
  <c r="BJ243" i="3"/>
  <c r="BI243" i="3"/>
  <c r="BH243" i="3"/>
  <c r="AY243" i="3"/>
  <c r="AX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N243" i="3"/>
  <c r="BO242" i="3"/>
  <c r="BN242" i="3"/>
  <c r="BM242" i="3"/>
  <c r="BL242" i="3"/>
  <c r="BK242" i="3"/>
  <c r="BJ242" i="3"/>
  <c r="BI242" i="3"/>
  <c r="BH242" i="3"/>
  <c r="AY242" i="3"/>
  <c r="AX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N242" i="3"/>
  <c r="BO241" i="3"/>
  <c r="BN241" i="3"/>
  <c r="BM241" i="3"/>
  <c r="BL241" i="3"/>
  <c r="BK241" i="3"/>
  <c r="BJ241" i="3"/>
  <c r="BI241" i="3"/>
  <c r="BH241" i="3"/>
  <c r="AY241" i="3"/>
  <c r="AX241" i="3"/>
  <c r="AM241" i="3"/>
  <c r="CG241" i="3" s="1"/>
  <c r="AL241" i="3"/>
  <c r="CF241" i="3" s="1"/>
  <c r="AK241" i="3"/>
  <c r="CE241" i="3" s="1"/>
  <c r="AJ241" i="3"/>
  <c r="CD241" i="3" s="1"/>
  <c r="AI241" i="3"/>
  <c r="AH241" i="3"/>
  <c r="AG241" i="3"/>
  <c r="AF241" i="3"/>
  <c r="AE241" i="3"/>
  <c r="AD241" i="3"/>
  <c r="AC241" i="3"/>
  <c r="AB241" i="3"/>
  <c r="AA241" i="3"/>
  <c r="N241" i="3"/>
  <c r="BO240" i="3"/>
  <c r="BN240" i="3"/>
  <c r="BM240" i="3"/>
  <c r="BL240" i="3"/>
  <c r="BK240" i="3"/>
  <c r="BJ240" i="3"/>
  <c r="BI240" i="3"/>
  <c r="BH240" i="3"/>
  <c r="AY240" i="3"/>
  <c r="AX240" i="3"/>
  <c r="AN240" i="3"/>
  <c r="BO239" i="3"/>
  <c r="BN239" i="3"/>
  <c r="CB239" i="3" s="1"/>
  <c r="BM239" i="3"/>
  <c r="CA239" i="3" s="1"/>
  <c r="BL239" i="3"/>
  <c r="BZ239" i="3" s="1"/>
  <c r="BK239" i="3"/>
  <c r="BY239" i="3" s="1"/>
  <c r="BJ239" i="3"/>
  <c r="BX239" i="3" s="1"/>
  <c r="BI239" i="3"/>
  <c r="BW239" i="3" s="1"/>
  <c r="BH239" i="3"/>
  <c r="AY239" i="3"/>
  <c r="AX239" i="3"/>
  <c r="AN239" i="3"/>
  <c r="CG238" i="3"/>
  <c r="CF238" i="3"/>
  <c r="CE238" i="3"/>
  <c r="CD238" i="3"/>
  <c r="BO238" i="3"/>
  <c r="CC238" i="3" s="1"/>
  <c r="BN238" i="3"/>
  <c r="CB238" i="3" s="1"/>
  <c r="BM238" i="3"/>
  <c r="CA238" i="3" s="1"/>
  <c r="BL238" i="3"/>
  <c r="BZ238" i="3" s="1"/>
  <c r="BK238" i="3"/>
  <c r="BY238" i="3" s="1"/>
  <c r="BJ238" i="3"/>
  <c r="BX238" i="3" s="1"/>
  <c r="BI238" i="3"/>
  <c r="BW238" i="3" s="1"/>
  <c r="BH238" i="3"/>
  <c r="AY238" i="3"/>
  <c r="AX238" i="3"/>
  <c r="AN238" i="3"/>
  <c r="BO237" i="3"/>
  <c r="BN237" i="3"/>
  <c r="BM237" i="3"/>
  <c r="BL237" i="3"/>
  <c r="BK237" i="3"/>
  <c r="BJ237" i="3"/>
  <c r="BI237" i="3"/>
  <c r="BH237" i="3"/>
  <c r="AY237" i="3"/>
  <c r="AX237" i="3"/>
  <c r="AO237" i="3"/>
  <c r="AM237" i="3"/>
  <c r="CG237" i="3" s="1"/>
  <c r="AL237" i="3"/>
  <c r="CF237" i="3" s="1"/>
  <c r="AK237" i="3"/>
  <c r="CE237" i="3" s="1"/>
  <c r="AJ237" i="3"/>
  <c r="CD237" i="3" s="1"/>
  <c r="AI237" i="3"/>
  <c r="AH237" i="3"/>
  <c r="AG237" i="3"/>
  <c r="AF237" i="3"/>
  <c r="AE237" i="3"/>
  <c r="AD237" i="3"/>
  <c r="AC237" i="3"/>
  <c r="AB237" i="3"/>
  <c r="AA237" i="3"/>
  <c r="N237" i="3"/>
  <c r="BS236" i="3"/>
  <c r="BO236" i="3"/>
  <c r="BN236" i="3"/>
  <c r="BM236" i="3"/>
  <c r="BL236" i="3"/>
  <c r="BK236" i="3"/>
  <c r="BJ236" i="3"/>
  <c r="BI236" i="3"/>
  <c r="BH236" i="3"/>
  <c r="AY236" i="3"/>
  <c r="AX236" i="3"/>
  <c r="AO236" i="3"/>
  <c r="AM236" i="3"/>
  <c r="AL236" i="3"/>
  <c r="CF236" i="3" s="1"/>
  <c r="AK236" i="3"/>
  <c r="CE236" i="3" s="1"/>
  <c r="AJ236" i="3"/>
  <c r="CD236" i="3" s="1"/>
  <c r="AI236" i="3"/>
  <c r="AH236" i="3"/>
  <c r="AG236" i="3"/>
  <c r="AF236" i="3"/>
  <c r="AE236" i="3"/>
  <c r="AD236" i="3"/>
  <c r="AC236" i="3"/>
  <c r="AB236" i="3"/>
  <c r="AA236" i="3"/>
  <c r="N236" i="3"/>
  <c r="BO235" i="3"/>
  <c r="BN235" i="3"/>
  <c r="CB235" i="3" s="1"/>
  <c r="BM235" i="3"/>
  <c r="CA235" i="3" s="1"/>
  <c r="BL235" i="3"/>
  <c r="BZ235" i="3" s="1"/>
  <c r="BK235" i="3"/>
  <c r="BY235" i="3" s="1"/>
  <c r="BJ235" i="3"/>
  <c r="BX235" i="3" s="1"/>
  <c r="BI235" i="3"/>
  <c r="BW235" i="3" s="1"/>
  <c r="BH235" i="3"/>
  <c r="AY235" i="3"/>
  <c r="AX235" i="3"/>
  <c r="AN235" i="3"/>
  <c r="BO234" i="3"/>
  <c r="BN234" i="3"/>
  <c r="BM234" i="3"/>
  <c r="BL234" i="3"/>
  <c r="BK234" i="3"/>
  <c r="BJ234" i="3"/>
  <c r="BI234" i="3"/>
  <c r="BH234" i="3"/>
  <c r="AY234" i="3"/>
  <c r="AX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N234" i="3"/>
  <c r="BO233" i="3"/>
  <c r="BN233" i="3"/>
  <c r="BM233" i="3"/>
  <c r="BL233" i="3"/>
  <c r="BK233" i="3"/>
  <c r="BJ233" i="3"/>
  <c r="BI233" i="3"/>
  <c r="BH233" i="3"/>
  <c r="AY233" i="3"/>
  <c r="AX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N233" i="3"/>
  <c r="BO232" i="3"/>
  <c r="BN232" i="3"/>
  <c r="BM232" i="3"/>
  <c r="BL232" i="3"/>
  <c r="BK232" i="3"/>
  <c r="BJ232" i="3"/>
  <c r="BI232" i="3"/>
  <c r="BH232" i="3"/>
  <c r="AY232" i="3"/>
  <c r="AX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N232" i="3"/>
  <c r="BO231" i="3"/>
  <c r="BN231" i="3"/>
  <c r="BM231" i="3"/>
  <c r="BL231" i="3"/>
  <c r="BK231" i="3"/>
  <c r="BJ231" i="3"/>
  <c r="BI231" i="3"/>
  <c r="BH231" i="3"/>
  <c r="AY231" i="3"/>
  <c r="AX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N231" i="3"/>
  <c r="BO230" i="3"/>
  <c r="BN230" i="3"/>
  <c r="BM230" i="3"/>
  <c r="BL230" i="3"/>
  <c r="BK230" i="3"/>
  <c r="BJ230" i="3"/>
  <c r="BI230" i="3"/>
  <c r="BH230" i="3"/>
  <c r="AY230" i="3"/>
  <c r="AX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N230" i="3"/>
  <c r="BO229" i="3"/>
  <c r="BN229" i="3"/>
  <c r="BM229" i="3"/>
  <c r="BL229" i="3"/>
  <c r="BK229" i="3"/>
  <c r="BJ229" i="3"/>
  <c r="BI229" i="3"/>
  <c r="BH229" i="3"/>
  <c r="AY229" i="3"/>
  <c r="AX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N229" i="3"/>
  <c r="BO228" i="3"/>
  <c r="BN228" i="3"/>
  <c r="BM228" i="3"/>
  <c r="BL228" i="3"/>
  <c r="BK228" i="3"/>
  <c r="BJ228" i="3"/>
  <c r="BI228" i="3"/>
  <c r="BH228" i="3"/>
  <c r="AY228" i="3"/>
  <c r="AX228" i="3"/>
  <c r="AO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N228" i="3"/>
  <c r="BV227" i="3"/>
  <c r="BO227" i="3"/>
  <c r="BN227" i="3"/>
  <c r="CB227" i="3" s="1"/>
  <c r="BM227" i="3"/>
  <c r="CA227" i="3" s="1"/>
  <c r="BL227" i="3"/>
  <c r="BZ227" i="3" s="1"/>
  <c r="BK227" i="3"/>
  <c r="BY227" i="3" s="1"/>
  <c r="BJ227" i="3"/>
  <c r="BX227" i="3" s="1"/>
  <c r="BI227" i="3"/>
  <c r="AY227" i="3"/>
  <c r="AX227" i="3"/>
  <c r="AN227" i="3"/>
  <c r="BO226" i="3"/>
  <c r="BN226" i="3"/>
  <c r="BM226" i="3"/>
  <c r="BL226" i="3"/>
  <c r="AY226" i="3"/>
  <c r="AX226" i="3"/>
  <c r="AN226" i="3"/>
  <c r="BO225" i="3"/>
  <c r="BN225" i="3"/>
  <c r="CB225" i="3" s="1"/>
  <c r="BM225" i="3"/>
  <c r="CA225" i="3" s="1"/>
  <c r="BL225" i="3"/>
  <c r="BZ225" i="3" s="1"/>
  <c r="BK225" i="3"/>
  <c r="BY225" i="3" s="1"/>
  <c r="BJ225" i="3"/>
  <c r="BX225" i="3" s="1"/>
  <c r="BI225" i="3"/>
  <c r="BW225" i="3" s="1"/>
  <c r="BH225" i="3"/>
  <c r="AY225" i="3"/>
  <c r="AX225" i="3"/>
  <c r="AN225" i="3"/>
  <c r="CF224" i="3"/>
  <c r="CE224" i="3"/>
  <c r="CD224" i="3"/>
  <c r="BS224" i="3"/>
  <c r="CG224" i="3" s="1"/>
  <c r="BO224" i="3"/>
  <c r="CC224" i="3" s="1"/>
  <c r="BN224" i="3"/>
  <c r="CB224" i="3" s="1"/>
  <c r="BM224" i="3"/>
  <c r="CA224" i="3" s="1"/>
  <c r="BL224" i="3"/>
  <c r="BZ224" i="3" s="1"/>
  <c r="BK224" i="3"/>
  <c r="BY224" i="3" s="1"/>
  <c r="BJ224" i="3"/>
  <c r="BX224" i="3" s="1"/>
  <c r="BI224" i="3"/>
  <c r="BW224" i="3" s="1"/>
  <c r="BH224" i="3"/>
  <c r="AY224" i="3"/>
  <c r="AX224" i="3"/>
  <c r="AN224" i="3"/>
  <c r="CG223" i="3"/>
  <c r="CF223" i="3"/>
  <c r="CE223" i="3"/>
  <c r="CD223" i="3"/>
  <c r="BO223" i="3"/>
  <c r="CC223" i="3" s="1"/>
  <c r="BN223" i="3"/>
  <c r="CB223" i="3" s="1"/>
  <c r="BM223" i="3"/>
  <c r="CA223" i="3" s="1"/>
  <c r="BL223" i="3"/>
  <c r="BZ223" i="3" s="1"/>
  <c r="BK223" i="3"/>
  <c r="BY223" i="3" s="1"/>
  <c r="BJ223" i="3"/>
  <c r="BX223" i="3" s="1"/>
  <c r="BI223" i="3"/>
  <c r="BW223" i="3" s="1"/>
  <c r="BH223" i="3"/>
  <c r="AY223" i="3"/>
  <c r="AX223" i="3"/>
  <c r="AN223" i="3"/>
  <c r="CG222" i="3"/>
  <c r="CF222" i="3"/>
  <c r="CE222" i="3"/>
  <c r="CD222" i="3"/>
  <c r="BO222" i="3"/>
  <c r="CC222" i="3" s="1"/>
  <c r="BN222" i="3"/>
  <c r="CB222" i="3" s="1"/>
  <c r="BM222" i="3"/>
  <c r="CA222" i="3" s="1"/>
  <c r="BL222" i="3"/>
  <c r="BZ222" i="3" s="1"/>
  <c r="BK222" i="3"/>
  <c r="BY222" i="3" s="1"/>
  <c r="BJ222" i="3"/>
  <c r="BX222" i="3" s="1"/>
  <c r="BI222" i="3"/>
  <c r="BW222" i="3" s="1"/>
  <c r="BH222" i="3"/>
  <c r="AY222" i="3"/>
  <c r="AX222" i="3"/>
  <c r="AN222" i="3"/>
  <c r="BS221" i="3"/>
  <c r="BO221" i="3"/>
  <c r="BN221" i="3"/>
  <c r="BM221" i="3"/>
  <c r="BL221" i="3"/>
  <c r="BK221" i="3"/>
  <c r="BJ221" i="3"/>
  <c r="BI221" i="3"/>
  <c r="BH221" i="3"/>
  <c r="AY221" i="3"/>
  <c r="AX221" i="3"/>
  <c r="AM221" i="3"/>
  <c r="AL221" i="3"/>
  <c r="CF221" i="3" s="1"/>
  <c r="AK221" i="3"/>
  <c r="CE221" i="3" s="1"/>
  <c r="AJ221" i="3"/>
  <c r="CD221" i="3" s="1"/>
  <c r="AI221" i="3"/>
  <c r="AH221" i="3"/>
  <c r="AG221" i="3"/>
  <c r="AF221" i="3"/>
  <c r="AE221" i="3"/>
  <c r="AD221" i="3"/>
  <c r="AC221" i="3"/>
  <c r="AB221" i="3"/>
  <c r="AA221" i="3"/>
  <c r="N221" i="3"/>
  <c r="BO220" i="3"/>
  <c r="BN220" i="3"/>
  <c r="BM220" i="3"/>
  <c r="BL220" i="3"/>
  <c r="BK220" i="3"/>
  <c r="BJ220" i="3"/>
  <c r="BI220" i="3"/>
  <c r="BH220" i="3"/>
  <c r="AY220" i="3"/>
  <c r="AX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N220" i="3"/>
  <c r="AN220" i="3" s="1"/>
  <c r="AP220" i="3" s="1"/>
  <c r="BO219" i="3"/>
  <c r="BN219" i="3"/>
  <c r="BM219" i="3"/>
  <c r="BL219" i="3"/>
  <c r="BK219" i="3"/>
  <c r="BJ219" i="3"/>
  <c r="BI219" i="3"/>
  <c r="BH219" i="3"/>
  <c r="AY219" i="3"/>
  <c r="AX219" i="3"/>
  <c r="AM219" i="3"/>
  <c r="CG219" i="3" s="1"/>
  <c r="AL219" i="3"/>
  <c r="CF219" i="3" s="1"/>
  <c r="AK219" i="3"/>
  <c r="CE219" i="3" s="1"/>
  <c r="AJ219" i="3"/>
  <c r="CD219" i="3" s="1"/>
  <c r="AI219" i="3"/>
  <c r="AH219" i="3"/>
  <c r="AG219" i="3"/>
  <c r="AF219" i="3"/>
  <c r="AE219" i="3"/>
  <c r="AD219" i="3"/>
  <c r="AC219" i="3"/>
  <c r="AB219" i="3"/>
  <c r="AA219" i="3"/>
  <c r="N219" i="3"/>
  <c r="BO218" i="3"/>
  <c r="BN218" i="3"/>
  <c r="BM218" i="3"/>
  <c r="BL218" i="3"/>
  <c r="BK218" i="3"/>
  <c r="BJ218" i="3"/>
  <c r="BI218" i="3"/>
  <c r="BH218" i="3"/>
  <c r="AY218" i="3"/>
  <c r="AX218" i="3"/>
  <c r="AM218" i="3"/>
  <c r="CG218" i="3" s="1"/>
  <c r="AL218" i="3"/>
  <c r="CF218" i="3" s="1"/>
  <c r="AK218" i="3"/>
  <c r="CE218" i="3" s="1"/>
  <c r="AJ218" i="3"/>
  <c r="CD218" i="3" s="1"/>
  <c r="AI218" i="3"/>
  <c r="AH218" i="3"/>
  <c r="AG218" i="3"/>
  <c r="AF218" i="3"/>
  <c r="AE218" i="3"/>
  <c r="AD218" i="3"/>
  <c r="AC218" i="3"/>
  <c r="AB218" i="3"/>
  <c r="AA218" i="3"/>
  <c r="N218" i="3"/>
  <c r="BO217" i="3"/>
  <c r="BN217" i="3"/>
  <c r="BM217" i="3"/>
  <c r="BL217" i="3"/>
  <c r="BK217" i="3"/>
  <c r="BJ217" i="3"/>
  <c r="BI217" i="3"/>
  <c r="BH217" i="3"/>
  <c r="AY217" i="3"/>
  <c r="AX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N217" i="3"/>
  <c r="BO216" i="3"/>
  <c r="BN216" i="3"/>
  <c r="BM216" i="3"/>
  <c r="BL216" i="3"/>
  <c r="BK216" i="3"/>
  <c r="BJ216" i="3"/>
  <c r="BI216" i="3"/>
  <c r="BH216" i="3"/>
  <c r="AY216" i="3"/>
  <c r="AX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N216" i="3"/>
  <c r="BO215" i="3"/>
  <c r="BN215" i="3"/>
  <c r="BL215" i="3"/>
  <c r="BK215" i="3"/>
  <c r="BJ215" i="3"/>
  <c r="BI215" i="3"/>
  <c r="BH215" i="3"/>
  <c r="AY215" i="3"/>
  <c r="AX215" i="3"/>
  <c r="AM215" i="3"/>
  <c r="CG215" i="3" s="1"/>
  <c r="AL215" i="3"/>
  <c r="CF215" i="3" s="1"/>
  <c r="AK215" i="3"/>
  <c r="CE215" i="3" s="1"/>
  <c r="AJ215" i="3"/>
  <c r="CD215" i="3" s="1"/>
  <c r="AI215" i="3"/>
  <c r="AH215" i="3"/>
  <c r="AG215" i="3"/>
  <c r="CA215" i="3" s="1"/>
  <c r="AF215" i="3"/>
  <c r="AE215" i="3"/>
  <c r="AD215" i="3"/>
  <c r="AC215" i="3"/>
  <c r="AB215" i="3"/>
  <c r="AA215" i="3"/>
  <c r="N215" i="3"/>
  <c r="BO214" i="3"/>
  <c r="BN214" i="3"/>
  <c r="BM214" i="3"/>
  <c r="BL214" i="3"/>
  <c r="BK214" i="3"/>
  <c r="BJ214" i="3"/>
  <c r="BI214" i="3"/>
  <c r="BH214" i="3"/>
  <c r="AY214" i="3"/>
  <c r="AX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N214" i="3"/>
  <c r="BO213" i="3"/>
  <c r="BN213" i="3"/>
  <c r="BM213" i="3"/>
  <c r="BL213" i="3"/>
  <c r="BK213" i="3"/>
  <c r="BJ213" i="3"/>
  <c r="BI213" i="3"/>
  <c r="BH213" i="3"/>
  <c r="AY213" i="3"/>
  <c r="AX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N213" i="3"/>
  <c r="BO212" i="3"/>
  <c r="BN212" i="3"/>
  <c r="BM212" i="3"/>
  <c r="BL212" i="3"/>
  <c r="BK212" i="3"/>
  <c r="BJ212" i="3"/>
  <c r="BI212" i="3"/>
  <c r="BH212" i="3"/>
  <c r="AY212" i="3"/>
  <c r="AX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N212" i="3"/>
  <c r="BO211" i="3"/>
  <c r="BN211" i="3"/>
  <c r="BM211" i="3"/>
  <c r="BL211" i="3"/>
  <c r="BK211" i="3"/>
  <c r="BJ211" i="3"/>
  <c r="BI211" i="3"/>
  <c r="BH211" i="3"/>
  <c r="AY211" i="3"/>
  <c r="AX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N211" i="3"/>
  <c r="BO210" i="3"/>
  <c r="BN210" i="3"/>
  <c r="BM210" i="3"/>
  <c r="BL210" i="3"/>
  <c r="BK210" i="3"/>
  <c r="BJ210" i="3"/>
  <c r="BI210" i="3"/>
  <c r="BH210" i="3"/>
  <c r="AY210" i="3"/>
  <c r="AX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N210" i="3"/>
  <c r="BO209" i="3"/>
  <c r="BN209" i="3"/>
  <c r="BM209" i="3"/>
  <c r="BL209" i="3"/>
  <c r="BK209" i="3"/>
  <c r="BJ209" i="3"/>
  <c r="BI209" i="3"/>
  <c r="BH209" i="3"/>
  <c r="AY209" i="3"/>
  <c r="AX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N209" i="3"/>
  <c r="BO208" i="3"/>
  <c r="BN208" i="3"/>
  <c r="BM208" i="3"/>
  <c r="BL208" i="3"/>
  <c r="BK208" i="3"/>
  <c r="BJ208" i="3"/>
  <c r="BI208" i="3"/>
  <c r="BH208" i="3"/>
  <c r="AY208" i="3"/>
  <c r="AX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N208" i="3"/>
  <c r="BO207" i="3"/>
  <c r="BN207" i="3"/>
  <c r="BM207" i="3"/>
  <c r="BL207" i="3"/>
  <c r="BK207" i="3"/>
  <c r="BJ207" i="3"/>
  <c r="BI207" i="3"/>
  <c r="BH207" i="3"/>
  <c r="AY207" i="3"/>
  <c r="AX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N207" i="3"/>
  <c r="BO206" i="3"/>
  <c r="BN206" i="3"/>
  <c r="BM206" i="3"/>
  <c r="BL206" i="3"/>
  <c r="BK206" i="3"/>
  <c r="BJ206" i="3"/>
  <c r="BI206" i="3"/>
  <c r="BH206" i="3"/>
  <c r="AY206" i="3"/>
  <c r="AX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N206" i="3"/>
  <c r="AN206" i="3" s="1"/>
  <c r="BO205" i="3"/>
  <c r="BN205" i="3"/>
  <c r="BM205" i="3"/>
  <c r="BL205" i="3"/>
  <c r="BK205" i="3"/>
  <c r="BJ205" i="3"/>
  <c r="BI205" i="3"/>
  <c r="BH205" i="3"/>
  <c r="AY205" i="3"/>
  <c r="AX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N205" i="3"/>
  <c r="BO204" i="3"/>
  <c r="BN204" i="3"/>
  <c r="BM204" i="3"/>
  <c r="BL204" i="3"/>
  <c r="BK204" i="3"/>
  <c r="BJ204" i="3"/>
  <c r="BI204" i="3"/>
  <c r="BH204" i="3"/>
  <c r="AY204" i="3"/>
  <c r="AX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N204" i="3"/>
  <c r="BO203" i="3"/>
  <c r="BN203" i="3"/>
  <c r="BM203" i="3"/>
  <c r="BL203" i="3"/>
  <c r="BK203" i="3"/>
  <c r="BJ203" i="3"/>
  <c r="BI203" i="3"/>
  <c r="BH203" i="3"/>
  <c r="AY203" i="3"/>
  <c r="AX203" i="3"/>
  <c r="AM203" i="3"/>
  <c r="CG203" i="3" s="1"/>
  <c r="AL203" i="3"/>
  <c r="CF203" i="3" s="1"/>
  <c r="AK203" i="3"/>
  <c r="CE203" i="3" s="1"/>
  <c r="AJ203" i="3"/>
  <c r="CD203" i="3" s="1"/>
  <c r="AI203" i="3"/>
  <c r="AH203" i="3"/>
  <c r="AG203" i="3"/>
  <c r="AF203" i="3"/>
  <c r="AE203" i="3"/>
  <c r="AD203" i="3"/>
  <c r="AC203" i="3"/>
  <c r="AB203" i="3"/>
  <c r="AA203" i="3"/>
  <c r="N203" i="3"/>
  <c r="BO202" i="3"/>
  <c r="BN202" i="3"/>
  <c r="BM202" i="3"/>
  <c r="BL202" i="3"/>
  <c r="BK202" i="3"/>
  <c r="BJ202" i="3"/>
  <c r="BI202" i="3"/>
  <c r="BH202" i="3"/>
  <c r="AY202" i="3"/>
  <c r="AX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N202" i="3"/>
  <c r="BO201" i="3"/>
  <c r="BN201" i="3"/>
  <c r="BM201" i="3"/>
  <c r="BL201" i="3"/>
  <c r="BK201" i="3"/>
  <c r="BJ201" i="3"/>
  <c r="BI201" i="3"/>
  <c r="BH201" i="3"/>
  <c r="AY201" i="3"/>
  <c r="AX201" i="3"/>
  <c r="AM201" i="3"/>
  <c r="CG201" i="3" s="1"/>
  <c r="AL201" i="3"/>
  <c r="CF201" i="3" s="1"/>
  <c r="AK201" i="3"/>
  <c r="CE201" i="3" s="1"/>
  <c r="AJ201" i="3"/>
  <c r="CD201" i="3" s="1"/>
  <c r="AI201" i="3"/>
  <c r="AH201" i="3"/>
  <c r="AG201" i="3"/>
  <c r="AF201" i="3"/>
  <c r="AE201" i="3"/>
  <c r="AD201" i="3"/>
  <c r="AC201" i="3"/>
  <c r="AB201" i="3"/>
  <c r="AA201" i="3"/>
  <c r="N201" i="3"/>
  <c r="AN201" i="3" s="1"/>
  <c r="BO200" i="3"/>
  <c r="BN200" i="3"/>
  <c r="BM200" i="3"/>
  <c r="BL200" i="3"/>
  <c r="BK200" i="3"/>
  <c r="BJ200" i="3"/>
  <c r="BI200" i="3"/>
  <c r="BH200" i="3"/>
  <c r="AY200" i="3"/>
  <c r="AX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N200" i="3"/>
  <c r="AN200" i="3" s="1"/>
  <c r="BO199" i="3"/>
  <c r="BN199" i="3"/>
  <c r="BM199" i="3"/>
  <c r="BL199" i="3"/>
  <c r="BK199" i="3"/>
  <c r="BJ199" i="3"/>
  <c r="BI199" i="3"/>
  <c r="BH199" i="3"/>
  <c r="AY199" i="3"/>
  <c r="AX199" i="3"/>
  <c r="AM199" i="3"/>
  <c r="CG199" i="3" s="1"/>
  <c r="AL199" i="3"/>
  <c r="CF199" i="3" s="1"/>
  <c r="AK199" i="3"/>
  <c r="CE199" i="3" s="1"/>
  <c r="AJ199" i="3"/>
  <c r="CD199" i="3" s="1"/>
  <c r="AI199" i="3"/>
  <c r="AH199" i="3"/>
  <c r="AG199" i="3"/>
  <c r="AF199" i="3"/>
  <c r="AE199" i="3"/>
  <c r="AD199" i="3"/>
  <c r="AC199" i="3"/>
  <c r="AB199" i="3"/>
  <c r="AA199" i="3"/>
  <c r="N199" i="3"/>
  <c r="BO198" i="3"/>
  <c r="BN198" i="3"/>
  <c r="BM198" i="3"/>
  <c r="BL198" i="3"/>
  <c r="BK198" i="3"/>
  <c r="BJ198" i="3"/>
  <c r="BI198" i="3"/>
  <c r="BH198" i="3"/>
  <c r="AY198" i="3"/>
  <c r="AX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N198" i="3"/>
  <c r="BO197" i="3"/>
  <c r="BN197" i="3"/>
  <c r="BM197" i="3"/>
  <c r="BK197" i="3"/>
  <c r="BJ197" i="3"/>
  <c r="BI197" i="3"/>
  <c r="BH197" i="3"/>
  <c r="AY197" i="3"/>
  <c r="AX197" i="3"/>
  <c r="AM197" i="3"/>
  <c r="CG197" i="3" s="1"/>
  <c r="AL197" i="3"/>
  <c r="CF197" i="3" s="1"/>
  <c r="AK197" i="3"/>
  <c r="CE197" i="3" s="1"/>
  <c r="AJ197" i="3"/>
  <c r="CD197" i="3" s="1"/>
  <c r="AI197" i="3"/>
  <c r="AH197" i="3"/>
  <c r="AG197" i="3"/>
  <c r="AF197" i="3"/>
  <c r="BZ197" i="3" s="1"/>
  <c r="AE197" i="3"/>
  <c r="AD197" i="3"/>
  <c r="AC197" i="3"/>
  <c r="AB197" i="3"/>
  <c r="AA197" i="3"/>
  <c r="N197" i="3"/>
  <c r="BO196" i="3"/>
  <c r="BN196" i="3"/>
  <c r="BM196" i="3"/>
  <c r="BK196" i="3"/>
  <c r="BJ196" i="3"/>
  <c r="BI196" i="3"/>
  <c r="BH196" i="3"/>
  <c r="AY196" i="3"/>
  <c r="AX196" i="3"/>
  <c r="AM196" i="3"/>
  <c r="CG196" i="3" s="1"/>
  <c r="AL196" i="3"/>
  <c r="CF196" i="3" s="1"/>
  <c r="AK196" i="3"/>
  <c r="CE196" i="3" s="1"/>
  <c r="AJ196" i="3"/>
  <c r="CD196" i="3" s="1"/>
  <c r="AI196" i="3"/>
  <c r="AH196" i="3"/>
  <c r="AG196" i="3"/>
  <c r="AF196" i="3"/>
  <c r="BZ196" i="3" s="1"/>
  <c r="AE196" i="3"/>
  <c r="AD196" i="3"/>
  <c r="AC196" i="3"/>
  <c r="AB196" i="3"/>
  <c r="AA196" i="3"/>
  <c r="N196" i="3"/>
  <c r="BO195" i="3"/>
  <c r="BN195" i="3"/>
  <c r="BM195" i="3"/>
  <c r="BK195" i="3"/>
  <c r="BJ195" i="3"/>
  <c r="BI195" i="3"/>
  <c r="BH195" i="3"/>
  <c r="AY195" i="3"/>
  <c r="AX195" i="3"/>
  <c r="AM195" i="3"/>
  <c r="CG195" i="3" s="1"/>
  <c r="AL195" i="3"/>
  <c r="CF195" i="3" s="1"/>
  <c r="AK195" i="3"/>
  <c r="CE195" i="3" s="1"/>
  <c r="AJ195" i="3"/>
  <c r="CD195" i="3" s="1"/>
  <c r="AI195" i="3"/>
  <c r="AH195" i="3"/>
  <c r="AG195" i="3"/>
  <c r="AF195" i="3"/>
  <c r="BZ195" i="3" s="1"/>
  <c r="AE195" i="3"/>
  <c r="AD195" i="3"/>
  <c r="AC195" i="3"/>
  <c r="AB195" i="3"/>
  <c r="AA195" i="3"/>
  <c r="N195" i="3"/>
  <c r="BO194" i="3"/>
  <c r="BN194" i="3"/>
  <c r="BM194" i="3"/>
  <c r="BK194" i="3"/>
  <c r="BJ194" i="3"/>
  <c r="BI194" i="3"/>
  <c r="BH194" i="3"/>
  <c r="AY194" i="3"/>
  <c r="AX194" i="3"/>
  <c r="AM194" i="3"/>
  <c r="CG194" i="3" s="1"/>
  <c r="AL194" i="3"/>
  <c r="CF194" i="3" s="1"/>
  <c r="AK194" i="3"/>
  <c r="CE194" i="3" s="1"/>
  <c r="AJ194" i="3"/>
  <c r="CD194" i="3" s="1"/>
  <c r="AI194" i="3"/>
  <c r="AH194" i="3"/>
  <c r="AG194" i="3"/>
  <c r="AF194" i="3"/>
  <c r="BZ194" i="3" s="1"/>
  <c r="AE194" i="3"/>
  <c r="AD194" i="3"/>
  <c r="AC194" i="3"/>
  <c r="AB194" i="3"/>
  <c r="AA194" i="3"/>
  <c r="N194" i="3"/>
  <c r="BO193" i="3"/>
  <c r="BN193" i="3"/>
  <c r="BM193" i="3"/>
  <c r="BK193" i="3"/>
  <c r="BJ193" i="3"/>
  <c r="BI193" i="3"/>
  <c r="BH193" i="3"/>
  <c r="AY193" i="3"/>
  <c r="AX193" i="3"/>
  <c r="AM193" i="3"/>
  <c r="CG193" i="3" s="1"/>
  <c r="AL193" i="3"/>
  <c r="CF193" i="3" s="1"/>
  <c r="AK193" i="3"/>
  <c r="CE193" i="3" s="1"/>
  <c r="AJ193" i="3"/>
  <c r="CD193" i="3" s="1"/>
  <c r="AI193" i="3"/>
  <c r="AH193" i="3"/>
  <c r="AG193" i="3"/>
  <c r="AF193" i="3"/>
  <c r="BZ193" i="3" s="1"/>
  <c r="AE193" i="3"/>
  <c r="AD193" i="3"/>
  <c r="AC193" i="3"/>
  <c r="AB193" i="3"/>
  <c r="AA193" i="3"/>
  <c r="N193" i="3"/>
  <c r="BO192" i="3"/>
  <c r="BN192" i="3"/>
  <c r="BM192" i="3"/>
  <c r="BK192" i="3"/>
  <c r="BJ192" i="3"/>
  <c r="BI192" i="3"/>
  <c r="BH192" i="3"/>
  <c r="AY192" i="3"/>
  <c r="AX192" i="3"/>
  <c r="AM192" i="3"/>
  <c r="CG192" i="3" s="1"/>
  <c r="AL192" i="3"/>
  <c r="CF192" i="3" s="1"/>
  <c r="AK192" i="3"/>
  <c r="CE192" i="3" s="1"/>
  <c r="AJ192" i="3"/>
  <c r="CD192" i="3" s="1"/>
  <c r="AI192" i="3"/>
  <c r="AH192" i="3"/>
  <c r="AG192" i="3"/>
  <c r="AF192" i="3"/>
  <c r="BZ192" i="3" s="1"/>
  <c r="AE192" i="3"/>
  <c r="AD192" i="3"/>
  <c r="AC192" i="3"/>
  <c r="AB192" i="3"/>
  <c r="AA192" i="3"/>
  <c r="N192" i="3"/>
  <c r="BO191" i="3"/>
  <c r="BN191" i="3"/>
  <c r="BM191" i="3"/>
  <c r="BK191" i="3"/>
  <c r="BJ191" i="3"/>
  <c r="BI191" i="3"/>
  <c r="BH191" i="3"/>
  <c r="AY191" i="3"/>
  <c r="AX191" i="3"/>
  <c r="AM191" i="3"/>
  <c r="CG191" i="3" s="1"/>
  <c r="AL191" i="3"/>
  <c r="CF191" i="3" s="1"/>
  <c r="AK191" i="3"/>
  <c r="CE191" i="3" s="1"/>
  <c r="AJ191" i="3"/>
  <c r="CD191" i="3" s="1"/>
  <c r="AI191" i="3"/>
  <c r="AH191" i="3"/>
  <c r="AG191" i="3"/>
  <c r="AF191" i="3"/>
  <c r="BZ191" i="3" s="1"/>
  <c r="AE191" i="3"/>
  <c r="AD191" i="3"/>
  <c r="AC191" i="3"/>
  <c r="AB191" i="3"/>
  <c r="AA191" i="3"/>
  <c r="N191" i="3"/>
  <c r="AN191" i="3" s="1"/>
  <c r="BO190" i="3"/>
  <c r="BN190" i="3"/>
  <c r="BM190" i="3"/>
  <c r="BK190" i="3"/>
  <c r="BJ190" i="3"/>
  <c r="BI190" i="3"/>
  <c r="BH190" i="3"/>
  <c r="AY190" i="3"/>
  <c r="AX190" i="3"/>
  <c r="AM190" i="3"/>
  <c r="CG190" i="3" s="1"/>
  <c r="AL190" i="3"/>
  <c r="CF190" i="3" s="1"/>
  <c r="AK190" i="3"/>
  <c r="CE190" i="3" s="1"/>
  <c r="AJ190" i="3"/>
  <c r="CD190" i="3" s="1"/>
  <c r="AI190" i="3"/>
  <c r="AH190" i="3"/>
  <c r="AG190" i="3"/>
  <c r="AF190" i="3"/>
  <c r="BZ190" i="3" s="1"/>
  <c r="AE190" i="3"/>
  <c r="AD190" i="3"/>
  <c r="AC190" i="3"/>
  <c r="AB190" i="3"/>
  <c r="AA190" i="3"/>
  <c r="N190" i="3"/>
  <c r="BO189" i="3"/>
  <c r="BN189" i="3"/>
  <c r="BM189" i="3"/>
  <c r="BK189" i="3"/>
  <c r="BJ189" i="3"/>
  <c r="BI189" i="3"/>
  <c r="BH189" i="3"/>
  <c r="AY189" i="3"/>
  <c r="AX189" i="3"/>
  <c r="AM189" i="3"/>
  <c r="CG189" i="3" s="1"/>
  <c r="AL189" i="3"/>
  <c r="CF189" i="3" s="1"/>
  <c r="AK189" i="3"/>
  <c r="CE189" i="3" s="1"/>
  <c r="AJ189" i="3"/>
  <c r="CD189" i="3" s="1"/>
  <c r="AI189" i="3"/>
  <c r="AH189" i="3"/>
  <c r="AG189" i="3"/>
  <c r="AF189" i="3"/>
  <c r="BZ189" i="3" s="1"/>
  <c r="AE189" i="3"/>
  <c r="AD189" i="3"/>
  <c r="AC189" i="3"/>
  <c r="AB189" i="3"/>
  <c r="AA189" i="3"/>
  <c r="N189" i="3"/>
  <c r="BO188" i="3"/>
  <c r="BN188" i="3"/>
  <c r="BM188" i="3"/>
  <c r="BK188" i="3"/>
  <c r="BJ188" i="3"/>
  <c r="BI188" i="3"/>
  <c r="BH188" i="3"/>
  <c r="AY188" i="3"/>
  <c r="AX188" i="3"/>
  <c r="AM188" i="3"/>
  <c r="CG188" i="3" s="1"/>
  <c r="AL188" i="3"/>
  <c r="CF188" i="3" s="1"/>
  <c r="AK188" i="3"/>
  <c r="CE188" i="3" s="1"/>
  <c r="AJ188" i="3"/>
  <c r="CD188" i="3" s="1"/>
  <c r="AI188" i="3"/>
  <c r="AH188" i="3"/>
  <c r="AG188" i="3"/>
  <c r="AF188" i="3"/>
  <c r="BZ188" i="3" s="1"/>
  <c r="AE188" i="3"/>
  <c r="AD188" i="3"/>
  <c r="AC188" i="3"/>
  <c r="AB188" i="3"/>
  <c r="AA188" i="3"/>
  <c r="N188" i="3"/>
  <c r="BO187" i="3"/>
  <c r="BN187" i="3"/>
  <c r="BM187" i="3"/>
  <c r="BK187" i="3"/>
  <c r="BJ187" i="3"/>
  <c r="BI187" i="3"/>
  <c r="BH187" i="3"/>
  <c r="AY187" i="3"/>
  <c r="AX187" i="3"/>
  <c r="AM187" i="3"/>
  <c r="CG187" i="3" s="1"/>
  <c r="AL187" i="3"/>
  <c r="CF187" i="3" s="1"/>
  <c r="AK187" i="3"/>
  <c r="CE187" i="3" s="1"/>
  <c r="AJ187" i="3"/>
  <c r="CD187" i="3" s="1"/>
  <c r="AI187" i="3"/>
  <c r="AH187" i="3"/>
  <c r="AG187" i="3"/>
  <c r="AF187" i="3"/>
  <c r="BZ187" i="3" s="1"/>
  <c r="AE187" i="3"/>
  <c r="AD187" i="3"/>
  <c r="AC187" i="3"/>
  <c r="AB187" i="3"/>
  <c r="AA187" i="3"/>
  <c r="N187" i="3"/>
  <c r="BO186" i="3"/>
  <c r="BN186" i="3"/>
  <c r="BM186" i="3"/>
  <c r="BK186" i="3"/>
  <c r="BJ186" i="3"/>
  <c r="BI186" i="3"/>
  <c r="BH186" i="3"/>
  <c r="AY186" i="3"/>
  <c r="AX186" i="3"/>
  <c r="AM186" i="3"/>
  <c r="CG186" i="3" s="1"/>
  <c r="AL186" i="3"/>
  <c r="CF186" i="3" s="1"/>
  <c r="AK186" i="3"/>
  <c r="CE186" i="3" s="1"/>
  <c r="AJ186" i="3"/>
  <c r="CD186" i="3" s="1"/>
  <c r="AI186" i="3"/>
  <c r="AH186" i="3"/>
  <c r="AG186" i="3"/>
  <c r="AF186" i="3"/>
  <c r="BZ186" i="3" s="1"/>
  <c r="AE186" i="3"/>
  <c r="AD186" i="3"/>
  <c r="AC186" i="3"/>
  <c r="AB186" i="3"/>
  <c r="AA186" i="3"/>
  <c r="N186" i="3"/>
  <c r="BO185" i="3"/>
  <c r="BN185" i="3"/>
  <c r="BM185" i="3"/>
  <c r="BK185" i="3"/>
  <c r="BJ185" i="3"/>
  <c r="BI185" i="3"/>
  <c r="BH185" i="3"/>
  <c r="AY185" i="3"/>
  <c r="AX185" i="3"/>
  <c r="AM185" i="3"/>
  <c r="CG185" i="3" s="1"/>
  <c r="AL185" i="3"/>
  <c r="CF185" i="3" s="1"/>
  <c r="AK185" i="3"/>
  <c r="CE185" i="3" s="1"/>
  <c r="AJ185" i="3"/>
  <c r="CD185" i="3" s="1"/>
  <c r="AI185" i="3"/>
  <c r="AH185" i="3"/>
  <c r="AG185" i="3"/>
  <c r="AF185" i="3"/>
  <c r="BZ185" i="3" s="1"/>
  <c r="AE185" i="3"/>
  <c r="AD185" i="3"/>
  <c r="AC185" i="3"/>
  <c r="AB185" i="3"/>
  <c r="AA185" i="3"/>
  <c r="N185" i="3"/>
  <c r="BO184" i="3"/>
  <c r="BN184" i="3"/>
  <c r="BM184" i="3"/>
  <c r="BK184" i="3"/>
  <c r="BJ184" i="3"/>
  <c r="BI184" i="3"/>
  <c r="BH184" i="3"/>
  <c r="AY184" i="3"/>
  <c r="AX184" i="3"/>
  <c r="AM184" i="3"/>
  <c r="CG184" i="3" s="1"/>
  <c r="AL184" i="3"/>
  <c r="CF184" i="3" s="1"/>
  <c r="AK184" i="3"/>
  <c r="CE184" i="3" s="1"/>
  <c r="AJ184" i="3"/>
  <c r="CD184" i="3" s="1"/>
  <c r="AI184" i="3"/>
  <c r="AH184" i="3"/>
  <c r="AG184" i="3"/>
  <c r="AF184" i="3"/>
  <c r="BZ184" i="3" s="1"/>
  <c r="AE184" i="3"/>
  <c r="AD184" i="3"/>
  <c r="AC184" i="3"/>
  <c r="AB184" i="3"/>
  <c r="AA184" i="3"/>
  <c r="N184" i="3"/>
  <c r="BO183" i="3"/>
  <c r="BN183" i="3"/>
  <c r="BM183" i="3"/>
  <c r="BK183" i="3"/>
  <c r="BJ183" i="3"/>
  <c r="BI183" i="3"/>
  <c r="BH183" i="3"/>
  <c r="AY183" i="3"/>
  <c r="AX183" i="3"/>
  <c r="AM183" i="3"/>
  <c r="CG183" i="3" s="1"/>
  <c r="AL183" i="3"/>
  <c r="CF183" i="3" s="1"/>
  <c r="AK183" i="3"/>
  <c r="CE183" i="3" s="1"/>
  <c r="AJ183" i="3"/>
  <c r="CD183" i="3" s="1"/>
  <c r="AI183" i="3"/>
  <c r="AH183" i="3"/>
  <c r="AG183" i="3"/>
  <c r="AF183" i="3"/>
  <c r="BZ183" i="3" s="1"/>
  <c r="AE183" i="3"/>
  <c r="AD183" i="3"/>
  <c r="AC183" i="3"/>
  <c r="AB183" i="3"/>
  <c r="AA183" i="3"/>
  <c r="N183" i="3"/>
  <c r="BO182" i="3"/>
  <c r="BN182" i="3"/>
  <c r="BM182" i="3"/>
  <c r="BK182" i="3"/>
  <c r="BJ182" i="3"/>
  <c r="BI182" i="3"/>
  <c r="BH182" i="3"/>
  <c r="AY182" i="3"/>
  <c r="AX182" i="3"/>
  <c r="AM182" i="3"/>
  <c r="CG182" i="3" s="1"/>
  <c r="AL182" i="3"/>
  <c r="CF182" i="3" s="1"/>
  <c r="AK182" i="3"/>
  <c r="CE182" i="3" s="1"/>
  <c r="AJ182" i="3"/>
  <c r="CD182" i="3" s="1"/>
  <c r="AI182" i="3"/>
  <c r="AH182" i="3"/>
  <c r="AG182" i="3"/>
  <c r="AF182" i="3"/>
  <c r="BZ182" i="3" s="1"/>
  <c r="AE182" i="3"/>
  <c r="AD182" i="3"/>
  <c r="AC182" i="3"/>
  <c r="AB182" i="3"/>
  <c r="AA182" i="3"/>
  <c r="N182" i="3"/>
  <c r="BO181" i="3"/>
  <c r="BN181" i="3"/>
  <c r="BM181" i="3"/>
  <c r="BK181" i="3"/>
  <c r="BJ181" i="3"/>
  <c r="BI181" i="3"/>
  <c r="BH181" i="3"/>
  <c r="AY181" i="3"/>
  <c r="AX181" i="3"/>
  <c r="AM181" i="3"/>
  <c r="CG181" i="3" s="1"/>
  <c r="AL181" i="3"/>
  <c r="CF181" i="3" s="1"/>
  <c r="AK181" i="3"/>
  <c r="CE181" i="3" s="1"/>
  <c r="AJ181" i="3"/>
  <c r="CD181" i="3" s="1"/>
  <c r="AI181" i="3"/>
  <c r="AH181" i="3"/>
  <c r="AG181" i="3"/>
  <c r="AF181" i="3"/>
  <c r="BZ181" i="3" s="1"/>
  <c r="AE181" i="3"/>
  <c r="AD181" i="3"/>
  <c r="AC181" i="3"/>
  <c r="AB181" i="3"/>
  <c r="AA181" i="3"/>
  <c r="N181" i="3"/>
  <c r="BO180" i="3"/>
  <c r="BN180" i="3"/>
  <c r="BM180" i="3"/>
  <c r="BK180" i="3"/>
  <c r="BJ180" i="3"/>
  <c r="BI180" i="3"/>
  <c r="BH180" i="3"/>
  <c r="AY180" i="3"/>
  <c r="AX180" i="3"/>
  <c r="AM180" i="3"/>
  <c r="CG180" i="3" s="1"/>
  <c r="AL180" i="3"/>
  <c r="CF180" i="3" s="1"/>
  <c r="AK180" i="3"/>
  <c r="CE180" i="3" s="1"/>
  <c r="AJ180" i="3"/>
  <c r="CD180" i="3" s="1"/>
  <c r="AI180" i="3"/>
  <c r="AH180" i="3"/>
  <c r="AG180" i="3"/>
  <c r="AF180" i="3"/>
  <c r="BZ180" i="3" s="1"/>
  <c r="AE180" i="3"/>
  <c r="AD180" i="3"/>
  <c r="AC180" i="3"/>
  <c r="AB180" i="3"/>
  <c r="AA180" i="3"/>
  <c r="N180" i="3"/>
  <c r="BO179" i="3"/>
  <c r="BN179" i="3"/>
  <c r="BM179" i="3"/>
  <c r="BK179" i="3"/>
  <c r="BJ179" i="3"/>
  <c r="BI179" i="3"/>
  <c r="BH179" i="3"/>
  <c r="AY179" i="3"/>
  <c r="AX179" i="3"/>
  <c r="AM179" i="3"/>
  <c r="CG179" i="3" s="1"/>
  <c r="AL179" i="3"/>
  <c r="CF179" i="3" s="1"/>
  <c r="AK179" i="3"/>
  <c r="CE179" i="3" s="1"/>
  <c r="AJ179" i="3"/>
  <c r="CD179" i="3" s="1"/>
  <c r="AI179" i="3"/>
  <c r="AH179" i="3"/>
  <c r="AG179" i="3"/>
  <c r="AF179" i="3"/>
  <c r="BZ179" i="3" s="1"/>
  <c r="AE179" i="3"/>
  <c r="AD179" i="3"/>
  <c r="AC179" i="3"/>
  <c r="AB179" i="3"/>
  <c r="AA179" i="3"/>
  <c r="N179" i="3"/>
  <c r="BO178" i="3"/>
  <c r="BN178" i="3"/>
  <c r="BM178" i="3"/>
  <c r="BK178" i="3"/>
  <c r="BJ178" i="3"/>
  <c r="BI178" i="3"/>
  <c r="BH178" i="3"/>
  <c r="AY178" i="3"/>
  <c r="AX178" i="3"/>
  <c r="AM178" i="3"/>
  <c r="CG178" i="3" s="1"/>
  <c r="AL178" i="3"/>
  <c r="CF178" i="3" s="1"/>
  <c r="AK178" i="3"/>
  <c r="CE178" i="3" s="1"/>
  <c r="AJ178" i="3"/>
  <c r="CD178" i="3" s="1"/>
  <c r="AI178" i="3"/>
  <c r="AH178" i="3"/>
  <c r="AG178" i="3"/>
  <c r="AF178" i="3"/>
  <c r="BZ178" i="3" s="1"/>
  <c r="AE178" i="3"/>
  <c r="AD178" i="3"/>
  <c r="AC178" i="3"/>
  <c r="AB178" i="3"/>
  <c r="AA178" i="3"/>
  <c r="N178" i="3"/>
  <c r="BO177" i="3"/>
  <c r="BN177" i="3"/>
  <c r="BM177" i="3"/>
  <c r="BK177" i="3"/>
  <c r="BJ177" i="3"/>
  <c r="BI177" i="3"/>
  <c r="BH177" i="3"/>
  <c r="AY177" i="3"/>
  <c r="AX177" i="3"/>
  <c r="AM177" i="3"/>
  <c r="CG177" i="3" s="1"/>
  <c r="AL177" i="3"/>
  <c r="CF177" i="3" s="1"/>
  <c r="AK177" i="3"/>
  <c r="CE177" i="3" s="1"/>
  <c r="AJ177" i="3"/>
  <c r="CD177" i="3" s="1"/>
  <c r="AI177" i="3"/>
  <c r="AH177" i="3"/>
  <c r="AG177" i="3"/>
  <c r="AF177" i="3"/>
  <c r="BZ177" i="3" s="1"/>
  <c r="AE177" i="3"/>
  <c r="AD177" i="3"/>
  <c r="AC177" i="3"/>
  <c r="AB177" i="3"/>
  <c r="AA177" i="3"/>
  <c r="N177" i="3"/>
  <c r="BO176" i="3"/>
  <c r="BN176" i="3"/>
  <c r="BM176" i="3"/>
  <c r="BK176" i="3"/>
  <c r="BJ176" i="3"/>
  <c r="BI176" i="3"/>
  <c r="BH176" i="3"/>
  <c r="AY176" i="3"/>
  <c r="AX176" i="3"/>
  <c r="AM176" i="3"/>
  <c r="CG176" i="3" s="1"/>
  <c r="AL176" i="3"/>
  <c r="CF176" i="3" s="1"/>
  <c r="AK176" i="3"/>
  <c r="CE176" i="3" s="1"/>
  <c r="AJ176" i="3"/>
  <c r="CD176" i="3" s="1"/>
  <c r="AI176" i="3"/>
  <c r="AH176" i="3"/>
  <c r="AG176" i="3"/>
  <c r="AF176" i="3"/>
  <c r="BZ176" i="3" s="1"/>
  <c r="AE176" i="3"/>
  <c r="AD176" i="3"/>
  <c r="AC176" i="3"/>
  <c r="AB176" i="3"/>
  <c r="AA176" i="3"/>
  <c r="N176" i="3"/>
  <c r="BO175" i="3"/>
  <c r="BN175" i="3"/>
  <c r="BM175" i="3"/>
  <c r="BK175" i="3"/>
  <c r="BJ175" i="3"/>
  <c r="BI175" i="3"/>
  <c r="BH175" i="3"/>
  <c r="AY175" i="3"/>
  <c r="AX175" i="3"/>
  <c r="AM175" i="3"/>
  <c r="CG175" i="3" s="1"/>
  <c r="AL175" i="3"/>
  <c r="CF175" i="3" s="1"/>
  <c r="AK175" i="3"/>
  <c r="CE175" i="3" s="1"/>
  <c r="AJ175" i="3"/>
  <c r="CD175" i="3" s="1"/>
  <c r="AI175" i="3"/>
  <c r="AH175" i="3"/>
  <c r="AG175" i="3"/>
  <c r="AF175" i="3"/>
  <c r="BZ175" i="3" s="1"/>
  <c r="AE175" i="3"/>
  <c r="AD175" i="3"/>
  <c r="AC175" i="3"/>
  <c r="AB175" i="3"/>
  <c r="AA175" i="3"/>
  <c r="N175" i="3"/>
  <c r="BO174" i="3"/>
  <c r="BN174" i="3"/>
  <c r="BM174" i="3"/>
  <c r="BK174" i="3"/>
  <c r="BJ174" i="3"/>
  <c r="BI174" i="3"/>
  <c r="BH174" i="3"/>
  <c r="AY174" i="3"/>
  <c r="AX174" i="3"/>
  <c r="AM174" i="3"/>
  <c r="CG174" i="3" s="1"/>
  <c r="AL174" i="3"/>
  <c r="CF174" i="3" s="1"/>
  <c r="AK174" i="3"/>
  <c r="CE174" i="3" s="1"/>
  <c r="AJ174" i="3"/>
  <c r="CD174" i="3" s="1"/>
  <c r="AI174" i="3"/>
  <c r="AH174" i="3"/>
  <c r="AG174" i="3"/>
  <c r="AF174" i="3"/>
  <c r="BZ174" i="3" s="1"/>
  <c r="AE174" i="3"/>
  <c r="AD174" i="3"/>
  <c r="AC174" i="3"/>
  <c r="AB174" i="3"/>
  <c r="AA174" i="3"/>
  <c r="N174" i="3"/>
  <c r="BO173" i="3"/>
  <c r="BN173" i="3"/>
  <c r="BM173" i="3"/>
  <c r="BL173" i="3"/>
  <c r="BK173" i="3"/>
  <c r="BJ173" i="3"/>
  <c r="BI173" i="3"/>
  <c r="BH173" i="3"/>
  <c r="AY173" i="3"/>
  <c r="AX173" i="3"/>
  <c r="AM173" i="3"/>
  <c r="CG173" i="3" s="1"/>
  <c r="AL173" i="3"/>
  <c r="CF173" i="3" s="1"/>
  <c r="AK173" i="3"/>
  <c r="CE173" i="3" s="1"/>
  <c r="AJ173" i="3"/>
  <c r="CD173" i="3" s="1"/>
  <c r="AI173" i="3"/>
  <c r="AH173" i="3"/>
  <c r="AG173" i="3"/>
  <c r="AF173" i="3"/>
  <c r="AE173" i="3"/>
  <c r="AD173" i="3"/>
  <c r="AC173" i="3"/>
  <c r="AB173" i="3"/>
  <c r="AA173" i="3"/>
  <c r="N173" i="3"/>
  <c r="BO172" i="3"/>
  <c r="BN172" i="3"/>
  <c r="BM172" i="3"/>
  <c r="BK172" i="3"/>
  <c r="BJ172" i="3"/>
  <c r="BI172" i="3"/>
  <c r="BH172" i="3"/>
  <c r="AY172" i="3"/>
  <c r="AX172" i="3"/>
  <c r="AM172" i="3"/>
  <c r="CG172" i="3" s="1"/>
  <c r="AL172" i="3"/>
  <c r="CF172" i="3" s="1"/>
  <c r="AK172" i="3"/>
  <c r="CE172" i="3" s="1"/>
  <c r="AJ172" i="3"/>
  <c r="CD172" i="3" s="1"/>
  <c r="AI172" i="3"/>
  <c r="AH172" i="3"/>
  <c r="AG172" i="3"/>
  <c r="AF172" i="3"/>
  <c r="BZ172" i="3" s="1"/>
  <c r="AE172" i="3"/>
  <c r="AD172" i="3"/>
  <c r="AC172" i="3"/>
  <c r="AB172" i="3"/>
  <c r="AA172" i="3"/>
  <c r="N172" i="3"/>
  <c r="BO171" i="3"/>
  <c r="BN171" i="3"/>
  <c r="BM171" i="3"/>
  <c r="BK171" i="3"/>
  <c r="BJ171" i="3"/>
  <c r="BI171" i="3"/>
  <c r="BH171" i="3"/>
  <c r="AY171" i="3"/>
  <c r="AX171" i="3"/>
  <c r="AM171" i="3"/>
  <c r="CG171" i="3" s="1"/>
  <c r="AL171" i="3"/>
  <c r="CF171" i="3" s="1"/>
  <c r="AK171" i="3"/>
  <c r="CE171" i="3" s="1"/>
  <c r="AJ171" i="3"/>
  <c r="CD171" i="3" s="1"/>
  <c r="AI171" i="3"/>
  <c r="AH171" i="3"/>
  <c r="AG171" i="3"/>
  <c r="AF171" i="3"/>
  <c r="BZ171" i="3" s="1"/>
  <c r="AE171" i="3"/>
  <c r="AD171" i="3"/>
  <c r="AC171" i="3"/>
  <c r="AB171" i="3"/>
  <c r="AA171" i="3"/>
  <c r="N171" i="3"/>
  <c r="BO170" i="3"/>
  <c r="BN170" i="3"/>
  <c r="BM170" i="3"/>
  <c r="BK170" i="3"/>
  <c r="BJ170" i="3"/>
  <c r="BI170" i="3"/>
  <c r="BH170" i="3"/>
  <c r="AY170" i="3"/>
  <c r="AX170" i="3"/>
  <c r="AM170" i="3"/>
  <c r="CG170" i="3" s="1"/>
  <c r="AL170" i="3"/>
  <c r="CF170" i="3" s="1"/>
  <c r="AK170" i="3"/>
  <c r="CE170" i="3" s="1"/>
  <c r="AJ170" i="3"/>
  <c r="CD170" i="3" s="1"/>
  <c r="AI170" i="3"/>
  <c r="AH170" i="3"/>
  <c r="AG170" i="3"/>
  <c r="AF170" i="3"/>
  <c r="BZ170" i="3" s="1"/>
  <c r="AE170" i="3"/>
  <c r="AD170" i="3"/>
  <c r="AC170" i="3"/>
  <c r="AB170" i="3"/>
  <c r="AA170" i="3"/>
  <c r="N170" i="3"/>
  <c r="BO169" i="3"/>
  <c r="BN169" i="3"/>
  <c r="BM169" i="3"/>
  <c r="BK169" i="3"/>
  <c r="BJ169" i="3"/>
  <c r="BI169" i="3"/>
  <c r="BH169" i="3"/>
  <c r="AY169" i="3"/>
  <c r="AX169" i="3"/>
  <c r="AM169" i="3"/>
  <c r="CG169" i="3" s="1"/>
  <c r="AL169" i="3"/>
  <c r="CF169" i="3" s="1"/>
  <c r="AK169" i="3"/>
  <c r="CE169" i="3" s="1"/>
  <c r="AJ169" i="3"/>
  <c r="CD169" i="3" s="1"/>
  <c r="AI169" i="3"/>
  <c r="AH169" i="3"/>
  <c r="AG169" i="3"/>
  <c r="AF169" i="3"/>
  <c r="BZ169" i="3" s="1"/>
  <c r="AE169" i="3"/>
  <c r="AD169" i="3"/>
  <c r="AC169" i="3"/>
  <c r="AB169" i="3"/>
  <c r="AA169" i="3"/>
  <c r="N169" i="3"/>
  <c r="BO168" i="3"/>
  <c r="BN168" i="3"/>
  <c r="BM168" i="3"/>
  <c r="BK168" i="3"/>
  <c r="BJ168" i="3"/>
  <c r="BI168" i="3"/>
  <c r="BH168" i="3"/>
  <c r="AY168" i="3"/>
  <c r="AX168" i="3"/>
  <c r="AM168" i="3"/>
  <c r="CG168" i="3" s="1"/>
  <c r="AL168" i="3"/>
  <c r="CF168" i="3" s="1"/>
  <c r="AK168" i="3"/>
  <c r="CE168" i="3" s="1"/>
  <c r="AJ168" i="3"/>
  <c r="CD168" i="3" s="1"/>
  <c r="AI168" i="3"/>
  <c r="AH168" i="3"/>
  <c r="AG168" i="3"/>
  <c r="AF168" i="3"/>
  <c r="BZ168" i="3" s="1"/>
  <c r="AE168" i="3"/>
  <c r="AD168" i="3"/>
  <c r="AC168" i="3"/>
  <c r="AB168" i="3"/>
  <c r="AA168" i="3"/>
  <c r="N168" i="3"/>
  <c r="BO167" i="3"/>
  <c r="BN167" i="3"/>
  <c r="BM167" i="3"/>
  <c r="BK167" i="3"/>
  <c r="BJ167" i="3"/>
  <c r="BI167" i="3"/>
  <c r="BH167" i="3"/>
  <c r="AY167" i="3"/>
  <c r="AX167" i="3"/>
  <c r="AM167" i="3"/>
  <c r="CG167" i="3" s="1"/>
  <c r="AL167" i="3"/>
  <c r="CF167" i="3" s="1"/>
  <c r="AK167" i="3"/>
  <c r="CE167" i="3" s="1"/>
  <c r="AJ167" i="3"/>
  <c r="CD167" i="3" s="1"/>
  <c r="AI167" i="3"/>
  <c r="AH167" i="3"/>
  <c r="AG167" i="3"/>
  <c r="AF167" i="3"/>
  <c r="BZ167" i="3" s="1"/>
  <c r="AE167" i="3"/>
  <c r="AD167" i="3"/>
  <c r="AC167" i="3"/>
  <c r="AB167" i="3"/>
  <c r="AA167" i="3"/>
  <c r="N167" i="3"/>
  <c r="AN167" i="3" s="1"/>
  <c r="BO166" i="3"/>
  <c r="BN166" i="3"/>
  <c r="BM166" i="3"/>
  <c r="BK166" i="3"/>
  <c r="BJ166" i="3"/>
  <c r="BI166" i="3"/>
  <c r="BH166" i="3"/>
  <c r="AY166" i="3"/>
  <c r="AX166" i="3"/>
  <c r="AM166" i="3"/>
  <c r="CG166" i="3" s="1"/>
  <c r="AL166" i="3"/>
  <c r="CF166" i="3" s="1"/>
  <c r="AK166" i="3"/>
  <c r="CE166" i="3" s="1"/>
  <c r="AJ166" i="3"/>
  <c r="CD166" i="3" s="1"/>
  <c r="AI166" i="3"/>
  <c r="AH166" i="3"/>
  <c r="AG166" i="3"/>
  <c r="AF166" i="3"/>
  <c r="BZ166" i="3" s="1"/>
  <c r="AE166" i="3"/>
  <c r="AD166" i="3"/>
  <c r="AC166" i="3"/>
  <c r="AB166" i="3"/>
  <c r="AA166" i="3"/>
  <c r="N166" i="3"/>
  <c r="AN166" i="3" s="1"/>
  <c r="BO165" i="3"/>
  <c r="BN165" i="3"/>
  <c r="BM165" i="3"/>
  <c r="BK165" i="3"/>
  <c r="BJ165" i="3"/>
  <c r="BI165" i="3"/>
  <c r="BH165" i="3"/>
  <c r="AY165" i="3"/>
  <c r="AX165" i="3"/>
  <c r="AM165" i="3"/>
  <c r="CG165" i="3" s="1"/>
  <c r="AL165" i="3"/>
  <c r="CF165" i="3" s="1"/>
  <c r="AK165" i="3"/>
  <c r="CE165" i="3" s="1"/>
  <c r="AJ165" i="3"/>
  <c r="CD165" i="3" s="1"/>
  <c r="AI165" i="3"/>
  <c r="AH165" i="3"/>
  <c r="AG165" i="3"/>
  <c r="AF165" i="3"/>
  <c r="BZ165" i="3" s="1"/>
  <c r="AE165" i="3"/>
  <c r="AD165" i="3"/>
  <c r="AC165" i="3"/>
  <c r="AB165" i="3"/>
  <c r="AA165" i="3"/>
  <c r="N165" i="3"/>
  <c r="BO164" i="3"/>
  <c r="BN164" i="3"/>
  <c r="BM164" i="3"/>
  <c r="BK164" i="3"/>
  <c r="BJ164" i="3"/>
  <c r="BI164" i="3"/>
  <c r="BH164" i="3"/>
  <c r="AY164" i="3"/>
  <c r="AX164" i="3"/>
  <c r="AM164" i="3"/>
  <c r="CG164" i="3" s="1"/>
  <c r="AL164" i="3"/>
  <c r="CF164" i="3" s="1"/>
  <c r="AK164" i="3"/>
  <c r="CE164" i="3" s="1"/>
  <c r="AJ164" i="3"/>
  <c r="CD164" i="3" s="1"/>
  <c r="AI164" i="3"/>
  <c r="AH164" i="3"/>
  <c r="AG164" i="3"/>
  <c r="AF164" i="3"/>
  <c r="BZ164" i="3" s="1"/>
  <c r="AE164" i="3"/>
  <c r="AD164" i="3"/>
  <c r="AC164" i="3"/>
  <c r="AB164" i="3"/>
  <c r="AA164" i="3"/>
  <c r="N164" i="3"/>
  <c r="AN164" i="3" s="1"/>
  <c r="BO163" i="3"/>
  <c r="BN163" i="3"/>
  <c r="BM163" i="3"/>
  <c r="BK163" i="3"/>
  <c r="BJ163" i="3"/>
  <c r="BI163" i="3"/>
  <c r="BH163" i="3"/>
  <c r="AY163" i="3"/>
  <c r="AX163" i="3"/>
  <c r="AM163" i="3"/>
  <c r="CG163" i="3" s="1"/>
  <c r="AL163" i="3"/>
  <c r="CF163" i="3" s="1"/>
  <c r="AK163" i="3"/>
  <c r="CE163" i="3" s="1"/>
  <c r="AJ163" i="3"/>
  <c r="CD163" i="3" s="1"/>
  <c r="AI163" i="3"/>
  <c r="AH163" i="3"/>
  <c r="AG163" i="3"/>
  <c r="AF163" i="3"/>
  <c r="BZ163" i="3" s="1"/>
  <c r="AE163" i="3"/>
  <c r="AD163" i="3"/>
  <c r="AC163" i="3"/>
  <c r="AB163" i="3"/>
  <c r="AA163" i="3"/>
  <c r="N163" i="3"/>
  <c r="AN163" i="3" s="1"/>
  <c r="BO162" i="3"/>
  <c r="BN162" i="3"/>
  <c r="BM162" i="3"/>
  <c r="BK162" i="3"/>
  <c r="BJ162" i="3"/>
  <c r="BI162" i="3"/>
  <c r="BH162" i="3"/>
  <c r="AY162" i="3"/>
  <c r="AX162" i="3"/>
  <c r="AM162" i="3"/>
  <c r="CG162" i="3" s="1"/>
  <c r="AL162" i="3"/>
  <c r="CF162" i="3" s="1"/>
  <c r="AK162" i="3"/>
  <c r="CE162" i="3" s="1"/>
  <c r="AJ162" i="3"/>
  <c r="CD162" i="3" s="1"/>
  <c r="AI162" i="3"/>
  <c r="AH162" i="3"/>
  <c r="AG162" i="3"/>
  <c r="AF162" i="3"/>
  <c r="BZ162" i="3" s="1"/>
  <c r="AE162" i="3"/>
  <c r="AD162" i="3"/>
  <c r="AC162" i="3"/>
  <c r="AB162" i="3"/>
  <c r="AA162" i="3"/>
  <c r="N162" i="3"/>
  <c r="AN162" i="3" s="1"/>
  <c r="BO161" i="3"/>
  <c r="BN161" i="3"/>
  <c r="BM161" i="3"/>
  <c r="BK161" i="3"/>
  <c r="BJ161" i="3"/>
  <c r="BI161" i="3"/>
  <c r="BH161" i="3"/>
  <c r="AY161" i="3"/>
  <c r="AX161" i="3"/>
  <c r="AM161" i="3"/>
  <c r="CG161" i="3" s="1"/>
  <c r="AL161" i="3"/>
  <c r="CF161" i="3" s="1"/>
  <c r="AK161" i="3"/>
  <c r="CE161" i="3" s="1"/>
  <c r="AJ161" i="3"/>
  <c r="CD161" i="3" s="1"/>
  <c r="AI161" i="3"/>
  <c r="AH161" i="3"/>
  <c r="AG161" i="3"/>
  <c r="AF161" i="3"/>
  <c r="BZ161" i="3" s="1"/>
  <c r="AE161" i="3"/>
  <c r="AD161" i="3"/>
  <c r="AC161" i="3"/>
  <c r="AB161" i="3"/>
  <c r="AA161" i="3"/>
  <c r="N161" i="3"/>
  <c r="AN161" i="3" s="1"/>
  <c r="BO160" i="3"/>
  <c r="BN160" i="3"/>
  <c r="BM160" i="3"/>
  <c r="BK160" i="3"/>
  <c r="BJ160" i="3"/>
  <c r="BI160" i="3"/>
  <c r="BH160" i="3"/>
  <c r="AY160" i="3"/>
  <c r="AX160" i="3"/>
  <c r="AM160" i="3"/>
  <c r="CG160" i="3" s="1"/>
  <c r="AL160" i="3"/>
  <c r="CF160" i="3" s="1"/>
  <c r="AK160" i="3"/>
  <c r="CE160" i="3" s="1"/>
  <c r="AJ160" i="3"/>
  <c r="CD160" i="3" s="1"/>
  <c r="AI160" i="3"/>
  <c r="AH160" i="3"/>
  <c r="AG160" i="3"/>
  <c r="AF160" i="3"/>
  <c r="BZ160" i="3" s="1"/>
  <c r="AE160" i="3"/>
  <c r="AD160" i="3"/>
  <c r="AC160" i="3"/>
  <c r="AB160" i="3"/>
  <c r="AA160" i="3"/>
  <c r="N160" i="3"/>
  <c r="AN160" i="3" s="1"/>
  <c r="BO159" i="3"/>
  <c r="BN159" i="3"/>
  <c r="BM159" i="3"/>
  <c r="BK159" i="3"/>
  <c r="BJ159" i="3"/>
  <c r="BI159" i="3"/>
  <c r="BH159" i="3"/>
  <c r="AY159" i="3"/>
  <c r="AX159" i="3"/>
  <c r="AM159" i="3"/>
  <c r="CG159" i="3" s="1"/>
  <c r="AL159" i="3"/>
  <c r="CF159" i="3" s="1"/>
  <c r="AK159" i="3"/>
  <c r="CE159" i="3" s="1"/>
  <c r="AJ159" i="3"/>
  <c r="CD159" i="3" s="1"/>
  <c r="AI159" i="3"/>
  <c r="AH159" i="3"/>
  <c r="AG159" i="3"/>
  <c r="AF159" i="3"/>
  <c r="BZ159" i="3" s="1"/>
  <c r="AE159" i="3"/>
  <c r="AD159" i="3"/>
  <c r="AC159" i="3"/>
  <c r="AB159" i="3"/>
  <c r="AA159" i="3"/>
  <c r="N159" i="3"/>
  <c r="AN159" i="3" s="1"/>
  <c r="BO158" i="3"/>
  <c r="BN158" i="3"/>
  <c r="BM158" i="3"/>
  <c r="BK158" i="3"/>
  <c r="BJ158" i="3"/>
  <c r="BI158" i="3"/>
  <c r="BH158" i="3"/>
  <c r="AY158" i="3"/>
  <c r="AX158" i="3"/>
  <c r="AM158" i="3"/>
  <c r="CG158" i="3" s="1"/>
  <c r="AL158" i="3"/>
  <c r="CF158" i="3" s="1"/>
  <c r="AK158" i="3"/>
  <c r="CE158" i="3" s="1"/>
  <c r="AJ158" i="3"/>
  <c r="CD158" i="3" s="1"/>
  <c r="AI158" i="3"/>
  <c r="AH158" i="3"/>
  <c r="AG158" i="3"/>
  <c r="AF158" i="3"/>
  <c r="BZ158" i="3" s="1"/>
  <c r="AE158" i="3"/>
  <c r="AD158" i="3"/>
  <c r="AC158" i="3"/>
  <c r="AB158" i="3"/>
  <c r="AA158" i="3"/>
  <c r="N158" i="3"/>
  <c r="BO157" i="3"/>
  <c r="BN157" i="3"/>
  <c r="BM157" i="3"/>
  <c r="BK157" i="3"/>
  <c r="BJ157" i="3"/>
  <c r="BI157" i="3"/>
  <c r="BH157" i="3"/>
  <c r="AY157" i="3"/>
  <c r="AX157" i="3"/>
  <c r="AM157" i="3"/>
  <c r="CG157" i="3" s="1"/>
  <c r="AL157" i="3"/>
  <c r="CF157" i="3" s="1"/>
  <c r="AK157" i="3"/>
  <c r="CE157" i="3" s="1"/>
  <c r="AJ157" i="3"/>
  <c r="CD157" i="3" s="1"/>
  <c r="AI157" i="3"/>
  <c r="AH157" i="3"/>
  <c r="AG157" i="3"/>
  <c r="AF157" i="3"/>
  <c r="BZ157" i="3" s="1"/>
  <c r="AE157" i="3"/>
  <c r="AD157" i="3"/>
  <c r="AC157" i="3"/>
  <c r="AB157" i="3"/>
  <c r="AA157" i="3"/>
  <c r="N157" i="3"/>
  <c r="BO156" i="3"/>
  <c r="BN156" i="3"/>
  <c r="BM156" i="3"/>
  <c r="BK156" i="3"/>
  <c r="BJ156" i="3"/>
  <c r="BI156" i="3"/>
  <c r="BH156" i="3"/>
  <c r="AY156" i="3"/>
  <c r="AX156" i="3"/>
  <c r="AM156" i="3"/>
  <c r="CG156" i="3" s="1"/>
  <c r="AL156" i="3"/>
  <c r="CF156" i="3" s="1"/>
  <c r="AK156" i="3"/>
  <c r="CE156" i="3" s="1"/>
  <c r="AJ156" i="3"/>
  <c r="CD156" i="3" s="1"/>
  <c r="AI156" i="3"/>
  <c r="AH156" i="3"/>
  <c r="AG156" i="3"/>
  <c r="AF156" i="3"/>
  <c r="BZ156" i="3" s="1"/>
  <c r="AE156" i="3"/>
  <c r="AD156" i="3"/>
  <c r="AC156" i="3"/>
  <c r="AB156" i="3"/>
  <c r="AA156" i="3"/>
  <c r="N156" i="3"/>
  <c r="AN156" i="3" s="1"/>
  <c r="BO155" i="3"/>
  <c r="BN155" i="3"/>
  <c r="BM155" i="3"/>
  <c r="BK155" i="3"/>
  <c r="BJ155" i="3"/>
  <c r="BI155" i="3"/>
  <c r="BH155" i="3"/>
  <c r="AY155" i="3"/>
  <c r="AX155" i="3"/>
  <c r="AM155" i="3"/>
  <c r="CG155" i="3" s="1"/>
  <c r="AL155" i="3"/>
  <c r="CF155" i="3" s="1"/>
  <c r="AK155" i="3"/>
  <c r="CE155" i="3" s="1"/>
  <c r="AJ155" i="3"/>
  <c r="CD155" i="3" s="1"/>
  <c r="AI155" i="3"/>
  <c r="AH155" i="3"/>
  <c r="AG155" i="3"/>
  <c r="AF155" i="3"/>
  <c r="BZ155" i="3" s="1"/>
  <c r="AE155" i="3"/>
  <c r="AD155" i="3"/>
  <c r="AC155" i="3"/>
  <c r="AB155" i="3"/>
  <c r="AA155" i="3"/>
  <c r="N155" i="3"/>
  <c r="BO154" i="3"/>
  <c r="BN154" i="3"/>
  <c r="BM154" i="3"/>
  <c r="BK154" i="3"/>
  <c r="BJ154" i="3"/>
  <c r="BI154" i="3"/>
  <c r="BH154" i="3"/>
  <c r="AY154" i="3"/>
  <c r="AX154" i="3"/>
  <c r="AM154" i="3"/>
  <c r="CG154" i="3" s="1"/>
  <c r="AL154" i="3"/>
  <c r="CF154" i="3" s="1"/>
  <c r="AK154" i="3"/>
  <c r="CE154" i="3" s="1"/>
  <c r="AJ154" i="3"/>
  <c r="CD154" i="3" s="1"/>
  <c r="AI154" i="3"/>
  <c r="AH154" i="3"/>
  <c r="AG154" i="3"/>
  <c r="AF154" i="3"/>
  <c r="BZ154" i="3" s="1"/>
  <c r="AE154" i="3"/>
  <c r="AD154" i="3"/>
  <c r="AC154" i="3"/>
  <c r="AB154" i="3"/>
  <c r="AA154" i="3"/>
  <c r="N154" i="3"/>
  <c r="AN154" i="3" s="1"/>
  <c r="BO153" i="3"/>
  <c r="BN153" i="3"/>
  <c r="BM153" i="3"/>
  <c r="BK153" i="3"/>
  <c r="BJ153" i="3"/>
  <c r="BI153" i="3"/>
  <c r="BH153" i="3"/>
  <c r="AY153" i="3"/>
  <c r="AX153" i="3"/>
  <c r="AM153" i="3"/>
  <c r="CG153" i="3" s="1"/>
  <c r="AL153" i="3"/>
  <c r="CF153" i="3" s="1"/>
  <c r="AK153" i="3"/>
  <c r="CE153" i="3" s="1"/>
  <c r="AJ153" i="3"/>
  <c r="CD153" i="3" s="1"/>
  <c r="AI153" i="3"/>
  <c r="AH153" i="3"/>
  <c r="AG153" i="3"/>
  <c r="AF153" i="3"/>
  <c r="BZ153" i="3" s="1"/>
  <c r="AE153" i="3"/>
  <c r="AD153" i="3"/>
  <c r="AC153" i="3"/>
  <c r="AB153" i="3"/>
  <c r="AA153" i="3"/>
  <c r="N153" i="3"/>
  <c r="BO152" i="3"/>
  <c r="BN152" i="3"/>
  <c r="BM152" i="3"/>
  <c r="BK152" i="3"/>
  <c r="BJ152" i="3"/>
  <c r="BI152" i="3"/>
  <c r="BH152" i="3"/>
  <c r="AY152" i="3"/>
  <c r="AX152" i="3"/>
  <c r="AM152" i="3"/>
  <c r="CG152" i="3" s="1"/>
  <c r="AL152" i="3"/>
  <c r="CF152" i="3" s="1"/>
  <c r="AK152" i="3"/>
  <c r="CE152" i="3" s="1"/>
  <c r="AJ152" i="3"/>
  <c r="CD152" i="3" s="1"/>
  <c r="AI152" i="3"/>
  <c r="AH152" i="3"/>
  <c r="AG152" i="3"/>
  <c r="AF152" i="3"/>
  <c r="BZ152" i="3" s="1"/>
  <c r="AE152" i="3"/>
  <c r="AD152" i="3"/>
  <c r="AC152" i="3"/>
  <c r="AB152" i="3"/>
  <c r="AA152" i="3"/>
  <c r="N152" i="3"/>
  <c r="BO151" i="3"/>
  <c r="BN151" i="3"/>
  <c r="BM151" i="3"/>
  <c r="BK151" i="3"/>
  <c r="BJ151" i="3"/>
  <c r="BI151" i="3"/>
  <c r="BH151" i="3"/>
  <c r="AY151" i="3"/>
  <c r="AX151" i="3"/>
  <c r="AM151" i="3"/>
  <c r="CG151" i="3" s="1"/>
  <c r="AL151" i="3"/>
  <c r="CF151" i="3" s="1"/>
  <c r="AK151" i="3"/>
  <c r="CE151" i="3" s="1"/>
  <c r="AJ151" i="3"/>
  <c r="CD151" i="3" s="1"/>
  <c r="AI151" i="3"/>
  <c r="AH151" i="3"/>
  <c r="AG151" i="3"/>
  <c r="AF151" i="3"/>
  <c r="BZ151" i="3" s="1"/>
  <c r="AE151" i="3"/>
  <c r="AD151" i="3"/>
  <c r="AC151" i="3"/>
  <c r="AB151" i="3"/>
  <c r="AA151" i="3"/>
  <c r="N151" i="3"/>
  <c r="BO150" i="3"/>
  <c r="BN150" i="3"/>
  <c r="BM150" i="3"/>
  <c r="BK150" i="3"/>
  <c r="BJ150" i="3"/>
  <c r="BI150" i="3"/>
  <c r="BH150" i="3"/>
  <c r="AY150" i="3"/>
  <c r="AX150" i="3"/>
  <c r="AM150" i="3"/>
  <c r="CG150" i="3" s="1"/>
  <c r="AL150" i="3"/>
  <c r="CF150" i="3" s="1"/>
  <c r="AK150" i="3"/>
  <c r="CE150" i="3" s="1"/>
  <c r="AJ150" i="3"/>
  <c r="CD150" i="3" s="1"/>
  <c r="AI150" i="3"/>
  <c r="AH150" i="3"/>
  <c r="AG150" i="3"/>
  <c r="AF150" i="3"/>
  <c r="BZ150" i="3" s="1"/>
  <c r="AE150" i="3"/>
  <c r="AD150" i="3"/>
  <c r="AC150" i="3"/>
  <c r="AB150" i="3"/>
  <c r="AA150" i="3"/>
  <c r="N150" i="3"/>
  <c r="AN150" i="3" s="1"/>
  <c r="BO149" i="3"/>
  <c r="BN149" i="3"/>
  <c r="BM149" i="3"/>
  <c r="BK149" i="3"/>
  <c r="BJ149" i="3"/>
  <c r="BI149" i="3"/>
  <c r="BH149" i="3"/>
  <c r="AY149" i="3"/>
  <c r="AX149" i="3"/>
  <c r="AM149" i="3"/>
  <c r="CG149" i="3" s="1"/>
  <c r="AL149" i="3"/>
  <c r="CF149" i="3" s="1"/>
  <c r="AK149" i="3"/>
  <c r="CE149" i="3" s="1"/>
  <c r="AJ149" i="3"/>
  <c r="CD149" i="3" s="1"/>
  <c r="AI149" i="3"/>
  <c r="AH149" i="3"/>
  <c r="AG149" i="3"/>
  <c r="AF149" i="3"/>
  <c r="BZ149" i="3" s="1"/>
  <c r="AE149" i="3"/>
  <c r="AD149" i="3"/>
  <c r="AC149" i="3"/>
  <c r="AB149" i="3"/>
  <c r="AA149" i="3"/>
  <c r="N149" i="3"/>
  <c r="AN149" i="3" s="1"/>
  <c r="BO148" i="3"/>
  <c r="BN148" i="3"/>
  <c r="BM148" i="3"/>
  <c r="BK148" i="3"/>
  <c r="BJ148" i="3"/>
  <c r="BI148" i="3"/>
  <c r="BH148" i="3"/>
  <c r="AY148" i="3"/>
  <c r="AX148" i="3"/>
  <c r="AM148" i="3"/>
  <c r="CG148" i="3" s="1"/>
  <c r="AL148" i="3"/>
  <c r="CF148" i="3" s="1"/>
  <c r="AK148" i="3"/>
  <c r="CE148" i="3" s="1"/>
  <c r="AJ148" i="3"/>
  <c r="CD148" i="3" s="1"/>
  <c r="AI148" i="3"/>
  <c r="AH148" i="3"/>
  <c r="AG148" i="3"/>
  <c r="AF148" i="3"/>
  <c r="BZ148" i="3" s="1"/>
  <c r="AE148" i="3"/>
  <c r="AD148" i="3"/>
  <c r="AC148" i="3"/>
  <c r="AB148" i="3"/>
  <c r="AA148" i="3"/>
  <c r="N148" i="3"/>
  <c r="BO147" i="3"/>
  <c r="BN147" i="3"/>
  <c r="BM147" i="3"/>
  <c r="BK147" i="3"/>
  <c r="BJ147" i="3"/>
  <c r="BI147" i="3"/>
  <c r="BH147" i="3"/>
  <c r="AY147" i="3"/>
  <c r="AX147" i="3"/>
  <c r="AM147" i="3"/>
  <c r="CG147" i="3" s="1"/>
  <c r="AL147" i="3"/>
  <c r="CF147" i="3" s="1"/>
  <c r="AK147" i="3"/>
  <c r="CE147" i="3" s="1"/>
  <c r="AJ147" i="3"/>
  <c r="CD147" i="3" s="1"/>
  <c r="AI147" i="3"/>
  <c r="AH147" i="3"/>
  <c r="AG147" i="3"/>
  <c r="AF147" i="3"/>
  <c r="BZ147" i="3" s="1"/>
  <c r="AE147" i="3"/>
  <c r="AD147" i="3"/>
  <c r="AC147" i="3"/>
  <c r="AB147" i="3"/>
  <c r="AA147" i="3"/>
  <c r="N147" i="3"/>
  <c r="BO146" i="3"/>
  <c r="BN146" i="3"/>
  <c r="BM146" i="3"/>
  <c r="BK146" i="3"/>
  <c r="BJ146" i="3"/>
  <c r="BI146" i="3"/>
  <c r="BH146" i="3"/>
  <c r="AY146" i="3"/>
  <c r="AX146" i="3"/>
  <c r="AM146" i="3"/>
  <c r="CG146" i="3" s="1"/>
  <c r="AL146" i="3"/>
  <c r="CF146" i="3" s="1"/>
  <c r="AK146" i="3"/>
  <c r="CE146" i="3" s="1"/>
  <c r="AJ146" i="3"/>
  <c r="CD146" i="3" s="1"/>
  <c r="AI146" i="3"/>
  <c r="AH146" i="3"/>
  <c r="AG146" i="3"/>
  <c r="AF146" i="3"/>
  <c r="BZ146" i="3" s="1"/>
  <c r="AE146" i="3"/>
  <c r="AD146" i="3"/>
  <c r="AC146" i="3"/>
  <c r="AB146" i="3"/>
  <c r="AA146" i="3"/>
  <c r="N146" i="3"/>
  <c r="BO145" i="3"/>
  <c r="BN145" i="3"/>
  <c r="BM145" i="3"/>
  <c r="BK145" i="3"/>
  <c r="BJ145" i="3"/>
  <c r="BI145" i="3"/>
  <c r="BH145" i="3"/>
  <c r="AY145" i="3"/>
  <c r="AX145" i="3"/>
  <c r="AM145" i="3"/>
  <c r="CG145" i="3" s="1"/>
  <c r="AL145" i="3"/>
  <c r="CF145" i="3" s="1"/>
  <c r="AK145" i="3"/>
  <c r="CE145" i="3" s="1"/>
  <c r="AJ145" i="3"/>
  <c r="CD145" i="3" s="1"/>
  <c r="AI145" i="3"/>
  <c r="AH145" i="3"/>
  <c r="AG145" i="3"/>
  <c r="AF145" i="3"/>
  <c r="BZ145" i="3" s="1"/>
  <c r="AE145" i="3"/>
  <c r="AD145" i="3"/>
  <c r="AC145" i="3"/>
  <c r="AB145" i="3"/>
  <c r="AA145" i="3"/>
  <c r="N145" i="3"/>
  <c r="BO144" i="3"/>
  <c r="BN144" i="3"/>
  <c r="BM144" i="3"/>
  <c r="BK144" i="3"/>
  <c r="BJ144" i="3"/>
  <c r="BI144" i="3"/>
  <c r="BH144" i="3"/>
  <c r="AY144" i="3"/>
  <c r="AX144" i="3"/>
  <c r="AM144" i="3"/>
  <c r="CG144" i="3" s="1"/>
  <c r="AL144" i="3"/>
  <c r="CF144" i="3" s="1"/>
  <c r="AK144" i="3"/>
  <c r="CE144" i="3" s="1"/>
  <c r="AJ144" i="3"/>
  <c r="CD144" i="3" s="1"/>
  <c r="AI144" i="3"/>
  <c r="AH144" i="3"/>
  <c r="AG144" i="3"/>
  <c r="AF144" i="3"/>
  <c r="BZ144" i="3" s="1"/>
  <c r="AE144" i="3"/>
  <c r="AD144" i="3"/>
  <c r="AC144" i="3"/>
  <c r="AB144" i="3"/>
  <c r="AA144" i="3"/>
  <c r="N144" i="3"/>
  <c r="BO143" i="3"/>
  <c r="BN143" i="3"/>
  <c r="BM143" i="3"/>
  <c r="BK143" i="3"/>
  <c r="BJ143" i="3"/>
  <c r="BI143" i="3"/>
  <c r="BH143" i="3"/>
  <c r="AY143" i="3"/>
  <c r="AX143" i="3"/>
  <c r="AM143" i="3"/>
  <c r="CG143" i="3" s="1"/>
  <c r="AL143" i="3"/>
  <c r="CF143" i="3" s="1"/>
  <c r="AK143" i="3"/>
  <c r="CE143" i="3" s="1"/>
  <c r="AJ143" i="3"/>
  <c r="CD143" i="3" s="1"/>
  <c r="AI143" i="3"/>
  <c r="AH143" i="3"/>
  <c r="AG143" i="3"/>
  <c r="AF143" i="3"/>
  <c r="BZ143" i="3" s="1"/>
  <c r="AE143" i="3"/>
  <c r="AD143" i="3"/>
  <c r="AC143" i="3"/>
  <c r="AB143" i="3"/>
  <c r="AA143" i="3"/>
  <c r="N143" i="3"/>
  <c r="AN143" i="3" s="1"/>
  <c r="BO142" i="3"/>
  <c r="BN142" i="3"/>
  <c r="BM142" i="3"/>
  <c r="BK142" i="3"/>
  <c r="BJ142" i="3"/>
  <c r="BI142" i="3"/>
  <c r="BH142" i="3"/>
  <c r="AY142" i="3"/>
  <c r="AX142" i="3"/>
  <c r="AM142" i="3"/>
  <c r="CG142" i="3" s="1"/>
  <c r="AL142" i="3"/>
  <c r="CF142" i="3" s="1"/>
  <c r="AK142" i="3"/>
  <c r="CE142" i="3" s="1"/>
  <c r="AJ142" i="3"/>
  <c r="CD142" i="3" s="1"/>
  <c r="AI142" i="3"/>
  <c r="AH142" i="3"/>
  <c r="AG142" i="3"/>
  <c r="AF142" i="3"/>
  <c r="BZ142" i="3" s="1"/>
  <c r="AE142" i="3"/>
  <c r="AD142" i="3"/>
  <c r="AC142" i="3"/>
  <c r="AB142" i="3"/>
  <c r="AA142" i="3"/>
  <c r="N142" i="3"/>
  <c r="BO141" i="3"/>
  <c r="BN141" i="3"/>
  <c r="BM141" i="3"/>
  <c r="BK141" i="3"/>
  <c r="BJ141" i="3"/>
  <c r="BI141" i="3"/>
  <c r="BH141" i="3"/>
  <c r="AY141" i="3"/>
  <c r="AX141" i="3"/>
  <c r="AM141" i="3"/>
  <c r="CG141" i="3" s="1"/>
  <c r="AL141" i="3"/>
  <c r="CF141" i="3" s="1"/>
  <c r="AK141" i="3"/>
  <c r="CE141" i="3" s="1"/>
  <c r="AJ141" i="3"/>
  <c r="CD141" i="3" s="1"/>
  <c r="AI141" i="3"/>
  <c r="AH141" i="3"/>
  <c r="AG141" i="3"/>
  <c r="AF141" i="3"/>
  <c r="BZ141" i="3" s="1"/>
  <c r="AE141" i="3"/>
  <c r="AD141" i="3"/>
  <c r="AC141" i="3"/>
  <c r="AB141" i="3"/>
  <c r="AA141" i="3"/>
  <c r="N141" i="3"/>
  <c r="BO140" i="3"/>
  <c r="BN140" i="3"/>
  <c r="BM140" i="3"/>
  <c r="BK140" i="3"/>
  <c r="BJ140" i="3"/>
  <c r="BI140" i="3"/>
  <c r="BH140" i="3"/>
  <c r="AY140" i="3"/>
  <c r="AX140" i="3"/>
  <c r="AM140" i="3"/>
  <c r="CG140" i="3" s="1"/>
  <c r="AL140" i="3"/>
  <c r="CF140" i="3" s="1"/>
  <c r="AK140" i="3"/>
  <c r="CE140" i="3" s="1"/>
  <c r="AJ140" i="3"/>
  <c r="CD140" i="3" s="1"/>
  <c r="AI140" i="3"/>
  <c r="AH140" i="3"/>
  <c r="AG140" i="3"/>
  <c r="AF140" i="3"/>
  <c r="BZ140" i="3" s="1"/>
  <c r="AE140" i="3"/>
  <c r="AD140" i="3"/>
  <c r="AC140" i="3"/>
  <c r="AB140" i="3"/>
  <c r="AA140" i="3"/>
  <c r="N140" i="3"/>
  <c r="BO139" i="3"/>
  <c r="BN139" i="3"/>
  <c r="BM139" i="3"/>
  <c r="BK139" i="3"/>
  <c r="BJ139" i="3"/>
  <c r="BI139" i="3"/>
  <c r="BH139" i="3"/>
  <c r="AY139" i="3"/>
  <c r="AX139" i="3"/>
  <c r="AM139" i="3"/>
  <c r="CG139" i="3" s="1"/>
  <c r="AL139" i="3"/>
  <c r="CF139" i="3" s="1"/>
  <c r="AK139" i="3"/>
  <c r="CE139" i="3" s="1"/>
  <c r="AJ139" i="3"/>
  <c r="CD139" i="3" s="1"/>
  <c r="AI139" i="3"/>
  <c r="AH139" i="3"/>
  <c r="AG139" i="3"/>
  <c r="AF139" i="3"/>
  <c r="BZ139" i="3" s="1"/>
  <c r="AE139" i="3"/>
  <c r="AD139" i="3"/>
  <c r="AC139" i="3"/>
  <c r="AB139" i="3"/>
  <c r="AA139" i="3"/>
  <c r="N139" i="3"/>
  <c r="AN139" i="3" s="1"/>
  <c r="BO138" i="3"/>
  <c r="BN138" i="3"/>
  <c r="BM138" i="3"/>
  <c r="BK138" i="3"/>
  <c r="BJ138" i="3"/>
  <c r="BI138" i="3"/>
  <c r="BH138" i="3"/>
  <c r="AY138" i="3"/>
  <c r="AX138" i="3"/>
  <c r="AM138" i="3"/>
  <c r="CG138" i="3" s="1"/>
  <c r="AL138" i="3"/>
  <c r="CF138" i="3" s="1"/>
  <c r="AK138" i="3"/>
  <c r="CE138" i="3" s="1"/>
  <c r="AJ138" i="3"/>
  <c r="CD138" i="3" s="1"/>
  <c r="AI138" i="3"/>
  <c r="AH138" i="3"/>
  <c r="AG138" i="3"/>
  <c r="AF138" i="3"/>
  <c r="BZ138" i="3" s="1"/>
  <c r="AE138" i="3"/>
  <c r="AD138" i="3"/>
  <c r="AC138" i="3"/>
  <c r="AB138" i="3"/>
  <c r="AA138" i="3"/>
  <c r="N138" i="3"/>
  <c r="BO137" i="3"/>
  <c r="BN137" i="3"/>
  <c r="BM137" i="3"/>
  <c r="BK137" i="3"/>
  <c r="BJ137" i="3"/>
  <c r="BI137" i="3"/>
  <c r="BH137" i="3"/>
  <c r="AY137" i="3"/>
  <c r="AX137" i="3"/>
  <c r="AM137" i="3"/>
  <c r="CG137" i="3" s="1"/>
  <c r="AL137" i="3"/>
  <c r="CF137" i="3" s="1"/>
  <c r="AK137" i="3"/>
  <c r="CE137" i="3" s="1"/>
  <c r="AJ137" i="3"/>
  <c r="CD137" i="3" s="1"/>
  <c r="AI137" i="3"/>
  <c r="AH137" i="3"/>
  <c r="AG137" i="3"/>
  <c r="AF137" i="3"/>
  <c r="BZ137" i="3" s="1"/>
  <c r="AE137" i="3"/>
  <c r="AD137" i="3"/>
  <c r="AC137" i="3"/>
  <c r="AB137" i="3"/>
  <c r="AA137" i="3"/>
  <c r="N137" i="3"/>
  <c r="AN137" i="3" s="1"/>
  <c r="BO136" i="3"/>
  <c r="BN136" i="3"/>
  <c r="BM136" i="3"/>
  <c r="BK136" i="3"/>
  <c r="BJ136" i="3"/>
  <c r="BI136" i="3"/>
  <c r="BH136" i="3"/>
  <c r="AY136" i="3"/>
  <c r="AX136" i="3"/>
  <c r="AM136" i="3"/>
  <c r="CG136" i="3" s="1"/>
  <c r="AL136" i="3"/>
  <c r="CF136" i="3" s="1"/>
  <c r="AK136" i="3"/>
  <c r="CE136" i="3" s="1"/>
  <c r="AJ136" i="3"/>
  <c r="CD136" i="3" s="1"/>
  <c r="AI136" i="3"/>
  <c r="AH136" i="3"/>
  <c r="AG136" i="3"/>
  <c r="AF136" i="3"/>
  <c r="BZ136" i="3" s="1"/>
  <c r="AE136" i="3"/>
  <c r="AD136" i="3"/>
  <c r="AC136" i="3"/>
  <c r="AB136" i="3"/>
  <c r="AA136" i="3"/>
  <c r="N136" i="3"/>
  <c r="BO135" i="3"/>
  <c r="BN135" i="3"/>
  <c r="BM135" i="3"/>
  <c r="BK135" i="3"/>
  <c r="BJ135" i="3"/>
  <c r="BI135" i="3"/>
  <c r="BH135" i="3"/>
  <c r="AY135" i="3"/>
  <c r="AX135" i="3"/>
  <c r="AM135" i="3"/>
  <c r="CG135" i="3" s="1"/>
  <c r="AL135" i="3"/>
  <c r="CF135" i="3" s="1"/>
  <c r="AK135" i="3"/>
  <c r="CE135" i="3" s="1"/>
  <c r="AJ135" i="3"/>
  <c r="CD135" i="3" s="1"/>
  <c r="AI135" i="3"/>
  <c r="AH135" i="3"/>
  <c r="AG135" i="3"/>
  <c r="AF135" i="3"/>
  <c r="BZ135" i="3" s="1"/>
  <c r="AE135" i="3"/>
  <c r="AD135" i="3"/>
  <c r="AC135" i="3"/>
  <c r="AB135" i="3"/>
  <c r="AA135" i="3"/>
  <c r="N135" i="3"/>
  <c r="BO134" i="3"/>
  <c r="BN134" i="3"/>
  <c r="BM134" i="3"/>
  <c r="BK134" i="3"/>
  <c r="BJ134" i="3"/>
  <c r="BI134" i="3"/>
  <c r="BH134" i="3"/>
  <c r="AY134" i="3"/>
  <c r="AX134" i="3"/>
  <c r="AM134" i="3"/>
  <c r="CG134" i="3" s="1"/>
  <c r="AL134" i="3"/>
  <c r="CF134" i="3" s="1"/>
  <c r="AK134" i="3"/>
  <c r="CE134" i="3" s="1"/>
  <c r="AJ134" i="3"/>
  <c r="CD134" i="3" s="1"/>
  <c r="AI134" i="3"/>
  <c r="AH134" i="3"/>
  <c r="AG134" i="3"/>
  <c r="AF134" i="3"/>
  <c r="BZ134" i="3" s="1"/>
  <c r="AE134" i="3"/>
  <c r="AD134" i="3"/>
  <c r="AC134" i="3"/>
  <c r="AB134" i="3"/>
  <c r="AA134" i="3"/>
  <c r="N134" i="3"/>
  <c r="AN134" i="3" s="1"/>
  <c r="BO133" i="3"/>
  <c r="BN133" i="3"/>
  <c r="BM133" i="3"/>
  <c r="BK133" i="3"/>
  <c r="BJ133" i="3"/>
  <c r="BI133" i="3"/>
  <c r="BH133" i="3"/>
  <c r="AY133" i="3"/>
  <c r="AX133" i="3"/>
  <c r="AM133" i="3"/>
  <c r="CG133" i="3" s="1"/>
  <c r="AL133" i="3"/>
  <c r="CF133" i="3" s="1"/>
  <c r="AK133" i="3"/>
  <c r="CE133" i="3" s="1"/>
  <c r="AJ133" i="3"/>
  <c r="CD133" i="3" s="1"/>
  <c r="AI133" i="3"/>
  <c r="AH133" i="3"/>
  <c r="AG133" i="3"/>
  <c r="AF133" i="3"/>
  <c r="BZ133" i="3" s="1"/>
  <c r="AE133" i="3"/>
  <c r="AD133" i="3"/>
  <c r="AC133" i="3"/>
  <c r="AB133" i="3"/>
  <c r="AA133" i="3"/>
  <c r="N133" i="3"/>
  <c r="BO132" i="3"/>
  <c r="BN132" i="3"/>
  <c r="BM132" i="3"/>
  <c r="BK132" i="3"/>
  <c r="BJ132" i="3"/>
  <c r="BI132" i="3"/>
  <c r="BH132" i="3"/>
  <c r="AY132" i="3"/>
  <c r="AX132" i="3"/>
  <c r="AM132" i="3"/>
  <c r="CG132" i="3" s="1"/>
  <c r="AL132" i="3"/>
  <c r="CF132" i="3" s="1"/>
  <c r="AK132" i="3"/>
  <c r="CE132" i="3" s="1"/>
  <c r="AJ132" i="3"/>
  <c r="CD132" i="3" s="1"/>
  <c r="AI132" i="3"/>
  <c r="AH132" i="3"/>
  <c r="AG132" i="3"/>
  <c r="AF132" i="3"/>
  <c r="BZ132" i="3" s="1"/>
  <c r="AE132" i="3"/>
  <c r="AD132" i="3"/>
  <c r="AC132" i="3"/>
  <c r="AB132" i="3"/>
  <c r="AA132" i="3"/>
  <c r="N132" i="3"/>
  <c r="BO131" i="3"/>
  <c r="BN131" i="3"/>
  <c r="BM131" i="3"/>
  <c r="BK131" i="3"/>
  <c r="BJ131" i="3"/>
  <c r="BI131" i="3"/>
  <c r="BH131" i="3"/>
  <c r="AY131" i="3"/>
  <c r="AX131" i="3"/>
  <c r="AM131" i="3"/>
  <c r="CG131" i="3" s="1"/>
  <c r="AL131" i="3"/>
  <c r="CF131" i="3" s="1"/>
  <c r="AK131" i="3"/>
  <c r="CE131" i="3" s="1"/>
  <c r="AJ131" i="3"/>
  <c r="CD131" i="3" s="1"/>
  <c r="AI131" i="3"/>
  <c r="AH131" i="3"/>
  <c r="AG131" i="3"/>
  <c r="AF131" i="3"/>
  <c r="BZ131" i="3" s="1"/>
  <c r="AE131" i="3"/>
  <c r="AD131" i="3"/>
  <c r="AC131" i="3"/>
  <c r="AB131" i="3"/>
  <c r="AA131" i="3"/>
  <c r="N131" i="3"/>
  <c r="BO130" i="3"/>
  <c r="BN130" i="3"/>
  <c r="BM130" i="3"/>
  <c r="BK130" i="3"/>
  <c r="BJ130" i="3"/>
  <c r="BI130" i="3"/>
  <c r="BH130" i="3"/>
  <c r="AY130" i="3"/>
  <c r="AX130" i="3"/>
  <c r="AM130" i="3"/>
  <c r="CG130" i="3" s="1"/>
  <c r="AL130" i="3"/>
  <c r="CF130" i="3" s="1"/>
  <c r="AK130" i="3"/>
  <c r="CE130" i="3" s="1"/>
  <c r="AJ130" i="3"/>
  <c r="CD130" i="3" s="1"/>
  <c r="AI130" i="3"/>
  <c r="AH130" i="3"/>
  <c r="AG130" i="3"/>
  <c r="AF130" i="3"/>
  <c r="BZ130" i="3" s="1"/>
  <c r="AE130" i="3"/>
  <c r="AD130" i="3"/>
  <c r="AC130" i="3"/>
  <c r="AB130" i="3"/>
  <c r="AA130" i="3"/>
  <c r="N130" i="3"/>
  <c r="AN130" i="3" s="1"/>
  <c r="BO129" i="3"/>
  <c r="BN129" i="3"/>
  <c r="BM129" i="3"/>
  <c r="BK129" i="3"/>
  <c r="BJ129" i="3"/>
  <c r="BI129" i="3"/>
  <c r="BH129" i="3"/>
  <c r="AY129" i="3"/>
  <c r="AX129" i="3"/>
  <c r="AM129" i="3"/>
  <c r="CG129" i="3" s="1"/>
  <c r="AL129" i="3"/>
  <c r="CF129" i="3" s="1"/>
  <c r="AK129" i="3"/>
  <c r="CE129" i="3" s="1"/>
  <c r="AJ129" i="3"/>
  <c r="CD129" i="3" s="1"/>
  <c r="AI129" i="3"/>
  <c r="AH129" i="3"/>
  <c r="AG129" i="3"/>
  <c r="AF129" i="3"/>
  <c r="BZ129" i="3" s="1"/>
  <c r="AE129" i="3"/>
  <c r="AD129" i="3"/>
  <c r="AC129" i="3"/>
  <c r="AB129" i="3"/>
  <c r="AA129" i="3"/>
  <c r="N129" i="3"/>
  <c r="BO128" i="3"/>
  <c r="BN128" i="3"/>
  <c r="BM128" i="3"/>
  <c r="BK128" i="3"/>
  <c r="BJ128" i="3"/>
  <c r="BI128" i="3"/>
  <c r="BH128" i="3"/>
  <c r="AY128" i="3"/>
  <c r="AX128" i="3"/>
  <c r="AM128" i="3"/>
  <c r="CG128" i="3" s="1"/>
  <c r="AL128" i="3"/>
  <c r="CF128" i="3" s="1"/>
  <c r="AK128" i="3"/>
  <c r="CE128" i="3" s="1"/>
  <c r="AJ128" i="3"/>
  <c r="CD128" i="3" s="1"/>
  <c r="AI128" i="3"/>
  <c r="AH128" i="3"/>
  <c r="AG128" i="3"/>
  <c r="AF128" i="3"/>
  <c r="BZ128" i="3" s="1"/>
  <c r="AE128" i="3"/>
  <c r="AD128" i="3"/>
  <c r="AC128" i="3"/>
  <c r="AB128" i="3"/>
  <c r="AA128" i="3"/>
  <c r="N128" i="3"/>
  <c r="BO127" i="3"/>
  <c r="BN127" i="3"/>
  <c r="BM127" i="3"/>
  <c r="BK127" i="3"/>
  <c r="BJ127" i="3"/>
  <c r="BI127" i="3"/>
  <c r="BH127" i="3"/>
  <c r="AY127" i="3"/>
  <c r="AX127" i="3"/>
  <c r="AM127" i="3"/>
  <c r="CG127" i="3" s="1"/>
  <c r="AL127" i="3"/>
  <c r="CF127" i="3" s="1"/>
  <c r="AK127" i="3"/>
  <c r="CE127" i="3" s="1"/>
  <c r="AJ127" i="3"/>
  <c r="CD127" i="3" s="1"/>
  <c r="AI127" i="3"/>
  <c r="AH127" i="3"/>
  <c r="AG127" i="3"/>
  <c r="AF127" i="3"/>
  <c r="BZ127" i="3" s="1"/>
  <c r="AE127" i="3"/>
  <c r="AD127" i="3"/>
  <c r="AC127" i="3"/>
  <c r="AB127" i="3"/>
  <c r="AA127" i="3"/>
  <c r="N127" i="3"/>
  <c r="BO126" i="3"/>
  <c r="BN126" i="3"/>
  <c r="BM126" i="3"/>
  <c r="BK126" i="3"/>
  <c r="BJ126" i="3"/>
  <c r="BI126" i="3"/>
  <c r="BH126" i="3"/>
  <c r="AY126" i="3"/>
  <c r="AX126" i="3"/>
  <c r="AM126" i="3"/>
  <c r="CG126" i="3" s="1"/>
  <c r="AL126" i="3"/>
  <c r="CF126" i="3" s="1"/>
  <c r="AK126" i="3"/>
  <c r="CE126" i="3" s="1"/>
  <c r="AJ126" i="3"/>
  <c r="CD126" i="3" s="1"/>
  <c r="AI126" i="3"/>
  <c r="AH126" i="3"/>
  <c r="AG126" i="3"/>
  <c r="AF126" i="3"/>
  <c r="BZ126" i="3" s="1"/>
  <c r="AE126" i="3"/>
  <c r="AD126" i="3"/>
  <c r="AC126" i="3"/>
  <c r="AB126" i="3"/>
  <c r="AA126" i="3"/>
  <c r="N126" i="3"/>
  <c r="BO125" i="3"/>
  <c r="BN125" i="3"/>
  <c r="BM125" i="3"/>
  <c r="BK125" i="3"/>
  <c r="BJ125" i="3"/>
  <c r="BI125" i="3"/>
  <c r="BH125" i="3"/>
  <c r="AY125" i="3"/>
  <c r="AX125" i="3"/>
  <c r="AM125" i="3"/>
  <c r="CG125" i="3" s="1"/>
  <c r="AL125" i="3"/>
  <c r="CF125" i="3" s="1"/>
  <c r="AK125" i="3"/>
  <c r="CE125" i="3" s="1"/>
  <c r="AJ125" i="3"/>
  <c r="CD125" i="3" s="1"/>
  <c r="AI125" i="3"/>
  <c r="AH125" i="3"/>
  <c r="AG125" i="3"/>
  <c r="AF125" i="3"/>
  <c r="BZ125" i="3" s="1"/>
  <c r="AE125" i="3"/>
  <c r="AD125" i="3"/>
  <c r="AC125" i="3"/>
  <c r="AB125" i="3"/>
  <c r="AA125" i="3"/>
  <c r="N125" i="3"/>
  <c r="BO124" i="3"/>
  <c r="BN124" i="3"/>
  <c r="BM124" i="3"/>
  <c r="BK124" i="3"/>
  <c r="BJ124" i="3"/>
  <c r="BI124" i="3"/>
  <c r="BH124" i="3"/>
  <c r="AY124" i="3"/>
  <c r="AX124" i="3"/>
  <c r="AM124" i="3"/>
  <c r="CG124" i="3" s="1"/>
  <c r="AL124" i="3"/>
  <c r="CF124" i="3" s="1"/>
  <c r="AK124" i="3"/>
  <c r="CE124" i="3" s="1"/>
  <c r="AJ124" i="3"/>
  <c r="CD124" i="3" s="1"/>
  <c r="AI124" i="3"/>
  <c r="AH124" i="3"/>
  <c r="AG124" i="3"/>
  <c r="AF124" i="3"/>
  <c r="BZ124" i="3" s="1"/>
  <c r="AE124" i="3"/>
  <c r="AD124" i="3"/>
  <c r="AC124" i="3"/>
  <c r="AB124" i="3"/>
  <c r="AA124" i="3"/>
  <c r="N124" i="3"/>
  <c r="BO123" i="3"/>
  <c r="BN123" i="3"/>
  <c r="BM123" i="3"/>
  <c r="BK123" i="3"/>
  <c r="BJ123" i="3"/>
  <c r="BI123" i="3"/>
  <c r="BH123" i="3"/>
  <c r="AY123" i="3"/>
  <c r="AX123" i="3"/>
  <c r="AM123" i="3"/>
  <c r="CG123" i="3" s="1"/>
  <c r="AL123" i="3"/>
  <c r="CF123" i="3" s="1"/>
  <c r="AK123" i="3"/>
  <c r="CE123" i="3" s="1"/>
  <c r="AJ123" i="3"/>
  <c r="CD123" i="3" s="1"/>
  <c r="AI123" i="3"/>
  <c r="AH123" i="3"/>
  <c r="AG123" i="3"/>
  <c r="AF123" i="3"/>
  <c r="BZ123" i="3" s="1"/>
  <c r="AE123" i="3"/>
  <c r="AD123" i="3"/>
  <c r="AC123" i="3"/>
  <c r="AB123" i="3"/>
  <c r="AA123" i="3"/>
  <c r="N123" i="3"/>
  <c r="BO122" i="3"/>
  <c r="BN122" i="3"/>
  <c r="BM122" i="3"/>
  <c r="BK122" i="3"/>
  <c r="BJ122" i="3"/>
  <c r="BI122" i="3"/>
  <c r="BH122" i="3"/>
  <c r="AY122" i="3"/>
  <c r="AX122" i="3"/>
  <c r="AM122" i="3"/>
  <c r="CG122" i="3" s="1"/>
  <c r="AL122" i="3"/>
  <c r="CF122" i="3" s="1"/>
  <c r="AK122" i="3"/>
  <c r="CE122" i="3" s="1"/>
  <c r="AJ122" i="3"/>
  <c r="CD122" i="3" s="1"/>
  <c r="AI122" i="3"/>
  <c r="AH122" i="3"/>
  <c r="AG122" i="3"/>
  <c r="AF122" i="3"/>
  <c r="BZ122" i="3" s="1"/>
  <c r="AE122" i="3"/>
  <c r="AD122" i="3"/>
  <c r="AC122" i="3"/>
  <c r="AB122" i="3"/>
  <c r="AA122" i="3"/>
  <c r="N122" i="3"/>
  <c r="BO121" i="3"/>
  <c r="BN121" i="3"/>
  <c r="BM121" i="3"/>
  <c r="BK121" i="3"/>
  <c r="BJ121" i="3"/>
  <c r="BI121" i="3"/>
  <c r="BH121" i="3"/>
  <c r="AY121" i="3"/>
  <c r="AX121" i="3"/>
  <c r="AM121" i="3"/>
  <c r="CG121" i="3" s="1"/>
  <c r="AL121" i="3"/>
  <c r="CF121" i="3" s="1"/>
  <c r="AK121" i="3"/>
  <c r="CE121" i="3" s="1"/>
  <c r="AJ121" i="3"/>
  <c r="CD121" i="3" s="1"/>
  <c r="AI121" i="3"/>
  <c r="AH121" i="3"/>
  <c r="AG121" i="3"/>
  <c r="AF121" i="3"/>
  <c r="BZ121" i="3" s="1"/>
  <c r="AE121" i="3"/>
  <c r="AD121" i="3"/>
  <c r="AC121" i="3"/>
  <c r="AB121" i="3"/>
  <c r="AA121" i="3"/>
  <c r="N121" i="3"/>
  <c r="BO120" i="3"/>
  <c r="BN120" i="3"/>
  <c r="BM120" i="3"/>
  <c r="BK120" i="3"/>
  <c r="BJ120" i="3"/>
  <c r="BI120" i="3"/>
  <c r="BH120" i="3"/>
  <c r="AY120" i="3"/>
  <c r="AX120" i="3"/>
  <c r="AM120" i="3"/>
  <c r="CG120" i="3" s="1"/>
  <c r="AL120" i="3"/>
  <c r="CF120" i="3" s="1"/>
  <c r="AK120" i="3"/>
  <c r="CE120" i="3" s="1"/>
  <c r="AJ120" i="3"/>
  <c r="CD120" i="3" s="1"/>
  <c r="AI120" i="3"/>
  <c r="AH120" i="3"/>
  <c r="AG120" i="3"/>
  <c r="AF120" i="3"/>
  <c r="BZ120" i="3" s="1"/>
  <c r="AE120" i="3"/>
  <c r="AD120" i="3"/>
  <c r="AC120" i="3"/>
  <c r="AB120" i="3"/>
  <c r="AA120" i="3"/>
  <c r="N120" i="3"/>
  <c r="BO119" i="3"/>
  <c r="BN119" i="3"/>
  <c r="BM119" i="3"/>
  <c r="BK119" i="3"/>
  <c r="BJ119" i="3"/>
  <c r="BI119" i="3"/>
  <c r="BH119" i="3"/>
  <c r="AY119" i="3"/>
  <c r="AX119" i="3"/>
  <c r="AM119" i="3"/>
  <c r="CG119" i="3" s="1"/>
  <c r="AL119" i="3"/>
  <c r="CF119" i="3" s="1"/>
  <c r="AK119" i="3"/>
  <c r="CE119" i="3" s="1"/>
  <c r="AJ119" i="3"/>
  <c r="CD119" i="3" s="1"/>
  <c r="AI119" i="3"/>
  <c r="AH119" i="3"/>
  <c r="AG119" i="3"/>
  <c r="AF119" i="3"/>
  <c r="BZ119" i="3" s="1"/>
  <c r="AE119" i="3"/>
  <c r="AD119" i="3"/>
  <c r="AC119" i="3"/>
  <c r="AB119" i="3"/>
  <c r="AA119" i="3"/>
  <c r="N119" i="3"/>
  <c r="BO118" i="3"/>
  <c r="BN118" i="3"/>
  <c r="BM118" i="3"/>
  <c r="BK118" i="3"/>
  <c r="BJ118" i="3"/>
  <c r="BI118" i="3"/>
  <c r="BH118" i="3"/>
  <c r="AY118" i="3"/>
  <c r="AX118" i="3"/>
  <c r="AM118" i="3"/>
  <c r="CG118" i="3" s="1"/>
  <c r="AL118" i="3"/>
  <c r="CF118" i="3" s="1"/>
  <c r="AK118" i="3"/>
  <c r="CE118" i="3" s="1"/>
  <c r="AJ118" i="3"/>
  <c r="CD118" i="3" s="1"/>
  <c r="AI118" i="3"/>
  <c r="AH118" i="3"/>
  <c r="AG118" i="3"/>
  <c r="AF118" i="3"/>
  <c r="BZ118" i="3" s="1"/>
  <c r="AE118" i="3"/>
  <c r="AD118" i="3"/>
  <c r="AC118" i="3"/>
  <c r="AB118" i="3"/>
  <c r="AA118" i="3"/>
  <c r="N118" i="3"/>
  <c r="BO117" i="3"/>
  <c r="BN117" i="3"/>
  <c r="BM117" i="3"/>
  <c r="BK117" i="3"/>
  <c r="BJ117" i="3"/>
  <c r="BI117" i="3"/>
  <c r="BH117" i="3"/>
  <c r="AY117" i="3"/>
  <c r="AX117" i="3"/>
  <c r="AM117" i="3"/>
  <c r="CG117" i="3" s="1"/>
  <c r="AL117" i="3"/>
  <c r="CF117" i="3" s="1"/>
  <c r="AK117" i="3"/>
  <c r="CE117" i="3" s="1"/>
  <c r="AJ117" i="3"/>
  <c r="CD117" i="3" s="1"/>
  <c r="AI117" i="3"/>
  <c r="AH117" i="3"/>
  <c r="AG117" i="3"/>
  <c r="AF117" i="3"/>
  <c r="BZ117" i="3" s="1"/>
  <c r="AE117" i="3"/>
  <c r="AD117" i="3"/>
  <c r="AC117" i="3"/>
  <c r="AB117" i="3"/>
  <c r="AA117" i="3"/>
  <c r="N117" i="3"/>
  <c r="BO116" i="3"/>
  <c r="BN116" i="3"/>
  <c r="BM116" i="3"/>
  <c r="BK116" i="3"/>
  <c r="BJ116" i="3"/>
  <c r="BI116" i="3"/>
  <c r="BH116" i="3"/>
  <c r="AY116" i="3"/>
  <c r="AX116" i="3"/>
  <c r="AM116" i="3"/>
  <c r="CG116" i="3" s="1"/>
  <c r="AL116" i="3"/>
  <c r="CF116" i="3" s="1"/>
  <c r="AK116" i="3"/>
  <c r="CE116" i="3" s="1"/>
  <c r="AJ116" i="3"/>
  <c r="CD116" i="3" s="1"/>
  <c r="AI116" i="3"/>
  <c r="AH116" i="3"/>
  <c r="AG116" i="3"/>
  <c r="AF116" i="3"/>
  <c r="BZ116" i="3" s="1"/>
  <c r="AE116" i="3"/>
  <c r="AD116" i="3"/>
  <c r="AC116" i="3"/>
  <c r="AB116" i="3"/>
  <c r="AA116" i="3"/>
  <c r="N116" i="3"/>
  <c r="BO115" i="3"/>
  <c r="BN115" i="3"/>
  <c r="BM115" i="3"/>
  <c r="BL115" i="3"/>
  <c r="BK115" i="3"/>
  <c r="BJ115" i="3"/>
  <c r="BI115" i="3"/>
  <c r="BH115" i="3"/>
  <c r="AY115" i="3"/>
  <c r="AX115" i="3"/>
  <c r="AM115" i="3"/>
  <c r="CG115" i="3" s="1"/>
  <c r="AL115" i="3"/>
  <c r="CF115" i="3" s="1"/>
  <c r="AK115" i="3"/>
  <c r="CE115" i="3" s="1"/>
  <c r="AJ115" i="3"/>
  <c r="CD115" i="3" s="1"/>
  <c r="AI115" i="3"/>
  <c r="AH115" i="3"/>
  <c r="AG115" i="3"/>
  <c r="AF115" i="3"/>
  <c r="AE115" i="3"/>
  <c r="AD115" i="3"/>
  <c r="AC115" i="3"/>
  <c r="AB115" i="3"/>
  <c r="AA115" i="3"/>
  <c r="N115" i="3"/>
  <c r="BO114" i="3"/>
  <c r="BN114" i="3"/>
  <c r="BM114" i="3"/>
  <c r="BL114" i="3"/>
  <c r="AY114" i="3"/>
  <c r="AX114" i="3"/>
  <c r="AN114" i="3"/>
  <c r="BO113" i="3"/>
  <c r="BN113" i="3"/>
  <c r="BM113" i="3"/>
  <c r="BL113" i="3"/>
  <c r="BK113" i="3"/>
  <c r="BJ113" i="3"/>
  <c r="BI113" i="3"/>
  <c r="BH113" i="3"/>
  <c r="AY113" i="3"/>
  <c r="AX113" i="3"/>
  <c r="AM113" i="3"/>
  <c r="CG113" i="3" s="1"/>
  <c r="AL113" i="3"/>
  <c r="CF113" i="3" s="1"/>
  <c r="AK113" i="3"/>
  <c r="CE113" i="3" s="1"/>
  <c r="AJ113" i="3"/>
  <c r="CD113" i="3" s="1"/>
  <c r="AI113" i="3"/>
  <c r="AH113" i="3"/>
  <c r="AG113" i="3"/>
  <c r="AF113" i="3"/>
  <c r="AE113" i="3"/>
  <c r="AD113" i="3"/>
  <c r="AC113" i="3"/>
  <c r="AB113" i="3"/>
  <c r="AA113" i="3"/>
  <c r="N113" i="3"/>
  <c r="BO112" i="3"/>
  <c r="BN112" i="3"/>
  <c r="BM112" i="3"/>
  <c r="BL112" i="3"/>
  <c r="BK112" i="3"/>
  <c r="BJ112" i="3"/>
  <c r="BI112" i="3"/>
  <c r="BH112" i="3"/>
  <c r="AY112" i="3"/>
  <c r="AX112" i="3"/>
  <c r="AM112" i="3"/>
  <c r="CG112" i="3" s="1"/>
  <c r="AL112" i="3"/>
  <c r="CF112" i="3" s="1"/>
  <c r="AK112" i="3"/>
  <c r="CE112" i="3" s="1"/>
  <c r="AJ112" i="3"/>
  <c r="CD112" i="3" s="1"/>
  <c r="AI112" i="3"/>
  <c r="AH112" i="3"/>
  <c r="AG112" i="3"/>
  <c r="AF112" i="3"/>
  <c r="AE112" i="3"/>
  <c r="AD112" i="3"/>
  <c r="AC112" i="3"/>
  <c r="AB112" i="3"/>
  <c r="AA112" i="3"/>
  <c r="N112" i="3"/>
  <c r="BO111" i="3"/>
  <c r="BN111" i="3"/>
  <c r="BM111" i="3"/>
  <c r="BL111" i="3"/>
  <c r="BK111" i="3"/>
  <c r="BJ111" i="3"/>
  <c r="BI111" i="3"/>
  <c r="BH111" i="3"/>
  <c r="AY111" i="3"/>
  <c r="AX111" i="3"/>
  <c r="AM111" i="3"/>
  <c r="CG111" i="3" s="1"/>
  <c r="AL111" i="3"/>
  <c r="CF111" i="3" s="1"/>
  <c r="AK111" i="3"/>
  <c r="CE111" i="3" s="1"/>
  <c r="AJ111" i="3"/>
  <c r="CD111" i="3" s="1"/>
  <c r="AI111" i="3"/>
  <c r="AH111" i="3"/>
  <c r="AG111" i="3"/>
  <c r="AF111" i="3"/>
  <c r="AE111" i="3"/>
  <c r="AD111" i="3"/>
  <c r="AC111" i="3"/>
  <c r="AB111" i="3"/>
  <c r="AA111" i="3"/>
  <c r="N111" i="3"/>
  <c r="BO110" i="3"/>
  <c r="BN110" i="3"/>
  <c r="BM110" i="3"/>
  <c r="BL110" i="3"/>
  <c r="BK110" i="3"/>
  <c r="BJ110" i="3"/>
  <c r="BI110" i="3"/>
  <c r="BH110" i="3"/>
  <c r="AY110" i="3"/>
  <c r="AX110" i="3"/>
  <c r="AM110" i="3"/>
  <c r="CG110" i="3" s="1"/>
  <c r="AL110" i="3"/>
  <c r="CF110" i="3" s="1"/>
  <c r="AK110" i="3"/>
  <c r="CE110" i="3" s="1"/>
  <c r="AJ110" i="3"/>
  <c r="CD110" i="3" s="1"/>
  <c r="AI110" i="3"/>
  <c r="AH110" i="3"/>
  <c r="AG110" i="3"/>
  <c r="AF110" i="3"/>
  <c r="AE110" i="3"/>
  <c r="AD110" i="3"/>
  <c r="AC110" i="3"/>
  <c r="AB110" i="3"/>
  <c r="AA110" i="3"/>
  <c r="N110" i="3"/>
  <c r="AN110" i="3" s="1"/>
  <c r="BO109" i="3"/>
  <c r="BN109" i="3"/>
  <c r="BM109" i="3"/>
  <c r="BL109" i="3"/>
  <c r="BK109" i="3"/>
  <c r="BJ109" i="3"/>
  <c r="BI109" i="3"/>
  <c r="BH109" i="3"/>
  <c r="AY109" i="3"/>
  <c r="AX109" i="3"/>
  <c r="AM109" i="3"/>
  <c r="CG109" i="3" s="1"/>
  <c r="AL109" i="3"/>
  <c r="CF109" i="3" s="1"/>
  <c r="AK109" i="3"/>
  <c r="CE109" i="3" s="1"/>
  <c r="AJ109" i="3"/>
  <c r="CD109" i="3" s="1"/>
  <c r="AI109" i="3"/>
  <c r="AH109" i="3"/>
  <c r="AG109" i="3"/>
  <c r="AF109" i="3"/>
  <c r="AE109" i="3"/>
  <c r="AD109" i="3"/>
  <c r="AC109" i="3"/>
  <c r="AB109" i="3"/>
  <c r="AA109" i="3"/>
  <c r="N109" i="3"/>
  <c r="BO108" i="3"/>
  <c r="BN108" i="3"/>
  <c r="BM108" i="3"/>
  <c r="BL108" i="3"/>
  <c r="BK108" i="3"/>
  <c r="BJ108" i="3"/>
  <c r="BI108" i="3"/>
  <c r="BH108" i="3"/>
  <c r="AY108" i="3"/>
  <c r="AX108" i="3"/>
  <c r="AM108" i="3"/>
  <c r="CG108" i="3" s="1"/>
  <c r="AL108" i="3"/>
  <c r="CF108" i="3" s="1"/>
  <c r="AK108" i="3"/>
  <c r="CE108" i="3" s="1"/>
  <c r="AJ108" i="3"/>
  <c r="CD108" i="3" s="1"/>
  <c r="AI108" i="3"/>
  <c r="AH108" i="3"/>
  <c r="AG108" i="3"/>
  <c r="AF108" i="3"/>
  <c r="AE108" i="3"/>
  <c r="AD108" i="3"/>
  <c r="AC108" i="3"/>
  <c r="AB108" i="3"/>
  <c r="AA108" i="3"/>
  <c r="N108" i="3"/>
  <c r="BO107" i="3"/>
  <c r="BN107" i="3"/>
  <c r="BM107" i="3"/>
  <c r="BL107" i="3"/>
  <c r="BK107" i="3"/>
  <c r="BJ107" i="3"/>
  <c r="BI107" i="3"/>
  <c r="BH107" i="3"/>
  <c r="AY107" i="3"/>
  <c r="AX107" i="3"/>
  <c r="AM107" i="3"/>
  <c r="CG107" i="3" s="1"/>
  <c r="AL107" i="3"/>
  <c r="CF107" i="3" s="1"/>
  <c r="AK107" i="3"/>
  <c r="CE107" i="3" s="1"/>
  <c r="AJ107" i="3"/>
  <c r="CD107" i="3" s="1"/>
  <c r="AI107" i="3"/>
  <c r="AH107" i="3"/>
  <c r="AG107" i="3"/>
  <c r="AF107" i="3"/>
  <c r="AE107" i="3"/>
  <c r="AD107" i="3"/>
  <c r="AC107" i="3"/>
  <c r="AB107" i="3"/>
  <c r="AA107" i="3"/>
  <c r="N107" i="3"/>
  <c r="BO106" i="3"/>
  <c r="BN106" i="3"/>
  <c r="BM106" i="3"/>
  <c r="BL106" i="3"/>
  <c r="BK106" i="3"/>
  <c r="BJ106" i="3"/>
  <c r="BI106" i="3"/>
  <c r="BH106" i="3"/>
  <c r="AY106" i="3"/>
  <c r="AX106" i="3"/>
  <c r="AM106" i="3"/>
  <c r="CG106" i="3" s="1"/>
  <c r="AL106" i="3"/>
  <c r="CF106" i="3" s="1"/>
  <c r="AK106" i="3"/>
  <c r="CE106" i="3" s="1"/>
  <c r="AJ106" i="3"/>
  <c r="CD106" i="3" s="1"/>
  <c r="AI106" i="3"/>
  <c r="AH106" i="3"/>
  <c r="AG106" i="3"/>
  <c r="AF106" i="3"/>
  <c r="AE106" i="3"/>
  <c r="AD106" i="3"/>
  <c r="AC106" i="3"/>
  <c r="AB106" i="3"/>
  <c r="AA106" i="3"/>
  <c r="N106" i="3"/>
  <c r="BO105" i="3"/>
  <c r="BN105" i="3"/>
  <c r="BM105" i="3"/>
  <c r="BL105" i="3"/>
  <c r="BK105" i="3"/>
  <c r="BJ105" i="3"/>
  <c r="BI105" i="3"/>
  <c r="BH105" i="3"/>
  <c r="AY105" i="3"/>
  <c r="AX105" i="3"/>
  <c r="AM105" i="3"/>
  <c r="CG105" i="3" s="1"/>
  <c r="AL105" i="3"/>
  <c r="CF105" i="3" s="1"/>
  <c r="AK105" i="3"/>
  <c r="CE105" i="3" s="1"/>
  <c r="AJ105" i="3"/>
  <c r="CD105" i="3" s="1"/>
  <c r="AI105" i="3"/>
  <c r="AH105" i="3"/>
  <c r="AG105" i="3"/>
  <c r="AF105" i="3"/>
  <c r="AE105" i="3"/>
  <c r="AD105" i="3"/>
  <c r="AC105" i="3"/>
  <c r="AB105" i="3"/>
  <c r="AA105" i="3"/>
  <c r="N105" i="3"/>
  <c r="BO104" i="3"/>
  <c r="BN104" i="3"/>
  <c r="BM104" i="3"/>
  <c r="BL104" i="3"/>
  <c r="BK104" i="3"/>
  <c r="BJ104" i="3"/>
  <c r="BI104" i="3"/>
  <c r="BH104" i="3"/>
  <c r="AY104" i="3"/>
  <c r="AX104" i="3"/>
  <c r="AM104" i="3"/>
  <c r="CG104" i="3" s="1"/>
  <c r="AL104" i="3"/>
  <c r="CF104" i="3" s="1"/>
  <c r="AK104" i="3"/>
  <c r="CE104" i="3" s="1"/>
  <c r="AJ104" i="3"/>
  <c r="CD104" i="3" s="1"/>
  <c r="AI104" i="3"/>
  <c r="AH104" i="3"/>
  <c r="AG104" i="3"/>
  <c r="AF104" i="3"/>
  <c r="AE104" i="3"/>
  <c r="AD104" i="3"/>
  <c r="AC104" i="3"/>
  <c r="AB104" i="3"/>
  <c r="AA104" i="3"/>
  <c r="N104" i="3"/>
  <c r="AN104" i="3" s="1"/>
  <c r="BO103" i="3"/>
  <c r="BN103" i="3"/>
  <c r="BM103" i="3"/>
  <c r="BL103" i="3"/>
  <c r="BK103" i="3"/>
  <c r="BJ103" i="3"/>
  <c r="BI103" i="3"/>
  <c r="BH103" i="3"/>
  <c r="AY103" i="3"/>
  <c r="AX103" i="3"/>
  <c r="AM103" i="3"/>
  <c r="CG103" i="3" s="1"/>
  <c r="AL103" i="3"/>
  <c r="CF103" i="3" s="1"/>
  <c r="AK103" i="3"/>
  <c r="CE103" i="3" s="1"/>
  <c r="AJ103" i="3"/>
  <c r="CD103" i="3" s="1"/>
  <c r="AI103" i="3"/>
  <c r="AH103" i="3"/>
  <c r="AG103" i="3"/>
  <c r="AF103" i="3"/>
  <c r="AE103" i="3"/>
  <c r="AD103" i="3"/>
  <c r="AC103" i="3"/>
  <c r="AB103" i="3"/>
  <c r="AA103" i="3"/>
  <c r="N103" i="3"/>
  <c r="AN103" i="3" s="1"/>
  <c r="BO102" i="3"/>
  <c r="BN102" i="3"/>
  <c r="BM102" i="3"/>
  <c r="BL102" i="3"/>
  <c r="BK102" i="3"/>
  <c r="BJ102" i="3"/>
  <c r="BI102" i="3"/>
  <c r="BH102" i="3"/>
  <c r="AY102" i="3"/>
  <c r="AX102" i="3"/>
  <c r="AM102" i="3"/>
  <c r="CG102" i="3" s="1"/>
  <c r="AL102" i="3"/>
  <c r="CF102" i="3" s="1"/>
  <c r="AK102" i="3"/>
  <c r="CE102" i="3" s="1"/>
  <c r="AJ102" i="3"/>
  <c r="CD102" i="3" s="1"/>
  <c r="AI102" i="3"/>
  <c r="AH102" i="3"/>
  <c r="AG102" i="3"/>
  <c r="AF102" i="3"/>
  <c r="AE102" i="3"/>
  <c r="AD102" i="3"/>
  <c r="AC102" i="3"/>
  <c r="AB102" i="3"/>
  <c r="AA102" i="3"/>
  <c r="N102" i="3"/>
  <c r="BO101" i="3"/>
  <c r="BN101" i="3"/>
  <c r="BM101" i="3"/>
  <c r="BL101" i="3"/>
  <c r="BK101" i="3"/>
  <c r="BJ101" i="3"/>
  <c r="BI101" i="3"/>
  <c r="BH101" i="3"/>
  <c r="AY101" i="3"/>
  <c r="AX101" i="3"/>
  <c r="AM101" i="3"/>
  <c r="CG101" i="3" s="1"/>
  <c r="AL101" i="3"/>
  <c r="CF101" i="3" s="1"/>
  <c r="AK101" i="3"/>
  <c r="CE101" i="3" s="1"/>
  <c r="AJ101" i="3"/>
  <c r="CD101" i="3" s="1"/>
  <c r="AI101" i="3"/>
  <c r="AH101" i="3"/>
  <c r="AG101" i="3"/>
  <c r="AF101" i="3"/>
  <c r="AE101" i="3"/>
  <c r="AD101" i="3"/>
  <c r="AC101" i="3"/>
  <c r="AB101" i="3"/>
  <c r="AA101" i="3"/>
  <c r="N101" i="3"/>
  <c r="BO100" i="3"/>
  <c r="BN100" i="3"/>
  <c r="BM100" i="3"/>
  <c r="BL100" i="3"/>
  <c r="BK100" i="3"/>
  <c r="BJ100" i="3"/>
  <c r="BI100" i="3"/>
  <c r="BH100" i="3"/>
  <c r="AY100" i="3"/>
  <c r="AX100" i="3"/>
  <c r="AM100" i="3"/>
  <c r="CG100" i="3" s="1"/>
  <c r="AL100" i="3"/>
  <c r="CF100" i="3" s="1"/>
  <c r="AK100" i="3"/>
  <c r="CE100" i="3" s="1"/>
  <c r="AJ100" i="3"/>
  <c r="CD100" i="3" s="1"/>
  <c r="AI100" i="3"/>
  <c r="AH100" i="3"/>
  <c r="AG100" i="3"/>
  <c r="AF100" i="3"/>
  <c r="AE100" i="3"/>
  <c r="AD100" i="3"/>
  <c r="AC100" i="3"/>
  <c r="AB100" i="3"/>
  <c r="AA100" i="3"/>
  <c r="N100" i="3"/>
  <c r="BO99" i="3"/>
  <c r="BN99" i="3"/>
  <c r="BM99" i="3"/>
  <c r="BL99" i="3"/>
  <c r="BK99" i="3"/>
  <c r="BJ99" i="3"/>
  <c r="BI99" i="3"/>
  <c r="BH99" i="3"/>
  <c r="AY99" i="3"/>
  <c r="AX99" i="3"/>
  <c r="AM99" i="3"/>
  <c r="CG99" i="3" s="1"/>
  <c r="AL99" i="3"/>
  <c r="CF99" i="3" s="1"/>
  <c r="AK99" i="3"/>
  <c r="CE99" i="3" s="1"/>
  <c r="AJ99" i="3"/>
  <c r="CD99" i="3" s="1"/>
  <c r="AI99" i="3"/>
  <c r="AH99" i="3"/>
  <c r="AG99" i="3"/>
  <c r="AF99" i="3"/>
  <c r="AE99" i="3"/>
  <c r="AD99" i="3"/>
  <c r="AC99" i="3"/>
  <c r="AB99" i="3"/>
  <c r="AA99" i="3"/>
  <c r="N99" i="3"/>
  <c r="AN99" i="3" s="1"/>
  <c r="BO98" i="3"/>
  <c r="BN98" i="3"/>
  <c r="BM98" i="3"/>
  <c r="BL98" i="3"/>
  <c r="BK98" i="3"/>
  <c r="BJ98" i="3"/>
  <c r="BI98" i="3"/>
  <c r="BH98" i="3"/>
  <c r="AY98" i="3"/>
  <c r="AX98" i="3"/>
  <c r="AM98" i="3"/>
  <c r="CG98" i="3" s="1"/>
  <c r="AL98" i="3"/>
  <c r="CF98" i="3" s="1"/>
  <c r="AK98" i="3"/>
  <c r="CE98" i="3" s="1"/>
  <c r="AJ98" i="3"/>
  <c r="CD98" i="3" s="1"/>
  <c r="AI98" i="3"/>
  <c r="AH98" i="3"/>
  <c r="AG98" i="3"/>
  <c r="AF98" i="3"/>
  <c r="AE98" i="3"/>
  <c r="AD98" i="3"/>
  <c r="AC98" i="3"/>
  <c r="AB98" i="3"/>
  <c r="AA98" i="3"/>
  <c r="N98" i="3"/>
  <c r="BO97" i="3"/>
  <c r="BN97" i="3"/>
  <c r="BM97" i="3"/>
  <c r="BL97" i="3"/>
  <c r="BK97" i="3"/>
  <c r="BJ97" i="3"/>
  <c r="BI97" i="3"/>
  <c r="BH97" i="3"/>
  <c r="AY97" i="3"/>
  <c r="AX97" i="3"/>
  <c r="AM97" i="3"/>
  <c r="CG97" i="3" s="1"/>
  <c r="AL97" i="3"/>
  <c r="CF97" i="3" s="1"/>
  <c r="AK97" i="3"/>
  <c r="CE97" i="3" s="1"/>
  <c r="AJ97" i="3"/>
  <c r="CD97" i="3" s="1"/>
  <c r="AI97" i="3"/>
  <c r="AH97" i="3"/>
  <c r="AG97" i="3"/>
  <c r="AF97" i="3"/>
  <c r="AE97" i="3"/>
  <c r="AD97" i="3"/>
  <c r="AC97" i="3"/>
  <c r="AB97" i="3"/>
  <c r="AA97" i="3"/>
  <c r="N97" i="3"/>
  <c r="BO96" i="3"/>
  <c r="BN96" i="3"/>
  <c r="BM96" i="3"/>
  <c r="BL96" i="3"/>
  <c r="BK96" i="3"/>
  <c r="BJ96" i="3"/>
  <c r="BI96" i="3"/>
  <c r="BH96" i="3"/>
  <c r="AY96" i="3"/>
  <c r="AX96" i="3"/>
  <c r="AM96" i="3"/>
  <c r="CG96" i="3" s="1"/>
  <c r="AL96" i="3"/>
  <c r="CF96" i="3" s="1"/>
  <c r="AK96" i="3"/>
  <c r="CE96" i="3" s="1"/>
  <c r="AJ96" i="3"/>
  <c r="CD96" i="3" s="1"/>
  <c r="AI96" i="3"/>
  <c r="AH96" i="3"/>
  <c r="AG96" i="3"/>
  <c r="AF96" i="3"/>
  <c r="AE96" i="3"/>
  <c r="AD96" i="3"/>
  <c r="AC96" i="3"/>
  <c r="AB96" i="3"/>
  <c r="AA96" i="3"/>
  <c r="AN96" i="3" s="1"/>
  <c r="BO95" i="3"/>
  <c r="BN95" i="3"/>
  <c r="BM95" i="3"/>
  <c r="BL95" i="3"/>
  <c r="BK95" i="3"/>
  <c r="BJ95" i="3"/>
  <c r="BI95" i="3"/>
  <c r="BH95" i="3"/>
  <c r="AY95" i="3"/>
  <c r="AX95" i="3"/>
  <c r="AM95" i="3"/>
  <c r="CG95" i="3" s="1"/>
  <c r="AL95" i="3"/>
  <c r="CF95" i="3" s="1"/>
  <c r="AK95" i="3"/>
  <c r="CE95" i="3" s="1"/>
  <c r="AJ95" i="3"/>
  <c r="CD95" i="3" s="1"/>
  <c r="AI95" i="3"/>
  <c r="AH95" i="3"/>
  <c r="AG95" i="3"/>
  <c r="AF95" i="3"/>
  <c r="AE95" i="3"/>
  <c r="AD95" i="3"/>
  <c r="AC95" i="3"/>
  <c r="AB95" i="3"/>
  <c r="AA95" i="3"/>
  <c r="N95" i="3"/>
  <c r="BO94" i="3"/>
  <c r="BN94" i="3"/>
  <c r="BM94" i="3"/>
  <c r="BL94" i="3"/>
  <c r="BK94" i="3"/>
  <c r="BJ94" i="3"/>
  <c r="BI94" i="3"/>
  <c r="BH94" i="3"/>
  <c r="AY94" i="3"/>
  <c r="AX94" i="3"/>
  <c r="AM94" i="3"/>
  <c r="CG94" i="3" s="1"/>
  <c r="AL94" i="3"/>
  <c r="CF94" i="3" s="1"/>
  <c r="AK94" i="3"/>
  <c r="CE94" i="3" s="1"/>
  <c r="AJ94" i="3"/>
  <c r="CD94" i="3" s="1"/>
  <c r="AI94" i="3"/>
  <c r="AH94" i="3"/>
  <c r="AG94" i="3"/>
  <c r="AF94" i="3"/>
  <c r="AE94" i="3"/>
  <c r="AD94" i="3"/>
  <c r="AC94" i="3"/>
  <c r="AB94" i="3"/>
  <c r="AA94" i="3"/>
  <c r="N94" i="3"/>
  <c r="BO93" i="3"/>
  <c r="BN93" i="3"/>
  <c r="BM93" i="3"/>
  <c r="BL93" i="3"/>
  <c r="BK93" i="3"/>
  <c r="BJ93" i="3"/>
  <c r="BI93" i="3"/>
  <c r="BH93" i="3"/>
  <c r="AY93" i="3"/>
  <c r="AX93" i="3"/>
  <c r="AM93" i="3"/>
  <c r="CG93" i="3" s="1"/>
  <c r="AL93" i="3"/>
  <c r="CF93" i="3" s="1"/>
  <c r="AK93" i="3"/>
  <c r="CE93" i="3" s="1"/>
  <c r="AJ93" i="3"/>
  <c r="CD93" i="3" s="1"/>
  <c r="AI93" i="3"/>
  <c r="AH93" i="3"/>
  <c r="AG93" i="3"/>
  <c r="AF93" i="3"/>
  <c r="AE93" i="3"/>
  <c r="AD93" i="3"/>
  <c r="AC93" i="3"/>
  <c r="AB93" i="3"/>
  <c r="AA93" i="3"/>
  <c r="N93" i="3"/>
  <c r="BO92" i="3"/>
  <c r="BN92" i="3"/>
  <c r="BM92" i="3"/>
  <c r="BL92" i="3"/>
  <c r="BK92" i="3"/>
  <c r="BJ92" i="3"/>
  <c r="BI92" i="3"/>
  <c r="BH92" i="3"/>
  <c r="AY92" i="3"/>
  <c r="AX92" i="3"/>
  <c r="AM92" i="3"/>
  <c r="CG92" i="3" s="1"/>
  <c r="AL92" i="3"/>
  <c r="CF92" i="3" s="1"/>
  <c r="AK92" i="3"/>
  <c r="CE92" i="3" s="1"/>
  <c r="AJ92" i="3"/>
  <c r="CD92" i="3" s="1"/>
  <c r="AI92" i="3"/>
  <c r="AH92" i="3"/>
  <c r="AG92" i="3"/>
  <c r="AF92" i="3"/>
  <c r="AE92" i="3"/>
  <c r="AD92" i="3"/>
  <c r="AC92" i="3"/>
  <c r="AB92" i="3"/>
  <c r="AA92" i="3"/>
  <c r="N92" i="3"/>
  <c r="BO91" i="3"/>
  <c r="BN91" i="3"/>
  <c r="BM91" i="3"/>
  <c r="BL91" i="3"/>
  <c r="BK91" i="3"/>
  <c r="BJ91" i="3"/>
  <c r="BI91" i="3"/>
  <c r="BH91" i="3"/>
  <c r="AY91" i="3"/>
  <c r="AX91" i="3"/>
  <c r="AM91" i="3"/>
  <c r="CG91" i="3" s="1"/>
  <c r="AL91" i="3"/>
  <c r="CF91" i="3" s="1"/>
  <c r="AK91" i="3"/>
  <c r="CE91" i="3" s="1"/>
  <c r="AJ91" i="3"/>
  <c r="CD91" i="3" s="1"/>
  <c r="AI91" i="3"/>
  <c r="AH91" i="3"/>
  <c r="AG91" i="3"/>
  <c r="AF91" i="3"/>
  <c r="AE91" i="3"/>
  <c r="AD91" i="3"/>
  <c r="AC91" i="3"/>
  <c r="AB91" i="3"/>
  <c r="AA91" i="3"/>
  <c r="N91" i="3"/>
  <c r="BO90" i="3"/>
  <c r="BN90" i="3"/>
  <c r="BM90" i="3"/>
  <c r="BL90" i="3"/>
  <c r="BK90" i="3"/>
  <c r="BJ90" i="3"/>
  <c r="BI90" i="3"/>
  <c r="BH90" i="3"/>
  <c r="AY90" i="3"/>
  <c r="AX90" i="3"/>
  <c r="AM90" i="3"/>
  <c r="CG90" i="3" s="1"/>
  <c r="AL90" i="3"/>
  <c r="CF90" i="3" s="1"/>
  <c r="AK90" i="3"/>
  <c r="CE90" i="3" s="1"/>
  <c r="AJ90" i="3"/>
  <c r="CD90" i="3" s="1"/>
  <c r="AI90" i="3"/>
  <c r="AH90" i="3"/>
  <c r="AG90" i="3"/>
  <c r="AF90" i="3"/>
  <c r="AE90" i="3"/>
  <c r="AD90" i="3"/>
  <c r="AC90" i="3"/>
  <c r="AB90" i="3"/>
  <c r="AA90" i="3"/>
  <c r="N90" i="3"/>
  <c r="BO89" i="3"/>
  <c r="BN89" i="3"/>
  <c r="BM89" i="3"/>
  <c r="BL89" i="3"/>
  <c r="BK89" i="3"/>
  <c r="BJ89" i="3"/>
  <c r="BI89" i="3"/>
  <c r="BH89" i="3"/>
  <c r="AY89" i="3"/>
  <c r="AX89" i="3"/>
  <c r="AM89" i="3"/>
  <c r="CG89" i="3" s="1"/>
  <c r="AL89" i="3"/>
  <c r="CF89" i="3" s="1"/>
  <c r="AK89" i="3"/>
  <c r="CE89" i="3" s="1"/>
  <c r="AJ89" i="3"/>
  <c r="CD89" i="3" s="1"/>
  <c r="AI89" i="3"/>
  <c r="AH89" i="3"/>
  <c r="AG89" i="3"/>
  <c r="AF89" i="3"/>
  <c r="AE89" i="3"/>
  <c r="AD89" i="3"/>
  <c r="AC89" i="3"/>
  <c r="AB89" i="3"/>
  <c r="AA89" i="3"/>
  <c r="N89" i="3"/>
  <c r="BO88" i="3"/>
  <c r="BN88" i="3"/>
  <c r="BM88" i="3"/>
  <c r="BL88" i="3"/>
  <c r="BK88" i="3"/>
  <c r="BJ88" i="3"/>
  <c r="BI88" i="3"/>
  <c r="BH88" i="3"/>
  <c r="AY88" i="3"/>
  <c r="AX88" i="3"/>
  <c r="AM88" i="3"/>
  <c r="CG88" i="3" s="1"/>
  <c r="AL88" i="3"/>
  <c r="CF88" i="3" s="1"/>
  <c r="AK88" i="3"/>
  <c r="CE88" i="3" s="1"/>
  <c r="AJ88" i="3"/>
  <c r="CD88" i="3" s="1"/>
  <c r="AI88" i="3"/>
  <c r="AH88" i="3"/>
  <c r="AG88" i="3"/>
  <c r="AF88" i="3"/>
  <c r="AE88" i="3"/>
  <c r="AD88" i="3"/>
  <c r="AC88" i="3"/>
  <c r="AB88" i="3"/>
  <c r="AA88" i="3"/>
  <c r="N88" i="3"/>
  <c r="AN88" i="3" s="1"/>
  <c r="BO87" i="3"/>
  <c r="BN87" i="3"/>
  <c r="BM87" i="3"/>
  <c r="BL87" i="3"/>
  <c r="BK87" i="3"/>
  <c r="BJ87" i="3"/>
  <c r="BI87" i="3"/>
  <c r="BH87" i="3"/>
  <c r="AY87" i="3"/>
  <c r="AX87" i="3"/>
  <c r="AM87" i="3"/>
  <c r="CG87" i="3" s="1"/>
  <c r="AL87" i="3"/>
  <c r="CF87" i="3" s="1"/>
  <c r="AK87" i="3"/>
  <c r="CE87" i="3" s="1"/>
  <c r="AJ87" i="3"/>
  <c r="CD87" i="3" s="1"/>
  <c r="AI87" i="3"/>
  <c r="AH87" i="3"/>
  <c r="AG87" i="3"/>
  <c r="AF87" i="3"/>
  <c r="AE87" i="3"/>
  <c r="AD87" i="3"/>
  <c r="AC87" i="3"/>
  <c r="AB87" i="3"/>
  <c r="AA87" i="3"/>
  <c r="N87" i="3"/>
  <c r="BO86" i="3"/>
  <c r="BN86" i="3"/>
  <c r="BM86" i="3"/>
  <c r="BL86" i="3"/>
  <c r="BK86" i="3"/>
  <c r="BJ86" i="3"/>
  <c r="BI86" i="3"/>
  <c r="BH86" i="3"/>
  <c r="AY86" i="3"/>
  <c r="AX86" i="3"/>
  <c r="AM86" i="3"/>
  <c r="CG86" i="3" s="1"/>
  <c r="AL86" i="3"/>
  <c r="CF86" i="3" s="1"/>
  <c r="AK86" i="3"/>
  <c r="CE86" i="3" s="1"/>
  <c r="AJ86" i="3"/>
  <c r="CD86" i="3" s="1"/>
  <c r="AI86" i="3"/>
  <c r="AH86" i="3"/>
  <c r="AG86" i="3"/>
  <c r="AF86" i="3"/>
  <c r="AE86" i="3"/>
  <c r="AD86" i="3"/>
  <c r="AC86" i="3"/>
  <c r="AB86" i="3"/>
  <c r="AA86" i="3"/>
  <c r="N86" i="3"/>
  <c r="BO85" i="3"/>
  <c r="BN85" i="3"/>
  <c r="BM85" i="3"/>
  <c r="BL85" i="3"/>
  <c r="BK85" i="3"/>
  <c r="BJ85" i="3"/>
  <c r="BI85" i="3"/>
  <c r="BH85" i="3"/>
  <c r="AY85" i="3"/>
  <c r="AX85" i="3"/>
  <c r="AM85" i="3"/>
  <c r="CG85" i="3" s="1"/>
  <c r="AL85" i="3"/>
  <c r="CF85" i="3" s="1"/>
  <c r="AK85" i="3"/>
  <c r="CE85" i="3" s="1"/>
  <c r="AJ85" i="3"/>
  <c r="CD85" i="3" s="1"/>
  <c r="AI85" i="3"/>
  <c r="AH85" i="3"/>
  <c r="AG85" i="3"/>
  <c r="AF85" i="3"/>
  <c r="AE85" i="3"/>
  <c r="AD85" i="3"/>
  <c r="AC85" i="3"/>
  <c r="AB85" i="3"/>
  <c r="AA85" i="3"/>
  <c r="N85" i="3"/>
  <c r="BO84" i="3"/>
  <c r="BN84" i="3"/>
  <c r="BM84" i="3"/>
  <c r="BL84" i="3"/>
  <c r="BK84" i="3"/>
  <c r="BJ84" i="3"/>
  <c r="BI84" i="3"/>
  <c r="BH84" i="3"/>
  <c r="AY84" i="3"/>
  <c r="AX84" i="3"/>
  <c r="AM84" i="3"/>
  <c r="CG84" i="3" s="1"/>
  <c r="AL84" i="3"/>
  <c r="CF84" i="3" s="1"/>
  <c r="AK84" i="3"/>
  <c r="CE84" i="3" s="1"/>
  <c r="AJ84" i="3"/>
  <c r="CD84" i="3" s="1"/>
  <c r="AI84" i="3"/>
  <c r="AH84" i="3"/>
  <c r="AG84" i="3"/>
  <c r="AF84" i="3"/>
  <c r="AE84" i="3"/>
  <c r="AD84" i="3"/>
  <c r="AC84" i="3"/>
  <c r="AB84" i="3"/>
  <c r="AA84" i="3"/>
  <c r="N84" i="3"/>
  <c r="BO83" i="3"/>
  <c r="BN83" i="3"/>
  <c r="BM83" i="3"/>
  <c r="BL83" i="3"/>
  <c r="BK83" i="3"/>
  <c r="BJ83" i="3"/>
  <c r="BI83" i="3"/>
  <c r="BH83" i="3"/>
  <c r="AY83" i="3"/>
  <c r="AX83" i="3"/>
  <c r="AM83" i="3"/>
  <c r="CG83" i="3" s="1"/>
  <c r="AL83" i="3"/>
  <c r="CF83" i="3" s="1"/>
  <c r="AK83" i="3"/>
  <c r="CE83" i="3" s="1"/>
  <c r="AJ83" i="3"/>
  <c r="CD83" i="3" s="1"/>
  <c r="AI83" i="3"/>
  <c r="AH83" i="3"/>
  <c r="AG83" i="3"/>
  <c r="AF83" i="3"/>
  <c r="AE83" i="3"/>
  <c r="AD83" i="3"/>
  <c r="AC83" i="3"/>
  <c r="AB83" i="3"/>
  <c r="AA83" i="3"/>
  <c r="N83" i="3"/>
  <c r="BO82" i="3"/>
  <c r="BN82" i="3"/>
  <c r="BM82" i="3"/>
  <c r="BL82" i="3"/>
  <c r="BK82" i="3"/>
  <c r="BJ82" i="3"/>
  <c r="BI82" i="3"/>
  <c r="BH82" i="3"/>
  <c r="AY82" i="3"/>
  <c r="AX82" i="3"/>
  <c r="AM82" i="3"/>
  <c r="CG82" i="3" s="1"/>
  <c r="AL82" i="3"/>
  <c r="CF82" i="3" s="1"/>
  <c r="AK82" i="3"/>
  <c r="CE82" i="3" s="1"/>
  <c r="AJ82" i="3"/>
  <c r="CD82" i="3" s="1"/>
  <c r="AI82" i="3"/>
  <c r="AH82" i="3"/>
  <c r="AG82" i="3"/>
  <c r="AF82" i="3"/>
  <c r="AE82" i="3"/>
  <c r="AD82" i="3"/>
  <c r="AC82" i="3"/>
  <c r="AB82" i="3"/>
  <c r="AA82" i="3"/>
  <c r="N82" i="3"/>
  <c r="AN82" i="3" s="1"/>
  <c r="BO81" i="3"/>
  <c r="BN81" i="3"/>
  <c r="BM81" i="3"/>
  <c r="BL81" i="3"/>
  <c r="BK81" i="3"/>
  <c r="BJ81" i="3"/>
  <c r="BI81" i="3"/>
  <c r="BH81" i="3"/>
  <c r="AY81" i="3"/>
  <c r="AX81" i="3"/>
  <c r="AM81" i="3"/>
  <c r="CG81" i="3" s="1"/>
  <c r="AL81" i="3"/>
  <c r="CF81" i="3" s="1"/>
  <c r="AK81" i="3"/>
  <c r="CE81" i="3" s="1"/>
  <c r="AJ81" i="3"/>
  <c r="CD81" i="3" s="1"/>
  <c r="AI81" i="3"/>
  <c r="AH81" i="3"/>
  <c r="AG81" i="3"/>
  <c r="AF81" i="3"/>
  <c r="AE81" i="3"/>
  <c r="AD81" i="3"/>
  <c r="AC81" i="3"/>
  <c r="AB81" i="3"/>
  <c r="AA81" i="3"/>
  <c r="N81" i="3"/>
  <c r="BO80" i="3"/>
  <c r="BN80" i="3"/>
  <c r="BM80" i="3"/>
  <c r="BL80" i="3"/>
  <c r="BK80" i="3"/>
  <c r="BJ80" i="3"/>
  <c r="BI80" i="3"/>
  <c r="BH80" i="3"/>
  <c r="AY80" i="3"/>
  <c r="AX80" i="3"/>
  <c r="AM80" i="3"/>
  <c r="CG80" i="3" s="1"/>
  <c r="AL80" i="3"/>
  <c r="CF80" i="3" s="1"/>
  <c r="AK80" i="3"/>
  <c r="CE80" i="3" s="1"/>
  <c r="AJ80" i="3"/>
  <c r="CD80" i="3" s="1"/>
  <c r="AI80" i="3"/>
  <c r="AH80" i="3"/>
  <c r="AG80" i="3"/>
  <c r="AF80" i="3"/>
  <c r="AE80" i="3"/>
  <c r="AD80" i="3"/>
  <c r="AC80" i="3"/>
  <c r="AB80" i="3"/>
  <c r="AA80" i="3"/>
  <c r="N80" i="3"/>
  <c r="BO79" i="3"/>
  <c r="BN79" i="3"/>
  <c r="BM79" i="3"/>
  <c r="BL79" i="3"/>
  <c r="BK79" i="3"/>
  <c r="BJ79" i="3"/>
  <c r="BI79" i="3"/>
  <c r="BH79" i="3"/>
  <c r="AY79" i="3"/>
  <c r="AX79" i="3"/>
  <c r="AM79" i="3"/>
  <c r="CG79" i="3" s="1"/>
  <c r="AL79" i="3"/>
  <c r="CF79" i="3" s="1"/>
  <c r="AK79" i="3"/>
  <c r="CE79" i="3" s="1"/>
  <c r="AJ79" i="3"/>
  <c r="CD79" i="3" s="1"/>
  <c r="AI79" i="3"/>
  <c r="AH79" i="3"/>
  <c r="AG79" i="3"/>
  <c r="AF79" i="3"/>
  <c r="AE79" i="3"/>
  <c r="AD79" i="3"/>
  <c r="AC79" i="3"/>
  <c r="AB79" i="3"/>
  <c r="AA79" i="3"/>
  <c r="N79" i="3"/>
  <c r="BO78" i="3"/>
  <c r="BN78" i="3"/>
  <c r="BM78" i="3"/>
  <c r="BL78" i="3"/>
  <c r="BK78" i="3"/>
  <c r="BJ78" i="3"/>
  <c r="BI78" i="3"/>
  <c r="BH78" i="3"/>
  <c r="AY78" i="3"/>
  <c r="AX78" i="3"/>
  <c r="AM78" i="3"/>
  <c r="CG78" i="3" s="1"/>
  <c r="AL78" i="3"/>
  <c r="CF78" i="3" s="1"/>
  <c r="AK78" i="3"/>
  <c r="CE78" i="3" s="1"/>
  <c r="AJ78" i="3"/>
  <c r="CD78" i="3" s="1"/>
  <c r="AI78" i="3"/>
  <c r="AH78" i="3"/>
  <c r="AG78" i="3"/>
  <c r="AF78" i="3"/>
  <c r="AE78" i="3"/>
  <c r="AD78" i="3"/>
  <c r="AC78" i="3"/>
  <c r="AB78" i="3"/>
  <c r="AA78" i="3"/>
  <c r="N78" i="3"/>
  <c r="BO77" i="3"/>
  <c r="BN77" i="3"/>
  <c r="BM77" i="3"/>
  <c r="BL77" i="3"/>
  <c r="BK77" i="3"/>
  <c r="BJ77" i="3"/>
  <c r="BI77" i="3"/>
  <c r="BH77" i="3"/>
  <c r="AY77" i="3"/>
  <c r="AX77" i="3"/>
  <c r="AM77" i="3"/>
  <c r="CG77" i="3" s="1"/>
  <c r="AL77" i="3"/>
  <c r="CF77" i="3" s="1"/>
  <c r="AK77" i="3"/>
  <c r="CE77" i="3" s="1"/>
  <c r="AJ77" i="3"/>
  <c r="CD77" i="3" s="1"/>
  <c r="AI77" i="3"/>
  <c r="AH77" i="3"/>
  <c r="AG77" i="3"/>
  <c r="AF77" i="3"/>
  <c r="AE77" i="3"/>
  <c r="AD77" i="3"/>
  <c r="AC77" i="3"/>
  <c r="AB77" i="3"/>
  <c r="AA77" i="3"/>
  <c r="N77" i="3"/>
  <c r="BO76" i="3"/>
  <c r="BN76" i="3"/>
  <c r="BM76" i="3"/>
  <c r="BL76" i="3"/>
  <c r="BK76" i="3"/>
  <c r="BJ76" i="3"/>
  <c r="BI76" i="3"/>
  <c r="BH76" i="3"/>
  <c r="AY76" i="3"/>
  <c r="AX76" i="3"/>
  <c r="AM76" i="3"/>
  <c r="CG76" i="3" s="1"/>
  <c r="AL76" i="3"/>
  <c r="CF76" i="3" s="1"/>
  <c r="AK76" i="3"/>
  <c r="CE76" i="3" s="1"/>
  <c r="AJ76" i="3"/>
  <c r="CD76" i="3" s="1"/>
  <c r="AI76" i="3"/>
  <c r="AH76" i="3"/>
  <c r="AG76" i="3"/>
  <c r="AF76" i="3"/>
  <c r="AE76" i="3"/>
  <c r="AD76" i="3"/>
  <c r="AC76" i="3"/>
  <c r="AB76" i="3"/>
  <c r="AA76" i="3"/>
  <c r="N76" i="3"/>
  <c r="AN76" i="3" s="1"/>
  <c r="BO75" i="3"/>
  <c r="BN75" i="3"/>
  <c r="BM75" i="3"/>
  <c r="BL75" i="3"/>
  <c r="BK75" i="3"/>
  <c r="BJ75" i="3"/>
  <c r="BI75" i="3"/>
  <c r="BH75" i="3"/>
  <c r="AY75" i="3"/>
  <c r="AX75" i="3"/>
  <c r="AM75" i="3"/>
  <c r="CG75" i="3" s="1"/>
  <c r="AL75" i="3"/>
  <c r="CF75" i="3" s="1"/>
  <c r="AK75" i="3"/>
  <c r="CE75" i="3" s="1"/>
  <c r="AJ75" i="3"/>
  <c r="CD75" i="3" s="1"/>
  <c r="AI75" i="3"/>
  <c r="AH75" i="3"/>
  <c r="AG75" i="3"/>
  <c r="AF75" i="3"/>
  <c r="AE75" i="3"/>
  <c r="AD75" i="3"/>
  <c r="AC75" i="3"/>
  <c r="AB75" i="3"/>
  <c r="AA75" i="3"/>
  <c r="N75" i="3"/>
  <c r="BO74" i="3"/>
  <c r="BN74" i="3"/>
  <c r="BM74" i="3"/>
  <c r="BL74" i="3"/>
  <c r="BK74" i="3"/>
  <c r="BJ74" i="3"/>
  <c r="BI74" i="3"/>
  <c r="BH74" i="3"/>
  <c r="AY74" i="3"/>
  <c r="AX74" i="3"/>
  <c r="AN74" i="3"/>
  <c r="BO73" i="3"/>
  <c r="BN73" i="3"/>
  <c r="BM73" i="3"/>
  <c r="BL73" i="3"/>
  <c r="BK73" i="3"/>
  <c r="BJ73" i="3"/>
  <c r="BI73" i="3"/>
  <c r="BH73" i="3"/>
  <c r="AY73" i="3"/>
  <c r="AX73" i="3"/>
  <c r="AN73" i="3"/>
  <c r="CG72" i="3"/>
  <c r="CF72" i="3"/>
  <c r="CE72" i="3"/>
  <c r="CD72" i="3"/>
  <c r="BO72" i="3"/>
  <c r="CC72" i="3" s="1"/>
  <c r="BN72" i="3"/>
  <c r="CB72" i="3" s="1"/>
  <c r="BM72" i="3"/>
  <c r="CA72" i="3" s="1"/>
  <c r="BL72" i="3"/>
  <c r="BZ72" i="3" s="1"/>
  <c r="BK72" i="3"/>
  <c r="BY72" i="3" s="1"/>
  <c r="BJ72" i="3"/>
  <c r="BX72" i="3" s="1"/>
  <c r="BI72" i="3"/>
  <c r="BW72" i="3" s="1"/>
  <c r="BH72" i="3"/>
  <c r="AY72" i="3"/>
  <c r="AX72" i="3"/>
  <c r="AN72" i="3"/>
  <c r="BO71" i="3"/>
  <c r="BN71" i="3"/>
  <c r="BM71" i="3"/>
  <c r="BL71" i="3"/>
  <c r="BK71" i="3"/>
  <c r="BJ71" i="3"/>
  <c r="BI71" i="3"/>
  <c r="BH71" i="3"/>
  <c r="AY71" i="3"/>
  <c r="AX71" i="3"/>
  <c r="AM71" i="3"/>
  <c r="CG71" i="3" s="1"/>
  <c r="AL71" i="3"/>
  <c r="CF71" i="3" s="1"/>
  <c r="AK71" i="3"/>
  <c r="CE71" i="3" s="1"/>
  <c r="AJ71" i="3"/>
  <c r="CD71" i="3" s="1"/>
  <c r="AI71" i="3"/>
  <c r="AH71" i="3"/>
  <c r="AG71" i="3"/>
  <c r="AF71" i="3"/>
  <c r="AE71" i="3"/>
  <c r="AD71" i="3"/>
  <c r="AC71" i="3"/>
  <c r="AB71" i="3"/>
  <c r="AA71" i="3"/>
  <c r="N71" i="3"/>
  <c r="BO70" i="3"/>
  <c r="BN70" i="3"/>
  <c r="BM70" i="3"/>
  <c r="BL70" i="3"/>
  <c r="BK70" i="3"/>
  <c r="BJ70" i="3"/>
  <c r="BI70" i="3"/>
  <c r="BH70" i="3"/>
  <c r="AY70" i="3"/>
  <c r="AX70" i="3"/>
  <c r="AN70" i="3"/>
  <c r="BO69" i="3"/>
  <c r="BN69" i="3"/>
  <c r="BM69" i="3"/>
  <c r="BL69" i="3"/>
  <c r="BK69" i="3"/>
  <c r="BJ69" i="3"/>
  <c r="BI69" i="3"/>
  <c r="BH69" i="3"/>
  <c r="AY69" i="3"/>
  <c r="AX69" i="3"/>
  <c r="AM69" i="3"/>
  <c r="CG69" i="3" s="1"/>
  <c r="AL69" i="3"/>
  <c r="CF69" i="3" s="1"/>
  <c r="AK69" i="3"/>
  <c r="CE69" i="3" s="1"/>
  <c r="AJ69" i="3"/>
  <c r="CD69" i="3" s="1"/>
  <c r="AI69" i="3"/>
  <c r="AH69" i="3"/>
  <c r="AG69" i="3"/>
  <c r="AF69" i="3"/>
  <c r="AE69" i="3"/>
  <c r="AD69" i="3"/>
  <c r="AC69" i="3"/>
  <c r="AB69" i="3"/>
  <c r="AA69" i="3"/>
  <c r="N69" i="3"/>
  <c r="AN69" i="3" s="1"/>
  <c r="BO68" i="3"/>
  <c r="BN68" i="3"/>
  <c r="BM68" i="3"/>
  <c r="BL68" i="3"/>
  <c r="BK68" i="3"/>
  <c r="BJ68" i="3"/>
  <c r="BI68" i="3"/>
  <c r="BH68" i="3"/>
  <c r="AY68" i="3"/>
  <c r="AX68" i="3"/>
  <c r="AN68" i="3"/>
  <c r="BO67" i="3"/>
  <c r="BN67" i="3"/>
  <c r="BM67" i="3"/>
  <c r="BL67" i="3"/>
  <c r="BK67" i="3"/>
  <c r="BJ67" i="3"/>
  <c r="BI67" i="3"/>
  <c r="BH67" i="3"/>
  <c r="AY67" i="3"/>
  <c r="AX67" i="3"/>
  <c r="AM67" i="3"/>
  <c r="CG67" i="3" s="1"/>
  <c r="AL67" i="3"/>
  <c r="CF67" i="3" s="1"/>
  <c r="AK67" i="3"/>
  <c r="CE67" i="3" s="1"/>
  <c r="AJ67" i="3"/>
  <c r="CD67" i="3" s="1"/>
  <c r="AI67" i="3"/>
  <c r="AH67" i="3"/>
  <c r="AG67" i="3"/>
  <c r="AF67" i="3"/>
  <c r="AE67" i="3"/>
  <c r="AD67" i="3"/>
  <c r="AC67" i="3"/>
  <c r="AB67" i="3"/>
  <c r="AA67" i="3"/>
  <c r="N67" i="3"/>
  <c r="BO66" i="3"/>
  <c r="BN66" i="3"/>
  <c r="BM66" i="3"/>
  <c r="BL66" i="3"/>
  <c r="BK66" i="3"/>
  <c r="BJ66" i="3"/>
  <c r="BI66" i="3"/>
  <c r="BH66" i="3"/>
  <c r="AY66" i="3"/>
  <c r="AX66" i="3"/>
  <c r="AM66" i="3"/>
  <c r="CG66" i="3" s="1"/>
  <c r="AL66" i="3"/>
  <c r="CF66" i="3" s="1"/>
  <c r="AK66" i="3"/>
  <c r="CE66" i="3" s="1"/>
  <c r="AJ66" i="3"/>
  <c r="CD66" i="3" s="1"/>
  <c r="AI66" i="3"/>
  <c r="AH66" i="3"/>
  <c r="AG66" i="3"/>
  <c r="AF66" i="3"/>
  <c r="AE66" i="3"/>
  <c r="AD66" i="3"/>
  <c r="AC66" i="3"/>
  <c r="AB66" i="3"/>
  <c r="AA66" i="3"/>
  <c r="N66" i="3"/>
  <c r="CG65" i="3"/>
  <c r="CF65" i="3"/>
  <c r="CE65" i="3"/>
  <c r="CD65" i="3"/>
  <c r="BW65" i="3"/>
  <c r="BV65" i="3"/>
  <c r="BO65" i="3"/>
  <c r="CC65" i="3" s="1"/>
  <c r="BN65" i="3"/>
  <c r="CB65" i="3" s="1"/>
  <c r="BM65" i="3"/>
  <c r="CA65" i="3" s="1"/>
  <c r="BL65" i="3"/>
  <c r="BZ65" i="3" s="1"/>
  <c r="BK65" i="3"/>
  <c r="BY65" i="3" s="1"/>
  <c r="BJ65" i="3"/>
  <c r="AY65" i="3"/>
  <c r="AX65" i="3"/>
  <c r="AN65" i="3"/>
  <c r="CG64" i="3"/>
  <c r="CF64" i="3"/>
  <c r="CE64" i="3"/>
  <c r="CD64" i="3"/>
  <c r="BV64" i="3"/>
  <c r="BO64" i="3"/>
  <c r="CC64" i="3" s="1"/>
  <c r="BN64" i="3"/>
  <c r="CB64" i="3" s="1"/>
  <c r="BM64" i="3"/>
  <c r="CA64" i="3" s="1"/>
  <c r="BL64" i="3"/>
  <c r="BZ64" i="3" s="1"/>
  <c r="BK64" i="3"/>
  <c r="BY64" i="3" s="1"/>
  <c r="BJ64" i="3"/>
  <c r="BX64" i="3" s="1"/>
  <c r="BI64" i="3"/>
  <c r="AY64" i="3"/>
  <c r="AX64" i="3"/>
  <c r="AN64" i="3"/>
  <c r="CG63" i="3"/>
  <c r="CF63" i="3"/>
  <c r="CE63" i="3"/>
  <c r="CD63" i="3"/>
  <c r="BO63" i="3"/>
  <c r="CC63" i="3" s="1"/>
  <c r="BN63" i="3"/>
  <c r="CB63" i="3" s="1"/>
  <c r="BM63" i="3"/>
  <c r="CA63" i="3" s="1"/>
  <c r="BL63" i="3"/>
  <c r="BZ63" i="3" s="1"/>
  <c r="BK63" i="3"/>
  <c r="BY63" i="3" s="1"/>
  <c r="BJ63" i="3"/>
  <c r="BX63" i="3" s="1"/>
  <c r="BI63" i="3"/>
  <c r="BW63" i="3" s="1"/>
  <c r="BH63" i="3"/>
  <c r="AY63" i="3"/>
  <c r="AX63" i="3"/>
  <c r="AN63" i="3"/>
  <c r="CG62" i="3"/>
  <c r="CF62" i="3"/>
  <c r="CE62" i="3"/>
  <c r="CD62" i="3"/>
  <c r="BO62" i="3"/>
  <c r="CC62" i="3" s="1"/>
  <c r="BN62" i="3"/>
  <c r="CB62" i="3" s="1"/>
  <c r="BM62" i="3"/>
  <c r="CA62" i="3" s="1"/>
  <c r="BL62" i="3"/>
  <c r="BZ62" i="3" s="1"/>
  <c r="BK62" i="3"/>
  <c r="BY62" i="3" s="1"/>
  <c r="BJ62" i="3"/>
  <c r="BX62" i="3" s="1"/>
  <c r="BI62" i="3"/>
  <c r="BW62" i="3" s="1"/>
  <c r="BH62" i="3"/>
  <c r="AY62" i="3"/>
  <c r="AX62" i="3"/>
  <c r="AN62" i="3"/>
  <c r="CG61" i="3"/>
  <c r="CF61" i="3"/>
  <c r="CE61" i="3"/>
  <c r="CD61" i="3"/>
  <c r="BO61" i="3"/>
  <c r="BN61" i="3"/>
  <c r="CB61" i="3" s="1"/>
  <c r="BM61" i="3"/>
  <c r="BL61" i="3"/>
  <c r="BK61" i="3"/>
  <c r="BY61" i="3" s="1"/>
  <c r="BJ61" i="3"/>
  <c r="BX61" i="3" s="1"/>
  <c r="BI61" i="3"/>
  <c r="BW61" i="3" s="1"/>
  <c r="BH61" i="3"/>
  <c r="AY61" i="3"/>
  <c r="AX61" i="3"/>
  <c r="AN61" i="3"/>
  <c r="BO60" i="3"/>
  <c r="BN60" i="3"/>
  <c r="BM60" i="3"/>
  <c r="BL60" i="3"/>
  <c r="BK60" i="3"/>
  <c r="BJ60" i="3"/>
  <c r="BI60" i="3"/>
  <c r="BH60" i="3"/>
  <c r="AY60" i="3"/>
  <c r="AX60" i="3"/>
  <c r="AM60" i="3"/>
  <c r="CG60" i="3" s="1"/>
  <c r="AL60" i="3"/>
  <c r="CF60" i="3" s="1"/>
  <c r="AK60" i="3"/>
  <c r="CE60" i="3" s="1"/>
  <c r="AJ60" i="3"/>
  <c r="CD60" i="3" s="1"/>
  <c r="AI60" i="3"/>
  <c r="AH60" i="3"/>
  <c r="AG60" i="3"/>
  <c r="AF60" i="3"/>
  <c r="AE60" i="3"/>
  <c r="AD60" i="3"/>
  <c r="AC60" i="3"/>
  <c r="AB60" i="3"/>
  <c r="AA60" i="3"/>
  <c r="N60" i="3"/>
  <c r="BO59" i="3"/>
  <c r="BN59" i="3"/>
  <c r="BM59" i="3"/>
  <c r="BL59" i="3"/>
  <c r="BK59" i="3"/>
  <c r="BJ59" i="3"/>
  <c r="BI59" i="3"/>
  <c r="BH59" i="3"/>
  <c r="AY59" i="3"/>
  <c r="AX59" i="3"/>
  <c r="AM59" i="3"/>
  <c r="CG59" i="3" s="1"/>
  <c r="AL59" i="3"/>
  <c r="CF59" i="3" s="1"/>
  <c r="AK59" i="3"/>
  <c r="CE59" i="3" s="1"/>
  <c r="AJ59" i="3"/>
  <c r="CD59" i="3" s="1"/>
  <c r="AI59" i="3"/>
  <c r="AH59" i="3"/>
  <c r="AG59" i="3"/>
  <c r="AF59" i="3"/>
  <c r="AE59" i="3"/>
  <c r="AD59" i="3"/>
  <c r="AC59" i="3"/>
  <c r="AB59" i="3"/>
  <c r="AA59" i="3"/>
  <c r="N59" i="3"/>
  <c r="BO58" i="3"/>
  <c r="BN58" i="3"/>
  <c r="BM58" i="3"/>
  <c r="BL58" i="3"/>
  <c r="BK58" i="3"/>
  <c r="BJ58" i="3"/>
  <c r="BI58" i="3"/>
  <c r="BH58" i="3"/>
  <c r="AY58" i="3"/>
  <c r="AX58" i="3"/>
  <c r="AM58" i="3"/>
  <c r="CG58" i="3" s="1"/>
  <c r="AL58" i="3"/>
  <c r="CF58" i="3" s="1"/>
  <c r="AK58" i="3"/>
  <c r="CE58" i="3" s="1"/>
  <c r="AJ58" i="3"/>
  <c r="CD58" i="3" s="1"/>
  <c r="AI58" i="3"/>
  <c r="AH58" i="3"/>
  <c r="AG58" i="3"/>
  <c r="AF58" i="3"/>
  <c r="AE58" i="3"/>
  <c r="AD58" i="3"/>
  <c r="AC58" i="3"/>
  <c r="AB58" i="3"/>
  <c r="AA58" i="3"/>
  <c r="N58" i="3"/>
  <c r="BO57" i="3"/>
  <c r="BN57" i="3"/>
  <c r="BM57" i="3"/>
  <c r="BL57" i="3"/>
  <c r="BK57" i="3"/>
  <c r="BJ57" i="3"/>
  <c r="BI57" i="3"/>
  <c r="BH57" i="3"/>
  <c r="AY57" i="3"/>
  <c r="AX57" i="3"/>
  <c r="AM57" i="3"/>
  <c r="CG57" i="3" s="1"/>
  <c r="AL57" i="3"/>
  <c r="CF57" i="3" s="1"/>
  <c r="AK57" i="3"/>
  <c r="CE57" i="3" s="1"/>
  <c r="AJ57" i="3"/>
  <c r="CD57" i="3" s="1"/>
  <c r="AI57" i="3"/>
  <c r="AH57" i="3"/>
  <c r="AG57" i="3"/>
  <c r="AF57" i="3"/>
  <c r="AE57" i="3"/>
  <c r="AD57" i="3"/>
  <c r="AC57" i="3"/>
  <c r="AB57" i="3"/>
  <c r="AA57" i="3"/>
  <c r="N57" i="3"/>
  <c r="BO56" i="3"/>
  <c r="BN56" i="3"/>
  <c r="BM56" i="3"/>
  <c r="BL56" i="3"/>
  <c r="BK56" i="3"/>
  <c r="BJ56" i="3"/>
  <c r="BI56" i="3"/>
  <c r="BH56" i="3"/>
  <c r="AY56" i="3"/>
  <c r="AX56" i="3"/>
  <c r="AM56" i="3"/>
  <c r="CG56" i="3" s="1"/>
  <c r="AL56" i="3"/>
  <c r="CF56" i="3" s="1"/>
  <c r="AK56" i="3"/>
  <c r="CE56" i="3" s="1"/>
  <c r="AJ56" i="3"/>
  <c r="CD56" i="3" s="1"/>
  <c r="AI56" i="3"/>
  <c r="AH56" i="3"/>
  <c r="AG56" i="3"/>
  <c r="AF56" i="3"/>
  <c r="AE56" i="3"/>
  <c r="AD56" i="3"/>
  <c r="AC56" i="3"/>
  <c r="AB56" i="3"/>
  <c r="AA56" i="3"/>
  <c r="N56" i="3"/>
  <c r="AN56" i="3" s="1"/>
  <c r="BO55" i="3"/>
  <c r="BN55" i="3"/>
  <c r="BM55" i="3"/>
  <c r="BL55" i="3"/>
  <c r="BK55" i="3"/>
  <c r="BJ55" i="3"/>
  <c r="BI55" i="3"/>
  <c r="BH55" i="3"/>
  <c r="AY55" i="3"/>
  <c r="AX55" i="3"/>
  <c r="AM55" i="3"/>
  <c r="CG55" i="3" s="1"/>
  <c r="AL55" i="3"/>
  <c r="CF55" i="3" s="1"/>
  <c r="AK55" i="3"/>
  <c r="CE55" i="3" s="1"/>
  <c r="AJ55" i="3"/>
  <c r="CD55" i="3" s="1"/>
  <c r="AI55" i="3"/>
  <c r="AH55" i="3"/>
  <c r="AG55" i="3"/>
  <c r="AF55" i="3"/>
  <c r="AE55" i="3"/>
  <c r="AD55" i="3"/>
  <c r="AC55" i="3"/>
  <c r="AB55" i="3"/>
  <c r="AA55" i="3"/>
  <c r="N55" i="3"/>
  <c r="BO54" i="3"/>
  <c r="BN54" i="3"/>
  <c r="BM54" i="3"/>
  <c r="BL54" i="3"/>
  <c r="BK54" i="3"/>
  <c r="BJ54" i="3"/>
  <c r="BI54" i="3"/>
  <c r="BH54" i="3"/>
  <c r="AY54" i="3"/>
  <c r="AX54" i="3"/>
  <c r="AM54" i="3"/>
  <c r="CG54" i="3" s="1"/>
  <c r="AL54" i="3"/>
  <c r="CF54" i="3" s="1"/>
  <c r="AK54" i="3"/>
  <c r="CE54" i="3" s="1"/>
  <c r="AJ54" i="3"/>
  <c r="CD54" i="3" s="1"/>
  <c r="AI54" i="3"/>
  <c r="AH54" i="3"/>
  <c r="AG54" i="3"/>
  <c r="AF54" i="3"/>
  <c r="AE54" i="3"/>
  <c r="AD54" i="3"/>
  <c r="AC54" i="3"/>
  <c r="AB54" i="3"/>
  <c r="AA54" i="3"/>
  <c r="N54" i="3"/>
  <c r="BO53" i="3"/>
  <c r="BN53" i="3"/>
  <c r="BM53" i="3"/>
  <c r="BL53" i="3"/>
  <c r="BK53" i="3"/>
  <c r="BJ53" i="3"/>
  <c r="BI53" i="3"/>
  <c r="BH53" i="3"/>
  <c r="AY53" i="3"/>
  <c r="AX53" i="3"/>
  <c r="AM53" i="3"/>
  <c r="CG53" i="3" s="1"/>
  <c r="AL53" i="3"/>
  <c r="CF53" i="3" s="1"/>
  <c r="AK53" i="3"/>
  <c r="CE53" i="3" s="1"/>
  <c r="AJ53" i="3"/>
  <c r="CD53" i="3" s="1"/>
  <c r="AI53" i="3"/>
  <c r="AH53" i="3"/>
  <c r="AG53" i="3"/>
  <c r="AF53" i="3"/>
  <c r="AE53" i="3"/>
  <c r="AD53" i="3"/>
  <c r="AC53" i="3"/>
  <c r="AB53" i="3"/>
  <c r="AA53" i="3"/>
  <c r="N53" i="3"/>
  <c r="BO52" i="3"/>
  <c r="BN52" i="3"/>
  <c r="BM52" i="3"/>
  <c r="BL52" i="3"/>
  <c r="BK52" i="3"/>
  <c r="BJ52" i="3"/>
  <c r="BI52" i="3"/>
  <c r="BH52" i="3"/>
  <c r="AY52" i="3"/>
  <c r="AX52" i="3"/>
  <c r="AM52" i="3"/>
  <c r="CG52" i="3" s="1"/>
  <c r="AL52" i="3"/>
  <c r="CF52" i="3" s="1"/>
  <c r="AK52" i="3"/>
  <c r="CE52" i="3" s="1"/>
  <c r="AJ52" i="3"/>
  <c r="CD52" i="3" s="1"/>
  <c r="AI52" i="3"/>
  <c r="AH52" i="3"/>
  <c r="AG52" i="3"/>
  <c r="AF52" i="3"/>
  <c r="AE52" i="3"/>
  <c r="AD52" i="3"/>
  <c r="AC52" i="3"/>
  <c r="AB52" i="3"/>
  <c r="AA52" i="3"/>
  <c r="N52" i="3"/>
  <c r="BO51" i="3"/>
  <c r="BN51" i="3"/>
  <c r="BM51" i="3"/>
  <c r="BL51" i="3"/>
  <c r="BK51" i="3"/>
  <c r="BJ51" i="3"/>
  <c r="BI51" i="3"/>
  <c r="BH51" i="3"/>
  <c r="AY51" i="3"/>
  <c r="AX51" i="3"/>
  <c r="AM51" i="3"/>
  <c r="CG51" i="3" s="1"/>
  <c r="AL51" i="3"/>
  <c r="CF51" i="3" s="1"/>
  <c r="AK51" i="3"/>
  <c r="CE51" i="3" s="1"/>
  <c r="AJ51" i="3"/>
  <c r="CD51" i="3" s="1"/>
  <c r="AI51" i="3"/>
  <c r="AH51" i="3"/>
  <c r="AG51" i="3"/>
  <c r="AF51" i="3"/>
  <c r="AE51" i="3"/>
  <c r="AD51" i="3"/>
  <c r="AC51" i="3"/>
  <c r="AB51" i="3"/>
  <c r="AA51" i="3"/>
  <c r="N51" i="3"/>
  <c r="BO50" i="3"/>
  <c r="BN50" i="3"/>
  <c r="BM50" i="3"/>
  <c r="BL50" i="3"/>
  <c r="BK50" i="3"/>
  <c r="BJ50" i="3"/>
  <c r="BI50" i="3"/>
  <c r="BH50" i="3"/>
  <c r="AY50" i="3"/>
  <c r="AX50" i="3"/>
  <c r="AM50" i="3"/>
  <c r="CG50" i="3" s="1"/>
  <c r="AL50" i="3"/>
  <c r="CF50" i="3" s="1"/>
  <c r="AK50" i="3"/>
  <c r="CE50" i="3" s="1"/>
  <c r="AJ50" i="3"/>
  <c r="CD50" i="3" s="1"/>
  <c r="AI50" i="3"/>
  <c r="AH50" i="3"/>
  <c r="AG50" i="3"/>
  <c r="AF50" i="3"/>
  <c r="AE50" i="3"/>
  <c r="AD50" i="3"/>
  <c r="AC50" i="3"/>
  <c r="AB50" i="3"/>
  <c r="AA50" i="3"/>
  <c r="N50" i="3"/>
  <c r="BO49" i="3"/>
  <c r="BN49" i="3"/>
  <c r="BM49" i="3"/>
  <c r="BL49" i="3"/>
  <c r="BK49" i="3"/>
  <c r="BJ49" i="3"/>
  <c r="BI49" i="3"/>
  <c r="BH49" i="3"/>
  <c r="AY49" i="3"/>
  <c r="AX49" i="3"/>
  <c r="AM49" i="3"/>
  <c r="CG49" i="3" s="1"/>
  <c r="AL49" i="3"/>
  <c r="CF49" i="3" s="1"/>
  <c r="AK49" i="3"/>
  <c r="CE49" i="3" s="1"/>
  <c r="AJ49" i="3"/>
  <c r="CD49" i="3" s="1"/>
  <c r="AI49" i="3"/>
  <c r="AH49" i="3"/>
  <c r="AG49" i="3"/>
  <c r="AF49" i="3"/>
  <c r="AE49" i="3"/>
  <c r="AD49" i="3"/>
  <c r="AC49" i="3"/>
  <c r="AB49" i="3"/>
  <c r="AA49" i="3"/>
  <c r="N49" i="3"/>
  <c r="BO48" i="3"/>
  <c r="BN48" i="3"/>
  <c r="BM48" i="3"/>
  <c r="BL48" i="3"/>
  <c r="BK48" i="3"/>
  <c r="BJ48" i="3"/>
  <c r="BI48" i="3"/>
  <c r="BH48" i="3"/>
  <c r="AY48" i="3"/>
  <c r="AX48" i="3"/>
  <c r="AM48" i="3"/>
  <c r="CG48" i="3" s="1"/>
  <c r="AL48" i="3"/>
  <c r="CF48" i="3" s="1"/>
  <c r="AK48" i="3"/>
  <c r="CE48" i="3" s="1"/>
  <c r="AJ48" i="3"/>
  <c r="CD48" i="3" s="1"/>
  <c r="AI48" i="3"/>
  <c r="AH48" i="3"/>
  <c r="AG48" i="3"/>
  <c r="AF48" i="3"/>
  <c r="AE48" i="3"/>
  <c r="AD48" i="3"/>
  <c r="AC48" i="3"/>
  <c r="AB48" i="3"/>
  <c r="AA48" i="3"/>
  <c r="N48" i="3"/>
  <c r="BO47" i="3"/>
  <c r="BN47" i="3"/>
  <c r="BM47" i="3"/>
  <c r="BL47" i="3"/>
  <c r="BK47" i="3"/>
  <c r="BJ47" i="3"/>
  <c r="BI47" i="3"/>
  <c r="BH47" i="3"/>
  <c r="AY47" i="3"/>
  <c r="AX47" i="3"/>
  <c r="AM47" i="3"/>
  <c r="CG47" i="3" s="1"/>
  <c r="AL47" i="3"/>
  <c r="CF47" i="3" s="1"/>
  <c r="AK47" i="3"/>
  <c r="CE47" i="3" s="1"/>
  <c r="AJ47" i="3"/>
  <c r="CD47" i="3" s="1"/>
  <c r="AI47" i="3"/>
  <c r="AH47" i="3"/>
  <c r="AG47" i="3"/>
  <c r="AF47" i="3"/>
  <c r="AE47" i="3"/>
  <c r="AD47" i="3"/>
  <c r="AC47" i="3"/>
  <c r="AB47" i="3"/>
  <c r="AA47" i="3"/>
  <c r="N47" i="3"/>
  <c r="BO46" i="3"/>
  <c r="BN46" i="3"/>
  <c r="BM46" i="3"/>
  <c r="BL46" i="3"/>
  <c r="BK46" i="3"/>
  <c r="BJ46" i="3"/>
  <c r="BI46" i="3"/>
  <c r="BH46" i="3"/>
  <c r="AY46" i="3"/>
  <c r="AX46" i="3"/>
  <c r="AM46" i="3"/>
  <c r="CG46" i="3" s="1"/>
  <c r="AL46" i="3"/>
  <c r="CF46" i="3" s="1"/>
  <c r="AK46" i="3"/>
  <c r="CE46" i="3" s="1"/>
  <c r="AJ46" i="3"/>
  <c r="CD46" i="3" s="1"/>
  <c r="AI46" i="3"/>
  <c r="AH46" i="3"/>
  <c r="AG46" i="3"/>
  <c r="AF46" i="3"/>
  <c r="AE46" i="3"/>
  <c r="AD46" i="3"/>
  <c r="AC46" i="3"/>
  <c r="AB46" i="3"/>
  <c r="AA46" i="3"/>
  <c r="N46" i="3"/>
  <c r="BO45" i="3"/>
  <c r="BN45" i="3"/>
  <c r="BM45" i="3"/>
  <c r="BL45" i="3"/>
  <c r="BK45" i="3"/>
  <c r="BJ45" i="3"/>
  <c r="BI45" i="3"/>
  <c r="BH45" i="3"/>
  <c r="AY45" i="3"/>
  <c r="AX45" i="3"/>
  <c r="AM45" i="3"/>
  <c r="CG45" i="3" s="1"/>
  <c r="AL45" i="3"/>
  <c r="CF45" i="3" s="1"/>
  <c r="AK45" i="3"/>
  <c r="CE45" i="3" s="1"/>
  <c r="AJ45" i="3"/>
  <c r="CD45" i="3" s="1"/>
  <c r="AI45" i="3"/>
  <c r="AH45" i="3"/>
  <c r="AG45" i="3"/>
  <c r="AF45" i="3"/>
  <c r="AE45" i="3"/>
  <c r="AD45" i="3"/>
  <c r="AC45" i="3"/>
  <c r="AB45" i="3"/>
  <c r="AA45" i="3"/>
  <c r="N45" i="3"/>
  <c r="BO44" i="3"/>
  <c r="BN44" i="3"/>
  <c r="BM44" i="3"/>
  <c r="BL44" i="3"/>
  <c r="BK44" i="3"/>
  <c r="BJ44" i="3"/>
  <c r="BI44" i="3"/>
  <c r="BH44" i="3"/>
  <c r="AY44" i="3"/>
  <c r="AX44" i="3"/>
  <c r="AM44" i="3"/>
  <c r="CG44" i="3" s="1"/>
  <c r="AL44" i="3"/>
  <c r="CF44" i="3" s="1"/>
  <c r="AK44" i="3"/>
  <c r="CE44" i="3" s="1"/>
  <c r="AJ44" i="3"/>
  <c r="CD44" i="3" s="1"/>
  <c r="AI44" i="3"/>
  <c r="AH44" i="3"/>
  <c r="AG44" i="3"/>
  <c r="AF44" i="3"/>
  <c r="AE44" i="3"/>
  <c r="AD44" i="3"/>
  <c r="AC44" i="3"/>
  <c r="AB44" i="3"/>
  <c r="AA44" i="3"/>
  <c r="N44" i="3"/>
  <c r="BO43" i="3"/>
  <c r="BN43" i="3"/>
  <c r="BM43" i="3"/>
  <c r="BL43" i="3"/>
  <c r="BK43" i="3"/>
  <c r="BJ43" i="3"/>
  <c r="BI43" i="3"/>
  <c r="BH43" i="3"/>
  <c r="AY43" i="3"/>
  <c r="AX43" i="3"/>
  <c r="AM43" i="3"/>
  <c r="CG43" i="3" s="1"/>
  <c r="AL43" i="3"/>
  <c r="CF43" i="3" s="1"/>
  <c r="AK43" i="3"/>
  <c r="CE43" i="3" s="1"/>
  <c r="AJ43" i="3"/>
  <c r="CD43" i="3" s="1"/>
  <c r="AI43" i="3"/>
  <c r="AH43" i="3"/>
  <c r="AG43" i="3"/>
  <c r="AF43" i="3"/>
  <c r="AE43" i="3"/>
  <c r="AD43" i="3"/>
  <c r="AC43" i="3"/>
  <c r="AB43" i="3"/>
  <c r="AA43" i="3"/>
  <c r="N43" i="3"/>
  <c r="BO42" i="3"/>
  <c r="BN42" i="3"/>
  <c r="BM42" i="3"/>
  <c r="BL42" i="3"/>
  <c r="BK42" i="3"/>
  <c r="BJ42" i="3"/>
  <c r="BI42" i="3"/>
  <c r="BH42" i="3"/>
  <c r="AY42" i="3"/>
  <c r="AX42" i="3"/>
  <c r="AM42" i="3"/>
  <c r="CG42" i="3" s="1"/>
  <c r="AL42" i="3"/>
  <c r="CF42" i="3" s="1"/>
  <c r="AK42" i="3"/>
  <c r="CE42" i="3" s="1"/>
  <c r="AJ42" i="3"/>
  <c r="CD42" i="3" s="1"/>
  <c r="AI42" i="3"/>
  <c r="AH42" i="3"/>
  <c r="AG42" i="3"/>
  <c r="AF42" i="3"/>
  <c r="AE42" i="3"/>
  <c r="AD42" i="3"/>
  <c r="AC42" i="3"/>
  <c r="AB42" i="3"/>
  <c r="AA42" i="3"/>
  <c r="N42" i="3"/>
  <c r="BO41" i="3"/>
  <c r="BN41" i="3"/>
  <c r="BM41" i="3"/>
  <c r="BL41" i="3"/>
  <c r="BK41" i="3"/>
  <c r="BJ41" i="3"/>
  <c r="BI41" i="3"/>
  <c r="BH41" i="3"/>
  <c r="AY41" i="3"/>
  <c r="AX41" i="3"/>
  <c r="AM41" i="3"/>
  <c r="CG41" i="3" s="1"/>
  <c r="AL41" i="3"/>
  <c r="CF41" i="3" s="1"/>
  <c r="AK41" i="3"/>
  <c r="CE41" i="3" s="1"/>
  <c r="AJ41" i="3"/>
  <c r="CD41" i="3" s="1"/>
  <c r="AI41" i="3"/>
  <c r="AH41" i="3"/>
  <c r="AG41" i="3"/>
  <c r="AF41" i="3"/>
  <c r="AE41" i="3"/>
  <c r="AD41" i="3"/>
  <c r="AC41" i="3"/>
  <c r="AB41" i="3"/>
  <c r="AA41" i="3"/>
  <c r="N41" i="3"/>
  <c r="BO40" i="3"/>
  <c r="BN40" i="3"/>
  <c r="BM40" i="3"/>
  <c r="BL40" i="3"/>
  <c r="BK40" i="3"/>
  <c r="BJ40" i="3"/>
  <c r="BI40" i="3"/>
  <c r="BH40" i="3"/>
  <c r="AY40" i="3"/>
  <c r="AX40" i="3"/>
  <c r="AM40" i="3"/>
  <c r="CG40" i="3" s="1"/>
  <c r="AL40" i="3"/>
  <c r="CF40" i="3" s="1"/>
  <c r="AK40" i="3"/>
  <c r="CE40" i="3" s="1"/>
  <c r="AJ40" i="3"/>
  <c r="CD40" i="3" s="1"/>
  <c r="AI40" i="3"/>
  <c r="AH40" i="3"/>
  <c r="AG40" i="3"/>
  <c r="AF40" i="3"/>
  <c r="AE40" i="3"/>
  <c r="AD40" i="3"/>
  <c r="AC40" i="3"/>
  <c r="AB40" i="3"/>
  <c r="AA40" i="3"/>
  <c r="N40" i="3"/>
  <c r="BO39" i="3"/>
  <c r="BN39" i="3"/>
  <c r="BM39" i="3"/>
  <c r="BL39" i="3"/>
  <c r="BK39" i="3"/>
  <c r="BJ39" i="3"/>
  <c r="BI39" i="3"/>
  <c r="BH39" i="3"/>
  <c r="AY39" i="3"/>
  <c r="AX39" i="3"/>
  <c r="AM39" i="3"/>
  <c r="CG39" i="3" s="1"/>
  <c r="AL39" i="3"/>
  <c r="CF39" i="3" s="1"/>
  <c r="AK39" i="3"/>
  <c r="CE39" i="3" s="1"/>
  <c r="AJ39" i="3"/>
  <c r="CD39" i="3" s="1"/>
  <c r="AI39" i="3"/>
  <c r="AH39" i="3"/>
  <c r="AG39" i="3"/>
  <c r="AF39" i="3"/>
  <c r="AE39" i="3"/>
  <c r="AD39" i="3"/>
  <c r="AC39" i="3"/>
  <c r="AB39" i="3"/>
  <c r="AA39" i="3"/>
  <c r="N39" i="3"/>
  <c r="BO38" i="3"/>
  <c r="BN38" i="3"/>
  <c r="BM38" i="3"/>
  <c r="BL38" i="3"/>
  <c r="BK38" i="3"/>
  <c r="BJ38" i="3"/>
  <c r="BI38" i="3"/>
  <c r="BH38" i="3"/>
  <c r="AY38" i="3"/>
  <c r="AX38" i="3"/>
  <c r="AM38" i="3"/>
  <c r="CG38" i="3" s="1"/>
  <c r="AL38" i="3"/>
  <c r="CF38" i="3" s="1"/>
  <c r="AK38" i="3"/>
  <c r="CE38" i="3" s="1"/>
  <c r="AJ38" i="3"/>
  <c r="CD38" i="3" s="1"/>
  <c r="AI38" i="3"/>
  <c r="AH38" i="3"/>
  <c r="AG38" i="3"/>
  <c r="AF38" i="3"/>
  <c r="AE38" i="3"/>
  <c r="AD38" i="3"/>
  <c r="AC38" i="3"/>
  <c r="AB38" i="3"/>
  <c r="AA38" i="3"/>
  <c r="N38" i="3"/>
  <c r="BO37" i="3"/>
  <c r="BN37" i="3"/>
  <c r="BM37" i="3"/>
  <c r="BL37" i="3"/>
  <c r="BK37" i="3"/>
  <c r="BJ37" i="3"/>
  <c r="BI37" i="3"/>
  <c r="BH37" i="3"/>
  <c r="AY37" i="3"/>
  <c r="AX37" i="3"/>
  <c r="AM37" i="3"/>
  <c r="CG37" i="3" s="1"/>
  <c r="AL37" i="3"/>
  <c r="CF37" i="3" s="1"/>
  <c r="AK37" i="3"/>
  <c r="CE37" i="3" s="1"/>
  <c r="AJ37" i="3"/>
  <c r="CD37" i="3" s="1"/>
  <c r="AI37" i="3"/>
  <c r="AH37" i="3"/>
  <c r="AG37" i="3"/>
  <c r="AF37" i="3"/>
  <c r="AE37" i="3"/>
  <c r="AD37" i="3"/>
  <c r="AC37" i="3"/>
  <c r="AB37" i="3"/>
  <c r="AA37" i="3"/>
  <c r="N37" i="3"/>
  <c r="BO36" i="3"/>
  <c r="BN36" i="3"/>
  <c r="BM36" i="3"/>
  <c r="BL36" i="3"/>
  <c r="BK36" i="3"/>
  <c r="BJ36" i="3"/>
  <c r="BI36" i="3"/>
  <c r="BH36" i="3"/>
  <c r="AY36" i="3"/>
  <c r="AX36" i="3"/>
  <c r="AM36" i="3"/>
  <c r="CG36" i="3" s="1"/>
  <c r="AL36" i="3"/>
  <c r="CF36" i="3" s="1"/>
  <c r="AK36" i="3"/>
  <c r="CE36" i="3" s="1"/>
  <c r="AJ36" i="3"/>
  <c r="CD36" i="3" s="1"/>
  <c r="AI36" i="3"/>
  <c r="AH36" i="3"/>
  <c r="AG36" i="3"/>
  <c r="AF36" i="3"/>
  <c r="AE36" i="3"/>
  <c r="AD36" i="3"/>
  <c r="AC36" i="3"/>
  <c r="AB36" i="3"/>
  <c r="AA36" i="3"/>
  <c r="N36" i="3"/>
  <c r="BO35" i="3"/>
  <c r="BN35" i="3"/>
  <c r="BM35" i="3"/>
  <c r="BL35" i="3"/>
  <c r="BK35" i="3"/>
  <c r="BJ35" i="3"/>
  <c r="BI35" i="3"/>
  <c r="BH35" i="3"/>
  <c r="AY35" i="3"/>
  <c r="AX35" i="3"/>
  <c r="AM35" i="3"/>
  <c r="CG35" i="3" s="1"/>
  <c r="AL35" i="3"/>
  <c r="CF35" i="3" s="1"/>
  <c r="AK35" i="3"/>
  <c r="CE35" i="3" s="1"/>
  <c r="AJ35" i="3"/>
  <c r="CD35" i="3" s="1"/>
  <c r="AI35" i="3"/>
  <c r="AH35" i="3"/>
  <c r="AG35" i="3"/>
  <c r="AF35" i="3"/>
  <c r="AE35" i="3"/>
  <c r="AD35" i="3"/>
  <c r="AC35" i="3"/>
  <c r="AB35" i="3"/>
  <c r="AA35" i="3"/>
  <c r="N35" i="3"/>
  <c r="BO34" i="3"/>
  <c r="BN34" i="3"/>
  <c r="BM34" i="3"/>
  <c r="BL34" i="3"/>
  <c r="BK34" i="3"/>
  <c r="BJ34" i="3"/>
  <c r="BI34" i="3"/>
  <c r="BH34" i="3"/>
  <c r="AY34" i="3"/>
  <c r="AX34" i="3"/>
  <c r="AM34" i="3"/>
  <c r="CG34" i="3" s="1"/>
  <c r="AL34" i="3"/>
  <c r="CF34" i="3" s="1"/>
  <c r="AK34" i="3"/>
  <c r="CE34" i="3" s="1"/>
  <c r="AJ34" i="3"/>
  <c r="CD34" i="3" s="1"/>
  <c r="AI34" i="3"/>
  <c r="AH34" i="3"/>
  <c r="AG34" i="3"/>
  <c r="AF34" i="3"/>
  <c r="AE34" i="3"/>
  <c r="AD34" i="3"/>
  <c r="AC34" i="3"/>
  <c r="AB34" i="3"/>
  <c r="AA34" i="3"/>
  <c r="N34" i="3"/>
  <c r="BO33" i="3"/>
  <c r="BN33" i="3"/>
  <c r="BM33" i="3"/>
  <c r="BL33" i="3"/>
  <c r="BK33" i="3"/>
  <c r="BJ33" i="3"/>
  <c r="BI33" i="3"/>
  <c r="BH33" i="3"/>
  <c r="AY33" i="3"/>
  <c r="AX33" i="3"/>
  <c r="AM33" i="3"/>
  <c r="CG33" i="3" s="1"/>
  <c r="AL33" i="3"/>
  <c r="CF33" i="3" s="1"/>
  <c r="AK33" i="3"/>
  <c r="CE33" i="3" s="1"/>
  <c r="AJ33" i="3"/>
  <c r="CD33" i="3" s="1"/>
  <c r="AI33" i="3"/>
  <c r="AH33" i="3"/>
  <c r="AG33" i="3"/>
  <c r="AF33" i="3"/>
  <c r="AE33" i="3"/>
  <c r="AD33" i="3"/>
  <c r="AC33" i="3"/>
  <c r="AB33" i="3"/>
  <c r="AA33" i="3"/>
  <c r="N33" i="3"/>
  <c r="BO32" i="3"/>
  <c r="BN32" i="3"/>
  <c r="BM32" i="3"/>
  <c r="BL32" i="3"/>
  <c r="BK32" i="3"/>
  <c r="BJ32" i="3"/>
  <c r="BI32" i="3"/>
  <c r="BH32" i="3"/>
  <c r="AY32" i="3"/>
  <c r="AX32" i="3"/>
  <c r="AM32" i="3"/>
  <c r="CG32" i="3" s="1"/>
  <c r="AL32" i="3"/>
  <c r="CF32" i="3" s="1"/>
  <c r="AK32" i="3"/>
  <c r="CE32" i="3" s="1"/>
  <c r="AJ32" i="3"/>
  <c r="CD32" i="3" s="1"/>
  <c r="AI32" i="3"/>
  <c r="AH32" i="3"/>
  <c r="AG32" i="3"/>
  <c r="AF32" i="3"/>
  <c r="AE32" i="3"/>
  <c r="AD32" i="3"/>
  <c r="AC32" i="3"/>
  <c r="AB32" i="3"/>
  <c r="AA32" i="3"/>
  <c r="N32" i="3"/>
  <c r="BO31" i="3"/>
  <c r="BN31" i="3"/>
  <c r="BM31" i="3"/>
  <c r="BL31" i="3"/>
  <c r="BK31" i="3"/>
  <c r="BJ31" i="3"/>
  <c r="BI31" i="3"/>
  <c r="BH31" i="3"/>
  <c r="AY31" i="3"/>
  <c r="AX31" i="3"/>
  <c r="AM31" i="3"/>
  <c r="CG31" i="3" s="1"/>
  <c r="AL31" i="3"/>
  <c r="CF31" i="3" s="1"/>
  <c r="AK31" i="3"/>
  <c r="CE31" i="3" s="1"/>
  <c r="AJ31" i="3"/>
  <c r="CD31" i="3" s="1"/>
  <c r="AI31" i="3"/>
  <c r="AH31" i="3"/>
  <c r="AG31" i="3"/>
  <c r="AF31" i="3"/>
  <c r="AE31" i="3"/>
  <c r="AD31" i="3"/>
  <c r="AC31" i="3"/>
  <c r="AB31" i="3"/>
  <c r="AA31" i="3"/>
  <c r="N31" i="3"/>
  <c r="BO30" i="3"/>
  <c r="BN30" i="3"/>
  <c r="BM30" i="3"/>
  <c r="BL30" i="3"/>
  <c r="BK30" i="3"/>
  <c r="BJ30" i="3"/>
  <c r="BI30" i="3"/>
  <c r="BH30" i="3"/>
  <c r="AY30" i="3"/>
  <c r="AX30" i="3"/>
  <c r="AM30" i="3"/>
  <c r="CG30" i="3" s="1"/>
  <c r="AL30" i="3"/>
  <c r="CF30" i="3" s="1"/>
  <c r="AK30" i="3"/>
  <c r="CE30" i="3" s="1"/>
  <c r="AJ30" i="3"/>
  <c r="CD30" i="3" s="1"/>
  <c r="AI30" i="3"/>
  <c r="AH30" i="3"/>
  <c r="AG30" i="3"/>
  <c r="AF30" i="3"/>
  <c r="AE30" i="3"/>
  <c r="AD30" i="3"/>
  <c r="AC30" i="3"/>
  <c r="AB30" i="3"/>
  <c r="AA30" i="3"/>
  <c r="N30" i="3"/>
  <c r="BO29" i="3"/>
  <c r="BN29" i="3"/>
  <c r="BM29" i="3"/>
  <c r="BL29" i="3"/>
  <c r="BK29" i="3"/>
  <c r="BJ29" i="3"/>
  <c r="BI29" i="3"/>
  <c r="BH29" i="3"/>
  <c r="AY29" i="3"/>
  <c r="AX29" i="3"/>
  <c r="AM29" i="3"/>
  <c r="CG29" i="3" s="1"/>
  <c r="AL29" i="3"/>
  <c r="CF29" i="3" s="1"/>
  <c r="AK29" i="3"/>
  <c r="CE29" i="3" s="1"/>
  <c r="AJ29" i="3"/>
  <c r="CD29" i="3" s="1"/>
  <c r="AI29" i="3"/>
  <c r="AH29" i="3"/>
  <c r="AG29" i="3"/>
  <c r="AF29" i="3"/>
  <c r="AE29" i="3"/>
  <c r="AD29" i="3"/>
  <c r="AC29" i="3"/>
  <c r="AB29" i="3"/>
  <c r="AA29" i="3"/>
  <c r="N29" i="3"/>
  <c r="BO28" i="3"/>
  <c r="BN28" i="3"/>
  <c r="BM28" i="3"/>
  <c r="BL28" i="3"/>
  <c r="BK28" i="3"/>
  <c r="BJ28" i="3"/>
  <c r="BI28" i="3"/>
  <c r="BH28" i="3"/>
  <c r="AY28" i="3"/>
  <c r="AX28" i="3"/>
  <c r="AM28" i="3"/>
  <c r="CG28" i="3" s="1"/>
  <c r="AL28" i="3"/>
  <c r="CF28" i="3" s="1"/>
  <c r="AK28" i="3"/>
  <c r="CE28" i="3" s="1"/>
  <c r="AJ28" i="3"/>
  <c r="CD28" i="3" s="1"/>
  <c r="AI28" i="3"/>
  <c r="AH28" i="3"/>
  <c r="AG28" i="3"/>
  <c r="AF28" i="3"/>
  <c r="AE28" i="3"/>
  <c r="AD28" i="3"/>
  <c r="AC28" i="3"/>
  <c r="AB28" i="3"/>
  <c r="AA28" i="3"/>
  <c r="N28" i="3"/>
  <c r="BO27" i="3"/>
  <c r="BN27" i="3"/>
  <c r="BM27" i="3"/>
  <c r="BL27" i="3"/>
  <c r="BK27" i="3"/>
  <c r="BJ27" i="3"/>
  <c r="BI27" i="3"/>
  <c r="BH27" i="3"/>
  <c r="AY27" i="3"/>
  <c r="AX27" i="3"/>
  <c r="AM27" i="3"/>
  <c r="CG27" i="3" s="1"/>
  <c r="AL27" i="3"/>
  <c r="CF27" i="3" s="1"/>
  <c r="AK27" i="3"/>
  <c r="CE27" i="3" s="1"/>
  <c r="AJ27" i="3"/>
  <c r="CD27" i="3" s="1"/>
  <c r="AI27" i="3"/>
  <c r="AH27" i="3"/>
  <c r="AG27" i="3"/>
  <c r="AF27" i="3"/>
  <c r="AE27" i="3"/>
  <c r="AD27" i="3"/>
  <c r="AC27" i="3"/>
  <c r="AB27" i="3"/>
  <c r="AA27" i="3"/>
  <c r="N27" i="3"/>
  <c r="BO26" i="3"/>
  <c r="BN26" i="3"/>
  <c r="BM26" i="3"/>
  <c r="BL26" i="3"/>
  <c r="BK26" i="3"/>
  <c r="BJ26" i="3"/>
  <c r="BI26" i="3"/>
  <c r="BH26" i="3"/>
  <c r="AY26" i="3"/>
  <c r="AX26" i="3"/>
  <c r="AM26" i="3"/>
  <c r="CG26" i="3" s="1"/>
  <c r="AL26" i="3"/>
  <c r="CF26" i="3" s="1"/>
  <c r="AK26" i="3"/>
  <c r="CE26" i="3" s="1"/>
  <c r="AJ26" i="3"/>
  <c r="CD26" i="3" s="1"/>
  <c r="AI26" i="3"/>
  <c r="AH26" i="3"/>
  <c r="AG26" i="3"/>
  <c r="AF26" i="3"/>
  <c r="AE26" i="3"/>
  <c r="AD26" i="3"/>
  <c r="AC26" i="3"/>
  <c r="AB26" i="3"/>
  <c r="AA26" i="3"/>
  <c r="N26" i="3"/>
  <c r="BO25" i="3"/>
  <c r="BN25" i="3"/>
  <c r="BM25" i="3"/>
  <c r="BL25" i="3"/>
  <c r="BK25" i="3"/>
  <c r="BJ25" i="3"/>
  <c r="BI25" i="3"/>
  <c r="BH25" i="3"/>
  <c r="AY25" i="3"/>
  <c r="AX25" i="3"/>
  <c r="AN25" i="3"/>
  <c r="BO24" i="3"/>
  <c r="BN24" i="3"/>
  <c r="BM24" i="3"/>
  <c r="BL24" i="3"/>
  <c r="BK24" i="3"/>
  <c r="BJ24" i="3"/>
  <c r="BI24" i="3"/>
  <c r="BH24" i="3"/>
  <c r="AY24" i="3"/>
  <c r="AX24" i="3"/>
  <c r="AN24" i="3"/>
  <c r="BO23" i="3"/>
  <c r="BN23" i="3"/>
  <c r="BM23" i="3"/>
  <c r="BL23" i="3"/>
  <c r="BK23" i="3"/>
  <c r="BJ23" i="3"/>
  <c r="BI23" i="3"/>
  <c r="BH23" i="3"/>
  <c r="AY23" i="3"/>
  <c r="AX23" i="3"/>
  <c r="AM23" i="3"/>
  <c r="CG23" i="3" s="1"/>
  <c r="AL23" i="3"/>
  <c r="CF23" i="3" s="1"/>
  <c r="AK23" i="3"/>
  <c r="CE23" i="3" s="1"/>
  <c r="AJ23" i="3"/>
  <c r="CD23" i="3" s="1"/>
  <c r="AI23" i="3"/>
  <c r="AH23" i="3"/>
  <c r="AG23" i="3"/>
  <c r="AF23" i="3"/>
  <c r="AE23" i="3"/>
  <c r="AD23" i="3"/>
  <c r="AC23" i="3"/>
  <c r="AB23" i="3"/>
  <c r="AA23" i="3"/>
  <c r="N23" i="3"/>
  <c r="BO22" i="3"/>
  <c r="BN22" i="3"/>
  <c r="BM22" i="3"/>
  <c r="BL22" i="3"/>
  <c r="BK22" i="3"/>
  <c r="BJ22" i="3"/>
  <c r="BI22" i="3"/>
  <c r="BH22" i="3"/>
  <c r="AY22" i="3"/>
  <c r="AX22" i="3"/>
  <c r="AM22" i="3"/>
  <c r="CG22" i="3" s="1"/>
  <c r="AL22" i="3"/>
  <c r="CF22" i="3" s="1"/>
  <c r="AK22" i="3"/>
  <c r="CE22" i="3" s="1"/>
  <c r="AJ22" i="3"/>
  <c r="CD22" i="3" s="1"/>
  <c r="AI22" i="3"/>
  <c r="AH22" i="3"/>
  <c r="AG22" i="3"/>
  <c r="AF22" i="3"/>
  <c r="AE22" i="3"/>
  <c r="AD22" i="3"/>
  <c r="AC22" i="3"/>
  <c r="AB22" i="3"/>
  <c r="AA22" i="3"/>
  <c r="N22" i="3"/>
  <c r="BO21" i="3"/>
  <c r="BN21" i="3"/>
  <c r="BM21" i="3"/>
  <c r="BL21" i="3"/>
  <c r="BK21" i="3"/>
  <c r="BJ21" i="3"/>
  <c r="BI21" i="3"/>
  <c r="BH21" i="3"/>
  <c r="AY21" i="3"/>
  <c r="AX21" i="3"/>
  <c r="AM21" i="3"/>
  <c r="CG21" i="3" s="1"/>
  <c r="AL21" i="3"/>
  <c r="CF21" i="3" s="1"/>
  <c r="AK21" i="3"/>
  <c r="CE21" i="3" s="1"/>
  <c r="AJ21" i="3"/>
  <c r="CD21" i="3" s="1"/>
  <c r="AI21" i="3"/>
  <c r="AH21" i="3"/>
  <c r="AG21" i="3"/>
  <c r="AF21" i="3"/>
  <c r="AE21" i="3"/>
  <c r="AD21" i="3"/>
  <c r="AC21" i="3"/>
  <c r="AB21" i="3"/>
  <c r="AA21" i="3"/>
  <c r="N21" i="3"/>
  <c r="BO20" i="3"/>
  <c r="BN20" i="3"/>
  <c r="BM20" i="3"/>
  <c r="BL20" i="3"/>
  <c r="BK20" i="3"/>
  <c r="BJ20" i="3"/>
  <c r="BI20" i="3"/>
  <c r="BH20" i="3"/>
  <c r="AY20" i="3"/>
  <c r="AX20" i="3"/>
  <c r="AM20" i="3"/>
  <c r="CG20" i="3" s="1"/>
  <c r="AL20" i="3"/>
  <c r="CF20" i="3" s="1"/>
  <c r="AK20" i="3"/>
  <c r="CE20" i="3" s="1"/>
  <c r="AJ20" i="3"/>
  <c r="CD20" i="3" s="1"/>
  <c r="AI20" i="3"/>
  <c r="AH20" i="3"/>
  <c r="AG20" i="3"/>
  <c r="AF20" i="3"/>
  <c r="AE20" i="3"/>
  <c r="AD20" i="3"/>
  <c r="AC20" i="3"/>
  <c r="AB20" i="3"/>
  <c r="AA20" i="3"/>
  <c r="N20" i="3"/>
  <c r="AN20" i="3" s="1"/>
  <c r="BO19" i="3"/>
  <c r="BN19" i="3"/>
  <c r="BM19" i="3"/>
  <c r="BL19" i="3"/>
  <c r="BK19" i="3"/>
  <c r="BJ19" i="3"/>
  <c r="BI19" i="3"/>
  <c r="BH19" i="3"/>
  <c r="AY19" i="3"/>
  <c r="AX19" i="3"/>
  <c r="AM19" i="3"/>
  <c r="CG19" i="3" s="1"/>
  <c r="AL19" i="3"/>
  <c r="CF19" i="3" s="1"/>
  <c r="AK19" i="3"/>
  <c r="CE19" i="3" s="1"/>
  <c r="AJ19" i="3"/>
  <c r="CD19" i="3" s="1"/>
  <c r="AI19" i="3"/>
  <c r="AH19" i="3"/>
  <c r="AG19" i="3"/>
  <c r="AF19" i="3"/>
  <c r="AE19" i="3"/>
  <c r="AD19" i="3"/>
  <c r="AC19" i="3"/>
  <c r="AB19" i="3"/>
  <c r="AA19" i="3"/>
  <c r="N19" i="3"/>
  <c r="AN19" i="3" s="1"/>
  <c r="BO18" i="3"/>
  <c r="BN18" i="3"/>
  <c r="BM18" i="3"/>
  <c r="BL18" i="3"/>
  <c r="AY18" i="3"/>
  <c r="AX18" i="3"/>
  <c r="AN18" i="3"/>
  <c r="BO17" i="3"/>
  <c r="BN17" i="3"/>
  <c r="BM17" i="3"/>
  <c r="BL17" i="3"/>
  <c r="AY17" i="3"/>
  <c r="AX17" i="3"/>
  <c r="AN17" i="3"/>
  <c r="BO16" i="3"/>
  <c r="BN16" i="3"/>
  <c r="AY16" i="3"/>
  <c r="AX16" i="3"/>
  <c r="AN16" i="3"/>
  <c r="CG15" i="3"/>
  <c r="CF15" i="3"/>
  <c r="CE15" i="3"/>
  <c r="CD15" i="3"/>
  <c r="BO15" i="3"/>
  <c r="CC15" i="3" s="1"/>
  <c r="BN15" i="3"/>
  <c r="CB15" i="3" s="1"/>
  <c r="BM15" i="3"/>
  <c r="CA15" i="3" s="1"/>
  <c r="BL15" i="3"/>
  <c r="BZ15" i="3" s="1"/>
  <c r="BK15" i="3"/>
  <c r="BY15" i="3" s="1"/>
  <c r="BJ15" i="3"/>
  <c r="BX15" i="3" s="1"/>
  <c r="BI15" i="3"/>
  <c r="BW15" i="3" s="1"/>
  <c r="BH15" i="3"/>
  <c r="AY15" i="3"/>
  <c r="AX15" i="3"/>
  <c r="AN15" i="3"/>
  <c r="BO14" i="3"/>
  <c r="BN14" i="3"/>
  <c r="BM14" i="3"/>
  <c r="BL14" i="3"/>
  <c r="BK14" i="3"/>
  <c r="BJ14" i="3"/>
  <c r="BI14" i="3"/>
  <c r="BH14" i="3"/>
  <c r="AY14" i="3"/>
  <c r="AX14" i="3"/>
  <c r="AN14" i="3"/>
  <c r="BO13" i="3"/>
  <c r="BN13" i="3"/>
  <c r="BM13" i="3"/>
  <c r="BL13" i="3"/>
  <c r="BK13" i="3"/>
  <c r="BJ13" i="3"/>
  <c r="BI13" i="3"/>
  <c r="BH13" i="3"/>
  <c r="AY13" i="3"/>
  <c r="AX13" i="3"/>
  <c r="AM13" i="3"/>
  <c r="CG13" i="3" s="1"/>
  <c r="AL13" i="3"/>
  <c r="CF13" i="3" s="1"/>
  <c r="AK13" i="3"/>
  <c r="CE13" i="3" s="1"/>
  <c r="AJ13" i="3"/>
  <c r="CD13" i="3" s="1"/>
  <c r="AI13" i="3"/>
  <c r="AH13" i="3"/>
  <c r="AG13" i="3"/>
  <c r="AF13" i="3"/>
  <c r="AE13" i="3"/>
  <c r="AD13" i="3"/>
  <c r="AC13" i="3"/>
  <c r="AB13" i="3"/>
  <c r="AA13" i="3"/>
  <c r="N13" i="3"/>
  <c r="BO12" i="3"/>
  <c r="BN12" i="3"/>
  <c r="BM12" i="3"/>
  <c r="BL12" i="3"/>
  <c r="BK12" i="3"/>
  <c r="BJ12" i="3"/>
  <c r="BI12" i="3"/>
  <c r="BH12" i="3"/>
  <c r="AY12" i="3"/>
  <c r="AX12" i="3"/>
  <c r="AM12" i="3"/>
  <c r="CG12" i="3" s="1"/>
  <c r="AL12" i="3"/>
  <c r="CF12" i="3" s="1"/>
  <c r="AK12" i="3"/>
  <c r="CE12" i="3" s="1"/>
  <c r="AJ12" i="3"/>
  <c r="CD12" i="3" s="1"/>
  <c r="AI12" i="3"/>
  <c r="AH12" i="3"/>
  <c r="AG12" i="3"/>
  <c r="AF12" i="3"/>
  <c r="AE12" i="3"/>
  <c r="AD12" i="3"/>
  <c r="AC12" i="3"/>
  <c r="AB12" i="3"/>
  <c r="AA12" i="3"/>
  <c r="N12" i="3"/>
  <c r="BO11" i="3"/>
  <c r="BN11" i="3"/>
  <c r="BM11" i="3"/>
  <c r="BL11" i="3"/>
  <c r="BK11" i="3"/>
  <c r="BJ11" i="3"/>
  <c r="BI11" i="3"/>
  <c r="BH11" i="3"/>
  <c r="AY11" i="3"/>
  <c r="AX11" i="3"/>
  <c r="AN11" i="3"/>
  <c r="BO10" i="3"/>
  <c r="BN10" i="3"/>
  <c r="BM10" i="3"/>
  <c r="BL10" i="3"/>
  <c r="BK10" i="3"/>
  <c r="BJ10" i="3"/>
  <c r="BI10" i="3"/>
  <c r="BH10" i="3"/>
  <c r="AY10" i="3"/>
  <c r="AX10" i="3"/>
  <c r="AM10" i="3"/>
  <c r="CG10" i="3" s="1"/>
  <c r="AL10" i="3"/>
  <c r="CF10" i="3" s="1"/>
  <c r="AK10" i="3"/>
  <c r="CE10" i="3" s="1"/>
  <c r="AJ10" i="3"/>
  <c r="CD10" i="3" s="1"/>
  <c r="AI10" i="3"/>
  <c r="AH10" i="3"/>
  <c r="AG10" i="3"/>
  <c r="AF10" i="3"/>
  <c r="AE10" i="3"/>
  <c r="AD10" i="3"/>
  <c r="AC10" i="3"/>
  <c r="AB10" i="3"/>
  <c r="AA10" i="3"/>
  <c r="N10" i="3"/>
  <c r="BO9" i="3"/>
  <c r="BN9" i="3"/>
  <c r="BM9" i="3"/>
  <c r="BL9" i="3"/>
  <c r="BK9" i="3"/>
  <c r="BJ9" i="3"/>
  <c r="BI9" i="3"/>
  <c r="BH9" i="3"/>
  <c r="AY9" i="3"/>
  <c r="AX9" i="3"/>
  <c r="AN9" i="3"/>
  <c r="BO8" i="3"/>
  <c r="BN8" i="3"/>
  <c r="BM8" i="3"/>
  <c r="BL8" i="3"/>
  <c r="BK8" i="3"/>
  <c r="BJ8" i="3"/>
  <c r="BI8" i="3"/>
  <c r="BH8" i="3"/>
  <c r="AY8" i="3"/>
  <c r="AX8" i="3"/>
  <c r="AM8" i="3"/>
  <c r="CG8" i="3" s="1"/>
  <c r="AL8" i="3"/>
  <c r="CF8" i="3" s="1"/>
  <c r="AK8" i="3"/>
  <c r="CE8" i="3" s="1"/>
  <c r="AJ8" i="3"/>
  <c r="CD8" i="3" s="1"/>
  <c r="AI8" i="3"/>
  <c r="AH8" i="3"/>
  <c r="AG8" i="3"/>
  <c r="AF8" i="3"/>
  <c r="AE8" i="3"/>
  <c r="AD8" i="3"/>
  <c r="AC8" i="3"/>
  <c r="AB8" i="3"/>
  <c r="AA8" i="3"/>
  <c r="N8" i="3"/>
  <c r="BO7" i="3"/>
  <c r="BN7" i="3"/>
  <c r="BM7" i="3"/>
  <c r="BL7" i="3"/>
  <c r="BK7" i="3"/>
  <c r="BJ7" i="3"/>
  <c r="BI7" i="3"/>
  <c r="BH7" i="3"/>
  <c r="AY7" i="3"/>
  <c r="AX7" i="3"/>
  <c r="AN7" i="3"/>
  <c r="BO6" i="3"/>
  <c r="BN6" i="3"/>
  <c r="BM6" i="3"/>
  <c r="BL6" i="3"/>
  <c r="BK6" i="3"/>
  <c r="BJ6" i="3"/>
  <c r="BI6" i="3"/>
  <c r="BH6" i="3"/>
  <c r="AY6" i="3"/>
  <c r="AX6" i="3"/>
  <c r="AM6" i="3"/>
  <c r="CG6" i="3" s="1"/>
  <c r="AL6" i="3"/>
  <c r="CF6" i="3" s="1"/>
  <c r="AK6" i="3"/>
  <c r="CE6" i="3" s="1"/>
  <c r="AJ6" i="3"/>
  <c r="CD6" i="3" s="1"/>
  <c r="AI6" i="3"/>
  <c r="AH6" i="3"/>
  <c r="AG6" i="3"/>
  <c r="AF6" i="3"/>
  <c r="AE6" i="3"/>
  <c r="AD6" i="3"/>
  <c r="AC6" i="3"/>
  <c r="AB6" i="3"/>
  <c r="AA6" i="3"/>
  <c r="N6" i="3"/>
  <c r="BO5" i="3"/>
  <c r="BN5" i="3"/>
  <c r="BM5" i="3"/>
  <c r="BL5" i="3"/>
  <c r="BK5" i="3"/>
  <c r="BJ5" i="3"/>
  <c r="BI5" i="3"/>
  <c r="BH5" i="3"/>
  <c r="AY5" i="3"/>
  <c r="AX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N5" i="3"/>
  <c r="BO4" i="3"/>
  <c r="BN4" i="3"/>
  <c r="BM4" i="3"/>
  <c r="BL4" i="3"/>
  <c r="BK4" i="3"/>
  <c r="BJ4" i="3"/>
  <c r="BI4" i="3"/>
  <c r="BH4" i="3"/>
  <c r="AY4" i="3"/>
  <c r="AX4" i="3"/>
  <c r="AM4" i="3"/>
  <c r="CG4" i="3" s="1"/>
  <c r="AL4" i="3"/>
  <c r="CF4" i="3" s="1"/>
  <c r="AK4" i="3"/>
  <c r="CE4" i="3" s="1"/>
  <c r="AJ4" i="3"/>
  <c r="CD4" i="3" s="1"/>
  <c r="AI4" i="3"/>
  <c r="AH4" i="3"/>
  <c r="AG4" i="3"/>
  <c r="AF4" i="3"/>
  <c r="AE4" i="3"/>
  <c r="AD4" i="3"/>
  <c r="AC4" i="3"/>
  <c r="AB4" i="3"/>
  <c r="AA4" i="3"/>
  <c r="N4" i="3"/>
  <c r="L2" i="3"/>
  <c r="K2" i="3"/>
  <c r="J2" i="3"/>
  <c r="H2" i="3"/>
  <c r="G2" i="3"/>
  <c r="F2" i="3"/>
  <c r="D2" i="3"/>
  <c r="C2" i="3"/>
  <c r="B2" i="3"/>
  <c r="BO1" i="3"/>
  <c r="BP1" i="3" s="1"/>
  <c r="BQ1" i="3" s="1"/>
  <c r="BR1" i="3" s="1"/>
  <c r="BS1" i="3" s="1"/>
  <c r="P1" i="1"/>
  <c r="O1" i="1"/>
  <c r="N1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M1" i="1"/>
  <c r="L1" i="1"/>
  <c r="K1" i="1"/>
  <c r="J1" i="1"/>
  <c r="I1" i="1"/>
  <c r="H1" i="1"/>
  <c r="G1" i="1"/>
  <c r="AN147" i="3" l="1"/>
  <c r="AN594" i="3"/>
  <c r="AN33" i="3"/>
  <c r="AN451" i="3"/>
  <c r="AN752" i="3"/>
  <c r="AN598" i="3"/>
  <c r="AN636" i="3"/>
  <c r="AN212" i="3"/>
  <c r="AN142" i="3"/>
  <c r="AN30" i="3"/>
  <c r="AN120" i="3"/>
  <c r="AN363" i="3"/>
  <c r="AN254" i="3"/>
  <c r="AN126" i="3"/>
  <c r="AN32" i="3"/>
  <c r="AN34" i="3"/>
  <c r="AN765" i="3"/>
  <c r="AN119" i="3"/>
  <c r="BT16" i="3"/>
  <c r="CH16" i="3" s="1"/>
  <c r="AN35" i="3"/>
  <c r="AN29" i="3"/>
  <c r="AN261" i="3"/>
  <c r="AN517" i="3"/>
  <c r="AN504" i="3"/>
  <c r="AN618" i="3"/>
  <c r="AN551" i="3"/>
  <c r="AN366" i="3"/>
  <c r="AN760" i="3"/>
  <c r="AN155" i="3"/>
  <c r="AN480" i="3"/>
  <c r="AN469" i="3"/>
  <c r="AN209" i="3"/>
  <c r="AN158" i="3"/>
  <c r="AN463" i="3"/>
  <c r="AN152" i="3"/>
  <c r="AN599" i="3"/>
  <c r="AN117" i="3"/>
  <c r="AN141" i="3"/>
  <c r="AN207" i="3"/>
  <c r="AN153" i="3"/>
  <c r="AN157" i="3"/>
  <c r="AN662" i="3"/>
  <c r="AN534" i="3"/>
  <c r="AN462" i="3"/>
  <c r="AN31" i="3"/>
  <c r="AN43" i="3"/>
  <c r="AN230" i="3"/>
  <c r="AP230" i="3" s="1"/>
  <c r="AN26" i="3"/>
  <c r="AN140" i="3"/>
  <c r="AN22" i="3"/>
  <c r="AN27" i="3"/>
  <c r="AN609" i="3"/>
  <c r="BT25" i="3"/>
  <c r="CH25" i="3" s="1"/>
  <c r="U4" i="4"/>
  <c r="AN234" i="3"/>
  <c r="AN300" i="3"/>
  <c r="AN554" i="3"/>
  <c r="AN488" i="3"/>
  <c r="AN359" i="3"/>
  <c r="AN78" i="3"/>
  <c r="AN700" i="3"/>
  <c r="AN458" i="3"/>
  <c r="AN596" i="3"/>
  <c r="AN494" i="3"/>
  <c r="AN85" i="3"/>
  <c r="AN54" i="3"/>
  <c r="AN741" i="3"/>
  <c r="AN634" i="3"/>
  <c r="AN189" i="3"/>
  <c r="AN767" i="3"/>
  <c r="AN578" i="3"/>
  <c r="AN601" i="3"/>
  <c r="AN208" i="3"/>
  <c r="AN169" i="3"/>
  <c r="AN257" i="3"/>
  <c r="AN318" i="3"/>
  <c r="AN713" i="3"/>
  <c r="AN710" i="3"/>
  <c r="AN672" i="3"/>
  <c r="AN670" i="3"/>
  <c r="AN292" i="3"/>
  <c r="AN113" i="3"/>
  <c r="AN524" i="3"/>
  <c r="AN144" i="3"/>
  <c r="AN333" i="3"/>
  <c r="AN702" i="3"/>
  <c r="AN507" i="3"/>
  <c r="AN422" i="3"/>
  <c r="AN761" i="3"/>
  <c r="AN418" i="3"/>
  <c r="AN313" i="3"/>
  <c r="AN256" i="3"/>
  <c r="CH747" i="3"/>
  <c r="CH781" i="3"/>
  <c r="CH780" i="3"/>
  <c r="AN600" i="3"/>
  <c r="AN592" i="3"/>
  <c r="AN637" i="3"/>
  <c r="BP637" i="3" s="1"/>
  <c r="AN635" i="3"/>
  <c r="AN115" i="3"/>
  <c r="AN260" i="3"/>
  <c r="BO2" i="3"/>
  <c r="AN687" i="3"/>
  <c r="AN290" i="3"/>
  <c r="AN165" i="3"/>
  <c r="AN49" i="3"/>
  <c r="AN125" i="3"/>
  <c r="AN89" i="3"/>
  <c r="AN346" i="3"/>
  <c r="AN112" i="3"/>
  <c r="AN101" i="3"/>
  <c r="BT18" i="3"/>
  <c r="CH18" i="3" s="1"/>
  <c r="AN263" i="3"/>
  <c r="AN184" i="3"/>
  <c r="AN21" i="3"/>
  <c r="AN124" i="3"/>
  <c r="AN738" i="3"/>
  <c r="CH738" i="3" s="1"/>
  <c r="AN355" i="3"/>
  <c r="AN416" i="3"/>
  <c r="AN595" i="3"/>
  <c r="AN732" i="3"/>
  <c r="AN680" i="3"/>
  <c r="AN570" i="3"/>
  <c r="AN231" i="3"/>
  <c r="AP231" i="3" s="1"/>
  <c r="AN127" i="3"/>
  <c r="AN122" i="3"/>
  <c r="AN762" i="3"/>
  <c r="AN586" i="3"/>
  <c r="AN568" i="3"/>
  <c r="AN413" i="3"/>
  <c r="AN638" i="3"/>
  <c r="AN214" i="3"/>
  <c r="AN253" i="3"/>
  <c r="AN111" i="3"/>
  <c r="AN109" i="3"/>
  <c r="AN91" i="3"/>
  <c r="AN654" i="3"/>
  <c r="AN67" i="3"/>
  <c r="AN718" i="3"/>
  <c r="AN564" i="3"/>
  <c r="AN270" i="3"/>
  <c r="AO2" i="3"/>
  <c r="AN128" i="3"/>
  <c r="AN707" i="3"/>
  <c r="AN604" i="3"/>
  <c r="AN588" i="3"/>
  <c r="AN493" i="3"/>
  <c r="AN442" i="3"/>
  <c r="AN353" i="3"/>
  <c r="AN317" i="3"/>
  <c r="AN237" i="3"/>
  <c r="AN283" i="3"/>
  <c r="BT445" i="3"/>
  <c r="CH445" i="3" s="1"/>
  <c r="AN329" i="3"/>
  <c r="AN197" i="3"/>
  <c r="AN721" i="3"/>
  <c r="BP721" i="3" s="1"/>
  <c r="AN701" i="3"/>
  <c r="BP701" i="3" s="1"/>
  <c r="AN581" i="3"/>
  <c r="AN98" i="3"/>
  <c r="AN83" i="3"/>
  <c r="AN587" i="3"/>
  <c r="AN625" i="3"/>
  <c r="AN567" i="3"/>
  <c r="AN383" i="3"/>
  <c r="AN102" i="3"/>
  <c r="AN59" i="3"/>
  <c r="AN60" i="3"/>
  <c r="AN420" i="3"/>
  <c r="AN606" i="3"/>
  <c r="AN744" i="3"/>
  <c r="AN719" i="3"/>
  <c r="AN529" i="3"/>
  <c r="AN428" i="3"/>
  <c r="AN93" i="3"/>
  <c r="AN286" i="3"/>
  <c r="AN714" i="3"/>
  <c r="AN358" i="3"/>
  <c r="AN639" i="3"/>
  <c r="AN628" i="3"/>
  <c r="AN574" i="3"/>
  <c r="AN262" i="3"/>
  <c r="AN210" i="3"/>
  <c r="AN176" i="3"/>
  <c r="AN457" i="3"/>
  <c r="AN173" i="3"/>
  <c r="AN90" i="3"/>
  <c r="AN188" i="3"/>
  <c r="AN13" i="3"/>
  <c r="AN698" i="3"/>
  <c r="AN632" i="3"/>
  <c r="AN343" i="3"/>
  <c r="AN132" i="3"/>
  <c r="AN502" i="3"/>
  <c r="AN415" i="3"/>
  <c r="AN740" i="3"/>
  <c r="CH740" i="3" s="1"/>
  <c r="AN664" i="3"/>
  <c r="AN623" i="3"/>
  <c r="AN614" i="3"/>
  <c r="AN531" i="3"/>
  <c r="AN393" i="3"/>
  <c r="AN229" i="3"/>
  <c r="AN138" i="3"/>
  <c r="AN267" i="3"/>
  <c r="AN252" i="3"/>
  <c r="AN241" i="3"/>
  <c r="AN131" i="3"/>
  <c r="AN47" i="3"/>
  <c r="AN622" i="3"/>
  <c r="BT17" i="3"/>
  <c r="AN745" i="3"/>
  <c r="CH745" i="3" s="1"/>
  <c r="AN644" i="3"/>
  <c r="AN584" i="3"/>
  <c r="AN498" i="3"/>
  <c r="AN251" i="3"/>
  <c r="AN245" i="3"/>
  <c r="AN242" i="3"/>
  <c r="AN233" i="3"/>
  <c r="AN205" i="3"/>
  <c r="AN116" i="3"/>
  <c r="AN107" i="3"/>
  <c r="AN435" i="3"/>
  <c r="AN377" i="3"/>
  <c r="AN51" i="3"/>
  <c r="AN183" i="3"/>
  <c r="AN491" i="3"/>
  <c r="AN58" i="3"/>
  <c r="AN356" i="3"/>
  <c r="AN118" i="3"/>
  <c r="AN92" i="3"/>
  <c r="AN552" i="3"/>
  <c r="BS552" i="3" s="1"/>
  <c r="CG552" i="3" s="1"/>
  <c r="AN381" i="3"/>
  <c r="AN203" i="3"/>
  <c r="AN179" i="3"/>
  <c r="AN653" i="3"/>
  <c r="AN280" i="3"/>
  <c r="AN80" i="3"/>
  <c r="AN10" i="3"/>
  <c r="AN5" i="3"/>
  <c r="AN71" i="3"/>
  <c r="AN736" i="3"/>
  <c r="AN655" i="3"/>
  <c r="AN228" i="3"/>
  <c r="AN190" i="3"/>
  <c r="AN186" i="3"/>
  <c r="AN95" i="3"/>
  <c r="AN658" i="3"/>
  <c r="BW563" i="3"/>
  <c r="AN501" i="3"/>
  <c r="AN750" i="3"/>
  <c r="AN508" i="3"/>
  <c r="AN401" i="3"/>
  <c r="AN696" i="3"/>
  <c r="AN171" i="3"/>
  <c r="AN255" i="3"/>
  <c r="AN403" i="3"/>
  <c r="AN757" i="3"/>
  <c r="AN174" i="3"/>
  <c r="BT766" i="3"/>
  <c r="CH766" i="3" s="1"/>
  <c r="AN666" i="3"/>
  <c r="AN646" i="3"/>
  <c r="AN387" i="3"/>
  <c r="AN175" i="3"/>
  <c r="AN486" i="3"/>
  <c r="AN678" i="3"/>
  <c r="AN651" i="3"/>
  <c r="AN763" i="3"/>
  <c r="AN533" i="3"/>
  <c r="AN397" i="3"/>
  <c r="AN376" i="3"/>
  <c r="AN373" i="3"/>
  <c r="AN345" i="3"/>
  <c r="AN344" i="3"/>
  <c r="AN323" i="3"/>
  <c r="BT248" i="3"/>
  <c r="CH248" i="3" s="1"/>
  <c r="AN211" i="3"/>
  <c r="AN81" i="3"/>
  <c r="AN392" i="3"/>
  <c r="AN509" i="3"/>
  <c r="AN764" i="3"/>
  <c r="AN624" i="3"/>
  <c r="AN690" i="3"/>
  <c r="AN477" i="3"/>
  <c r="AN558" i="3"/>
  <c r="AN556" i="3"/>
  <c r="AN514" i="3"/>
  <c r="AN232" i="3"/>
  <c r="AN667" i="3"/>
  <c r="AN633" i="3"/>
  <c r="AN620" i="3"/>
  <c r="AN597" i="3"/>
  <c r="AN591" i="3"/>
  <c r="AN177" i="3"/>
  <c r="AN123" i="3"/>
  <c r="AN427" i="3"/>
  <c r="AN697" i="3"/>
  <c r="AN755" i="3"/>
  <c r="AN709" i="3"/>
  <c r="AN671" i="3"/>
  <c r="AN743" i="3"/>
  <c r="AN679" i="3"/>
  <c r="AN616" i="3"/>
  <c r="AN510" i="3"/>
  <c r="AN497" i="3"/>
  <c r="AN391" i="3"/>
  <c r="AN390" i="3"/>
  <c r="AN405" i="3"/>
  <c r="AN536" i="3"/>
  <c r="BW561" i="3"/>
  <c r="AN432" i="3"/>
  <c r="AN172" i="3"/>
  <c r="AN368" i="3"/>
  <c r="AN412" i="3"/>
  <c r="AN195" i="3"/>
  <c r="AN170" i="3"/>
  <c r="AN84" i="3"/>
  <c r="AN484" i="3"/>
  <c r="AN370" i="3"/>
  <c r="AN250" i="3"/>
  <c r="AN221" i="3"/>
  <c r="AP221" i="3" s="1"/>
  <c r="AN66" i="3"/>
  <c r="AN55" i="3"/>
  <c r="AN215" i="3"/>
  <c r="AN648" i="3"/>
  <c r="AN643" i="3"/>
  <c r="AN576" i="3"/>
  <c r="AN482" i="3"/>
  <c r="AN447" i="3"/>
  <c r="AN289" i="3"/>
  <c r="AN727" i="3"/>
  <c r="AN705" i="3"/>
  <c r="AN438" i="3"/>
  <c r="AN386" i="3"/>
  <c r="AN301" i="3"/>
  <c r="AN298" i="3"/>
  <c r="AN265" i="3"/>
  <c r="BT297" i="3"/>
  <c r="CH297" i="3" s="1"/>
  <c r="AN336" i="3"/>
  <c r="BT287" i="3"/>
  <c r="CH287" i="3" s="1"/>
  <c r="AN511" i="3"/>
  <c r="AN87" i="3"/>
  <c r="AN481" i="3"/>
  <c r="AN349" i="3"/>
  <c r="BW700" i="3"/>
  <c r="AN583" i="3"/>
  <c r="BT468" i="3"/>
  <c r="CH468" i="3" s="1"/>
  <c r="AN434" i="3"/>
  <c r="BT226" i="3"/>
  <c r="CH226" i="3" s="1"/>
  <c r="AN657" i="3"/>
  <c r="AN626" i="3"/>
  <c r="AN608" i="3"/>
  <c r="AN565" i="3"/>
  <c r="AN369" i="3"/>
  <c r="AN326" i="3"/>
  <c r="AN319" i="3"/>
  <c r="AN275" i="3"/>
  <c r="AN100" i="3"/>
  <c r="AN77" i="3"/>
  <c r="AN731" i="3"/>
  <c r="AN621" i="3"/>
  <c r="AN590" i="3"/>
  <c r="AN532" i="3"/>
  <c r="AN525" i="3"/>
  <c r="AN522" i="3"/>
  <c r="AN461" i="3"/>
  <c r="AN389" i="3"/>
  <c r="AN688" i="3"/>
  <c r="AN585" i="3"/>
  <c r="AN472" i="3"/>
  <c r="BT340" i="3"/>
  <c r="CH340" i="3" s="1"/>
  <c r="AN284" i="3"/>
  <c r="BT246" i="3"/>
  <c r="CH246" i="3" s="1"/>
  <c r="AN202" i="3"/>
  <c r="AN145" i="3"/>
  <c r="AN244" i="3"/>
  <c r="AN204" i="3"/>
  <c r="AN146" i="3"/>
  <c r="AN121" i="3"/>
  <c r="AN722" i="3"/>
  <c r="AN704" i="3"/>
  <c r="AN500" i="3"/>
  <c r="AN361" i="3"/>
  <c r="AN178" i="3"/>
  <c r="AN75" i="3"/>
  <c r="AN57" i="3"/>
  <c r="AN483" i="3"/>
  <c r="AN384" i="3"/>
  <c r="AN394" i="3"/>
  <c r="AN371" i="3"/>
  <c r="AN385" i="3"/>
  <c r="AN360" i="3"/>
  <c r="AN429" i="3"/>
  <c r="AN677" i="3"/>
  <c r="BW668" i="3"/>
  <c r="BW666" i="3"/>
  <c r="AN640" i="3"/>
  <c r="AN617" i="3"/>
  <c r="AN46" i="3"/>
  <c r="AN685" i="3"/>
  <c r="AN433" i="3"/>
  <c r="AN555" i="3"/>
  <c r="AN530" i="3"/>
  <c r="AN489" i="3"/>
  <c r="AN479" i="3"/>
  <c r="AN426" i="3"/>
  <c r="AN409" i="3"/>
  <c r="BS409" i="3" s="1"/>
  <c r="CG409" i="3" s="1"/>
  <c r="AN404" i="3"/>
  <c r="BT325" i="3"/>
  <c r="CH325" i="3" s="1"/>
  <c r="AN259" i="3"/>
  <c r="AN108" i="3"/>
  <c r="AN105" i="3"/>
  <c r="AN350" i="3"/>
  <c r="BW679" i="3"/>
  <c r="AN627" i="3"/>
  <c r="BW575" i="3"/>
  <c r="AN194" i="3"/>
  <c r="AN396" i="3"/>
  <c r="AN180" i="3"/>
  <c r="AN97" i="3"/>
  <c r="AN726" i="3"/>
  <c r="AN372" i="3"/>
  <c r="AN327" i="3"/>
  <c r="AN268" i="3"/>
  <c r="AN185" i="3"/>
  <c r="AN281" i="3"/>
  <c r="BT774" i="3"/>
  <c r="CH774" i="3" s="1"/>
  <c r="AN734" i="3"/>
  <c r="AN683" i="3"/>
  <c r="AN675" i="3"/>
  <c r="BW572" i="3"/>
  <c r="AN512" i="3"/>
  <c r="AN495" i="3"/>
  <c r="AN694" i="3"/>
  <c r="AN691" i="3"/>
  <c r="BX559" i="3"/>
  <c r="AN332" i="3"/>
  <c r="AN133" i="3"/>
  <c r="AN455" i="3"/>
  <c r="BS455" i="3" s="1"/>
  <c r="AN437" i="3"/>
  <c r="AN417" i="3"/>
  <c r="AN354" i="3"/>
  <c r="AN352" i="3"/>
  <c r="AN135" i="3"/>
  <c r="AN334" i="3"/>
  <c r="AN274" i="3"/>
  <c r="AN79" i="3"/>
  <c r="AN86" i="3"/>
  <c r="AN42" i="3"/>
  <c r="BW569" i="3"/>
  <c r="BY560" i="3"/>
  <c r="BT764" i="3"/>
  <c r="CH764" i="3" s="1"/>
  <c r="AN730" i="3"/>
  <c r="BW701" i="3"/>
  <c r="BW687" i="3"/>
  <c r="BW670" i="3"/>
  <c r="AN605" i="3"/>
  <c r="AN550" i="3"/>
  <c r="BS550" i="3" s="1"/>
  <c r="CG550" i="3" s="1"/>
  <c r="AN535" i="3"/>
  <c r="AN528" i="3"/>
  <c r="AN505" i="3"/>
  <c r="AN474" i="3"/>
  <c r="AN367" i="3"/>
  <c r="AN309" i="3"/>
  <c r="AN218" i="3"/>
  <c r="AN193" i="3"/>
  <c r="AN192" i="3"/>
  <c r="AN129" i="3"/>
  <c r="AN45" i="3"/>
  <c r="AN44" i="3"/>
  <c r="BT247" i="3"/>
  <c r="CH247" i="3" s="1"/>
  <c r="AN106" i="3"/>
  <c r="AN94" i="3"/>
  <c r="AN53" i="3"/>
  <c r="AN52" i="3"/>
  <c r="AN50" i="3"/>
  <c r="AN40" i="3"/>
  <c r="AN37" i="3"/>
  <c r="AN460" i="3"/>
  <c r="BW456" i="3"/>
  <c r="BY453" i="3"/>
  <c r="BX451" i="3"/>
  <c r="BW450" i="3"/>
  <c r="BX446" i="3"/>
  <c r="BW438" i="3"/>
  <c r="BY437" i="3"/>
  <c r="BW436" i="3"/>
  <c r="BW435" i="3"/>
  <c r="BW433" i="3"/>
  <c r="BW429" i="3"/>
  <c r="BX424" i="3"/>
  <c r="BW424" i="3"/>
  <c r="BY422" i="3"/>
  <c r="BX421" i="3"/>
  <c r="BW421" i="3"/>
  <c r="CA420" i="3"/>
  <c r="BW420" i="3"/>
  <c r="BY419" i="3"/>
  <c r="AN706" i="3"/>
  <c r="AN213" i="3"/>
  <c r="BT777" i="3"/>
  <c r="CH777" i="3" s="1"/>
  <c r="AN742" i="3"/>
  <c r="BW710" i="3"/>
  <c r="BW709" i="3"/>
  <c r="AN645" i="3"/>
  <c r="AN641" i="3"/>
  <c r="BP638" i="3"/>
  <c r="AN521" i="3"/>
  <c r="AN506" i="3"/>
  <c r="BX442" i="3"/>
  <c r="BX429" i="3"/>
  <c r="BW428" i="3"/>
  <c r="BW427" i="3"/>
  <c r="BW426" i="3"/>
  <c r="BY420" i="3"/>
  <c r="BW419" i="3"/>
  <c r="AN351" i="3"/>
  <c r="BP639" i="3"/>
  <c r="BY429" i="3"/>
  <c r="BX427" i="3"/>
  <c r="CA419" i="3"/>
  <c r="AN269" i="3"/>
  <c r="BP765" i="3"/>
  <c r="BT765" i="3" s="1"/>
  <c r="CH765" i="3" s="1"/>
  <c r="BT762" i="3"/>
  <c r="CH762" i="3" s="1"/>
  <c r="BW688" i="3"/>
  <c r="BW683" i="3"/>
  <c r="AN668" i="3"/>
  <c r="BT665" i="3"/>
  <c r="CH665" i="3" s="1"/>
  <c r="AN572" i="3"/>
  <c r="BX566" i="3"/>
  <c r="AN566" i="3"/>
  <c r="BW536" i="3"/>
  <c r="AN520" i="3"/>
  <c r="AN496" i="3"/>
  <c r="AN465" i="3"/>
  <c r="BW462" i="3"/>
  <c r="BX461" i="3"/>
  <c r="AN219" i="3"/>
  <c r="AN181" i="3"/>
  <c r="BW461" i="3"/>
  <c r="BX460" i="3"/>
  <c r="BW455" i="3"/>
  <c r="AN450" i="3"/>
  <c r="BX447" i="3"/>
  <c r="BW437" i="3"/>
  <c r="BX436" i="3"/>
  <c r="BW422" i="3"/>
  <c r="AN388" i="3"/>
  <c r="BT379" i="3"/>
  <c r="CH379" i="3" s="1"/>
  <c r="AN375" i="3"/>
  <c r="AN321" i="3"/>
  <c r="AN243" i="3"/>
  <c r="AN217" i="3"/>
  <c r="AN199" i="3"/>
  <c r="BY457" i="3"/>
  <c r="BW457" i="3"/>
  <c r="AN216" i="3"/>
  <c r="AN168" i="3"/>
  <c r="BT114" i="3"/>
  <c r="CH114" i="3" s="1"/>
  <c r="AN36" i="3"/>
  <c r="AT588" i="3"/>
  <c r="AT590" i="3"/>
  <c r="AT586" i="3"/>
  <c r="AT592" i="3"/>
  <c r="AT363" i="3"/>
  <c r="AT364" i="3"/>
  <c r="AT359" i="3"/>
  <c r="AT360" i="3"/>
  <c r="AT361" i="3"/>
  <c r="AT357" i="3"/>
  <c r="AT358" i="3"/>
  <c r="AT503" i="3"/>
  <c r="AT559" i="3"/>
  <c r="AT561" i="3"/>
  <c r="AT560" i="3"/>
  <c r="AT635" i="3"/>
  <c r="AT634" i="3"/>
  <c r="AT557" i="3"/>
  <c r="AT373" i="3"/>
  <c r="AT376" i="3"/>
  <c r="AT367" i="3"/>
  <c r="AT370" i="3"/>
  <c r="AT564" i="3"/>
  <c r="AT578" i="3"/>
  <c r="AT622" i="3"/>
  <c r="AT618" i="3"/>
  <c r="AT576" i="3"/>
  <c r="AT779" i="3"/>
  <c r="AT752" i="3"/>
  <c r="AT698" i="3"/>
  <c r="AT697" i="3"/>
  <c r="AT699" i="3"/>
  <c r="AT385" i="3"/>
  <c r="AT389" i="3"/>
  <c r="AT394" i="3"/>
  <c r="AT613" i="3"/>
  <c r="AT369" i="3"/>
  <c r="AT372" i="3"/>
  <c r="AT375" i="3"/>
  <c r="AT568" i="3"/>
  <c r="AT567" i="3"/>
  <c r="AT582" i="3"/>
  <c r="AT581" i="3"/>
  <c r="AT571" i="3"/>
  <c r="AT570" i="3"/>
  <c r="AT569" i="3"/>
  <c r="AT574" i="3"/>
  <c r="AT563" i="3"/>
  <c r="AT577" i="3"/>
  <c r="AT566" i="3"/>
  <c r="AT580" i="3"/>
  <c r="AT616" i="3"/>
  <c r="AT620" i="3"/>
  <c r="AT619" i="3"/>
  <c r="AT594" i="3"/>
  <c r="AT595" i="3"/>
  <c r="AT585" i="3"/>
  <c r="AT589" i="3"/>
  <c r="AT583" i="3"/>
  <c r="AT591" i="3"/>
  <c r="AT269" i="3"/>
  <c r="AT270" i="3"/>
  <c r="AT271" i="3"/>
  <c r="AT265" i="3"/>
  <c r="AT267" i="3"/>
  <c r="AT268" i="3"/>
  <c r="AT348" i="3"/>
  <c r="AT347" i="3"/>
  <c r="AT342" i="3"/>
  <c r="AT341" i="3"/>
  <c r="AT340" i="3"/>
  <c r="AT339" i="3"/>
  <c r="AT338" i="3"/>
  <c r="AT334" i="3"/>
  <c r="AT333" i="3"/>
  <c r="AT332" i="3"/>
  <c r="AT331" i="3"/>
  <c r="AT329" i="3"/>
  <c r="AT327" i="3"/>
  <c r="AT326" i="3"/>
  <c r="AT325" i="3"/>
  <c r="AT321" i="3"/>
  <c r="AT320" i="3"/>
  <c r="AT318" i="3"/>
  <c r="AT317" i="3"/>
  <c r="AT313" i="3"/>
  <c r="AT311" i="3"/>
  <c r="AT310" i="3"/>
  <c r="AT309" i="3"/>
  <c r="AT308" i="3"/>
  <c r="AT307" i="3"/>
  <c r="AT306" i="3"/>
  <c r="AT305" i="3"/>
  <c r="AT304" i="3"/>
  <c r="AT302" i="3"/>
  <c r="AT301" i="3"/>
  <c r="AT300" i="3"/>
  <c r="AT298" i="3"/>
  <c r="AT292" i="3"/>
  <c r="AT291" i="3"/>
  <c r="AT290" i="3"/>
  <c r="AT289" i="3"/>
  <c r="AT288" i="3"/>
  <c r="AT286" i="3"/>
  <c r="AT285" i="3"/>
  <c r="AT283" i="3"/>
  <c r="AT275" i="3"/>
  <c r="AT274" i="3"/>
  <c r="AT272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79" i="3"/>
  <c r="AT78" i="3"/>
  <c r="AT76" i="3"/>
  <c r="AT75" i="3"/>
  <c r="AT77" i="3"/>
  <c r="AT80" i="3"/>
  <c r="AT113" i="3"/>
  <c r="AT112" i="3"/>
  <c r="AT111" i="3"/>
  <c r="AT110" i="3"/>
  <c r="AT109" i="3"/>
  <c r="AT10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208" i="3"/>
  <c r="AT207" i="3"/>
  <c r="AT206" i="3"/>
  <c r="AT205" i="3"/>
  <c r="AT204" i="3"/>
  <c r="AT211" i="3"/>
  <c r="AT214" i="3"/>
  <c r="AT210" i="3"/>
  <c r="AT356" i="3"/>
  <c r="AT215" i="3"/>
  <c r="AT218" i="3"/>
  <c r="AT217" i="3"/>
  <c r="AT216" i="3"/>
  <c r="AT213" i="3"/>
  <c r="AT212" i="3"/>
  <c r="AT209" i="3"/>
  <c r="AT12" i="3"/>
  <c r="AT13" i="3"/>
  <c r="AT32" i="3"/>
  <c r="AT23" i="3"/>
  <c r="AT27" i="3"/>
  <c r="AT54" i="3"/>
  <c r="AT29" i="3"/>
  <c r="AT46" i="3"/>
  <c r="AT34" i="3"/>
  <c r="AT39" i="3"/>
  <c r="AT41" i="3"/>
  <c r="AT44" i="3"/>
  <c r="AT21" i="3"/>
  <c r="AT48" i="3"/>
  <c r="AT52" i="3"/>
  <c r="AT59" i="3"/>
  <c r="AT50" i="3"/>
  <c r="AT40" i="3"/>
  <c r="AT19" i="3"/>
  <c r="AT20" i="3"/>
  <c r="AT22" i="3"/>
  <c r="AT28" i="3"/>
  <c r="AT30" i="3"/>
  <c r="AT31" i="3"/>
  <c r="AT33" i="3"/>
  <c r="AT35" i="3"/>
  <c r="AT37" i="3"/>
  <c r="AT38" i="3"/>
  <c r="AT53" i="3"/>
  <c r="AT57" i="3"/>
  <c r="AT42" i="3"/>
  <c r="AT43" i="3"/>
  <c r="AT55" i="3"/>
  <c r="AT45" i="3"/>
  <c r="AT47" i="3"/>
  <c r="AT49" i="3"/>
  <c r="AT51" i="3"/>
  <c r="AT36" i="3"/>
  <c r="AT26" i="3"/>
  <c r="AT60" i="3"/>
  <c r="AT58" i="3"/>
  <c r="AT56" i="3"/>
  <c r="AT15" i="3"/>
  <c r="AT16" i="3"/>
  <c r="AT6" i="3"/>
  <c r="AT8" i="3"/>
  <c r="AT173" i="3"/>
  <c r="AT174" i="3"/>
  <c r="AT176" i="3"/>
  <c r="AT177" i="3"/>
  <c r="AT178" i="3"/>
  <c r="AT179" i="3"/>
  <c r="AT180" i="3"/>
  <c r="AT181" i="3"/>
  <c r="AT182" i="3"/>
  <c r="AT175" i="3"/>
  <c r="AT183" i="3"/>
  <c r="AT184" i="3"/>
  <c r="AT185" i="3"/>
  <c r="AT186" i="3"/>
  <c r="AT187" i="3"/>
  <c r="AT147" i="3"/>
  <c r="AT188" i="3"/>
  <c r="AT189" i="3"/>
  <c r="AT190" i="3"/>
  <c r="AT191" i="3"/>
  <c r="AT196" i="3"/>
  <c r="AT193" i="3"/>
  <c r="AT194" i="3"/>
  <c r="AT195" i="3"/>
  <c r="AT123" i="3"/>
  <c r="AT197" i="3"/>
  <c r="AT122" i="3"/>
  <c r="AT192" i="3"/>
  <c r="AT169" i="3"/>
  <c r="AT148" i="3"/>
  <c r="AT163" i="3"/>
  <c r="AT164" i="3"/>
  <c r="AT444" i="3"/>
  <c r="AT445" i="3"/>
  <c r="AT506" i="3"/>
  <c r="AT500" i="3"/>
  <c r="AT505" i="3"/>
  <c r="AT509" i="3"/>
  <c r="AT510" i="3"/>
  <c r="AT511" i="3"/>
  <c r="AT512" i="3"/>
  <c r="AT514" i="3"/>
  <c r="AT516" i="3"/>
  <c r="AT508" i="3"/>
  <c r="AT562" i="3"/>
  <c r="AT502" i="3"/>
  <c r="AT497" i="3"/>
  <c r="AT504" i="3"/>
  <c r="AT550" i="3"/>
  <c r="AT549" i="3"/>
  <c r="AT70" i="3"/>
  <c r="AT68" i="3"/>
  <c r="AT247" i="3"/>
  <c r="AT249" i="3"/>
  <c r="AT248" i="3"/>
  <c r="AT61" i="3"/>
  <c r="AT62" i="3"/>
  <c r="AT63" i="3"/>
  <c r="AT401" i="3"/>
  <c r="AT400" i="3"/>
  <c r="AT423" i="3"/>
  <c r="AT418" i="3"/>
  <c r="AT421" i="3"/>
  <c r="AT420" i="3"/>
  <c r="AT426" i="3"/>
  <c r="AT413" i="3"/>
  <c r="AT412" i="3"/>
  <c r="AT403" i="3"/>
  <c r="AT422" i="3"/>
  <c r="AT416" i="3"/>
  <c r="AT448" i="3"/>
  <c r="AT404" i="3"/>
  <c r="AT425" i="3"/>
  <c r="AT406" i="3"/>
  <c r="AT415" i="3"/>
  <c r="AT419" i="3"/>
  <c r="AT417" i="3"/>
  <c r="AT414" i="3"/>
  <c r="AT405" i="3"/>
  <c r="AT402" i="3"/>
  <c r="AT760" i="3"/>
  <c r="AT762" i="3"/>
  <c r="AT764" i="3"/>
  <c r="AT766" i="3"/>
  <c r="AT154" i="3"/>
  <c r="AT155" i="3"/>
  <c r="AT162" i="3"/>
  <c r="AT130" i="3"/>
  <c r="AT129" i="3"/>
  <c r="AT127" i="3"/>
  <c r="AT119" i="3"/>
  <c r="AT126" i="3"/>
  <c r="AT166" i="3"/>
  <c r="AT170" i="3"/>
  <c r="AT133" i="3"/>
  <c r="AT136" i="3"/>
  <c r="AT143" i="3"/>
  <c r="AT144" i="3"/>
  <c r="AT146" i="3"/>
  <c r="AT149" i="3"/>
  <c r="AT152" i="3"/>
  <c r="AT165" i="3"/>
  <c r="AT171" i="3"/>
  <c r="AT168" i="3"/>
  <c r="AT167" i="3"/>
  <c r="AT156" i="3"/>
  <c r="AT153" i="3"/>
  <c r="AT145" i="3"/>
  <c r="AT140" i="3"/>
  <c r="AT139" i="3"/>
  <c r="AT138" i="3"/>
  <c r="AT135" i="3"/>
  <c r="AT118" i="3"/>
  <c r="AT117" i="3"/>
  <c r="AT131" i="3"/>
  <c r="AT132" i="3"/>
  <c r="AT134" i="3"/>
  <c r="AT141" i="3"/>
  <c r="AT128" i="3"/>
  <c r="AT150" i="3"/>
  <c r="AT158" i="3"/>
  <c r="AT159" i="3"/>
  <c r="AT160" i="3"/>
  <c r="AT161" i="3"/>
  <c r="AT116" i="3"/>
  <c r="AT172" i="3"/>
  <c r="AT124" i="3"/>
  <c r="AT137" i="3"/>
  <c r="AT151" i="3"/>
  <c r="AT142" i="3"/>
  <c r="AT157" i="3"/>
  <c r="AT115" i="3"/>
  <c r="AT120" i="3"/>
  <c r="AT121" i="3"/>
  <c r="AT125" i="3"/>
  <c r="AT532" i="3"/>
  <c r="AT534" i="3"/>
  <c r="AT536" i="3"/>
  <c r="AT535" i="3"/>
  <c r="AT533" i="3"/>
  <c r="AT656" i="3"/>
  <c r="AT648" i="3"/>
  <c r="AT258" i="3"/>
  <c r="AT487" i="3"/>
  <c r="AT256" i="3"/>
  <c r="AT643" i="3"/>
  <c r="AT259" i="3"/>
  <c r="AT642" i="3"/>
  <c r="AT260" i="3"/>
  <c r="AT486" i="3"/>
  <c r="AT254" i="3"/>
  <c r="AT253" i="3"/>
  <c r="AT252" i="3"/>
  <c r="AT251" i="3"/>
  <c r="AT255" i="3"/>
  <c r="AT246" i="3"/>
  <c r="AT245" i="3"/>
  <c r="AT636" i="3"/>
  <c r="AT257" i="3"/>
  <c r="AT250" i="3"/>
  <c r="AT261" i="3"/>
  <c r="AT244" i="3"/>
  <c r="AT220" i="3"/>
  <c r="AT228" i="3"/>
  <c r="AT230" i="3"/>
  <c r="AT226" i="3"/>
  <c r="AT232" i="3"/>
  <c r="AT229" i="3"/>
  <c r="AT227" i="3"/>
  <c r="AT231" i="3"/>
  <c r="AT233" i="3"/>
  <c r="AT234" i="3"/>
  <c r="AT221" i="3"/>
  <c r="AT350" i="3"/>
  <c r="AT349" i="3"/>
  <c r="AT352" i="3"/>
  <c r="AT355" i="3"/>
  <c r="AT354" i="3"/>
  <c r="AT351" i="3"/>
  <c r="AT353" i="3"/>
  <c r="AT763" i="3"/>
  <c r="AT759" i="3"/>
  <c r="AT758" i="3"/>
  <c r="AT494" i="3"/>
  <c r="AT501" i="3"/>
  <c r="AT507" i="3"/>
  <c r="AT498" i="3"/>
  <c r="AT495" i="3"/>
  <c r="AT609" i="3"/>
  <c r="AT606" i="3"/>
  <c r="AT604" i="3"/>
  <c r="AT608" i="3"/>
  <c r="AT605" i="3"/>
  <c r="AT603" i="3"/>
  <c r="AT607" i="3"/>
  <c r="AT525" i="3"/>
  <c r="AT526" i="3"/>
  <c r="AT528" i="3"/>
  <c r="AT522" i="3"/>
  <c r="AT521" i="3"/>
  <c r="AT523" i="3"/>
  <c r="AT520" i="3"/>
  <c r="AT457" i="3"/>
  <c r="AT462" i="3"/>
  <c r="AT437" i="3"/>
  <c r="AT434" i="3"/>
  <c r="AT449" i="3"/>
  <c r="AT438" i="3"/>
  <c r="AT442" i="3"/>
  <c r="AT441" i="3"/>
  <c r="AT429" i="3"/>
  <c r="AT451" i="3"/>
  <c r="AT450" i="3"/>
  <c r="AT531" i="3"/>
  <c r="AT530" i="3"/>
  <c r="AT669" i="3"/>
  <c r="AT670" i="3"/>
  <c r="AT64" i="3"/>
  <c r="AT65" i="3"/>
  <c r="AT773" i="3"/>
  <c r="AT770" i="3"/>
  <c r="AT330" i="3"/>
  <c r="AT769" i="3"/>
  <c r="AT344" i="3"/>
  <c r="AT323" i="3"/>
  <c r="AT322" i="3"/>
  <c r="AT299" i="3"/>
  <c r="AT284" i="3"/>
  <c r="AT287" i="3"/>
  <c r="AT293" i="3"/>
  <c r="AT294" i="3"/>
  <c r="AT343" i="3"/>
  <c r="AT312" i="3"/>
  <c r="AT316" i="3"/>
  <c r="AT297" i="3"/>
  <c r="AT346" i="3"/>
  <c r="AT345" i="3"/>
  <c r="AT266" i="3"/>
  <c r="AT303" i="3"/>
  <c r="AT315" i="3"/>
  <c r="AT314" i="3"/>
  <c r="AT324" i="3"/>
  <c r="AT319" i="3"/>
  <c r="AT328" i="3"/>
  <c r="AT336" i="3"/>
  <c r="AT337" i="3"/>
  <c r="AT278" i="3"/>
  <c r="AT276" i="3"/>
  <c r="AT273" i="3"/>
  <c r="AT279" i="3"/>
  <c r="AT280" i="3"/>
  <c r="AT281" i="3"/>
  <c r="AT277" i="3"/>
  <c r="AT9" i="3"/>
  <c r="AT7" i="3"/>
  <c r="AT18" i="3"/>
  <c r="AT17" i="3"/>
  <c r="AT653" i="3"/>
  <c r="AT658" i="3"/>
  <c r="AT660" i="3"/>
  <c r="AT657" i="3"/>
  <c r="AT641" i="3"/>
  <c r="AT663" i="3"/>
  <c r="AT665" i="3"/>
  <c r="AT666" i="3"/>
  <c r="AT662" i="3"/>
  <c r="AT664" i="3"/>
  <c r="AT599" i="3"/>
  <c r="AT598" i="3"/>
  <c r="AT488" i="3"/>
  <c r="AT377" i="3"/>
  <c r="AT489" i="3"/>
  <c r="AT490" i="3"/>
  <c r="AT366" i="3"/>
  <c r="AT493" i="3"/>
  <c r="AT596" i="3"/>
  <c r="AT597" i="3"/>
  <c r="AT491" i="3"/>
  <c r="AT492" i="3"/>
  <c r="AT621" i="3"/>
  <c r="AT579" i="3"/>
  <c r="AT575" i="3"/>
  <c r="AT617" i="3"/>
  <c r="AT565" i="3"/>
  <c r="AT368" i="3"/>
  <c r="AT379" i="3"/>
  <c r="AT374" i="3"/>
  <c r="AT371" i="3"/>
  <c r="AT477" i="3"/>
  <c r="AT474" i="3"/>
  <c r="AT471" i="3"/>
  <c r="AT463" i="3"/>
  <c r="AT410" i="3"/>
  <c r="AT436" i="3"/>
  <c r="AT431" i="3"/>
  <c r="AT459" i="3"/>
  <c r="AT460" i="3"/>
  <c r="AT458" i="3"/>
  <c r="AT428" i="3"/>
  <c r="AT427" i="3"/>
  <c r="AT447" i="3"/>
  <c r="AT440" i="3"/>
  <c r="AT465" i="3"/>
  <c r="AT452" i="3"/>
  <c r="AT446" i="3"/>
  <c r="AT433" i="3"/>
  <c r="AT424" i="3"/>
  <c r="AT411" i="3"/>
  <c r="AT430" i="3"/>
  <c r="AT439" i="3"/>
  <c r="AT435" i="3"/>
  <c r="AT432" i="3"/>
  <c r="AT464" i="3"/>
  <c r="AT456" i="3"/>
  <c r="AT443" i="3"/>
  <c r="AT461" i="3"/>
  <c r="AT472" i="3"/>
  <c r="AT481" i="3"/>
  <c r="AT469" i="3"/>
  <c r="AT475" i="3"/>
  <c r="AT476" i="3"/>
  <c r="AT479" i="3"/>
  <c r="AT478" i="3"/>
  <c r="AT470" i="3"/>
  <c r="AT473" i="3"/>
  <c r="AT480" i="3"/>
  <c r="AT397" i="3"/>
  <c r="AT396" i="3"/>
  <c r="AT391" i="3"/>
  <c r="AT398" i="3"/>
  <c r="AT382" i="3"/>
  <c r="AT387" i="3"/>
  <c r="AT381" i="3"/>
  <c r="AT393" i="3"/>
  <c r="AT390" i="3"/>
  <c r="AT383" i="3"/>
  <c r="AT392" i="3"/>
  <c r="AT386" i="3"/>
  <c r="AT395" i="3"/>
  <c r="AT388" i="3"/>
  <c r="AT384" i="3"/>
  <c r="AT485" i="3"/>
  <c r="AT484" i="3"/>
  <c r="AT686" i="3"/>
  <c r="AT736" i="3"/>
  <c r="AT719" i="3"/>
  <c r="AT735" i="3"/>
  <c r="AT734" i="3"/>
  <c r="AT718" i="3"/>
  <c r="AT717" i="3"/>
  <c r="AT682" i="3"/>
  <c r="AT680" i="3"/>
  <c r="AT681" i="3"/>
  <c r="AT748" i="3"/>
  <c r="AT728" i="3"/>
  <c r="AT729" i="3"/>
  <c r="AT513" i="3"/>
  <c r="AT747" i="3"/>
  <c r="AT690" i="3"/>
  <c r="AT689" i="3"/>
  <c r="AT745" i="3"/>
  <c r="AT746" i="3"/>
  <c r="AT515" i="3"/>
  <c r="AT727" i="3"/>
  <c r="AT726" i="3"/>
  <c r="AT687" i="3"/>
  <c r="AT688" i="3"/>
  <c r="AT714" i="3"/>
  <c r="AT713" i="3"/>
  <c r="AT743" i="3"/>
  <c r="AT724" i="3"/>
  <c r="AT716" i="3"/>
  <c r="AT725" i="3"/>
  <c r="AT614" i="3"/>
  <c r="AT615" i="3"/>
  <c r="AT749" i="3"/>
  <c r="AT750" i="3"/>
  <c r="AT751" i="3"/>
  <c r="AT527" i="3"/>
  <c r="AT524" i="3"/>
  <c r="AT633" i="3"/>
  <c r="AT632" i="3"/>
  <c r="AT655" i="3"/>
  <c r="AT650" i="3"/>
  <c r="AT654" i="3"/>
  <c r="AT652" i="3"/>
  <c r="AT651" i="3"/>
  <c r="AT378" i="3"/>
  <c r="AT242" i="3"/>
  <c r="AT241" i="3"/>
  <c r="AT645" i="3"/>
  <c r="AT647" i="3"/>
  <c r="AT644" i="3"/>
  <c r="AT646" i="3"/>
  <c r="AT224" i="3"/>
  <c r="AT225" i="3"/>
  <c r="AT223" i="3"/>
  <c r="AT222" i="3"/>
  <c r="AT237" i="3"/>
  <c r="AT236" i="3"/>
  <c r="AT239" i="3"/>
  <c r="AT238" i="3"/>
  <c r="AT240" i="3"/>
  <c r="AT539" i="3"/>
  <c r="AT540" i="3"/>
  <c r="AT546" i="3"/>
  <c r="AT545" i="3"/>
  <c r="AT543" i="3"/>
  <c r="AT547" i="3"/>
  <c r="AT537" i="3"/>
  <c r="AT541" i="3"/>
  <c r="AT542" i="3"/>
  <c r="AT538" i="3"/>
  <c r="AT544" i="3"/>
  <c r="AT703" i="3"/>
  <c r="AT739" i="3"/>
  <c r="AT709" i="3"/>
  <c r="AT708" i="3"/>
  <c r="AT740" i="3"/>
  <c r="AT737" i="3"/>
  <c r="AT706" i="3"/>
  <c r="AT707" i="3"/>
  <c r="AT738" i="3"/>
  <c r="AT732" i="3"/>
  <c r="AT694" i="3"/>
  <c r="AT704" i="3"/>
  <c r="AT705" i="3"/>
  <c r="AT696" i="3"/>
  <c r="AT572" i="3"/>
  <c r="AT573" i="3"/>
  <c r="AT296" i="3"/>
  <c r="AT295" i="3"/>
  <c r="AT774" i="3"/>
  <c r="AT781" i="3"/>
  <c r="AT780" i="3"/>
  <c r="AT772" i="3"/>
  <c r="AT768" i="3"/>
  <c r="AT771" i="3"/>
  <c r="BT362" i="3"/>
  <c r="CH362" i="3" s="1"/>
  <c r="BW463" i="3"/>
  <c r="AN717" i="3"/>
  <c r="AN716" i="3"/>
  <c r="BT398" i="3"/>
  <c r="CH398" i="3" s="1"/>
  <c r="AN6" i="3"/>
  <c r="BW558" i="3"/>
  <c r="AN310" i="3"/>
  <c r="BT273" i="3"/>
  <c r="CH273" i="3" s="1"/>
  <c r="AN182" i="3"/>
  <c r="AN196" i="3"/>
  <c r="AN151" i="3"/>
  <c r="AN136" i="3"/>
  <c r="AN48" i="3"/>
  <c r="AN754" i="3"/>
  <c r="AN729" i="3"/>
  <c r="AN563" i="3"/>
  <c r="BW556" i="3"/>
  <c r="BT347" i="3"/>
  <c r="CH347" i="3" s="1"/>
  <c r="AN607" i="3"/>
  <c r="AN561" i="3"/>
  <c r="AN560" i="3"/>
  <c r="AN559" i="3"/>
  <c r="AN549" i="3"/>
  <c r="BP549" i="3" s="1"/>
  <c r="AN324" i="3"/>
  <c r="AN288" i="3"/>
  <c r="AN41" i="3"/>
  <c r="AN38" i="3"/>
  <c r="BT763" i="3"/>
  <c r="BT335" i="3"/>
  <c r="CH335" i="3" s="1"/>
  <c r="AN306" i="3"/>
  <c r="AN302" i="3"/>
  <c r="AN148" i="3"/>
  <c r="AN449" i="3"/>
  <c r="M2" i="3"/>
  <c r="BX482" i="3"/>
  <c r="BW481" i="3"/>
  <c r="BX480" i="3"/>
  <c r="BW480" i="3"/>
  <c r="BX479" i="3"/>
  <c r="BW479" i="3"/>
  <c r="BX478" i="3"/>
  <c r="BY477" i="3"/>
  <c r="BX477" i="3"/>
  <c r="BW476" i="3"/>
  <c r="BX475" i="3"/>
  <c r="BY474" i="3"/>
  <c r="BX474" i="3"/>
  <c r="BW473" i="3"/>
  <c r="CA472" i="3"/>
  <c r="BW472" i="3"/>
  <c r="BW471" i="3"/>
  <c r="BW470" i="3"/>
  <c r="BW469" i="3"/>
  <c r="BZ441" i="3"/>
  <c r="BT14" i="3"/>
  <c r="CH14" i="3" s="1"/>
  <c r="AN39" i="3"/>
  <c r="AN28" i="3"/>
  <c r="AN23" i="3"/>
  <c r="AN8" i="3"/>
  <c r="AN4" i="3"/>
  <c r="BT772" i="3"/>
  <c r="CH772" i="3" s="1"/>
  <c r="AN749" i="3"/>
  <c r="AN748" i="3"/>
  <c r="CH748" i="3" s="1"/>
  <c r="AN746" i="3"/>
  <c r="CH746" i="3" s="1"/>
  <c r="AN737" i="3"/>
  <c r="CH737" i="3" s="1"/>
  <c r="AN735" i="3"/>
  <c r="AN733" i="3"/>
  <c r="AN725" i="3"/>
  <c r="AN720" i="3"/>
  <c r="BW718" i="3"/>
  <c r="BW714" i="3"/>
  <c r="AN708" i="3"/>
  <c r="BW704" i="3"/>
  <c r="BW696" i="3"/>
  <c r="AN695" i="3"/>
  <c r="BW691" i="3"/>
  <c r="AN681" i="3"/>
  <c r="BW675" i="3"/>
  <c r="AN674" i="3"/>
  <c r="AN669" i="3"/>
  <c r="AN650" i="3"/>
  <c r="AN619" i="3"/>
  <c r="AN603" i="3"/>
  <c r="BT602" i="3"/>
  <c r="CH602" i="3" s="1"/>
  <c r="AN589" i="3"/>
  <c r="AN579" i="3"/>
  <c r="AN577" i="3"/>
  <c r="BW576" i="3"/>
  <c r="BW568" i="3"/>
  <c r="BW566" i="3"/>
  <c r="BW551" i="3"/>
  <c r="BW550" i="3"/>
  <c r="BW535" i="3"/>
  <c r="AN526" i="3"/>
  <c r="AN519" i="3"/>
  <c r="BW465" i="3"/>
  <c r="BX463" i="3"/>
  <c r="BY461" i="3"/>
  <c r="BW460" i="3"/>
  <c r="BX459" i="3"/>
  <c r="BY458" i="3"/>
  <c r="BW458" i="3"/>
  <c r="BX454" i="3"/>
  <c r="BW453" i="3"/>
  <c r="BX452" i="3"/>
  <c r="BW451" i="3"/>
  <c r="BX450" i="3"/>
  <c r="BX449" i="3"/>
  <c r="BW442" i="3"/>
  <c r="BX441" i="3"/>
  <c r="BX438" i="3"/>
  <c r="BX435" i="3"/>
  <c r="BW434" i="3"/>
  <c r="BX433" i="3"/>
  <c r="BX432" i="3"/>
  <c r="AN421" i="3"/>
  <c r="AN411" i="3"/>
  <c r="AN402" i="3"/>
  <c r="AN399" i="3"/>
  <c r="AN395" i="3"/>
  <c r="AN305" i="3"/>
  <c r="AN304" i="3"/>
  <c r="AN285" i="3"/>
  <c r="AN271" i="3"/>
  <c r="BT266" i="3"/>
  <c r="CH266" i="3" s="1"/>
  <c r="BT24" i="3"/>
  <c r="CH24" i="3" s="1"/>
  <c r="AN12" i="3"/>
  <c r="BT9" i="3"/>
  <c r="CH9" i="3" s="1"/>
  <c r="BT7" i="3"/>
  <c r="CH7" i="3" s="1"/>
  <c r="BT779" i="3"/>
  <c r="CH779" i="3" s="1"/>
  <c r="BX716" i="3"/>
  <c r="AN291" i="3"/>
  <c r="BT11" i="3"/>
  <c r="CH11" i="3" s="1"/>
  <c r="BT778" i="3"/>
  <c r="CH778" i="3" s="1"/>
  <c r="BW694" i="3"/>
  <c r="BT448" i="3"/>
  <c r="CH448" i="3" s="1"/>
  <c r="AN264" i="3"/>
  <c r="BX767" i="3"/>
  <c r="BW767" i="3"/>
  <c r="BW760" i="3"/>
  <c r="BW759" i="3"/>
  <c r="BW758" i="3"/>
  <c r="BX757" i="3"/>
  <c r="BW757" i="3"/>
  <c r="BW756" i="3"/>
  <c r="BW755" i="3"/>
  <c r="BW754" i="3"/>
  <c r="BY753" i="3"/>
  <c r="BW753" i="3"/>
  <c r="BW752" i="3"/>
  <c r="BW750" i="3"/>
  <c r="BW749" i="3"/>
  <c r="BW743" i="3"/>
  <c r="BW742" i="3"/>
  <c r="BW741" i="3"/>
  <c r="BW736" i="3"/>
  <c r="BW735" i="3"/>
  <c r="BX734" i="3"/>
  <c r="BW734" i="3"/>
  <c r="BY733" i="3"/>
  <c r="BW733" i="3"/>
  <c r="BX732" i="3"/>
  <c r="BW732" i="3"/>
  <c r="BX731" i="3"/>
  <c r="BW731" i="3"/>
  <c r="BY730" i="3"/>
  <c r="BW730" i="3"/>
  <c r="BX729" i="3"/>
  <c r="BW729" i="3"/>
  <c r="BW728" i="3"/>
  <c r="BY727" i="3"/>
  <c r="BX727" i="3"/>
  <c r="BW727" i="3"/>
  <c r="BW726" i="3"/>
  <c r="BY725" i="3"/>
  <c r="BX725" i="3"/>
  <c r="BW725" i="3"/>
  <c r="BW724" i="3"/>
  <c r="BY723" i="3"/>
  <c r="BW723" i="3"/>
  <c r="CA722" i="3"/>
  <c r="BX722" i="3"/>
  <c r="BW722" i="3"/>
  <c r="BW715" i="3"/>
  <c r="BW708" i="3"/>
  <c r="BZ707" i="3"/>
  <c r="BZ706" i="3"/>
  <c r="BX705" i="3"/>
  <c r="BX698" i="3"/>
  <c r="BW697" i="3"/>
  <c r="BY695" i="3"/>
  <c r="BX692" i="3"/>
  <c r="BX685" i="3"/>
  <c r="BY684" i="3"/>
  <c r="BZ683" i="3"/>
  <c r="BY682" i="3"/>
  <c r="BX681" i="3"/>
  <c r="BX680" i="3"/>
  <c r="BZ679" i="3"/>
  <c r="BY678" i="3"/>
  <c r="BZ677" i="3"/>
  <c r="BW677" i="3"/>
  <c r="BZ676" i="3"/>
  <c r="BX676" i="3"/>
  <c r="BZ675" i="3"/>
  <c r="BY673" i="3"/>
  <c r="BY672" i="3"/>
  <c r="BX671" i="3"/>
  <c r="BY669" i="3"/>
  <c r="BY667" i="3"/>
  <c r="BZ666" i="3"/>
  <c r="BX664" i="3"/>
  <c r="BY658" i="3"/>
  <c r="BX657" i="3"/>
  <c r="BY578" i="3"/>
  <c r="BX577" i="3"/>
  <c r="BZ575" i="3"/>
  <c r="BX574" i="3"/>
  <c r="BZ573" i="3"/>
  <c r="BW573" i="3"/>
  <c r="BZ572" i="3"/>
  <c r="CB570" i="3"/>
  <c r="BX568" i="3"/>
  <c r="BY567" i="3"/>
  <c r="BY564" i="3"/>
  <c r="BZ563" i="3"/>
  <c r="BY561" i="3"/>
  <c r="BX558" i="3"/>
  <c r="BX554" i="3"/>
  <c r="BX553" i="3"/>
  <c r="BY552" i="3"/>
  <c r="BY551" i="3"/>
  <c r="BY550" i="3"/>
  <c r="BY549" i="3"/>
  <c r="BX536" i="3"/>
  <c r="BY535" i="3"/>
  <c r="BY483" i="3"/>
  <c r="BY481" i="3"/>
  <c r="BZ478" i="3"/>
  <c r="BY475" i="3"/>
  <c r="BY472" i="3"/>
  <c r="BY471" i="3"/>
  <c r="BZ470" i="3"/>
  <c r="BY469" i="3"/>
  <c r="CC465" i="3"/>
  <c r="CA462" i="3"/>
  <c r="CA457" i="3"/>
  <c r="BY456" i="3"/>
  <c r="CC455" i="3"/>
  <c r="BY454" i="3"/>
  <c r="CB453" i="3"/>
  <c r="BZ452" i="3"/>
  <c r="CB450" i="3"/>
  <c r="CA446" i="3"/>
  <c r="BZ438" i="3"/>
  <c r="CA435" i="3"/>
  <c r="BZ434" i="3"/>
  <c r="BY432" i="3"/>
  <c r="CB428" i="3"/>
  <c r="BZ427" i="3"/>
  <c r="BZ424" i="3"/>
  <c r="CB421" i="3"/>
  <c r="CA636" i="3"/>
  <c r="BY636" i="3"/>
  <c r="BW636" i="3"/>
  <c r="BZ635" i="3"/>
  <c r="BY635" i="3"/>
  <c r="BX635" i="3"/>
  <c r="BW635" i="3"/>
  <c r="CA634" i="3"/>
  <c r="BY634" i="3"/>
  <c r="BX634" i="3"/>
  <c r="BW634" i="3"/>
  <c r="BZ633" i="3"/>
  <c r="BY633" i="3"/>
  <c r="BX633" i="3"/>
  <c r="BW633" i="3"/>
  <c r="CA632" i="3"/>
  <c r="BZ632" i="3"/>
  <c r="BY632" i="3"/>
  <c r="BX632" i="3"/>
  <c r="BW632" i="3"/>
  <c r="BY628" i="3"/>
  <c r="BX628" i="3"/>
  <c r="BW628" i="3"/>
  <c r="CC627" i="3"/>
  <c r="BZ627" i="3"/>
  <c r="BY627" i="3"/>
  <c r="BX627" i="3"/>
  <c r="BW627" i="3"/>
  <c r="CC626" i="3"/>
  <c r="BZ626" i="3"/>
  <c r="BY626" i="3"/>
  <c r="BX626" i="3"/>
  <c r="BW626" i="3"/>
  <c r="BY625" i="3"/>
  <c r="BX625" i="3"/>
  <c r="BW625" i="3"/>
  <c r="CC624" i="3"/>
  <c r="BY624" i="3"/>
  <c r="BX624" i="3"/>
  <c r="BW624" i="3"/>
  <c r="CB623" i="3"/>
  <c r="BZ623" i="3"/>
  <c r="BY623" i="3"/>
  <c r="BX623" i="3"/>
  <c r="BW623" i="3"/>
  <c r="CA622" i="3"/>
  <c r="BZ622" i="3"/>
  <c r="BY622" i="3"/>
  <c r="BX622" i="3"/>
  <c r="BW622" i="3"/>
  <c r="BY621" i="3"/>
  <c r="BX621" i="3"/>
  <c r="BW621" i="3"/>
  <c r="BY620" i="3"/>
  <c r="BX620" i="3"/>
  <c r="BW620" i="3"/>
  <c r="BY619" i="3"/>
  <c r="BX619" i="3"/>
  <c r="BW619" i="3"/>
  <c r="BY618" i="3"/>
  <c r="BX618" i="3"/>
  <c r="BW618" i="3"/>
  <c r="BZ617" i="3"/>
  <c r="BY617" i="3"/>
  <c r="BX617" i="3"/>
  <c r="BW617" i="3"/>
  <c r="BW616" i="3"/>
  <c r="CB614" i="3"/>
  <c r="BZ614" i="3"/>
  <c r="BX614" i="3"/>
  <c r="BW614" i="3"/>
  <c r="BY609" i="3"/>
  <c r="BX609" i="3"/>
  <c r="BW609" i="3"/>
  <c r="BY608" i="3"/>
  <c r="BX608" i="3"/>
  <c r="BW608" i="3"/>
  <c r="BZ607" i="3"/>
  <c r="BY607" i="3"/>
  <c r="BX607" i="3"/>
  <c r="BW607" i="3"/>
  <c r="CB606" i="3"/>
  <c r="BZ606" i="3"/>
  <c r="BY606" i="3"/>
  <c r="BX606" i="3"/>
  <c r="BW606" i="3"/>
  <c r="BZ605" i="3"/>
  <c r="BY605" i="3"/>
  <c r="BX605" i="3"/>
  <c r="BW605" i="3"/>
  <c r="CA604" i="3"/>
  <c r="BZ604" i="3"/>
  <c r="BY604" i="3"/>
  <c r="BX604" i="3"/>
  <c r="BW604" i="3"/>
  <c r="CA603" i="3"/>
  <c r="BZ603" i="3"/>
  <c r="BY603" i="3"/>
  <c r="BX603" i="3"/>
  <c r="BW603" i="3"/>
  <c r="BZ601" i="3"/>
  <c r="BX601" i="3"/>
  <c r="BW601" i="3"/>
  <c r="BZ600" i="3"/>
  <c r="BY600" i="3"/>
  <c r="BX600" i="3"/>
  <c r="BW600" i="3"/>
  <c r="BZ599" i="3"/>
  <c r="BY599" i="3"/>
  <c r="BX599" i="3"/>
  <c r="BW599" i="3"/>
  <c r="CA598" i="3"/>
  <c r="BZ598" i="3"/>
  <c r="BY598" i="3"/>
  <c r="BX598" i="3"/>
  <c r="BW598" i="3"/>
  <c r="CA597" i="3"/>
  <c r="BZ597" i="3"/>
  <c r="BY597" i="3"/>
  <c r="BX597" i="3"/>
  <c r="BW597" i="3"/>
  <c r="BY596" i="3"/>
  <c r="BX596" i="3"/>
  <c r="BW596" i="3"/>
  <c r="BZ595" i="3"/>
  <c r="BY595" i="3"/>
  <c r="BX595" i="3"/>
  <c r="BW595" i="3"/>
  <c r="BZ594" i="3"/>
  <c r="BY594" i="3"/>
  <c r="BX594" i="3"/>
  <c r="BW594" i="3"/>
  <c r="CA592" i="3"/>
  <c r="BW592" i="3"/>
  <c r="BZ591" i="3"/>
  <c r="BY591" i="3"/>
  <c r="BX591" i="3"/>
  <c r="BW591" i="3"/>
  <c r="BZ590" i="3"/>
  <c r="BY590" i="3"/>
  <c r="BX590" i="3"/>
  <c r="BW590" i="3"/>
  <c r="BZ589" i="3"/>
  <c r="BY589" i="3"/>
  <c r="BX589" i="3"/>
  <c r="BW589" i="3"/>
  <c r="BX588" i="3"/>
  <c r="BW588" i="3"/>
  <c r="BY587" i="3"/>
  <c r="BX587" i="3"/>
  <c r="BW587" i="3"/>
  <c r="BY586" i="3"/>
  <c r="BX586" i="3"/>
  <c r="BW586" i="3"/>
  <c r="BY585" i="3"/>
  <c r="BX585" i="3"/>
  <c r="BW585" i="3"/>
  <c r="BY584" i="3"/>
  <c r="BX584" i="3"/>
  <c r="BW584" i="3"/>
  <c r="BY583" i="3"/>
  <c r="BX583" i="3"/>
  <c r="BW583" i="3"/>
  <c r="BX582" i="3"/>
  <c r="BW582" i="3"/>
  <c r="BY581" i="3"/>
  <c r="BX581" i="3"/>
  <c r="BW581" i="3"/>
  <c r="CA580" i="3"/>
  <c r="BY580" i="3"/>
  <c r="BX580" i="3"/>
  <c r="BW580" i="3"/>
  <c r="BZ579" i="3"/>
  <c r="BY579" i="3"/>
  <c r="BX579" i="3"/>
  <c r="BW579" i="3"/>
  <c r="CA568" i="3"/>
  <c r="CA567" i="3"/>
  <c r="BW567" i="3"/>
  <c r="CA565" i="3"/>
  <c r="BX564" i="3"/>
  <c r="BY563" i="3"/>
  <c r="CA561" i="3"/>
  <c r="CA560" i="3"/>
  <c r="BY554" i="3"/>
  <c r="BY553" i="3"/>
  <c r="BX552" i="3"/>
  <c r="CC551" i="3"/>
  <c r="BX549" i="3"/>
  <c r="BZ481" i="3"/>
  <c r="CB480" i="3"/>
  <c r="BZ479" i="3"/>
  <c r="CC478" i="3"/>
  <c r="CA477" i="3"/>
  <c r="BY476" i="3"/>
  <c r="CB475" i="3"/>
  <c r="BY473" i="3"/>
  <c r="BX472" i="3"/>
  <c r="CB470" i="3"/>
  <c r="BY470" i="3"/>
  <c r="CA469" i="3"/>
  <c r="BX469" i="3"/>
  <c r="BY465" i="3"/>
  <c r="CB463" i="3"/>
  <c r="BZ462" i="3"/>
  <c r="BZ459" i="3"/>
  <c r="AN456" i="3"/>
  <c r="CB455" i="3"/>
  <c r="CA453" i="3"/>
  <c r="CA452" i="3"/>
  <c r="BY451" i="3"/>
  <c r="CA449" i="3"/>
  <c r="CA447" i="3"/>
  <c r="BY446" i="3"/>
  <c r="CB442" i="3"/>
  <c r="BZ436" i="3"/>
  <c r="CB435" i="3"/>
  <c r="BY434" i="3"/>
  <c r="BZ432" i="3"/>
  <c r="CB427" i="3"/>
  <c r="BZ426" i="3"/>
  <c r="CB422" i="3"/>
  <c r="BY421" i="3"/>
  <c r="CC420" i="3"/>
  <c r="CB419" i="3"/>
  <c r="CA501" i="3"/>
  <c r="BZ501" i="3"/>
  <c r="BY501" i="3"/>
  <c r="BX501" i="3"/>
  <c r="BW501" i="3"/>
  <c r="CA500" i="3"/>
  <c r="BY500" i="3"/>
  <c r="BX500" i="3"/>
  <c r="BW500" i="3"/>
  <c r="BY499" i="3"/>
  <c r="BX499" i="3"/>
  <c r="BW499" i="3"/>
  <c r="CB498" i="3"/>
  <c r="BY498" i="3"/>
  <c r="BX498" i="3"/>
  <c r="BW498" i="3"/>
  <c r="BX497" i="3"/>
  <c r="BW497" i="3"/>
  <c r="CC496" i="3"/>
  <c r="BX496" i="3"/>
  <c r="BW496" i="3"/>
  <c r="BY495" i="3"/>
  <c r="BX495" i="3"/>
  <c r="BW495" i="3"/>
  <c r="CC494" i="3"/>
  <c r="CB494" i="3"/>
  <c r="BY494" i="3"/>
  <c r="BX494" i="3"/>
  <c r="BW494" i="3"/>
  <c r="BY493" i="3"/>
  <c r="BX493" i="3"/>
  <c r="BW493" i="3"/>
  <c r="CB491" i="3"/>
  <c r="CA491" i="3"/>
  <c r="BZ491" i="3"/>
  <c r="BY491" i="3"/>
  <c r="BX491" i="3"/>
  <c r="BW491" i="3"/>
  <c r="CC489" i="3"/>
  <c r="CB489" i="3"/>
  <c r="CA489" i="3"/>
  <c r="BY489" i="3"/>
  <c r="BW489" i="3"/>
  <c r="CA488" i="3"/>
  <c r="BZ488" i="3"/>
  <c r="BY488" i="3"/>
  <c r="BX488" i="3"/>
  <c r="BW488" i="3"/>
  <c r="CC487" i="3"/>
  <c r="CB487" i="3"/>
  <c r="CA487" i="3"/>
  <c r="BY487" i="3"/>
  <c r="BW487" i="3"/>
  <c r="CC486" i="3"/>
  <c r="CB486" i="3"/>
  <c r="CA486" i="3"/>
  <c r="BY486" i="3"/>
  <c r="BW486" i="3"/>
  <c r="CA484" i="3"/>
  <c r="BZ484" i="3"/>
  <c r="BY484" i="3"/>
  <c r="BX484" i="3"/>
  <c r="BW484" i="3"/>
  <c r="CA483" i="3"/>
  <c r="BZ483" i="3"/>
  <c r="BW483" i="3"/>
  <c r="CA481" i="3"/>
  <c r="CA479" i="3"/>
  <c r="CA475" i="3"/>
  <c r="BX471" i="3"/>
  <c r="BX470" i="3"/>
  <c r="BZ469" i="3"/>
  <c r="CA465" i="3"/>
  <c r="BZ463" i="3"/>
  <c r="BY462" i="3"/>
  <c r="CA458" i="3"/>
  <c r="CB456" i="3"/>
  <c r="BY455" i="3"/>
  <c r="CB454" i="3"/>
  <c r="CA451" i="3"/>
  <c r="BZ450" i="3"/>
  <c r="BZ449" i="3"/>
  <c r="BZ447" i="3"/>
  <c r="CB446" i="3"/>
  <c r="CA441" i="3"/>
  <c r="CB438" i="3"/>
  <c r="BZ437" i="3"/>
  <c r="BZ433" i="3"/>
  <c r="CA428" i="3"/>
  <c r="CA426" i="3"/>
  <c r="CB424" i="3"/>
  <c r="CA422" i="3"/>
  <c r="CA377" i="3"/>
  <c r="BZ377" i="3"/>
  <c r="BY377" i="3"/>
  <c r="BX377" i="3"/>
  <c r="BW377" i="3"/>
  <c r="CA376" i="3"/>
  <c r="BZ376" i="3"/>
  <c r="BY376" i="3"/>
  <c r="BX376" i="3"/>
  <c r="BW376" i="3"/>
  <c r="CA375" i="3"/>
  <c r="BZ375" i="3"/>
  <c r="BY375" i="3"/>
  <c r="BX375" i="3"/>
  <c r="BW375" i="3"/>
  <c r="BZ374" i="3"/>
  <c r="BY374" i="3"/>
  <c r="BX374" i="3"/>
  <c r="BW374" i="3"/>
  <c r="CA373" i="3"/>
  <c r="BZ373" i="3"/>
  <c r="BY373" i="3"/>
  <c r="BX373" i="3"/>
  <c r="BW373" i="3"/>
  <c r="CA372" i="3"/>
  <c r="BZ372" i="3"/>
  <c r="BY372" i="3"/>
  <c r="BX372" i="3"/>
  <c r="BW372" i="3"/>
  <c r="CA371" i="3"/>
  <c r="BZ371" i="3"/>
  <c r="BY371" i="3"/>
  <c r="BX371" i="3"/>
  <c r="BW371" i="3"/>
  <c r="BZ370" i="3"/>
  <c r="BY370" i="3"/>
  <c r="BX370" i="3"/>
  <c r="BW370" i="3"/>
  <c r="BZ369" i="3"/>
  <c r="BY369" i="3"/>
  <c r="BX369" i="3"/>
  <c r="BW369" i="3"/>
  <c r="CA368" i="3"/>
  <c r="BZ368" i="3"/>
  <c r="BX368" i="3"/>
  <c r="BW368" i="3"/>
  <c r="BY367" i="3"/>
  <c r="BW367" i="3"/>
  <c r="BZ366" i="3"/>
  <c r="BX366" i="3"/>
  <c r="BW366" i="3"/>
  <c r="BZ363" i="3"/>
  <c r="BY363" i="3"/>
  <c r="BX363" i="3"/>
  <c r="BW363" i="3"/>
  <c r="CA361" i="3"/>
  <c r="BZ361" i="3"/>
  <c r="BW361" i="3"/>
  <c r="CA360" i="3"/>
  <c r="BZ360" i="3"/>
  <c r="BY360" i="3"/>
  <c r="BX360" i="3"/>
  <c r="BW360" i="3"/>
  <c r="BZ359" i="3"/>
  <c r="BY359" i="3"/>
  <c r="BX359" i="3"/>
  <c r="BW359" i="3"/>
  <c r="BY358" i="3"/>
  <c r="BW358" i="3"/>
  <c r="CA356" i="3"/>
  <c r="BX356" i="3"/>
  <c r="BW356" i="3"/>
  <c r="BZ355" i="3"/>
  <c r="BY355" i="3"/>
  <c r="BX355" i="3"/>
  <c r="BW355" i="3"/>
  <c r="BX354" i="3"/>
  <c r="BW354" i="3"/>
  <c r="BZ353" i="3"/>
  <c r="BY353" i="3"/>
  <c r="BX353" i="3"/>
  <c r="BW353" i="3"/>
  <c r="BZ352" i="3"/>
  <c r="BY352" i="3"/>
  <c r="BX352" i="3"/>
  <c r="BW352" i="3"/>
  <c r="BZ351" i="3"/>
  <c r="BY351" i="3"/>
  <c r="BX351" i="3"/>
  <c r="BW351" i="3"/>
  <c r="BZ350" i="3"/>
  <c r="BY350" i="3"/>
  <c r="BX350" i="3"/>
  <c r="BW350" i="3"/>
  <c r="CA349" i="3"/>
  <c r="BZ349" i="3"/>
  <c r="BY349" i="3"/>
  <c r="BX349" i="3"/>
  <c r="BW349" i="3"/>
  <c r="BX346" i="3"/>
  <c r="BW346" i="3"/>
  <c r="BZ345" i="3"/>
  <c r="BX345" i="3"/>
  <c r="BW345" i="3"/>
  <c r="BY344" i="3"/>
  <c r="BX344" i="3"/>
  <c r="BW344" i="3"/>
  <c r="BY343" i="3"/>
  <c r="BX343" i="3"/>
  <c r="BW343" i="3"/>
  <c r="BZ336" i="3"/>
  <c r="BY336" i="3"/>
  <c r="BX336" i="3"/>
  <c r="BW336" i="3"/>
  <c r="BZ334" i="3"/>
  <c r="BY334" i="3"/>
  <c r="BX334" i="3"/>
  <c r="BW334" i="3"/>
  <c r="CA333" i="3"/>
  <c r="BZ333" i="3"/>
  <c r="BY333" i="3"/>
  <c r="BX333" i="3"/>
  <c r="BW333" i="3"/>
  <c r="BV333" i="3"/>
  <c r="CB332" i="3"/>
  <c r="BZ332" i="3"/>
  <c r="BY332" i="3"/>
  <c r="BX332" i="3"/>
  <c r="BW332" i="3"/>
  <c r="CA331" i="3"/>
  <c r="BZ331" i="3"/>
  <c r="BY331" i="3"/>
  <c r="BW331" i="3"/>
  <c r="CA329" i="3"/>
  <c r="BZ329" i="3"/>
  <c r="BY329" i="3"/>
  <c r="BX329" i="3"/>
  <c r="BW329" i="3"/>
  <c r="CB327" i="3"/>
  <c r="BW327" i="3"/>
  <c r="CB326" i="3"/>
  <c r="CA326" i="3"/>
  <c r="BY326" i="3"/>
  <c r="BX326" i="3"/>
  <c r="BW326" i="3"/>
  <c r="BZ324" i="3"/>
  <c r="BY324" i="3"/>
  <c r="BX324" i="3"/>
  <c r="BW324" i="3"/>
  <c r="CB323" i="3"/>
  <c r="BX323" i="3"/>
  <c r="BW323" i="3"/>
  <c r="CA321" i="3"/>
  <c r="BZ321" i="3"/>
  <c r="BY321" i="3"/>
  <c r="BX321" i="3"/>
  <c r="BW321" i="3"/>
  <c r="CB319" i="3"/>
  <c r="BY319" i="3"/>
  <c r="BX319" i="3"/>
  <c r="BW319" i="3"/>
  <c r="CB318" i="3"/>
  <c r="CA318" i="3"/>
  <c r="BZ318" i="3"/>
  <c r="BY318" i="3"/>
  <c r="BX318" i="3"/>
  <c r="BW318" i="3"/>
  <c r="CA317" i="3"/>
  <c r="BZ317" i="3"/>
  <c r="BY317" i="3"/>
  <c r="BX317" i="3"/>
  <c r="BW317" i="3"/>
  <c r="CB313" i="3"/>
  <c r="CA313" i="3"/>
  <c r="BZ313" i="3"/>
  <c r="BY313" i="3"/>
  <c r="BX313" i="3"/>
  <c r="BW313" i="3"/>
  <c r="CC312" i="3"/>
  <c r="BY312" i="3"/>
  <c r="BX312" i="3"/>
  <c r="BW312" i="3"/>
  <c r="BZ311" i="3"/>
  <c r="BY311" i="3"/>
  <c r="BX311" i="3"/>
  <c r="BW311" i="3"/>
  <c r="CC310" i="3"/>
  <c r="BY310" i="3"/>
  <c r="BX310" i="3"/>
  <c r="BW310" i="3"/>
  <c r="BX309" i="3"/>
  <c r="BW309" i="3"/>
  <c r="BW308" i="3"/>
  <c r="CB307" i="3"/>
  <c r="CA307" i="3"/>
  <c r="BZ307" i="3"/>
  <c r="BY307" i="3"/>
  <c r="BX307" i="3"/>
  <c r="BW307" i="3"/>
  <c r="CB306" i="3"/>
  <c r="CA306" i="3"/>
  <c r="BZ306" i="3"/>
  <c r="BY306" i="3"/>
  <c r="BX306" i="3"/>
  <c r="BW306" i="3"/>
  <c r="CA305" i="3"/>
  <c r="BZ305" i="3"/>
  <c r="BY305" i="3"/>
  <c r="BX305" i="3"/>
  <c r="BW305" i="3"/>
  <c r="CA304" i="3"/>
  <c r="BZ304" i="3"/>
  <c r="BY304" i="3"/>
  <c r="BX304" i="3"/>
  <c r="BW304" i="3"/>
  <c r="CB302" i="3"/>
  <c r="CA302" i="3"/>
  <c r="BZ302" i="3"/>
  <c r="BY302" i="3"/>
  <c r="BX302" i="3"/>
  <c r="BW302" i="3"/>
  <c r="CA301" i="3"/>
  <c r="BZ301" i="3"/>
  <c r="BY301" i="3"/>
  <c r="BX301" i="3"/>
  <c r="BW301" i="3"/>
  <c r="CA300" i="3"/>
  <c r="BZ300" i="3"/>
  <c r="BY300" i="3"/>
  <c r="BX300" i="3"/>
  <c r="BW300" i="3"/>
  <c r="CA298" i="3"/>
  <c r="BZ298" i="3"/>
  <c r="BY298" i="3"/>
  <c r="BX298" i="3"/>
  <c r="BW298" i="3"/>
  <c r="BZ296" i="3"/>
  <c r="BX296" i="3"/>
  <c r="BW296" i="3"/>
  <c r="CA294" i="3"/>
  <c r="BZ294" i="3"/>
  <c r="BY294" i="3"/>
  <c r="BX294" i="3"/>
  <c r="BW294" i="3"/>
  <c r="CA292" i="3"/>
  <c r="BZ292" i="3"/>
  <c r="BY292" i="3"/>
  <c r="BX292" i="3"/>
  <c r="BW292" i="3"/>
  <c r="CB291" i="3"/>
  <c r="BZ291" i="3"/>
  <c r="BY291" i="3"/>
  <c r="BX291" i="3"/>
  <c r="BW291" i="3"/>
  <c r="CC290" i="3"/>
  <c r="CB290" i="3"/>
  <c r="CA290" i="3"/>
  <c r="BZ290" i="3"/>
  <c r="AN414" i="3"/>
  <c r="BY241" i="3"/>
  <c r="BX241" i="3"/>
  <c r="BW241" i="3"/>
  <c r="CC237" i="3"/>
  <c r="CB237" i="3"/>
  <c r="CA237" i="3"/>
  <c r="BZ237" i="3"/>
  <c r="BY237" i="3"/>
  <c r="BX237" i="3"/>
  <c r="BW237" i="3"/>
  <c r="CB236" i="3"/>
  <c r="CA236" i="3"/>
  <c r="BZ236" i="3"/>
  <c r="BY236" i="3"/>
  <c r="BX236" i="3"/>
  <c r="BW236" i="3"/>
  <c r="CB234" i="3"/>
  <c r="CA234" i="3"/>
  <c r="BZ234" i="3"/>
  <c r="BY234" i="3"/>
  <c r="BX234" i="3"/>
  <c r="BW234" i="3"/>
  <c r="CA233" i="3"/>
  <c r="BZ233" i="3"/>
  <c r="BY233" i="3"/>
  <c r="BX233" i="3"/>
  <c r="BW233" i="3"/>
  <c r="CB232" i="3"/>
  <c r="CA232" i="3"/>
  <c r="BZ232" i="3"/>
  <c r="BY232" i="3"/>
  <c r="BX232" i="3"/>
  <c r="BW232" i="3"/>
  <c r="BZ231" i="3"/>
  <c r="BY231" i="3"/>
  <c r="BX231" i="3"/>
  <c r="BW231" i="3"/>
  <c r="CB230" i="3"/>
  <c r="CA230" i="3"/>
  <c r="BZ230" i="3"/>
  <c r="BY230" i="3"/>
  <c r="BX230" i="3"/>
  <c r="BW230" i="3"/>
  <c r="CB229" i="3"/>
  <c r="CA229" i="3"/>
  <c r="BZ229" i="3"/>
  <c r="BY229" i="3"/>
  <c r="BX229" i="3"/>
  <c r="BW229" i="3"/>
  <c r="CB228" i="3"/>
  <c r="CA228" i="3"/>
  <c r="BZ228" i="3"/>
  <c r="BY228" i="3"/>
  <c r="BX228" i="3"/>
  <c r="BW228" i="3"/>
  <c r="CC221" i="3"/>
  <c r="CB221" i="3"/>
  <c r="CA221" i="3"/>
  <c r="BZ221" i="3"/>
  <c r="BY221" i="3"/>
  <c r="BX221" i="3"/>
  <c r="BW221" i="3"/>
  <c r="CB220" i="3"/>
  <c r="CA220" i="3"/>
  <c r="BZ220" i="3"/>
  <c r="BY220" i="3"/>
  <c r="BX220" i="3"/>
  <c r="BW220" i="3"/>
  <c r="BZ219" i="3"/>
  <c r="BY219" i="3"/>
  <c r="BX219" i="3"/>
  <c r="BW219" i="3"/>
  <c r="CC218" i="3"/>
  <c r="CB218" i="3"/>
  <c r="CA218" i="3"/>
  <c r="BZ218" i="3"/>
  <c r="BY218" i="3"/>
  <c r="BX218" i="3"/>
  <c r="BW218" i="3"/>
  <c r="CB217" i="3"/>
  <c r="CA217" i="3"/>
  <c r="BZ217" i="3"/>
  <c r="BY217" i="3"/>
  <c r="BX217" i="3"/>
  <c r="BW217" i="3"/>
  <c r="CB216" i="3"/>
  <c r="CA216" i="3"/>
  <c r="BZ216" i="3"/>
  <c r="BY216" i="3"/>
  <c r="BX216" i="3"/>
  <c r="BW216" i="3"/>
  <c r="BX215" i="3"/>
  <c r="BW215" i="3"/>
  <c r="CB214" i="3"/>
  <c r="CA214" i="3"/>
  <c r="BZ214" i="3"/>
  <c r="BY214" i="3"/>
  <c r="BX214" i="3"/>
  <c r="BW214" i="3"/>
  <c r="CB213" i="3"/>
  <c r="CA213" i="3"/>
  <c r="BZ213" i="3"/>
  <c r="BY213" i="3"/>
  <c r="BX213" i="3"/>
  <c r="BW213" i="3"/>
  <c r="CB212" i="3"/>
  <c r="CA212" i="3"/>
  <c r="BZ212" i="3"/>
  <c r="BY212" i="3"/>
  <c r="BX212" i="3"/>
  <c r="BW212" i="3"/>
  <c r="CB211" i="3"/>
  <c r="CA211" i="3"/>
  <c r="BZ211" i="3"/>
  <c r="BY211" i="3"/>
  <c r="BX211" i="3"/>
  <c r="BW211" i="3"/>
  <c r="CB210" i="3"/>
  <c r="CA210" i="3"/>
  <c r="BZ210" i="3"/>
  <c r="BY210" i="3"/>
  <c r="BX210" i="3"/>
  <c r="BW210" i="3"/>
  <c r="CB209" i="3"/>
  <c r="CA209" i="3"/>
  <c r="BZ209" i="3"/>
  <c r="BY209" i="3"/>
  <c r="BX209" i="3"/>
  <c r="BW209" i="3"/>
  <c r="CB208" i="3"/>
  <c r="CA208" i="3"/>
  <c r="BZ208" i="3"/>
  <c r="BY208" i="3"/>
  <c r="BX208" i="3"/>
  <c r="BW208" i="3"/>
  <c r="CB207" i="3"/>
  <c r="CA207" i="3"/>
  <c r="BZ207" i="3"/>
  <c r="BY207" i="3"/>
  <c r="BX207" i="3"/>
  <c r="BW207" i="3"/>
  <c r="CB206" i="3"/>
  <c r="CA206" i="3"/>
  <c r="BZ206" i="3"/>
  <c r="BY206" i="3"/>
  <c r="BX206" i="3"/>
  <c r="BW206" i="3"/>
  <c r="CB205" i="3"/>
  <c r="CA205" i="3"/>
  <c r="BZ205" i="3"/>
  <c r="BY205" i="3"/>
  <c r="BX205" i="3"/>
  <c r="BW205" i="3"/>
  <c r="CB204" i="3"/>
  <c r="CA204" i="3"/>
  <c r="BZ204" i="3"/>
  <c r="BY204" i="3"/>
  <c r="BX204" i="3"/>
  <c r="BW204" i="3"/>
  <c r="CC203" i="3"/>
  <c r="CB203" i="3"/>
  <c r="CA203" i="3"/>
  <c r="BZ203" i="3"/>
  <c r="BY203" i="3"/>
  <c r="BX203" i="3"/>
  <c r="BW203" i="3"/>
  <c r="BZ202" i="3"/>
  <c r="BY202" i="3"/>
  <c r="BX202" i="3"/>
  <c r="BW202" i="3"/>
  <c r="CC201" i="3"/>
  <c r="CB201" i="3"/>
  <c r="CA201" i="3"/>
  <c r="BZ201" i="3"/>
  <c r="BY201" i="3"/>
  <c r="BX201" i="3"/>
  <c r="BW201" i="3"/>
  <c r="CB200" i="3"/>
  <c r="CA200" i="3"/>
  <c r="BZ200" i="3"/>
  <c r="BY200" i="3"/>
  <c r="BX200" i="3"/>
  <c r="BW200" i="3"/>
  <c r="CC199" i="3"/>
  <c r="CB199" i="3"/>
  <c r="CA199" i="3"/>
  <c r="BZ199" i="3"/>
  <c r="BY199" i="3"/>
  <c r="BX199" i="3"/>
  <c r="BW199" i="3"/>
  <c r="CA198" i="3"/>
  <c r="BZ198" i="3"/>
  <c r="BY198" i="3"/>
  <c r="BX198" i="3"/>
  <c r="BW198" i="3"/>
  <c r="CC197" i="3"/>
  <c r="CB197" i="3"/>
  <c r="CA197" i="3"/>
  <c r="BY197" i="3"/>
  <c r="BX197" i="3"/>
  <c r="BW197" i="3"/>
  <c r="CC196" i="3"/>
  <c r="CB196" i="3"/>
  <c r="CA196" i="3"/>
  <c r="BY196" i="3"/>
  <c r="BX196" i="3"/>
  <c r="BW196" i="3"/>
  <c r="CC195" i="3"/>
  <c r="CB195" i="3"/>
  <c r="CA195" i="3"/>
  <c r="BY195" i="3"/>
  <c r="BX195" i="3"/>
  <c r="BW195" i="3"/>
  <c r="CC194" i="3"/>
  <c r="CB194" i="3"/>
  <c r="CA194" i="3"/>
  <c r="BY194" i="3"/>
  <c r="BX194" i="3"/>
  <c r="BW194" i="3"/>
  <c r="CC193" i="3"/>
  <c r="CB193" i="3"/>
  <c r="CA193" i="3"/>
  <c r="BY193" i="3"/>
  <c r="BX193" i="3"/>
  <c r="BW193" i="3"/>
  <c r="CC192" i="3"/>
  <c r="CB192" i="3"/>
  <c r="CA192" i="3"/>
  <c r="BY192" i="3"/>
  <c r="BX192" i="3"/>
  <c r="BW192" i="3"/>
  <c r="CC191" i="3"/>
  <c r="CB191" i="3"/>
  <c r="CA191" i="3"/>
  <c r="BY191" i="3"/>
  <c r="BX191" i="3"/>
  <c r="BW191" i="3"/>
  <c r="CC190" i="3"/>
  <c r="CB190" i="3"/>
  <c r="CA190" i="3"/>
  <c r="BY190" i="3"/>
  <c r="BX190" i="3"/>
  <c r="BW190" i="3"/>
  <c r="CC189" i="3"/>
  <c r="CB189" i="3"/>
  <c r="CA189" i="3"/>
  <c r="BY189" i="3"/>
  <c r="BX189" i="3"/>
  <c r="BW189" i="3"/>
  <c r="CC188" i="3"/>
  <c r="CB188" i="3"/>
  <c r="CA188" i="3"/>
  <c r="BY188" i="3"/>
  <c r="BX188" i="3"/>
  <c r="BW188" i="3"/>
  <c r="CC187" i="3"/>
  <c r="CB187" i="3"/>
  <c r="CA187" i="3"/>
  <c r="BY187" i="3"/>
  <c r="BX187" i="3"/>
  <c r="BW187" i="3"/>
  <c r="CC186" i="3"/>
  <c r="CB186" i="3"/>
  <c r="CA186" i="3"/>
  <c r="BY186" i="3"/>
  <c r="BX186" i="3"/>
  <c r="BW186" i="3"/>
  <c r="CC185" i="3"/>
  <c r="CB185" i="3"/>
  <c r="CA185" i="3"/>
  <c r="BY185" i="3"/>
  <c r="BX185" i="3"/>
  <c r="BW185" i="3"/>
  <c r="CC184" i="3"/>
  <c r="CB184" i="3"/>
  <c r="CA184" i="3"/>
  <c r="BY184" i="3"/>
  <c r="BX184" i="3"/>
  <c r="BW184" i="3"/>
  <c r="CC183" i="3"/>
  <c r="CB183" i="3"/>
  <c r="CA183" i="3"/>
  <c r="BY183" i="3"/>
  <c r="BX183" i="3"/>
  <c r="BW183" i="3"/>
  <c r="CC182" i="3"/>
  <c r="CB182" i="3"/>
  <c r="CA182" i="3"/>
  <c r="BY182" i="3"/>
  <c r="BX182" i="3"/>
  <c r="BW182" i="3"/>
  <c r="CC181" i="3"/>
  <c r="CB181" i="3"/>
  <c r="CA181" i="3"/>
  <c r="BY181" i="3"/>
  <c r="BX181" i="3"/>
  <c r="BW181" i="3"/>
  <c r="CC180" i="3"/>
  <c r="CB180" i="3"/>
  <c r="CA180" i="3"/>
  <c r="BY180" i="3"/>
  <c r="BX180" i="3"/>
  <c r="BW180" i="3"/>
  <c r="CC179" i="3"/>
  <c r="CB179" i="3"/>
  <c r="CA179" i="3"/>
  <c r="BY179" i="3"/>
  <c r="BX179" i="3"/>
  <c r="BW179" i="3"/>
  <c r="CC178" i="3"/>
  <c r="CB178" i="3"/>
  <c r="CA178" i="3"/>
  <c r="BY178" i="3"/>
  <c r="BX178" i="3"/>
  <c r="BW178" i="3"/>
  <c r="CC177" i="3"/>
  <c r="CB177" i="3"/>
  <c r="CA177" i="3"/>
  <c r="BY177" i="3"/>
  <c r="BX177" i="3"/>
  <c r="BW177" i="3"/>
  <c r="CC176" i="3"/>
  <c r="CB176" i="3"/>
  <c r="CA176" i="3"/>
  <c r="BY176" i="3"/>
  <c r="BX176" i="3"/>
  <c r="BW176" i="3"/>
  <c r="CC175" i="3"/>
  <c r="CB175" i="3"/>
  <c r="CA175" i="3"/>
  <c r="BY175" i="3"/>
  <c r="BX175" i="3"/>
  <c r="BW175" i="3"/>
  <c r="CC174" i="3"/>
  <c r="CB174" i="3"/>
  <c r="CA174" i="3"/>
  <c r="BY174" i="3"/>
  <c r="BX174" i="3"/>
  <c r="BW174" i="3"/>
  <c r="CC173" i="3"/>
  <c r="CB173" i="3"/>
  <c r="CA173" i="3"/>
  <c r="BZ173" i="3"/>
  <c r="BY173" i="3"/>
  <c r="BX173" i="3"/>
  <c r="BW173" i="3"/>
  <c r="CC172" i="3"/>
  <c r="CB172" i="3"/>
  <c r="CA172" i="3"/>
  <c r="BY172" i="3"/>
  <c r="BX172" i="3"/>
  <c r="BW172" i="3"/>
  <c r="CC171" i="3"/>
  <c r="CB171" i="3"/>
  <c r="CA171" i="3"/>
  <c r="BY171" i="3"/>
  <c r="BX171" i="3"/>
  <c r="BW171" i="3"/>
  <c r="CC170" i="3"/>
  <c r="CB170" i="3"/>
  <c r="CA170" i="3"/>
  <c r="BY170" i="3"/>
  <c r="BX170" i="3"/>
  <c r="BW170" i="3"/>
  <c r="BX419" i="3"/>
  <c r="AN419" i="3"/>
  <c r="BW89" i="3"/>
  <c r="CC88" i="3"/>
  <c r="CB88" i="3"/>
  <c r="CA88" i="3"/>
  <c r="BZ88" i="3"/>
  <c r="BY88" i="3"/>
  <c r="BX88" i="3"/>
  <c r="BW88" i="3"/>
  <c r="CC87" i="3"/>
  <c r="CB87" i="3"/>
  <c r="CA87" i="3"/>
  <c r="BZ87" i="3"/>
  <c r="BY87" i="3"/>
  <c r="BX87" i="3"/>
  <c r="BW87" i="3"/>
  <c r="CC86" i="3"/>
  <c r="CA86" i="3"/>
  <c r="BZ86" i="3"/>
  <c r="BY86" i="3"/>
  <c r="BX86" i="3"/>
  <c r="BW86" i="3"/>
  <c r="CC85" i="3"/>
  <c r="CB85" i="3"/>
  <c r="CA85" i="3"/>
  <c r="BZ85" i="3"/>
  <c r="BY85" i="3"/>
  <c r="BX85" i="3"/>
  <c r="BW85" i="3"/>
  <c r="CC84" i="3"/>
  <c r="CB84" i="3"/>
  <c r="CA84" i="3"/>
  <c r="BZ84" i="3"/>
  <c r="BY84" i="3"/>
  <c r="BX84" i="3"/>
  <c r="BW84" i="3"/>
  <c r="CC83" i="3"/>
  <c r="CB83" i="3"/>
  <c r="CA83" i="3"/>
  <c r="BZ83" i="3"/>
  <c r="BY83" i="3"/>
  <c r="BX83" i="3"/>
  <c r="BW83" i="3"/>
  <c r="CC82" i="3"/>
  <c r="CB82" i="3"/>
  <c r="CA82" i="3"/>
  <c r="BZ82" i="3"/>
  <c r="BY82" i="3"/>
  <c r="BX82" i="3"/>
  <c r="BW82" i="3"/>
  <c r="CC81" i="3"/>
  <c r="CB81" i="3"/>
  <c r="CA81" i="3"/>
  <c r="BZ81" i="3"/>
  <c r="BY81" i="3"/>
  <c r="BX81" i="3"/>
  <c r="BW81" i="3"/>
  <c r="CC80" i="3"/>
  <c r="CB80" i="3"/>
  <c r="CA80" i="3"/>
  <c r="BZ80" i="3"/>
  <c r="BY80" i="3"/>
  <c r="BX80" i="3"/>
  <c r="BW80" i="3"/>
  <c r="BX79" i="3"/>
  <c r="BW79" i="3"/>
  <c r="CC78" i="3"/>
  <c r="CB78" i="3"/>
  <c r="CA78" i="3"/>
  <c r="BZ78" i="3"/>
  <c r="BY78" i="3"/>
  <c r="BX78" i="3"/>
  <c r="BW78" i="3"/>
  <c r="CC77" i="3"/>
  <c r="CB77" i="3"/>
  <c r="CA77" i="3"/>
  <c r="BZ77" i="3"/>
  <c r="BY77" i="3"/>
  <c r="BX77" i="3"/>
  <c r="BW77" i="3"/>
  <c r="CC76" i="3"/>
  <c r="CB76" i="3"/>
  <c r="CA76" i="3"/>
  <c r="BZ76" i="3"/>
  <c r="BY76" i="3"/>
  <c r="BX76" i="3"/>
  <c r="BW76" i="3"/>
  <c r="CC75" i="3"/>
  <c r="CB75" i="3"/>
  <c r="CA75" i="3"/>
  <c r="BZ75" i="3"/>
  <c r="BY75" i="3"/>
  <c r="BX75" i="3"/>
  <c r="BW75" i="3"/>
  <c r="CC71" i="3"/>
  <c r="CB71" i="3"/>
  <c r="CA71" i="3"/>
  <c r="BZ71" i="3"/>
  <c r="BY71" i="3"/>
  <c r="BX71" i="3"/>
  <c r="BW71" i="3"/>
  <c r="CC69" i="3"/>
  <c r="CB69" i="3"/>
  <c r="CA69" i="3"/>
  <c r="BZ69" i="3"/>
  <c r="BY69" i="3"/>
  <c r="BX69" i="3"/>
  <c r="BW69" i="3"/>
  <c r="CC67" i="3"/>
  <c r="CB67" i="3"/>
  <c r="CA67" i="3"/>
  <c r="BZ67" i="3"/>
  <c r="BY67" i="3"/>
  <c r="BX67" i="3"/>
  <c r="BW67" i="3"/>
  <c r="CC66" i="3"/>
  <c r="CB66" i="3"/>
  <c r="CA66" i="3"/>
  <c r="BZ66" i="3"/>
  <c r="BY66" i="3"/>
  <c r="BX66" i="3"/>
  <c r="BW66" i="3"/>
  <c r="BY721" i="3"/>
  <c r="BW721" i="3"/>
  <c r="BY720" i="3"/>
  <c r="BX720" i="3"/>
  <c r="BW720" i="3"/>
  <c r="CA719" i="3"/>
  <c r="BX719" i="3"/>
  <c r="BW719" i="3"/>
  <c r="BY718" i="3"/>
  <c r="BX718" i="3"/>
  <c r="BY717" i="3"/>
  <c r="BX717" i="3"/>
  <c r="BW717" i="3"/>
  <c r="BY716" i="3"/>
  <c r="BW716" i="3"/>
  <c r="BY715" i="3"/>
  <c r="BX715" i="3"/>
  <c r="AN715" i="3"/>
  <c r="BX714" i="3"/>
  <c r="BZ713" i="3"/>
  <c r="BY713" i="3"/>
  <c r="BW713" i="3"/>
  <c r="BX712" i="3"/>
  <c r="BW712" i="3"/>
  <c r="CA710" i="3"/>
  <c r="BY710" i="3"/>
  <c r="BZ709" i="3"/>
  <c r="BX709" i="3"/>
  <c r="BY708" i="3"/>
  <c r="BX707" i="3"/>
  <c r="BW707" i="3"/>
  <c r="BY705" i="3"/>
  <c r="BW705" i="3"/>
  <c r="BX704" i="3"/>
  <c r="CA702" i="3"/>
  <c r="BX702" i="3"/>
  <c r="BW702" i="3"/>
  <c r="CA701" i="3"/>
  <c r="BY700" i="3"/>
  <c r="BX700" i="3"/>
  <c r="BX699" i="3"/>
  <c r="BW699" i="3"/>
  <c r="BY698" i="3"/>
  <c r="BW698" i="3"/>
  <c r="BY697" i="3"/>
  <c r="BX697" i="3"/>
  <c r="BY696" i="3"/>
  <c r="BX696" i="3"/>
  <c r="BX695" i="3"/>
  <c r="BW695" i="3"/>
  <c r="BW692" i="3"/>
  <c r="BY691" i="3"/>
  <c r="BX691" i="3"/>
  <c r="BZ690" i="3"/>
  <c r="BX690" i="3"/>
  <c r="CA689" i="3"/>
  <c r="AN689" i="3"/>
  <c r="BX688" i="3"/>
  <c r="BZ687" i="3"/>
  <c r="CA685" i="3"/>
  <c r="BW685" i="3"/>
  <c r="BW684" i="3"/>
  <c r="AN684" i="3"/>
  <c r="BP684" i="3" s="1"/>
  <c r="BY683" i="3"/>
  <c r="BX683" i="3"/>
  <c r="BX682" i="3"/>
  <c r="BW682" i="3"/>
  <c r="BZ681" i="3"/>
  <c r="BY681" i="3"/>
  <c r="BW681" i="3"/>
  <c r="BY680" i="3"/>
  <c r="BW680" i="3"/>
  <c r="BY679" i="3"/>
  <c r="BX679" i="3"/>
  <c r="BZ678" i="3"/>
  <c r="BX678" i="3"/>
  <c r="BW678" i="3"/>
  <c r="BY677" i="3"/>
  <c r="BX677" i="3"/>
  <c r="BW676" i="3"/>
  <c r="BY675" i="3"/>
  <c r="BX675" i="3"/>
  <c r="BZ673" i="3"/>
  <c r="BX673" i="3"/>
  <c r="BW673" i="3"/>
  <c r="BZ672" i="3"/>
  <c r="BX672" i="3"/>
  <c r="BW672" i="3"/>
  <c r="BZ671" i="3"/>
  <c r="BY671" i="3"/>
  <c r="BW671" i="3"/>
  <c r="BY670" i="3"/>
  <c r="BX670" i="3"/>
  <c r="BX669" i="3"/>
  <c r="BW669" i="3"/>
  <c r="BY668" i="3"/>
  <c r="BX668" i="3"/>
  <c r="BX667" i="3"/>
  <c r="BW667" i="3"/>
  <c r="BY666" i="3"/>
  <c r="BX666" i="3"/>
  <c r="BZ664" i="3"/>
  <c r="BY664" i="3"/>
  <c r="BW664" i="3"/>
  <c r="BY662" i="3"/>
  <c r="BX662" i="3"/>
  <c r="BW662" i="3"/>
  <c r="BX660" i="3"/>
  <c r="BW660" i="3"/>
  <c r="BZ658" i="3"/>
  <c r="BX658" i="3"/>
  <c r="BW658" i="3"/>
  <c r="BY657" i="3"/>
  <c r="BW657" i="3"/>
  <c r="BZ578" i="3"/>
  <c r="BX578" i="3"/>
  <c r="BW578" i="3"/>
  <c r="CA577" i="3"/>
  <c r="BY577" i="3"/>
  <c r="BW577" i="3"/>
  <c r="BY576" i="3"/>
  <c r="BX576" i="3"/>
  <c r="BY575" i="3"/>
  <c r="BX575" i="3"/>
  <c r="BW574" i="3"/>
  <c r="BY573" i="3"/>
  <c r="BX573" i="3"/>
  <c r="AN573" i="3"/>
  <c r="BY572" i="3"/>
  <c r="BX572" i="3"/>
  <c r="BZ571" i="3"/>
  <c r="BX571" i="3"/>
  <c r="BW571" i="3"/>
  <c r="CC570" i="3"/>
  <c r="CA570" i="3"/>
  <c r="BY570" i="3"/>
  <c r="BW570" i="3"/>
  <c r="BZ569" i="3"/>
  <c r="BY569" i="3"/>
  <c r="BX569" i="3"/>
  <c r="BZ568" i="3"/>
  <c r="BY568" i="3"/>
  <c r="BZ567" i="3"/>
  <c r="BX567" i="3"/>
  <c r="BY566" i="3"/>
  <c r="BY565" i="3"/>
  <c r="BX565" i="3"/>
  <c r="BW565" i="3"/>
  <c r="CA564" i="3"/>
  <c r="BZ564" i="3"/>
  <c r="BW564" i="3"/>
  <c r="CA563" i="3"/>
  <c r="BX563" i="3"/>
  <c r="BZ561" i="3"/>
  <c r="BX561" i="3"/>
  <c r="BZ560" i="3"/>
  <c r="BW560" i="3"/>
  <c r="BY559" i="3"/>
  <c r="BW559" i="3"/>
  <c r="BZ558" i="3"/>
  <c r="BY558" i="3"/>
  <c r="BX556" i="3"/>
  <c r="BW555" i="3"/>
  <c r="BW554" i="3"/>
  <c r="BW553" i="3"/>
  <c r="CA552" i="3"/>
  <c r="BW552" i="3"/>
  <c r="BX551" i="3"/>
  <c r="BZ550" i="3"/>
  <c r="BX550" i="3"/>
  <c r="BZ549" i="3"/>
  <c r="BW549" i="3"/>
  <c r="BT548" i="3"/>
  <c r="CH548" i="3" s="1"/>
  <c r="BY536" i="3"/>
  <c r="BZ535" i="3"/>
  <c r="BX535" i="3"/>
  <c r="AN527" i="3"/>
  <c r="BX483" i="3"/>
  <c r="BY482" i="3"/>
  <c r="CC481" i="3"/>
  <c r="BX481" i="3"/>
  <c r="CA480" i="3"/>
  <c r="BZ480" i="3"/>
  <c r="BY479" i="3"/>
  <c r="BY478" i="3"/>
  <c r="BW478" i="3"/>
  <c r="BZ477" i="3"/>
  <c r="BW477" i="3"/>
  <c r="BZ476" i="3"/>
  <c r="BX476" i="3"/>
  <c r="AN476" i="3"/>
  <c r="BZ475" i="3"/>
  <c r="BW475" i="3"/>
  <c r="AN475" i="3"/>
  <c r="BZ474" i="3"/>
  <c r="BW474" i="3"/>
  <c r="BZ473" i="3"/>
  <c r="BX473" i="3"/>
  <c r="CC472" i="3"/>
  <c r="CB465" i="3"/>
  <c r="BX465" i="3"/>
  <c r="BY463" i="3"/>
  <c r="BX462" i="3"/>
  <c r="CA461" i="3"/>
  <c r="BY460" i="3"/>
  <c r="CB459" i="3"/>
  <c r="BY459" i="3"/>
  <c r="BW459" i="3"/>
  <c r="BZ458" i="3"/>
  <c r="BX458" i="3"/>
  <c r="BZ457" i="3"/>
  <c r="BX457" i="3"/>
  <c r="CC456" i="3"/>
  <c r="BX456" i="3"/>
  <c r="CA455" i="3"/>
  <c r="BX455" i="3"/>
  <c r="CC454" i="3"/>
  <c r="CA454" i="3"/>
  <c r="BW454" i="3"/>
  <c r="BX453" i="3"/>
  <c r="CB452" i="3"/>
  <c r="BY452" i="3"/>
  <c r="BW452" i="3"/>
  <c r="AN452" i="3"/>
  <c r="CB451" i="3"/>
  <c r="BZ451" i="3"/>
  <c r="CA450" i="3"/>
  <c r="BY450" i="3"/>
  <c r="CB449" i="3"/>
  <c r="BY449" i="3"/>
  <c r="BW449" i="3"/>
  <c r="CB447" i="3"/>
  <c r="BY447" i="3"/>
  <c r="BW447" i="3"/>
  <c r="BZ446" i="3"/>
  <c r="BW446" i="3"/>
  <c r="AN446" i="3"/>
  <c r="BY442" i="3"/>
  <c r="BW441" i="3"/>
  <c r="CA438" i="3"/>
  <c r="BY438" i="3"/>
  <c r="CA437" i="3"/>
  <c r="BX437" i="3"/>
  <c r="BY436" i="3"/>
  <c r="BY435" i="3"/>
  <c r="BX434" i="3"/>
  <c r="CC433" i="3"/>
  <c r="BY433" i="3"/>
  <c r="BW432" i="3"/>
  <c r="CC428" i="3"/>
  <c r="BX428" i="3"/>
  <c r="BY427" i="3"/>
  <c r="BX426" i="3"/>
  <c r="CA424" i="3"/>
  <c r="BY424" i="3"/>
  <c r="CC422" i="3"/>
  <c r="BX422" i="3"/>
  <c r="CC421" i="3"/>
  <c r="CA421" i="3"/>
  <c r="BX420" i="3"/>
  <c r="CC419" i="3"/>
  <c r="AN408" i="3"/>
  <c r="BS408" i="3" s="1"/>
  <c r="CG408" i="3" s="1"/>
  <c r="AN407" i="3"/>
  <c r="BS407" i="3" s="1"/>
  <c r="CG407" i="3" s="1"/>
  <c r="AI676" i="3"/>
  <c r="CC676" i="3" s="1"/>
  <c r="I2" i="3"/>
  <c r="CC760" i="3"/>
  <c r="BY760" i="3"/>
  <c r="CC759" i="3"/>
  <c r="BZ759" i="3"/>
  <c r="CC758" i="3"/>
  <c r="BY758" i="3"/>
  <c r="CB756" i="3"/>
  <c r="BX756" i="3"/>
  <c r="BX755" i="3"/>
  <c r="CB754" i="3"/>
  <c r="CB753" i="3"/>
  <c r="CA752" i="3"/>
  <c r="CC750" i="3"/>
  <c r="BY750" i="3"/>
  <c r="CC749" i="3"/>
  <c r="BZ749" i="3"/>
  <c r="CC744" i="3"/>
  <c r="BW744" i="3"/>
  <c r="CB743" i="3"/>
  <c r="BX743" i="3"/>
  <c r="CC742" i="3"/>
  <c r="CB741" i="3"/>
  <c r="BX741" i="3"/>
  <c r="AN739" i="3"/>
  <c r="CH739" i="3" s="1"/>
  <c r="CB736" i="3"/>
  <c r="BZ736" i="3"/>
  <c r="CB735" i="3"/>
  <c r="BY735" i="3"/>
  <c r="BZ734" i="3"/>
  <c r="BZ733" i="3"/>
  <c r="BZ732" i="3"/>
  <c r="BZ731" i="3"/>
  <c r="BZ730" i="3"/>
  <c r="BZ729" i="3"/>
  <c r="CA727" i="3"/>
  <c r="BY726" i="3"/>
  <c r="CA724" i="3"/>
  <c r="BY722" i="3"/>
  <c r="CB719" i="3"/>
  <c r="CA718" i="3"/>
  <c r="CC717" i="3"/>
  <c r="CA716" i="3"/>
  <c r="CB714" i="3"/>
  <c r="CB712" i="3"/>
  <c r="CB708" i="3"/>
  <c r="CB706" i="3"/>
  <c r="BW706" i="3"/>
  <c r="BZ704" i="3"/>
  <c r="BZ700" i="3"/>
  <c r="CC699" i="3"/>
  <c r="BZ698" i="3"/>
  <c r="CC697" i="3"/>
  <c r="CA696" i="3"/>
  <c r="CA694" i="3"/>
  <c r="CB692" i="3"/>
  <c r="CA691" i="3"/>
  <c r="CC690" i="3"/>
  <c r="BY690" i="3"/>
  <c r="BZ688" i="3"/>
  <c r="BX687" i="3"/>
  <c r="CC685" i="3"/>
  <c r="CB684" i="3"/>
  <c r="CC683" i="3"/>
  <c r="CC682" i="3"/>
  <c r="CB681" i="3"/>
  <c r="CA679" i="3"/>
  <c r="CF674" i="3"/>
  <c r="CB674" i="3"/>
  <c r="CA674" i="3"/>
  <c r="BX674" i="3"/>
  <c r="CC673" i="3"/>
  <c r="CB671" i="3"/>
  <c r="BZ668" i="3"/>
  <c r="CA664" i="3"/>
  <c r="CC662" i="3"/>
  <c r="CA660" i="3"/>
  <c r="CB657" i="3"/>
  <c r="CB635" i="3"/>
  <c r="CB634" i="3"/>
  <c r="CC633" i="3"/>
  <c r="CC632" i="3"/>
  <c r="BZ625" i="3"/>
  <c r="CB624" i="3"/>
  <c r="CA621" i="3"/>
  <c r="CB620" i="3"/>
  <c r="BY616" i="3"/>
  <c r="BZ608" i="3"/>
  <c r="CB607" i="3"/>
  <c r="CB601" i="3"/>
  <c r="CB600" i="3"/>
  <c r="CB597" i="3"/>
  <c r="BZ592" i="3"/>
  <c r="CA589" i="3"/>
  <c r="CC588" i="3"/>
  <c r="CA586" i="3"/>
  <c r="CA583" i="3"/>
  <c r="CC582" i="3"/>
  <c r="CB579" i="3"/>
  <c r="CB577" i="3"/>
  <c r="BY574" i="3"/>
  <c r="CA573" i="3"/>
  <c r="CB571" i="3"/>
  <c r="CC569" i="3"/>
  <c r="CA559" i="3"/>
  <c r="CB558" i="3"/>
  <c r="CB556" i="3"/>
  <c r="BZ555" i="3"/>
  <c r="CC554" i="3"/>
  <c r="CB553" i="3"/>
  <c r="BT547" i="3"/>
  <c r="CH547" i="3" s="1"/>
  <c r="CC500" i="3"/>
  <c r="CB499" i="3"/>
  <c r="BZ498" i="3"/>
  <c r="CB497" i="3"/>
  <c r="CA496" i="3"/>
  <c r="CC495" i="3"/>
  <c r="CB472" i="3"/>
  <c r="CA471" i="3"/>
  <c r="CC470" i="3"/>
  <c r="CC446" i="3"/>
  <c r="BY441" i="3"/>
  <c r="BZ435" i="3"/>
  <c r="CB433" i="3"/>
  <c r="CB432" i="3"/>
  <c r="CB429" i="3"/>
  <c r="CF422" i="3"/>
  <c r="CA344" i="3"/>
  <c r="BZ343" i="3"/>
  <c r="CB331" i="3"/>
  <c r="CA324" i="3"/>
  <c r="CA323" i="3"/>
  <c r="CA312" i="3"/>
  <c r="CC311" i="3"/>
  <c r="AN311" i="3"/>
  <c r="CA310" i="3"/>
  <c r="CC309" i="3"/>
  <c r="BZ308" i="3"/>
  <c r="CC296" i="3"/>
  <c r="CB231" i="3"/>
  <c r="CC655" i="3"/>
  <c r="CB655" i="3"/>
  <c r="CA655" i="3"/>
  <c r="BZ655" i="3"/>
  <c r="BY655" i="3"/>
  <c r="BX655" i="3"/>
  <c r="BW655" i="3"/>
  <c r="CC654" i="3"/>
  <c r="CB654" i="3"/>
  <c r="CA654" i="3"/>
  <c r="BZ654" i="3"/>
  <c r="BY654" i="3"/>
  <c r="BX654" i="3"/>
  <c r="BW654" i="3"/>
  <c r="CC653" i="3"/>
  <c r="CB653" i="3"/>
  <c r="CA653" i="3"/>
  <c r="BZ653" i="3"/>
  <c r="BY653" i="3"/>
  <c r="BX653" i="3"/>
  <c r="BW653" i="3"/>
  <c r="CC651" i="3"/>
  <c r="CB651" i="3"/>
  <c r="CA651" i="3"/>
  <c r="BZ651" i="3"/>
  <c r="BY651" i="3"/>
  <c r="BX651" i="3"/>
  <c r="BW651" i="3"/>
  <c r="CC650" i="3"/>
  <c r="CB650" i="3"/>
  <c r="CA650" i="3"/>
  <c r="BZ650" i="3"/>
  <c r="BY650" i="3"/>
  <c r="BX650" i="3"/>
  <c r="BW650" i="3"/>
  <c r="CB648" i="3"/>
  <c r="CA648" i="3"/>
  <c r="BZ648" i="3"/>
  <c r="BY648" i="3"/>
  <c r="BX648" i="3"/>
  <c r="BW648" i="3"/>
  <c r="CC646" i="3"/>
  <c r="CB646" i="3"/>
  <c r="CA646" i="3"/>
  <c r="BZ646" i="3"/>
  <c r="BY646" i="3"/>
  <c r="BX646" i="3"/>
  <c r="BW646" i="3"/>
  <c r="CC645" i="3"/>
  <c r="CB645" i="3"/>
  <c r="CA645" i="3"/>
  <c r="BZ645" i="3"/>
  <c r="BY645" i="3"/>
  <c r="BX645" i="3"/>
  <c r="BW645" i="3"/>
  <c r="CC644" i="3"/>
  <c r="CB644" i="3"/>
  <c r="CA644" i="3"/>
  <c r="BZ644" i="3"/>
  <c r="BY644" i="3"/>
  <c r="BX644" i="3"/>
  <c r="BW644" i="3"/>
  <c r="CC643" i="3"/>
  <c r="CB643" i="3"/>
  <c r="CA643" i="3"/>
  <c r="BY643" i="3"/>
  <c r="BW643" i="3"/>
  <c r="CC641" i="3"/>
  <c r="CB641" i="3"/>
  <c r="CA641" i="3"/>
  <c r="BZ641" i="3"/>
  <c r="BY641" i="3"/>
  <c r="BX641" i="3"/>
  <c r="BW641" i="3"/>
  <c r="CC640" i="3"/>
  <c r="CB640" i="3"/>
  <c r="CA640" i="3"/>
  <c r="BZ640" i="3"/>
  <c r="BY640" i="3"/>
  <c r="BX640" i="3"/>
  <c r="BW640" i="3"/>
  <c r="CC639" i="3"/>
  <c r="CB639" i="3"/>
  <c r="CA639" i="3"/>
  <c r="BZ639" i="3"/>
  <c r="BY639" i="3"/>
  <c r="BX639" i="3"/>
  <c r="BW639" i="3"/>
  <c r="CC638" i="3"/>
  <c r="CB638" i="3"/>
  <c r="CA638" i="3"/>
  <c r="BZ638" i="3"/>
  <c r="BY638" i="3"/>
  <c r="BX638" i="3"/>
  <c r="BW638" i="3"/>
  <c r="CC637" i="3"/>
  <c r="CB637" i="3"/>
  <c r="CA637" i="3"/>
  <c r="BZ637" i="3"/>
  <c r="BY637" i="3"/>
  <c r="BX637" i="3"/>
  <c r="BW637" i="3"/>
  <c r="CA625" i="3"/>
  <c r="CA624" i="3"/>
  <c r="CB622" i="3"/>
  <c r="CA620" i="3"/>
  <c r="CB619" i="3"/>
  <c r="CB617" i="3"/>
  <c r="CB609" i="3"/>
  <c r="CB608" i="3"/>
  <c r="CB604" i="3"/>
  <c r="CC597" i="3"/>
  <c r="CB592" i="3"/>
  <c r="CA588" i="3"/>
  <c r="CB587" i="3"/>
  <c r="CB586" i="3"/>
  <c r="CC585" i="3"/>
  <c r="CC584" i="3"/>
  <c r="BZ581" i="3"/>
  <c r="CB580" i="3"/>
  <c r="CB576" i="3"/>
  <c r="BZ565" i="3"/>
  <c r="BZ556" i="3"/>
  <c r="BZ553" i="3"/>
  <c r="CB488" i="3"/>
  <c r="CB484" i="3"/>
  <c r="CB483" i="3"/>
  <c r="CB482" i="3"/>
  <c r="CB471" i="3"/>
  <c r="CG456" i="3"/>
  <c r="CB334" i="3"/>
  <c r="BY309" i="3"/>
  <c r="CA308" i="3"/>
  <c r="CA79" i="3"/>
  <c r="BT70" i="3"/>
  <c r="CH70" i="3" s="1"/>
  <c r="CB534" i="3"/>
  <c r="CA534" i="3"/>
  <c r="BZ534" i="3"/>
  <c r="BY534" i="3"/>
  <c r="BX534" i="3"/>
  <c r="BW534" i="3"/>
  <c r="CB533" i="3"/>
  <c r="CA533" i="3"/>
  <c r="BZ533" i="3"/>
  <c r="BY533" i="3"/>
  <c r="BX533" i="3"/>
  <c r="BW533" i="3"/>
  <c r="CB532" i="3"/>
  <c r="CA532" i="3"/>
  <c r="BZ532" i="3"/>
  <c r="BY532" i="3"/>
  <c r="BX532" i="3"/>
  <c r="BW532" i="3"/>
  <c r="CB531" i="3"/>
  <c r="CA531" i="3"/>
  <c r="BZ531" i="3"/>
  <c r="BY531" i="3"/>
  <c r="BX531" i="3"/>
  <c r="BW531" i="3"/>
  <c r="CB530" i="3"/>
  <c r="CA530" i="3"/>
  <c r="BZ530" i="3"/>
  <c r="BY530" i="3"/>
  <c r="BX530" i="3"/>
  <c r="BW530" i="3"/>
  <c r="CC529" i="3"/>
  <c r="CB529" i="3"/>
  <c r="CA529" i="3"/>
  <c r="BZ529" i="3"/>
  <c r="BY529" i="3"/>
  <c r="BX529" i="3"/>
  <c r="BW529" i="3"/>
  <c r="CC528" i="3"/>
  <c r="CB528" i="3"/>
  <c r="CA528" i="3"/>
  <c r="BZ528" i="3"/>
  <c r="BY528" i="3"/>
  <c r="BX528" i="3"/>
  <c r="BW528" i="3"/>
  <c r="CC527" i="3"/>
  <c r="CB527" i="3"/>
  <c r="CA527" i="3"/>
  <c r="BZ527" i="3"/>
  <c r="BY527" i="3"/>
  <c r="BX527" i="3"/>
  <c r="BW527" i="3"/>
  <c r="CC526" i="3"/>
  <c r="CB526" i="3"/>
  <c r="CA526" i="3"/>
  <c r="BZ526" i="3"/>
  <c r="BY526" i="3"/>
  <c r="BX526" i="3"/>
  <c r="BW526" i="3"/>
  <c r="CC525" i="3"/>
  <c r="CB525" i="3"/>
  <c r="CA525" i="3"/>
  <c r="BZ525" i="3"/>
  <c r="BY525" i="3"/>
  <c r="BX525" i="3"/>
  <c r="BW525" i="3"/>
  <c r="CC524" i="3"/>
  <c r="CB524" i="3"/>
  <c r="CA524" i="3"/>
  <c r="BZ524" i="3"/>
  <c r="BY524" i="3"/>
  <c r="BX524" i="3"/>
  <c r="BW524" i="3"/>
  <c r="CB523" i="3"/>
  <c r="CA523" i="3"/>
  <c r="BZ523" i="3"/>
  <c r="BY523" i="3"/>
  <c r="BX523" i="3"/>
  <c r="BW523" i="3"/>
  <c r="CB522" i="3"/>
  <c r="CA522" i="3"/>
  <c r="BZ522" i="3"/>
  <c r="BY522" i="3"/>
  <c r="BX522" i="3"/>
  <c r="BW522" i="3"/>
  <c r="CB521" i="3"/>
  <c r="CA521" i="3"/>
  <c r="BZ521" i="3"/>
  <c r="BY521" i="3"/>
  <c r="BX521" i="3"/>
  <c r="BW521" i="3"/>
  <c r="CB520" i="3"/>
  <c r="CA520" i="3"/>
  <c r="BZ520" i="3"/>
  <c r="BY520" i="3"/>
  <c r="BX520" i="3"/>
  <c r="BW520" i="3"/>
  <c r="CC519" i="3"/>
  <c r="CB519" i="3"/>
  <c r="CA519" i="3"/>
  <c r="BY519" i="3"/>
  <c r="BX519" i="3"/>
  <c r="BW519" i="3"/>
  <c r="CC518" i="3"/>
  <c r="CB518" i="3"/>
  <c r="CA518" i="3"/>
  <c r="BZ518" i="3"/>
  <c r="BY518" i="3"/>
  <c r="BX518" i="3"/>
  <c r="BW518" i="3"/>
  <c r="CC517" i="3"/>
  <c r="CB517" i="3"/>
  <c r="CA517" i="3"/>
  <c r="BZ517" i="3"/>
  <c r="BY517" i="3"/>
  <c r="BX517" i="3"/>
  <c r="BW517" i="3"/>
  <c r="CC516" i="3"/>
  <c r="CB516" i="3"/>
  <c r="CA516" i="3"/>
  <c r="BZ516" i="3"/>
  <c r="BY516" i="3"/>
  <c r="BX516" i="3"/>
  <c r="BW516" i="3"/>
  <c r="CC514" i="3"/>
  <c r="CB514" i="3"/>
  <c r="CA514" i="3"/>
  <c r="BZ514" i="3"/>
  <c r="BY514" i="3"/>
  <c r="BX514" i="3"/>
  <c r="BW514" i="3"/>
  <c r="CC512" i="3"/>
  <c r="CB512" i="3"/>
  <c r="CA512" i="3"/>
  <c r="BZ512" i="3"/>
  <c r="BY512" i="3"/>
  <c r="BX512" i="3"/>
  <c r="BW512" i="3"/>
  <c r="CC511" i="3"/>
  <c r="CB511" i="3"/>
  <c r="CA511" i="3"/>
  <c r="BZ511" i="3"/>
  <c r="BY511" i="3"/>
  <c r="BX511" i="3"/>
  <c r="BW511" i="3"/>
  <c r="CC510" i="3"/>
  <c r="CB510" i="3"/>
  <c r="CA510" i="3"/>
  <c r="BZ510" i="3"/>
  <c r="BY510" i="3"/>
  <c r="BX510" i="3"/>
  <c r="BW510" i="3"/>
  <c r="CC509" i="3"/>
  <c r="CB509" i="3"/>
  <c r="CA509" i="3"/>
  <c r="BZ509" i="3"/>
  <c r="BY509" i="3"/>
  <c r="BX509" i="3"/>
  <c r="BW509" i="3"/>
  <c r="CC508" i="3"/>
  <c r="CB508" i="3"/>
  <c r="CA508" i="3"/>
  <c r="BZ508" i="3"/>
  <c r="BY508" i="3"/>
  <c r="BX508" i="3"/>
  <c r="BW508" i="3"/>
  <c r="CC507" i="3"/>
  <c r="CB507" i="3"/>
  <c r="CA507" i="3"/>
  <c r="BZ507" i="3"/>
  <c r="BY507" i="3"/>
  <c r="BX507" i="3"/>
  <c r="BW507" i="3"/>
  <c r="CC506" i="3"/>
  <c r="CB506" i="3"/>
  <c r="CA506" i="3"/>
  <c r="BZ506" i="3"/>
  <c r="BY506" i="3"/>
  <c r="BX506" i="3"/>
  <c r="BW506" i="3"/>
  <c r="CC505" i="3"/>
  <c r="CB505" i="3"/>
  <c r="CA505" i="3"/>
  <c r="BZ505" i="3"/>
  <c r="BY505" i="3"/>
  <c r="BX505" i="3"/>
  <c r="BW505" i="3"/>
  <c r="CC504" i="3"/>
  <c r="CB504" i="3"/>
  <c r="CA504" i="3"/>
  <c r="BZ504" i="3"/>
  <c r="BY504" i="3"/>
  <c r="BX504" i="3"/>
  <c r="BW504" i="3"/>
  <c r="CC502" i="3"/>
  <c r="CB502" i="3"/>
  <c r="CA502" i="3"/>
  <c r="BZ502" i="3"/>
  <c r="BY502" i="3"/>
  <c r="BX502" i="3"/>
  <c r="BW502" i="3"/>
  <c r="CC501" i="3"/>
  <c r="CB501" i="3"/>
  <c r="BW482" i="3"/>
  <c r="CB436" i="3"/>
  <c r="CB368" i="3"/>
  <c r="CA366" i="3"/>
  <c r="CA359" i="3"/>
  <c r="CB356" i="3"/>
  <c r="CA350" i="3"/>
  <c r="CB349" i="3"/>
  <c r="BY345" i="3"/>
  <c r="CB336" i="3"/>
  <c r="BX331" i="3"/>
  <c r="AN331" i="3"/>
  <c r="BY327" i="3"/>
  <c r="BZ326" i="3"/>
  <c r="BZ323" i="3"/>
  <c r="CB321" i="3"/>
  <c r="BZ319" i="3"/>
  <c r="CC317" i="3"/>
  <c r="BZ312" i="3"/>
  <c r="AN312" i="3"/>
  <c r="CB311" i="3"/>
  <c r="BX308" i="3"/>
  <c r="CC307" i="3"/>
  <c r="CB305" i="3"/>
  <c r="CB300" i="3"/>
  <c r="CB298" i="3"/>
  <c r="BY296" i="3"/>
  <c r="AN296" i="3"/>
  <c r="CC294" i="3"/>
  <c r="CA291" i="3"/>
  <c r="CB233" i="3"/>
  <c r="CB202" i="3"/>
  <c r="CC418" i="3"/>
  <c r="CB418" i="3"/>
  <c r="CA418" i="3"/>
  <c r="BY418" i="3"/>
  <c r="BX418" i="3"/>
  <c r="BW418" i="3"/>
  <c r="CC417" i="3"/>
  <c r="CB417" i="3"/>
  <c r="CA417" i="3"/>
  <c r="BY417" i="3"/>
  <c r="BX417" i="3"/>
  <c r="BW417" i="3"/>
  <c r="CC416" i="3"/>
  <c r="CB416" i="3"/>
  <c r="CA416" i="3"/>
  <c r="BZ416" i="3"/>
  <c r="BY416" i="3"/>
  <c r="BX416" i="3"/>
  <c r="BW416" i="3"/>
  <c r="CC415" i="3"/>
  <c r="CB415" i="3"/>
  <c r="CA415" i="3"/>
  <c r="BZ415" i="3"/>
  <c r="BY415" i="3"/>
  <c r="BX415" i="3"/>
  <c r="BW415" i="3"/>
  <c r="CB414" i="3"/>
  <c r="CA414" i="3"/>
  <c r="BZ414" i="3"/>
  <c r="BY414" i="3"/>
  <c r="BX414" i="3"/>
  <c r="BW414" i="3"/>
  <c r="CB413" i="3"/>
  <c r="CA413" i="3"/>
  <c r="BZ413" i="3"/>
  <c r="BY413" i="3"/>
  <c r="BX413" i="3"/>
  <c r="BW413" i="3"/>
  <c r="CB412" i="3"/>
  <c r="CA412" i="3"/>
  <c r="BZ412" i="3"/>
  <c r="BY412" i="3"/>
  <c r="BX412" i="3"/>
  <c r="BW412" i="3"/>
  <c r="CB411" i="3"/>
  <c r="CA411" i="3"/>
  <c r="BZ411" i="3"/>
  <c r="BY411" i="3"/>
  <c r="BX411" i="3"/>
  <c r="BW411" i="3"/>
  <c r="CB409" i="3"/>
  <c r="CA409" i="3"/>
  <c r="BZ409" i="3"/>
  <c r="BY409" i="3"/>
  <c r="BX409" i="3"/>
  <c r="BW409" i="3"/>
  <c r="CB408" i="3"/>
  <c r="CA408" i="3"/>
  <c r="BZ408" i="3"/>
  <c r="BY408" i="3"/>
  <c r="BX408" i="3"/>
  <c r="BW408" i="3"/>
  <c r="CB407" i="3"/>
  <c r="CA407" i="3"/>
  <c r="BZ407" i="3"/>
  <c r="BY407" i="3"/>
  <c r="BX407" i="3"/>
  <c r="BW407" i="3"/>
  <c r="CG405" i="3"/>
  <c r="CF405" i="3"/>
  <c r="CC405" i="3"/>
  <c r="CB405" i="3"/>
  <c r="CA405" i="3"/>
  <c r="BY405" i="3"/>
  <c r="BX405" i="3"/>
  <c r="BW405" i="3"/>
  <c r="CC404" i="3"/>
  <c r="CB404" i="3"/>
  <c r="CA404" i="3"/>
  <c r="BZ404" i="3"/>
  <c r="BY404" i="3"/>
  <c r="BX404" i="3"/>
  <c r="BW404" i="3"/>
  <c r="CC403" i="3"/>
  <c r="CB403" i="3"/>
  <c r="CA403" i="3"/>
  <c r="BZ403" i="3"/>
  <c r="BY403" i="3"/>
  <c r="BX403" i="3"/>
  <c r="BW403" i="3"/>
  <c r="CC402" i="3"/>
  <c r="CB402" i="3"/>
  <c r="CA402" i="3"/>
  <c r="BZ402" i="3"/>
  <c r="BY402" i="3"/>
  <c r="BX402" i="3"/>
  <c r="BW402" i="3"/>
  <c r="CC401" i="3"/>
  <c r="CB401" i="3"/>
  <c r="CA401" i="3"/>
  <c r="BZ401" i="3"/>
  <c r="BY401" i="3"/>
  <c r="BX401" i="3"/>
  <c r="BW401" i="3"/>
  <c r="CC399" i="3"/>
  <c r="CB399" i="3"/>
  <c r="CA399" i="3"/>
  <c r="BZ399" i="3"/>
  <c r="BY399" i="3"/>
  <c r="BX399" i="3"/>
  <c r="BW399" i="3"/>
  <c r="CB397" i="3"/>
  <c r="CA397" i="3"/>
  <c r="BZ397" i="3"/>
  <c r="BY397" i="3"/>
  <c r="BX397" i="3"/>
  <c r="BW397" i="3"/>
  <c r="CC396" i="3"/>
  <c r="CB396" i="3"/>
  <c r="CA396" i="3"/>
  <c r="BZ396" i="3"/>
  <c r="BY396" i="3"/>
  <c r="BX396" i="3"/>
  <c r="BW396" i="3"/>
  <c r="CC395" i="3"/>
  <c r="CB395" i="3"/>
  <c r="CA395" i="3"/>
  <c r="BZ395" i="3"/>
  <c r="BY395" i="3"/>
  <c r="BX395" i="3"/>
  <c r="BW395" i="3"/>
  <c r="CC394" i="3"/>
  <c r="CB394" i="3"/>
  <c r="CA394" i="3"/>
  <c r="BZ394" i="3"/>
  <c r="BY394" i="3"/>
  <c r="BX394" i="3"/>
  <c r="BW394" i="3"/>
  <c r="CB393" i="3"/>
  <c r="CA393" i="3"/>
  <c r="BZ393" i="3"/>
  <c r="BY393" i="3"/>
  <c r="BX393" i="3"/>
  <c r="BW393" i="3"/>
  <c r="CB392" i="3"/>
  <c r="CA392" i="3"/>
  <c r="BZ392" i="3"/>
  <c r="BY392" i="3"/>
  <c r="BX392" i="3"/>
  <c r="BW392" i="3"/>
  <c r="CB391" i="3"/>
  <c r="CA391" i="3"/>
  <c r="BZ391" i="3"/>
  <c r="BY391" i="3"/>
  <c r="BX391" i="3"/>
  <c r="BW391" i="3"/>
  <c r="CB390" i="3"/>
  <c r="CA390" i="3"/>
  <c r="BZ390" i="3"/>
  <c r="BY390" i="3"/>
  <c r="BX390" i="3"/>
  <c r="BW390" i="3"/>
  <c r="CB389" i="3"/>
  <c r="CA389" i="3"/>
  <c r="BZ389" i="3"/>
  <c r="BY389" i="3"/>
  <c r="BX389" i="3"/>
  <c r="BW389" i="3"/>
  <c r="CB388" i="3"/>
  <c r="CA388" i="3"/>
  <c r="BZ388" i="3"/>
  <c r="BY388" i="3"/>
  <c r="BX388" i="3"/>
  <c r="BW388" i="3"/>
  <c r="CB387" i="3"/>
  <c r="CA387" i="3"/>
  <c r="BZ387" i="3"/>
  <c r="BY387" i="3"/>
  <c r="BX387" i="3"/>
  <c r="BW387" i="3"/>
  <c r="CB386" i="3"/>
  <c r="CA386" i="3"/>
  <c r="BZ386" i="3"/>
  <c r="BY386" i="3"/>
  <c r="BX386" i="3"/>
  <c r="BW386" i="3"/>
  <c r="CB385" i="3"/>
  <c r="CA385" i="3"/>
  <c r="BZ385" i="3"/>
  <c r="BY385" i="3"/>
  <c r="BX385" i="3"/>
  <c r="BW385" i="3"/>
  <c r="CB384" i="3"/>
  <c r="CA384" i="3"/>
  <c r="BZ384" i="3"/>
  <c r="BY384" i="3"/>
  <c r="BX384" i="3"/>
  <c r="BW384" i="3"/>
  <c r="CB383" i="3"/>
  <c r="CA383" i="3"/>
  <c r="BZ383" i="3"/>
  <c r="BY383" i="3"/>
  <c r="BX383" i="3"/>
  <c r="BW383" i="3"/>
  <c r="CB381" i="3"/>
  <c r="CA381" i="3"/>
  <c r="BZ381" i="3"/>
  <c r="BY381" i="3"/>
  <c r="BX381" i="3"/>
  <c r="BW381" i="3"/>
  <c r="CB371" i="3"/>
  <c r="CB366" i="3"/>
  <c r="BZ346" i="3"/>
  <c r="CB344" i="3"/>
  <c r="CA334" i="3"/>
  <c r="BZ309" i="3"/>
  <c r="CC308" i="3"/>
  <c r="AN308" i="3"/>
  <c r="BT295" i="3"/>
  <c r="CH295" i="3" s="1"/>
  <c r="CC219" i="3"/>
  <c r="BZ215" i="3"/>
  <c r="BY290" i="3"/>
  <c r="BX290" i="3"/>
  <c r="BW290" i="3"/>
  <c r="CC289" i="3"/>
  <c r="CB289" i="3"/>
  <c r="CA289" i="3"/>
  <c r="BZ289" i="3"/>
  <c r="BY289" i="3"/>
  <c r="BX289" i="3"/>
  <c r="BW289" i="3"/>
  <c r="CC288" i="3"/>
  <c r="CB288" i="3"/>
  <c r="CA288" i="3"/>
  <c r="BZ288" i="3"/>
  <c r="BY288" i="3"/>
  <c r="BX288" i="3"/>
  <c r="BW288" i="3"/>
  <c r="CB286" i="3"/>
  <c r="CA286" i="3"/>
  <c r="BZ286" i="3"/>
  <c r="BY286" i="3"/>
  <c r="BX286" i="3"/>
  <c r="BW286" i="3"/>
  <c r="CC285" i="3"/>
  <c r="CB285" i="3"/>
  <c r="CA285" i="3"/>
  <c r="BZ285" i="3"/>
  <c r="BY285" i="3"/>
  <c r="BX285" i="3"/>
  <c r="BW285" i="3"/>
  <c r="CC284" i="3"/>
  <c r="CB284" i="3"/>
  <c r="CA284" i="3"/>
  <c r="BZ284" i="3"/>
  <c r="BY284" i="3"/>
  <c r="BX284" i="3"/>
  <c r="BW284" i="3"/>
  <c r="CB283" i="3"/>
  <c r="CA283" i="3"/>
  <c r="BZ283" i="3"/>
  <c r="BY283" i="3"/>
  <c r="BX283" i="3"/>
  <c r="BW283" i="3"/>
  <c r="CB281" i="3"/>
  <c r="CA281" i="3"/>
  <c r="BZ281" i="3"/>
  <c r="BY281" i="3"/>
  <c r="BX281" i="3"/>
  <c r="BW281" i="3"/>
  <c r="CB280" i="3"/>
  <c r="CA280" i="3"/>
  <c r="BZ280" i="3"/>
  <c r="BY280" i="3"/>
  <c r="BX280" i="3"/>
  <c r="BW280" i="3"/>
  <c r="CB279" i="3"/>
  <c r="CA279" i="3"/>
  <c r="BZ279" i="3"/>
  <c r="BY279" i="3"/>
  <c r="BX279" i="3"/>
  <c r="BW279" i="3"/>
  <c r="CC277" i="3"/>
  <c r="CB277" i="3"/>
  <c r="CA277" i="3"/>
  <c r="BZ277" i="3"/>
  <c r="BY277" i="3"/>
  <c r="BX277" i="3"/>
  <c r="BW277" i="3"/>
  <c r="CB275" i="3"/>
  <c r="CA275" i="3"/>
  <c r="BZ275" i="3"/>
  <c r="BY275" i="3"/>
  <c r="BX275" i="3"/>
  <c r="BW275" i="3"/>
  <c r="CC274" i="3"/>
  <c r="CB274" i="3"/>
  <c r="CA274" i="3"/>
  <c r="BZ274" i="3"/>
  <c r="BY274" i="3"/>
  <c r="BX274" i="3"/>
  <c r="BW274" i="3"/>
  <c r="CB272" i="3"/>
  <c r="CA272" i="3"/>
  <c r="BZ272" i="3"/>
  <c r="BY272" i="3"/>
  <c r="BX272" i="3"/>
  <c r="BW272" i="3"/>
  <c r="CB271" i="3"/>
  <c r="CA271" i="3"/>
  <c r="BZ271" i="3"/>
  <c r="BY271" i="3"/>
  <c r="BX271" i="3"/>
  <c r="BW271" i="3"/>
  <c r="CB270" i="3"/>
  <c r="CA270" i="3"/>
  <c r="BZ270" i="3"/>
  <c r="BY270" i="3"/>
  <c r="BX270" i="3"/>
  <c r="BW270" i="3"/>
  <c r="CC269" i="3"/>
  <c r="CB269" i="3"/>
  <c r="CA269" i="3"/>
  <c r="BZ269" i="3"/>
  <c r="BY269" i="3"/>
  <c r="BX269" i="3"/>
  <c r="BW269" i="3"/>
  <c r="CC268" i="3"/>
  <c r="CB268" i="3"/>
  <c r="CA268" i="3"/>
  <c r="BZ268" i="3"/>
  <c r="BY268" i="3"/>
  <c r="BX268" i="3"/>
  <c r="BW268" i="3"/>
  <c r="CC267" i="3"/>
  <c r="CB267" i="3"/>
  <c r="CA267" i="3"/>
  <c r="BZ267" i="3"/>
  <c r="BY267" i="3"/>
  <c r="BX267" i="3"/>
  <c r="BW267" i="3"/>
  <c r="CC265" i="3"/>
  <c r="CB265" i="3"/>
  <c r="CA265" i="3"/>
  <c r="BZ265" i="3"/>
  <c r="BY265" i="3"/>
  <c r="BX265" i="3"/>
  <c r="BW265" i="3"/>
  <c r="CC264" i="3"/>
  <c r="CB264" i="3"/>
  <c r="CA264" i="3"/>
  <c r="BZ264" i="3"/>
  <c r="BY264" i="3"/>
  <c r="BX264" i="3"/>
  <c r="BW264" i="3"/>
  <c r="CC263" i="3"/>
  <c r="CB263" i="3"/>
  <c r="CA263" i="3"/>
  <c r="BZ263" i="3"/>
  <c r="BY263" i="3"/>
  <c r="BX263" i="3"/>
  <c r="BW263" i="3"/>
  <c r="CC262" i="3"/>
  <c r="CB262" i="3"/>
  <c r="CA262" i="3"/>
  <c r="BZ262" i="3"/>
  <c r="BY262" i="3"/>
  <c r="BX262" i="3"/>
  <c r="BW262" i="3"/>
  <c r="CB261" i="3"/>
  <c r="CA261" i="3"/>
  <c r="BZ261" i="3"/>
  <c r="BY261" i="3"/>
  <c r="BW261" i="3"/>
  <c r="CB260" i="3"/>
  <c r="CA260" i="3"/>
  <c r="BZ260" i="3"/>
  <c r="BY260" i="3"/>
  <c r="BW260" i="3"/>
  <c r="CB259" i="3"/>
  <c r="CA259" i="3"/>
  <c r="BZ259" i="3"/>
  <c r="BY259" i="3"/>
  <c r="BW259" i="3"/>
  <c r="CB258" i="3"/>
  <c r="CA258" i="3"/>
  <c r="BZ258" i="3"/>
  <c r="BY258" i="3"/>
  <c r="BW258" i="3"/>
  <c r="CB257" i="3"/>
  <c r="CA257" i="3"/>
  <c r="BZ257" i="3"/>
  <c r="BY257" i="3"/>
  <c r="BW257" i="3"/>
  <c r="CB256" i="3"/>
  <c r="CA256" i="3"/>
  <c r="BZ256" i="3"/>
  <c r="BY256" i="3"/>
  <c r="BW256" i="3"/>
  <c r="CB255" i="3"/>
  <c r="CA255" i="3"/>
  <c r="BZ255" i="3"/>
  <c r="BY255" i="3"/>
  <c r="BW255" i="3"/>
  <c r="CB254" i="3"/>
  <c r="CA254" i="3"/>
  <c r="BZ254" i="3"/>
  <c r="BY254" i="3"/>
  <c r="BW254" i="3"/>
  <c r="CB253" i="3"/>
  <c r="CA253" i="3"/>
  <c r="BZ253" i="3"/>
  <c r="BY253" i="3"/>
  <c r="BW253" i="3"/>
  <c r="CB252" i="3"/>
  <c r="CA252" i="3"/>
  <c r="BZ252" i="3"/>
  <c r="BY252" i="3"/>
  <c r="BW252" i="3"/>
  <c r="CB251" i="3"/>
  <c r="CA251" i="3"/>
  <c r="BZ251" i="3"/>
  <c r="BY251" i="3"/>
  <c r="BW251" i="3"/>
  <c r="CB250" i="3"/>
  <c r="CA250" i="3"/>
  <c r="BZ250" i="3"/>
  <c r="BY250" i="3"/>
  <c r="BW250" i="3"/>
  <c r="CC245" i="3"/>
  <c r="CB245" i="3"/>
  <c r="CA245" i="3"/>
  <c r="BZ245" i="3"/>
  <c r="BY245" i="3"/>
  <c r="BX245" i="3"/>
  <c r="BW245" i="3"/>
  <c r="CC244" i="3"/>
  <c r="CB244" i="3"/>
  <c r="CA244" i="3"/>
  <c r="BZ244" i="3"/>
  <c r="BY244" i="3"/>
  <c r="BX244" i="3"/>
  <c r="BW244" i="3"/>
  <c r="CG243" i="3"/>
  <c r="CB243" i="3"/>
  <c r="CA243" i="3"/>
  <c r="BZ243" i="3"/>
  <c r="BY243" i="3"/>
  <c r="BX243" i="3"/>
  <c r="BW243" i="3"/>
  <c r="CB242" i="3"/>
  <c r="CA242" i="3"/>
  <c r="BZ242" i="3"/>
  <c r="BY242" i="3"/>
  <c r="BX242" i="3"/>
  <c r="BW242" i="3"/>
  <c r="CC241" i="3"/>
  <c r="CB241" i="3"/>
  <c r="CA241" i="3"/>
  <c r="BZ241" i="3"/>
  <c r="CA231" i="3"/>
  <c r="CA219" i="3"/>
  <c r="CC215" i="3"/>
  <c r="CB198" i="3"/>
  <c r="CC79" i="3"/>
  <c r="CC169" i="3"/>
  <c r="CB169" i="3"/>
  <c r="CA169" i="3"/>
  <c r="BY169" i="3"/>
  <c r="BX169" i="3"/>
  <c r="BW169" i="3"/>
  <c r="CC168" i="3"/>
  <c r="CB168" i="3"/>
  <c r="CA168" i="3"/>
  <c r="BY168" i="3"/>
  <c r="BX168" i="3"/>
  <c r="BW168" i="3"/>
  <c r="CC167" i="3"/>
  <c r="CB167" i="3"/>
  <c r="CA167" i="3"/>
  <c r="BY167" i="3"/>
  <c r="BX167" i="3"/>
  <c r="BW167" i="3"/>
  <c r="CC166" i="3"/>
  <c r="CB166" i="3"/>
  <c r="CA166" i="3"/>
  <c r="BY166" i="3"/>
  <c r="BX166" i="3"/>
  <c r="BW166" i="3"/>
  <c r="CC165" i="3"/>
  <c r="CB165" i="3"/>
  <c r="CA165" i="3"/>
  <c r="BY165" i="3"/>
  <c r="BX165" i="3"/>
  <c r="BW165" i="3"/>
  <c r="CC164" i="3"/>
  <c r="CB164" i="3"/>
  <c r="CA164" i="3"/>
  <c r="BY164" i="3"/>
  <c r="BX164" i="3"/>
  <c r="BW164" i="3"/>
  <c r="CC163" i="3"/>
  <c r="CB163" i="3"/>
  <c r="CA163" i="3"/>
  <c r="BY163" i="3"/>
  <c r="BX163" i="3"/>
  <c r="BW163" i="3"/>
  <c r="CC162" i="3"/>
  <c r="CB162" i="3"/>
  <c r="CA162" i="3"/>
  <c r="BY162" i="3"/>
  <c r="BX162" i="3"/>
  <c r="BW162" i="3"/>
  <c r="CC161" i="3"/>
  <c r="CB161" i="3"/>
  <c r="CA161" i="3"/>
  <c r="BY161" i="3"/>
  <c r="BX161" i="3"/>
  <c r="BW161" i="3"/>
  <c r="CC160" i="3"/>
  <c r="CB160" i="3"/>
  <c r="CA160" i="3"/>
  <c r="BY160" i="3"/>
  <c r="BX160" i="3"/>
  <c r="BW160" i="3"/>
  <c r="CC159" i="3"/>
  <c r="CB159" i="3"/>
  <c r="CA159" i="3"/>
  <c r="BY159" i="3"/>
  <c r="BX159" i="3"/>
  <c r="BW159" i="3"/>
  <c r="CC158" i="3"/>
  <c r="CB158" i="3"/>
  <c r="CA158" i="3"/>
  <c r="BY158" i="3"/>
  <c r="BX158" i="3"/>
  <c r="BW158" i="3"/>
  <c r="CC157" i="3"/>
  <c r="CB157" i="3"/>
  <c r="CA157" i="3"/>
  <c r="BY157" i="3"/>
  <c r="BX157" i="3"/>
  <c r="BW157" i="3"/>
  <c r="CC156" i="3"/>
  <c r="CB156" i="3"/>
  <c r="CA156" i="3"/>
  <c r="BY156" i="3"/>
  <c r="BX156" i="3"/>
  <c r="BW156" i="3"/>
  <c r="CC155" i="3"/>
  <c r="CB155" i="3"/>
  <c r="CA155" i="3"/>
  <c r="BY155" i="3"/>
  <c r="BX155" i="3"/>
  <c r="BW155" i="3"/>
  <c r="CC154" i="3"/>
  <c r="CB154" i="3"/>
  <c r="CA154" i="3"/>
  <c r="BY154" i="3"/>
  <c r="BX154" i="3"/>
  <c r="BW154" i="3"/>
  <c r="CC153" i="3"/>
  <c r="CB153" i="3"/>
  <c r="CA153" i="3"/>
  <c r="BY153" i="3"/>
  <c r="BX153" i="3"/>
  <c r="BW153" i="3"/>
  <c r="CC152" i="3"/>
  <c r="CB152" i="3"/>
  <c r="CA152" i="3"/>
  <c r="BY152" i="3"/>
  <c r="BX152" i="3"/>
  <c r="BW152" i="3"/>
  <c r="CC151" i="3"/>
  <c r="CB151" i="3"/>
  <c r="CA151" i="3"/>
  <c r="BY151" i="3"/>
  <c r="BX151" i="3"/>
  <c r="BW151" i="3"/>
  <c r="CC150" i="3"/>
  <c r="CB150" i="3"/>
  <c r="CA150" i="3"/>
  <c r="BY150" i="3"/>
  <c r="BX150" i="3"/>
  <c r="BW150" i="3"/>
  <c r="CC149" i="3"/>
  <c r="CB149" i="3"/>
  <c r="CA149" i="3"/>
  <c r="BY149" i="3"/>
  <c r="BX149" i="3"/>
  <c r="BW149" i="3"/>
  <c r="CC148" i="3"/>
  <c r="CB148" i="3"/>
  <c r="CA148" i="3"/>
  <c r="BY148" i="3"/>
  <c r="BX148" i="3"/>
  <c r="BW148" i="3"/>
  <c r="CC147" i="3"/>
  <c r="CB147" i="3"/>
  <c r="CA147" i="3"/>
  <c r="BY147" i="3"/>
  <c r="BX147" i="3"/>
  <c r="BW147" i="3"/>
  <c r="CC146" i="3"/>
  <c r="CB146" i="3"/>
  <c r="CA146" i="3"/>
  <c r="BY146" i="3"/>
  <c r="BX146" i="3"/>
  <c r="BW146" i="3"/>
  <c r="CC145" i="3"/>
  <c r="CB145" i="3"/>
  <c r="CA145" i="3"/>
  <c r="BY145" i="3"/>
  <c r="BX145" i="3"/>
  <c r="BW145" i="3"/>
  <c r="CC144" i="3"/>
  <c r="CB144" i="3"/>
  <c r="CA144" i="3"/>
  <c r="BY144" i="3"/>
  <c r="BX144" i="3"/>
  <c r="BW144" i="3"/>
  <c r="CC143" i="3"/>
  <c r="CB143" i="3"/>
  <c r="CA143" i="3"/>
  <c r="BY143" i="3"/>
  <c r="BX143" i="3"/>
  <c r="BW143" i="3"/>
  <c r="CC142" i="3"/>
  <c r="CB142" i="3"/>
  <c r="CA142" i="3"/>
  <c r="BY142" i="3"/>
  <c r="BX142" i="3"/>
  <c r="BW142" i="3"/>
  <c r="CC141" i="3"/>
  <c r="CB141" i="3"/>
  <c r="CA141" i="3"/>
  <c r="BY141" i="3"/>
  <c r="BX141" i="3"/>
  <c r="BW141" i="3"/>
  <c r="CC140" i="3"/>
  <c r="CB140" i="3"/>
  <c r="CA140" i="3"/>
  <c r="BY140" i="3"/>
  <c r="BX140" i="3"/>
  <c r="BW140" i="3"/>
  <c r="CC139" i="3"/>
  <c r="CB139" i="3"/>
  <c r="CA139" i="3"/>
  <c r="BY139" i="3"/>
  <c r="BX139" i="3"/>
  <c r="BW139" i="3"/>
  <c r="CC138" i="3"/>
  <c r="CB138" i="3"/>
  <c r="CA138" i="3"/>
  <c r="BY138" i="3"/>
  <c r="BX138" i="3"/>
  <c r="BW138" i="3"/>
  <c r="CC137" i="3"/>
  <c r="CB137" i="3"/>
  <c r="CA137" i="3"/>
  <c r="BY137" i="3"/>
  <c r="BX137" i="3"/>
  <c r="BW137" i="3"/>
  <c r="CC136" i="3"/>
  <c r="CB136" i="3"/>
  <c r="CA136" i="3"/>
  <c r="BY136" i="3"/>
  <c r="BX136" i="3"/>
  <c r="BW136" i="3"/>
  <c r="CC135" i="3"/>
  <c r="CB135" i="3"/>
  <c r="CA135" i="3"/>
  <c r="BY135" i="3"/>
  <c r="BX135" i="3"/>
  <c r="BW135" i="3"/>
  <c r="CC134" i="3"/>
  <c r="CB134" i="3"/>
  <c r="CA134" i="3"/>
  <c r="BY134" i="3"/>
  <c r="BX134" i="3"/>
  <c r="BW134" i="3"/>
  <c r="CC133" i="3"/>
  <c r="CB133" i="3"/>
  <c r="CA133" i="3"/>
  <c r="BY133" i="3"/>
  <c r="BX133" i="3"/>
  <c r="BW133" i="3"/>
  <c r="CC132" i="3"/>
  <c r="CB132" i="3"/>
  <c r="CA132" i="3"/>
  <c r="BY132" i="3"/>
  <c r="BX132" i="3"/>
  <c r="BW132" i="3"/>
  <c r="CC131" i="3"/>
  <c r="CB131" i="3"/>
  <c r="CA131" i="3"/>
  <c r="BY131" i="3"/>
  <c r="BX131" i="3"/>
  <c r="BW131" i="3"/>
  <c r="CC130" i="3"/>
  <c r="CB130" i="3"/>
  <c r="CA130" i="3"/>
  <c r="BY130" i="3"/>
  <c r="BX130" i="3"/>
  <c r="BW130" i="3"/>
  <c r="CC129" i="3"/>
  <c r="CB129" i="3"/>
  <c r="CA129" i="3"/>
  <c r="BY129" i="3"/>
  <c r="BX129" i="3"/>
  <c r="BW129" i="3"/>
  <c r="CC128" i="3"/>
  <c r="CB128" i="3"/>
  <c r="CA128" i="3"/>
  <c r="BY128" i="3"/>
  <c r="BX128" i="3"/>
  <c r="BW128" i="3"/>
  <c r="CC127" i="3"/>
  <c r="CB127" i="3"/>
  <c r="CA127" i="3"/>
  <c r="BY127" i="3"/>
  <c r="BX127" i="3"/>
  <c r="BW127" i="3"/>
  <c r="CC126" i="3"/>
  <c r="CB126" i="3"/>
  <c r="CA126" i="3"/>
  <c r="BY126" i="3"/>
  <c r="BX126" i="3"/>
  <c r="BW126" i="3"/>
  <c r="CC125" i="3"/>
  <c r="CB125" i="3"/>
  <c r="CA125" i="3"/>
  <c r="BY125" i="3"/>
  <c r="BX125" i="3"/>
  <c r="BW125" i="3"/>
  <c r="CC124" i="3"/>
  <c r="CB124" i="3"/>
  <c r="CA124" i="3"/>
  <c r="BY124" i="3"/>
  <c r="BX124" i="3"/>
  <c r="BW124" i="3"/>
  <c r="CC123" i="3"/>
  <c r="CB123" i="3"/>
  <c r="CA123" i="3"/>
  <c r="BY123" i="3"/>
  <c r="BX123" i="3"/>
  <c r="BW123" i="3"/>
  <c r="CC122" i="3"/>
  <c r="CB122" i="3"/>
  <c r="CA122" i="3"/>
  <c r="BY122" i="3"/>
  <c r="BX122" i="3"/>
  <c r="BW122" i="3"/>
  <c r="CC121" i="3"/>
  <c r="CB121" i="3"/>
  <c r="CA121" i="3"/>
  <c r="BY121" i="3"/>
  <c r="BX121" i="3"/>
  <c r="BW121" i="3"/>
  <c r="CC120" i="3"/>
  <c r="CB120" i="3"/>
  <c r="CA120" i="3"/>
  <c r="BY120" i="3"/>
  <c r="BX120" i="3"/>
  <c r="BW120" i="3"/>
  <c r="CC119" i="3"/>
  <c r="CB119" i="3"/>
  <c r="CA119" i="3"/>
  <c r="BY119" i="3"/>
  <c r="BX119" i="3"/>
  <c r="BW119" i="3"/>
  <c r="CC118" i="3"/>
  <c r="CB118" i="3"/>
  <c r="CA118" i="3"/>
  <c r="BY118" i="3"/>
  <c r="BX118" i="3"/>
  <c r="BW118" i="3"/>
  <c r="CC117" i="3"/>
  <c r="CB117" i="3"/>
  <c r="CA117" i="3"/>
  <c r="BY117" i="3"/>
  <c r="BX117" i="3"/>
  <c r="BW117" i="3"/>
  <c r="CC116" i="3"/>
  <c r="CB116" i="3"/>
  <c r="CA116" i="3"/>
  <c r="BY116" i="3"/>
  <c r="BX116" i="3"/>
  <c r="BW116" i="3"/>
  <c r="CC115" i="3"/>
  <c r="CB115" i="3"/>
  <c r="CA115" i="3"/>
  <c r="BZ115" i="3"/>
  <c r="BY115" i="3"/>
  <c r="BX115" i="3"/>
  <c r="BW115" i="3"/>
  <c r="CC113" i="3"/>
  <c r="CB113" i="3"/>
  <c r="CA113" i="3"/>
  <c r="BZ113" i="3"/>
  <c r="BY113" i="3"/>
  <c r="BX113" i="3"/>
  <c r="BW113" i="3"/>
  <c r="CC112" i="3"/>
  <c r="CB112" i="3"/>
  <c r="CA112" i="3"/>
  <c r="BZ112" i="3"/>
  <c r="BY112" i="3"/>
  <c r="BX112" i="3"/>
  <c r="BW112" i="3"/>
  <c r="CC111" i="3"/>
  <c r="CB111" i="3"/>
  <c r="CA111" i="3"/>
  <c r="BZ111" i="3"/>
  <c r="BY111" i="3"/>
  <c r="BX111" i="3"/>
  <c r="BW111" i="3"/>
  <c r="CC110" i="3"/>
  <c r="CB110" i="3"/>
  <c r="CA110" i="3"/>
  <c r="BZ110" i="3"/>
  <c r="BY110" i="3"/>
  <c r="BX110" i="3"/>
  <c r="BW110" i="3"/>
  <c r="CC109" i="3"/>
  <c r="CB109" i="3"/>
  <c r="CA109" i="3"/>
  <c r="BZ109" i="3"/>
  <c r="BY109" i="3"/>
  <c r="BX109" i="3"/>
  <c r="BW109" i="3"/>
  <c r="CC108" i="3"/>
  <c r="CB108" i="3"/>
  <c r="CA108" i="3"/>
  <c r="BZ108" i="3"/>
  <c r="BY108" i="3"/>
  <c r="BX108" i="3"/>
  <c r="BW108" i="3"/>
  <c r="CC107" i="3"/>
  <c r="CB107" i="3"/>
  <c r="CA107" i="3"/>
  <c r="BZ107" i="3"/>
  <c r="BY107" i="3"/>
  <c r="BX107" i="3"/>
  <c r="BW107" i="3"/>
  <c r="CC106" i="3"/>
  <c r="CB106" i="3"/>
  <c r="CA106" i="3"/>
  <c r="BZ106" i="3"/>
  <c r="BY106" i="3"/>
  <c r="BX106" i="3"/>
  <c r="BW106" i="3"/>
  <c r="CC105" i="3"/>
  <c r="CB105" i="3"/>
  <c r="CA105" i="3"/>
  <c r="BZ105" i="3"/>
  <c r="BY105" i="3"/>
  <c r="BX105" i="3"/>
  <c r="BW105" i="3"/>
  <c r="CC104" i="3"/>
  <c r="CB104" i="3"/>
  <c r="CA104" i="3"/>
  <c r="BZ104" i="3"/>
  <c r="BY104" i="3"/>
  <c r="BX104" i="3"/>
  <c r="BW104" i="3"/>
  <c r="CC103" i="3"/>
  <c r="CB103" i="3"/>
  <c r="CA103" i="3"/>
  <c r="BZ103" i="3"/>
  <c r="BY103" i="3"/>
  <c r="BX103" i="3"/>
  <c r="BW103" i="3"/>
  <c r="CC102" i="3"/>
  <c r="CB102" i="3"/>
  <c r="CA102" i="3"/>
  <c r="BZ102" i="3"/>
  <c r="BY102" i="3"/>
  <c r="BX102" i="3"/>
  <c r="BW102" i="3"/>
  <c r="CC101" i="3"/>
  <c r="CB101" i="3"/>
  <c r="CA101" i="3"/>
  <c r="BZ101" i="3"/>
  <c r="BY101" i="3"/>
  <c r="BX101" i="3"/>
  <c r="BW101" i="3"/>
  <c r="CC100" i="3"/>
  <c r="CB100" i="3"/>
  <c r="CA100" i="3"/>
  <c r="BZ100" i="3"/>
  <c r="BY100" i="3"/>
  <c r="BX100" i="3"/>
  <c r="BW100" i="3"/>
  <c r="CC99" i="3"/>
  <c r="CB99" i="3"/>
  <c r="CA99" i="3"/>
  <c r="BZ99" i="3"/>
  <c r="BY99" i="3"/>
  <c r="BX99" i="3"/>
  <c r="BW99" i="3"/>
  <c r="CC98" i="3"/>
  <c r="CB98" i="3"/>
  <c r="CA98" i="3"/>
  <c r="BZ98" i="3"/>
  <c r="BY98" i="3"/>
  <c r="BX98" i="3"/>
  <c r="BW98" i="3"/>
  <c r="CC97" i="3"/>
  <c r="CB97" i="3"/>
  <c r="CA97" i="3"/>
  <c r="BZ97" i="3"/>
  <c r="BY97" i="3"/>
  <c r="BX97" i="3"/>
  <c r="BW97" i="3"/>
  <c r="CC96" i="3"/>
  <c r="CB96" i="3"/>
  <c r="CA96" i="3"/>
  <c r="BZ96" i="3"/>
  <c r="BY96" i="3"/>
  <c r="BX96" i="3"/>
  <c r="BW96" i="3"/>
  <c r="CC95" i="3"/>
  <c r="CB95" i="3"/>
  <c r="CA95" i="3"/>
  <c r="BZ95" i="3"/>
  <c r="BY95" i="3"/>
  <c r="BX95" i="3"/>
  <c r="BW95" i="3"/>
  <c r="CC94" i="3"/>
  <c r="CB94" i="3"/>
  <c r="CA94" i="3"/>
  <c r="BZ94" i="3"/>
  <c r="BY94" i="3"/>
  <c r="BX94" i="3"/>
  <c r="BW94" i="3"/>
  <c r="CC93" i="3"/>
  <c r="CB93" i="3"/>
  <c r="CA93" i="3"/>
  <c r="BZ93" i="3"/>
  <c r="BY93" i="3"/>
  <c r="BX93" i="3"/>
  <c r="BW93" i="3"/>
  <c r="CC92" i="3"/>
  <c r="CB92" i="3"/>
  <c r="CA92" i="3"/>
  <c r="BZ92" i="3"/>
  <c r="BY92" i="3"/>
  <c r="BX92" i="3"/>
  <c r="BW92" i="3"/>
  <c r="CC91" i="3"/>
  <c r="CB91" i="3"/>
  <c r="CA91" i="3"/>
  <c r="BZ91" i="3"/>
  <c r="BY91" i="3"/>
  <c r="BX91" i="3"/>
  <c r="BW91" i="3"/>
  <c r="CC90" i="3"/>
  <c r="CB90" i="3"/>
  <c r="CA90" i="3"/>
  <c r="BZ90" i="3"/>
  <c r="BY90" i="3"/>
  <c r="BX90" i="3"/>
  <c r="BW90" i="3"/>
  <c r="CC89" i="3"/>
  <c r="CB89" i="3"/>
  <c r="CA89" i="3"/>
  <c r="BZ89" i="3"/>
  <c r="BY89" i="3"/>
  <c r="BX89" i="3"/>
  <c r="BZ79" i="3"/>
  <c r="CC60" i="3"/>
  <c r="CB60" i="3"/>
  <c r="CA60" i="3"/>
  <c r="BZ60" i="3"/>
  <c r="BY60" i="3"/>
  <c r="BX60" i="3"/>
  <c r="BW60" i="3"/>
  <c r="CC59" i="3"/>
  <c r="CB59" i="3"/>
  <c r="CA59" i="3"/>
  <c r="BZ59" i="3"/>
  <c r="BY59" i="3"/>
  <c r="BX59" i="3"/>
  <c r="BW59" i="3"/>
  <c r="CC58" i="3"/>
  <c r="CB58" i="3"/>
  <c r="CA58" i="3"/>
  <c r="BZ58" i="3"/>
  <c r="BY58" i="3"/>
  <c r="BX58" i="3"/>
  <c r="BW58" i="3"/>
  <c r="CC57" i="3"/>
  <c r="CB57" i="3"/>
  <c r="CA57" i="3"/>
  <c r="BZ57" i="3"/>
  <c r="BY57" i="3"/>
  <c r="BX57" i="3"/>
  <c r="BW57" i="3"/>
  <c r="CC56" i="3"/>
  <c r="CB56" i="3"/>
  <c r="CA56" i="3"/>
  <c r="BZ56" i="3"/>
  <c r="BY56" i="3"/>
  <c r="BX56" i="3"/>
  <c r="BW56" i="3"/>
  <c r="CC55" i="3"/>
  <c r="CB55" i="3"/>
  <c r="CA55" i="3"/>
  <c r="BZ55" i="3"/>
  <c r="BY55" i="3"/>
  <c r="BX55" i="3"/>
  <c r="BW55" i="3"/>
  <c r="CC54" i="3"/>
  <c r="CB54" i="3"/>
  <c r="CA54" i="3"/>
  <c r="BZ54" i="3"/>
  <c r="BY54" i="3"/>
  <c r="BX54" i="3"/>
  <c r="BW54" i="3"/>
  <c r="CC53" i="3"/>
  <c r="CB53" i="3"/>
  <c r="CA53" i="3"/>
  <c r="BZ53" i="3"/>
  <c r="BY53" i="3"/>
  <c r="BX53" i="3"/>
  <c r="BW53" i="3"/>
  <c r="CC52" i="3"/>
  <c r="CB52" i="3"/>
  <c r="CA52" i="3"/>
  <c r="BZ52" i="3"/>
  <c r="BY52" i="3"/>
  <c r="BX52" i="3"/>
  <c r="BW52" i="3"/>
  <c r="CC51" i="3"/>
  <c r="CB51" i="3"/>
  <c r="CA51" i="3"/>
  <c r="BZ51" i="3"/>
  <c r="BY51" i="3"/>
  <c r="BX51" i="3"/>
  <c r="BW51" i="3"/>
  <c r="CC50" i="3"/>
  <c r="CB50" i="3"/>
  <c r="CA50" i="3"/>
  <c r="BZ50" i="3"/>
  <c r="BY50" i="3"/>
  <c r="BX50" i="3"/>
  <c r="BW50" i="3"/>
  <c r="CC49" i="3"/>
  <c r="CB49" i="3"/>
  <c r="CA49" i="3"/>
  <c r="BZ49" i="3"/>
  <c r="BY49" i="3"/>
  <c r="BX49" i="3"/>
  <c r="BW49" i="3"/>
  <c r="CC48" i="3"/>
  <c r="CB48" i="3"/>
  <c r="CA48" i="3"/>
  <c r="BZ48" i="3"/>
  <c r="BY48" i="3"/>
  <c r="BX48" i="3"/>
  <c r="BW48" i="3"/>
  <c r="CC47" i="3"/>
  <c r="CB47" i="3"/>
  <c r="CA47" i="3"/>
  <c r="BZ47" i="3"/>
  <c r="BY47" i="3"/>
  <c r="BX47" i="3"/>
  <c r="BW47" i="3"/>
  <c r="CC46" i="3"/>
  <c r="CB46" i="3"/>
  <c r="CA46" i="3"/>
  <c r="BZ46" i="3"/>
  <c r="BY46" i="3"/>
  <c r="BX46" i="3"/>
  <c r="BW46" i="3"/>
  <c r="CC45" i="3"/>
  <c r="CB45" i="3"/>
  <c r="CA45" i="3"/>
  <c r="BZ45" i="3"/>
  <c r="BY45" i="3"/>
  <c r="BX45" i="3"/>
  <c r="BW45" i="3"/>
  <c r="CC44" i="3"/>
  <c r="CB44" i="3"/>
  <c r="CA44" i="3"/>
  <c r="BZ44" i="3"/>
  <c r="BY44" i="3"/>
  <c r="BX44" i="3"/>
  <c r="BW44" i="3"/>
  <c r="CC43" i="3"/>
  <c r="CB43" i="3"/>
  <c r="CA43" i="3"/>
  <c r="BZ43" i="3"/>
  <c r="BY43" i="3"/>
  <c r="BX43" i="3"/>
  <c r="BW43" i="3"/>
  <c r="CC42" i="3"/>
  <c r="CB42" i="3"/>
  <c r="CA42" i="3"/>
  <c r="BZ42" i="3"/>
  <c r="BY42" i="3"/>
  <c r="BX42" i="3"/>
  <c r="BW42" i="3"/>
  <c r="CC41" i="3"/>
  <c r="CB41" i="3"/>
  <c r="CA41" i="3"/>
  <c r="BZ41" i="3"/>
  <c r="BY41" i="3"/>
  <c r="BX41" i="3"/>
  <c r="BW41" i="3"/>
  <c r="CC40" i="3"/>
  <c r="CB40" i="3"/>
  <c r="CA40" i="3"/>
  <c r="BZ40" i="3"/>
  <c r="BY40" i="3"/>
  <c r="BX40" i="3"/>
  <c r="BW40" i="3"/>
  <c r="CC39" i="3"/>
  <c r="CB39" i="3"/>
  <c r="CA39" i="3"/>
  <c r="BZ39" i="3"/>
  <c r="BY39" i="3"/>
  <c r="BX39" i="3"/>
  <c r="BW39" i="3"/>
  <c r="CC38" i="3"/>
  <c r="CB38" i="3"/>
  <c r="CA38" i="3"/>
  <c r="BZ38" i="3"/>
  <c r="BY38" i="3"/>
  <c r="BX38" i="3"/>
  <c r="BW38" i="3"/>
  <c r="CC37" i="3"/>
  <c r="CB37" i="3"/>
  <c r="CA37" i="3"/>
  <c r="BZ37" i="3"/>
  <c r="BY37" i="3"/>
  <c r="BX37" i="3"/>
  <c r="BW37" i="3"/>
  <c r="CC36" i="3"/>
  <c r="CB36" i="3"/>
  <c r="CA36" i="3"/>
  <c r="BZ36" i="3"/>
  <c r="BY36" i="3"/>
  <c r="BX36" i="3"/>
  <c r="BW36" i="3"/>
  <c r="CC35" i="3"/>
  <c r="CB35" i="3"/>
  <c r="CA35" i="3"/>
  <c r="BZ35" i="3"/>
  <c r="BY35" i="3"/>
  <c r="BX35" i="3"/>
  <c r="BW35" i="3"/>
  <c r="CC34" i="3"/>
  <c r="CB34" i="3"/>
  <c r="CA34" i="3"/>
  <c r="BZ34" i="3"/>
  <c r="BY34" i="3"/>
  <c r="BX34" i="3"/>
  <c r="BW34" i="3"/>
  <c r="CC33" i="3"/>
  <c r="CB33" i="3"/>
  <c r="CA33" i="3"/>
  <c r="BZ33" i="3"/>
  <c r="BY33" i="3"/>
  <c r="BX33" i="3"/>
  <c r="BW33" i="3"/>
  <c r="CC32" i="3"/>
  <c r="CB32" i="3"/>
  <c r="CA32" i="3"/>
  <c r="BZ32" i="3"/>
  <c r="BY32" i="3"/>
  <c r="BX32" i="3"/>
  <c r="BW32" i="3"/>
  <c r="CC31" i="3"/>
  <c r="CB31" i="3"/>
  <c r="CA31" i="3"/>
  <c r="BZ31" i="3"/>
  <c r="BY31" i="3"/>
  <c r="BX31" i="3"/>
  <c r="BW31" i="3"/>
  <c r="CC30" i="3"/>
  <c r="CB30" i="3"/>
  <c r="CA30" i="3"/>
  <c r="BZ30" i="3"/>
  <c r="BY30" i="3"/>
  <c r="BX30" i="3"/>
  <c r="BW30" i="3"/>
  <c r="CC29" i="3"/>
  <c r="CB29" i="3"/>
  <c r="CA29" i="3"/>
  <c r="BZ29" i="3"/>
  <c r="BY29" i="3"/>
  <c r="BX29" i="3"/>
  <c r="BW29" i="3"/>
  <c r="CC28" i="3"/>
  <c r="CB28" i="3"/>
  <c r="CA28" i="3"/>
  <c r="BZ28" i="3"/>
  <c r="BY28" i="3"/>
  <c r="BX28" i="3"/>
  <c r="BW28" i="3"/>
  <c r="CC27" i="3"/>
  <c r="CB27" i="3"/>
  <c r="CA27" i="3"/>
  <c r="BZ27" i="3"/>
  <c r="BY27" i="3"/>
  <c r="BX27" i="3"/>
  <c r="BW27" i="3"/>
  <c r="CC26" i="3"/>
  <c r="CB26" i="3"/>
  <c r="CA26" i="3"/>
  <c r="BZ26" i="3"/>
  <c r="BY26" i="3"/>
  <c r="BX26" i="3"/>
  <c r="BW26" i="3"/>
  <c r="CC23" i="3"/>
  <c r="CB23" i="3"/>
  <c r="CA23" i="3"/>
  <c r="BZ23" i="3"/>
  <c r="BY23" i="3"/>
  <c r="BX23" i="3"/>
  <c r="BW23" i="3"/>
  <c r="CC22" i="3"/>
  <c r="CB22" i="3"/>
  <c r="CA22" i="3"/>
  <c r="BZ22" i="3"/>
  <c r="BY22" i="3"/>
  <c r="BX22" i="3"/>
  <c r="BW22" i="3"/>
  <c r="CC21" i="3"/>
  <c r="CB21" i="3"/>
  <c r="CA21" i="3"/>
  <c r="BZ21" i="3"/>
  <c r="BY21" i="3"/>
  <c r="BX21" i="3"/>
  <c r="BW21" i="3"/>
  <c r="CC20" i="3"/>
  <c r="CB20" i="3"/>
  <c r="CA20" i="3"/>
  <c r="BZ20" i="3"/>
  <c r="BY20" i="3"/>
  <c r="BX20" i="3"/>
  <c r="BW20" i="3"/>
  <c r="CC19" i="3"/>
  <c r="CB19" i="3"/>
  <c r="CA19" i="3"/>
  <c r="BZ19" i="3"/>
  <c r="BY19" i="3"/>
  <c r="BX19" i="3"/>
  <c r="BW19" i="3"/>
  <c r="CC13" i="3"/>
  <c r="CB13" i="3"/>
  <c r="CA13" i="3"/>
  <c r="BZ13" i="3"/>
  <c r="BY13" i="3"/>
  <c r="BX13" i="3"/>
  <c r="BW13" i="3"/>
  <c r="CC12" i="3"/>
  <c r="CB12" i="3"/>
  <c r="CA12" i="3"/>
  <c r="BZ12" i="3"/>
  <c r="BY12" i="3"/>
  <c r="BX12" i="3"/>
  <c r="BW12" i="3"/>
  <c r="CC10" i="3"/>
  <c r="CB10" i="3"/>
  <c r="CA10" i="3"/>
  <c r="BZ10" i="3"/>
  <c r="BY10" i="3"/>
  <c r="BX10" i="3"/>
  <c r="BW10" i="3"/>
  <c r="CC8" i="3"/>
  <c r="CB8" i="3"/>
  <c r="CA8" i="3"/>
  <c r="BZ8" i="3"/>
  <c r="BY8" i="3"/>
  <c r="BX8" i="3"/>
  <c r="BW8" i="3"/>
  <c r="CC6" i="3"/>
  <c r="CA6" i="3"/>
  <c r="BZ6" i="3"/>
  <c r="BY6" i="3"/>
  <c r="BX6" i="3"/>
  <c r="BW6" i="3"/>
  <c r="CB5" i="3"/>
  <c r="CA5" i="3"/>
  <c r="BZ5" i="3"/>
  <c r="BY5" i="3"/>
  <c r="BX5" i="3"/>
  <c r="BW5" i="3"/>
  <c r="CC4" i="3"/>
  <c r="CB4" i="3"/>
  <c r="CA4" i="3"/>
  <c r="BZ4" i="3"/>
  <c r="CB215" i="3"/>
  <c r="AN187" i="3"/>
  <c r="BY79" i="3"/>
  <c r="BT68" i="3"/>
  <c r="CH68" i="3" s="1"/>
  <c r="BT773" i="3"/>
  <c r="CH773" i="3" s="1"/>
  <c r="CA767" i="3"/>
  <c r="CB758" i="3"/>
  <c r="BX758" i="3"/>
  <c r="CB757" i="3"/>
  <c r="BY757" i="3"/>
  <c r="BY756" i="3"/>
  <c r="CB755" i="3"/>
  <c r="BY755" i="3"/>
  <c r="CC754" i="3"/>
  <c r="BX754" i="3"/>
  <c r="CC753" i="3"/>
  <c r="BX753" i="3"/>
  <c r="CC752" i="3"/>
  <c r="BX752" i="3"/>
  <c r="CB750" i="3"/>
  <c r="CB749" i="3"/>
  <c r="BX749" i="3"/>
  <c r="CB744" i="3"/>
  <c r="BX744" i="3"/>
  <c r="CC743" i="3"/>
  <c r="BY743" i="3"/>
  <c r="CB742" i="3"/>
  <c r="BX742" i="3"/>
  <c r="CC741" i="3"/>
  <c r="BY741" i="3"/>
  <c r="CA736" i="3"/>
  <c r="BX736" i="3"/>
  <c r="CA735" i="3"/>
  <c r="BX735" i="3"/>
  <c r="CA734" i="3"/>
  <c r="CA733" i="3"/>
  <c r="BX733" i="3"/>
  <c r="BY732" i="3"/>
  <c r="CC731" i="3"/>
  <c r="CB730" i="3"/>
  <c r="CB729" i="3"/>
  <c r="BY729" i="3"/>
  <c r="CC728" i="3"/>
  <c r="BY728" i="3"/>
  <c r="AN728" i="3"/>
  <c r="CC727" i="3"/>
  <c r="CA726" i="3"/>
  <c r="BZ725" i="3"/>
  <c r="BX724" i="3"/>
  <c r="AN724" i="3"/>
  <c r="CB723" i="3"/>
  <c r="BX723" i="3"/>
  <c r="AN723" i="3"/>
  <c r="CC722" i="3"/>
  <c r="CC721" i="3"/>
  <c r="BZ720" i="3"/>
  <c r="CC719" i="3"/>
  <c r="BZ718" i="3"/>
  <c r="CB716" i="3"/>
  <c r="BZ715" i="3"/>
  <c r="CC714" i="3"/>
  <c r="BZ714" i="3"/>
  <c r="BZ712" i="3"/>
  <c r="CC710" i="3"/>
  <c r="BY709" i="3"/>
  <c r="CC707" i="3"/>
  <c r="BZ705" i="3"/>
  <c r="CA704" i="3"/>
  <c r="BY702" i="3"/>
  <c r="CC701" i="3"/>
  <c r="BY701" i="3"/>
  <c r="CC700" i="3"/>
  <c r="CA699" i="3"/>
  <c r="CB697" i="3"/>
  <c r="BZ696" i="3"/>
  <c r="CB694" i="3"/>
  <c r="BX694" i="3"/>
  <c r="BZ691" i="3"/>
  <c r="BW690" i="3"/>
  <c r="CC689" i="3"/>
  <c r="BY688" i="3"/>
  <c r="CB687" i="3"/>
  <c r="BY687" i="3"/>
  <c r="CA683" i="3"/>
  <c r="CB680" i="3"/>
  <c r="CB678" i="3"/>
  <c r="CC675" i="3"/>
  <c r="CA672" i="3"/>
  <c r="CC671" i="3"/>
  <c r="CA669" i="3"/>
  <c r="CB666" i="3"/>
  <c r="CB664" i="3"/>
  <c r="BZ662" i="3"/>
  <c r="AN660" i="3"/>
  <c r="CC658" i="3"/>
  <c r="CB636" i="3"/>
  <c r="CA633" i="3"/>
  <c r="BT631" i="3"/>
  <c r="CH631" i="3" s="1"/>
  <c r="CB628" i="3"/>
  <c r="CA626" i="3"/>
  <c r="CC625" i="3"/>
  <c r="CC623" i="3"/>
  <c r="BZ621" i="3"/>
  <c r="BX616" i="3"/>
  <c r="CC614" i="3"/>
  <c r="CA609" i="3"/>
  <c r="CA605" i="3"/>
  <c r="CA601" i="3"/>
  <c r="CB598" i="3"/>
  <c r="CA596" i="3"/>
  <c r="CA595" i="3"/>
  <c r="CB594" i="3"/>
  <c r="CA590" i="3"/>
  <c r="BY588" i="3"/>
  <c r="CC587" i="3"/>
  <c r="BZ586" i="3"/>
  <c r="CB585" i="3"/>
  <c r="BZ584" i="3"/>
  <c r="CB583" i="3"/>
  <c r="BZ582" i="3"/>
  <c r="CC581" i="3"/>
  <c r="CB578" i="3"/>
  <c r="BZ576" i="3"/>
  <c r="CA574" i="3"/>
  <c r="CC573" i="3"/>
  <c r="CB572" i="3"/>
  <c r="CB567" i="3"/>
  <c r="CB563" i="3"/>
  <c r="BZ559" i="3"/>
  <c r="BX555" i="3"/>
  <c r="CB554" i="3"/>
  <c r="BZ551" i="3"/>
  <c r="CB550" i="3"/>
  <c r="BZ536" i="3"/>
  <c r="CB535" i="3"/>
  <c r="BZ500" i="3"/>
  <c r="CA499" i="3"/>
  <c r="BY497" i="3"/>
  <c r="BY496" i="3"/>
  <c r="CA495" i="3"/>
  <c r="BZ494" i="3"/>
  <c r="AN487" i="3"/>
  <c r="CA482" i="3"/>
  <c r="BY480" i="3"/>
  <c r="CC479" i="3"/>
  <c r="CB478" i="3"/>
  <c r="AN478" i="3"/>
  <c r="CB477" i="3"/>
  <c r="CA476" i="3"/>
  <c r="CA474" i="3"/>
  <c r="CB473" i="3"/>
  <c r="BZ461" i="3"/>
  <c r="CB460" i="3"/>
  <c r="CA459" i="3"/>
  <c r="CG458" i="3"/>
  <c r="CC458" i="3"/>
  <c r="CG457" i="3"/>
  <c r="CB457" i="3"/>
  <c r="CC453" i="3"/>
  <c r="AN453" i="3"/>
  <c r="BS453" i="3" s="1"/>
  <c r="CC452" i="3"/>
  <c r="CG451" i="3"/>
  <c r="CC451" i="3"/>
  <c r="CA442" i="3"/>
  <c r="CA436" i="3"/>
  <c r="CC435" i="3"/>
  <c r="CB434" i="3"/>
  <c r="BZ429" i="3"/>
  <c r="BY428" i="3"/>
  <c r="CC427" i="3"/>
  <c r="CC426" i="3"/>
  <c r="CC377" i="3"/>
  <c r="CB375" i="3"/>
  <c r="CA374" i="3"/>
  <c r="CB373" i="3"/>
  <c r="CA369" i="3"/>
  <c r="BX367" i="3"/>
  <c r="BY366" i="3"/>
  <c r="CB363" i="3"/>
  <c r="BX361" i="3"/>
  <c r="CB358" i="3"/>
  <c r="BX358" i="3"/>
  <c r="BY356" i="3"/>
  <c r="CA355" i="3"/>
  <c r="BY354" i="3"/>
  <c r="CA353" i="3"/>
  <c r="CB350" i="3"/>
  <c r="BY346" i="3"/>
  <c r="CA345" i="3"/>
  <c r="BY685" i="3"/>
  <c r="CA682" i="3"/>
  <c r="BZ680" i="3"/>
  <c r="CB677" i="3"/>
  <c r="CB676" i="3"/>
  <c r="CD674" i="3"/>
  <c r="CB672" i="3"/>
  <c r="CB670" i="3"/>
  <c r="CA667" i="3"/>
  <c r="CC664" i="3"/>
  <c r="CA662" i="3"/>
  <c r="CB660" i="3"/>
  <c r="BY660" i="3"/>
  <c r="CA657" i="3"/>
  <c r="BZ634" i="3"/>
  <c r="CB633" i="3"/>
  <c r="CC628" i="3"/>
  <c r="CB626" i="3"/>
  <c r="BZ624" i="3"/>
  <c r="BZ620" i="3"/>
  <c r="BZ618" i="3"/>
  <c r="CB616" i="3"/>
  <c r="BY614" i="3"/>
  <c r="BZ609" i="3"/>
  <c r="CA606" i="3"/>
  <c r="BY601" i="3"/>
  <c r="CA599" i="3"/>
  <c r="CB596" i="3"/>
  <c r="BY571" i="3"/>
  <c r="CB569" i="3"/>
  <c r="CB568" i="3"/>
  <c r="CC561" i="3"/>
  <c r="CC559" i="3"/>
  <c r="CC558" i="3"/>
  <c r="BY555" i="3"/>
  <c r="BZ552" i="3"/>
  <c r="CB549" i="3"/>
  <c r="CA536" i="3"/>
  <c r="BZ497" i="3"/>
  <c r="CB496" i="3"/>
  <c r="BZ495" i="3"/>
  <c r="CA494" i="3"/>
  <c r="CG493" i="3"/>
  <c r="CB493" i="3"/>
  <c r="CC491" i="3"/>
  <c r="BZ482" i="3"/>
  <c r="CB481" i="3"/>
  <c r="CC480" i="3"/>
  <c r="CB479" i="3"/>
  <c r="CA478" i="3"/>
  <c r="CC477" i="3"/>
  <c r="CB476" i="3"/>
  <c r="CC475" i="3"/>
  <c r="CC474" i="3"/>
  <c r="CA473" i="3"/>
  <c r="AN473" i="3"/>
  <c r="BZ472" i="3"/>
  <c r="CC471" i="3"/>
  <c r="AN470" i="3"/>
  <c r="CC469" i="3"/>
  <c r="BT464" i="3"/>
  <c r="CH464" i="3" s="1"/>
  <c r="BZ460" i="3"/>
  <c r="CB458" i="3"/>
  <c r="CC457" i="3"/>
  <c r="BZ442" i="3"/>
  <c r="BT440" i="3"/>
  <c r="CH440" i="3" s="1"/>
  <c r="CA434" i="3"/>
  <c r="CA433" i="3"/>
  <c r="CC432" i="3"/>
  <c r="CA429" i="3"/>
  <c r="CB420" i="3"/>
  <c r="CB374" i="3"/>
  <c r="AN374" i="3"/>
  <c r="CA370" i="3"/>
  <c r="BY368" i="3"/>
  <c r="CB367" i="3"/>
  <c r="BY361" i="3"/>
  <c r="BZ354" i="3"/>
  <c r="CB353" i="3"/>
  <c r="CA351" i="3"/>
  <c r="CA346" i="3"/>
  <c r="CA336" i="3"/>
  <c r="CA332" i="3"/>
  <c r="BX327" i="3"/>
  <c r="BY323" i="3"/>
  <c r="CA319" i="3"/>
  <c r="CB317" i="3"/>
  <c r="CC313" i="3"/>
  <c r="BZ310" i="3"/>
  <c r="CB309" i="3"/>
  <c r="CB304" i="3"/>
  <c r="CB301" i="3"/>
  <c r="CB296" i="3"/>
  <c r="BT240" i="3"/>
  <c r="CH240" i="3" s="1"/>
  <c r="CG236" i="3"/>
  <c r="CC236" i="3"/>
  <c r="AN236" i="3"/>
  <c r="CA202" i="3"/>
  <c r="AN198" i="3"/>
  <c r="CB86" i="3"/>
  <c r="BT74" i="3"/>
  <c r="CH74" i="3" s="1"/>
  <c r="BT73" i="3"/>
  <c r="CH73" i="3" s="1"/>
  <c r="BY767" i="3"/>
  <c r="BY761" i="3"/>
  <c r="CB760" i="3"/>
  <c r="CA744" i="3"/>
  <c r="CA743" i="3"/>
  <c r="CA742" i="3"/>
  <c r="CA741" i="3"/>
  <c r="BY736" i="3"/>
  <c r="BZ735" i="3"/>
  <c r="CB734" i="3"/>
  <c r="BY734" i="3"/>
  <c r="CC733" i="3"/>
  <c r="CA732" i="3"/>
  <c r="CA731" i="3"/>
  <c r="CA730" i="3"/>
  <c r="BX730" i="3"/>
  <c r="CC729" i="3"/>
  <c r="CB728" i="3"/>
  <c r="BZ727" i="3"/>
  <c r="BX726" i="3"/>
  <c r="CB725" i="3"/>
  <c r="BZ724" i="3"/>
  <c r="CC723" i="3"/>
  <c r="CB722" i="3"/>
  <c r="CA720" i="3"/>
  <c r="BY719" i="3"/>
  <c r="CC718" i="3"/>
  <c r="CA717" i="3"/>
  <c r="CB715" i="3"/>
  <c r="BY714" i="3"/>
  <c r="CB713" i="3"/>
  <c r="CA709" i="3"/>
  <c r="CC708" i="3"/>
  <c r="CA706" i="3"/>
  <c r="CB704" i="3"/>
  <c r="CB701" i="3"/>
  <c r="CA700" i="3"/>
  <c r="BY699" i="3"/>
  <c r="CB698" i="3"/>
  <c r="CA697" i="3"/>
  <c r="CB695" i="3"/>
  <c r="BY694" i="3"/>
  <c r="CA692" i="3"/>
  <c r="CC691" i="3"/>
  <c r="CA690" i="3"/>
  <c r="CB689" i="3"/>
  <c r="CB688" i="3"/>
  <c r="CA687" i="3"/>
  <c r="CC684" i="3"/>
  <c r="BZ682" i="3"/>
  <c r="AN682" i="3"/>
  <c r="CC681" i="3"/>
  <c r="CB679" i="3"/>
  <c r="CA676" i="3"/>
  <c r="CA673" i="3"/>
  <c r="CA671" i="3"/>
  <c r="CC670" i="3"/>
  <c r="BZ667" i="3"/>
  <c r="CC666" i="3"/>
  <c r="CC660" i="3"/>
  <c r="CB658" i="3"/>
  <c r="CC657" i="3"/>
  <c r="CA635" i="3"/>
  <c r="BZ628" i="3"/>
  <c r="CA627" i="3"/>
  <c r="CA623" i="3"/>
  <c r="CA619" i="3"/>
  <c r="CA618" i="3"/>
  <c r="CA607" i="3"/>
  <c r="CB605" i="3"/>
  <c r="CA600" i="3"/>
  <c r="CA594" i="3"/>
  <c r="BY592" i="3"/>
  <c r="CB591" i="3"/>
  <c r="CB589" i="3"/>
  <c r="BZ587" i="3"/>
  <c r="CC586" i="3"/>
  <c r="CA584" i="3"/>
  <c r="CC583" i="3"/>
  <c r="BY582" i="3"/>
  <c r="CB581" i="3"/>
  <c r="CA578" i="3"/>
  <c r="CB574" i="3"/>
  <c r="CC572" i="3"/>
  <c r="AN571" i="3"/>
  <c r="CA569" i="3"/>
  <c r="CC568" i="3"/>
  <c r="CC567" i="3"/>
  <c r="CB561" i="3"/>
  <c r="CC560" i="3"/>
  <c r="CA556" i="3"/>
  <c r="CB555" i="3"/>
  <c r="BZ554" i="3"/>
  <c r="CA553" i="3"/>
  <c r="CB552" i="3"/>
  <c r="CA551" i="3"/>
  <c r="CB536" i="3"/>
  <c r="CA535" i="3"/>
  <c r="CC499" i="3"/>
  <c r="CA498" i="3"/>
  <c r="CA497" i="3"/>
  <c r="BZ496" i="3"/>
  <c r="CB495" i="3"/>
  <c r="CA493" i="3"/>
  <c r="CB462" i="3"/>
  <c r="CA460" i="3"/>
  <c r="BZ456" i="3"/>
  <c r="CB441" i="3"/>
  <c r="CA432" i="3"/>
  <c r="CA427" i="3"/>
  <c r="CB426" i="3"/>
  <c r="CB376" i="3"/>
  <c r="CB370" i="3"/>
  <c r="CB369" i="3"/>
  <c r="CA363" i="3"/>
  <c r="CB361" i="3"/>
  <c r="CB360" i="3"/>
  <c r="BZ358" i="3"/>
  <c r="CC356" i="3"/>
  <c r="CA354" i="3"/>
  <c r="CB352" i="3"/>
  <c r="CC336" i="3"/>
  <c r="CB329" i="3"/>
  <c r="BZ327" i="3"/>
  <c r="CB312" i="3"/>
  <c r="CA311" i="3"/>
  <c r="CB310" i="3"/>
  <c r="CA309" i="3"/>
  <c r="BY308" i="3"/>
  <c r="CA296" i="3"/>
  <c r="CB219" i="3"/>
  <c r="CB767" i="3"/>
  <c r="CB761" i="3"/>
  <c r="BZ761" i="3"/>
  <c r="BW761" i="3"/>
  <c r="BZ760" i="3"/>
  <c r="CB759" i="3"/>
  <c r="BX759" i="3"/>
  <c r="BZ758" i="3"/>
  <c r="CA757" i="3"/>
  <c r="CA756" i="3"/>
  <c r="CA755" i="3"/>
  <c r="CA754" i="3"/>
  <c r="CA753" i="3"/>
  <c r="BY752" i="3"/>
  <c r="CB733" i="3"/>
  <c r="CB732" i="3"/>
  <c r="CB731" i="3"/>
  <c r="BY731" i="3"/>
  <c r="CC730" i="3"/>
  <c r="CA729" i="3"/>
  <c r="CA728" i="3"/>
  <c r="CB727" i="3"/>
  <c r="BZ726" i="3"/>
  <c r="CA725" i="3"/>
  <c r="BY724" i="3"/>
  <c r="CA723" i="3"/>
  <c r="CA721" i="3"/>
  <c r="CC720" i="3"/>
  <c r="CB718" i="3"/>
  <c r="BZ717" i="3"/>
  <c r="CA715" i="3"/>
  <c r="CA713" i="3"/>
  <c r="CB710" i="3"/>
  <c r="CC709" i="3"/>
  <c r="CA708" i="3"/>
  <c r="CB707" i="3"/>
  <c r="BX706" i="3"/>
  <c r="CB705" i="3"/>
  <c r="BY704" i="3"/>
  <c r="CC702" i="3"/>
  <c r="CB699" i="3"/>
  <c r="CA698" i="3"/>
  <c r="CB696" i="3"/>
  <c r="BZ695" i="3"/>
  <c r="CC694" i="3"/>
  <c r="BZ694" i="3"/>
  <c r="BZ692" i="3"/>
  <c r="CB690" i="3"/>
  <c r="CA688" i="3"/>
  <c r="CB685" i="3"/>
  <c r="CB682" i="3"/>
  <c r="CA680" i="3"/>
  <c r="CA677" i="3"/>
  <c r="CA675" i="3"/>
  <c r="CC672" i="3"/>
  <c r="BZ670" i="3"/>
  <c r="CB669" i="3"/>
  <c r="CA666" i="3"/>
  <c r="BT661" i="3"/>
  <c r="CH661" i="3" s="1"/>
  <c r="BZ657" i="3"/>
  <c r="CC636" i="3"/>
  <c r="CC635" i="3"/>
  <c r="CC634" i="3"/>
  <c r="CB632" i="3"/>
  <c r="CA628" i="3"/>
  <c r="CB627" i="3"/>
  <c r="CB625" i="3"/>
  <c r="CB621" i="3"/>
  <c r="CA617" i="3"/>
  <c r="CA616" i="3"/>
  <c r="CA614" i="3"/>
  <c r="CA608" i="3"/>
  <c r="CB603" i="3"/>
  <c r="BZ596" i="3"/>
  <c r="CB595" i="3"/>
  <c r="CC594" i="3"/>
  <c r="BT593" i="3"/>
  <c r="CH593" i="3" s="1"/>
  <c r="BX592" i="3"/>
  <c r="CA591" i="3"/>
  <c r="CB588" i="3"/>
  <c r="CA585" i="3"/>
  <c r="BZ583" i="3"/>
  <c r="CB582" i="3"/>
  <c r="CA579" i="3"/>
  <c r="CA576" i="3"/>
  <c r="CB575" i="3"/>
  <c r="CA572" i="3"/>
  <c r="CC571" i="3"/>
  <c r="CA566" i="3"/>
  <c r="CB560" i="3"/>
  <c r="CB559" i="3"/>
  <c r="CA558" i="3"/>
  <c r="CA550" i="3"/>
  <c r="CC549" i="3"/>
  <c r="CB500" i="3"/>
  <c r="BZ499" i="3"/>
  <c r="CC498" i="3"/>
  <c r="CC497" i="3"/>
  <c r="BZ493" i="3"/>
  <c r="CC484" i="3"/>
  <c r="CC483" i="3"/>
  <c r="CC482" i="3"/>
  <c r="CC476" i="3"/>
  <c r="CB474" i="3"/>
  <c r="CC473" i="3"/>
  <c r="BZ471" i="3"/>
  <c r="AN471" i="3"/>
  <c r="CA470" i="3"/>
  <c r="CB469" i="3"/>
  <c r="CA463" i="3"/>
  <c r="CB461" i="3"/>
  <c r="CA456" i="3"/>
  <c r="CC441" i="3"/>
  <c r="BY426" i="3"/>
  <c r="CB377" i="3"/>
  <c r="CB372" i="3"/>
  <c r="BZ367" i="3"/>
  <c r="CC366" i="3"/>
  <c r="CA358" i="3"/>
  <c r="BZ356" i="3"/>
  <c r="CA352" i="3"/>
  <c r="CB351" i="3"/>
  <c r="CC350" i="3"/>
  <c r="CA343" i="3"/>
  <c r="CB324" i="3"/>
  <c r="AN294" i="3"/>
  <c r="BY215" i="3"/>
  <c r="CB79" i="3"/>
  <c r="CC767" i="3"/>
  <c r="CC761" i="3"/>
  <c r="CA761" i="3"/>
  <c r="CA760" i="3"/>
  <c r="CA759" i="3"/>
  <c r="BY759" i="3"/>
  <c r="CA758" i="3"/>
  <c r="BZ757" i="3"/>
  <c r="BZ756" i="3"/>
  <c r="BZ755" i="3"/>
  <c r="BY754" i="3"/>
  <c r="CB752" i="3"/>
  <c r="CA750" i="3"/>
  <c r="CA749" i="3"/>
  <c r="BY749" i="3"/>
  <c r="BY744" i="3"/>
  <c r="BZ743" i="3"/>
  <c r="BY742" i="3"/>
  <c r="CB726" i="3"/>
  <c r="CB724" i="3"/>
  <c r="CB721" i="3"/>
  <c r="CB720" i="3"/>
  <c r="BZ719" i="3"/>
  <c r="CB717" i="3"/>
  <c r="BZ716" i="3"/>
  <c r="CA714" i="3"/>
  <c r="CC713" i="3"/>
  <c r="CA712" i="3"/>
  <c r="CB709" i="3"/>
  <c r="CA707" i="3"/>
  <c r="BY706" i="3"/>
  <c r="CA705" i="3"/>
  <c r="CB702" i="3"/>
  <c r="CB700" i="3"/>
  <c r="BZ699" i="3"/>
  <c r="CC698" i="3"/>
  <c r="BZ697" i="3"/>
  <c r="CA695" i="3"/>
  <c r="CB691" i="3"/>
  <c r="CC688" i="3"/>
  <c r="CA684" i="3"/>
  <c r="CB683" i="3"/>
  <c r="CA681" i="3"/>
  <c r="CC680" i="3"/>
  <c r="CA678" i="3"/>
  <c r="CC677" i="3"/>
  <c r="CB675" i="3"/>
  <c r="CG674" i="3"/>
  <c r="CE674" i="3"/>
  <c r="CC674" i="3"/>
  <c r="BZ674" i="3"/>
  <c r="BY674" i="3"/>
  <c r="BW674" i="3"/>
  <c r="CB673" i="3"/>
  <c r="CA670" i="3"/>
  <c r="CC669" i="3"/>
  <c r="CA668" i="3"/>
  <c r="CB667" i="3"/>
  <c r="CB662" i="3"/>
  <c r="BZ660" i="3"/>
  <c r="CA658" i="3"/>
  <c r="BT630" i="3"/>
  <c r="CH630" i="3" s="1"/>
  <c r="CB618" i="3"/>
  <c r="CB599" i="3"/>
  <c r="CB590" i="3"/>
  <c r="BZ588" i="3"/>
  <c r="CA587" i="3"/>
  <c r="BZ585" i="3"/>
  <c r="CB584" i="3"/>
  <c r="CA582" i="3"/>
  <c r="CA581" i="3"/>
  <c r="CA575" i="3"/>
  <c r="CB573" i="3"/>
  <c r="CA571" i="3"/>
  <c r="CB566" i="3"/>
  <c r="CB565" i="3"/>
  <c r="CB564" i="3"/>
  <c r="BY556" i="3"/>
  <c r="CA555" i="3"/>
  <c r="CA554" i="3"/>
  <c r="CC553" i="3"/>
  <c r="CB551" i="3"/>
  <c r="CA549" i="3"/>
  <c r="CB437" i="3"/>
  <c r="CA367" i="3"/>
  <c r="CB359" i="3"/>
  <c r="CB355" i="3"/>
  <c r="CB354" i="3"/>
  <c r="BT348" i="3"/>
  <c r="CH348" i="3" s="1"/>
  <c r="CB346" i="3"/>
  <c r="CB345" i="3"/>
  <c r="BZ344" i="3"/>
  <c r="CB343" i="3"/>
  <c r="CA327" i="3"/>
  <c r="CB308" i="3"/>
  <c r="CB294" i="3"/>
  <c r="CB292" i="3"/>
  <c r="CG221" i="3"/>
  <c r="CC61" i="3"/>
  <c r="CA61" i="3"/>
  <c r="BM2" i="3"/>
  <c r="BZ61" i="3"/>
  <c r="BL2" i="3"/>
  <c r="BV776" i="3"/>
  <c r="BT776" i="3"/>
  <c r="CH776" i="3" s="1"/>
  <c r="CC775" i="3"/>
  <c r="BP775" i="3"/>
  <c r="BV775" i="3"/>
  <c r="CC771" i="3"/>
  <c r="BP771" i="3"/>
  <c r="BW771" i="3"/>
  <c r="BW770" i="3"/>
  <c r="BT770" i="3"/>
  <c r="CH770" i="3" s="1"/>
  <c r="BV769" i="3"/>
  <c r="BT769" i="3"/>
  <c r="CH769" i="3" s="1"/>
  <c r="CC768" i="3"/>
  <c r="BP768" i="3"/>
  <c r="BV768" i="3"/>
  <c r="BV767" i="3"/>
  <c r="BT767" i="3"/>
  <c r="BV761" i="3"/>
  <c r="BV760" i="3"/>
  <c r="AB759" i="3"/>
  <c r="BV759" i="3" s="1"/>
  <c r="N759" i="3"/>
  <c r="AN759" i="3" s="1"/>
  <c r="BS759" i="3" s="1"/>
  <c r="BT758" i="3"/>
  <c r="AB758" i="3"/>
  <c r="BV758" i="3" s="1"/>
  <c r="N758" i="3"/>
  <c r="AN758" i="3" s="1"/>
  <c r="CC757" i="3"/>
  <c r="BP757" i="3"/>
  <c r="BV757" i="3"/>
  <c r="CC756" i="3"/>
  <c r="BP756" i="3"/>
  <c r="BV756" i="3"/>
  <c r="CC755" i="3"/>
  <c r="BP755" i="3"/>
  <c r="BV755" i="3"/>
  <c r="BV754" i="3"/>
  <c r="BT754" i="3"/>
  <c r="BV753" i="3"/>
  <c r="BT753" i="3"/>
  <c r="CH753" i="3" s="1"/>
  <c r="BV752" i="3"/>
  <c r="BT752" i="3"/>
  <c r="BW751" i="3"/>
  <c r="BT751" i="3"/>
  <c r="CH751" i="3" s="1"/>
  <c r="BV750" i="3"/>
  <c r="BT750" i="3"/>
  <c r="BV749" i="3"/>
  <c r="BT749" i="3"/>
  <c r="BV744" i="3"/>
  <c r="BT744" i="3"/>
  <c r="BV743" i="3"/>
  <c r="BT743" i="3"/>
  <c r="BV742" i="3"/>
  <c r="BT742" i="3"/>
  <c r="BT741" i="3"/>
  <c r="BV741" i="3"/>
  <c r="CC736" i="3"/>
  <c r="BP736" i="3"/>
  <c r="BV736" i="3"/>
  <c r="CC735" i="3"/>
  <c r="BP735" i="3"/>
  <c r="BV735" i="3"/>
  <c r="CC734" i="3"/>
  <c r="BP734" i="3"/>
  <c r="BV734" i="3"/>
  <c r="BV733" i="3"/>
  <c r="BT733" i="3"/>
  <c r="CC732" i="3"/>
  <c r="BP732" i="3"/>
  <c r="BV732" i="3"/>
  <c r="BV731" i="3"/>
  <c r="BT731" i="3"/>
  <c r="BT730" i="3"/>
  <c r="BV730" i="3"/>
  <c r="BT729" i="3"/>
  <c r="BV729" i="3"/>
  <c r="BT728" i="3"/>
  <c r="CH728" i="3" s="1"/>
  <c r="BV728" i="3"/>
  <c r="BV727" i="3"/>
  <c r="BT727" i="3"/>
  <c r="BP726" i="3"/>
  <c r="CC726" i="3"/>
  <c r="BV726" i="3"/>
  <c r="CC725" i="3"/>
  <c r="BP725" i="3"/>
  <c r="BV725" i="3"/>
  <c r="CC724" i="3"/>
  <c r="BP724" i="3"/>
  <c r="BV724" i="3"/>
  <c r="BV723" i="3"/>
  <c r="BT723" i="3"/>
  <c r="CH723" i="3" s="1"/>
  <c r="BV722" i="3"/>
  <c r="BT722" i="3"/>
  <c r="BV721" i="3"/>
  <c r="BT720" i="3"/>
  <c r="BV720" i="3"/>
  <c r="BV719" i="3"/>
  <c r="BT719" i="3"/>
  <c r="BT718" i="3"/>
  <c r="BV718" i="3"/>
  <c r="BT717" i="3"/>
  <c r="BV717" i="3"/>
  <c r="CC716" i="3"/>
  <c r="BP716" i="3"/>
  <c r="BV716" i="3"/>
  <c r="CC715" i="3"/>
  <c r="BP715" i="3"/>
  <c r="BV715" i="3"/>
  <c r="BV714" i="3"/>
  <c r="BT714" i="3"/>
  <c r="BV713" i="3"/>
  <c r="BT713" i="3"/>
  <c r="BS712" i="3"/>
  <c r="CC712" i="3"/>
  <c r="BV712" i="3"/>
  <c r="N712" i="3"/>
  <c r="AN712" i="3" s="1"/>
  <c r="AE712" i="3"/>
  <c r="BY712" i="3" s="1"/>
  <c r="BV711" i="3"/>
  <c r="BT711" i="3"/>
  <c r="CH711" i="3" s="1"/>
  <c r="BT710" i="3"/>
  <c r="BV710" i="3"/>
  <c r="BT709" i="3"/>
  <c r="BV709" i="3"/>
  <c r="BV708" i="3"/>
  <c r="BT708" i="3"/>
  <c r="BT707" i="3"/>
  <c r="BV707" i="3"/>
  <c r="BP706" i="3"/>
  <c r="CC706" i="3"/>
  <c r="BV706" i="3"/>
  <c r="BP705" i="3"/>
  <c r="CC705" i="3"/>
  <c r="BV705" i="3"/>
  <c r="CC704" i="3"/>
  <c r="BP704" i="3"/>
  <c r="BV704" i="3"/>
  <c r="BV702" i="3"/>
  <c r="BT702" i="3"/>
  <c r="BV701" i="3"/>
  <c r="BV700" i="3"/>
  <c r="BT700" i="3"/>
  <c r="BV699" i="3"/>
  <c r="BT699" i="3"/>
  <c r="CH699" i="3" s="1"/>
  <c r="BT698" i="3"/>
  <c r="BV698" i="3"/>
  <c r="BV697" i="3"/>
  <c r="BT697" i="3"/>
  <c r="BP696" i="3"/>
  <c r="CC696" i="3"/>
  <c r="BV696" i="3"/>
  <c r="CC695" i="3"/>
  <c r="BP695" i="3"/>
  <c r="BV695" i="3"/>
  <c r="BT694" i="3"/>
  <c r="BV694" i="3"/>
  <c r="CC692" i="3"/>
  <c r="BS692" i="3"/>
  <c r="BV692" i="3"/>
  <c r="N692" i="3"/>
  <c r="AN692" i="3" s="1"/>
  <c r="AE692" i="3"/>
  <c r="BY692" i="3" s="1"/>
  <c r="BV691" i="3"/>
  <c r="BT691" i="3"/>
  <c r="BV690" i="3"/>
  <c r="BT690" i="3"/>
  <c r="BT689" i="3"/>
  <c r="BY689" i="3"/>
  <c r="BV688" i="3"/>
  <c r="BT688" i="3"/>
  <c r="BP687" i="3"/>
  <c r="CC687" i="3"/>
  <c r="BV687" i="3"/>
  <c r="BV685" i="3"/>
  <c r="BT685" i="3"/>
  <c r="BV684" i="3"/>
  <c r="BT683" i="3"/>
  <c r="BV683" i="3"/>
  <c r="BV682" i="3"/>
  <c r="BT682" i="3"/>
  <c r="BT681" i="3"/>
  <c r="BV681" i="3"/>
  <c r="BT680" i="3"/>
  <c r="BV680" i="3"/>
  <c r="BP679" i="3"/>
  <c r="CC679" i="3"/>
  <c r="BV679" i="3"/>
  <c r="BP678" i="3"/>
  <c r="CC678" i="3"/>
  <c r="BV678" i="3"/>
  <c r="BT677" i="3"/>
  <c r="BV677" i="3"/>
  <c r="BS676" i="3"/>
  <c r="BV676" i="3"/>
  <c r="AE676" i="3"/>
  <c r="BY676" i="3" s="1"/>
  <c r="N676" i="3"/>
  <c r="AN676" i="3" s="1"/>
  <c r="BT675" i="3"/>
  <c r="BV675" i="3"/>
  <c r="BV674" i="3"/>
  <c r="BT674" i="3"/>
  <c r="BV673" i="3"/>
  <c r="BT673" i="3"/>
  <c r="CH673" i="3" s="1"/>
  <c r="BT672" i="3"/>
  <c r="BV672" i="3"/>
  <c r="BT671" i="3"/>
  <c r="BV671" i="3"/>
  <c r="BT670" i="3"/>
  <c r="BV670" i="3"/>
  <c r="BV669" i="3"/>
  <c r="BT669" i="3"/>
  <c r="BP668" i="3"/>
  <c r="CC668" i="3"/>
  <c r="BV668" i="3"/>
  <c r="CC667" i="3"/>
  <c r="BP667" i="3"/>
  <c r="BV667" i="3"/>
  <c r="BT666" i="3"/>
  <c r="BV666" i="3"/>
  <c r="BV664" i="3"/>
  <c r="BT664" i="3"/>
  <c r="BT663" i="3"/>
  <c r="CH663" i="3" s="1"/>
  <c r="BX663" i="3"/>
  <c r="BV662" i="3"/>
  <c r="BT662" i="3"/>
  <c r="BT660" i="3"/>
  <c r="BV660" i="3"/>
  <c r="BT659" i="3"/>
  <c r="CH659" i="3" s="1"/>
  <c r="BX659" i="3"/>
  <c r="BV658" i="3"/>
  <c r="BT658" i="3"/>
  <c r="BT657" i="3"/>
  <c r="BV657" i="3"/>
  <c r="CC656" i="3"/>
  <c r="BP656" i="3"/>
  <c r="BV656" i="3"/>
  <c r="BT655" i="3"/>
  <c r="BV655" i="3"/>
  <c r="BT654" i="3"/>
  <c r="BV654" i="3"/>
  <c r="BV653" i="3"/>
  <c r="BT653" i="3"/>
  <c r="BP652" i="3"/>
  <c r="CC652" i="3"/>
  <c r="BV652" i="3"/>
  <c r="BV651" i="3"/>
  <c r="BT651" i="3"/>
  <c r="BT650" i="3"/>
  <c r="BV650" i="3"/>
  <c r="BT649" i="3"/>
  <c r="CH649" i="3" s="1"/>
  <c r="BV649" i="3"/>
  <c r="CC648" i="3"/>
  <c r="BP648" i="3"/>
  <c r="BV648" i="3"/>
  <c r="BV647" i="3"/>
  <c r="BT647" i="3"/>
  <c r="CH647" i="3" s="1"/>
  <c r="BV646" i="3"/>
  <c r="BT646" i="3"/>
  <c r="BT645" i="3"/>
  <c r="BV645" i="3"/>
  <c r="BT644" i="3"/>
  <c r="BV644" i="3"/>
  <c r="BV643" i="3"/>
  <c r="BT643" i="3"/>
  <c r="BT642" i="3"/>
  <c r="CH642" i="3" s="1"/>
  <c r="BV642" i="3"/>
  <c r="BV641" i="3"/>
  <c r="BT641" i="3"/>
  <c r="BT640" i="3"/>
  <c r="BV640" i="3"/>
  <c r="BV639" i="3"/>
  <c r="BV638" i="3"/>
  <c r="BV637" i="3"/>
  <c r="BV636" i="3"/>
  <c r="BT636" i="3"/>
  <c r="BV635" i="3"/>
  <c r="BT635" i="3"/>
  <c r="BT634" i="3"/>
  <c r="BV634" i="3"/>
  <c r="BT633" i="3"/>
  <c r="BV633" i="3"/>
  <c r="BT632" i="3"/>
  <c r="BV632" i="3"/>
  <c r="BT629" i="3"/>
  <c r="CH629" i="3" s="1"/>
  <c r="BV629" i="3"/>
  <c r="BT628" i="3"/>
  <c r="BV628" i="3"/>
  <c r="BT627" i="3"/>
  <c r="BV627" i="3"/>
  <c r="BV626" i="3"/>
  <c r="BT626" i="3"/>
  <c r="BT625" i="3"/>
  <c r="BV625" i="3"/>
  <c r="BT624" i="3"/>
  <c r="BV624" i="3"/>
  <c r="BT623" i="3"/>
  <c r="BV623" i="3"/>
  <c r="CC622" i="3"/>
  <c r="BP622" i="3"/>
  <c r="BV622" i="3"/>
  <c r="CC621" i="3"/>
  <c r="BP621" i="3"/>
  <c r="BV621" i="3"/>
  <c r="BP620" i="3"/>
  <c r="CC620" i="3"/>
  <c r="BV620" i="3"/>
  <c r="BP619" i="3"/>
  <c r="CC619" i="3"/>
  <c r="BV619" i="3"/>
  <c r="BP618" i="3"/>
  <c r="CC618" i="3"/>
  <c r="BV618" i="3"/>
  <c r="BP617" i="3"/>
  <c r="CC617" i="3"/>
  <c r="BV617" i="3"/>
  <c r="CC616" i="3"/>
  <c r="BP616" i="3"/>
  <c r="BV616" i="3"/>
  <c r="BT615" i="3"/>
  <c r="CH615" i="3" s="1"/>
  <c r="BV615" i="3"/>
  <c r="BT614" i="3"/>
  <c r="BV614" i="3"/>
  <c r="BT613" i="3"/>
  <c r="CH613" i="3" s="1"/>
  <c r="BX613" i="3"/>
  <c r="BV612" i="3"/>
  <c r="BT612" i="3"/>
  <c r="CH612" i="3" s="1"/>
  <c r="BX611" i="3"/>
  <c r="BT611" i="3"/>
  <c r="CH611" i="3" s="1"/>
  <c r="BT610" i="3"/>
  <c r="CH610" i="3" s="1"/>
  <c r="BX610" i="3"/>
  <c r="BP609" i="3"/>
  <c r="CC609" i="3"/>
  <c r="BV609" i="3"/>
  <c r="CC608" i="3"/>
  <c r="BP608" i="3"/>
  <c r="BV608" i="3"/>
  <c r="CC607" i="3"/>
  <c r="BP607" i="3"/>
  <c r="BV607" i="3"/>
  <c r="CC606" i="3"/>
  <c r="BP606" i="3"/>
  <c r="BV606" i="3"/>
  <c r="BP605" i="3"/>
  <c r="CC605" i="3"/>
  <c r="BV605" i="3"/>
  <c r="CC604" i="3"/>
  <c r="BP604" i="3"/>
  <c r="BV604" i="3"/>
  <c r="CC603" i="3"/>
  <c r="BP603" i="3"/>
  <c r="BV603" i="3"/>
  <c r="CC601" i="3"/>
  <c r="BP601" i="3"/>
  <c r="BV601" i="3"/>
  <c r="CC600" i="3"/>
  <c r="BP600" i="3"/>
  <c r="BV600" i="3"/>
  <c r="CC599" i="3"/>
  <c r="BP599" i="3"/>
  <c r="BV599" i="3"/>
  <c r="BP598" i="3"/>
  <c r="CC598" i="3"/>
  <c r="BV598" i="3"/>
  <c r="BT597" i="3"/>
  <c r="BV597" i="3"/>
  <c r="CC596" i="3"/>
  <c r="BP596" i="3"/>
  <c r="BV596" i="3"/>
  <c r="CC595" i="3"/>
  <c r="BP595" i="3"/>
  <c r="BV595" i="3"/>
  <c r="BT594" i="3"/>
  <c r="CH594" i="3" s="1"/>
  <c r="BV594" i="3"/>
  <c r="BP592" i="3"/>
  <c r="CC592" i="3"/>
  <c r="BV592" i="3"/>
  <c r="BP591" i="3"/>
  <c r="CC591" i="3"/>
  <c r="BV591" i="3"/>
  <c r="CC590" i="3"/>
  <c r="BP590" i="3"/>
  <c r="BV590" i="3"/>
  <c r="BP589" i="3"/>
  <c r="CC589" i="3"/>
  <c r="BV589" i="3"/>
  <c r="BT588" i="3"/>
  <c r="BV588" i="3"/>
  <c r="BV587" i="3"/>
  <c r="BT587" i="3"/>
  <c r="BT586" i="3"/>
  <c r="BV586" i="3"/>
  <c r="BT585" i="3"/>
  <c r="BV585" i="3"/>
  <c r="BT584" i="3"/>
  <c r="BV584" i="3"/>
  <c r="BT583" i="3"/>
  <c r="BV583" i="3"/>
  <c r="BT582" i="3"/>
  <c r="CH582" i="3" s="1"/>
  <c r="BV582" i="3"/>
  <c r="BT581" i="3"/>
  <c r="BV581" i="3"/>
  <c r="CC580" i="3"/>
  <c r="BP580" i="3"/>
  <c r="BV580" i="3"/>
  <c r="BP579" i="3"/>
  <c r="CC579" i="3"/>
  <c r="BV579" i="3"/>
  <c r="BP578" i="3"/>
  <c r="CC578" i="3"/>
  <c r="BV578" i="3"/>
  <c r="CC577" i="3"/>
  <c r="BP577" i="3"/>
  <c r="BV577" i="3"/>
  <c r="BP576" i="3"/>
  <c r="CC576" i="3"/>
  <c r="BV576" i="3"/>
  <c r="CC575" i="3"/>
  <c r="BP575" i="3"/>
  <c r="BV575" i="3"/>
  <c r="BP574" i="3"/>
  <c r="CC574" i="3"/>
  <c r="BV574" i="3"/>
  <c r="BT573" i="3"/>
  <c r="BV573" i="3"/>
  <c r="BV572" i="3"/>
  <c r="BT572" i="3"/>
  <c r="BV571" i="3"/>
  <c r="BT571" i="3"/>
  <c r="BV570" i="3"/>
  <c r="BT570" i="3"/>
  <c r="BT569" i="3"/>
  <c r="CH569" i="3" s="1"/>
  <c r="BV569" i="3"/>
  <c r="BT568" i="3"/>
  <c r="BV568" i="3"/>
  <c r="BT567" i="3"/>
  <c r="BV567" i="3"/>
  <c r="CC566" i="3"/>
  <c r="BP566" i="3"/>
  <c r="BV566" i="3"/>
  <c r="CC565" i="3"/>
  <c r="BP565" i="3"/>
  <c r="BV565" i="3"/>
  <c r="CC564" i="3"/>
  <c r="BP564" i="3"/>
  <c r="BV564" i="3"/>
  <c r="CC563" i="3"/>
  <c r="BP563" i="3"/>
  <c r="BV563" i="3"/>
  <c r="BV562" i="3"/>
  <c r="BT562" i="3"/>
  <c r="CH562" i="3" s="1"/>
  <c r="BV561" i="3"/>
  <c r="BT561" i="3"/>
  <c r="BT560" i="3"/>
  <c r="BV560" i="3"/>
  <c r="BV559" i="3"/>
  <c r="BT559" i="3"/>
  <c r="BT558" i="3"/>
  <c r="BV558" i="3"/>
  <c r="CC557" i="3"/>
  <c r="BP557" i="3"/>
  <c r="BV557" i="3"/>
  <c r="CC556" i="3"/>
  <c r="BP556" i="3"/>
  <c r="BV556" i="3"/>
  <c r="BP555" i="3"/>
  <c r="CC555" i="3"/>
  <c r="BV555" i="3"/>
  <c r="BT554" i="3"/>
  <c r="BV554" i="3"/>
  <c r="BT553" i="3"/>
  <c r="CH553" i="3" s="1"/>
  <c r="BV553" i="3"/>
  <c r="CC552" i="3"/>
  <c r="BP552" i="3"/>
  <c r="BV552" i="3"/>
  <c r="BT551" i="3"/>
  <c r="BV551" i="3"/>
  <c r="BP550" i="3"/>
  <c r="CC550" i="3"/>
  <c r="BV550" i="3"/>
  <c r="BV549" i="3"/>
  <c r="BV546" i="3"/>
  <c r="BT546" i="3"/>
  <c r="CH546" i="3" s="1"/>
  <c r="BP545" i="3"/>
  <c r="CC545" i="3"/>
  <c r="BV545" i="3"/>
  <c r="CC544" i="3"/>
  <c r="BP544" i="3"/>
  <c r="BV544" i="3"/>
  <c r="CC543" i="3"/>
  <c r="BP543" i="3"/>
  <c r="BV543" i="3"/>
  <c r="BT542" i="3"/>
  <c r="CH542" i="3" s="1"/>
  <c r="BV542" i="3"/>
  <c r="BV541" i="3"/>
  <c r="BT541" i="3"/>
  <c r="CH541" i="3" s="1"/>
  <c r="BV540" i="3"/>
  <c r="BT540" i="3"/>
  <c r="CH540" i="3" s="1"/>
  <c r="BV539" i="3"/>
  <c r="BT539" i="3"/>
  <c r="CH539" i="3" s="1"/>
  <c r="BT538" i="3"/>
  <c r="CH538" i="3" s="1"/>
  <c r="BV538" i="3"/>
  <c r="BV537" i="3"/>
  <c r="BT537" i="3"/>
  <c r="CH537" i="3" s="1"/>
  <c r="CC536" i="3"/>
  <c r="BP536" i="3"/>
  <c r="BV536" i="3"/>
  <c r="CC535" i="3"/>
  <c r="BP535" i="3"/>
  <c r="BV535" i="3"/>
  <c r="CC534" i="3"/>
  <c r="BP534" i="3"/>
  <c r="BV534" i="3"/>
  <c r="BP533" i="3"/>
  <c r="CC533" i="3"/>
  <c r="BV533" i="3"/>
  <c r="BP532" i="3"/>
  <c r="CC532" i="3"/>
  <c r="BV532" i="3"/>
  <c r="CC531" i="3"/>
  <c r="BP531" i="3"/>
  <c r="BV531" i="3"/>
  <c r="CC530" i="3"/>
  <c r="BP530" i="3"/>
  <c r="BV530" i="3"/>
  <c r="BV529" i="3"/>
  <c r="BT529" i="3"/>
  <c r="BV528" i="3"/>
  <c r="BT528" i="3"/>
  <c r="BV527" i="3"/>
  <c r="BT527" i="3"/>
  <c r="BT526" i="3"/>
  <c r="BV526" i="3"/>
  <c r="BT525" i="3"/>
  <c r="BV525" i="3"/>
  <c r="BV524" i="3"/>
  <c r="BT524" i="3"/>
  <c r="CC523" i="3"/>
  <c r="BP523" i="3"/>
  <c r="BV523" i="3"/>
  <c r="CC522" i="3"/>
  <c r="BP522" i="3"/>
  <c r="BV522" i="3"/>
  <c r="BP521" i="3"/>
  <c r="CC521" i="3"/>
  <c r="BV521" i="3"/>
  <c r="CC520" i="3"/>
  <c r="BP520" i="3"/>
  <c r="BV520" i="3"/>
  <c r="BV519" i="3"/>
  <c r="BT519" i="3"/>
  <c r="BV518" i="3"/>
  <c r="N518" i="3"/>
  <c r="AM518" i="3"/>
  <c r="BS518" i="3" s="1"/>
  <c r="BV517" i="3"/>
  <c r="BT517" i="3"/>
  <c r="BV516" i="3"/>
  <c r="BT516" i="3"/>
  <c r="CH516" i="3" s="1"/>
  <c r="BT515" i="3"/>
  <c r="CH515" i="3" s="1"/>
  <c r="BV515" i="3"/>
  <c r="BV514" i="3"/>
  <c r="BT514" i="3"/>
  <c r="BT513" i="3"/>
  <c r="CH513" i="3" s="1"/>
  <c r="BV513" i="3"/>
  <c r="BV512" i="3"/>
  <c r="BT512" i="3"/>
  <c r="BV511" i="3"/>
  <c r="BT511" i="3"/>
  <c r="BT510" i="3"/>
  <c r="BV510" i="3"/>
  <c r="BT509" i="3"/>
  <c r="BV509" i="3"/>
  <c r="BV508" i="3"/>
  <c r="BT508" i="3"/>
  <c r="BV507" i="3"/>
  <c r="BT507" i="3"/>
  <c r="BV506" i="3"/>
  <c r="BT506" i="3"/>
  <c r="BT505" i="3"/>
  <c r="BV505" i="3"/>
  <c r="BV504" i="3"/>
  <c r="BT504" i="3"/>
  <c r="BT503" i="3"/>
  <c r="CH503" i="3" s="1"/>
  <c r="BX503" i="3"/>
  <c r="BV502" i="3"/>
  <c r="BT502" i="3"/>
  <c r="BT501" i="3"/>
  <c r="BV501" i="3"/>
  <c r="BV500" i="3"/>
  <c r="BT500" i="3"/>
  <c r="BT499" i="3"/>
  <c r="CH499" i="3" s="1"/>
  <c r="BV499" i="3"/>
  <c r="BV498" i="3"/>
  <c r="BT498" i="3"/>
  <c r="BT497" i="3"/>
  <c r="BV497" i="3"/>
  <c r="BV496" i="3"/>
  <c r="BT496" i="3"/>
  <c r="BV495" i="3"/>
  <c r="BT495" i="3"/>
  <c r="BV494" i="3"/>
  <c r="BT494" i="3"/>
  <c r="CC493" i="3"/>
  <c r="BP493" i="3"/>
  <c r="BV493" i="3"/>
  <c r="BT492" i="3"/>
  <c r="CH492" i="3" s="1"/>
  <c r="BW492" i="3"/>
  <c r="BV491" i="3"/>
  <c r="BT491" i="3"/>
  <c r="BW490" i="3"/>
  <c r="BT490" i="3"/>
  <c r="CH490" i="3" s="1"/>
  <c r="BT489" i="3"/>
  <c r="BV489" i="3"/>
  <c r="CC488" i="3"/>
  <c r="BP488" i="3"/>
  <c r="BV488" i="3"/>
  <c r="BT487" i="3"/>
  <c r="BV487" i="3"/>
  <c r="BT486" i="3"/>
  <c r="BV486" i="3"/>
  <c r="BX485" i="3"/>
  <c r="BT485" i="3"/>
  <c r="CH485" i="3" s="1"/>
  <c r="BT484" i="3"/>
  <c r="BV484" i="3"/>
  <c r="BT483" i="3"/>
  <c r="BV483" i="3"/>
  <c r="BV482" i="3"/>
  <c r="BT482" i="3"/>
  <c r="BV481" i="3"/>
  <c r="BT481" i="3"/>
  <c r="BV480" i="3"/>
  <c r="BT480" i="3"/>
  <c r="BT479" i="3"/>
  <c r="BV479" i="3"/>
  <c r="BT478" i="3"/>
  <c r="BV478" i="3"/>
  <c r="BT477" i="3"/>
  <c r="BV477" i="3"/>
  <c r="BT476" i="3"/>
  <c r="BV476" i="3"/>
  <c r="BT475" i="3"/>
  <c r="BV475" i="3"/>
  <c r="BT474" i="3"/>
  <c r="BV474" i="3"/>
  <c r="BV473" i="3"/>
  <c r="BT473" i="3"/>
  <c r="BT472" i="3"/>
  <c r="BV472" i="3"/>
  <c r="BT471" i="3"/>
  <c r="BV471" i="3"/>
  <c r="BT470" i="3"/>
  <c r="BV470" i="3"/>
  <c r="BV469" i="3"/>
  <c r="BT469" i="3"/>
  <c r="BV467" i="3"/>
  <c r="BT467" i="3"/>
  <c r="CH467" i="3" s="1"/>
  <c r="BT466" i="3"/>
  <c r="CH466" i="3" s="1"/>
  <c r="BX466" i="3"/>
  <c r="BV465" i="3"/>
  <c r="BT465" i="3"/>
  <c r="CC463" i="3"/>
  <c r="BP463" i="3"/>
  <c r="BV463" i="3"/>
  <c r="CC462" i="3"/>
  <c r="BP462" i="3"/>
  <c r="BV462" i="3"/>
  <c r="BP461" i="3"/>
  <c r="CC461" i="3"/>
  <c r="BV461" i="3"/>
  <c r="BP460" i="3"/>
  <c r="CD460" i="3" s="1"/>
  <c r="CC460" i="3"/>
  <c r="BT460" i="3"/>
  <c r="BV460" i="3"/>
  <c r="BP459" i="3"/>
  <c r="CC459" i="3"/>
  <c r="BV459" i="3"/>
  <c r="BV458" i="3"/>
  <c r="BT458" i="3"/>
  <c r="BV457" i="3"/>
  <c r="BT457" i="3"/>
  <c r="BV456" i="3"/>
  <c r="BT456" i="3"/>
  <c r="BV455" i="3"/>
  <c r="BV454" i="3"/>
  <c r="BT454" i="3"/>
  <c r="CH454" i="3" s="1"/>
  <c r="BV453" i="3"/>
  <c r="BV452" i="3"/>
  <c r="BT452" i="3"/>
  <c r="BV451" i="3"/>
  <c r="BT451" i="3"/>
  <c r="BP450" i="3"/>
  <c r="CC450" i="3"/>
  <c r="BV450" i="3"/>
  <c r="CC449" i="3"/>
  <c r="BP449" i="3"/>
  <c r="BV449" i="3"/>
  <c r="BP447" i="3"/>
  <c r="CC447" i="3"/>
  <c r="BV447" i="3"/>
  <c r="BT446" i="3"/>
  <c r="BV446" i="3"/>
  <c r="BP444" i="3"/>
  <c r="CC444" i="3"/>
  <c r="BV444" i="3"/>
  <c r="BP443" i="3"/>
  <c r="CC443" i="3"/>
  <c r="BV443" i="3"/>
  <c r="BP442" i="3"/>
  <c r="CC442" i="3"/>
  <c r="BV442" i="3"/>
  <c r="BT441" i="3"/>
  <c r="CH441" i="3" s="1"/>
  <c r="BV441" i="3"/>
  <c r="BT439" i="3"/>
  <c r="CH439" i="3" s="1"/>
  <c r="BX439" i="3"/>
  <c r="CC438" i="3"/>
  <c r="BP438" i="3"/>
  <c r="BV438" i="3"/>
  <c r="BP437" i="3"/>
  <c r="CC437" i="3"/>
  <c r="BV437" i="3"/>
  <c r="BP436" i="3"/>
  <c r="CC436" i="3"/>
  <c r="BV436" i="3"/>
  <c r="BV435" i="3"/>
  <c r="BT435" i="3"/>
  <c r="CC434" i="3"/>
  <c r="BP434" i="3"/>
  <c r="BV434" i="3"/>
  <c r="BV433" i="3"/>
  <c r="BT433" i="3"/>
  <c r="BT432" i="3"/>
  <c r="BV432" i="3"/>
  <c r="BP431" i="3"/>
  <c r="CC431" i="3"/>
  <c r="BV431" i="3"/>
  <c r="CC430" i="3"/>
  <c r="BP430" i="3"/>
  <c r="BV430" i="3"/>
  <c r="BP429" i="3"/>
  <c r="CC429" i="3"/>
  <c r="BV429" i="3"/>
  <c r="BV428" i="3"/>
  <c r="BT428" i="3"/>
  <c r="BV427" i="3"/>
  <c r="BT427" i="3"/>
  <c r="BV426" i="3"/>
  <c r="BT426" i="3"/>
  <c r="BX425" i="3"/>
  <c r="BT425" i="3"/>
  <c r="CH425" i="3" s="1"/>
  <c r="CC424" i="3"/>
  <c r="BP424" i="3"/>
  <c r="BV424" i="3"/>
  <c r="CC423" i="3"/>
  <c r="BP423" i="3"/>
  <c r="BX423" i="3"/>
  <c r="BV422" i="3"/>
  <c r="BT422" i="3"/>
  <c r="BV421" i="3"/>
  <c r="BT421" i="3"/>
  <c r="BV420" i="3"/>
  <c r="BT420" i="3"/>
  <c r="BV419" i="3"/>
  <c r="BT419" i="3"/>
  <c r="BV418" i="3"/>
  <c r="BT418" i="3"/>
  <c r="BV417" i="3"/>
  <c r="BT417" i="3"/>
  <c r="BT416" i="3"/>
  <c r="BV416" i="3"/>
  <c r="BV415" i="3"/>
  <c r="BT415" i="3"/>
  <c r="CC414" i="3"/>
  <c r="BP414" i="3"/>
  <c r="BV414" i="3"/>
  <c r="BP413" i="3"/>
  <c r="CC413" i="3"/>
  <c r="BV413" i="3"/>
  <c r="CC412" i="3"/>
  <c r="BP412" i="3"/>
  <c r="BV412" i="3"/>
  <c r="BP411" i="3"/>
  <c r="CC411" i="3"/>
  <c r="BV411" i="3"/>
  <c r="BT410" i="3"/>
  <c r="P410" i="3"/>
  <c r="AB410" i="3"/>
  <c r="BV410" i="3" s="1"/>
  <c r="CC409" i="3"/>
  <c r="BP409" i="3"/>
  <c r="BV409" i="3"/>
  <c r="CC408" i="3"/>
  <c r="BP408" i="3"/>
  <c r="BV408" i="3"/>
  <c r="CC407" i="3"/>
  <c r="BP407" i="3"/>
  <c r="BV407" i="3"/>
  <c r="BP406" i="3"/>
  <c r="CC406" i="3"/>
  <c r="BX406" i="3"/>
  <c r="BV405" i="3"/>
  <c r="BT405" i="3"/>
  <c r="BT404" i="3"/>
  <c r="BV404" i="3"/>
  <c r="BT403" i="3"/>
  <c r="BV403" i="3"/>
  <c r="BV402" i="3"/>
  <c r="BT402" i="3"/>
  <c r="BV401" i="3"/>
  <c r="BT401" i="3"/>
  <c r="BT400" i="3"/>
  <c r="AB400" i="3"/>
  <c r="P400" i="3"/>
  <c r="BV399" i="3"/>
  <c r="BT399" i="3"/>
  <c r="CC397" i="3"/>
  <c r="BP397" i="3"/>
  <c r="BV397" i="3"/>
  <c r="BT396" i="3"/>
  <c r="BV396" i="3"/>
  <c r="BV395" i="3"/>
  <c r="BT395" i="3"/>
  <c r="BT394" i="3"/>
  <c r="BV394" i="3"/>
  <c r="BP393" i="3"/>
  <c r="CC393" i="3"/>
  <c r="BV393" i="3"/>
  <c r="CC392" i="3"/>
  <c r="BP392" i="3"/>
  <c r="BV392" i="3"/>
  <c r="CC391" i="3"/>
  <c r="BP391" i="3"/>
  <c r="BV391" i="3"/>
  <c r="BP390" i="3"/>
  <c r="CC390" i="3"/>
  <c r="BV390" i="3"/>
  <c r="CC389" i="3"/>
  <c r="BP389" i="3"/>
  <c r="BV389" i="3"/>
  <c r="BP388" i="3"/>
  <c r="CC388" i="3"/>
  <c r="BV388" i="3"/>
  <c r="BP387" i="3"/>
  <c r="CC387" i="3"/>
  <c r="BV387" i="3"/>
  <c r="CC386" i="3"/>
  <c r="BP386" i="3"/>
  <c r="BV386" i="3"/>
  <c r="CC385" i="3"/>
  <c r="BP385" i="3"/>
  <c r="BV385" i="3"/>
  <c r="BP384" i="3"/>
  <c r="CC384" i="3"/>
  <c r="BV384" i="3"/>
  <c r="CC383" i="3"/>
  <c r="BP383" i="3"/>
  <c r="BV383" i="3"/>
  <c r="BT382" i="3"/>
  <c r="CH382" i="3" s="1"/>
  <c r="BV382" i="3"/>
  <c r="CC381" i="3"/>
  <c r="BP381" i="3"/>
  <c r="BV381" i="3"/>
  <c r="BV378" i="3"/>
  <c r="BT378" i="3"/>
  <c r="CH378" i="3" s="1"/>
  <c r="BT377" i="3"/>
  <c r="BV377" i="3"/>
  <c r="BP376" i="3"/>
  <c r="CC376" i="3"/>
  <c r="BV376" i="3"/>
  <c r="CC375" i="3"/>
  <c r="BP375" i="3"/>
  <c r="BV375" i="3"/>
  <c r="CC374" i="3"/>
  <c r="BP374" i="3"/>
  <c r="BV374" i="3"/>
  <c r="BP373" i="3"/>
  <c r="CC373" i="3"/>
  <c r="BV373" i="3"/>
  <c r="CC372" i="3"/>
  <c r="BP372" i="3"/>
  <c r="BV372" i="3"/>
  <c r="BP371" i="3"/>
  <c r="CC371" i="3"/>
  <c r="BV371" i="3"/>
  <c r="CC370" i="3"/>
  <c r="BP370" i="3"/>
  <c r="BV370" i="3"/>
  <c r="BP369" i="3"/>
  <c r="CC369" i="3"/>
  <c r="BV369" i="3"/>
  <c r="CC368" i="3"/>
  <c r="BP368" i="3"/>
  <c r="BV368" i="3"/>
  <c r="CC367" i="3"/>
  <c r="BP367" i="3"/>
  <c r="BV367" i="3"/>
  <c r="BT366" i="3"/>
  <c r="BV366" i="3"/>
  <c r="BP364" i="3"/>
  <c r="CC364" i="3"/>
  <c r="BV364" i="3"/>
  <c r="CC363" i="3"/>
  <c r="BP363" i="3"/>
  <c r="BV363" i="3"/>
  <c r="BP361" i="3"/>
  <c r="CC361" i="3"/>
  <c r="BV361" i="3"/>
  <c r="CC360" i="3"/>
  <c r="BP360" i="3"/>
  <c r="BV360" i="3"/>
  <c r="CC359" i="3"/>
  <c r="BP359" i="3"/>
  <c r="BV359" i="3"/>
  <c r="CC358" i="3"/>
  <c r="BP358" i="3"/>
  <c r="BV358" i="3"/>
  <c r="BV357" i="3"/>
  <c r="BT357" i="3"/>
  <c r="CH357" i="3" s="1"/>
  <c r="BV356" i="3"/>
  <c r="BT356" i="3"/>
  <c r="BP355" i="3"/>
  <c r="CC355" i="3"/>
  <c r="BV355" i="3"/>
  <c r="BP354" i="3"/>
  <c r="CC354" i="3"/>
  <c r="BV354" i="3"/>
  <c r="CC353" i="3"/>
  <c r="BP353" i="3"/>
  <c r="BV353" i="3"/>
  <c r="CC352" i="3"/>
  <c r="BP352" i="3"/>
  <c r="BV352" i="3"/>
  <c r="BP351" i="3"/>
  <c r="CC351" i="3"/>
  <c r="BV351" i="3"/>
  <c r="BT350" i="3"/>
  <c r="BV350" i="3"/>
  <c r="CC349" i="3"/>
  <c r="BP349" i="3"/>
  <c r="BV349" i="3"/>
  <c r="CC346" i="3"/>
  <c r="BP346" i="3"/>
  <c r="BV346" i="3"/>
  <c r="BP345" i="3"/>
  <c r="CC345" i="3"/>
  <c r="BV345" i="3"/>
  <c r="BP344" i="3"/>
  <c r="CC344" i="3"/>
  <c r="BV344" i="3"/>
  <c r="BP343" i="3"/>
  <c r="CC343" i="3"/>
  <c r="BV343" i="3"/>
  <c r="CC342" i="3"/>
  <c r="BP342" i="3"/>
  <c r="BW342" i="3"/>
  <c r="BT341" i="3"/>
  <c r="CH341" i="3" s="1"/>
  <c r="BW341" i="3"/>
  <c r="BV339" i="3"/>
  <c r="BT339" i="3"/>
  <c r="CH339" i="3" s="1"/>
  <c r="BT337" i="3"/>
  <c r="CH337" i="3" s="1"/>
  <c r="BV337" i="3"/>
  <c r="BV336" i="3"/>
  <c r="BT336" i="3"/>
  <c r="CC334" i="3"/>
  <c r="BP334" i="3"/>
  <c r="BV334" i="3"/>
  <c r="CC333" i="3"/>
  <c r="BP333" i="3"/>
  <c r="CB333" i="3"/>
  <c r="BP332" i="3"/>
  <c r="CC332" i="3"/>
  <c r="BV332" i="3"/>
  <c r="CC331" i="3"/>
  <c r="BP331" i="3"/>
  <c r="BV331" i="3"/>
  <c r="CC330" i="3"/>
  <c r="BP330" i="3"/>
  <c r="BX330" i="3"/>
  <c r="CC329" i="3"/>
  <c r="BP329" i="3"/>
  <c r="BV329" i="3"/>
  <c r="BP328" i="3"/>
  <c r="CC328" i="3"/>
  <c r="BX328" i="3"/>
  <c r="BP327" i="3"/>
  <c r="CC327" i="3"/>
  <c r="BV327" i="3"/>
  <c r="CC326" i="3"/>
  <c r="BP326" i="3"/>
  <c r="BV326" i="3"/>
  <c r="BP324" i="3"/>
  <c r="CC324" i="3"/>
  <c r="BV324" i="3"/>
  <c r="CC323" i="3"/>
  <c r="BP323" i="3"/>
  <c r="BV323" i="3"/>
  <c r="BV322" i="3"/>
  <c r="BT322" i="3"/>
  <c r="CH322" i="3" s="1"/>
  <c r="CC321" i="3"/>
  <c r="BP321" i="3"/>
  <c r="BV321" i="3"/>
  <c r="BP320" i="3"/>
  <c r="CC320" i="3"/>
  <c r="BX320" i="3"/>
  <c r="BP319" i="3"/>
  <c r="CC319" i="3"/>
  <c r="BV319" i="3"/>
  <c r="CC318" i="3"/>
  <c r="BP318" i="3"/>
  <c r="BV318" i="3"/>
  <c r="BV317" i="3"/>
  <c r="BT317" i="3"/>
  <c r="BP316" i="3"/>
  <c r="CC316" i="3"/>
  <c r="BV316" i="3"/>
  <c r="BT315" i="3"/>
  <c r="CH315" i="3" s="1"/>
  <c r="BW315" i="3"/>
  <c r="BW314" i="3"/>
  <c r="BT314" i="3"/>
  <c r="CH314" i="3" s="1"/>
  <c r="BT313" i="3"/>
  <c r="BV313" i="3"/>
  <c r="BV312" i="3"/>
  <c r="BT312" i="3"/>
  <c r="BT311" i="3"/>
  <c r="BV311" i="3"/>
  <c r="BT310" i="3"/>
  <c r="BV310" i="3"/>
  <c r="BV309" i="3"/>
  <c r="BT309" i="3"/>
  <c r="BT308" i="3"/>
  <c r="BV308" i="3"/>
  <c r="BT307" i="3"/>
  <c r="CH307" i="3" s="1"/>
  <c r="BV307" i="3"/>
  <c r="BP306" i="3"/>
  <c r="CC306" i="3"/>
  <c r="BV306" i="3"/>
  <c r="BP305" i="3"/>
  <c r="CC305" i="3"/>
  <c r="BV305" i="3"/>
  <c r="CC304" i="3"/>
  <c r="BP304" i="3"/>
  <c r="BV304" i="3"/>
  <c r="BT303" i="3"/>
  <c r="CH303" i="3" s="1"/>
  <c r="BX303" i="3"/>
  <c r="CC302" i="3"/>
  <c r="BP302" i="3"/>
  <c r="BV302" i="3"/>
  <c r="BP301" i="3"/>
  <c r="CC301" i="3"/>
  <c r="BV301" i="3"/>
  <c r="BP300" i="3"/>
  <c r="CC300" i="3"/>
  <c r="BV300" i="3"/>
  <c r="BV299" i="3"/>
  <c r="BT299" i="3"/>
  <c r="CH299" i="3" s="1"/>
  <c r="CC298" i="3"/>
  <c r="BP298" i="3"/>
  <c r="BV298" i="3"/>
  <c r="BV296" i="3"/>
  <c r="BT296" i="3"/>
  <c r="BV294" i="3"/>
  <c r="BT294" i="3"/>
  <c r="BV293" i="3"/>
  <c r="BT293" i="3"/>
  <c r="CH293" i="3" s="1"/>
  <c r="CC292" i="3"/>
  <c r="BP292" i="3"/>
  <c r="BV292" i="3"/>
  <c r="BP291" i="3"/>
  <c r="CC291" i="3"/>
  <c r="BV291" i="3"/>
  <c r="BV290" i="3"/>
  <c r="BT290" i="3"/>
  <c r="BT289" i="3"/>
  <c r="BV289" i="3"/>
  <c r="BT288" i="3"/>
  <c r="BV288" i="3"/>
  <c r="CC286" i="3"/>
  <c r="BP286" i="3"/>
  <c r="BV286" i="3"/>
  <c r="BT285" i="3"/>
  <c r="BV285" i="3"/>
  <c r="BV284" i="3"/>
  <c r="BT284" i="3"/>
  <c r="BP283" i="3"/>
  <c r="CC283" i="3"/>
  <c r="BV283" i="3"/>
  <c r="BP281" i="3"/>
  <c r="CC281" i="3"/>
  <c r="BV281" i="3"/>
  <c r="BP280" i="3"/>
  <c r="CC280" i="3"/>
  <c r="BV280" i="3"/>
  <c r="BP279" i="3"/>
  <c r="CC279" i="3"/>
  <c r="BV279" i="3"/>
  <c r="BV278" i="3"/>
  <c r="BT278" i="3"/>
  <c r="CH278" i="3" s="1"/>
  <c r="BT277" i="3"/>
  <c r="CH277" i="3" s="1"/>
  <c r="BV277" i="3"/>
  <c r="BT276" i="3"/>
  <c r="CH276" i="3" s="1"/>
  <c r="BV276" i="3"/>
  <c r="BP275" i="3"/>
  <c r="CC275" i="3"/>
  <c r="BV275" i="3"/>
  <c r="BT274" i="3"/>
  <c r="BV274" i="3"/>
  <c r="BP272" i="3"/>
  <c r="CC272" i="3"/>
  <c r="BV272" i="3"/>
  <c r="CC271" i="3"/>
  <c r="BP271" i="3"/>
  <c r="BV271" i="3"/>
  <c r="BP270" i="3"/>
  <c r="CC270" i="3"/>
  <c r="BV270" i="3"/>
  <c r="BT269" i="3"/>
  <c r="BV269" i="3"/>
  <c r="BV268" i="3"/>
  <c r="BT268" i="3"/>
  <c r="BT267" i="3"/>
  <c r="BV267" i="3"/>
  <c r="BV265" i="3"/>
  <c r="BT265" i="3"/>
  <c r="BT264" i="3"/>
  <c r="BV264" i="3"/>
  <c r="BV263" i="3"/>
  <c r="BT263" i="3"/>
  <c r="BV262" i="3"/>
  <c r="BT262" i="3"/>
  <c r="CC261" i="3"/>
  <c r="BP261" i="3"/>
  <c r="BV261" i="3"/>
  <c r="BP260" i="3"/>
  <c r="CC260" i="3"/>
  <c r="BV260" i="3"/>
  <c r="BP259" i="3"/>
  <c r="CC259" i="3"/>
  <c r="BV259" i="3"/>
  <c r="BP258" i="3"/>
  <c r="CC258" i="3"/>
  <c r="BV258" i="3"/>
  <c r="BP257" i="3"/>
  <c r="CC257" i="3"/>
  <c r="BV257" i="3"/>
  <c r="CC256" i="3"/>
  <c r="BP256" i="3"/>
  <c r="BV256" i="3"/>
  <c r="CC255" i="3"/>
  <c r="BP255" i="3"/>
  <c r="BV255" i="3"/>
  <c r="BP254" i="3"/>
  <c r="CC254" i="3"/>
  <c r="BV254" i="3"/>
  <c r="BP253" i="3"/>
  <c r="CC253" i="3"/>
  <c r="BV253" i="3"/>
  <c r="CC252" i="3"/>
  <c r="BP252" i="3"/>
  <c r="BV252" i="3"/>
  <c r="BP251" i="3"/>
  <c r="CC251" i="3"/>
  <c r="BV251" i="3"/>
  <c r="CC250" i="3"/>
  <c r="BP250" i="3"/>
  <c r="BV250" i="3"/>
  <c r="BT249" i="3"/>
  <c r="CH249" i="3" s="1"/>
  <c r="BV249" i="3"/>
  <c r="BV245" i="3"/>
  <c r="BT245" i="3"/>
  <c r="BV244" i="3"/>
  <c r="BT244" i="3"/>
  <c r="CC243" i="3"/>
  <c r="BP243" i="3"/>
  <c r="BV243" i="3"/>
  <c r="CC242" i="3"/>
  <c r="BP242" i="3"/>
  <c r="BV242" i="3"/>
  <c r="BV241" i="3"/>
  <c r="BT241" i="3"/>
  <c r="BP239" i="3"/>
  <c r="CC239" i="3"/>
  <c r="BV239" i="3"/>
  <c r="BV238" i="3"/>
  <c r="BT238" i="3"/>
  <c r="CH238" i="3" s="1"/>
  <c r="BT237" i="3"/>
  <c r="BV237" i="3"/>
  <c r="BT236" i="3"/>
  <c r="BV236" i="3"/>
  <c r="CC235" i="3"/>
  <c r="BP235" i="3"/>
  <c r="BV235" i="3"/>
  <c r="CC234" i="3"/>
  <c r="BP234" i="3"/>
  <c r="BV234" i="3"/>
  <c r="CC233" i="3"/>
  <c r="BP233" i="3"/>
  <c r="BV233" i="3"/>
  <c r="CC232" i="3"/>
  <c r="BP232" i="3"/>
  <c r="BV232" i="3"/>
  <c r="CC231" i="3"/>
  <c r="BP231" i="3"/>
  <c r="BV231" i="3"/>
  <c r="CC230" i="3"/>
  <c r="BP230" i="3"/>
  <c r="BV230" i="3"/>
  <c r="BP229" i="3"/>
  <c r="CC229" i="3"/>
  <c r="BV229" i="3"/>
  <c r="BP228" i="3"/>
  <c r="CC228" i="3"/>
  <c r="BV228" i="3"/>
  <c r="CC227" i="3"/>
  <c r="BP227" i="3"/>
  <c r="BW227" i="3"/>
  <c r="BP225" i="3"/>
  <c r="CC225" i="3"/>
  <c r="BV225" i="3"/>
  <c r="BT224" i="3"/>
  <c r="CH224" i="3" s="1"/>
  <c r="BV224" i="3"/>
  <c r="BV223" i="3"/>
  <c r="BT223" i="3"/>
  <c r="CH223" i="3" s="1"/>
  <c r="BT222" i="3"/>
  <c r="CH222" i="3" s="1"/>
  <c r="BV222" i="3"/>
  <c r="BT221" i="3"/>
  <c r="BV221" i="3"/>
  <c r="CC220" i="3"/>
  <c r="BP220" i="3"/>
  <c r="BV220" i="3"/>
  <c r="BT219" i="3"/>
  <c r="BV219" i="3"/>
  <c r="BV218" i="3"/>
  <c r="BT218" i="3"/>
  <c r="BP217" i="3"/>
  <c r="CC217" i="3"/>
  <c r="BV217" i="3"/>
  <c r="CC216" i="3"/>
  <c r="BP216" i="3"/>
  <c r="BV216" i="3"/>
  <c r="BV215" i="3"/>
  <c r="BT215" i="3"/>
  <c r="CC214" i="3"/>
  <c r="BP214" i="3"/>
  <c r="BV214" i="3"/>
  <c r="CC213" i="3"/>
  <c r="BP213" i="3"/>
  <c r="BV213" i="3"/>
  <c r="CC212" i="3"/>
  <c r="BP212" i="3"/>
  <c r="BV212" i="3"/>
  <c r="CC211" i="3"/>
  <c r="BP211" i="3"/>
  <c r="BV211" i="3"/>
  <c r="CC210" i="3"/>
  <c r="BP210" i="3"/>
  <c r="BV210" i="3"/>
  <c r="CC209" i="3"/>
  <c r="BP209" i="3"/>
  <c r="BV209" i="3"/>
  <c r="BP208" i="3"/>
  <c r="CC208" i="3"/>
  <c r="BV208" i="3"/>
  <c r="BP207" i="3"/>
  <c r="CC207" i="3"/>
  <c r="BV207" i="3"/>
  <c r="CC206" i="3"/>
  <c r="BP206" i="3"/>
  <c r="BV206" i="3"/>
  <c r="CC205" i="3"/>
  <c r="BP205" i="3"/>
  <c r="BV205" i="3"/>
  <c r="CC204" i="3"/>
  <c r="BP204" i="3"/>
  <c r="BV204" i="3"/>
  <c r="BT203" i="3"/>
  <c r="BV203" i="3"/>
  <c r="BP202" i="3"/>
  <c r="CC202" i="3"/>
  <c r="BV202" i="3"/>
  <c r="BT201" i="3"/>
  <c r="CH201" i="3" s="1"/>
  <c r="BV201" i="3"/>
  <c r="CC200" i="3"/>
  <c r="BP200" i="3"/>
  <c r="BV200" i="3"/>
  <c r="BT199" i="3"/>
  <c r="BV199" i="3"/>
  <c r="BP198" i="3"/>
  <c r="CC198" i="3"/>
  <c r="BV198" i="3"/>
  <c r="BT197" i="3"/>
  <c r="BV197" i="3"/>
  <c r="BT196" i="3"/>
  <c r="BV196" i="3"/>
  <c r="BT195" i="3"/>
  <c r="BV195" i="3"/>
  <c r="BV194" i="3"/>
  <c r="BT194" i="3"/>
  <c r="BV193" i="3"/>
  <c r="BT193" i="3"/>
  <c r="BV192" i="3"/>
  <c r="BT192" i="3"/>
  <c r="BV191" i="3"/>
  <c r="BT191" i="3"/>
  <c r="CH191" i="3" s="1"/>
  <c r="BV190" i="3"/>
  <c r="BT190" i="3"/>
  <c r="BT189" i="3"/>
  <c r="BV189" i="3"/>
  <c r="BT188" i="3"/>
  <c r="BV188" i="3"/>
  <c r="BT187" i="3"/>
  <c r="BV187" i="3"/>
  <c r="BV186" i="3"/>
  <c r="BT186" i="3"/>
  <c r="BV185" i="3"/>
  <c r="BT185" i="3"/>
  <c r="BV184" i="3"/>
  <c r="BT184" i="3"/>
  <c r="BV183" i="3"/>
  <c r="BT183" i="3"/>
  <c r="BV182" i="3"/>
  <c r="BT182" i="3"/>
  <c r="BV181" i="3"/>
  <c r="BT181" i="3"/>
  <c r="BT180" i="3"/>
  <c r="BV180" i="3"/>
  <c r="BT179" i="3"/>
  <c r="BV179" i="3"/>
  <c r="BV178" i="3"/>
  <c r="BT178" i="3"/>
  <c r="BT177" i="3"/>
  <c r="BV177" i="3"/>
  <c r="BT176" i="3"/>
  <c r="BV176" i="3"/>
  <c r="BT175" i="3"/>
  <c r="BV175" i="3"/>
  <c r="BT174" i="3"/>
  <c r="BV174" i="3"/>
  <c r="BT173" i="3"/>
  <c r="BV173" i="3"/>
  <c r="BV172" i="3"/>
  <c r="BT172" i="3"/>
  <c r="BV171" i="3"/>
  <c r="BT171" i="3"/>
  <c r="BV170" i="3"/>
  <c r="BT170" i="3"/>
  <c r="BT169" i="3"/>
  <c r="BV169" i="3"/>
  <c r="BV168" i="3"/>
  <c r="BT168" i="3"/>
  <c r="BT167" i="3"/>
  <c r="CH167" i="3" s="1"/>
  <c r="BV167" i="3"/>
  <c r="BT166" i="3"/>
  <c r="CH166" i="3" s="1"/>
  <c r="BV166" i="3"/>
  <c r="BT165" i="3"/>
  <c r="BV165" i="3"/>
  <c r="BV164" i="3"/>
  <c r="BT164" i="3"/>
  <c r="CH164" i="3" s="1"/>
  <c r="BV163" i="3"/>
  <c r="BT163" i="3"/>
  <c r="CH163" i="3" s="1"/>
  <c r="BT162" i="3"/>
  <c r="CH162" i="3" s="1"/>
  <c r="BV162" i="3"/>
  <c r="BV161" i="3"/>
  <c r="BT161" i="3"/>
  <c r="CH161" i="3" s="1"/>
  <c r="BV160" i="3"/>
  <c r="BT160" i="3"/>
  <c r="CH160" i="3" s="1"/>
  <c r="BV159" i="3"/>
  <c r="BT159" i="3"/>
  <c r="CH159" i="3" s="1"/>
  <c r="BT158" i="3"/>
  <c r="BV158" i="3"/>
  <c r="BT157" i="3"/>
  <c r="BV157" i="3"/>
  <c r="BV156" i="3"/>
  <c r="BT156" i="3"/>
  <c r="CH156" i="3" s="1"/>
  <c r="BT155" i="3"/>
  <c r="BV155" i="3"/>
  <c r="BV154" i="3"/>
  <c r="BT154" i="3"/>
  <c r="CH154" i="3" s="1"/>
  <c r="BT153" i="3"/>
  <c r="BV153" i="3"/>
  <c r="BT152" i="3"/>
  <c r="BV152" i="3"/>
  <c r="BV151" i="3"/>
  <c r="BT151" i="3"/>
  <c r="BT150" i="3"/>
  <c r="CH150" i="3" s="1"/>
  <c r="BV150" i="3"/>
  <c r="BT149" i="3"/>
  <c r="CH149" i="3" s="1"/>
  <c r="BV149" i="3"/>
  <c r="BT148" i="3"/>
  <c r="BV148" i="3"/>
  <c r="BT147" i="3"/>
  <c r="CH147" i="3" s="1"/>
  <c r="BV147" i="3"/>
  <c r="BV146" i="3"/>
  <c r="BT146" i="3"/>
  <c r="BT145" i="3"/>
  <c r="BV145" i="3"/>
  <c r="BV144" i="3"/>
  <c r="BT144" i="3"/>
  <c r="BT143" i="3"/>
  <c r="CH143" i="3" s="1"/>
  <c r="BV143" i="3"/>
  <c r="BT142" i="3"/>
  <c r="BV142" i="3"/>
  <c r="BT141" i="3"/>
  <c r="BV141" i="3"/>
  <c r="BT140" i="3"/>
  <c r="BV140" i="3"/>
  <c r="BV139" i="3"/>
  <c r="BT139" i="3"/>
  <c r="CH139" i="3" s="1"/>
  <c r="BV138" i="3"/>
  <c r="BT138" i="3"/>
  <c r="BT137" i="3"/>
  <c r="CH137" i="3" s="1"/>
  <c r="BV137" i="3"/>
  <c r="BV136" i="3"/>
  <c r="BT136" i="3"/>
  <c r="BT135" i="3"/>
  <c r="BV135" i="3"/>
  <c r="BV134" i="3"/>
  <c r="BT134" i="3"/>
  <c r="CH134" i="3" s="1"/>
  <c r="BV133" i="3"/>
  <c r="BT133" i="3"/>
  <c r="BT132" i="3"/>
  <c r="BV132" i="3"/>
  <c r="BV131" i="3"/>
  <c r="BT131" i="3"/>
  <c r="BV130" i="3"/>
  <c r="BT130" i="3"/>
  <c r="CH130" i="3" s="1"/>
  <c r="BT129" i="3"/>
  <c r="BV129" i="3"/>
  <c r="BT128" i="3"/>
  <c r="BV128" i="3"/>
  <c r="BV127" i="3"/>
  <c r="BT127" i="3"/>
  <c r="BV126" i="3"/>
  <c r="BT126" i="3"/>
  <c r="BT125" i="3"/>
  <c r="BV125" i="3"/>
  <c r="BT124" i="3"/>
  <c r="BV124" i="3"/>
  <c r="BV123" i="3"/>
  <c r="BT123" i="3"/>
  <c r="BV122" i="3"/>
  <c r="BT122" i="3"/>
  <c r="BV121" i="3"/>
  <c r="BT121" i="3"/>
  <c r="BT120" i="3"/>
  <c r="BV120" i="3"/>
  <c r="BV119" i="3"/>
  <c r="BT119" i="3"/>
  <c r="BT118" i="3"/>
  <c r="BV118" i="3"/>
  <c r="BV117" i="3"/>
  <c r="BT117" i="3"/>
  <c r="BV116" i="3"/>
  <c r="BT116" i="3"/>
  <c r="BV115" i="3"/>
  <c r="BT115" i="3"/>
  <c r="BV113" i="3"/>
  <c r="BT113" i="3"/>
  <c r="BT112" i="3"/>
  <c r="BV112" i="3"/>
  <c r="BV111" i="3"/>
  <c r="BT111" i="3"/>
  <c r="BV110" i="3"/>
  <c r="BT110" i="3"/>
  <c r="CH110" i="3" s="1"/>
  <c r="BV109" i="3"/>
  <c r="BT109" i="3"/>
  <c r="BV108" i="3"/>
  <c r="BT108" i="3"/>
  <c r="BV107" i="3"/>
  <c r="BT107" i="3"/>
  <c r="BV106" i="3"/>
  <c r="BT106" i="3"/>
  <c r="BV105" i="3"/>
  <c r="BT105" i="3"/>
  <c r="BT104" i="3"/>
  <c r="CH104" i="3" s="1"/>
  <c r="BV104" i="3"/>
  <c r="BV103" i="3"/>
  <c r="BT103" i="3"/>
  <c r="CH103" i="3" s="1"/>
  <c r="BT102" i="3"/>
  <c r="BV102" i="3"/>
  <c r="BV101" i="3"/>
  <c r="BT101" i="3"/>
  <c r="BV100" i="3"/>
  <c r="BT100" i="3"/>
  <c r="BV99" i="3"/>
  <c r="BT99" i="3"/>
  <c r="CH99" i="3" s="1"/>
  <c r="BV98" i="3"/>
  <c r="BT98" i="3"/>
  <c r="BV97" i="3"/>
  <c r="BT97" i="3"/>
  <c r="BT96" i="3"/>
  <c r="CH96" i="3" s="1"/>
  <c r="BV96" i="3"/>
  <c r="BV95" i="3"/>
  <c r="BT95" i="3"/>
  <c r="BT94" i="3"/>
  <c r="BV94" i="3"/>
  <c r="BV93" i="3"/>
  <c r="BT93" i="3"/>
  <c r="BT92" i="3"/>
  <c r="BV92" i="3"/>
  <c r="BV91" i="3"/>
  <c r="BT91" i="3"/>
  <c r="BV90" i="3"/>
  <c r="BT90" i="3"/>
  <c r="BT89" i="3"/>
  <c r="BV89" i="3"/>
  <c r="BT88" i="3"/>
  <c r="CH88" i="3" s="1"/>
  <c r="BV88" i="3"/>
  <c r="BV87" i="3"/>
  <c r="BT87" i="3"/>
  <c r="BV86" i="3"/>
  <c r="BT86" i="3"/>
  <c r="BT85" i="3"/>
  <c r="BV85" i="3"/>
  <c r="BT84" i="3"/>
  <c r="BV84" i="3"/>
  <c r="BT83" i="3"/>
  <c r="BV83" i="3"/>
  <c r="BV82" i="3"/>
  <c r="BT82" i="3"/>
  <c r="CH82" i="3" s="1"/>
  <c r="BT81" i="3"/>
  <c r="BV81" i="3"/>
  <c r="BT80" i="3"/>
  <c r="BV80" i="3"/>
  <c r="BT79" i="3"/>
  <c r="BV79" i="3"/>
  <c r="BT78" i="3"/>
  <c r="BV78" i="3"/>
  <c r="BT77" i="3"/>
  <c r="BV77" i="3"/>
  <c r="BT76" i="3"/>
  <c r="CH76" i="3" s="1"/>
  <c r="BV76" i="3"/>
  <c r="BT75" i="3"/>
  <c r="BV75" i="3"/>
  <c r="BT72" i="3"/>
  <c r="CH72" i="3" s="1"/>
  <c r="BV72" i="3"/>
  <c r="BV71" i="3"/>
  <c r="BT71" i="3"/>
  <c r="BV69" i="3"/>
  <c r="BT69" i="3"/>
  <c r="CH69" i="3" s="1"/>
  <c r="BT67" i="3"/>
  <c r="BV67" i="3"/>
  <c r="BV66" i="3"/>
  <c r="BT66" i="3"/>
  <c r="BT65" i="3"/>
  <c r="CH65" i="3" s="1"/>
  <c r="BX65" i="3"/>
  <c r="BW64" i="3"/>
  <c r="BT64" i="3"/>
  <c r="CH64" i="3" s="1"/>
  <c r="BV63" i="3"/>
  <c r="BT63" i="3"/>
  <c r="CH63" i="3" s="1"/>
  <c r="BV62" i="3"/>
  <c r="BT62" i="3"/>
  <c r="CH62" i="3" s="1"/>
  <c r="BT61" i="3"/>
  <c r="CH61" i="3" s="1"/>
  <c r="BV61" i="3"/>
  <c r="BT60" i="3"/>
  <c r="BV60" i="3"/>
  <c r="BV59" i="3"/>
  <c r="BT59" i="3"/>
  <c r="BT58" i="3"/>
  <c r="BV58" i="3"/>
  <c r="BT57" i="3"/>
  <c r="BV57" i="3"/>
  <c r="BT56" i="3"/>
  <c r="CH56" i="3" s="1"/>
  <c r="BV56" i="3"/>
  <c r="BV55" i="3"/>
  <c r="BT55" i="3"/>
  <c r="BT54" i="3"/>
  <c r="BV54" i="3"/>
  <c r="BT53" i="3"/>
  <c r="BV53" i="3"/>
  <c r="BT52" i="3"/>
  <c r="BV52" i="3"/>
  <c r="BV51" i="3"/>
  <c r="BT51" i="3"/>
  <c r="BT50" i="3"/>
  <c r="BV50" i="3"/>
  <c r="BT49" i="3"/>
  <c r="BV49" i="3"/>
  <c r="BT48" i="3"/>
  <c r="BV48" i="3"/>
  <c r="BT47" i="3"/>
  <c r="BV47" i="3"/>
  <c r="BV46" i="3"/>
  <c r="BT46" i="3"/>
  <c r="BT45" i="3"/>
  <c r="BV45" i="3"/>
  <c r="BV44" i="3"/>
  <c r="BT44" i="3"/>
  <c r="BT43" i="3"/>
  <c r="BV43" i="3"/>
  <c r="BV42" i="3"/>
  <c r="BT42" i="3"/>
  <c r="BT41" i="3"/>
  <c r="BV41" i="3"/>
  <c r="BV40" i="3"/>
  <c r="BT40" i="3"/>
  <c r="BT39" i="3"/>
  <c r="BV39" i="3"/>
  <c r="BT38" i="3"/>
  <c r="BV38" i="3"/>
  <c r="BT37" i="3"/>
  <c r="BV37" i="3"/>
  <c r="BT36" i="3"/>
  <c r="BV36" i="3"/>
  <c r="BV35" i="3"/>
  <c r="BT35" i="3"/>
  <c r="BV34" i="3"/>
  <c r="BT34" i="3"/>
  <c r="BV33" i="3"/>
  <c r="BT33" i="3"/>
  <c r="CH33" i="3" s="1"/>
  <c r="BT32" i="3"/>
  <c r="BV32" i="3"/>
  <c r="BT31" i="3"/>
  <c r="BV31" i="3"/>
  <c r="BV30" i="3"/>
  <c r="BT30" i="3"/>
  <c r="BT29" i="3"/>
  <c r="BV29" i="3"/>
  <c r="BT28" i="3"/>
  <c r="BV28" i="3"/>
  <c r="BT27" i="3"/>
  <c r="BV27" i="3"/>
  <c r="BT26" i="3"/>
  <c r="BV26" i="3"/>
  <c r="BT23" i="3"/>
  <c r="BV23" i="3"/>
  <c r="BV22" i="3"/>
  <c r="BT22" i="3"/>
  <c r="BV21" i="3"/>
  <c r="BT21" i="3"/>
  <c r="BV20" i="3"/>
  <c r="BT20" i="3"/>
  <c r="CH20" i="3" s="1"/>
  <c r="BV19" i="3"/>
  <c r="BT19" i="3"/>
  <c r="CH19" i="3" s="1"/>
  <c r="BV15" i="3"/>
  <c r="BT15" i="3"/>
  <c r="CH15" i="3" s="1"/>
  <c r="BT13" i="3"/>
  <c r="BV13" i="3"/>
  <c r="BT12" i="3"/>
  <c r="BV12" i="3"/>
  <c r="BV10" i="3"/>
  <c r="BT10" i="3"/>
  <c r="BV8" i="3"/>
  <c r="BT8" i="3"/>
  <c r="CB6" i="3"/>
  <c r="BN2" i="3"/>
  <c r="BV6" i="3"/>
  <c r="BT6" i="3"/>
  <c r="CC5" i="3"/>
  <c r="BP5" i="3"/>
  <c r="BV5" i="3"/>
  <c r="BY4" i="3"/>
  <c r="BK2" i="3"/>
  <c r="BX4" i="3"/>
  <c r="BI2" i="3"/>
  <c r="BW4" i="3"/>
  <c r="BT4" i="3"/>
  <c r="BH2" i="3"/>
  <c r="BV4" i="3"/>
  <c r="BT693" i="3"/>
  <c r="CH693" i="3" s="1"/>
  <c r="CH752" i="3" l="1"/>
  <c r="CH636" i="3"/>
  <c r="CH517" i="3"/>
  <c r="CH504" i="3"/>
  <c r="CH451" i="3"/>
  <c r="CH120" i="3"/>
  <c r="CH35" i="3"/>
  <c r="CH34" i="3"/>
  <c r="CH32" i="3"/>
  <c r="CH30" i="3"/>
  <c r="CH29" i="3"/>
  <c r="CH142" i="3"/>
  <c r="CH126" i="3"/>
  <c r="CH119" i="3"/>
  <c r="CH551" i="3"/>
  <c r="CH366" i="3"/>
  <c r="CH767" i="3"/>
  <c r="CH741" i="3"/>
  <c r="CH713" i="3"/>
  <c r="CH710" i="3"/>
  <c r="CH702" i="3"/>
  <c r="CH494" i="3"/>
  <c r="CH480" i="3"/>
  <c r="CH469" i="3"/>
  <c r="CH458" i="3"/>
  <c r="CH700" i="3"/>
  <c r="CH54" i="3"/>
  <c r="CH155" i="3"/>
  <c r="CH117" i="3"/>
  <c r="CH85" i="3"/>
  <c r="CH78" i="3"/>
  <c r="CH43" i="3"/>
  <c r="CH31" i="3"/>
  <c r="CH27" i="3"/>
  <c r="CH26" i="3"/>
  <c r="CH22" i="3"/>
  <c r="CH158" i="3"/>
  <c r="CH152" i="3"/>
  <c r="CH115" i="3"/>
  <c r="CH113" i="3"/>
  <c r="CH157" i="3"/>
  <c r="CH153" i="3"/>
  <c r="CH144" i="3"/>
  <c r="CH141" i="3"/>
  <c r="CH140" i="3"/>
  <c r="CH662" i="3"/>
  <c r="CH554" i="3"/>
  <c r="CH524" i="3"/>
  <c r="CH507" i="3"/>
  <c r="CH471" i="3"/>
  <c r="CH313" i="3"/>
  <c r="CH719" i="3"/>
  <c r="CH707" i="3"/>
  <c r="CH744" i="3"/>
  <c r="CH718" i="3"/>
  <c r="CH714" i="3"/>
  <c r="CH634" i="3"/>
  <c r="CH670" i="3"/>
  <c r="CH456" i="3"/>
  <c r="CH418" i="3"/>
  <c r="CH672" i="3"/>
  <c r="CH189" i="3"/>
  <c r="BJ760" i="3"/>
  <c r="BJ761" i="3"/>
  <c r="CH709" i="3"/>
  <c r="CH742" i="3"/>
  <c r="CH750" i="3"/>
  <c r="CH743" i="3"/>
  <c r="CH731" i="3"/>
  <c r="CH730" i="3"/>
  <c r="CH727" i="3"/>
  <c r="CH722" i="3"/>
  <c r="CH635" i="3"/>
  <c r="CH625" i="3"/>
  <c r="CH614" i="3"/>
  <c r="CH588" i="3"/>
  <c r="CH587" i="3"/>
  <c r="CH586" i="3"/>
  <c r="CH584" i="3"/>
  <c r="CH581" i="3"/>
  <c r="CH570" i="3"/>
  <c r="CH568" i="3"/>
  <c r="CH567" i="3"/>
  <c r="CH558" i="3"/>
  <c r="CH529" i="3"/>
  <c r="CH528" i="3"/>
  <c r="CH525" i="3"/>
  <c r="CH514" i="3"/>
  <c r="CH512" i="3"/>
  <c r="CH511" i="3"/>
  <c r="CH510" i="3"/>
  <c r="CH509" i="3"/>
  <c r="CH508" i="3"/>
  <c r="CH506" i="3"/>
  <c r="CH505" i="3"/>
  <c r="CH502" i="3"/>
  <c r="CH501" i="3"/>
  <c r="CH500" i="3"/>
  <c r="CH498" i="3"/>
  <c r="CH497" i="3"/>
  <c r="CH496" i="3"/>
  <c r="CH495" i="3"/>
  <c r="CH491" i="3"/>
  <c r="CH489" i="3"/>
  <c r="CH487" i="3"/>
  <c r="CH486" i="3"/>
  <c r="CH484" i="3"/>
  <c r="CH483" i="3"/>
  <c r="CH482" i="3"/>
  <c r="CH481" i="3"/>
  <c r="CH479" i="3"/>
  <c r="CH478" i="3"/>
  <c r="CH477" i="3"/>
  <c r="CH474" i="3"/>
  <c r="CH473" i="3"/>
  <c r="CH472" i="3"/>
  <c r="CH470" i="3"/>
  <c r="CH465" i="3"/>
  <c r="CH460" i="3"/>
  <c r="CH457" i="3"/>
  <c r="CH435" i="3"/>
  <c r="CH433" i="3"/>
  <c r="CH432" i="3"/>
  <c r="CH428" i="3"/>
  <c r="CH427" i="3"/>
  <c r="CH426" i="3"/>
  <c r="CH422" i="3"/>
  <c r="CH420" i="3"/>
  <c r="CH419" i="3"/>
  <c r="CH417" i="3"/>
  <c r="CH416" i="3"/>
  <c r="CH415" i="3"/>
  <c r="CH169" i="3"/>
  <c r="CH165" i="3"/>
  <c r="CH132" i="3"/>
  <c r="CH128" i="3"/>
  <c r="CH127" i="3"/>
  <c r="CH125" i="3"/>
  <c r="CH124" i="3"/>
  <c r="CH122" i="3"/>
  <c r="CH118" i="3"/>
  <c r="CH116" i="3"/>
  <c r="CH112" i="3"/>
  <c r="CH111" i="3"/>
  <c r="CH109" i="3"/>
  <c r="CH107" i="3"/>
  <c r="CH102" i="3"/>
  <c r="CH101" i="3"/>
  <c r="CH98" i="3"/>
  <c r="CH95" i="3"/>
  <c r="CH93" i="3"/>
  <c r="CH92" i="3"/>
  <c r="CH91" i="3"/>
  <c r="CH698" i="3"/>
  <c r="CH697" i="3"/>
  <c r="CH405" i="3"/>
  <c r="CD701" i="3"/>
  <c r="BT701" i="3"/>
  <c r="CH701" i="3" s="1"/>
  <c r="CH404" i="3"/>
  <c r="CH403" i="3"/>
  <c r="CH89" i="3"/>
  <c r="CH694" i="3"/>
  <c r="CH654" i="3"/>
  <c r="CH691" i="3"/>
  <c r="CH628" i="3"/>
  <c r="CH623" i="3"/>
  <c r="CH597" i="3"/>
  <c r="CH583" i="3"/>
  <c r="CH560" i="3"/>
  <c r="CH749" i="3"/>
  <c r="CH526" i="3"/>
  <c r="CH519" i="3"/>
  <c r="CH754" i="3"/>
  <c r="CH733" i="3"/>
  <c r="CH729" i="3"/>
  <c r="CH720" i="3"/>
  <c r="CH717" i="3"/>
  <c r="CH708" i="3"/>
  <c r="CH561" i="3"/>
  <c r="CH559" i="3"/>
  <c r="CH421" i="3"/>
  <c r="CH690" i="3"/>
  <c r="CH689" i="3"/>
  <c r="CH680" i="3"/>
  <c r="CH644" i="3"/>
  <c r="CH632" i="3"/>
  <c r="CH585" i="3"/>
  <c r="CH573" i="3"/>
  <c r="CH571" i="3"/>
  <c r="CH527" i="3"/>
  <c r="CH476" i="3"/>
  <c r="CH475" i="3"/>
  <c r="CH452" i="3"/>
  <c r="CH446" i="3"/>
  <c r="CH17" i="3"/>
  <c r="CH688" i="3"/>
  <c r="CH685" i="3"/>
  <c r="CH683" i="3"/>
  <c r="CH682" i="3"/>
  <c r="CH681" i="3"/>
  <c r="CH763" i="3"/>
  <c r="CH758" i="3"/>
  <c r="CH677" i="3"/>
  <c r="CH675" i="3"/>
  <c r="CH674" i="3"/>
  <c r="CH671" i="3"/>
  <c r="CH669" i="3"/>
  <c r="CH666" i="3"/>
  <c r="CH664" i="3"/>
  <c r="CH660" i="3"/>
  <c r="CH658" i="3"/>
  <c r="CH657" i="3"/>
  <c r="CH655" i="3"/>
  <c r="CH653" i="3"/>
  <c r="CH651" i="3"/>
  <c r="CH650" i="3"/>
  <c r="CH646" i="3"/>
  <c r="CH645" i="3"/>
  <c r="CH643" i="3"/>
  <c r="CH641" i="3"/>
  <c r="CH640" i="3"/>
  <c r="CH633" i="3"/>
  <c r="CH627" i="3"/>
  <c r="CH626" i="3"/>
  <c r="CH624" i="3"/>
  <c r="CH572" i="3"/>
  <c r="CH402" i="3"/>
  <c r="CH401" i="3"/>
  <c r="CH399" i="3"/>
  <c r="CH396" i="3"/>
  <c r="CH395" i="3"/>
  <c r="CH394" i="3"/>
  <c r="CH377" i="3"/>
  <c r="CH90" i="3"/>
  <c r="CH290" i="3"/>
  <c r="CH263" i="3"/>
  <c r="CH262" i="3"/>
  <c r="CH245" i="3"/>
  <c r="CH241" i="3"/>
  <c r="CH237" i="3"/>
  <c r="CH203" i="3"/>
  <c r="CH197" i="3"/>
  <c r="CH195" i="3"/>
  <c r="CH190" i="3"/>
  <c r="CH188" i="3"/>
  <c r="CH186" i="3"/>
  <c r="CH184" i="3"/>
  <c r="CH183" i="3"/>
  <c r="CH179" i="3"/>
  <c r="CH178" i="3"/>
  <c r="CH177" i="3"/>
  <c r="CH176" i="3"/>
  <c r="CH175" i="3"/>
  <c r="CH174" i="3"/>
  <c r="CH173" i="3"/>
  <c r="CH172" i="3"/>
  <c r="CH171" i="3"/>
  <c r="CH170" i="3"/>
  <c r="CH146" i="3"/>
  <c r="CH145" i="3"/>
  <c r="CH138" i="3"/>
  <c r="CH135" i="3"/>
  <c r="CH133" i="3"/>
  <c r="CH131" i="3"/>
  <c r="CH129" i="3"/>
  <c r="CH123" i="3"/>
  <c r="CH121" i="3"/>
  <c r="CH108" i="3"/>
  <c r="CH106" i="3"/>
  <c r="CH105" i="3"/>
  <c r="CH100" i="3"/>
  <c r="CH97" i="3"/>
  <c r="CH94" i="3"/>
  <c r="CH87" i="3"/>
  <c r="CH86" i="3"/>
  <c r="CH49" i="3"/>
  <c r="CH21" i="3"/>
  <c r="CD721" i="3"/>
  <c r="BT721" i="3"/>
  <c r="CH721" i="3" s="1"/>
  <c r="CH84" i="3"/>
  <c r="CH83" i="3"/>
  <c r="CD493" i="3"/>
  <c r="BT493" i="3"/>
  <c r="CH493" i="3" s="1"/>
  <c r="CH67" i="3"/>
  <c r="CG676" i="3"/>
  <c r="BT676" i="3"/>
  <c r="CH676" i="3" s="1"/>
  <c r="CH317" i="3"/>
  <c r="CH267" i="3"/>
  <c r="CH265" i="3"/>
  <c r="CH244" i="3"/>
  <c r="CH221" i="3"/>
  <c r="CH215" i="3"/>
  <c r="CH194" i="3"/>
  <c r="CH193" i="3"/>
  <c r="CH192" i="3"/>
  <c r="CH185" i="3"/>
  <c r="CH180" i="3"/>
  <c r="CH60" i="3"/>
  <c r="CH59" i="3"/>
  <c r="CH13" i="3"/>
  <c r="CH81" i="3"/>
  <c r="CH80" i="3"/>
  <c r="CH79" i="3"/>
  <c r="CH77" i="3"/>
  <c r="CH51" i="3"/>
  <c r="CH47" i="3"/>
  <c r="CH10" i="3"/>
  <c r="CH356" i="3"/>
  <c r="CH71" i="3"/>
  <c r="CH58" i="3"/>
  <c r="CH289" i="3"/>
  <c r="CH218" i="3"/>
  <c r="CH168" i="3"/>
  <c r="CH75" i="3"/>
  <c r="CH6" i="3"/>
  <c r="CH66" i="3"/>
  <c r="CH55" i="3"/>
  <c r="BQ638" i="3"/>
  <c r="CD638" i="3"/>
  <c r="BQ639" i="3"/>
  <c r="CD639" i="3"/>
  <c r="CH284" i="3"/>
  <c r="CH268" i="3"/>
  <c r="CH219" i="3"/>
  <c r="CH199" i="3"/>
  <c r="CH181" i="3"/>
  <c r="CH350" i="3"/>
  <c r="CH336" i="3"/>
  <c r="CH310" i="3"/>
  <c r="CH274" i="3"/>
  <c r="CH288" i="3"/>
  <c r="CH182" i="3"/>
  <c r="CH151" i="3"/>
  <c r="CH148" i="3"/>
  <c r="CH136" i="3"/>
  <c r="CH57" i="3"/>
  <c r="CH46" i="3"/>
  <c r="CD637" i="3"/>
  <c r="BQ637" i="3"/>
  <c r="CH269" i="3"/>
  <c r="CG455" i="3"/>
  <c r="BT455" i="3"/>
  <c r="CH455" i="3" s="1"/>
  <c r="CH309" i="3"/>
  <c r="CH45" i="3"/>
  <c r="CH44" i="3"/>
  <c r="CH42" i="3"/>
  <c r="CH40" i="3"/>
  <c r="CH37" i="3"/>
  <c r="CH52" i="3"/>
  <c r="CH50" i="3"/>
  <c r="CH53" i="3"/>
  <c r="CD684" i="3"/>
  <c r="BT684" i="3"/>
  <c r="CH684" i="3" s="1"/>
  <c r="CH48" i="3"/>
  <c r="CH41" i="3"/>
  <c r="CH39" i="3"/>
  <c r="CH38" i="3"/>
  <c r="CH36" i="3"/>
  <c r="CH28" i="3"/>
  <c r="CH23" i="3"/>
  <c r="CH12" i="3"/>
  <c r="CH8" i="3"/>
  <c r="CG712" i="3"/>
  <c r="BT712" i="3"/>
  <c r="CH712" i="3" s="1"/>
  <c r="CH285" i="3"/>
  <c r="CH264" i="3"/>
  <c r="CH196" i="3"/>
  <c r="CH312" i="3"/>
  <c r="CH311" i="3"/>
  <c r="CH308" i="3"/>
  <c r="CH296" i="3"/>
  <c r="CG692" i="3"/>
  <c r="BT692" i="3"/>
  <c r="CH692" i="3" s="1"/>
  <c r="CH294" i="3"/>
  <c r="CH236" i="3"/>
  <c r="CH187" i="3"/>
  <c r="CG453" i="3"/>
  <c r="BT453" i="3"/>
  <c r="CH453" i="3" s="1"/>
  <c r="BQ549" i="3"/>
  <c r="CD549" i="3"/>
  <c r="BQ775" i="3"/>
  <c r="CD775" i="3"/>
  <c r="BQ771" i="3"/>
  <c r="CD771" i="3"/>
  <c r="BQ768" i="3"/>
  <c r="CD768" i="3"/>
  <c r="BQ757" i="3"/>
  <c r="CD757" i="3"/>
  <c r="BQ756" i="3"/>
  <c r="CD756" i="3"/>
  <c r="BQ755" i="3"/>
  <c r="CD755" i="3"/>
  <c r="BQ736" i="3"/>
  <c r="CD736" i="3"/>
  <c r="BQ735" i="3"/>
  <c r="CD735" i="3"/>
  <c r="BQ734" i="3"/>
  <c r="CD734" i="3"/>
  <c r="BQ732" i="3"/>
  <c r="CD732" i="3"/>
  <c r="BQ726" i="3"/>
  <c r="CD726" i="3"/>
  <c r="BQ725" i="3"/>
  <c r="CD725" i="3"/>
  <c r="BQ724" i="3"/>
  <c r="CD724" i="3"/>
  <c r="BQ716" i="3"/>
  <c r="CD716" i="3"/>
  <c r="BQ715" i="3"/>
  <c r="CD715" i="3"/>
  <c r="BQ706" i="3"/>
  <c r="CD706" i="3"/>
  <c r="BQ705" i="3"/>
  <c r="CD705" i="3"/>
  <c r="BQ704" i="3"/>
  <c r="CD704" i="3"/>
  <c r="BQ696" i="3"/>
  <c r="CD696" i="3"/>
  <c r="BQ695" i="3"/>
  <c r="CD695" i="3"/>
  <c r="BQ687" i="3"/>
  <c r="CD687" i="3"/>
  <c r="BQ679" i="3"/>
  <c r="CD679" i="3"/>
  <c r="BQ678" i="3"/>
  <c r="CD678" i="3"/>
  <c r="BQ668" i="3"/>
  <c r="CD668" i="3"/>
  <c r="BQ667" i="3"/>
  <c r="CD667" i="3"/>
  <c r="BQ656" i="3"/>
  <c r="CD656" i="3"/>
  <c r="BQ652" i="3"/>
  <c r="CD652" i="3"/>
  <c r="BQ648" i="3"/>
  <c r="CD648" i="3"/>
  <c r="BQ622" i="3"/>
  <c r="CD622" i="3"/>
  <c r="BQ621" i="3"/>
  <c r="CD621" i="3"/>
  <c r="BQ620" i="3"/>
  <c r="CD620" i="3"/>
  <c r="BQ619" i="3"/>
  <c r="CD619" i="3"/>
  <c r="BQ618" i="3"/>
  <c r="CD618" i="3"/>
  <c r="BQ617" i="3"/>
  <c r="CD617" i="3"/>
  <c r="BQ616" i="3"/>
  <c r="CD616" i="3"/>
  <c r="CD609" i="3"/>
  <c r="BQ609" i="3"/>
  <c r="BQ608" i="3"/>
  <c r="CD608" i="3"/>
  <c r="BQ607" i="3"/>
  <c r="CD607" i="3"/>
  <c r="BQ606" i="3"/>
  <c r="CD606" i="3"/>
  <c r="BQ605" i="3"/>
  <c r="CD605" i="3"/>
  <c r="BQ604" i="3"/>
  <c r="CD604" i="3"/>
  <c r="CD603" i="3"/>
  <c r="BQ603" i="3"/>
  <c r="BQ601" i="3"/>
  <c r="CD601" i="3"/>
  <c r="BQ600" i="3"/>
  <c r="CD600" i="3"/>
  <c r="BQ599" i="3"/>
  <c r="CD599" i="3"/>
  <c r="BQ598" i="3"/>
  <c r="CD598" i="3"/>
  <c r="BQ596" i="3"/>
  <c r="CD596" i="3"/>
  <c r="BQ595" i="3"/>
  <c r="CD595" i="3"/>
  <c r="BQ592" i="3"/>
  <c r="CD592" i="3"/>
  <c r="CD591" i="3"/>
  <c r="BQ591" i="3"/>
  <c r="CD590" i="3"/>
  <c r="BQ590" i="3"/>
  <c r="BQ589" i="3"/>
  <c r="CD589" i="3"/>
  <c r="BQ580" i="3"/>
  <c r="CD580" i="3"/>
  <c r="BQ579" i="3"/>
  <c r="CD579" i="3"/>
  <c r="BQ578" i="3"/>
  <c r="CD578" i="3"/>
  <c r="BQ577" i="3"/>
  <c r="CD577" i="3"/>
  <c r="BQ576" i="3"/>
  <c r="CD576" i="3"/>
  <c r="BQ575" i="3"/>
  <c r="CD575" i="3"/>
  <c r="BQ574" i="3"/>
  <c r="CD574" i="3"/>
  <c r="CD566" i="3"/>
  <c r="BQ566" i="3"/>
  <c r="BQ565" i="3"/>
  <c r="CD565" i="3"/>
  <c r="BQ564" i="3"/>
  <c r="CD564" i="3"/>
  <c r="BQ563" i="3"/>
  <c r="CD563" i="3"/>
  <c r="BQ557" i="3"/>
  <c r="CD557" i="3"/>
  <c r="CD556" i="3"/>
  <c r="BQ556" i="3"/>
  <c r="BQ555" i="3"/>
  <c r="CD555" i="3"/>
  <c r="BQ552" i="3"/>
  <c r="CD552" i="3"/>
  <c r="BQ550" i="3"/>
  <c r="CD550" i="3"/>
  <c r="BQ545" i="3"/>
  <c r="CD545" i="3"/>
  <c r="BQ544" i="3"/>
  <c r="CD544" i="3"/>
  <c r="BQ543" i="3"/>
  <c r="CD543" i="3"/>
  <c r="BQ536" i="3"/>
  <c r="CD536" i="3"/>
  <c r="BQ535" i="3"/>
  <c r="CD535" i="3"/>
  <c r="BQ534" i="3"/>
  <c r="CD534" i="3"/>
  <c r="BQ533" i="3"/>
  <c r="CD533" i="3"/>
  <c r="BQ532" i="3"/>
  <c r="CD532" i="3"/>
  <c r="BQ531" i="3"/>
  <c r="CD531" i="3"/>
  <c r="BQ530" i="3"/>
  <c r="CD530" i="3"/>
  <c r="BQ523" i="3"/>
  <c r="CD523" i="3"/>
  <c r="BQ522" i="3"/>
  <c r="CD522" i="3"/>
  <c r="BQ521" i="3"/>
  <c r="CD521" i="3"/>
  <c r="BQ520" i="3"/>
  <c r="CD520" i="3"/>
  <c r="AN518" i="3"/>
  <c r="N2" i="3"/>
  <c r="BQ488" i="3"/>
  <c r="CD488" i="3"/>
  <c r="BQ463" i="3"/>
  <c r="CD463" i="3"/>
  <c r="BQ462" i="3"/>
  <c r="CD462" i="3"/>
  <c r="BQ461" i="3"/>
  <c r="CD461" i="3"/>
  <c r="BQ459" i="3"/>
  <c r="CD459" i="3"/>
  <c r="BQ450" i="3"/>
  <c r="CD450" i="3"/>
  <c r="BQ449" i="3"/>
  <c r="CD449" i="3"/>
  <c r="BQ447" i="3"/>
  <c r="CD447" i="3"/>
  <c r="BQ444" i="3"/>
  <c r="CD444" i="3"/>
  <c r="BQ443" i="3"/>
  <c r="CD443" i="3"/>
  <c r="BQ442" i="3"/>
  <c r="CD442" i="3"/>
  <c r="BQ438" i="3"/>
  <c r="CD438" i="3"/>
  <c r="BQ437" i="3"/>
  <c r="CD437" i="3"/>
  <c r="BQ436" i="3"/>
  <c r="CD436" i="3"/>
  <c r="BQ434" i="3"/>
  <c r="CD434" i="3"/>
  <c r="BQ431" i="3"/>
  <c r="CD431" i="3"/>
  <c r="BQ430" i="3"/>
  <c r="CD430" i="3"/>
  <c r="BQ429" i="3"/>
  <c r="CD429" i="3"/>
  <c r="BQ424" i="3"/>
  <c r="CD424" i="3"/>
  <c r="BQ423" i="3"/>
  <c r="CD423" i="3"/>
  <c r="BQ414" i="3"/>
  <c r="CD414" i="3"/>
  <c r="BQ413" i="3"/>
  <c r="CD413" i="3"/>
  <c r="BQ412" i="3"/>
  <c r="CD412" i="3"/>
  <c r="BQ411" i="3"/>
  <c r="CD411" i="3"/>
  <c r="Q410" i="3"/>
  <c r="AC410" i="3"/>
  <c r="BW410" i="3" s="1"/>
  <c r="BQ409" i="3"/>
  <c r="CD409" i="3"/>
  <c r="BQ408" i="3"/>
  <c r="CD408" i="3"/>
  <c r="BQ407" i="3"/>
  <c r="CD407" i="3"/>
  <c r="BQ406" i="3"/>
  <c r="CD406" i="3"/>
  <c r="Q400" i="3"/>
  <c r="AC400" i="3"/>
  <c r="BQ397" i="3"/>
  <c r="CD397" i="3"/>
  <c r="BQ393" i="3"/>
  <c r="CD393" i="3"/>
  <c r="BQ392" i="3"/>
  <c r="CD392" i="3"/>
  <c r="BQ391" i="3"/>
  <c r="CD391" i="3"/>
  <c r="BQ390" i="3"/>
  <c r="CD390" i="3"/>
  <c r="BQ389" i="3"/>
  <c r="CD389" i="3"/>
  <c r="BQ388" i="3"/>
  <c r="CD388" i="3"/>
  <c r="BQ387" i="3"/>
  <c r="CD387" i="3"/>
  <c r="BQ386" i="3"/>
  <c r="CD386" i="3"/>
  <c r="BQ385" i="3"/>
  <c r="CD385" i="3"/>
  <c r="BQ384" i="3"/>
  <c r="CD384" i="3"/>
  <c r="BQ383" i="3"/>
  <c r="CD383" i="3"/>
  <c r="BQ381" i="3"/>
  <c r="CD381" i="3"/>
  <c r="BQ376" i="3"/>
  <c r="CD376" i="3"/>
  <c r="BQ375" i="3"/>
  <c r="CD375" i="3"/>
  <c r="BQ374" i="3"/>
  <c r="CD374" i="3"/>
  <c r="BQ373" i="3"/>
  <c r="CD373" i="3"/>
  <c r="BQ372" i="3"/>
  <c r="CD372" i="3"/>
  <c r="BQ371" i="3"/>
  <c r="CD371" i="3"/>
  <c r="BQ370" i="3"/>
  <c r="CD370" i="3"/>
  <c r="BQ369" i="3"/>
  <c r="CD369" i="3"/>
  <c r="BQ368" i="3"/>
  <c r="CD368" i="3"/>
  <c r="BQ367" i="3"/>
  <c r="CD367" i="3"/>
  <c r="BQ364" i="3"/>
  <c r="CD364" i="3"/>
  <c r="BQ363" i="3"/>
  <c r="CD363" i="3"/>
  <c r="BQ361" i="3"/>
  <c r="CD361" i="3"/>
  <c r="BQ360" i="3"/>
  <c r="CD360" i="3"/>
  <c r="BQ359" i="3"/>
  <c r="CD359" i="3"/>
  <c r="BQ358" i="3"/>
  <c r="CD358" i="3"/>
  <c r="BQ355" i="3"/>
  <c r="CD355" i="3"/>
  <c r="BQ354" i="3"/>
  <c r="CD354" i="3"/>
  <c r="BQ353" i="3"/>
  <c r="CD353" i="3"/>
  <c r="BQ352" i="3"/>
  <c r="CD352" i="3"/>
  <c r="BQ351" i="3"/>
  <c r="CD351" i="3"/>
  <c r="BQ349" i="3"/>
  <c r="CD349" i="3"/>
  <c r="BQ346" i="3"/>
  <c r="CD346" i="3"/>
  <c r="BQ345" i="3"/>
  <c r="CD345" i="3"/>
  <c r="BQ344" i="3"/>
  <c r="CD344" i="3"/>
  <c r="BQ343" i="3"/>
  <c r="CD343" i="3"/>
  <c r="CD342" i="3"/>
  <c r="BQ342" i="3"/>
  <c r="BQ334" i="3"/>
  <c r="CD334" i="3"/>
  <c r="BQ333" i="3"/>
  <c r="CD333" i="3"/>
  <c r="BQ332" i="3"/>
  <c r="CD332" i="3"/>
  <c r="BQ331" i="3"/>
  <c r="CD331" i="3"/>
  <c r="BQ330" i="3"/>
  <c r="CD330" i="3"/>
  <c r="BQ329" i="3"/>
  <c r="CD329" i="3"/>
  <c r="BQ328" i="3"/>
  <c r="CD328" i="3"/>
  <c r="BQ327" i="3"/>
  <c r="CD327" i="3"/>
  <c r="BQ326" i="3"/>
  <c r="CD326" i="3"/>
  <c r="BQ324" i="3"/>
  <c r="CD324" i="3"/>
  <c r="CD323" i="3"/>
  <c r="BQ323" i="3"/>
  <c r="BQ321" i="3"/>
  <c r="CD321" i="3"/>
  <c r="BQ320" i="3"/>
  <c r="CD320" i="3"/>
  <c r="BQ319" i="3"/>
  <c r="CD319" i="3"/>
  <c r="BQ318" i="3"/>
  <c r="CD318" i="3"/>
  <c r="CD316" i="3"/>
  <c r="BQ316" i="3"/>
  <c r="BQ306" i="3"/>
  <c r="CD306" i="3"/>
  <c r="BQ305" i="3"/>
  <c r="CD305" i="3"/>
  <c r="BQ304" i="3"/>
  <c r="CD304" i="3"/>
  <c r="BQ302" i="3"/>
  <c r="CD302" i="3"/>
  <c r="BQ301" i="3"/>
  <c r="CD301" i="3"/>
  <c r="BQ300" i="3"/>
  <c r="CD300" i="3"/>
  <c r="BQ298" i="3"/>
  <c r="CD298" i="3"/>
  <c r="BQ292" i="3"/>
  <c r="CD292" i="3"/>
  <c r="BQ291" i="3"/>
  <c r="CD291" i="3"/>
  <c r="BQ286" i="3"/>
  <c r="CD286" i="3"/>
  <c r="BQ283" i="3"/>
  <c r="CD283" i="3"/>
  <c r="CD281" i="3"/>
  <c r="BQ281" i="3"/>
  <c r="CD280" i="3"/>
  <c r="BQ280" i="3"/>
  <c r="CD279" i="3"/>
  <c r="BQ279" i="3"/>
  <c r="BQ275" i="3"/>
  <c r="CD275" i="3"/>
  <c r="BQ272" i="3"/>
  <c r="CD272" i="3"/>
  <c r="BQ271" i="3"/>
  <c r="CD271" i="3"/>
  <c r="CD270" i="3"/>
  <c r="BQ270" i="3"/>
  <c r="BQ261" i="3"/>
  <c r="CD261" i="3"/>
  <c r="CD260" i="3"/>
  <c r="BQ260" i="3"/>
  <c r="BQ259" i="3"/>
  <c r="CD259" i="3"/>
  <c r="BQ258" i="3"/>
  <c r="CD258" i="3"/>
  <c r="BQ257" i="3"/>
  <c r="CD257" i="3"/>
  <c r="CD256" i="3"/>
  <c r="BQ256" i="3"/>
  <c r="CD255" i="3"/>
  <c r="BQ255" i="3"/>
  <c r="BQ254" i="3"/>
  <c r="CD254" i="3"/>
  <c r="BQ253" i="3"/>
  <c r="CD253" i="3"/>
  <c r="CD252" i="3"/>
  <c r="BQ252" i="3"/>
  <c r="BQ251" i="3"/>
  <c r="CD251" i="3"/>
  <c r="BQ250" i="3"/>
  <c r="CD250" i="3"/>
  <c r="BQ243" i="3"/>
  <c r="CD243" i="3"/>
  <c r="BQ242" i="3"/>
  <c r="CD242" i="3"/>
  <c r="CD239" i="3"/>
  <c r="BQ239" i="3"/>
  <c r="BQ235" i="3"/>
  <c r="CD235" i="3"/>
  <c r="BQ234" i="3"/>
  <c r="CD234" i="3"/>
  <c r="BQ233" i="3"/>
  <c r="CD233" i="3"/>
  <c r="BQ232" i="3"/>
  <c r="CD232" i="3"/>
  <c r="CD231" i="3"/>
  <c r="BQ231" i="3"/>
  <c r="BQ230" i="3"/>
  <c r="CD230" i="3"/>
  <c r="BQ229" i="3"/>
  <c r="CD229" i="3"/>
  <c r="CD228" i="3"/>
  <c r="BQ228" i="3"/>
  <c r="BQ227" i="3"/>
  <c r="CD227" i="3"/>
  <c r="BQ225" i="3"/>
  <c r="CD225" i="3"/>
  <c r="CD220" i="3"/>
  <c r="BQ220" i="3"/>
  <c r="BQ217" i="3"/>
  <c r="CD217" i="3"/>
  <c r="BQ216" i="3"/>
  <c r="CD216" i="3"/>
  <c r="BQ214" i="3"/>
  <c r="CD214" i="3"/>
  <c r="BQ213" i="3"/>
  <c r="CD213" i="3"/>
  <c r="BQ212" i="3"/>
  <c r="CD212" i="3"/>
  <c r="BQ211" i="3"/>
  <c r="CD211" i="3"/>
  <c r="BQ210" i="3"/>
  <c r="CD210" i="3"/>
  <c r="BQ209" i="3"/>
  <c r="CD209" i="3"/>
  <c r="BQ208" i="3"/>
  <c r="CD208" i="3"/>
  <c r="BQ207" i="3"/>
  <c r="CD207" i="3"/>
  <c r="BQ206" i="3"/>
  <c r="CD206" i="3"/>
  <c r="BQ205" i="3"/>
  <c r="CD205" i="3"/>
  <c r="BQ204" i="3"/>
  <c r="CD204" i="3"/>
  <c r="BQ202" i="3"/>
  <c r="CD202" i="3"/>
  <c r="BQ200" i="3"/>
  <c r="CD200" i="3"/>
  <c r="BQ198" i="3"/>
  <c r="CD198" i="3"/>
  <c r="BQ5" i="3"/>
  <c r="CD5" i="3"/>
  <c r="BP2" i="3"/>
  <c r="CH4" i="3"/>
  <c r="CG759" i="3"/>
  <c r="BT759" i="3"/>
  <c r="CH759" i="3" s="1"/>
  <c r="CG518" i="3"/>
  <c r="BT518" i="3"/>
  <c r="AB2" i="3"/>
  <c r="BV400" i="3"/>
  <c r="BV2" i="3" s="1"/>
  <c r="BX760" i="3" l="1"/>
  <c r="BJ2" i="3"/>
  <c r="BT760" i="3"/>
  <c r="CH760" i="3" s="1"/>
  <c r="BX761" i="3"/>
  <c r="BT761" i="3"/>
  <c r="CH761" i="3" s="1"/>
  <c r="CH518" i="3"/>
  <c r="BR638" i="3"/>
  <c r="CE638" i="3"/>
  <c r="BR639" i="3"/>
  <c r="CE639" i="3"/>
  <c r="BR637" i="3"/>
  <c r="CE637" i="3"/>
  <c r="BR549" i="3"/>
  <c r="CE549" i="3"/>
  <c r="BR775" i="3"/>
  <c r="CE775" i="3"/>
  <c r="BR771" i="3"/>
  <c r="CE771" i="3"/>
  <c r="BR768" i="3"/>
  <c r="CE768" i="3"/>
  <c r="BR757" i="3"/>
  <c r="CE757" i="3"/>
  <c r="BR756" i="3"/>
  <c r="CE756" i="3"/>
  <c r="BR755" i="3"/>
  <c r="CE755" i="3"/>
  <c r="BR736" i="3"/>
  <c r="CE736" i="3"/>
  <c r="BR735" i="3"/>
  <c r="CE735" i="3"/>
  <c r="BR734" i="3"/>
  <c r="CE734" i="3"/>
  <c r="BR732" i="3"/>
  <c r="CE732" i="3"/>
  <c r="BR726" i="3"/>
  <c r="CE726" i="3"/>
  <c r="CE725" i="3"/>
  <c r="BR725" i="3"/>
  <c r="BR724" i="3"/>
  <c r="CE724" i="3"/>
  <c r="BR716" i="3"/>
  <c r="CE716" i="3"/>
  <c r="BR715" i="3"/>
  <c r="CE715" i="3"/>
  <c r="BR706" i="3"/>
  <c r="CE706" i="3"/>
  <c r="BR705" i="3"/>
  <c r="CE705" i="3"/>
  <c r="BR704" i="3"/>
  <c r="CE704" i="3"/>
  <c r="BR696" i="3"/>
  <c r="CE696" i="3"/>
  <c r="BR695" i="3"/>
  <c r="CE695" i="3"/>
  <c r="BR687" i="3"/>
  <c r="CE687" i="3"/>
  <c r="BR679" i="3"/>
  <c r="CE679" i="3"/>
  <c r="BR678" i="3"/>
  <c r="CE678" i="3"/>
  <c r="BR668" i="3"/>
  <c r="CE668" i="3"/>
  <c r="BR667" i="3"/>
  <c r="CE667" i="3"/>
  <c r="BR656" i="3"/>
  <c r="CE656" i="3"/>
  <c r="BR652" i="3"/>
  <c r="CE652" i="3"/>
  <c r="BR648" i="3"/>
  <c r="CE648" i="3"/>
  <c r="BR622" i="3"/>
  <c r="CE622" i="3"/>
  <c r="BR621" i="3"/>
  <c r="CE621" i="3"/>
  <c r="BR620" i="3"/>
  <c r="CE620" i="3"/>
  <c r="BR619" i="3"/>
  <c r="CE619" i="3"/>
  <c r="BR618" i="3"/>
  <c r="CE618" i="3"/>
  <c r="BR617" i="3"/>
  <c r="CE617" i="3"/>
  <c r="BR616" i="3"/>
  <c r="CE616" i="3"/>
  <c r="CE609" i="3"/>
  <c r="BR609" i="3"/>
  <c r="BR608" i="3"/>
  <c r="CE608" i="3"/>
  <c r="BR607" i="3"/>
  <c r="CE607" i="3"/>
  <c r="BR606" i="3"/>
  <c r="CE606" i="3"/>
  <c r="BR605" i="3"/>
  <c r="CE605" i="3"/>
  <c r="BR604" i="3"/>
  <c r="CE604" i="3"/>
  <c r="BR603" i="3"/>
  <c r="CE603" i="3"/>
  <c r="BR601" i="3"/>
  <c r="CE601" i="3"/>
  <c r="BR600" i="3"/>
  <c r="CE600" i="3"/>
  <c r="BR599" i="3"/>
  <c r="CE599" i="3"/>
  <c r="BR598" i="3"/>
  <c r="CE598" i="3"/>
  <c r="BR596" i="3"/>
  <c r="CE596" i="3"/>
  <c r="BR595" i="3"/>
  <c r="CE595" i="3"/>
  <c r="BR592" i="3"/>
  <c r="CE592" i="3"/>
  <c r="CE591" i="3"/>
  <c r="BR591" i="3"/>
  <c r="BR590" i="3"/>
  <c r="CE590" i="3"/>
  <c r="BR589" i="3"/>
  <c r="CE589" i="3"/>
  <c r="BR580" i="3"/>
  <c r="CE580" i="3"/>
  <c r="BR579" i="3"/>
  <c r="CE579" i="3"/>
  <c r="BR578" i="3"/>
  <c r="CE578" i="3"/>
  <c r="CE577" i="3"/>
  <c r="BR577" i="3"/>
  <c r="BR576" i="3"/>
  <c r="CE576" i="3"/>
  <c r="BR575" i="3"/>
  <c r="CE575" i="3"/>
  <c r="BR574" i="3"/>
  <c r="CE574" i="3"/>
  <c r="BR566" i="3"/>
  <c r="CE566" i="3"/>
  <c r="BR565" i="3"/>
  <c r="CE565" i="3"/>
  <c r="BR564" i="3"/>
  <c r="CE564" i="3"/>
  <c r="BR563" i="3"/>
  <c r="CE563" i="3"/>
  <c r="BR557" i="3"/>
  <c r="CE557" i="3"/>
  <c r="BR556" i="3"/>
  <c r="CE556" i="3"/>
  <c r="BR555" i="3"/>
  <c r="CE555" i="3"/>
  <c r="BR552" i="3"/>
  <c r="CE552" i="3"/>
  <c r="BR550" i="3"/>
  <c r="CE550" i="3"/>
  <c r="BR545" i="3"/>
  <c r="CE545" i="3"/>
  <c r="BR544" i="3"/>
  <c r="CE544" i="3"/>
  <c r="BR543" i="3"/>
  <c r="CE543" i="3"/>
  <c r="BR536" i="3"/>
  <c r="CE536" i="3"/>
  <c r="BR535" i="3"/>
  <c r="CE535" i="3"/>
  <c r="BR534" i="3"/>
  <c r="CE534" i="3"/>
  <c r="BR533" i="3"/>
  <c r="CE533" i="3"/>
  <c r="BR532" i="3"/>
  <c r="CE532" i="3"/>
  <c r="BR531" i="3"/>
  <c r="CE531" i="3"/>
  <c r="BR530" i="3"/>
  <c r="CE530" i="3"/>
  <c r="BR523" i="3"/>
  <c r="CE523" i="3"/>
  <c r="BR522" i="3"/>
  <c r="CE522" i="3"/>
  <c r="BR521" i="3"/>
  <c r="CE521" i="3"/>
  <c r="BR520" i="3"/>
  <c r="CE520" i="3"/>
  <c r="BR488" i="3"/>
  <c r="CE488" i="3"/>
  <c r="BR463" i="3"/>
  <c r="CE463" i="3"/>
  <c r="CE462" i="3"/>
  <c r="BR462" i="3"/>
  <c r="BR461" i="3"/>
  <c r="CE461" i="3"/>
  <c r="BR459" i="3"/>
  <c r="CE459" i="3"/>
  <c r="BR450" i="3"/>
  <c r="CE450" i="3"/>
  <c r="BR449" i="3"/>
  <c r="CE449" i="3"/>
  <c r="BR447" i="3"/>
  <c r="CE447" i="3"/>
  <c r="BR444" i="3"/>
  <c r="CE444" i="3"/>
  <c r="BR443" i="3"/>
  <c r="CE443" i="3"/>
  <c r="BR442" i="3"/>
  <c r="CE442" i="3"/>
  <c r="BR438" i="3"/>
  <c r="CE438" i="3"/>
  <c r="BR437" i="3"/>
  <c r="CE437" i="3"/>
  <c r="BR436" i="3"/>
  <c r="CE436" i="3"/>
  <c r="BR434" i="3"/>
  <c r="CE434" i="3"/>
  <c r="BR431" i="3"/>
  <c r="CE431" i="3"/>
  <c r="BR430" i="3"/>
  <c r="CE430" i="3"/>
  <c r="BR429" i="3"/>
  <c r="CE429" i="3"/>
  <c r="BR424" i="3"/>
  <c r="CE424" i="3"/>
  <c r="BR423" i="3"/>
  <c r="CE423" i="3"/>
  <c r="BR414" i="3"/>
  <c r="CE414" i="3"/>
  <c r="BR413" i="3"/>
  <c r="CE413" i="3"/>
  <c r="BR412" i="3"/>
  <c r="CE412" i="3"/>
  <c r="BR411" i="3"/>
  <c r="CE411" i="3"/>
  <c r="R410" i="3"/>
  <c r="AD410" i="3"/>
  <c r="BX410" i="3" s="1"/>
  <c r="BR409" i="3"/>
  <c r="CE409" i="3"/>
  <c r="BR408" i="3"/>
  <c r="CE408" i="3"/>
  <c r="BR407" i="3"/>
  <c r="CE407" i="3"/>
  <c r="BR406" i="3"/>
  <c r="CE406" i="3"/>
  <c r="R400" i="3"/>
  <c r="AD400" i="3"/>
  <c r="BW400" i="3"/>
  <c r="BW2" i="3" s="1"/>
  <c r="AC2" i="3"/>
  <c r="BR397" i="3"/>
  <c r="CE397" i="3"/>
  <c r="BR393" i="3"/>
  <c r="CE393" i="3"/>
  <c r="BR392" i="3"/>
  <c r="CE392" i="3"/>
  <c r="BR391" i="3"/>
  <c r="CE391" i="3"/>
  <c r="BR390" i="3"/>
  <c r="CE390" i="3"/>
  <c r="BR389" i="3"/>
  <c r="CE389" i="3"/>
  <c r="BR388" i="3"/>
  <c r="CE388" i="3"/>
  <c r="BR387" i="3"/>
  <c r="CE387" i="3"/>
  <c r="BR386" i="3"/>
  <c r="CE386" i="3"/>
  <c r="BR385" i="3"/>
  <c r="CE385" i="3"/>
  <c r="BR384" i="3"/>
  <c r="CE384" i="3"/>
  <c r="BR383" i="3"/>
  <c r="CE383" i="3"/>
  <c r="BR381" i="3"/>
  <c r="CE381" i="3"/>
  <c r="BR376" i="3"/>
  <c r="CE376" i="3"/>
  <c r="BR375" i="3"/>
  <c r="CE375" i="3"/>
  <c r="BR374" i="3"/>
  <c r="CE374" i="3"/>
  <c r="BR373" i="3"/>
  <c r="CE373" i="3"/>
  <c r="BR372" i="3"/>
  <c r="CE372" i="3"/>
  <c r="BR371" i="3"/>
  <c r="CE371" i="3"/>
  <c r="BR370" i="3"/>
  <c r="CE370" i="3"/>
  <c r="BR369" i="3"/>
  <c r="CE369" i="3"/>
  <c r="BR368" i="3"/>
  <c r="CE368" i="3"/>
  <c r="BR367" i="3"/>
  <c r="CE367" i="3"/>
  <c r="BR364" i="3"/>
  <c r="CE364" i="3"/>
  <c r="BR363" i="3"/>
  <c r="CE363" i="3"/>
  <c r="BR361" i="3"/>
  <c r="CE361" i="3"/>
  <c r="BR360" i="3"/>
  <c r="CE360" i="3"/>
  <c r="BR359" i="3"/>
  <c r="CE359" i="3"/>
  <c r="BR358" i="3"/>
  <c r="CE358" i="3"/>
  <c r="BR355" i="3"/>
  <c r="CE355" i="3"/>
  <c r="BR354" i="3"/>
  <c r="CE354" i="3"/>
  <c r="BR353" i="3"/>
  <c r="CE353" i="3"/>
  <c r="BR352" i="3"/>
  <c r="CE352" i="3"/>
  <c r="BR351" i="3"/>
  <c r="CE351" i="3"/>
  <c r="BR349" i="3"/>
  <c r="CE349" i="3"/>
  <c r="BR346" i="3"/>
  <c r="CE346" i="3"/>
  <c r="BR345" i="3"/>
  <c r="CE345" i="3"/>
  <c r="BR344" i="3"/>
  <c r="CE344" i="3"/>
  <c r="BR343" i="3"/>
  <c r="CE343" i="3"/>
  <c r="CE342" i="3"/>
  <c r="BR342" i="3"/>
  <c r="BR334" i="3"/>
  <c r="CE334" i="3"/>
  <c r="BR333" i="3"/>
  <c r="CE333" i="3"/>
  <c r="BR332" i="3"/>
  <c r="CE332" i="3"/>
  <c r="BR331" i="3"/>
  <c r="CE331" i="3"/>
  <c r="BR330" i="3"/>
  <c r="CE330" i="3"/>
  <c r="CE329" i="3"/>
  <c r="BR329" i="3"/>
  <c r="BR328" i="3"/>
  <c r="CE328" i="3"/>
  <c r="BR327" i="3"/>
  <c r="CE327" i="3"/>
  <c r="BR326" i="3"/>
  <c r="CE326" i="3"/>
  <c r="BR324" i="3"/>
  <c r="CE324" i="3"/>
  <c r="CE323" i="3"/>
  <c r="BR323" i="3"/>
  <c r="BR321" i="3"/>
  <c r="CE321" i="3"/>
  <c r="BR320" i="3"/>
  <c r="CE320" i="3"/>
  <c r="BR319" i="3"/>
  <c r="CE319" i="3"/>
  <c r="BR318" i="3"/>
  <c r="CE318" i="3"/>
  <c r="BR316" i="3"/>
  <c r="CE316" i="3"/>
  <c r="BR306" i="3"/>
  <c r="CE306" i="3"/>
  <c r="BR305" i="3"/>
  <c r="CE305" i="3"/>
  <c r="BR304" i="3"/>
  <c r="CE304" i="3"/>
  <c r="BR302" i="3"/>
  <c r="CE302" i="3"/>
  <c r="BR301" i="3"/>
  <c r="CE301" i="3"/>
  <c r="BR300" i="3"/>
  <c r="CE300" i="3"/>
  <c r="BR298" i="3"/>
  <c r="CE298" i="3"/>
  <c r="BR292" i="3"/>
  <c r="CE292" i="3"/>
  <c r="BR291" i="3"/>
  <c r="CE291" i="3"/>
  <c r="BR286" i="3"/>
  <c r="CE286" i="3"/>
  <c r="BR283" i="3"/>
  <c r="CE283" i="3"/>
  <c r="BR281" i="3"/>
  <c r="CE281" i="3"/>
  <c r="BR280" i="3"/>
  <c r="CE280" i="3"/>
  <c r="CE279" i="3"/>
  <c r="BR279" i="3"/>
  <c r="BR275" i="3"/>
  <c r="CE275" i="3"/>
  <c r="BR272" i="3"/>
  <c r="CE272" i="3"/>
  <c r="BR271" i="3"/>
  <c r="CE271" i="3"/>
  <c r="BR270" i="3"/>
  <c r="CE270" i="3"/>
  <c r="BR261" i="3"/>
  <c r="CE261" i="3"/>
  <c r="BR260" i="3"/>
  <c r="CE260" i="3"/>
  <c r="BR259" i="3"/>
  <c r="CE259" i="3"/>
  <c r="BR258" i="3"/>
  <c r="CE258" i="3"/>
  <c r="BR257" i="3"/>
  <c r="CE257" i="3"/>
  <c r="BR256" i="3"/>
  <c r="CE256" i="3"/>
  <c r="CE255" i="3"/>
  <c r="BR255" i="3"/>
  <c r="CE254" i="3"/>
  <c r="BR254" i="3"/>
  <c r="BR253" i="3"/>
  <c r="CE253" i="3"/>
  <c r="BR252" i="3"/>
  <c r="CE252" i="3"/>
  <c r="CE251" i="3"/>
  <c r="BR251" i="3"/>
  <c r="BR250" i="3"/>
  <c r="CE250" i="3"/>
  <c r="BR243" i="3"/>
  <c r="CE243" i="3"/>
  <c r="BR242" i="3"/>
  <c r="CE242" i="3"/>
  <c r="CE239" i="3"/>
  <c r="BR239" i="3"/>
  <c r="BR235" i="3"/>
  <c r="CE235" i="3"/>
  <c r="BR234" i="3"/>
  <c r="CE234" i="3"/>
  <c r="BR233" i="3"/>
  <c r="CE233" i="3"/>
  <c r="BR232" i="3"/>
  <c r="CE232" i="3"/>
  <c r="CE231" i="3"/>
  <c r="BR231" i="3"/>
  <c r="BR230" i="3"/>
  <c r="CE230" i="3"/>
  <c r="BR229" i="3"/>
  <c r="CE229" i="3"/>
  <c r="CE228" i="3"/>
  <c r="BR228" i="3"/>
  <c r="CE227" i="3"/>
  <c r="BR227" i="3"/>
  <c r="BR225" i="3"/>
  <c r="CE225" i="3"/>
  <c r="BR220" i="3"/>
  <c r="CE220" i="3"/>
  <c r="BR217" i="3"/>
  <c r="CE217" i="3"/>
  <c r="BR216" i="3"/>
  <c r="CE216" i="3"/>
  <c r="BR214" i="3"/>
  <c r="CE214" i="3"/>
  <c r="BR213" i="3"/>
  <c r="CE213" i="3"/>
  <c r="BR212" i="3"/>
  <c r="CE212" i="3"/>
  <c r="BR211" i="3"/>
  <c r="CE211" i="3"/>
  <c r="BR210" i="3"/>
  <c r="CE210" i="3"/>
  <c r="BR209" i="3"/>
  <c r="CE209" i="3"/>
  <c r="BR208" i="3"/>
  <c r="CE208" i="3"/>
  <c r="BR207" i="3"/>
  <c r="CE207" i="3"/>
  <c r="BR206" i="3"/>
  <c r="CE206" i="3"/>
  <c r="BR205" i="3"/>
  <c r="CE205" i="3"/>
  <c r="BR204" i="3"/>
  <c r="CE204" i="3"/>
  <c r="BR202" i="3"/>
  <c r="CE202" i="3"/>
  <c r="BR200" i="3"/>
  <c r="CE200" i="3"/>
  <c r="BR198" i="3"/>
  <c r="CE198" i="3"/>
  <c r="CE5" i="3"/>
  <c r="BR5" i="3"/>
  <c r="BQ2" i="3"/>
  <c r="CF638" i="3" l="1"/>
  <c r="BS638" i="3"/>
  <c r="BS639" i="3"/>
  <c r="CF639" i="3"/>
  <c r="BS637" i="3"/>
  <c r="CF637" i="3"/>
  <c r="CF407" i="3"/>
  <c r="BT407" i="3"/>
  <c r="CH407" i="3" s="1"/>
  <c r="CF409" i="3"/>
  <c r="BT409" i="3"/>
  <c r="CH409" i="3" s="1"/>
  <c r="BS549" i="3"/>
  <c r="CF549" i="3"/>
  <c r="CF408" i="3"/>
  <c r="BT408" i="3"/>
  <c r="CH408" i="3" s="1"/>
  <c r="BS775" i="3"/>
  <c r="CF775" i="3"/>
  <c r="BS771" i="3"/>
  <c r="CF771" i="3"/>
  <c r="BS768" i="3"/>
  <c r="CF768" i="3"/>
  <c r="BS757" i="3"/>
  <c r="CF757" i="3"/>
  <c r="BS756" i="3"/>
  <c r="CF756" i="3"/>
  <c r="BS755" i="3"/>
  <c r="CF755" i="3"/>
  <c r="BS736" i="3"/>
  <c r="CF736" i="3"/>
  <c r="BS735" i="3"/>
  <c r="CF735" i="3"/>
  <c r="BS734" i="3"/>
  <c r="CF734" i="3"/>
  <c r="BS732" i="3"/>
  <c r="CF732" i="3"/>
  <c r="BS726" i="3"/>
  <c r="CF726" i="3"/>
  <c r="CF725" i="3"/>
  <c r="BS725" i="3"/>
  <c r="BS724" i="3"/>
  <c r="CF724" i="3"/>
  <c r="BS716" i="3"/>
  <c r="CF716" i="3"/>
  <c r="BS715" i="3"/>
  <c r="CF715" i="3"/>
  <c r="BS706" i="3"/>
  <c r="CF706" i="3"/>
  <c r="BS705" i="3"/>
  <c r="CF705" i="3"/>
  <c r="BS704" i="3"/>
  <c r="CF704" i="3"/>
  <c r="BS696" i="3"/>
  <c r="CF696" i="3"/>
  <c r="BS695" i="3"/>
  <c r="CF695" i="3"/>
  <c r="CF687" i="3"/>
  <c r="BS687" i="3"/>
  <c r="BS679" i="3"/>
  <c r="CF679" i="3"/>
  <c r="BS678" i="3"/>
  <c r="CF678" i="3"/>
  <c r="BS668" i="3"/>
  <c r="CF668" i="3"/>
  <c r="BS667" i="3"/>
  <c r="CF667" i="3"/>
  <c r="BS656" i="3"/>
  <c r="CF656" i="3"/>
  <c r="BS652" i="3"/>
  <c r="CF652" i="3"/>
  <c r="BS648" i="3"/>
  <c r="CF648" i="3"/>
  <c r="BS622" i="3"/>
  <c r="CF622" i="3"/>
  <c r="BS621" i="3"/>
  <c r="CF621" i="3"/>
  <c r="BS620" i="3"/>
  <c r="CF620" i="3"/>
  <c r="BS619" i="3"/>
  <c r="CF619" i="3"/>
  <c r="BS618" i="3"/>
  <c r="CF618" i="3"/>
  <c r="BS617" i="3"/>
  <c r="CF617" i="3"/>
  <c r="BS616" i="3"/>
  <c r="CF616" i="3"/>
  <c r="BS609" i="3"/>
  <c r="CF609" i="3"/>
  <c r="BS608" i="3"/>
  <c r="CF608" i="3"/>
  <c r="BS607" i="3"/>
  <c r="CF607" i="3"/>
  <c r="BS606" i="3"/>
  <c r="CF606" i="3"/>
  <c r="BS605" i="3"/>
  <c r="CF605" i="3"/>
  <c r="BS604" i="3"/>
  <c r="CF604" i="3"/>
  <c r="CF603" i="3"/>
  <c r="BS603" i="3"/>
  <c r="BS601" i="3"/>
  <c r="CF601" i="3"/>
  <c r="BS600" i="3"/>
  <c r="CF600" i="3"/>
  <c r="BS599" i="3"/>
  <c r="CF599" i="3"/>
  <c r="BS598" i="3"/>
  <c r="CF598" i="3"/>
  <c r="BS596" i="3"/>
  <c r="CF596" i="3"/>
  <c r="CF595" i="3"/>
  <c r="BS595" i="3"/>
  <c r="BS592" i="3"/>
  <c r="CF592" i="3"/>
  <c r="CF591" i="3"/>
  <c r="BS591" i="3"/>
  <c r="CF590" i="3"/>
  <c r="BS590" i="3"/>
  <c r="BS589" i="3"/>
  <c r="CF589" i="3"/>
  <c r="BS580" i="3"/>
  <c r="CF580" i="3"/>
  <c r="BS579" i="3"/>
  <c r="CF579" i="3"/>
  <c r="BS578" i="3"/>
  <c r="CF578" i="3"/>
  <c r="BS577" i="3"/>
  <c r="CF577" i="3"/>
  <c r="BS576" i="3"/>
  <c r="CF576" i="3"/>
  <c r="BS575" i="3"/>
  <c r="CF575" i="3"/>
  <c r="BS574" i="3"/>
  <c r="CF574" i="3"/>
  <c r="CF566" i="3"/>
  <c r="BS566" i="3"/>
  <c r="BS565" i="3"/>
  <c r="CF565" i="3"/>
  <c r="BS564" i="3"/>
  <c r="CF564" i="3"/>
  <c r="BS563" i="3"/>
  <c r="CF563" i="3"/>
  <c r="BS557" i="3"/>
  <c r="CF557" i="3"/>
  <c r="BS556" i="3"/>
  <c r="CF556" i="3"/>
  <c r="BS555" i="3"/>
  <c r="CF555" i="3"/>
  <c r="BS545" i="3"/>
  <c r="CF545" i="3"/>
  <c r="BS544" i="3"/>
  <c r="CF544" i="3"/>
  <c r="BS543" i="3"/>
  <c r="CF543" i="3"/>
  <c r="BS536" i="3"/>
  <c r="CF536" i="3"/>
  <c r="BS535" i="3"/>
  <c r="CF535" i="3"/>
  <c r="BS534" i="3"/>
  <c r="CF534" i="3"/>
  <c r="BS533" i="3"/>
  <c r="CF533" i="3"/>
  <c r="BS532" i="3"/>
  <c r="CF532" i="3"/>
  <c r="BS523" i="3"/>
  <c r="CF523" i="3"/>
  <c r="BS522" i="3"/>
  <c r="CF522" i="3"/>
  <c r="BS521" i="3"/>
  <c r="CF521" i="3"/>
  <c r="BS520" i="3"/>
  <c r="CF520" i="3"/>
  <c r="BS488" i="3"/>
  <c r="CF488" i="3"/>
  <c r="BS463" i="3"/>
  <c r="CF463" i="3"/>
  <c r="BS462" i="3"/>
  <c r="CF462" i="3"/>
  <c r="BS461" i="3"/>
  <c r="CF461" i="3"/>
  <c r="BS459" i="3"/>
  <c r="CF459" i="3"/>
  <c r="BS450" i="3"/>
  <c r="CF450" i="3"/>
  <c r="CF447" i="3"/>
  <c r="BS447" i="3"/>
  <c r="BS444" i="3"/>
  <c r="CF444" i="3"/>
  <c r="CF443" i="3"/>
  <c r="BS443" i="3"/>
  <c r="BS442" i="3"/>
  <c r="CF442" i="3"/>
  <c r="BS438" i="3"/>
  <c r="CF438" i="3"/>
  <c r="BS437" i="3"/>
  <c r="CF437" i="3"/>
  <c r="BS436" i="3"/>
  <c r="CF436" i="3"/>
  <c r="BS434" i="3"/>
  <c r="CF434" i="3"/>
  <c r="BS430" i="3"/>
  <c r="CF430" i="3"/>
  <c r="BS429" i="3"/>
  <c r="CF429" i="3"/>
  <c r="BS424" i="3"/>
  <c r="CF424" i="3"/>
  <c r="BS423" i="3"/>
  <c r="CF423" i="3"/>
  <c r="BS414" i="3"/>
  <c r="CF414" i="3"/>
  <c r="BS413" i="3"/>
  <c r="CF413" i="3"/>
  <c r="BS412" i="3"/>
  <c r="CF412" i="3"/>
  <c r="BS411" i="3"/>
  <c r="CF411" i="3"/>
  <c r="S410" i="3"/>
  <c r="AE410" i="3"/>
  <c r="BY410" i="3" s="1"/>
  <c r="BS406" i="3"/>
  <c r="CF406" i="3"/>
  <c r="S400" i="3"/>
  <c r="AE400" i="3"/>
  <c r="BX400" i="3"/>
  <c r="BX2" i="3" s="1"/>
  <c r="AD2" i="3"/>
  <c r="BS397" i="3"/>
  <c r="CF397" i="3"/>
  <c r="BS393" i="3"/>
  <c r="CF393" i="3"/>
  <c r="BS392" i="3"/>
  <c r="CF392" i="3"/>
  <c r="BS391" i="3"/>
  <c r="CF391" i="3"/>
  <c r="BS390" i="3"/>
  <c r="CF390" i="3"/>
  <c r="BS389" i="3"/>
  <c r="CF389" i="3"/>
  <c r="BS388" i="3"/>
  <c r="CF388" i="3"/>
  <c r="BS387" i="3"/>
  <c r="CF387" i="3"/>
  <c r="BS386" i="3"/>
  <c r="CF386" i="3"/>
  <c r="BS385" i="3"/>
  <c r="CF385" i="3"/>
  <c r="BS384" i="3"/>
  <c r="CF384" i="3"/>
  <c r="BS383" i="3"/>
  <c r="CF383" i="3"/>
  <c r="BS381" i="3"/>
  <c r="CF381" i="3"/>
  <c r="BS376" i="3"/>
  <c r="CF376" i="3"/>
  <c r="BS375" i="3"/>
  <c r="CF375" i="3"/>
  <c r="BS374" i="3"/>
  <c r="CF374" i="3"/>
  <c r="BS373" i="3"/>
  <c r="CF373" i="3"/>
  <c r="BS372" i="3"/>
  <c r="CF372" i="3"/>
  <c r="BS371" i="3"/>
  <c r="CF371" i="3"/>
  <c r="BS370" i="3"/>
  <c r="CF370" i="3"/>
  <c r="BS369" i="3"/>
  <c r="CF369" i="3"/>
  <c r="BS368" i="3"/>
  <c r="CF368" i="3"/>
  <c r="BS367" i="3"/>
  <c r="CF367" i="3"/>
  <c r="BS364" i="3"/>
  <c r="CF364" i="3"/>
  <c r="BS363" i="3"/>
  <c r="CF363" i="3"/>
  <c r="BS361" i="3"/>
  <c r="CF361" i="3"/>
  <c r="BS360" i="3"/>
  <c r="CF360" i="3"/>
  <c r="BS359" i="3"/>
  <c r="CF359" i="3"/>
  <c r="BS358" i="3"/>
  <c r="CF358" i="3"/>
  <c r="BS355" i="3"/>
  <c r="CF355" i="3"/>
  <c r="BS354" i="3"/>
  <c r="CF354" i="3"/>
  <c r="BS353" i="3"/>
  <c r="CF353" i="3"/>
  <c r="BS352" i="3"/>
  <c r="CF352" i="3"/>
  <c r="BS351" i="3"/>
  <c r="CF351" i="3"/>
  <c r="BS349" i="3"/>
  <c r="CF349" i="3"/>
  <c r="BS346" i="3"/>
  <c r="CF346" i="3"/>
  <c r="BS345" i="3"/>
  <c r="CF345" i="3"/>
  <c r="BS344" i="3"/>
  <c r="CF344" i="3"/>
  <c r="BS343" i="3"/>
  <c r="CF343" i="3"/>
  <c r="BS342" i="3"/>
  <c r="CF342" i="3"/>
  <c r="CF334" i="3"/>
  <c r="BS334" i="3"/>
  <c r="BS333" i="3"/>
  <c r="CF333" i="3"/>
  <c r="BS332" i="3"/>
  <c r="CF332" i="3"/>
  <c r="BS331" i="3"/>
  <c r="CF331" i="3"/>
  <c r="BS330" i="3"/>
  <c r="CF330" i="3"/>
  <c r="CF329" i="3"/>
  <c r="BS329" i="3"/>
  <c r="BS328" i="3"/>
  <c r="CF328" i="3"/>
  <c r="CF327" i="3"/>
  <c r="BS327" i="3"/>
  <c r="BS326" i="3"/>
  <c r="CF326" i="3"/>
  <c r="BS324" i="3"/>
  <c r="CF324" i="3"/>
  <c r="CF323" i="3"/>
  <c r="BS323" i="3"/>
  <c r="BS321" i="3"/>
  <c r="CF321" i="3"/>
  <c r="BS320" i="3"/>
  <c r="CF320" i="3"/>
  <c r="BS319" i="3"/>
  <c r="CF319" i="3"/>
  <c r="BS318" i="3"/>
  <c r="CF318" i="3"/>
  <c r="CF316" i="3"/>
  <c r="BS316" i="3"/>
  <c r="BS306" i="3"/>
  <c r="CF306" i="3"/>
  <c r="BS305" i="3"/>
  <c r="CF305" i="3"/>
  <c r="BS304" i="3"/>
  <c r="CF304" i="3"/>
  <c r="BS302" i="3"/>
  <c r="CF302" i="3"/>
  <c r="BS301" i="3"/>
  <c r="CF301" i="3"/>
  <c r="BS300" i="3"/>
  <c r="CF300" i="3"/>
  <c r="BS298" i="3"/>
  <c r="CF298" i="3"/>
  <c r="BS292" i="3"/>
  <c r="CF292" i="3"/>
  <c r="BS291" i="3"/>
  <c r="CF291" i="3"/>
  <c r="BS286" i="3"/>
  <c r="CF286" i="3"/>
  <c r="BS283" i="3"/>
  <c r="CF283" i="3"/>
  <c r="BS281" i="3"/>
  <c r="CF281" i="3"/>
  <c r="BS280" i="3"/>
  <c r="CF280" i="3"/>
  <c r="BS279" i="3"/>
  <c r="CF279" i="3"/>
  <c r="BS275" i="3"/>
  <c r="CF275" i="3"/>
  <c r="CF272" i="3"/>
  <c r="BS272" i="3"/>
  <c r="BS271" i="3"/>
  <c r="CF271" i="3"/>
  <c r="CF270" i="3"/>
  <c r="BS270" i="3"/>
  <c r="BS261" i="3"/>
  <c r="CF261" i="3"/>
  <c r="BS260" i="3"/>
  <c r="CF260" i="3"/>
  <c r="BS259" i="3"/>
  <c r="CF259" i="3"/>
  <c r="BS258" i="3"/>
  <c r="CF258" i="3"/>
  <c r="BS257" i="3"/>
  <c r="CF257" i="3"/>
  <c r="BS256" i="3"/>
  <c r="CF256" i="3"/>
  <c r="CF255" i="3"/>
  <c r="BS255" i="3"/>
  <c r="BS254" i="3"/>
  <c r="CF254" i="3"/>
  <c r="BS253" i="3"/>
  <c r="CF253" i="3"/>
  <c r="BS252" i="3"/>
  <c r="CF252" i="3"/>
  <c r="BS251" i="3"/>
  <c r="CF251" i="3"/>
  <c r="CF250" i="3"/>
  <c r="BS250" i="3"/>
  <c r="BS242" i="3"/>
  <c r="CF242" i="3"/>
  <c r="BS239" i="3"/>
  <c r="CF239" i="3"/>
  <c r="BS235" i="3"/>
  <c r="CF235" i="3"/>
  <c r="BS234" i="3"/>
  <c r="CF234" i="3"/>
  <c r="BS233" i="3"/>
  <c r="CF233" i="3"/>
  <c r="CF232" i="3"/>
  <c r="BS232" i="3"/>
  <c r="BS231" i="3"/>
  <c r="CF231" i="3"/>
  <c r="BS230" i="3"/>
  <c r="CF230" i="3"/>
  <c r="BS229" i="3"/>
  <c r="CF229" i="3"/>
  <c r="BS228" i="3"/>
  <c r="CF228" i="3"/>
  <c r="BS227" i="3"/>
  <c r="CF227" i="3"/>
  <c r="BS225" i="3"/>
  <c r="CF225" i="3"/>
  <c r="CF220" i="3"/>
  <c r="BS220" i="3"/>
  <c r="BS217" i="3"/>
  <c r="CF217" i="3"/>
  <c r="BS216" i="3"/>
  <c r="CF216" i="3"/>
  <c r="BS214" i="3"/>
  <c r="CF214" i="3"/>
  <c r="BS213" i="3"/>
  <c r="CF213" i="3"/>
  <c r="BS212" i="3"/>
  <c r="CF212" i="3"/>
  <c r="BS211" i="3"/>
  <c r="CF211" i="3"/>
  <c r="BS210" i="3"/>
  <c r="CF210" i="3"/>
  <c r="BS209" i="3"/>
  <c r="CF209" i="3"/>
  <c r="BS208" i="3"/>
  <c r="CF208" i="3"/>
  <c r="BS207" i="3"/>
  <c r="CF207" i="3"/>
  <c r="BS206" i="3"/>
  <c r="CF206" i="3"/>
  <c r="BS205" i="3"/>
  <c r="CF205" i="3"/>
  <c r="BS204" i="3"/>
  <c r="CF204" i="3"/>
  <c r="BS202" i="3"/>
  <c r="CF202" i="3"/>
  <c r="BS200" i="3"/>
  <c r="CF200" i="3"/>
  <c r="BS198" i="3"/>
  <c r="CF198" i="3"/>
  <c r="BR2" i="3"/>
  <c r="BS5" i="3"/>
  <c r="CF5" i="3"/>
  <c r="CF552" i="3"/>
  <c r="BT552" i="3"/>
  <c r="CH552" i="3" s="1"/>
  <c r="CF550" i="3"/>
  <c r="BT550" i="3"/>
  <c r="CH550" i="3" s="1"/>
  <c r="CG549" i="3"/>
  <c r="BT549" i="3"/>
  <c r="CH549" i="3" s="1"/>
  <c r="CF531" i="3"/>
  <c r="BT531" i="3"/>
  <c r="CH531" i="3" s="1"/>
  <c r="CF530" i="3"/>
  <c r="BT530" i="3"/>
  <c r="CH530" i="3" s="1"/>
  <c r="CF449" i="3"/>
  <c r="BT449" i="3"/>
  <c r="CH449" i="3" s="1"/>
  <c r="CF431" i="3"/>
  <c r="BT431" i="3"/>
  <c r="CH431" i="3" s="1"/>
  <c r="CF243" i="3"/>
  <c r="BT243" i="3"/>
  <c r="CH243" i="3" s="1"/>
  <c r="CG638" i="3" l="1"/>
  <c r="BT638" i="3"/>
  <c r="CH638" i="3" s="1"/>
  <c r="CG639" i="3"/>
  <c r="BT639" i="3"/>
  <c r="CH639" i="3" s="1"/>
  <c r="CG637" i="3"/>
  <c r="BT637" i="3"/>
  <c r="CH637" i="3" s="1"/>
  <c r="BT775" i="3"/>
  <c r="CH775" i="3" s="1"/>
  <c r="CG775" i="3"/>
  <c r="BT771" i="3"/>
  <c r="CH771" i="3" s="1"/>
  <c r="CG771" i="3"/>
  <c r="BT768" i="3"/>
  <c r="CH768" i="3" s="1"/>
  <c r="CG768" i="3"/>
  <c r="BT757" i="3"/>
  <c r="CH757" i="3" s="1"/>
  <c r="CG757" i="3"/>
  <c r="BT756" i="3"/>
  <c r="CH756" i="3" s="1"/>
  <c r="CG756" i="3"/>
  <c r="BT755" i="3"/>
  <c r="CH755" i="3" s="1"/>
  <c r="CG755" i="3"/>
  <c r="BT736" i="3"/>
  <c r="CH736" i="3" s="1"/>
  <c r="CG736" i="3"/>
  <c r="BT735" i="3"/>
  <c r="CH735" i="3" s="1"/>
  <c r="CG735" i="3"/>
  <c r="BT734" i="3"/>
  <c r="CH734" i="3" s="1"/>
  <c r="CG734" i="3"/>
  <c r="BT732" i="3"/>
  <c r="CH732" i="3" s="1"/>
  <c r="CG732" i="3"/>
  <c r="BT726" i="3"/>
  <c r="CH726" i="3" s="1"/>
  <c r="CG726" i="3"/>
  <c r="BT725" i="3"/>
  <c r="CH725" i="3" s="1"/>
  <c r="CG725" i="3"/>
  <c r="BT724" i="3"/>
  <c r="CH724" i="3" s="1"/>
  <c r="CG724" i="3"/>
  <c r="BT716" i="3"/>
  <c r="CH716" i="3" s="1"/>
  <c r="CG716" i="3"/>
  <c r="BT715" i="3"/>
  <c r="CH715" i="3" s="1"/>
  <c r="CG715" i="3"/>
  <c r="BT706" i="3"/>
  <c r="CH706" i="3" s="1"/>
  <c r="CG706" i="3"/>
  <c r="BT705" i="3"/>
  <c r="CH705" i="3" s="1"/>
  <c r="CG705" i="3"/>
  <c r="BT704" i="3"/>
  <c r="CH704" i="3" s="1"/>
  <c r="CG704" i="3"/>
  <c r="BT696" i="3"/>
  <c r="CH696" i="3" s="1"/>
  <c r="CG696" i="3"/>
  <c r="BT695" i="3"/>
  <c r="CH695" i="3" s="1"/>
  <c r="CG695" i="3"/>
  <c r="BT687" i="3"/>
  <c r="CH687" i="3" s="1"/>
  <c r="CG687" i="3"/>
  <c r="BT679" i="3"/>
  <c r="CH679" i="3" s="1"/>
  <c r="CG679" i="3"/>
  <c r="BT678" i="3"/>
  <c r="CH678" i="3" s="1"/>
  <c r="CG678" i="3"/>
  <c r="BT668" i="3"/>
  <c r="CH668" i="3" s="1"/>
  <c r="CG668" i="3"/>
  <c r="BT667" i="3"/>
  <c r="CH667" i="3" s="1"/>
  <c r="CG667" i="3"/>
  <c r="BT656" i="3"/>
  <c r="CH656" i="3" s="1"/>
  <c r="CG656" i="3"/>
  <c r="BT652" i="3"/>
  <c r="CH652" i="3" s="1"/>
  <c r="CG652" i="3"/>
  <c r="BT648" i="3"/>
  <c r="CH648" i="3" s="1"/>
  <c r="CG648" i="3"/>
  <c r="BT622" i="3"/>
  <c r="CH622" i="3" s="1"/>
  <c r="CG622" i="3"/>
  <c r="BT621" i="3"/>
  <c r="CH621" i="3" s="1"/>
  <c r="CG621" i="3"/>
  <c r="BT620" i="3"/>
  <c r="CH620" i="3" s="1"/>
  <c r="CG620" i="3"/>
  <c r="BT619" i="3"/>
  <c r="CH619" i="3" s="1"/>
  <c r="CG619" i="3"/>
  <c r="BT618" i="3"/>
  <c r="CH618" i="3" s="1"/>
  <c r="CG618" i="3"/>
  <c r="BT617" i="3"/>
  <c r="CH617" i="3" s="1"/>
  <c r="CG617" i="3"/>
  <c r="BT616" i="3"/>
  <c r="CH616" i="3" s="1"/>
  <c r="CG616" i="3"/>
  <c r="BT609" i="3"/>
  <c r="CH609" i="3" s="1"/>
  <c r="CG609" i="3"/>
  <c r="BT608" i="3"/>
  <c r="CH608" i="3" s="1"/>
  <c r="CG608" i="3"/>
  <c r="BT607" i="3"/>
  <c r="CH607" i="3" s="1"/>
  <c r="CG607" i="3"/>
  <c r="BT606" i="3"/>
  <c r="CH606" i="3" s="1"/>
  <c r="CG606" i="3"/>
  <c r="BT605" i="3"/>
  <c r="CH605" i="3" s="1"/>
  <c r="CG605" i="3"/>
  <c r="BT604" i="3"/>
  <c r="CH604" i="3" s="1"/>
  <c r="CG604" i="3"/>
  <c r="BT603" i="3"/>
  <c r="CH603" i="3" s="1"/>
  <c r="CG603" i="3"/>
  <c r="BT601" i="3"/>
  <c r="CH601" i="3" s="1"/>
  <c r="CG601" i="3"/>
  <c r="BT600" i="3"/>
  <c r="CH600" i="3" s="1"/>
  <c r="CG600" i="3"/>
  <c r="BT599" i="3"/>
  <c r="CH599" i="3" s="1"/>
  <c r="CG599" i="3"/>
  <c r="BT598" i="3"/>
  <c r="CH598" i="3" s="1"/>
  <c r="CG598" i="3"/>
  <c r="BT596" i="3"/>
  <c r="CH596" i="3" s="1"/>
  <c r="CG596" i="3"/>
  <c r="BT595" i="3"/>
  <c r="CH595" i="3" s="1"/>
  <c r="CG595" i="3"/>
  <c r="BT592" i="3"/>
  <c r="CH592" i="3" s="1"/>
  <c r="CG592" i="3"/>
  <c r="BT591" i="3"/>
  <c r="CH591" i="3" s="1"/>
  <c r="CG591" i="3"/>
  <c r="BT590" i="3"/>
  <c r="CH590" i="3" s="1"/>
  <c r="CG590" i="3"/>
  <c r="BT589" i="3"/>
  <c r="CH589" i="3" s="1"/>
  <c r="CG589" i="3"/>
  <c r="BT580" i="3"/>
  <c r="CH580" i="3" s="1"/>
  <c r="CG580" i="3"/>
  <c r="BT579" i="3"/>
  <c r="CH579" i="3" s="1"/>
  <c r="CG579" i="3"/>
  <c r="BT578" i="3"/>
  <c r="CH578" i="3" s="1"/>
  <c r="CG578" i="3"/>
  <c r="BT577" i="3"/>
  <c r="CH577" i="3" s="1"/>
  <c r="CG577" i="3"/>
  <c r="BT576" i="3"/>
  <c r="CH576" i="3" s="1"/>
  <c r="CG576" i="3"/>
  <c r="BT575" i="3"/>
  <c r="CH575" i="3" s="1"/>
  <c r="CG575" i="3"/>
  <c r="BT574" i="3"/>
  <c r="CH574" i="3" s="1"/>
  <c r="CG574" i="3"/>
  <c r="BT566" i="3"/>
  <c r="CH566" i="3" s="1"/>
  <c r="CG566" i="3"/>
  <c r="BT565" i="3"/>
  <c r="CH565" i="3" s="1"/>
  <c r="CG565" i="3"/>
  <c r="BT564" i="3"/>
  <c r="CH564" i="3" s="1"/>
  <c r="CG564" i="3"/>
  <c r="BT563" i="3"/>
  <c r="CH563" i="3" s="1"/>
  <c r="CG563" i="3"/>
  <c r="BT557" i="3"/>
  <c r="CH557" i="3" s="1"/>
  <c r="CG557" i="3"/>
  <c r="BT556" i="3"/>
  <c r="CH556" i="3" s="1"/>
  <c r="CG556" i="3"/>
  <c r="BT555" i="3"/>
  <c r="CH555" i="3" s="1"/>
  <c r="CG555" i="3"/>
  <c r="BT545" i="3"/>
  <c r="CH545" i="3" s="1"/>
  <c r="CG545" i="3"/>
  <c r="BT544" i="3"/>
  <c r="CH544" i="3" s="1"/>
  <c r="CG544" i="3"/>
  <c r="BT543" i="3"/>
  <c r="CH543" i="3" s="1"/>
  <c r="CG543" i="3"/>
  <c r="BT536" i="3"/>
  <c r="CH536" i="3" s="1"/>
  <c r="CG536" i="3"/>
  <c r="BT535" i="3"/>
  <c r="CH535" i="3" s="1"/>
  <c r="CG535" i="3"/>
  <c r="BT534" i="3"/>
  <c r="CH534" i="3" s="1"/>
  <c r="CG534" i="3"/>
  <c r="BT533" i="3"/>
  <c r="CH533" i="3" s="1"/>
  <c r="CG533" i="3"/>
  <c r="BT532" i="3"/>
  <c r="CH532" i="3" s="1"/>
  <c r="CG532" i="3"/>
  <c r="BT523" i="3"/>
  <c r="CH523" i="3" s="1"/>
  <c r="CG523" i="3"/>
  <c r="BT522" i="3"/>
  <c r="CH522" i="3" s="1"/>
  <c r="CG522" i="3"/>
  <c r="BT521" i="3"/>
  <c r="CH521" i="3" s="1"/>
  <c r="CG521" i="3"/>
  <c r="BT520" i="3"/>
  <c r="CH520" i="3" s="1"/>
  <c r="CG520" i="3"/>
  <c r="BT488" i="3"/>
  <c r="CH488" i="3" s="1"/>
  <c r="CG488" i="3"/>
  <c r="BT463" i="3"/>
  <c r="CH463" i="3" s="1"/>
  <c r="CG463" i="3"/>
  <c r="BT462" i="3"/>
  <c r="CH462" i="3" s="1"/>
  <c r="CG462" i="3"/>
  <c r="BT461" i="3"/>
  <c r="CH461" i="3" s="1"/>
  <c r="CG461" i="3"/>
  <c r="BT459" i="3"/>
  <c r="CH459" i="3" s="1"/>
  <c r="CG459" i="3"/>
  <c r="BT450" i="3"/>
  <c r="CH450" i="3" s="1"/>
  <c r="CG450" i="3"/>
  <c r="BT447" i="3"/>
  <c r="CH447" i="3" s="1"/>
  <c r="CG447" i="3"/>
  <c r="BT444" i="3"/>
  <c r="CH444" i="3" s="1"/>
  <c r="CG444" i="3"/>
  <c r="BT443" i="3"/>
  <c r="CH443" i="3" s="1"/>
  <c r="CG443" i="3"/>
  <c r="BT442" i="3"/>
  <c r="CH442" i="3" s="1"/>
  <c r="CG442" i="3"/>
  <c r="BT438" i="3"/>
  <c r="CH438" i="3" s="1"/>
  <c r="CG438" i="3"/>
  <c r="BT437" i="3"/>
  <c r="CH437" i="3" s="1"/>
  <c r="CG437" i="3"/>
  <c r="BT436" i="3"/>
  <c r="CH436" i="3" s="1"/>
  <c r="CG436" i="3"/>
  <c r="BT434" i="3"/>
  <c r="CH434" i="3" s="1"/>
  <c r="CG434" i="3"/>
  <c r="BT430" i="3"/>
  <c r="CH430" i="3" s="1"/>
  <c r="CG430" i="3"/>
  <c r="BT429" i="3"/>
  <c r="CH429" i="3" s="1"/>
  <c r="CG429" i="3"/>
  <c r="BT424" i="3"/>
  <c r="CH424" i="3" s="1"/>
  <c r="CG424" i="3"/>
  <c r="BT423" i="3"/>
  <c r="CH423" i="3" s="1"/>
  <c r="CG423" i="3"/>
  <c r="BT414" i="3"/>
  <c r="CH414" i="3" s="1"/>
  <c r="CG414" i="3"/>
  <c r="BT413" i="3"/>
  <c r="CH413" i="3" s="1"/>
  <c r="CG413" i="3"/>
  <c r="BT412" i="3"/>
  <c r="CH412" i="3" s="1"/>
  <c r="CG412" i="3"/>
  <c r="BT411" i="3"/>
  <c r="CH411" i="3" s="1"/>
  <c r="CG411" i="3"/>
  <c r="T410" i="3"/>
  <c r="AF410" i="3"/>
  <c r="BZ410" i="3" s="1"/>
  <c r="BT406" i="3"/>
  <c r="CH406" i="3" s="1"/>
  <c r="CG406" i="3"/>
  <c r="T400" i="3"/>
  <c r="AF400" i="3"/>
  <c r="BY400" i="3"/>
  <c r="BY2" i="3" s="1"/>
  <c r="AE2" i="3"/>
  <c r="BT397" i="3"/>
  <c r="CH397" i="3" s="1"/>
  <c r="CG397" i="3"/>
  <c r="BT393" i="3"/>
  <c r="CH393" i="3" s="1"/>
  <c r="CG393" i="3"/>
  <c r="BT392" i="3"/>
  <c r="CH392" i="3" s="1"/>
  <c r="CG392" i="3"/>
  <c r="BT391" i="3"/>
  <c r="CH391" i="3" s="1"/>
  <c r="CG391" i="3"/>
  <c r="BT390" i="3"/>
  <c r="CH390" i="3" s="1"/>
  <c r="CG390" i="3"/>
  <c r="BT389" i="3"/>
  <c r="CH389" i="3" s="1"/>
  <c r="CG389" i="3"/>
  <c r="BT388" i="3"/>
  <c r="CH388" i="3" s="1"/>
  <c r="CG388" i="3"/>
  <c r="BT387" i="3"/>
  <c r="CH387" i="3" s="1"/>
  <c r="CG387" i="3"/>
  <c r="BT386" i="3"/>
  <c r="CH386" i="3" s="1"/>
  <c r="CG386" i="3"/>
  <c r="BT385" i="3"/>
  <c r="CH385" i="3" s="1"/>
  <c r="CG385" i="3"/>
  <c r="BT384" i="3"/>
  <c r="CH384" i="3" s="1"/>
  <c r="CG384" i="3"/>
  <c r="BT383" i="3"/>
  <c r="CH383" i="3" s="1"/>
  <c r="CG383" i="3"/>
  <c r="BT381" i="3"/>
  <c r="CH381" i="3" s="1"/>
  <c r="CG381" i="3"/>
  <c r="BT376" i="3"/>
  <c r="CH376" i="3" s="1"/>
  <c r="CG376" i="3"/>
  <c r="BT375" i="3"/>
  <c r="CH375" i="3" s="1"/>
  <c r="CG375" i="3"/>
  <c r="BT374" i="3"/>
  <c r="CH374" i="3" s="1"/>
  <c r="CG374" i="3"/>
  <c r="BT373" i="3"/>
  <c r="CH373" i="3" s="1"/>
  <c r="CG373" i="3"/>
  <c r="BT372" i="3"/>
  <c r="CH372" i="3" s="1"/>
  <c r="CG372" i="3"/>
  <c r="BT371" i="3"/>
  <c r="CH371" i="3" s="1"/>
  <c r="CG371" i="3"/>
  <c r="BT370" i="3"/>
  <c r="CH370" i="3" s="1"/>
  <c r="CG370" i="3"/>
  <c r="BT369" i="3"/>
  <c r="CH369" i="3" s="1"/>
  <c r="CG369" i="3"/>
  <c r="BT368" i="3"/>
  <c r="CH368" i="3" s="1"/>
  <c r="CG368" i="3"/>
  <c r="BT367" i="3"/>
  <c r="CH367" i="3" s="1"/>
  <c r="CG367" i="3"/>
  <c r="BT364" i="3"/>
  <c r="CH364" i="3" s="1"/>
  <c r="CG364" i="3"/>
  <c r="BT363" i="3"/>
  <c r="CH363" i="3" s="1"/>
  <c r="CG363" i="3"/>
  <c r="BT361" i="3"/>
  <c r="CH361" i="3" s="1"/>
  <c r="CG361" i="3"/>
  <c r="BT360" i="3"/>
  <c r="CH360" i="3" s="1"/>
  <c r="CG360" i="3"/>
  <c r="BT359" i="3"/>
  <c r="CH359" i="3" s="1"/>
  <c r="CG359" i="3"/>
  <c r="BT358" i="3"/>
  <c r="CH358" i="3" s="1"/>
  <c r="CG358" i="3"/>
  <c r="BT355" i="3"/>
  <c r="CG355" i="3"/>
  <c r="BT354" i="3"/>
  <c r="CH354" i="3" s="1"/>
  <c r="CG354" i="3"/>
  <c r="BT353" i="3"/>
  <c r="CH353" i="3" s="1"/>
  <c r="CG353" i="3"/>
  <c r="BT352" i="3"/>
  <c r="CH352" i="3" s="1"/>
  <c r="CG352" i="3"/>
  <c r="BT351" i="3"/>
  <c r="CH351" i="3" s="1"/>
  <c r="CG351" i="3"/>
  <c r="BT349" i="3"/>
  <c r="CH349" i="3" s="1"/>
  <c r="CG349" i="3"/>
  <c r="BT346" i="3"/>
  <c r="CH346" i="3" s="1"/>
  <c r="CG346" i="3"/>
  <c r="BT345" i="3"/>
  <c r="CH345" i="3" s="1"/>
  <c r="CG345" i="3"/>
  <c r="BT344" i="3"/>
  <c r="CH344" i="3" s="1"/>
  <c r="CG344" i="3"/>
  <c r="BT343" i="3"/>
  <c r="CH343" i="3" s="1"/>
  <c r="CG343" i="3"/>
  <c r="BT342" i="3"/>
  <c r="CH342" i="3" s="1"/>
  <c r="CG342" i="3"/>
  <c r="BT334" i="3"/>
  <c r="CH334" i="3" s="1"/>
  <c r="CG334" i="3"/>
  <c r="BT333" i="3"/>
  <c r="CH333" i="3" s="1"/>
  <c r="CG333" i="3"/>
  <c r="BT332" i="3"/>
  <c r="CH332" i="3" s="1"/>
  <c r="CG332" i="3"/>
  <c r="BT331" i="3"/>
  <c r="CH331" i="3" s="1"/>
  <c r="CG331" i="3"/>
  <c r="BT330" i="3"/>
  <c r="CH330" i="3" s="1"/>
  <c r="CG330" i="3"/>
  <c r="BT329" i="3"/>
  <c r="CH329" i="3" s="1"/>
  <c r="CG329" i="3"/>
  <c r="BT328" i="3"/>
  <c r="CH328" i="3" s="1"/>
  <c r="CG328" i="3"/>
  <c r="BT327" i="3"/>
  <c r="CH327" i="3" s="1"/>
  <c r="CG327" i="3"/>
  <c r="BT326" i="3"/>
  <c r="CH326" i="3" s="1"/>
  <c r="CG326" i="3"/>
  <c r="BT324" i="3"/>
  <c r="CH324" i="3" s="1"/>
  <c r="CG324" i="3"/>
  <c r="BT323" i="3"/>
  <c r="CH323" i="3" s="1"/>
  <c r="CG323" i="3"/>
  <c r="BT321" i="3"/>
  <c r="CH321" i="3" s="1"/>
  <c r="CG321" i="3"/>
  <c r="BT320" i="3"/>
  <c r="CH320" i="3" s="1"/>
  <c r="CG320" i="3"/>
  <c r="BT319" i="3"/>
  <c r="CH319" i="3" s="1"/>
  <c r="CG319" i="3"/>
  <c r="BT318" i="3"/>
  <c r="CH318" i="3" s="1"/>
  <c r="CG318" i="3"/>
  <c r="BT316" i="3"/>
  <c r="CH316" i="3" s="1"/>
  <c r="CG316" i="3"/>
  <c r="BT306" i="3"/>
  <c r="CH306" i="3" s="1"/>
  <c r="CG306" i="3"/>
  <c r="BT305" i="3"/>
  <c r="CH305" i="3" s="1"/>
  <c r="CG305" i="3"/>
  <c r="BT304" i="3"/>
  <c r="CH304" i="3" s="1"/>
  <c r="CG304" i="3"/>
  <c r="BT302" i="3"/>
  <c r="CH302" i="3" s="1"/>
  <c r="CG302" i="3"/>
  <c r="BT301" i="3"/>
  <c r="CH301" i="3" s="1"/>
  <c r="CG301" i="3"/>
  <c r="BT300" i="3"/>
  <c r="CH300" i="3" s="1"/>
  <c r="CG300" i="3"/>
  <c r="BT298" i="3"/>
  <c r="CH298" i="3" s="1"/>
  <c r="CG298" i="3"/>
  <c r="BT292" i="3"/>
  <c r="CH292" i="3" s="1"/>
  <c r="CG292" i="3"/>
  <c r="BT291" i="3"/>
  <c r="CH291" i="3" s="1"/>
  <c r="CG291" i="3"/>
  <c r="BT286" i="3"/>
  <c r="CH286" i="3" s="1"/>
  <c r="CG286" i="3"/>
  <c r="BT283" i="3"/>
  <c r="CH283" i="3" s="1"/>
  <c r="CG283" i="3"/>
  <c r="BT281" i="3"/>
  <c r="CH281" i="3" s="1"/>
  <c r="CG281" i="3"/>
  <c r="BT280" i="3"/>
  <c r="CH280" i="3" s="1"/>
  <c r="CG280" i="3"/>
  <c r="BT279" i="3"/>
  <c r="CH279" i="3" s="1"/>
  <c r="CG279" i="3"/>
  <c r="BT275" i="3"/>
  <c r="CH275" i="3" s="1"/>
  <c r="CG275" i="3"/>
  <c r="BT272" i="3"/>
  <c r="CH272" i="3" s="1"/>
  <c r="CG272" i="3"/>
  <c r="BT271" i="3"/>
  <c r="CH271" i="3" s="1"/>
  <c r="CG271" i="3"/>
  <c r="BT270" i="3"/>
  <c r="CH270" i="3" s="1"/>
  <c r="CG270" i="3"/>
  <c r="BT261" i="3"/>
  <c r="CH261" i="3" s="1"/>
  <c r="CG261" i="3"/>
  <c r="BT260" i="3"/>
  <c r="CH260" i="3" s="1"/>
  <c r="CG260" i="3"/>
  <c r="BT259" i="3"/>
  <c r="CH259" i="3" s="1"/>
  <c r="CG259" i="3"/>
  <c r="BT258" i="3"/>
  <c r="CH258" i="3" s="1"/>
  <c r="CG258" i="3"/>
  <c r="BT257" i="3"/>
  <c r="CH257" i="3" s="1"/>
  <c r="CG257" i="3"/>
  <c r="BT256" i="3"/>
  <c r="CH256" i="3" s="1"/>
  <c r="CG256" i="3"/>
  <c r="BT255" i="3"/>
  <c r="CH255" i="3" s="1"/>
  <c r="CG255" i="3"/>
  <c r="BT254" i="3"/>
  <c r="CH254" i="3" s="1"/>
  <c r="CG254" i="3"/>
  <c r="BT253" i="3"/>
  <c r="CH253" i="3" s="1"/>
  <c r="CG253" i="3"/>
  <c r="BT252" i="3"/>
  <c r="CH252" i="3" s="1"/>
  <c r="CG252" i="3"/>
  <c r="BT251" i="3"/>
  <c r="CH251" i="3" s="1"/>
  <c r="CG251" i="3"/>
  <c r="BT250" i="3"/>
  <c r="CH250" i="3" s="1"/>
  <c r="CG250" i="3"/>
  <c r="BT242" i="3"/>
  <c r="CH242" i="3" s="1"/>
  <c r="CG242" i="3"/>
  <c r="BT239" i="3"/>
  <c r="CH239" i="3" s="1"/>
  <c r="CG239" i="3"/>
  <c r="BT235" i="3"/>
  <c r="CH235" i="3" s="1"/>
  <c r="CG235" i="3"/>
  <c r="BT234" i="3"/>
  <c r="CH234" i="3" s="1"/>
  <c r="CG234" i="3"/>
  <c r="BT233" i="3"/>
  <c r="CH233" i="3" s="1"/>
  <c r="CG233" i="3"/>
  <c r="BT232" i="3"/>
  <c r="CH232" i="3" s="1"/>
  <c r="CG232" i="3"/>
  <c r="BT231" i="3"/>
  <c r="CH231" i="3" s="1"/>
  <c r="CG231" i="3"/>
  <c r="BT230" i="3"/>
  <c r="CH230" i="3" s="1"/>
  <c r="CG230" i="3"/>
  <c r="BT229" i="3"/>
  <c r="CH229" i="3" s="1"/>
  <c r="CG229" i="3"/>
  <c r="BT228" i="3"/>
  <c r="CH228" i="3" s="1"/>
  <c r="CG228" i="3"/>
  <c r="BT227" i="3"/>
  <c r="CH227" i="3" s="1"/>
  <c r="CG227" i="3"/>
  <c r="BT225" i="3"/>
  <c r="CH225" i="3" s="1"/>
  <c r="CG225" i="3"/>
  <c r="BT220" i="3"/>
  <c r="CH220" i="3" s="1"/>
  <c r="CG220" i="3"/>
  <c r="BT217" i="3"/>
  <c r="CH217" i="3" s="1"/>
  <c r="CG217" i="3"/>
  <c r="BT216" i="3"/>
  <c r="CH216" i="3" s="1"/>
  <c r="CG216" i="3"/>
  <c r="BT214" i="3"/>
  <c r="CH214" i="3" s="1"/>
  <c r="CG214" i="3"/>
  <c r="BT213" i="3"/>
  <c r="CH213" i="3" s="1"/>
  <c r="CG213" i="3"/>
  <c r="BT212" i="3"/>
  <c r="CH212" i="3" s="1"/>
  <c r="CG212" i="3"/>
  <c r="BT211" i="3"/>
  <c r="CH211" i="3" s="1"/>
  <c r="CG211" i="3"/>
  <c r="BT210" i="3"/>
  <c r="CH210" i="3" s="1"/>
  <c r="CG210" i="3"/>
  <c r="BT209" i="3"/>
  <c r="CH209" i="3" s="1"/>
  <c r="CG209" i="3"/>
  <c r="BT208" i="3"/>
  <c r="CH208" i="3" s="1"/>
  <c r="CG208" i="3"/>
  <c r="BT207" i="3"/>
  <c r="CH207" i="3" s="1"/>
  <c r="CG207" i="3"/>
  <c r="BT206" i="3"/>
  <c r="CH206" i="3" s="1"/>
  <c r="CG206" i="3"/>
  <c r="BT205" i="3"/>
  <c r="CH205" i="3" s="1"/>
  <c r="CG205" i="3"/>
  <c r="BT204" i="3"/>
  <c r="CH204" i="3" s="1"/>
  <c r="CG204" i="3"/>
  <c r="BT202" i="3"/>
  <c r="CH202" i="3" s="1"/>
  <c r="CG202" i="3"/>
  <c r="BT200" i="3"/>
  <c r="CH200" i="3" s="1"/>
  <c r="CG200" i="3"/>
  <c r="BT198" i="3"/>
  <c r="CH198" i="3" s="1"/>
  <c r="CG198" i="3"/>
  <c r="BT5" i="3"/>
  <c r="CG5" i="3"/>
  <c r="BS2" i="3"/>
  <c r="CH355" i="3" l="1"/>
  <c r="BT2" i="3"/>
  <c r="U410" i="3"/>
  <c r="AG410" i="3"/>
  <c r="CA410" i="3" s="1"/>
  <c r="U400" i="3"/>
  <c r="AG400" i="3"/>
  <c r="BZ400" i="3"/>
  <c r="BZ2" i="3" s="1"/>
  <c r="AF2" i="3"/>
  <c r="CH5" i="3"/>
  <c r="V410" i="3" l="1"/>
  <c r="AH410" i="3"/>
  <c r="CB410" i="3" s="1"/>
  <c r="V400" i="3"/>
  <c r="AH400" i="3"/>
  <c r="CA400" i="3"/>
  <c r="CA2" i="3" s="1"/>
  <c r="AG2" i="3"/>
  <c r="AS775" i="3" l="1"/>
  <c r="AS778" i="3"/>
  <c r="AS362" i="3"/>
  <c r="AS73" i="3"/>
  <c r="AS693" i="3"/>
  <c r="AS548" i="3"/>
  <c r="AS468" i="3"/>
  <c r="AS14" i="3"/>
  <c r="AS11" i="3"/>
  <c r="AS630" i="3"/>
  <c r="AS25" i="3"/>
  <c r="AS24" i="3"/>
  <c r="AS593" i="3"/>
  <c r="AS114" i="3"/>
  <c r="AS74" i="3"/>
  <c r="AS776" i="3"/>
  <c r="AS649" i="3"/>
  <c r="W410" i="3"/>
  <c r="AI410" i="3"/>
  <c r="CC410" i="3" s="1"/>
  <c r="W400" i="3"/>
  <c r="AI400" i="3"/>
  <c r="CB400" i="3"/>
  <c r="CB2" i="3" s="1"/>
  <c r="AH2" i="3"/>
  <c r="AS70" i="3" l="1"/>
  <c r="AS68" i="3"/>
  <c r="AS247" i="3"/>
  <c r="AS249" i="3"/>
  <c r="AS248" i="3"/>
  <c r="X410" i="3"/>
  <c r="AJ410" i="3"/>
  <c r="CD410" i="3" s="1"/>
  <c r="X400" i="3"/>
  <c r="AJ400" i="3"/>
  <c r="CC400" i="3"/>
  <c r="CC2" i="3" s="1"/>
  <c r="AI2" i="3"/>
  <c r="Y410" i="3" l="1"/>
  <c r="AK410" i="3"/>
  <c r="CE410" i="3" s="1"/>
  <c r="Y400" i="3"/>
  <c r="AK400" i="3"/>
  <c r="CD400" i="3"/>
  <c r="CD2" i="3" s="1"/>
  <c r="AJ2" i="3"/>
  <c r="Z410" i="3" l="1"/>
  <c r="AL410" i="3"/>
  <c r="CF410" i="3" s="1"/>
  <c r="Z400" i="3"/>
  <c r="AL400" i="3"/>
  <c r="CE400" i="3"/>
  <c r="CE2" i="3" s="1"/>
  <c r="AK2" i="3"/>
  <c r="CF400" i="3" l="1"/>
  <c r="CF2" i="3" s="1"/>
  <c r="AL2" i="3"/>
  <c r="AM410" i="3"/>
  <c r="CG410" i="3" s="1"/>
  <c r="AA410" i="3"/>
  <c r="AN410" i="3" s="1"/>
  <c r="CH410" i="3" s="1"/>
  <c r="AM400" i="3"/>
  <c r="AA400" i="3"/>
  <c r="AM2" i="3" l="1"/>
  <c r="CG400" i="3"/>
  <c r="CG2" i="3" s="1"/>
  <c r="AN400" i="3"/>
  <c r="AA2" i="3"/>
  <c r="CH400" i="3" l="1"/>
  <c r="AN2" i="3"/>
  <c r="AP2" i="3" s="1"/>
  <c r="CH2" i="3"/>
  <c r="AS62" i="3" l="1"/>
  <c r="AS61" i="3"/>
  <c r="AS63" i="3"/>
  <c r="AS72" i="3" l="1"/>
  <c r="AS455" i="3"/>
  <c r="AS454" i="3"/>
  <c r="AS399" i="3"/>
  <c r="AS744" i="3"/>
  <c r="AS710" i="3"/>
  <c r="AS203" i="3"/>
  <c r="AS517" i="3"/>
  <c r="AS661" i="3"/>
  <c r="AS601" i="3"/>
  <c r="AS640" i="3"/>
  <c r="AS553" i="3"/>
  <c r="AS335" i="3"/>
  <c r="AS518" i="3"/>
  <c r="AS626" i="3"/>
  <c r="AS742" i="3"/>
  <c r="AS631" i="3"/>
  <c r="AS731" i="3"/>
  <c r="AS453" i="3"/>
  <c r="AS677" i="3"/>
  <c r="AS466" i="3"/>
  <c r="AS407" i="3"/>
  <c r="AS777" i="3"/>
  <c r="AS668" i="3"/>
  <c r="AS667" i="3"/>
  <c r="AS671" i="3"/>
  <c r="AS519" i="3"/>
  <c r="AS672" i="3"/>
  <c r="AS264" i="3"/>
  <c r="AS659" i="3"/>
  <c r="AS612" i="3"/>
  <c r="AS262" i="3"/>
  <c r="AS639" i="3"/>
  <c r="AS552" i="3"/>
  <c r="AS409" i="3"/>
  <c r="AS733" i="3"/>
  <c r="AS730" i="3"/>
  <c r="AS754" i="3"/>
  <c r="AS753" i="3"/>
  <c r="AS483" i="3"/>
  <c r="AS408" i="3"/>
  <c r="AS723" i="3"/>
  <c r="AS720" i="3"/>
  <c r="AS683" i="3"/>
  <c r="AS722" i="3"/>
  <c r="AS685" i="3"/>
  <c r="AS757" i="3"/>
  <c r="AS756" i="3"/>
  <c r="AS721" i="3"/>
  <c r="AS684" i="3"/>
  <c r="AS741" i="3"/>
  <c r="AS712" i="3"/>
  <c r="AS676" i="3"/>
  <c r="AS679" i="3"/>
  <c r="AS715" i="3"/>
  <c r="AS678" i="3"/>
  <c r="AS711" i="3"/>
  <c r="AS675" i="3"/>
  <c r="AS201" i="3"/>
  <c r="AS200" i="3"/>
  <c r="AS198" i="3"/>
  <c r="AS199" i="3"/>
  <c r="AS628" i="3"/>
  <c r="AS627" i="3"/>
  <c r="AS624" i="3"/>
  <c r="AS625" i="3"/>
  <c r="AS5" i="3"/>
  <c r="AS4" i="3"/>
  <c r="AS496" i="3"/>
  <c r="AS623" i="3"/>
  <c r="AS600" i="3"/>
  <c r="AS602" i="3"/>
  <c r="AS700" i="3"/>
  <c r="AS702" i="3"/>
  <c r="AS692" i="3"/>
  <c r="AS695" i="3"/>
  <c r="AS243" i="3"/>
  <c r="AS587" i="3"/>
  <c r="AS202" i="3"/>
  <c r="AS556" i="3"/>
  <c r="AS235" i="3"/>
  <c r="AS555" i="3"/>
  <c r="AS67" i="3"/>
  <c r="AS701" i="3"/>
  <c r="AS638" i="3"/>
  <c r="AS637" i="3"/>
  <c r="AS529" i="3"/>
  <c r="AS554" i="3"/>
  <c r="AS467" i="3"/>
  <c r="AS691" i="3"/>
  <c r="AS674" i="3"/>
  <c r="AS761" i="3"/>
  <c r="AS611" i="3"/>
  <c r="AS610" i="3"/>
  <c r="AS584" i="3"/>
  <c r="AS69" i="3"/>
  <c r="AS219" i="3"/>
  <c r="AS755" i="3"/>
  <c r="AS71" i="3"/>
  <c r="AS551" i="3"/>
  <c r="AS629" i="3"/>
  <c r="AS263" i="3"/>
  <c r="AS10" i="3"/>
  <c r="AS482" i="3"/>
  <c r="AS767" i="3"/>
  <c r="AS66" i="3"/>
  <c r="AS558" i="3"/>
  <c r="AS499" i="3"/>
  <c r="AS673" i="3"/>
  <c r="AS402" i="3" l="1"/>
  <c r="AS403" i="3"/>
  <c r="AS426" i="3"/>
  <c r="AS415" i="3"/>
  <c r="AS422" i="3"/>
  <c r="AS425" i="3"/>
  <c r="AS448" i="3"/>
  <c r="AS405" i="3"/>
  <c r="AS418" i="3"/>
  <c r="AS420" i="3"/>
  <c r="AS421" i="3"/>
  <c r="AS412" i="3"/>
  <c r="AS423" i="3"/>
  <c r="AS413" i="3"/>
  <c r="AS416" i="3"/>
  <c r="AS400" i="3"/>
  <c r="AS419" i="3"/>
  <c r="AS406" i="3"/>
  <c r="AS404" i="3"/>
  <c r="AS414" i="3"/>
  <c r="AS417" i="3"/>
  <c r="AS401" i="3"/>
  <c r="AS766" i="3"/>
  <c r="AS764" i="3"/>
  <c r="AS762" i="3"/>
  <c r="AS760" i="3"/>
  <c r="AS146" i="3"/>
  <c r="AS135" i="3"/>
  <c r="AS133" i="3"/>
  <c r="AS128" i="3"/>
  <c r="AS126" i="3"/>
  <c r="AS125" i="3"/>
  <c r="AS116" i="3"/>
  <c r="AS115" i="3"/>
  <c r="AS167" i="3"/>
  <c r="AS160" i="3"/>
  <c r="AS161" i="3"/>
  <c r="AS165" i="3"/>
  <c r="AS129" i="3"/>
  <c r="AS130" i="3"/>
  <c r="AS131" i="3"/>
  <c r="AS132" i="3"/>
  <c r="AS134" i="3"/>
  <c r="AS152" i="3"/>
  <c r="AS156" i="3"/>
  <c r="AS151" i="3"/>
  <c r="AS137" i="3"/>
  <c r="AS144" i="3"/>
  <c r="AS153" i="3"/>
  <c r="AS143" i="3"/>
  <c r="AS124" i="3"/>
  <c r="AS138" i="3"/>
  <c r="AS118" i="3"/>
  <c r="AS120" i="3"/>
  <c r="AS166" i="3"/>
  <c r="AS170" i="3"/>
  <c r="AS136" i="3"/>
  <c r="AS139" i="3"/>
  <c r="AS117" i="3"/>
  <c r="AS127" i="3"/>
  <c r="AS140" i="3"/>
  <c r="AS121" i="3"/>
  <c r="AS150" i="3"/>
  <c r="AS159" i="3"/>
  <c r="AS157" i="3"/>
  <c r="AS158" i="3"/>
  <c r="AS162" i="3"/>
  <c r="AS141" i="3"/>
  <c r="AS142" i="3"/>
  <c r="AS155" i="3"/>
  <c r="AS168" i="3"/>
  <c r="AS172" i="3"/>
  <c r="AS145" i="3"/>
  <c r="AS149" i="3"/>
  <c r="AS154" i="3"/>
  <c r="AS119" i="3"/>
  <c r="AS171" i="3"/>
  <c r="AS536" i="3"/>
  <c r="AS535" i="3"/>
  <c r="AS532" i="3"/>
  <c r="AS533" i="3"/>
  <c r="AS534" i="3"/>
  <c r="AS656" i="3"/>
  <c r="AS648" i="3"/>
  <c r="AS253" i="3"/>
  <c r="AS256" i="3"/>
  <c r="AS255" i="3"/>
  <c r="AS250" i="3"/>
  <c r="AS642" i="3"/>
  <c r="AS259" i="3"/>
  <c r="AS258" i="3"/>
  <c r="AS244" i="3"/>
  <c r="AS636" i="3"/>
  <c r="AS254" i="3"/>
  <c r="AS261" i="3"/>
  <c r="AS643" i="3"/>
  <c r="AS486" i="3"/>
  <c r="AS252" i="3"/>
  <c r="AS487" i="3"/>
  <c r="AS260" i="3"/>
  <c r="AS257" i="3"/>
  <c r="AS251" i="3"/>
  <c r="AS246" i="3"/>
  <c r="AS245" i="3"/>
  <c r="AS220" i="3"/>
  <c r="AS234" i="3"/>
  <c r="AS227" i="3"/>
  <c r="AS233" i="3"/>
  <c r="AS230" i="3"/>
  <c r="AS231" i="3"/>
  <c r="AS226" i="3"/>
  <c r="AS221" i="3"/>
  <c r="AS232" i="3"/>
  <c r="AS228" i="3"/>
  <c r="AS229" i="3"/>
  <c r="AS355" i="3"/>
  <c r="AS354" i="3"/>
  <c r="AS351" i="3"/>
  <c r="AS353" i="3"/>
  <c r="AS350" i="3"/>
  <c r="AS349" i="3"/>
  <c r="AS352" i="3"/>
  <c r="AS758" i="3"/>
  <c r="AS759" i="3"/>
  <c r="AS763" i="3"/>
  <c r="AS507" i="3"/>
  <c r="AS501" i="3"/>
  <c r="AS498" i="3"/>
  <c r="AS495" i="3"/>
  <c r="AS494" i="3"/>
  <c r="AS605" i="3"/>
  <c r="AS606" i="3"/>
  <c r="AS607" i="3"/>
  <c r="AS609" i="3"/>
  <c r="AS608" i="3"/>
  <c r="AS603" i="3"/>
  <c r="AS604" i="3"/>
  <c r="AS525" i="3"/>
  <c r="AS526" i="3"/>
  <c r="AS528" i="3"/>
  <c r="AS520" i="3"/>
  <c r="AS521" i="3"/>
  <c r="AS523" i="3"/>
  <c r="AS522" i="3"/>
  <c r="AS437" i="3"/>
  <c r="AS457" i="3"/>
  <c r="AS434" i="3"/>
  <c r="AS462" i="3"/>
  <c r="AS450" i="3"/>
  <c r="AS441" i="3"/>
  <c r="AS442" i="3"/>
  <c r="AS438" i="3"/>
  <c r="AS451" i="3"/>
  <c r="AS449" i="3"/>
  <c r="AS429" i="3"/>
  <c r="AS531" i="3"/>
  <c r="AS530" i="3"/>
  <c r="AS669" i="3"/>
  <c r="AS670" i="3"/>
  <c r="AS65" i="3"/>
  <c r="AS64" i="3"/>
  <c r="AS343" i="3"/>
  <c r="AS273" i="3"/>
  <c r="AS276" i="3"/>
  <c r="AS266" i="3"/>
  <c r="AS278" i="3"/>
  <c r="AS314" i="3"/>
  <c r="AS328" i="3"/>
  <c r="AS345" i="3"/>
  <c r="AS284" i="3"/>
  <c r="AS287" i="3"/>
  <c r="AS293" i="3"/>
  <c r="AS294" i="3"/>
  <c r="AS315" i="3"/>
  <c r="AS336" i="3"/>
  <c r="AS337" i="3"/>
  <c r="AS773" i="3"/>
  <c r="AS770" i="3"/>
  <c r="AS769" i="3"/>
  <c r="AS299" i="3"/>
  <c r="AS312" i="3"/>
  <c r="AS322" i="3"/>
  <c r="AS323" i="3"/>
  <c r="AS330" i="3"/>
  <c r="AS344" i="3"/>
  <c r="AS346" i="3"/>
  <c r="AS324" i="3"/>
  <c r="AS319" i="3"/>
  <c r="AS316" i="3"/>
  <c r="AS297" i="3"/>
  <c r="AS303" i="3"/>
  <c r="AS277" i="3"/>
  <c r="AS279" i="3"/>
  <c r="AS280" i="3"/>
  <c r="AS281" i="3"/>
  <c r="AS9" i="3"/>
  <c r="AS7" i="3"/>
  <c r="AS641" i="3"/>
  <c r="AS17" i="3"/>
  <c r="AS18" i="3"/>
  <c r="AS653" i="3"/>
  <c r="AS658" i="3"/>
  <c r="AS660" i="3"/>
  <c r="AS657" i="3"/>
  <c r="AS663" i="3"/>
  <c r="AS665" i="3"/>
  <c r="AS664" i="3"/>
  <c r="AS666" i="3"/>
  <c r="AS662" i="3"/>
  <c r="AS599" i="3"/>
  <c r="AS598" i="3"/>
  <c r="AS366" i="3"/>
  <c r="AS489" i="3"/>
  <c r="AS490" i="3"/>
  <c r="AS493" i="3"/>
  <c r="AS488" i="3"/>
  <c r="AS377" i="3"/>
  <c r="AS596" i="3"/>
  <c r="AS597" i="3"/>
  <c r="AS492" i="3"/>
  <c r="AS491" i="3"/>
  <c r="AS575" i="3"/>
  <c r="AS617" i="3"/>
  <c r="AS621" i="3"/>
  <c r="AS565" i="3"/>
  <c r="AS579" i="3"/>
  <c r="AS371" i="3"/>
  <c r="AS379" i="3"/>
  <c r="AS368" i="3"/>
  <c r="AS374" i="3"/>
  <c r="AS471" i="3"/>
  <c r="AS477" i="3"/>
  <c r="AS474" i="3"/>
  <c r="AS447" i="3"/>
  <c r="AS428" i="3"/>
  <c r="AS424" i="3"/>
  <c r="AS436" i="3"/>
  <c r="AS459" i="3"/>
  <c r="AS465" i="3"/>
  <c r="AS433" i="3"/>
  <c r="AS452" i="3"/>
  <c r="AS458" i="3"/>
  <c r="AS440" i="3"/>
  <c r="AS446" i="3"/>
  <c r="AS463" i="3"/>
  <c r="AS431" i="3"/>
  <c r="AS460" i="3"/>
  <c r="AS411" i="3"/>
  <c r="AS410" i="3"/>
  <c r="AS427" i="3"/>
  <c r="AS439" i="3"/>
  <c r="AS435" i="3"/>
  <c r="AS430" i="3"/>
  <c r="AS464" i="3"/>
  <c r="AS432" i="3"/>
  <c r="AS456" i="3"/>
  <c r="AS461" i="3"/>
  <c r="AS443" i="3"/>
  <c r="AS475" i="3"/>
  <c r="AS469" i="3"/>
  <c r="AS472" i="3"/>
  <c r="AS481" i="3"/>
  <c r="AS470" i="3"/>
  <c r="AS473" i="3"/>
  <c r="AS479" i="3"/>
  <c r="AS478" i="3"/>
  <c r="AS476" i="3"/>
  <c r="AS480" i="3"/>
  <c r="AS398" i="3"/>
  <c r="AS391" i="3"/>
  <c r="AS397" i="3"/>
  <c r="AS387" i="3"/>
  <c r="AS382" i="3"/>
  <c r="AS396" i="3"/>
  <c r="AS392" i="3"/>
  <c r="AS383" i="3"/>
  <c r="AS384" i="3"/>
  <c r="AS393" i="3"/>
  <c r="AS395" i="3"/>
  <c r="AS390" i="3"/>
  <c r="AS386" i="3"/>
  <c r="AS381" i="3"/>
  <c r="AS388" i="3"/>
  <c r="AS484" i="3"/>
  <c r="AS485" i="3"/>
  <c r="AS686" i="3"/>
  <c r="AS719" i="3"/>
  <c r="AS734" i="3"/>
  <c r="AS718" i="3"/>
  <c r="AS717" i="3"/>
  <c r="AS736" i="3"/>
  <c r="AS735" i="3"/>
  <c r="AS680" i="3"/>
  <c r="AS682" i="3"/>
  <c r="AS681" i="3"/>
  <c r="AS729" i="3"/>
  <c r="AS747" i="3"/>
  <c r="AS728" i="3"/>
  <c r="AS748" i="3"/>
  <c r="AS513" i="3"/>
  <c r="AS690" i="3"/>
  <c r="AS689" i="3"/>
  <c r="AS726" i="3"/>
  <c r="AS745" i="3"/>
  <c r="AS746" i="3"/>
  <c r="AS515" i="3"/>
  <c r="AS727" i="3"/>
  <c r="AS687" i="3"/>
  <c r="AS688" i="3"/>
  <c r="AS713" i="3"/>
  <c r="AS743" i="3"/>
  <c r="AS714" i="3"/>
  <c r="AS724" i="3"/>
  <c r="AS725" i="3"/>
  <c r="AS716" i="3"/>
  <c r="AS614" i="3"/>
  <c r="AS615" i="3"/>
  <c r="AS750" i="3"/>
  <c r="AS751" i="3"/>
  <c r="AS749" i="3"/>
  <c r="AS527" i="3"/>
  <c r="AS524" i="3"/>
  <c r="AS633" i="3"/>
  <c r="AS632" i="3"/>
  <c r="AS651" i="3"/>
  <c r="AS655" i="3"/>
  <c r="AS654" i="3"/>
  <c r="AS652" i="3"/>
  <c r="AS650" i="3"/>
  <c r="AS242" i="3"/>
  <c r="AS378" i="3"/>
  <c r="AS241" i="3"/>
  <c r="AS644" i="3"/>
  <c r="AS646" i="3"/>
  <c r="AS647" i="3"/>
  <c r="AS645" i="3"/>
  <c r="AS222" i="3"/>
  <c r="AS225" i="3"/>
  <c r="AS224" i="3"/>
  <c r="AS223" i="3"/>
  <c r="AS238" i="3"/>
  <c r="AS239" i="3"/>
  <c r="AS240" i="3"/>
  <c r="AS236" i="3"/>
  <c r="AS237" i="3"/>
  <c r="AS538" i="3"/>
  <c r="AS541" i="3"/>
  <c r="AS542" i="3"/>
  <c r="AS543" i="3"/>
  <c r="AS544" i="3"/>
  <c r="AS545" i="3"/>
  <c r="AS546" i="3"/>
  <c r="AS547" i="3"/>
  <c r="AS537" i="3"/>
  <c r="AS539" i="3"/>
  <c r="AS540" i="3"/>
  <c r="AS703" i="3"/>
  <c r="AS709" i="3"/>
  <c r="AS739" i="3"/>
  <c r="AS708" i="3"/>
  <c r="AS740" i="3"/>
  <c r="AS737" i="3"/>
  <c r="AS738" i="3"/>
  <c r="AS706" i="3"/>
  <c r="AS707" i="3"/>
  <c r="AS694" i="3"/>
  <c r="AS732" i="3"/>
  <c r="AS704" i="3"/>
  <c r="AS705" i="3"/>
  <c r="AS696" i="3"/>
  <c r="AS588" i="3"/>
  <c r="AS590" i="3"/>
  <c r="AS586" i="3"/>
  <c r="AS592" i="3"/>
  <c r="AS359" i="3"/>
  <c r="AS361" i="3"/>
  <c r="AS357" i="3"/>
  <c r="AS364" i="3"/>
  <c r="AS358" i="3"/>
  <c r="AS363" i="3"/>
  <c r="AS360" i="3"/>
  <c r="AS561" i="3"/>
  <c r="AS559" i="3"/>
  <c r="AS560" i="3"/>
  <c r="AS503" i="3"/>
  <c r="AS634" i="3"/>
  <c r="AS635" i="3"/>
  <c r="AS370" i="3"/>
  <c r="AS557" i="3"/>
  <c r="AS373" i="3"/>
  <c r="AS376" i="3"/>
  <c r="AS367" i="3"/>
  <c r="AS622" i="3"/>
  <c r="AS578" i="3"/>
  <c r="AS618" i="3"/>
  <c r="AS576" i="3"/>
  <c r="AS564" i="3"/>
  <c r="AS752" i="3"/>
  <c r="AS779" i="3"/>
  <c r="AS698" i="3"/>
  <c r="AS699" i="3"/>
  <c r="AS697" i="3"/>
  <c r="AS385" i="3"/>
  <c r="AS394" i="3"/>
  <c r="AS389" i="3"/>
  <c r="AS613" i="3"/>
  <c r="AS372" i="3"/>
  <c r="AS375" i="3"/>
  <c r="AS369" i="3"/>
  <c r="AS569" i="3"/>
  <c r="AS570" i="3"/>
  <c r="AS571" i="3"/>
  <c r="AS573" i="3"/>
  <c r="AS582" i="3"/>
  <c r="AS572" i="3"/>
  <c r="AS581" i="3"/>
  <c r="AS567" i="3"/>
  <c r="AS568" i="3"/>
  <c r="AS580" i="3"/>
  <c r="AS563" i="3"/>
  <c r="AS616" i="3"/>
  <c r="AS619" i="3"/>
  <c r="AS577" i="3"/>
  <c r="AS620" i="3"/>
  <c r="AS574" i="3"/>
  <c r="AS566" i="3"/>
  <c r="AS594" i="3"/>
  <c r="AS595" i="3"/>
  <c r="AS589" i="3"/>
  <c r="AS585" i="3"/>
  <c r="AS591" i="3"/>
  <c r="AS583" i="3"/>
  <c r="AS271" i="3"/>
  <c r="AS270" i="3"/>
  <c r="AS268" i="3"/>
  <c r="AS267" i="3"/>
  <c r="AS339" i="3"/>
  <c r="AS265" i="3"/>
  <c r="AS340" i="3"/>
  <c r="AS329" i="3"/>
  <c r="AS325" i="3"/>
  <c r="AS341" i="3"/>
  <c r="AS334" i="3"/>
  <c r="AS333" i="3"/>
  <c r="AS331" i="3"/>
  <c r="AS308" i="3"/>
  <c r="AS327" i="3"/>
  <c r="AS307" i="3"/>
  <c r="AS305" i="3"/>
  <c r="AS321" i="3"/>
  <c r="AS313" i="3"/>
  <c r="AS304" i="3"/>
  <c r="AS311" i="3"/>
  <c r="AS309" i="3"/>
  <c r="AS306" i="3"/>
  <c r="AS300" i="3"/>
  <c r="AS302" i="3"/>
  <c r="AS272" i="3"/>
  <c r="AS342" i="3"/>
  <c r="AS347" i="3"/>
  <c r="AS348" i="3"/>
  <c r="AS269" i="3"/>
  <c r="AS772" i="3"/>
  <c r="AS318" i="3"/>
  <c r="AS774" i="3"/>
  <c r="AS780" i="3"/>
  <c r="AS781" i="3"/>
  <c r="AS326" i="3"/>
  <c r="AS332" i="3"/>
  <c r="AS310" i="3"/>
  <c r="AS320" i="3"/>
  <c r="AS338" i="3"/>
  <c r="AS298" i="3"/>
  <c r="AS317" i="3"/>
  <c r="AS296" i="3"/>
  <c r="AS295" i="3"/>
  <c r="AS292" i="3"/>
  <c r="AS291" i="3"/>
  <c r="AS290" i="3"/>
  <c r="AS289" i="3"/>
  <c r="AS288" i="3"/>
  <c r="AS286" i="3"/>
  <c r="AS285" i="3"/>
  <c r="AS283" i="3"/>
  <c r="AS301" i="3"/>
  <c r="AS275" i="3"/>
  <c r="AS274" i="3"/>
  <c r="AS768" i="3"/>
  <c r="AS771" i="3"/>
  <c r="AS92" i="3"/>
  <c r="AS88" i="3"/>
  <c r="AS84" i="3"/>
  <c r="AS83" i="3"/>
  <c r="AS82" i="3"/>
  <c r="AS80" i="3"/>
  <c r="AS76" i="3"/>
  <c r="AS96" i="3"/>
  <c r="AS75" i="3"/>
  <c r="AS87" i="3"/>
  <c r="AS79" i="3"/>
  <c r="AS94" i="3"/>
  <c r="AS101" i="3"/>
  <c r="AS86" i="3"/>
  <c r="AS93" i="3"/>
  <c r="AS77" i="3"/>
  <c r="AS111" i="3"/>
  <c r="AS100" i="3"/>
  <c r="AS95" i="3"/>
  <c r="AS90" i="3"/>
  <c r="AS91" i="3"/>
  <c r="AS102" i="3"/>
  <c r="AS103" i="3"/>
  <c r="AS81" i="3"/>
  <c r="AS108" i="3"/>
  <c r="AS105" i="3"/>
  <c r="AS98" i="3"/>
  <c r="AS97" i="3"/>
  <c r="AS106" i="3"/>
  <c r="AS78" i="3"/>
  <c r="AS109" i="3"/>
  <c r="AS110" i="3"/>
  <c r="AS85" i="3"/>
  <c r="AS89" i="3"/>
  <c r="AS104" i="3"/>
  <c r="AS113" i="3"/>
  <c r="AS112" i="3"/>
  <c r="AS107" i="3"/>
  <c r="AS99" i="3"/>
  <c r="AS209" i="3"/>
  <c r="AS213" i="3"/>
  <c r="AS207" i="3"/>
  <c r="AS208" i="3"/>
  <c r="AS214" i="3"/>
  <c r="AS217" i="3"/>
  <c r="AS218" i="3"/>
  <c r="AS212" i="3"/>
  <c r="AS206" i="3"/>
  <c r="AS216" i="3"/>
  <c r="AS356" i="3"/>
  <c r="AS215" i="3"/>
  <c r="AS204" i="3"/>
  <c r="AS210" i="3"/>
  <c r="AS211" i="3"/>
  <c r="AS205" i="3"/>
  <c r="AS13" i="3"/>
  <c r="AS12" i="3"/>
  <c r="AS19" i="3"/>
  <c r="AS36" i="3"/>
  <c r="AS55" i="3"/>
  <c r="AS41" i="3"/>
  <c r="AS48" i="3"/>
  <c r="AS23" i="3"/>
  <c r="AS30" i="3"/>
  <c r="AS47" i="3"/>
  <c r="AS52" i="3"/>
  <c r="AS53" i="3"/>
  <c r="AS57" i="3"/>
  <c r="AS58" i="3"/>
  <c r="AS59" i="3"/>
  <c r="AS60" i="3"/>
  <c r="AS46" i="3"/>
  <c r="AS45" i="3"/>
  <c r="AS43" i="3"/>
  <c r="AS42" i="3"/>
  <c r="AS28" i="3"/>
  <c r="AS37" i="3"/>
  <c r="AS34" i="3"/>
  <c r="AS38" i="3"/>
  <c r="AS33" i="3"/>
  <c r="AS39" i="3"/>
  <c r="AS29" i="3"/>
  <c r="AS20" i="3"/>
  <c r="AS44" i="3"/>
  <c r="AS26" i="3"/>
  <c r="AS49" i="3"/>
  <c r="AS56" i="3"/>
  <c r="AS51" i="3"/>
  <c r="AS27" i="3"/>
  <c r="AS22" i="3"/>
  <c r="AS54" i="3"/>
  <c r="AS50" i="3"/>
  <c r="AS40" i="3"/>
  <c r="AS35" i="3"/>
  <c r="AS32" i="3"/>
  <c r="AS31" i="3"/>
  <c r="AS21" i="3"/>
  <c r="AS16" i="3"/>
  <c r="AS15" i="3"/>
  <c r="AS6" i="3"/>
  <c r="AS8" i="3"/>
  <c r="AS189" i="3"/>
  <c r="AS175" i="3"/>
  <c r="AS148" i="3"/>
  <c r="AS164" i="3"/>
  <c r="AS193" i="3"/>
  <c r="AS194" i="3"/>
  <c r="AS190" i="3"/>
  <c r="AS176" i="3"/>
  <c r="AS188" i="3"/>
  <c r="AS184" i="3"/>
  <c r="AS183" i="3"/>
  <c r="AS182" i="3"/>
  <c r="AS178" i="3"/>
  <c r="AS177" i="3"/>
  <c r="AS179" i="3"/>
  <c r="AS180" i="3"/>
  <c r="AS181" i="3"/>
  <c r="AS187" i="3"/>
  <c r="AS185" i="3"/>
  <c r="AS186" i="3"/>
  <c r="AS192" i="3"/>
  <c r="AS174" i="3"/>
  <c r="AS123" i="3"/>
  <c r="AS163" i="3"/>
  <c r="AS169" i="3"/>
  <c r="AS173" i="3"/>
  <c r="AS195" i="3"/>
  <c r="AS122" i="3"/>
  <c r="AS197" i="3"/>
  <c r="AS147" i="3"/>
  <c r="AS196" i="3"/>
  <c r="AS191" i="3"/>
  <c r="AS444" i="3"/>
  <c r="AS445" i="3"/>
  <c r="AS511" i="3"/>
  <c r="AS508" i="3"/>
  <c r="AS506" i="3"/>
  <c r="AS562" i="3"/>
  <c r="AS502" i="3"/>
  <c r="AS516" i="3"/>
  <c r="AS509" i="3"/>
  <c r="AS505" i="3"/>
  <c r="AS504" i="3"/>
  <c r="AS514" i="3"/>
  <c r="AS500" i="3"/>
  <c r="AS510" i="3"/>
  <c r="AS512" i="3"/>
  <c r="AS497" i="3"/>
  <c r="AS549" i="3"/>
  <c r="AS55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tc={9A90AD5D-26F3-4285-B674-9052C958E197}</author>
  </authors>
  <commentList>
    <comment ref="A411" authorId="0" shapeId="0" xr:uid="{9A90AD5D-26F3-4285-B674-9052C958E197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marketing</t>
      </text>
    </comment>
  </commentList>
</comments>
</file>

<file path=xl/sharedStrings.xml><?xml version="1.0" encoding="utf-8"?>
<sst xmlns="http://schemas.openxmlformats.org/spreadsheetml/2006/main" count="8057" uniqueCount="1301">
  <si>
    <t>Expense Category</t>
  </si>
  <si>
    <t>Expense Item2</t>
  </si>
  <si>
    <t>Electricity &amp; Water</t>
  </si>
  <si>
    <t>Office Supplies - HQ</t>
  </si>
  <si>
    <t>Toner/Ink</t>
  </si>
  <si>
    <t>Office Supplies</t>
  </si>
  <si>
    <t>Others</t>
  </si>
  <si>
    <t>Dues and Fees</t>
  </si>
  <si>
    <t>Low Value Assets - HQ</t>
  </si>
  <si>
    <t>Office Equipment</t>
  </si>
  <si>
    <t>Fuel &amp; Lubricants</t>
  </si>
  <si>
    <t>Fuel &amp; Lubricants - Fleet</t>
  </si>
  <si>
    <t>Fuel &amp; Lubricants - Messenger</t>
  </si>
  <si>
    <t>HR Supplies</t>
  </si>
  <si>
    <t>Bathroom Tissue Roll</t>
  </si>
  <si>
    <t>Transportation</t>
  </si>
  <si>
    <t>Toll Fees/RFID</t>
  </si>
  <si>
    <t>Drivers' Meal Allowance</t>
  </si>
  <si>
    <t>Parking Fees</t>
  </si>
  <si>
    <t>Repairs &amp; Maintenance - HQ</t>
  </si>
  <si>
    <t>Building</t>
  </si>
  <si>
    <t>Furniture, Fixture &amp; Equipment</t>
  </si>
  <si>
    <t>Supplies</t>
  </si>
  <si>
    <t>Vehicle</t>
  </si>
  <si>
    <t>Vehicle Insurance</t>
  </si>
  <si>
    <t>Insurance</t>
  </si>
  <si>
    <t>PARI</t>
  </si>
  <si>
    <t>PTS</t>
  </si>
  <si>
    <t>Bond</t>
  </si>
  <si>
    <t>DOL</t>
  </si>
  <si>
    <t>Mobile Phone</t>
  </si>
  <si>
    <t>Phone - JHJ</t>
  </si>
  <si>
    <t>Phone - MDIA</t>
  </si>
  <si>
    <t>Postal</t>
  </si>
  <si>
    <t>Admin Staff</t>
  </si>
  <si>
    <t>Property Appraisal</t>
  </si>
  <si>
    <t>Contracted Services</t>
  </si>
  <si>
    <t>Company Physician</t>
  </si>
  <si>
    <t>Taxes &amp; Licenses</t>
  </si>
  <si>
    <t>Easy Tax Bill</t>
  </si>
  <si>
    <t>Janitorial</t>
  </si>
  <si>
    <t>Aruba</t>
  </si>
  <si>
    <t>Systems &amp; Applications - Network</t>
  </si>
  <si>
    <t>Aruba Switches</t>
  </si>
  <si>
    <t>SDWAN Device</t>
  </si>
  <si>
    <t>SDWAN Adaptiv</t>
  </si>
  <si>
    <t>SonicWall Firewall Security</t>
  </si>
  <si>
    <t>Kaseya</t>
  </si>
  <si>
    <t>Datrium</t>
  </si>
  <si>
    <t>Datrium Storage</t>
  </si>
  <si>
    <t>UPS Maintenance</t>
  </si>
  <si>
    <t>HPE Server Maintenance</t>
  </si>
  <si>
    <t>Office 365</t>
  </si>
  <si>
    <t>Office 365 Material Security Email Threat Protection</t>
  </si>
  <si>
    <t>Office 365 Extra Storage</t>
  </si>
  <si>
    <t>Vmware</t>
  </si>
  <si>
    <t>VMWARE</t>
  </si>
  <si>
    <t>Menlo Cloud Internet Security</t>
  </si>
  <si>
    <t>CROWDSTIKE  Endpoint Security</t>
  </si>
  <si>
    <t>Crowdstrike Endpoint Security</t>
  </si>
  <si>
    <t xml:space="preserve">Silver Peak Unity Application Boost License </t>
  </si>
  <si>
    <t>SDWAN Cloud License</t>
  </si>
  <si>
    <t>Web Application Firewall (WAF)</t>
  </si>
  <si>
    <t xml:space="preserve">Acronis Cloud DR </t>
  </si>
  <si>
    <t>Web Hosting</t>
  </si>
  <si>
    <t>Maintenance and Support Renewal of Network Advance Threat Protection (PaloAlto)</t>
  </si>
  <si>
    <t>Domain</t>
  </si>
  <si>
    <t>Power Apps</t>
  </si>
  <si>
    <t>AWS cloud hosted server / Application portal / HRIS</t>
  </si>
  <si>
    <t>AWS cloud hosted server</t>
  </si>
  <si>
    <t xml:space="preserve">Managed Security Operation Center (MSOC) </t>
  </si>
  <si>
    <t>Zoom</t>
  </si>
  <si>
    <t>Github</t>
  </si>
  <si>
    <t xml:space="preserve">2FA Aircuve </t>
  </si>
  <si>
    <t>Meraki Cloud</t>
  </si>
  <si>
    <t>SAP Annual Maintenance</t>
  </si>
  <si>
    <t>Adobe Acrobat Pro</t>
  </si>
  <si>
    <t>Adobe Photoshop</t>
  </si>
  <si>
    <t>Autodesk Autocad</t>
  </si>
  <si>
    <t>Bluebeam Revu</t>
  </si>
  <si>
    <t>Sketchup</t>
  </si>
  <si>
    <t>Canva</t>
  </si>
  <si>
    <t>AI</t>
  </si>
  <si>
    <t>AI Subscriptions</t>
  </si>
  <si>
    <t>Microsoft Planner and Project Plan</t>
  </si>
  <si>
    <t>Adobe Creative Cloud Pro</t>
  </si>
  <si>
    <t>Internet</t>
  </si>
  <si>
    <t>Fiber Internet - HQ</t>
  </si>
  <si>
    <t>Innove - HQ</t>
  </si>
  <si>
    <t>Innove - SC1</t>
  </si>
  <si>
    <t>Fiber Internet - CV</t>
  </si>
  <si>
    <t>Fiber Internet - Mckinley</t>
  </si>
  <si>
    <t>Fiber Internet - ES</t>
  </si>
  <si>
    <t>External Consultants</t>
  </si>
  <si>
    <t>Actuarial Valuation - Interim</t>
  </si>
  <si>
    <t>HRIS Maintenance</t>
  </si>
  <si>
    <t>Recruitment</t>
  </si>
  <si>
    <t>Jobstreet Subscription</t>
  </si>
  <si>
    <t>Pre-Employment Medical Exams</t>
  </si>
  <si>
    <t>HR External Consultants</t>
  </si>
  <si>
    <t>Salary survey report</t>
  </si>
  <si>
    <t>Manpower</t>
  </si>
  <si>
    <t>OJT Allowances</t>
  </si>
  <si>
    <t>Company Events</t>
  </si>
  <si>
    <t>Teambuilding/ Summer Outing</t>
  </si>
  <si>
    <t>Halloween 2025</t>
  </si>
  <si>
    <t>Employee Welfare/Benefit</t>
  </si>
  <si>
    <t>Monthly Merienda</t>
  </si>
  <si>
    <t>Polo Shirts</t>
  </si>
  <si>
    <t>Clinic Supplies</t>
  </si>
  <si>
    <t>Bereavement Assistance</t>
  </si>
  <si>
    <t>Flowers and Fruits (Hospitalization)</t>
  </si>
  <si>
    <t>Drinking Water</t>
  </si>
  <si>
    <t>Paper Towels</t>
  </si>
  <si>
    <t>Birthday Bash</t>
  </si>
  <si>
    <t xml:space="preserve">Alcohol </t>
  </si>
  <si>
    <t>Flu vaccine</t>
  </si>
  <si>
    <t>Trainings &amp; Seminars</t>
  </si>
  <si>
    <t>Functional/ Technical Skills</t>
  </si>
  <si>
    <t>Fringe Benefits Tax (FBT)</t>
  </si>
  <si>
    <t>FBT</t>
  </si>
  <si>
    <t>PSPI - Managers' Payroll</t>
  </si>
  <si>
    <t>HR Internal Consultants</t>
  </si>
  <si>
    <t>Consultants - Service Fee</t>
  </si>
  <si>
    <t>Professional Organization Dues/ License Renewal</t>
  </si>
  <si>
    <t>DPO - Data Privacy Officer</t>
  </si>
  <si>
    <t>PRC - Professional Regulation Commission</t>
  </si>
  <si>
    <t>IIEE - Integrated Electrical Engineers of the Philippines</t>
  </si>
  <si>
    <t>IBP - Integrated Bar of the Philippines</t>
  </si>
  <si>
    <t>UAP - United Architects of the Philippines</t>
  </si>
  <si>
    <t>PMAP - People Management Association of the Philippines</t>
  </si>
  <si>
    <t>ECOP - Employers Confederation of the Philippines, Inc.</t>
  </si>
  <si>
    <t>Pacific Cross Insurance Policy - MDIA</t>
  </si>
  <si>
    <t>Sun Life - MDIA</t>
  </si>
  <si>
    <t>Board of Directors (BOD)</t>
  </si>
  <si>
    <t>BOD Meeting Per Diem</t>
  </si>
  <si>
    <t>BOD Meeting Retainer</t>
  </si>
  <si>
    <t>Other Taxes</t>
  </si>
  <si>
    <t>Valle Verde</t>
  </si>
  <si>
    <t>Consumables</t>
  </si>
  <si>
    <t>OPE</t>
  </si>
  <si>
    <t>Membership Dues</t>
  </si>
  <si>
    <t>Security and Exchange Commissions</t>
  </si>
  <si>
    <t>FINEX - Financial Executives Institute of the Philippines</t>
  </si>
  <si>
    <t>Communications Branding</t>
  </si>
  <si>
    <t>Media Monitoring Services</t>
  </si>
  <si>
    <t>Social Listening Services</t>
  </si>
  <si>
    <t>PR Retainer Fee</t>
  </si>
  <si>
    <t>Marketing Events</t>
  </si>
  <si>
    <t>Christmas Décor</t>
  </si>
  <si>
    <t>Marketing Subscriptions</t>
  </si>
  <si>
    <t>Meta</t>
  </si>
  <si>
    <t>95th Campaign</t>
  </si>
  <si>
    <t>AI Pollo</t>
  </si>
  <si>
    <t>Capcut</t>
  </si>
  <si>
    <t>Townhall</t>
  </si>
  <si>
    <t>Meetings</t>
  </si>
  <si>
    <t>Notarial Fees</t>
  </si>
  <si>
    <t>CD Technologies Asia Inc.</t>
  </si>
  <si>
    <t>ICD - Institute of Corporate Directors</t>
  </si>
  <si>
    <t>MBC - Makati Business Club</t>
  </si>
  <si>
    <t>Legal Fees</t>
  </si>
  <si>
    <t>Open Cases</t>
  </si>
  <si>
    <t>Retainer Fee - Angara Abello Concepcion Regala &amp; Cruz Law Offices</t>
  </si>
  <si>
    <t>Retainer Fee - Corpuz Ejercito Macasaet Rivera &amp; Corpuz Law Offices</t>
  </si>
  <si>
    <t>Retainer Fee - Poblador Bautista &amp; Reyes Law Offices</t>
  </si>
  <si>
    <t>Retainer Fee - Santiago &amp; Santiago Law Offices</t>
  </si>
  <si>
    <t>Retainer Fee - Sycip Salazar Hernandez &amp; Gatmaitan Law Offices</t>
  </si>
  <si>
    <t>FS Audit - PWC</t>
  </si>
  <si>
    <t>FS Audit OPE - PWC</t>
  </si>
  <si>
    <t>PWC FS Audit - OPE</t>
  </si>
  <si>
    <t>PWC FS Audit</t>
  </si>
  <si>
    <t>Transfer Pricing Documentation (TPD) - SGV</t>
  </si>
  <si>
    <t>RSG</t>
  </si>
  <si>
    <t>Health Insurance Service Fee - Lacson</t>
  </si>
  <si>
    <t>OFI Outsource - BDO CMC</t>
  </si>
  <si>
    <t>Representation</t>
  </si>
  <si>
    <t>Bureau of Customs Certificate Renewals</t>
  </si>
  <si>
    <t>Miscellaneous</t>
  </si>
  <si>
    <t>Office Supplies - Non HQ</t>
  </si>
  <si>
    <t>Security</t>
  </si>
  <si>
    <t>Low Value Assets - Non HQ</t>
  </si>
  <si>
    <t>Repairs &amp; Maintenance - Non HQ</t>
  </si>
  <si>
    <t>DST</t>
  </si>
  <si>
    <t>Manpower - Salary</t>
  </si>
  <si>
    <t>Basic Pay</t>
  </si>
  <si>
    <t>Guaranteed Bonus</t>
  </si>
  <si>
    <t>Leave Encashment - Separated Employees</t>
  </si>
  <si>
    <t>OT Pay</t>
  </si>
  <si>
    <t>Government Contributions (ER) - SSS</t>
  </si>
  <si>
    <t>SSS</t>
  </si>
  <si>
    <t>Government Contributions (ER) - Pag-Ibig</t>
  </si>
  <si>
    <t>Pag-ibig</t>
  </si>
  <si>
    <t>Government Contributions (ER) - Philhealth</t>
  </si>
  <si>
    <t>Philhealth</t>
  </si>
  <si>
    <t>Gas Allowance</t>
  </si>
  <si>
    <t>Medical Allowance</t>
  </si>
  <si>
    <t>Uniform Allowance</t>
  </si>
  <si>
    <t>Accident Insurance</t>
  </si>
  <si>
    <t>Life Insurance</t>
  </si>
  <si>
    <t>Medical Exam / Executive Check-up (incl. dependents)</t>
  </si>
  <si>
    <t>HMO (incl. dependents)</t>
  </si>
  <si>
    <t>Leave Encashment - Excess of 90 days</t>
  </si>
  <si>
    <t>Project Employee</t>
  </si>
  <si>
    <t>Project Employee - OT Pay</t>
  </si>
  <si>
    <t>Outsourced</t>
  </si>
  <si>
    <t>Retirement</t>
  </si>
  <si>
    <t>Research &amp; Development</t>
  </si>
  <si>
    <t>CV Village</t>
  </si>
  <si>
    <t>GH Redev Plan</t>
  </si>
  <si>
    <t>OS2</t>
  </si>
  <si>
    <t>GH Resi Block</t>
  </si>
  <si>
    <t>ES expansion</t>
  </si>
  <si>
    <t>OE Redev Plan</t>
  </si>
  <si>
    <t>Google Workspace</t>
  </si>
  <si>
    <t>Fire Suppression System</t>
  </si>
  <si>
    <t>Power BI</t>
  </si>
  <si>
    <t>VRAY</t>
  </si>
  <si>
    <t>Interest &amp; Penalty</t>
  </si>
  <si>
    <t>Penalty</t>
  </si>
  <si>
    <t>2026A-01</t>
  </si>
  <si>
    <t>2026A-02</t>
  </si>
  <si>
    <t>2026A-03</t>
  </si>
  <si>
    <t>2026A-04</t>
  </si>
  <si>
    <t>2026A-05</t>
  </si>
  <si>
    <t>2026A-06</t>
  </si>
  <si>
    <t>2026A-07</t>
  </si>
  <si>
    <t>Budget Code</t>
  </si>
  <si>
    <t>GL</t>
  </si>
  <si>
    <t>CC</t>
  </si>
  <si>
    <t>2026 Approved Budget</t>
  </si>
  <si>
    <t>2026 YTD Actuals</t>
  </si>
  <si>
    <t>2026A-08</t>
  </si>
  <si>
    <t>2026 Available Budget</t>
  </si>
  <si>
    <t>Budget Details</t>
  </si>
  <si>
    <t>Forecast Details</t>
  </si>
  <si>
    <t>Budget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</si>
  <si>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</si>
  <si>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</si>
  <si>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</si>
  <si>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</si>
  <si>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</si>
  <si>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</si>
  <si>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</si>
  <si>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</si>
  <si>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</si>
  <si>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</si>
  <si>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</si>
  <si>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</si>
  <si>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Initial 2026B</t>
  </si>
  <si>
    <t>Budget Cut</t>
  </si>
  <si>
    <t>Approved 2026B</t>
  </si>
  <si>
    <t>2025F</t>
  </si>
  <si>
    <t>Expense Tagging</t>
  </si>
  <si>
    <t>Reference</t>
  </si>
  <si>
    <t>Remarks</t>
  </si>
  <si>
    <t>CC-GL Ref Code</t>
  </si>
  <si>
    <t>Type</t>
  </si>
  <si>
    <t>Sub Type</t>
  </si>
  <si>
    <t>Manpower Tagging</t>
  </si>
  <si>
    <t>Expense Item</t>
  </si>
  <si>
    <t>2026F-09</t>
  </si>
  <si>
    <t>2026F-10</t>
  </si>
  <si>
    <t>2026F-11</t>
  </si>
  <si>
    <t>2026F-12</t>
  </si>
  <si>
    <t>2026F</t>
  </si>
  <si>
    <t>2026A-09</t>
  </si>
  <si>
    <t>2026A-10</t>
  </si>
  <si>
    <t>2026A-11</t>
  </si>
  <si>
    <t>2026A-12</t>
  </si>
  <si>
    <t>2026B vs 2026F</t>
  </si>
  <si>
    <t>Electricity</t>
  </si>
  <si>
    <t>80123102-61041101</t>
  </si>
  <si>
    <t>Water</t>
  </si>
  <si>
    <t>80123102-61041201</t>
  </si>
  <si>
    <t>Office Supplies - Toner/Ink</t>
  </si>
  <si>
    <t>80123102-61111101</t>
  </si>
  <si>
    <t>Toner/ink</t>
  </si>
  <si>
    <t>81123102-52111101</t>
  </si>
  <si>
    <t>Office Supplies - Others</t>
  </si>
  <si>
    <t>Low-Value Assets (LVA)</t>
  </si>
  <si>
    <t>80123102-61111102</t>
  </si>
  <si>
    <t>LVA</t>
  </si>
  <si>
    <t>81123102-52111102</t>
  </si>
  <si>
    <t>Fuel &amp; Lubricants - Messenger (6)</t>
  </si>
  <si>
    <t>80123102-61111201</t>
  </si>
  <si>
    <t>Fuel &amp; Lubricants - Shell Fleet</t>
  </si>
  <si>
    <t>Shell</t>
  </si>
  <si>
    <t>Gas/fuel</t>
  </si>
  <si>
    <t>81123102-52119101</t>
  </si>
  <si>
    <t>Tissue</t>
  </si>
  <si>
    <t>81221201-61111101</t>
  </si>
  <si>
    <t>OLC Logo</t>
  </si>
  <si>
    <t>81319101-52111101</t>
  </si>
  <si>
    <t>Not applicable</t>
  </si>
  <si>
    <t>80123102-61081101</t>
  </si>
  <si>
    <t>Transportation Fees</t>
  </si>
  <si>
    <t>Transpo</t>
  </si>
  <si>
    <t>Vehicle Supplies</t>
  </si>
  <si>
    <t>Meal Allowance</t>
  </si>
  <si>
    <t>81123102-52081103</t>
  </si>
  <si>
    <t>90111101-52081103</t>
  </si>
  <si>
    <t>LTO Registration - REGGIE ACBANG - 11-2022</t>
  </si>
  <si>
    <t>LTO Registration</t>
  </si>
  <si>
    <t>LTO Registration - RENEELYN ALCANTARA - 11-2022</t>
  </si>
  <si>
    <t>LTO Registration - MA. AIREEN JO GARCIA - 02-2023</t>
  </si>
  <si>
    <t>LTO Registration - MA. KAREN CAPARAS - 03-2023</t>
  </si>
  <si>
    <t>LTO Registration - JESSIE JAMES CANDELARIA - 04-2023</t>
  </si>
  <si>
    <t>LTO Registration - JASMIN MAMAUAG - 04-2023</t>
  </si>
  <si>
    <t>LTO Registration - JILL NOREEN IGNACIO - 04-2023</t>
  </si>
  <si>
    <t>LTO Registration - PIA MAE RENOLAYAN - 05-2023</t>
  </si>
  <si>
    <t>LTO Registration - JUNE JESUS VAZQUEZ - 05-2023</t>
  </si>
  <si>
    <t>LTO Registration - RONILO QUIAT - 05-2023</t>
  </si>
  <si>
    <t>LTO Registration - MARYBETH MONIS - 06-2023</t>
  </si>
  <si>
    <t>LTO Registration - ALDRIN SON PALMOS - 06-2023</t>
  </si>
  <si>
    <t>LTO Registration - VICTOR EMMANUEL AHORRO - 06-2023</t>
  </si>
  <si>
    <t>LTO Registration - ELIAS ISAGANI ELACIO - 07-2023</t>
  </si>
  <si>
    <t>LTO Registration - MICHAEL DAVID ABUNDO III - 09-2023</t>
  </si>
  <si>
    <t>LTO Registration - AMABELLE DIZON - 09-2023</t>
  </si>
  <si>
    <t>LTO Registration - MELANIE ANN BUKUHAN - 10-2023</t>
  </si>
  <si>
    <t>LTO Registration - MARVIN DAVID SATINGIN - 11-2023</t>
  </si>
  <si>
    <t>LTO Registration - JONATHAN FABRICANTE - 11-2023</t>
  </si>
  <si>
    <t>LTO Registration - GAMAYCA CASEM - 12-2023</t>
  </si>
  <si>
    <t>LTO Registration - HiluxJ 1.1T - 2011</t>
  </si>
  <si>
    <t>LTO Registration - NHR / Dropside - 2015</t>
  </si>
  <si>
    <t>LTO Registration - L300 FB - 2017</t>
  </si>
  <si>
    <t>LTO Registration - GL-Grandia - 2008</t>
  </si>
  <si>
    <t>LTO Registration - lnnova 2.8E Dsl 1.1/T - 2018</t>
  </si>
  <si>
    <t>LTO Registration - Grand Starex GL - 2012</t>
  </si>
  <si>
    <t>LTO Registration - Truck - 1989</t>
  </si>
  <si>
    <t>LTO Registration - Rebuilt - 2017</t>
  </si>
  <si>
    <t>LTO Registration - t.lG ZS 1.5L - 2019</t>
  </si>
  <si>
    <t>LTO Registration - Rebuilt - 2016</t>
  </si>
  <si>
    <t>LTO Registration - Hi Ace 2.5L - 2012</t>
  </si>
  <si>
    <t>LTO Registration - Dropside - 1997</t>
  </si>
  <si>
    <t>LTO Registration - Grandia 2.5L - 2015</t>
  </si>
  <si>
    <t>LTO Registration - Dropside - 1991</t>
  </si>
  <si>
    <t>LTO Registration - Grand Starex 2.5 GL - 2018</t>
  </si>
  <si>
    <t>81123102-52081101</t>
  </si>
  <si>
    <t>Parking</t>
  </si>
  <si>
    <t>Toll</t>
  </si>
  <si>
    <t>81319101-52081101</t>
  </si>
  <si>
    <t>RFID</t>
  </si>
  <si>
    <t>CENRO</t>
  </si>
  <si>
    <t>80123102-61711101</t>
  </si>
  <si>
    <t>what BU??</t>
  </si>
  <si>
    <t>Cenro</t>
  </si>
  <si>
    <t>R&amp;M - Building</t>
  </si>
  <si>
    <t>80123102-61061101</t>
  </si>
  <si>
    <t>details</t>
  </si>
  <si>
    <t>81123102-52061103</t>
  </si>
  <si>
    <t>R&amp;M - F&amp;F and Equipments</t>
  </si>
  <si>
    <t>80123102-61061102</t>
  </si>
  <si>
    <t>R&amp;M - F&amp;F</t>
  </si>
  <si>
    <t>R&amp;M - Supplies</t>
  </si>
  <si>
    <t>80123102-61031201</t>
  </si>
  <si>
    <t>81123102-52061111</t>
  </si>
  <si>
    <t>81123102-61031201</t>
  </si>
  <si>
    <t>81123102-52061101</t>
  </si>
  <si>
    <t>R&amp;M Vehicle - RENEELYN ALCANTARA</t>
  </si>
  <si>
    <t>80123102-61061104</t>
  </si>
  <si>
    <t>R&amp;M Vehicle</t>
  </si>
  <si>
    <t>R&amp;M Vehicle - MA. AIREEN JO GARCIA</t>
  </si>
  <si>
    <t>R&amp;M Vehicle - JESSIE JAMES CANDELARIA</t>
  </si>
  <si>
    <t>R&amp;M Vehicle - JASMIN MAMAUAG</t>
  </si>
  <si>
    <t>R&amp;M Vehicle - RONILO QUIAT</t>
  </si>
  <si>
    <t>R&amp;M Vehicle - Ronilo Quiat</t>
  </si>
  <si>
    <t>R&amp;M Vehicle - MARYBETH MONIS</t>
  </si>
  <si>
    <t>R&amp;M Vehicle - ELIAS ISAGANI ELACIO</t>
  </si>
  <si>
    <t>R&amp;M Vehicle - MICHAEL DAVID ABUNDO III</t>
  </si>
  <si>
    <t>R&amp;M Vehicle - AMABELLE DIZON</t>
  </si>
  <si>
    <t>R&amp;M Vehicle - MELANIE ANN BUKUHAN</t>
  </si>
  <si>
    <t>R&amp;M Vehicle - JOSE ANTONIO III EVANGELISTA</t>
  </si>
  <si>
    <t>R&amp;M Vehicle - JENNALYN BELARDO</t>
  </si>
  <si>
    <t>R&amp;M - JJB</t>
  </si>
  <si>
    <t>R&amp;M Vehicle - JEROME GOROSPE</t>
  </si>
  <si>
    <t>R&amp;M Vehicle - JOSE EMMANUEL JALANDONI</t>
  </si>
  <si>
    <t>R&amp;M Vehicle - CEASAR BUENAVENTURA</t>
  </si>
  <si>
    <t>R&amp;M Vehicle - CAROLINE BINGABING</t>
  </si>
  <si>
    <t>R&amp;M Vehicle - RANDYBOY TORRES</t>
  </si>
  <si>
    <t>R&amp;M Vehicle - MONIQUE LETICIA CASTAÑEDA</t>
  </si>
  <si>
    <t>R&amp;M Vehicle - LEE ROSE OLLINA</t>
  </si>
  <si>
    <t>R&amp;M Vehicle - JAVIER HERNANDEZ</t>
  </si>
  <si>
    <t>R&amp;M Vehicle - NINA ROXAN DELA CRUZ</t>
  </si>
  <si>
    <t>R&amp;M Vehicle - Budgetary</t>
  </si>
  <si>
    <t>R&amp;M Vehicle - Raize E CVT</t>
  </si>
  <si>
    <t>R&amp;M - Raize</t>
  </si>
  <si>
    <t>R&amp;M Vehicle - HiluxJ 1.1T</t>
  </si>
  <si>
    <t>R&amp;M - Yaris</t>
  </si>
  <si>
    <t>R&amp;M Vehicle - NHR / Dropside</t>
  </si>
  <si>
    <t>R&amp;M Vehicle - L300 FB</t>
  </si>
  <si>
    <t>R&amp;M Vehicle - GL-Grandia</t>
  </si>
  <si>
    <t>R&amp;M - Grandia</t>
  </si>
  <si>
    <t>R&amp;M Vehicle - lnnova 2.8E Dsl 1.1/T</t>
  </si>
  <si>
    <t>R&amp;M - Innova</t>
  </si>
  <si>
    <t>R&amp;M Vehicle - Grand Starex GL</t>
  </si>
  <si>
    <t>R&amp;M - Starex</t>
  </si>
  <si>
    <t>R&amp;M Vehicle - Truck</t>
  </si>
  <si>
    <t>R&amp;M Vehicle - Rebuilt</t>
  </si>
  <si>
    <t>R&amp;M Vehicle - t.lG ZS 1.5L</t>
  </si>
  <si>
    <t>R&amp;M - Hiace</t>
  </si>
  <si>
    <t>R&amp;M - Everest</t>
  </si>
  <si>
    <t>R&amp;M Vehicle - Hiace 2.8 GL Grandia  f.1/T 2T</t>
  </si>
  <si>
    <t>R&amp;M - Yokohama</t>
  </si>
  <si>
    <t>R&amp;M Vehicle - Hi Ace 2.5L</t>
  </si>
  <si>
    <t>R&amp;M - L300</t>
  </si>
  <si>
    <t>R&amp;M Vehicle - Dropside</t>
  </si>
  <si>
    <t>R&amp;M - Rav 4</t>
  </si>
  <si>
    <t>R&amp;M Vehicle - Grandia 2.5L</t>
  </si>
  <si>
    <t>R&amp;M - Honda HR</t>
  </si>
  <si>
    <t>R&amp;M - Subaru</t>
  </si>
  <si>
    <t>R&amp;M Vehicle - Grand Starex 2.5 GL</t>
  </si>
  <si>
    <t>R&amp;M - Mazda</t>
  </si>
  <si>
    <t>81123102-52061105</t>
  </si>
  <si>
    <t>Insurance Vehicle - REGGIE ACBANG</t>
  </si>
  <si>
    <t>81123102-52101112</t>
  </si>
  <si>
    <t>Insurance - Vehicle</t>
  </si>
  <si>
    <t>Insurance Vehicle - RENEELYN ALCANTARA</t>
  </si>
  <si>
    <t>Insurance Vehicle - LAWRENCE PARAY</t>
  </si>
  <si>
    <t>Insurance Vehicle - MA. AIREEN JO GARCIA</t>
  </si>
  <si>
    <t>Insurance Vehicle - MA. KAREN CAPARAS</t>
  </si>
  <si>
    <t>Insurance Vehicle - JESSIE JAMES CANDELARIA</t>
  </si>
  <si>
    <t>Insurance Vehicle - JASMIN MAMAUAG</t>
  </si>
  <si>
    <t>Insurance Vehicle - JILL NOREEN IGNACIO</t>
  </si>
  <si>
    <t>80123102-61101104</t>
  </si>
  <si>
    <t>Insurance Vehicle - PIA MAE RENOLAYAN</t>
  </si>
  <si>
    <t>Insurance Vehicle - JUNE JESUS VAZQUEZ</t>
  </si>
  <si>
    <t>Insurance Vehicle - RONILO QUIAT</t>
  </si>
  <si>
    <t>Insurance Vehicle - MARYBETH MONIS</t>
  </si>
  <si>
    <t>Insurance Vehicle - ALDRIN SON PALMOS</t>
  </si>
  <si>
    <t>Insurance Vehicle - VICTOR EMMANUEL AHORRO</t>
  </si>
  <si>
    <t>Insurance Vehicle - ELIAS ISAGANI ELACIO</t>
  </si>
  <si>
    <t>Insurance Vehicle - MICHAEL DAVID ABUNDO III</t>
  </si>
  <si>
    <t>Insurance Vehicle - AMABELLE DIZON</t>
  </si>
  <si>
    <t>Insurance Vehicle - MELANIE ANN BUKUHAN</t>
  </si>
  <si>
    <t>Insurance Vehicle - MARVIN DAVID SATINGIN</t>
  </si>
  <si>
    <t>Insurance Vehicle - JONATHAN FABRICANTE</t>
  </si>
  <si>
    <t>Insurance Vehicle - GAMAYCA CASEM</t>
  </si>
  <si>
    <t>Insurance Vehicle - JOSE ANTONIO III EVANGELISTA</t>
  </si>
  <si>
    <t>Insurance Vehicle - JOSE GORDON GOMEZ</t>
  </si>
  <si>
    <t>Insurance Vehicle - JENNALYN BELARDO</t>
  </si>
  <si>
    <t>Insurance Vehicle - XANTINE KRISTEL MORALES</t>
  </si>
  <si>
    <t>Insurance Vehicle - ALBERTINE ELLEN JIMENEZ</t>
  </si>
  <si>
    <t>Insurance Vehicle - JEROME GOROSPE</t>
  </si>
  <si>
    <t>Insurance Vehicle - MARIFE BLAQUERA</t>
  </si>
  <si>
    <t>Insurance Vehicle - PAULINA ALEXANDRA AGUILAR</t>
  </si>
  <si>
    <t>Insurance Vehicle - JOSE EMMANUEL JALANDONI</t>
  </si>
  <si>
    <t>Insurance Vehicle - MARIA JENNIFER ALMOJUELA</t>
  </si>
  <si>
    <t>Insurance Vehicle - CEASAR BUENAVENTURA</t>
  </si>
  <si>
    <t>Insurance Vehicle - WENDELYN ALCANTARA</t>
  </si>
  <si>
    <t>Insurance Vehicle - WILBERT DIMZON</t>
  </si>
  <si>
    <t>Insurance Vehicle - CAROLINE BINGABING</t>
  </si>
  <si>
    <t>Insurance Vehicle - LUIGIE MAGTUTO</t>
  </si>
  <si>
    <t>Insurance Vehicle - SHEENA LYN CHING</t>
  </si>
  <si>
    <t>Insurance Vehicle - RANDYBOY TORRES</t>
  </si>
  <si>
    <t>Insurance Vehicle - ROSE ANN ESTRADA</t>
  </si>
  <si>
    <t>Insurance Vehicle - CARLO TENERIFE</t>
  </si>
  <si>
    <t>Insurance Vehicle - KRISTINE MAE VILLEGAS</t>
  </si>
  <si>
    <t>Insurance Vehicle - MONIQUE LETICIA CASTAÑEDA</t>
  </si>
  <si>
    <t>Insurance Vehicle - JOEY LASANAS</t>
  </si>
  <si>
    <t>Insurance Vehicle - LEE ROSE OLLINA</t>
  </si>
  <si>
    <t>Insurance Vehicle - NINA ROXAN DELA CRUZ</t>
  </si>
  <si>
    <t>Insurance Vehicle - LAARNI MAE TAPANG</t>
  </si>
  <si>
    <t>Insurance Vehicle - JONAGALE DE GUZMAN</t>
  </si>
  <si>
    <t>Insurance Vehicle - JANEENA ARIELLE MARIE LANSANGAN</t>
  </si>
  <si>
    <t>Insurance Vehicle - PATRICIA ANTONETTE DANGAN</t>
  </si>
  <si>
    <t>Insurance Vehicle - JOHN HOWARD GARCIA</t>
  </si>
  <si>
    <t>Insurance Vehicle - Howard Garcia</t>
  </si>
  <si>
    <t>Insurance Vehicle - JAVIER HERNANDEZ</t>
  </si>
  <si>
    <t>Insurance Vehicle - ELEONOR HONRA</t>
  </si>
  <si>
    <t>Insurance Vehicle - EMLIN MAE JAVILLONAR</t>
  </si>
  <si>
    <t>Insurance Vehicle - ANDREA ROMINA MACASERO</t>
  </si>
  <si>
    <t>Insurance Vehicle - CAROLINE MEJIA</t>
  </si>
  <si>
    <t>Insurance Vehicle - Caroline Mejia</t>
  </si>
  <si>
    <t>Insurance Vehicle - RYAN GIL MORENO</t>
  </si>
  <si>
    <t>Insurance Vehicle - DENNIS PEREZ</t>
  </si>
  <si>
    <t>Insurance Vehicle - ELOIDA TUBANIA</t>
  </si>
  <si>
    <t>Insurance Vehicle - Budgetary</t>
  </si>
  <si>
    <t>Insurance Vehicle</t>
  </si>
  <si>
    <t>Insurance Vehicle - Raize E CVT</t>
  </si>
  <si>
    <t>Insurance Vehicle - HiluxJ 1.1T</t>
  </si>
  <si>
    <t>Insurance Vehicle - NHR / Dropside</t>
  </si>
  <si>
    <t>Insurance Vehicle - L300 FB</t>
  </si>
  <si>
    <t>Insurance Vehicle - GL-Grandia</t>
  </si>
  <si>
    <t>Insurance Vehicle - lnnova 2.8E Dsl 1.1/T</t>
  </si>
  <si>
    <t>Insurance Vehicle - Grand Starex GL</t>
  </si>
  <si>
    <t>Insurance Vehicle - Truck</t>
  </si>
  <si>
    <t>Insurance Vehicle - Rebuilt</t>
  </si>
  <si>
    <t>Insurance Vehicle - t.lG ZS 1.5L</t>
  </si>
  <si>
    <t>Insurance Vehicle - Hiace 2.8 GL Grandia  f.1/T 2T</t>
  </si>
  <si>
    <t>Insurance Vehicle - Hi Ace 2.5L</t>
  </si>
  <si>
    <t>Insurance Vehicle - Dropside</t>
  </si>
  <si>
    <t>Insurance Vehicle - Grandia 2.5L</t>
  </si>
  <si>
    <t>Insurance Vehicle - Grand Starex 2.5 GL</t>
  </si>
  <si>
    <t>Property All Risk Insurance (PARI) - OCLP</t>
  </si>
  <si>
    <t>80111101-52101101</t>
  </si>
  <si>
    <t>check w Ms. Jolene</t>
  </si>
  <si>
    <t>Property All Risk Insurance (PARI) - OCC</t>
  </si>
  <si>
    <t>81111101-52101101</t>
  </si>
  <si>
    <t>Property Terrorism &amp; Sabotage (PTS) - OCLP</t>
  </si>
  <si>
    <t>80111101-52101105</t>
  </si>
  <si>
    <t>Property Terrorism &amp; Sabotage (PTS) - OCC</t>
  </si>
  <si>
    <t>81111101-52101105</t>
  </si>
  <si>
    <t>90111101-61101106</t>
  </si>
  <si>
    <t>Directors &amp; Officers Liability (DOL)</t>
  </si>
  <si>
    <t>90111101-52101107</t>
  </si>
  <si>
    <t>Trunk Line - 631-12-31</t>
  </si>
  <si>
    <t>80123102-61721101</t>
  </si>
  <si>
    <t>Communication</t>
  </si>
  <si>
    <t>Trunk Line/Direct Line/Land Line</t>
  </si>
  <si>
    <t>Trunk Line - 631-12-32</t>
  </si>
  <si>
    <t>Trunk Line - 631-12-33</t>
  </si>
  <si>
    <t>Trunk Line - 631-12-34</t>
  </si>
  <si>
    <t>Trunk Line - 631-12-35</t>
  </si>
  <si>
    <t>Trunk Line - 631-12-36</t>
  </si>
  <si>
    <t>Trunk Line - 631-12-37</t>
  </si>
  <si>
    <t>Trunk Line - 631-12-38</t>
  </si>
  <si>
    <t>Direct Line - 631-12-39</t>
  </si>
  <si>
    <t>Security Wireless Landline -7F - 401-2076</t>
  </si>
  <si>
    <t>Renee bacani - 638-83-31</t>
  </si>
  <si>
    <t>JHJ - 631-15-08</t>
  </si>
  <si>
    <t>CRAS_NDD - 631-77-16</t>
  </si>
  <si>
    <t>DMZ - 631-26-85</t>
  </si>
  <si>
    <t>MDIA - 631-37-72</t>
  </si>
  <si>
    <t>Provision for Postal - Corp (Local &amp; International )</t>
  </si>
  <si>
    <t>80123102-61721103</t>
  </si>
  <si>
    <t>Messenger - Basic (7)</t>
  </si>
  <si>
    <t>81123102-52041499</t>
  </si>
  <si>
    <t>Admin Staff (SFI)</t>
  </si>
  <si>
    <t>Messenger - OT (7)</t>
  </si>
  <si>
    <t>Admin Staff (H&amp;K)</t>
  </si>
  <si>
    <t>81111101-52041499</t>
  </si>
  <si>
    <t>Admin Staff (TAHJ)</t>
  </si>
  <si>
    <t>2025 Admin Staff</t>
  </si>
  <si>
    <t>Operator - Basic (2)</t>
  </si>
  <si>
    <t>Operator - OT (2)</t>
  </si>
  <si>
    <t>Company Driver - Basic (4)</t>
  </si>
  <si>
    <t>Company Driver - OT (4)</t>
  </si>
  <si>
    <t>Driver for executives - Basic - VICTOR</t>
  </si>
  <si>
    <t>JHJ</t>
  </si>
  <si>
    <t>Driver for executives - OT - VICTOR</t>
  </si>
  <si>
    <t>Property Valuation</t>
  </si>
  <si>
    <t>table appraisal (actual appraisal every 3 yrs)</t>
  </si>
  <si>
    <t>80123102-61071099</t>
  </si>
  <si>
    <t>RECEPTIONIST (1), ADMIN ASSISTANT (1), DRIVER (1) - ES</t>
  </si>
  <si>
    <t>driver - new</t>
  </si>
  <si>
    <t>81319101-52041499</t>
  </si>
  <si>
    <t>Malls</t>
  </si>
  <si>
    <t>ES</t>
  </si>
  <si>
    <t>Receptionist 1; Admin assistant 1</t>
  </si>
  <si>
    <t>RECEPTIONIST (2), DRIVER (1), MESSENGER (1), ADMIN ASSISTANT (2) - GH</t>
  </si>
  <si>
    <t>admin assistant - new</t>
  </si>
  <si>
    <t>GH</t>
  </si>
  <si>
    <t>Driver 1; Receptionist 2; Messenger 2</t>
  </si>
  <si>
    <t>TS</t>
  </si>
  <si>
    <t>Receptionist 1</t>
  </si>
  <si>
    <t>Office support GH</t>
  </si>
  <si>
    <t>90122101-52041499</t>
  </si>
  <si>
    <t>Doctor</t>
  </si>
  <si>
    <t>Company Physician (health talk)</t>
  </si>
  <si>
    <t>CBC AUTOTAX FILING</t>
  </si>
  <si>
    <t>80133102-61051199</t>
  </si>
  <si>
    <t>Auto Tax</t>
  </si>
  <si>
    <t>Janitorial - Basic - BASANIO TORRECHILLA</t>
  </si>
  <si>
    <t>81123102-52041405</t>
  </si>
  <si>
    <t>Janitorial (H&amp;K)</t>
  </si>
  <si>
    <t>Janitorial - Basic - FREDDIE BANAAG</t>
  </si>
  <si>
    <t>Janitorial (SFI)</t>
  </si>
  <si>
    <t>Janitorial (S1)</t>
  </si>
  <si>
    <t>81111101-52041405</t>
  </si>
  <si>
    <t>Janitorial - Basic - NADOR CELLAN</t>
  </si>
  <si>
    <t>Janitorial - Basic - MARIBETH TABANGCURA</t>
  </si>
  <si>
    <t>Janitorial - Basic - ALBERTO BANAWA</t>
  </si>
  <si>
    <t>Janitorial - Basic - DIVINE JUROLOM</t>
  </si>
  <si>
    <t>Janitorial - Basic - RICHARD CERVITO</t>
  </si>
  <si>
    <t>Janitorial - Basic - ANTHONY NASSAM</t>
  </si>
  <si>
    <t>Janitorial - Basic - JANNA ALICANDO</t>
  </si>
  <si>
    <t>Janitorial - OT - BASANIO TORRECHILLA</t>
  </si>
  <si>
    <t>Janitorial - OT - FREDDIE BANAAG</t>
  </si>
  <si>
    <t>Janitorial - OT - NADOR CELLAN</t>
  </si>
  <si>
    <t>Janitorial - OT - MARIBETH TABANGCURA</t>
  </si>
  <si>
    <t>Janitorial - OT - ALBERTO BANAWA</t>
  </si>
  <si>
    <t>Mobile Phones - OCC (incl prepaid)</t>
  </si>
  <si>
    <t>Mobile</t>
  </si>
  <si>
    <t>OCLP - JHJ and Atty. Mike</t>
  </si>
  <si>
    <t>81123102-52951101</t>
  </si>
  <si>
    <t>***consult with RMS/
OCLP or OCC?</t>
  </si>
  <si>
    <t>Mobile Phones</t>
  </si>
  <si>
    <t>Low-Value Assets - OCLP</t>
  </si>
  <si>
    <t>80124101-61111102</t>
  </si>
  <si>
    <t>Low-Value Assets - OCC</t>
  </si>
  <si>
    <t>81124101-52111102</t>
  </si>
  <si>
    <t xml:space="preserve">Hardware support renewal Aruba managed switch - HQ ( Data Center Switch, Core Switch) </t>
  </si>
  <si>
    <t>80124101-61711102</t>
  </si>
  <si>
    <t>81124101-52952103</t>
  </si>
  <si>
    <t xml:space="preserve">Silver Peak Edge Devices (7 units) </t>
  </si>
  <si>
    <t>converted to Adaptiv (SDWAN)</t>
  </si>
  <si>
    <t xml:space="preserve">SDWAN Support and Maintenance  - Head Office </t>
  </si>
  <si>
    <t>SDWAN HQ</t>
  </si>
  <si>
    <t>SDWAN Adaptiv HQ SC</t>
  </si>
  <si>
    <t xml:space="preserve">SDWAN Support and Maintenance Renewal - Estancia Admin </t>
  </si>
  <si>
    <t>SDWAN ES</t>
  </si>
  <si>
    <t>SDWAN Adaptiv CV</t>
  </si>
  <si>
    <t xml:space="preserve">SDWAN Support and Maintenance Renewal - GH Admin Office </t>
  </si>
  <si>
    <t>SDWAN GH and CV</t>
  </si>
  <si>
    <t xml:space="preserve">SDWAN Support and Maintenance Renewal - Tiende Admin </t>
  </si>
  <si>
    <t>SDWAN TS</t>
  </si>
  <si>
    <t>HQ Firewall Security Renewal (SonicWall)</t>
  </si>
  <si>
    <t>SonicWall</t>
  </si>
  <si>
    <t>Systems &amp; Applications - Security</t>
  </si>
  <si>
    <t>,</t>
  </si>
  <si>
    <t>Remote Desktop</t>
  </si>
  <si>
    <t>Systems &amp; Applications - Software</t>
  </si>
  <si>
    <t xml:space="preserve">Maintenance Renewal Datrium Storage and HP Server (4 units) </t>
  </si>
  <si>
    <t>Datrium, Proliant</t>
  </si>
  <si>
    <t>Systems &amp; Applications - Storage</t>
  </si>
  <si>
    <t>Maintenance of server room Aircon,UPS, Fire Suppression System and Door Access ( HQ )</t>
  </si>
  <si>
    <t>Server Maintenance</t>
  </si>
  <si>
    <t>annual maintenance (no billing yet this 2025)</t>
  </si>
  <si>
    <t>81124101-52061109</t>
  </si>
  <si>
    <t>HPE</t>
  </si>
  <si>
    <t>Repair - Laptop and IT Equipment</t>
  </si>
  <si>
    <t>Repair</t>
  </si>
  <si>
    <t>Sir Clyde</t>
  </si>
  <si>
    <t>Systems &amp; Applications - Repairs</t>
  </si>
  <si>
    <t>Laptop</t>
  </si>
  <si>
    <t xml:space="preserve">Office 365 E3 Subscription for OCLP ( 2025 Active User: 332) </t>
  </si>
  <si>
    <t>Office365 OCLP</t>
  </si>
  <si>
    <t>M365</t>
  </si>
  <si>
    <t>Office 365 Account</t>
  </si>
  <si>
    <t xml:space="preserve">Office 365 E3 Subscription for OCC ( 2025 Active Users: 107) </t>
  </si>
  <si>
    <t>Office365 OCC</t>
  </si>
  <si>
    <t>Material Security Email Threat Protection for Office365 ( as of 2024 477 licenses)</t>
  </si>
  <si>
    <t>Office365 Email Security</t>
  </si>
  <si>
    <t>M365 Email Security</t>
  </si>
  <si>
    <t>Office365 Extra Storage</t>
  </si>
  <si>
    <t>Office365 OCLP New</t>
  </si>
  <si>
    <t>M365 Extra Storage</t>
  </si>
  <si>
    <t xml:space="preserve">Annual maintenance and support renewal for Vmware Standard </t>
  </si>
  <si>
    <t>Annual License Renewal of Menlo Cloud Internet Security (as of 2024 401 Licenses)</t>
  </si>
  <si>
    <t>Menlo</t>
  </si>
  <si>
    <t>Menlo Cloud Internet</t>
  </si>
  <si>
    <t>CROWDSTIKE  Endpoint Security (as of 2024 480 licenses)</t>
  </si>
  <si>
    <t>Crowdstrike</t>
  </si>
  <si>
    <t>SDWAN Boost and Adaptiv</t>
  </si>
  <si>
    <t xml:space="preserve">Web Application Firewall (WAF) - Support and Maintenance Renewal </t>
  </si>
  <si>
    <t>WAF</t>
  </si>
  <si>
    <t xml:space="preserve">Annual renewal of Acronis Cloud DR </t>
  </si>
  <si>
    <t>Acronis</t>
  </si>
  <si>
    <t>cloud back-up</t>
  </si>
  <si>
    <t xml:space="preserve">Renewal Web Hosting (ortigas.com.ph / pos-ortigas.com.ph / ortigas.land </t>
  </si>
  <si>
    <t>Web hosting</t>
  </si>
  <si>
    <t>Annual Maintenance and Support Renewal of Network Advance Threat Protection (PaloAlto)</t>
  </si>
  <si>
    <t>PaloAlto</t>
  </si>
  <si>
    <t>Palo Alto</t>
  </si>
  <si>
    <t>Domain Renewal (ortigasland.com.ph)</t>
  </si>
  <si>
    <t>Domain Renewal (ortigas.com.ph)</t>
  </si>
  <si>
    <t>Domain Renewal (opmi.com.ph)</t>
  </si>
  <si>
    <t>Wildcard SSL Renewal (ortigasland.com.ph)</t>
  </si>
  <si>
    <t>Wildcard SSL Renewal (ortigas.com.ph)</t>
  </si>
  <si>
    <t xml:space="preserve">Registration for new domain </t>
  </si>
  <si>
    <t>Ortigas Land Website</t>
  </si>
  <si>
    <t>charge to BU if w new domain</t>
  </si>
  <si>
    <t xml:space="preserve">Power Apps License </t>
  </si>
  <si>
    <t>AWS CLOUD HOSTED SERVER / APPLICATION PORTAL / HRIS</t>
  </si>
  <si>
    <t>AWS</t>
  </si>
  <si>
    <t>Systems &amp; Applications - Server</t>
  </si>
  <si>
    <t>MSOC</t>
  </si>
  <si>
    <t xml:space="preserve">Zoom Subscription </t>
  </si>
  <si>
    <t>Sir Oyong</t>
  </si>
  <si>
    <t xml:space="preserve">Annual Maintence Renewal of 2FA Aircuve </t>
  </si>
  <si>
    <t>2FA Aircuve</t>
  </si>
  <si>
    <t>Aircuve</t>
  </si>
  <si>
    <t xml:space="preserve">Renewal of Meraki Cloud License for HQ </t>
  </si>
  <si>
    <t>Meraki HQ</t>
  </si>
  <si>
    <t>Meraki</t>
  </si>
  <si>
    <t>Meraki ES</t>
  </si>
  <si>
    <t>Meraki TS</t>
  </si>
  <si>
    <t>SAP ECC 6.0 Annual Maintenance Fee</t>
  </si>
  <si>
    <t>SAP Maintenance</t>
  </si>
  <si>
    <t>Sir Onie</t>
  </si>
  <si>
    <t>SAP</t>
  </si>
  <si>
    <t>Adobe  Sign Enterprise</t>
  </si>
  <si>
    <t>Adobe Sign</t>
  </si>
  <si>
    <t>no. of transactions/docs - 10k</t>
  </si>
  <si>
    <t>Sir Onie - why change the license? Who are the users?</t>
  </si>
  <si>
    <t xml:space="preserve">License Renew Adobe Acrobat Pro </t>
  </si>
  <si>
    <t>Acrobat Pro</t>
  </si>
  <si>
    <t>Who are the users?</t>
  </si>
  <si>
    <t>Renewal Adobe PhotoShop (20 Users)</t>
  </si>
  <si>
    <t>License Renewal Autocad LT (20 users)</t>
  </si>
  <si>
    <t>Autocad</t>
  </si>
  <si>
    <t>OMD, DPD, EPD, TSG</t>
  </si>
  <si>
    <t>New License (AutoCAD, Photoshop, SketchUp, Adobe Read, Bluebeam) (6 users)</t>
  </si>
  <si>
    <t xml:space="preserve">MS Visio Plan2 </t>
  </si>
  <si>
    <t>MS Visio</t>
  </si>
  <si>
    <t>License Bluebeam Revu (15 user)</t>
  </si>
  <si>
    <t>Bluebeam</t>
  </si>
  <si>
    <t xml:space="preserve">Renewal Sketchup ( 15 users) </t>
  </si>
  <si>
    <t xml:space="preserve">Replacement of UPS Battery ( HQ Server Room) </t>
  </si>
  <si>
    <t>Vertiv UPS/ Battery</t>
  </si>
  <si>
    <t>Any Desk License Subscription (Advance Version)</t>
  </si>
  <si>
    <t>Any Desk</t>
  </si>
  <si>
    <t xml:space="preserve">License renewal Sharepoint Online additional storage </t>
  </si>
  <si>
    <t>Sharepoint</t>
  </si>
  <si>
    <t>Sharepoint Storage</t>
  </si>
  <si>
    <t>Canva Pro Subscription Renewal c/o HR-Altine  (5)</t>
  </si>
  <si>
    <t>90124101-52952103</t>
  </si>
  <si>
    <t>Chat GPT / AI Workflow &amp; Automation (5 users)</t>
  </si>
  <si>
    <t>AI Chatgpt</t>
  </si>
  <si>
    <t>Systems &amp; Applications - AI</t>
  </si>
  <si>
    <t>AI Claude</t>
  </si>
  <si>
    <t>AI Copilot</t>
  </si>
  <si>
    <t>AI Builder</t>
  </si>
  <si>
    <t>Microsoft Planner</t>
  </si>
  <si>
    <t xml:space="preserve">Planner and Project Plan 3 </t>
  </si>
  <si>
    <t>Planner and Project</t>
  </si>
  <si>
    <t>Autodesk Autocad Full (4 users)</t>
  </si>
  <si>
    <t>Autodesk</t>
  </si>
  <si>
    <t>PD - Tubac, Fajardo, Toraldo, Pinca</t>
  </si>
  <si>
    <t xml:space="preserve">Autodesk Civil 3D (1 user ) </t>
  </si>
  <si>
    <t>PD new request</t>
  </si>
  <si>
    <t>Autodesk Civil 3D</t>
  </si>
  <si>
    <t xml:space="preserve">Microsoft Project (1 user ) </t>
  </si>
  <si>
    <t>Microsoft Project</t>
  </si>
  <si>
    <t>M365 2024</t>
  </si>
  <si>
    <t>Accrual</t>
  </si>
  <si>
    <t>April Ann T. Roque</t>
  </si>
  <si>
    <t>SAP Consultant</t>
  </si>
  <si>
    <t>81124101-52071104</t>
  </si>
  <si>
    <t>IT Consultant - April Roque</t>
  </si>
  <si>
    <t>Developer</t>
  </si>
  <si>
    <t>Ian Carl Chingcuanco(ABAP)</t>
  </si>
  <si>
    <t>ABAP</t>
  </si>
  <si>
    <t>Consultant - SAP Hana Migration Assessment &amp; Roadmapping</t>
  </si>
  <si>
    <t>IT Consultant - SAP Migration</t>
  </si>
  <si>
    <t>Consutant - SAP Basis</t>
  </si>
  <si>
    <t>IT Consultant - SAP Basis</t>
  </si>
  <si>
    <t>Misc. IT Consultants</t>
  </si>
  <si>
    <t>IT Consultant - Others</t>
  </si>
  <si>
    <t xml:space="preserve">HCI Implementation and Migration </t>
  </si>
  <si>
    <t>if NPC is approved</t>
  </si>
  <si>
    <t>Mobile Phones - OCLP (incl prepaid)</t>
  </si>
  <si>
    <t>80124101-61721105</t>
  </si>
  <si>
    <t>SMS Blast</t>
  </si>
  <si>
    <t>FIBER INTERNET CONNECTION (Account No. 101123596 - 200mbps)</t>
  </si>
  <si>
    <t>SECONDARY INTERNET CONNECTION (Account No. 887660002 - 100mb )</t>
  </si>
  <si>
    <t>GLOBE FIBER INTERNET  ( Account No. 875079619 - 20mb)</t>
  </si>
  <si>
    <t>Offices</t>
  </si>
  <si>
    <t>FIBER INTERNET I-GATE (Account No.  654299439 - 20mbps)</t>
  </si>
  <si>
    <t>RBU</t>
  </si>
  <si>
    <t>80123102-61721105</t>
  </si>
  <si>
    <t>FIBER INTERNET TSG - DCMG MCKINLEY OFFICE 100mb  (NEW)</t>
  </si>
  <si>
    <t>new</t>
  </si>
  <si>
    <t>Participation in  HR Compensation/Benefits/Engagement Survey</t>
  </si>
  <si>
    <t>90122101-52071104</t>
  </si>
  <si>
    <t>Salary Survey Report</t>
  </si>
  <si>
    <t>PAS19 Valuation Sept Interim</t>
  </si>
  <si>
    <t>AVR</t>
  </si>
  <si>
    <t>90122101-61071099</t>
  </si>
  <si>
    <t>PAS19 Valuation</t>
  </si>
  <si>
    <t>81122101-52071199</t>
  </si>
  <si>
    <t>80122101-61071099</t>
  </si>
  <si>
    <t>Funding Valuation</t>
  </si>
  <si>
    <t>PAS19 Valuation December</t>
  </si>
  <si>
    <t>OLC Valuation SL/VL Conversion</t>
  </si>
  <si>
    <t>Leave Conversion Valuation</t>
  </si>
  <si>
    <t>HRIS Tirso</t>
  </si>
  <si>
    <t>JOBSTREET Subscription</t>
  </si>
  <si>
    <t>81122101-52121315</t>
  </si>
  <si>
    <t>90122101-52121315</t>
  </si>
  <si>
    <t>Jobstreet</t>
  </si>
  <si>
    <t>LINKED IN Subscription</t>
  </si>
  <si>
    <t>3 accounts</t>
  </si>
  <si>
    <t>option to subscribe on amonthly basis?</t>
  </si>
  <si>
    <t>LinkedIn Subscription</t>
  </si>
  <si>
    <t>INDEED Subscription</t>
  </si>
  <si>
    <t>Indeed Subscription</t>
  </si>
  <si>
    <t>Employee Referral Incentive</t>
  </si>
  <si>
    <t>80122101-61021316</t>
  </si>
  <si>
    <t>Recruitment Video</t>
  </si>
  <si>
    <t>Online Psychological Exams</t>
  </si>
  <si>
    <t>Job Fair</t>
  </si>
  <si>
    <t>Recruitment Collaterals</t>
  </si>
  <si>
    <t>align w/ MRF</t>
  </si>
  <si>
    <t>Recruitment Fees (Special Hiring)</t>
  </si>
  <si>
    <t>21% of annual fee</t>
  </si>
  <si>
    <t>90111101-61021206</t>
  </si>
  <si>
    <t>OJT</t>
  </si>
  <si>
    <t>Family Day</t>
  </si>
  <si>
    <t>81122101-52121401</t>
  </si>
  <si>
    <t>budget cut</t>
  </si>
  <si>
    <t>Townhall Meeting</t>
  </si>
  <si>
    <t>no charges yet</t>
  </si>
  <si>
    <t>Anniversary Breakfast</t>
  </si>
  <si>
    <t>95th</t>
  </si>
  <si>
    <t>Ocular (Team Building)</t>
  </si>
  <si>
    <t>Company Outing</t>
  </si>
  <si>
    <t>Company outing</t>
  </si>
  <si>
    <t>Band 55,000; Pico addtl costs 57,501.25; Mcdo 19,550</t>
  </si>
  <si>
    <t>Christmas Party</t>
  </si>
  <si>
    <t>Christmas Party 2025</t>
  </si>
  <si>
    <t>Christmas Party GC</t>
  </si>
  <si>
    <t>90122101-52121310</t>
  </si>
  <si>
    <t>331 as of Sep plus 9 for hiring</t>
  </si>
  <si>
    <t>81122101-52121310</t>
  </si>
  <si>
    <t>80122101-61021311</t>
  </si>
  <si>
    <t>Employee ID Plastic, Card and Lanyards (30 pax/month)</t>
  </si>
  <si>
    <t>Company Lanyard and ID Case</t>
  </si>
  <si>
    <t>81122101-52121402</t>
  </si>
  <si>
    <t>Welcome Back to Work 2026 Kit</t>
  </si>
  <si>
    <t>w charging under Marketing</t>
  </si>
  <si>
    <t>Welcome Back to Work Kit</t>
  </si>
  <si>
    <t xml:space="preserve">Chinese New Year </t>
  </si>
  <si>
    <t xml:space="preserve">Valentine's Day </t>
  </si>
  <si>
    <t>Women's Month</t>
  </si>
  <si>
    <t>Flores de Mayo</t>
  </si>
  <si>
    <t>Mother's Day</t>
  </si>
  <si>
    <t xml:space="preserve">Father's Day </t>
  </si>
  <si>
    <t>Blue Friday</t>
  </si>
  <si>
    <t>Filipino Month</t>
  </si>
  <si>
    <t>Oktoberfest</t>
  </si>
  <si>
    <t>Pink Friday</t>
  </si>
  <si>
    <t>Halloween Trick or treat/UN Costume contest</t>
  </si>
  <si>
    <t>Halloween</t>
  </si>
  <si>
    <t>Employee Merienda</t>
  </si>
  <si>
    <t>Mini Sportsfest</t>
  </si>
  <si>
    <t>basketball</t>
  </si>
  <si>
    <t>Blood letting activity</t>
  </si>
  <si>
    <t>Shirts</t>
  </si>
  <si>
    <t>81122101-52111101</t>
  </si>
  <si>
    <t>90122101-52121402</t>
  </si>
  <si>
    <t>80122101-61021403</t>
  </si>
  <si>
    <t>Flowers and Fruits</t>
  </si>
  <si>
    <t>Water HQ and DCMG (5 gallons)</t>
  </si>
  <si>
    <t>Drinking Water - HQ</t>
  </si>
  <si>
    <t>90111101-61021403</t>
  </si>
  <si>
    <t>Special Interests Clubs</t>
  </si>
  <si>
    <t>Birthday Bash Celebration</t>
  </si>
  <si>
    <t>Alcohol</t>
  </si>
  <si>
    <t>Soap (except HQ, CMD and DCMG)</t>
  </si>
  <si>
    <t>Soap</t>
  </si>
  <si>
    <t>Manual Receipts</t>
  </si>
  <si>
    <t>check w Ms. Sharie</t>
  </si>
  <si>
    <t>Senior Leaders Planning</t>
  </si>
  <si>
    <t>Service Awardees</t>
  </si>
  <si>
    <t>90111101-52121314</t>
  </si>
  <si>
    <t>80111101-61021315</t>
  </si>
  <si>
    <t>81111101-52121314</t>
  </si>
  <si>
    <t>Vaccine</t>
  </si>
  <si>
    <t>HR Hour</t>
  </si>
  <si>
    <t>Karaoke Night</t>
  </si>
  <si>
    <t>Calamity Assistance</t>
  </si>
  <si>
    <t>Government Contri Adjustment</t>
  </si>
  <si>
    <t>Ortigas Run</t>
  </si>
  <si>
    <t>check charging to other SBU</t>
  </si>
  <si>
    <t>90122101-61111101</t>
  </si>
  <si>
    <t>BIR 2316 DST</t>
  </si>
  <si>
    <t>80111101-61021403</t>
  </si>
  <si>
    <t>90311101-52121402</t>
  </si>
  <si>
    <t>90122101-52121502</t>
  </si>
  <si>
    <t>basis/plans (list of trainings)</t>
  </si>
  <si>
    <t>Trainings</t>
  </si>
  <si>
    <t>81122101-52121502</t>
  </si>
  <si>
    <t>80122101-61021502</t>
  </si>
  <si>
    <t>Behavioral/ Soft Skills</t>
  </si>
  <si>
    <t>Safety Training</t>
  </si>
  <si>
    <t>Leadership/MBA</t>
  </si>
  <si>
    <t>Project Management</t>
  </si>
  <si>
    <t>Training Cookies &amp; Prizes</t>
  </si>
  <si>
    <t>PMAP/ ECOP</t>
  </si>
  <si>
    <t>FBT - OCLP</t>
  </si>
  <si>
    <t>80111101-61021314</t>
  </si>
  <si>
    <t>FBT - OLC</t>
  </si>
  <si>
    <t>90111101-52121313</t>
  </si>
  <si>
    <t>FBT - OCC</t>
  </si>
  <si>
    <t>81111101-52121313</t>
  </si>
  <si>
    <t>FBT 2025</t>
  </si>
  <si>
    <t>Janitorial - OT - DIVINE JUROLOM</t>
  </si>
  <si>
    <t>Janitorial - OT - RICHARD CERVITO</t>
  </si>
  <si>
    <t>PWC - Managers' Payroll</t>
  </si>
  <si>
    <t>PSPI</t>
  </si>
  <si>
    <t>PSPI 2025</t>
  </si>
  <si>
    <t>Group 1</t>
  </si>
  <si>
    <t>81122101-52071104</t>
  </si>
  <si>
    <t>combine</t>
  </si>
  <si>
    <t>INTCNSLTNT</t>
  </si>
  <si>
    <t>Security Consultant</t>
  </si>
  <si>
    <t>Group 2</t>
  </si>
  <si>
    <t>Internal Consultants</t>
  </si>
  <si>
    <t>OLC INTCNSLTNT</t>
  </si>
  <si>
    <t>IIA - Institute of Internal Auditors</t>
  </si>
  <si>
    <t>81122101-52952101</t>
  </si>
  <si>
    <t>DPO</t>
  </si>
  <si>
    <t>PICPA - The Philippine Institute of Certified Public Accountants</t>
  </si>
  <si>
    <t>90122101-52952101</t>
  </si>
  <si>
    <t>90122101-61711101</t>
  </si>
  <si>
    <t>PRC</t>
  </si>
  <si>
    <t>80122101-61711101</t>
  </si>
  <si>
    <t>ANC</t>
  </si>
  <si>
    <t>90123101-61711101</t>
  </si>
  <si>
    <t>IBP</t>
  </si>
  <si>
    <t>UAP</t>
  </si>
  <si>
    <t>Nitro Pro</t>
  </si>
  <si>
    <t>under IT</t>
  </si>
  <si>
    <t>PMAP People Management Association of the Philippines</t>
  </si>
  <si>
    <t>PMAP</t>
  </si>
  <si>
    <t>ECOP Employers Confederation of the Philippines, Inc.</t>
  </si>
  <si>
    <t>ECOP</t>
  </si>
  <si>
    <t>HR Reference Materials</t>
  </si>
  <si>
    <t>Pacific Cross Insurance Policy (USD) - JHJ</t>
  </si>
  <si>
    <t>Pacific Cross Insurance Policy (USD) - MDIA</t>
  </si>
  <si>
    <t>90111101-52121303</t>
  </si>
  <si>
    <t>90111101-52121301</t>
  </si>
  <si>
    <t>Broker License Renewal Fee</t>
  </si>
  <si>
    <t>2026 BOD PER DIEM</t>
  </si>
  <si>
    <t>90134102-52091103</t>
  </si>
  <si>
    <t>BOD Meeting</t>
  </si>
  <si>
    <t>2026 BOD RETAINERS FEE</t>
  </si>
  <si>
    <t>90134102-52071103</t>
  </si>
  <si>
    <t>BOD</t>
  </si>
  <si>
    <t>2026 DST (For Equity Infusion)</t>
  </si>
  <si>
    <t>81134102-52031103</t>
  </si>
  <si>
    <t>2026 Consumable fees (Legal)</t>
  </si>
  <si>
    <t>80134102-61711101</t>
  </si>
  <si>
    <t>Membership - Consumables</t>
  </si>
  <si>
    <t>2026 Association Dues (Legal)</t>
  </si>
  <si>
    <t>Membership - OPE</t>
  </si>
  <si>
    <t>2026 Valle Verde Country Club Annual Membership Dues and Consumables</t>
  </si>
  <si>
    <t>Membership - Valle Verde</t>
  </si>
  <si>
    <t>Special Assessment</t>
  </si>
  <si>
    <t>SEC Filing Fee (annual)</t>
  </si>
  <si>
    <t>81134102-52952101</t>
  </si>
  <si>
    <t>90134102-52952101</t>
  </si>
  <si>
    <t>2026 SEC Filing Fee (Annual)</t>
  </si>
  <si>
    <t>2026 SEC Filing (Annual)</t>
  </si>
  <si>
    <t>SEC</t>
  </si>
  <si>
    <t>2026 CFO MEMBERSHIP - FINANCIAL EXECUTIVES INSTITUTE OF THE PHILIPPINES</t>
  </si>
  <si>
    <t>90111204-61711101</t>
  </si>
  <si>
    <t>Membership - DMZ</t>
  </si>
  <si>
    <t>2026 Systems Cost - SM</t>
  </si>
  <si>
    <t>90134102-52041494</t>
  </si>
  <si>
    <t>2026 System Costs - ALI</t>
  </si>
  <si>
    <t>Corporate - On Site Materials</t>
  </si>
  <si>
    <t>81314101-52551201</t>
  </si>
  <si>
    <t>centralized marketing budget for 2026</t>
  </si>
  <si>
    <t>Corporate - Communications Branding</t>
  </si>
  <si>
    <t>Corporate - Events</t>
  </si>
  <si>
    <t>Corporate - Sponsorhips</t>
  </si>
  <si>
    <t>Corporate - Awards</t>
  </si>
  <si>
    <t>80314101-61731103</t>
  </si>
  <si>
    <t>Social Listening Services (2025)</t>
  </si>
  <si>
    <t>Xmas Décor</t>
  </si>
  <si>
    <t>Enamel Pin</t>
  </si>
  <si>
    <t>80314101-52551201</t>
  </si>
  <si>
    <t>2026 Valle Verde Country Club Annual Employees' Christmas Fund Contribution</t>
  </si>
  <si>
    <t>80125101-61959102</t>
  </si>
  <si>
    <t>Community Contributions (2026)</t>
  </si>
  <si>
    <t>Representation Expense (2026)</t>
  </si>
  <si>
    <t>80125101-61091101</t>
  </si>
  <si>
    <t>81125101-52959903</t>
  </si>
  <si>
    <t>81125101-52091101</t>
  </si>
  <si>
    <t>90125101-61091101</t>
  </si>
  <si>
    <t>2026 - Notarization Fee</t>
  </si>
  <si>
    <t>80123101-61071099</t>
  </si>
  <si>
    <t>OCLP</t>
  </si>
  <si>
    <t>81123101-61071099</t>
  </si>
  <si>
    <t>OCC</t>
  </si>
  <si>
    <t>2026 - CD Technologies Asia Inc. subscription</t>
  </si>
  <si>
    <t>80123101-61711101</t>
  </si>
  <si>
    <t>Dues and Fees - Legal</t>
  </si>
  <si>
    <t>2026 - Institute of Corporate Directors</t>
  </si>
  <si>
    <t>Membership - MDIA</t>
  </si>
  <si>
    <t>2026 - Makati Business Club Membership</t>
  </si>
  <si>
    <t>Esecure SEC</t>
  </si>
  <si>
    <t>2026 - Shareholders' Association of the Philippines</t>
  </si>
  <si>
    <t>MBC Membership</t>
  </si>
  <si>
    <t>2026 - Legal Fees for Open Cases - Various External Legal Counsels</t>
  </si>
  <si>
    <t>80123101-61071002</t>
  </si>
  <si>
    <t>2026 - Provision for Legal Fees</t>
  </si>
  <si>
    <t>90123101-61071002</t>
  </si>
  <si>
    <t>81123101-52071102</t>
  </si>
  <si>
    <t>2026 Legal Fees - CRUZ MARCELO &amp; TENEFRANCIA-IP Fees</t>
  </si>
  <si>
    <t>2026 Provision for new legal retainer</t>
  </si>
  <si>
    <t>80123101-61071005</t>
  </si>
  <si>
    <t>2026 Retainer Fee - Angara Abello Concepcion Regala &amp; Cruz Law Offices</t>
  </si>
  <si>
    <t>Angara</t>
  </si>
  <si>
    <t>2026 Retainer Fee - Corpuz Ejercito Macasaet Rivera &amp; Corpuz Law Offices</t>
  </si>
  <si>
    <t>Corpuz</t>
  </si>
  <si>
    <t>2026 Retainer Fee - Padilla Asuncion Bote-Veguillas Toboso Palmera</t>
  </si>
  <si>
    <t>2026 Retainer Fee - Poblador Bautista &amp; Reyes Law Offices</t>
  </si>
  <si>
    <t>Poblador</t>
  </si>
  <si>
    <t>2026 Retainer Fee - Santiago &amp; Santiago Law Offices</t>
  </si>
  <si>
    <t>Santiago</t>
  </si>
  <si>
    <t>2026 Retainer Fee - Sycip Salazar Hernandez &amp; Gatmaitan Law Offices</t>
  </si>
  <si>
    <t>Sycip</t>
  </si>
  <si>
    <t>2026 - Provision for OPEX</t>
  </si>
  <si>
    <t>Opex</t>
  </si>
  <si>
    <t>OPE / 2026 - Legal Fees for Open Cases - Various External Legal Counsels</t>
  </si>
  <si>
    <t>OPE / 2026 - Provision for Legal Fees</t>
  </si>
  <si>
    <t>OPE / 2026 Legal Fees - CRUZ MARCELO &amp; TENEFRANCIA-IP Fees</t>
  </si>
  <si>
    <t>OPE / 2026 Provision for new legal retainer</t>
  </si>
  <si>
    <t>OPE / 2026 Retainer Fee - Padilla Asuncion Bote-Veguillas Toboso Palmera</t>
  </si>
  <si>
    <t>2026 Isla Lipana &amp; Co.</t>
  </si>
  <si>
    <t>YE 2024 FS AUDIT</t>
  </si>
  <si>
    <t>80134102-61071001</t>
  </si>
  <si>
    <t>81134102-61071001</t>
  </si>
  <si>
    <t>90134102-61071001</t>
  </si>
  <si>
    <t>OPE / 2026 Isla Lipana &amp; Co.</t>
  </si>
  <si>
    <t>80134102-61071006</t>
  </si>
  <si>
    <t>81134102-61071006</t>
  </si>
  <si>
    <t>90134102-61071006</t>
  </si>
  <si>
    <t>TYE 2026 TPD Management Agreement - Tickle</t>
  </si>
  <si>
    <t>TPD</t>
  </si>
  <si>
    <t>OPE / TYE 2026 TPD Management Agreement</t>
  </si>
  <si>
    <t>TYE 2026 TPD OCLP-OCC Lease Agreement</t>
  </si>
  <si>
    <t>OPE / TYE 2026 TPD OCLP-OCC Lease Agreement</t>
  </si>
  <si>
    <t>90134102-52071104</t>
  </si>
  <si>
    <t>2023 ALL TAXES - FINAL (RSG)</t>
  </si>
  <si>
    <t>80133102-61071004</t>
  </si>
  <si>
    <t>2024 ALL TAXES - INITIAL (RSG)</t>
  </si>
  <si>
    <t>2023 VAT - FINAL (RSG)</t>
  </si>
  <si>
    <t>81133102-52071104</t>
  </si>
  <si>
    <t>2023 ALL TAXES EXCEPT VAT - FINAL (RSG)</t>
  </si>
  <si>
    <t>2023 ALL TAXES - FINAL - RSG</t>
  </si>
  <si>
    <t>90133102-52071104</t>
  </si>
  <si>
    <t>2024 ALL TAXES - INITIAL - RSG</t>
  </si>
  <si>
    <t>OPE / 2024 ALL TAXES - INITIAL (RSG)</t>
  </si>
  <si>
    <t>80133102-61071006</t>
  </si>
  <si>
    <t>OPE / 2024 ALL TAXES - INITIAL - RSG</t>
  </si>
  <si>
    <t>90133102-52071106</t>
  </si>
  <si>
    <t>81133102-52071106</t>
  </si>
  <si>
    <t>Electrical Consultation-2026</t>
  </si>
  <si>
    <t>across all SBUs</t>
  </si>
  <si>
    <t>80215106-61071004</t>
  </si>
  <si>
    <t>Environmental Consultation-2026</t>
  </si>
  <si>
    <t>Fire &amp; Safety Consultation-2025</t>
  </si>
  <si>
    <t>Fire &amp; Safety Consultation-2026</t>
  </si>
  <si>
    <t>Mechanical Consultation-2026</t>
  </si>
  <si>
    <t>Plumbing &amp; Fire Protection Consultation-2026</t>
  </si>
  <si>
    <t>Energy Audit in Compliance with RA11285 2026</t>
  </si>
  <si>
    <t>Energy Audit</t>
  </si>
  <si>
    <t>Tenant Audit</t>
  </si>
  <si>
    <t>81221201-61071001</t>
  </si>
  <si>
    <t>81225101-61071001</t>
  </si>
  <si>
    <t>Lacson</t>
  </si>
  <si>
    <t>90111101-52071199</t>
  </si>
  <si>
    <t>Business Permit</t>
  </si>
  <si>
    <t>2026 OFI OUTSOURCE</t>
  </si>
  <si>
    <t>90111101-52041495</t>
  </si>
  <si>
    <t>BDO CMC</t>
  </si>
  <si>
    <t>BDO CMC 2025</t>
  </si>
  <si>
    <t>2026 - External Legal Counsels OPEX</t>
  </si>
  <si>
    <t>2026 - Provision for Research Fees</t>
  </si>
  <si>
    <t>2026 - Provision for Miscellaneous Processing Fee</t>
  </si>
  <si>
    <t>81111204-52091101</t>
  </si>
  <si>
    <t>90111204-61091101</t>
  </si>
  <si>
    <t>80111204-61091101</t>
  </si>
  <si>
    <t>81111204-52091102</t>
  </si>
  <si>
    <t>90111204-61091102</t>
  </si>
  <si>
    <t>80111204-61091102</t>
  </si>
  <si>
    <t>80123101-61091101</t>
  </si>
  <si>
    <t>81123102-52091102</t>
  </si>
  <si>
    <t>81319101-52091102</t>
  </si>
  <si>
    <t>OCLP Bureau of Custom renewal of permits</t>
  </si>
  <si>
    <t>81133103-52952101</t>
  </si>
  <si>
    <t>Bureau of Customs Certificate Renewals OCC</t>
  </si>
  <si>
    <t>BOC</t>
  </si>
  <si>
    <t>OCC CTC Renewal of permits(BIR, MAYORs &amp; DTI), Including NBI Clearance of OCC Representative</t>
  </si>
  <si>
    <t>80133103-61711101</t>
  </si>
  <si>
    <t>Bureau of Customs Certificate Renewals OCLP</t>
  </si>
  <si>
    <t>Janitorial - OT - ANTHONY NASSAM</t>
  </si>
  <si>
    <t>PROVISION FOR PENALTIES</t>
  </si>
  <si>
    <t>80133102-61959201</t>
  </si>
  <si>
    <t>81133102-61959201</t>
  </si>
  <si>
    <t>90133102-61959201</t>
  </si>
  <si>
    <t>PROVISION FOR PURCHASE OF TAX READING MATERIALS</t>
  </si>
  <si>
    <t>90133102-52952101</t>
  </si>
  <si>
    <t>Office Supplies - TS</t>
  </si>
  <si>
    <t>2025 Janitorial</t>
  </si>
  <si>
    <t>Janitorial - OT - JANNA ALICANDO</t>
  </si>
  <si>
    <t>Janitorial (2) - ES</t>
  </si>
  <si>
    <t>1 new</t>
  </si>
  <si>
    <t>81319101-52041405</t>
  </si>
  <si>
    <t>HC 1</t>
  </si>
  <si>
    <t>Janitorial (1) - TS ADMIN OFFICE</t>
  </si>
  <si>
    <t>Estates</t>
  </si>
  <si>
    <t>Janitorial (4) - GH</t>
  </si>
  <si>
    <t>HC 4</t>
  </si>
  <si>
    <t>Security - CORPS (3), STARFORCE (2)</t>
  </si>
  <si>
    <t>Security HQ</t>
  </si>
  <si>
    <t>no increase in HC</t>
  </si>
  <si>
    <t>81123102-52041401</t>
  </si>
  <si>
    <t>81111101-52041401</t>
  </si>
  <si>
    <t>Security (2) - ES</t>
  </si>
  <si>
    <t>Security ES</t>
  </si>
  <si>
    <t>81319101-52041401</t>
  </si>
  <si>
    <t>HC 2</t>
  </si>
  <si>
    <t>Security (1) - TS ADMIN OFFICE</t>
  </si>
  <si>
    <t>Security TS</t>
  </si>
  <si>
    <t>2025 Security</t>
  </si>
  <si>
    <t>Office Supplies - CV</t>
  </si>
  <si>
    <t>CV</t>
  </si>
  <si>
    <t>Security (1) - THE STRIP</t>
  </si>
  <si>
    <t>Security CV</t>
  </si>
  <si>
    <t>Security (2) - GH</t>
  </si>
  <si>
    <t>Security GH</t>
  </si>
  <si>
    <t>less 1 from 2025</t>
  </si>
  <si>
    <t>HC 3</t>
  </si>
  <si>
    <t>Office Supplies - GH</t>
  </si>
  <si>
    <t>Office Supplies - ES</t>
  </si>
  <si>
    <t>81319101-52111102</t>
  </si>
  <si>
    <t>Office Supplies-Consumables (B&amp;C Tiangge)</t>
  </si>
  <si>
    <t>B&amp;C</t>
  </si>
  <si>
    <t>81319101-52061103</t>
  </si>
  <si>
    <t>R&amp;M - ES</t>
  </si>
  <si>
    <t>81319101-52061101</t>
  </si>
  <si>
    <t>81319101-52061105</t>
  </si>
  <si>
    <t>R&amp;M - TS</t>
  </si>
  <si>
    <t>R&amp;M - GH</t>
  </si>
  <si>
    <t>R&amp;M - CV</t>
  </si>
  <si>
    <t>LBT</t>
  </si>
  <si>
    <t>business tax, garbage fee, mayor's permit</t>
  </si>
  <si>
    <t>80111101-52031101</t>
  </si>
  <si>
    <t>not yet final (co Ms. Mai)</t>
  </si>
  <si>
    <t>81111101-52031101</t>
  </si>
  <si>
    <t>90111101-52031101</t>
  </si>
  <si>
    <t>80111101-52031103</t>
  </si>
  <si>
    <t>81111101-52031103</t>
  </si>
  <si>
    <t>90111101-61031101</t>
  </si>
  <si>
    <t>MTS</t>
  </si>
  <si>
    <t>80134103-61901109</t>
  </si>
  <si>
    <t>correct charging?</t>
  </si>
  <si>
    <t>Basic Salary</t>
  </si>
  <si>
    <t>81111101-52121101</t>
  </si>
  <si>
    <t>Regular Employee</t>
  </si>
  <si>
    <t>81111101-52121104</t>
  </si>
  <si>
    <t>81111101-52121106</t>
  </si>
  <si>
    <t>Leave Encashment</t>
  </si>
  <si>
    <t>81111101-52121102</t>
  </si>
  <si>
    <t>OT Meal Reimbursement</t>
  </si>
  <si>
    <t>81111101-52121103</t>
  </si>
  <si>
    <t>81111101-52121305</t>
  </si>
  <si>
    <t>81111101-52121308</t>
  </si>
  <si>
    <t>81111101-52121302</t>
  </si>
  <si>
    <t>81111101-52121306</t>
  </si>
  <si>
    <t>Uniform</t>
  </si>
  <si>
    <t>81111101-52121309</t>
  </si>
  <si>
    <t>81111101-52121301</t>
  </si>
  <si>
    <t>81111101-52121303</t>
  </si>
  <si>
    <t>Medical Exam</t>
  </si>
  <si>
    <t>HMO</t>
  </si>
  <si>
    <t>HMO 25A - 14.4M
Montlhy 259,209.38</t>
  </si>
  <si>
    <t>80111101-61021102</t>
  </si>
  <si>
    <t>80111101-61021105</t>
  </si>
  <si>
    <t>80311101-61021317</t>
  </si>
  <si>
    <t>80111101-61021107</t>
  </si>
  <si>
    <t>80111101-61021103</t>
  </si>
  <si>
    <t>80111101-61021104</t>
  </si>
  <si>
    <t>80111101-61021306</t>
  </si>
  <si>
    <t>80111101-61021309</t>
  </si>
  <si>
    <t>80111101-61021302</t>
  </si>
  <si>
    <t>80111101-61021307</t>
  </si>
  <si>
    <t>80111101-61021310</t>
  </si>
  <si>
    <t>OBT Meal</t>
  </si>
  <si>
    <t>OBT Gas</t>
  </si>
  <si>
    <t>80111101-61021301</t>
  </si>
  <si>
    <t>80111101-61021303</t>
  </si>
  <si>
    <t>Monthly 138,149.41</t>
  </si>
  <si>
    <t>90311101-52121101</t>
  </si>
  <si>
    <t>Reclass budget to 90111101-52121101</t>
  </si>
  <si>
    <t>90111101-52121101</t>
  </si>
  <si>
    <t>90111101-52121104</t>
  </si>
  <si>
    <t>90111101-52121106</t>
  </si>
  <si>
    <t>SL conversion</t>
  </si>
  <si>
    <t>90111101-52121102</t>
  </si>
  <si>
    <t>90111101-52121103</t>
  </si>
  <si>
    <t>90111101-52121305</t>
  </si>
  <si>
    <t>90111101-52121308</t>
  </si>
  <si>
    <t>90111101-52121302</t>
  </si>
  <si>
    <t>90111101-52121306</t>
  </si>
  <si>
    <t>Rice Subsidy</t>
  </si>
  <si>
    <t>90111101-52121309</t>
  </si>
  <si>
    <t>Mini plan &amp; Dental - 306,110.58; Cost plus - 487,500; Executive - 148,437.5</t>
  </si>
  <si>
    <t>Project Employee - Basic Salary</t>
  </si>
  <si>
    <t>80111101-61021201</t>
  </si>
  <si>
    <t>Project Employee - Guaranteed Bonus</t>
  </si>
  <si>
    <t>80111101-61021203</t>
  </si>
  <si>
    <t>Project Employee - Leave Encashment - Separated Employees</t>
  </si>
  <si>
    <t>80111101-61021202</t>
  </si>
  <si>
    <t>Project Employee - Government Contributions (ER) - SSS</t>
  </si>
  <si>
    <t>Project Employee - Government Contributions (ER) - Pag-Ibig</t>
  </si>
  <si>
    <t>Project Employee - Government Contributions (ER) - Philhealth</t>
  </si>
  <si>
    <t>Project Employee - Accident Insurance</t>
  </si>
  <si>
    <t>Project Employee - Life Insurance</t>
  </si>
  <si>
    <t>Project Employee - Medical Exam / Executive Check-up (incl. dependents)</t>
  </si>
  <si>
    <t>Project Employee - HMO (incl. dependents)</t>
  </si>
  <si>
    <t>90111101-52121201</t>
  </si>
  <si>
    <t>90111101-52121203</t>
  </si>
  <si>
    <t>90111101-52121202</t>
  </si>
  <si>
    <t>Outsourced - Basic</t>
  </si>
  <si>
    <t>81111101-52041495</t>
  </si>
  <si>
    <t>company allocation?</t>
  </si>
  <si>
    <t>BTs</t>
  </si>
  <si>
    <t>Outsourced - HMO</t>
  </si>
  <si>
    <t>2025 BTs</t>
  </si>
  <si>
    <t>Performance Bonus</t>
  </si>
  <si>
    <t>80111101-61021317</t>
  </si>
  <si>
    <t>company allocation</t>
  </si>
  <si>
    <t>81111101-52121316</t>
  </si>
  <si>
    <t>90111101-52121316</t>
  </si>
  <si>
    <t>80111101-61021304</t>
  </si>
  <si>
    <t>recheck</t>
  </si>
  <si>
    <t>81111101-52121304</t>
  </si>
  <si>
    <t>90111101-52121304</t>
  </si>
  <si>
    <t>Research and Development - CV Village</t>
  </si>
  <si>
    <t>80349101-61959994</t>
  </si>
  <si>
    <t>Calatagan</t>
  </si>
  <si>
    <t>Research and Development - GH Redev Plan</t>
  </si>
  <si>
    <t>81349101-52959901</t>
  </si>
  <si>
    <t>81221201-61959999</t>
  </si>
  <si>
    <t>Research and Development - OS2</t>
  </si>
  <si>
    <t>Research and Development - GH Resi Block</t>
  </si>
  <si>
    <t>Research and Development - ES Expansion</t>
  </si>
  <si>
    <t>Research and Development - OE Redev Plan</t>
  </si>
  <si>
    <t>81222101-61959994</t>
  </si>
  <si>
    <t>Budget Reserve</t>
  </si>
  <si>
    <t>80134103-61711101</t>
  </si>
  <si>
    <t>80124101-61061105</t>
  </si>
  <si>
    <t>SDWAN</t>
  </si>
  <si>
    <t>SDWAN ES TS GH</t>
  </si>
  <si>
    <t>Entra ID</t>
  </si>
  <si>
    <t>81123102-61961302</t>
  </si>
  <si>
    <t>MTS Recovery</t>
  </si>
  <si>
    <t>81123102-52041502</t>
  </si>
  <si>
    <t>80123102-61961302</t>
  </si>
  <si>
    <t>81111101-61959202</t>
  </si>
  <si>
    <t>Penalties</t>
  </si>
  <si>
    <t>PB</t>
  </si>
  <si>
    <t>NMI Support Pack</t>
  </si>
  <si>
    <t>Ransomware Detective</t>
  </si>
  <si>
    <t>Leadership</t>
  </si>
  <si>
    <t>Pacific Cross Insurance Policy - JHJ</t>
  </si>
  <si>
    <t>Broker License Renewal</t>
  </si>
  <si>
    <t>SEC Filing Fee</t>
  </si>
  <si>
    <t>Systems Cost - SM</t>
  </si>
  <si>
    <t>System Costs - ALI</t>
  </si>
  <si>
    <t>Professional Fees</t>
  </si>
  <si>
    <t>Community Contributions</t>
  </si>
  <si>
    <t>Donations &amp; Contributions</t>
  </si>
  <si>
    <t>Representation Expense</t>
  </si>
  <si>
    <t>Shareholders' Association of the Philippines</t>
  </si>
  <si>
    <t>Retainer Fee - Provision</t>
  </si>
  <si>
    <t>CTC Renewal of Permits</t>
  </si>
  <si>
    <t>Provision for Penalties</t>
  </si>
  <si>
    <t>Tax Reading Materials</t>
  </si>
  <si>
    <t>Systems &amp; Applications - Hardware</t>
  </si>
  <si>
    <t>Messenger</t>
  </si>
  <si>
    <t>Company Driver</t>
  </si>
  <si>
    <t>Data Privacy Officer (DPO)</t>
  </si>
  <si>
    <t>Actuarial Valuation</t>
  </si>
  <si>
    <t>Integrated Electrical Engineers of the Philippines (IIEE)</t>
  </si>
  <si>
    <t>Security Services</t>
  </si>
  <si>
    <t>xx</t>
  </si>
  <si>
    <t>Systems &amp; Applications - Internet</t>
  </si>
  <si>
    <t>Expense Line Item</t>
  </si>
  <si>
    <t>Transportation &amp; Travel</t>
  </si>
  <si>
    <t>Repairs &amp; Maintenance</t>
  </si>
  <si>
    <t>Repairs &amp; Maintenance -  Vehicle</t>
  </si>
  <si>
    <t>Postal &amp; Communication</t>
  </si>
  <si>
    <t>Contracted services</t>
  </si>
  <si>
    <t>Professional fees</t>
  </si>
  <si>
    <t>Internal and external consultants</t>
  </si>
  <si>
    <t>Contracted-Others</t>
  </si>
  <si>
    <t>Systems &amp; Applications</t>
  </si>
  <si>
    <t>Employee Benefits</t>
  </si>
  <si>
    <t>Salaries</t>
  </si>
  <si>
    <t>Employee Programs/Perks</t>
  </si>
  <si>
    <t>Medical/Insurance</t>
  </si>
  <si>
    <t>Systems cost</t>
  </si>
  <si>
    <t>Ad &amp; Promo</t>
  </si>
  <si>
    <t>Donations, Contributions and Miscellaneous Expenses</t>
  </si>
  <si>
    <t>Entertainment, Amusement &amp; Recreation</t>
  </si>
  <si>
    <t>Legal retainier fees</t>
  </si>
  <si>
    <t>Office Staff (BTs)</t>
  </si>
  <si>
    <t>Government Contributions</t>
  </si>
  <si>
    <t>Research and Development</t>
  </si>
  <si>
    <t>GH Admin License</t>
  </si>
  <si>
    <t>Systems &amp; Applications - Infrastructure</t>
  </si>
  <si>
    <t>Cloud Disaster</t>
  </si>
  <si>
    <t>Garmin</t>
  </si>
  <si>
    <t>Exhibit</t>
  </si>
  <si>
    <t>Video &amp; Photo Coverage</t>
  </si>
  <si>
    <t>Caritas Donation</t>
  </si>
  <si>
    <t>Music License</t>
  </si>
  <si>
    <t>Anniversary Campaign</t>
  </si>
  <si>
    <t>Social Media &amp; Content Creation</t>
  </si>
  <si>
    <t>Anniversary Talent and Video</t>
  </si>
  <si>
    <t>Office Lobby Sticker</t>
  </si>
  <si>
    <t>ASM</t>
  </si>
  <si>
    <t>Mass &amp; Breakfast Buffet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</si>
</sst>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7"/>
      <color rgb="FF333333"/>
      <name val="Segoe UI"/>
      <family val="2"/>
    </font>
    <font>
      <b/>
      <sz val="1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/>
    <xf numFmtId="0" fontId="0" fillId="2" borderId="0" xfId="0" applyFill="1" applyAlignment="1">
      <alignment vertical="top"/>
    </xf>
    <xf numFmtId="43" fontId="0" fillId="0" borderId="0" xfId="1" applyFont="1"/>
    <xf numFmtId="164" fontId="0" fillId="0" borderId="0" xfId="0" applyNumberFormat="1"/>
    <xf numFmtId="4" fontId="0" fillId="0" borderId="0" xfId="0" applyNumberFormat="1"/>
    <xf numFmtId="43" fontId="4" fillId="0" borderId="0" xfId="1" applyFont="1"/>
    <xf numFmtId="0" fontId="7" fillId="0" borderId="0" xfId="0" applyFont="1"/>
    <xf numFmtId="164" fontId="0" fillId="0" borderId="0" xfId="4" applyFont="1"/>
    <xf numFmtId="0" fontId="8" fillId="3" borderId="0" xfId="4" applyNumberFormat="1" applyFont="1" applyFill="1"/>
    <xf numFmtId="164" fontId="9" fillId="0" borderId="0" xfId="4" applyFont="1"/>
    <xf numFmtId="0" fontId="8" fillId="0" borderId="0" xfId="0" applyFont="1"/>
    <xf numFmtId="43" fontId="0" fillId="0" borderId="0" xfId="0" applyNumberFormat="1"/>
    <xf numFmtId="164" fontId="4" fillId="0" borderId="0" xfId="4" applyFont="1" applyFill="1"/>
    <xf numFmtId="164" fontId="4" fillId="4" borderId="0" xfId="4" applyFont="1" applyFill="1"/>
    <xf numFmtId="164" fontId="4" fillId="0" borderId="0" xfId="4" applyFont="1"/>
    <xf numFmtId="164" fontId="4" fillId="3" borderId="0" xfId="4" applyFont="1" applyFill="1"/>
    <xf numFmtId="164" fontId="4" fillId="0" borderId="0" xfId="0" applyNumberFormat="1" applyFont="1"/>
    <xf numFmtId="164" fontId="0" fillId="0" borderId="0" xfId="4" applyFont="1" applyAlignment="1">
      <alignment horizontal="right"/>
    </xf>
    <xf numFmtId="164" fontId="0" fillId="0" borderId="0" xfId="4" applyFont="1" applyFill="1"/>
    <xf numFmtId="0" fontId="10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4" borderId="0" xfId="4" applyFont="1" applyFill="1"/>
    <xf numFmtId="164" fontId="0" fillId="3" borderId="0" xfId="4" applyFont="1" applyFill="1"/>
    <xf numFmtId="0" fontId="6" fillId="0" borderId="0" xfId="3" quotePrefix="1"/>
    <xf numFmtId="0" fontId="11" fillId="0" borderId="0" xfId="0" applyFont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2" borderId="0" xfId="4" applyFont="1" applyFill="1"/>
    <xf numFmtId="164" fontId="0" fillId="0" borderId="0" xfId="2" applyNumberFormat="1" applyFont="1"/>
    <xf numFmtId="9" fontId="0" fillId="0" borderId="0" xfId="2" applyFont="1"/>
    <xf numFmtId="0" fontId="11" fillId="0" borderId="0" xfId="0" applyFont="1"/>
    <xf numFmtId="0" fontId="6" fillId="0" borderId="0" xfId="3"/>
    <xf numFmtId="0" fontId="0" fillId="0" borderId="0" xfId="0" applyAlignment="1">
      <alignment wrapText="1"/>
    </xf>
    <xf numFmtId="164" fontId="0" fillId="5" borderId="0" xfId="4" applyFont="1" applyFill="1"/>
    <xf numFmtId="0" fontId="0" fillId="2" borderId="0" xfId="0" applyFill="1"/>
    <xf numFmtId="164" fontId="5" fillId="3" borderId="0" xfId="4" applyFont="1" applyFill="1"/>
    <xf numFmtId="164" fontId="3" fillId="3" borderId="0" xfId="4" applyFont="1" applyFill="1"/>
    <xf numFmtId="0" fontId="0" fillId="0" borderId="0" xfId="0" quotePrefix="1"/>
    <xf numFmtId="164" fontId="0" fillId="0" borderId="0" xfId="0" applyNumberFormat="1" applyAlignment="1">
      <alignment wrapText="1"/>
    </xf>
    <xf numFmtId="164" fontId="0" fillId="0" borderId="0" xfId="5" applyFont="1"/>
  </cellXfs>
  <cellStyles count="6">
    <cellStyle name="Comma" xfId="1" builtinId="3"/>
    <cellStyle name="Comma 2" xfId="5" xr:uid="{DE1AFC32-9452-4F0E-8014-46B80CF305A2}"/>
    <cellStyle name="Comma 8" xfId="4" xr:uid="{7DAA3841-AAAA-4040-ABA1-44FD7E552A35}"/>
    <cellStyle name="Hyperlink" xfId="3" builtinId="8"/>
    <cellStyle name="Normal" xfId="0" builtinId="0"/>
    <cellStyle name="Percent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.sharepoint.com/sites/BudgetControlAnalysisTeam/Shared%20Documents/Forecasts/2026%20Forecast/References/FAGLB03_GAE%20Actual.XLSX" TargetMode="External"/><Relationship Id="rId1" Type="http://schemas.openxmlformats.org/officeDocument/2006/relationships/externalLinkPath" Target="https://oclpholdings.sharepoint.com/sites/BudgetControlAnalysisTeam/Shared%20Documents/Forecasts/2026%20Forecast/References/FAGLB03_GAE%20Actu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.sharepoint.com/sites/BudgetControlAnalysisTeam/Shared%20Documents/Forecasts/2026%20Forecast/2022-2030F_GAE_08.2026.xlsx" TargetMode="External"/><Relationship Id="rId1" Type="http://schemas.openxmlformats.org/officeDocument/2006/relationships/externalLinkPath" Target="https://oclpholdings.sharepoint.com/sites/BudgetControlAnalysisTeam/Shared%20Documents/Forecasts/2026%20Forecast/2022-2030F_GAE_08.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clpholdings.sharepoint.com/sites/BudgetControlAnalysisTeam/Shared%20Documents/Forecasts/2025%20Forecast/2022-2030F_GAE_11.2025_for%202026%20Budget.xlsx" TargetMode="External"/><Relationship Id="rId1" Type="http://schemas.openxmlformats.org/officeDocument/2006/relationships/externalLinkPath" Target="https://oclpholdings.sharepoint.com/sites/BudgetControlAnalysisTeam/Shared%20Documents/Forecasts/2026%20Forecast/2022-2030F_GAE_11.2025_for%202026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  <sheetName val="R&amp;D"/>
      <sheetName val="Systems &amp; Applications"/>
      <sheetName val="2024 YTD (2)"/>
      <sheetName val="2023"/>
      <sheetName val="2023 (2)"/>
      <sheetName val="61711102"/>
      <sheetName val="Checking 2023"/>
      <sheetName val="Checking 2024"/>
      <sheetName val="GL"/>
      <sheetName val="Security"/>
    </sheetNames>
    <sheetDataSet>
      <sheetData sheetId="0"/>
      <sheetData sheetId="1"/>
      <sheetData sheetId="2">
        <row r="1">
          <cell r="K1">
            <v>459475645.55999327</v>
          </cell>
        </row>
        <row r="2">
          <cell r="K2" t="str">
            <v>Amount in local currency</v>
          </cell>
          <cell r="P2" t="str">
            <v>Ref</v>
          </cell>
          <cell r="S2" t="str">
            <v>Period</v>
          </cell>
          <cell r="T2" t="str">
            <v>Expense Line Item</v>
          </cell>
        </row>
        <row r="3">
          <cell r="K3">
            <v>250000</v>
          </cell>
          <cell r="P3" t="str">
            <v>90133102-52071104</v>
          </cell>
          <cell r="S3" t="str">
            <v>2026A-01</v>
          </cell>
          <cell r="T3" t="str">
            <v>RSG</v>
          </cell>
        </row>
        <row r="4">
          <cell r="K4">
            <v>21041.51</v>
          </cell>
          <cell r="P4" t="str">
            <v>80123102-61061104</v>
          </cell>
          <cell r="S4" t="str">
            <v>2026A-01</v>
          </cell>
          <cell r="T4" t="str">
            <v>R&amp;M - Innova</v>
          </cell>
        </row>
        <row r="5">
          <cell r="K5">
            <v>139285.71</v>
          </cell>
          <cell r="P5" t="str">
            <v>80123102-61071099</v>
          </cell>
          <cell r="S5" t="str">
            <v>2026A-01</v>
          </cell>
          <cell r="T5" t="str">
            <v>Property Valuation</v>
          </cell>
        </row>
        <row r="6">
          <cell r="K6">
            <v>705.52</v>
          </cell>
          <cell r="P6" t="str">
            <v>80123102-61051199</v>
          </cell>
          <cell r="S6" t="str">
            <v>2026A-01</v>
          </cell>
          <cell r="T6" t="str">
            <v>Zero</v>
          </cell>
        </row>
        <row r="7">
          <cell r="K7">
            <v>3236.27</v>
          </cell>
          <cell r="P7" t="str">
            <v>80123102-61051199</v>
          </cell>
          <cell r="S7" t="str">
            <v>2026A-01</v>
          </cell>
          <cell r="T7" t="str">
            <v>Zero</v>
          </cell>
        </row>
        <row r="8">
          <cell r="K8">
            <v>2094.06</v>
          </cell>
          <cell r="P8" t="str">
            <v>80123102-61051199</v>
          </cell>
          <cell r="S8" t="str">
            <v>2026A-01</v>
          </cell>
          <cell r="T8" t="str">
            <v>Zero</v>
          </cell>
        </row>
        <row r="9">
          <cell r="K9">
            <v>139.15</v>
          </cell>
          <cell r="P9" t="str">
            <v>80123102-61051199</v>
          </cell>
          <cell r="S9" t="str">
            <v>2026A-01</v>
          </cell>
          <cell r="T9" t="str">
            <v>Zero</v>
          </cell>
        </row>
        <row r="10">
          <cell r="K10">
            <v>645.22</v>
          </cell>
          <cell r="P10" t="str">
            <v>80123102-61051199</v>
          </cell>
          <cell r="S10" t="str">
            <v>2026A-01</v>
          </cell>
          <cell r="T10" t="str">
            <v>Zero</v>
          </cell>
        </row>
        <row r="11">
          <cell r="K11">
            <v>417.48</v>
          </cell>
          <cell r="P11" t="str">
            <v>80123102-61051199</v>
          </cell>
          <cell r="S11" t="str">
            <v>2026A-01</v>
          </cell>
          <cell r="T11" t="str">
            <v>Zero</v>
          </cell>
        </row>
        <row r="12">
          <cell r="K12">
            <v>19000</v>
          </cell>
          <cell r="P12" t="str">
            <v>90123101-61711101</v>
          </cell>
          <cell r="S12" t="str">
            <v>2026A-01</v>
          </cell>
          <cell r="T12" t="str">
            <v>Membership - MDIA</v>
          </cell>
        </row>
        <row r="13">
          <cell r="K13">
            <v>1332.97</v>
          </cell>
          <cell r="P13" t="str">
            <v>80123102-61101104</v>
          </cell>
          <cell r="S13" t="str">
            <v>2026A-01</v>
          </cell>
          <cell r="T13" t="str">
            <v>Insurance Vehicle - Caroline Mejia</v>
          </cell>
        </row>
        <row r="14">
          <cell r="K14">
            <v>166.62</v>
          </cell>
          <cell r="P14" t="str">
            <v>80123102-61101104</v>
          </cell>
          <cell r="S14" t="str">
            <v>2026A-01</v>
          </cell>
          <cell r="T14" t="str">
            <v>Insurance Vehicle - Caroline Mejia</v>
          </cell>
        </row>
        <row r="15">
          <cell r="K15">
            <v>2.67</v>
          </cell>
          <cell r="P15" t="str">
            <v>80123102-61101104</v>
          </cell>
          <cell r="S15" t="str">
            <v>2026A-01</v>
          </cell>
          <cell r="T15" t="str">
            <v>Insurance Vehicle - Caroline Mejia</v>
          </cell>
        </row>
        <row r="16">
          <cell r="K16">
            <v>50037.27</v>
          </cell>
          <cell r="P16" t="str">
            <v>90111101-52041495</v>
          </cell>
          <cell r="S16" t="str">
            <v>2026A-01</v>
          </cell>
          <cell r="T16" t="str">
            <v>BDO CMC 2025</v>
          </cell>
        </row>
        <row r="17">
          <cell r="K17">
            <v>6700</v>
          </cell>
          <cell r="P17" t="str">
            <v>80123102-61061104</v>
          </cell>
          <cell r="S17" t="str">
            <v>2026A-01</v>
          </cell>
          <cell r="T17" t="str">
            <v>R&amp;M - Mazda</v>
          </cell>
        </row>
        <row r="18">
          <cell r="K18">
            <v>5892.86</v>
          </cell>
          <cell r="P18" t="str">
            <v>80123102-61061104</v>
          </cell>
          <cell r="S18" t="str">
            <v>2026A-01</v>
          </cell>
          <cell r="T18" t="str">
            <v>R&amp;M Vehicle - Ronilo Quiat</v>
          </cell>
        </row>
        <row r="19">
          <cell r="K19">
            <v>-178.57</v>
          </cell>
          <cell r="P19" t="str">
            <v>80123102-61061104</v>
          </cell>
          <cell r="S19" t="str">
            <v>2026A-01</v>
          </cell>
          <cell r="T19" t="str">
            <v>R&amp;M Vehicle - Ronilo Quiat</v>
          </cell>
        </row>
        <row r="20">
          <cell r="K20">
            <v>-103050.01</v>
          </cell>
          <cell r="P20" t="str">
            <v>81319101-52041405</v>
          </cell>
          <cell r="S20" t="str">
            <v>2026A-01</v>
          </cell>
          <cell r="T20" t="str">
            <v>2025 Janitorial</v>
          </cell>
        </row>
        <row r="21">
          <cell r="K21">
            <v>-23144.639999999999</v>
          </cell>
          <cell r="P21" t="str">
            <v>81319101-52041499</v>
          </cell>
          <cell r="S21" t="str">
            <v>2026A-01</v>
          </cell>
          <cell r="T21" t="str">
            <v>2025 Admin Staff</v>
          </cell>
        </row>
        <row r="22">
          <cell r="K22">
            <v>-7800</v>
          </cell>
          <cell r="P22" t="str">
            <v>81349101-52959901</v>
          </cell>
          <cell r="S22" t="str">
            <v>2026A-01</v>
          </cell>
          <cell r="T22" t="str">
            <v>GH Redev Plan</v>
          </cell>
        </row>
        <row r="23">
          <cell r="K23">
            <v>7800</v>
          </cell>
          <cell r="P23" t="str">
            <v>81349101-52959901</v>
          </cell>
          <cell r="S23" t="str">
            <v>2026A-01</v>
          </cell>
          <cell r="T23" t="str">
            <v>GH Redev Plan</v>
          </cell>
        </row>
        <row r="24">
          <cell r="K24">
            <v>-460808.4</v>
          </cell>
          <cell r="P24" t="str">
            <v>81349101-52959901</v>
          </cell>
          <cell r="S24" t="str">
            <v>2026A-01</v>
          </cell>
          <cell r="T24" t="str">
            <v>GH Redev Plan</v>
          </cell>
        </row>
        <row r="25">
          <cell r="K25">
            <v>50000</v>
          </cell>
          <cell r="P25" t="str">
            <v>80124101-61721105</v>
          </cell>
          <cell r="S25" t="str">
            <v>2026A-01</v>
          </cell>
          <cell r="T25" t="str">
            <v>Fiber Internet - Mckinley</v>
          </cell>
        </row>
        <row r="26">
          <cell r="K26">
            <v>165000</v>
          </cell>
          <cell r="P26" t="str">
            <v>80124101-61721105</v>
          </cell>
          <cell r="S26" t="str">
            <v>2026A-01</v>
          </cell>
          <cell r="T26" t="str">
            <v>Fiber Internet - HQ</v>
          </cell>
        </row>
        <row r="27">
          <cell r="K27">
            <v>45000</v>
          </cell>
          <cell r="P27" t="str">
            <v>80124101-61721105</v>
          </cell>
          <cell r="S27" t="str">
            <v>2026A-01</v>
          </cell>
          <cell r="T27" t="str">
            <v>Fiber Internet - ES</v>
          </cell>
        </row>
        <row r="28">
          <cell r="K28">
            <v>7000</v>
          </cell>
          <cell r="P28" t="str">
            <v>80123101-61071005</v>
          </cell>
          <cell r="S28" t="str">
            <v>2026A-01</v>
          </cell>
          <cell r="T28" t="str">
            <v>Corpuz</v>
          </cell>
        </row>
        <row r="29">
          <cell r="K29">
            <v>1769.24</v>
          </cell>
          <cell r="P29" t="str">
            <v>81319101-52041499</v>
          </cell>
          <cell r="S29" t="str">
            <v>2026A-01</v>
          </cell>
          <cell r="T29" t="str">
            <v>2025 Admin Staff</v>
          </cell>
        </row>
        <row r="30">
          <cell r="K30">
            <v>22409.16</v>
          </cell>
          <cell r="P30" t="str">
            <v>81319101-52061103</v>
          </cell>
          <cell r="S30" t="str">
            <v>2026A-01</v>
          </cell>
          <cell r="T30" t="str">
            <v>R&amp;M - Supplies</v>
          </cell>
        </row>
        <row r="31">
          <cell r="K31">
            <v>6600</v>
          </cell>
          <cell r="P31" t="str">
            <v>80123101-61071002</v>
          </cell>
          <cell r="S31" t="str">
            <v>2026A-01</v>
          </cell>
          <cell r="T31" t="str">
            <v>Open Cases</v>
          </cell>
        </row>
        <row r="32">
          <cell r="K32">
            <v>2424</v>
          </cell>
          <cell r="P32" t="str">
            <v>80123101-61071002</v>
          </cell>
          <cell r="S32" t="str">
            <v>2026A-01</v>
          </cell>
          <cell r="T32" t="str">
            <v>Open Cases</v>
          </cell>
        </row>
        <row r="33">
          <cell r="K33">
            <v>6600</v>
          </cell>
          <cell r="P33" t="str">
            <v>80123101-61071002</v>
          </cell>
          <cell r="S33" t="str">
            <v>2026A-01</v>
          </cell>
          <cell r="T33" t="str">
            <v>Open Cases</v>
          </cell>
        </row>
        <row r="34">
          <cell r="K34">
            <v>2424</v>
          </cell>
          <cell r="P34" t="str">
            <v>80123101-61071002</v>
          </cell>
          <cell r="S34" t="str">
            <v>2026A-01</v>
          </cell>
          <cell r="T34" t="str">
            <v>Open Cases</v>
          </cell>
        </row>
        <row r="35">
          <cell r="K35">
            <v>16</v>
          </cell>
          <cell r="P35" t="str">
            <v>80123101-61711101</v>
          </cell>
          <cell r="S35" t="str">
            <v>2026A-01</v>
          </cell>
          <cell r="T35" t="str">
            <v>Dues and Fees - Legal</v>
          </cell>
        </row>
        <row r="36">
          <cell r="K36">
            <v>16</v>
          </cell>
          <cell r="P36" t="str">
            <v>80123101-61711101</v>
          </cell>
          <cell r="S36" t="str">
            <v>2026A-01</v>
          </cell>
          <cell r="T36" t="str">
            <v>Dues and Fees - Legal</v>
          </cell>
        </row>
        <row r="37">
          <cell r="K37">
            <v>534.82000000000005</v>
          </cell>
          <cell r="P37" t="str">
            <v>81123102-52951101</v>
          </cell>
          <cell r="S37" t="str">
            <v>2026A-01</v>
          </cell>
          <cell r="T37" t="str">
            <v>Mobile Phones</v>
          </cell>
        </row>
        <row r="38">
          <cell r="K38">
            <v>891.96</v>
          </cell>
          <cell r="P38" t="str">
            <v>81123102-52951101</v>
          </cell>
          <cell r="S38" t="str">
            <v>2026A-01</v>
          </cell>
          <cell r="T38" t="str">
            <v>Mobile Phones</v>
          </cell>
        </row>
        <row r="39">
          <cell r="K39">
            <v>534.82000000000005</v>
          </cell>
          <cell r="P39" t="str">
            <v>81123102-52951101</v>
          </cell>
          <cell r="S39" t="str">
            <v>2026A-01</v>
          </cell>
          <cell r="T39" t="str">
            <v>Mobile Phones</v>
          </cell>
        </row>
        <row r="40">
          <cell r="K40">
            <v>891.96</v>
          </cell>
          <cell r="P40" t="str">
            <v>81123102-52951101</v>
          </cell>
          <cell r="S40" t="str">
            <v>2026A-01</v>
          </cell>
          <cell r="T40" t="str">
            <v>Mobile Phones</v>
          </cell>
        </row>
        <row r="41">
          <cell r="K41">
            <v>713.39</v>
          </cell>
          <cell r="P41" t="str">
            <v>81123102-52951101</v>
          </cell>
          <cell r="S41" t="str">
            <v>2026A-01</v>
          </cell>
          <cell r="T41" t="str">
            <v>Mobile Phones</v>
          </cell>
        </row>
        <row r="42">
          <cell r="K42">
            <v>535.54999999999995</v>
          </cell>
          <cell r="P42" t="str">
            <v>81123102-52951101</v>
          </cell>
          <cell r="S42" t="str">
            <v>2026A-01</v>
          </cell>
          <cell r="T42" t="str">
            <v>Mobile Phones</v>
          </cell>
        </row>
        <row r="43">
          <cell r="K43">
            <v>713.39</v>
          </cell>
          <cell r="P43" t="str">
            <v>81123102-52951101</v>
          </cell>
          <cell r="S43" t="str">
            <v>2026A-01</v>
          </cell>
          <cell r="T43" t="str">
            <v>Mobile Phones</v>
          </cell>
        </row>
        <row r="44">
          <cell r="K44">
            <v>891.96</v>
          </cell>
          <cell r="P44" t="str">
            <v>81123102-52951101</v>
          </cell>
          <cell r="S44" t="str">
            <v>2026A-01</v>
          </cell>
          <cell r="T44" t="str">
            <v>Mobile Phones</v>
          </cell>
        </row>
        <row r="45">
          <cell r="K45">
            <v>713.39</v>
          </cell>
          <cell r="P45" t="str">
            <v>81123102-52951101</v>
          </cell>
          <cell r="S45" t="str">
            <v>2026A-01</v>
          </cell>
          <cell r="T45" t="str">
            <v>Mobile Phones</v>
          </cell>
        </row>
        <row r="46">
          <cell r="K46">
            <v>713.54</v>
          </cell>
          <cell r="P46" t="str">
            <v>81123102-52951101</v>
          </cell>
          <cell r="S46" t="str">
            <v>2026A-01</v>
          </cell>
          <cell r="T46" t="str">
            <v>Mobile Phones</v>
          </cell>
        </row>
        <row r="47">
          <cell r="K47">
            <v>1159.82</v>
          </cell>
          <cell r="P47" t="str">
            <v>81123102-52951101</v>
          </cell>
          <cell r="S47" t="str">
            <v>2026A-01</v>
          </cell>
          <cell r="T47" t="str">
            <v>Mobile Phones</v>
          </cell>
        </row>
        <row r="48">
          <cell r="K48">
            <v>1159.82</v>
          </cell>
          <cell r="P48" t="str">
            <v>81123102-52951101</v>
          </cell>
          <cell r="S48" t="str">
            <v>2026A-01</v>
          </cell>
          <cell r="T48" t="str">
            <v>Mobile Phones</v>
          </cell>
        </row>
        <row r="49">
          <cell r="K49">
            <v>891.96</v>
          </cell>
          <cell r="P49" t="str">
            <v>81123102-52951101</v>
          </cell>
          <cell r="S49" t="str">
            <v>2026A-01</v>
          </cell>
          <cell r="T49" t="str">
            <v>Mobile Phones</v>
          </cell>
        </row>
        <row r="50">
          <cell r="K50">
            <v>891.96</v>
          </cell>
          <cell r="P50" t="str">
            <v>81123102-52951101</v>
          </cell>
          <cell r="S50" t="str">
            <v>2026A-01</v>
          </cell>
          <cell r="T50" t="str">
            <v>Mobile Phones</v>
          </cell>
        </row>
        <row r="51">
          <cell r="K51">
            <v>572.02</v>
          </cell>
          <cell r="P51" t="str">
            <v>81123102-52951101</v>
          </cell>
          <cell r="S51" t="str">
            <v>2026A-01</v>
          </cell>
          <cell r="T51" t="str">
            <v>Mobile Phones</v>
          </cell>
        </row>
        <row r="52">
          <cell r="K52">
            <v>891.96</v>
          </cell>
          <cell r="P52" t="str">
            <v>81123102-52951101</v>
          </cell>
          <cell r="S52" t="str">
            <v>2026A-01</v>
          </cell>
          <cell r="T52" t="str">
            <v>Mobile Phones</v>
          </cell>
        </row>
        <row r="53">
          <cell r="K53">
            <v>891.96</v>
          </cell>
          <cell r="P53" t="str">
            <v>81123102-52951101</v>
          </cell>
          <cell r="S53" t="str">
            <v>2026A-01</v>
          </cell>
          <cell r="T53" t="str">
            <v>Mobile Phones</v>
          </cell>
        </row>
        <row r="54">
          <cell r="K54">
            <v>1159.82</v>
          </cell>
          <cell r="P54" t="str">
            <v>81123102-52951101</v>
          </cell>
          <cell r="S54" t="str">
            <v>2026A-01</v>
          </cell>
          <cell r="T54" t="str">
            <v>Mobile Phones</v>
          </cell>
        </row>
        <row r="55">
          <cell r="K55">
            <v>713.39</v>
          </cell>
          <cell r="P55" t="str">
            <v>81123102-52951101</v>
          </cell>
          <cell r="S55" t="str">
            <v>2026A-01</v>
          </cell>
          <cell r="T55" t="str">
            <v>Mobile Phones</v>
          </cell>
        </row>
        <row r="56">
          <cell r="K56">
            <v>713.43</v>
          </cell>
          <cell r="P56" t="str">
            <v>81123102-52951101</v>
          </cell>
          <cell r="S56" t="str">
            <v>2026A-01</v>
          </cell>
          <cell r="T56" t="str">
            <v>Mobile Phones</v>
          </cell>
        </row>
        <row r="57">
          <cell r="K57">
            <v>713.39</v>
          </cell>
          <cell r="P57" t="str">
            <v>81123102-52951101</v>
          </cell>
          <cell r="S57" t="str">
            <v>2026A-01</v>
          </cell>
          <cell r="T57" t="str">
            <v>Mobile Phones</v>
          </cell>
        </row>
        <row r="58">
          <cell r="K58">
            <v>534.82000000000005</v>
          </cell>
          <cell r="P58" t="str">
            <v>81123102-52951101</v>
          </cell>
          <cell r="S58" t="str">
            <v>2026A-01</v>
          </cell>
          <cell r="T58" t="str">
            <v>Mobile Phones</v>
          </cell>
        </row>
        <row r="59">
          <cell r="K59">
            <v>714.4</v>
          </cell>
          <cell r="P59" t="str">
            <v>81123102-52951101</v>
          </cell>
          <cell r="S59" t="str">
            <v>2026A-01</v>
          </cell>
          <cell r="T59" t="str">
            <v>Mobile Phones</v>
          </cell>
        </row>
        <row r="60">
          <cell r="K60">
            <v>713.39</v>
          </cell>
          <cell r="P60" t="str">
            <v>81123102-52951101</v>
          </cell>
          <cell r="S60" t="str">
            <v>2026A-01</v>
          </cell>
          <cell r="T60" t="str">
            <v>Mobile Phones</v>
          </cell>
        </row>
        <row r="61">
          <cell r="K61">
            <v>517.91</v>
          </cell>
          <cell r="P61" t="str">
            <v>81123102-52951101</v>
          </cell>
          <cell r="S61" t="str">
            <v>2026A-01</v>
          </cell>
          <cell r="T61" t="str">
            <v>Mobile Phones</v>
          </cell>
        </row>
        <row r="62">
          <cell r="K62">
            <v>1159.82</v>
          </cell>
          <cell r="P62" t="str">
            <v>81123102-52951101</v>
          </cell>
          <cell r="S62" t="str">
            <v>2026A-01</v>
          </cell>
          <cell r="T62" t="str">
            <v>Mobile Phones</v>
          </cell>
        </row>
        <row r="63">
          <cell r="K63">
            <v>713.39</v>
          </cell>
          <cell r="P63" t="str">
            <v>81123102-52951101</v>
          </cell>
          <cell r="S63" t="str">
            <v>2026A-01</v>
          </cell>
          <cell r="T63" t="str">
            <v>Mobile Phones</v>
          </cell>
        </row>
        <row r="64">
          <cell r="K64">
            <v>534.82000000000005</v>
          </cell>
          <cell r="P64" t="str">
            <v>81123102-52951101</v>
          </cell>
          <cell r="S64" t="str">
            <v>2026A-01</v>
          </cell>
          <cell r="T64" t="str">
            <v>Mobile Phones</v>
          </cell>
        </row>
        <row r="65">
          <cell r="K65">
            <v>534.82000000000005</v>
          </cell>
          <cell r="P65" t="str">
            <v>81123102-52951101</v>
          </cell>
          <cell r="S65" t="str">
            <v>2026A-01</v>
          </cell>
          <cell r="T65" t="str">
            <v>Mobile Phones</v>
          </cell>
        </row>
        <row r="66">
          <cell r="K66">
            <v>1606.28</v>
          </cell>
          <cell r="P66" t="str">
            <v>81123102-52951101</v>
          </cell>
          <cell r="S66" t="str">
            <v>2026A-01</v>
          </cell>
          <cell r="T66" t="str">
            <v>Mobile Phones</v>
          </cell>
        </row>
        <row r="67">
          <cell r="K67">
            <v>534.82000000000005</v>
          </cell>
          <cell r="P67" t="str">
            <v>81123102-52951101</v>
          </cell>
          <cell r="S67" t="str">
            <v>2026A-01</v>
          </cell>
          <cell r="T67" t="str">
            <v>Mobile Phones</v>
          </cell>
        </row>
        <row r="68">
          <cell r="K68">
            <v>891.96</v>
          </cell>
          <cell r="P68" t="str">
            <v>81123102-52951101</v>
          </cell>
          <cell r="S68" t="str">
            <v>2026A-01</v>
          </cell>
          <cell r="T68" t="str">
            <v>Mobile Phones</v>
          </cell>
        </row>
        <row r="69">
          <cell r="K69">
            <v>572.02</v>
          </cell>
          <cell r="P69" t="str">
            <v>81123102-52951101</v>
          </cell>
          <cell r="S69" t="str">
            <v>2026A-01</v>
          </cell>
          <cell r="T69" t="str">
            <v>Mobile Phones</v>
          </cell>
        </row>
        <row r="70">
          <cell r="K70">
            <v>1322.3</v>
          </cell>
          <cell r="P70" t="str">
            <v>81123102-52951101</v>
          </cell>
          <cell r="S70" t="str">
            <v>2026A-01</v>
          </cell>
          <cell r="T70" t="str">
            <v>Mobile Phones</v>
          </cell>
        </row>
        <row r="71">
          <cell r="K71">
            <v>891.98</v>
          </cell>
          <cell r="P71" t="str">
            <v>81123102-52951101</v>
          </cell>
          <cell r="S71" t="str">
            <v>2026A-01</v>
          </cell>
          <cell r="T71" t="str">
            <v>Mobile Phones</v>
          </cell>
        </row>
        <row r="72">
          <cell r="K72">
            <v>1606.25</v>
          </cell>
          <cell r="P72" t="str">
            <v>81123102-52951101</v>
          </cell>
          <cell r="S72" t="str">
            <v>2026A-01</v>
          </cell>
          <cell r="T72" t="str">
            <v>Mobile Phones</v>
          </cell>
        </row>
        <row r="73">
          <cell r="K73">
            <v>713.39</v>
          </cell>
          <cell r="P73" t="str">
            <v>81123102-52951101</v>
          </cell>
          <cell r="S73" t="str">
            <v>2026A-01</v>
          </cell>
          <cell r="T73" t="str">
            <v>Mobile Phones</v>
          </cell>
        </row>
        <row r="74">
          <cell r="K74">
            <v>713.39</v>
          </cell>
          <cell r="P74" t="str">
            <v>81123102-52951101</v>
          </cell>
          <cell r="S74" t="str">
            <v>2026A-01</v>
          </cell>
          <cell r="T74" t="str">
            <v>Mobile Phones</v>
          </cell>
        </row>
        <row r="75">
          <cell r="K75">
            <v>572.02</v>
          </cell>
          <cell r="P75" t="str">
            <v>81123102-52951101</v>
          </cell>
          <cell r="S75" t="str">
            <v>2026A-01</v>
          </cell>
          <cell r="T75" t="str">
            <v>Mobile Phones</v>
          </cell>
        </row>
        <row r="76">
          <cell r="K76">
            <v>713.39</v>
          </cell>
          <cell r="P76" t="str">
            <v>81123102-52951101</v>
          </cell>
          <cell r="S76" t="str">
            <v>2026A-01</v>
          </cell>
          <cell r="T76" t="str">
            <v>Mobile Phones</v>
          </cell>
        </row>
        <row r="77">
          <cell r="K77">
            <v>713.39</v>
          </cell>
          <cell r="P77" t="str">
            <v>81123102-52951101</v>
          </cell>
          <cell r="S77" t="str">
            <v>2026A-01</v>
          </cell>
          <cell r="T77" t="str">
            <v>Mobile Phones</v>
          </cell>
        </row>
        <row r="78">
          <cell r="K78">
            <v>713.39</v>
          </cell>
          <cell r="P78" t="str">
            <v>81123102-52951101</v>
          </cell>
          <cell r="S78" t="str">
            <v>2026A-01</v>
          </cell>
          <cell r="T78" t="str">
            <v>Mobile Phones</v>
          </cell>
        </row>
        <row r="79">
          <cell r="K79">
            <v>766.07</v>
          </cell>
          <cell r="P79" t="str">
            <v>81123102-52951101</v>
          </cell>
          <cell r="S79" t="str">
            <v>2026A-01</v>
          </cell>
          <cell r="T79" t="str">
            <v>Mobile Phones</v>
          </cell>
        </row>
        <row r="80">
          <cell r="K80">
            <v>891.96</v>
          </cell>
          <cell r="P80" t="str">
            <v>81123102-52951101</v>
          </cell>
          <cell r="S80" t="str">
            <v>2026A-01</v>
          </cell>
          <cell r="T80" t="str">
            <v>Mobile Phones</v>
          </cell>
        </row>
        <row r="81">
          <cell r="K81">
            <v>713.39</v>
          </cell>
          <cell r="P81" t="str">
            <v>81123102-52951101</v>
          </cell>
          <cell r="S81" t="str">
            <v>2026A-01</v>
          </cell>
          <cell r="T81" t="str">
            <v>Mobile Phones</v>
          </cell>
        </row>
        <row r="82">
          <cell r="K82">
            <v>891.96</v>
          </cell>
          <cell r="P82" t="str">
            <v>81123102-52951101</v>
          </cell>
          <cell r="S82" t="str">
            <v>2026A-01</v>
          </cell>
          <cell r="T82" t="str">
            <v>Mobile Phones</v>
          </cell>
        </row>
        <row r="83">
          <cell r="K83">
            <v>891.96</v>
          </cell>
          <cell r="P83" t="str">
            <v>81123102-52951101</v>
          </cell>
          <cell r="S83" t="str">
            <v>2026A-01</v>
          </cell>
          <cell r="T83" t="str">
            <v>Mobile Phones</v>
          </cell>
        </row>
        <row r="84">
          <cell r="K84">
            <v>534.82000000000005</v>
          </cell>
          <cell r="P84" t="str">
            <v>81123102-52951101</v>
          </cell>
          <cell r="S84" t="str">
            <v>2026A-01</v>
          </cell>
          <cell r="T84" t="str">
            <v>Mobile Phones</v>
          </cell>
        </row>
        <row r="85">
          <cell r="K85">
            <v>891.96</v>
          </cell>
          <cell r="P85" t="str">
            <v>81123102-52951101</v>
          </cell>
          <cell r="S85" t="str">
            <v>2026A-01</v>
          </cell>
          <cell r="T85" t="str">
            <v>Mobile Phones</v>
          </cell>
        </row>
        <row r="86">
          <cell r="K86">
            <v>891.96</v>
          </cell>
          <cell r="P86" t="str">
            <v>81123102-52951101</v>
          </cell>
          <cell r="S86" t="str">
            <v>2026A-01</v>
          </cell>
          <cell r="T86" t="str">
            <v>Mobile Phones</v>
          </cell>
        </row>
        <row r="87">
          <cell r="K87">
            <v>891.96</v>
          </cell>
          <cell r="P87" t="str">
            <v>81123102-52951101</v>
          </cell>
          <cell r="S87" t="str">
            <v>2026A-01</v>
          </cell>
          <cell r="T87" t="str">
            <v>Mobile Phones</v>
          </cell>
        </row>
        <row r="88">
          <cell r="K88">
            <v>713.39</v>
          </cell>
          <cell r="P88" t="str">
            <v>81123102-52951101</v>
          </cell>
          <cell r="S88" t="str">
            <v>2026A-01</v>
          </cell>
          <cell r="T88" t="str">
            <v>Mobile Phones</v>
          </cell>
        </row>
        <row r="89">
          <cell r="K89">
            <v>891.96</v>
          </cell>
          <cell r="P89" t="str">
            <v>81123102-52951101</v>
          </cell>
          <cell r="S89" t="str">
            <v>2026A-01</v>
          </cell>
          <cell r="T89" t="str">
            <v>Mobile Phones</v>
          </cell>
        </row>
        <row r="90">
          <cell r="K90">
            <v>572.02</v>
          </cell>
          <cell r="P90" t="str">
            <v>81123102-52951101</v>
          </cell>
          <cell r="S90" t="str">
            <v>2026A-01</v>
          </cell>
          <cell r="T90" t="str">
            <v>Mobile Phones</v>
          </cell>
        </row>
        <row r="91">
          <cell r="K91">
            <v>1338.39</v>
          </cell>
          <cell r="P91" t="str">
            <v>81123102-52951101</v>
          </cell>
          <cell r="S91" t="str">
            <v>2026A-01</v>
          </cell>
          <cell r="T91" t="str">
            <v>Mobile Phones</v>
          </cell>
        </row>
        <row r="92">
          <cell r="K92">
            <v>534.82000000000005</v>
          </cell>
          <cell r="P92" t="str">
            <v>81123102-52951101</v>
          </cell>
          <cell r="S92" t="str">
            <v>2026A-01</v>
          </cell>
          <cell r="T92" t="str">
            <v>Mobile Phones</v>
          </cell>
        </row>
        <row r="93">
          <cell r="K93">
            <v>713.39</v>
          </cell>
          <cell r="P93" t="str">
            <v>81123102-52951101</v>
          </cell>
          <cell r="S93" t="str">
            <v>2026A-01</v>
          </cell>
          <cell r="T93" t="str">
            <v>Mobile Phones</v>
          </cell>
        </row>
        <row r="94">
          <cell r="K94">
            <v>713.39</v>
          </cell>
          <cell r="P94" t="str">
            <v>81123102-52951101</v>
          </cell>
          <cell r="S94" t="str">
            <v>2026A-01</v>
          </cell>
          <cell r="T94" t="str">
            <v>Mobile Phones</v>
          </cell>
        </row>
        <row r="95">
          <cell r="K95">
            <v>713.39</v>
          </cell>
          <cell r="P95" t="str">
            <v>81123102-52951101</v>
          </cell>
          <cell r="S95" t="str">
            <v>2026A-01</v>
          </cell>
          <cell r="T95" t="str">
            <v>Mobile Phones</v>
          </cell>
        </row>
        <row r="96">
          <cell r="K96">
            <v>713.47</v>
          </cell>
          <cell r="P96" t="str">
            <v>81123102-52951101</v>
          </cell>
          <cell r="S96" t="str">
            <v>2026A-01</v>
          </cell>
          <cell r="T96" t="str">
            <v>Mobile Phones</v>
          </cell>
        </row>
        <row r="97">
          <cell r="K97">
            <v>92.05</v>
          </cell>
          <cell r="P97" t="str">
            <v>81123102-52951101</v>
          </cell>
          <cell r="S97" t="str">
            <v>2026A-01</v>
          </cell>
          <cell r="T97" t="str">
            <v>Mobile Phones</v>
          </cell>
        </row>
        <row r="98">
          <cell r="K98">
            <v>534.82000000000005</v>
          </cell>
          <cell r="P98" t="str">
            <v>81123102-52951101</v>
          </cell>
          <cell r="S98" t="str">
            <v>2026A-01</v>
          </cell>
          <cell r="T98" t="str">
            <v>Mobile Phones</v>
          </cell>
        </row>
        <row r="99">
          <cell r="K99">
            <v>92.05</v>
          </cell>
          <cell r="P99" t="str">
            <v>81123102-52951101</v>
          </cell>
          <cell r="S99" t="str">
            <v>2026A-01</v>
          </cell>
          <cell r="T99" t="str">
            <v>Mobile Phones</v>
          </cell>
        </row>
        <row r="100">
          <cell r="K100">
            <v>891.96</v>
          </cell>
          <cell r="P100" t="str">
            <v>81123102-52951101</v>
          </cell>
          <cell r="S100" t="str">
            <v>2026A-01</v>
          </cell>
          <cell r="T100" t="str">
            <v>Mobile Phones</v>
          </cell>
        </row>
        <row r="101">
          <cell r="K101">
            <v>572.02</v>
          </cell>
          <cell r="P101" t="str">
            <v>81123102-52951101</v>
          </cell>
          <cell r="S101" t="str">
            <v>2026A-01</v>
          </cell>
          <cell r="T101" t="str">
            <v>Mobile Phones</v>
          </cell>
        </row>
        <row r="102">
          <cell r="K102">
            <v>534.82000000000005</v>
          </cell>
          <cell r="P102" t="str">
            <v>81123102-52951101</v>
          </cell>
          <cell r="S102" t="str">
            <v>2026A-01</v>
          </cell>
          <cell r="T102" t="str">
            <v>Mobile Phones</v>
          </cell>
        </row>
        <row r="103">
          <cell r="K103">
            <v>891.96</v>
          </cell>
          <cell r="P103" t="str">
            <v>81123102-52951101</v>
          </cell>
          <cell r="S103" t="str">
            <v>2026A-01</v>
          </cell>
          <cell r="T103" t="str">
            <v>Mobile Phones</v>
          </cell>
        </row>
        <row r="104">
          <cell r="K104">
            <v>2499.11</v>
          </cell>
          <cell r="P104" t="str">
            <v>81123102-52951101</v>
          </cell>
          <cell r="S104" t="str">
            <v>2026A-01</v>
          </cell>
          <cell r="T104" t="str">
            <v>Mobile Phones</v>
          </cell>
        </row>
        <row r="105">
          <cell r="K105">
            <v>1159.94</v>
          </cell>
          <cell r="P105" t="str">
            <v>81123102-52951101</v>
          </cell>
          <cell r="S105" t="str">
            <v>2026A-01</v>
          </cell>
          <cell r="T105" t="str">
            <v>Mobile Phones</v>
          </cell>
        </row>
        <row r="106">
          <cell r="K106">
            <v>1338.39</v>
          </cell>
          <cell r="P106" t="str">
            <v>81123102-52951101</v>
          </cell>
          <cell r="S106" t="str">
            <v>2026A-01</v>
          </cell>
          <cell r="T106" t="str">
            <v>Mobile Phones</v>
          </cell>
        </row>
        <row r="107">
          <cell r="K107">
            <v>1299.49</v>
          </cell>
          <cell r="P107" t="str">
            <v>81123102-52951101</v>
          </cell>
          <cell r="S107" t="str">
            <v>2026A-01</v>
          </cell>
          <cell r="T107" t="str">
            <v>Mobile Phones</v>
          </cell>
        </row>
        <row r="108">
          <cell r="K108">
            <v>322.18</v>
          </cell>
          <cell r="P108" t="str">
            <v>81123102-52951101</v>
          </cell>
          <cell r="S108" t="str">
            <v>2026A-01</v>
          </cell>
          <cell r="T108" t="str">
            <v>Mobile Phones</v>
          </cell>
        </row>
        <row r="109">
          <cell r="K109">
            <v>891.96</v>
          </cell>
          <cell r="P109" t="str">
            <v>81123102-52951101</v>
          </cell>
          <cell r="S109" t="str">
            <v>2026A-01</v>
          </cell>
          <cell r="T109" t="str">
            <v>Mobile Phones</v>
          </cell>
        </row>
        <row r="110">
          <cell r="K110">
            <v>713.39</v>
          </cell>
          <cell r="P110" t="str">
            <v>81123102-52951101</v>
          </cell>
          <cell r="S110" t="str">
            <v>2026A-01</v>
          </cell>
          <cell r="T110" t="str">
            <v>Mobile Phones</v>
          </cell>
        </row>
        <row r="111">
          <cell r="K111">
            <v>1159.82</v>
          </cell>
          <cell r="P111" t="str">
            <v>81123102-52951101</v>
          </cell>
          <cell r="S111" t="str">
            <v>2026A-01</v>
          </cell>
          <cell r="T111" t="str">
            <v>Mobile Phones</v>
          </cell>
        </row>
        <row r="112">
          <cell r="K112">
            <v>891.96</v>
          </cell>
          <cell r="P112" t="str">
            <v>81123102-52951101</v>
          </cell>
          <cell r="S112" t="str">
            <v>2026A-01</v>
          </cell>
          <cell r="T112" t="str">
            <v>Mobile Phones</v>
          </cell>
        </row>
        <row r="113">
          <cell r="K113">
            <v>534.82000000000005</v>
          </cell>
          <cell r="P113" t="str">
            <v>81123102-52951101</v>
          </cell>
          <cell r="S113" t="str">
            <v>2026A-01</v>
          </cell>
          <cell r="T113" t="str">
            <v>Mobile Phones</v>
          </cell>
        </row>
        <row r="114">
          <cell r="K114">
            <v>713.39</v>
          </cell>
          <cell r="P114" t="str">
            <v>81123102-52951101</v>
          </cell>
          <cell r="S114" t="str">
            <v>2026A-01</v>
          </cell>
          <cell r="T114" t="str">
            <v>Mobile Phones</v>
          </cell>
        </row>
        <row r="115">
          <cell r="K115">
            <v>534.82000000000005</v>
          </cell>
          <cell r="P115" t="str">
            <v>81123102-52951101</v>
          </cell>
          <cell r="S115" t="str">
            <v>2026A-01</v>
          </cell>
          <cell r="T115" t="str">
            <v>Mobile Phones</v>
          </cell>
        </row>
        <row r="116">
          <cell r="K116">
            <v>713.39</v>
          </cell>
          <cell r="P116" t="str">
            <v>81123102-52951101</v>
          </cell>
          <cell r="S116" t="str">
            <v>2026A-01</v>
          </cell>
          <cell r="T116" t="str">
            <v>Mobile Phones</v>
          </cell>
        </row>
        <row r="117">
          <cell r="K117">
            <v>2052.63</v>
          </cell>
          <cell r="P117" t="str">
            <v>81123102-52951101</v>
          </cell>
          <cell r="S117" t="str">
            <v>2026A-01</v>
          </cell>
          <cell r="T117" t="str">
            <v>Mobile Phones</v>
          </cell>
        </row>
        <row r="118">
          <cell r="K118">
            <v>534.82000000000005</v>
          </cell>
          <cell r="P118" t="str">
            <v>81123102-52951101</v>
          </cell>
          <cell r="S118" t="str">
            <v>2026A-01</v>
          </cell>
          <cell r="T118" t="str">
            <v>Mobile Phones</v>
          </cell>
        </row>
        <row r="119">
          <cell r="K119">
            <v>713.39</v>
          </cell>
          <cell r="P119" t="str">
            <v>81123102-52951101</v>
          </cell>
          <cell r="S119" t="str">
            <v>2026A-01</v>
          </cell>
          <cell r="T119" t="str">
            <v>Mobile Phones</v>
          </cell>
        </row>
        <row r="120">
          <cell r="K120">
            <v>891.96</v>
          </cell>
          <cell r="P120" t="str">
            <v>81123102-52951101</v>
          </cell>
          <cell r="S120" t="str">
            <v>2026A-01</v>
          </cell>
          <cell r="T120" t="str">
            <v>Mobile Phones</v>
          </cell>
        </row>
        <row r="121">
          <cell r="K121">
            <v>1159.82</v>
          </cell>
          <cell r="P121" t="str">
            <v>81123102-52951101</v>
          </cell>
          <cell r="S121" t="str">
            <v>2026A-01</v>
          </cell>
          <cell r="T121" t="str">
            <v>Mobile Phones</v>
          </cell>
        </row>
        <row r="122">
          <cell r="K122">
            <v>891.96</v>
          </cell>
          <cell r="P122" t="str">
            <v>81123102-52951101</v>
          </cell>
          <cell r="S122" t="str">
            <v>2026A-01</v>
          </cell>
          <cell r="T122" t="str">
            <v>Mobile Phones</v>
          </cell>
        </row>
        <row r="123">
          <cell r="K123">
            <v>1159.82</v>
          </cell>
          <cell r="P123" t="str">
            <v>81123102-52951101</v>
          </cell>
          <cell r="S123" t="str">
            <v>2026A-01</v>
          </cell>
          <cell r="T123" t="str">
            <v>Mobile Phones</v>
          </cell>
        </row>
        <row r="124">
          <cell r="K124">
            <v>1159.82</v>
          </cell>
          <cell r="P124" t="str">
            <v>81123102-52951101</v>
          </cell>
          <cell r="S124" t="str">
            <v>2026A-01</v>
          </cell>
          <cell r="T124" t="str">
            <v>Mobile Phones</v>
          </cell>
        </row>
        <row r="125">
          <cell r="K125">
            <v>1159.82</v>
          </cell>
          <cell r="P125" t="str">
            <v>81123102-52951101</v>
          </cell>
          <cell r="S125" t="str">
            <v>2026A-01</v>
          </cell>
          <cell r="T125" t="str">
            <v>Mobile Phones</v>
          </cell>
        </row>
        <row r="126">
          <cell r="K126">
            <v>1334.73</v>
          </cell>
          <cell r="P126" t="str">
            <v>81123102-52951101</v>
          </cell>
          <cell r="S126" t="str">
            <v>2026A-01</v>
          </cell>
          <cell r="T126" t="str">
            <v>Mobile Phones</v>
          </cell>
        </row>
        <row r="127">
          <cell r="K127">
            <v>713.39</v>
          </cell>
          <cell r="P127" t="str">
            <v>81123102-52951101</v>
          </cell>
          <cell r="S127" t="str">
            <v>2026A-01</v>
          </cell>
          <cell r="T127" t="str">
            <v>Mobile Phones</v>
          </cell>
        </row>
        <row r="128">
          <cell r="K128">
            <v>534.82000000000005</v>
          </cell>
          <cell r="P128" t="str">
            <v>81123102-52951101</v>
          </cell>
          <cell r="S128" t="str">
            <v>2026A-01</v>
          </cell>
          <cell r="T128" t="str">
            <v>Mobile Phones</v>
          </cell>
        </row>
        <row r="129">
          <cell r="K129">
            <v>713.39</v>
          </cell>
          <cell r="P129" t="str">
            <v>81123102-52951101</v>
          </cell>
          <cell r="S129" t="str">
            <v>2026A-01</v>
          </cell>
          <cell r="T129" t="str">
            <v>Mobile Phones</v>
          </cell>
        </row>
        <row r="130">
          <cell r="K130">
            <v>1159.82</v>
          </cell>
          <cell r="P130" t="str">
            <v>81123102-52951101</v>
          </cell>
          <cell r="S130" t="str">
            <v>2026A-01</v>
          </cell>
          <cell r="T130" t="str">
            <v>Mobile Phones</v>
          </cell>
        </row>
        <row r="131">
          <cell r="K131">
            <v>1159.82</v>
          </cell>
          <cell r="P131" t="str">
            <v>81123102-52951101</v>
          </cell>
          <cell r="S131" t="str">
            <v>2026A-01</v>
          </cell>
          <cell r="T131" t="str">
            <v>Mobile Phones</v>
          </cell>
        </row>
        <row r="132">
          <cell r="K132">
            <v>713.39</v>
          </cell>
          <cell r="P132" t="str">
            <v>81123102-52951101</v>
          </cell>
          <cell r="S132" t="str">
            <v>2026A-01</v>
          </cell>
          <cell r="T132" t="str">
            <v>Mobile Phones</v>
          </cell>
        </row>
        <row r="133">
          <cell r="K133">
            <v>713.39</v>
          </cell>
          <cell r="P133" t="str">
            <v>81123102-52951101</v>
          </cell>
          <cell r="S133" t="str">
            <v>2026A-01</v>
          </cell>
          <cell r="T133" t="str">
            <v>Mobile Phones</v>
          </cell>
        </row>
        <row r="134">
          <cell r="K134">
            <v>534.82000000000005</v>
          </cell>
          <cell r="P134" t="str">
            <v>81123102-52951101</v>
          </cell>
          <cell r="S134" t="str">
            <v>2026A-01</v>
          </cell>
          <cell r="T134" t="str">
            <v>Mobile Phones</v>
          </cell>
        </row>
        <row r="135">
          <cell r="K135">
            <v>776.35</v>
          </cell>
          <cell r="P135" t="str">
            <v>81123102-52951101</v>
          </cell>
          <cell r="S135" t="str">
            <v>2026A-01</v>
          </cell>
          <cell r="T135" t="str">
            <v>Mobile Phones</v>
          </cell>
        </row>
        <row r="136">
          <cell r="K136">
            <v>45980.61</v>
          </cell>
          <cell r="P136" t="str">
            <v>81123102-52951101</v>
          </cell>
          <cell r="S136" t="str">
            <v>2026A-01</v>
          </cell>
          <cell r="T136" t="str">
            <v>Mobile Phones</v>
          </cell>
        </row>
        <row r="137">
          <cell r="K137">
            <v>713.39</v>
          </cell>
          <cell r="P137" t="str">
            <v>81123102-52951101</v>
          </cell>
          <cell r="S137" t="str">
            <v>2026A-01</v>
          </cell>
          <cell r="T137" t="str">
            <v>Mobile Phones</v>
          </cell>
        </row>
        <row r="138">
          <cell r="K138">
            <v>1159.82</v>
          </cell>
          <cell r="P138" t="str">
            <v>81123102-52951101</v>
          </cell>
          <cell r="S138" t="str">
            <v>2026A-01</v>
          </cell>
          <cell r="T138" t="str">
            <v>Mobile Phones</v>
          </cell>
        </row>
        <row r="139">
          <cell r="K139">
            <v>1159.82</v>
          </cell>
          <cell r="P139" t="str">
            <v>81123102-52951101</v>
          </cell>
          <cell r="S139" t="str">
            <v>2026A-01</v>
          </cell>
          <cell r="T139" t="str">
            <v>Mobile Phones</v>
          </cell>
        </row>
        <row r="140">
          <cell r="K140">
            <v>534.82000000000005</v>
          </cell>
          <cell r="P140" t="str">
            <v>81123102-52951101</v>
          </cell>
          <cell r="S140" t="str">
            <v>2026A-01</v>
          </cell>
          <cell r="T140" t="str">
            <v>Mobile Phones</v>
          </cell>
        </row>
        <row r="141">
          <cell r="K141">
            <v>534.82000000000005</v>
          </cell>
          <cell r="P141" t="str">
            <v>81123102-52951101</v>
          </cell>
          <cell r="S141" t="str">
            <v>2026A-01</v>
          </cell>
          <cell r="T141" t="str">
            <v>Mobile Phones</v>
          </cell>
        </row>
        <row r="142">
          <cell r="K142">
            <v>713.39</v>
          </cell>
          <cell r="P142" t="str">
            <v>81123102-52951101</v>
          </cell>
          <cell r="S142" t="str">
            <v>2026A-01</v>
          </cell>
          <cell r="T142" t="str">
            <v>Mobile Phones</v>
          </cell>
        </row>
        <row r="143">
          <cell r="K143">
            <v>1159.82</v>
          </cell>
          <cell r="P143" t="str">
            <v>81123102-52951101</v>
          </cell>
          <cell r="S143" t="str">
            <v>2026A-01</v>
          </cell>
          <cell r="T143" t="str">
            <v>Mobile Phones</v>
          </cell>
        </row>
        <row r="144">
          <cell r="K144">
            <v>713.39</v>
          </cell>
          <cell r="P144" t="str">
            <v>81123102-52951101</v>
          </cell>
          <cell r="S144" t="str">
            <v>2026A-01</v>
          </cell>
          <cell r="T144" t="str">
            <v>Mobile Phones</v>
          </cell>
        </row>
        <row r="145">
          <cell r="K145">
            <v>891.96</v>
          </cell>
          <cell r="P145" t="str">
            <v>81123102-52951101</v>
          </cell>
          <cell r="S145" t="str">
            <v>2026A-01</v>
          </cell>
          <cell r="T145" t="str">
            <v>Mobile Phones</v>
          </cell>
        </row>
        <row r="146">
          <cell r="K146">
            <v>534.82000000000005</v>
          </cell>
          <cell r="P146" t="str">
            <v>81123102-52951101</v>
          </cell>
          <cell r="S146" t="str">
            <v>2026A-01</v>
          </cell>
          <cell r="T146" t="str">
            <v>Mobile Phones</v>
          </cell>
        </row>
        <row r="147">
          <cell r="K147">
            <v>534.82000000000005</v>
          </cell>
          <cell r="P147" t="str">
            <v>81123102-52951101</v>
          </cell>
          <cell r="S147" t="str">
            <v>2026A-01</v>
          </cell>
          <cell r="T147" t="str">
            <v>Mobile Phones</v>
          </cell>
        </row>
        <row r="148">
          <cell r="K148">
            <v>713.39</v>
          </cell>
          <cell r="P148" t="str">
            <v>81123102-52951101</v>
          </cell>
          <cell r="S148" t="str">
            <v>2026A-01</v>
          </cell>
          <cell r="T148" t="str">
            <v>Mobile Phones</v>
          </cell>
        </row>
        <row r="149">
          <cell r="K149">
            <v>891.96</v>
          </cell>
          <cell r="P149" t="str">
            <v>81123102-52951101</v>
          </cell>
          <cell r="S149" t="str">
            <v>2026A-01</v>
          </cell>
          <cell r="T149" t="str">
            <v>Mobile Phones</v>
          </cell>
        </row>
        <row r="150">
          <cell r="K150">
            <v>552.29999999999995</v>
          </cell>
          <cell r="P150" t="str">
            <v>81123102-52951101</v>
          </cell>
          <cell r="S150" t="str">
            <v>2026A-01</v>
          </cell>
          <cell r="T150" t="str">
            <v>Mobile Phones</v>
          </cell>
        </row>
        <row r="151">
          <cell r="K151">
            <v>19578.060000000001</v>
          </cell>
          <cell r="P151" t="str">
            <v>81319101-52041499</v>
          </cell>
          <cell r="S151" t="str">
            <v>2026A-01</v>
          </cell>
          <cell r="T151" t="str">
            <v>GH</v>
          </cell>
        </row>
        <row r="152">
          <cell r="K152">
            <v>106448.6</v>
          </cell>
          <cell r="P152" t="str">
            <v>81319101-52041405</v>
          </cell>
          <cell r="S152" t="str">
            <v>2026A-01</v>
          </cell>
          <cell r="T152" t="str">
            <v>GH</v>
          </cell>
        </row>
        <row r="153">
          <cell r="K153">
            <v>22090.58</v>
          </cell>
          <cell r="P153" t="str">
            <v>81319101-52041405</v>
          </cell>
          <cell r="S153" t="str">
            <v>2026A-01</v>
          </cell>
          <cell r="T153" t="str">
            <v>TS</v>
          </cell>
        </row>
        <row r="154">
          <cell r="K154">
            <v>5173.28</v>
          </cell>
          <cell r="P154" t="str">
            <v>81319101-52041405</v>
          </cell>
          <cell r="S154" t="str">
            <v>2026A-01</v>
          </cell>
          <cell r="T154" t="str">
            <v>2025 Janitorial</v>
          </cell>
        </row>
        <row r="155">
          <cell r="K155">
            <v>50000</v>
          </cell>
          <cell r="P155" t="str">
            <v>90123101-61071002</v>
          </cell>
          <cell r="S155" t="str">
            <v>2026A-01</v>
          </cell>
          <cell r="T155" t="str">
            <v>Open Cases</v>
          </cell>
        </row>
        <row r="156">
          <cell r="K156">
            <v>150000</v>
          </cell>
          <cell r="P156" t="str">
            <v>90123101-61071002</v>
          </cell>
          <cell r="S156" t="str">
            <v>2026A-01</v>
          </cell>
          <cell r="T156" t="str">
            <v>Open Cases</v>
          </cell>
        </row>
        <row r="157">
          <cell r="K157">
            <v>50000</v>
          </cell>
          <cell r="P157" t="str">
            <v>90123101-61071002</v>
          </cell>
          <cell r="S157" t="str">
            <v>2026A-01</v>
          </cell>
          <cell r="T157" t="str">
            <v>Open Cases</v>
          </cell>
        </row>
        <row r="158">
          <cell r="K158">
            <v>17907.98</v>
          </cell>
          <cell r="P158" t="str">
            <v>81319101-52041499</v>
          </cell>
          <cell r="S158" t="str">
            <v>2026A-01</v>
          </cell>
          <cell r="T158" t="str">
            <v>2025 Admin Staff</v>
          </cell>
        </row>
        <row r="159">
          <cell r="K159">
            <v>500</v>
          </cell>
          <cell r="P159" t="str">
            <v>81319101-52111101</v>
          </cell>
          <cell r="S159" t="str">
            <v>2026A-01</v>
          </cell>
          <cell r="T159" t="str">
            <v>GH</v>
          </cell>
        </row>
        <row r="160">
          <cell r="K160">
            <v>700</v>
          </cell>
          <cell r="P160" t="str">
            <v>81319101-52111101</v>
          </cell>
          <cell r="S160" t="str">
            <v>2026A-01</v>
          </cell>
          <cell r="T160" t="str">
            <v>GH</v>
          </cell>
        </row>
        <row r="161">
          <cell r="K161">
            <v>4743.75</v>
          </cell>
          <cell r="P161" t="str">
            <v>90111204-61091101</v>
          </cell>
          <cell r="S161" t="str">
            <v>2026A-01</v>
          </cell>
          <cell r="T161" t="str">
            <v>Meetings</v>
          </cell>
        </row>
        <row r="162">
          <cell r="K162">
            <v>89</v>
          </cell>
          <cell r="P162" t="str">
            <v>90122101-52121402</v>
          </cell>
          <cell r="S162" t="str">
            <v>2026A-01</v>
          </cell>
          <cell r="T162" t="str">
            <v>Clinic Supplies</v>
          </cell>
        </row>
        <row r="163">
          <cell r="K163">
            <v>760</v>
          </cell>
          <cell r="P163" t="str">
            <v>90111204-61091101</v>
          </cell>
          <cell r="S163" t="str">
            <v>2026A-01</v>
          </cell>
          <cell r="T163" t="str">
            <v>Meetings</v>
          </cell>
        </row>
        <row r="164">
          <cell r="K164">
            <v>315</v>
          </cell>
          <cell r="P164" t="str">
            <v>90111204-61091102</v>
          </cell>
          <cell r="S164" t="str">
            <v>2026A-01</v>
          </cell>
          <cell r="T164" t="str">
            <v>Meetings</v>
          </cell>
        </row>
        <row r="165">
          <cell r="K165">
            <v>163</v>
          </cell>
          <cell r="P165" t="str">
            <v>90111204-61091102</v>
          </cell>
          <cell r="S165" t="str">
            <v>2026A-01</v>
          </cell>
          <cell r="T165" t="str">
            <v>Meetings</v>
          </cell>
        </row>
        <row r="166">
          <cell r="K166">
            <v>2650</v>
          </cell>
          <cell r="P166" t="str">
            <v>90111204-61091102</v>
          </cell>
          <cell r="S166" t="str">
            <v>2026A-01</v>
          </cell>
          <cell r="T166" t="str">
            <v>Meetings</v>
          </cell>
        </row>
        <row r="167">
          <cell r="K167">
            <v>30000</v>
          </cell>
          <cell r="P167" t="str">
            <v>80314101-61731103</v>
          </cell>
          <cell r="S167" t="str">
            <v>2026A-01</v>
          </cell>
          <cell r="T167" t="str">
            <v>Media Monitoring Services</v>
          </cell>
        </row>
        <row r="168">
          <cell r="K168">
            <v>37500</v>
          </cell>
          <cell r="P168" t="str">
            <v>80314101-61731103</v>
          </cell>
          <cell r="S168" t="str">
            <v>2026A-01</v>
          </cell>
          <cell r="T168" t="str">
            <v>Social Listening Services</v>
          </cell>
        </row>
        <row r="169">
          <cell r="K169">
            <v>37500</v>
          </cell>
          <cell r="P169" t="str">
            <v>80314101-61731103</v>
          </cell>
          <cell r="S169" t="str">
            <v>2026A-01</v>
          </cell>
          <cell r="T169" t="str">
            <v>Social Listening Services (2025)</v>
          </cell>
        </row>
        <row r="170">
          <cell r="K170">
            <v>95</v>
          </cell>
          <cell r="P170" t="str">
            <v>81122101-52121402</v>
          </cell>
          <cell r="S170" t="str">
            <v>2026A-01</v>
          </cell>
          <cell r="T170" t="str">
            <v>Clinic Supplies</v>
          </cell>
        </row>
        <row r="171">
          <cell r="K171">
            <v>484.73</v>
          </cell>
          <cell r="P171" t="str">
            <v>80123101-61091101</v>
          </cell>
          <cell r="S171" t="str">
            <v>2026A-01</v>
          </cell>
          <cell r="T171" t="str">
            <v>Meetings</v>
          </cell>
        </row>
        <row r="172">
          <cell r="K172">
            <v>10000</v>
          </cell>
          <cell r="P172" t="str">
            <v>80123101-61071005</v>
          </cell>
          <cell r="S172" t="str">
            <v>2026A-01</v>
          </cell>
          <cell r="T172" t="str">
            <v>Sycip</v>
          </cell>
        </row>
        <row r="173">
          <cell r="K173">
            <v>248</v>
          </cell>
          <cell r="P173" t="str">
            <v>81319101-52111101</v>
          </cell>
          <cell r="S173" t="str">
            <v>2026A-01</v>
          </cell>
          <cell r="T173" t="str">
            <v>ES</v>
          </cell>
        </row>
        <row r="174">
          <cell r="K174">
            <v>218</v>
          </cell>
          <cell r="P174" t="str">
            <v>81319101-52111101</v>
          </cell>
          <cell r="S174" t="str">
            <v>2026A-01</v>
          </cell>
          <cell r="T174" t="str">
            <v>ES</v>
          </cell>
        </row>
        <row r="175">
          <cell r="K175">
            <v>2240</v>
          </cell>
          <cell r="P175" t="str">
            <v>80133102-61051199</v>
          </cell>
          <cell r="S175" t="str">
            <v>2026A-01</v>
          </cell>
          <cell r="T175" t="str">
            <v>Easy Tax Bill</v>
          </cell>
        </row>
        <row r="176">
          <cell r="K176">
            <v>48650</v>
          </cell>
          <cell r="P176" t="str">
            <v>80133102-61051199</v>
          </cell>
          <cell r="S176" t="str">
            <v>2026A-01</v>
          </cell>
          <cell r="T176" t="str">
            <v>Easy Tax Bill</v>
          </cell>
        </row>
        <row r="177">
          <cell r="K177">
            <v>2275</v>
          </cell>
          <cell r="P177" t="str">
            <v>80133102-61051199</v>
          </cell>
          <cell r="S177" t="str">
            <v>2026A-01</v>
          </cell>
          <cell r="T177" t="str">
            <v>Easy Tax Bill</v>
          </cell>
        </row>
        <row r="178">
          <cell r="K178">
            <v>52360</v>
          </cell>
          <cell r="P178" t="str">
            <v>80133102-61051199</v>
          </cell>
          <cell r="S178" t="str">
            <v>2026A-01</v>
          </cell>
          <cell r="T178" t="str">
            <v>Easy Tax Bill</v>
          </cell>
        </row>
        <row r="179">
          <cell r="K179">
            <v>3535</v>
          </cell>
          <cell r="P179" t="str">
            <v>80133102-61051199</v>
          </cell>
          <cell r="S179" t="str">
            <v>2026A-01</v>
          </cell>
          <cell r="T179" t="str">
            <v>Easy Tax Bill</v>
          </cell>
        </row>
        <row r="180">
          <cell r="K180">
            <v>40530</v>
          </cell>
          <cell r="P180" t="str">
            <v>80133102-61051199</v>
          </cell>
          <cell r="S180" t="str">
            <v>2026A-01</v>
          </cell>
          <cell r="T180" t="str">
            <v>Easy Tax Bill</v>
          </cell>
        </row>
        <row r="181">
          <cell r="K181">
            <v>3500</v>
          </cell>
          <cell r="P181" t="str">
            <v>80133102-61051199</v>
          </cell>
          <cell r="S181" t="str">
            <v>2026A-01</v>
          </cell>
          <cell r="T181" t="str">
            <v>Easy Tax Bill</v>
          </cell>
        </row>
        <row r="182">
          <cell r="K182">
            <v>48965</v>
          </cell>
          <cell r="P182" t="str">
            <v>80133102-61051199</v>
          </cell>
          <cell r="S182" t="str">
            <v>2026A-01</v>
          </cell>
          <cell r="T182" t="str">
            <v>Easy Tax Bill</v>
          </cell>
        </row>
        <row r="183">
          <cell r="K183">
            <v>2450</v>
          </cell>
          <cell r="P183" t="str">
            <v>80133102-61051199</v>
          </cell>
          <cell r="S183" t="str">
            <v>2026A-01</v>
          </cell>
          <cell r="T183" t="str">
            <v>Easy Tax Bill</v>
          </cell>
        </row>
        <row r="184">
          <cell r="K184">
            <v>49245</v>
          </cell>
          <cell r="P184" t="str">
            <v>80133102-61051199</v>
          </cell>
          <cell r="S184" t="str">
            <v>2026A-01</v>
          </cell>
          <cell r="T184" t="str">
            <v>Easy Tax Bill</v>
          </cell>
        </row>
        <row r="185">
          <cell r="K185">
            <v>6236.24</v>
          </cell>
          <cell r="P185" t="str">
            <v>81319101-52041499</v>
          </cell>
          <cell r="S185" t="str">
            <v>2026A-01</v>
          </cell>
          <cell r="T185" t="str">
            <v>2025 Admin Staff</v>
          </cell>
        </row>
        <row r="186">
          <cell r="K186">
            <v>14534.78</v>
          </cell>
          <cell r="P186" t="str">
            <v>81319101-52041405</v>
          </cell>
          <cell r="S186" t="str">
            <v>2026A-01</v>
          </cell>
          <cell r="T186" t="str">
            <v>2025 Janitorial</v>
          </cell>
        </row>
        <row r="187">
          <cell r="K187">
            <v>89197.61</v>
          </cell>
          <cell r="P187" t="str">
            <v>81319101-52041401</v>
          </cell>
          <cell r="S187" t="str">
            <v>2026A-01</v>
          </cell>
          <cell r="T187" t="str">
            <v>GH</v>
          </cell>
        </row>
        <row r="188">
          <cell r="K188">
            <v>43498.720000000001</v>
          </cell>
          <cell r="P188" t="str">
            <v>81319101-52041401</v>
          </cell>
          <cell r="S188" t="str">
            <v>2026A-01</v>
          </cell>
          <cell r="T188" t="str">
            <v>GH</v>
          </cell>
        </row>
        <row r="189">
          <cell r="K189">
            <v>17838.740000000002</v>
          </cell>
          <cell r="P189" t="str">
            <v>81319101-52041401</v>
          </cell>
          <cell r="S189" t="str">
            <v>2026A-01</v>
          </cell>
          <cell r="T189" t="str">
            <v>GH</v>
          </cell>
        </row>
        <row r="190">
          <cell r="K190">
            <v>8699.36</v>
          </cell>
          <cell r="P190" t="str">
            <v>81319101-52041401</v>
          </cell>
          <cell r="S190" t="str">
            <v>2026A-01</v>
          </cell>
          <cell r="T190" t="str">
            <v>GH</v>
          </cell>
        </row>
        <row r="191">
          <cell r="K191">
            <v>162000</v>
          </cell>
          <cell r="P191" t="str">
            <v>80111101-61021201</v>
          </cell>
          <cell r="S191" t="str">
            <v>2026A-01</v>
          </cell>
          <cell r="T191" t="str">
            <v>Project Employee</v>
          </cell>
        </row>
        <row r="192">
          <cell r="K192">
            <v>-15389.52</v>
          </cell>
          <cell r="P192" t="str">
            <v>80111101-61021201</v>
          </cell>
          <cell r="S192" t="str">
            <v>2026A-01</v>
          </cell>
          <cell r="T192" t="str">
            <v>Project Employee</v>
          </cell>
        </row>
        <row r="193">
          <cell r="K193">
            <v>-4717.6099999999997</v>
          </cell>
          <cell r="P193" t="str">
            <v>80111101-61021201</v>
          </cell>
          <cell r="S193" t="str">
            <v>2026A-01</v>
          </cell>
          <cell r="T193" t="str">
            <v>Project Employee</v>
          </cell>
        </row>
        <row r="194">
          <cell r="K194">
            <v>-135.97999999999999</v>
          </cell>
          <cell r="P194" t="str">
            <v>80111101-61021201</v>
          </cell>
          <cell r="S194" t="str">
            <v>2026A-01</v>
          </cell>
          <cell r="T194" t="str">
            <v>Project Employee</v>
          </cell>
        </row>
        <row r="195">
          <cell r="K195">
            <v>-1055.68</v>
          </cell>
          <cell r="P195" t="str">
            <v>80111101-61021201</v>
          </cell>
          <cell r="S195" t="str">
            <v>2026A-01</v>
          </cell>
          <cell r="T195" t="str">
            <v>Project Employee</v>
          </cell>
        </row>
        <row r="196">
          <cell r="K196">
            <v>43214.63</v>
          </cell>
          <cell r="P196" t="str">
            <v>80111101-61021202</v>
          </cell>
          <cell r="S196" t="str">
            <v>2026A-01</v>
          </cell>
          <cell r="T196" t="str">
            <v>Project Employee</v>
          </cell>
        </row>
        <row r="197">
          <cell r="K197">
            <v>2400</v>
          </cell>
          <cell r="P197" t="str">
            <v>80111101-61021306</v>
          </cell>
          <cell r="S197" t="str">
            <v>2026A-01</v>
          </cell>
          <cell r="T197" t="str">
            <v>Pag-ibig</v>
          </cell>
        </row>
        <row r="198">
          <cell r="K198">
            <v>18580</v>
          </cell>
          <cell r="P198" t="str">
            <v>80111101-61021306</v>
          </cell>
          <cell r="S198" t="str">
            <v>2026A-01</v>
          </cell>
          <cell r="T198" t="str">
            <v>SSS</v>
          </cell>
        </row>
        <row r="199">
          <cell r="K199">
            <v>8100</v>
          </cell>
          <cell r="P199" t="str">
            <v>80111101-61021306</v>
          </cell>
          <cell r="S199" t="str">
            <v>2026A-01</v>
          </cell>
          <cell r="T199" t="str">
            <v>Philhealth</v>
          </cell>
        </row>
        <row r="200">
          <cell r="K200">
            <v>26500</v>
          </cell>
          <cell r="P200" t="str">
            <v>80111101-61021102</v>
          </cell>
          <cell r="S200" t="str">
            <v>2026A-01</v>
          </cell>
          <cell r="T200" t="str">
            <v>Regular Employee</v>
          </cell>
        </row>
        <row r="201">
          <cell r="K201">
            <v>-15.06</v>
          </cell>
          <cell r="P201" t="str">
            <v>80111101-61021102</v>
          </cell>
          <cell r="S201" t="str">
            <v>2026A-01</v>
          </cell>
          <cell r="T201" t="str">
            <v>Regular Employee</v>
          </cell>
        </row>
        <row r="202">
          <cell r="K202">
            <v>50000</v>
          </cell>
          <cell r="P202" t="str">
            <v>80111101-61021102</v>
          </cell>
          <cell r="S202" t="str">
            <v>2026A-01</v>
          </cell>
          <cell r="T202" t="str">
            <v>Regular Employee</v>
          </cell>
        </row>
        <row r="203">
          <cell r="K203">
            <v>218350</v>
          </cell>
          <cell r="P203" t="str">
            <v>80111101-61021102</v>
          </cell>
          <cell r="S203" t="str">
            <v>2026A-01</v>
          </cell>
          <cell r="T203" t="str">
            <v>Regular Employee</v>
          </cell>
        </row>
        <row r="204">
          <cell r="K204">
            <v>690050</v>
          </cell>
          <cell r="P204" t="str">
            <v>80111101-61021102</v>
          </cell>
          <cell r="S204" t="str">
            <v>2026A-01</v>
          </cell>
          <cell r="T204" t="str">
            <v>Regular Employee</v>
          </cell>
        </row>
        <row r="205">
          <cell r="K205">
            <v>-19830.02</v>
          </cell>
          <cell r="P205" t="str">
            <v>80111101-61021102</v>
          </cell>
          <cell r="S205" t="str">
            <v>2026A-01</v>
          </cell>
          <cell r="T205" t="str">
            <v>Regular Employee</v>
          </cell>
        </row>
        <row r="206">
          <cell r="K206">
            <v>-6224.5</v>
          </cell>
          <cell r="P206" t="str">
            <v>80111101-61021102</v>
          </cell>
          <cell r="S206" t="str">
            <v>2026A-01</v>
          </cell>
          <cell r="T206" t="str">
            <v>Regular Employee</v>
          </cell>
        </row>
        <row r="207">
          <cell r="K207">
            <v>4305.3999999999996</v>
          </cell>
          <cell r="P207" t="str">
            <v>80111101-61021102</v>
          </cell>
          <cell r="S207" t="str">
            <v>2026A-01</v>
          </cell>
          <cell r="T207" t="str">
            <v>Regular Employee</v>
          </cell>
        </row>
        <row r="208">
          <cell r="K208">
            <v>-1512.88</v>
          </cell>
          <cell r="P208" t="str">
            <v>80111101-61021102</v>
          </cell>
          <cell r="S208" t="str">
            <v>2026A-01</v>
          </cell>
          <cell r="T208" t="str">
            <v>Regular Employee</v>
          </cell>
        </row>
        <row r="209">
          <cell r="K209">
            <v>-2057.4499999999998</v>
          </cell>
          <cell r="P209" t="str">
            <v>80111101-61021102</v>
          </cell>
          <cell r="S209" t="str">
            <v>2026A-01</v>
          </cell>
          <cell r="T209" t="str">
            <v>Regular Employee</v>
          </cell>
        </row>
        <row r="210">
          <cell r="K210">
            <v>4360.95</v>
          </cell>
          <cell r="P210" t="str">
            <v>80111101-61021103</v>
          </cell>
          <cell r="S210" t="str">
            <v>2026A-01</v>
          </cell>
          <cell r="T210" t="str">
            <v>OT Pay</v>
          </cell>
        </row>
        <row r="211">
          <cell r="K211">
            <v>14993.83</v>
          </cell>
          <cell r="P211" t="str">
            <v>80111101-61021103</v>
          </cell>
          <cell r="S211" t="str">
            <v>2026A-01</v>
          </cell>
          <cell r="T211" t="str">
            <v>OT Pay</v>
          </cell>
        </row>
        <row r="212">
          <cell r="K212">
            <v>10600</v>
          </cell>
          <cell r="P212" t="str">
            <v>80111101-61021104</v>
          </cell>
          <cell r="S212" t="str">
            <v>2026A-01</v>
          </cell>
          <cell r="T212" t="str">
            <v>OT Pay</v>
          </cell>
        </row>
        <row r="213">
          <cell r="K213">
            <v>400</v>
          </cell>
          <cell r="P213" t="str">
            <v>80111101-61021306</v>
          </cell>
          <cell r="S213" t="str">
            <v>2026A-01</v>
          </cell>
          <cell r="T213" t="str">
            <v>Pag-ibig</v>
          </cell>
        </row>
        <row r="214">
          <cell r="K214">
            <v>3090</v>
          </cell>
          <cell r="P214" t="str">
            <v>80111101-61021306</v>
          </cell>
          <cell r="S214" t="str">
            <v>2026A-01</v>
          </cell>
          <cell r="T214" t="str">
            <v>SSS</v>
          </cell>
        </row>
        <row r="215">
          <cell r="K215">
            <v>1325</v>
          </cell>
          <cell r="P215" t="str">
            <v>80111101-61021306</v>
          </cell>
          <cell r="S215" t="str">
            <v>2026A-01</v>
          </cell>
          <cell r="T215" t="str">
            <v>Philhealth</v>
          </cell>
        </row>
        <row r="216">
          <cell r="K216">
            <v>200</v>
          </cell>
          <cell r="P216" t="str">
            <v>80111101-61021306</v>
          </cell>
          <cell r="S216" t="str">
            <v>2026A-01</v>
          </cell>
          <cell r="T216" t="str">
            <v>Pag-ibig</v>
          </cell>
        </row>
        <row r="217">
          <cell r="K217">
            <v>3530</v>
          </cell>
          <cell r="P217" t="str">
            <v>80111101-61021306</v>
          </cell>
          <cell r="S217" t="str">
            <v>2026A-01</v>
          </cell>
          <cell r="T217" t="str">
            <v>SSS</v>
          </cell>
        </row>
        <row r="218">
          <cell r="K218">
            <v>2500</v>
          </cell>
          <cell r="P218" t="str">
            <v>80111101-61021306</v>
          </cell>
          <cell r="S218" t="str">
            <v>2026A-01</v>
          </cell>
          <cell r="T218" t="str">
            <v>Philhealth</v>
          </cell>
        </row>
        <row r="219">
          <cell r="K219">
            <v>1800</v>
          </cell>
          <cell r="P219" t="str">
            <v>80111101-61021306</v>
          </cell>
          <cell r="S219" t="str">
            <v>2026A-01</v>
          </cell>
          <cell r="T219" t="str">
            <v>Pag-ibig</v>
          </cell>
        </row>
        <row r="220">
          <cell r="K220">
            <v>16990</v>
          </cell>
          <cell r="P220" t="str">
            <v>80111101-61021306</v>
          </cell>
          <cell r="S220" t="str">
            <v>2026A-01</v>
          </cell>
          <cell r="T220" t="str">
            <v>SSS</v>
          </cell>
        </row>
        <row r="221">
          <cell r="K221">
            <v>9405</v>
          </cell>
          <cell r="P221" t="str">
            <v>80111101-61021306</v>
          </cell>
          <cell r="S221" t="str">
            <v>2026A-01</v>
          </cell>
          <cell r="T221" t="str">
            <v>Philhealth</v>
          </cell>
        </row>
        <row r="222">
          <cell r="K222">
            <v>6800</v>
          </cell>
          <cell r="P222" t="str">
            <v>80111101-61021306</v>
          </cell>
          <cell r="S222" t="str">
            <v>2026A-01</v>
          </cell>
          <cell r="T222" t="str">
            <v>Pag-ibig</v>
          </cell>
        </row>
        <row r="223">
          <cell r="K223">
            <v>59020</v>
          </cell>
          <cell r="P223" t="str">
            <v>80111101-61021306</v>
          </cell>
          <cell r="S223" t="str">
            <v>2026A-01</v>
          </cell>
          <cell r="T223" t="str">
            <v>SSS</v>
          </cell>
        </row>
        <row r="224">
          <cell r="K224">
            <v>32347.5</v>
          </cell>
          <cell r="P224" t="str">
            <v>80111101-61021306</v>
          </cell>
          <cell r="S224" t="str">
            <v>2026A-01</v>
          </cell>
          <cell r="T224" t="str">
            <v>Philhealth</v>
          </cell>
        </row>
        <row r="225">
          <cell r="K225">
            <v>311287.78000000003</v>
          </cell>
          <cell r="P225" t="str">
            <v>80124101-61711102</v>
          </cell>
          <cell r="S225" t="str">
            <v>2026A-01</v>
          </cell>
          <cell r="T225" t="str">
            <v>MSOC</v>
          </cell>
        </row>
        <row r="226">
          <cell r="K226">
            <v>188600</v>
          </cell>
          <cell r="P226" t="str">
            <v>81111101-52121101</v>
          </cell>
          <cell r="S226" t="str">
            <v>2026A-01</v>
          </cell>
          <cell r="T226" t="str">
            <v>Regular Employee</v>
          </cell>
        </row>
        <row r="227">
          <cell r="K227">
            <v>-1346.58</v>
          </cell>
          <cell r="P227" t="str">
            <v>81111101-52121101</v>
          </cell>
          <cell r="S227" t="str">
            <v>2026A-01</v>
          </cell>
          <cell r="T227" t="str">
            <v>Regular Employee</v>
          </cell>
        </row>
        <row r="228">
          <cell r="K228">
            <v>-2748.12</v>
          </cell>
          <cell r="P228" t="str">
            <v>81111101-52121101</v>
          </cell>
          <cell r="S228" t="str">
            <v>2026A-01</v>
          </cell>
          <cell r="T228" t="str">
            <v>Regular Employee</v>
          </cell>
        </row>
        <row r="229">
          <cell r="K229">
            <v>-580.84</v>
          </cell>
          <cell r="P229" t="str">
            <v>81111101-52121101</v>
          </cell>
          <cell r="S229" t="str">
            <v>2026A-01</v>
          </cell>
          <cell r="T229" t="str">
            <v>Regular Employee</v>
          </cell>
        </row>
        <row r="230">
          <cell r="K230">
            <v>-153.15</v>
          </cell>
          <cell r="P230" t="str">
            <v>81111101-52121101</v>
          </cell>
          <cell r="S230" t="str">
            <v>2026A-01</v>
          </cell>
          <cell r="T230" t="str">
            <v>Regular Employee</v>
          </cell>
        </row>
        <row r="231">
          <cell r="K231">
            <v>252250</v>
          </cell>
          <cell r="P231" t="str">
            <v>81111101-52121101</v>
          </cell>
          <cell r="S231" t="str">
            <v>2026A-01</v>
          </cell>
          <cell r="T231" t="str">
            <v>Regular Employee</v>
          </cell>
        </row>
        <row r="232">
          <cell r="K232">
            <v>-12256.62</v>
          </cell>
          <cell r="P232" t="str">
            <v>81111101-52121101</v>
          </cell>
          <cell r="S232" t="str">
            <v>2026A-01</v>
          </cell>
          <cell r="T232" t="str">
            <v>Regular Employee</v>
          </cell>
        </row>
        <row r="233">
          <cell r="K233">
            <v>-824.44</v>
          </cell>
          <cell r="P233" t="str">
            <v>81111101-52121101</v>
          </cell>
          <cell r="S233" t="str">
            <v>2026A-01</v>
          </cell>
          <cell r="T233" t="str">
            <v>Regular Employee</v>
          </cell>
        </row>
        <row r="234">
          <cell r="K234">
            <v>-1388.08</v>
          </cell>
          <cell r="P234" t="str">
            <v>81111101-52121101</v>
          </cell>
          <cell r="S234" t="str">
            <v>2026A-01</v>
          </cell>
          <cell r="T234" t="str">
            <v>Regular Employee</v>
          </cell>
        </row>
        <row r="235">
          <cell r="K235">
            <v>-1490.75</v>
          </cell>
          <cell r="P235" t="str">
            <v>81111101-52121101</v>
          </cell>
          <cell r="S235" t="str">
            <v>2026A-01</v>
          </cell>
          <cell r="T235" t="str">
            <v>Regular Employee</v>
          </cell>
        </row>
        <row r="236">
          <cell r="K236">
            <v>104350</v>
          </cell>
          <cell r="P236" t="str">
            <v>81111101-52121101</v>
          </cell>
          <cell r="S236" t="str">
            <v>2026A-01</v>
          </cell>
          <cell r="T236" t="str">
            <v>Regular Employee</v>
          </cell>
        </row>
        <row r="237">
          <cell r="K237">
            <v>-16374.24</v>
          </cell>
          <cell r="P237" t="str">
            <v>81111101-52121101</v>
          </cell>
          <cell r="S237" t="str">
            <v>2026A-01</v>
          </cell>
          <cell r="T237" t="str">
            <v>Regular Employee</v>
          </cell>
        </row>
        <row r="238">
          <cell r="K238">
            <v>-493.8</v>
          </cell>
          <cell r="P238" t="str">
            <v>81111101-52121101</v>
          </cell>
          <cell r="S238" t="str">
            <v>2026A-01</v>
          </cell>
          <cell r="T238" t="str">
            <v>Regular Employee</v>
          </cell>
        </row>
        <row r="239">
          <cell r="K239">
            <v>-538.16999999999996</v>
          </cell>
          <cell r="P239" t="str">
            <v>81111101-52121101</v>
          </cell>
          <cell r="S239" t="str">
            <v>2026A-01</v>
          </cell>
          <cell r="T239" t="str">
            <v>Regular Employee</v>
          </cell>
        </row>
        <row r="240">
          <cell r="K240">
            <v>1017550</v>
          </cell>
          <cell r="P240" t="str">
            <v>81111101-52121101</v>
          </cell>
          <cell r="S240" t="str">
            <v>2026A-01</v>
          </cell>
          <cell r="T240" t="str">
            <v>Regular Employee</v>
          </cell>
        </row>
        <row r="241">
          <cell r="K241">
            <v>2899.27</v>
          </cell>
          <cell r="P241" t="str">
            <v>81111101-52121101</v>
          </cell>
          <cell r="S241" t="str">
            <v>2026A-01</v>
          </cell>
          <cell r="T241" t="str">
            <v>Regular Employee</v>
          </cell>
        </row>
        <row r="242">
          <cell r="K242">
            <v>-20205.599999999999</v>
          </cell>
          <cell r="P242" t="str">
            <v>81111101-52121101</v>
          </cell>
          <cell r="S242" t="str">
            <v>2026A-01</v>
          </cell>
          <cell r="T242" t="str">
            <v>Regular Employee</v>
          </cell>
        </row>
        <row r="243">
          <cell r="K243">
            <v>-25191.13</v>
          </cell>
          <cell r="P243" t="str">
            <v>81111101-52121101</v>
          </cell>
          <cell r="S243" t="str">
            <v>2026A-01</v>
          </cell>
          <cell r="T243" t="str">
            <v>Regular Employee</v>
          </cell>
        </row>
        <row r="244">
          <cell r="K244">
            <v>-494.61</v>
          </cell>
          <cell r="P244" t="str">
            <v>81111101-52121101</v>
          </cell>
          <cell r="S244" t="str">
            <v>2026A-01</v>
          </cell>
          <cell r="T244" t="str">
            <v>Regular Employee</v>
          </cell>
        </row>
        <row r="245">
          <cell r="K245">
            <v>-4297.63</v>
          </cell>
          <cell r="P245" t="str">
            <v>81111101-52121101</v>
          </cell>
          <cell r="S245" t="str">
            <v>2026A-01</v>
          </cell>
          <cell r="T245" t="str">
            <v>Regular Employee</v>
          </cell>
        </row>
        <row r="246">
          <cell r="K246">
            <v>138250</v>
          </cell>
          <cell r="P246" t="str">
            <v>81111101-52121101</v>
          </cell>
          <cell r="S246" t="str">
            <v>2026A-01</v>
          </cell>
          <cell r="T246" t="str">
            <v>Regular Employee</v>
          </cell>
        </row>
        <row r="247">
          <cell r="K247">
            <v>-7488.64</v>
          </cell>
          <cell r="P247" t="str">
            <v>81111101-52121101</v>
          </cell>
          <cell r="S247" t="str">
            <v>2026A-01</v>
          </cell>
          <cell r="T247" t="str">
            <v>Regular Employee</v>
          </cell>
        </row>
        <row r="248">
          <cell r="K248">
            <v>-4734.3599999999997</v>
          </cell>
          <cell r="P248" t="str">
            <v>81111101-52121101</v>
          </cell>
          <cell r="S248" t="str">
            <v>2026A-01</v>
          </cell>
          <cell r="T248" t="str">
            <v>Regular Employee</v>
          </cell>
        </row>
        <row r="249">
          <cell r="K249">
            <v>30751.97</v>
          </cell>
          <cell r="P249" t="str">
            <v>81111101-52121102</v>
          </cell>
          <cell r="S249" t="str">
            <v>2026A-01</v>
          </cell>
          <cell r="T249" t="str">
            <v>OT Pay</v>
          </cell>
        </row>
        <row r="250">
          <cell r="K250">
            <v>3416.72</v>
          </cell>
          <cell r="P250" t="str">
            <v>81111101-52121102</v>
          </cell>
          <cell r="S250" t="str">
            <v>2026A-01</v>
          </cell>
          <cell r="T250" t="str">
            <v>OT Pay</v>
          </cell>
        </row>
        <row r="251">
          <cell r="K251">
            <v>58994.67</v>
          </cell>
          <cell r="P251" t="str">
            <v>81111101-52121102</v>
          </cell>
          <cell r="S251" t="str">
            <v>2026A-01</v>
          </cell>
          <cell r="T251" t="str">
            <v>OT Pay</v>
          </cell>
        </row>
        <row r="252">
          <cell r="K252">
            <v>3200</v>
          </cell>
          <cell r="P252" t="str">
            <v>81111101-52121103</v>
          </cell>
          <cell r="S252" t="str">
            <v>2026A-01</v>
          </cell>
          <cell r="T252" t="str">
            <v>OT Pay</v>
          </cell>
        </row>
        <row r="253">
          <cell r="K253">
            <v>11400</v>
          </cell>
          <cell r="P253" t="str">
            <v>81111101-52121103</v>
          </cell>
          <cell r="S253" t="str">
            <v>2026A-01</v>
          </cell>
          <cell r="T253" t="str">
            <v>OT Pay</v>
          </cell>
        </row>
        <row r="254">
          <cell r="K254">
            <v>1800</v>
          </cell>
          <cell r="P254" t="str">
            <v>81111101-52121305</v>
          </cell>
          <cell r="S254" t="str">
            <v>2026A-01</v>
          </cell>
          <cell r="T254" t="str">
            <v>Pag-ibig</v>
          </cell>
        </row>
        <row r="255">
          <cell r="K255">
            <v>26420</v>
          </cell>
          <cell r="P255" t="str">
            <v>81111101-52121305</v>
          </cell>
          <cell r="S255" t="str">
            <v>2026A-01</v>
          </cell>
          <cell r="T255" t="str">
            <v>SSS</v>
          </cell>
        </row>
        <row r="256">
          <cell r="K256">
            <v>8367.5</v>
          </cell>
          <cell r="P256" t="str">
            <v>81111101-52121305</v>
          </cell>
          <cell r="S256" t="str">
            <v>2026A-01</v>
          </cell>
          <cell r="T256" t="str">
            <v>Philhealth</v>
          </cell>
        </row>
        <row r="257">
          <cell r="K257">
            <v>3800</v>
          </cell>
          <cell r="P257" t="str">
            <v>81111101-52121305</v>
          </cell>
          <cell r="S257" t="str">
            <v>2026A-01</v>
          </cell>
          <cell r="T257" t="str">
            <v>Pag-ibig</v>
          </cell>
        </row>
        <row r="258">
          <cell r="K258">
            <v>49870</v>
          </cell>
          <cell r="P258" t="str">
            <v>81111101-52121305</v>
          </cell>
          <cell r="S258" t="str">
            <v>2026A-01</v>
          </cell>
          <cell r="T258" t="str">
            <v>SSS</v>
          </cell>
        </row>
        <row r="259">
          <cell r="K259">
            <v>12612.5</v>
          </cell>
          <cell r="P259" t="str">
            <v>81111101-52121305</v>
          </cell>
          <cell r="S259" t="str">
            <v>2026A-01</v>
          </cell>
          <cell r="T259" t="str">
            <v>Philhealth</v>
          </cell>
        </row>
        <row r="260">
          <cell r="K260">
            <v>1000</v>
          </cell>
          <cell r="P260" t="str">
            <v>81111101-52121305</v>
          </cell>
          <cell r="S260" t="str">
            <v>2026A-01</v>
          </cell>
          <cell r="T260" t="str">
            <v>Pag-ibig</v>
          </cell>
        </row>
        <row r="261">
          <cell r="K261">
            <v>16650</v>
          </cell>
          <cell r="P261" t="str">
            <v>81111101-52121305</v>
          </cell>
          <cell r="S261" t="str">
            <v>2026A-01</v>
          </cell>
          <cell r="T261" t="str">
            <v>SSS</v>
          </cell>
        </row>
        <row r="262">
          <cell r="K262">
            <v>5217.5</v>
          </cell>
          <cell r="P262" t="str">
            <v>81111101-52121305</v>
          </cell>
          <cell r="S262" t="str">
            <v>2026A-01</v>
          </cell>
          <cell r="T262" t="str">
            <v>Philhealth</v>
          </cell>
        </row>
        <row r="263">
          <cell r="K263">
            <v>9400</v>
          </cell>
          <cell r="P263" t="str">
            <v>81111101-52121305</v>
          </cell>
          <cell r="S263" t="str">
            <v>2026A-01</v>
          </cell>
          <cell r="T263" t="str">
            <v>Pag-ibig</v>
          </cell>
        </row>
        <row r="264">
          <cell r="K264">
            <v>142510</v>
          </cell>
          <cell r="P264" t="str">
            <v>81111101-52121305</v>
          </cell>
          <cell r="S264" t="str">
            <v>2026A-01</v>
          </cell>
          <cell r="T264" t="str">
            <v>SSS</v>
          </cell>
        </row>
        <row r="265">
          <cell r="K265">
            <v>48675</v>
          </cell>
          <cell r="P265" t="str">
            <v>81111101-52121305</v>
          </cell>
          <cell r="S265" t="str">
            <v>2026A-01</v>
          </cell>
          <cell r="T265" t="str">
            <v>Philhealth</v>
          </cell>
        </row>
        <row r="266">
          <cell r="K266">
            <v>1200</v>
          </cell>
          <cell r="P266" t="str">
            <v>81111101-52121305</v>
          </cell>
          <cell r="S266" t="str">
            <v>2026A-01</v>
          </cell>
          <cell r="T266" t="str">
            <v>Pag-ibig</v>
          </cell>
        </row>
        <row r="267">
          <cell r="K267">
            <v>21180</v>
          </cell>
          <cell r="P267" t="str">
            <v>81111101-52121305</v>
          </cell>
          <cell r="S267" t="str">
            <v>2026A-01</v>
          </cell>
          <cell r="T267" t="str">
            <v>SSS</v>
          </cell>
        </row>
        <row r="268">
          <cell r="K268">
            <v>6912.5</v>
          </cell>
          <cell r="P268" t="str">
            <v>81111101-52121305</v>
          </cell>
          <cell r="S268" t="str">
            <v>2026A-01</v>
          </cell>
          <cell r="T268" t="str">
            <v>Philhealth</v>
          </cell>
        </row>
        <row r="269">
          <cell r="K269">
            <v>1000</v>
          </cell>
          <cell r="P269" t="str">
            <v>81319101-52111101</v>
          </cell>
          <cell r="S269" t="str">
            <v>2026A-01</v>
          </cell>
          <cell r="T269" t="str">
            <v>GH</v>
          </cell>
        </row>
        <row r="270">
          <cell r="K270">
            <v>1000</v>
          </cell>
          <cell r="P270" t="str">
            <v>81319101-52111101</v>
          </cell>
          <cell r="S270" t="str">
            <v>2026A-01</v>
          </cell>
          <cell r="T270" t="str">
            <v>GH</v>
          </cell>
        </row>
        <row r="271">
          <cell r="K271">
            <v>1000</v>
          </cell>
          <cell r="P271" t="str">
            <v>81319101-52111101</v>
          </cell>
          <cell r="S271" t="str">
            <v>2026A-01</v>
          </cell>
          <cell r="T271" t="str">
            <v>GH</v>
          </cell>
        </row>
        <row r="272">
          <cell r="K272">
            <v>21447.200000000001</v>
          </cell>
          <cell r="P272" t="str">
            <v>81319101-52041401</v>
          </cell>
          <cell r="S272" t="str">
            <v>2026A-01</v>
          </cell>
          <cell r="T272" t="str">
            <v>CV</v>
          </cell>
        </row>
        <row r="273">
          <cell r="K273">
            <v>4289.0200000000004</v>
          </cell>
          <cell r="P273" t="str">
            <v>81319101-52041401</v>
          </cell>
          <cell r="S273" t="str">
            <v>2026A-01</v>
          </cell>
          <cell r="T273" t="str">
            <v>CV</v>
          </cell>
        </row>
        <row r="274">
          <cell r="K274">
            <v>21447.200000000001</v>
          </cell>
          <cell r="P274" t="str">
            <v>81319101-52041401</v>
          </cell>
          <cell r="S274" t="str">
            <v>2026A-01</v>
          </cell>
          <cell r="T274" t="str">
            <v>TS</v>
          </cell>
        </row>
        <row r="275">
          <cell r="K275">
            <v>4289.0200000000004</v>
          </cell>
          <cell r="P275" t="str">
            <v>81319101-52041401</v>
          </cell>
          <cell r="S275" t="str">
            <v>2026A-01</v>
          </cell>
          <cell r="T275" t="str">
            <v>TS</v>
          </cell>
        </row>
        <row r="276">
          <cell r="K276">
            <v>90887.039999999994</v>
          </cell>
          <cell r="P276" t="str">
            <v>81319101-52041401</v>
          </cell>
          <cell r="S276" t="str">
            <v>2026A-01</v>
          </cell>
          <cell r="T276" t="str">
            <v>ES</v>
          </cell>
        </row>
        <row r="277">
          <cell r="K277">
            <v>18175.919999999998</v>
          </cell>
          <cell r="P277" t="str">
            <v>81319101-52041401</v>
          </cell>
          <cell r="S277" t="str">
            <v>2026A-01</v>
          </cell>
          <cell r="T277" t="str">
            <v>ES</v>
          </cell>
        </row>
        <row r="278">
          <cell r="K278">
            <v>3151950</v>
          </cell>
          <cell r="P278" t="str">
            <v>90111101-52121101</v>
          </cell>
          <cell r="S278" t="str">
            <v>2026A-01</v>
          </cell>
          <cell r="T278" t="str">
            <v>Regular Employee</v>
          </cell>
        </row>
        <row r="279">
          <cell r="K279">
            <v>3879.44</v>
          </cell>
          <cell r="P279" t="str">
            <v>90111101-52121101</v>
          </cell>
          <cell r="S279" t="str">
            <v>2026A-01</v>
          </cell>
          <cell r="T279" t="str">
            <v>Regular Employee</v>
          </cell>
        </row>
        <row r="280">
          <cell r="K280">
            <v>-5821.77</v>
          </cell>
          <cell r="P280" t="str">
            <v>90111101-52121101</v>
          </cell>
          <cell r="S280" t="str">
            <v>2026A-01</v>
          </cell>
          <cell r="T280" t="str">
            <v>Regular Employee</v>
          </cell>
        </row>
        <row r="281">
          <cell r="K281">
            <v>-8233.2800000000007</v>
          </cell>
          <cell r="P281" t="str">
            <v>90111101-52121101</v>
          </cell>
          <cell r="S281" t="str">
            <v>2026A-01</v>
          </cell>
          <cell r="T281" t="str">
            <v>Regular Employee</v>
          </cell>
        </row>
        <row r="282">
          <cell r="K282">
            <v>-31042.400000000001</v>
          </cell>
          <cell r="P282" t="str">
            <v>90111101-52121101</v>
          </cell>
          <cell r="S282" t="str">
            <v>2026A-01</v>
          </cell>
          <cell r="T282" t="str">
            <v>Regular Employee</v>
          </cell>
        </row>
        <row r="283">
          <cell r="K283">
            <v>-35109.61</v>
          </cell>
          <cell r="P283" t="str">
            <v>90111101-52121101</v>
          </cell>
          <cell r="S283" t="str">
            <v>2026A-01</v>
          </cell>
          <cell r="T283" t="str">
            <v>Regular Employee</v>
          </cell>
        </row>
        <row r="284">
          <cell r="K284">
            <v>718200</v>
          </cell>
          <cell r="P284" t="str">
            <v>90111101-52121101</v>
          </cell>
          <cell r="S284" t="str">
            <v>2026A-01</v>
          </cell>
          <cell r="T284" t="str">
            <v>Regular Employee</v>
          </cell>
        </row>
        <row r="285">
          <cell r="K285">
            <v>-1616.81</v>
          </cell>
          <cell r="P285" t="str">
            <v>90111101-52121101</v>
          </cell>
          <cell r="S285" t="str">
            <v>2026A-01</v>
          </cell>
          <cell r="T285" t="str">
            <v>Regular Employee</v>
          </cell>
        </row>
        <row r="286">
          <cell r="K286">
            <v>-832.66</v>
          </cell>
          <cell r="P286" t="str">
            <v>90111101-52121101</v>
          </cell>
          <cell r="S286" t="str">
            <v>2026A-01</v>
          </cell>
          <cell r="T286" t="str">
            <v>Regular Employee</v>
          </cell>
        </row>
        <row r="287">
          <cell r="K287">
            <v>-21646.080000000002</v>
          </cell>
          <cell r="P287" t="str">
            <v>90111101-52121101</v>
          </cell>
          <cell r="S287" t="str">
            <v>2026A-01</v>
          </cell>
          <cell r="T287" t="str">
            <v>Regular Employee</v>
          </cell>
        </row>
        <row r="288">
          <cell r="K288">
            <v>2113950</v>
          </cell>
          <cell r="P288" t="str">
            <v>90111101-52121101</v>
          </cell>
          <cell r="S288" t="str">
            <v>2026A-01</v>
          </cell>
          <cell r="T288" t="str">
            <v>Regular Employee</v>
          </cell>
        </row>
        <row r="289">
          <cell r="K289">
            <v>-5240.17</v>
          </cell>
          <cell r="P289" t="str">
            <v>90111101-52121101</v>
          </cell>
          <cell r="S289" t="str">
            <v>2026A-01</v>
          </cell>
          <cell r="T289" t="str">
            <v>Regular Employee</v>
          </cell>
        </row>
        <row r="290">
          <cell r="K290">
            <v>-2751.56</v>
          </cell>
          <cell r="P290" t="str">
            <v>90111101-52121101</v>
          </cell>
          <cell r="S290" t="str">
            <v>2026A-01</v>
          </cell>
          <cell r="T290" t="str">
            <v>Regular Employee</v>
          </cell>
        </row>
        <row r="291">
          <cell r="K291">
            <v>-12957.41</v>
          </cell>
          <cell r="P291" t="str">
            <v>90111101-52121101</v>
          </cell>
          <cell r="S291" t="str">
            <v>2026A-01</v>
          </cell>
          <cell r="T291" t="str">
            <v>Regular Employee</v>
          </cell>
        </row>
        <row r="292">
          <cell r="K292">
            <v>-1355.74</v>
          </cell>
          <cell r="P292" t="str">
            <v>90111101-52121101</v>
          </cell>
          <cell r="S292" t="str">
            <v>2026A-01</v>
          </cell>
          <cell r="T292" t="str">
            <v>Regular Employee</v>
          </cell>
        </row>
        <row r="293">
          <cell r="K293">
            <v>916850</v>
          </cell>
          <cell r="P293" t="str">
            <v>90111101-52121101</v>
          </cell>
          <cell r="S293" t="str">
            <v>2026A-01</v>
          </cell>
          <cell r="T293" t="str">
            <v>Regular Employee</v>
          </cell>
        </row>
        <row r="294">
          <cell r="K294">
            <v>-2661.1</v>
          </cell>
          <cell r="P294" t="str">
            <v>90111101-52121101</v>
          </cell>
          <cell r="S294" t="str">
            <v>2026A-01</v>
          </cell>
          <cell r="T294" t="str">
            <v>Regular Employee</v>
          </cell>
        </row>
        <row r="295">
          <cell r="K295">
            <v>27050</v>
          </cell>
          <cell r="P295" t="str">
            <v>90111101-52121101</v>
          </cell>
          <cell r="S295" t="str">
            <v>2026A-01</v>
          </cell>
          <cell r="T295" t="str">
            <v>Regular Employee</v>
          </cell>
        </row>
        <row r="296">
          <cell r="K296">
            <v>-80.53</v>
          </cell>
          <cell r="P296" t="str">
            <v>90111101-52121101</v>
          </cell>
          <cell r="S296" t="str">
            <v>2026A-01</v>
          </cell>
          <cell r="T296" t="str">
            <v>Regular Employee</v>
          </cell>
        </row>
        <row r="297">
          <cell r="K297">
            <v>-37.17</v>
          </cell>
          <cell r="P297" t="str">
            <v>90111101-52121101</v>
          </cell>
          <cell r="S297" t="str">
            <v>2026A-01</v>
          </cell>
          <cell r="T297" t="str">
            <v>Regular Employee</v>
          </cell>
        </row>
        <row r="298">
          <cell r="K298">
            <v>-2477.89</v>
          </cell>
          <cell r="P298" t="str">
            <v>90111101-52121101</v>
          </cell>
          <cell r="S298" t="str">
            <v>2026A-01</v>
          </cell>
          <cell r="T298" t="str">
            <v>Regular Employee</v>
          </cell>
        </row>
        <row r="299">
          <cell r="K299">
            <v>494200</v>
          </cell>
          <cell r="P299" t="str">
            <v>90111101-52121101</v>
          </cell>
          <cell r="S299" t="str">
            <v>2026A-01</v>
          </cell>
          <cell r="T299" t="str">
            <v>Regular Employee</v>
          </cell>
        </row>
        <row r="300">
          <cell r="K300">
            <v>2390.87</v>
          </cell>
          <cell r="P300" t="str">
            <v>90111101-52121101</v>
          </cell>
          <cell r="S300" t="str">
            <v>2026A-01</v>
          </cell>
          <cell r="T300" t="str">
            <v>Regular Employee</v>
          </cell>
        </row>
        <row r="301">
          <cell r="K301">
            <v>-6251.07</v>
          </cell>
          <cell r="P301" t="str">
            <v>90111101-52121101</v>
          </cell>
          <cell r="S301" t="str">
            <v>2026A-01</v>
          </cell>
          <cell r="T301" t="str">
            <v>Regular Employee</v>
          </cell>
        </row>
        <row r="302">
          <cell r="K302">
            <v>-27.46</v>
          </cell>
          <cell r="P302" t="str">
            <v>90111101-52121101</v>
          </cell>
          <cell r="S302" t="str">
            <v>2026A-01</v>
          </cell>
          <cell r="T302" t="str">
            <v>Regular Employee</v>
          </cell>
        </row>
        <row r="303">
          <cell r="K303">
            <v>-6327.55</v>
          </cell>
          <cell r="P303" t="str">
            <v>90111101-52121101</v>
          </cell>
          <cell r="S303" t="str">
            <v>2026A-01</v>
          </cell>
          <cell r="T303" t="str">
            <v>Regular Employee</v>
          </cell>
        </row>
        <row r="304">
          <cell r="K304">
            <v>470350</v>
          </cell>
          <cell r="P304" t="str">
            <v>90111101-52121101</v>
          </cell>
          <cell r="S304" t="str">
            <v>2026A-01</v>
          </cell>
          <cell r="T304" t="str">
            <v>Regular Employee</v>
          </cell>
        </row>
        <row r="305">
          <cell r="K305">
            <v>-23.52</v>
          </cell>
          <cell r="P305" t="str">
            <v>90111101-52121101</v>
          </cell>
          <cell r="S305" t="str">
            <v>2026A-01</v>
          </cell>
          <cell r="T305" t="str">
            <v>Regular Employee</v>
          </cell>
        </row>
        <row r="306">
          <cell r="K306">
            <v>1948.69</v>
          </cell>
          <cell r="P306" t="str">
            <v>90111101-52121102</v>
          </cell>
          <cell r="S306" t="str">
            <v>2026A-01</v>
          </cell>
          <cell r="T306" t="str">
            <v>OT Pay</v>
          </cell>
        </row>
        <row r="307">
          <cell r="K307">
            <v>16744.23</v>
          </cell>
          <cell r="P307" t="str">
            <v>90111101-52121102</v>
          </cell>
          <cell r="S307" t="str">
            <v>2026A-01</v>
          </cell>
          <cell r="T307" t="str">
            <v>OT Pay</v>
          </cell>
        </row>
        <row r="308">
          <cell r="K308">
            <v>10665.71</v>
          </cell>
          <cell r="P308" t="str">
            <v>90111101-52121102</v>
          </cell>
          <cell r="S308" t="str">
            <v>2026A-01</v>
          </cell>
          <cell r="T308" t="str">
            <v>OT Pay</v>
          </cell>
        </row>
        <row r="309">
          <cell r="K309">
            <v>1480.75</v>
          </cell>
          <cell r="P309" t="str">
            <v>90111101-52121102</v>
          </cell>
          <cell r="S309" t="str">
            <v>2026A-01</v>
          </cell>
          <cell r="T309" t="str">
            <v>OT Pay</v>
          </cell>
        </row>
        <row r="310">
          <cell r="K310">
            <v>600</v>
          </cell>
          <cell r="P310" t="str">
            <v>90111101-52121103</v>
          </cell>
          <cell r="S310" t="str">
            <v>2026A-01</v>
          </cell>
          <cell r="T310" t="str">
            <v>OT Pay</v>
          </cell>
        </row>
        <row r="311">
          <cell r="K311">
            <v>15000</v>
          </cell>
          <cell r="P311" t="str">
            <v>90111101-52121305</v>
          </cell>
          <cell r="S311" t="str">
            <v>2026A-01</v>
          </cell>
          <cell r="T311" t="str">
            <v>Pag-ibig</v>
          </cell>
        </row>
        <row r="312">
          <cell r="K312">
            <v>105722.5</v>
          </cell>
          <cell r="P312" t="str">
            <v>90111101-52121305</v>
          </cell>
          <cell r="S312" t="str">
            <v>2026A-01</v>
          </cell>
          <cell r="T312" t="str">
            <v>Philhealth</v>
          </cell>
        </row>
        <row r="313">
          <cell r="K313">
            <v>176620</v>
          </cell>
          <cell r="P313" t="str">
            <v>90111101-52121305</v>
          </cell>
          <cell r="S313" t="str">
            <v>2026A-01</v>
          </cell>
          <cell r="T313" t="str">
            <v>SSS</v>
          </cell>
        </row>
        <row r="314">
          <cell r="K314">
            <v>1800</v>
          </cell>
          <cell r="P314" t="str">
            <v>90111101-52121305</v>
          </cell>
          <cell r="S314" t="str">
            <v>2026A-01</v>
          </cell>
          <cell r="T314" t="str">
            <v>Pag-ibig</v>
          </cell>
        </row>
        <row r="315">
          <cell r="K315">
            <v>14380</v>
          </cell>
          <cell r="P315" t="str">
            <v>90111101-52121305</v>
          </cell>
          <cell r="S315" t="str">
            <v>2026A-01</v>
          </cell>
          <cell r="T315" t="str">
            <v>Philhealth</v>
          </cell>
        </row>
        <row r="316">
          <cell r="K316">
            <v>23400</v>
          </cell>
          <cell r="P316" t="str">
            <v>90111101-52121305</v>
          </cell>
          <cell r="S316" t="str">
            <v>2026A-01</v>
          </cell>
          <cell r="T316" t="str">
            <v>SSS</v>
          </cell>
        </row>
        <row r="317">
          <cell r="K317">
            <v>12600</v>
          </cell>
          <cell r="P317" t="str">
            <v>90111101-52121305</v>
          </cell>
          <cell r="S317" t="str">
            <v>2026A-01</v>
          </cell>
          <cell r="T317" t="str">
            <v>Pag-ibig</v>
          </cell>
        </row>
        <row r="318">
          <cell r="K318">
            <v>86917.5</v>
          </cell>
          <cell r="P318" t="str">
            <v>90111101-52121305</v>
          </cell>
          <cell r="S318" t="str">
            <v>2026A-01</v>
          </cell>
          <cell r="T318" t="str">
            <v>Philhealth</v>
          </cell>
        </row>
        <row r="319">
          <cell r="K319">
            <v>158590</v>
          </cell>
          <cell r="P319" t="str">
            <v>90111101-52121305</v>
          </cell>
          <cell r="S319" t="str">
            <v>2026A-01</v>
          </cell>
          <cell r="T319" t="str">
            <v>SSS</v>
          </cell>
        </row>
        <row r="320">
          <cell r="K320">
            <v>1000</v>
          </cell>
          <cell r="P320" t="str">
            <v>90111101-52121305</v>
          </cell>
          <cell r="S320" t="str">
            <v>2026A-01</v>
          </cell>
          <cell r="T320" t="str">
            <v>Pag-ibig</v>
          </cell>
        </row>
        <row r="321">
          <cell r="K321">
            <v>11452.5</v>
          </cell>
          <cell r="P321" t="str">
            <v>90111101-52121305</v>
          </cell>
          <cell r="S321" t="str">
            <v>2026A-01</v>
          </cell>
          <cell r="T321" t="str">
            <v>Philhealth</v>
          </cell>
        </row>
        <row r="322">
          <cell r="K322">
            <v>16800</v>
          </cell>
          <cell r="P322" t="str">
            <v>90111101-52121305</v>
          </cell>
          <cell r="S322" t="str">
            <v>2026A-01</v>
          </cell>
          <cell r="T322" t="str">
            <v>SSS</v>
          </cell>
        </row>
        <row r="323">
          <cell r="K323">
            <v>200</v>
          </cell>
          <cell r="P323" t="str">
            <v>90111101-52121305</v>
          </cell>
          <cell r="S323" t="str">
            <v>2026A-01</v>
          </cell>
          <cell r="T323" t="str">
            <v>Pag-ibig</v>
          </cell>
        </row>
        <row r="324">
          <cell r="K324">
            <v>1352.5</v>
          </cell>
          <cell r="P324" t="str">
            <v>90111101-52121305</v>
          </cell>
          <cell r="S324" t="str">
            <v>2026A-01</v>
          </cell>
          <cell r="T324" t="str">
            <v>Philhealth</v>
          </cell>
        </row>
        <row r="325">
          <cell r="K325">
            <v>2480</v>
          </cell>
          <cell r="P325" t="str">
            <v>90111101-52121305</v>
          </cell>
          <cell r="S325" t="str">
            <v>2026A-01</v>
          </cell>
          <cell r="T325" t="str">
            <v>SSS</v>
          </cell>
        </row>
        <row r="326">
          <cell r="K326">
            <v>2000</v>
          </cell>
          <cell r="P326" t="str">
            <v>90111101-52121305</v>
          </cell>
          <cell r="S326" t="str">
            <v>2026A-01</v>
          </cell>
          <cell r="T326" t="str">
            <v>Pag-ibig</v>
          </cell>
        </row>
        <row r="327">
          <cell r="K327">
            <v>16485</v>
          </cell>
          <cell r="P327" t="str">
            <v>90111101-52121305</v>
          </cell>
          <cell r="S327" t="str">
            <v>2026A-01</v>
          </cell>
          <cell r="T327" t="str">
            <v>Philhealth</v>
          </cell>
        </row>
        <row r="328">
          <cell r="K328">
            <v>27180</v>
          </cell>
          <cell r="P328" t="str">
            <v>90111101-52121305</v>
          </cell>
          <cell r="S328" t="str">
            <v>2026A-01</v>
          </cell>
          <cell r="T328" t="str">
            <v>SSS</v>
          </cell>
        </row>
        <row r="329">
          <cell r="K329">
            <v>2400</v>
          </cell>
          <cell r="P329" t="str">
            <v>90111101-52121305</v>
          </cell>
          <cell r="S329" t="str">
            <v>2026A-01</v>
          </cell>
          <cell r="T329" t="str">
            <v>Pag-ibig</v>
          </cell>
        </row>
        <row r="330">
          <cell r="K330">
            <v>18742.5</v>
          </cell>
          <cell r="P330" t="str">
            <v>90111101-52121305</v>
          </cell>
          <cell r="S330" t="str">
            <v>2026A-01</v>
          </cell>
          <cell r="T330" t="str">
            <v>Philhealth</v>
          </cell>
        </row>
        <row r="331">
          <cell r="K331">
            <v>32870</v>
          </cell>
          <cell r="P331" t="str">
            <v>90111101-52121305</v>
          </cell>
          <cell r="S331" t="str">
            <v>2026A-01</v>
          </cell>
          <cell r="T331" t="str">
            <v>SSS</v>
          </cell>
        </row>
        <row r="332">
          <cell r="K332">
            <v>2599422.79</v>
          </cell>
          <cell r="P332" t="str">
            <v>90122101-52071104</v>
          </cell>
          <cell r="S332" t="str">
            <v>2026A-01</v>
          </cell>
          <cell r="T332" t="str">
            <v>OLC INTCNSLTNT</v>
          </cell>
        </row>
        <row r="333">
          <cell r="K333">
            <v>205</v>
          </cell>
          <cell r="P333" t="str">
            <v>90122101-52121502</v>
          </cell>
          <cell r="S333" t="str">
            <v>2026A-01</v>
          </cell>
          <cell r="T333" t="str">
            <v>Trainings</v>
          </cell>
        </row>
        <row r="334">
          <cell r="K334">
            <v>480</v>
          </cell>
          <cell r="P334" t="str">
            <v>90122101-52121502</v>
          </cell>
          <cell r="S334" t="str">
            <v>2026A-01</v>
          </cell>
          <cell r="T334" t="str">
            <v>Trainings</v>
          </cell>
        </row>
        <row r="335">
          <cell r="K335">
            <v>12000</v>
          </cell>
          <cell r="P335" t="str">
            <v>80124101-61061105</v>
          </cell>
          <cell r="S335" t="str">
            <v>2026A-01</v>
          </cell>
          <cell r="T335" t="str">
            <v>Others</v>
          </cell>
        </row>
        <row r="336">
          <cell r="K336">
            <v>23646.400000000001</v>
          </cell>
          <cell r="P336" t="str">
            <v>81319101-52041499</v>
          </cell>
          <cell r="S336" t="str">
            <v>2026A-01</v>
          </cell>
          <cell r="T336" t="str">
            <v>2025 Admin Staff</v>
          </cell>
        </row>
        <row r="337">
          <cell r="K337">
            <v>22691.97</v>
          </cell>
          <cell r="P337" t="str">
            <v>81319101-52041499</v>
          </cell>
          <cell r="S337" t="str">
            <v>2026A-01</v>
          </cell>
          <cell r="T337" t="str">
            <v>2025 Admin Staff</v>
          </cell>
        </row>
        <row r="338">
          <cell r="K338">
            <v>22877.01</v>
          </cell>
          <cell r="P338" t="str">
            <v>81319101-52041401</v>
          </cell>
          <cell r="S338" t="str">
            <v>2026A-01</v>
          </cell>
          <cell r="T338" t="str">
            <v>CV</v>
          </cell>
        </row>
        <row r="339">
          <cell r="K339">
            <v>4574.96</v>
          </cell>
          <cell r="P339" t="str">
            <v>81319101-52041401</v>
          </cell>
          <cell r="S339" t="str">
            <v>2026A-01</v>
          </cell>
          <cell r="T339" t="str">
            <v>CV</v>
          </cell>
        </row>
        <row r="340">
          <cell r="K340">
            <v>22877.01</v>
          </cell>
          <cell r="P340" t="str">
            <v>81319101-52041401</v>
          </cell>
          <cell r="S340" t="str">
            <v>2026A-01</v>
          </cell>
          <cell r="T340" t="str">
            <v>TS</v>
          </cell>
        </row>
        <row r="341">
          <cell r="K341">
            <v>4574.96</v>
          </cell>
          <cell r="P341" t="str">
            <v>81319101-52041401</v>
          </cell>
          <cell r="S341" t="str">
            <v>2026A-01</v>
          </cell>
          <cell r="T341" t="str">
            <v>TS</v>
          </cell>
        </row>
        <row r="342">
          <cell r="K342">
            <v>2140</v>
          </cell>
          <cell r="P342" t="str">
            <v>90111204-61091102</v>
          </cell>
          <cell r="S342" t="str">
            <v>2026A-01</v>
          </cell>
          <cell r="T342" t="str">
            <v>Meetings</v>
          </cell>
        </row>
        <row r="343">
          <cell r="K343">
            <v>1500000</v>
          </cell>
          <cell r="P343" t="str">
            <v>80123101-61071002</v>
          </cell>
          <cell r="S343" t="str">
            <v>2026A-01</v>
          </cell>
          <cell r="T343" t="str">
            <v>Open Cases</v>
          </cell>
        </row>
        <row r="344">
          <cell r="K344">
            <v>1500000</v>
          </cell>
          <cell r="P344" t="str">
            <v>80123101-61071002</v>
          </cell>
          <cell r="S344" t="str">
            <v>2026A-01</v>
          </cell>
          <cell r="T344" t="str">
            <v>Open Cases</v>
          </cell>
        </row>
        <row r="345">
          <cell r="K345">
            <v>20840.259999999998</v>
          </cell>
          <cell r="P345" t="str">
            <v>81319101-52041499</v>
          </cell>
          <cell r="S345" t="str">
            <v>2026A-01</v>
          </cell>
          <cell r="T345" t="str">
            <v>GH</v>
          </cell>
        </row>
        <row r="346">
          <cell r="K346">
            <v>100</v>
          </cell>
          <cell r="P346" t="str">
            <v>90122101-61071099</v>
          </cell>
          <cell r="S346" t="str">
            <v>2026A-01</v>
          </cell>
          <cell r="T346" t="str">
            <v>2026 - Notarization Fee</v>
          </cell>
        </row>
        <row r="347">
          <cell r="K347">
            <v>15000</v>
          </cell>
          <cell r="P347" t="str">
            <v>90122101-52121502</v>
          </cell>
          <cell r="S347" t="str">
            <v>2026A-01</v>
          </cell>
          <cell r="T347" t="str">
            <v>Trainings</v>
          </cell>
        </row>
        <row r="348">
          <cell r="K348">
            <v>10000</v>
          </cell>
          <cell r="P348" t="str">
            <v>90123101-61071002</v>
          </cell>
          <cell r="S348" t="str">
            <v>2026A-01</v>
          </cell>
          <cell r="T348" t="str">
            <v>Open Cases</v>
          </cell>
        </row>
        <row r="349">
          <cell r="K349">
            <v>5000</v>
          </cell>
          <cell r="P349" t="str">
            <v>90123101-61071002</v>
          </cell>
          <cell r="S349" t="str">
            <v>2026A-01</v>
          </cell>
          <cell r="T349" t="str">
            <v>Open Cases</v>
          </cell>
        </row>
        <row r="350">
          <cell r="K350">
            <v>2231.25</v>
          </cell>
          <cell r="P350" t="str">
            <v>80123102-61721101</v>
          </cell>
          <cell r="S350" t="str">
            <v>2026A-01</v>
          </cell>
          <cell r="T350" t="str">
            <v>Phone - MDIA</v>
          </cell>
        </row>
        <row r="351">
          <cell r="K351">
            <v>982.14</v>
          </cell>
          <cell r="P351" t="str">
            <v>80123102-61721101</v>
          </cell>
          <cell r="S351" t="str">
            <v>2026A-01</v>
          </cell>
          <cell r="T351" t="str">
            <v>Phone - MDIA</v>
          </cell>
        </row>
        <row r="352">
          <cell r="K352">
            <v>4462.5</v>
          </cell>
          <cell r="P352" t="str">
            <v>80123102-61721101</v>
          </cell>
          <cell r="S352" t="str">
            <v>2026A-01</v>
          </cell>
          <cell r="T352" t="str">
            <v>Phone - JHJ</v>
          </cell>
        </row>
        <row r="353">
          <cell r="K353">
            <v>177.68</v>
          </cell>
          <cell r="P353" t="str">
            <v>80123102-61721101</v>
          </cell>
          <cell r="S353" t="str">
            <v>2026A-01</v>
          </cell>
          <cell r="T353" t="str">
            <v>Phone - JHJ</v>
          </cell>
        </row>
        <row r="354">
          <cell r="K354">
            <v>-17357.14</v>
          </cell>
          <cell r="P354" t="str">
            <v>81221201-61111101</v>
          </cell>
          <cell r="S354" t="str">
            <v>2026A-01</v>
          </cell>
          <cell r="T354" t="str">
            <v>Zero</v>
          </cell>
        </row>
        <row r="355">
          <cell r="K355">
            <v>98193.94</v>
          </cell>
          <cell r="P355" t="str">
            <v>81111101-52041495</v>
          </cell>
          <cell r="S355" t="str">
            <v>2026A-01</v>
          </cell>
          <cell r="T355" t="str">
            <v>BTs</v>
          </cell>
        </row>
        <row r="356">
          <cell r="K356">
            <v>3000</v>
          </cell>
          <cell r="P356" t="str">
            <v>90122101-52121502</v>
          </cell>
          <cell r="S356" t="str">
            <v>2026A-01</v>
          </cell>
          <cell r="T356" t="str">
            <v>Trainings</v>
          </cell>
        </row>
        <row r="357">
          <cell r="K357">
            <v>17357.14</v>
          </cell>
          <cell r="P357" t="str">
            <v>81221201-61111101</v>
          </cell>
          <cell r="S357" t="str">
            <v>2026A-01</v>
          </cell>
          <cell r="T357" t="str">
            <v>Zero</v>
          </cell>
        </row>
        <row r="358">
          <cell r="K358">
            <v>1915.71</v>
          </cell>
          <cell r="P358" t="str">
            <v>81319101-52111101</v>
          </cell>
          <cell r="S358" t="str">
            <v>2026A-01</v>
          </cell>
          <cell r="T358" t="str">
            <v>CV</v>
          </cell>
        </row>
        <row r="359">
          <cell r="K359">
            <v>4207.1400000000003</v>
          </cell>
          <cell r="P359" t="str">
            <v>81319101-52111101</v>
          </cell>
          <cell r="S359" t="str">
            <v>2026A-01</v>
          </cell>
          <cell r="T359" t="str">
            <v>CV</v>
          </cell>
        </row>
        <row r="360">
          <cell r="K360">
            <v>669.64</v>
          </cell>
          <cell r="P360" t="str">
            <v>81319101-52111101</v>
          </cell>
          <cell r="S360" t="str">
            <v>2026A-01</v>
          </cell>
          <cell r="T360" t="str">
            <v>CV</v>
          </cell>
        </row>
        <row r="361">
          <cell r="K361">
            <v>3000</v>
          </cell>
          <cell r="P361" t="str">
            <v>81122101-52121402</v>
          </cell>
          <cell r="S361" t="str">
            <v>2026A-01</v>
          </cell>
          <cell r="T361" t="str">
            <v>Bereavement Assistance</v>
          </cell>
        </row>
        <row r="362">
          <cell r="K362">
            <v>10457.14</v>
          </cell>
          <cell r="P362" t="str">
            <v>81221201-61111101</v>
          </cell>
          <cell r="S362" t="str">
            <v>2026A-01</v>
          </cell>
          <cell r="T362" t="str">
            <v>Tissue</v>
          </cell>
        </row>
        <row r="363">
          <cell r="K363">
            <v>20547</v>
          </cell>
          <cell r="P363" t="str">
            <v>90122101-52121502</v>
          </cell>
          <cell r="S363" t="str">
            <v>2026A-01</v>
          </cell>
          <cell r="T363" t="str">
            <v>Trainings</v>
          </cell>
        </row>
        <row r="364">
          <cell r="K364">
            <v>17410.71</v>
          </cell>
          <cell r="P364" t="str">
            <v>81319101-52111101</v>
          </cell>
          <cell r="S364" t="str">
            <v>2026A-01</v>
          </cell>
          <cell r="T364" t="str">
            <v>TS</v>
          </cell>
        </row>
        <row r="365">
          <cell r="K365">
            <v>160</v>
          </cell>
          <cell r="P365" t="str">
            <v>81123102-52061111</v>
          </cell>
          <cell r="S365" t="str">
            <v>2026A-01</v>
          </cell>
          <cell r="T365" t="str">
            <v>R&amp;M - Supplies</v>
          </cell>
        </row>
        <row r="366">
          <cell r="K366">
            <v>800</v>
          </cell>
          <cell r="P366" t="str">
            <v>81123102-52061111</v>
          </cell>
          <cell r="S366" t="str">
            <v>2026A-01</v>
          </cell>
          <cell r="T366" t="str">
            <v>R&amp;M - Supplies</v>
          </cell>
        </row>
        <row r="367">
          <cell r="K367">
            <v>598</v>
          </cell>
          <cell r="P367" t="str">
            <v>81111204-52091102</v>
          </cell>
          <cell r="S367" t="str">
            <v>2026A-01</v>
          </cell>
          <cell r="T367" t="str">
            <v>Meetings</v>
          </cell>
        </row>
        <row r="368">
          <cell r="K368">
            <v>4901.79</v>
          </cell>
          <cell r="P368" t="str">
            <v>81319101-52111101</v>
          </cell>
          <cell r="S368" t="str">
            <v>2026A-01</v>
          </cell>
          <cell r="T368" t="str">
            <v>ES</v>
          </cell>
        </row>
        <row r="369">
          <cell r="K369">
            <v>6964.29</v>
          </cell>
          <cell r="P369" t="str">
            <v>81319101-52111101</v>
          </cell>
          <cell r="S369" t="str">
            <v>2026A-01</v>
          </cell>
          <cell r="T369" t="str">
            <v>GH</v>
          </cell>
        </row>
        <row r="370">
          <cell r="K370">
            <v>1287.5</v>
          </cell>
          <cell r="P370" t="str">
            <v>81319101-52111101</v>
          </cell>
          <cell r="S370" t="str">
            <v>2026A-01</v>
          </cell>
          <cell r="T370" t="str">
            <v>ES</v>
          </cell>
        </row>
        <row r="371">
          <cell r="K371">
            <v>1590.18</v>
          </cell>
          <cell r="P371" t="str">
            <v>81319101-52111101</v>
          </cell>
          <cell r="S371" t="str">
            <v>2026A-01</v>
          </cell>
          <cell r="T371" t="str">
            <v>ES</v>
          </cell>
        </row>
        <row r="372">
          <cell r="K372">
            <v>1316.96</v>
          </cell>
          <cell r="P372" t="str">
            <v>81319101-52111101</v>
          </cell>
          <cell r="S372" t="str">
            <v>2026A-01</v>
          </cell>
          <cell r="T372" t="str">
            <v>ES</v>
          </cell>
        </row>
        <row r="373">
          <cell r="K373">
            <v>1718.75</v>
          </cell>
          <cell r="P373" t="str">
            <v>81319101-52111101</v>
          </cell>
          <cell r="S373" t="str">
            <v>2026A-01</v>
          </cell>
          <cell r="T373" t="str">
            <v>ES</v>
          </cell>
        </row>
        <row r="374">
          <cell r="K374">
            <v>4733.04</v>
          </cell>
          <cell r="P374" t="str">
            <v>81319101-52111101</v>
          </cell>
          <cell r="S374" t="str">
            <v>2026A-01</v>
          </cell>
          <cell r="T374" t="str">
            <v>ES</v>
          </cell>
        </row>
        <row r="375">
          <cell r="K375">
            <v>167.41</v>
          </cell>
          <cell r="P375" t="str">
            <v>81319101-52111101</v>
          </cell>
          <cell r="S375" t="str">
            <v>2026A-01</v>
          </cell>
          <cell r="T375" t="str">
            <v>ES</v>
          </cell>
        </row>
        <row r="376">
          <cell r="K376">
            <v>441.96</v>
          </cell>
          <cell r="P376" t="str">
            <v>81319101-52111101</v>
          </cell>
          <cell r="S376" t="str">
            <v>2026A-01</v>
          </cell>
          <cell r="T376" t="str">
            <v>ES</v>
          </cell>
        </row>
        <row r="377">
          <cell r="K377">
            <v>2796.88</v>
          </cell>
          <cell r="P377" t="str">
            <v>81319101-52111101</v>
          </cell>
          <cell r="S377" t="str">
            <v>2026A-01</v>
          </cell>
          <cell r="T377" t="str">
            <v>ES</v>
          </cell>
        </row>
        <row r="378">
          <cell r="K378">
            <v>10457.14</v>
          </cell>
          <cell r="P378" t="str">
            <v>81221201-61111101</v>
          </cell>
          <cell r="S378" t="str">
            <v>2026A-01</v>
          </cell>
          <cell r="T378" t="str">
            <v>Tissue</v>
          </cell>
        </row>
        <row r="379">
          <cell r="K379">
            <v>10500</v>
          </cell>
          <cell r="P379" t="str">
            <v>80111101-52031101</v>
          </cell>
          <cell r="S379" t="str">
            <v>2026A-01</v>
          </cell>
          <cell r="T379" t="str">
            <v>Other Taxes</v>
          </cell>
        </row>
        <row r="380">
          <cell r="K380">
            <v>15500</v>
          </cell>
          <cell r="P380" t="str">
            <v>80111101-52031101</v>
          </cell>
          <cell r="S380" t="str">
            <v>2026A-01</v>
          </cell>
          <cell r="T380" t="str">
            <v>Other Taxes</v>
          </cell>
        </row>
        <row r="381">
          <cell r="K381">
            <v>-982.14</v>
          </cell>
          <cell r="P381" t="str">
            <v>80123102-61721101</v>
          </cell>
          <cell r="S381" t="str">
            <v>2026A-01</v>
          </cell>
          <cell r="T381" t="str">
            <v>Mobile Phones</v>
          </cell>
        </row>
        <row r="382">
          <cell r="K382">
            <v>624.5</v>
          </cell>
          <cell r="P382" t="str">
            <v>81111101-52101101</v>
          </cell>
          <cell r="S382" t="str">
            <v>2026A-01</v>
          </cell>
          <cell r="T382" t="str">
            <v>PARI</v>
          </cell>
        </row>
        <row r="383">
          <cell r="K383">
            <v>249.8</v>
          </cell>
          <cell r="P383" t="str">
            <v>81111101-52101101</v>
          </cell>
          <cell r="S383" t="str">
            <v>2026A-01</v>
          </cell>
          <cell r="T383" t="str">
            <v>PARI</v>
          </cell>
        </row>
        <row r="384">
          <cell r="K384">
            <v>124.9</v>
          </cell>
          <cell r="P384" t="str">
            <v>81111101-52101101</v>
          </cell>
          <cell r="S384" t="str">
            <v>2026A-01</v>
          </cell>
          <cell r="T384" t="str">
            <v>PARI</v>
          </cell>
        </row>
        <row r="385">
          <cell r="K385">
            <v>124.9</v>
          </cell>
          <cell r="P385" t="str">
            <v>81111101-52101101</v>
          </cell>
          <cell r="S385" t="str">
            <v>2026A-01</v>
          </cell>
          <cell r="T385" t="str">
            <v>PARI</v>
          </cell>
        </row>
        <row r="386">
          <cell r="K386">
            <v>999.19</v>
          </cell>
          <cell r="P386" t="str">
            <v>81111101-52101101</v>
          </cell>
          <cell r="S386" t="str">
            <v>2026A-01</v>
          </cell>
          <cell r="T386" t="str">
            <v>PARI</v>
          </cell>
        </row>
        <row r="387">
          <cell r="K387">
            <v>187.35</v>
          </cell>
          <cell r="P387" t="str">
            <v>81111101-52101101</v>
          </cell>
          <cell r="S387" t="str">
            <v>2026A-01</v>
          </cell>
          <cell r="T387" t="str">
            <v>PARI</v>
          </cell>
        </row>
        <row r="388">
          <cell r="K388">
            <v>312.25</v>
          </cell>
          <cell r="P388" t="str">
            <v>81111101-52101101</v>
          </cell>
          <cell r="S388" t="str">
            <v>2026A-01</v>
          </cell>
          <cell r="T388" t="str">
            <v>PARI</v>
          </cell>
        </row>
        <row r="389">
          <cell r="K389">
            <v>1623.69</v>
          </cell>
          <cell r="P389" t="str">
            <v>81111101-52101101</v>
          </cell>
          <cell r="S389" t="str">
            <v>2026A-01</v>
          </cell>
          <cell r="T389" t="str">
            <v>PARI</v>
          </cell>
        </row>
        <row r="390">
          <cell r="K390">
            <v>1998.39</v>
          </cell>
          <cell r="P390" t="str">
            <v>81111101-52101101</v>
          </cell>
          <cell r="S390" t="str">
            <v>2026A-01</v>
          </cell>
          <cell r="T390" t="str">
            <v>PARI</v>
          </cell>
        </row>
        <row r="391">
          <cell r="K391">
            <v>1151.92</v>
          </cell>
          <cell r="P391" t="str">
            <v>81111101-52101105</v>
          </cell>
          <cell r="S391" t="str">
            <v>2026A-01</v>
          </cell>
          <cell r="T391" t="str">
            <v>PTS</v>
          </cell>
        </row>
        <row r="392">
          <cell r="K392">
            <v>4021.12</v>
          </cell>
          <cell r="P392" t="str">
            <v>81111101-52031101</v>
          </cell>
          <cell r="S392" t="str">
            <v>2026A-01</v>
          </cell>
          <cell r="T392" t="str">
            <v>Other Taxes</v>
          </cell>
        </row>
        <row r="393">
          <cell r="K393">
            <v>10500</v>
          </cell>
          <cell r="P393" t="str">
            <v>81111101-52031101</v>
          </cell>
          <cell r="S393" t="str">
            <v>2026A-01</v>
          </cell>
          <cell r="T393" t="str">
            <v>Other Taxes</v>
          </cell>
        </row>
        <row r="394">
          <cell r="K394">
            <v>15500</v>
          </cell>
          <cell r="P394" t="str">
            <v>81111101-52031101</v>
          </cell>
          <cell r="S394" t="str">
            <v>2026A-01</v>
          </cell>
          <cell r="T394" t="str">
            <v>Other Taxes</v>
          </cell>
        </row>
        <row r="395">
          <cell r="K395">
            <v>10000</v>
          </cell>
          <cell r="P395" t="str">
            <v>90111101-52031101</v>
          </cell>
          <cell r="S395" t="str">
            <v>2026A-01</v>
          </cell>
          <cell r="T395" t="str">
            <v>Other Taxes</v>
          </cell>
        </row>
        <row r="396">
          <cell r="K396">
            <v>372955.41</v>
          </cell>
          <cell r="P396" t="str">
            <v>90111101-52031101</v>
          </cell>
          <cell r="S396" t="str">
            <v>2026A-01</v>
          </cell>
          <cell r="T396" t="str">
            <v>Other Taxes</v>
          </cell>
        </row>
        <row r="397">
          <cell r="K397">
            <v>26265.16</v>
          </cell>
          <cell r="P397" t="str">
            <v>90111101-52031101</v>
          </cell>
          <cell r="S397" t="str">
            <v>2026A-01</v>
          </cell>
          <cell r="T397" t="str">
            <v>Other Taxes</v>
          </cell>
        </row>
        <row r="398">
          <cell r="K398">
            <v>13537</v>
          </cell>
          <cell r="P398" t="str">
            <v>90111101-52031101</v>
          </cell>
          <cell r="S398" t="str">
            <v>2026A-01</v>
          </cell>
          <cell r="T398" t="str">
            <v>Other Taxes</v>
          </cell>
        </row>
        <row r="399">
          <cell r="K399">
            <v>10500</v>
          </cell>
          <cell r="P399" t="str">
            <v>90111101-52031101</v>
          </cell>
          <cell r="S399" t="str">
            <v>2026A-01</v>
          </cell>
          <cell r="T399" t="str">
            <v>Other Taxes</v>
          </cell>
        </row>
        <row r="400">
          <cell r="K400">
            <v>1442.91</v>
          </cell>
          <cell r="P400" t="str">
            <v>90111101-52031101</v>
          </cell>
          <cell r="S400" t="str">
            <v>2026A-01</v>
          </cell>
          <cell r="T400" t="str">
            <v>Other Taxes</v>
          </cell>
        </row>
        <row r="401">
          <cell r="K401">
            <v>16817.080000000002</v>
          </cell>
          <cell r="P401" t="str">
            <v>90111101-52121301</v>
          </cell>
          <cell r="S401" t="str">
            <v>2026A-01</v>
          </cell>
          <cell r="T401" t="str">
            <v>Sun Life - MDIA</v>
          </cell>
        </row>
        <row r="402">
          <cell r="K402">
            <v>38124.080000000002</v>
          </cell>
          <cell r="P402" t="str">
            <v>90111101-52121303</v>
          </cell>
          <cell r="S402" t="str">
            <v>2026A-01</v>
          </cell>
          <cell r="T402" t="str">
            <v>Pacific Cross Insurance Policy (USD) - MDIA</v>
          </cell>
        </row>
        <row r="403">
          <cell r="K403">
            <v>30416.63</v>
          </cell>
          <cell r="P403" t="str">
            <v>90111101-52101107</v>
          </cell>
          <cell r="S403" t="str">
            <v>2026A-01</v>
          </cell>
          <cell r="T403" t="str">
            <v>DOL</v>
          </cell>
        </row>
        <row r="404">
          <cell r="K404">
            <v>3802.12</v>
          </cell>
          <cell r="P404" t="str">
            <v>90111101-52101107</v>
          </cell>
          <cell r="S404" t="str">
            <v>2026A-01</v>
          </cell>
          <cell r="T404" t="str">
            <v>DOL</v>
          </cell>
        </row>
        <row r="405">
          <cell r="K405">
            <v>60.87</v>
          </cell>
          <cell r="P405" t="str">
            <v>90111101-52101107</v>
          </cell>
          <cell r="S405" t="str">
            <v>2026A-01</v>
          </cell>
          <cell r="T405" t="str">
            <v>DOL</v>
          </cell>
        </row>
        <row r="406">
          <cell r="K406">
            <v>46666.63</v>
          </cell>
          <cell r="P406" t="str">
            <v>90122101-52121315</v>
          </cell>
          <cell r="S406" t="str">
            <v>2026A-01</v>
          </cell>
          <cell r="T406" t="str">
            <v>Jobstreet</v>
          </cell>
        </row>
        <row r="407">
          <cell r="K407">
            <v>1968.75</v>
          </cell>
          <cell r="P407" t="str">
            <v>90122101-52121315</v>
          </cell>
          <cell r="S407" t="str">
            <v>2026A-01</v>
          </cell>
          <cell r="T407" t="str">
            <v>Jobstreet</v>
          </cell>
        </row>
        <row r="408">
          <cell r="K408">
            <v>20089.29</v>
          </cell>
          <cell r="P408" t="str">
            <v>90111204-61711101</v>
          </cell>
          <cell r="S408" t="str">
            <v>2026A-01</v>
          </cell>
          <cell r="T408" t="str">
            <v>Membership - DMZ</v>
          </cell>
        </row>
        <row r="409">
          <cell r="K409">
            <v>25000</v>
          </cell>
          <cell r="P409" t="str">
            <v>90122101-61711101</v>
          </cell>
          <cell r="S409" t="str">
            <v>2026A-01</v>
          </cell>
          <cell r="T409" t="str">
            <v>MBC Membership</v>
          </cell>
        </row>
        <row r="410">
          <cell r="K410">
            <v>25000</v>
          </cell>
          <cell r="P410" t="str">
            <v>90122101-61711101</v>
          </cell>
          <cell r="S410" t="str">
            <v>2026A-01</v>
          </cell>
          <cell r="T410" t="str">
            <v>MBC Membership</v>
          </cell>
        </row>
        <row r="411">
          <cell r="K411">
            <v>10000</v>
          </cell>
          <cell r="P411" t="str">
            <v>90122101-61711101</v>
          </cell>
          <cell r="S411" t="str">
            <v>2026A-01</v>
          </cell>
          <cell r="T411" t="str">
            <v>ECOP</v>
          </cell>
        </row>
        <row r="412">
          <cell r="K412">
            <v>3234356.33</v>
          </cell>
          <cell r="P412" t="str">
            <v>90111101-52121304</v>
          </cell>
          <cell r="S412" t="str">
            <v>2026A-01</v>
          </cell>
          <cell r="T412" t="str">
            <v>Retirement</v>
          </cell>
        </row>
        <row r="413">
          <cell r="K413">
            <v>54166.67</v>
          </cell>
          <cell r="P413" t="str">
            <v>90111101-52071199</v>
          </cell>
          <cell r="S413" t="str">
            <v>2026A-01</v>
          </cell>
          <cell r="T413" t="str">
            <v>Lacson</v>
          </cell>
        </row>
        <row r="414">
          <cell r="K414">
            <v>7421.87</v>
          </cell>
          <cell r="P414" t="str">
            <v>90111101-52071199</v>
          </cell>
          <cell r="S414" t="str">
            <v>2026A-01</v>
          </cell>
          <cell r="T414" t="str">
            <v>Lacson</v>
          </cell>
        </row>
        <row r="415">
          <cell r="K415">
            <v>487500</v>
          </cell>
          <cell r="P415" t="str">
            <v>90111101-52121303</v>
          </cell>
          <cell r="S415" t="str">
            <v>2026A-01</v>
          </cell>
          <cell r="T415" t="str">
            <v>HMO</v>
          </cell>
        </row>
        <row r="416">
          <cell r="K416">
            <v>148437.5</v>
          </cell>
          <cell r="P416" t="str">
            <v>90111101-52121303</v>
          </cell>
          <cell r="S416" t="str">
            <v>2026A-01</v>
          </cell>
          <cell r="T416" t="str">
            <v>HMO</v>
          </cell>
        </row>
        <row r="417">
          <cell r="K417">
            <v>224339.20000000001</v>
          </cell>
          <cell r="P417" t="str">
            <v>90111101-52121303</v>
          </cell>
          <cell r="S417" t="str">
            <v>2026A-01</v>
          </cell>
          <cell r="T417" t="str">
            <v>HMO</v>
          </cell>
        </row>
        <row r="418">
          <cell r="K418">
            <v>37667.47</v>
          </cell>
          <cell r="P418" t="str">
            <v>90111101-52121301</v>
          </cell>
          <cell r="S418" t="str">
            <v>2026A-01</v>
          </cell>
          <cell r="T418" t="str">
            <v>Accident Insurance</v>
          </cell>
        </row>
        <row r="419">
          <cell r="K419">
            <v>753.35</v>
          </cell>
          <cell r="P419" t="str">
            <v>90111101-52121301</v>
          </cell>
          <cell r="S419" t="str">
            <v>2026A-01</v>
          </cell>
          <cell r="T419" t="str">
            <v>Accident Insurance</v>
          </cell>
        </row>
        <row r="420">
          <cell r="K420">
            <v>200</v>
          </cell>
          <cell r="P420" t="str">
            <v>90111101-52121301</v>
          </cell>
          <cell r="S420" t="str">
            <v>2026A-01</v>
          </cell>
          <cell r="T420" t="str">
            <v>Accident Insurance</v>
          </cell>
        </row>
        <row r="421">
          <cell r="K421">
            <v>75.33</v>
          </cell>
          <cell r="P421" t="str">
            <v>90111101-52121301</v>
          </cell>
          <cell r="S421" t="str">
            <v>2026A-01</v>
          </cell>
          <cell r="T421" t="str">
            <v>Accident Insurance</v>
          </cell>
        </row>
        <row r="422">
          <cell r="K422">
            <v>-1125.1400000000001</v>
          </cell>
          <cell r="P422" t="str">
            <v>90111101-52121301</v>
          </cell>
          <cell r="S422" t="str">
            <v>2026A-01</v>
          </cell>
          <cell r="T422" t="str">
            <v>Accident Insurance</v>
          </cell>
        </row>
        <row r="423">
          <cell r="K423">
            <v>-22.5</v>
          </cell>
          <cell r="P423" t="str">
            <v>90111101-52121301</v>
          </cell>
          <cell r="S423" t="str">
            <v>2026A-01</v>
          </cell>
          <cell r="T423" t="str">
            <v>Accident Insurance</v>
          </cell>
        </row>
        <row r="424">
          <cell r="K424">
            <v>-2.25</v>
          </cell>
          <cell r="P424" t="str">
            <v>90111101-52121301</v>
          </cell>
          <cell r="S424" t="str">
            <v>2026A-01</v>
          </cell>
          <cell r="T424" t="str">
            <v>Accident Insurance</v>
          </cell>
        </row>
        <row r="425">
          <cell r="K425">
            <v>1070.0999999999999</v>
          </cell>
          <cell r="P425" t="str">
            <v>80111101-52101101</v>
          </cell>
          <cell r="S425" t="str">
            <v>2026A-01</v>
          </cell>
          <cell r="T425" t="str">
            <v>PARI</v>
          </cell>
        </row>
        <row r="426">
          <cell r="K426">
            <v>428.04</v>
          </cell>
          <cell r="P426" t="str">
            <v>80111101-52101101</v>
          </cell>
          <cell r="S426" t="str">
            <v>2026A-01</v>
          </cell>
          <cell r="T426" t="str">
            <v>PARI</v>
          </cell>
        </row>
        <row r="427">
          <cell r="K427">
            <v>214.02</v>
          </cell>
          <cell r="P427" t="str">
            <v>80111101-52101101</v>
          </cell>
          <cell r="S427" t="str">
            <v>2026A-01</v>
          </cell>
          <cell r="T427" t="str">
            <v>PARI</v>
          </cell>
        </row>
        <row r="428">
          <cell r="K428">
            <v>214.02</v>
          </cell>
          <cell r="P428" t="str">
            <v>80111101-52101101</v>
          </cell>
          <cell r="S428" t="str">
            <v>2026A-01</v>
          </cell>
          <cell r="T428" t="str">
            <v>PARI</v>
          </cell>
        </row>
        <row r="429">
          <cell r="K429">
            <v>1712.16</v>
          </cell>
          <cell r="P429" t="str">
            <v>80111101-52101101</v>
          </cell>
          <cell r="S429" t="str">
            <v>2026A-01</v>
          </cell>
          <cell r="T429" t="str">
            <v>PARI</v>
          </cell>
        </row>
        <row r="430">
          <cell r="K430">
            <v>321.02999999999997</v>
          </cell>
          <cell r="P430" t="str">
            <v>80111101-52101101</v>
          </cell>
          <cell r="S430" t="str">
            <v>2026A-01</v>
          </cell>
          <cell r="T430" t="str">
            <v>PARI</v>
          </cell>
        </row>
        <row r="431">
          <cell r="K431">
            <v>535.04999999999995</v>
          </cell>
          <cell r="P431" t="str">
            <v>80111101-52101101</v>
          </cell>
          <cell r="S431" t="str">
            <v>2026A-01</v>
          </cell>
          <cell r="T431" t="str">
            <v>PARI</v>
          </cell>
        </row>
        <row r="432">
          <cell r="K432">
            <v>2782.27</v>
          </cell>
          <cell r="P432" t="str">
            <v>80111101-52101101</v>
          </cell>
          <cell r="S432" t="str">
            <v>2026A-01</v>
          </cell>
          <cell r="T432" t="str">
            <v>PARI</v>
          </cell>
        </row>
        <row r="433">
          <cell r="K433">
            <v>3424.33</v>
          </cell>
          <cell r="P433" t="str">
            <v>80111101-52101101</v>
          </cell>
          <cell r="S433" t="str">
            <v>2026A-01</v>
          </cell>
          <cell r="T433" t="str">
            <v>PARI</v>
          </cell>
        </row>
        <row r="434">
          <cell r="K434">
            <v>1973.9</v>
          </cell>
          <cell r="P434" t="str">
            <v>80111101-52101105</v>
          </cell>
          <cell r="S434" t="str">
            <v>2026A-01</v>
          </cell>
          <cell r="T434" t="str">
            <v>PTS</v>
          </cell>
        </row>
        <row r="435">
          <cell r="K435">
            <v>162000</v>
          </cell>
          <cell r="P435" t="str">
            <v>80111101-61021201</v>
          </cell>
          <cell r="S435" t="str">
            <v>2026A-01</v>
          </cell>
          <cell r="T435" t="str">
            <v>Project Employee</v>
          </cell>
        </row>
        <row r="436">
          <cell r="K436">
            <v>-9984.86</v>
          </cell>
          <cell r="P436" t="str">
            <v>80111101-61021201</v>
          </cell>
          <cell r="S436" t="str">
            <v>2026A-01</v>
          </cell>
          <cell r="T436" t="str">
            <v>Project Employee</v>
          </cell>
        </row>
        <row r="437">
          <cell r="K437">
            <v>-19.239999999999998</v>
          </cell>
          <cell r="P437" t="str">
            <v>80111101-61021201</v>
          </cell>
          <cell r="S437" t="str">
            <v>2026A-01</v>
          </cell>
          <cell r="T437" t="str">
            <v>Project Employee</v>
          </cell>
        </row>
        <row r="438">
          <cell r="K438">
            <v>-245.38</v>
          </cell>
          <cell r="P438" t="str">
            <v>80111101-61021201</v>
          </cell>
          <cell r="S438" t="str">
            <v>2026A-01</v>
          </cell>
          <cell r="T438" t="str">
            <v>Project Employee</v>
          </cell>
        </row>
        <row r="439">
          <cell r="K439">
            <v>13420.01</v>
          </cell>
          <cell r="P439" t="str">
            <v>80111101-61021201</v>
          </cell>
          <cell r="S439" t="str">
            <v>2026A-01</v>
          </cell>
          <cell r="T439" t="str">
            <v>Project Employee</v>
          </cell>
        </row>
        <row r="440">
          <cell r="K440">
            <v>44662.27</v>
          </cell>
          <cell r="P440" t="str">
            <v>80111101-61021202</v>
          </cell>
          <cell r="S440" t="str">
            <v>2026A-01</v>
          </cell>
          <cell r="T440" t="str">
            <v>Project Employee</v>
          </cell>
        </row>
        <row r="441">
          <cell r="K441">
            <v>1325</v>
          </cell>
          <cell r="P441" t="str">
            <v>80111101-61021306</v>
          </cell>
          <cell r="S441" t="str">
            <v>2026A-01</v>
          </cell>
          <cell r="T441" t="str">
            <v>Philhealth</v>
          </cell>
        </row>
        <row r="442">
          <cell r="K442">
            <v>400</v>
          </cell>
          <cell r="P442" t="str">
            <v>80111101-61021306</v>
          </cell>
          <cell r="S442" t="str">
            <v>2026A-01</v>
          </cell>
          <cell r="T442" t="str">
            <v>Pag-ibig</v>
          </cell>
        </row>
        <row r="443">
          <cell r="K443">
            <v>17950</v>
          </cell>
          <cell r="P443" t="str">
            <v>80111101-61021306</v>
          </cell>
          <cell r="S443" t="str">
            <v>2026A-01</v>
          </cell>
          <cell r="T443" t="str">
            <v>SSS</v>
          </cell>
        </row>
        <row r="444">
          <cell r="K444">
            <v>26500</v>
          </cell>
          <cell r="P444" t="str">
            <v>80111101-61021102</v>
          </cell>
          <cell r="S444" t="str">
            <v>2026A-01</v>
          </cell>
          <cell r="T444" t="str">
            <v>Regular Employee</v>
          </cell>
        </row>
        <row r="445">
          <cell r="K445">
            <v>-67.760000000000005</v>
          </cell>
          <cell r="P445" t="str">
            <v>80111101-61021102</v>
          </cell>
          <cell r="S445" t="str">
            <v>2026A-01</v>
          </cell>
          <cell r="T445" t="str">
            <v>Regular Employee</v>
          </cell>
        </row>
        <row r="446">
          <cell r="K446">
            <v>50000</v>
          </cell>
          <cell r="P446" t="str">
            <v>80111101-61021102</v>
          </cell>
          <cell r="S446" t="str">
            <v>2026A-01</v>
          </cell>
          <cell r="T446" t="str">
            <v>Regular Employee</v>
          </cell>
        </row>
        <row r="447">
          <cell r="K447">
            <v>218350</v>
          </cell>
          <cell r="P447" t="str">
            <v>80111101-61021102</v>
          </cell>
          <cell r="S447" t="str">
            <v>2026A-01</v>
          </cell>
          <cell r="T447" t="str">
            <v>Regular Employee</v>
          </cell>
        </row>
        <row r="448">
          <cell r="K448">
            <v>-47.31</v>
          </cell>
          <cell r="P448" t="str">
            <v>80111101-61021102</v>
          </cell>
          <cell r="S448" t="str">
            <v>2026A-01</v>
          </cell>
          <cell r="T448" t="str">
            <v>Regular Employee</v>
          </cell>
        </row>
        <row r="449">
          <cell r="K449">
            <v>690050</v>
          </cell>
          <cell r="P449" t="str">
            <v>80111101-61021102</v>
          </cell>
          <cell r="S449" t="str">
            <v>2026A-01</v>
          </cell>
          <cell r="T449" t="str">
            <v>Regular Employee</v>
          </cell>
        </row>
        <row r="450">
          <cell r="K450">
            <v>-2679.42</v>
          </cell>
          <cell r="P450" t="str">
            <v>80111101-61021102</v>
          </cell>
          <cell r="S450" t="str">
            <v>2026A-01</v>
          </cell>
          <cell r="T450" t="str">
            <v>Regular Employee</v>
          </cell>
        </row>
        <row r="451">
          <cell r="K451">
            <v>6199.31</v>
          </cell>
          <cell r="P451" t="str">
            <v>80111101-61021102</v>
          </cell>
          <cell r="S451" t="str">
            <v>2026A-01</v>
          </cell>
          <cell r="T451" t="str">
            <v>Regular Employee</v>
          </cell>
        </row>
        <row r="452">
          <cell r="K452">
            <v>-1402.55</v>
          </cell>
          <cell r="P452" t="str">
            <v>80111101-61021102</v>
          </cell>
          <cell r="S452" t="str">
            <v>2026A-01</v>
          </cell>
          <cell r="T452" t="str">
            <v>Regular Employee</v>
          </cell>
        </row>
        <row r="453">
          <cell r="K453">
            <v>-899.58</v>
          </cell>
          <cell r="P453" t="str">
            <v>80111101-61021102</v>
          </cell>
          <cell r="S453" t="str">
            <v>2026A-01</v>
          </cell>
          <cell r="T453" t="str">
            <v>Regular Employee</v>
          </cell>
        </row>
        <row r="454">
          <cell r="K454">
            <v>7184.67</v>
          </cell>
          <cell r="P454" t="str">
            <v>80111101-61021103</v>
          </cell>
          <cell r="S454" t="str">
            <v>2026A-01</v>
          </cell>
          <cell r="T454" t="str">
            <v>OT Pay</v>
          </cell>
        </row>
        <row r="455">
          <cell r="K455">
            <v>18543.46</v>
          </cell>
          <cell r="P455" t="str">
            <v>80111101-61021103</v>
          </cell>
          <cell r="S455" t="str">
            <v>2026A-01</v>
          </cell>
          <cell r="T455" t="str">
            <v>OT Pay</v>
          </cell>
        </row>
        <row r="456">
          <cell r="K456">
            <v>600</v>
          </cell>
          <cell r="P456" t="str">
            <v>80111101-61021104</v>
          </cell>
          <cell r="S456" t="str">
            <v>2026A-01</v>
          </cell>
          <cell r="T456" t="str">
            <v>OT Pay</v>
          </cell>
        </row>
        <row r="457">
          <cell r="K457">
            <v>12200</v>
          </cell>
          <cell r="P457" t="str">
            <v>80111101-61021104</v>
          </cell>
          <cell r="S457" t="str">
            <v>2026A-01</v>
          </cell>
          <cell r="T457" t="str">
            <v>OT Pay</v>
          </cell>
        </row>
        <row r="458">
          <cell r="K458">
            <v>3270</v>
          </cell>
          <cell r="P458" t="str">
            <v>80111101-61021306</v>
          </cell>
          <cell r="S458" t="str">
            <v>2026A-01</v>
          </cell>
          <cell r="T458" t="str">
            <v>SSS</v>
          </cell>
        </row>
        <row r="459">
          <cell r="K459">
            <v>8830</v>
          </cell>
          <cell r="P459" t="str">
            <v>80111101-61021306</v>
          </cell>
          <cell r="S459" t="str">
            <v>2026A-01</v>
          </cell>
          <cell r="T459" t="str">
            <v>SSS</v>
          </cell>
        </row>
        <row r="460">
          <cell r="K460">
            <v>40300</v>
          </cell>
          <cell r="P460" t="str">
            <v>80111101-61021306</v>
          </cell>
          <cell r="S460" t="str">
            <v>2026A-01</v>
          </cell>
          <cell r="T460" t="str">
            <v>SSS</v>
          </cell>
        </row>
        <row r="461">
          <cell r="K461">
            <v>5000</v>
          </cell>
          <cell r="P461" t="str">
            <v>80111101-61021309</v>
          </cell>
          <cell r="S461" t="str">
            <v>2026A-01</v>
          </cell>
          <cell r="T461" t="str">
            <v>Gas Allowance</v>
          </cell>
        </row>
        <row r="462">
          <cell r="K462">
            <v>10000</v>
          </cell>
          <cell r="P462" t="str">
            <v>80111101-61021309</v>
          </cell>
          <cell r="S462" t="str">
            <v>2026A-01</v>
          </cell>
          <cell r="T462" t="str">
            <v>Gas Allowance</v>
          </cell>
        </row>
        <row r="463">
          <cell r="K463">
            <v>15000</v>
          </cell>
          <cell r="P463" t="str">
            <v>80111101-61021309</v>
          </cell>
          <cell r="S463" t="str">
            <v>2026A-01</v>
          </cell>
          <cell r="T463" t="str">
            <v>Gas Allowance</v>
          </cell>
        </row>
        <row r="464">
          <cell r="K464">
            <v>10937.5</v>
          </cell>
          <cell r="P464" t="str">
            <v>80124101-61711102</v>
          </cell>
          <cell r="S464" t="str">
            <v>2026A-01</v>
          </cell>
          <cell r="T464" t="str">
            <v>Sketchup</v>
          </cell>
        </row>
        <row r="465">
          <cell r="K465">
            <v>12343.75</v>
          </cell>
          <cell r="P465" t="str">
            <v>80124101-61711102</v>
          </cell>
          <cell r="S465" t="str">
            <v>2026A-01</v>
          </cell>
          <cell r="T465" t="str">
            <v>Bluebeam</v>
          </cell>
        </row>
        <row r="466">
          <cell r="K466">
            <v>20571.43</v>
          </cell>
          <cell r="P466" t="str">
            <v>80124101-61711102</v>
          </cell>
          <cell r="S466" t="str">
            <v>2026A-01</v>
          </cell>
          <cell r="T466" t="str">
            <v>M365 Extra Storage</v>
          </cell>
        </row>
        <row r="467">
          <cell r="K467">
            <v>4453.13</v>
          </cell>
          <cell r="P467" t="str">
            <v>80124101-61711102</v>
          </cell>
          <cell r="S467" t="str">
            <v>2026A-01</v>
          </cell>
          <cell r="T467" t="str">
            <v>Meraki</v>
          </cell>
        </row>
        <row r="468">
          <cell r="K468">
            <v>25669.64</v>
          </cell>
          <cell r="P468" t="str">
            <v>80124101-61711102</v>
          </cell>
          <cell r="S468" t="str">
            <v>2026A-01</v>
          </cell>
          <cell r="T468" t="str">
            <v>SDWAN Adaptiv HQ SC</v>
          </cell>
        </row>
        <row r="469">
          <cell r="K469">
            <v>8809.5300000000007</v>
          </cell>
          <cell r="P469" t="str">
            <v>80124101-61711102</v>
          </cell>
          <cell r="S469" t="str">
            <v>2026A-01</v>
          </cell>
          <cell r="T469" t="str">
            <v>Adobe Photoshop</v>
          </cell>
        </row>
        <row r="470">
          <cell r="K470">
            <v>8900.91</v>
          </cell>
          <cell r="P470" t="str">
            <v>80124101-61711102</v>
          </cell>
          <cell r="S470" t="str">
            <v>2026A-01</v>
          </cell>
          <cell r="T470" t="str">
            <v>Web Hosting</v>
          </cell>
        </row>
        <row r="471">
          <cell r="K471">
            <v>21123.95</v>
          </cell>
          <cell r="P471" t="str">
            <v>80124101-61711102</v>
          </cell>
          <cell r="S471" t="str">
            <v>2026A-01</v>
          </cell>
          <cell r="T471" t="str">
            <v>Aruba</v>
          </cell>
        </row>
        <row r="472">
          <cell r="K472">
            <v>56333.18</v>
          </cell>
          <cell r="P472" t="str">
            <v>80124101-61711102</v>
          </cell>
          <cell r="S472" t="str">
            <v>2026A-01</v>
          </cell>
          <cell r="T472" t="str">
            <v>Vmware</v>
          </cell>
        </row>
        <row r="473">
          <cell r="K473">
            <v>87944.48</v>
          </cell>
          <cell r="P473" t="str">
            <v>80124101-61711102</v>
          </cell>
          <cell r="S473" t="str">
            <v>2026A-01</v>
          </cell>
          <cell r="T473" t="str">
            <v>M365 Email Security</v>
          </cell>
        </row>
        <row r="474">
          <cell r="K474">
            <v>365145.17</v>
          </cell>
          <cell r="P474" t="str">
            <v>80124101-61711102</v>
          </cell>
          <cell r="S474" t="str">
            <v>2026A-01</v>
          </cell>
          <cell r="T474" t="str">
            <v>M365</v>
          </cell>
        </row>
        <row r="475">
          <cell r="K475">
            <v>18973.21</v>
          </cell>
          <cell r="P475" t="str">
            <v>80124101-61711102</v>
          </cell>
          <cell r="S475" t="str">
            <v>2026A-01</v>
          </cell>
          <cell r="T475" t="str">
            <v>UPS Maintenance</v>
          </cell>
        </row>
        <row r="476">
          <cell r="K476">
            <v>55803.57</v>
          </cell>
          <cell r="P476" t="str">
            <v>80124101-61711102</v>
          </cell>
          <cell r="S476" t="str">
            <v>2026A-01</v>
          </cell>
          <cell r="T476" t="str">
            <v>Kaseya</v>
          </cell>
        </row>
        <row r="477">
          <cell r="K477">
            <v>117708.11</v>
          </cell>
          <cell r="P477" t="str">
            <v>80124101-61711102</v>
          </cell>
          <cell r="S477" t="str">
            <v>2026A-01</v>
          </cell>
          <cell r="T477" t="str">
            <v>Menlo Cloud Internet</v>
          </cell>
        </row>
        <row r="478">
          <cell r="K478">
            <v>80512.86</v>
          </cell>
          <cell r="P478" t="str">
            <v>80124101-61711102</v>
          </cell>
          <cell r="S478" t="str">
            <v>2026A-01</v>
          </cell>
          <cell r="T478" t="str">
            <v>Crowdstrike</v>
          </cell>
        </row>
        <row r="479">
          <cell r="K479">
            <v>346041.63</v>
          </cell>
          <cell r="P479" t="str">
            <v>80134102-61711101</v>
          </cell>
          <cell r="S479" t="str">
            <v>2026A-01</v>
          </cell>
          <cell r="T479" t="str">
            <v>Membership - Valle Verde</v>
          </cell>
        </row>
        <row r="480">
          <cell r="K480">
            <v>57589.24</v>
          </cell>
          <cell r="P480" t="str">
            <v>80134102-61711101</v>
          </cell>
          <cell r="S480" t="str">
            <v>2026A-01</v>
          </cell>
          <cell r="T480" t="str">
            <v>Membership - Consumables</v>
          </cell>
        </row>
        <row r="481">
          <cell r="K481">
            <v>125625</v>
          </cell>
          <cell r="P481" t="str">
            <v>80134102-61711101</v>
          </cell>
          <cell r="S481" t="str">
            <v>2026A-01</v>
          </cell>
          <cell r="T481" t="str">
            <v>Membership - OPE</v>
          </cell>
        </row>
        <row r="482">
          <cell r="K482">
            <v>7174.76</v>
          </cell>
          <cell r="P482" t="str">
            <v>80111101-61021301</v>
          </cell>
          <cell r="S482" t="str">
            <v>2026A-01</v>
          </cell>
          <cell r="T482" t="str">
            <v>Accident Insurance</v>
          </cell>
        </row>
        <row r="483">
          <cell r="K483">
            <v>143.5</v>
          </cell>
          <cell r="P483" t="str">
            <v>80111101-61021301</v>
          </cell>
          <cell r="S483" t="str">
            <v>2026A-01</v>
          </cell>
          <cell r="T483" t="str">
            <v>Accident Insurance</v>
          </cell>
        </row>
        <row r="484">
          <cell r="K484">
            <v>14.35</v>
          </cell>
          <cell r="P484" t="str">
            <v>80111101-61021301</v>
          </cell>
          <cell r="S484" t="str">
            <v>2026A-01</v>
          </cell>
          <cell r="T484" t="str">
            <v>Accident Insurance</v>
          </cell>
        </row>
        <row r="485">
          <cell r="K485">
            <v>293.51</v>
          </cell>
          <cell r="P485" t="str">
            <v>80111101-61021301</v>
          </cell>
          <cell r="S485" t="str">
            <v>2026A-01</v>
          </cell>
          <cell r="T485" t="str">
            <v>Accident Insurance</v>
          </cell>
        </row>
        <row r="486">
          <cell r="K486">
            <v>5.87</v>
          </cell>
          <cell r="P486" t="str">
            <v>80111101-61021301</v>
          </cell>
          <cell r="S486" t="str">
            <v>2026A-01</v>
          </cell>
          <cell r="T486" t="str">
            <v>Accident Insurance</v>
          </cell>
        </row>
        <row r="487">
          <cell r="K487">
            <v>0.57999999999999996</v>
          </cell>
          <cell r="P487" t="str">
            <v>80111101-61021301</v>
          </cell>
          <cell r="S487" t="str">
            <v>2026A-01</v>
          </cell>
          <cell r="T487" t="str">
            <v>Accident Insurance</v>
          </cell>
        </row>
        <row r="488">
          <cell r="K488">
            <v>148809.53</v>
          </cell>
          <cell r="P488" t="str">
            <v>80314101-61731103</v>
          </cell>
          <cell r="S488" t="str">
            <v>2026A-01</v>
          </cell>
          <cell r="T488" t="str">
            <v>PR Retainer Fee</v>
          </cell>
        </row>
        <row r="489">
          <cell r="K489">
            <v>75334.399999999994</v>
          </cell>
          <cell r="P489" t="str">
            <v>80123102-61101104</v>
          </cell>
          <cell r="S489" t="str">
            <v>2026A-01</v>
          </cell>
          <cell r="T489" t="str">
            <v>Insurance Vehicle</v>
          </cell>
        </row>
        <row r="490">
          <cell r="K490">
            <v>427336.76</v>
          </cell>
          <cell r="P490" t="str">
            <v>80124101-61711102</v>
          </cell>
          <cell r="S490" t="str">
            <v>2026A-01</v>
          </cell>
          <cell r="T490" t="str">
            <v>SAP</v>
          </cell>
        </row>
        <row r="491">
          <cell r="K491">
            <v>-705.52</v>
          </cell>
          <cell r="P491" t="str">
            <v>80123102-61051199</v>
          </cell>
          <cell r="S491" t="str">
            <v>2026A-01</v>
          </cell>
          <cell r="T491" t="str">
            <v>Zero</v>
          </cell>
        </row>
        <row r="492">
          <cell r="K492">
            <v>-3236.27</v>
          </cell>
          <cell r="P492" t="str">
            <v>80123102-61051199</v>
          </cell>
          <cell r="S492" t="str">
            <v>2026A-01</v>
          </cell>
          <cell r="T492" t="str">
            <v>Zero</v>
          </cell>
        </row>
        <row r="493">
          <cell r="K493">
            <v>-2094.06</v>
          </cell>
          <cell r="P493" t="str">
            <v>80123102-61051199</v>
          </cell>
          <cell r="S493" t="str">
            <v>2026A-01</v>
          </cell>
          <cell r="T493" t="str">
            <v>Zero</v>
          </cell>
        </row>
        <row r="494">
          <cell r="K494">
            <v>-139.15</v>
          </cell>
          <cell r="P494" t="str">
            <v>80123102-61051199</v>
          </cell>
          <cell r="S494" t="str">
            <v>2026A-01</v>
          </cell>
          <cell r="T494" t="str">
            <v>Zero</v>
          </cell>
        </row>
        <row r="495">
          <cell r="K495">
            <v>-645.22</v>
          </cell>
          <cell r="P495" t="str">
            <v>80123102-61051199</v>
          </cell>
          <cell r="S495" t="str">
            <v>2026A-01</v>
          </cell>
          <cell r="T495" t="str">
            <v>Zero</v>
          </cell>
        </row>
        <row r="496">
          <cell r="K496">
            <v>-417.48</v>
          </cell>
          <cell r="P496" t="str">
            <v>80123102-61051199</v>
          </cell>
          <cell r="S496" t="str">
            <v>2026A-01</v>
          </cell>
          <cell r="T496" t="str">
            <v>Zero</v>
          </cell>
        </row>
        <row r="497">
          <cell r="K497">
            <v>41530</v>
          </cell>
          <cell r="P497" t="str">
            <v>80124101-61721105</v>
          </cell>
          <cell r="S497" t="str">
            <v>2026A-01</v>
          </cell>
          <cell r="T497" t="str">
            <v>Innove - SC1</v>
          </cell>
        </row>
        <row r="498">
          <cell r="K498">
            <v>115000</v>
          </cell>
          <cell r="P498" t="str">
            <v>80124101-61721105</v>
          </cell>
          <cell r="S498" t="str">
            <v>2026A-01</v>
          </cell>
          <cell r="T498" t="str">
            <v>Innove - HQ</v>
          </cell>
        </row>
        <row r="499">
          <cell r="K499">
            <v>20000</v>
          </cell>
          <cell r="P499" t="str">
            <v>80123101-61071005</v>
          </cell>
          <cell r="S499" t="str">
            <v>2026A-01</v>
          </cell>
          <cell r="T499" t="str">
            <v>Poblador</v>
          </cell>
        </row>
        <row r="500">
          <cell r="K500">
            <v>20000</v>
          </cell>
          <cell r="P500" t="str">
            <v>80123101-61071005</v>
          </cell>
          <cell r="S500" t="str">
            <v>2026A-01</v>
          </cell>
          <cell r="T500" t="str">
            <v>Angara</v>
          </cell>
        </row>
        <row r="501">
          <cell r="K501">
            <v>10000</v>
          </cell>
          <cell r="P501" t="str">
            <v>80123101-61071005</v>
          </cell>
          <cell r="S501" t="str">
            <v>2026A-01</v>
          </cell>
          <cell r="T501" t="str">
            <v>Santiago</v>
          </cell>
        </row>
        <row r="502">
          <cell r="K502">
            <v>48012.45</v>
          </cell>
          <cell r="P502" t="str">
            <v>80123102-61111201</v>
          </cell>
          <cell r="S502" t="str">
            <v>2026A-01</v>
          </cell>
          <cell r="T502" t="str">
            <v>Shell</v>
          </cell>
        </row>
        <row r="503">
          <cell r="K503">
            <v>48986.49</v>
          </cell>
          <cell r="P503" t="str">
            <v>80123102-61721101</v>
          </cell>
          <cell r="S503" t="str">
            <v>2026A-01</v>
          </cell>
          <cell r="T503" t="str">
            <v>Mobile Phones</v>
          </cell>
        </row>
        <row r="504">
          <cell r="K504">
            <v>138149.38</v>
          </cell>
          <cell r="P504" t="str">
            <v>80111101-61021303</v>
          </cell>
          <cell r="S504" t="str">
            <v>2026A-01</v>
          </cell>
          <cell r="T504" t="str">
            <v>HMO</v>
          </cell>
        </row>
        <row r="505">
          <cell r="K505">
            <v>20461.310000000001</v>
          </cell>
          <cell r="P505" t="str">
            <v>81124101-52952103</v>
          </cell>
          <cell r="S505" t="str">
            <v>2026A-01</v>
          </cell>
          <cell r="T505" t="str">
            <v>SDWAN ES TS GH</v>
          </cell>
        </row>
        <row r="506">
          <cell r="K506">
            <v>5654.76</v>
          </cell>
          <cell r="P506" t="str">
            <v>81124101-52952103</v>
          </cell>
          <cell r="S506" t="str">
            <v>2026A-01</v>
          </cell>
          <cell r="T506" t="str">
            <v>SDWAN ES TS GH</v>
          </cell>
        </row>
        <row r="507">
          <cell r="K507">
            <v>5654.76</v>
          </cell>
          <cell r="P507" t="str">
            <v>81124101-52952103</v>
          </cell>
          <cell r="S507" t="str">
            <v>2026A-01</v>
          </cell>
          <cell r="T507" t="str">
            <v>SDWAN ES TS GH</v>
          </cell>
        </row>
        <row r="508">
          <cell r="K508">
            <v>19223.330000000002</v>
          </cell>
          <cell r="P508" t="str">
            <v>81124101-52952103</v>
          </cell>
          <cell r="S508" t="str">
            <v>2026A-01</v>
          </cell>
          <cell r="T508" t="str">
            <v>SDWAN ES TS GH</v>
          </cell>
        </row>
        <row r="509">
          <cell r="K509">
            <v>73422.720000000001</v>
          </cell>
          <cell r="P509" t="str">
            <v>81124101-52952103</v>
          </cell>
          <cell r="S509" t="str">
            <v>2026A-01</v>
          </cell>
          <cell r="T509" t="str">
            <v>WAF</v>
          </cell>
        </row>
        <row r="510">
          <cell r="K510">
            <v>48771.32</v>
          </cell>
          <cell r="P510" t="str">
            <v>81124101-52952103</v>
          </cell>
          <cell r="S510" t="str">
            <v>2026A-01</v>
          </cell>
          <cell r="T510" t="str">
            <v>Palo Alto</v>
          </cell>
        </row>
        <row r="511">
          <cell r="K511">
            <v>39285.71</v>
          </cell>
          <cell r="P511" t="str">
            <v>81124101-52952103</v>
          </cell>
          <cell r="S511" t="str">
            <v>2026A-01</v>
          </cell>
          <cell r="T511" t="str">
            <v>Datrium</v>
          </cell>
        </row>
        <row r="512">
          <cell r="K512">
            <v>20203.89</v>
          </cell>
          <cell r="P512" t="str">
            <v>81124101-52952103</v>
          </cell>
          <cell r="S512" t="str">
            <v>2026A-01</v>
          </cell>
          <cell r="T512" t="str">
            <v>Aircuve</v>
          </cell>
        </row>
        <row r="513">
          <cell r="K513">
            <v>44642.86</v>
          </cell>
          <cell r="P513" t="str">
            <v>81124101-52952103</v>
          </cell>
          <cell r="S513" t="str">
            <v>2026A-01</v>
          </cell>
          <cell r="T513" t="str">
            <v>Acronis</v>
          </cell>
        </row>
        <row r="514">
          <cell r="K514">
            <v>117682.35</v>
          </cell>
          <cell r="P514" t="str">
            <v>81124101-52952103</v>
          </cell>
          <cell r="S514" t="str">
            <v>2026A-01</v>
          </cell>
          <cell r="T514" t="str">
            <v>M365</v>
          </cell>
        </row>
        <row r="515">
          <cell r="K515">
            <v>15557.36</v>
          </cell>
          <cell r="P515" t="str">
            <v>81124101-52952103</v>
          </cell>
          <cell r="S515" t="str">
            <v>2026A-01</v>
          </cell>
          <cell r="T515" t="str">
            <v>HPE Server Maintenance</v>
          </cell>
        </row>
        <row r="516">
          <cell r="K516">
            <v>12254.33</v>
          </cell>
          <cell r="P516" t="str">
            <v>81111101-52121303</v>
          </cell>
          <cell r="S516" t="str">
            <v>2026A-01</v>
          </cell>
          <cell r="T516" t="str">
            <v>Zero</v>
          </cell>
        </row>
        <row r="517">
          <cell r="K517">
            <v>349.97</v>
          </cell>
          <cell r="P517" t="str">
            <v>81111101-52121303</v>
          </cell>
          <cell r="S517" t="str">
            <v>2026A-01</v>
          </cell>
          <cell r="T517" t="str">
            <v>Zero</v>
          </cell>
        </row>
        <row r="518">
          <cell r="K518">
            <v>-12254.33</v>
          </cell>
          <cell r="P518" t="str">
            <v>81111101-52121303</v>
          </cell>
          <cell r="S518" t="str">
            <v>2026A-01</v>
          </cell>
          <cell r="T518" t="str">
            <v>Zero</v>
          </cell>
        </row>
        <row r="519">
          <cell r="K519">
            <v>-349.97</v>
          </cell>
          <cell r="P519" t="str">
            <v>81111101-52121303</v>
          </cell>
          <cell r="S519" t="str">
            <v>2026A-01</v>
          </cell>
          <cell r="T519" t="str">
            <v>Zero</v>
          </cell>
        </row>
        <row r="520">
          <cell r="K520">
            <v>12254.33</v>
          </cell>
          <cell r="P520" t="str">
            <v>81111101-52121301</v>
          </cell>
          <cell r="S520" t="str">
            <v>2026A-01</v>
          </cell>
          <cell r="T520" t="str">
            <v>Accident Insurance</v>
          </cell>
        </row>
        <row r="521">
          <cell r="K521">
            <v>349.97</v>
          </cell>
          <cell r="P521" t="str">
            <v>81111101-52121301</v>
          </cell>
          <cell r="S521" t="str">
            <v>2026A-01</v>
          </cell>
          <cell r="T521" t="str">
            <v>Accident Insurance</v>
          </cell>
        </row>
        <row r="522">
          <cell r="K522">
            <v>188600</v>
          </cell>
          <cell r="P522" t="str">
            <v>81111101-52121101</v>
          </cell>
          <cell r="S522" t="str">
            <v>2026A-01</v>
          </cell>
          <cell r="T522" t="str">
            <v>Regular Employee</v>
          </cell>
        </row>
        <row r="523">
          <cell r="K523">
            <v>645.80999999999995</v>
          </cell>
          <cell r="P523" t="str">
            <v>81111101-52121101</v>
          </cell>
          <cell r="S523" t="str">
            <v>2026A-01</v>
          </cell>
          <cell r="T523" t="str">
            <v>Regular Employee</v>
          </cell>
        </row>
        <row r="524">
          <cell r="K524">
            <v>381.81</v>
          </cell>
          <cell r="P524" t="str">
            <v>81111101-52121101</v>
          </cell>
          <cell r="S524" t="str">
            <v>2026A-01</v>
          </cell>
          <cell r="T524" t="str">
            <v>Regular Employee</v>
          </cell>
        </row>
        <row r="525">
          <cell r="K525">
            <v>-786.61</v>
          </cell>
          <cell r="P525" t="str">
            <v>81111101-52121101</v>
          </cell>
          <cell r="S525" t="str">
            <v>2026A-01</v>
          </cell>
          <cell r="T525" t="str">
            <v>Regular Employee</v>
          </cell>
        </row>
        <row r="526">
          <cell r="K526">
            <v>-389.66</v>
          </cell>
          <cell r="P526" t="str">
            <v>81111101-52121101</v>
          </cell>
          <cell r="S526" t="str">
            <v>2026A-01</v>
          </cell>
          <cell r="T526" t="str">
            <v>Regular Employee</v>
          </cell>
        </row>
        <row r="527">
          <cell r="K527">
            <v>252250</v>
          </cell>
          <cell r="P527" t="str">
            <v>81111101-52121101</v>
          </cell>
          <cell r="S527" t="str">
            <v>2026A-01</v>
          </cell>
          <cell r="T527" t="str">
            <v>Regular Employee</v>
          </cell>
        </row>
        <row r="528">
          <cell r="K528">
            <v>1410.7</v>
          </cell>
          <cell r="P528" t="str">
            <v>81111101-52121101</v>
          </cell>
          <cell r="S528" t="str">
            <v>2026A-01</v>
          </cell>
          <cell r="T528" t="str">
            <v>Regular Employee</v>
          </cell>
        </row>
        <row r="529">
          <cell r="K529">
            <v>-2223.69</v>
          </cell>
          <cell r="P529" t="str">
            <v>81111101-52121101</v>
          </cell>
          <cell r="S529" t="str">
            <v>2026A-01</v>
          </cell>
          <cell r="T529" t="str">
            <v>Regular Employee</v>
          </cell>
        </row>
        <row r="530">
          <cell r="K530">
            <v>-1004.3</v>
          </cell>
          <cell r="P530" t="str">
            <v>81111101-52121101</v>
          </cell>
          <cell r="S530" t="str">
            <v>2026A-01</v>
          </cell>
          <cell r="T530" t="str">
            <v>Regular Employee</v>
          </cell>
        </row>
        <row r="531">
          <cell r="K531">
            <v>-1120.03</v>
          </cell>
          <cell r="P531" t="str">
            <v>81111101-52121101</v>
          </cell>
          <cell r="S531" t="str">
            <v>2026A-01</v>
          </cell>
          <cell r="T531" t="str">
            <v>Regular Employee</v>
          </cell>
        </row>
        <row r="532">
          <cell r="K532">
            <v>104350</v>
          </cell>
          <cell r="P532" t="str">
            <v>81111101-52121101</v>
          </cell>
          <cell r="S532" t="str">
            <v>2026A-01</v>
          </cell>
          <cell r="T532" t="str">
            <v>Regular Employee</v>
          </cell>
        </row>
        <row r="533">
          <cell r="K533">
            <v>19420.080000000002</v>
          </cell>
          <cell r="P533" t="str">
            <v>81111101-52121101</v>
          </cell>
          <cell r="S533" t="str">
            <v>2026A-01</v>
          </cell>
          <cell r="T533" t="str">
            <v>Regular Employee</v>
          </cell>
        </row>
        <row r="534">
          <cell r="K534">
            <v>601.15</v>
          </cell>
          <cell r="P534" t="str">
            <v>81111101-52121101</v>
          </cell>
          <cell r="S534" t="str">
            <v>2026A-01</v>
          </cell>
          <cell r="T534" t="str">
            <v>Regular Employee</v>
          </cell>
        </row>
        <row r="535">
          <cell r="K535">
            <v>-801.54</v>
          </cell>
          <cell r="P535" t="str">
            <v>81111101-52121101</v>
          </cell>
          <cell r="S535" t="str">
            <v>2026A-01</v>
          </cell>
          <cell r="T535" t="str">
            <v>Regular Employee</v>
          </cell>
        </row>
        <row r="536">
          <cell r="K536">
            <v>-1130.74</v>
          </cell>
          <cell r="P536" t="str">
            <v>81111101-52121101</v>
          </cell>
          <cell r="S536" t="str">
            <v>2026A-01</v>
          </cell>
          <cell r="T536" t="str">
            <v>Regular Employee</v>
          </cell>
        </row>
        <row r="537">
          <cell r="K537">
            <v>-164.88</v>
          </cell>
          <cell r="P537" t="str">
            <v>81111101-52121101</v>
          </cell>
          <cell r="S537" t="str">
            <v>2026A-01</v>
          </cell>
          <cell r="T537" t="str">
            <v>Regular Employee</v>
          </cell>
        </row>
        <row r="538">
          <cell r="K538">
            <v>1017550</v>
          </cell>
          <cell r="P538" t="str">
            <v>81111101-52121101</v>
          </cell>
          <cell r="S538" t="str">
            <v>2026A-01</v>
          </cell>
          <cell r="T538" t="str">
            <v>Regular Employee</v>
          </cell>
        </row>
        <row r="539">
          <cell r="K539">
            <v>6499.31</v>
          </cell>
          <cell r="P539" t="str">
            <v>81111101-52121101</v>
          </cell>
          <cell r="S539" t="str">
            <v>2026A-01</v>
          </cell>
          <cell r="T539" t="str">
            <v>Regular Employee</v>
          </cell>
        </row>
        <row r="540">
          <cell r="K540">
            <v>-4605.3999999999996</v>
          </cell>
          <cell r="P540" t="str">
            <v>81111101-52121101</v>
          </cell>
          <cell r="S540" t="str">
            <v>2026A-01</v>
          </cell>
          <cell r="T540" t="str">
            <v>Regular Employee</v>
          </cell>
        </row>
        <row r="541">
          <cell r="K541">
            <v>-2290.1</v>
          </cell>
          <cell r="P541" t="str">
            <v>81111101-52121101</v>
          </cell>
          <cell r="S541" t="str">
            <v>2026A-01</v>
          </cell>
          <cell r="T541" t="str">
            <v>Regular Employee</v>
          </cell>
        </row>
        <row r="542">
          <cell r="K542">
            <v>-1613.77</v>
          </cell>
          <cell r="P542" t="str">
            <v>81111101-52121101</v>
          </cell>
          <cell r="S542" t="str">
            <v>2026A-01</v>
          </cell>
          <cell r="T542" t="str">
            <v>Regular Employee</v>
          </cell>
        </row>
        <row r="543">
          <cell r="K543">
            <v>-7862.89</v>
          </cell>
          <cell r="P543" t="str">
            <v>81111101-52121101</v>
          </cell>
          <cell r="S543" t="str">
            <v>2026A-01</v>
          </cell>
          <cell r="T543" t="str">
            <v>Regular Employee</v>
          </cell>
        </row>
        <row r="544">
          <cell r="K544">
            <v>138250</v>
          </cell>
          <cell r="P544" t="str">
            <v>81111101-52121101</v>
          </cell>
          <cell r="S544" t="str">
            <v>2026A-01</v>
          </cell>
          <cell r="T544" t="str">
            <v>Regular Employee</v>
          </cell>
        </row>
        <row r="545">
          <cell r="K545">
            <v>8510.02</v>
          </cell>
          <cell r="P545" t="str">
            <v>81111101-52121101</v>
          </cell>
          <cell r="S545" t="str">
            <v>2026A-01</v>
          </cell>
          <cell r="T545" t="str">
            <v>Regular Employee</v>
          </cell>
        </row>
        <row r="546">
          <cell r="K546">
            <v>-56.22</v>
          </cell>
          <cell r="P546" t="str">
            <v>81111101-52121101</v>
          </cell>
          <cell r="S546" t="str">
            <v>2026A-01</v>
          </cell>
          <cell r="T546" t="str">
            <v>Regular Employee</v>
          </cell>
        </row>
        <row r="547">
          <cell r="K547">
            <v>-5908.13</v>
          </cell>
          <cell r="P547" t="str">
            <v>81111101-52121101</v>
          </cell>
          <cell r="S547" t="str">
            <v>2026A-01</v>
          </cell>
          <cell r="T547" t="str">
            <v>Regular Employee</v>
          </cell>
        </row>
        <row r="548">
          <cell r="K548">
            <v>6792.2</v>
          </cell>
          <cell r="P548" t="str">
            <v>81111101-52121102</v>
          </cell>
          <cell r="S548" t="str">
            <v>2026A-01</v>
          </cell>
          <cell r="T548" t="str">
            <v>OT Pay</v>
          </cell>
        </row>
        <row r="549">
          <cell r="K549">
            <v>4000.96</v>
          </cell>
          <cell r="P549" t="str">
            <v>81111101-52121102</v>
          </cell>
          <cell r="S549" t="str">
            <v>2026A-01</v>
          </cell>
          <cell r="T549" t="str">
            <v>OT Pay</v>
          </cell>
        </row>
        <row r="550">
          <cell r="K550">
            <v>11956.14</v>
          </cell>
          <cell r="P550" t="str">
            <v>81111101-52121102</v>
          </cell>
          <cell r="S550" t="str">
            <v>2026A-01</v>
          </cell>
          <cell r="T550" t="str">
            <v>OT Pay</v>
          </cell>
        </row>
        <row r="551">
          <cell r="K551">
            <v>4000</v>
          </cell>
          <cell r="P551" t="str">
            <v>81111101-52121103</v>
          </cell>
          <cell r="S551" t="str">
            <v>2026A-01</v>
          </cell>
          <cell r="T551" t="str">
            <v>OT Pay</v>
          </cell>
        </row>
        <row r="552">
          <cell r="K552">
            <v>5600</v>
          </cell>
          <cell r="P552" t="str">
            <v>81111101-52121103</v>
          </cell>
          <cell r="S552" t="str">
            <v>2026A-01</v>
          </cell>
          <cell r="T552" t="str">
            <v>OT Pay</v>
          </cell>
        </row>
        <row r="553">
          <cell r="K553">
            <v>5000</v>
          </cell>
          <cell r="P553" t="str">
            <v>81111101-52121308</v>
          </cell>
          <cell r="S553" t="str">
            <v>2026A-01</v>
          </cell>
          <cell r="T553" t="str">
            <v>Gas Allowance</v>
          </cell>
        </row>
        <row r="554">
          <cell r="K554">
            <v>25000</v>
          </cell>
          <cell r="P554" t="str">
            <v>81111101-52121308</v>
          </cell>
          <cell r="S554" t="str">
            <v>2026A-01</v>
          </cell>
          <cell r="T554" t="str">
            <v>Gas Allowance</v>
          </cell>
        </row>
        <row r="555">
          <cell r="K555">
            <v>455000</v>
          </cell>
          <cell r="P555" t="str">
            <v>81122101-52071104</v>
          </cell>
          <cell r="S555" t="str">
            <v>2026A-01</v>
          </cell>
          <cell r="T555" t="str">
            <v>INTCNSLTNT</v>
          </cell>
        </row>
        <row r="556">
          <cell r="K556">
            <v>9000</v>
          </cell>
          <cell r="P556" t="str">
            <v>81122101-52071104</v>
          </cell>
          <cell r="S556" t="str">
            <v>2026A-01</v>
          </cell>
          <cell r="T556" t="str">
            <v>INTCNSLTNT</v>
          </cell>
        </row>
        <row r="557">
          <cell r="K557">
            <v>-8061.07</v>
          </cell>
          <cell r="P557" t="str">
            <v>81122101-52071104</v>
          </cell>
          <cell r="S557" t="str">
            <v>2026A-01</v>
          </cell>
          <cell r="T557" t="str">
            <v>INTCNSLTNT</v>
          </cell>
        </row>
        <row r="558">
          <cell r="K558">
            <v>58100</v>
          </cell>
          <cell r="P558" t="str">
            <v>81122101-52071104</v>
          </cell>
          <cell r="S558" t="str">
            <v>2026A-01</v>
          </cell>
          <cell r="T558" t="str">
            <v>INTCNSLTNT</v>
          </cell>
        </row>
        <row r="559">
          <cell r="K559">
            <v>3151950</v>
          </cell>
          <cell r="P559" t="str">
            <v>90111101-52121101</v>
          </cell>
          <cell r="S559" t="str">
            <v>2026A-01</v>
          </cell>
          <cell r="T559" t="str">
            <v>Regular Employee</v>
          </cell>
        </row>
        <row r="560">
          <cell r="K560">
            <v>13896.36</v>
          </cell>
          <cell r="P560" t="str">
            <v>90111101-52121101</v>
          </cell>
          <cell r="S560" t="str">
            <v>2026A-01</v>
          </cell>
          <cell r="T560" t="str">
            <v>Regular Employee</v>
          </cell>
        </row>
        <row r="561">
          <cell r="K561">
            <v>732.38</v>
          </cell>
          <cell r="P561" t="str">
            <v>90111101-52121101</v>
          </cell>
          <cell r="S561" t="str">
            <v>2026A-01</v>
          </cell>
          <cell r="T561" t="str">
            <v>Regular Employee</v>
          </cell>
        </row>
        <row r="562">
          <cell r="K562">
            <v>-4953.66</v>
          </cell>
          <cell r="P562" t="str">
            <v>90111101-52121101</v>
          </cell>
          <cell r="S562" t="str">
            <v>2026A-01</v>
          </cell>
          <cell r="T562" t="str">
            <v>Regular Employee</v>
          </cell>
        </row>
        <row r="563">
          <cell r="K563">
            <v>-2600.1999999999998</v>
          </cell>
          <cell r="P563" t="str">
            <v>90111101-52121101</v>
          </cell>
          <cell r="S563" t="str">
            <v>2026A-01</v>
          </cell>
          <cell r="T563" t="str">
            <v>Regular Employee</v>
          </cell>
        </row>
        <row r="564">
          <cell r="K564">
            <v>-9625.31</v>
          </cell>
          <cell r="P564" t="str">
            <v>90111101-52121101</v>
          </cell>
          <cell r="S564" t="str">
            <v>2026A-01</v>
          </cell>
          <cell r="T564" t="str">
            <v>Regular Employee</v>
          </cell>
        </row>
        <row r="565">
          <cell r="K565">
            <v>-3206.15</v>
          </cell>
          <cell r="P565" t="str">
            <v>90111101-52121101</v>
          </cell>
          <cell r="S565" t="str">
            <v>2026A-01</v>
          </cell>
          <cell r="T565" t="str">
            <v>Regular Employee</v>
          </cell>
        </row>
        <row r="566">
          <cell r="K566">
            <v>718200</v>
          </cell>
          <cell r="P566" t="str">
            <v>90111101-52121101</v>
          </cell>
          <cell r="S566" t="str">
            <v>2026A-01</v>
          </cell>
          <cell r="T566" t="str">
            <v>Regular Employee</v>
          </cell>
        </row>
        <row r="567">
          <cell r="K567">
            <v>-142.29</v>
          </cell>
          <cell r="P567" t="str">
            <v>90111101-52121101</v>
          </cell>
          <cell r="S567" t="str">
            <v>2026A-01</v>
          </cell>
          <cell r="T567" t="str">
            <v>Regular Employee</v>
          </cell>
        </row>
        <row r="568">
          <cell r="K568">
            <v>-715.44</v>
          </cell>
          <cell r="P568" t="str">
            <v>90111101-52121101</v>
          </cell>
          <cell r="S568" t="str">
            <v>2026A-01</v>
          </cell>
          <cell r="T568" t="str">
            <v>Regular Employee</v>
          </cell>
        </row>
        <row r="569">
          <cell r="K569">
            <v>-4355.78</v>
          </cell>
          <cell r="P569" t="str">
            <v>90111101-52121101</v>
          </cell>
          <cell r="S569" t="str">
            <v>2026A-01</v>
          </cell>
          <cell r="T569" t="str">
            <v>Regular Employee</v>
          </cell>
        </row>
        <row r="570">
          <cell r="K570">
            <v>2113950</v>
          </cell>
          <cell r="P570" t="str">
            <v>90111101-52121101</v>
          </cell>
          <cell r="S570" t="str">
            <v>2026A-01</v>
          </cell>
          <cell r="T570" t="str">
            <v>Regular Employee</v>
          </cell>
        </row>
        <row r="571">
          <cell r="K571">
            <v>10573.41</v>
          </cell>
          <cell r="P571" t="str">
            <v>90111101-52121101</v>
          </cell>
          <cell r="S571" t="str">
            <v>2026A-01</v>
          </cell>
          <cell r="T571" t="str">
            <v>Regular Employee</v>
          </cell>
        </row>
        <row r="572">
          <cell r="K572">
            <v>-7456.03</v>
          </cell>
          <cell r="P572" t="str">
            <v>90111101-52121101</v>
          </cell>
          <cell r="S572" t="str">
            <v>2026A-01</v>
          </cell>
          <cell r="T572" t="str">
            <v>Regular Employee</v>
          </cell>
        </row>
        <row r="573">
          <cell r="K573">
            <v>-3260.62</v>
          </cell>
          <cell r="P573" t="str">
            <v>90111101-52121101</v>
          </cell>
          <cell r="S573" t="str">
            <v>2026A-01</v>
          </cell>
          <cell r="T573" t="str">
            <v>Regular Employee</v>
          </cell>
        </row>
        <row r="574">
          <cell r="K574">
            <v>-11899.38</v>
          </cell>
          <cell r="P574" t="str">
            <v>90111101-52121101</v>
          </cell>
          <cell r="S574" t="str">
            <v>2026A-01</v>
          </cell>
          <cell r="T574" t="str">
            <v>Regular Employee</v>
          </cell>
        </row>
        <row r="575">
          <cell r="K575">
            <v>1377725</v>
          </cell>
          <cell r="P575" t="str">
            <v>90111101-52121101</v>
          </cell>
          <cell r="S575" t="str">
            <v>2026A-01</v>
          </cell>
          <cell r="T575" t="str">
            <v>Regular Employee</v>
          </cell>
        </row>
        <row r="576">
          <cell r="K576">
            <v>27050</v>
          </cell>
          <cell r="P576" t="str">
            <v>90111101-52121101</v>
          </cell>
          <cell r="S576" t="str">
            <v>2026A-01</v>
          </cell>
          <cell r="T576" t="str">
            <v>Regular Employee</v>
          </cell>
        </row>
        <row r="577">
          <cell r="K577">
            <v>2477.89</v>
          </cell>
          <cell r="P577" t="str">
            <v>90111101-52121101</v>
          </cell>
          <cell r="S577" t="str">
            <v>2026A-01</v>
          </cell>
          <cell r="T577" t="str">
            <v>Regular Employee</v>
          </cell>
        </row>
        <row r="578">
          <cell r="K578">
            <v>-24.78</v>
          </cell>
          <cell r="P578" t="str">
            <v>90111101-52121101</v>
          </cell>
          <cell r="S578" t="str">
            <v>2026A-01</v>
          </cell>
          <cell r="T578" t="str">
            <v>Regular Employee</v>
          </cell>
        </row>
        <row r="579">
          <cell r="K579">
            <v>494200</v>
          </cell>
          <cell r="P579" t="str">
            <v>90111101-52121101</v>
          </cell>
          <cell r="S579" t="str">
            <v>2026A-01</v>
          </cell>
          <cell r="T579" t="str">
            <v>Regular Employee</v>
          </cell>
        </row>
        <row r="580">
          <cell r="K580">
            <v>2741.25</v>
          </cell>
          <cell r="P580" t="str">
            <v>90111101-52121101</v>
          </cell>
          <cell r="S580" t="str">
            <v>2026A-01</v>
          </cell>
          <cell r="T580" t="str">
            <v>Regular Employee</v>
          </cell>
        </row>
        <row r="581">
          <cell r="K581">
            <v>-1743.65</v>
          </cell>
          <cell r="P581" t="str">
            <v>90111101-52121101</v>
          </cell>
          <cell r="S581" t="str">
            <v>2026A-01</v>
          </cell>
          <cell r="T581" t="str">
            <v>Regular Employee</v>
          </cell>
        </row>
        <row r="582">
          <cell r="K582">
            <v>-16.899999999999999</v>
          </cell>
          <cell r="P582" t="str">
            <v>90111101-52121101</v>
          </cell>
          <cell r="S582" t="str">
            <v>2026A-01</v>
          </cell>
          <cell r="T582" t="str">
            <v>Regular Employee</v>
          </cell>
        </row>
        <row r="583">
          <cell r="K583">
            <v>470350</v>
          </cell>
          <cell r="P583" t="str">
            <v>90111101-52121101</v>
          </cell>
          <cell r="S583" t="str">
            <v>2026A-01</v>
          </cell>
          <cell r="T583" t="str">
            <v>Regular Employee</v>
          </cell>
        </row>
        <row r="584">
          <cell r="K584">
            <v>-776.66</v>
          </cell>
          <cell r="P584" t="str">
            <v>90111101-52121101</v>
          </cell>
          <cell r="S584" t="str">
            <v>2026A-01</v>
          </cell>
          <cell r="T584" t="str">
            <v>Regular Employee</v>
          </cell>
        </row>
        <row r="585">
          <cell r="K585">
            <v>-61.81</v>
          </cell>
          <cell r="P585" t="str">
            <v>90111101-52121101</v>
          </cell>
          <cell r="S585" t="str">
            <v>2026A-01</v>
          </cell>
          <cell r="T585" t="str">
            <v>Regular Employee</v>
          </cell>
        </row>
        <row r="586">
          <cell r="K586">
            <v>12462.04</v>
          </cell>
          <cell r="P586" t="str">
            <v>90111101-52121102</v>
          </cell>
          <cell r="S586" t="str">
            <v>2026A-01</v>
          </cell>
          <cell r="T586" t="str">
            <v>OT Pay</v>
          </cell>
        </row>
        <row r="587">
          <cell r="K587">
            <v>9121.7800000000007</v>
          </cell>
          <cell r="P587" t="str">
            <v>90111101-52121102</v>
          </cell>
          <cell r="S587" t="str">
            <v>2026A-01</v>
          </cell>
          <cell r="T587" t="str">
            <v>OT Pay</v>
          </cell>
        </row>
        <row r="588">
          <cell r="K588">
            <v>4645.24</v>
          </cell>
          <cell r="P588" t="str">
            <v>90111101-52121102</v>
          </cell>
          <cell r="S588" t="str">
            <v>2026A-01</v>
          </cell>
          <cell r="T588" t="str">
            <v>OT Pay</v>
          </cell>
        </row>
        <row r="589">
          <cell r="K589">
            <v>16600</v>
          </cell>
          <cell r="P589" t="str">
            <v>90111101-52121103</v>
          </cell>
          <cell r="S589" t="str">
            <v>2026A-01</v>
          </cell>
          <cell r="T589" t="str">
            <v>OT Pay</v>
          </cell>
        </row>
        <row r="590">
          <cell r="K590">
            <v>200</v>
          </cell>
          <cell r="P590" t="str">
            <v>90111101-52121305</v>
          </cell>
          <cell r="S590" t="str">
            <v>2026A-01</v>
          </cell>
          <cell r="T590" t="str">
            <v>Pag-ibig</v>
          </cell>
        </row>
        <row r="591">
          <cell r="K591">
            <v>920</v>
          </cell>
          <cell r="P591" t="str">
            <v>90111101-52121305</v>
          </cell>
          <cell r="S591" t="str">
            <v>2026A-01</v>
          </cell>
          <cell r="T591" t="str">
            <v>Philhealth</v>
          </cell>
        </row>
        <row r="592">
          <cell r="K592">
            <v>67990</v>
          </cell>
          <cell r="P592" t="str">
            <v>90111101-52121305</v>
          </cell>
          <cell r="S592" t="str">
            <v>2026A-01</v>
          </cell>
          <cell r="T592" t="str">
            <v>SSS</v>
          </cell>
        </row>
        <row r="593">
          <cell r="K593">
            <v>7020</v>
          </cell>
          <cell r="P593" t="str">
            <v>90111101-52121305</v>
          </cell>
          <cell r="S593" t="str">
            <v>2026A-01</v>
          </cell>
          <cell r="T593" t="str">
            <v>SSS</v>
          </cell>
        </row>
        <row r="594">
          <cell r="K594">
            <v>51550</v>
          </cell>
          <cell r="P594" t="str">
            <v>90111101-52121305</v>
          </cell>
          <cell r="S594" t="str">
            <v>2026A-01</v>
          </cell>
          <cell r="T594" t="str">
            <v>SSS</v>
          </cell>
        </row>
        <row r="595">
          <cell r="K595">
            <v>200</v>
          </cell>
          <cell r="P595" t="str">
            <v>90111101-52121305</v>
          </cell>
          <cell r="S595" t="str">
            <v>2026A-01</v>
          </cell>
          <cell r="T595" t="str">
            <v>Pag-ibig</v>
          </cell>
        </row>
        <row r="596">
          <cell r="K596">
            <v>2500</v>
          </cell>
          <cell r="P596" t="str">
            <v>90111101-52121305</v>
          </cell>
          <cell r="S596" t="str">
            <v>2026A-01</v>
          </cell>
          <cell r="T596" t="str">
            <v>Philhealth</v>
          </cell>
        </row>
        <row r="597">
          <cell r="K597">
            <v>4380</v>
          </cell>
          <cell r="P597" t="str">
            <v>90111101-52121305</v>
          </cell>
          <cell r="S597" t="str">
            <v>2026A-01</v>
          </cell>
          <cell r="T597" t="str">
            <v>SSS</v>
          </cell>
        </row>
        <row r="598">
          <cell r="K598">
            <v>1050</v>
          </cell>
          <cell r="P598" t="str">
            <v>90111101-52121305</v>
          </cell>
          <cell r="S598" t="str">
            <v>2026A-01</v>
          </cell>
          <cell r="T598" t="str">
            <v>SSS</v>
          </cell>
        </row>
        <row r="599">
          <cell r="K599">
            <v>6670</v>
          </cell>
          <cell r="P599" t="str">
            <v>90111101-52121305</v>
          </cell>
          <cell r="S599" t="str">
            <v>2026A-01</v>
          </cell>
          <cell r="T599" t="str">
            <v>SSS</v>
          </cell>
        </row>
        <row r="600">
          <cell r="K600">
            <v>6790</v>
          </cell>
          <cell r="P600" t="str">
            <v>90111101-52121305</v>
          </cell>
          <cell r="S600" t="str">
            <v>2026A-01</v>
          </cell>
          <cell r="T600" t="str">
            <v>SSS</v>
          </cell>
        </row>
        <row r="601">
          <cell r="K601">
            <v>80000</v>
          </cell>
          <cell r="P601" t="str">
            <v>90111101-52121306</v>
          </cell>
          <cell r="S601" t="str">
            <v>2026A-01</v>
          </cell>
          <cell r="T601" t="str">
            <v>Uniform</v>
          </cell>
        </row>
        <row r="602">
          <cell r="K602">
            <v>70000</v>
          </cell>
          <cell r="P602" t="str">
            <v>90111101-52121306</v>
          </cell>
          <cell r="S602" t="str">
            <v>2026A-01</v>
          </cell>
          <cell r="T602" t="str">
            <v>Uniform</v>
          </cell>
        </row>
        <row r="603">
          <cell r="K603">
            <v>10000</v>
          </cell>
          <cell r="P603" t="str">
            <v>90111101-52121306</v>
          </cell>
          <cell r="S603" t="str">
            <v>2026A-01</v>
          </cell>
          <cell r="T603" t="str">
            <v>Uniform</v>
          </cell>
        </row>
        <row r="604">
          <cell r="K604">
            <v>30000</v>
          </cell>
          <cell r="P604" t="str">
            <v>90111101-52121306</v>
          </cell>
          <cell r="S604" t="str">
            <v>2026A-01</v>
          </cell>
          <cell r="T604" t="str">
            <v>Uniform</v>
          </cell>
        </row>
        <row r="605">
          <cell r="K605">
            <v>215500</v>
          </cell>
          <cell r="P605" t="str">
            <v>90111101-52121308</v>
          </cell>
          <cell r="S605" t="str">
            <v>2026A-01</v>
          </cell>
          <cell r="T605" t="str">
            <v>Gas Allowance</v>
          </cell>
        </row>
        <row r="606">
          <cell r="K606">
            <v>29000</v>
          </cell>
          <cell r="P606" t="str">
            <v>90111101-52121308</v>
          </cell>
          <cell r="S606" t="str">
            <v>2026A-01</v>
          </cell>
          <cell r="T606" t="str">
            <v>Gas Allowance</v>
          </cell>
        </row>
        <row r="607">
          <cell r="K607">
            <v>174250</v>
          </cell>
          <cell r="P607" t="str">
            <v>90111101-52121308</v>
          </cell>
          <cell r="S607" t="str">
            <v>2026A-01</v>
          </cell>
          <cell r="T607" t="str">
            <v>Gas Allowance</v>
          </cell>
        </row>
        <row r="608">
          <cell r="K608">
            <v>44000</v>
          </cell>
          <cell r="P608" t="str">
            <v>90111101-52121308</v>
          </cell>
          <cell r="S608" t="str">
            <v>2026A-01</v>
          </cell>
          <cell r="T608" t="str">
            <v>Gas Allowance</v>
          </cell>
        </row>
        <row r="609">
          <cell r="K609">
            <v>53750</v>
          </cell>
          <cell r="P609" t="str">
            <v>90111101-52121308</v>
          </cell>
          <cell r="S609" t="str">
            <v>2026A-01</v>
          </cell>
          <cell r="T609" t="str">
            <v>Gas Allowance</v>
          </cell>
        </row>
        <row r="610">
          <cell r="K610">
            <v>46250</v>
          </cell>
          <cell r="P610" t="str">
            <v>90111101-52121308</v>
          </cell>
          <cell r="S610" t="str">
            <v>2026A-01</v>
          </cell>
          <cell r="T610" t="str">
            <v>Gas Allowance</v>
          </cell>
        </row>
        <row r="611">
          <cell r="K611">
            <v>175386.96</v>
          </cell>
          <cell r="P611" t="str">
            <v>80123102-61041101</v>
          </cell>
          <cell r="S611" t="str">
            <v>2026A-01</v>
          </cell>
          <cell r="T611" t="str">
            <v>Electricity &amp; Water</v>
          </cell>
        </row>
        <row r="612">
          <cell r="K612">
            <v>231789.67</v>
          </cell>
          <cell r="P612" t="str">
            <v>80111101-61021304</v>
          </cell>
          <cell r="S612" t="str">
            <v>2026A-01</v>
          </cell>
          <cell r="T612" t="str">
            <v>Retirement</v>
          </cell>
        </row>
        <row r="613">
          <cell r="K613">
            <v>303089.17</v>
          </cell>
          <cell r="P613" t="str">
            <v>81111101-52121304</v>
          </cell>
          <cell r="S613" t="str">
            <v>2026A-01</v>
          </cell>
          <cell r="T613" t="str">
            <v>Retirement</v>
          </cell>
        </row>
        <row r="614">
          <cell r="K614">
            <v>181571.17</v>
          </cell>
          <cell r="P614" t="str">
            <v>81111101-52121303</v>
          </cell>
          <cell r="S614" t="str">
            <v>2026A-01</v>
          </cell>
          <cell r="T614" t="str">
            <v>HMO</v>
          </cell>
        </row>
        <row r="615">
          <cell r="K615">
            <v>4427.08</v>
          </cell>
          <cell r="P615" t="str">
            <v>81111101-52121303</v>
          </cell>
          <cell r="S615" t="str">
            <v>2026A-01</v>
          </cell>
          <cell r="T615" t="str">
            <v>HMO</v>
          </cell>
        </row>
        <row r="616">
          <cell r="K616">
            <v>6240</v>
          </cell>
          <cell r="P616" t="str">
            <v>81111101-52121301</v>
          </cell>
          <cell r="S616" t="str">
            <v>2026A-01</v>
          </cell>
          <cell r="T616" t="str">
            <v>Life Insurance</v>
          </cell>
        </row>
        <row r="617">
          <cell r="K617">
            <v>380000</v>
          </cell>
          <cell r="P617" t="str">
            <v>81111101-52041495</v>
          </cell>
          <cell r="S617" t="str">
            <v>2026A-01</v>
          </cell>
          <cell r="T617" t="str">
            <v>BTs</v>
          </cell>
        </row>
        <row r="618">
          <cell r="K618">
            <v>62400</v>
          </cell>
          <cell r="P618" t="str">
            <v>81111101-52041495</v>
          </cell>
          <cell r="S618" t="str">
            <v>2026A-01</v>
          </cell>
          <cell r="T618" t="str">
            <v>BTs</v>
          </cell>
        </row>
        <row r="619">
          <cell r="K619">
            <v>210000</v>
          </cell>
          <cell r="P619" t="str">
            <v>81111101-52041499</v>
          </cell>
          <cell r="S619" t="str">
            <v>2026A-01</v>
          </cell>
          <cell r="T619" t="str">
            <v>Admin Staff (SFI)</v>
          </cell>
        </row>
        <row r="620">
          <cell r="K620">
            <v>45000</v>
          </cell>
          <cell r="P620" t="str">
            <v>81111101-52041499</v>
          </cell>
          <cell r="S620" t="str">
            <v>2026A-01</v>
          </cell>
          <cell r="T620" t="str">
            <v>Admin Staff (H&amp;K)</v>
          </cell>
        </row>
        <row r="621">
          <cell r="K621">
            <v>46000</v>
          </cell>
          <cell r="P621" t="str">
            <v>81111101-52041499</v>
          </cell>
          <cell r="S621" t="str">
            <v>2026A-01</v>
          </cell>
          <cell r="T621" t="str">
            <v>Admin Staff (TAHj)</v>
          </cell>
        </row>
        <row r="622">
          <cell r="K622">
            <v>-38000</v>
          </cell>
          <cell r="P622" t="str">
            <v>90111101-52121306</v>
          </cell>
          <cell r="S622" t="str">
            <v>2026A-01</v>
          </cell>
          <cell r="T622" t="str">
            <v>Uniform</v>
          </cell>
        </row>
        <row r="623">
          <cell r="K623">
            <v>38000</v>
          </cell>
          <cell r="P623" t="str">
            <v>90111101-52121309</v>
          </cell>
          <cell r="S623" t="str">
            <v>2026A-01</v>
          </cell>
          <cell r="T623" t="str">
            <v>Uniform</v>
          </cell>
        </row>
        <row r="624">
          <cell r="K624">
            <v>53022</v>
          </cell>
          <cell r="P624" t="str">
            <v>80123102-61721105</v>
          </cell>
          <cell r="S624" t="str">
            <v>2026A-01</v>
          </cell>
          <cell r="T624" t="str">
            <v>Fiber Internet - CV</v>
          </cell>
        </row>
        <row r="625">
          <cell r="K625">
            <v>8916.9599999999991</v>
          </cell>
          <cell r="P625" t="str">
            <v>81123102-52111102</v>
          </cell>
          <cell r="S625" t="str">
            <v>2026A-01</v>
          </cell>
          <cell r="T625" t="str">
            <v>LVA</v>
          </cell>
        </row>
        <row r="626">
          <cell r="K626">
            <v>148000</v>
          </cell>
          <cell r="P626" t="str">
            <v>81111101-52041401</v>
          </cell>
          <cell r="S626" t="str">
            <v>2026A-01</v>
          </cell>
          <cell r="T626" t="str">
            <v>Security HQ</v>
          </cell>
        </row>
        <row r="627">
          <cell r="K627">
            <v>110000</v>
          </cell>
          <cell r="P627" t="str">
            <v>81111101-52041401</v>
          </cell>
          <cell r="S627" t="str">
            <v>2026A-01</v>
          </cell>
          <cell r="T627" t="str">
            <v>Security HQ</v>
          </cell>
        </row>
        <row r="628">
          <cell r="K628">
            <v>183000</v>
          </cell>
          <cell r="P628" t="str">
            <v>81111101-52041405</v>
          </cell>
          <cell r="S628" t="str">
            <v>2026A-01</v>
          </cell>
          <cell r="T628" t="str">
            <v>Janitorial (SFI)</v>
          </cell>
        </row>
        <row r="629">
          <cell r="K629">
            <v>44000</v>
          </cell>
          <cell r="P629" t="str">
            <v>81111101-52041405</v>
          </cell>
          <cell r="S629" t="str">
            <v>2026A-01</v>
          </cell>
          <cell r="T629" t="str">
            <v>Janitorial (H&amp;K)</v>
          </cell>
        </row>
        <row r="630">
          <cell r="K630">
            <v>58000</v>
          </cell>
          <cell r="P630" t="str">
            <v>81111101-52041405</v>
          </cell>
          <cell r="S630" t="str">
            <v>2026A-01</v>
          </cell>
          <cell r="T630" t="str">
            <v>Janitorial (S1)</v>
          </cell>
        </row>
        <row r="631">
          <cell r="K631">
            <v>-305514.59999999998</v>
          </cell>
          <cell r="P631" t="str">
            <v>80123101-61071002</v>
          </cell>
          <cell r="S631" t="str">
            <v>2026A-02</v>
          </cell>
          <cell r="T631" t="str">
            <v>Open Cases</v>
          </cell>
        </row>
        <row r="632">
          <cell r="K632">
            <v>-3124428.76</v>
          </cell>
          <cell r="P632" t="str">
            <v>80123101-61071002</v>
          </cell>
          <cell r="S632" t="str">
            <v>2026A-02</v>
          </cell>
          <cell r="T632" t="str">
            <v>Open Cases</v>
          </cell>
        </row>
        <row r="633">
          <cell r="K633">
            <v>1000</v>
          </cell>
          <cell r="P633" t="str">
            <v>81134102-52952101</v>
          </cell>
          <cell r="S633" t="str">
            <v>2026A-02</v>
          </cell>
          <cell r="T633" t="str">
            <v>SEC</v>
          </cell>
        </row>
        <row r="634">
          <cell r="K634">
            <v>7550</v>
          </cell>
          <cell r="P634" t="str">
            <v>90123101-61071002</v>
          </cell>
          <cell r="S634" t="str">
            <v>2026A-02</v>
          </cell>
          <cell r="T634" t="str">
            <v>Open Cases</v>
          </cell>
        </row>
        <row r="635">
          <cell r="K635">
            <v>-1061.94</v>
          </cell>
          <cell r="P635" t="str">
            <v>81319101-52061101</v>
          </cell>
          <cell r="S635" t="str">
            <v>2026A-02</v>
          </cell>
          <cell r="T635" t="str">
            <v>R&amp;M - GH</v>
          </cell>
        </row>
        <row r="636">
          <cell r="K636">
            <v>5550</v>
          </cell>
          <cell r="P636" t="str">
            <v>80123101-61071099</v>
          </cell>
          <cell r="S636" t="str">
            <v>2026A-02</v>
          </cell>
          <cell r="T636" t="str">
            <v>Notarial Fees</v>
          </cell>
        </row>
        <row r="637">
          <cell r="K637">
            <v>13767.12</v>
          </cell>
          <cell r="P637" t="str">
            <v>80314101-61731103</v>
          </cell>
          <cell r="S637" t="str">
            <v>2026A-02</v>
          </cell>
          <cell r="T637" t="str">
            <v>Xmas Décor</v>
          </cell>
        </row>
        <row r="638">
          <cell r="K638">
            <v>450</v>
          </cell>
          <cell r="P638" t="str">
            <v>90123101-61071002</v>
          </cell>
          <cell r="S638" t="str">
            <v>2026A-02</v>
          </cell>
          <cell r="T638" t="str">
            <v>Notarial Fees</v>
          </cell>
        </row>
        <row r="639">
          <cell r="K639">
            <v>9023.92</v>
          </cell>
          <cell r="P639" t="str">
            <v>81123102-52041405</v>
          </cell>
          <cell r="S639" t="str">
            <v>2026A-02</v>
          </cell>
          <cell r="T639" t="str">
            <v>2025 Janitorial</v>
          </cell>
        </row>
        <row r="640">
          <cell r="K640">
            <v>2994570.36</v>
          </cell>
          <cell r="P640" t="str">
            <v>80123101-61071002</v>
          </cell>
          <cell r="S640" t="str">
            <v>2026A-02</v>
          </cell>
          <cell r="T640" t="str">
            <v>Open Cases</v>
          </cell>
        </row>
        <row r="641">
          <cell r="K641">
            <v>5330.77</v>
          </cell>
          <cell r="P641" t="str">
            <v>81319101-52041405</v>
          </cell>
          <cell r="S641" t="str">
            <v>2026A-02</v>
          </cell>
          <cell r="T641" t="str">
            <v>2025 Janitorial</v>
          </cell>
        </row>
        <row r="642">
          <cell r="K642">
            <v>100</v>
          </cell>
          <cell r="P642" t="str">
            <v>80122101-61071099</v>
          </cell>
          <cell r="S642" t="str">
            <v>2026A-02</v>
          </cell>
          <cell r="T642" t="str">
            <v>PAS19 Valuation</v>
          </cell>
        </row>
        <row r="643">
          <cell r="K643">
            <v>26785.71</v>
          </cell>
          <cell r="P643" t="str">
            <v>81124101-52952103</v>
          </cell>
          <cell r="S643" t="str">
            <v>2026A-02</v>
          </cell>
          <cell r="T643" t="str">
            <v>Autocad</v>
          </cell>
        </row>
        <row r="644">
          <cell r="K644">
            <v>14328.09</v>
          </cell>
          <cell r="P644" t="str">
            <v>81123102-52041405</v>
          </cell>
          <cell r="S644" t="str">
            <v>2026A-02</v>
          </cell>
          <cell r="T644" t="str">
            <v>2025 Janitorial</v>
          </cell>
        </row>
        <row r="645">
          <cell r="K645">
            <v>-731.68</v>
          </cell>
          <cell r="P645" t="str">
            <v>81123102-52041405</v>
          </cell>
          <cell r="S645" t="str">
            <v>2026A-02</v>
          </cell>
          <cell r="T645" t="str">
            <v>2025 Janitorial</v>
          </cell>
        </row>
        <row r="646">
          <cell r="K646">
            <v>3416.88</v>
          </cell>
          <cell r="P646" t="str">
            <v>81123102-52041499</v>
          </cell>
          <cell r="S646" t="str">
            <v>2026A-02</v>
          </cell>
          <cell r="T646" t="str">
            <v>2025 Admin Staff</v>
          </cell>
        </row>
        <row r="647">
          <cell r="K647">
            <v>4753.92</v>
          </cell>
          <cell r="P647" t="str">
            <v>81123102-52041499</v>
          </cell>
          <cell r="S647" t="str">
            <v>2026A-02</v>
          </cell>
          <cell r="T647" t="str">
            <v>2025 Admin Staff</v>
          </cell>
        </row>
        <row r="648">
          <cell r="K648">
            <v>23.78</v>
          </cell>
          <cell r="P648" t="str">
            <v>81123102-52041499</v>
          </cell>
          <cell r="S648" t="str">
            <v>2026A-02</v>
          </cell>
          <cell r="T648" t="str">
            <v>2025 Admin Staff</v>
          </cell>
        </row>
        <row r="649">
          <cell r="K649">
            <v>-1569.47</v>
          </cell>
          <cell r="P649" t="str">
            <v>81123102-52041499</v>
          </cell>
          <cell r="S649" t="str">
            <v>2026A-02</v>
          </cell>
          <cell r="T649" t="str">
            <v>2025 Admin Staff</v>
          </cell>
        </row>
        <row r="650">
          <cell r="K650">
            <v>24581.99</v>
          </cell>
          <cell r="P650" t="str">
            <v>81123102-52041405</v>
          </cell>
          <cell r="S650" t="str">
            <v>2026A-02</v>
          </cell>
          <cell r="T650" t="str">
            <v>Janitorial (H&amp;K)</v>
          </cell>
        </row>
        <row r="651">
          <cell r="K651">
            <v>20917.75</v>
          </cell>
          <cell r="P651" t="str">
            <v>81123102-52041499</v>
          </cell>
          <cell r="S651" t="str">
            <v>2026A-02</v>
          </cell>
          <cell r="T651" t="str">
            <v>Admin Staff (H&amp;K)</v>
          </cell>
        </row>
        <row r="652">
          <cell r="K652">
            <v>20917.75</v>
          </cell>
          <cell r="P652" t="str">
            <v>81123102-52041499</v>
          </cell>
          <cell r="S652" t="str">
            <v>2026A-02</v>
          </cell>
          <cell r="T652" t="str">
            <v>Admin Staff (H&amp;K)</v>
          </cell>
        </row>
        <row r="653">
          <cell r="K653">
            <v>330</v>
          </cell>
          <cell r="P653" t="str">
            <v>81111101-52031103</v>
          </cell>
          <cell r="S653" t="str">
            <v>2026A-02</v>
          </cell>
          <cell r="T653" t="str">
            <v>DST</v>
          </cell>
        </row>
        <row r="654">
          <cell r="K654">
            <v>20000</v>
          </cell>
          <cell r="P654" t="str">
            <v>80123101-61071005</v>
          </cell>
          <cell r="S654" t="str">
            <v>2026A-02</v>
          </cell>
          <cell r="T654" t="str">
            <v>Angara</v>
          </cell>
        </row>
        <row r="655">
          <cell r="K655">
            <v>20000</v>
          </cell>
          <cell r="P655" t="str">
            <v>80123101-61071005</v>
          </cell>
          <cell r="S655" t="str">
            <v>2026A-02</v>
          </cell>
          <cell r="T655" t="str">
            <v>Angara</v>
          </cell>
        </row>
        <row r="656">
          <cell r="K656">
            <v>9500</v>
          </cell>
          <cell r="P656" t="str">
            <v>80123101-61071002</v>
          </cell>
          <cell r="S656" t="str">
            <v>2026A-02</v>
          </cell>
          <cell r="T656" t="str">
            <v>Open Cases</v>
          </cell>
        </row>
        <row r="657">
          <cell r="K657">
            <v>126000</v>
          </cell>
          <cell r="P657" t="str">
            <v>80123101-61071002</v>
          </cell>
          <cell r="S657" t="str">
            <v>2026A-02</v>
          </cell>
          <cell r="T657" t="str">
            <v>Open Cases</v>
          </cell>
        </row>
        <row r="658">
          <cell r="K658">
            <v>43700</v>
          </cell>
          <cell r="P658" t="str">
            <v>80123101-61071002</v>
          </cell>
          <cell r="S658" t="str">
            <v>2026A-02</v>
          </cell>
          <cell r="T658" t="str">
            <v>Open Cases</v>
          </cell>
        </row>
        <row r="659">
          <cell r="K659">
            <v>40300</v>
          </cell>
          <cell r="P659" t="str">
            <v>80123101-61071002</v>
          </cell>
          <cell r="S659" t="str">
            <v>2026A-02</v>
          </cell>
          <cell r="T659" t="str">
            <v>Open Cases</v>
          </cell>
        </row>
        <row r="660">
          <cell r="K660">
            <v>6600</v>
          </cell>
          <cell r="P660" t="str">
            <v>80123101-61071002</v>
          </cell>
          <cell r="S660" t="str">
            <v>2026A-02</v>
          </cell>
          <cell r="T660" t="str">
            <v>Open Cases</v>
          </cell>
        </row>
        <row r="661">
          <cell r="K661">
            <v>8600</v>
          </cell>
          <cell r="P661" t="str">
            <v>80123101-61071002</v>
          </cell>
          <cell r="S661" t="str">
            <v>2026A-02</v>
          </cell>
          <cell r="T661" t="str">
            <v>Open Cases</v>
          </cell>
        </row>
        <row r="662">
          <cell r="K662">
            <v>11300</v>
          </cell>
          <cell r="P662" t="str">
            <v>80123101-61071002</v>
          </cell>
          <cell r="S662" t="str">
            <v>2026A-02</v>
          </cell>
          <cell r="T662" t="str">
            <v>Open Cases</v>
          </cell>
        </row>
        <row r="663">
          <cell r="K663">
            <v>92200</v>
          </cell>
          <cell r="P663" t="str">
            <v>80123101-61071002</v>
          </cell>
          <cell r="S663" t="str">
            <v>2026A-02</v>
          </cell>
          <cell r="T663" t="str">
            <v>Open Cases</v>
          </cell>
        </row>
        <row r="664">
          <cell r="K664">
            <v>50000</v>
          </cell>
          <cell r="P664" t="str">
            <v>80123101-61071002</v>
          </cell>
          <cell r="S664" t="str">
            <v>2026A-02</v>
          </cell>
          <cell r="T664" t="str">
            <v>Open Cases</v>
          </cell>
        </row>
        <row r="665">
          <cell r="K665">
            <v>1050</v>
          </cell>
          <cell r="P665" t="str">
            <v>80123101-61071002</v>
          </cell>
          <cell r="S665" t="str">
            <v>2026A-02</v>
          </cell>
          <cell r="T665" t="str">
            <v>Open Cases</v>
          </cell>
        </row>
        <row r="666">
          <cell r="K666">
            <v>1500</v>
          </cell>
          <cell r="P666" t="str">
            <v>80123101-61071002</v>
          </cell>
          <cell r="S666" t="str">
            <v>2026A-02</v>
          </cell>
          <cell r="T666" t="str">
            <v>Notarial Fees</v>
          </cell>
        </row>
        <row r="667">
          <cell r="K667">
            <v>4000</v>
          </cell>
          <cell r="P667" t="str">
            <v>80123101-61071002</v>
          </cell>
          <cell r="S667" t="str">
            <v>2026A-02</v>
          </cell>
          <cell r="T667" t="str">
            <v>Open Cases</v>
          </cell>
        </row>
        <row r="668">
          <cell r="K668">
            <v>24400</v>
          </cell>
          <cell r="P668" t="str">
            <v>80123101-61071002</v>
          </cell>
          <cell r="S668" t="str">
            <v>2026A-02</v>
          </cell>
          <cell r="T668" t="str">
            <v>Open Cases</v>
          </cell>
        </row>
        <row r="669">
          <cell r="K669">
            <v>15800</v>
          </cell>
          <cell r="P669" t="str">
            <v>80123101-61071002</v>
          </cell>
          <cell r="S669" t="str">
            <v>2026A-02</v>
          </cell>
          <cell r="T669" t="str">
            <v>Open Cases</v>
          </cell>
        </row>
        <row r="670">
          <cell r="K670">
            <v>300</v>
          </cell>
          <cell r="P670" t="str">
            <v>80123101-61071002</v>
          </cell>
          <cell r="S670" t="str">
            <v>2026A-02</v>
          </cell>
          <cell r="T670" t="str">
            <v>Open Cases</v>
          </cell>
        </row>
        <row r="671">
          <cell r="K671">
            <v>123</v>
          </cell>
          <cell r="P671" t="str">
            <v>80123101-61071002</v>
          </cell>
          <cell r="S671" t="str">
            <v>2026A-02</v>
          </cell>
          <cell r="T671" t="str">
            <v>Open Cases</v>
          </cell>
        </row>
        <row r="672">
          <cell r="K672">
            <v>4500</v>
          </cell>
          <cell r="P672" t="str">
            <v>80123101-61711101</v>
          </cell>
          <cell r="S672" t="str">
            <v>2026A-02</v>
          </cell>
          <cell r="T672" t="str">
            <v>Dues and Fees - Legal</v>
          </cell>
        </row>
        <row r="673">
          <cell r="K673">
            <v>1329</v>
          </cell>
          <cell r="P673" t="str">
            <v>81319101-52111101</v>
          </cell>
          <cell r="S673" t="str">
            <v>2026A-02</v>
          </cell>
          <cell r="T673" t="str">
            <v>GH</v>
          </cell>
        </row>
        <row r="674">
          <cell r="K674">
            <v>1020</v>
          </cell>
          <cell r="P674" t="str">
            <v>81319101-52111101</v>
          </cell>
          <cell r="S674" t="str">
            <v>2026A-02</v>
          </cell>
          <cell r="T674" t="str">
            <v>GH</v>
          </cell>
        </row>
        <row r="675">
          <cell r="K675">
            <v>2400</v>
          </cell>
          <cell r="P675" t="str">
            <v>81319101-52111101</v>
          </cell>
          <cell r="S675" t="str">
            <v>2026A-02</v>
          </cell>
          <cell r="T675" t="str">
            <v>GH</v>
          </cell>
        </row>
        <row r="676">
          <cell r="K676">
            <v>0.01</v>
          </cell>
          <cell r="P676" t="str">
            <v>81319101-52111101</v>
          </cell>
          <cell r="S676" t="str">
            <v>2026A-02</v>
          </cell>
          <cell r="T676" t="str">
            <v>CV</v>
          </cell>
        </row>
        <row r="677">
          <cell r="K677">
            <v>7609.2</v>
          </cell>
          <cell r="P677" t="str">
            <v>80124101-61711102</v>
          </cell>
          <cell r="S677" t="str">
            <v>2026A-02</v>
          </cell>
          <cell r="T677" t="str">
            <v>SAP</v>
          </cell>
        </row>
        <row r="678">
          <cell r="K678">
            <v>148929.26</v>
          </cell>
          <cell r="P678" t="str">
            <v>80124101-61711102</v>
          </cell>
          <cell r="S678" t="str">
            <v>2026A-02</v>
          </cell>
          <cell r="T678" t="str">
            <v>SAP</v>
          </cell>
        </row>
        <row r="679">
          <cell r="K679">
            <v>10036.4</v>
          </cell>
          <cell r="P679" t="str">
            <v>80124101-61711102</v>
          </cell>
          <cell r="S679" t="str">
            <v>2026A-02</v>
          </cell>
          <cell r="T679" t="str">
            <v>SAP</v>
          </cell>
        </row>
        <row r="680">
          <cell r="K680">
            <v>182054.79</v>
          </cell>
          <cell r="P680" t="str">
            <v>80124101-61711102</v>
          </cell>
          <cell r="S680" t="str">
            <v>2026A-02</v>
          </cell>
          <cell r="T680" t="str">
            <v>SAP</v>
          </cell>
        </row>
        <row r="681">
          <cell r="K681">
            <v>22847.47</v>
          </cell>
          <cell r="P681" t="str">
            <v>80124101-61711102</v>
          </cell>
          <cell r="S681" t="str">
            <v>2026A-02</v>
          </cell>
          <cell r="T681" t="str">
            <v>SAP</v>
          </cell>
        </row>
        <row r="682">
          <cell r="K682">
            <v>8058.84</v>
          </cell>
          <cell r="P682" t="str">
            <v>80124101-61711102</v>
          </cell>
          <cell r="S682" t="str">
            <v>2026A-02</v>
          </cell>
          <cell r="T682" t="str">
            <v>SAP</v>
          </cell>
        </row>
        <row r="683">
          <cell r="K683">
            <v>2014.71</v>
          </cell>
          <cell r="P683" t="str">
            <v>80124101-61711102</v>
          </cell>
          <cell r="S683" t="str">
            <v>2026A-02</v>
          </cell>
          <cell r="T683" t="str">
            <v>SAP</v>
          </cell>
        </row>
        <row r="684">
          <cell r="K684">
            <v>65425.22</v>
          </cell>
          <cell r="P684" t="str">
            <v>81123102-52041401</v>
          </cell>
          <cell r="S684" t="str">
            <v>2026A-02</v>
          </cell>
          <cell r="T684" t="str">
            <v>Security HQ</v>
          </cell>
        </row>
        <row r="685">
          <cell r="K685">
            <v>13083.99</v>
          </cell>
          <cell r="P685" t="str">
            <v>81123102-52041401</v>
          </cell>
          <cell r="S685" t="str">
            <v>2026A-02</v>
          </cell>
          <cell r="T685" t="str">
            <v>Security HQ</v>
          </cell>
        </row>
        <row r="686">
          <cell r="K686">
            <v>-205</v>
          </cell>
          <cell r="P686" t="str">
            <v>90122101-52121502</v>
          </cell>
          <cell r="S686" t="str">
            <v>2026A-02</v>
          </cell>
          <cell r="T686" t="str">
            <v>Trainings</v>
          </cell>
        </row>
        <row r="687">
          <cell r="K687">
            <v>205</v>
          </cell>
          <cell r="P687" t="str">
            <v>90122101-52121502</v>
          </cell>
          <cell r="S687" t="str">
            <v>2026A-02</v>
          </cell>
          <cell r="T687" t="str">
            <v>Trainings</v>
          </cell>
        </row>
        <row r="688">
          <cell r="K688">
            <v>20000</v>
          </cell>
          <cell r="P688" t="str">
            <v>80123101-61071005</v>
          </cell>
          <cell r="S688" t="str">
            <v>2026A-02</v>
          </cell>
          <cell r="T688" t="str">
            <v>Poblador</v>
          </cell>
        </row>
        <row r="689">
          <cell r="K689">
            <v>69786.899999999994</v>
          </cell>
          <cell r="P689" t="str">
            <v>81123102-52041401</v>
          </cell>
          <cell r="S689" t="str">
            <v>2026A-02</v>
          </cell>
          <cell r="T689" t="str">
            <v>Security HQ</v>
          </cell>
        </row>
        <row r="690">
          <cell r="K690">
            <v>13956.26</v>
          </cell>
          <cell r="P690" t="str">
            <v>81123102-52041401</v>
          </cell>
          <cell r="S690" t="str">
            <v>2026A-02</v>
          </cell>
          <cell r="T690" t="str">
            <v>Security HQ</v>
          </cell>
        </row>
        <row r="691">
          <cell r="K691">
            <v>-2140</v>
          </cell>
          <cell r="P691" t="str">
            <v>90111204-61091102</v>
          </cell>
          <cell r="S691" t="str">
            <v>2026A-02</v>
          </cell>
          <cell r="T691" t="str">
            <v>Meetings</v>
          </cell>
        </row>
        <row r="692">
          <cell r="K692">
            <v>2140</v>
          </cell>
          <cell r="P692" t="str">
            <v>90111204-61091102</v>
          </cell>
          <cell r="S692" t="str">
            <v>2026A-02</v>
          </cell>
          <cell r="T692" t="str">
            <v>Meetings</v>
          </cell>
        </row>
        <row r="693">
          <cell r="K693">
            <v>9553.17</v>
          </cell>
          <cell r="P693" t="str">
            <v>80123102-61721101</v>
          </cell>
          <cell r="S693" t="str">
            <v>2026A-02</v>
          </cell>
          <cell r="T693" t="str">
            <v>Mobile Phones</v>
          </cell>
        </row>
        <row r="694">
          <cell r="K694">
            <v>2171.1</v>
          </cell>
          <cell r="P694" t="str">
            <v>80123102-61721101</v>
          </cell>
          <cell r="S694" t="str">
            <v>2026A-02</v>
          </cell>
          <cell r="T694" t="str">
            <v>Mobile Phones</v>
          </cell>
        </row>
        <row r="695">
          <cell r="K695">
            <v>1736.98</v>
          </cell>
          <cell r="P695" t="str">
            <v>80123102-61721101</v>
          </cell>
          <cell r="S695" t="str">
            <v>2026A-02</v>
          </cell>
          <cell r="T695" t="str">
            <v>Mobile Phones</v>
          </cell>
        </row>
        <row r="696">
          <cell r="K696">
            <v>1736.98</v>
          </cell>
          <cell r="P696" t="str">
            <v>80123102-61721101</v>
          </cell>
          <cell r="S696" t="str">
            <v>2026A-02</v>
          </cell>
          <cell r="T696" t="str">
            <v>Mobile Phones</v>
          </cell>
        </row>
        <row r="697">
          <cell r="K697">
            <v>1736.98</v>
          </cell>
          <cell r="P697" t="str">
            <v>80123102-61721101</v>
          </cell>
          <cell r="S697" t="str">
            <v>2026A-02</v>
          </cell>
          <cell r="T697" t="str">
            <v>Mobile Phones</v>
          </cell>
        </row>
        <row r="698">
          <cell r="K698">
            <v>1736.98</v>
          </cell>
          <cell r="P698" t="str">
            <v>80123102-61721101</v>
          </cell>
          <cell r="S698" t="str">
            <v>2026A-02</v>
          </cell>
          <cell r="T698" t="str">
            <v>Mobile Phones</v>
          </cell>
        </row>
        <row r="699">
          <cell r="K699">
            <v>1736.98</v>
          </cell>
          <cell r="P699" t="str">
            <v>80123102-61721101</v>
          </cell>
          <cell r="S699" t="str">
            <v>2026A-02</v>
          </cell>
          <cell r="T699" t="str">
            <v>Mobile Phones</v>
          </cell>
        </row>
        <row r="700">
          <cell r="K700">
            <v>1736.98</v>
          </cell>
          <cell r="P700" t="str">
            <v>80123102-61721101</v>
          </cell>
          <cell r="S700" t="str">
            <v>2026A-02</v>
          </cell>
          <cell r="T700" t="str">
            <v>Mobile Phones</v>
          </cell>
        </row>
        <row r="701">
          <cell r="K701">
            <v>1259.06</v>
          </cell>
          <cell r="P701" t="str">
            <v>80123102-61721101</v>
          </cell>
          <cell r="S701" t="str">
            <v>2026A-02</v>
          </cell>
          <cell r="T701" t="str">
            <v>Mobile Phones</v>
          </cell>
        </row>
        <row r="702">
          <cell r="K702">
            <v>1769.78</v>
          </cell>
          <cell r="P702" t="str">
            <v>80123102-61721101</v>
          </cell>
          <cell r="S702" t="str">
            <v>2026A-02</v>
          </cell>
          <cell r="T702" t="str">
            <v>Mobile Phones</v>
          </cell>
        </row>
        <row r="703">
          <cell r="K703">
            <v>1259.06</v>
          </cell>
          <cell r="P703" t="str">
            <v>80123102-61721101</v>
          </cell>
          <cell r="S703" t="str">
            <v>2026A-02</v>
          </cell>
          <cell r="T703" t="str">
            <v>Mobile Phones</v>
          </cell>
        </row>
        <row r="704">
          <cell r="K704">
            <v>1304.51</v>
          </cell>
          <cell r="P704" t="str">
            <v>80123102-61721101</v>
          </cell>
          <cell r="S704" t="str">
            <v>2026A-02</v>
          </cell>
          <cell r="T704" t="str">
            <v>Mobile Phones</v>
          </cell>
        </row>
        <row r="705">
          <cell r="K705">
            <v>223.21</v>
          </cell>
          <cell r="P705" t="str">
            <v>80123102-61721101</v>
          </cell>
          <cell r="S705" t="str">
            <v>2026A-02</v>
          </cell>
          <cell r="T705" t="str">
            <v>Mobile Phones</v>
          </cell>
        </row>
        <row r="706">
          <cell r="K706">
            <v>1536.38</v>
          </cell>
          <cell r="P706" t="str">
            <v>80123102-61721101</v>
          </cell>
          <cell r="S706" t="str">
            <v>2026A-02</v>
          </cell>
          <cell r="T706" t="str">
            <v>Mobile Phones</v>
          </cell>
        </row>
        <row r="707">
          <cell r="K707">
            <v>1259.06</v>
          </cell>
          <cell r="P707" t="str">
            <v>80123102-61721101</v>
          </cell>
          <cell r="S707" t="str">
            <v>2026A-02</v>
          </cell>
          <cell r="T707" t="str">
            <v>Mobile Phones</v>
          </cell>
        </row>
        <row r="708">
          <cell r="K708">
            <v>750</v>
          </cell>
          <cell r="P708" t="str">
            <v>80134102-61711101</v>
          </cell>
          <cell r="S708" t="str">
            <v>2026A-02</v>
          </cell>
          <cell r="T708" t="str">
            <v>Membership - OPE</v>
          </cell>
        </row>
        <row r="709">
          <cell r="K709">
            <v>1338.39</v>
          </cell>
          <cell r="P709" t="str">
            <v>80123102-61721101</v>
          </cell>
          <cell r="S709" t="str">
            <v>2026A-02</v>
          </cell>
          <cell r="T709" t="str">
            <v>Mobile Phones</v>
          </cell>
        </row>
        <row r="710">
          <cell r="K710">
            <v>891.96</v>
          </cell>
          <cell r="P710" t="str">
            <v>80123102-61721101</v>
          </cell>
          <cell r="S710" t="str">
            <v>2026A-02</v>
          </cell>
          <cell r="T710" t="str">
            <v>Mobile Phones</v>
          </cell>
        </row>
        <row r="711">
          <cell r="K711">
            <v>891.96</v>
          </cell>
          <cell r="P711" t="str">
            <v>80123102-61721101</v>
          </cell>
          <cell r="S711" t="str">
            <v>2026A-02</v>
          </cell>
          <cell r="T711" t="str">
            <v>Mobile Phones</v>
          </cell>
        </row>
        <row r="712">
          <cell r="K712">
            <v>891.96</v>
          </cell>
          <cell r="P712" t="str">
            <v>80123102-61721101</v>
          </cell>
          <cell r="S712" t="str">
            <v>2026A-02</v>
          </cell>
          <cell r="T712" t="str">
            <v>Mobile Phones</v>
          </cell>
        </row>
        <row r="713">
          <cell r="K713">
            <v>891.96</v>
          </cell>
          <cell r="P713" t="str">
            <v>80123102-61721101</v>
          </cell>
          <cell r="S713" t="str">
            <v>2026A-02</v>
          </cell>
          <cell r="T713" t="str">
            <v>Mobile Phones</v>
          </cell>
        </row>
        <row r="714">
          <cell r="K714">
            <v>713.41</v>
          </cell>
          <cell r="P714" t="str">
            <v>80123102-61721101</v>
          </cell>
          <cell r="S714" t="str">
            <v>2026A-02</v>
          </cell>
          <cell r="T714" t="str">
            <v>Mobile Phones</v>
          </cell>
        </row>
        <row r="715">
          <cell r="K715">
            <v>1338.54</v>
          </cell>
          <cell r="P715" t="str">
            <v>80123102-61721101</v>
          </cell>
          <cell r="S715" t="str">
            <v>2026A-02</v>
          </cell>
          <cell r="T715" t="str">
            <v>Mobile Phones</v>
          </cell>
        </row>
        <row r="716">
          <cell r="K716">
            <v>1338.39</v>
          </cell>
          <cell r="P716" t="str">
            <v>80123102-61721101</v>
          </cell>
          <cell r="S716" t="str">
            <v>2026A-02</v>
          </cell>
          <cell r="T716" t="str">
            <v>Mobile Phones</v>
          </cell>
        </row>
        <row r="717">
          <cell r="K717">
            <v>893.71</v>
          </cell>
          <cell r="P717" t="str">
            <v>80123102-61721101</v>
          </cell>
          <cell r="S717" t="str">
            <v>2026A-02</v>
          </cell>
          <cell r="T717" t="str">
            <v>Mobile Phones</v>
          </cell>
        </row>
        <row r="718">
          <cell r="K718">
            <v>713.39</v>
          </cell>
          <cell r="P718" t="str">
            <v>80123102-61721101</v>
          </cell>
          <cell r="S718" t="str">
            <v>2026A-02</v>
          </cell>
          <cell r="T718" t="str">
            <v>Mobile Phones</v>
          </cell>
        </row>
        <row r="719">
          <cell r="K719">
            <v>713.39</v>
          </cell>
          <cell r="P719" t="str">
            <v>80123102-61721101</v>
          </cell>
          <cell r="S719" t="str">
            <v>2026A-02</v>
          </cell>
          <cell r="T719" t="str">
            <v>Mobile Phones</v>
          </cell>
        </row>
        <row r="720">
          <cell r="K720">
            <v>713.39</v>
          </cell>
          <cell r="P720" t="str">
            <v>80123102-61721101</v>
          </cell>
          <cell r="S720" t="str">
            <v>2026A-02</v>
          </cell>
          <cell r="T720" t="str">
            <v>Mobile Phones</v>
          </cell>
        </row>
        <row r="721">
          <cell r="K721">
            <v>713.39</v>
          </cell>
          <cell r="P721" t="str">
            <v>80123102-61721101</v>
          </cell>
          <cell r="S721" t="str">
            <v>2026A-02</v>
          </cell>
          <cell r="T721" t="str">
            <v>Mobile Phones</v>
          </cell>
        </row>
        <row r="722">
          <cell r="K722">
            <v>1338.39</v>
          </cell>
          <cell r="P722" t="str">
            <v>80123102-61721101</v>
          </cell>
          <cell r="S722" t="str">
            <v>2026A-02</v>
          </cell>
          <cell r="T722" t="str">
            <v>Mobile Phones</v>
          </cell>
        </row>
        <row r="723">
          <cell r="K723">
            <v>1606.4</v>
          </cell>
          <cell r="P723" t="str">
            <v>80123102-61721101</v>
          </cell>
          <cell r="S723" t="str">
            <v>2026A-02</v>
          </cell>
          <cell r="T723" t="str">
            <v>Mobile Phones</v>
          </cell>
        </row>
        <row r="724">
          <cell r="K724">
            <v>891.96</v>
          </cell>
          <cell r="P724" t="str">
            <v>80123102-61721101</v>
          </cell>
          <cell r="S724" t="str">
            <v>2026A-02</v>
          </cell>
          <cell r="T724" t="str">
            <v>Mobile Phones</v>
          </cell>
        </row>
        <row r="725">
          <cell r="K725">
            <v>891.96</v>
          </cell>
          <cell r="P725" t="str">
            <v>80123102-61721101</v>
          </cell>
          <cell r="S725" t="str">
            <v>2026A-02</v>
          </cell>
          <cell r="T725" t="str">
            <v>Mobile Phones</v>
          </cell>
        </row>
        <row r="726">
          <cell r="K726">
            <v>713.39</v>
          </cell>
          <cell r="P726" t="str">
            <v>80123102-61721101</v>
          </cell>
          <cell r="S726" t="str">
            <v>2026A-02</v>
          </cell>
          <cell r="T726" t="str">
            <v>Mobile Phones</v>
          </cell>
        </row>
        <row r="727">
          <cell r="K727">
            <v>713.39</v>
          </cell>
          <cell r="P727" t="str">
            <v>80123102-61721101</v>
          </cell>
          <cell r="S727" t="str">
            <v>2026A-02</v>
          </cell>
          <cell r="T727" t="str">
            <v>Mobile Phones</v>
          </cell>
        </row>
        <row r="728">
          <cell r="K728">
            <v>713.39</v>
          </cell>
          <cell r="P728" t="str">
            <v>80123102-61721101</v>
          </cell>
          <cell r="S728" t="str">
            <v>2026A-02</v>
          </cell>
          <cell r="T728" t="str">
            <v>Mobile Phones</v>
          </cell>
        </row>
        <row r="729">
          <cell r="K729">
            <v>891.96</v>
          </cell>
          <cell r="P729" t="str">
            <v>80123102-61721101</v>
          </cell>
          <cell r="S729" t="str">
            <v>2026A-02</v>
          </cell>
          <cell r="T729" t="str">
            <v>Mobile Phones</v>
          </cell>
        </row>
        <row r="730">
          <cell r="K730">
            <v>898.18</v>
          </cell>
          <cell r="P730" t="str">
            <v>80123102-61721101</v>
          </cell>
          <cell r="S730" t="str">
            <v>2026A-02</v>
          </cell>
          <cell r="T730" t="str">
            <v>Mobile Phones</v>
          </cell>
        </row>
        <row r="731">
          <cell r="K731">
            <v>891.96</v>
          </cell>
          <cell r="P731" t="str">
            <v>80123102-61721101</v>
          </cell>
          <cell r="S731" t="str">
            <v>2026A-02</v>
          </cell>
          <cell r="T731" t="str">
            <v>Mobile Phones</v>
          </cell>
        </row>
        <row r="732">
          <cell r="K732">
            <v>1338.4</v>
          </cell>
          <cell r="P732" t="str">
            <v>80123102-61721101</v>
          </cell>
          <cell r="S732" t="str">
            <v>2026A-02</v>
          </cell>
          <cell r="T732" t="str">
            <v>Mobile Phones</v>
          </cell>
        </row>
        <row r="733">
          <cell r="K733">
            <v>891.96</v>
          </cell>
          <cell r="P733" t="str">
            <v>80123102-61721101</v>
          </cell>
          <cell r="S733" t="str">
            <v>2026A-02</v>
          </cell>
          <cell r="T733" t="str">
            <v>Mobile Phones</v>
          </cell>
        </row>
        <row r="734">
          <cell r="K734">
            <v>713.4</v>
          </cell>
          <cell r="P734" t="str">
            <v>80123102-61721101</v>
          </cell>
          <cell r="S734" t="str">
            <v>2026A-02</v>
          </cell>
          <cell r="T734" t="str">
            <v>Mobile Phones</v>
          </cell>
        </row>
        <row r="735">
          <cell r="K735">
            <v>891.96</v>
          </cell>
          <cell r="P735" t="str">
            <v>80123102-61721101</v>
          </cell>
          <cell r="S735" t="str">
            <v>2026A-02</v>
          </cell>
          <cell r="T735" t="str">
            <v>Mobile Phones</v>
          </cell>
        </row>
        <row r="736">
          <cell r="K736">
            <v>460.25</v>
          </cell>
          <cell r="P736" t="str">
            <v>80123102-61721101</v>
          </cell>
          <cell r="S736" t="str">
            <v>2026A-02</v>
          </cell>
          <cell r="T736" t="str">
            <v>Mobile Phones</v>
          </cell>
        </row>
        <row r="737">
          <cell r="K737">
            <v>575.46</v>
          </cell>
          <cell r="P737" t="str">
            <v>80123102-61721101</v>
          </cell>
          <cell r="S737" t="str">
            <v>2026A-02</v>
          </cell>
          <cell r="T737" t="str">
            <v>Mobile Phones</v>
          </cell>
        </row>
        <row r="738">
          <cell r="K738">
            <v>891.96</v>
          </cell>
          <cell r="P738" t="str">
            <v>80123102-61721101</v>
          </cell>
          <cell r="S738" t="str">
            <v>2026A-02</v>
          </cell>
          <cell r="T738" t="str">
            <v>Mobile Phones</v>
          </cell>
        </row>
        <row r="739">
          <cell r="K739">
            <v>534.82000000000005</v>
          </cell>
          <cell r="P739" t="str">
            <v>80123102-61721101</v>
          </cell>
          <cell r="S739" t="str">
            <v>2026A-02</v>
          </cell>
          <cell r="T739" t="str">
            <v>Mobile Phones</v>
          </cell>
        </row>
        <row r="740">
          <cell r="K740">
            <v>713.39</v>
          </cell>
          <cell r="P740" t="str">
            <v>80123102-61721101</v>
          </cell>
          <cell r="S740" t="str">
            <v>2026A-02</v>
          </cell>
          <cell r="T740" t="str">
            <v>Mobile Phones</v>
          </cell>
        </row>
        <row r="741">
          <cell r="K741">
            <v>891.96</v>
          </cell>
          <cell r="P741" t="str">
            <v>80123102-61721101</v>
          </cell>
          <cell r="S741" t="str">
            <v>2026A-02</v>
          </cell>
          <cell r="T741" t="str">
            <v>Mobile Phones</v>
          </cell>
        </row>
        <row r="742">
          <cell r="K742">
            <v>892.82</v>
          </cell>
          <cell r="P742" t="str">
            <v>80123102-61721101</v>
          </cell>
          <cell r="S742" t="str">
            <v>2026A-02</v>
          </cell>
          <cell r="T742" t="str">
            <v>Mobile Phones</v>
          </cell>
        </row>
        <row r="743">
          <cell r="K743">
            <v>1338.39</v>
          </cell>
          <cell r="P743" t="str">
            <v>80123102-61721101</v>
          </cell>
          <cell r="S743" t="str">
            <v>2026A-02</v>
          </cell>
          <cell r="T743" t="str">
            <v>Mobile Phones</v>
          </cell>
        </row>
        <row r="744">
          <cell r="K744">
            <v>891.96</v>
          </cell>
          <cell r="P744" t="str">
            <v>80123102-61721101</v>
          </cell>
          <cell r="S744" t="str">
            <v>2026A-02</v>
          </cell>
          <cell r="T744" t="str">
            <v>Mobile Phones</v>
          </cell>
        </row>
        <row r="745">
          <cell r="K745">
            <v>891.96</v>
          </cell>
          <cell r="P745" t="str">
            <v>80123102-61721101</v>
          </cell>
          <cell r="S745" t="str">
            <v>2026A-02</v>
          </cell>
          <cell r="T745" t="str">
            <v>Mobile Phones</v>
          </cell>
        </row>
        <row r="746">
          <cell r="K746">
            <v>713.39</v>
          </cell>
          <cell r="P746" t="str">
            <v>80123102-61721101</v>
          </cell>
          <cell r="S746" t="str">
            <v>2026A-02</v>
          </cell>
          <cell r="T746" t="str">
            <v>Mobile Phones</v>
          </cell>
        </row>
        <row r="747">
          <cell r="K747">
            <v>891.96</v>
          </cell>
          <cell r="P747" t="str">
            <v>80123102-61721101</v>
          </cell>
          <cell r="S747" t="str">
            <v>2026A-02</v>
          </cell>
          <cell r="T747" t="str">
            <v>Mobile Phones</v>
          </cell>
        </row>
        <row r="748">
          <cell r="K748">
            <v>1338.39</v>
          </cell>
          <cell r="P748" t="str">
            <v>80123102-61721101</v>
          </cell>
          <cell r="S748" t="str">
            <v>2026A-02</v>
          </cell>
          <cell r="T748" t="str">
            <v>Mobile Phones</v>
          </cell>
        </row>
        <row r="749">
          <cell r="K749">
            <v>891.96</v>
          </cell>
          <cell r="P749" t="str">
            <v>80123102-61721101</v>
          </cell>
          <cell r="S749" t="str">
            <v>2026A-02</v>
          </cell>
          <cell r="T749" t="str">
            <v>Mobile Phones</v>
          </cell>
        </row>
        <row r="750">
          <cell r="K750">
            <v>891.96</v>
          </cell>
          <cell r="P750" t="str">
            <v>80123102-61721101</v>
          </cell>
          <cell r="S750" t="str">
            <v>2026A-02</v>
          </cell>
          <cell r="T750" t="str">
            <v>Mobile Phones</v>
          </cell>
        </row>
        <row r="751">
          <cell r="K751">
            <v>891.96</v>
          </cell>
          <cell r="P751" t="str">
            <v>80123102-61721101</v>
          </cell>
          <cell r="S751" t="str">
            <v>2026A-02</v>
          </cell>
          <cell r="T751" t="str">
            <v>Mobile Phones</v>
          </cell>
        </row>
        <row r="752">
          <cell r="K752">
            <v>534.82000000000005</v>
          </cell>
          <cell r="P752" t="str">
            <v>80123102-61721101</v>
          </cell>
          <cell r="S752" t="str">
            <v>2026A-02</v>
          </cell>
          <cell r="T752" t="str">
            <v>Mobile Phones</v>
          </cell>
        </row>
        <row r="753">
          <cell r="K753">
            <v>713.39</v>
          </cell>
          <cell r="P753" t="str">
            <v>80123102-61721101</v>
          </cell>
          <cell r="S753" t="str">
            <v>2026A-02</v>
          </cell>
          <cell r="T753" t="str">
            <v>Mobile Phones</v>
          </cell>
        </row>
        <row r="754">
          <cell r="K754">
            <v>891.96</v>
          </cell>
          <cell r="P754" t="str">
            <v>80123102-61721101</v>
          </cell>
          <cell r="S754" t="str">
            <v>2026A-02</v>
          </cell>
          <cell r="T754" t="str">
            <v>Mobile Phones</v>
          </cell>
        </row>
        <row r="755">
          <cell r="K755">
            <v>891.96</v>
          </cell>
          <cell r="P755" t="str">
            <v>80123102-61721101</v>
          </cell>
          <cell r="S755" t="str">
            <v>2026A-02</v>
          </cell>
          <cell r="T755" t="str">
            <v>Mobile Phones</v>
          </cell>
        </row>
        <row r="756">
          <cell r="K756">
            <v>1338.39</v>
          </cell>
          <cell r="P756" t="str">
            <v>80123102-61721101</v>
          </cell>
          <cell r="S756" t="str">
            <v>2026A-02</v>
          </cell>
          <cell r="T756" t="str">
            <v>Mobile Phones</v>
          </cell>
        </row>
        <row r="757">
          <cell r="K757">
            <v>893.27</v>
          </cell>
          <cell r="P757" t="str">
            <v>80123102-61721101</v>
          </cell>
          <cell r="S757" t="str">
            <v>2026A-02</v>
          </cell>
          <cell r="T757" t="str">
            <v>Mobile Phones</v>
          </cell>
        </row>
        <row r="758">
          <cell r="K758">
            <v>534.82000000000005</v>
          </cell>
          <cell r="P758" t="str">
            <v>80123102-61721101</v>
          </cell>
          <cell r="S758" t="str">
            <v>2026A-02</v>
          </cell>
          <cell r="T758" t="str">
            <v>Mobile Phones</v>
          </cell>
        </row>
        <row r="759">
          <cell r="K759">
            <v>891.96</v>
          </cell>
          <cell r="P759" t="str">
            <v>80123102-61721101</v>
          </cell>
          <cell r="S759" t="str">
            <v>2026A-02</v>
          </cell>
          <cell r="T759" t="str">
            <v>Mobile Phones</v>
          </cell>
        </row>
        <row r="760">
          <cell r="K760">
            <v>534.82000000000005</v>
          </cell>
          <cell r="P760" t="str">
            <v>80123102-61721101</v>
          </cell>
          <cell r="S760" t="str">
            <v>2026A-02</v>
          </cell>
          <cell r="T760" t="str">
            <v>Mobile Phones</v>
          </cell>
        </row>
        <row r="761">
          <cell r="K761">
            <v>891.96</v>
          </cell>
          <cell r="P761" t="str">
            <v>80123102-61721101</v>
          </cell>
          <cell r="S761" t="str">
            <v>2026A-02</v>
          </cell>
          <cell r="T761" t="str">
            <v>Mobile Phones</v>
          </cell>
        </row>
        <row r="762">
          <cell r="K762">
            <v>2033.93</v>
          </cell>
          <cell r="P762" t="str">
            <v>80123102-61721101</v>
          </cell>
          <cell r="S762" t="str">
            <v>2026A-02</v>
          </cell>
          <cell r="T762" t="str">
            <v>Mobile Phones</v>
          </cell>
        </row>
        <row r="763">
          <cell r="K763">
            <v>3086.56</v>
          </cell>
          <cell r="P763" t="str">
            <v>81111101-52041495</v>
          </cell>
          <cell r="S763" t="str">
            <v>2026A-02</v>
          </cell>
          <cell r="T763" t="str">
            <v>2025 BTs</v>
          </cell>
        </row>
        <row r="764">
          <cell r="K764">
            <v>-12001.58</v>
          </cell>
          <cell r="P764" t="str">
            <v>81111101-52041495</v>
          </cell>
          <cell r="S764" t="str">
            <v>2026A-02</v>
          </cell>
          <cell r="T764" t="str">
            <v>2025 BTs</v>
          </cell>
        </row>
        <row r="765">
          <cell r="K765">
            <v>45482.38</v>
          </cell>
          <cell r="P765" t="str">
            <v>81111101-52041495</v>
          </cell>
          <cell r="S765" t="str">
            <v>2026A-02</v>
          </cell>
          <cell r="T765" t="str">
            <v>2025 BTs</v>
          </cell>
        </row>
        <row r="766">
          <cell r="K766">
            <v>-904.05</v>
          </cell>
          <cell r="P766" t="str">
            <v>81111101-52041495</v>
          </cell>
          <cell r="S766" t="str">
            <v>2026A-02</v>
          </cell>
          <cell r="T766" t="str">
            <v>2025 BTs</v>
          </cell>
        </row>
        <row r="767">
          <cell r="K767">
            <v>-15260.21</v>
          </cell>
          <cell r="P767" t="str">
            <v>81123102-52041405</v>
          </cell>
          <cell r="S767" t="str">
            <v>2026A-02</v>
          </cell>
          <cell r="T767" t="str">
            <v>2025 Janitorial</v>
          </cell>
        </row>
        <row r="768">
          <cell r="K768">
            <v>76053.289999999994</v>
          </cell>
          <cell r="P768" t="str">
            <v>81123102-52041405</v>
          </cell>
          <cell r="S768" t="str">
            <v>2026A-02</v>
          </cell>
          <cell r="T768" t="str">
            <v>2025 Janitorial</v>
          </cell>
        </row>
        <row r="769">
          <cell r="K769">
            <v>-8797.84</v>
          </cell>
          <cell r="P769" t="str">
            <v>81123102-52041405</v>
          </cell>
          <cell r="S769" t="str">
            <v>2026A-02</v>
          </cell>
          <cell r="T769" t="str">
            <v>2025 Janitorial</v>
          </cell>
        </row>
        <row r="770">
          <cell r="K770">
            <v>-10085.9</v>
          </cell>
          <cell r="P770" t="str">
            <v>81123102-52041499</v>
          </cell>
          <cell r="S770" t="str">
            <v>2026A-02</v>
          </cell>
          <cell r="T770" t="str">
            <v>2025 Admin Staff</v>
          </cell>
        </row>
        <row r="771">
          <cell r="K771">
            <v>24707.39</v>
          </cell>
          <cell r="P771" t="str">
            <v>81123102-52041499</v>
          </cell>
          <cell r="S771" t="str">
            <v>2026A-02</v>
          </cell>
          <cell r="T771" t="str">
            <v>2025 Admin Staff</v>
          </cell>
        </row>
        <row r="772">
          <cell r="K772">
            <v>-7735.56</v>
          </cell>
          <cell r="P772" t="str">
            <v>81123102-52041499</v>
          </cell>
          <cell r="S772" t="str">
            <v>2026A-02</v>
          </cell>
          <cell r="T772" t="str">
            <v>2025 Admin Staff</v>
          </cell>
        </row>
        <row r="773">
          <cell r="K773">
            <v>182261.86</v>
          </cell>
          <cell r="P773" t="str">
            <v>81123102-52041405</v>
          </cell>
          <cell r="S773" t="str">
            <v>2026A-02</v>
          </cell>
          <cell r="T773" t="str">
            <v>Janitorial (SFI)</v>
          </cell>
        </row>
        <row r="774">
          <cell r="K774">
            <v>205446.96</v>
          </cell>
          <cell r="P774" t="str">
            <v>81123102-52041499</v>
          </cell>
          <cell r="S774" t="str">
            <v>2026A-02</v>
          </cell>
          <cell r="T774" t="str">
            <v>Admin Staff (SFI)</v>
          </cell>
        </row>
        <row r="775">
          <cell r="K775">
            <v>306026.69</v>
          </cell>
          <cell r="P775" t="str">
            <v>81111101-52041495</v>
          </cell>
          <cell r="S775" t="str">
            <v>2026A-02</v>
          </cell>
          <cell r="T775" t="str">
            <v>2025 BTs</v>
          </cell>
        </row>
        <row r="776">
          <cell r="K776">
            <v>6500</v>
          </cell>
          <cell r="P776" t="str">
            <v>90122101-52121502</v>
          </cell>
          <cell r="S776" t="str">
            <v>2026A-02</v>
          </cell>
          <cell r="T776" t="str">
            <v>Trainings</v>
          </cell>
        </row>
        <row r="777">
          <cell r="K777">
            <v>2967</v>
          </cell>
          <cell r="P777" t="str">
            <v>81122101-52121402</v>
          </cell>
          <cell r="S777" t="str">
            <v>2026A-02</v>
          </cell>
          <cell r="T777" t="str">
            <v>Clinic Supplies</v>
          </cell>
        </row>
        <row r="778">
          <cell r="K778">
            <v>12543.78</v>
          </cell>
          <cell r="P778" t="str">
            <v>80123102-61061104</v>
          </cell>
          <cell r="S778" t="str">
            <v>2026A-02</v>
          </cell>
          <cell r="T778" t="str">
            <v>R&amp;M - Subaru</v>
          </cell>
        </row>
        <row r="779">
          <cell r="K779">
            <v>8136.43</v>
          </cell>
          <cell r="P779" t="str">
            <v>80123102-61061104</v>
          </cell>
          <cell r="S779" t="str">
            <v>2026A-02</v>
          </cell>
          <cell r="T779" t="str">
            <v>R&amp;M - Subaru</v>
          </cell>
        </row>
        <row r="780">
          <cell r="K780">
            <v>-2589.3000000000002</v>
          </cell>
          <cell r="P780" t="str">
            <v>80123102-61061104</v>
          </cell>
          <cell r="S780" t="str">
            <v>2026A-02</v>
          </cell>
          <cell r="T780" t="str">
            <v>R&amp;M - Subaru</v>
          </cell>
        </row>
        <row r="781">
          <cell r="K781">
            <v>4320</v>
          </cell>
          <cell r="P781" t="str">
            <v>90111204-61091102</v>
          </cell>
          <cell r="S781" t="str">
            <v>2026A-02</v>
          </cell>
          <cell r="T781" t="str">
            <v>Meetings</v>
          </cell>
        </row>
        <row r="782">
          <cell r="K782">
            <v>1013</v>
          </cell>
          <cell r="P782" t="str">
            <v>81319101-52081101</v>
          </cell>
          <cell r="S782" t="str">
            <v>2026A-02</v>
          </cell>
          <cell r="T782" t="str">
            <v>RFID</v>
          </cell>
        </row>
        <row r="783">
          <cell r="K783">
            <v>1000</v>
          </cell>
          <cell r="P783" t="str">
            <v>81319101-52111101</v>
          </cell>
          <cell r="S783" t="str">
            <v>2026A-02</v>
          </cell>
          <cell r="T783" t="str">
            <v>GH</v>
          </cell>
        </row>
        <row r="784">
          <cell r="K784">
            <v>1000</v>
          </cell>
          <cell r="P784" t="str">
            <v>81319101-52111101</v>
          </cell>
          <cell r="S784" t="str">
            <v>2026A-02</v>
          </cell>
          <cell r="T784" t="str">
            <v>GH</v>
          </cell>
        </row>
        <row r="785">
          <cell r="K785">
            <v>1761</v>
          </cell>
          <cell r="P785" t="str">
            <v>81111204-52091102</v>
          </cell>
          <cell r="S785" t="str">
            <v>2026A-02</v>
          </cell>
          <cell r="T785" t="str">
            <v>Meetings</v>
          </cell>
        </row>
        <row r="786">
          <cell r="K786">
            <v>5000</v>
          </cell>
          <cell r="P786" t="str">
            <v>90122101-52121502</v>
          </cell>
          <cell r="S786" t="str">
            <v>2026A-02</v>
          </cell>
          <cell r="T786" t="str">
            <v>Trainings</v>
          </cell>
        </row>
        <row r="787">
          <cell r="K787">
            <v>135192</v>
          </cell>
          <cell r="P787" t="str">
            <v>80124101-61711102</v>
          </cell>
          <cell r="S787" t="str">
            <v>2026A-02</v>
          </cell>
          <cell r="T787" t="str">
            <v>Adobe Creative Cloud Pro</v>
          </cell>
        </row>
        <row r="788">
          <cell r="K788">
            <v>3463.93</v>
          </cell>
          <cell r="P788" t="str">
            <v>80111204-61091102</v>
          </cell>
          <cell r="S788" t="str">
            <v>2026A-02</v>
          </cell>
          <cell r="T788" t="str">
            <v>Meetings</v>
          </cell>
        </row>
        <row r="789">
          <cell r="K789">
            <v>1245.6600000000001</v>
          </cell>
          <cell r="P789" t="str">
            <v>80314101-61731103</v>
          </cell>
          <cell r="S789" t="str">
            <v>2026A-02</v>
          </cell>
          <cell r="T789" t="str">
            <v>Meta</v>
          </cell>
        </row>
        <row r="790">
          <cell r="K790">
            <v>6969</v>
          </cell>
          <cell r="P790" t="str">
            <v>80314101-61731103</v>
          </cell>
          <cell r="S790" t="str">
            <v>2026A-02</v>
          </cell>
          <cell r="T790" t="str">
            <v>Canva</v>
          </cell>
        </row>
        <row r="791">
          <cell r="K791">
            <v>6393.4</v>
          </cell>
          <cell r="P791" t="str">
            <v>80124101-61711102</v>
          </cell>
          <cell r="S791" t="str">
            <v>2026A-02</v>
          </cell>
          <cell r="T791" t="str">
            <v>AI Copilot</v>
          </cell>
        </row>
        <row r="792">
          <cell r="K792">
            <v>2132.0700000000002</v>
          </cell>
          <cell r="P792" t="str">
            <v>80124101-61711102</v>
          </cell>
          <cell r="S792" t="str">
            <v>2026A-02</v>
          </cell>
          <cell r="T792" t="str">
            <v>Microsoft Planner</v>
          </cell>
        </row>
        <row r="793">
          <cell r="K793">
            <v>2677.68</v>
          </cell>
          <cell r="P793" t="str">
            <v>80124101-61711102</v>
          </cell>
          <cell r="S793" t="str">
            <v>2026A-02</v>
          </cell>
          <cell r="T793" t="str">
            <v>Zoom</v>
          </cell>
        </row>
        <row r="794">
          <cell r="K794">
            <v>5451.89</v>
          </cell>
          <cell r="P794" t="str">
            <v>80124101-61711102</v>
          </cell>
          <cell r="S794" t="str">
            <v>2026A-02</v>
          </cell>
          <cell r="T794" t="str">
            <v>Power Apps</v>
          </cell>
        </row>
        <row r="795">
          <cell r="K795">
            <v>35741.910000000003</v>
          </cell>
          <cell r="P795" t="str">
            <v>80124101-61711102</v>
          </cell>
          <cell r="S795" t="str">
            <v>2026A-02</v>
          </cell>
          <cell r="T795" t="str">
            <v>AI Builder</v>
          </cell>
        </row>
        <row r="796">
          <cell r="K796">
            <v>2870.73</v>
          </cell>
          <cell r="P796" t="str">
            <v>80124101-61711102</v>
          </cell>
          <cell r="S796" t="str">
            <v>2026A-02</v>
          </cell>
          <cell r="T796" t="str">
            <v>Power Apps</v>
          </cell>
        </row>
        <row r="797">
          <cell r="K797">
            <v>1077.55</v>
          </cell>
          <cell r="P797" t="str">
            <v>80124101-61711102</v>
          </cell>
          <cell r="S797" t="str">
            <v>2026A-02</v>
          </cell>
          <cell r="T797" t="str">
            <v>Power Apps</v>
          </cell>
        </row>
        <row r="798">
          <cell r="K798">
            <v>732.28</v>
          </cell>
          <cell r="P798" t="str">
            <v>80124101-61711102</v>
          </cell>
          <cell r="S798" t="str">
            <v>2026A-02</v>
          </cell>
          <cell r="T798" t="str">
            <v>Github</v>
          </cell>
        </row>
        <row r="799">
          <cell r="K799">
            <v>141610.01999999999</v>
          </cell>
          <cell r="P799" t="str">
            <v>80124101-61711102</v>
          </cell>
          <cell r="S799" t="str">
            <v>2026A-02</v>
          </cell>
          <cell r="T799" t="str">
            <v>AWS</v>
          </cell>
        </row>
        <row r="800">
          <cell r="K800">
            <v>8852.61</v>
          </cell>
          <cell r="P800" t="str">
            <v>81124101-52952103</v>
          </cell>
          <cell r="S800" t="str">
            <v>2026A-02</v>
          </cell>
          <cell r="T800" t="str">
            <v>Google Workspace</v>
          </cell>
        </row>
        <row r="801">
          <cell r="K801">
            <v>14558.28</v>
          </cell>
          <cell r="P801" t="str">
            <v>81124101-52952103</v>
          </cell>
          <cell r="S801" t="str">
            <v>2026A-02</v>
          </cell>
          <cell r="T801" t="str">
            <v>AI Chatgpt</v>
          </cell>
        </row>
        <row r="802">
          <cell r="K802">
            <v>73684.22</v>
          </cell>
          <cell r="P802" t="str">
            <v>90122101-52071104</v>
          </cell>
          <cell r="S802" t="str">
            <v>2026A-02</v>
          </cell>
          <cell r="T802" t="str">
            <v>HRIS Tirso</v>
          </cell>
        </row>
        <row r="803">
          <cell r="K803">
            <v>-54166.67</v>
          </cell>
          <cell r="P803" t="str">
            <v>90111101-52071199</v>
          </cell>
          <cell r="S803" t="str">
            <v>2026A-02</v>
          </cell>
          <cell r="T803" t="str">
            <v>Lacson</v>
          </cell>
        </row>
        <row r="804">
          <cell r="K804">
            <v>-7421.87</v>
          </cell>
          <cell r="P804" t="str">
            <v>90111101-52071199</v>
          </cell>
          <cell r="S804" t="str">
            <v>2026A-02</v>
          </cell>
          <cell r="T804" t="str">
            <v>Lacson</v>
          </cell>
        </row>
        <row r="805">
          <cell r="K805">
            <v>-487500</v>
          </cell>
          <cell r="P805" t="str">
            <v>90111101-52121303</v>
          </cell>
          <cell r="S805" t="str">
            <v>2026A-02</v>
          </cell>
          <cell r="T805" t="str">
            <v>HMO</v>
          </cell>
        </row>
        <row r="806">
          <cell r="K806">
            <v>-148437.5</v>
          </cell>
          <cell r="P806" t="str">
            <v>90111101-52121303</v>
          </cell>
          <cell r="S806" t="str">
            <v>2026A-02</v>
          </cell>
          <cell r="T806" t="str">
            <v>HMO</v>
          </cell>
        </row>
        <row r="807">
          <cell r="K807">
            <v>-224339.20000000001</v>
          </cell>
          <cell r="P807" t="str">
            <v>90111101-52121303</v>
          </cell>
          <cell r="S807" t="str">
            <v>2026A-02</v>
          </cell>
          <cell r="T807" t="str">
            <v>HMO</v>
          </cell>
        </row>
        <row r="808">
          <cell r="K808">
            <v>-75334.399999999994</v>
          </cell>
          <cell r="P808" t="str">
            <v>80123102-61101104</v>
          </cell>
          <cell r="S808" t="str">
            <v>2026A-02</v>
          </cell>
          <cell r="T808" t="str">
            <v>Insurance Vehicle</v>
          </cell>
        </row>
        <row r="809">
          <cell r="K809">
            <v>-48012.45</v>
          </cell>
          <cell r="P809" t="str">
            <v>80123102-61111201</v>
          </cell>
          <cell r="S809" t="str">
            <v>2026A-02</v>
          </cell>
          <cell r="T809" t="str">
            <v>Shell</v>
          </cell>
        </row>
        <row r="810">
          <cell r="K810">
            <v>-138149.38</v>
          </cell>
          <cell r="P810" t="str">
            <v>80111101-61021303</v>
          </cell>
          <cell r="S810" t="str">
            <v>2026A-02</v>
          </cell>
          <cell r="T810" t="str">
            <v>HMO</v>
          </cell>
        </row>
        <row r="811">
          <cell r="K811">
            <v>-48986.49</v>
          </cell>
          <cell r="P811" t="str">
            <v>80123102-61721101</v>
          </cell>
          <cell r="S811" t="str">
            <v>2026A-02</v>
          </cell>
          <cell r="T811" t="str">
            <v>Mobile Phones</v>
          </cell>
        </row>
        <row r="812">
          <cell r="K812">
            <v>-427336.76</v>
          </cell>
          <cell r="P812" t="str">
            <v>80124101-61711102</v>
          </cell>
          <cell r="S812" t="str">
            <v>2026A-02</v>
          </cell>
          <cell r="T812" t="str">
            <v>SAP</v>
          </cell>
        </row>
        <row r="813">
          <cell r="K813">
            <v>-41530</v>
          </cell>
          <cell r="P813" t="str">
            <v>80124101-61721105</v>
          </cell>
          <cell r="S813" t="str">
            <v>2026A-02</v>
          </cell>
          <cell r="T813" t="str">
            <v>Innove - SC1</v>
          </cell>
        </row>
        <row r="814">
          <cell r="K814">
            <v>-115000</v>
          </cell>
          <cell r="P814" t="str">
            <v>80124101-61721105</v>
          </cell>
          <cell r="S814" t="str">
            <v>2026A-02</v>
          </cell>
          <cell r="T814" t="str">
            <v>Innove - HQ</v>
          </cell>
        </row>
        <row r="815">
          <cell r="K815">
            <v>-20000</v>
          </cell>
          <cell r="P815" t="str">
            <v>80123101-61071005</v>
          </cell>
          <cell r="S815" t="str">
            <v>2026A-02</v>
          </cell>
          <cell r="T815" t="str">
            <v>Angara</v>
          </cell>
        </row>
        <row r="816">
          <cell r="K816">
            <v>-20000</v>
          </cell>
          <cell r="P816" t="str">
            <v>80123101-61071005</v>
          </cell>
          <cell r="S816" t="str">
            <v>2026A-02</v>
          </cell>
          <cell r="T816" t="str">
            <v>Angara</v>
          </cell>
        </row>
        <row r="817">
          <cell r="K817">
            <v>-10000</v>
          </cell>
          <cell r="P817" t="str">
            <v>80123101-61071005</v>
          </cell>
          <cell r="S817" t="str">
            <v>2026A-02</v>
          </cell>
          <cell r="T817" t="str">
            <v>Angara</v>
          </cell>
        </row>
        <row r="818">
          <cell r="K818">
            <v>7399.88</v>
          </cell>
          <cell r="P818" t="str">
            <v>80123102-61061104</v>
          </cell>
          <cell r="S818" t="str">
            <v>2026A-02</v>
          </cell>
          <cell r="T818" t="str">
            <v>R&amp;M - Honda HR</v>
          </cell>
        </row>
        <row r="819">
          <cell r="K819">
            <v>6450</v>
          </cell>
          <cell r="P819" t="str">
            <v>81319101-52061105</v>
          </cell>
          <cell r="S819" t="str">
            <v>2026A-02</v>
          </cell>
          <cell r="T819" t="str">
            <v>R&amp;M - GH</v>
          </cell>
        </row>
        <row r="820">
          <cell r="K820">
            <v>41530</v>
          </cell>
          <cell r="P820" t="str">
            <v>80124101-61721105</v>
          </cell>
          <cell r="S820" t="str">
            <v>2026A-02</v>
          </cell>
          <cell r="T820" t="str">
            <v>Innove - SC1</v>
          </cell>
        </row>
        <row r="821">
          <cell r="K821">
            <v>115000</v>
          </cell>
          <cell r="P821" t="str">
            <v>80124101-61721105</v>
          </cell>
          <cell r="S821" t="str">
            <v>2026A-02</v>
          </cell>
          <cell r="T821" t="str">
            <v>Innove - HQ</v>
          </cell>
        </row>
        <row r="822">
          <cell r="K822">
            <v>34149.35</v>
          </cell>
          <cell r="P822" t="str">
            <v>80123102-61111201</v>
          </cell>
          <cell r="S822" t="str">
            <v>2026A-02</v>
          </cell>
          <cell r="T822" t="str">
            <v>Shell</v>
          </cell>
        </row>
        <row r="823">
          <cell r="K823">
            <v>4763.75</v>
          </cell>
          <cell r="P823" t="str">
            <v>80123102-61111201</v>
          </cell>
          <cell r="S823" t="str">
            <v>2026A-02</v>
          </cell>
          <cell r="T823" t="str">
            <v>Shell</v>
          </cell>
        </row>
        <row r="824">
          <cell r="K824">
            <v>12817.72</v>
          </cell>
          <cell r="P824" t="str">
            <v>80123102-61111201</v>
          </cell>
          <cell r="S824" t="str">
            <v>2026A-02</v>
          </cell>
          <cell r="T824" t="str">
            <v>Shell</v>
          </cell>
        </row>
        <row r="825">
          <cell r="K825">
            <v>10779.89</v>
          </cell>
          <cell r="P825" t="str">
            <v>80123102-61111201</v>
          </cell>
          <cell r="S825" t="str">
            <v>2026A-02</v>
          </cell>
          <cell r="T825" t="str">
            <v>Shell</v>
          </cell>
        </row>
        <row r="826">
          <cell r="K826">
            <v>267.86</v>
          </cell>
          <cell r="P826" t="str">
            <v>80123102-61111201</v>
          </cell>
          <cell r="S826" t="str">
            <v>2026A-02</v>
          </cell>
          <cell r="T826" t="str">
            <v>Shell</v>
          </cell>
        </row>
        <row r="827">
          <cell r="K827">
            <v>-380000</v>
          </cell>
          <cell r="P827" t="str">
            <v>81111101-52041495</v>
          </cell>
          <cell r="S827" t="str">
            <v>2026A-02</v>
          </cell>
          <cell r="T827" t="str">
            <v>BTs</v>
          </cell>
        </row>
        <row r="828">
          <cell r="K828">
            <v>-62400</v>
          </cell>
          <cell r="P828" t="str">
            <v>81111101-52041495</v>
          </cell>
          <cell r="S828" t="str">
            <v>2026A-02</v>
          </cell>
          <cell r="T828" t="str">
            <v>BTs</v>
          </cell>
        </row>
        <row r="829">
          <cell r="K829">
            <v>-210000</v>
          </cell>
          <cell r="P829" t="str">
            <v>81111101-52041499</v>
          </cell>
          <cell r="S829" t="str">
            <v>2026A-02</v>
          </cell>
          <cell r="T829" t="str">
            <v>Admin Staff (SFI)</v>
          </cell>
        </row>
        <row r="830">
          <cell r="K830">
            <v>-45000</v>
          </cell>
          <cell r="P830" t="str">
            <v>81111101-52041499</v>
          </cell>
          <cell r="S830" t="str">
            <v>2026A-02</v>
          </cell>
          <cell r="T830" t="str">
            <v>Admin Staff (H&amp;K)</v>
          </cell>
        </row>
        <row r="831">
          <cell r="K831">
            <v>-46000</v>
          </cell>
          <cell r="P831" t="str">
            <v>81111101-52041499</v>
          </cell>
          <cell r="S831" t="str">
            <v>2026A-02</v>
          </cell>
          <cell r="T831" t="str">
            <v>Admin Staff (TAHj)</v>
          </cell>
        </row>
        <row r="832">
          <cell r="K832">
            <v>50000</v>
          </cell>
          <cell r="P832" t="str">
            <v>80124101-61721105</v>
          </cell>
          <cell r="S832" t="str">
            <v>2026A-02</v>
          </cell>
          <cell r="T832" t="str">
            <v>Fiber Internet - Mckinley</v>
          </cell>
        </row>
        <row r="833">
          <cell r="K833">
            <v>165000</v>
          </cell>
          <cell r="P833" t="str">
            <v>80124101-61721105</v>
          </cell>
          <cell r="S833" t="str">
            <v>2026A-02</v>
          </cell>
          <cell r="T833" t="str">
            <v>Fiber Internet - HQ</v>
          </cell>
        </row>
        <row r="834">
          <cell r="K834">
            <v>45000</v>
          </cell>
          <cell r="P834" t="str">
            <v>80124101-61721105</v>
          </cell>
          <cell r="S834" t="str">
            <v>2026A-02</v>
          </cell>
          <cell r="T834" t="str">
            <v>Fiber Internet - ES</v>
          </cell>
        </row>
        <row r="835">
          <cell r="K835">
            <v>53022</v>
          </cell>
          <cell r="P835" t="str">
            <v>80124101-61721105</v>
          </cell>
          <cell r="S835" t="str">
            <v>2026A-02</v>
          </cell>
          <cell r="T835" t="str">
            <v>Fiber Internet - CV</v>
          </cell>
        </row>
        <row r="836">
          <cell r="K836">
            <v>1000</v>
          </cell>
          <cell r="P836" t="str">
            <v>81122101-52121402</v>
          </cell>
          <cell r="S836" t="str">
            <v>2026A-02</v>
          </cell>
          <cell r="T836" t="str">
            <v>Monthly Merienda</v>
          </cell>
        </row>
        <row r="837">
          <cell r="K837">
            <v>5835</v>
          </cell>
          <cell r="P837" t="str">
            <v>90123101-61071002</v>
          </cell>
          <cell r="S837" t="str">
            <v>2026A-02</v>
          </cell>
          <cell r="T837" t="str">
            <v>Opex</v>
          </cell>
        </row>
        <row r="838">
          <cell r="K838">
            <v>2500</v>
          </cell>
          <cell r="P838" t="str">
            <v>90123101-61071002</v>
          </cell>
          <cell r="S838" t="str">
            <v>2026A-02</v>
          </cell>
          <cell r="T838" t="str">
            <v>Notarial Fees</v>
          </cell>
        </row>
        <row r="839">
          <cell r="K839">
            <v>310</v>
          </cell>
          <cell r="P839" t="str">
            <v>90123101-61071002</v>
          </cell>
          <cell r="S839" t="str">
            <v>2026A-02</v>
          </cell>
          <cell r="T839" t="str">
            <v>Opex</v>
          </cell>
        </row>
        <row r="840">
          <cell r="K840">
            <v>500</v>
          </cell>
          <cell r="P840" t="str">
            <v>90123101-61071002</v>
          </cell>
          <cell r="S840" t="str">
            <v>2026A-02</v>
          </cell>
          <cell r="T840" t="str">
            <v>Opex</v>
          </cell>
        </row>
        <row r="841">
          <cell r="K841">
            <v>2000</v>
          </cell>
          <cell r="P841" t="str">
            <v>90123101-61071002</v>
          </cell>
          <cell r="S841" t="str">
            <v>2026A-02</v>
          </cell>
          <cell r="T841" t="str">
            <v>Opex</v>
          </cell>
        </row>
        <row r="842">
          <cell r="K842">
            <v>375000</v>
          </cell>
          <cell r="P842" t="str">
            <v>80314101-61731103</v>
          </cell>
          <cell r="S842" t="str">
            <v>2026A-02</v>
          </cell>
          <cell r="T842" t="str">
            <v>95th Campaign</v>
          </cell>
        </row>
        <row r="843">
          <cell r="K843">
            <v>-43498.720000000001</v>
          </cell>
          <cell r="P843" t="str">
            <v>81319101-52041401</v>
          </cell>
          <cell r="S843" t="str">
            <v>2026A-02</v>
          </cell>
          <cell r="T843" t="str">
            <v>GH</v>
          </cell>
        </row>
        <row r="844">
          <cell r="K844">
            <v>-89197.61</v>
          </cell>
          <cell r="P844" t="str">
            <v>81319101-52041401</v>
          </cell>
          <cell r="S844" t="str">
            <v>2026A-02</v>
          </cell>
          <cell r="T844" t="str">
            <v>GH</v>
          </cell>
        </row>
        <row r="845">
          <cell r="K845">
            <v>-9743.2800000000007</v>
          </cell>
          <cell r="P845" t="str">
            <v>81319101-52041401</v>
          </cell>
          <cell r="S845" t="str">
            <v>2026A-02</v>
          </cell>
          <cell r="T845" t="str">
            <v>GH</v>
          </cell>
        </row>
        <row r="846">
          <cell r="K846">
            <v>-19979.39</v>
          </cell>
          <cell r="P846" t="str">
            <v>81319101-52041401</v>
          </cell>
          <cell r="S846" t="str">
            <v>2026A-02</v>
          </cell>
          <cell r="T846" t="str">
            <v>GH</v>
          </cell>
        </row>
        <row r="847">
          <cell r="K847">
            <v>43498.720000000001</v>
          </cell>
          <cell r="P847" t="str">
            <v>81319101-52041401</v>
          </cell>
          <cell r="S847" t="str">
            <v>2026A-02</v>
          </cell>
          <cell r="T847" t="str">
            <v>GH</v>
          </cell>
        </row>
        <row r="848">
          <cell r="K848">
            <v>89197.61</v>
          </cell>
          <cell r="P848" t="str">
            <v>81319101-52041401</v>
          </cell>
          <cell r="S848" t="str">
            <v>2026A-02</v>
          </cell>
          <cell r="T848" t="str">
            <v>GH</v>
          </cell>
        </row>
        <row r="849">
          <cell r="K849">
            <v>9743.2800000000007</v>
          </cell>
          <cell r="P849" t="str">
            <v>81319101-52041401</v>
          </cell>
          <cell r="S849" t="str">
            <v>2026A-02</v>
          </cell>
          <cell r="T849" t="str">
            <v>GH</v>
          </cell>
        </row>
        <row r="850">
          <cell r="K850">
            <v>19979.39</v>
          </cell>
          <cell r="P850" t="str">
            <v>81319101-52041401</v>
          </cell>
          <cell r="S850" t="str">
            <v>2026A-02</v>
          </cell>
          <cell r="T850" t="str">
            <v>GH</v>
          </cell>
        </row>
        <row r="851">
          <cell r="K851">
            <v>22691.97</v>
          </cell>
          <cell r="P851" t="str">
            <v>81319101-52041499</v>
          </cell>
          <cell r="S851" t="str">
            <v>2026A-02</v>
          </cell>
          <cell r="T851" t="str">
            <v>GH</v>
          </cell>
        </row>
        <row r="852">
          <cell r="K852">
            <v>100</v>
          </cell>
          <cell r="P852" t="str">
            <v>81319101-52111101</v>
          </cell>
          <cell r="S852" t="str">
            <v>2026A-02</v>
          </cell>
          <cell r="T852" t="str">
            <v>GH</v>
          </cell>
        </row>
        <row r="853">
          <cell r="K853">
            <v>43498.720000000001</v>
          </cell>
          <cell r="P853" t="str">
            <v>81319101-52041401</v>
          </cell>
          <cell r="S853" t="str">
            <v>2026A-02</v>
          </cell>
          <cell r="T853" t="str">
            <v>GH</v>
          </cell>
        </row>
        <row r="854">
          <cell r="K854">
            <v>89197.61</v>
          </cell>
          <cell r="P854" t="str">
            <v>81319101-52041401</v>
          </cell>
          <cell r="S854" t="str">
            <v>2026A-02</v>
          </cell>
          <cell r="T854" t="str">
            <v>GH</v>
          </cell>
        </row>
        <row r="855">
          <cell r="K855">
            <v>8699.36</v>
          </cell>
          <cell r="P855" t="str">
            <v>81319101-52041401</v>
          </cell>
          <cell r="S855" t="str">
            <v>2026A-02</v>
          </cell>
          <cell r="T855" t="str">
            <v>GH</v>
          </cell>
        </row>
        <row r="856">
          <cell r="K856">
            <v>17838.740000000002</v>
          </cell>
          <cell r="P856" t="str">
            <v>81319101-52041401</v>
          </cell>
          <cell r="S856" t="str">
            <v>2026A-02</v>
          </cell>
          <cell r="T856" t="str">
            <v>GH</v>
          </cell>
        </row>
        <row r="857">
          <cell r="K857">
            <v>10000</v>
          </cell>
          <cell r="P857" t="str">
            <v>80123101-61071005</v>
          </cell>
          <cell r="S857" t="str">
            <v>2026A-02</v>
          </cell>
          <cell r="T857" t="str">
            <v>Sycip</v>
          </cell>
        </row>
        <row r="858">
          <cell r="K858">
            <v>58946.559999999998</v>
          </cell>
          <cell r="P858" t="str">
            <v>81122101-52071104</v>
          </cell>
          <cell r="S858" t="str">
            <v>2026A-02</v>
          </cell>
          <cell r="T858" t="str">
            <v>Security Consultant</v>
          </cell>
        </row>
        <row r="859">
          <cell r="K859">
            <v>47.14</v>
          </cell>
          <cell r="P859" t="str">
            <v>81319101-52111101</v>
          </cell>
          <cell r="S859" t="str">
            <v>2026A-02</v>
          </cell>
          <cell r="T859" t="str">
            <v>TS</v>
          </cell>
        </row>
        <row r="860">
          <cell r="K860">
            <v>47.14</v>
          </cell>
          <cell r="P860" t="str">
            <v>81319101-52111101</v>
          </cell>
          <cell r="S860" t="str">
            <v>2026A-02</v>
          </cell>
          <cell r="T860" t="str">
            <v>TS</v>
          </cell>
        </row>
        <row r="861">
          <cell r="K861">
            <v>83.57</v>
          </cell>
          <cell r="P861" t="str">
            <v>81319101-52111101</v>
          </cell>
          <cell r="S861" t="str">
            <v>2026A-02</v>
          </cell>
          <cell r="T861" t="str">
            <v>TS</v>
          </cell>
        </row>
        <row r="862">
          <cell r="K862">
            <v>147.32</v>
          </cell>
          <cell r="P862" t="str">
            <v>81319101-52111101</v>
          </cell>
          <cell r="S862" t="str">
            <v>2026A-02</v>
          </cell>
          <cell r="T862" t="str">
            <v>TS</v>
          </cell>
        </row>
        <row r="863">
          <cell r="K863">
            <v>308.04000000000002</v>
          </cell>
          <cell r="P863" t="str">
            <v>81319101-52111101</v>
          </cell>
          <cell r="S863" t="str">
            <v>2026A-02</v>
          </cell>
          <cell r="T863" t="str">
            <v>TS</v>
          </cell>
        </row>
        <row r="864">
          <cell r="K864">
            <v>308.04000000000002</v>
          </cell>
          <cell r="P864" t="str">
            <v>81319101-52111101</v>
          </cell>
          <cell r="S864" t="str">
            <v>2026A-02</v>
          </cell>
          <cell r="T864" t="str">
            <v>TS</v>
          </cell>
        </row>
        <row r="865">
          <cell r="K865">
            <v>50.89</v>
          </cell>
          <cell r="P865" t="str">
            <v>81319101-52111101</v>
          </cell>
          <cell r="S865" t="str">
            <v>2026A-02</v>
          </cell>
          <cell r="T865" t="str">
            <v>TS</v>
          </cell>
        </row>
        <row r="866">
          <cell r="K866">
            <v>93.75</v>
          </cell>
          <cell r="P866" t="str">
            <v>81319101-52111101</v>
          </cell>
          <cell r="S866" t="str">
            <v>2026A-02</v>
          </cell>
          <cell r="T866" t="str">
            <v>TS</v>
          </cell>
        </row>
        <row r="867">
          <cell r="K867">
            <v>88.39</v>
          </cell>
          <cell r="P867" t="str">
            <v>81319101-52111101</v>
          </cell>
          <cell r="S867" t="str">
            <v>2026A-02</v>
          </cell>
          <cell r="T867" t="str">
            <v>TS</v>
          </cell>
        </row>
        <row r="868">
          <cell r="K868">
            <v>464.29</v>
          </cell>
          <cell r="P868" t="str">
            <v>81319101-52111101</v>
          </cell>
          <cell r="S868" t="str">
            <v>2026A-02</v>
          </cell>
          <cell r="T868" t="str">
            <v>TS</v>
          </cell>
        </row>
        <row r="869">
          <cell r="K869">
            <v>160.71</v>
          </cell>
          <cell r="P869" t="str">
            <v>81319101-52111101</v>
          </cell>
          <cell r="S869" t="str">
            <v>2026A-02</v>
          </cell>
          <cell r="T869" t="str">
            <v>TS</v>
          </cell>
        </row>
        <row r="870">
          <cell r="K870">
            <v>64.290000000000006</v>
          </cell>
          <cell r="P870" t="str">
            <v>81319101-52111101</v>
          </cell>
          <cell r="S870" t="str">
            <v>2026A-02</v>
          </cell>
          <cell r="T870" t="str">
            <v>TS</v>
          </cell>
        </row>
        <row r="871">
          <cell r="K871">
            <v>196.43</v>
          </cell>
          <cell r="P871" t="str">
            <v>81319101-52111101</v>
          </cell>
          <cell r="S871" t="str">
            <v>2026A-02</v>
          </cell>
          <cell r="T871" t="str">
            <v>TS</v>
          </cell>
        </row>
        <row r="872">
          <cell r="K872">
            <v>207.81</v>
          </cell>
          <cell r="P872" t="str">
            <v>81319101-52111101</v>
          </cell>
          <cell r="S872" t="str">
            <v>2026A-02</v>
          </cell>
          <cell r="T872" t="str">
            <v>TS</v>
          </cell>
        </row>
        <row r="873">
          <cell r="K873">
            <v>207.81</v>
          </cell>
          <cell r="P873" t="str">
            <v>81319101-52111101</v>
          </cell>
          <cell r="S873" t="str">
            <v>2026A-02</v>
          </cell>
          <cell r="T873" t="str">
            <v>TS</v>
          </cell>
        </row>
        <row r="874">
          <cell r="K874">
            <v>178.57</v>
          </cell>
          <cell r="P874" t="str">
            <v>81319101-52111101</v>
          </cell>
          <cell r="S874" t="str">
            <v>2026A-02</v>
          </cell>
          <cell r="T874" t="str">
            <v>TS</v>
          </cell>
        </row>
        <row r="875">
          <cell r="K875">
            <v>53.57</v>
          </cell>
          <cell r="P875" t="str">
            <v>81319101-52111101</v>
          </cell>
          <cell r="S875" t="str">
            <v>2026A-02</v>
          </cell>
          <cell r="T875" t="str">
            <v>TS</v>
          </cell>
        </row>
        <row r="876">
          <cell r="K876">
            <v>28.57</v>
          </cell>
          <cell r="P876" t="str">
            <v>81319101-52111101</v>
          </cell>
          <cell r="S876" t="str">
            <v>2026A-02</v>
          </cell>
          <cell r="T876" t="str">
            <v>TS</v>
          </cell>
        </row>
        <row r="877">
          <cell r="K877">
            <v>178.57</v>
          </cell>
          <cell r="P877" t="str">
            <v>81319101-52111101</v>
          </cell>
          <cell r="S877" t="str">
            <v>2026A-02</v>
          </cell>
          <cell r="T877" t="str">
            <v>GH</v>
          </cell>
        </row>
        <row r="878">
          <cell r="K878">
            <v>178.57</v>
          </cell>
          <cell r="P878" t="str">
            <v>81319101-52111101</v>
          </cell>
          <cell r="S878" t="str">
            <v>2026A-02</v>
          </cell>
          <cell r="T878" t="str">
            <v>GH</v>
          </cell>
        </row>
        <row r="879">
          <cell r="K879">
            <v>178.57</v>
          </cell>
          <cell r="P879" t="str">
            <v>81319101-52111101</v>
          </cell>
          <cell r="S879" t="str">
            <v>2026A-02</v>
          </cell>
          <cell r="T879" t="str">
            <v>GH</v>
          </cell>
        </row>
        <row r="880">
          <cell r="K880">
            <v>763.39</v>
          </cell>
          <cell r="P880" t="str">
            <v>81319101-52111101</v>
          </cell>
          <cell r="S880" t="str">
            <v>2026A-02</v>
          </cell>
          <cell r="T880" t="str">
            <v>TS</v>
          </cell>
        </row>
        <row r="881">
          <cell r="K881">
            <v>2660.71</v>
          </cell>
          <cell r="P881" t="str">
            <v>81319101-52111101</v>
          </cell>
          <cell r="S881" t="str">
            <v>2026A-02</v>
          </cell>
          <cell r="T881" t="str">
            <v>TS</v>
          </cell>
        </row>
        <row r="882">
          <cell r="K882">
            <v>2500</v>
          </cell>
          <cell r="P882" t="str">
            <v>81319101-52111101</v>
          </cell>
          <cell r="S882" t="str">
            <v>2026A-02</v>
          </cell>
          <cell r="T882" t="str">
            <v>TS</v>
          </cell>
        </row>
        <row r="883">
          <cell r="K883">
            <v>2142.86</v>
          </cell>
          <cell r="P883" t="str">
            <v>81319101-52111101</v>
          </cell>
          <cell r="S883" t="str">
            <v>2026A-02</v>
          </cell>
          <cell r="T883" t="str">
            <v>ES</v>
          </cell>
        </row>
        <row r="884">
          <cell r="K884">
            <v>315846.84999999998</v>
          </cell>
          <cell r="P884" t="str">
            <v>90122101-52071104</v>
          </cell>
          <cell r="S884" t="str">
            <v>2026A-02</v>
          </cell>
          <cell r="T884" t="str">
            <v>PSPI 2025</v>
          </cell>
        </row>
        <row r="885">
          <cell r="K885">
            <v>12000</v>
          </cell>
          <cell r="P885" t="str">
            <v>90122101-52071104</v>
          </cell>
          <cell r="S885" t="str">
            <v>2026A-02</v>
          </cell>
          <cell r="T885" t="str">
            <v>PSPI</v>
          </cell>
        </row>
        <row r="886">
          <cell r="K886">
            <v>-70971.11</v>
          </cell>
          <cell r="P886" t="str">
            <v>80123102-61101104</v>
          </cell>
          <cell r="S886" t="str">
            <v>2026A-02</v>
          </cell>
          <cell r="T886" t="str">
            <v>Insurance Vehicle</v>
          </cell>
        </row>
        <row r="887">
          <cell r="K887">
            <v>0.01</v>
          </cell>
          <cell r="P887" t="str">
            <v>80349101-61959994</v>
          </cell>
          <cell r="S887" t="str">
            <v>2026A-02</v>
          </cell>
          <cell r="T887" t="str">
            <v>CV Village</v>
          </cell>
        </row>
        <row r="888">
          <cell r="K888">
            <v>89197.61</v>
          </cell>
          <cell r="P888" t="str">
            <v>81319101-52041401</v>
          </cell>
          <cell r="S888" t="str">
            <v>2026A-02</v>
          </cell>
          <cell r="T888" t="str">
            <v>2025 Security</v>
          </cell>
        </row>
        <row r="889">
          <cell r="K889">
            <v>17838.740000000002</v>
          </cell>
          <cell r="P889" t="str">
            <v>81319101-52041401</v>
          </cell>
          <cell r="S889" t="str">
            <v>2026A-02</v>
          </cell>
          <cell r="T889" t="str">
            <v>2025 Security</v>
          </cell>
        </row>
        <row r="890">
          <cell r="K890">
            <v>89197.61</v>
          </cell>
          <cell r="P890" t="str">
            <v>81319101-52041401</v>
          </cell>
          <cell r="S890" t="str">
            <v>2026A-02</v>
          </cell>
          <cell r="T890" t="str">
            <v>2025 Security</v>
          </cell>
        </row>
        <row r="891">
          <cell r="K891">
            <v>17838.75</v>
          </cell>
          <cell r="P891" t="str">
            <v>81319101-52041401</v>
          </cell>
          <cell r="S891" t="str">
            <v>2026A-02</v>
          </cell>
          <cell r="T891" t="str">
            <v>2025 Security</v>
          </cell>
        </row>
        <row r="892">
          <cell r="K892">
            <v>19578.060000000001</v>
          </cell>
          <cell r="P892" t="str">
            <v>81319101-52041499</v>
          </cell>
          <cell r="S892" t="str">
            <v>2026A-02</v>
          </cell>
          <cell r="T892" t="str">
            <v>GH</v>
          </cell>
        </row>
        <row r="893">
          <cell r="K893">
            <v>103794.73</v>
          </cell>
          <cell r="P893" t="str">
            <v>81319101-52041405</v>
          </cell>
          <cell r="S893" t="str">
            <v>2026A-02</v>
          </cell>
          <cell r="T893" t="str">
            <v>GH</v>
          </cell>
        </row>
        <row r="894">
          <cell r="K894">
            <v>16921.400000000001</v>
          </cell>
          <cell r="P894" t="str">
            <v>81111101-52041495</v>
          </cell>
          <cell r="S894" t="str">
            <v>2026A-02</v>
          </cell>
          <cell r="T894" t="str">
            <v>2025 BTs</v>
          </cell>
        </row>
        <row r="895">
          <cell r="K895">
            <v>121822.96</v>
          </cell>
          <cell r="P895" t="str">
            <v>81111101-52041495</v>
          </cell>
          <cell r="S895" t="str">
            <v>2026A-02</v>
          </cell>
          <cell r="T895" t="str">
            <v>BTs</v>
          </cell>
        </row>
        <row r="896">
          <cell r="K896">
            <v>22090.58</v>
          </cell>
          <cell r="P896" t="str">
            <v>81319101-52041405</v>
          </cell>
          <cell r="S896" t="str">
            <v>2026A-02</v>
          </cell>
          <cell r="T896" t="str">
            <v>TS</v>
          </cell>
        </row>
        <row r="897">
          <cell r="K897">
            <v>534.82000000000005</v>
          </cell>
          <cell r="P897" t="str">
            <v>81123102-52951101</v>
          </cell>
          <cell r="S897" t="str">
            <v>2026A-02</v>
          </cell>
          <cell r="T897" t="str">
            <v>Mobile Phones</v>
          </cell>
        </row>
        <row r="898">
          <cell r="K898">
            <v>891.96</v>
          </cell>
          <cell r="P898" t="str">
            <v>81123102-52951101</v>
          </cell>
          <cell r="S898" t="str">
            <v>2026A-02</v>
          </cell>
          <cell r="T898" t="str">
            <v>Mobile Phones</v>
          </cell>
        </row>
        <row r="899">
          <cell r="K899">
            <v>534.82000000000005</v>
          </cell>
          <cell r="P899" t="str">
            <v>81123102-52951101</v>
          </cell>
          <cell r="S899" t="str">
            <v>2026A-02</v>
          </cell>
          <cell r="T899" t="str">
            <v>Mobile Phones</v>
          </cell>
        </row>
        <row r="900">
          <cell r="K900">
            <v>891.96</v>
          </cell>
          <cell r="P900" t="str">
            <v>81123102-52951101</v>
          </cell>
          <cell r="S900" t="str">
            <v>2026A-02</v>
          </cell>
          <cell r="T900" t="str">
            <v>Mobile Phones</v>
          </cell>
        </row>
        <row r="901">
          <cell r="K901">
            <v>713.39</v>
          </cell>
          <cell r="P901" t="str">
            <v>81123102-52951101</v>
          </cell>
          <cell r="S901" t="str">
            <v>2026A-02</v>
          </cell>
          <cell r="T901" t="str">
            <v>Mobile Phones</v>
          </cell>
        </row>
        <row r="902">
          <cell r="K902">
            <v>566.72</v>
          </cell>
          <cell r="P902" t="str">
            <v>81123102-52951101</v>
          </cell>
          <cell r="S902" t="str">
            <v>2026A-02</v>
          </cell>
          <cell r="T902" t="str">
            <v>Mobile Phones</v>
          </cell>
        </row>
        <row r="903">
          <cell r="K903">
            <v>713.39</v>
          </cell>
          <cell r="P903" t="str">
            <v>81123102-52951101</v>
          </cell>
          <cell r="S903" t="str">
            <v>2026A-02</v>
          </cell>
          <cell r="T903" t="str">
            <v>Mobile Phones</v>
          </cell>
        </row>
        <row r="904">
          <cell r="K904">
            <v>891.96</v>
          </cell>
          <cell r="P904" t="str">
            <v>81123102-52951101</v>
          </cell>
          <cell r="S904" t="str">
            <v>2026A-02</v>
          </cell>
          <cell r="T904" t="str">
            <v>Mobile Phones</v>
          </cell>
        </row>
        <row r="905">
          <cell r="K905">
            <v>713.39</v>
          </cell>
          <cell r="P905" t="str">
            <v>81123102-52951101</v>
          </cell>
          <cell r="S905" t="str">
            <v>2026A-02</v>
          </cell>
          <cell r="T905" t="str">
            <v>Mobile Phones</v>
          </cell>
        </row>
        <row r="906">
          <cell r="K906">
            <v>713.39</v>
          </cell>
          <cell r="P906" t="str">
            <v>81123102-52951101</v>
          </cell>
          <cell r="S906" t="str">
            <v>2026A-02</v>
          </cell>
          <cell r="T906" t="str">
            <v>Mobile Phones</v>
          </cell>
        </row>
        <row r="907">
          <cell r="K907">
            <v>1159.82</v>
          </cell>
          <cell r="P907" t="str">
            <v>81123102-52951101</v>
          </cell>
          <cell r="S907" t="str">
            <v>2026A-02</v>
          </cell>
          <cell r="T907" t="str">
            <v>Mobile Phones</v>
          </cell>
        </row>
        <row r="908">
          <cell r="K908">
            <v>1837.18</v>
          </cell>
          <cell r="P908" t="str">
            <v>81123102-52951101</v>
          </cell>
          <cell r="S908" t="str">
            <v>2026A-02</v>
          </cell>
          <cell r="T908" t="str">
            <v>Mobile Phones</v>
          </cell>
        </row>
        <row r="909">
          <cell r="K909">
            <v>891.96</v>
          </cell>
          <cell r="P909" t="str">
            <v>81123102-52951101</v>
          </cell>
          <cell r="S909" t="str">
            <v>2026A-02</v>
          </cell>
          <cell r="T909" t="str">
            <v>Mobile Phones</v>
          </cell>
        </row>
        <row r="910">
          <cell r="K910">
            <v>891.96</v>
          </cell>
          <cell r="P910" t="str">
            <v>81123102-52951101</v>
          </cell>
          <cell r="S910" t="str">
            <v>2026A-02</v>
          </cell>
          <cell r="T910" t="str">
            <v>Mobile Phones</v>
          </cell>
        </row>
        <row r="911">
          <cell r="K911">
            <v>572.02</v>
          </cell>
          <cell r="P911" t="str">
            <v>81123102-52951101</v>
          </cell>
          <cell r="S911" t="str">
            <v>2026A-02</v>
          </cell>
          <cell r="T911" t="str">
            <v>Mobile Phones</v>
          </cell>
        </row>
        <row r="912">
          <cell r="K912">
            <v>891.96</v>
          </cell>
          <cell r="P912" t="str">
            <v>81123102-52951101</v>
          </cell>
          <cell r="S912" t="str">
            <v>2026A-02</v>
          </cell>
          <cell r="T912" t="str">
            <v>Mobile Phones</v>
          </cell>
        </row>
        <row r="913">
          <cell r="K913">
            <v>891.96</v>
          </cell>
          <cell r="P913" t="str">
            <v>81123102-52951101</v>
          </cell>
          <cell r="S913" t="str">
            <v>2026A-02</v>
          </cell>
          <cell r="T913" t="str">
            <v>Mobile Phones</v>
          </cell>
        </row>
        <row r="914">
          <cell r="K914">
            <v>1159.82</v>
          </cell>
          <cell r="P914" t="str">
            <v>81123102-52951101</v>
          </cell>
          <cell r="S914" t="str">
            <v>2026A-02</v>
          </cell>
          <cell r="T914" t="str">
            <v>Mobile Phones</v>
          </cell>
        </row>
        <row r="915">
          <cell r="K915">
            <v>713.39</v>
          </cell>
          <cell r="P915" t="str">
            <v>81123102-52951101</v>
          </cell>
          <cell r="S915" t="str">
            <v>2026A-02</v>
          </cell>
          <cell r="T915" t="str">
            <v>Mobile Phones</v>
          </cell>
        </row>
        <row r="916">
          <cell r="K916">
            <v>713.39</v>
          </cell>
          <cell r="P916" t="str">
            <v>81123102-52951101</v>
          </cell>
          <cell r="S916" t="str">
            <v>2026A-02</v>
          </cell>
          <cell r="T916" t="str">
            <v>Mobile Phones</v>
          </cell>
        </row>
        <row r="917">
          <cell r="K917">
            <v>713.39</v>
          </cell>
          <cell r="P917" t="str">
            <v>81123102-52951101</v>
          </cell>
          <cell r="S917" t="str">
            <v>2026A-02</v>
          </cell>
          <cell r="T917" t="str">
            <v>Mobile Phones</v>
          </cell>
        </row>
        <row r="918">
          <cell r="K918">
            <v>534.82000000000005</v>
          </cell>
          <cell r="P918" t="str">
            <v>81123102-52951101</v>
          </cell>
          <cell r="S918" t="str">
            <v>2026A-02</v>
          </cell>
          <cell r="T918" t="str">
            <v>Mobile Phones</v>
          </cell>
        </row>
        <row r="919">
          <cell r="K919">
            <v>713.39</v>
          </cell>
          <cell r="P919" t="str">
            <v>81123102-52951101</v>
          </cell>
          <cell r="S919" t="str">
            <v>2026A-02</v>
          </cell>
          <cell r="T919" t="str">
            <v>Mobile Phones</v>
          </cell>
        </row>
        <row r="920">
          <cell r="K920">
            <v>1619.76</v>
          </cell>
          <cell r="P920" t="str">
            <v>81123102-52951101</v>
          </cell>
          <cell r="S920" t="str">
            <v>2026A-02</v>
          </cell>
          <cell r="T920" t="str">
            <v>Mobile Phones</v>
          </cell>
        </row>
        <row r="921">
          <cell r="K921">
            <v>431.59</v>
          </cell>
          <cell r="P921" t="str">
            <v>81123102-52951101</v>
          </cell>
          <cell r="S921" t="str">
            <v>2026A-02</v>
          </cell>
          <cell r="T921" t="str">
            <v>Mobile Phones</v>
          </cell>
        </row>
        <row r="922">
          <cell r="K922">
            <v>1159.82</v>
          </cell>
          <cell r="P922" t="str">
            <v>81123102-52951101</v>
          </cell>
          <cell r="S922" t="str">
            <v>2026A-02</v>
          </cell>
          <cell r="T922" t="str">
            <v>Mobile Phones</v>
          </cell>
        </row>
        <row r="923">
          <cell r="K923">
            <v>713.39</v>
          </cell>
          <cell r="P923" t="str">
            <v>81123102-52951101</v>
          </cell>
          <cell r="S923" t="str">
            <v>2026A-02</v>
          </cell>
          <cell r="T923" t="str">
            <v>Mobile Phones</v>
          </cell>
        </row>
        <row r="924">
          <cell r="K924">
            <v>534.82000000000005</v>
          </cell>
          <cell r="P924" t="str">
            <v>81123102-52951101</v>
          </cell>
          <cell r="S924" t="str">
            <v>2026A-02</v>
          </cell>
          <cell r="T924" t="str">
            <v>Mobile Phones</v>
          </cell>
        </row>
        <row r="925">
          <cell r="K925">
            <v>534.82000000000005</v>
          </cell>
          <cell r="P925" t="str">
            <v>81123102-52951101</v>
          </cell>
          <cell r="S925" t="str">
            <v>2026A-02</v>
          </cell>
          <cell r="T925" t="str">
            <v>Mobile Phones</v>
          </cell>
        </row>
        <row r="926">
          <cell r="K926">
            <v>1606.25</v>
          </cell>
          <cell r="P926" t="str">
            <v>81123102-52951101</v>
          </cell>
          <cell r="S926" t="str">
            <v>2026A-02</v>
          </cell>
          <cell r="T926" t="str">
            <v>Mobile Phones</v>
          </cell>
        </row>
        <row r="927">
          <cell r="K927">
            <v>534.82000000000005</v>
          </cell>
          <cell r="P927" t="str">
            <v>81123102-52951101</v>
          </cell>
          <cell r="S927" t="str">
            <v>2026A-02</v>
          </cell>
          <cell r="T927" t="str">
            <v>Mobile Phones</v>
          </cell>
        </row>
        <row r="928">
          <cell r="K928">
            <v>891.96</v>
          </cell>
          <cell r="P928" t="str">
            <v>81123102-52951101</v>
          </cell>
          <cell r="S928" t="str">
            <v>2026A-02</v>
          </cell>
          <cell r="T928" t="str">
            <v>Mobile Phones</v>
          </cell>
        </row>
        <row r="929">
          <cell r="K929">
            <v>572.02</v>
          </cell>
          <cell r="P929" t="str">
            <v>81123102-52951101</v>
          </cell>
          <cell r="S929" t="str">
            <v>2026A-02</v>
          </cell>
          <cell r="T929" t="str">
            <v>Mobile Phones</v>
          </cell>
        </row>
        <row r="930">
          <cell r="K930">
            <v>713.39</v>
          </cell>
          <cell r="P930" t="str">
            <v>81123102-52951101</v>
          </cell>
          <cell r="S930" t="str">
            <v>2026A-02</v>
          </cell>
          <cell r="T930" t="str">
            <v>Mobile Phones</v>
          </cell>
        </row>
        <row r="931">
          <cell r="K931">
            <v>891.96</v>
          </cell>
          <cell r="P931" t="str">
            <v>81123102-52951101</v>
          </cell>
          <cell r="S931" t="str">
            <v>2026A-02</v>
          </cell>
          <cell r="T931" t="str">
            <v>Mobile Phones</v>
          </cell>
        </row>
        <row r="932">
          <cell r="K932">
            <v>1606.25</v>
          </cell>
          <cell r="P932" t="str">
            <v>81123102-52951101</v>
          </cell>
          <cell r="S932" t="str">
            <v>2026A-02</v>
          </cell>
          <cell r="T932" t="str">
            <v>Mobile Phones</v>
          </cell>
        </row>
        <row r="933">
          <cell r="K933">
            <v>1280.79</v>
          </cell>
          <cell r="P933" t="str">
            <v>81123102-52951101</v>
          </cell>
          <cell r="S933" t="str">
            <v>2026A-02</v>
          </cell>
          <cell r="T933" t="str">
            <v>Mobile Phones</v>
          </cell>
        </row>
        <row r="934">
          <cell r="K934">
            <v>713.39</v>
          </cell>
          <cell r="P934" t="str">
            <v>81123102-52951101</v>
          </cell>
          <cell r="S934" t="str">
            <v>2026A-02</v>
          </cell>
          <cell r="T934" t="str">
            <v>Mobile Phones</v>
          </cell>
        </row>
        <row r="935">
          <cell r="K935">
            <v>572.02</v>
          </cell>
          <cell r="P935" t="str">
            <v>81123102-52951101</v>
          </cell>
          <cell r="S935" t="str">
            <v>2026A-02</v>
          </cell>
          <cell r="T935" t="str">
            <v>Mobile Phones</v>
          </cell>
        </row>
        <row r="936">
          <cell r="K936">
            <v>713.39</v>
          </cell>
          <cell r="P936" t="str">
            <v>81123102-52951101</v>
          </cell>
          <cell r="S936" t="str">
            <v>2026A-02</v>
          </cell>
          <cell r="T936" t="str">
            <v>Mobile Phones</v>
          </cell>
        </row>
        <row r="937">
          <cell r="K937">
            <v>713.39</v>
          </cell>
          <cell r="P937" t="str">
            <v>81123102-52951101</v>
          </cell>
          <cell r="S937" t="str">
            <v>2026A-02</v>
          </cell>
          <cell r="T937" t="str">
            <v>Mobile Phones</v>
          </cell>
        </row>
        <row r="938">
          <cell r="K938">
            <v>713.39</v>
          </cell>
          <cell r="P938" t="str">
            <v>81123102-52951101</v>
          </cell>
          <cell r="S938" t="str">
            <v>2026A-02</v>
          </cell>
          <cell r="T938" t="str">
            <v>Mobile Phones</v>
          </cell>
        </row>
        <row r="939">
          <cell r="K939">
            <v>871.43</v>
          </cell>
          <cell r="P939" t="str">
            <v>81123102-52951101</v>
          </cell>
          <cell r="S939" t="str">
            <v>2026A-02</v>
          </cell>
          <cell r="T939" t="str">
            <v>Mobile Phones</v>
          </cell>
        </row>
        <row r="940">
          <cell r="K940">
            <v>891.96</v>
          </cell>
          <cell r="P940" t="str">
            <v>81123102-52951101</v>
          </cell>
          <cell r="S940" t="str">
            <v>2026A-02</v>
          </cell>
          <cell r="T940" t="str">
            <v>Mobile Phones</v>
          </cell>
        </row>
        <row r="941">
          <cell r="K941">
            <v>713.39</v>
          </cell>
          <cell r="P941" t="str">
            <v>81123102-52951101</v>
          </cell>
          <cell r="S941" t="str">
            <v>2026A-02</v>
          </cell>
          <cell r="T941" t="str">
            <v>Mobile Phones</v>
          </cell>
        </row>
        <row r="942">
          <cell r="K942">
            <v>891.96</v>
          </cell>
          <cell r="P942" t="str">
            <v>81123102-52951101</v>
          </cell>
          <cell r="S942" t="str">
            <v>2026A-02</v>
          </cell>
          <cell r="T942" t="str">
            <v>Mobile Phones</v>
          </cell>
        </row>
        <row r="943">
          <cell r="K943">
            <v>1530.46</v>
          </cell>
          <cell r="P943" t="str">
            <v>81123102-52951101</v>
          </cell>
          <cell r="S943" t="str">
            <v>2026A-02</v>
          </cell>
          <cell r="T943" t="str">
            <v>Mobile Phones</v>
          </cell>
        </row>
        <row r="944">
          <cell r="K944">
            <v>534.82000000000005</v>
          </cell>
          <cell r="P944" t="str">
            <v>81123102-52951101</v>
          </cell>
          <cell r="S944" t="str">
            <v>2026A-02</v>
          </cell>
          <cell r="T944" t="str">
            <v>Mobile Phones</v>
          </cell>
        </row>
        <row r="945">
          <cell r="K945">
            <v>891.96</v>
          </cell>
          <cell r="P945" t="str">
            <v>81123102-52951101</v>
          </cell>
          <cell r="S945" t="str">
            <v>2026A-02</v>
          </cell>
          <cell r="T945" t="str">
            <v>Mobile Phones</v>
          </cell>
        </row>
        <row r="946">
          <cell r="K946">
            <v>891.96</v>
          </cell>
          <cell r="P946" t="str">
            <v>81123102-52951101</v>
          </cell>
          <cell r="S946" t="str">
            <v>2026A-02</v>
          </cell>
          <cell r="T946" t="str">
            <v>Mobile Phones</v>
          </cell>
        </row>
        <row r="947">
          <cell r="K947">
            <v>891.96</v>
          </cell>
          <cell r="P947" t="str">
            <v>81123102-52951101</v>
          </cell>
          <cell r="S947" t="str">
            <v>2026A-02</v>
          </cell>
          <cell r="T947" t="str">
            <v>Mobile Phones</v>
          </cell>
        </row>
        <row r="948">
          <cell r="K948">
            <v>713.39</v>
          </cell>
          <cell r="P948" t="str">
            <v>81123102-52951101</v>
          </cell>
          <cell r="S948" t="str">
            <v>2026A-02</v>
          </cell>
          <cell r="T948" t="str">
            <v>Mobile Phones</v>
          </cell>
        </row>
        <row r="949">
          <cell r="K949">
            <v>891.96</v>
          </cell>
          <cell r="P949" t="str">
            <v>81123102-52951101</v>
          </cell>
          <cell r="S949" t="str">
            <v>2026A-02</v>
          </cell>
          <cell r="T949" t="str">
            <v>Mobile Phones</v>
          </cell>
        </row>
        <row r="950">
          <cell r="K950">
            <v>572.02</v>
          </cell>
          <cell r="P950" t="str">
            <v>81123102-52951101</v>
          </cell>
          <cell r="S950" t="str">
            <v>2026A-02</v>
          </cell>
          <cell r="T950" t="str">
            <v>Mobile Phones</v>
          </cell>
        </row>
        <row r="951">
          <cell r="K951">
            <v>1338.39</v>
          </cell>
          <cell r="P951" t="str">
            <v>81123102-52951101</v>
          </cell>
          <cell r="S951" t="str">
            <v>2026A-02</v>
          </cell>
          <cell r="T951" t="str">
            <v>Mobile Phones</v>
          </cell>
        </row>
        <row r="952">
          <cell r="K952">
            <v>534.82000000000005</v>
          </cell>
          <cell r="P952" t="str">
            <v>81123102-52951101</v>
          </cell>
          <cell r="S952" t="str">
            <v>2026A-02</v>
          </cell>
          <cell r="T952" t="str">
            <v>Mobile Phones</v>
          </cell>
        </row>
        <row r="953">
          <cell r="K953">
            <v>713.39</v>
          </cell>
          <cell r="P953" t="str">
            <v>81123102-52951101</v>
          </cell>
          <cell r="S953" t="str">
            <v>2026A-02</v>
          </cell>
          <cell r="T953" t="str">
            <v>Mobile Phones</v>
          </cell>
        </row>
        <row r="954">
          <cell r="K954">
            <v>713.39</v>
          </cell>
          <cell r="P954" t="str">
            <v>81123102-52951101</v>
          </cell>
          <cell r="S954" t="str">
            <v>2026A-02</v>
          </cell>
          <cell r="T954" t="str">
            <v>Mobile Phones</v>
          </cell>
        </row>
        <row r="955">
          <cell r="K955">
            <v>713.39</v>
          </cell>
          <cell r="P955" t="str">
            <v>81123102-52951101</v>
          </cell>
          <cell r="S955" t="str">
            <v>2026A-02</v>
          </cell>
          <cell r="T955" t="str">
            <v>Mobile Phones</v>
          </cell>
        </row>
        <row r="956">
          <cell r="K956">
            <v>713.39</v>
          </cell>
          <cell r="P956" t="str">
            <v>81123102-52951101</v>
          </cell>
          <cell r="S956" t="str">
            <v>2026A-02</v>
          </cell>
          <cell r="T956" t="str">
            <v>Mobile Phones</v>
          </cell>
        </row>
        <row r="957">
          <cell r="K957">
            <v>161.09</v>
          </cell>
          <cell r="P957" t="str">
            <v>81123102-52951101</v>
          </cell>
          <cell r="S957" t="str">
            <v>2026A-02</v>
          </cell>
          <cell r="T957" t="str">
            <v>Mobile Phones</v>
          </cell>
        </row>
        <row r="958">
          <cell r="K958">
            <v>534.82000000000005</v>
          </cell>
          <cell r="P958" t="str">
            <v>81123102-52951101</v>
          </cell>
          <cell r="S958" t="str">
            <v>2026A-02</v>
          </cell>
          <cell r="T958" t="str">
            <v>Mobile Phones</v>
          </cell>
        </row>
        <row r="959">
          <cell r="K959">
            <v>161.09</v>
          </cell>
          <cell r="P959" t="str">
            <v>81123102-52951101</v>
          </cell>
          <cell r="S959" t="str">
            <v>2026A-02</v>
          </cell>
          <cell r="T959" t="str">
            <v>Mobile Phones</v>
          </cell>
        </row>
        <row r="960">
          <cell r="K960">
            <v>2024.88</v>
          </cell>
          <cell r="P960" t="str">
            <v>81123102-52951101</v>
          </cell>
          <cell r="S960" t="str">
            <v>2026A-02</v>
          </cell>
          <cell r="T960" t="str">
            <v>Mobile Phones</v>
          </cell>
        </row>
        <row r="961">
          <cell r="K961">
            <v>572.02</v>
          </cell>
          <cell r="P961" t="str">
            <v>81123102-52951101</v>
          </cell>
          <cell r="S961" t="str">
            <v>2026A-02</v>
          </cell>
          <cell r="T961" t="str">
            <v>Mobile Phones</v>
          </cell>
        </row>
        <row r="962">
          <cell r="K962">
            <v>534.82000000000005</v>
          </cell>
          <cell r="P962" t="str">
            <v>81123102-52951101</v>
          </cell>
          <cell r="S962" t="str">
            <v>2026A-02</v>
          </cell>
          <cell r="T962" t="str">
            <v>Mobile Phones</v>
          </cell>
        </row>
        <row r="963">
          <cell r="K963">
            <v>891.96</v>
          </cell>
          <cell r="P963" t="str">
            <v>81123102-52951101</v>
          </cell>
          <cell r="S963" t="str">
            <v>2026A-02</v>
          </cell>
          <cell r="T963" t="str">
            <v>Mobile Phones</v>
          </cell>
        </row>
        <row r="964">
          <cell r="K964">
            <v>1159.82</v>
          </cell>
          <cell r="P964" t="str">
            <v>81123102-52951101</v>
          </cell>
          <cell r="S964" t="str">
            <v>2026A-02</v>
          </cell>
          <cell r="T964" t="str">
            <v>Mobile Phones</v>
          </cell>
        </row>
        <row r="965">
          <cell r="K965">
            <v>1159.82</v>
          </cell>
          <cell r="P965" t="str">
            <v>81123102-52951101</v>
          </cell>
          <cell r="S965" t="str">
            <v>2026A-02</v>
          </cell>
          <cell r="T965" t="str">
            <v>Mobile Phones</v>
          </cell>
        </row>
        <row r="966">
          <cell r="K966">
            <v>1338.39</v>
          </cell>
          <cell r="P966" t="str">
            <v>81123102-52951101</v>
          </cell>
          <cell r="S966" t="str">
            <v>2026A-02</v>
          </cell>
          <cell r="T966" t="str">
            <v>Mobile Phones</v>
          </cell>
        </row>
        <row r="967">
          <cell r="K967">
            <v>2052.6799999999998</v>
          </cell>
          <cell r="P967" t="str">
            <v>81123102-52951101</v>
          </cell>
          <cell r="S967" t="str">
            <v>2026A-02</v>
          </cell>
          <cell r="T967" t="str">
            <v>Mobile Phones</v>
          </cell>
        </row>
        <row r="968">
          <cell r="K968">
            <v>1265.7</v>
          </cell>
          <cell r="P968" t="str">
            <v>81123102-52951101</v>
          </cell>
          <cell r="S968" t="str">
            <v>2026A-02</v>
          </cell>
          <cell r="T968" t="str">
            <v>Mobile Phones</v>
          </cell>
        </row>
        <row r="969">
          <cell r="K969">
            <v>891.96</v>
          </cell>
          <cell r="P969" t="str">
            <v>81123102-52951101</v>
          </cell>
          <cell r="S969" t="str">
            <v>2026A-02</v>
          </cell>
          <cell r="T969" t="str">
            <v>Mobile Phones</v>
          </cell>
        </row>
        <row r="970">
          <cell r="K970">
            <v>713.39</v>
          </cell>
          <cell r="P970" t="str">
            <v>81123102-52951101</v>
          </cell>
          <cell r="S970" t="str">
            <v>2026A-02</v>
          </cell>
          <cell r="T970" t="str">
            <v>Mobile Phones</v>
          </cell>
        </row>
        <row r="971">
          <cell r="K971">
            <v>1159.82</v>
          </cell>
          <cell r="P971" t="str">
            <v>81123102-52951101</v>
          </cell>
          <cell r="S971" t="str">
            <v>2026A-02</v>
          </cell>
          <cell r="T971" t="str">
            <v>Mobile Phones</v>
          </cell>
        </row>
        <row r="972">
          <cell r="K972">
            <v>891.96</v>
          </cell>
          <cell r="P972" t="str">
            <v>81123102-52951101</v>
          </cell>
          <cell r="S972" t="str">
            <v>2026A-02</v>
          </cell>
          <cell r="T972" t="str">
            <v>Mobile Phones</v>
          </cell>
        </row>
        <row r="973">
          <cell r="K973">
            <v>534.82000000000005</v>
          </cell>
          <cell r="P973" t="str">
            <v>81123102-52951101</v>
          </cell>
          <cell r="S973" t="str">
            <v>2026A-02</v>
          </cell>
          <cell r="T973" t="str">
            <v>Mobile Phones</v>
          </cell>
        </row>
        <row r="974">
          <cell r="K974">
            <v>713.39</v>
          </cell>
          <cell r="P974" t="str">
            <v>81123102-52951101</v>
          </cell>
          <cell r="S974" t="str">
            <v>2026A-02</v>
          </cell>
          <cell r="T974" t="str">
            <v>Mobile Phones</v>
          </cell>
        </row>
        <row r="975">
          <cell r="K975">
            <v>534.82000000000005</v>
          </cell>
          <cell r="P975" t="str">
            <v>81123102-52951101</v>
          </cell>
          <cell r="S975" t="str">
            <v>2026A-02</v>
          </cell>
          <cell r="T975" t="str">
            <v>Mobile Phones</v>
          </cell>
        </row>
        <row r="976">
          <cell r="K976">
            <v>713.39</v>
          </cell>
          <cell r="P976" t="str">
            <v>81123102-52951101</v>
          </cell>
          <cell r="S976" t="str">
            <v>2026A-02</v>
          </cell>
          <cell r="T976" t="str">
            <v>Mobile Phones</v>
          </cell>
        </row>
        <row r="977">
          <cell r="K977">
            <v>449.94</v>
          </cell>
          <cell r="P977" t="str">
            <v>81123102-52951101</v>
          </cell>
          <cell r="S977" t="str">
            <v>2026A-02</v>
          </cell>
          <cell r="T977" t="str">
            <v>Mobile Phones</v>
          </cell>
        </row>
        <row r="978">
          <cell r="K978">
            <v>534.82000000000005</v>
          </cell>
          <cell r="P978" t="str">
            <v>81123102-52951101</v>
          </cell>
          <cell r="S978" t="str">
            <v>2026A-02</v>
          </cell>
          <cell r="T978" t="str">
            <v>Mobile Phones</v>
          </cell>
        </row>
        <row r="979">
          <cell r="K979">
            <v>713.39</v>
          </cell>
          <cell r="P979" t="str">
            <v>81123102-52951101</v>
          </cell>
          <cell r="S979" t="str">
            <v>2026A-02</v>
          </cell>
          <cell r="T979" t="str">
            <v>Mobile Phones</v>
          </cell>
        </row>
        <row r="980">
          <cell r="K980">
            <v>891.96</v>
          </cell>
          <cell r="P980" t="str">
            <v>81123102-52951101</v>
          </cell>
          <cell r="S980" t="str">
            <v>2026A-02</v>
          </cell>
          <cell r="T980" t="str">
            <v>Mobile Phones</v>
          </cell>
        </row>
        <row r="981">
          <cell r="K981">
            <v>1159.82</v>
          </cell>
          <cell r="P981" t="str">
            <v>81123102-52951101</v>
          </cell>
          <cell r="S981" t="str">
            <v>2026A-02</v>
          </cell>
          <cell r="T981" t="str">
            <v>Mobile Phones</v>
          </cell>
        </row>
        <row r="982">
          <cell r="K982">
            <v>891.96</v>
          </cell>
          <cell r="P982" t="str">
            <v>81123102-52951101</v>
          </cell>
          <cell r="S982" t="str">
            <v>2026A-02</v>
          </cell>
          <cell r="T982" t="str">
            <v>Mobile Phones</v>
          </cell>
        </row>
        <row r="983">
          <cell r="K983">
            <v>1159.82</v>
          </cell>
          <cell r="P983" t="str">
            <v>81123102-52951101</v>
          </cell>
          <cell r="S983" t="str">
            <v>2026A-02</v>
          </cell>
          <cell r="T983" t="str">
            <v>Mobile Phones</v>
          </cell>
        </row>
        <row r="984">
          <cell r="K984">
            <v>1159.82</v>
          </cell>
          <cell r="P984" t="str">
            <v>81123102-52951101</v>
          </cell>
          <cell r="S984" t="str">
            <v>2026A-02</v>
          </cell>
          <cell r="T984" t="str">
            <v>Mobile Phones</v>
          </cell>
        </row>
        <row r="985">
          <cell r="K985">
            <v>1159.82</v>
          </cell>
          <cell r="P985" t="str">
            <v>81123102-52951101</v>
          </cell>
          <cell r="S985" t="str">
            <v>2026A-02</v>
          </cell>
          <cell r="T985" t="str">
            <v>Mobile Phones</v>
          </cell>
        </row>
        <row r="986">
          <cell r="K986">
            <v>713.39</v>
          </cell>
          <cell r="P986" t="str">
            <v>81123102-52951101</v>
          </cell>
          <cell r="S986" t="str">
            <v>2026A-02</v>
          </cell>
          <cell r="T986" t="str">
            <v>Mobile Phones</v>
          </cell>
        </row>
        <row r="987">
          <cell r="K987">
            <v>534.82000000000005</v>
          </cell>
          <cell r="P987" t="str">
            <v>81123102-52951101</v>
          </cell>
          <cell r="S987" t="str">
            <v>2026A-02</v>
          </cell>
          <cell r="T987" t="str">
            <v>Mobile Phones</v>
          </cell>
        </row>
        <row r="988">
          <cell r="K988">
            <v>1323.55</v>
          </cell>
          <cell r="P988" t="str">
            <v>81123102-52951101</v>
          </cell>
          <cell r="S988" t="str">
            <v>2026A-02</v>
          </cell>
          <cell r="T988" t="str">
            <v>Mobile Phones</v>
          </cell>
        </row>
        <row r="989">
          <cell r="K989">
            <v>713.39</v>
          </cell>
          <cell r="P989" t="str">
            <v>81123102-52951101</v>
          </cell>
          <cell r="S989" t="str">
            <v>2026A-02</v>
          </cell>
          <cell r="T989" t="str">
            <v>Mobile Phones</v>
          </cell>
        </row>
        <row r="990">
          <cell r="K990">
            <v>1159.82</v>
          </cell>
          <cell r="P990" t="str">
            <v>81123102-52951101</v>
          </cell>
          <cell r="S990" t="str">
            <v>2026A-02</v>
          </cell>
          <cell r="T990" t="str">
            <v>Mobile Phones</v>
          </cell>
        </row>
        <row r="991">
          <cell r="K991">
            <v>1159.82</v>
          </cell>
          <cell r="P991" t="str">
            <v>81123102-52951101</v>
          </cell>
          <cell r="S991" t="str">
            <v>2026A-02</v>
          </cell>
          <cell r="T991" t="str">
            <v>Mobile Phones</v>
          </cell>
        </row>
        <row r="992">
          <cell r="K992">
            <v>713.39</v>
          </cell>
          <cell r="P992" t="str">
            <v>81123102-52951101</v>
          </cell>
          <cell r="S992" t="str">
            <v>2026A-02</v>
          </cell>
          <cell r="T992" t="str">
            <v>Mobile Phones</v>
          </cell>
        </row>
        <row r="993">
          <cell r="K993">
            <v>713.39</v>
          </cell>
          <cell r="P993" t="str">
            <v>81123102-52951101</v>
          </cell>
          <cell r="S993" t="str">
            <v>2026A-02</v>
          </cell>
          <cell r="T993" t="str">
            <v>Mobile Phones</v>
          </cell>
        </row>
        <row r="994">
          <cell r="K994">
            <v>534.82000000000005</v>
          </cell>
          <cell r="P994" t="str">
            <v>81123102-52951101</v>
          </cell>
          <cell r="S994" t="str">
            <v>2026A-02</v>
          </cell>
          <cell r="T994" t="str">
            <v>Mobile Phones</v>
          </cell>
        </row>
        <row r="995">
          <cell r="K995">
            <v>534.82000000000005</v>
          </cell>
          <cell r="P995" t="str">
            <v>81123102-52951101</v>
          </cell>
          <cell r="S995" t="str">
            <v>2026A-02</v>
          </cell>
          <cell r="T995" t="str">
            <v>Mobile Phones</v>
          </cell>
        </row>
        <row r="996">
          <cell r="K996">
            <v>2231.4699999999998</v>
          </cell>
          <cell r="P996" t="str">
            <v>81123102-52951101</v>
          </cell>
          <cell r="S996" t="str">
            <v>2026A-02</v>
          </cell>
          <cell r="T996" t="str">
            <v>Mobile Phones</v>
          </cell>
        </row>
        <row r="997">
          <cell r="K997">
            <v>713.39</v>
          </cell>
          <cell r="P997" t="str">
            <v>81123102-52951101</v>
          </cell>
          <cell r="S997" t="str">
            <v>2026A-02</v>
          </cell>
          <cell r="T997" t="str">
            <v>Mobile Phones</v>
          </cell>
        </row>
        <row r="998">
          <cell r="K998">
            <v>1159.82</v>
          </cell>
          <cell r="P998" t="str">
            <v>81123102-52951101</v>
          </cell>
          <cell r="S998" t="str">
            <v>2026A-02</v>
          </cell>
          <cell r="T998" t="str">
            <v>Mobile Phones</v>
          </cell>
        </row>
        <row r="999">
          <cell r="K999">
            <v>1159.82</v>
          </cell>
          <cell r="P999" t="str">
            <v>81123102-52951101</v>
          </cell>
          <cell r="S999" t="str">
            <v>2026A-02</v>
          </cell>
          <cell r="T999" t="str">
            <v>Mobile Phones</v>
          </cell>
        </row>
        <row r="1000">
          <cell r="K1000">
            <v>534.82000000000005</v>
          </cell>
          <cell r="P1000" t="str">
            <v>81123102-52951101</v>
          </cell>
          <cell r="S1000" t="str">
            <v>2026A-02</v>
          </cell>
          <cell r="T1000" t="str">
            <v>Mobile Phones</v>
          </cell>
        </row>
        <row r="1001">
          <cell r="K1001">
            <v>534.82000000000005</v>
          </cell>
          <cell r="P1001" t="str">
            <v>81123102-52951101</v>
          </cell>
          <cell r="S1001" t="str">
            <v>2026A-02</v>
          </cell>
          <cell r="T1001" t="str">
            <v>Mobile Phones</v>
          </cell>
        </row>
        <row r="1002">
          <cell r="K1002">
            <v>713.39</v>
          </cell>
          <cell r="P1002" t="str">
            <v>81123102-52951101</v>
          </cell>
          <cell r="S1002" t="str">
            <v>2026A-02</v>
          </cell>
          <cell r="T1002" t="str">
            <v>Mobile Phones</v>
          </cell>
        </row>
        <row r="1003">
          <cell r="K1003">
            <v>1159.82</v>
          </cell>
          <cell r="P1003" t="str">
            <v>81123102-52951101</v>
          </cell>
          <cell r="S1003" t="str">
            <v>2026A-02</v>
          </cell>
          <cell r="T1003" t="str">
            <v>Mobile Phones</v>
          </cell>
        </row>
        <row r="1004">
          <cell r="K1004">
            <v>713.39</v>
          </cell>
          <cell r="P1004" t="str">
            <v>81123102-52951101</v>
          </cell>
          <cell r="S1004" t="str">
            <v>2026A-02</v>
          </cell>
          <cell r="T1004" t="str">
            <v>Mobile Phones</v>
          </cell>
        </row>
        <row r="1005">
          <cell r="K1005">
            <v>891.96</v>
          </cell>
          <cell r="P1005" t="str">
            <v>81123102-52951101</v>
          </cell>
          <cell r="S1005" t="str">
            <v>2026A-02</v>
          </cell>
          <cell r="T1005" t="str">
            <v>Mobile Phones</v>
          </cell>
        </row>
        <row r="1006">
          <cell r="K1006">
            <v>534.82000000000005</v>
          </cell>
          <cell r="P1006" t="str">
            <v>81123102-52951101</v>
          </cell>
          <cell r="S1006" t="str">
            <v>2026A-02</v>
          </cell>
          <cell r="T1006" t="str">
            <v>Mobile Phones</v>
          </cell>
        </row>
        <row r="1007">
          <cell r="K1007">
            <v>1069.6300000000001</v>
          </cell>
          <cell r="P1007" t="str">
            <v>81123102-52951101</v>
          </cell>
          <cell r="S1007" t="str">
            <v>2026A-02</v>
          </cell>
          <cell r="T1007" t="str">
            <v>Mobile Phones</v>
          </cell>
        </row>
        <row r="1008">
          <cell r="K1008">
            <v>1635.6</v>
          </cell>
          <cell r="P1008" t="str">
            <v>81123102-52951101</v>
          </cell>
          <cell r="S1008" t="str">
            <v>2026A-02</v>
          </cell>
          <cell r="T1008" t="str">
            <v>Mobile Phones</v>
          </cell>
        </row>
        <row r="1009">
          <cell r="K1009">
            <v>891.96</v>
          </cell>
          <cell r="P1009" t="str">
            <v>81123102-52951101</v>
          </cell>
          <cell r="S1009" t="str">
            <v>2026A-02</v>
          </cell>
          <cell r="T1009" t="str">
            <v>Mobile Phones</v>
          </cell>
        </row>
        <row r="1010">
          <cell r="K1010">
            <v>1173.33</v>
          </cell>
          <cell r="P1010" t="str">
            <v>81123102-52951101</v>
          </cell>
          <cell r="S1010" t="str">
            <v>2026A-02</v>
          </cell>
          <cell r="T1010" t="str">
            <v>Mobile Phones</v>
          </cell>
        </row>
        <row r="1011">
          <cell r="K1011">
            <v>1122.32</v>
          </cell>
          <cell r="P1011" t="str">
            <v>81123102-52951101</v>
          </cell>
          <cell r="S1011" t="str">
            <v>2026A-02</v>
          </cell>
          <cell r="T1011" t="str">
            <v>Mobile Phones</v>
          </cell>
        </row>
        <row r="1012">
          <cell r="K1012">
            <v>1081.28</v>
          </cell>
          <cell r="P1012" t="str">
            <v>81123102-52951101</v>
          </cell>
          <cell r="S1012" t="str">
            <v>2026A-02</v>
          </cell>
          <cell r="T1012" t="str">
            <v>Mobile Phones</v>
          </cell>
        </row>
        <row r="1013">
          <cell r="K1013">
            <v>1415.38</v>
          </cell>
          <cell r="P1013" t="str">
            <v>81123102-52951101</v>
          </cell>
          <cell r="S1013" t="str">
            <v>2026A-02</v>
          </cell>
          <cell r="T1013" t="str">
            <v>Mobile Phones</v>
          </cell>
        </row>
        <row r="1014">
          <cell r="K1014">
            <v>1196.48</v>
          </cell>
          <cell r="P1014" t="str">
            <v>81123102-52951101</v>
          </cell>
          <cell r="S1014" t="str">
            <v>2026A-02</v>
          </cell>
          <cell r="T1014" t="str">
            <v>Mobile Phones</v>
          </cell>
        </row>
        <row r="1015">
          <cell r="K1015">
            <v>23.01</v>
          </cell>
          <cell r="P1015" t="str">
            <v>81123102-52951101</v>
          </cell>
          <cell r="S1015" t="str">
            <v>2026A-02</v>
          </cell>
          <cell r="T1015" t="str">
            <v>Mobile Phones</v>
          </cell>
        </row>
        <row r="1016">
          <cell r="K1016">
            <v>26.27</v>
          </cell>
          <cell r="P1016" t="str">
            <v>81123102-52951101</v>
          </cell>
          <cell r="S1016" t="str">
            <v>2026A-02</v>
          </cell>
          <cell r="T1016" t="str">
            <v>Mobile Phones</v>
          </cell>
        </row>
        <row r="1017">
          <cell r="K1017">
            <v>1200</v>
          </cell>
          <cell r="P1017" t="str">
            <v>90123101-61071002</v>
          </cell>
          <cell r="S1017" t="str">
            <v>2026A-02</v>
          </cell>
          <cell r="T1017" t="str">
            <v>Notarial Fees</v>
          </cell>
        </row>
        <row r="1018">
          <cell r="K1018">
            <v>925</v>
          </cell>
          <cell r="P1018" t="str">
            <v>81122101-52121402</v>
          </cell>
          <cell r="S1018" t="str">
            <v>2026A-02</v>
          </cell>
          <cell r="T1018" t="str">
            <v>Flowers and Fruits</v>
          </cell>
        </row>
        <row r="1019">
          <cell r="K1019">
            <v>1000</v>
          </cell>
          <cell r="P1019" t="str">
            <v>81319101-52111101</v>
          </cell>
          <cell r="S1019" t="str">
            <v>2026A-02</v>
          </cell>
          <cell r="T1019" t="str">
            <v>GH</v>
          </cell>
        </row>
        <row r="1020">
          <cell r="K1020">
            <v>1000</v>
          </cell>
          <cell r="P1020" t="str">
            <v>81319101-52111101</v>
          </cell>
          <cell r="S1020" t="str">
            <v>2026A-02</v>
          </cell>
          <cell r="T1020" t="str">
            <v>GH</v>
          </cell>
        </row>
        <row r="1021">
          <cell r="K1021">
            <v>3178.57</v>
          </cell>
          <cell r="P1021" t="str">
            <v>81123102-52061111</v>
          </cell>
          <cell r="S1021" t="str">
            <v>2026A-02</v>
          </cell>
          <cell r="T1021" t="str">
            <v>R&amp;M - Supplies</v>
          </cell>
        </row>
        <row r="1022">
          <cell r="K1022">
            <v>10446.43</v>
          </cell>
          <cell r="P1022" t="str">
            <v>81123102-52061111</v>
          </cell>
          <cell r="S1022" t="str">
            <v>2026A-02</v>
          </cell>
          <cell r="T1022" t="str">
            <v>R&amp;M - Supplies</v>
          </cell>
        </row>
        <row r="1023">
          <cell r="K1023">
            <v>9025.4500000000007</v>
          </cell>
          <cell r="P1023" t="str">
            <v>81123102-52061111</v>
          </cell>
          <cell r="S1023" t="str">
            <v>2026A-02</v>
          </cell>
          <cell r="T1023" t="str">
            <v>R&amp;M - Supplies</v>
          </cell>
        </row>
        <row r="1024">
          <cell r="K1024">
            <v>3828.57</v>
          </cell>
          <cell r="P1024" t="str">
            <v>81123102-52061111</v>
          </cell>
          <cell r="S1024" t="str">
            <v>2026A-02</v>
          </cell>
          <cell r="T1024" t="str">
            <v>R&amp;M - Supplies</v>
          </cell>
        </row>
        <row r="1025">
          <cell r="K1025">
            <v>3991.07</v>
          </cell>
          <cell r="P1025" t="str">
            <v>81123102-52061111</v>
          </cell>
          <cell r="S1025" t="str">
            <v>2026A-02</v>
          </cell>
          <cell r="T1025" t="str">
            <v>R&amp;M - Supplies</v>
          </cell>
        </row>
        <row r="1026">
          <cell r="K1026">
            <v>15776.79</v>
          </cell>
          <cell r="P1026" t="str">
            <v>81123102-52061111</v>
          </cell>
          <cell r="S1026" t="str">
            <v>2026A-02</v>
          </cell>
          <cell r="T1026" t="str">
            <v>R&amp;M - Supplies</v>
          </cell>
        </row>
        <row r="1027">
          <cell r="K1027">
            <v>1339.29</v>
          </cell>
          <cell r="P1027" t="str">
            <v>81123102-52061111</v>
          </cell>
          <cell r="S1027" t="str">
            <v>2026A-02</v>
          </cell>
          <cell r="T1027" t="str">
            <v>R&amp;M - Supplies</v>
          </cell>
        </row>
        <row r="1028">
          <cell r="K1028">
            <v>812.81</v>
          </cell>
          <cell r="P1028" t="str">
            <v>81123102-52061111</v>
          </cell>
          <cell r="S1028" t="str">
            <v>2026A-02</v>
          </cell>
          <cell r="T1028" t="str">
            <v>R&amp;M - Supplies</v>
          </cell>
        </row>
        <row r="1029">
          <cell r="K1029">
            <v>446.43</v>
          </cell>
          <cell r="P1029" t="str">
            <v>81123102-52061111</v>
          </cell>
          <cell r="S1029" t="str">
            <v>2026A-02</v>
          </cell>
          <cell r="T1029" t="str">
            <v>R&amp;M - Supplies</v>
          </cell>
        </row>
        <row r="1030">
          <cell r="K1030">
            <v>559.29</v>
          </cell>
          <cell r="P1030" t="str">
            <v>81123102-52061111</v>
          </cell>
          <cell r="S1030" t="str">
            <v>2026A-02</v>
          </cell>
          <cell r="T1030" t="str">
            <v>R&amp;M - Supplies</v>
          </cell>
        </row>
        <row r="1031">
          <cell r="K1031">
            <v>1819.29</v>
          </cell>
          <cell r="P1031" t="str">
            <v>81123102-52061111</v>
          </cell>
          <cell r="S1031" t="str">
            <v>2026A-02</v>
          </cell>
          <cell r="T1031" t="str">
            <v>R&amp;M - Supplies</v>
          </cell>
        </row>
        <row r="1032">
          <cell r="K1032">
            <v>1741.07</v>
          </cell>
          <cell r="P1032" t="str">
            <v>81123102-52061111</v>
          </cell>
          <cell r="S1032" t="str">
            <v>2026A-02</v>
          </cell>
          <cell r="T1032" t="str">
            <v>R&amp;M - Supplies</v>
          </cell>
        </row>
        <row r="1033">
          <cell r="K1033">
            <v>607.14</v>
          </cell>
          <cell r="P1033" t="str">
            <v>81123102-52061111</v>
          </cell>
          <cell r="S1033" t="str">
            <v>2026A-02</v>
          </cell>
          <cell r="T1033" t="str">
            <v>R&amp;M - Supplies</v>
          </cell>
        </row>
        <row r="1034">
          <cell r="K1034">
            <v>2508.9299999999998</v>
          </cell>
          <cell r="P1034" t="str">
            <v>81111204-52091102</v>
          </cell>
          <cell r="S1034" t="str">
            <v>2026A-02</v>
          </cell>
          <cell r="T1034" t="str">
            <v>Meetings</v>
          </cell>
        </row>
        <row r="1035">
          <cell r="K1035">
            <v>1285.71</v>
          </cell>
          <cell r="P1035" t="str">
            <v>81111204-52091102</v>
          </cell>
          <cell r="S1035" t="str">
            <v>2026A-02</v>
          </cell>
          <cell r="T1035" t="str">
            <v>Meetings</v>
          </cell>
        </row>
        <row r="1036">
          <cell r="K1036">
            <v>2857.14</v>
          </cell>
          <cell r="P1036" t="str">
            <v>81123102-52061111</v>
          </cell>
          <cell r="S1036" t="str">
            <v>2026A-02</v>
          </cell>
          <cell r="T1036" t="str">
            <v>R&amp;M - Supplies</v>
          </cell>
        </row>
        <row r="1037">
          <cell r="K1037">
            <v>7410.71</v>
          </cell>
          <cell r="P1037" t="str">
            <v>81123102-52061111</v>
          </cell>
          <cell r="S1037" t="str">
            <v>2026A-02</v>
          </cell>
          <cell r="T1037" t="str">
            <v>R&amp;M - Supplies</v>
          </cell>
        </row>
        <row r="1038">
          <cell r="K1038">
            <v>2410.71</v>
          </cell>
          <cell r="P1038" t="str">
            <v>81123102-52061111</v>
          </cell>
          <cell r="S1038" t="str">
            <v>2026A-02</v>
          </cell>
          <cell r="T1038" t="str">
            <v>R&amp;M - Supplies</v>
          </cell>
        </row>
        <row r="1039">
          <cell r="K1039">
            <v>7627.18</v>
          </cell>
          <cell r="P1039" t="str">
            <v>81319101-52041499</v>
          </cell>
          <cell r="S1039" t="str">
            <v>2026A-02</v>
          </cell>
          <cell r="T1039" t="str">
            <v>GH</v>
          </cell>
        </row>
        <row r="1040">
          <cell r="K1040">
            <v>6500</v>
          </cell>
          <cell r="P1040" t="str">
            <v>80123101-61071002</v>
          </cell>
          <cell r="S1040" t="str">
            <v>2026A-02</v>
          </cell>
          <cell r="T1040" t="str">
            <v>Notarial Fees</v>
          </cell>
        </row>
        <row r="1041">
          <cell r="K1041">
            <v>10000</v>
          </cell>
          <cell r="P1041" t="str">
            <v>80123101-61071005</v>
          </cell>
          <cell r="S1041" t="str">
            <v>2026A-02</v>
          </cell>
          <cell r="T1041" t="str">
            <v>Santiago</v>
          </cell>
        </row>
        <row r="1042">
          <cell r="K1042">
            <v>-2000</v>
          </cell>
          <cell r="P1042" t="str">
            <v>81123102-52951101</v>
          </cell>
          <cell r="S1042" t="str">
            <v>2026A-02</v>
          </cell>
          <cell r="T1042" t="str">
            <v>Mobile Phones</v>
          </cell>
        </row>
        <row r="1043">
          <cell r="K1043">
            <v>-1000</v>
          </cell>
          <cell r="P1043" t="str">
            <v>81123102-52951101</v>
          </cell>
          <cell r="S1043" t="str">
            <v>2026A-02</v>
          </cell>
          <cell r="T1043" t="str">
            <v>Mobile Phones</v>
          </cell>
        </row>
        <row r="1044">
          <cell r="K1044">
            <v>-1000</v>
          </cell>
          <cell r="P1044" t="str">
            <v>81123102-52951101</v>
          </cell>
          <cell r="S1044" t="str">
            <v>2026A-02</v>
          </cell>
          <cell r="T1044" t="str">
            <v>Mobile Phones</v>
          </cell>
        </row>
        <row r="1045">
          <cell r="K1045">
            <v>-500</v>
          </cell>
          <cell r="P1045" t="str">
            <v>81123102-52951101</v>
          </cell>
          <cell r="S1045" t="str">
            <v>2026A-02</v>
          </cell>
          <cell r="T1045" t="str">
            <v>Mobile Phones</v>
          </cell>
        </row>
        <row r="1046">
          <cell r="K1046">
            <v>494.79</v>
          </cell>
          <cell r="P1046" t="str">
            <v>81124101-52952103</v>
          </cell>
          <cell r="S1046" t="str">
            <v>2026A-02</v>
          </cell>
          <cell r="T1046" t="str">
            <v>Meraki TS</v>
          </cell>
        </row>
        <row r="1047">
          <cell r="K1047">
            <v>500</v>
          </cell>
          <cell r="P1047" t="str">
            <v>81123101-52071102</v>
          </cell>
          <cell r="S1047" t="str">
            <v>2026A-02</v>
          </cell>
          <cell r="T1047" t="str">
            <v>Notarial Fees</v>
          </cell>
        </row>
        <row r="1048">
          <cell r="K1048">
            <v>1000</v>
          </cell>
          <cell r="P1048" t="str">
            <v>81123101-52071102</v>
          </cell>
          <cell r="S1048" t="str">
            <v>2026A-02</v>
          </cell>
          <cell r="T1048" t="str">
            <v>Notarial Fees</v>
          </cell>
        </row>
        <row r="1049">
          <cell r="K1049">
            <v>9288.18</v>
          </cell>
          <cell r="P1049" t="str">
            <v>81319101-52041405</v>
          </cell>
          <cell r="S1049" t="str">
            <v>2026A-02</v>
          </cell>
          <cell r="T1049" t="str">
            <v>TS</v>
          </cell>
        </row>
        <row r="1050">
          <cell r="K1050">
            <v>100000</v>
          </cell>
          <cell r="P1050" t="str">
            <v>90123101-61071002</v>
          </cell>
          <cell r="S1050" t="str">
            <v>2026A-02</v>
          </cell>
          <cell r="T1050" t="str">
            <v>Open Cases</v>
          </cell>
        </row>
        <row r="1051">
          <cell r="K1051">
            <v>2036.98</v>
          </cell>
          <cell r="P1051" t="str">
            <v>80111204-61091101</v>
          </cell>
          <cell r="S1051" t="str">
            <v>2026A-02</v>
          </cell>
          <cell r="T1051" t="str">
            <v>Meetings</v>
          </cell>
        </row>
        <row r="1052">
          <cell r="K1052">
            <v>26500</v>
          </cell>
          <cell r="P1052" t="str">
            <v>80111101-61021102</v>
          </cell>
          <cell r="S1052" t="str">
            <v>2026A-02</v>
          </cell>
          <cell r="T1052" t="str">
            <v>Regular Employee</v>
          </cell>
        </row>
        <row r="1053">
          <cell r="K1053">
            <v>-78.3</v>
          </cell>
          <cell r="P1053" t="str">
            <v>80111101-61021102</v>
          </cell>
          <cell r="S1053" t="str">
            <v>2026A-02</v>
          </cell>
          <cell r="T1053" t="str">
            <v>Regular Employee</v>
          </cell>
        </row>
        <row r="1054">
          <cell r="K1054">
            <v>50000</v>
          </cell>
          <cell r="P1054" t="str">
            <v>80111101-61021102</v>
          </cell>
          <cell r="S1054" t="str">
            <v>2026A-02</v>
          </cell>
          <cell r="T1054" t="str">
            <v>Regular Employee</v>
          </cell>
        </row>
        <row r="1055">
          <cell r="K1055">
            <v>218350</v>
          </cell>
          <cell r="P1055" t="str">
            <v>80111101-61021102</v>
          </cell>
          <cell r="S1055" t="str">
            <v>2026A-02</v>
          </cell>
          <cell r="T1055" t="str">
            <v>Regular Employee</v>
          </cell>
        </row>
        <row r="1056">
          <cell r="K1056">
            <v>-27.05</v>
          </cell>
          <cell r="P1056" t="str">
            <v>80111101-61021102</v>
          </cell>
          <cell r="S1056" t="str">
            <v>2026A-02</v>
          </cell>
          <cell r="T1056" t="str">
            <v>Regular Employee</v>
          </cell>
        </row>
        <row r="1057">
          <cell r="K1057">
            <v>690050</v>
          </cell>
          <cell r="P1057" t="str">
            <v>80111101-61021102</v>
          </cell>
          <cell r="S1057" t="str">
            <v>2026A-02</v>
          </cell>
          <cell r="T1057" t="str">
            <v>Regular Employee</v>
          </cell>
        </row>
        <row r="1058">
          <cell r="K1058">
            <v>-4832.12</v>
          </cell>
          <cell r="P1058" t="str">
            <v>80111101-61021102</v>
          </cell>
          <cell r="S1058" t="str">
            <v>2026A-02</v>
          </cell>
          <cell r="T1058" t="str">
            <v>Regular Employee</v>
          </cell>
        </row>
        <row r="1059">
          <cell r="K1059">
            <v>-1718.1</v>
          </cell>
          <cell r="P1059" t="str">
            <v>80111101-61021102</v>
          </cell>
          <cell r="S1059" t="str">
            <v>2026A-02</v>
          </cell>
          <cell r="T1059" t="str">
            <v>Regular Employee</v>
          </cell>
        </row>
        <row r="1060">
          <cell r="K1060">
            <v>-1021.2</v>
          </cell>
          <cell r="P1060" t="str">
            <v>80111101-61021102</v>
          </cell>
          <cell r="S1060" t="str">
            <v>2026A-02</v>
          </cell>
          <cell r="T1060" t="str">
            <v>Regular Employee</v>
          </cell>
        </row>
        <row r="1061">
          <cell r="K1061">
            <v>9127.31</v>
          </cell>
          <cell r="P1061" t="str">
            <v>80111101-61021103</v>
          </cell>
          <cell r="S1061" t="str">
            <v>2026A-02</v>
          </cell>
          <cell r="T1061" t="str">
            <v>OT Pay</v>
          </cell>
        </row>
        <row r="1062">
          <cell r="K1062">
            <v>12515.47</v>
          </cell>
          <cell r="P1062" t="str">
            <v>80111101-61021103</v>
          </cell>
          <cell r="S1062" t="str">
            <v>2026A-02</v>
          </cell>
          <cell r="T1062" t="str">
            <v>OT Pay</v>
          </cell>
        </row>
        <row r="1063">
          <cell r="K1063">
            <v>2800</v>
          </cell>
          <cell r="P1063" t="str">
            <v>80111101-61021104</v>
          </cell>
          <cell r="S1063" t="str">
            <v>2026A-02</v>
          </cell>
          <cell r="T1063" t="str">
            <v>OT Pay</v>
          </cell>
        </row>
        <row r="1064">
          <cell r="K1064">
            <v>400</v>
          </cell>
          <cell r="P1064" t="str">
            <v>80111101-61021306</v>
          </cell>
          <cell r="S1064" t="str">
            <v>2026A-02</v>
          </cell>
          <cell r="T1064" t="str">
            <v>Pag-ibig</v>
          </cell>
        </row>
        <row r="1065">
          <cell r="K1065">
            <v>3610</v>
          </cell>
          <cell r="P1065" t="str">
            <v>80111101-61021306</v>
          </cell>
          <cell r="S1065" t="str">
            <v>2026A-02</v>
          </cell>
          <cell r="T1065" t="str">
            <v>SSS</v>
          </cell>
        </row>
        <row r="1066">
          <cell r="K1066">
            <v>1325</v>
          </cell>
          <cell r="P1066" t="str">
            <v>80111101-61021306</v>
          </cell>
          <cell r="S1066" t="str">
            <v>2026A-02</v>
          </cell>
          <cell r="T1066" t="str">
            <v>Philhealth</v>
          </cell>
        </row>
        <row r="1067">
          <cell r="K1067">
            <v>200</v>
          </cell>
          <cell r="P1067" t="str">
            <v>80111101-61021306</v>
          </cell>
          <cell r="S1067" t="str">
            <v>2026A-02</v>
          </cell>
          <cell r="T1067" t="str">
            <v>Pag-ibig</v>
          </cell>
        </row>
        <row r="1068">
          <cell r="K1068">
            <v>3530</v>
          </cell>
          <cell r="P1068" t="str">
            <v>80111101-61021306</v>
          </cell>
          <cell r="S1068" t="str">
            <v>2026A-02</v>
          </cell>
          <cell r="T1068" t="str">
            <v>SSS</v>
          </cell>
        </row>
        <row r="1069">
          <cell r="K1069">
            <v>2500</v>
          </cell>
          <cell r="P1069" t="str">
            <v>80111101-61021306</v>
          </cell>
          <cell r="S1069" t="str">
            <v>2026A-02</v>
          </cell>
          <cell r="T1069" t="str">
            <v>Philhealth</v>
          </cell>
        </row>
        <row r="1070">
          <cell r="K1070">
            <v>1800</v>
          </cell>
          <cell r="P1070" t="str">
            <v>80111101-61021306</v>
          </cell>
          <cell r="S1070" t="str">
            <v>2026A-02</v>
          </cell>
          <cell r="T1070" t="str">
            <v>Pag-ibig</v>
          </cell>
        </row>
        <row r="1071">
          <cell r="K1071">
            <v>16940</v>
          </cell>
          <cell r="P1071" t="str">
            <v>80111101-61021306</v>
          </cell>
          <cell r="S1071" t="str">
            <v>2026A-02</v>
          </cell>
          <cell r="T1071" t="str">
            <v>SSS</v>
          </cell>
        </row>
        <row r="1072">
          <cell r="K1072">
            <v>9405</v>
          </cell>
          <cell r="P1072" t="str">
            <v>80111101-61021306</v>
          </cell>
          <cell r="S1072" t="str">
            <v>2026A-02</v>
          </cell>
          <cell r="T1072" t="str">
            <v>Philhealth</v>
          </cell>
        </row>
        <row r="1073">
          <cell r="K1073">
            <v>6800</v>
          </cell>
          <cell r="P1073" t="str">
            <v>80111101-61021306</v>
          </cell>
          <cell r="S1073" t="str">
            <v>2026A-02</v>
          </cell>
          <cell r="T1073" t="str">
            <v>Pag-ibig</v>
          </cell>
        </row>
        <row r="1074">
          <cell r="K1074">
            <v>60850</v>
          </cell>
          <cell r="P1074" t="str">
            <v>80111101-61021306</v>
          </cell>
          <cell r="S1074" t="str">
            <v>2026A-02</v>
          </cell>
          <cell r="T1074" t="str">
            <v>SSS</v>
          </cell>
        </row>
        <row r="1075">
          <cell r="K1075">
            <v>32347.5</v>
          </cell>
          <cell r="P1075" t="str">
            <v>80111101-61021306</v>
          </cell>
          <cell r="S1075" t="str">
            <v>2026A-02</v>
          </cell>
          <cell r="T1075" t="str">
            <v>Philhealth</v>
          </cell>
        </row>
        <row r="1076">
          <cell r="K1076">
            <v>188500</v>
          </cell>
          <cell r="P1076" t="str">
            <v>80111101-61021201</v>
          </cell>
          <cell r="S1076" t="str">
            <v>2026A-02</v>
          </cell>
          <cell r="T1076" t="str">
            <v>Project Employee</v>
          </cell>
        </row>
        <row r="1077">
          <cell r="K1077">
            <v>-4992.43</v>
          </cell>
          <cell r="P1077" t="str">
            <v>80111101-61021201</v>
          </cell>
          <cell r="S1077" t="str">
            <v>2026A-02</v>
          </cell>
          <cell r="T1077" t="str">
            <v>Project Employee</v>
          </cell>
        </row>
        <row r="1078">
          <cell r="K1078">
            <v>-5564.96</v>
          </cell>
          <cell r="P1078" t="str">
            <v>80111101-61021201</v>
          </cell>
          <cell r="S1078" t="str">
            <v>2026A-02</v>
          </cell>
          <cell r="T1078" t="str">
            <v>Project Employee</v>
          </cell>
        </row>
        <row r="1079">
          <cell r="K1079">
            <v>-160.30000000000001</v>
          </cell>
          <cell r="P1079" t="str">
            <v>80111101-61021201</v>
          </cell>
          <cell r="S1079" t="str">
            <v>2026A-02</v>
          </cell>
          <cell r="T1079" t="str">
            <v>Project Employee</v>
          </cell>
        </row>
        <row r="1080">
          <cell r="K1080">
            <v>-947.53</v>
          </cell>
          <cell r="P1080" t="str">
            <v>80111101-61021201</v>
          </cell>
          <cell r="S1080" t="str">
            <v>2026A-02</v>
          </cell>
          <cell r="T1080" t="str">
            <v>Project Employee</v>
          </cell>
        </row>
        <row r="1081">
          <cell r="K1081">
            <v>31643.85</v>
          </cell>
          <cell r="P1081" t="str">
            <v>80111101-61021202</v>
          </cell>
          <cell r="S1081" t="str">
            <v>2026A-02</v>
          </cell>
          <cell r="T1081" t="str">
            <v>Project Employee</v>
          </cell>
        </row>
        <row r="1082">
          <cell r="K1082">
            <v>2800</v>
          </cell>
          <cell r="P1082" t="str">
            <v>80111101-61021306</v>
          </cell>
          <cell r="S1082" t="str">
            <v>2026A-02</v>
          </cell>
          <cell r="T1082" t="str">
            <v>Pag-ibig</v>
          </cell>
        </row>
        <row r="1083">
          <cell r="K1083">
            <v>21080</v>
          </cell>
          <cell r="P1083" t="str">
            <v>80111101-61021306</v>
          </cell>
          <cell r="S1083" t="str">
            <v>2026A-02</v>
          </cell>
          <cell r="T1083" t="str">
            <v>SSS</v>
          </cell>
        </row>
        <row r="1084">
          <cell r="K1084">
            <v>9425</v>
          </cell>
          <cell r="P1084" t="str">
            <v>80111101-61021306</v>
          </cell>
          <cell r="S1084" t="str">
            <v>2026A-02</v>
          </cell>
          <cell r="T1084" t="str">
            <v>Philhealth</v>
          </cell>
        </row>
        <row r="1085">
          <cell r="K1085">
            <v>188600</v>
          </cell>
          <cell r="P1085" t="str">
            <v>81111101-52121101</v>
          </cell>
          <cell r="S1085" t="str">
            <v>2026A-02</v>
          </cell>
          <cell r="T1085" t="str">
            <v>Regular Employee</v>
          </cell>
        </row>
        <row r="1086">
          <cell r="K1086">
            <v>-2546.59</v>
          </cell>
          <cell r="P1086" t="str">
            <v>81111101-52121101</v>
          </cell>
          <cell r="S1086" t="str">
            <v>2026A-02</v>
          </cell>
          <cell r="T1086" t="str">
            <v>Regular Employee</v>
          </cell>
        </row>
        <row r="1087">
          <cell r="K1087">
            <v>-1518.56</v>
          </cell>
          <cell r="P1087" t="str">
            <v>81111101-52121101</v>
          </cell>
          <cell r="S1087" t="str">
            <v>2026A-02</v>
          </cell>
          <cell r="T1087" t="str">
            <v>Regular Employee</v>
          </cell>
        </row>
        <row r="1088">
          <cell r="K1088">
            <v>-643.39</v>
          </cell>
          <cell r="P1088" t="str">
            <v>81111101-52121101</v>
          </cell>
          <cell r="S1088" t="str">
            <v>2026A-02</v>
          </cell>
          <cell r="T1088" t="str">
            <v>Regular Employee</v>
          </cell>
        </row>
        <row r="1089">
          <cell r="K1089">
            <v>236200</v>
          </cell>
          <cell r="P1089" t="str">
            <v>81111101-52121101</v>
          </cell>
          <cell r="S1089" t="str">
            <v>2026A-02</v>
          </cell>
          <cell r="T1089" t="str">
            <v>Regular Employee</v>
          </cell>
        </row>
        <row r="1090">
          <cell r="K1090">
            <v>2555.75</v>
          </cell>
          <cell r="P1090" t="str">
            <v>81111101-52121101</v>
          </cell>
          <cell r="S1090" t="str">
            <v>2026A-02</v>
          </cell>
          <cell r="T1090" t="str">
            <v>Regular Employee</v>
          </cell>
        </row>
        <row r="1091">
          <cell r="K1091">
            <v>206.11</v>
          </cell>
          <cell r="P1091" t="str">
            <v>81111101-52121101</v>
          </cell>
          <cell r="S1091" t="str">
            <v>2026A-02</v>
          </cell>
          <cell r="T1091" t="str">
            <v>Regular Employee</v>
          </cell>
        </row>
        <row r="1092">
          <cell r="K1092">
            <v>-2008.42</v>
          </cell>
          <cell r="P1092" t="str">
            <v>81111101-52121101</v>
          </cell>
          <cell r="S1092" t="str">
            <v>2026A-02</v>
          </cell>
          <cell r="T1092" t="str">
            <v>Regular Employee</v>
          </cell>
        </row>
        <row r="1093">
          <cell r="K1093">
            <v>-32.700000000000003</v>
          </cell>
          <cell r="P1093" t="str">
            <v>81111101-52121101</v>
          </cell>
          <cell r="S1093" t="str">
            <v>2026A-02</v>
          </cell>
          <cell r="T1093" t="str">
            <v>Regular Employee</v>
          </cell>
        </row>
        <row r="1094">
          <cell r="K1094">
            <v>-2142.4</v>
          </cell>
          <cell r="P1094" t="str">
            <v>81111101-52121101</v>
          </cell>
          <cell r="S1094" t="str">
            <v>2026A-02</v>
          </cell>
          <cell r="T1094" t="str">
            <v>Regular Employee</v>
          </cell>
        </row>
        <row r="1095">
          <cell r="K1095">
            <v>104350</v>
          </cell>
          <cell r="P1095" t="str">
            <v>81111101-52121101</v>
          </cell>
          <cell r="S1095" t="str">
            <v>2026A-02</v>
          </cell>
          <cell r="T1095" t="str">
            <v>Regular Employee</v>
          </cell>
        </row>
        <row r="1096">
          <cell r="K1096">
            <v>801.54</v>
          </cell>
          <cell r="P1096" t="str">
            <v>81111101-52121101</v>
          </cell>
          <cell r="S1096" t="str">
            <v>2026A-02</v>
          </cell>
          <cell r="T1096" t="str">
            <v>Regular Employee</v>
          </cell>
        </row>
        <row r="1097">
          <cell r="K1097">
            <v>-1603.07</v>
          </cell>
          <cell r="P1097" t="str">
            <v>81111101-52121101</v>
          </cell>
          <cell r="S1097" t="str">
            <v>2026A-02</v>
          </cell>
          <cell r="T1097" t="str">
            <v>Regular Employee</v>
          </cell>
        </row>
        <row r="1098">
          <cell r="K1098">
            <v>-14.03</v>
          </cell>
          <cell r="P1098" t="str">
            <v>81111101-52121101</v>
          </cell>
          <cell r="S1098" t="str">
            <v>2026A-02</v>
          </cell>
          <cell r="T1098" t="str">
            <v>Regular Employee</v>
          </cell>
        </row>
        <row r="1099">
          <cell r="K1099">
            <v>-905.16</v>
          </cell>
          <cell r="P1099" t="str">
            <v>81111101-52121101</v>
          </cell>
          <cell r="S1099" t="str">
            <v>2026A-02</v>
          </cell>
          <cell r="T1099" t="str">
            <v>Regular Employee</v>
          </cell>
        </row>
        <row r="1100">
          <cell r="K1100">
            <v>1017550</v>
          </cell>
          <cell r="P1100" t="str">
            <v>81111101-52121101</v>
          </cell>
          <cell r="S1100" t="str">
            <v>2026A-02</v>
          </cell>
          <cell r="T1100" t="str">
            <v>Regular Employee</v>
          </cell>
        </row>
        <row r="1101">
          <cell r="K1101">
            <v>2390.87</v>
          </cell>
          <cell r="P1101" t="str">
            <v>81111101-52121101</v>
          </cell>
          <cell r="S1101" t="str">
            <v>2026A-02</v>
          </cell>
          <cell r="T1101" t="str">
            <v>Regular Employee</v>
          </cell>
        </row>
        <row r="1102">
          <cell r="K1102">
            <v>-9819.9699999999993</v>
          </cell>
          <cell r="P1102" t="str">
            <v>81111101-52121101</v>
          </cell>
          <cell r="S1102" t="str">
            <v>2026A-02</v>
          </cell>
          <cell r="T1102" t="str">
            <v>Regular Employee</v>
          </cell>
        </row>
        <row r="1103">
          <cell r="K1103">
            <v>-4122.1899999999996</v>
          </cell>
          <cell r="P1103" t="str">
            <v>81111101-52121101</v>
          </cell>
          <cell r="S1103" t="str">
            <v>2026A-02</v>
          </cell>
          <cell r="T1103" t="str">
            <v>Regular Employee</v>
          </cell>
        </row>
        <row r="1104">
          <cell r="K1104">
            <v>-3805.63</v>
          </cell>
          <cell r="P1104" t="str">
            <v>81111101-52121101</v>
          </cell>
          <cell r="S1104" t="str">
            <v>2026A-02</v>
          </cell>
          <cell r="T1104" t="str">
            <v>Regular Employee</v>
          </cell>
        </row>
        <row r="1105">
          <cell r="K1105">
            <v>-11445.25</v>
          </cell>
          <cell r="P1105" t="str">
            <v>81111101-52121101</v>
          </cell>
          <cell r="S1105" t="str">
            <v>2026A-02</v>
          </cell>
          <cell r="T1105" t="str">
            <v>Regular Employee</v>
          </cell>
        </row>
        <row r="1106">
          <cell r="K1106">
            <v>138250</v>
          </cell>
          <cell r="P1106" t="str">
            <v>81111101-52121101</v>
          </cell>
          <cell r="S1106" t="str">
            <v>2026A-02</v>
          </cell>
          <cell r="T1106" t="str">
            <v>Regular Employee</v>
          </cell>
        </row>
        <row r="1107">
          <cell r="K1107">
            <v>-4255.01</v>
          </cell>
          <cell r="P1107" t="str">
            <v>81111101-52121101</v>
          </cell>
          <cell r="S1107" t="str">
            <v>2026A-02</v>
          </cell>
          <cell r="T1107" t="str">
            <v>Regular Employee</v>
          </cell>
        </row>
        <row r="1108">
          <cell r="K1108">
            <v>-219.27</v>
          </cell>
          <cell r="P1108" t="str">
            <v>81111101-52121101</v>
          </cell>
          <cell r="S1108" t="str">
            <v>2026A-02</v>
          </cell>
          <cell r="T1108" t="str">
            <v>Regular Employee</v>
          </cell>
        </row>
        <row r="1109">
          <cell r="K1109">
            <v>-4233.6499999999996</v>
          </cell>
          <cell r="P1109" t="str">
            <v>81111101-52121101</v>
          </cell>
          <cell r="S1109" t="str">
            <v>2026A-02</v>
          </cell>
          <cell r="T1109" t="str">
            <v>Regular Employee</v>
          </cell>
        </row>
        <row r="1110">
          <cell r="K1110">
            <v>8236.16</v>
          </cell>
          <cell r="P1110" t="str">
            <v>81111101-52121102</v>
          </cell>
          <cell r="S1110" t="str">
            <v>2026A-02</v>
          </cell>
          <cell r="T1110" t="str">
            <v>OT Pay</v>
          </cell>
        </row>
        <row r="1111">
          <cell r="K1111">
            <v>4150.4399999999996</v>
          </cell>
          <cell r="P1111" t="str">
            <v>81111101-52121102</v>
          </cell>
          <cell r="S1111" t="str">
            <v>2026A-02</v>
          </cell>
          <cell r="T1111" t="str">
            <v>OT Pay</v>
          </cell>
        </row>
        <row r="1112">
          <cell r="K1112">
            <v>9802.14</v>
          </cell>
          <cell r="P1112" t="str">
            <v>81111101-52121102</v>
          </cell>
          <cell r="S1112" t="str">
            <v>2026A-02</v>
          </cell>
          <cell r="T1112" t="str">
            <v>OT Pay</v>
          </cell>
        </row>
        <row r="1113">
          <cell r="K1113">
            <v>11600</v>
          </cell>
          <cell r="P1113" t="str">
            <v>81111101-52121103</v>
          </cell>
          <cell r="S1113" t="str">
            <v>2026A-02</v>
          </cell>
          <cell r="T1113" t="str">
            <v>OT Pay</v>
          </cell>
        </row>
        <row r="1114">
          <cell r="K1114">
            <v>4800</v>
          </cell>
          <cell r="P1114" t="str">
            <v>81111101-52121103</v>
          </cell>
          <cell r="S1114" t="str">
            <v>2026A-02</v>
          </cell>
          <cell r="T1114" t="str">
            <v>OT Pay</v>
          </cell>
        </row>
        <row r="1115">
          <cell r="K1115">
            <v>14200</v>
          </cell>
          <cell r="P1115" t="str">
            <v>81111101-52121103</v>
          </cell>
          <cell r="S1115" t="str">
            <v>2026A-02</v>
          </cell>
          <cell r="T1115" t="str">
            <v>OT Pay</v>
          </cell>
        </row>
        <row r="1116">
          <cell r="K1116">
            <v>1800</v>
          </cell>
          <cell r="P1116" t="str">
            <v>81111101-52121305</v>
          </cell>
          <cell r="S1116" t="str">
            <v>2026A-02</v>
          </cell>
          <cell r="T1116" t="str">
            <v>Pag-ibig</v>
          </cell>
        </row>
        <row r="1117">
          <cell r="K1117">
            <v>26420</v>
          </cell>
          <cell r="P1117" t="str">
            <v>81111101-52121305</v>
          </cell>
          <cell r="S1117" t="str">
            <v>2026A-02</v>
          </cell>
          <cell r="T1117" t="str">
            <v>SSS</v>
          </cell>
        </row>
        <row r="1118">
          <cell r="K1118">
            <v>8367.5</v>
          </cell>
          <cell r="P1118" t="str">
            <v>81111101-52121305</v>
          </cell>
          <cell r="S1118" t="str">
            <v>2026A-02</v>
          </cell>
          <cell r="T1118" t="str">
            <v>Philhealth</v>
          </cell>
        </row>
        <row r="1119">
          <cell r="K1119">
            <v>3600</v>
          </cell>
          <cell r="P1119" t="str">
            <v>81111101-52121305</v>
          </cell>
          <cell r="S1119" t="str">
            <v>2026A-02</v>
          </cell>
          <cell r="T1119" t="str">
            <v>Pag-ibig</v>
          </cell>
        </row>
        <row r="1120">
          <cell r="K1120">
            <v>46640</v>
          </cell>
          <cell r="P1120" t="str">
            <v>81111101-52121305</v>
          </cell>
          <cell r="S1120" t="str">
            <v>2026A-02</v>
          </cell>
          <cell r="T1120" t="str">
            <v>SSS</v>
          </cell>
        </row>
        <row r="1121">
          <cell r="K1121">
            <v>11810</v>
          </cell>
          <cell r="P1121" t="str">
            <v>81111101-52121305</v>
          </cell>
          <cell r="S1121" t="str">
            <v>2026A-02</v>
          </cell>
          <cell r="T1121" t="str">
            <v>Philhealth</v>
          </cell>
        </row>
        <row r="1122">
          <cell r="K1122">
            <v>1000</v>
          </cell>
          <cell r="P1122" t="str">
            <v>81111101-52121305</v>
          </cell>
          <cell r="S1122" t="str">
            <v>2026A-02</v>
          </cell>
          <cell r="T1122" t="str">
            <v>Pag-ibig</v>
          </cell>
        </row>
        <row r="1123">
          <cell r="K1123">
            <v>16650</v>
          </cell>
          <cell r="P1123" t="str">
            <v>81111101-52121305</v>
          </cell>
          <cell r="S1123" t="str">
            <v>2026A-02</v>
          </cell>
          <cell r="T1123" t="str">
            <v>SSS</v>
          </cell>
        </row>
        <row r="1124">
          <cell r="K1124">
            <v>5217.5</v>
          </cell>
          <cell r="P1124" t="str">
            <v>81111101-52121305</v>
          </cell>
          <cell r="S1124" t="str">
            <v>2026A-02</v>
          </cell>
          <cell r="T1124" t="str">
            <v>Philhealth</v>
          </cell>
        </row>
        <row r="1125">
          <cell r="K1125">
            <v>9400</v>
          </cell>
          <cell r="P1125" t="str">
            <v>81111101-52121305</v>
          </cell>
          <cell r="S1125" t="str">
            <v>2026A-02</v>
          </cell>
          <cell r="T1125" t="str">
            <v>Pag-ibig</v>
          </cell>
        </row>
        <row r="1126">
          <cell r="K1126">
            <v>142510</v>
          </cell>
          <cell r="P1126" t="str">
            <v>81111101-52121305</v>
          </cell>
          <cell r="S1126" t="str">
            <v>2026A-02</v>
          </cell>
          <cell r="T1126" t="str">
            <v>SSS</v>
          </cell>
        </row>
        <row r="1127">
          <cell r="K1127">
            <v>48675</v>
          </cell>
          <cell r="P1127" t="str">
            <v>81111101-52121305</v>
          </cell>
          <cell r="S1127" t="str">
            <v>2026A-02</v>
          </cell>
          <cell r="T1127" t="str">
            <v>Philhealth</v>
          </cell>
        </row>
        <row r="1128">
          <cell r="K1128">
            <v>1200</v>
          </cell>
          <cell r="P1128" t="str">
            <v>81111101-52121305</v>
          </cell>
          <cell r="S1128" t="str">
            <v>2026A-02</v>
          </cell>
          <cell r="T1128" t="str">
            <v>Pag-ibig</v>
          </cell>
        </row>
        <row r="1129">
          <cell r="K1129">
            <v>21180</v>
          </cell>
          <cell r="P1129" t="str">
            <v>81111101-52121305</v>
          </cell>
          <cell r="S1129" t="str">
            <v>2026A-02</v>
          </cell>
          <cell r="T1129" t="str">
            <v>SSS</v>
          </cell>
        </row>
        <row r="1130">
          <cell r="K1130">
            <v>6912.5</v>
          </cell>
          <cell r="P1130" t="str">
            <v>81111101-52121305</v>
          </cell>
          <cell r="S1130" t="str">
            <v>2026A-02</v>
          </cell>
          <cell r="T1130" t="str">
            <v>Philhealth</v>
          </cell>
        </row>
        <row r="1131">
          <cell r="K1131">
            <v>3170350</v>
          </cell>
          <cell r="P1131" t="str">
            <v>90111101-52121101</v>
          </cell>
          <cell r="S1131" t="str">
            <v>2026A-02</v>
          </cell>
          <cell r="T1131" t="str">
            <v>Regular Employee</v>
          </cell>
        </row>
        <row r="1132">
          <cell r="K1132">
            <v>5278.69</v>
          </cell>
          <cell r="P1132" t="str">
            <v>90111101-52121101</v>
          </cell>
          <cell r="S1132" t="str">
            <v>2026A-02</v>
          </cell>
          <cell r="T1132" t="str">
            <v>Regular Employee</v>
          </cell>
        </row>
        <row r="1133">
          <cell r="K1133">
            <v>-10932.96</v>
          </cell>
          <cell r="P1133" t="str">
            <v>90111101-52121101</v>
          </cell>
          <cell r="S1133" t="str">
            <v>2026A-02</v>
          </cell>
          <cell r="T1133" t="str">
            <v>Regular Employee</v>
          </cell>
        </row>
        <row r="1134">
          <cell r="K1134">
            <v>-7355.87</v>
          </cell>
          <cell r="P1134" t="str">
            <v>90111101-52121101</v>
          </cell>
          <cell r="S1134" t="str">
            <v>2026A-02</v>
          </cell>
          <cell r="T1134" t="str">
            <v>Regular Employee</v>
          </cell>
        </row>
        <row r="1135">
          <cell r="K1135">
            <v>-28044.66</v>
          </cell>
          <cell r="P1135" t="str">
            <v>90111101-52121101</v>
          </cell>
          <cell r="S1135" t="str">
            <v>2026A-02</v>
          </cell>
          <cell r="T1135" t="str">
            <v>Regular Employee</v>
          </cell>
        </row>
        <row r="1136">
          <cell r="K1136">
            <v>718200</v>
          </cell>
          <cell r="P1136" t="str">
            <v>90111101-52121101</v>
          </cell>
          <cell r="S1136" t="str">
            <v>2026A-02</v>
          </cell>
          <cell r="T1136" t="str">
            <v>Regular Employee</v>
          </cell>
        </row>
        <row r="1137">
          <cell r="K1137">
            <v>-410.78</v>
          </cell>
          <cell r="P1137" t="str">
            <v>90111101-52121101</v>
          </cell>
          <cell r="S1137" t="str">
            <v>2026A-02</v>
          </cell>
          <cell r="T1137" t="str">
            <v>Regular Employee</v>
          </cell>
        </row>
        <row r="1138">
          <cell r="K1138">
            <v>-5411.52</v>
          </cell>
          <cell r="P1138" t="str">
            <v>90111101-52121101</v>
          </cell>
          <cell r="S1138" t="str">
            <v>2026A-02</v>
          </cell>
          <cell r="T1138" t="str">
            <v>Regular Employee</v>
          </cell>
        </row>
        <row r="1139">
          <cell r="K1139">
            <v>2097050</v>
          </cell>
          <cell r="P1139" t="str">
            <v>90111101-52121101</v>
          </cell>
          <cell r="S1139" t="str">
            <v>2026A-02</v>
          </cell>
          <cell r="T1139" t="str">
            <v>Regular Employee</v>
          </cell>
        </row>
        <row r="1140">
          <cell r="K1140">
            <v>8271.86</v>
          </cell>
          <cell r="P1140" t="str">
            <v>90111101-52121101</v>
          </cell>
          <cell r="S1140" t="str">
            <v>2026A-02</v>
          </cell>
          <cell r="T1140" t="str">
            <v>Regular Employee</v>
          </cell>
        </row>
        <row r="1141">
          <cell r="K1141">
            <v>-6108.87</v>
          </cell>
          <cell r="P1141" t="str">
            <v>90111101-52121101</v>
          </cell>
          <cell r="S1141" t="str">
            <v>2026A-02</v>
          </cell>
          <cell r="T1141" t="str">
            <v>Regular Employee</v>
          </cell>
        </row>
        <row r="1142">
          <cell r="K1142">
            <v>-2918.88</v>
          </cell>
          <cell r="P1142" t="str">
            <v>90111101-52121101</v>
          </cell>
          <cell r="S1142" t="str">
            <v>2026A-02</v>
          </cell>
          <cell r="T1142" t="str">
            <v>Regular Employee</v>
          </cell>
        </row>
        <row r="1143">
          <cell r="K1143">
            <v>-10532.2</v>
          </cell>
          <cell r="P1143" t="str">
            <v>90111101-52121101</v>
          </cell>
          <cell r="S1143" t="str">
            <v>2026A-02</v>
          </cell>
          <cell r="T1143" t="str">
            <v>Regular Employee</v>
          </cell>
        </row>
        <row r="1144">
          <cell r="K1144">
            <v>1377725</v>
          </cell>
          <cell r="P1144" t="str">
            <v>90111101-52121101</v>
          </cell>
          <cell r="S1144" t="str">
            <v>2026A-02</v>
          </cell>
          <cell r="T1144" t="str">
            <v>Regular Employee</v>
          </cell>
        </row>
        <row r="1145">
          <cell r="K1145">
            <v>27050</v>
          </cell>
          <cell r="P1145" t="str">
            <v>90111101-52121101</v>
          </cell>
          <cell r="S1145" t="str">
            <v>2026A-02</v>
          </cell>
          <cell r="T1145" t="str">
            <v>Regular Employee</v>
          </cell>
        </row>
        <row r="1146">
          <cell r="K1146">
            <v>-473.9</v>
          </cell>
          <cell r="P1146" t="str">
            <v>90111101-52121101</v>
          </cell>
          <cell r="S1146" t="str">
            <v>2026A-02</v>
          </cell>
          <cell r="T1146" t="str">
            <v>Regular Employee</v>
          </cell>
        </row>
        <row r="1147">
          <cell r="K1147">
            <v>494200</v>
          </cell>
          <cell r="P1147" t="str">
            <v>90111101-52121101</v>
          </cell>
          <cell r="S1147" t="str">
            <v>2026A-02</v>
          </cell>
          <cell r="T1147" t="str">
            <v>Regular Employee</v>
          </cell>
        </row>
        <row r="1148">
          <cell r="K1148">
            <v>-1806.85</v>
          </cell>
          <cell r="P1148" t="str">
            <v>90111101-52121101</v>
          </cell>
          <cell r="S1148" t="str">
            <v>2026A-02</v>
          </cell>
          <cell r="T1148" t="str">
            <v>Regular Employee</v>
          </cell>
        </row>
        <row r="1149">
          <cell r="K1149">
            <v>470350</v>
          </cell>
          <cell r="P1149" t="str">
            <v>90111101-52121101</v>
          </cell>
          <cell r="S1149" t="str">
            <v>2026A-02</v>
          </cell>
          <cell r="T1149" t="str">
            <v>Regular Employee</v>
          </cell>
        </row>
        <row r="1150">
          <cell r="K1150">
            <v>-21.72</v>
          </cell>
          <cell r="P1150" t="str">
            <v>90111101-52121101</v>
          </cell>
          <cell r="S1150" t="str">
            <v>2026A-02</v>
          </cell>
          <cell r="T1150" t="str">
            <v>Regular Employee</v>
          </cell>
        </row>
        <row r="1151">
          <cell r="K1151">
            <v>-12.27</v>
          </cell>
          <cell r="P1151" t="str">
            <v>90111101-52121101</v>
          </cell>
          <cell r="S1151" t="str">
            <v>2026A-02</v>
          </cell>
          <cell r="T1151" t="str">
            <v>Regular Employee</v>
          </cell>
        </row>
        <row r="1152">
          <cell r="K1152">
            <v>16013.65</v>
          </cell>
          <cell r="P1152" t="str">
            <v>90111101-52121102</v>
          </cell>
          <cell r="S1152" t="str">
            <v>2026A-02</v>
          </cell>
          <cell r="T1152" t="str">
            <v>OT Pay</v>
          </cell>
        </row>
        <row r="1153">
          <cell r="K1153">
            <v>19433.509999999998</v>
          </cell>
          <cell r="P1153" t="str">
            <v>90111101-52121102</v>
          </cell>
          <cell r="S1153" t="str">
            <v>2026A-02</v>
          </cell>
          <cell r="T1153" t="str">
            <v>OT Pay</v>
          </cell>
        </row>
        <row r="1154">
          <cell r="K1154">
            <v>5952.47</v>
          </cell>
          <cell r="P1154" t="str">
            <v>90111101-52121102</v>
          </cell>
          <cell r="S1154" t="str">
            <v>2026A-02</v>
          </cell>
          <cell r="T1154" t="str">
            <v>OT Pay</v>
          </cell>
        </row>
        <row r="1155">
          <cell r="K1155">
            <v>15200</v>
          </cell>
          <cell r="P1155" t="str">
            <v>90111101-52121305</v>
          </cell>
          <cell r="S1155" t="str">
            <v>2026A-02</v>
          </cell>
          <cell r="T1155" t="str">
            <v>Pag-ibig</v>
          </cell>
        </row>
        <row r="1156">
          <cell r="K1156">
            <v>106642.5</v>
          </cell>
          <cell r="P1156" t="str">
            <v>90111101-52121305</v>
          </cell>
          <cell r="S1156" t="str">
            <v>2026A-02</v>
          </cell>
          <cell r="T1156" t="str">
            <v>Philhealth</v>
          </cell>
        </row>
        <row r="1157">
          <cell r="K1157">
            <v>181940</v>
          </cell>
          <cell r="P1157" t="str">
            <v>90111101-52121305</v>
          </cell>
          <cell r="S1157" t="str">
            <v>2026A-02</v>
          </cell>
          <cell r="T1157" t="str">
            <v>SSS</v>
          </cell>
        </row>
        <row r="1158">
          <cell r="K1158">
            <v>1800</v>
          </cell>
          <cell r="P1158" t="str">
            <v>90111101-52121305</v>
          </cell>
          <cell r="S1158" t="str">
            <v>2026A-02</v>
          </cell>
          <cell r="T1158" t="str">
            <v>Pag-ibig</v>
          </cell>
        </row>
        <row r="1159">
          <cell r="K1159">
            <v>14380</v>
          </cell>
          <cell r="P1159" t="str">
            <v>90111101-52121305</v>
          </cell>
          <cell r="S1159" t="str">
            <v>2026A-02</v>
          </cell>
          <cell r="T1159" t="str">
            <v>Philhealth</v>
          </cell>
        </row>
        <row r="1160">
          <cell r="K1160">
            <v>24820</v>
          </cell>
          <cell r="P1160" t="str">
            <v>90111101-52121305</v>
          </cell>
          <cell r="S1160" t="str">
            <v>2026A-02</v>
          </cell>
          <cell r="T1160" t="str">
            <v>SSS</v>
          </cell>
        </row>
        <row r="1161">
          <cell r="K1161">
            <v>12400</v>
          </cell>
          <cell r="P1161" t="str">
            <v>90111101-52121305</v>
          </cell>
          <cell r="S1161" t="str">
            <v>2026A-02</v>
          </cell>
          <cell r="T1161" t="str">
            <v>Pag-ibig</v>
          </cell>
        </row>
        <row r="1162">
          <cell r="K1162">
            <v>86072.5</v>
          </cell>
          <cell r="P1162" t="str">
            <v>90111101-52121305</v>
          </cell>
          <cell r="S1162" t="str">
            <v>2026A-02</v>
          </cell>
          <cell r="T1162" t="str">
            <v>Philhealth</v>
          </cell>
        </row>
        <row r="1163">
          <cell r="K1163">
            <v>157680</v>
          </cell>
          <cell r="P1163" t="str">
            <v>90111101-52121305</v>
          </cell>
          <cell r="S1163" t="str">
            <v>2026A-02</v>
          </cell>
          <cell r="T1163" t="str">
            <v>SSS</v>
          </cell>
        </row>
        <row r="1164">
          <cell r="K1164">
            <v>1200</v>
          </cell>
          <cell r="P1164" t="str">
            <v>90111101-52121305</v>
          </cell>
          <cell r="S1164" t="str">
            <v>2026A-02</v>
          </cell>
          <cell r="T1164" t="str">
            <v>Pag-ibig</v>
          </cell>
        </row>
        <row r="1165">
          <cell r="K1165">
            <v>13952.5</v>
          </cell>
          <cell r="P1165" t="str">
            <v>90111101-52121305</v>
          </cell>
          <cell r="S1165" t="str">
            <v>2026A-02</v>
          </cell>
          <cell r="T1165" t="str">
            <v>Philhealth</v>
          </cell>
        </row>
        <row r="1166">
          <cell r="K1166">
            <v>20580</v>
          </cell>
          <cell r="P1166" t="str">
            <v>90111101-52121305</v>
          </cell>
          <cell r="S1166" t="str">
            <v>2026A-02</v>
          </cell>
          <cell r="T1166" t="str">
            <v>SSS</v>
          </cell>
        </row>
        <row r="1167">
          <cell r="K1167">
            <v>200</v>
          </cell>
          <cell r="P1167" t="str">
            <v>90111101-52121305</v>
          </cell>
          <cell r="S1167" t="str">
            <v>2026A-02</v>
          </cell>
          <cell r="T1167" t="str">
            <v>Pag-ibig</v>
          </cell>
        </row>
        <row r="1168">
          <cell r="K1168">
            <v>1352.5</v>
          </cell>
          <cell r="P1168" t="str">
            <v>90111101-52121305</v>
          </cell>
          <cell r="S1168" t="str">
            <v>2026A-02</v>
          </cell>
          <cell r="T1168" t="str">
            <v>Philhealth</v>
          </cell>
        </row>
        <row r="1169">
          <cell r="K1169">
            <v>2680</v>
          </cell>
          <cell r="P1169" t="str">
            <v>90111101-52121305</v>
          </cell>
          <cell r="S1169" t="str">
            <v>2026A-02</v>
          </cell>
          <cell r="T1169" t="str">
            <v>SSS</v>
          </cell>
        </row>
        <row r="1170">
          <cell r="K1170">
            <v>2000</v>
          </cell>
          <cell r="P1170" t="str">
            <v>90111101-52121305</v>
          </cell>
          <cell r="S1170" t="str">
            <v>2026A-02</v>
          </cell>
          <cell r="T1170" t="str">
            <v>Pag-ibig</v>
          </cell>
        </row>
        <row r="1171">
          <cell r="K1171">
            <v>16485</v>
          </cell>
          <cell r="P1171" t="str">
            <v>90111101-52121305</v>
          </cell>
          <cell r="S1171" t="str">
            <v>2026A-02</v>
          </cell>
          <cell r="T1171" t="str">
            <v>Philhealth</v>
          </cell>
        </row>
        <row r="1172">
          <cell r="K1172">
            <v>28180</v>
          </cell>
          <cell r="P1172" t="str">
            <v>90111101-52121305</v>
          </cell>
          <cell r="S1172" t="str">
            <v>2026A-02</v>
          </cell>
          <cell r="T1172" t="str">
            <v>SSS</v>
          </cell>
        </row>
        <row r="1173">
          <cell r="K1173">
            <v>2400</v>
          </cell>
          <cell r="P1173" t="str">
            <v>90111101-52121305</v>
          </cell>
          <cell r="S1173" t="str">
            <v>2026A-02</v>
          </cell>
          <cell r="T1173" t="str">
            <v>Pag-ibig</v>
          </cell>
        </row>
        <row r="1174">
          <cell r="K1174">
            <v>18742.5</v>
          </cell>
          <cell r="P1174" t="str">
            <v>90111101-52121305</v>
          </cell>
          <cell r="S1174" t="str">
            <v>2026A-02</v>
          </cell>
          <cell r="T1174" t="str">
            <v>Philhealth</v>
          </cell>
        </row>
        <row r="1175">
          <cell r="K1175">
            <v>32720</v>
          </cell>
          <cell r="P1175" t="str">
            <v>90111101-52121305</v>
          </cell>
          <cell r="S1175" t="str">
            <v>2026A-02</v>
          </cell>
          <cell r="T1175" t="str">
            <v>SSS</v>
          </cell>
        </row>
        <row r="1176">
          <cell r="K1176">
            <v>2599422.79</v>
          </cell>
          <cell r="P1176" t="str">
            <v>90122101-52071104</v>
          </cell>
          <cell r="S1176" t="str">
            <v>2026A-02</v>
          </cell>
          <cell r="T1176" t="str">
            <v>OLC INTCNSLTNT</v>
          </cell>
        </row>
        <row r="1177">
          <cell r="K1177">
            <v>150000</v>
          </cell>
          <cell r="P1177" t="str">
            <v>80349101-61959994</v>
          </cell>
          <cell r="S1177" t="str">
            <v>2026A-02</v>
          </cell>
          <cell r="T1177" t="str">
            <v>CV Village</v>
          </cell>
        </row>
        <row r="1178">
          <cell r="K1178">
            <v>150000</v>
          </cell>
          <cell r="P1178" t="str">
            <v>80349101-61959994</v>
          </cell>
          <cell r="S1178" t="str">
            <v>2026A-02</v>
          </cell>
          <cell r="T1178" t="str">
            <v>CV Village</v>
          </cell>
        </row>
        <row r="1179">
          <cell r="K1179">
            <v>150000</v>
          </cell>
          <cell r="P1179" t="str">
            <v>80349101-61959994</v>
          </cell>
          <cell r="S1179" t="str">
            <v>2026A-02</v>
          </cell>
          <cell r="T1179" t="str">
            <v>CV Village</v>
          </cell>
        </row>
        <row r="1180">
          <cell r="K1180">
            <v>300000</v>
          </cell>
          <cell r="P1180" t="str">
            <v>80349101-61959994</v>
          </cell>
          <cell r="S1180" t="str">
            <v>2026A-02</v>
          </cell>
          <cell r="T1180" t="str">
            <v>CV Village</v>
          </cell>
        </row>
        <row r="1181">
          <cell r="K1181">
            <v>19450.259999999998</v>
          </cell>
          <cell r="P1181" t="str">
            <v>81319101-52041499</v>
          </cell>
          <cell r="S1181" t="str">
            <v>2026A-02</v>
          </cell>
          <cell r="T1181" t="str">
            <v>GH</v>
          </cell>
        </row>
        <row r="1182">
          <cell r="K1182">
            <v>6455.36</v>
          </cell>
          <cell r="P1182" t="str">
            <v>80123102-61111101</v>
          </cell>
          <cell r="S1182" t="str">
            <v>2026A-02</v>
          </cell>
          <cell r="T1182" t="str">
            <v>Office Supplies - Others</v>
          </cell>
        </row>
        <row r="1183">
          <cell r="K1183">
            <v>44136.75</v>
          </cell>
          <cell r="P1183" t="str">
            <v>80349101-61959994</v>
          </cell>
          <cell r="S1183" t="str">
            <v>2026A-02</v>
          </cell>
          <cell r="T1183" t="str">
            <v>CV Village</v>
          </cell>
        </row>
        <row r="1184">
          <cell r="K1184">
            <v>44136.75</v>
          </cell>
          <cell r="P1184" t="str">
            <v>80349101-61959994</v>
          </cell>
          <cell r="S1184" t="str">
            <v>2026A-02</v>
          </cell>
          <cell r="T1184" t="str">
            <v>CV Village</v>
          </cell>
        </row>
        <row r="1185">
          <cell r="K1185">
            <v>337112.23</v>
          </cell>
          <cell r="P1185" t="str">
            <v>80349101-61959994</v>
          </cell>
          <cell r="S1185" t="str">
            <v>2026A-02</v>
          </cell>
          <cell r="T1185" t="str">
            <v>CV Village</v>
          </cell>
        </row>
        <row r="1186">
          <cell r="K1186">
            <v>135714.28</v>
          </cell>
          <cell r="P1186" t="str">
            <v>80349101-61959994</v>
          </cell>
          <cell r="S1186" t="str">
            <v>2026A-02</v>
          </cell>
          <cell r="T1186" t="str">
            <v>CV Village</v>
          </cell>
        </row>
        <row r="1187">
          <cell r="K1187">
            <v>179325</v>
          </cell>
          <cell r="P1187" t="str">
            <v>80349101-61959994</v>
          </cell>
          <cell r="S1187" t="str">
            <v>2026A-02</v>
          </cell>
          <cell r="T1187" t="str">
            <v>CV Village</v>
          </cell>
        </row>
        <row r="1188">
          <cell r="K1188">
            <v>62500</v>
          </cell>
          <cell r="P1188" t="str">
            <v>80124101-61061105</v>
          </cell>
          <cell r="S1188" t="str">
            <v>2026A-02</v>
          </cell>
          <cell r="T1188" t="str">
            <v>Fire Suppression System</v>
          </cell>
        </row>
        <row r="1189">
          <cell r="K1189">
            <v>455</v>
          </cell>
          <cell r="P1189" t="str">
            <v>81123102-52061111</v>
          </cell>
          <cell r="S1189" t="str">
            <v>2026A-02</v>
          </cell>
          <cell r="T1189" t="str">
            <v>R&amp;M - Supplies</v>
          </cell>
        </row>
        <row r="1190">
          <cell r="K1190">
            <v>1030</v>
          </cell>
          <cell r="P1190" t="str">
            <v>81123102-52061111</v>
          </cell>
          <cell r="S1190" t="str">
            <v>2026A-02</v>
          </cell>
          <cell r="T1190" t="str">
            <v>R&amp;M - Supplies</v>
          </cell>
        </row>
        <row r="1191">
          <cell r="K1191">
            <v>76.81</v>
          </cell>
          <cell r="P1191" t="str">
            <v>81123102-52061111</v>
          </cell>
          <cell r="S1191" t="str">
            <v>2026A-02</v>
          </cell>
          <cell r="T1191" t="str">
            <v>R&amp;M - Supplies</v>
          </cell>
        </row>
        <row r="1192">
          <cell r="K1192">
            <v>990</v>
          </cell>
          <cell r="P1192" t="str">
            <v>81123102-52061111</v>
          </cell>
          <cell r="S1192" t="str">
            <v>2026A-02</v>
          </cell>
          <cell r="T1192" t="str">
            <v>R&amp;M - Supplies</v>
          </cell>
        </row>
        <row r="1193">
          <cell r="K1193">
            <v>144.19999999999999</v>
          </cell>
          <cell r="P1193" t="str">
            <v>81123102-52061111</v>
          </cell>
          <cell r="S1193" t="str">
            <v>2026A-02</v>
          </cell>
          <cell r="T1193" t="str">
            <v>R&amp;M - Supplies</v>
          </cell>
        </row>
        <row r="1194">
          <cell r="K1194">
            <v>320</v>
          </cell>
          <cell r="P1194" t="str">
            <v>81123102-52061111</v>
          </cell>
          <cell r="S1194" t="str">
            <v>2026A-02</v>
          </cell>
          <cell r="T1194" t="str">
            <v>R&amp;M - Supplies</v>
          </cell>
        </row>
        <row r="1195">
          <cell r="K1195">
            <v>89</v>
          </cell>
          <cell r="P1195" t="str">
            <v>81123102-52061111</v>
          </cell>
          <cell r="S1195" t="str">
            <v>2026A-02</v>
          </cell>
          <cell r="T1195" t="str">
            <v>R&amp;M - Supplies</v>
          </cell>
        </row>
        <row r="1196">
          <cell r="K1196">
            <v>200</v>
          </cell>
          <cell r="P1196" t="str">
            <v>80123101-61071002</v>
          </cell>
          <cell r="S1196" t="str">
            <v>2026A-02</v>
          </cell>
          <cell r="T1196" t="str">
            <v>Notarial Fees</v>
          </cell>
        </row>
        <row r="1197">
          <cell r="K1197">
            <v>289.73</v>
          </cell>
          <cell r="P1197" t="str">
            <v>80123101-61091101</v>
          </cell>
          <cell r="S1197" t="str">
            <v>2026A-02</v>
          </cell>
          <cell r="T1197" t="str">
            <v>Meetings</v>
          </cell>
        </row>
        <row r="1198">
          <cell r="K1198">
            <v>12500</v>
          </cell>
          <cell r="P1198" t="str">
            <v>80111101-61021201</v>
          </cell>
          <cell r="S1198" t="str">
            <v>2026A-02</v>
          </cell>
          <cell r="T1198" t="str">
            <v>Project Employee</v>
          </cell>
        </row>
        <row r="1199">
          <cell r="K1199">
            <v>-5725.26</v>
          </cell>
          <cell r="P1199" t="str">
            <v>80111101-61021201</v>
          </cell>
          <cell r="S1199" t="str">
            <v>2026A-02</v>
          </cell>
          <cell r="T1199" t="str">
            <v>Project Employee</v>
          </cell>
        </row>
        <row r="1200">
          <cell r="K1200">
            <v>-222.83</v>
          </cell>
          <cell r="P1200" t="str">
            <v>80111101-61021201</v>
          </cell>
          <cell r="S1200" t="str">
            <v>2026A-02</v>
          </cell>
          <cell r="T1200" t="str">
            <v>Project Employee</v>
          </cell>
        </row>
        <row r="1201">
          <cell r="K1201">
            <v>8565</v>
          </cell>
          <cell r="P1201" t="str">
            <v>80111101-61021201</v>
          </cell>
          <cell r="S1201" t="str">
            <v>2026A-02</v>
          </cell>
          <cell r="T1201" t="str">
            <v>Project Employee</v>
          </cell>
        </row>
        <row r="1202">
          <cell r="K1202">
            <v>12500</v>
          </cell>
          <cell r="P1202" t="str">
            <v>80111101-61021201</v>
          </cell>
          <cell r="S1202" t="str">
            <v>2026A-02</v>
          </cell>
          <cell r="T1202" t="str">
            <v>Project Employee</v>
          </cell>
        </row>
        <row r="1203">
          <cell r="K1203">
            <v>1488.57</v>
          </cell>
          <cell r="P1203" t="str">
            <v>80111101-61021202</v>
          </cell>
          <cell r="S1203" t="str">
            <v>2026A-02</v>
          </cell>
          <cell r="T1203" t="str">
            <v>Project Employee</v>
          </cell>
        </row>
        <row r="1204">
          <cell r="K1204">
            <v>1596.43</v>
          </cell>
          <cell r="P1204" t="str">
            <v>81123102-52061111</v>
          </cell>
          <cell r="S1204" t="str">
            <v>2026A-02</v>
          </cell>
          <cell r="T1204" t="str">
            <v>R&amp;M - Supplies</v>
          </cell>
        </row>
        <row r="1205">
          <cell r="K1205">
            <v>231789.67</v>
          </cell>
          <cell r="P1205" t="str">
            <v>80111101-61021304</v>
          </cell>
          <cell r="S1205" t="str">
            <v>2026A-02</v>
          </cell>
          <cell r="T1205" t="str">
            <v>Retirement</v>
          </cell>
        </row>
        <row r="1206">
          <cell r="K1206">
            <v>303089.17</v>
          </cell>
          <cell r="P1206" t="str">
            <v>81111101-52121304</v>
          </cell>
          <cell r="S1206" t="str">
            <v>2026A-02</v>
          </cell>
          <cell r="T1206" t="str">
            <v>Retirement</v>
          </cell>
        </row>
        <row r="1207">
          <cell r="K1207">
            <v>48040.87</v>
          </cell>
          <cell r="P1207" t="str">
            <v>81319101-52041401</v>
          </cell>
          <cell r="S1207" t="str">
            <v>2026A-02</v>
          </cell>
          <cell r="T1207" t="str">
            <v>CV</v>
          </cell>
        </row>
        <row r="1208">
          <cell r="K1208">
            <v>142443.14000000001</v>
          </cell>
          <cell r="P1208" t="str">
            <v>80123102-61041101</v>
          </cell>
          <cell r="S1208" t="str">
            <v>2026A-02</v>
          </cell>
          <cell r="T1208" t="str">
            <v>Electricity &amp; Water</v>
          </cell>
        </row>
        <row r="1209">
          <cell r="K1209">
            <v>188500</v>
          </cell>
          <cell r="P1209" t="str">
            <v>80111101-61021201</v>
          </cell>
          <cell r="S1209" t="str">
            <v>2026A-02</v>
          </cell>
          <cell r="T1209" t="str">
            <v>Project Employee</v>
          </cell>
        </row>
        <row r="1210">
          <cell r="K1210">
            <v>-1282.46</v>
          </cell>
          <cell r="P1210" t="str">
            <v>80111101-61021201</v>
          </cell>
          <cell r="S1210" t="str">
            <v>2026A-02</v>
          </cell>
          <cell r="T1210" t="str">
            <v>Project Employee</v>
          </cell>
        </row>
        <row r="1211">
          <cell r="K1211">
            <v>-64.12</v>
          </cell>
          <cell r="P1211" t="str">
            <v>80111101-61021201</v>
          </cell>
          <cell r="S1211" t="str">
            <v>2026A-02</v>
          </cell>
          <cell r="T1211" t="str">
            <v>Project Employee</v>
          </cell>
        </row>
        <row r="1212">
          <cell r="K1212">
            <v>-1604.51</v>
          </cell>
          <cell r="P1212" t="str">
            <v>80111101-61021201</v>
          </cell>
          <cell r="S1212" t="str">
            <v>2026A-02</v>
          </cell>
          <cell r="T1212" t="str">
            <v>Project Employee</v>
          </cell>
        </row>
        <row r="1213">
          <cell r="K1213">
            <v>34491.25</v>
          </cell>
          <cell r="P1213" t="str">
            <v>80111101-61021202</v>
          </cell>
          <cell r="S1213" t="str">
            <v>2026A-02</v>
          </cell>
          <cell r="T1213" t="str">
            <v>Project Employee</v>
          </cell>
        </row>
        <row r="1214">
          <cell r="K1214">
            <v>21440</v>
          </cell>
          <cell r="P1214" t="str">
            <v>80111101-61021306</v>
          </cell>
          <cell r="S1214" t="str">
            <v>2026A-02</v>
          </cell>
          <cell r="T1214" t="str">
            <v>SSS</v>
          </cell>
        </row>
        <row r="1215">
          <cell r="K1215">
            <v>26500</v>
          </cell>
          <cell r="P1215" t="str">
            <v>80111101-61021102</v>
          </cell>
          <cell r="S1215" t="str">
            <v>2026A-02</v>
          </cell>
          <cell r="T1215" t="str">
            <v>Regular Employee</v>
          </cell>
        </row>
        <row r="1216">
          <cell r="K1216">
            <v>-85.82</v>
          </cell>
          <cell r="P1216" t="str">
            <v>80111101-61021102</v>
          </cell>
          <cell r="S1216" t="str">
            <v>2026A-02</v>
          </cell>
          <cell r="T1216" t="str">
            <v>Regular Employee</v>
          </cell>
        </row>
        <row r="1217">
          <cell r="K1217">
            <v>50000</v>
          </cell>
          <cell r="P1217" t="str">
            <v>80111101-61021102</v>
          </cell>
          <cell r="S1217" t="str">
            <v>2026A-02</v>
          </cell>
          <cell r="T1217" t="str">
            <v>Regular Employee</v>
          </cell>
        </row>
        <row r="1218">
          <cell r="K1218">
            <v>218350</v>
          </cell>
          <cell r="P1218" t="str">
            <v>80111101-61021102</v>
          </cell>
          <cell r="S1218" t="str">
            <v>2026A-02</v>
          </cell>
          <cell r="T1218" t="str">
            <v>Regular Employee</v>
          </cell>
        </row>
        <row r="1219">
          <cell r="K1219">
            <v>-100.99</v>
          </cell>
          <cell r="P1219" t="str">
            <v>80111101-61021102</v>
          </cell>
          <cell r="S1219" t="str">
            <v>2026A-02</v>
          </cell>
          <cell r="T1219" t="str">
            <v>Regular Employee</v>
          </cell>
        </row>
        <row r="1220">
          <cell r="K1220">
            <v>706050</v>
          </cell>
          <cell r="P1220" t="str">
            <v>80111101-61021102</v>
          </cell>
          <cell r="S1220" t="str">
            <v>2026A-02</v>
          </cell>
          <cell r="T1220" t="str">
            <v>Regular Employee</v>
          </cell>
        </row>
        <row r="1221">
          <cell r="K1221">
            <v>-10323.790000000001</v>
          </cell>
          <cell r="P1221" t="str">
            <v>80111101-61021102</v>
          </cell>
          <cell r="S1221" t="str">
            <v>2026A-02</v>
          </cell>
          <cell r="T1221" t="str">
            <v>Regular Employee</v>
          </cell>
        </row>
        <row r="1222">
          <cell r="K1222">
            <v>2232.86</v>
          </cell>
          <cell r="P1222" t="str">
            <v>80111101-61021102</v>
          </cell>
          <cell r="S1222" t="str">
            <v>2026A-02</v>
          </cell>
          <cell r="T1222" t="str">
            <v>Regular Employee</v>
          </cell>
        </row>
        <row r="1223">
          <cell r="K1223">
            <v>9.73</v>
          </cell>
          <cell r="P1223" t="str">
            <v>80111101-61021102</v>
          </cell>
          <cell r="S1223" t="str">
            <v>2026A-02</v>
          </cell>
          <cell r="T1223" t="str">
            <v>Regular Employee</v>
          </cell>
        </row>
        <row r="1224">
          <cell r="K1224">
            <v>-1326.17</v>
          </cell>
          <cell r="P1224" t="str">
            <v>80111101-61021102</v>
          </cell>
          <cell r="S1224" t="str">
            <v>2026A-02</v>
          </cell>
          <cell r="T1224" t="str">
            <v>Regular Employee</v>
          </cell>
        </row>
        <row r="1225">
          <cell r="K1225">
            <v>-585.82000000000005</v>
          </cell>
          <cell r="P1225" t="str">
            <v>80111101-61021102</v>
          </cell>
          <cell r="S1225" t="str">
            <v>2026A-02</v>
          </cell>
          <cell r="T1225" t="str">
            <v>Regular Employee</v>
          </cell>
        </row>
        <row r="1226">
          <cell r="K1226">
            <v>5193.8100000000004</v>
          </cell>
          <cell r="P1226" t="str">
            <v>80111101-61021103</v>
          </cell>
          <cell r="S1226" t="str">
            <v>2026A-02</v>
          </cell>
          <cell r="T1226" t="str">
            <v>OT Pay</v>
          </cell>
        </row>
        <row r="1227">
          <cell r="K1227">
            <v>10220.85</v>
          </cell>
          <cell r="P1227" t="str">
            <v>80111101-61021103</v>
          </cell>
          <cell r="S1227" t="str">
            <v>2026A-02</v>
          </cell>
          <cell r="T1227" t="str">
            <v>OT Pay</v>
          </cell>
        </row>
        <row r="1228">
          <cell r="K1228">
            <v>9800</v>
          </cell>
          <cell r="P1228" t="str">
            <v>80111101-61021104</v>
          </cell>
          <cell r="S1228" t="str">
            <v>2026A-02</v>
          </cell>
          <cell r="T1228" t="str">
            <v>OT Pay</v>
          </cell>
        </row>
        <row r="1229">
          <cell r="K1229">
            <v>2950</v>
          </cell>
          <cell r="P1229" t="str">
            <v>80111101-61021306</v>
          </cell>
          <cell r="S1229" t="str">
            <v>2026A-02</v>
          </cell>
          <cell r="T1229" t="str">
            <v>SSS</v>
          </cell>
        </row>
        <row r="1230">
          <cell r="K1230">
            <v>8880</v>
          </cell>
          <cell r="P1230" t="str">
            <v>80111101-61021306</v>
          </cell>
          <cell r="S1230" t="str">
            <v>2026A-02</v>
          </cell>
          <cell r="T1230" t="str">
            <v>SSS</v>
          </cell>
        </row>
        <row r="1231">
          <cell r="K1231">
            <v>200</v>
          </cell>
          <cell r="P1231" t="str">
            <v>80111101-61021306</v>
          </cell>
          <cell r="S1231" t="str">
            <v>2026A-02</v>
          </cell>
          <cell r="T1231" t="str">
            <v>Pag-ibig</v>
          </cell>
        </row>
        <row r="1232">
          <cell r="K1232">
            <v>40430</v>
          </cell>
          <cell r="P1232" t="str">
            <v>80111101-61021306</v>
          </cell>
          <cell r="S1232" t="str">
            <v>2026A-02</v>
          </cell>
          <cell r="T1232" t="str">
            <v>SSS</v>
          </cell>
        </row>
        <row r="1233">
          <cell r="K1233">
            <v>800</v>
          </cell>
          <cell r="P1233" t="str">
            <v>80111101-61021306</v>
          </cell>
          <cell r="S1233" t="str">
            <v>2026A-02</v>
          </cell>
          <cell r="T1233" t="str">
            <v>Philhealth</v>
          </cell>
        </row>
        <row r="1234">
          <cell r="K1234">
            <v>5000</v>
          </cell>
          <cell r="P1234" t="str">
            <v>80111101-61021309</v>
          </cell>
          <cell r="S1234" t="str">
            <v>2026A-02</v>
          </cell>
          <cell r="T1234" t="str">
            <v>Gas Allowance</v>
          </cell>
        </row>
        <row r="1235">
          <cell r="K1235">
            <v>10000</v>
          </cell>
          <cell r="P1235" t="str">
            <v>80111101-61021309</v>
          </cell>
          <cell r="S1235" t="str">
            <v>2026A-02</v>
          </cell>
          <cell r="T1235" t="str">
            <v>Gas Allowance</v>
          </cell>
        </row>
        <row r="1236">
          <cell r="K1236">
            <v>15000</v>
          </cell>
          <cell r="P1236" t="str">
            <v>80111101-61021309</v>
          </cell>
          <cell r="S1236" t="str">
            <v>2026A-02</v>
          </cell>
          <cell r="T1236" t="str">
            <v>Gas Allowance</v>
          </cell>
        </row>
        <row r="1237">
          <cell r="K1237">
            <v>5468.75</v>
          </cell>
          <cell r="P1237" t="str">
            <v>80124101-61711102</v>
          </cell>
          <cell r="S1237" t="str">
            <v>2026A-02</v>
          </cell>
          <cell r="T1237" t="str">
            <v>Sketchup</v>
          </cell>
        </row>
        <row r="1238">
          <cell r="K1238">
            <v>6171.88</v>
          </cell>
          <cell r="P1238" t="str">
            <v>80124101-61711102</v>
          </cell>
          <cell r="S1238" t="str">
            <v>2026A-02</v>
          </cell>
          <cell r="T1238" t="str">
            <v>Bluebeam</v>
          </cell>
        </row>
        <row r="1239">
          <cell r="K1239">
            <v>10285.709999999999</v>
          </cell>
          <cell r="P1239" t="str">
            <v>80124101-61711102</v>
          </cell>
          <cell r="S1239" t="str">
            <v>2026A-02</v>
          </cell>
          <cell r="T1239" t="str">
            <v>M365 Extra Storage</v>
          </cell>
        </row>
        <row r="1240">
          <cell r="K1240">
            <v>4453.13</v>
          </cell>
          <cell r="P1240" t="str">
            <v>80124101-61711102</v>
          </cell>
          <cell r="S1240" t="str">
            <v>2026A-02</v>
          </cell>
          <cell r="T1240" t="str">
            <v>Meraki</v>
          </cell>
        </row>
        <row r="1241">
          <cell r="K1241">
            <v>25669.64</v>
          </cell>
          <cell r="P1241" t="str">
            <v>80124101-61711102</v>
          </cell>
          <cell r="S1241" t="str">
            <v>2026A-02</v>
          </cell>
          <cell r="T1241" t="str">
            <v>SDWAN Adaptiv HQ SC</v>
          </cell>
        </row>
        <row r="1242">
          <cell r="K1242">
            <v>8809.5300000000007</v>
          </cell>
          <cell r="P1242" t="str">
            <v>80124101-61711102</v>
          </cell>
          <cell r="S1242" t="str">
            <v>2026A-02</v>
          </cell>
          <cell r="T1242" t="str">
            <v>Adobe Photoshop</v>
          </cell>
        </row>
        <row r="1243">
          <cell r="K1243">
            <v>8900.91</v>
          </cell>
          <cell r="P1243" t="str">
            <v>80124101-61711102</v>
          </cell>
          <cell r="S1243" t="str">
            <v>2026A-02</v>
          </cell>
          <cell r="T1243" t="str">
            <v>Web Hosting</v>
          </cell>
        </row>
        <row r="1244">
          <cell r="K1244">
            <v>21123.95</v>
          </cell>
          <cell r="P1244" t="str">
            <v>80124101-61711102</v>
          </cell>
          <cell r="S1244" t="str">
            <v>2026A-02</v>
          </cell>
          <cell r="T1244" t="str">
            <v>Aruba</v>
          </cell>
        </row>
        <row r="1245">
          <cell r="K1245">
            <v>56333.18</v>
          </cell>
          <cell r="P1245" t="str">
            <v>80124101-61711102</v>
          </cell>
          <cell r="S1245" t="str">
            <v>2026A-02</v>
          </cell>
          <cell r="T1245" t="str">
            <v>VMWARE</v>
          </cell>
        </row>
        <row r="1246">
          <cell r="K1246">
            <v>87944.5</v>
          </cell>
          <cell r="P1246" t="str">
            <v>80124101-61711102</v>
          </cell>
          <cell r="S1246" t="str">
            <v>2026A-02</v>
          </cell>
          <cell r="T1246" t="str">
            <v>M365 Email Security</v>
          </cell>
        </row>
        <row r="1247">
          <cell r="K1247">
            <v>365145.17</v>
          </cell>
          <cell r="P1247" t="str">
            <v>80124101-61711102</v>
          </cell>
          <cell r="S1247" t="str">
            <v>2026A-02</v>
          </cell>
          <cell r="T1247" t="str">
            <v>M365</v>
          </cell>
        </row>
        <row r="1248">
          <cell r="K1248">
            <v>55803.57</v>
          </cell>
          <cell r="P1248" t="str">
            <v>80124101-61711102</v>
          </cell>
          <cell r="S1248" t="str">
            <v>2026A-02</v>
          </cell>
          <cell r="T1248" t="str">
            <v>Kaseya</v>
          </cell>
        </row>
        <row r="1249">
          <cell r="K1249">
            <v>117708.11</v>
          </cell>
          <cell r="P1249" t="str">
            <v>80124101-61711102</v>
          </cell>
          <cell r="S1249" t="str">
            <v>2026A-02</v>
          </cell>
          <cell r="T1249" t="str">
            <v>Menlo Cloud Internet</v>
          </cell>
        </row>
        <row r="1250">
          <cell r="K1250">
            <v>80512.86</v>
          </cell>
          <cell r="P1250" t="str">
            <v>80124101-61711102</v>
          </cell>
          <cell r="S1250" t="str">
            <v>2026A-02</v>
          </cell>
          <cell r="T1250" t="str">
            <v>Crowdstrike</v>
          </cell>
        </row>
        <row r="1251">
          <cell r="K1251">
            <v>381550.63</v>
          </cell>
          <cell r="P1251" t="str">
            <v>80124101-61711102</v>
          </cell>
          <cell r="S1251" t="str">
            <v>2026A-02</v>
          </cell>
          <cell r="T1251" t="str">
            <v>SAP</v>
          </cell>
        </row>
        <row r="1252">
          <cell r="K1252">
            <v>346041.67</v>
          </cell>
          <cell r="P1252" t="str">
            <v>80134102-61711101</v>
          </cell>
          <cell r="S1252" t="str">
            <v>2026A-02</v>
          </cell>
          <cell r="T1252" t="str">
            <v>Membership - Valle Verde</v>
          </cell>
        </row>
        <row r="1253">
          <cell r="K1253">
            <v>57589.29</v>
          </cell>
          <cell r="P1253" t="str">
            <v>80134102-61711101</v>
          </cell>
          <cell r="S1253" t="str">
            <v>2026A-02</v>
          </cell>
          <cell r="T1253" t="str">
            <v>Membership - Consumables</v>
          </cell>
        </row>
        <row r="1254">
          <cell r="K1254">
            <v>125625</v>
          </cell>
          <cell r="P1254" t="str">
            <v>80134102-61711101</v>
          </cell>
          <cell r="S1254" t="str">
            <v>2026A-02</v>
          </cell>
          <cell r="T1254" t="str">
            <v>Membership - OPE</v>
          </cell>
        </row>
        <row r="1255">
          <cell r="K1255">
            <v>4500</v>
          </cell>
          <cell r="P1255" t="str">
            <v>80123101-61711101</v>
          </cell>
          <cell r="S1255" t="str">
            <v>2026A-02</v>
          </cell>
          <cell r="T1255" t="str">
            <v>Dues and Fees - Legal</v>
          </cell>
        </row>
        <row r="1256">
          <cell r="K1256">
            <v>148809.53</v>
          </cell>
          <cell r="P1256" t="str">
            <v>80314101-61731103</v>
          </cell>
          <cell r="S1256" t="str">
            <v>2026A-02</v>
          </cell>
          <cell r="T1256" t="str">
            <v>PR Retainer Fee</v>
          </cell>
        </row>
        <row r="1257">
          <cell r="K1257">
            <v>150668.79999999999</v>
          </cell>
          <cell r="P1257" t="str">
            <v>80123102-61101104</v>
          </cell>
          <cell r="S1257" t="str">
            <v>2026A-02</v>
          </cell>
          <cell r="T1257" t="str">
            <v>Insurance Vehicle</v>
          </cell>
        </row>
        <row r="1258">
          <cell r="K1258">
            <v>276298.77</v>
          </cell>
          <cell r="P1258" t="str">
            <v>80111101-61021303</v>
          </cell>
          <cell r="S1258" t="str">
            <v>2026A-02</v>
          </cell>
          <cell r="T1258" t="str">
            <v>HMO</v>
          </cell>
        </row>
        <row r="1259">
          <cell r="K1259">
            <v>62778.57</v>
          </cell>
          <cell r="P1259" t="str">
            <v>80123102-61111201</v>
          </cell>
          <cell r="S1259" t="str">
            <v>2026A-02</v>
          </cell>
          <cell r="T1259" t="str">
            <v>Shell</v>
          </cell>
        </row>
        <row r="1260">
          <cell r="K1260">
            <v>20000</v>
          </cell>
          <cell r="P1260" t="str">
            <v>80123101-61071005</v>
          </cell>
          <cell r="S1260" t="str">
            <v>2026A-02</v>
          </cell>
          <cell r="T1260" t="str">
            <v>Angara</v>
          </cell>
        </row>
        <row r="1261">
          <cell r="K1261">
            <v>10000</v>
          </cell>
          <cell r="P1261" t="str">
            <v>80123101-61071005</v>
          </cell>
          <cell r="S1261" t="str">
            <v>2026A-02</v>
          </cell>
          <cell r="T1261" t="str">
            <v>Angara</v>
          </cell>
        </row>
        <row r="1262">
          <cell r="K1262">
            <v>7000</v>
          </cell>
          <cell r="P1262" t="str">
            <v>80123101-61071005</v>
          </cell>
          <cell r="S1262" t="str">
            <v>2026A-02</v>
          </cell>
          <cell r="T1262" t="str">
            <v>Corpuz</v>
          </cell>
        </row>
        <row r="1263">
          <cell r="K1263">
            <v>41530</v>
          </cell>
          <cell r="P1263" t="str">
            <v>80124101-61721105</v>
          </cell>
          <cell r="S1263" t="str">
            <v>2026A-02</v>
          </cell>
          <cell r="T1263" t="str">
            <v>Innove - SC1</v>
          </cell>
        </row>
        <row r="1264">
          <cell r="K1264">
            <v>115000</v>
          </cell>
          <cell r="P1264" t="str">
            <v>80124101-61721105</v>
          </cell>
          <cell r="S1264" t="str">
            <v>2026A-02</v>
          </cell>
          <cell r="T1264" t="str">
            <v>Innove - HQ</v>
          </cell>
        </row>
        <row r="1265">
          <cell r="K1265">
            <v>47250.48</v>
          </cell>
          <cell r="P1265" t="str">
            <v>80123102-61721101</v>
          </cell>
          <cell r="S1265" t="str">
            <v>2026A-02</v>
          </cell>
          <cell r="T1265" t="str">
            <v>Mobile Phones</v>
          </cell>
        </row>
        <row r="1266">
          <cell r="K1266">
            <v>1070.0999999999999</v>
          </cell>
          <cell r="P1266" t="str">
            <v>80111101-52101101</v>
          </cell>
          <cell r="S1266" t="str">
            <v>2026A-02</v>
          </cell>
          <cell r="T1266" t="str">
            <v>PARI</v>
          </cell>
        </row>
        <row r="1267">
          <cell r="K1267">
            <v>428.04</v>
          </cell>
          <cell r="P1267" t="str">
            <v>80111101-52101101</v>
          </cell>
          <cell r="S1267" t="str">
            <v>2026A-02</v>
          </cell>
          <cell r="T1267" t="str">
            <v>PARI</v>
          </cell>
        </row>
        <row r="1268">
          <cell r="K1268">
            <v>214.02</v>
          </cell>
          <cell r="P1268" t="str">
            <v>80111101-52101101</v>
          </cell>
          <cell r="S1268" t="str">
            <v>2026A-02</v>
          </cell>
          <cell r="T1268" t="str">
            <v>PARI</v>
          </cell>
        </row>
        <row r="1269">
          <cell r="K1269">
            <v>214.02</v>
          </cell>
          <cell r="P1269" t="str">
            <v>80111101-52101101</v>
          </cell>
          <cell r="S1269" t="str">
            <v>2026A-02</v>
          </cell>
          <cell r="T1269" t="str">
            <v>PARI</v>
          </cell>
        </row>
        <row r="1270">
          <cell r="K1270">
            <v>1712.16</v>
          </cell>
          <cell r="P1270" t="str">
            <v>80111101-52101101</v>
          </cell>
          <cell r="S1270" t="str">
            <v>2026A-02</v>
          </cell>
          <cell r="T1270" t="str">
            <v>PARI</v>
          </cell>
        </row>
        <row r="1271">
          <cell r="K1271">
            <v>321.02999999999997</v>
          </cell>
          <cell r="P1271" t="str">
            <v>80111101-52101101</v>
          </cell>
          <cell r="S1271" t="str">
            <v>2026A-02</v>
          </cell>
          <cell r="T1271" t="str">
            <v>PARI</v>
          </cell>
        </row>
        <row r="1272">
          <cell r="K1272">
            <v>535.04999999999995</v>
          </cell>
          <cell r="P1272" t="str">
            <v>80111101-52101101</v>
          </cell>
          <cell r="S1272" t="str">
            <v>2026A-02</v>
          </cell>
          <cell r="T1272" t="str">
            <v>PARI</v>
          </cell>
        </row>
        <row r="1273">
          <cell r="K1273">
            <v>2782.27</v>
          </cell>
          <cell r="P1273" t="str">
            <v>80111101-52101101</v>
          </cell>
          <cell r="S1273" t="str">
            <v>2026A-02</v>
          </cell>
          <cell r="T1273" t="str">
            <v>PARI</v>
          </cell>
        </row>
        <row r="1274">
          <cell r="K1274">
            <v>3424.33</v>
          </cell>
          <cell r="P1274" t="str">
            <v>80111101-52101101</v>
          </cell>
          <cell r="S1274" t="str">
            <v>2026A-02</v>
          </cell>
          <cell r="T1274" t="str">
            <v>PARI</v>
          </cell>
        </row>
        <row r="1275">
          <cell r="K1275">
            <v>188600</v>
          </cell>
          <cell r="P1275" t="str">
            <v>81111101-52121101</v>
          </cell>
          <cell r="S1275" t="str">
            <v>2026A-02</v>
          </cell>
          <cell r="T1275" t="str">
            <v>Regular Employee</v>
          </cell>
        </row>
        <row r="1276">
          <cell r="K1276">
            <v>2546.59</v>
          </cell>
          <cell r="P1276" t="str">
            <v>81111101-52121101</v>
          </cell>
          <cell r="S1276" t="str">
            <v>2026A-02</v>
          </cell>
          <cell r="T1276" t="str">
            <v>Regular Employee</v>
          </cell>
        </row>
        <row r="1277">
          <cell r="K1277">
            <v>-1291.6199999999999</v>
          </cell>
          <cell r="P1277" t="str">
            <v>81111101-52121101</v>
          </cell>
          <cell r="S1277" t="str">
            <v>2026A-02</v>
          </cell>
          <cell r="T1277" t="str">
            <v>Regular Employee</v>
          </cell>
        </row>
        <row r="1278">
          <cell r="K1278">
            <v>-185.33</v>
          </cell>
          <cell r="P1278" t="str">
            <v>81111101-52121101</v>
          </cell>
          <cell r="S1278" t="str">
            <v>2026A-02</v>
          </cell>
          <cell r="T1278" t="str">
            <v>Regular Employee</v>
          </cell>
        </row>
        <row r="1279">
          <cell r="K1279">
            <v>-447.79</v>
          </cell>
          <cell r="P1279" t="str">
            <v>81111101-52121101</v>
          </cell>
          <cell r="S1279" t="str">
            <v>2026A-02</v>
          </cell>
          <cell r="T1279" t="str">
            <v>Regular Employee</v>
          </cell>
        </row>
        <row r="1280">
          <cell r="K1280">
            <v>236200</v>
          </cell>
          <cell r="P1280" t="str">
            <v>81111101-52121101</v>
          </cell>
          <cell r="S1280" t="str">
            <v>2026A-02</v>
          </cell>
          <cell r="T1280" t="str">
            <v>Regular Employee</v>
          </cell>
        </row>
        <row r="1281">
          <cell r="K1281">
            <v>2008.42</v>
          </cell>
          <cell r="P1281" t="str">
            <v>81111101-52121101</v>
          </cell>
          <cell r="S1281" t="str">
            <v>2026A-02</v>
          </cell>
          <cell r="T1281" t="str">
            <v>Regular Employee</v>
          </cell>
        </row>
        <row r="1282">
          <cell r="K1282">
            <v>-2858.05</v>
          </cell>
          <cell r="P1282" t="str">
            <v>81111101-52121101</v>
          </cell>
          <cell r="S1282" t="str">
            <v>2026A-02</v>
          </cell>
          <cell r="T1282" t="str">
            <v>Regular Employee</v>
          </cell>
        </row>
        <row r="1283">
          <cell r="K1283">
            <v>-651.53</v>
          </cell>
          <cell r="P1283" t="str">
            <v>81111101-52121101</v>
          </cell>
          <cell r="S1283" t="str">
            <v>2026A-02</v>
          </cell>
          <cell r="T1283" t="str">
            <v>Regular Employee</v>
          </cell>
        </row>
        <row r="1284">
          <cell r="K1284">
            <v>-1823.4</v>
          </cell>
          <cell r="P1284" t="str">
            <v>81111101-52121101</v>
          </cell>
          <cell r="S1284" t="str">
            <v>2026A-02</v>
          </cell>
          <cell r="T1284" t="str">
            <v>Regular Employee</v>
          </cell>
        </row>
        <row r="1285">
          <cell r="K1285">
            <v>104350</v>
          </cell>
          <cell r="P1285" t="str">
            <v>81111101-52121101</v>
          </cell>
          <cell r="S1285" t="str">
            <v>2026A-02</v>
          </cell>
          <cell r="T1285" t="str">
            <v>Regular Employee</v>
          </cell>
        </row>
        <row r="1286">
          <cell r="K1286">
            <v>-1832.08</v>
          </cell>
          <cell r="P1286" t="str">
            <v>81111101-52121101</v>
          </cell>
          <cell r="S1286" t="str">
            <v>2026A-02</v>
          </cell>
          <cell r="T1286" t="str">
            <v>Regular Employee</v>
          </cell>
        </row>
        <row r="1287">
          <cell r="K1287">
            <v>-106.2</v>
          </cell>
          <cell r="P1287" t="str">
            <v>81111101-52121101</v>
          </cell>
          <cell r="S1287" t="str">
            <v>2026A-02</v>
          </cell>
          <cell r="T1287" t="str">
            <v>Regular Employee</v>
          </cell>
        </row>
        <row r="1288">
          <cell r="K1288">
            <v>-264.51</v>
          </cell>
          <cell r="P1288" t="str">
            <v>81111101-52121101</v>
          </cell>
          <cell r="S1288" t="str">
            <v>2026A-02</v>
          </cell>
          <cell r="T1288" t="str">
            <v>Regular Employee</v>
          </cell>
        </row>
        <row r="1289">
          <cell r="K1289">
            <v>1017550</v>
          </cell>
          <cell r="P1289" t="str">
            <v>81111101-52121101</v>
          </cell>
          <cell r="S1289" t="str">
            <v>2026A-02</v>
          </cell>
          <cell r="T1289" t="str">
            <v>Regular Employee</v>
          </cell>
        </row>
        <row r="1290">
          <cell r="K1290">
            <v>1898.5</v>
          </cell>
          <cell r="P1290" t="str">
            <v>81111101-52121101</v>
          </cell>
          <cell r="S1290" t="str">
            <v>2026A-02</v>
          </cell>
          <cell r="T1290" t="str">
            <v>Regular Employee</v>
          </cell>
        </row>
        <row r="1291">
          <cell r="K1291">
            <v>-3270.28</v>
          </cell>
          <cell r="P1291" t="str">
            <v>81111101-52121101</v>
          </cell>
          <cell r="S1291" t="str">
            <v>2026A-02</v>
          </cell>
          <cell r="T1291" t="str">
            <v>Regular Employee</v>
          </cell>
        </row>
        <row r="1292">
          <cell r="K1292">
            <v>-796.91</v>
          </cell>
          <cell r="P1292" t="str">
            <v>81111101-52121101</v>
          </cell>
          <cell r="S1292" t="str">
            <v>2026A-02</v>
          </cell>
          <cell r="T1292" t="str">
            <v>Regular Employee</v>
          </cell>
        </row>
        <row r="1293">
          <cell r="K1293">
            <v>-9366.07</v>
          </cell>
          <cell r="P1293" t="str">
            <v>81111101-52121101</v>
          </cell>
          <cell r="S1293" t="str">
            <v>2026A-02</v>
          </cell>
          <cell r="T1293" t="str">
            <v>Regular Employee</v>
          </cell>
        </row>
        <row r="1294">
          <cell r="K1294">
            <v>13854.96</v>
          </cell>
          <cell r="P1294" t="str">
            <v>81111101-52121101</v>
          </cell>
          <cell r="S1294" t="str">
            <v>2026A-02</v>
          </cell>
          <cell r="T1294" t="str">
            <v>Regular Employee</v>
          </cell>
        </row>
        <row r="1295">
          <cell r="K1295">
            <v>138250</v>
          </cell>
          <cell r="P1295" t="str">
            <v>81111101-52121101</v>
          </cell>
          <cell r="S1295" t="str">
            <v>2026A-02</v>
          </cell>
          <cell r="T1295" t="str">
            <v>Regular Employee</v>
          </cell>
        </row>
        <row r="1296">
          <cell r="K1296">
            <v>1758.8</v>
          </cell>
          <cell r="P1296" t="str">
            <v>81111101-52121101</v>
          </cell>
          <cell r="S1296" t="str">
            <v>2026A-02</v>
          </cell>
          <cell r="T1296" t="str">
            <v>Regular Employee</v>
          </cell>
        </row>
        <row r="1297">
          <cell r="K1297">
            <v>-2496.21</v>
          </cell>
          <cell r="P1297" t="str">
            <v>81111101-52121101</v>
          </cell>
          <cell r="S1297" t="str">
            <v>2026A-02</v>
          </cell>
          <cell r="T1297" t="str">
            <v>Regular Employee</v>
          </cell>
        </row>
        <row r="1298">
          <cell r="K1298">
            <v>-1861.57</v>
          </cell>
          <cell r="P1298" t="str">
            <v>81111101-52121101</v>
          </cell>
          <cell r="S1298" t="str">
            <v>2026A-02</v>
          </cell>
          <cell r="T1298" t="str">
            <v>Regular Employee</v>
          </cell>
        </row>
        <row r="1299">
          <cell r="K1299">
            <v>11769.85</v>
          </cell>
          <cell r="P1299" t="str">
            <v>81111101-52121101</v>
          </cell>
          <cell r="S1299" t="str">
            <v>2026A-02</v>
          </cell>
          <cell r="T1299" t="str">
            <v>Regular Employee</v>
          </cell>
        </row>
        <row r="1300">
          <cell r="K1300">
            <v>3397.94</v>
          </cell>
          <cell r="P1300" t="str">
            <v>81111101-52121102</v>
          </cell>
          <cell r="S1300" t="str">
            <v>2026A-02</v>
          </cell>
          <cell r="T1300" t="str">
            <v>OT Pay</v>
          </cell>
        </row>
        <row r="1301">
          <cell r="K1301">
            <v>8592.48</v>
          </cell>
          <cell r="P1301" t="str">
            <v>81111101-52121102</v>
          </cell>
          <cell r="S1301" t="str">
            <v>2026A-02</v>
          </cell>
          <cell r="T1301" t="str">
            <v>OT Pay</v>
          </cell>
        </row>
        <row r="1302">
          <cell r="K1302">
            <v>23344.51</v>
          </cell>
          <cell r="P1302" t="str">
            <v>81111101-52121102</v>
          </cell>
          <cell r="S1302" t="str">
            <v>2026A-02</v>
          </cell>
          <cell r="T1302" t="str">
            <v>OT Pay</v>
          </cell>
        </row>
        <row r="1303">
          <cell r="K1303">
            <v>5200</v>
          </cell>
          <cell r="P1303" t="str">
            <v>81111101-52121103</v>
          </cell>
          <cell r="S1303" t="str">
            <v>2026A-02</v>
          </cell>
          <cell r="T1303" t="str">
            <v>OT Pay</v>
          </cell>
        </row>
        <row r="1304">
          <cell r="K1304">
            <v>3000</v>
          </cell>
          <cell r="P1304" t="str">
            <v>81111101-52121103</v>
          </cell>
          <cell r="S1304" t="str">
            <v>2026A-02</v>
          </cell>
          <cell r="T1304" t="str">
            <v>OT Pay</v>
          </cell>
        </row>
        <row r="1305">
          <cell r="K1305">
            <v>19400</v>
          </cell>
          <cell r="P1305" t="str">
            <v>81111101-52121103</v>
          </cell>
          <cell r="S1305" t="str">
            <v>2026A-02</v>
          </cell>
          <cell r="T1305" t="str">
            <v>OT Pay</v>
          </cell>
        </row>
        <row r="1306">
          <cell r="K1306">
            <v>5000</v>
          </cell>
          <cell r="P1306" t="str">
            <v>81111101-52121308</v>
          </cell>
          <cell r="S1306" t="str">
            <v>2026A-02</v>
          </cell>
          <cell r="T1306" t="str">
            <v>Gas Allowance</v>
          </cell>
        </row>
        <row r="1307">
          <cell r="K1307">
            <v>25000</v>
          </cell>
          <cell r="P1307" t="str">
            <v>81111101-52121308</v>
          </cell>
          <cell r="S1307" t="str">
            <v>2026A-02</v>
          </cell>
          <cell r="T1307" t="str">
            <v>Gas Allowance</v>
          </cell>
        </row>
        <row r="1308">
          <cell r="K1308">
            <v>455000</v>
          </cell>
          <cell r="P1308" t="str">
            <v>81122101-52071104</v>
          </cell>
          <cell r="S1308" t="str">
            <v>2026A-02</v>
          </cell>
          <cell r="T1308" t="str">
            <v>INTCNSLTNT</v>
          </cell>
        </row>
        <row r="1309">
          <cell r="K1309">
            <v>12000</v>
          </cell>
          <cell r="P1309" t="str">
            <v>81122101-52071104</v>
          </cell>
          <cell r="S1309" t="str">
            <v>2026A-02</v>
          </cell>
          <cell r="T1309" t="str">
            <v>INTCNSLTNT</v>
          </cell>
        </row>
        <row r="1310">
          <cell r="K1310">
            <v>-4030.54</v>
          </cell>
          <cell r="P1310" t="str">
            <v>81122101-52071104</v>
          </cell>
          <cell r="S1310" t="str">
            <v>2026A-02</v>
          </cell>
          <cell r="T1310" t="str">
            <v>INTCNSLTNT</v>
          </cell>
        </row>
        <row r="1311">
          <cell r="K1311">
            <v>58100</v>
          </cell>
          <cell r="P1311" t="str">
            <v>81122101-52071104</v>
          </cell>
          <cell r="S1311" t="str">
            <v>2026A-02</v>
          </cell>
          <cell r="T1311" t="str">
            <v>INTCNSLTNT</v>
          </cell>
        </row>
        <row r="1312">
          <cell r="K1312">
            <v>5937.5</v>
          </cell>
          <cell r="P1312" t="str">
            <v>81124101-52952103</v>
          </cell>
          <cell r="S1312" t="str">
            <v>2026A-02</v>
          </cell>
          <cell r="T1312" t="str">
            <v>Meraki ES</v>
          </cell>
        </row>
        <row r="1313">
          <cell r="K1313">
            <v>5442.71</v>
          </cell>
          <cell r="P1313" t="str">
            <v>81124101-52952103</v>
          </cell>
          <cell r="S1313" t="str">
            <v>2026A-02</v>
          </cell>
          <cell r="T1313" t="str">
            <v>Meraki TS</v>
          </cell>
        </row>
        <row r="1314">
          <cell r="K1314">
            <v>20461.310000000001</v>
          </cell>
          <cell r="P1314" t="str">
            <v>81124101-52952103</v>
          </cell>
          <cell r="S1314" t="str">
            <v>2026A-02</v>
          </cell>
          <cell r="T1314" t="str">
            <v>SDWAN ES TS GH</v>
          </cell>
        </row>
        <row r="1315">
          <cell r="K1315">
            <v>19223.330000000002</v>
          </cell>
          <cell r="P1315" t="str">
            <v>81124101-52952103</v>
          </cell>
          <cell r="S1315" t="str">
            <v>2026A-02</v>
          </cell>
          <cell r="T1315" t="str">
            <v>SDWAN ES TS GH</v>
          </cell>
        </row>
        <row r="1316">
          <cell r="K1316">
            <v>73422.720000000001</v>
          </cell>
          <cell r="P1316" t="str">
            <v>81124101-52952103</v>
          </cell>
          <cell r="S1316" t="str">
            <v>2026A-02</v>
          </cell>
          <cell r="T1316" t="str">
            <v>WAF</v>
          </cell>
        </row>
        <row r="1317">
          <cell r="K1317">
            <v>48771.32</v>
          </cell>
          <cell r="P1317" t="str">
            <v>81124101-52952103</v>
          </cell>
          <cell r="S1317" t="str">
            <v>2026A-02</v>
          </cell>
          <cell r="T1317" t="str">
            <v>Palo Alto</v>
          </cell>
        </row>
        <row r="1318">
          <cell r="K1318">
            <v>39285.71</v>
          </cell>
          <cell r="P1318" t="str">
            <v>81124101-52952103</v>
          </cell>
          <cell r="S1318" t="str">
            <v>2026A-02</v>
          </cell>
          <cell r="T1318" t="str">
            <v>Datrium</v>
          </cell>
        </row>
        <row r="1319">
          <cell r="K1319">
            <v>20203.89</v>
          </cell>
          <cell r="P1319" t="str">
            <v>81124101-52952103</v>
          </cell>
          <cell r="S1319" t="str">
            <v>2026A-02</v>
          </cell>
          <cell r="T1319" t="str">
            <v>Aircuve</v>
          </cell>
        </row>
        <row r="1320">
          <cell r="K1320">
            <v>44642.86</v>
          </cell>
          <cell r="P1320" t="str">
            <v>81124101-52952103</v>
          </cell>
          <cell r="S1320" t="str">
            <v>2026A-02</v>
          </cell>
          <cell r="T1320" t="str">
            <v>Acronis</v>
          </cell>
        </row>
        <row r="1321">
          <cell r="K1321">
            <v>117682.35</v>
          </cell>
          <cell r="P1321" t="str">
            <v>81124101-52952103</v>
          </cell>
          <cell r="S1321" t="str">
            <v>2026A-02</v>
          </cell>
          <cell r="T1321" t="str">
            <v>M365</v>
          </cell>
        </row>
        <row r="1322">
          <cell r="K1322">
            <v>15557.36</v>
          </cell>
          <cell r="P1322" t="str">
            <v>81124101-52952103</v>
          </cell>
          <cell r="S1322" t="str">
            <v>2026A-02</v>
          </cell>
          <cell r="T1322" t="str">
            <v>HPE Server Maintenance</v>
          </cell>
        </row>
        <row r="1323">
          <cell r="K1323">
            <v>4021.12</v>
          </cell>
          <cell r="P1323" t="str">
            <v>81111101-52031101</v>
          </cell>
          <cell r="S1323" t="str">
            <v>2026A-02</v>
          </cell>
          <cell r="T1323" t="str">
            <v>Other Taxes</v>
          </cell>
        </row>
        <row r="1324">
          <cell r="K1324">
            <v>624.5</v>
          </cell>
          <cell r="P1324" t="str">
            <v>81111101-52101101</v>
          </cell>
          <cell r="S1324" t="str">
            <v>2026A-02</v>
          </cell>
          <cell r="T1324" t="str">
            <v>PARI</v>
          </cell>
        </row>
        <row r="1325">
          <cell r="K1325">
            <v>249.8</v>
          </cell>
          <cell r="P1325" t="str">
            <v>81111101-52101101</v>
          </cell>
          <cell r="S1325" t="str">
            <v>2026A-02</v>
          </cell>
          <cell r="T1325" t="str">
            <v>PARI</v>
          </cell>
        </row>
        <row r="1326">
          <cell r="K1326">
            <v>124.9</v>
          </cell>
          <cell r="P1326" t="str">
            <v>81111101-52101101</v>
          </cell>
          <cell r="S1326" t="str">
            <v>2026A-02</v>
          </cell>
          <cell r="T1326" t="str">
            <v>PARI</v>
          </cell>
        </row>
        <row r="1327">
          <cell r="K1327">
            <v>124.9</v>
          </cell>
          <cell r="P1327" t="str">
            <v>81111101-52101101</v>
          </cell>
          <cell r="S1327" t="str">
            <v>2026A-02</v>
          </cell>
          <cell r="T1327" t="str">
            <v>PARI</v>
          </cell>
        </row>
        <row r="1328">
          <cell r="K1328">
            <v>999.19</v>
          </cell>
          <cell r="P1328" t="str">
            <v>81111101-52101101</v>
          </cell>
          <cell r="S1328" t="str">
            <v>2026A-02</v>
          </cell>
          <cell r="T1328" t="str">
            <v>PARI</v>
          </cell>
        </row>
        <row r="1329">
          <cell r="K1329">
            <v>187.35</v>
          </cell>
          <cell r="P1329" t="str">
            <v>81111101-52101101</v>
          </cell>
          <cell r="S1329" t="str">
            <v>2026A-02</v>
          </cell>
          <cell r="T1329" t="str">
            <v>PARI</v>
          </cell>
        </row>
        <row r="1330">
          <cell r="K1330">
            <v>312.25</v>
          </cell>
          <cell r="P1330" t="str">
            <v>81111101-52101101</v>
          </cell>
          <cell r="S1330" t="str">
            <v>2026A-02</v>
          </cell>
          <cell r="T1330" t="str">
            <v>PARI</v>
          </cell>
        </row>
        <row r="1331">
          <cell r="K1331">
            <v>1623.69</v>
          </cell>
          <cell r="P1331" t="str">
            <v>81111101-52101101</v>
          </cell>
          <cell r="S1331" t="str">
            <v>2026A-02</v>
          </cell>
          <cell r="T1331" t="str">
            <v>PARI</v>
          </cell>
        </row>
        <row r="1332">
          <cell r="K1332">
            <v>1998.39</v>
          </cell>
          <cell r="P1332" t="str">
            <v>81111101-52101101</v>
          </cell>
          <cell r="S1332" t="str">
            <v>2026A-02</v>
          </cell>
          <cell r="T1332" t="str">
            <v>PARI</v>
          </cell>
        </row>
        <row r="1333">
          <cell r="K1333">
            <v>1151.92</v>
          </cell>
          <cell r="P1333" t="str">
            <v>81111101-52101105</v>
          </cell>
          <cell r="S1333" t="str">
            <v>2026A-02</v>
          </cell>
          <cell r="T1333" t="str">
            <v>PTS</v>
          </cell>
        </row>
        <row r="1334">
          <cell r="K1334">
            <v>4427.08</v>
          </cell>
          <cell r="P1334" t="str">
            <v>81111101-52121303</v>
          </cell>
          <cell r="S1334" t="str">
            <v>2026A-02</v>
          </cell>
          <cell r="T1334" t="str">
            <v>HMO</v>
          </cell>
        </row>
        <row r="1335">
          <cell r="K1335">
            <v>181571.17</v>
          </cell>
          <cell r="P1335" t="str">
            <v>81111101-52121303</v>
          </cell>
          <cell r="S1335" t="str">
            <v>2026A-02</v>
          </cell>
          <cell r="T1335" t="str">
            <v>HMO</v>
          </cell>
        </row>
        <row r="1336">
          <cell r="K1336">
            <v>6240</v>
          </cell>
          <cell r="P1336" t="str">
            <v>81111101-52121301</v>
          </cell>
          <cell r="S1336" t="str">
            <v>2026A-02</v>
          </cell>
          <cell r="T1336" t="str">
            <v>Life Insurance</v>
          </cell>
        </row>
        <row r="1337">
          <cell r="K1337">
            <v>300000</v>
          </cell>
          <cell r="P1337" t="str">
            <v>81111101-52041495</v>
          </cell>
          <cell r="S1337" t="str">
            <v>2026A-02</v>
          </cell>
          <cell r="T1337" t="str">
            <v>BTs</v>
          </cell>
        </row>
        <row r="1338">
          <cell r="K1338">
            <v>52500</v>
          </cell>
          <cell r="P1338" t="str">
            <v>81111101-52041495</v>
          </cell>
          <cell r="S1338" t="str">
            <v>2026A-02</v>
          </cell>
          <cell r="T1338" t="str">
            <v>BTs</v>
          </cell>
        </row>
        <row r="1339">
          <cell r="K1339">
            <v>52500</v>
          </cell>
          <cell r="P1339" t="str">
            <v>81111101-52041495</v>
          </cell>
          <cell r="S1339" t="str">
            <v>2026A-02</v>
          </cell>
          <cell r="T1339" t="str">
            <v>BTs</v>
          </cell>
        </row>
        <row r="1340">
          <cell r="K1340">
            <v>205500</v>
          </cell>
          <cell r="P1340" t="str">
            <v>81111101-52041499</v>
          </cell>
          <cell r="S1340" t="str">
            <v>2026A-02</v>
          </cell>
          <cell r="T1340" t="str">
            <v>Admin Staff (SFI)</v>
          </cell>
        </row>
        <row r="1341">
          <cell r="K1341">
            <v>45500</v>
          </cell>
          <cell r="P1341" t="str">
            <v>81111101-52041499</v>
          </cell>
          <cell r="S1341" t="str">
            <v>2026A-02</v>
          </cell>
          <cell r="T1341" t="str">
            <v>Admin Staff (H&amp;K)</v>
          </cell>
        </row>
        <row r="1342">
          <cell r="K1342">
            <v>44500</v>
          </cell>
          <cell r="P1342" t="str">
            <v>81111101-52041499</v>
          </cell>
          <cell r="S1342" t="str">
            <v>2026A-02</v>
          </cell>
          <cell r="T1342" t="str">
            <v>Admin Staff (TAHj)</v>
          </cell>
        </row>
        <row r="1343">
          <cell r="K1343">
            <v>44500</v>
          </cell>
          <cell r="P1343" t="str">
            <v>81111101-52041499</v>
          </cell>
          <cell r="S1343" t="str">
            <v>2026A-02</v>
          </cell>
          <cell r="T1343" t="str">
            <v>Admin Staff (TAHj)</v>
          </cell>
        </row>
        <row r="1344">
          <cell r="K1344">
            <v>425000</v>
          </cell>
          <cell r="P1344" t="str">
            <v>81111101-52041495</v>
          </cell>
          <cell r="S1344" t="str">
            <v>2026A-02</v>
          </cell>
          <cell r="T1344" t="str">
            <v>BTs</v>
          </cell>
        </row>
        <row r="1345">
          <cell r="K1345">
            <v>3234356.33</v>
          </cell>
          <cell r="P1345" t="str">
            <v>90111101-52121304</v>
          </cell>
          <cell r="S1345" t="str">
            <v>2026A-02</v>
          </cell>
          <cell r="T1345" t="str">
            <v>Retirement</v>
          </cell>
        </row>
        <row r="1346">
          <cell r="K1346">
            <v>3161200</v>
          </cell>
          <cell r="P1346" t="str">
            <v>90111101-52121101</v>
          </cell>
          <cell r="S1346" t="str">
            <v>2026A-02</v>
          </cell>
          <cell r="T1346" t="str">
            <v>Regular Employee</v>
          </cell>
        </row>
        <row r="1347">
          <cell r="K1347">
            <v>15799.46</v>
          </cell>
          <cell r="P1347" t="str">
            <v>90111101-52121101</v>
          </cell>
          <cell r="S1347" t="str">
            <v>2026A-02</v>
          </cell>
          <cell r="T1347" t="str">
            <v>Regular Employee</v>
          </cell>
        </row>
        <row r="1348">
          <cell r="K1348">
            <v>-6065.56</v>
          </cell>
          <cell r="P1348" t="str">
            <v>90111101-52121101</v>
          </cell>
          <cell r="S1348" t="str">
            <v>2026A-02</v>
          </cell>
          <cell r="T1348" t="str">
            <v>Regular Employee</v>
          </cell>
        </row>
        <row r="1349">
          <cell r="K1349">
            <v>-3192.56</v>
          </cell>
          <cell r="P1349" t="str">
            <v>90111101-52121101</v>
          </cell>
          <cell r="S1349" t="str">
            <v>2026A-02</v>
          </cell>
          <cell r="T1349" t="str">
            <v>Regular Employee</v>
          </cell>
        </row>
        <row r="1350">
          <cell r="K1350">
            <v>-12531.46</v>
          </cell>
          <cell r="P1350" t="str">
            <v>90111101-52121101</v>
          </cell>
          <cell r="S1350" t="str">
            <v>2026A-02</v>
          </cell>
          <cell r="T1350" t="str">
            <v>Regular Employee</v>
          </cell>
        </row>
        <row r="1351">
          <cell r="K1351">
            <v>718200</v>
          </cell>
          <cell r="P1351" t="str">
            <v>90111101-52121101</v>
          </cell>
          <cell r="S1351" t="str">
            <v>2026A-02</v>
          </cell>
          <cell r="T1351" t="str">
            <v>Regular Employee</v>
          </cell>
        </row>
        <row r="1352">
          <cell r="K1352">
            <v>3233.63</v>
          </cell>
          <cell r="P1352" t="str">
            <v>90111101-52121101</v>
          </cell>
          <cell r="S1352" t="str">
            <v>2026A-02</v>
          </cell>
          <cell r="T1352" t="str">
            <v>Regular Employee</v>
          </cell>
        </row>
        <row r="1353">
          <cell r="K1353">
            <v>-28.29</v>
          </cell>
          <cell r="P1353" t="str">
            <v>90111101-52121101</v>
          </cell>
          <cell r="S1353" t="str">
            <v>2026A-02</v>
          </cell>
          <cell r="T1353" t="str">
            <v>Regular Employee</v>
          </cell>
        </row>
        <row r="1354">
          <cell r="K1354">
            <v>2097050</v>
          </cell>
          <cell r="P1354" t="str">
            <v>90111101-52121101</v>
          </cell>
          <cell r="S1354" t="str">
            <v>2026A-02</v>
          </cell>
          <cell r="T1354" t="str">
            <v>Regular Employee</v>
          </cell>
        </row>
        <row r="1355">
          <cell r="K1355">
            <v>3451.19</v>
          </cell>
          <cell r="P1355" t="str">
            <v>90111101-52121101</v>
          </cell>
          <cell r="S1355" t="str">
            <v>2026A-02</v>
          </cell>
          <cell r="T1355" t="str">
            <v>Regular Employee</v>
          </cell>
        </row>
        <row r="1356">
          <cell r="K1356">
            <v>-5680.46</v>
          </cell>
          <cell r="P1356" t="str">
            <v>90111101-52121101</v>
          </cell>
          <cell r="S1356" t="str">
            <v>2026A-02</v>
          </cell>
          <cell r="T1356" t="str">
            <v>Regular Employee</v>
          </cell>
        </row>
        <row r="1357">
          <cell r="K1357">
            <v>-4636.2299999999996</v>
          </cell>
          <cell r="P1357" t="str">
            <v>90111101-52121101</v>
          </cell>
          <cell r="S1357" t="str">
            <v>2026A-02</v>
          </cell>
          <cell r="T1357" t="str">
            <v>Regular Employee</v>
          </cell>
        </row>
        <row r="1358">
          <cell r="K1358">
            <v>-7864.22</v>
          </cell>
          <cell r="P1358" t="str">
            <v>90111101-52121101</v>
          </cell>
          <cell r="S1358" t="str">
            <v>2026A-02</v>
          </cell>
          <cell r="T1358" t="str">
            <v>Regular Employee</v>
          </cell>
        </row>
        <row r="1359">
          <cell r="K1359">
            <v>1377725</v>
          </cell>
          <cell r="P1359" t="str">
            <v>90111101-52121101</v>
          </cell>
          <cell r="S1359" t="str">
            <v>2026A-02</v>
          </cell>
          <cell r="T1359" t="str">
            <v>Regular Employee</v>
          </cell>
        </row>
        <row r="1360">
          <cell r="K1360">
            <v>27050</v>
          </cell>
          <cell r="P1360" t="str">
            <v>90111101-52121101</v>
          </cell>
          <cell r="S1360" t="str">
            <v>2026A-02</v>
          </cell>
          <cell r="T1360" t="str">
            <v>Regular Employee</v>
          </cell>
        </row>
        <row r="1361">
          <cell r="K1361">
            <v>-687.6</v>
          </cell>
          <cell r="P1361" t="str">
            <v>90111101-52121101</v>
          </cell>
          <cell r="S1361" t="str">
            <v>2026A-02</v>
          </cell>
          <cell r="T1361" t="str">
            <v>Regular Employee</v>
          </cell>
        </row>
        <row r="1362">
          <cell r="K1362">
            <v>494200</v>
          </cell>
          <cell r="P1362" t="str">
            <v>90111101-52121101</v>
          </cell>
          <cell r="S1362" t="str">
            <v>2026A-02</v>
          </cell>
          <cell r="T1362" t="str">
            <v>Regular Employee</v>
          </cell>
        </row>
        <row r="1363">
          <cell r="K1363">
            <v>-1865.13</v>
          </cell>
          <cell r="P1363" t="str">
            <v>90111101-52121101</v>
          </cell>
          <cell r="S1363" t="str">
            <v>2026A-02</v>
          </cell>
          <cell r="T1363" t="str">
            <v>Regular Employee</v>
          </cell>
        </row>
        <row r="1364">
          <cell r="K1364">
            <v>-38.03</v>
          </cell>
          <cell r="P1364" t="str">
            <v>90111101-52121101</v>
          </cell>
          <cell r="S1364" t="str">
            <v>2026A-02</v>
          </cell>
          <cell r="T1364" t="str">
            <v>Regular Employee</v>
          </cell>
        </row>
        <row r="1365">
          <cell r="K1365">
            <v>470350</v>
          </cell>
          <cell r="P1365" t="str">
            <v>90111101-52121101</v>
          </cell>
          <cell r="S1365" t="str">
            <v>2026A-02</v>
          </cell>
          <cell r="T1365" t="str">
            <v>Regular Employee</v>
          </cell>
        </row>
        <row r="1366">
          <cell r="K1366">
            <v>-458.42</v>
          </cell>
          <cell r="P1366" t="str">
            <v>90111101-52121101</v>
          </cell>
          <cell r="S1366" t="str">
            <v>2026A-02</v>
          </cell>
          <cell r="T1366" t="str">
            <v>Regular Employee</v>
          </cell>
        </row>
        <row r="1367">
          <cell r="K1367">
            <v>-136.85</v>
          </cell>
          <cell r="P1367" t="str">
            <v>90111101-52121101</v>
          </cell>
          <cell r="S1367" t="str">
            <v>2026A-02</v>
          </cell>
          <cell r="T1367" t="str">
            <v>Regular Employee</v>
          </cell>
        </row>
        <row r="1368">
          <cell r="K1368">
            <v>14388.47</v>
          </cell>
          <cell r="P1368" t="str">
            <v>90111101-52121102</v>
          </cell>
          <cell r="S1368" t="str">
            <v>2026A-02</v>
          </cell>
          <cell r="T1368" t="str">
            <v>OT Pay</v>
          </cell>
        </row>
        <row r="1369">
          <cell r="K1369">
            <v>10184.52</v>
          </cell>
          <cell r="P1369" t="str">
            <v>90111101-52121102</v>
          </cell>
          <cell r="S1369" t="str">
            <v>2026A-02</v>
          </cell>
          <cell r="T1369" t="str">
            <v>OT Pay</v>
          </cell>
        </row>
        <row r="1370">
          <cell r="K1370">
            <v>1649.32</v>
          </cell>
          <cell r="P1370" t="str">
            <v>90111101-52121102</v>
          </cell>
          <cell r="S1370" t="str">
            <v>2026A-02</v>
          </cell>
          <cell r="T1370" t="str">
            <v>OT Pay</v>
          </cell>
        </row>
        <row r="1371">
          <cell r="K1371">
            <v>3666.79</v>
          </cell>
          <cell r="P1371" t="str">
            <v>90111101-52121102</v>
          </cell>
          <cell r="S1371" t="str">
            <v>2026A-02</v>
          </cell>
          <cell r="T1371" t="str">
            <v>OT Pay</v>
          </cell>
        </row>
        <row r="1372">
          <cell r="K1372">
            <v>800</v>
          </cell>
          <cell r="P1372" t="str">
            <v>90111101-52121103</v>
          </cell>
          <cell r="S1372" t="str">
            <v>2026A-02</v>
          </cell>
          <cell r="T1372" t="str">
            <v>OT Pay</v>
          </cell>
        </row>
        <row r="1373">
          <cell r="K1373">
            <v>1661171</v>
          </cell>
          <cell r="P1373" t="str">
            <v>90111101-52121106</v>
          </cell>
          <cell r="S1373" t="str">
            <v>2026A-02</v>
          </cell>
          <cell r="T1373" t="str">
            <v>SL conversion</v>
          </cell>
        </row>
        <row r="1374">
          <cell r="K1374">
            <v>932780.15</v>
          </cell>
          <cell r="P1374" t="str">
            <v>90111101-52121106</v>
          </cell>
          <cell r="S1374" t="str">
            <v>2026A-02</v>
          </cell>
          <cell r="T1374" t="str">
            <v>SL conversion</v>
          </cell>
        </row>
        <row r="1375">
          <cell r="K1375">
            <v>1791095.03</v>
          </cell>
          <cell r="P1375" t="str">
            <v>90111101-52121106</v>
          </cell>
          <cell r="S1375" t="str">
            <v>2026A-02</v>
          </cell>
          <cell r="T1375" t="str">
            <v>SL conversion</v>
          </cell>
        </row>
        <row r="1376">
          <cell r="K1376">
            <v>336123.66</v>
          </cell>
          <cell r="P1376" t="str">
            <v>90111101-52121106</v>
          </cell>
          <cell r="S1376" t="str">
            <v>2026A-02</v>
          </cell>
          <cell r="T1376" t="str">
            <v>SL conversion</v>
          </cell>
        </row>
        <row r="1377">
          <cell r="K1377">
            <v>107752.67</v>
          </cell>
          <cell r="P1377" t="str">
            <v>90111101-52121106</v>
          </cell>
          <cell r="S1377" t="str">
            <v>2026A-02</v>
          </cell>
          <cell r="T1377" t="str">
            <v>SL conversion</v>
          </cell>
        </row>
        <row r="1378">
          <cell r="K1378">
            <v>64620</v>
          </cell>
          <cell r="P1378" t="str">
            <v>90111101-52121305</v>
          </cell>
          <cell r="S1378" t="str">
            <v>2026A-02</v>
          </cell>
          <cell r="T1378" t="str">
            <v>SSS</v>
          </cell>
        </row>
        <row r="1379">
          <cell r="K1379">
            <v>6500</v>
          </cell>
          <cell r="P1379" t="str">
            <v>90111101-52121305</v>
          </cell>
          <cell r="S1379" t="str">
            <v>2026A-02</v>
          </cell>
          <cell r="T1379" t="str">
            <v>SSS</v>
          </cell>
        </row>
        <row r="1380">
          <cell r="K1380">
            <v>49960</v>
          </cell>
          <cell r="P1380" t="str">
            <v>90111101-52121305</v>
          </cell>
          <cell r="S1380" t="str">
            <v>2026A-02</v>
          </cell>
          <cell r="T1380" t="str">
            <v>SSS</v>
          </cell>
        </row>
        <row r="1381">
          <cell r="K1381">
            <v>600</v>
          </cell>
          <cell r="P1381" t="str">
            <v>90111101-52121305</v>
          </cell>
          <cell r="S1381" t="str">
            <v>2026A-02</v>
          </cell>
          <cell r="T1381" t="str">
            <v>SSS</v>
          </cell>
        </row>
        <row r="1382">
          <cell r="K1382">
            <v>850</v>
          </cell>
          <cell r="P1382" t="str">
            <v>90111101-52121305</v>
          </cell>
          <cell r="S1382" t="str">
            <v>2026A-02</v>
          </cell>
          <cell r="T1382" t="str">
            <v>SSS</v>
          </cell>
        </row>
        <row r="1383">
          <cell r="K1383">
            <v>6020</v>
          </cell>
          <cell r="P1383" t="str">
            <v>90111101-52121305</v>
          </cell>
          <cell r="S1383" t="str">
            <v>2026A-02</v>
          </cell>
          <cell r="T1383" t="str">
            <v>SSS</v>
          </cell>
        </row>
        <row r="1384">
          <cell r="K1384">
            <v>6790</v>
          </cell>
          <cell r="P1384" t="str">
            <v>90111101-52121305</v>
          </cell>
          <cell r="S1384" t="str">
            <v>2026A-02</v>
          </cell>
          <cell r="T1384" t="str">
            <v>SSS</v>
          </cell>
        </row>
        <row r="1385">
          <cell r="K1385">
            <v>215500</v>
          </cell>
          <cell r="P1385" t="str">
            <v>90111101-52121308</v>
          </cell>
          <cell r="S1385" t="str">
            <v>2026A-02</v>
          </cell>
          <cell r="T1385" t="str">
            <v>Gas Allowance</v>
          </cell>
        </row>
        <row r="1386">
          <cell r="K1386">
            <v>29000</v>
          </cell>
          <cell r="P1386" t="str">
            <v>90111101-52121308</v>
          </cell>
          <cell r="S1386" t="str">
            <v>2026A-02</v>
          </cell>
          <cell r="T1386" t="str">
            <v>Gas Allowance</v>
          </cell>
        </row>
        <row r="1387">
          <cell r="K1387">
            <v>174250</v>
          </cell>
          <cell r="P1387" t="str">
            <v>90111101-52121308</v>
          </cell>
          <cell r="S1387" t="str">
            <v>2026A-02</v>
          </cell>
          <cell r="T1387" t="str">
            <v>Gas Allowance</v>
          </cell>
        </row>
        <row r="1388">
          <cell r="K1388">
            <v>48000</v>
          </cell>
          <cell r="P1388" t="str">
            <v>90111101-52121308</v>
          </cell>
          <cell r="S1388" t="str">
            <v>2026A-02</v>
          </cell>
          <cell r="T1388" t="str">
            <v>Gas Allowance</v>
          </cell>
        </row>
        <row r="1389">
          <cell r="K1389">
            <v>53750</v>
          </cell>
          <cell r="P1389" t="str">
            <v>90111101-52121308</v>
          </cell>
          <cell r="S1389" t="str">
            <v>2026A-02</v>
          </cell>
          <cell r="T1389" t="str">
            <v>Gas Allowance</v>
          </cell>
        </row>
        <row r="1390">
          <cell r="K1390">
            <v>46250</v>
          </cell>
          <cell r="P1390" t="str">
            <v>90111101-52121308</v>
          </cell>
          <cell r="S1390" t="str">
            <v>2026A-02</v>
          </cell>
          <cell r="T1390" t="str">
            <v>Gas Allowance</v>
          </cell>
        </row>
        <row r="1391">
          <cell r="K1391">
            <v>372955.42</v>
          </cell>
          <cell r="P1391" t="str">
            <v>90111101-52031101</v>
          </cell>
          <cell r="S1391" t="str">
            <v>2026A-02</v>
          </cell>
          <cell r="T1391" t="str">
            <v>Other Taxes</v>
          </cell>
        </row>
        <row r="1392">
          <cell r="K1392">
            <v>1442.91</v>
          </cell>
          <cell r="P1392" t="str">
            <v>90111101-52031101</v>
          </cell>
          <cell r="S1392" t="str">
            <v>2026A-02</v>
          </cell>
          <cell r="T1392" t="str">
            <v>Other Taxes</v>
          </cell>
        </row>
        <row r="1393">
          <cell r="K1393">
            <v>16817.080000000002</v>
          </cell>
          <cell r="P1393" t="str">
            <v>90111101-52121301</v>
          </cell>
          <cell r="S1393" t="str">
            <v>2026A-02</v>
          </cell>
          <cell r="T1393" t="str">
            <v>Sun Life - MDIA</v>
          </cell>
        </row>
        <row r="1394">
          <cell r="K1394">
            <v>38124.080000000002</v>
          </cell>
          <cell r="P1394" t="str">
            <v>90111101-52121303</v>
          </cell>
          <cell r="S1394" t="str">
            <v>2026A-02</v>
          </cell>
          <cell r="T1394" t="str">
            <v>Pacific Cross Insurance Policy (USD) - MDIA</v>
          </cell>
        </row>
        <row r="1395">
          <cell r="K1395">
            <v>30416.67</v>
          </cell>
          <cell r="P1395" t="str">
            <v>90111101-52101107</v>
          </cell>
          <cell r="S1395" t="str">
            <v>2026A-02</v>
          </cell>
          <cell r="T1395" t="str">
            <v>DOL</v>
          </cell>
        </row>
        <row r="1396">
          <cell r="K1396">
            <v>3802.08</v>
          </cell>
          <cell r="P1396" t="str">
            <v>90111101-52101107</v>
          </cell>
          <cell r="S1396" t="str">
            <v>2026A-02</v>
          </cell>
          <cell r="T1396" t="str">
            <v>DOL</v>
          </cell>
        </row>
        <row r="1397">
          <cell r="K1397">
            <v>60.83</v>
          </cell>
          <cell r="P1397" t="str">
            <v>90111101-52101107</v>
          </cell>
          <cell r="S1397" t="str">
            <v>2026A-02</v>
          </cell>
          <cell r="T1397" t="str">
            <v>DOL</v>
          </cell>
        </row>
        <row r="1398">
          <cell r="K1398">
            <v>46666.67</v>
          </cell>
          <cell r="P1398" t="str">
            <v>90122101-52121315</v>
          </cell>
          <cell r="S1398" t="str">
            <v>2026A-02</v>
          </cell>
          <cell r="T1398" t="str">
            <v>Jobstreet</v>
          </cell>
        </row>
        <row r="1399">
          <cell r="K1399">
            <v>1968.75</v>
          </cell>
          <cell r="P1399" t="str">
            <v>90122101-52121315</v>
          </cell>
          <cell r="S1399" t="str">
            <v>2026A-02</v>
          </cell>
          <cell r="T1399" t="str">
            <v>Jobstreet</v>
          </cell>
        </row>
        <row r="1400">
          <cell r="K1400">
            <v>108333.33</v>
          </cell>
          <cell r="P1400" t="str">
            <v>90111101-52071199</v>
          </cell>
          <cell r="S1400" t="str">
            <v>2026A-02</v>
          </cell>
          <cell r="T1400" t="str">
            <v>Lacson</v>
          </cell>
        </row>
        <row r="1401">
          <cell r="K1401">
            <v>14843.75</v>
          </cell>
          <cell r="P1401" t="str">
            <v>90111101-52071199</v>
          </cell>
          <cell r="S1401" t="str">
            <v>2026A-02</v>
          </cell>
          <cell r="T1401" t="str">
            <v>Lacson</v>
          </cell>
        </row>
        <row r="1402">
          <cell r="K1402">
            <v>975000</v>
          </cell>
          <cell r="P1402" t="str">
            <v>90111101-52121303</v>
          </cell>
          <cell r="S1402" t="str">
            <v>2026A-02</v>
          </cell>
          <cell r="T1402" t="str">
            <v>HMO</v>
          </cell>
        </row>
        <row r="1403">
          <cell r="K1403">
            <v>296875</v>
          </cell>
          <cell r="P1403" t="str">
            <v>90111101-52121303</v>
          </cell>
          <cell r="S1403" t="str">
            <v>2026A-02</v>
          </cell>
          <cell r="T1403" t="str">
            <v>HMO</v>
          </cell>
        </row>
        <row r="1404">
          <cell r="K1404">
            <v>612221.15</v>
          </cell>
          <cell r="P1404" t="str">
            <v>90111101-52121303</v>
          </cell>
          <cell r="S1404" t="str">
            <v>2026A-02</v>
          </cell>
          <cell r="T1404" t="str">
            <v>HMO</v>
          </cell>
        </row>
        <row r="1405">
          <cell r="K1405">
            <v>45453.32</v>
          </cell>
          <cell r="P1405" t="str">
            <v>90111101-52041495</v>
          </cell>
          <cell r="S1405" t="str">
            <v>2026A-02</v>
          </cell>
          <cell r="T1405" t="str">
            <v>BDO CMC</v>
          </cell>
        </row>
        <row r="1406">
          <cell r="K1406">
            <v>300</v>
          </cell>
          <cell r="P1406" t="str">
            <v>81123101-52071102</v>
          </cell>
          <cell r="S1406" t="str">
            <v>2026A-02</v>
          </cell>
          <cell r="T1406" t="str">
            <v>Notarial Fees</v>
          </cell>
        </row>
        <row r="1407">
          <cell r="K1407">
            <v>300</v>
          </cell>
          <cell r="P1407" t="str">
            <v>81123101-52071102</v>
          </cell>
          <cell r="S1407" t="str">
            <v>2026A-02</v>
          </cell>
          <cell r="T1407" t="str">
            <v>Notarial Fees</v>
          </cell>
        </row>
        <row r="1408">
          <cell r="K1408">
            <v>150</v>
          </cell>
          <cell r="P1408" t="str">
            <v>81123101-52071102</v>
          </cell>
          <cell r="S1408" t="str">
            <v>2026A-02</v>
          </cell>
          <cell r="T1408" t="str">
            <v>Notarial Fees</v>
          </cell>
        </row>
        <row r="1409">
          <cell r="K1409">
            <v>150</v>
          </cell>
          <cell r="P1409" t="str">
            <v>81123101-52071102</v>
          </cell>
          <cell r="S1409" t="str">
            <v>2026A-02</v>
          </cell>
          <cell r="T1409" t="str">
            <v>Notarial Fees</v>
          </cell>
        </row>
        <row r="1410">
          <cell r="K1410">
            <v>150</v>
          </cell>
          <cell r="P1410" t="str">
            <v>81123101-52071102</v>
          </cell>
          <cell r="S1410" t="str">
            <v>2026A-02</v>
          </cell>
          <cell r="T1410" t="str">
            <v>Notarial Fees</v>
          </cell>
        </row>
        <row r="1411">
          <cell r="K1411">
            <v>150</v>
          </cell>
          <cell r="P1411" t="str">
            <v>81123101-52071102</v>
          </cell>
          <cell r="S1411" t="str">
            <v>2026A-02</v>
          </cell>
          <cell r="T1411" t="str">
            <v>Notarial Fees</v>
          </cell>
        </row>
        <row r="1412">
          <cell r="K1412">
            <v>150</v>
          </cell>
          <cell r="P1412" t="str">
            <v>81123101-52071102</v>
          </cell>
          <cell r="S1412" t="str">
            <v>2026A-02</v>
          </cell>
          <cell r="T1412" t="str">
            <v>Notarial Fees</v>
          </cell>
        </row>
        <row r="1413">
          <cell r="K1413">
            <v>1050</v>
          </cell>
          <cell r="P1413" t="str">
            <v>81123101-52071102</v>
          </cell>
          <cell r="S1413" t="str">
            <v>2026A-02</v>
          </cell>
          <cell r="T1413" t="str">
            <v>Notarial Fees</v>
          </cell>
        </row>
        <row r="1414">
          <cell r="K1414">
            <v>150</v>
          </cell>
          <cell r="P1414" t="str">
            <v>81123101-52071102</v>
          </cell>
          <cell r="S1414" t="str">
            <v>2026A-02</v>
          </cell>
          <cell r="T1414" t="str">
            <v>Notarial Fees</v>
          </cell>
        </row>
        <row r="1415">
          <cell r="K1415">
            <v>150</v>
          </cell>
          <cell r="P1415" t="str">
            <v>81123101-52071102</v>
          </cell>
          <cell r="S1415" t="str">
            <v>2026A-02</v>
          </cell>
          <cell r="T1415" t="str">
            <v>Notarial Fees</v>
          </cell>
        </row>
        <row r="1416">
          <cell r="K1416">
            <v>45453.32</v>
          </cell>
          <cell r="P1416" t="str">
            <v>90111101-52041495</v>
          </cell>
          <cell r="S1416" t="str">
            <v>2026A-02</v>
          </cell>
          <cell r="T1416" t="str">
            <v>BDO CMC</v>
          </cell>
        </row>
        <row r="1417">
          <cell r="K1417">
            <v>459022.2</v>
          </cell>
          <cell r="P1417" t="str">
            <v>81221201-61959999</v>
          </cell>
          <cell r="S1417" t="str">
            <v>2026A-02</v>
          </cell>
          <cell r="T1417" t="str">
            <v>GH Redev Plan</v>
          </cell>
        </row>
        <row r="1418">
          <cell r="K1418">
            <v>40000</v>
          </cell>
          <cell r="P1418" t="str">
            <v>90134102-52071104</v>
          </cell>
          <cell r="S1418" t="str">
            <v>2026A-02</v>
          </cell>
          <cell r="T1418" t="str">
            <v>TPD</v>
          </cell>
        </row>
        <row r="1419">
          <cell r="K1419">
            <v>7000</v>
          </cell>
          <cell r="P1419" t="str">
            <v>90134102-52071104</v>
          </cell>
          <cell r="S1419" t="str">
            <v>2026A-02</v>
          </cell>
          <cell r="T1419" t="str">
            <v>TPD</v>
          </cell>
        </row>
        <row r="1420">
          <cell r="K1420">
            <v>-148000</v>
          </cell>
          <cell r="P1420" t="str">
            <v>81111101-52041401</v>
          </cell>
          <cell r="S1420" t="str">
            <v>2026A-02</v>
          </cell>
          <cell r="T1420" t="str">
            <v>Security HQ</v>
          </cell>
        </row>
        <row r="1421">
          <cell r="K1421">
            <v>-110000</v>
          </cell>
          <cell r="P1421" t="str">
            <v>81111101-52041401</v>
          </cell>
          <cell r="S1421" t="str">
            <v>2026A-02</v>
          </cell>
          <cell r="T1421" t="str">
            <v>Security HQ</v>
          </cell>
        </row>
        <row r="1422">
          <cell r="K1422">
            <v>-183000</v>
          </cell>
          <cell r="P1422" t="str">
            <v>81111101-52041405</v>
          </cell>
          <cell r="S1422" t="str">
            <v>2026A-02</v>
          </cell>
          <cell r="T1422" t="str">
            <v>Janitorial (SFI)</v>
          </cell>
        </row>
        <row r="1423">
          <cell r="K1423">
            <v>-44000</v>
          </cell>
          <cell r="P1423" t="str">
            <v>81111101-52041405</v>
          </cell>
          <cell r="S1423" t="str">
            <v>2026A-02</v>
          </cell>
          <cell r="T1423" t="str">
            <v>Janitorial (H&amp;K)</v>
          </cell>
        </row>
        <row r="1424">
          <cell r="K1424">
            <v>-58000</v>
          </cell>
          <cell r="P1424" t="str">
            <v>81111101-52041405</v>
          </cell>
          <cell r="S1424" t="str">
            <v>2026A-02</v>
          </cell>
          <cell r="T1424" t="str">
            <v>Janitorial (S1)</v>
          </cell>
        </row>
        <row r="1425">
          <cell r="K1425">
            <v>-400000</v>
          </cell>
          <cell r="P1425" t="str">
            <v>81123102-61961302</v>
          </cell>
          <cell r="S1425" t="str">
            <v>2026A-02</v>
          </cell>
          <cell r="T1425" t="str">
            <v>MTS Recovery</v>
          </cell>
        </row>
        <row r="1426">
          <cell r="K1426">
            <v>5000</v>
          </cell>
          <cell r="P1426" t="str">
            <v>81123102-52061101</v>
          </cell>
          <cell r="S1426" t="str">
            <v>2026A-02</v>
          </cell>
          <cell r="T1426" t="str">
            <v>R&amp;M - F&amp;F</v>
          </cell>
        </row>
        <row r="1427">
          <cell r="K1427">
            <v>38524.5</v>
          </cell>
          <cell r="P1427" t="str">
            <v>81123102-52111102</v>
          </cell>
          <cell r="S1427" t="str">
            <v>2026A-02</v>
          </cell>
          <cell r="T1427" t="str">
            <v>LVA</v>
          </cell>
        </row>
        <row r="1428">
          <cell r="K1428">
            <v>4553.57</v>
          </cell>
          <cell r="P1428" t="str">
            <v>81123102-52111101</v>
          </cell>
          <cell r="S1428" t="str">
            <v>2026A-02</v>
          </cell>
          <cell r="T1428" t="str">
            <v>Toner/ink</v>
          </cell>
        </row>
        <row r="1429">
          <cell r="K1429">
            <v>12946.43</v>
          </cell>
          <cell r="P1429" t="str">
            <v>81123102-52111101</v>
          </cell>
          <cell r="S1429" t="str">
            <v>2026A-02</v>
          </cell>
          <cell r="T1429" t="str">
            <v>Office Supplies - Others</v>
          </cell>
        </row>
        <row r="1430">
          <cell r="K1430">
            <v>616.07000000000005</v>
          </cell>
          <cell r="P1430" t="str">
            <v>81123102-52111101</v>
          </cell>
          <cell r="S1430" t="str">
            <v>2026A-02</v>
          </cell>
          <cell r="T1430" t="str">
            <v>Office Supplies - Others</v>
          </cell>
        </row>
        <row r="1431">
          <cell r="K1431">
            <v>44.64</v>
          </cell>
          <cell r="P1431" t="str">
            <v>81123102-52111101</v>
          </cell>
          <cell r="S1431" t="str">
            <v>2026A-02</v>
          </cell>
          <cell r="T1431" t="str">
            <v>Office Supplies - Others</v>
          </cell>
        </row>
        <row r="1432">
          <cell r="K1432">
            <v>120.54</v>
          </cell>
          <cell r="P1432" t="str">
            <v>81123102-52111101</v>
          </cell>
          <cell r="S1432" t="str">
            <v>2026A-02</v>
          </cell>
          <cell r="T1432" t="str">
            <v>Office Supplies - Others</v>
          </cell>
        </row>
        <row r="1433">
          <cell r="K1433">
            <v>39.29</v>
          </cell>
          <cell r="P1433" t="str">
            <v>81123102-52111101</v>
          </cell>
          <cell r="S1433" t="str">
            <v>2026A-02</v>
          </cell>
          <cell r="T1433" t="str">
            <v>Office Supplies - Others</v>
          </cell>
        </row>
        <row r="1434">
          <cell r="K1434">
            <v>102.68</v>
          </cell>
          <cell r="P1434" t="str">
            <v>81123102-52111101</v>
          </cell>
          <cell r="S1434" t="str">
            <v>2026A-02</v>
          </cell>
          <cell r="T1434" t="str">
            <v>Office Supplies - Others</v>
          </cell>
        </row>
        <row r="1435">
          <cell r="K1435">
            <v>133.93</v>
          </cell>
          <cell r="P1435" t="str">
            <v>81123102-52111101</v>
          </cell>
          <cell r="S1435" t="str">
            <v>2026A-02</v>
          </cell>
          <cell r="T1435" t="str">
            <v>Office Supplies - Others</v>
          </cell>
        </row>
        <row r="1436">
          <cell r="K1436">
            <v>58.93</v>
          </cell>
          <cell r="P1436" t="str">
            <v>81123102-52111101</v>
          </cell>
          <cell r="S1436" t="str">
            <v>2026A-02</v>
          </cell>
          <cell r="T1436" t="str">
            <v>Office Supplies - Others</v>
          </cell>
        </row>
        <row r="1437">
          <cell r="K1437">
            <v>2410.71</v>
          </cell>
          <cell r="P1437" t="str">
            <v>81123102-52111101</v>
          </cell>
          <cell r="S1437" t="str">
            <v>2026A-02</v>
          </cell>
          <cell r="T1437" t="str">
            <v>Office Supplies - Others</v>
          </cell>
        </row>
        <row r="1438">
          <cell r="K1438">
            <v>1982.14</v>
          </cell>
          <cell r="P1438" t="str">
            <v>81123102-52111101</v>
          </cell>
          <cell r="S1438" t="str">
            <v>2026A-02</v>
          </cell>
          <cell r="T1438" t="str">
            <v>Office Supplies - Others</v>
          </cell>
        </row>
        <row r="1439">
          <cell r="K1439">
            <v>776.79</v>
          </cell>
          <cell r="P1439" t="str">
            <v>81123102-52111101</v>
          </cell>
          <cell r="S1439" t="str">
            <v>2026A-02</v>
          </cell>
          <cell r="T1439" t="str">
            <v>Office Supplies - Others</v>
          </cell>
        </row>
        <row r="1440">
          <cell r="K1440">
            <v>1383.93</v>
          </cell>
          <cell r="P1440" t="str">
            <v>81123102-52111101</v>
          </cell>
          <cell r="S1440" t="str">
            <v>2026A-02</v>
          </cell>
          <cell r="T1440" t="str">
            <v>Office Supplies - Others</v>
          </cell>
        </row>
        <row r="1441">
          <cell r="K1441">
            <v>267.86</v>
          </cell>
          <cell r="P1441" t="str">
            <v>81123102-52111101</v>
          </cell>
          <cell r="S1441" t="str">
            <v>2026A-02</v>
          </cell>
          <cell r="T1441" t="str">
            <v>Office Supplies - Others</v>
          </cell>
        </row>
        <row r="1442">
          <cell r="K1442">
            <v>102.68</v>
          </cell>
          <cell r="P1442" t="str">
            <v>81123102-52111101</v>
          </cell>
          <cell r="S1442" t="str">
            <v>2026A-02</v>
          </cell>
          <cell r="T1442" t="str">
            <v>Office Supplies - Others</v>
          </cell>
        </row>
        <row r="1443">
          <cell r="K1443">
            <v>133.93</v>
          </cell>
          <cell r="P1443" t="str">
            <v>81123102-52111101</v>
          </cell>
          <cell r="S1443" t="str">
            <v>2026A-02</v>
          </cell>
          <cell r="T1443" t="str">
            <v>Office Supplies - Others</v>
          </cell>
        </row>
        <row r="1444">
          <cell r="K1444">
            <v>78.569999999999993</v>
          </cell>
          <cell r="P1444" t="str">
            <v>81123102-52111101</v>
          </cell>
          <cell r="S1444" t="str">
            <v>2026A-02</v>
          </cell>
          <cell r="T1444" t="str">
            <v>Office Supplies - Others</v>
          </cell>
        </row>
        <row r="1445">
          <cell r="K1445">
            <v>169.64</v>
          </cell>
          <cell r="P1445" t="str">
            <v>81123102-52111101</v>
          </cell>
          <cell r="S1445" t="str">
            <v>2026A-02</v>
          </cell>
          <cell r="T1445" t="str">
            <v>Office Supplies - Others</v>
          </cell>
        </row>
        <row r="1446">
          <cell r="K1446">
            <v>325.89</v>
          </cell>
          <cell r="P1446" t="str">
            <v>81123102-52111101</v>
          </cell>
          <cell r="S1446" t="str">
            <v>2026A-02</v>
          </cell>
          <cell r="T1446" t="str">
            <v>Office Supplies - Others</v>
          </cell>
        </row>
        <row r="1447">
          <cell r="K1447">
            <v>128.57</v>
          </cell>
          <cell r="P1447" t="str">
            <v>81123102-52111101</v>
          </cell>
          <cell r="S1447" t="str">
            <v>2026A-02</v>
          </cell>
          <cell r="T1447" t="str">
            <v>Office Supplies - Others</v>
          </cell>
        </row>
        <row r="1448">
          <cell r="K1448">
            <v>232.14</v>
          </cell>
          <cell r="P1448" t="str">
            <v>81123102-52111101</v>
          </cell>
          <cell r="S1448" t="str">
            <v>2026A-02</v>
          </cell>
          <cell r="T1448" t="str">
            <v>Office Supplies - Others</v>
          </cell>
        </row>
        <row r="1449">
          <cell r="K1449">
            <v>147.32</v>
          </cell>
          <cell r="P1449" t="str">
            <v>81123102-52111101</v>
          </cell>
          <cell r="S1449" t="str">
            <v>2026A-02</v>
          </cell>
          <cell r="T1449" t="str">
            <v>Office Supplies - Others</v>
          </cell>
        </row>
        <row r="1450">
          <cell r="K1450">
            <v>44.64</v>
          </cell>
          <cell r="P1450" t="str">
            <v>81123102-52111101</v>
          </cell>
          <cell r="S1450" t="str">
            <v>2026A-02</v>
          </cell>
          <cell r="T1450" t="str">
            <v>Office Supplies - Others</v>
          </cell>
        </row>
        <row r="1451">
          <cell r="K1451">
            <v>330.36</v>
          </cell>
          <cell r="P1451" t="str">
            <v>81123102-52111101</v>
          </cell>
          <cell r="S1451" t="str">
            <v>2026A-02</v>
          </cell>
          <cell r="T1451" t="str">
            <v>Office Supplies - Others</v>
          </cell>
        </row>
        <row r="1452">
          <cell r="K1452">
            <v>96.43</v>
          </cell>
          <cell r="P1452" t="str">
            <v>81123102-52111101</v>
          </cell>
          <cell r="S1452" t="str">
            <v>2026A-02</v>
          </cell>
          <cell r="T1452" t="str">
            <v>Office Supplies - Others</v>
          </cell>
        </row>
        <row r="1453">
          <cell r="K1453">
            <v>58.93</v>
          </cell>
          <cell r="P1453" t="str">
            <v>81123102-52111101</v>
          </cell>
          <cell r="S1453" t="str">
            <v>2026A-02</v>
          </cell>
          <cell r="T1453" t="str">
            <v>Office Supplies - Others</v>
          </cell>
        </row>
        <row r="1454">
          <cell r="K1454">
            <v>35.71</v>
          </cell>
          <cell r="P1454" t="str">
            <v>81123102-52111101</v>
          </cell>
          <cell r="S1454" t="str">
            <v>2026A-02</v>
          </cell>
          <cell r="T1454" t="str">
            <v>Office Supplies - Others</v>
          </cell>
        </row>
        <row r="1455">
          <cell r="K1455">
            <v>26.79</v>
          </cell>
          <cell r="P1455" t="str">
            <v>81123102-52111101</v>
          </cell>
          <cell r="S1455" t="str">
            <v>2026A-02</v>
          </cell>
          <cell r="T1455" t="str">
            <v>Office Supplies - Others</v>
          </cell>
        </row>
        <row r="1456">
          <cell r="K1456">
            <v>48.21</v>
          </cell>
          <cell r="P1456" t="str">
            <v>81123102-52111101</v>
          </cell>
          <cell r="S1456" t="str">
            <v>2026A-02</v>
          </cell>
          <cell r="T1456" t="str">
            <v>Office Supplies - Others</v>
          </cell>
        </row>
        <row r="1457">
          <cell r="K1457">
            <v>40.71</v>
          </cell>
          <cell r="P1457" t="str">
            <v>81123102-52111101</v>
          </cell>
          <cell r="S1457" t="str">
            <v>2026A-02</v>
          </cell>
          <cell r="T1457" t="str">
            <v>Office Supplies - Others</v>
          </cell>
        </row>
        <row r="1458">
          <cell r="K1458">
            <v>1982.14</v>
          </cell>
          <cell r="P1458" t="str">
            <v>81123102-52111101</v>
          </cell>
          <cell r="S1458" t="str">
            <v>2026A-02</v>
          </cell>
          <cell r="T1458" t="str">
            <v>Office Supplies - Others</v>
          </cell>
        </row>
        <row r="1459">
          <cell r="K1459">
            <v>1553.57</v>
          </cell>
          <cell r="P1459" t="str">
            <v>81123102-52111101</v>
          </cell>
          <cell r="S1459" t="str">
            <v>2026A-02</v>
          </cell>
          <cell r="T1459" t="str">
            <v>Office Supplies - Others</v>
          </cell>
        </row>
        <row r="1460">
          <cell r="K1460">
            <v>691.96</v>
          </cell>
          <cell r="P1460" t="str">
            <v>81123102-52111101</v>
          </cell>
          <cell r="S1460" t="str">
            <v>2026A-02</v>
          </cell>
          <cell r="T1460" t="str">
            <v>Office Supplies - Others</v>
          </cell>
        </row>
        <row r="1461">
          <cell r="K1461">
            <v>950.89</v>
          </cell>
          <cell r="P1461" t="str">
            <v>81123102-52111101</v>
          </cell>
          <cell r="S1461" t="str">
            <v>2026A-02</v>
          </cell>
          <cell r="T1461" t="str">
            <v>Office Supplies - Others</v>
          </cell>
        </row>
        <row r="1462">
          <cell r="K1462">
            <v>85.71</v>
          </cell>
          <cell r="P1462" t="str">
            <v>81123102-52111101</v>
          </cell>
          <cell r="S1462" t="str">
            <v>2026A-02</v>
          </cell>
          <cell r="T1462" t="str">
            <v>Office Supplies - Others</v>
          </cell>
        </row>
        <row r="1463">
          <cell r="K1463">
            <v>48.21</v>
          </cell>
          <cell r="P1463" t="str">
            <v>81123102-52111101</v>
          </cell>
          <cell r="S1463" t="str">
            <v>2026A-02</v>
          </cell>
          <cell r="T1463" t="str">
            <v>Office Supplies - Others</v>
          </cell>
        </row>
        <row r="1464">
          <cell r="K1464">
            <v>85.71</v>
          </cell>
          <cell r="P1464" t="str">
            <v>81123102-52111101</v>
          </cell>
          <cell r="S1464" t="str">
            <v>2026A-02</v>
          </cell>
          <cell r="T1464" t="str">
            <v>Office Supplies - Others</v>
          </cell>
        </row>
        <row r="1465">
          <cell r="K1465">
            <v>256.7</v>
          </cell>
          <cell r="P1465" t="str">
            <v>81123102-52111101</v>
          </cell>
          <cell r="S1465" t="str">
            <v>2026A-02</v>
          </cell>
          <cell r="T1465" t="str">
            <v>Office Supplies - Others</v>
          </cell>
        </row>
        <row r="1466">
          <cell r="K1466">
            <v>45</v>
          </cell>
          <cell r="P1466" t="str">
            <v>81123102-52111101</v>
          </cell>
          <cell r="S1466" t="str">
            <v>2026A-02</v>
          </cell>
          <cell r="T1466" t="str">
            <v>Office Supplies - Others</v>
          </cell>
        </row>
        <row r="1467">
          <cell r="K1467">
            <v>38.57</v>
          </cell>
          <cell r="P1467" t="str">
            <v>81123102-52111101</v>
          </cell>
          <cell r="S1467" t="str">
            <v>2026A-02</v>
          </cell>
          <cell r="T1467" t="str">
            <v>Office Supplies - Others</v>
          </cell>
        </row>
        <row r="1468">
          <cell r="K1468">
            <v>53.57</v>
          </cell>
          <cell r="P1468" t="str">
            <v>81123102-52111101</v>
          </cell>
          <cell r="S1468" t="str">
            <v>2026A-02</v>
          </cell>
          <cell r="T1468" t="str">
            <v>Office Supplies - Others</v>
          </cell>
        </row>
        <row r="1469">
          <cell r="K1469">
            <v>11.61</v>
          </cell>
          <cell r="P1469" t="str">
            <v>81123102-52111101</v>
          </cell>
          <cell r="S1469" t="str">
            <v>2026A-02</v>
          </cell>
          <cell r="T1469" t="str">
            <v>Office Supplies - Others</v>
          </cell>
        </row>
        <row r="1470">
          <cell r="K1470">
            <v>26.79</v>
          </cell>
          <cell r="P1470" t="str">
            <v>81123102-52111101</v>
          </cell>
          <cell r="S1470" t="str">
            <v>2026A-02</v>
          </cell>
          <cell r="T1470" t="str">
            <v>Office Supplies - Others</v>
          </cell>
        </row>
        <row r="1471">
          <cell r="K1471">
            <v>20.54</v>
          </cell>
          <cell r="P1471" t="str">
            <v>81123102-52111101</v>
          </cell>
          <cell r="S1471" t="str">
            <v>2026A-02</v>
          </cell>
          <cell r="T1471" t="str">
            <v>Office Supplies - Others</v>
          </cell>
        </row>
        <row r="1472">
          <cell r="K1472">
            <v>48.21</v>
          </cell>
          <cell r="P1472" t="str">
            <v>81123102-52111101</v>
          </cell>
          <cell r="S1472" t="str">
            <v>2026A-02</v>
          </cell>
          <cell r="T1472" t="str">
            <v>Office Supplies - Others</v>
          </cell>
        </row>
        <row r="1473">
          <cell r="K1473">
            <v>251.79</v>
          </cell>
          <cell r="P1473" t="str">
            <v>81123102-52111101</v>
          </cell>
          <cell r="S1473" t="str">
            <v>2026A-02</v>
          </cell>
          <cell r="T1473" t="str">
            <v>Office Supplies - Others</v>
          </cell>
        </row>
        <row r="1474">
          <cell r="K1474">
            <v>282.86</v>
          </cell>
          <cell r="P1474" t="str">
            <v>81123102-52111101</v>
          </cell>
          <cell r="S1474" t="str">
            <v>2026A-02</v>
          </cell>
          <cell r="T1474" t="str">
            <v>Office Supplies - Others</v>
          </cell>
        </row>
        <row r="1475">
          <cell r="K1475">
            <v>99.11</v>
          </cell>
          <cell r="P1475" t="str">
            <v>81123102-52111101</v>
          </cell>
          <cell r="S1475" t="str">
            <v>2026A-02</v>
          </cell>
          <cell r="T1475" t="str">
            <v>Office Supplies - Others</v>
          </cell>
        </row>
        <row r="1476">
          <cell r="K1476">
            <v>71.430000000000007</v>
          </cell>
          <cell r="P1476" t="str">
            <v>81123102-52111101</v>
          </cell>
          <cell r="S1476" t="str">
            <v>2026A-02</v>
          </cell>
          <cell r="T1476" t="str">
            <v>Office Supplies - Others</v>
          </cell>
        </row>
        <row r="1477">
          <cell r="K1477">
            <v>71.430000000000007</v>
          </cell>
          <cell r="P1477" t="str">
            <v>81123102-52111101</v>
          </cell>
          <cell r="S1477" t="str">
            <v>2026A-02</v>
          </cell>
          <cell r="T1477" t="str">
            <v>Office Supplies - Others</v>
          </cell>
        </row>
        <row r="1478">
          <cell r="K1478">
            <v>71.430000000000007</v>
          </cell>
          <cell r="P1478" t="str">
            <v>81123102-52111101</v>
          </cell>
          <cell r="S1478" t="str">
            <v>2026A-02</v>
          </cell>
          <cell r="T1478" t="str">
            <v>Office Supplies - Others</v>
          </cell>
        </row>
        <row r="1479">
          <cell r="K1479">
            <v>198.21</v>
          </cell>
          <cell r="P1479" t="str">
            <v>81123102-52111101</v>
          </cell>
          <cell r="S1479" t="str">
            <v>2026A-02</v>
          </cell>
          <cell r="T1479" t="str">
            <v>Office Supplies - Others</v>
          </cell>
        </row>
        <row r="1480">
          <cell r="K1480">
            <v>305.36</v>
          </cell>
          <cell r="P1480" t="str">
            <v>81123102-52111101</v>
          </cell>
          <cell r="S1480" t="str">
            <v>2026A-02</v>
          </cell>
          <cell r="T1480" t="str">
            <v>Office Supplies - Others</v>
          </cell>
        </row>
        <row r="1481">
          <cell r="K1481">
            <v>278.57</v>
          </cell>
          <cell r="P1481" t="str">
            <v>81123102-52111101</v>
          </cell>
          <cell r="S1481" t="str">
            <v>2026A-02</v>
          </cell>
          <cell r="T1481" t="str">
            <v>Office Supplies - Others</v>
          </cell>
        </row>
        <row r="1482">
          <cell r="K1482">
            <v>160.71</v>
          </cell>
          <cell r="P1482" t="str">
            <v>81123102-52111101</v>
          </cell>
          <cell r="S1482" t="str">
            <v>2026A-02</v>
          </cell>
          <cell r="T1482" t="str">
            <v>Office Supplies - Others</v>
          </cell>
        </row>
        <row r="1483">
          <cell r="K1483">
            <v>61.61</v>
          </cell>
          <cell r="P1483" t="str">
            <v>81123102-52111101</v>
          </cell>
          <cell r="S1483" t="str">
            <v>2026A-02</v>
          </cell>
          <cell r="T1483" t="str">
            <v>Office Supplies - Others</v>
          </cell>
        </row>
        <row r="1484">
          <cell r="K1484">
            <v>4017.86</v>
          </cell>
          <cell r="P1484" t="str">
            <v>81123102-61031201</v>
          </cell>
          <cell r="S1484" t="str">
            <v>2026A-02</v>
          </cell>
          <cell r="T1484" t="str">
            <v>R&amp;M - Supplies</v>
          </cell>
        </row>
        <row r="1485">
          <cell r="K1485">
            <v>22767.86</v>
          </cell>
          <cell r="P1485" t="str">
            <v>81123102-52111101</v>
          </cell>
          <cell r="S1485" t="str">
            <v>2026A-02</v>
          </cell>
          <cell r="T1485" t="str">
            <v>Toner/ink</v>
          </cell>
        </row>
        <row r="1486">
          <cell r="K1486">
            <v>400.16</v>
          </cell>
          <cell r="P1486" t="str">
            <v>81123102-52101112</v>
          </cell>
          <cell r="S1486" t="str">
            <v>2026A-02</v>
          </cell>
          <cell r="T1486" t="str">
            <v>Insurance - Vehicle</v>
          </cell>
        </row>
        <row r="1487">
          <cell r="K1487">
            <v>33482.14</v>
          </cell>
          <cell r="P1487" t="str">
            <v>81123102-52111101</v>
          </cell>
          <cell r="S1487" t="str">
            <v>2026A-02</v>
          </cell>
          <cell r="T1487" t="str">
            <v>Office Supplies - Others</v>
          </cell>
        </row>
        <row r="1488">
          <cell r="K1488">
            <v>6250</v>
          </cell>
          <cell r="P1488" t="str">
            <v>81123102-52111101</v>
          </cell>
          <cell r="S1488" t="str">
            <v>2026A-02</v>
          </cell>
          <cell r="T1488" t="str">
            <v>Office Supplies - Others</v>
          </cell>
        </row>
        <row r="1489">
          <cell r="K1489">
            <v>6250</v>
          </cell>
          <cell r="P1489" t="str">
            <v>81123102-52111101</v>
          </cell>
          <cell r="S1489" t="str">
            <v>2026A-02</v>
          </cell>
          <cell r="T1489" t="str">
            <v>Office Supplies - Others</v>
          </cell>
        </row>
        <row r="1490">
          <cell r="K1490">
            <v>6250</v>
          </cell>
          <cell r="P1490" t="str">
            <v>81123102-52111101</v>
          </cell>
          <cell r="S1490" t="str">
            <v>2026A-02</v>
          </cell>
          <cell r="T1490" t="str">
            <v>Office Supplies - Others</v>
          </cell>
        </row>
        <row r="1491">
          <cell r="K1491">
            <v>6250</v>
          </cell>
          <cell r="P1491" t="str">
            <v>81123102-52111101</v>
          </cell>
          <cell r="S1491" t="str">
            <v>2026A-02</v>
          </cell>
          <cell r="T1491" t="str">
            <v>Office Supplies - Others</v>
          </cell>
        </row>
        <row r="1492">
          <cell r="K1492">
            <v>7142.86</v>
          </cell>
          <cell r="P1492" t="str">
            <v>81123102-52111101</v>
          </cell>
          <cell r="S1492" t="str">
            <v>2026A-02</v>
          </cell>
          <cell r="T1492" t="str">
            <v>Office Supplies - Others</v>
          </cell>
        </row>
        <row r="1493">
          <cell r="K1493">
            <v>7142.86</v>
          </cell>
          <cell r="P1493" t="str">
            <v>81123102-52111101</v>
          </cell>
          <cell r="S1493" t="str">
            <v>2026A-02</v>
          </cell>
          <cell r="T1493" t="str">
            <v>Office Supplies - Others</v>
          </cell>
        </row>
        <row r="1494">
          <cell r="K1494">
            <v>7142.86</v>
          </cell>
          <cell r="P1494" t="str">
            <v>81123102-52111101</v>
          </cell>
          <cell r="S1494" t="str">
            <v>2026A-02</v>
          </cell>
          <cell r="T1494" t="str">
            <v>Office Supplies - Others</v>
          </cell>
        </row>
        <row r="1495">
          <cell r="K1495">
            <v>7142.86</v>
          </cell>
          <cell r="P1495" t="str">
            <v>81123102-52111101</v>
          </cell>
          <cell r="S1495" t="str">
            <v>2026A-02</v>
          </cell>
          <cell r="T1495" t="str">
            <v>Office Supplies - Others</v>
          </cell>
        </row>
        <row r="1496">
          <cell r="K1496">
            <v>6071.43</v>
          </cell>
          <cell r="P1496" t="str">
            <v>81123102-52111101</v>
          </cell>
          <cell r="S1496" t="str">
            <v>2026A-02</v>
          </cell>
          <cell r="T1496" t="str">
            <v>Toner/ink</v>
          </cell>
        </row>
        <row r="1497">
          <cell r="K1497">
            <v>-38524.5</v>
          </cell>
          <cell r="P1497" t="str">
            <v>81123102-52111102</v>
          </cell>
          <cell r="S1497" t="str">
            <v>2026A-02</v>
          </cell>
          <cell r="T1497" t="str">
            <v>LVA</v>
          </cell>
        </row>
        <row r="1498">
          <cell r="K1498">
            <v>-400000</v>
          </cell>
          <cell r="P1498" t="str">
            <v>81123102-52041502</v>
          </cell>
          <cell r="S1498" t="str">
            <v>2026A-02</v>
          </cell>
          <cell r="T1498" t="str">
            <v>MTS Recovery</v>
          </cell>
        </row>
        <row r="1499">
          <cell r="K1499">
            <v>400000</v>
          </cell>
          <cell r="P1499" t="str">
            <v>81123102-61961302</v>
          </cell>
          <cell r="S1499" t="str">
            <v>2026A-02</v>
          </cell>
          <cell r="T1499" t="str">
            <v>MTS Recovery</v>
          </cell>
        </row>
        <row r="1500">
          <cell r="K1500">
            <v>162500</v>
          </cell>
          <cell r="P1500" t="str">
            <v>81111101-52041401</v>
          </cell>
          <cell r="S1500" t="str">
            <v>2026A-02</v>
          </cell>
          <cell r="T1500" t="str">
            <v>Security HQ</v>
          </cell>
        </row>
        <row r="1501">
          <cell r="K1501">
            <v>109500</v>
          </cell>
          <cell r="P1501" t="str">
            <v>81111101-52041401</v>
          </cell>
          <cell r="S1501" t="str">
            <v>2026A-02</v>
          </cell>
          <cell r="T1501" t="str">
            <v>Security HQ</v>
          </cell>
        </row>
        <row r="1502">
          <cell r="K1502">
            <v>109500</v>
          </cell>
          <cell r="P1502" t="str">
            <v>81111101-52041401</v>
          </cell>
          <cell r="S1502" t="str">
            <v>2026A-02</v>
          </cell>
          <cell r="T1502" t="str">
            <v>Security HQ</v>
          </cell>
        </row>
        <row r="1503">
          <cell r="K1503">
            <v>182500</v>
          </cell>
          <cell r="P1503" t="str">
            <v>81111101-52041405</v>
          </cell>
          <cell r="S1503" t="str">
            <v>2026A-02</v>
          </cell>
          <cell r="T1503" t="str">
            <v>Janitorial (SFI)</v>
          </cell>
        </row>
        <row r="1504">
          <cell r="K1504">
            <v>20000</v>
          </cell>
          <cell r="P1504" t="str">
            <v>81111101-52041405</v>
          </cell>
          <cell r="S1504" t="str">
            <v>2026A-02</v>
          </cell>
          <cell r="T1504" t="str">
            <v>Janitorial (H&amp;K)</v>
          </cell>
        </row>
        <row r="1505">
          <cell r="K1505">
            <v>57500</v>
          </cell>
          <cell r="P1505" t="str">
            <v>81111101-52041405</v>
          </cell>
          <cell r="S1505" t="str">
            <v>2026A-02</v>
          </cell>
          <cell r="T1505" t="str">
            <v>Janitorial (S1)</v>
          </cell>
        </row>
        <row r="1506">
          <cell r="K1506">
            <v>57500</v>
          </cell>
          <cell r="P1506" t="str">
            <v>81111101-52041405</v>
          </cell>
          <cell r="S1506" t="str">
            <v>2026A-02</v>
          </cell>
          <cell r="T1506" t="str">
            <v>Janitorial (S1)</v>
          </cell>
        </row>
        <row r="1507">
          <cell r="K1507">
            <v>-16808.330000000002</v>
          </cell>
          <cell r="P1507" t="str">
            <v>80122101-61071099</v>
          </cell>
          <cell r="S1507" t="str">
            <v>2026A-03</v>
          </cell>
          <cell r="T1507" t="str">
            <v>PAS19 Valuation</v>
          </cell>
        </row>
        <row r="1508">
          <cell r="K1508">
            <v>1615</v>
          </cell>
          <cell r="P1508" t="str">
            <v>81122101-52121315</v>
          </cell>
          <cell r="S1508" t="str">
            <v>2026A-03</v>
          </cell>
          <cell r="T1508" t="str">
            <v>Pre-Employment Medical Exams</v>
          </cell>
        </row>
        <row r="1509">
          <cell r="K1509">
            <v>125</v>
          </cell>
          <cell r="P1509" t="str">
            <v>81122101-52121315</v>
          </cell>
          <cell r="S1509" t="str">
            <v>2026A-03</v>
          </cell>
          <cell r="T1509" t="str">
            <v>Pre-Employment Medical Exams</v>
          </cell>
        </row>
        <row r="1510">
          <cell r="K1510">
            <v>1615</v>
          </cell>
          <cell r="P1510" t="str">
            <v>81122101-52121315</v>
          </cell>
          <cell r="S1510" t="str">
            <v>2026A-03</v>
          </cell>
          <cell r="T1510" t="str">
            <v>Pre-Employment Medical Exams</v>
          </cell>
        </row>
        <row r="1511">
          <cell r="K1511">
            <v>125</v>
          </cell>
          <cell r="P1511" t="str">
            <v>81122101-52121315</v>
          </cell>
          <cell r="S1511" t="str">
            <v>2026A-03</v>
          </cell>
          <cell r="T1511" t="str">
            <v>Pre-Employment Medical Exams</v>
          </cell>
        </row>
        <row r="1512">
          <cell r="K1512">
            <v>-5159.79</v>
          </cell>
          <cell r="P1512" t="str">
            <v>81319101-52041499</v>
          </cell>
          <cell r="S1512" t="str">
            <v>2026A-03</v>
          </cell>
          <cell r="T1512" t="str">
            <v>2025 Admin Staff</v>
          </cell>
        </row>
        <row r="1513">
          <cell r="K1513">
            <v>-321.20999999999998</v>
          </cell>
          <cell r="P1513" t="str">
            <v>81319101-52041499</v>
          </cell>
          <cell r="S1513" t="str">
            <v>2026A-03</v>
          </cell>
          <cell r="T1513" t="str">
            <v>2025 Admin Staff</v>
          </cell>
        </row>
        <row r="1514">
          <cell r="K1514">
            <v>28991.07</v>
          </cell>
          <cell r="P1514" t="str">
            <v>81122101-52121401</v>
          </cell>
          <cell r="S1514" t="str">
            <v>2026A-03</v>
          </cell>
          <cell r="T1514" t="str">
            <v>Birthday Bash</v>
          </cell>
        </row>
        <row r="1515">
          <cell r="K1515">
            <v>1776</v>
          </cell>
          <cell r="P1515" t="str">
            <v>81122101-52121401</v>
          </cell>
          <cell r="S1515" t="str">
            <v>2026A-03</v>
          </cell>
          <cell r="T1515" t="str">
            <v>Birthday Bash</v>
          </cell>
        </row>
        <row r="1516">
          <cell r="K1516">
            <v>5010</v>
          </cell>
          <cell r="P1516" t="str">
            <v>81122101-52121401</v>
          </cell>
          <cell r="S1516" t="str">
            <v>2026A-03</v>
          </cell>
          <cell r="T1516" t="str">
            <v>Halloween 2025</v>
          </cell>
        </row>
        <row r="1517">
          <cell r="K1517">
            <v>7125</v>
          </cell>
          <cell r="P1517" t="str">
            <v>81122101-52121401</v>
          </cell>
          <cell r="S1517" t="str">
            <v>2026A-03</v>
          </cell>
          <cell r="T1517" t="str">
            <v>Monthly Merienda</v>
          </cell>
        </row>
        <row r="1518">
          <cell r="K1518">
            <v>9476.2900000000009</v>
          </cell>
          <cell r="P1518" t="str">
            <v>81122101-52121401</v>
          </cell>
          <cell r="S1518" t="str">
            <v>2026A-03</v>
          </cell>
          <cell r="T1518" t="str">
            <v>Monthly Merienda</v>
          </cell>
        </row>
        <row r="1519">
          <cell r="K1519">
            <v>8000</v>
          </cell>
          <cell r="P1519" t="str">
            <v>81122101-52121502</v>
          </cell>
          <cell r="S1519" t="str">
            <v>2026A-03</v>
          </cell>
          <cell r="T1519" t="str">
            <v>Trainings</v>
          </cell>
        </row>
        <row r="1520">
          <cell r="K1520">
            <v>4000</v>
          </cell>
          <cell r="P1520" t="str">
            <v>90123101-61711101</v>
          </cell>
          <cell r="S1520" t="str">
            <v>2026A-03</v>
          </cell>
          <cell r="T1520" t="str">
            <v>IBP</v>
          </cell>
        </row>
        <row r="1521">
          <cell r="K1521">
            <v>4000</v>
          </cell>
          <cell r="P1521" t="str">
            <v>90123101-61711101</v>
          </cell>
          <cell r="S1521" t="str">
            <v>2026A-03</v>
          </cell>
          <cell r="T1521" t="str">
            <v>IBP</v>
          </cell>
        </row>
        <row r="1522">
          <cell r="K1522">
            <v>4000</v>
          </cell>
          <cell r="P1522" t="str">
            <v>90123101-61711101</v>
          </cell>
          <cell r="S1522" t="str">
            <v>2026A-03</v>
          </cell>
          <cell r="T1522" t="str">
            <v>IBP</v>
          </cell>
        </row>
        <row r="1523">
          <cell r="K1523">
            <v>4000</v>
          </cell>
          <cell r="P1523" t="str">
            <v>90123101-61711101</v>
          </cell>
          <cell r="S1523" t="str">
            <v>2026A-03</v>
          </cell>
          <cell r="T1523" t="str">
            <v>IBP</v>
          </cell>
        </row>
        <row r="1524">
          <cell r="K1524">
            <v>4000</v>
          </cell>
          <cell r="P1524" t="str">
            <v>90123101-61711101</v>
          </cell>
          <cell r="S1524" t="str">
            <v>2026A-03</v>
          </cell>
          <cell r="T1524" t="str">
            <v>IBP</v>
          </cell>
        </row>
        <row r="1525">
          <cell r="K1525">
            <v>24800</v>
          </cell>
          <cell r="P1525" t="str">
            <v>81123102-52951101</v>
          </cell>
          <cell r="S1525" t="str">
            <v>2026A-03</v>
          </cell>
          <cell r="T1525" t="str">
            <v>Mobile Phones</v>
          </cell>
        </row>
        <row r="1526">
          <cell r="K1526">
            <v>4500</v>
          </cell>
          <cell r="P1526" t="str">
            <v>81122101-52121401</v>
          </cell>
          <cell r="S1526" t="str">
            <v>2026A-03</v>
          </cell>
          <cell r="T1526" t="str">
            <v>Birthday Bash</v>
          </cell>
        </row>
        <row r="1527">
          <cell r="K1527">
            <v>528</v>
          </cell>
          <cell r="P1527" t="str">
            <v>81122101-52121401</v>
          </cell>
          <cell r="S1527" t="str">
            <v>2026A-03</v>
          </cell>
          <cell r="T1527" t="str">
            <v>Birthday Bash</v>
          </cell>
        </row>
        <row r="1528">
          <cell r="K1528">
            <v>1246.7</v>
          </cell>
          <cell r="P1528" t="str">
            <v>81122101-52121401</v>
          </cell>
          <cell r="S1528" t="str">
            <v>2026A-03</v>
          </cell>
          <cell r="T1528" t="str">
            <v>Birthday Bash</v>
          </cell>
        </row>
        <row r="1529">
          <cell r="K1529">
            <v>833.75</v>
          </cell>
          <cell r="P1529" t="str">
            <v>81122101-52121401</v>
          </cell>
          <cell r="S1529" t="str">
            <v>2026A-03</v>
          </cell>
          <cell r="T1529" t="str">
            <v>Birthday Bash</v>
          </cell>
        </row>
        <row r="1530">
          <cell r="K1530">
            <v>115</v>
          </cell>
          <cell r="P1530" t="str">
            <v>81122101-52121401</v>
          </cell>
          <cell r="S1530" t="str">
            <v>2026A-03</v>
          </cell>
          <cell r="T1530" t="str">
            <v>Birthday Bash</v>
          </cell>
        </row>
        <row r="1531">
          <cell r="K1531">
            <v>5000</v>
          </cell>
          <cell r="P1531" t="str">
            <v>80123101-61071002</v>
          </cell>
          <cell r="S1531" t="str">
            <v>2026A-03</v>
          </cell>
          <cell r="T1531" t="str">
            <v>Open Cases</v>
          </cell>
        </row>
        <row r="1532">
          <cell r="K1532">
            <v>1350</v>
          </cell>
          <cell r="P1532" t="str">
            <v>80123101-61071002</v>
          </cell>
          <cell r="S1532" t="str">
            <v>2026A-03</v>
          </cell>
          <cell r="T1532" t="str">
            <v>Open Cases</v>
          </cell>
        </row>
        <row r="1533">
          <cell r="K1533">
            <v>32000</v>
          </cell>
          <cell r="P1533" t="str">
            <v>81122101-52121401</v>
          </cell>
          <cell r="S1533" t="str">
            <v>2026A-03</v>
          </cell>
          <cell r="T1533" t="str">
            <v>Christmas Party 2025</v>
          </cell>
        </row>
        <row r="1534">
          <cell r="K1534">
            <v>19142.86</v>
          </cell>
          <cell r="P1534" t="str">
            <v>81122101-52121401</v>
          </cell>
          <cell r="S1534" t="str">
            <v>2026A-03</v>
          </cell>
          <cell r="T1534" t="str">
            <v>Christmas Party 2025</v>
          </cell>
        </row>
        <row r="1535">
          <cell r="K1535">
            <v>307</v>
          </cell>
          <cell r="P1535" t="str">
            <v>81122101-52121401</v>
          </cell>
          <cell r="S1535" t="str">
            <v>2026A-03</v>
          </cell>
          <cell r="T1535" t="str">
            <v>Christmas Party 2025</v>
          </cell>
        </row>
        <row r="1536">
          <cell r="K1536">
            <v>676</v>
          </cell>
          <cell r="P1536" t="str">
            <v>81122101-52121401</v>
          </cell>
          <cell r="S1536" t="str">
            <v>2026A-03</v>
          </cell>
          <cell r="T1536" t="str">
            <v>Christmas Party 2025</v>
          </cell>
        </row>
        <row r="1537">
          <cell r="K1537">
            <v>41</v>
          </cell>
          <cell r="P1537" t="str">
            <v>81122101-52121401</v>
          </cell>
          <cell r="S1537" t="str">
            <v>2026A-03</v>
          </cell>
          <cell r="T1537" t="str">
            <v>Christmas Party 2025</v>
          </cell>
        </row>
        <row r="1538">
          <cell r="K1538">
            <v>630</v>
          </cell>
          <cell r="P1538" t="str">
            <v>81122101-52121401</v>
          </cell>
          <cell r="S1538" t="str">
            <v>2026A-03</v>
          </cell>
          <cell r="T1538" t="str">
            <v>Christmas Party 2025</v>
          </cell>
        </row>
        <row r="1539">
          <cell r="K1539">
            <v>9200</v>
          </cell>
          <cell r="P1539" t="str">
            <v>81122101-52121401</v>
          </cell>
          <cell r="S1539" t="str">
            <v>2026A-03</v>
          </cell>
          <cell r="T1539" t="str">
            <v>Christmas Party 2025</v>
          </cell>
        </row>
        <row r="1540">
          <cell r="K1540">
            <v>2400</v>
          </cell>
          <cell r="P1540" t="str">
            <v>81122101-52121401</v>
          </cell>
          <cell r="S1540" t="str">
            <v>2026A-03</v>
          </cell>
          <cell r="T1540" t="str">
            <v>Christmas Party 2025</v>
          </cell>
        </row>
        <row r="1541">
          <cell r="K1541">
            <v>-6000</v>
          </cell>
          <cell r="P1541" t="str">
            <v>90111101-61021206</v>
          </cell>
          <cell r="S1541" t="str">
            <v>2026A-03</v>
          </cell>
          <cell r="T1541" t="str">
            <v>OJT</v>
          </cell>
        </row>
        <row r="1542">
          <cell r="K1542">
            <v>-5892.86</v>
          </cell>
          <cell r="P1542" t="str">
            <v>80123102-61061104</v>
          </cell>
          <cell r="S1542" t="str">
            <v>2026A-03</v>
          </cell>
          <cell r="T1542" t="str">
            <v>R&amp;M Vehicle</v>
          </cell>
        </row>
        <row r="1543">
          <cell r="K1543">
            <v>-1502.26</v>
          </cell>
          <cell r="P1543" t="str">
            <v>80123102-61101104</v>
          </cell>
          <cell r="S1543" t="str">
            <v>2026A-03</v>
          </cell>
          <cell r="T1543" t="str">
            <v>Insurance Vehicle</v>
          </cell>
        </row>
        <row r="1544">
          <cell r="K1544">
            <v>-13767.13</v>
          </cell>
          <cell r="P1544" t="str">
            <v>80314101-61731103</v>
          </cell>
          <cell r="S1544" t="str">
            <v>2026A-03</v>
          </cell>
          <cell r="T1544" t="str">
            <v>Xmas Décor</v>
          </cell>
        </row>
        <row r="1545">
          <cell r="K1545">
            <v>22800</v>
          </cell>
          <cell r="P1545" t="str">
            <v>81123102-52951101</v>
          </cell>
          <cell r="S1545" t="str">
            <v>2026A-03</v>
          </cell>
          <cell r="T1545" t="str">
            <v>Mobile Phones</v>
          </cell>
        </row>
        <row r="1546">
          <cell r="K1546">
            <v>2850</v>
          </cell>
          <cell r="P1546" t="str">
            <v>80123101-61071099</v>
          </cell>
          <cell r="S1546" t="str">
            <v>2026A-03</v>
          </cell>
          <cell r="T1546" t="str">
            <v>Notarial Fees</v>
          </cell>
        </row>
        <row r="1547">
          <cell r="K1547">
            <v>-8086.87</v>
          </cell>
          <cell r="P1547" t="str">
            <v>90111101-61021206</v>
          </cell>
          <cell r="S1547" t="str">
            <v>2026A-03</v>
          </cell>
          <cell r="T1547" t="str">
            <v>OJT</v>
          </cell>
        </row>
        <row r="1548">
          <cell r="K1548">
            <v>0.01</v>
          </cell>
          <cell r="P1548" t="str">
            <v>90111101-52121402</v>
          </cell>
          <cell r="S1548" t="str">
            <v>2026A-03</v>
          </cell>
          <cell r="T1548" t="str">
            <v>Zero</v>
          </cell>
        </row>
        <row r="1549">
          <cell r="K1549">
            <v>-21041.51</v>
          </cell>
          <cell r="P1549" t="str">
            <v>80123102-61061104</v>
          </cell>
          <cell r="S1549" t="str">
            <v>2026A-03</v>
          </cell>
          <cell r="T1549" t="str">
            <v>R&amp;M Vehicle</v>
          </cell>
        </row>
        <row r="1550">
          <cell r="K1550">
            <v>-6700</v>
          </cell>
          <cell r="P1550" t="str">
            <v>80123102-61061104</v>
          </cell>
          <cell r="S1550" t="str">
            <v>2026A-03</v>
          </cell>
          <cell r="T1550" t="str">
            <v>R&amp;M Vehicle</v>
          </cell>
        </row>
        <row r="1551">
          <cell r="K1551">
            <v>90</v>
          </cell>
          <cell r="P1551" t="str">
            <v>90111101-61031101</v>
          </cell>
          <cell r="S1551" t="str">
            <v>2026A-03</v>
          </cell>
          <cell r="T1551" t="str">
            <v>DST</v>
          </cell>
        </row>
        <row r="1552">
          <cell r="K1552">
            <v>3235</v>
          </cell>
          <cell r="P1552" t="str">
            <v>80111204-61091102</v>
          </cell>
          <cell r="S1552" t="str">
            <v>2026A-03</v>
          </cell>
          <cell r="T1552" t="str">
            <v>Meetings</v>
          </cell>
        </row>
        <row r="1553">
          <cell r="K1553">
            <v>15300</v>
          </cell>
          <cell r="P1553" t="str">
            <v>81123101-52071102</v>
          </cell>
          <cell r="S1553" t="str">
            <v>2026A-03</v>
          </cell>
          <cell r="T1553" t="str">
            <v>Open Cases</v>
          </cell>
        </row>
        <row r="1554">
          <cell r="K1554">
            <v>500000</v>
          </cell>
          <cell r="P1554" t="str">
            <v>81123101-52071102</v>
          </cell>
          <cell r="S1554" t="str">
            <v>2026A-03</v>
          </cell>
          <cell r="T1554" t="str">
            <v>Open Cases</v>
          </cell>
        </row>
        <row r="1555">
          <cell r="K1555">
            <v>3482.14</v>
          </cell>
          <cell r="P1555" t="str">
            <v>90122101-61111101</v>
          </cell>
          <cell r="S1555" t="str">
            <v>2026A-03</v>
          </cell>
          <cell r="T1555" t="str">
            <v>Tissue</v>
          </cell>
        </row>
        <row r="1556">
          <cell r="K1556">
            <v>5803.57</v>
          </cell>
          <cell r="P1556" t="str">
            <v>90122101-61111101</v>
          </cell>
          <cell r="S1556" t="str">
            <v>2026A-03</v>
          </cell>
          <cell r="T1556" t="str">
            <v>Tissue</v>
          </cell>
        </row>
        <row r="1557">
          <cell r="K1557">
            <v>439</v>
          </cell>
          <cell r="P1557" t="str">
            <v>90111204-61091102</v>
          </cell>
          <cell r="S1557" t="str">
            <v>2026A-03</v>
          </cell>
          <cell r="T1557" t="str">
            <v>Meetings</v>
          </cell>
        </row>
        <row r="1558">
          <cell r="K1558">
            <v>1615</v>
          </cell>
          <cell r="P1558" t="str">
            <v>80122101-61021316</v>
          </cell>
          <cell r="S1558" t="str">
            <v>2026A-03</v>
          </cell>
          <cell r="T1558" t="str">
            <v>Pre-Employment Medical Exams</v>
          </cell>
        </row>
        <row r="1559">
          <cell r="K1559">
            <v>125</v>
          </cell>
          <cell r="P1559" t="str">
            <v>80122101-61021316</v>
          </cell>
          <cell r="S1559" t="str">
            <v>2026A-03</v>
          </cell>
          <cell r="T1559" t="str">
            <v>Pre-Employment Medical Exams</v>
          </cell>
        </row>
        <row r="1560">
          <cell r="K1560">
            <v>196.71</v>
          </cell>
          <cell r="P1560" t="str">
            <v>81111101-52041495</v>
          </cell>
          <cell r="S1560" t="str">
            <v>2026A-03</v>
          </cell>
          <cell r="T1560" t="str">
            <v>BTs</v>
          </cell>
        </row>
        <row r="1561">
          <cell r="K1561">
            <v>1430.59</v>
          </cell>
          <cell r="P1561" t="str">
            <v>81111101-52041495</v>
          </cell>
          <cell r="S1561" t="str">
            <v>2026A-03</v>
          </cell>
          <cell r="T1561" t="str">
            <v>BTs</v>
          </cell>
        </row>
        <row r="1562">
          <cell r="K1562">
            <v>2216.37</v>
          </cell>
          <cell r="P1562" t="str">
            <v>81319101-52041499</v>
          </cell>
          <cell r="S1562" t="str">
            <v>2026A-03</v>
          </cell>
          <cell r="T1562" t="str">
            <v>2025 Admin Staff</v>
          </cell>
        </row>
        <row r="1563">
          <cell r="K1563">
            <v>9027.8799999999992</v>
          </cell>
          <cell r="P1563" t="str">
            <v>81319101-52041499</v>
          </cell>
          <cell r="S1563" t="str">
            <v>2026A-03</v>
          </cell>
          <cell r="T1563" t="str">
            <v>2025 Admin Staff</v>
          </cell>
        </row>
        <row r="1564">
          <cell r="K1564">
            <v>160.61000000000001</v>
          </cell>
          <cell r="P1564" t="str">
            <v>81319101-52041499</v>
          </cell>
          <cell r="S1564" t="str">
            <v>2026A-03</v>
          </cell>
          <cell r="T1564" t="str">
            <v>2025 Admin Staff</v>
          </cell>
        </row>
        <row r="1565">
          <cell r="K1565">
            <v>30000</v>
          </cell>
          <cell r="P1565" t="str">
            <v>90122101-52121402</v>
          </cell>
          <cell r="S1565" t="str">
            <v>2026A-03</v>
          </cell>
          <cell r="T1565" t="str">
            <v>Bereavement Assistance</v>
          </cell>
        </row>
        <row r="1566">
          <cell r="K1566">
            <v>2160</v>
          </cell>
          <cell r="P1566" t="str">
            <v>90122101-52121402</v>
          </cell>
          <cell r="S1566" t="str">
            <v>2026A-03</v>
          </cell>
          <cell r="T1566" t="str">
            <v>Drinking Water</v>
          </cell>
        </row>
        <row r="1567">
          <cell r="K1567">
            <v>1600</v>
          </cell>
          <cell r="P1567" t="str">
            <v>90122101-52121402</v>
          </cell>
          <cell r="S1567" t="str">
            <v>2026A-03</v>
          </cell>
          <cell r="T1567" t="str">
            <v>Drinking Water</v>
          </cell>
        </row>
        <row r="1568">
          <cell r="K1568">
            <v>3600</v>
          </cell>
          <cell r="P1568" t="str">
            <v>90122101-52121402</v>
          </cell>
          <cell r="S1568" t="str">
            <v>2026A-03</v>
          </cell>
          <cell r="T1568" t="str">
            <v>Drinking Water</v>
          </cell>
        </row>
        <row r="1569">
          <cell r="K1569">
            <v>2800</v>
          </cell>
          <cell r="P1569" t="str">
            <v>90122101-52121402</v>
          </cell>
          <cell r="S1569" t="str">
            <v>2026A-03</v>
          </cell>
          <cell r="T1569" t="str">
            <v>Drinking Water</v>
          </cell>
        </row>
        <row r="1570">
          <cell r="K1570">
            <v>3800</v>
          </cell>
          <cell r="P1570" t="str">
            <v>90122101-52121402</v>
          </cell>
          <cell r="S1570" t="str">
            <v>2026A-03</v>
          </cell>
          <cell r="T1570" t="str">
            <v>Drinking Water</v>
          </cell>
        </row>
        <row r="1571">
          <cell r="K1571">
            <v>357.65</v>
          </cell>
          <cell r="P1571" t="str">
            <v>81111101-52041495</v>
          </cell>
          <cell r="S1571" t="str">
            <v>2026A-03</v>
          </cell>
          <cell r="T1571" t="str">
            <v>BTs</v>
          </cell>
        </row>
        <row r="1572">
          <cell r="K1572">
            <v>3170</v>
          </cell>
          <cell r="P1572" t="str">
            <v>80122101-61711101</v>
          </cell>
          <cell r="S1572" t="str">
            <v>2026A-03</v>
          </cell>
          <cell r="T1572" t="str">
            <v>PRC</v>
          </cell>
        </row>
        <row r="1573">
          <cell r="K1573">
            <v>86643.06</v>
          </cell>
          <cell r="P1573" t="str">
            <v>81111101-52121313</v>
          </cell>
          <cell r="S1573" t="str">
            <v>2026A-03</v>
          </cell>
          <cell r="T1573" t="str">
            <v>FBT 2025</v>
          </cell>
        </row>
        <row r="1574">
          <cell r="K1574">
            <v>-375000</v>
          </cell>
          <cell r="P1574" t="str">
            <v>80314101-61731103</v>
          </cell>
          <cell r="S1574" t="str">
            <v>2026A-03</v>
          </cell>
          <cell r="T1574" t="str">
            <v>95th Campaign</v>
          </cell>
        </row>
        <row r="1575">
          <cell r="K1575">
            <v>-5169.8</v>
          </cell>
          <cell r="P1575" t="str">
            <v>81319101-52041405</v>
          </cell>
          <cell r="S1575" t="str">
            <v>2026A-03</v>
          </cell>
          <cell r="T1575" t="str">
            <v>2025 Janitorial</v>
          </cell>
        </row>
        <row r="1576">
          <cell r="K1576">
            <v>5169.8</v>
          </cell>
          <cell r="P1576" t="str">
            <v>81319101-52041405</v>
          </cell>
          <cell r="S1576" t="str">
            <v>2026A-03</v>
          </cell>
          <cell r="T1576" t="str">
            <v>2025 Janitorial</v>
          </cell>
        </row>
        <row r="1577">
          <cell r="K1577">
            <v>65425.22</v>
          </cell>
          <cell r="P1577" t="str">
            <v>81123102-52041401</v>
          </cell>
          <cell r="S1577" t="str">
            <v>2026A-03</v>
          </cell>
          <cell r="T1577" t="str">
            <v>Security HQ</v>
          </cell>
        </row>
        <row r="1578">
          <cell r="K1578">
            <v>-7149.07</v>
          </cell>
          <cell r="P1578" t="str">
            <v>81123102-52041401</v>
          </cell>
          <cell r="S1578" t="str">
            <v>2026A-03</v>
          </cell>
          <cell r="T1578" t="str">
            <v>2025 Security</v>
          </cell>
        </row>
        <row r="1579">
          <cell r="K1579">
            <v>-7149.07</v>
          </cell>
          <cell r="P1579" t="str">
            <v>81123102-52041401</v>
          </cell>
          <cell r="S1579" t="str">
            <v>2026A-03</v>
          </cell>
          <cell r="T1579" t="str">
            <v>2025 Security</v>
          </cell>
        </row>
        <row r="1580">
          <cell r="K1580">
            <v>-7149.07</v>
          </cell>
          <cell r="P1580" t="str">
            <v>81123102-52041401</v>
          </cell>
          <cell r="S1580" t="str">
            <v>2026A-03</v>
          </cell>
          <cell r="T1580" t="str">
            <v>2025 Security</v>
          </cell>
        </row>
        <row r="1581">
          <cell r="K1581">
            <v>13083.99</v>
          </cell>
          <cell r="P1581" t="str">
            <v>81123102-52041401</v>
          </cell>
          <cell r="S1581" t="str">
            <v>2026A-03</v>
          </cell>
          <cell r="T1581" t="str">
            <v>Security HQ</v>
          </cell>
        </row>
        <row r="1582">
          <cell r="K1582">
            <v>-1429.67</v>
          </cell>
          <cell r="P1582" t="str">
            <v>81123102-52041401</v>
          </cell>
          <cell r="S1582" t="str">
            <v>2026A-03</v>
          </cell>
          <cell r="T1582" t="str">
            <v>2025 Security</v>
          </cell>
        </row>
        <row r="1583">
          <cell r="K1583">
            <v>-1429.67</v>
          </cell>
          <cell r="P1583" t="str">
            <v>81123102-52041401</v>
          </cell>
          <cell r="S1583" t="str">
            <v>2026A-03</v>
          </cell>
          <cell r="T1583" t="str">
            <v>2025 Security</v>
          </cell>
        </row>
        <row r="1584">
          <cell r="K1584">
            <v>-1429.67</v>
          </cell>
          <cell r="P1584" t="str">
            <v>81123102-52041401</v>
          </cell>
          <cell r="S1584" t="str">
            <v>2026A-03</v>
          </cell>
          <cell r="T1584" t="str">
            <v>2025 Security</v>
          </cell>
        </row>
        <row r="1585">
          <cell r="K1585">
            <v>21295.89</v>
          </cell>
          <cell r="P1585" t="str">
            <v>81319101-52041401</v>
          </cell>
          <cell r="S1585" t="str">
            <v>2026A-03</v>
          </cell>
          <cell r="T1585" t="str">
            <v>CV</v>
          </cell>
        </row>
        <row r="1586">
          <cell r="K1586">
            <v>4258.76</v>
          </cell>
          <cell r="P1586" t="str">
            <v>81319101-52041401</v>
          </cell>
          <cell r="S1586" t="str">
            <v>2026A-03</v>
          </cell>
          <cell r="T1586" t="str">
            <v>CV</v>
          </cell>
        </row>
        <row r="1587">
          <cell r="K1587">
            <v>0.01</v>
          </cell>
          <cell r="P1587" t="str">
            <v>81123102-52061111</v>
          </cell>
          <cell r="S1587" t="str">
            <v>2026A-03</v>
          </cell>
          <cell r="T1587" t="str">
            <v>R&amp;M - Supplies</v>
          </cell>
        </row>
        <row r="1588">
          <cell r="K1588">
            <v>1848.52</v>
          </cell>
          <cell r="P1588" t="str">
            <v>90111204-61091102</v>
          </cell>
          <cell r="S1588" t="str">
            <v>2026A-03</v>
          </cell>
          <cell r="T1588" t="str">
            <v>Meetings</v>
          </cell>
        </row>
        <row r="1589">
          <cell r="K1589">
            <v>120</v>
          </cell>
          <cell r="P1589" t="str">
            <v>81111101-52031103</v>
          </cell>
          <cell r="S1589" t="str">
            <v>2026A-03</v>
          </cell>
          <cell r="T1589" t="str">
            <v>DST</v>
          </cell>
        </row>
        <row r="1590">
          <cell r="K1590">
            <v>11682</v>
          </cell>
          <cell r="P1590" t="str">
            <v>80111101-52031101</v>
          </cell>
          <cell r="S1590" t="str">
            <v>2026A-03</v>
          </cell>
          <cell r="T1590" t="str">
            <v>Other Taxes</v>
          </cell>
        </row>
        <row r="1591">
          <cell r="K1591">
            <v>56701.86</v>
          </cell>
          <cell r="P1591" t="str">
            <v>81123102-52041401</v>
          </cell>
          <cell r="S1591" t="str">
            <v>2026A-03</v>
          </cell>
          <cell r="T1591" t="str">
            <v>Security HQ</v>
          </cell>
        </row>
        <row r="1592">
          <cell r="K1592">
            <v>11339.46</v>
          </cell>
          <cell r="P1592" t="str">
            <v>81123102-52041401</v>
          </cell>
          <cell r="S1592" t="str">
            <v>2026A-03</v>
          </cell>
          <cell r="T1592" t="str">
            <v>Security HQ</v>
          </cell>
        </row>
        <row r="1593">
          <cell r="K1593">
            <v>18587.240000000002</v>
          </cell>
          <cell r="P1593" t="str">
            <v>81319101-52041401</v>
          </cell>
          <cell r="S1593" t="str">
            <v>2026A-03</v>
          </cell>
          <cell r="T1593" t="str">
            <v>CV</v>
          </cell>
        </row>
        <row r="1594">
          <cell r="K1594">
            <v>3717.45</v>
          </cell>
          <cell r="P1594" t="str">
            <v>81319101-52041401</v>
          </cell>
          <cell r="S1594" t="str">
            <v>2026A-03</v>
          </cell>
          <cell r="T1594" t="str">
            <v>CV</v>
          </cell>
        </row>
        <row r="1595">
          <cell r="K1595">
            <v>-40092.06</v>
          </cell>
          <cell r="P1595" t="str">
            <v>81111101-52041495</v>
          </cell>
          <cell r="S1595" t="str">
            <v>2026A-03</v>
          </cell>
          <cell r="T1595" t="str">
            <v>BTs</v>
          </cell>
        </row>
        <row r="1596">
          <cell r="K1596">
            <v>16267.33</v>
          </cell>
          <cell r="P1596" t="str">
            <v>81111101-52041495</v>
          </cell>
          <cell r="S1596" t="str">
            <v>2026A-03</v>
          </cell>
          <cell r="T1596" t="str">
            <v>BTs</v>
          </cell>
        </row>
        <row r="1597">
          <cell r="K1597">
            <v>306026.69</v>
          </cell>
          <cell r="P1597" t="str">
            <v>81111101-52041495</v>
          </cell>
          <cell r="S1597" t="str">
            <v>2026A-03</v>
          </cell>
          <cell r="T1597" t="str">
            <v>BTs</v>
          </cell>
        </row>
        <row r="1598">
          <cell r="K1598">
            <v>-410.86</v>
          </cell>
          <cell r="P1598" t="str">
            <v>81111101-52041495</v>
          </cell>
          <cell r="S1598" t="str">
            <v>2026A-03</v>
          </cell>
          <cell r="T1598" t="str">
            <v>BTs</v>
          </cell>
        </row>
        <row r="1599">
          <cell r="K1599">
            <v>-13311.31</v>
          </cell>
          <cell r="P1599" t="str">
            <v>81123102-52041405</v>
          </cell>
          <cell r="S1599" t="str">
            <v>2026A-03</v>
          </cell>
          <cell r="T1599" t="str">
            <v>Janitorial (SFI)</v>
          </cell>
        </row>
        <row r="1600">
          <cell r="K1600">
            <v>40667.15</v>
          </cell>
          <cell r="P1600" t="str">
            <v>81123102-52041405</v>
          </cell>
          <cell r="S1600" t="str">
            <v>2026A-03</v>
          </cell>
          <cell r="T1600" t="str">
            <v>Janitorial (SFI)</v>
          </cell>
        </row>
        <row r="1601">
          <cell r="K1601">
            <v>-5488.19</v>
          </cell>
          <cell r="P1601" t="str">
            <v>81123102-52041405</v>
          </cell>
          <cell r="S1601" t="str">
            <v>2026A-03</v>
          </cell>
          <cell r="T1601" t="str">
            <v>Janitorial (SFI)</v>
          </cell>
        </row>
        <row r="1602">
          <cell r="K1602">
            <v>-26014.37</v>
          </cell>
          <cell r="P1602" t="str">
            <v>81123102-52041499</v>
          </cell>
          <cell r="S1602" t="str">
            <v>2026A-03</v>
          </cell>
          <cell r="T1602" t="str">
            <v>Admin Staff (SFI)</v>
          </cell>
        </row>
        <row r="1603">
          <cell r="K1603">
            <v>23579.49</v>
          </cell>
          <cell r="P1603" t="str">
            <v>81123102-52041499</v>
          </cell>
          <cell r="S1603" t="str">
            <v>2026A-03</v>
          </cell>
          <cell r="T1603" t="str">
            <v>Admin Staff (SFI)</v>
          </cell>
        </row>
        <row r="1604">
          <cell r="K1604">
            <v>-3084.69</v>
          </cell>
          <cell r="P1604" t="str">
            <v>81123102-52041499</v>
          </cell>
          <cell r="S1604" t="str">
            <v>2026A-03</v>
          </cell>
          <cell r="T1604" t="str">
            <v>Admin Staff (SFI)</v>
          </cell>
        </row>
        <row r="1605">
          <cell r="K1605">
            <v>115000</v>
          </cell>
          <cell r="P1605" t="str">
            <v>90134102-52091103</v>
          </cell>
          <cell r="S1605" t="str">
            <v>2026A-03</v>
          </cell>
          <cell r="T1605" t="str">
            <v>BOD Meeting</v>
          </cell>
        </row>
        <row r="1606">
          <cell r="K1606">
            <v>71428.570000000007</v>
          </cell>
          <cell r="P1606" t="str">
            <v>90134102-52091103</v>
          </cell>
          <cell r="S1606" t="str">
            <v>2026A-03</v>
          </cell>
          <cell r="T1606" t="str">
            <v>BOD Meeting</v>
          </cell>
        </row>
        <row r="1607">
          <cell r="K1607">
            <v>71428.570000000007</v>
          </cell>
          <cell r="P1607" t="str">
            <v>90134102-52091103</v>
          </cell>
          <cell r="S1607" t="str">
            <v>2026A-03</v>
          </cell>
          <cell r="T1607" t="str">
            <v>BOD Meeting</v>
          </cell>
        </row>
        <row r="1608">
          <cell r="K1608">
            <v>80000</v>
          </cell>
          <cell r="P1608" t="str">
            <v>90134102-52091103</v>
          </cell>
          <cell r="S1608" t="str">
            <v>2026A-03</v>
          </cell>
          <cell r="T1608" t="str">
            <v>BOD Meeting</v>
          </cell>
        </row>
        <row r="1609">
          <cell r="K1609">
            <v>80000</v>
          </cell>
          <cell r="P1609" t="str">
            <v>90134102-52091103</v>
          </cell>
          <cell r="S1609" t="str">
            <v>2026A-03</v>
          </cell>
          <cell r="T1609" t="str">
            <v>BOD Meeting</v>
          </cell>
        </row>
        <row r="1610">
          <cell r="K1610">
            <v>80000</v>
          </cell>
          <cell r="P1610" t="str">
            <v>90134102-52091103</v>
          </cell>
          <cell r="S1610" t="str">
            <v>2026A-03</v>
          </cell>
          <cell r="T1610" t="str">
            <v>BOD Meeting</v>
          </cell>
        </row>
        <row r="1611">
          <cell r="K1611">
            <v>80000</v>
          </cell>
          <cell r="P1611" t="str">
            <v>90134102-52091103</v>
          </cell>
          <cell r="S1611" t="str">
            <v>2026A-03</v>
          </cell>
          <cell r="T1611" t="str">
            <v>BOD Meeting</v>
          </cell>
        </row>
        <row r="1612">
          <cell r="K1612">
            <v>80000</v>
          </cell>
          <cell r="P1612" t="str">
            <v>90134102-52091103</v>
          </cell>
          <cell r="S1612" t="str">
            <v>2026A-03</v>
          </cell>
          <cell r="T1612" t="str">
            <v>BOD Meeting</v>
          </cell>
        </row>
        <row r="1613">
          <cell r="K1613">
            <v>80000</v>
          </cell>
          <cell r="P1613" t="str">
            <v>90134102-52091103</v>
          </cell>
          <cell r="S1613" t="str">
            <v>2026A-03</v>
          </cell>
          <cell r="T1613" t="str">
            <v>BOD Meeting</v>
          </cell>
        </row>
        <row r="1614">
          <cell r="K1614">
            <v>300000</v>
          </cell>
          <cell r="P1614" t="str">
            <v>90134102-52071103</v>
          </cell>
          <cell r="S1614" t="str">
            <v>2026A-03</v>
          </cell>
          <cell r="T1614" t="str">
            <v>BOD</v>
          </cell>
        </row>
        <row r="1615">
          <cell r="K1615">
            <v>189732.14</v>
          </cell>
          <cell r="P1615" t="str">
            <v>90134102-52071103</v>
          </cell>
          <cell r="S1615" t="str">
            <v>2026A-03</v>
          </cell>
          <cell r="T1615" t="str">
            <v>BOD</v>
          </cell>
        </row>
        <row r="1616">
          <cell r="K1616">
            <v>189732.14</v>
          </cell>
          <cell r="P1616" t="str">
            <v>90134102-52071103</v>
          </cell>
          <cell r="S1616" t="str">
            <v>2026A-03</v>
          </cell>
          <cell r="T1616" t="str">
            <v>BOD</v>
          </cell>
        </row>
        <row r="1617">
          <cell r="K1617">
            <v>212500</v>
          </cell>
          <cell r="P1617" t="str">
            <v>90134102-52071103</v>
          </cell>
          <cell r="S1617" t="str">
            <v>2026A-03</v>
          </cell>
          <cell r="T1617" t="str">
            <v>BOD</v>
          </cell>
        </row>
        <row r="1618">
          <cell r="K1618">
            <v>212500</v>
          </cell>
          <cell r="P1618" t="str">
            <v>90134102-52071103</v>
          </cell>
          <cell r="S1618" t="str">
            <v>2026A-03</v>
          </cell>
          <cell r="T1618" t="str">
            <v>BOD</v>
          </cell>
        </row>
        <row r="1619">
          <cell r="K1619">
            <v>212500</v>
          </cell>
          <cell r="P1619" t="str">
            <v>90134102-52071103</v>
          </cell>
          <cell r="S1619" t="str">
            <v>2026A-03</v>
          </cell>
          <cell r="T1619" t="str">
            <v>BOD</v>
          </cell>
        </row>
        <row r="1620">
          <cell r="K1620">
            <v>212500</v>
          </cell>
          <cell r="P1620" t="str">
            <v>90134102-52071103</v>
          </cell>
          <cell r="S1620" t="str">
            <v>2026A-03</v>
          </cell>
          <cell r="T1620" t="str">
            <v>BOD</v>
          </cell>
        </row>
        <row r="1621">
          <cell r="K1621">
            <v>212500</v>
          </cell>
          <cell r="P1621" t="str">
            <v>90134102-52071103</v>
          </cell>
          <cell r="S1621" t="str">
            <v>2026A-03</v>
          </cell>
          <cell r="T1621" t="str">
            <v>BOD</v>
          </cell>
        </row>
        <row r="1622">
          <cell r="K1622">
            <v>212500</v>
          </cell>
          <cell r="P1622" t="str">
            <v>90134102-52071103</v>
          </cell>
          <cell r="S1622" t="str">
            <v>2026A-03</v>
          </cell>
          <cell r="T1622" t="str">
            <v>BOD</v>
          </cell>
        </row>
        <row r="1623">
          <cell r="K1623">
            <v>57054.11</v>
          </cell>
          <cell r="P1623" t="str">
            <v>81319101-52041499</v>
          </cell>
          <cell r="S1623" t="str">
            <v>2026A-03</v>
          </cell>
          <cell r="T1623" t="str">
            <v>2025 Admin Staff</v>
          </cell>
        </row>
        <row r="1624">
          <cell r="K1624">
            <v>19677.68</v>
          </cell>
          <cell r="P1624" t="str">
            <v>81319101-52041405</v>
          </cell>
          <cell r="S1624" t="str">
            <v>2026A-03</v>
          </cell>
          <cell r="T1624" t="str">
            <v>ES</v>
          </cell>
        </row>
        <row r="1625">
          <cell r="K1625">
            <v>19135.95</v>
          </cell>
          <cell r="P1625" t="str">
            <v>80123102-61061104</v>
          </cell>
          <cell r="S1625" t="str">
            <v>2026A-03</v>
          </cell>
          <cell r="T1625" t="str">
            <v>R&amp;M - Rav 4</v>
          </cell>
        </row>
        <row r="1626">
          <cell r="K1626">
            <v>77187.5</v>
          </cell>
          <cell r="P1626" t="str">
            <v>81124101-52952103</v>
          </cell>
          <cell r="S1626" t="str">
            <v>2026A-03</v>
          </cell>
          <cell r="T1626" t="str">
            <v>Meraki</v>
          </cell>
        </row>
        <row r="1627">
          <cell r="K1627">
            <v>45892.12</v>
          </cell>
          <cell r="P1627" t="str">
            <v>81225101-61071001</v>
          </cell>
          <cell r="S1627" t="str">
            <v>2026A-03</v>
          </cell>
          <cell r="T1627" t="str">
            <v>Tenant Audit</v>
          </cell>
        </row>
        <row r="1628">
          <cell r="K1628">
            <v>53292.12</v>
          </cell>
          <cell r="P1628" t="str">
            <v>81221201-61071001</v>
          </cell>
          <cell r="S1628" t="str">
            <v>2026A-03</v>
          </cell>
          <cell r="T1628" t="str">
            <v>Tenant Audit</v>
          </cell>
        </row>
        <row r="1629">
          <cell r="K1629">
            <v>4026</v>
          </cell>
          <cell r="P1629" t="str">
            <v>90111204-61091102</v>
          </cell>
          <cell r="S1629" t="str">
            <v>2026A-03</v>
          </cell>
          <cell r="T1629" t="str">
            <v>Meetings</v>
          </cell>
        </row>
        <row r="1630">
          <cell r="K1630">
            <v>7000</v>
          </cell>
          <cell r="P1630" t="str">
            <v>80123101-61071005</v>
          </cell>
          <cell r="S1630" t="str">
            <v>2026A-03</v>
          </cell>
          <cell r="T1630" t="str">
            <v>Corpuz</v>
          </cell>
        </row>
        <row r="1631">
          <cell r="K1631">
            <v>20000</v>
          </cell>
          <cell r="P1631" t="str">
            <v>80123101-61071005</v>
          </cell>
          <cell r="S1631" t="str">
            <v>2026A-03</v>
          </cell>
          <cell r="T1631" t="str">
            <v>Poblador</v>
          </cell>
        </row>
        <row r="1632">
          <cell r="K1632">
            <v>54701.29</v>
          </cell>
          <cell r="P1632" t="str">
            <v>81319101-52041499</v>
          </cell>
          <cell r="S1632" t="str">
            <v>2026A-03</v>
          </cell>
          <cell r="T1632" t="str">
            <v>GH</v>
          </cell>
        </row>
        <row r="1633">
          <cell r="K1633">
            <v>25071.43</v>
          </cell>
          <cell r="P1633" t="str">
            <v>81319101-52041499</v>
          </cell>
          <cell r="S1633" t="str">
            <v>2026A-03</v>
          </cell>
          <cell r="T1633" t="str">
            <v>TS</v>
          </cell>
        </row>
        <row r="1634">
          <cell r="K1634">
            <v>22889.48</v>
          </cell>
          <cell r="P1634" t="str">
            <v>81111101-52041495</v>
          </cell>
          <cell r="S1634" t="str">
            <v>2026A-03</v>
          </cell>
          <cell r="T1634" t="str">
            <v>BTs</v>
          </cell>
        </row>
        <row r="1635">
          <cell r="K1635">
            <v>27350.639999999999</v>
          </cell>
          <cell r="P1635" t="str">
            <v>81319101-52041499</v>
          </cell>
          <cell r="S1635" t="str">
            <v>2026A-03</v>
          </cell>
          <cell r="T1635" t="str">
            <v>ES</v>
          </cell>
        </row>
        <row r="1636">
          <cell r="K1636">
            <v>24669.08</v>
          </cell>
          <cell r="P1636" t="str">
            <v>81319101-52041499</v>
          </cell>
          <cell r="S1636" t="str">
            <v>2026A-03</v>
          </cell>
          <cell r="T1636" t="str">
            <v>ES</v>
          </cell>
        </row>
        <row r="1637">
          <cell r="K1637">
            <v>9553.17</v>
          </cell>
          <cell r="P1637" t="str">
            <v>80123102-61721101</v>
          </cell>
          <cell r="S1637" t="str">
            <v>2026A-03</v>
          </cell>
          <cell r="T1637" t="str">
            <v>Mobile Phones</v>
          </cell>
        </row>
        <row r="1638">
          <cell r="K1638">
            <v>2171.1</v>
          </cell>
          <cell r="P1638" t="str">
            <v>80123102-61721101</v>
          </cell>
          <cell r="S1638" t="str">
            <v>2026A-03</v>
          </cell>
          <cell r="T1638" t="str">
            <v>Mobile Phones</v>
          </cell>
        </row>
        <row r="1639">
          <cell r="K1639">
            <v>1736.98</v>
          </cell>
          <cell r="P1639" t="str">
            <v>80123102-61721101</v>
          </cell>
          <cell r="S1639" t="str">
            <v>2026A-03</v>
          </cell>
          <cell r="T1639" t="str">
            <v>Mobile Phones</v>
          </cell>
        </row>
        <row r="1640">
          <cell r="K1640">
            <v>1736.98</v>
          </cell>
          <cell r="P1640" t="str">
            <v>80123102-61721101</v>
          </cell>
          <cell r="S1640" t="str">
            <v>2026A-03</v>
          </cell>
          <cell r="T1640" t="str">
            <v>Mobile Phones</v>
          </cell>
        </row>
        <row r="1641">
          <cell r="K1641">
            <v>1736.98</v>
          </cell>
          <cell r="P1641" t="str">
            <v>80123102-61721101</v>
          </cell>
          <cell r="S1641" t="str">
            <v>2026A-03</v>
          </cell>
          <cell r="T1641" t="str">
            <v>Mobile Phones</v>
          </cell>
        </row>
        <row r="1642">
          <cell r="K1642">
            <v>1736.98</v>
          </cell>
          <cell r="P1642" t="str">
            <v>80123102-61721101</v>
          </cell>
          <cell r="S1642" t="str">
            <v>2026A-03</v>
          </cell>
          <cell r="T1642" t="str">
            <v>Mobile Phones</v>
          </cell>
        </row>
        <row r="1643">
          <cell r="K1643">
            <v>1736.98</v>
          </cell>
          <cell r="P1643" t="str">
            <v>80123102-61721101</v>
          </cell>
          <cell r="S1643" t="str">
            <v>2026A-03</v>
          </cell>
          <cell r="T1643" t="str">
            <v>Mobile Phones</v>
          </cell>
        </row>
        <row r="1644">
          <cell r="K1644">
            <v>1736.98</v>
          </cell>
          <cell r="P1644" t="str">
            <v>80123102-61721101</v>
          </cell>
          <cell r="S1644" t="str">
            <v>2026A-03</v>
          </cell>
          <cell r="T1644" t="str">
            <v>Mobile Phones</v>
          </cell>
        </row>
        <row r="1645">
          <cell r="K1645">
            <v>1259.06</v>
          </cell>
          <cell r="P1645" t="str">
            <v>80123102-61721101</v>
          </cell>
          <cell r="S1645" t="str">
            <v>2026A-03</v>
          </cell>
          <cell r="T1645" t="str">
            <v>Mobile Phones</v>
          </cell>
        </row>
        <row r="1646">
          <cell r="K1646">
            <v>2044.78</v>
          </cell>
          <cell r="P1646" t="str">
            <v>80123102-61721101</v>
          </cell>
          <cell r="S1646" t="str">
            <v>2026A-03</v>
          </cell>
          <cell r="T1646" t="str">
            <v>Mobile Phones</v>
          </cell>
        </row>
        <row r="1647">
          <cell r="K1647">
            <v>1259.06</v>
          </cell>
          <cell r="P1647" t="str">
            <v>80123102-61721101</v>
          </cell>
          <cell r="S1647" t="str">
            <v>2026A-03</v>
          </cell>
          <cell r="T1647" t="str">
            <v>Mobile Phones</v>
          </cell>
        </row>
        <row r="1648">
          <cell r="K1648">
            <v>1304.51</v>
          </cell>
          <cell r="P1648" t="str">
            <v>80123102-61721101</v>
          </cell>
          <cell r="S1648" t="str">
            <v>2026A-03</v>
          </cell>
          <cell r="T1648" t="str">
            <v>Mobile Phones</v>
          </cell>
        </row>
        <row r="1649">
          <cell r="K1649">
            <v>223.21</v>
          </cell>
          <cell r="P1649" t="str">
            <v>80123102-61721101</v>
          </cell>
          <cell r="S1649" t="str">
            <v>2026A-03</v>
          </cell>
          <cell r="T1649" t="str">
            <v>Mobile Phones</v>
          </cell>
        </row>
        <row r="1650">
          <cell r="K1650">
            <v>1536.38</v>
          </cell>
          <cell r="P1650" t="str">
            <v>80123102-61721101</v>
          </cell>
          <cell r="S1650" t="str">
            <v>2026A-03</v>
          </cell>
          <cell r="T1650" t="str">
            <v>Mobile Phones</v>
          </cell>
        </row>
        <row r="1651">
          <cell r="K1651">
            <v>1259.06</v>
          </cell>
          <cell r="P1651" t="str">
            <v>80123102-61721101</v>
          </cell>
          <cell r="S1651" t="str">
            <v>2026A-03</v>
          </cell>
          <cell r="T1651" t="str">
            <v>Mobile Phones</v>
          </cell>
        </row>
        <row r="1652">
          <cell r="K1652">
            <v>119.15</v>
          </cell>
          <cell r="P1652" t="str">
            <v>81319101-52041401</v>
          </cell>
          <cell r="S1652" t="str">
            <v>2026A-03</v>
          </cell>
          <cell r="T1652" t="str">
            <v>2025 Security</v>
          </cell>
        </row>
        <row r="1653">
          <cell r="K1653">
            <v>23.83</v>
          </cell>
          <cell r="P1653" t="str">
            <v>81319101-52041401</v>
          </cell>
          <cell r="S1653" t="str">
            <v>2026A-03</v>
          </cell>
          <cell r="T1653" t="str">
            <v>2025 Security</v>
          </cell>
        </row>
        <row r="1654">
          <cell r="K1654">
            <v>82091.520000000004</v>
          </cell>
          <cell r="P1654" t="str">
            <v>81319101-52041401</v>
          </cell>
          <cell r="S1654" t="str">
            <v>2026A-03</v>
          </cell>
          <cell r="T1654" t="str">
            <v>ES</v>
          </cell>
        </row>
        <row r="1655">
          <cell r="K1655">
            <v>16416.96</v>
          </cell>
          <cell r="P1655" t="str">
            <v>81319101-52041401</v>
          </cell>
          <cell r="S1655" t="str">
            <v>2026A-03</v>
          </cell>
          <cell r="T1655" t="str">
            <v>ES</v>
          </cell>
        </row>
        <row r="1656">
          <cell r="K1656">
            <v>3900</v>
          </cell>
          <cell r="P1656" t="str">
            <v>81122101-52121402</v>
          </cell>
          <cell r="S1656" t="str">
            <v>2026A-03</v>
          </cell>
          <cell r="T1656" t="str">
            <v>Bereavement Assistance</v>
          </cell>
        </row>
        <row r="1657">
          <cell r="K1657">
            <v>2231.25</v>
          </cell>
          <cell r="P1657" t="str">
            <v>80123102-61721101</v>
          </cell>
          <cell r="S1657" t="str">
            <v>2026A-03</v>
          </cell>
          <cell r="T1657" t="str">
            <v>Phone - MDIA</v>
          </cell>
        </row>
        <row r="1658">
          <cell r="K1658">
            <v>2231.25</v>
          </cell>
          <cell r="P1658" t="str">
            <v>80123102-61721101</v>
          </cell>
          <cell r="S1658" t="str">
            <v>2026A-03</v>
          </cell>
          <cell r="T1658" t="str">
            <v>Phone - JHJ</v>
          </cell>
        </row>
        <row r="1659">
          <cell r="K1659">
            <v>1338.39</v>
          </cell>
          <cell r="P1659" t="str">
            <v>80123102-61721101</v>
          </cell>
          <cell r="S1659" t="str">
            <v>2026A-03</v>
          </cell>
          <cell r="T1659" t="str">
            <v>Mobile Phones</v>
          </cell>
        </row>
        <row r="1660">
          <cell r="K1660">
            <v>891.96</v>
          </cell>
          <cell r="P1660" t="str">
            <v>80123102-61721101</v>
          </cell>
          <cell r="S1660" t="str">
            <v>2026A-03</v>
          </cell>
          <cell r="T1660" t="str">
            <v>Mobile Phones</v>
          </cell>
        </row>
        <row r="1661">
          <cell r="K1661">
            <v>891.96</v>
          </cell>
          <cell r="P1661" t="str">
            <v>80123102-61721101</v>
          </cell>
          <cell r="S1661" t="str">
            <v>2026A-03</v>
          </cell>
          <cell r="T1661" t="str">
            <v>Mobile Phones</v>
          </cell>
        </row>
        <row r="1662">
          <cell r="K1662">
            <v>891.96</v>
          </cell>
          <cell r="P1662" t="str">
            <v>80123102-61721101</v>
          </cell>
          <cell r="S1662" t="str">
            <v>2026A-03</v>
          </cell>
          <cell r="T1662" t="str">
            <v>Mobile Phones</v>
          </cell>
        </row>
        <row r="1663">
          <cell r="K1663">
            <v>891.96</v>
          </cell>
          <cell r="P1663" t="str">
            <v>80123102-61721101</v>
          </cell>
          <cell r="S1663" t="str">
            <v>2026A-03</v>
          </cell>
          <cell r="T1663" t="str">
            <v>Mobile Phones</v>
          </cell>
        </row>
        <row r="1664">
          <cell r="K1664">
            <v>722.32</v>
          </cell>
          <cell r="P1664" t="str">
            <v>80123102-61721101</v>
          </cell>
          <cell r="S1664" t="str">
            <v>2026A-03</v>
          </cell>
          <cell r="T1664" t="str">
            <v>Mobile Phones</v>
          </cell>
        </row>
        <row r="1665">
          <cell r="K1665">
            <v>1338.39</v>
          </cell>
          <cell r="P1665" t="str">
            <v>80123102-61721101</v>
          </cell>
          <cell r="S1665" t="str">
            <v>2026A-03</v>
          </cell>
          <cell r="T1665" t="str">
            <v>Mobile Phones</v>
          </cell>
        </row>
        <row r="1666">
          <cell r="K1666">
            <v>1338.39</v>
          </cell>
          <cell r="P1666" t="str">
            <v>80123102-61721101</v>
          </cell>
          <cell r="S1666" t="str">
            <v>2026A-03</v>
          </cell>
          <cell r="T1666" t="str">
            <v>Mobile Phones</v>
          </cell>
        </row>
        <row r="1667">
          <cell r="K1667">
            <v>1390.07</v>
          </cell>
          <cell r="P1667" t="str">
            <v>80123102-61721101</v>
          </cell>
          <cell r="S1667" t="str">
            <v>2026A-03</v>
          </cell>
          <cell r="T1667" t="str">
            <v>Mobile Phones</v>
          </cell>
        </row>
        <row r="1668">
          <cell r="K1668">
            <v>713.39</v>
          </cell>
          <cell r="P1668" t="str">
            <v>80123102-61721101</v>
          </cell>
          <cell r="S1668" t="str">
            <v>2026A-03</v>
          </cell>
          <cell r="T1668" t="str">
            <v>Mobile Phones</v>
          </cell>
        </row>
        <row r="1669">
          <cell r="K1669">
            <v>713.39</v>
          </cell>
          <cell r="P1669" t="str">
            <v>80123102-61721101</v>
          </cell>
          <cell r="S1669" t="str">
            <v>2026A-03</v>
          </cell>
          <cell r="T1669" t="str">
            <v>Mobile Phones</v>
          </cell>
        </row>
        <row r="1670">
          <cell r="K1670">
            <v>713.39</v>
          </cell>
          <cell r="P1670" t="str">
            <v>80123102-61721101</v>
          </cell>
          <cell r="S1670" t="str">
            <v>2026A-03</v>
          </cell>
          <cell r="T1670" t="str">
            <v>Mobile Phones</v>
          </cell>
        </row>
        <row r="1671">
          <cell r="K1671">
            <v>1380.64</v>
          </cell>
          <cell r="P1671" t="str">
            <v>80123102-61721101</v>
          </cell>
          <cell r="S1671" t="str">
            <v>2026A-03</v>
          </cell>
          <cell r="T1671" t="str">
            <v>Mobile Phones</v>
          </cell>
        </row>
        <row r="1672">
          <cell r="K1672">
            <v>1606.41</v>
          </cell>
          <cell r="P1672" t="str">
            <v>80123102-61721101</v>
          </cell>
          <cell r="S1672" t="str">
            <v>2026A-03</v>
          </cell>
          <cell r="T1672" t="str">
            <v>Mobile Phones</v>
          </cell>
        </row>
        <row r="1673">
          <cell r="K1673">
            <v>891.96</v>
          </cell>
          <cell r="P1673" t="str">
            <v>80123102-61721101</v>
          </cell>
          <cell r="S1673" t="str">
            <v>2026A-03</v>
          </cell>
          <cell r="T1673" t="str">
            <v>Mobile Phones</v>
          </cell>
        </row>
        <row r="1674">
          <cell r="K1674">
            <v>713.39</v>
          </cell>
          <cell r="P1674" t="str">
            <v>80123102-61721101</v>
          </cell>
          <cell r="S1674" t="str">
            <v>2026A-03</v>
          </cell>
          <cell r="T1674" t="str">
            <v>Mobile Phones</v>
          </cell>
        </row>
        <row r="1675">
          <cell r="K1675">
            <v>818.47</v>
          </cell>
          <cell r="P1675" t="str">
            <v>80123102-61721101</v>
          </cell>
          <cell r="S1675" t="str">
            <v>2026A-03</v>
          </cell>
          <cell r="T1675" t="str">
            <v>Mobile Phones</v>
          </cell>
        </row>
        <row r="1676">
          <cell r="K1676">
            <v>713.39</v>
          </cell>
          <cell r="P1676" t="str">
            <v>80123102-61721101</v>
          </cell>
          <cell r="S1676" t="str">
            <v>2026A-03</v>
          </cell>
          <cell r="T1676" t="str">
            <v>Mobile Phones</v>
          </cell>
        </row>
        <row r="1677">
          <cell r="K1677">
            <v>891.96</v>
          </cell>
          <cell r="P1677" t="str">
            <v>80123102-61721101</v>
          </cell>
          <cell r="S1677" t="str">
            <v>2026A-03</v>
          </cell>
          <cell r="T1677" t="str">
            <v>Mobile Phones</v>
          </cell>
        </row>
        <row r="1678">
          <cell r="K1678">
            <v>891.96</v>
          </cell>
          <cell r="P1678" t="str">
            <v>80123102-61721101</v>
          </cell>
          <cell r="S1678" t="str">
            <v>2026A-03</v>
          </cell>
          <cell r="T1678" t="str">
            <v>Mobile Phones</v>
          </cell>
        </row>
        <row r="1679">
          <cell r="K1679">
            <v>891.96</v>
          </cell>
          <cell r="P1679" t="str">
            <v>80123102-61721101</v>
          </cell>
          <cell r="S1679" t="str">
            <v>2026A-03</v>
          </cell>
          <cell r="T1679" t="str">
            <v>Mobile Phones</v>
          </cell>
        </row>
        <row r="1680">
          <cell r="K1680">
            <v>1338.39</v>
          </cell>
          <cell r="P1680" t="str">
            <v>80123102-61721101</v>
          </cell>
          <cell r="S1680" t="str">
            <v>2026A-03</v>
          </cell>
          <cell r="T1680" t="str">
            <v>Mobile Phones</v>
          </cell>
        </row>
        <row r="1681">
          <cell r="K1681">
            <v>891.96</v>
          </cell>
          <cell r="P1681" t="str">
            <v>80123102-61721101</v>
          </cell>
          <cell r="S1681" t="str">
            <v>2026A-03</v>
          </cell>
          <cell r="T1681" t="str">
            <v>Mobile Phones</v>
          </cell>
        </row>
        <row r="1682">
          <cell r="K1682">
            <v>891.96</v>
          </cell>
          <cell r="P1682" t="str">
            <v>80123102-61721101</v>
          </cell>
          <cell r="S1682" t="str">
            <v>2026A-03</v>
          </cell>
          <cell r="T1682" t="str">
            <v>Mobile Phones</v>
          </cell>
        </row>
        <row r="1683">
          <cell r="K1683">
            <v>891.96</v>
          </cell>
          <cell r="P1683" t="str">
            <v>80123102-61721101</v>
          </cell>
          <cell r="S1683" t="str">
            <v>2026A-03</v>
          </cell>
          <cell r="T1683" t="str">
            <v>Mobile Phones</v>
          </cell>
        </row>
        <row r="1684">
          <cell r="K1684">
            <v>534.82000000000005</v>
          </cell>
          <cell r="P1684" t="str">
            <v>80123102-61721101</v>
          </cell>
          <cell r="S1684" t="str">
            <v>2026A-03</v>
          </cell>
          <cell r="T1684" t="str">
            <v>Mobile Phones</v>
          </cell>
        </row>
        <row r="1685">
          <cell r="K1685">
            <v>713.39</v>
          </cell>
          <cell r="P1685" t="str">
            <v>80123102-61721101</v>
          </cell>
          <cell r="S1685" t="str">
            <v>2026A-03</v>
          </cell>
          <cell r="T1685" t="str">
            <v>Mobile Phones</v>
          </cell>
        </row>
        <row r="1686">
          <cell r="K1686">
            <v>891.96</v>
          </cell>
          <cell r="P1686" t="str">
            <v>80123102-61721101</v>
          </cell>
          <cell r="S1686" t="str">
            <v>2026A-03</v>
          </cell>
          <cell r="T1686" t="str">
            <v>Mobile Phones</v>
          </cell>
        </row>
        <row r="1687">
          <cell r="K1687">
            <v>891.96</v>
          </cell>
          <cell r="P1687" t="str">
            <v>80123102-61721101</v>
          </cell>
          <cell r="S1687" t="str">
            <v>2026A-03</v>
          </cell>
          <cell r="T1687" t="str">
            <v>Mobile Phones</v>
          </cell>
        </row>
        <row r="1688">
          <cell r="K1688">
            <v>1338.39</v>
          </cell>
          <cell r="P1688" t="str">
            <v>80123102-61721101</v>
          </cell>
          <cell r="S1688" t="str">
            <v>2026A-03</v>
          </cell>
          <cell r="T1688" t="str">
            <v>Mobile Phones</v>
          </cell>
        </row>
        <row r="1689">
          <cell r="K1689">
            <v>891.96</v>
          </cell>
          <cell r="P1689" t="str">
            <v>80123102-61721101</v>
          </cell>
          <cell r="S1689" t="str">
            <v>2026A-03</v>
          </cell>
          <cell r="T1689" t="str">
            <v>Mobile Phones</v>
          </cell>
        </row>
        <row r="1690">
          <cell r="K1690">
            <v>891.96</v>
          </cell>
          <cell r="P1690" t="str">
            <v>80123102-61721101</v>
          </cell>
          <cell r="S1690" t="str">
            <v>2026A-03</v>
          </cell>
          <cell r="T1690" t="str">
            <v>Mobile Phones</v>
          </cell>
        </row>
        <row r="1691">
          <cell r="K1691">
            <v>713.39</v>
          </cell>
          <cell r="P1691" t="str">
            <v>80123102-61721101</v>
          </cell>
          <cell r="S1691" t="str">
            <v>2026A-03</v>
          </cell>
          <cell r="T1691" t="str">
            <v>Mobile Phones</v>
          </cell>
        </row>
        <row r="1692">
          <cell r="K1692">
            <v>891.96</v>
          </cell>
          <cell r="P1692" t="str">
            <v>80123102-61721101</v>
          </cell>
          <cell r="S1692" t="str">
            <v>2026A-03</v>
          </cell>
          <cell r="T1692" t="str">
            <v>Mobile Phones</v>
          </cell>
        </row>
        <row r="1693">
          <cell r="K1693">
            <v>1338.39</v>
          </cell>
          <cell r="P1693" t="str">
            <v>80123102-61721101</v>
          </cell>
          <cell r="S1693" t="str">
            <v>2026A-03</v>
          </cell>
          <cell r="T1693" t="str">
            <v>Mobile Phones</v>
          </cell>
        </row>
        <row r="1694">
          <cell r="K1694">
            <v>891.96</v>
          </cell>
          <cell r="P1694" t="str">
            <v>80123102-61721101</v>
          </cell>
          <cell r="S1694" t="str">
            <v>2026A-03</v>
          </cell>
          <cell r="T1694" t="str">
            <v>Mobile Phones</v>
          </cell>
        </row>
        <row r="1695">
          <cell r="K1695">
            <v>891.96</v>
          </cell>
          <cell r="P1695" t="str">
            <v>80123102-61721101</v>
          </cell>
          <cell r="S1695" t="str">
            <v>2026A-03</v>
          </cell>
          <cell r="T1695" t="str">
            <v>Mobile Phones</v>
          </cell>
        </row>
        <row r="1696">
          <cell r="K1696">
            <v>891.96</v>
          </cell>
          <cell r="P1696" t="str">
            <v>80123102-61721101</v>
          </cell>
          <cell r="S1696" t="str">
            <v>2026A-03</v>
          </cell>
          <cell r="T1696" t="str">
            <v>Mobile Phones</v>
          </cell>
        </row>
        <row r="1697">
          <cell r="K1697">
            <v>534.82000000000005</v>
          </cell>
          <cell r="P1697" t="str">
            <v>80123102-61721101</v>
          </cell>
          <cell r="S1697" t="str">
            <v>2026A-03</v>
          </cell>
          <cell r="T1697" t="str">
            <v>Mobile Phones</v>
          </cell>
        </row>
        <row r="1698">
          <cell r="K1698">
            <v>713.39</v>
          </cell>
          <cell r="P1698" t="str">
            <v>80123102-61721101</v>
          </cell>
          <cell r="S1698" t="str">
            <v>2026A-03</v>
          </cell>
          <cell r="T1698" t="str">
            <v>Mobile Phones</v>
          </cell>
        </row>
        <row r="1699">
          <cell r="K1699">
            <v>891.96</v>
          </cell>
          <cell r="P1699" t="str">
            <v>80123102-61721101</v>
          </cell>
          <cell r="S1699" t="str">
            <v>2026A-03</v>
          </cell>
          <cell r="T1699" t="str">
            <v>Mobile Phones</v>
          </cell>
        </row>
        <row r="1700">
          <cell r="K1700">
            <v>891.96</v>
          </cell>
          <cell r="P1700" t="str">
            <v>80123102-61721101</v>
          </cell>
          <cell r="S1700" t="str">
            <v>2026A-03</v>
          </cell>
          <cell r="T1700" t="str">
            <v>Mobile Phones</v>
          </cell>
        </row>
        <row r="1701">
          <cell r="K1701">
            <v>1338.39</v>
          </cell>
          <cell r="P1701" t="str">
            <v>80123102-61721101</v>
          </cell>
          <cell r="S1701" t="str">
            <v>2026A-03</v>
          </cell>
          <cell r="T1701" t="str">
            <v>Mobile Phones</v>
          </cell>
        </row>
        <row r="1702">
          <cell r="K1702">
            <v>891.96</v>
          </cell>
          <cell r="P1702" t="str">
            <v>80123102-61721101</v>
          </cell>
          <cell r="S1702" t="str">
            <v>2026A-03</v>
          </cell>
          <cell r="T1702" t="str">
            <v>Mobile Phones</v>
          </cell>
        </row>
        <row r="1703">
          <cell r="K1703">
            <v>534.82000000000005</v>
          </cell>
          <cell r="P1703" t="str">
            <v>80123102-61721101</v>
          </cell>
          <cell r="S1703" t="str">
            <v>2026A-03</v>
          </cell>
          <cell r="T1703" t="str">
            <v>Mobile Phones</v>
          </cell>
        </row>
        <row r="1704">
          <cell r="K1704">
            <v>891.96</v>
          </cell>
          <cell r="P1704" t="str">
            <v>80123102-61721101</v>
          </cell>
          <cell r="S1704" t="str">
            <v>2026A-03</v>
          </cell>
          <cell r="T1704" t="str">
            <v>Mobile Phones</v>
          </cell>
        </row>
        <row r="1705">
          <cell r="K1705">
            <v>534.82000000000005</v>
          </cell>
          <cell r="P1705" t="str">
            <v>80123102-61721101</v>
          </cell>
          <cell r="S1705" t="str">
            <v>2026A-03</v>
          </cell>
          <cell r="T1705" t="str">
            <v>Mobile Phones</v>
          </cell>
        </row>
        <row r="1706">
          <cell r="K1706">
            <v>891.96</v>
          </cell>
          <cell r="P1706" t="str">
            <v>80123102-61721101</v>
          </cell>
          <cell r="S1706" t="str">
            <v>2026A-03</v>
          </cell>
          <cell r="T1706" t="str">
            <v>Mobile Phones</v>
          </cell>
        </row>
        <row r="1707">
          <cell r="K1707">
            <v>1338.39</v>
          </cell>
          <cell r="P1707" t="str">
            <v>80123102-61721101</v>
          </cell>
          <cell r="S1707" t="str">
            <v>2026A-03</v>
          </cell>
          <cell r="T1707" t="str">
            <v>Mobile Phones</v>
          </cell>
        </row>
        <row r="1708">
          <cell r="K1708">
            <v>42208.2</v>
          </cell>
          <cell r="P1708" t="str">
            <v>90122101-52041499</v>
          </cell>
          <cell r="S1708" t="str">
            <v>2026A-03</v>
          </cell>
          <cell r="T1708" t="str">
            <v>Doctor</v>
          </cell>
        </row>
        <row r="1709">
          <cell r="K1709">
            <v>100</v>
          </cell>
          <cell r="P1709" t="str">
            <v>90122101-61071099</v>
          </cell>
          <cell r="S1709" t="str">
            <v>2026A-03</v>
          </cell>
          <cell r="T1709" t="str">
            <v>2026 - Notarization Fee</v>
          </cell>
        </row>
        <row r="1710">
          <cell r="K1710">
            <v>4500</v>
          </cell>
          <cell r="P1710" t="str">
            <v>80123101-61071002</v>
          </cell>
          <cell r="S1710" t="str">
            <v>2026A-03</v>
          </cell>
          <cell r="T1710" t="str">
            <v>Notarial Fees</v>
          </cell>
        </row>
        <row r="1711">
          <cell r="K1711">
            <v>1000</v>
          </cell>
          <cell r="P1711" t="str">
            <v>81123101-52071102</v>
          </cell>
          <cell r="S1711" t="str">
            <v>2026A-03</v>
          </cell>
          <cell r="T1711" t="str">
            <v>Notarial Fees</v>
          </cell>
        </row>
        <row r="1712">
          <cell r="K1712">
            <v>25040.560000000001</v>
          </cell>
          <cell r="P1712" t="str">
            <v>81319101-52041499</v>
          </cell>
          <cell r="S1712" t="str">
            <v>2026A-03</v>
          </cell>
          <cell r="T1712" t="str">
            <v>TS</v>
          </cell>
        </row>
        <row r="1713">
          <cell r="K1713">
            <v>30000</v>
          </cell>
          <cell r="P1713" t="str">
            <v>80122101-61071099</v>
          </cell>
          <cell r="S1713" t="str">
            <v>2026A-03</v>
          </cell>
          <cell r="T1713" t="str">
            <v>PAS19 Valuation</v>
          </cell>
        </row>
        <row r="1714">
          <cell r="K1714">
            <v>30000</v>
          </cell>
          <cell r="P1714" t="str">
            <v>81122101-52071199</v>
          </cell>
          <cell r="S1714" t="str">
            <v>2026A-03</v>
          </cell>
          <cell r="T1714" t="str">
            <v>PAS19 Valuation</v>
          </cell>
        </row>
        <row r="1715">
          <cell r="K1715">
            <v>235.92</v>
          </cell>
          <cell r="P1715" t="str">
            <v>81319101-52041401</v>
          </cell>
          <cell r="S1715" t="str">
            <v>2026A-03</v>
          </cell>
          <cell r="T1715" t="str">
            <v>ES</v>
          </cell>
        </row>
        <row r="1716">
          <cell r="K1716">
            <v>47.18</v>
          </cell>
          <cell r="P1716" t="str">
            <v>81319101-52041401</v>
          </cell>
          <cell r="S1716" t="str">
            <v>2026A-03</v>
          </cell>
          <cell r="T1716" t="str">
            <v>ES</v>
          </cell>
        </row>
        <row r="1717">
          <cell r="K1717">
            <v>26519.61</v>
          </cell>
          <cell r="P1717" t="str">
            <v>81111101-52041495</v>
          </cell>
          <cell r="S1717" t="str">
            <v>2026A-03</v>
          </cell>
          <cell r="T1717" t="str">
            <v>BTs</v>
          </cell>
        </row>
        <row r="1718">
          <cell r="K1718">
            <v>34140.82</v>
          </cell>
          <cell r="P1718" t="str">
            <v>81319101-52041499</v>
          </cell>
          <cell r="S1718" t="str">
            <v>2026A-03</v>
          </cell>
          <cell r="T1718" t="str">
            <v>ES</v>
          </cell>
        </row>
        <row r="1719">
          <cell r="K1719">
            <v>31864.22</v>
          </cell>
          <cell r="P1719" t="str">
            <v>81319101-52041499</v>
          </cell>
          <cell r="S1719" t="str">
            <v>2026A-03</v>
          </cell>
          <cell r="T1719" t="str">
            <v>ES</v>
          </cell>
        </row>
        <row r="1720">
          <cell r="K1720">
            <v>40000</v>
          </cell>
          <cell r="P1720" t="str">
            <v>90122101-61071099</v>
          </cell>
          <cell r="S1720" t="str">
            <v>2026A-03</v>
          </cell>
          <cell r="T1720" t="str">
            <v>PAS19 Valuation</v>
          </cell>
        </row>
        <row r="1721">
          <cell r="K1721">
            <v>2178.5700000000002</v>
          </cell>
          <cell r="P1721" t="str">
            <v>80111204-61091102</v>
          </cell>
          <cell r="S1721" t="str">
            <v>2026A-03</v>
          </cell>
          <cell r="T1721" t="str">
            <v>Meetings</v>
          </cell>
        </row>
        <row r="1722">
          <cell r="K1722">
            <v>2771.04</v>
          </cell>
          <cell r="P1722" t="str">
            <v>80123101-61091101</v>
          </cell>
          <cell r="S1722" t="str">
            <v>2026A-03</v>
          </cell>
          <cell r="T1722" t="str">
            <v>Meetings</v>
          </cell>
        </row>
        <row r="1723">
          <cell r="K1723">
            <v>1083.8399999999999</v>
          </cell>
          <cell r="P1723" t="str">
            <v>80123101-61091101</v>
          </cell>
          <cell r="S1723" t="str">
            <v>2026A-03</v>
          </cell>
          <cell r="T1723" t="str">
            <v>Meetings</v>
          </cell>
        </row>
        <row r="1724">
          <cell r="K1724">
            <v>881.79</v>
          </cell>
          <cell r="P1724" t="str">
            <v>80111204-61091102</v>
          </cell>
          <cell r="S1724" t="str">
            <v>2026A-03</v>
          </cell>
          <cell r="T1724" t="str">
            <v>Meetings</v>
          </cell>
        </row>
        <row r="1725">
          <cell r="K1725">
            <v>1245.6600000000001</v>
          </cell>
          <cell r="P1725" t="str">
            <v>80314101-61731103</v>
          </cell>
          <cell r="S1725" t="str">
            <v>2026A-03</v>
          </cell>
          <cell r="T1725" t="str">
            <v>Meta</v>
          </cell>
        </row>
        <row r="1726">
          <cell r="K1726">
            <v>6407.84</v>
          </cell>
          <cell r="P1726" t="str">
            <v>80124101-61711102</v>
          </cell>
          <cell r="S1726" t="str">
            <v>2026A-03</v>
          </cell>
          <cell r="T1726" t="str">
            <v>AI Copilot</v>
          </cell>
        </row>
        <row r="1727">
          <cell r="K1727">
            <v>2132.37</v>
          </cell>
          <cell r="P1727" t="str">
            <v>80124101-61711102</v>
          </cell>
          <cell r="S1727" t="str">
            <v>2026A-03</v>
          </cell>
          <cell r="T1727" t="str">
            <v>Microsoft Planner</v>
          </cell>
        </row>
        <row r="1728">
          <cell r="K1728">
            <v>2651.76</v>
          </cell>
          <cell r="P1728" t="str">
            <v>80124101-61711102</v>
          </cell>
          <cell r="S1728" t="str">
            <v>2026A-03</v>
          </cell>
          <cell r="T1728" t="str">
            <v>Zoom</v>
          </cell>
        </row>
        <row r="1729">
          <cell r="K1729">
            <v>5402.4</v>
          </cell>
          <cell r="P1729" t="str">
            <v>80124101-61711102</v>
          </cell>
          <cell r="S1729" t="str">
            <v>2026A-03</v>
          </cell>
          <cell r="T1729" t="str">
            <v>Power Apps</v>
          </cell>
        </row>
        <row r="1730">
          <cell r="K1730">
            <v>2554.15</v>
          </cell>
          <cell r="P1730" t="str">
            <v>80124101-61711102</v>
          </cell>
          <cell r="S1730" t="str">
            <v>2026A-03</v>
          </cell>
          <cell r="T1730" t="str">
            <v>Domain</v>
          </cell>
        </row>
        <row r="1731">
          <cell r="K1731">
            <v>35287.480000000003</v>
          </cell>
          <cell r="P1731" t="str">
            <v>80124101-61711102</v>
          </cell>
          <cell r="S1731" t="str">
            <v>2026A-03</v>
          </cell>
          <cell r="T1731" t="str">
            <v>AI Builder</v>
          </cell>
        </row>
        <row r="1732">
          <cell r="K1732">
            <v>2804.05</v>
          </cell>
          <cell r="P1732" t="str">
            <v>80124101-61711102</v>
          </cell>
          <cell r="S1732" t="str">
            <v>2026A-03</v>
          </cell>
          <cell r="T1732" t="str">
            <v>Power Apps</v>
          </cell>
        </row>
        <row r="1733">
          <cell r="K1733">
            <v>1051.52</v>
          </cell>
          <cell r="P1733" t="str">
            <v>80124101-61711102</v>
          </cell>
          <cell r="S1733" t="str">
            <v>2026A-03</v>
          </cell>
          <cell r="T1733" t="str">
            <v>Power Apps</v>
          </cell>
        </row>
        <row r="1734">
          <cell r="K1734">
            <v>800.06</v>
          </cell>
          <cell r="P1734" t="str">
            <v>80124101-61711102</v>
          </cell>
          <cell r="S1734" t="str">
            <v>2026A-03</v>
          </cell>
          <cell r="T1734" t="str">
            <v>Github</v>
          </cell>
        </row>
        <row r="1735">
          <cell r="K1735">
            <v>15284.77</v>
          </cell>
          <cell r="P1735" t="str">
            <v>80124101-61711102</v>
          </cell>
          <cell r="S1735" t="str">
            <v>2026A-03</v>
          </cell>
          <cell r="T1735" t="str">
            <v>Acrobat Pro</v>
          </cell>
        </row>
        <row r="1736">
          <cell r="K1736">
            <v>1500</v>
          </cell>
          <cell r="P1736" t="str">
            <v>81123101-52071102</v>
          </cell>
          <cell r="S1736" t="str">
            <v>2026A-03</v>
          </cell>
          <cell r="T1736" t="str">
            <v>Notarial Fees</v>
          </cell>
        </row>
        <row r="1737">
          <cell r="K1737">
            <v>12201.68</v>
          </cell>
          <cell r="P1737" t="str">
            <v>81124101-52952103</v>
          </cell>
          <cell r="S1737" t="str">
            <v>2026A-03</v>
          </cell>
          <cell r="T1737" t="str">
            <v>Google Workspace</v>
          </cell>
        </row>
        <row r="1738">
          <cell r="K1738">
            <v>2554.15</v>
          </cell>
          <cell r="P1738" t="str">
            <v>81124101-52952103</v>
          </cell>
          <cell r="S1738" t="str">
            <v>2026A-03</v>
          </cell>
          <cell r="T1738" t="str">
            <v>Domain</v>
          </cell>
        </row>
        <row r="1739">
          <cell r="K1739">
            <v>14317.2</v>
          </cell>
          <cell r="P1739" t="str">
            <v>81124101-52952103</v>
          </cell>
          <cell r="S1739" t="str">
            <v>2026A-03</v>
          </cell>
          <cell r="T1739" t="str">
            <v>AI Chatgpt</v>
          </cell>
        </row>
        <row r="1740">
          <cell r="K1740">
            <v>534.82000000000005</v>
          </cell>
          <cell r="P1740" t="str">
            <v>81123102-52951101</v>
          </cell>
          <cell r="S1740" t="str">
            <v>2026A-03</v>
          </cell>
          <cell r="T1740" t="str">
            <v>Mobile Phones</v>
          </cell>
        </row>
        <row r="1741">
          <cell r="K1741">
            <v>891.96</v>
          </cell>
          <cell r="P1741" t="str">
            <v>81123102-52951101</v>
          </cell>
          <cell r="S1741" t="str">
            <v>2026A-03</v>
          </cell>
          <cell r="T1741" t="str">
            <v>Mobile Phones</v>
          </cell>
        </row>
        <row r="1742">
          <cell r="K1742">
            <v>534.82000000000005</v>
          </cell>
          <cell r="P1742" t="str">
            <v>81123102-52951101</v>
          </cell>
          <cell r="S1742" t="str">
            <v>2026A-03</v>
          </cell>
          <cell r="T1742" t="str">
            <v>Mobile Phones</v>
          </cell>
        </row>
        <row r="1743">
          <cell r="K1743">
            <v>891.96</v>
          </cell>
          <cell r="P1743" t="str">
            <v>81123102-52951101</v>
          </cell>
          <cell r="S1743" t="str">
            <v>2026A-03</v>
          </cell>
          <cell r="T1743" t="str">
            <v>Mobile Phones</v>
          </cell>
        </row>
        <row r="1744">
          <cell r="K1744">
            <v>713.39</v>
          </cell>
          <cell r="P1744" t="str">
            <v>81123102-52951101</v>
          </cell>
          <cell r="S1744" t="str">
            <v>2026A-03</v>
          </cell>
          <cell r="T1744" t="str">
            <v>Mobile Phones</v>
          </cell>
        </row>
        <row r="1745">
          <cell r="K1745">
            <v>534.09</v>
          </cell>
          <cell r="P1745" t="str">
            <v>81123102-52951101</v>
          </cell>
          <cell r="S1745" t="str">
            <v>2026A-03</v>
          </cell>
          <cell r="T1745" t="str">
            <v>Mobile Phones</v>
          </cell>
        </row>
        <row r="1746">
          <cell r="K1746">
            <v>713.39</v>
          </cell>
          <cell r="P1746" t="str">
            <v>81123102-52951101</v>
          </cell>
          <cell r="S1746" t="str">
            <v>2026A-03</v>
          </cell>
          <cell r="T1746" t="str">
            <v>Mobile Phones</v>
          </cell>
        </row>
        <row r="1747">
          <cell r="K1747">
            <v>891.96</v>
          </cell>
          <cell r="P1747" t="str">
            <v>81123102-52951101</v>
          </cell>
          <cell r="S1747" t="str">
            <v>2026A-03</v>
          </cell>
          <cell r="T1747" t="str">
            <v>Mobile Phones</v>
          </cell>
        </row>
        <row r="1748">
          <cell r="K1748">
            <v>713.39</v>
          </cell>
          <cell r="P1748" t="str">
            <v>81123102-52951101</v>
          </cell>
          <cell r="S1748" t="str">
            <v>2026A-03</v>
          </cell>
          <cell r="T1748" t="str">
            <v>Mobile Phones</v>
          </cell>
        </row>
        <row r="1749">
          <cell r="K1749">
            <v>713.24</v>
          </cell>
          <cell r="P1749" t="str">
            <v>81123102-52951101</v>
          </cell>
          <cell r="S1749" t="str">
            <v>2026A-03</v>
          </cell>
          <cell r="T1749" t="str">
            <v>Mobile Phones</v>
          </cell>
        </row>
        <row r="1750">
          <cell r="K1750">
            <v>1159.82</v>
          </cell>
          <cell r="P1750" t="str">
            <v>81123102-52951101</v>
          </cell>
          <cell r="S1750" t="str">
            <v>2026A-03</v>
          </cell>
          <cell r="T1750" t="str">
            <v>Mobile Phones</v>
          </cell>
        </row>
        <row r="1751">
          <cell r="K1751">
            <v>1159.82</v>
          </cell>
          <cell r="P1751" t="str">
            <v>81123102-52951101</v>
          </cell>
          <cell r="S1751" t="str">
            <v>2026A-03</v>
          </cell>
          <cell r="T1751" t="str">
            <v>Mobile Phones</v>
          </cell>
        </row>
        <row r="1752">
          <cell r="K1752">
            <v>891.96</v>
          </cell>
          <cell r="P1752" t="str">
            <v>81123102-52951101</v>
          </cell>
          <cell r="S1752" t="str">
            <v>2026A-03</v>
          </cell>
          <cell r="T1752" t="str">
            <v>Mobile Phones</v>
          </cell>
        </row>
        <row r="1753">
          <cell r="K1753">
            <v>891.96</v>
          </cell>
          <cell r="P1753" t="str">
            <v>81123102-52951101</v>
          </cell>
          <cell r="S1753" t="str">
            <v>2026A-03</v>
          </cell>
          <cell r="T1753" t="str">
            <v>Mobile Phones</v>
          </cell>
        </row>
        <row r="1754">
          <cell r="K1754">
            <v>572.02</v>
          </cell>
          <cell r="P1754" t="str">
            <v>81123102-52951101</v>
          </cell>
          <cell r="S1754" t="str">
            <v>2026A-03</v>
          </cell>
          <cell r="T1754" t="str">
            <v>Mobile Phones</v>
          </cell>
        </row>
        <row r="1755">
          <cell r="K1755">
            <v>891.96</v>
          </cell>
          <cell r="P1755" t="str">
            <v>81123102-52951101</v>
          </cell>
          <cell r="S1755" t="str">
            <v>2026A-03</v>
          </cell>
          <cell r="T1755" t="str">
            <v>Mobile Phones</v>
          </cell>
        </row>
        <row r="1756">
          <cell r="K1756">
            <v>891.96</v>
          </cell>
          <cell r="P1756" t="str">
            <v>81123102-52951101</v>
          </cell>
          <cell r="S1756" t="str">
            <v>2026A-03</v>
          </cell>
          <cell r="T1756" t="str">
            <v>Mobile Phones</v>
          </cell>
        </row>
        <row r="1757">
          <cell r="K1757">
            <v>1159.82</v>
          </cell>
          <cell r="P1757" t="str">
            <v>81123102-52951101</v>
          </cell>
          <cell r="S1757" t="str">
            <v>2026A-03</v>
          </cell>
          <cell r="T1757" t="str">
            <v>Mobile Phones</v>
          </cell>
        </row>
        <row r="1758">
          <cell r="K1758">
            <v>713.39</v>
          </cell>
          <cell r="P1758" t="str">
            <v>81123102-52951101</v>
          </cell>
          <cell r="S1758" t="str">
            <v>2026A-03</v>
          </cell>
          <cell r="T1758" t="str">
            <v>Mobile Phones</v>
          </cell>
        </row>
        <row r="1759">
          <cell r="K1759">
            <v>713.19</v>
          </cell>
          <cell r="P1759" t="str">
            <v>81123102-52951101</v>
          </cell>
          <cell r="S1759" t="str">
            <v>2026A-03</v>
          </cell>
          <cell r="T1759" t="str">
            <v>Mobile Phones</v>
          </cell>
        </row>
        <row r="1760">
          <cell r="K1760">
            <v>713.39</v>
          </cell>
          <cell r="P1760" t="str">
            <v>81123102-52951101</v>
          </cell>
          <cell r="S1760" t="str">
            <v>2026A-03</v>
          </cell>
          <cell r="T1760" t="str">
            <v>Mobile Phones</v>
          </cell>
        </row>
        <row r="1761">
          <cell r="K1761">
            <v>534.82000000000005</v>
          </cell>
          <cell r="P1761" t="str">
            <v>81123102-52951101</v>
          </cell>
          <cell r="S1761" t="str">
            <v>2026A-03</v>
          </cell>
          <cell r="T1761" t="str">
            <v>Mobile Phones</v>
          </cell>
        </row>
        <row r="1762">
          <cell r="K1762">
            <v>713.39</v>
          </cell>
          <cell r="P1762" t="str">
            <v>81123102-52951101</v>
          </cell>
          <cell r="S1762" t="str">
            <v>2026A-03</v>
          </cell>
          <cell r="T1762" t="str">
            <v>Mobile Phones</v>
          </cell>
        </row>
        <row r="1763">
          <cell r="K1763">
            <v>534.82000000000005</v>
          </cell>
          <cell r="P1763" t="str">
            <v>81123102-52951101</v>
          </cell>
          <cell r="S1763" t="str">
            <v>2026A-03</v>
          </cell>
          <cell r="T1763" t="str">
            <v>Mobile Phones</v>
          </cell>
        </row>
        <row r="1764">
          <cell r="K1764">
            <v>891.96</v>
          </cell>
          <cell r="P1764" t="str">
            <v>81123102-52951101</v>
          </cell>
          <cell r="S1764" t="str">
            <v>2026A-03</v>
          </cell>
          <cell r="T1764" t="str">
            <v>Mobile Phones</v>
          </cell>
        </row>
        <row r="1765">
          <cell r="K1765">
            <v>1159.82</v>
          </cell>
          <cell r="P1765" t="str">
            <v>81123102-52951101</v>
          </cell>
          <cell r="S1765" t="str">
            <v>2026A-03</v>
          </cell>
          <cell r="T1765" t="str">
            <v>Mobile Phones</v>
          </cell>
        </row>
        <row r="1766">
          <cell r="K1766">
            <v>713.39</v>
          </cell>
          <cell r="P1766" t="str">
            <v>81123102-52951101</v>
          </cell>
          <cell r="S1766" t="str">
            <v>2026A-03</v>
          </cell>
          <cell r="T1766" t="str">
            <v>Mobile Phones</v>
          </cell>
        </row>
        <row r="1767">
          <cell r="K1767">
            <v>534.82000000000005</v>
          </cell>
          <cell r="P1767" t="str">
            <v>81123102-52951101</v>
          </cell>
          <cell r="S1767" t="str">
            <v>2026A-03</v>
          </cell>
          <cell r="T1767" t="str">
            <v>Mobile Phones</v>
          </cell>
        </row>
        <row r="1768">
          <cell r="K1768">
            <v>534.82000000000005</v>
          </cell>
          <cell r="P1768" t="str">
            <v>81123102-52951101</v>
          </cell>
          <cell r="S1768" t="str">
            <v>2026A-03</v>
          </cell>
          <cell r="T1768" t="str">
            <v>Mobile Phones</v>
          </cell>
        </row>
        <row r="1769">
          <cell r="K1769">
            <v>1606.22</v>
          </cell>
          <cell r="P1769" t="str">
            <v>81123102-52951101</v>
          </cell>
          <cell r="S1769" t="str">
            <v>2026A-03</v>
          </cell>
          <cell r="T1769" t="str">
            <v>Mobile Phones</v>
          </cell>
        </row>
        <row r="1770">
          <cell r="K1770">
            <v>534.82000000000005</v>
          </cell>
          <cell r="P1770" t="str">
            <v>81123102-52951101</v>
          </cell>
          <cell r="S1770" t="str">
            <v>2026A-03</v>
          </cell>
          <cell r="T1770" t="str">
            <v>Mobile Phones</v>
          </cell>
        </row>
        <row r="1771">
          <cell r="K1771">
            <v>891.96</v>
          </cell>
          <cell r="P1771" t="str">
            <v>81123102-52951101</v>
          </cell>
          <cell r="S1771" t="str">
            <v>2026A-03</v>
          </cell>
          <cell r="T1771" t="str">
            <v>Mobile Phones</v>
          </cell>
        </row>
        <row r="1772">
          <cell r="K1772">
            <v>572.02</v>
          </cell>
          <cell r="P1772" t="str">
            <v>81123102-52951101</v>
          </cell>
          <cell r="S1772" t="str">
            <v>2026A-03</v>
          </cell>
          <cell r="T1772" t="str">
            <v>Mobile Phones</v>
          </cell>
        </row>
        <row r="1773">
          <cell r="K1773">
            <v>104.48</v>
          </cell>
          <cell r="P1773" t="str">
            <v>81123102-52951101</v>
          </cell>
          <cell r="S1773" t="str">
            <v>2026A-03</v>
          </cell>
          <cell r="T1773" t="str">
            <v>Mobile Phones</v>
          </cell>
        </row>
        <row r="1774">
          <cell r="K1774">
            <v>891.96</v>
          </cell>
          <cell r="P1774" t="str">
            <v>81123102-52951101</v>
          </cell>
          <cell r="S1774" t="str">
            <v>2026A-03</v>
          </cell>
          <cell r="T1774" t="str">
            <v>Mobile Phones</v>
          </cell>
        </row>
        <row r="1775">
          <cell r="K1775">
            <v>1606.25</v>
          </cell>
          <cell r="P1775" t="str">
            <v>81123102-52951101</v>
          </cell>
          <cell r="S1775" t="str">
            <v>2026A-03</v>
          </cell>
          <cell r="T1775" t="str">
            <v>Mobile Phones</v>
          </cell>
        </row>
        <row r="1776">
          <cell r="K1776">
            <v>713.39</v>
          </cell>
          <cell r="P1776" t="str">
            <v>81123102-52951101</v>
          </cell>
          <cell r="S1776" t="str">
            <v>2026A-03</v>
          </cell>
          <cell r="T1776" t="str">
            <v>Mobile Phones</v>
          </cell>
        </row>
        <row r="1777">
          <cell r="K1777">
            <v>713.39</v>
          </cell>
          <cell r="P1777" t="str">
            <v>81123102-52951101</v>
          </cell>
          <cell r="S1777" t="str">
            <v>2026A-03</v>
          </cell>
          <cell r="T1777" t="str">
            <v>Mobile Phones</v>
          </cell>
        </row>
        <row r="1778">
          <cell r="K1778">
            <v>572.02</v>
          </cell>
          <cell r="P1778" t="str">
            <v>81123102-52951101</v>
          </cell>
          <cell r="S1778" t="str">
            <v>2026A-03</v>
          </cell>
          <cell r="T1778" t="str">
            <v>Mobile Phones</v>
          </cell>
        </row>
        <row r="1779">
          <cell r="K1779">
            <v>713.39</v>
          </cell>
          <cell r="P1779" t="str">
            <v>81123102-52951101</v>
          </cell>
          <cell r="S1779" t="str">
            <v>2026A-03</v>
          </cell>
          <cell r="T1779" t="str">
            <v>Mobile Phones</v>
          </cell>
        </row>
        <row r="1780">
          <cell r="K1780">
            <v>713.39</v>
          </cell>
          <cell r="P1780" t="str">
            <v>81123102-52951101</v>
          </cell>
          <cell r="S1780" t="str">
            <v>2026A-03</v>
          </cell>
          <cell r="T1780" t="str">
            <v>Mobile Phones</v>
          </cell>
        </row>
        <row r="1781">
          <cell r="K1781">
            <v>713.39</v>
          </cell>
          <cell r="P1781" t="str">
            <v>81123102-52951101</v>
          </cell>
          <cell r="S1781" t="str">
            <v>2026A-03</v>
          </cell>
          <cell r="T1781" t="str">
            <v>Mobile Phones</v>
          </cell>
        </row>
        <row r="1782">
          <cell r="K1782">
            <v>818.75</v>
          </cell>
          <cell r="P1782" t="str">
            <v>81123102-52951101</v>
          </cell>
          <cell r="S1782" t="str">
            <v>2026A-03</v>
          </cell>
          <cell r="T1782" t="str">
            <v>Mobile Phones</v>
          </cell>
        </row>
        <row r="1783">
          <cell r="K1783">
            <v>891.96</v>
          </cell>
          <cell r="P1783" t="str">
            <v>81123102-52951101</v>
          </cell>
          <cell r="S1783" t="str">
            <v>2026A-03</v>
          </cell>
          <cell r="T1783" t="str">
            <v>Mobile Phones</v>
          </cell>
        </row>
        <row r="1784">
          <cell r="K1784">
            <v>713.39</v>
          </cell>
          <cell r="P1784" t="str">
            <v>81123102-52951101</v>
          </cell>
          <cell r="S1784" t="str">
            <v>2026A-03</v>
          </cell>
          <cell r="T1784" t="str">
            <v>Mobile Phones</v>
          </cell>
        </row>
        <row r="1785">
          <cell r="K1785">
            <v>891.96</v>
          </cell>
          <cell r="P1785" t="str">
            <v>81123102-52951101</v>
          </cell>
          <cell r="S1785" t="str">
            <v>2026A-03</v>
          </cell>
          <cell r="T1785" t="str">
            <v>Mobile Phones</v>
          </cell>
        </row>
        <row r="1786">
          <cell r="K1786">
            <v>713.39</v>
          </cell>
          <cell r="P1786" t="str">
            <v>81123102-52951101</v>
          </cell>
          <cell r="S1786" t="str">
            <v>2026A-03</v>
          </cell>
          <cell r="T1786" t="str">
            <v>Mobile Phones</v>
          </cell>
        </row>
        <row r="1787">
          <cell r="K1787">
            <v>534.82000000000005</v>
          </cell>
          <cell r="P1787" t="str">
            <v>81123102-52951101</v>
          </cell>
          <cell r="S1787" t="str">
            <v>2026A-03</v>
          </cell>
          <cell r="T1787" t="str">
            <v>Mobile Phones</v>
          </cell>
        </row>
        <row r="1788">
          <cell r="K1788">
            <v>1554.33</v>
          </cell>
          <cell r="P1788" t="str">
            <v>81123102-52951101</v>
          </cell>
          <cell r="S1788" t="str">
            <v>2026A-03</v>
          </cell>
          <cell r="T1788" t="str">
            <v>Mobile Phones</v>
          </cell>
        </row>
        <row r="1789">
          <cell r="K1789">
            <v>891.96</v>
          </cell>
          <cell r="P1789" t="str">
            <v>81123102-52951101</v>
          </cell>
          <cell r="S1789" t="str">
            <v>2026A-03</v>
          </cell>
          <cell r="T1789" t="str">
            <v>Mobile Phones</v>
          </cell>
        </row>
        <row r="1790">
          <cell r="K1790">
            <v>1503.31</v>
          </cell>
          <cell r="P1790" t="str">
            <v>81123102-52951101</v>
          </cell>
          <cell r="S1790" t="str">
            <v>2026A-03</v>
          </cell>
          <cell r="T1790" t="str">
            <v>Mobile Phones</v>
          </cell>
        </row>
        <row r="1791">
          <cell r="K1791">
            <v>713.39</v>
          </cell>
          <cell r="P1791" t="str">
            <v>81123102-52951101</v>
          </cell>
          <cell r="S1791" t="str">
            <v>2026A-03</v>
          </cell>
          <cell r="T1791" t="str">
            <v>Mobile Phones</v>
          </cell>
        </row>
        <row r="1792">
          <cell r="K1792">
            <v>891.96</v>
          </cell>
          <cell r="P1792" t="str">
            <v>81123102-52951101</v>
          </cell>
          <cell r="S1792" t="str">
            <v>2026A-03</v>
          </cell>
          <cell r="T1792" t="str">
            <v>Mobile Phones</v>
          </cell>
        </row>
        <row r="1793">
          <cell r="K1793">
            <v>572.02</v>
          </cell>
          <cell r="P1793" t="str">
            <v>81123102-52951101</v>
          </cell>
          <cell r="S1793" t="str">
            <v>2026A-03</v>
          </cell>
          <cell r="T1793" t="str">
            <v>Mobile Phones</v>
          </cell>
        </row>
        <row r="1794">
          <cell r="K1794">
            <v>2257.92</v>
          </cell>
          <cell r="P1794" t="str">
            <v>81123102-52951101</v>
          </cell>
          <cell r="S1794" t="str">
            <v>2026A-03</v>
          </cell>
          <cell r="T1794" t="str">
            <v>Mobile Phones</v>
          </cell>
        </row>
        <row r="1795">
          <cell r="K1795">
            <v>534.82000000000005</v>
          </cell>
          <cell r="P1795" t="str">
            <v>81123102-52951101</v>
          </cell>
          <cell r="S1795" t="str">
            <v>2026A-03</v>
          </cell>
          <cell r="T1795" t="str">
            <v>Mobile Phones</v>
          </cell>
        </row>
        <row r="1796">
          <cell r="K1796">
            <v>713.39</v>
          </cell>
          <cell r="P1796" t="str">
            <v>81123102-52951101</v>
          </cell>
          <cell r="S1796" t="str">
            <v>2026A-03</v>
          </cell>
          <cell r="T1796" t="str">
            <v>Mobile Phones</v>
          </cell>
        </row>
        <row r="1797">
          <cell r="K1797">
            <v>713.39</v>
          </cell>
          <cell r="P1797" t="str">
            <v>81123102-52951101</v>
          </cell>
          <cell r="S1797" t="str">
            <v>2026A-03</v>
          </cell>
          <cell r="T1797" t="str">
            <v>Mobile Phones</v>
          </cell>
        </row>
        <row r="1798">
          <cell r="K1798">
            <v>713.39</v>
          </cell>
          <cell r="P1798" t="str">
            <v>81123102-52951101</v>
          </cell>
          <cell r="S1798" t="str">
            <v>2026A-03</v>
          </cell>
          <cell r="T1798" t="str">
            <v>Mobile Phones</v>
          </cell>
        </row>
        <row r="1799">
          <cell r="K1799">
            <v>713.31</v>
          </cell>
          <cell r="P1799" t="str">
            <v>81123102-52951101</v>
          </cell>
          <cell r="S1799" t="str">
            <v>2026A-03</v>
          </cell>
          <cell r="T1799" t="str">
            <v>Mobile Phones</v>
          </cell>
        </row>
        <row r="1800">
          <cell r="K1800">
            <v>891.74</v>
          </cell>
          <cell r="P1800" t="str">
            <v>81123102-52951101</v>
          </cell>
          <cell r="S1800" t="str">
            <v>2026A-03</v>
          </cell>
          <cell r="T1800" t="str">
            <v>Mobile Phones</v>
          </cell>
        </row>
        <row r="1801">
          <cell r="K1801">
            <v>534.82000000000005</v>
          </cell>
          <cell r="P1801" t="str">
            <v>81123102-52951101</v>
          </cell>
          <cell r="S1801" t="str">
            <v>2026A-03</v>
          </cell>
          <cell r="T1801" t="str">
            <v>Mobile Phones</v>
          </cell>
        </row>
        <row r="1802">
          <cell r="K1802">
            <v>891.74</v>
          </cell>
          <cell r="P1802" t="str">
            <v>81123102-52951101</v>
          </cell>
          <cell r="S1802" t="str">
            <v>2026A-03</v>
          </cell>
          <cell r="T1802" t="str">
            <v>Mobile Phones</v>
          </cell>
        </row>
        <row r="1803">
          <cell r="K1803">
            <v>1736.61</v>
          </cell>
          <cell r="P1803" t="str">
            <v>81123102-52951101</v>
          </cell>
          <cell r="S1803" t="str">
            <v>2026A-03</v>
          </cell>
          <cell r="T1803" t="str">
            <v>Mobile Phones</v>
          </cell>
        </row>
        <row r="1804">
          <cell r="K1804">
            <v>572.02</v>
          </cell>
          <cell r="P1804" t="str">
            <v>81123102-52951101</v>
          </cell>
          <cell r="S1804" t="str">
            <v>2026A-03</v>
          </cell>
          <cell r="T1804" t="str">
            <v>Mobile Phones</v>
          </cell>
        </row>
        <row r="1805">
          <cell r="K1805">
            <v>534.82000000000005</v>
          </cell>
          <cell r="P1805" t="str">
            <v>81123102-52951101</v>
          </cell>
          <cell r="S1805" t="str">
            <v>2026A-03</v>
          </cell>
          <cell r="T1805" t="str">
            <v>Mobile Phones</v>
          </cell>
        </row>
        <row r="1806">
          <cell r="K1806">
            <v>891.96</v>
          </cell>
          <cell r="P1806" t="str">
            <v>81123102-52951101</v>
          </cell>
          <cell r="S1806" t="str">
            <v>2026A-03</v>
          </cell>
          <cell r="T1806" t="str">
            <v>Mobile Phones</v>
          </cell>
        </row>
        <row r="1807">
          <cell r="K1807">
            <v>1159.82</v>
          </cell>
          <cell r="P1807" t="str">
            <v>81123102-52951101</v>
          </cell>
          <cell r="S1807" t="str">
            <v>2026A-03</v>
          </cell>
          <cell r="T1807" t="str">
            <v>Mobile Phones</v>
          </cell>
        </row>
        <row r="1808">
          <cell r="K1808">
            <v>1159.71</v>
          </cell>
          <cell r="P1808" t="str">
            <v>81123102-52951101</v>
          </cell>
          <cell r="S1808" t="str">
            <v>2026A-03</v>
          </cell>
          <cell r="T1808" t="str">
            <v>Mobile Phones</v>
          </cell>
        </row>
        <row r="1809">
          <cell r="K1809">
            <v>1338.39</v>
          </cell>
          <cell r="P1809" t="str">
            <v>81123102-52951101</v>
          </cell>
          <cell r="S1809" t="str">
            <v>2026A-03</v>
          </cell>
          <cell r="T1809" t="str">
            <v>Mobile Phones</v>
          </cell>
        </row>
        <row r="1810">
          <cell r="K1810">
            <v>127.29</v>
          </cell>
          <cell r="P1810" t="str">
            <v>81123102-52951101</v>
          </cell>
          <cell r="S1810" t="str">
            <v>2026A-03</v>
          </cell>
          <cell r="T1810" t="str">
            <v>Mobile Phones</v>
          </cell>
        </row>
        <row r="1811">
          <cell r="K1811">
            <v>713.39</v>
          </cell>
          <cell r="P1811" t="str">
            <v>81123102-52951101</v>
          </cell>
          <cell r="S1811" t="str">
            <v>2026A-03</v>
          </cell>
          <cell r="T1811" t="str">
            <v>Mobile Phones</v>
          </cell>
        </row>
        <row r="1812">
          <cell r="K1812">
            <v>891.96</v>
          </cell>
          <cell r="P1812" t="str">
            <v>81123102-52951101</v>
          </cell>
          <cell r="S1812" t="str">
            <v>2026A-03</v>
          </cell>
          <cell r="T1812" t="str">
            <v>Mobile Phones</v>
          </cell>
        </row>
        <row r="1813">
          <cell r="K1813">
            <v>713.39</v>
          </cell>
          <cell r="P1813" t="str">
            <v>81123102-52951101</v>
          </cell>
          <cell r="S1813" t="str">
            <v>2026A-03</v>
          </cell>
          <cell r="T1813" t="str">
            <v>Mobile Phones</v>
          </cell>
        </row>
        <row r="1814">
          <cell r="K1814">
            <v>1159.82</v>
          </cell>
          <cell r="P1814" t="str">
            <v>81123102-52951101</v>
          </cell>
          <cell r="S1814" t="str">
            <v>2026A-03</v>
          </cell>
          <cell r="T1814" t="str">
            <v>Mobile Phones</v>
          </cell>
        </row>
        <row r="1815">
          <cell r="K1815">
            <v>891.96</v>
          </cell>
          <cell r="P1815" t="str">
            <v>81123102-52951101</v>
          </cell>
          <cell r="S1815" t="str">
            <v>2026A-03</v>
          </cell>
          <cell r="T1815" t="str">
            <v>Mobile Phones</v>
          </cell>
        </row>
        <row r="1816">
          <cell r="K1816">
            <v>534.82000000000005</v>
          </cell>
          <cell r="P1816" t="str">
            <v>81123102-52951101</v>
          </cell>
          <cell r="S1816" t="str">
            <v>2026A-03</v>
          </cell>
          <cell r="T1816" t="str">
            <v>Mobile Phones</v>
          </cell>
        </row>
        <row r="1817">
          <cell r="K1817">
            <v>713.39</v>
          </cell>
          <cell r="P1817" t="str">
            <v>81123102-52951101</v>
          </cell>
          <cell r="S1817" t="str">
            <v>2026A-03</v>
          </cell>
          <cell r="T1817" t="str">
            <v>Mobile Phones</v>
          </cell>
        </row>
        <row r="1818">
          <cell r="K1818">
            <v>534.82000000000005</v>
          </cell>
          <cell r="P1818" t="str">
            <v>81123102-52951101</v>
          </cell>
          <cell r="S1818" t="str">
            <v>2026A-03</v>
          </cell>
          <cell r="T1818" t="str">
            <v>Mobile Phones</v>
          </cell>
        </row>
        <row r="1819">
          <cell r="K1819">
            <v>713.39</v>
          </cell>
          <cell r="P1819" t="str">
            <v>81123102-52951101</v>
          </cell>
          <cell r="S1819" t="str">
            <v>2026A-03</v>
          </cell>
          <cell r="T1819" t="str">
            <v>Mobile Phones</v>
          </cell>
        </row>
        <row r="1820">
          <cell r="K1820">
            <v>2051.1799999999998</v>
          </cell>
          <cell r="P1820" t="str">
            <v>81123102-52951101</v>
          </cell>
          <cell r="S1820" t="str">
            <v>2026A-03</v>
          </cell>
          <cell r="T1820" t="str">
            <v>Mobile Phones</v>
          </cell>
        </row>
        <row r="1821">
          <cell r="K1821">
            <v>534.82000000000005</v>
          </cell>
          <cell r="P1821" t="str">
            <v>81123102-52951101</v>
          </cell>
          <cell r="S1821" t="str">
            <v>2026A-03</v>
          </cell>
          <cell r="T1821" t="str">
            <v>Mobile Phones</v>
          </cell>
        </row>
        <row r="1822">
          <cell r="K1822">
            <v>713.39</v>
          </cell>
          <cell r="P1822" t="str">
            <v>81123102-52951101</v>
          </cell>
          <cell r="S1822" t="str">
            <v>2026A-03</v>
          </cell>
          <cell r="T1822" t="str">
            <v>Mobile Phones</v>
          </cell>
        </row>
        <row r="1823">
          <cell r="K1823">
            <v>891.96</v>
          </cell>
          <cell r="P1823" t="str">
            <v>81123102-52951101</v>
          </cell>
          <cell r="S1823" t="str">
            <v>2026A-03</v>
          </cell>
          <cell r="T1823" t="str">
            <v>Mobile Phones</v>
          </cell>
        </row>
        <row r="1824">
          <cell r="K1824">
            <v>1159.82</v>
          </cell>
          <cell r="P1824" t="str">
            <v>81123102-52951101</v>
          </cell>
          <cell r="S1824" t="str">
            <v>2026A-03</v>
          </cell>
          <cell r="T1824" t="str">
            <v>Mobile Phones</v>
          </cell>
        </row>
        <row r="1825">
          <cell r="K1825">
            <v>891.96</v>
          </cell>
          <cell r="P1825" t="str">
            <v>81123102-52951101</v>
          </cell>
          <cell r="S1825" t="str">
            <v>2026A-03</v>
          </cell>
          <cell r="T1825" t="str">
            <v>Mobile Phones</v>
          </cell>
        </row>
        <row r="1826">
          <cell r="K1826">
            <v>1695.54</v>
          </cell>
          <cell r="P1826" t="str">
            <v>81123102-52951101</v>
          </cell>
          <cell r="S1826" t="str">
            <v>2026A-03</v>
          </cell>
          <cell r="T1826" t="str">
            <v>Mobile Phones</v>
          </cell>
        </row>
        <row r="1827">
          <cell r="K1827">
            <v>1159.82</v>
          </cell>
          <cell r="P1827" t="str">
            <v>81123102-52951101</v>
          </cell>
          <cell r="S1827" t="str">
            <v>2026A-03</v>
          </cell>
          <cell r="T1827" t="str">
            <v>Mobile Phones</v>
          </cell>
        </row>
        <row r="1828">
          <cell r="K1828">
            <v>1695.54</v>
          </cell>
          <cell r="P1828" t="str">
            <v>81123102-52951101</v>
          </cell>
          <cell r="S1828" t="str">
            <v>2026A-03</v>
          </cell>
          <cell r="T1828" t="str">
            <v>Mobile Phones</v>
          </cell>
        </row>
        <row r="1829">
          <cell r="K1829">
            <v>891.74</v>
          </cell>
          <cell r="P1829" t="str">
            <v>81123102-52951101</v>
          </cell>
          <cell r="S1829" t="str">
            <v>2026A-03</v>
          </cell>
          <cell r="T1829" t="str">
            <v>Mobile Phones</v>
          </cell>
        </row>
        <row r="1830">
          <cell r="K1830">
            <v>713.39</v>
          </cell>
          <cell r="P1830" t="str">
            <v>81123102-52951101</v>
          </cell>
          <cell r="S1830" t="str">
            <v>2026A-03</v>
          </cell>
          <cell r="T1830" t="str">
            <v>Mobile Phones</v>
          </cell>
        </row>
        <row r="1831">
          <cell r="K1831">
            <v>534.82000000000005</v>
          </cell>
          <cell r="P1831" t="str">
            <v>81123102-52951101</v>
          </cell>
          <cell r="S1831" t="str">
            <v>2026A-03</v>
          </cell>
          <cell r="T1831" t="str">
            <v>Mobile Phones</v>
          </cell>
        </row>
        <row r="1832">
          <cell r="K1832">
            <v>891.96</v>
          </cell>
          <cell r="P1832" t="str">
            <v>81123102-52951101</v>
          </cell>
          <cell r="S1832" t="str">
            <v>2026A-03</v>
          </cell>
          <cell r="T1832" t="str">
            <v>Mobile Phones</v>
          </cell>
        </row>
        <row r="1833">
          <cell r="K1833">
            <v>713.39</v>
          </cell>
          <cell r="P1833" t="str">
            <v>81123102-52951101</v>
          </cell>
          <cell r="S1833" t="str">
            <v>2026A-03</v>
          </cell>
          <cell r="T1833" t="str">
            <v>Mobile Phones</v>
          </cell>
        </row>
        <row r="1834">
          <cell r="K1834">
            <v>1159.82</v>
          </cell>
          <cell r="P1834" t="str">
            <v>81123102-52951101</v>
          </cell>
          <cell r="S1834" t="str">
            <v>2026A-03</v>
          </cell>
          <cell r="T1834" t="str">
            <v>Mobile Phones</v>
          </cell>
        </row>
        <row r="1835">
          <cell r="K1835">
            <v>1159.82</v>
          </cell>
          <cell r="P1835" t="str">
            <v>81123102-52951101</v>
          </cell>
          <cell r="S1835" t="str">
            <v>2026A-03</v>
          </cell>
          <cell r="T1835" t="str">
            <v>Mobile Phones</v>
          </cell>
        </row>
        <row r="1836">
          <cell r="K1836">
            <v>713.39</v>
          </cell>
          <cell r="P1836" t="str">
            <v>81123102-52951101</v>
          </cell>
          <cell r="S1836" t="str">
            <v>2026A-03</v>
          </cell>
          <cell r="T1836" t="str">
            <v>Mobile Phones</v>
          </cell>
        </row>
        <row r="1837">
          <cell r="K1837">
            <v>713.39</v>
          </cell>
          <cell r="P1837" t="str">
            <v>81123102-52951101</v>
          </cell>
          <cell r="S1837" t="str">
            <v>2026A-03</v>
          </cell>
          <cell r="T1837" t="str">
            <v>Mobile Phones</v>
          </cell>
        </row>
        <row r="1838">
          <cell r="K1838">
            <v>534.82000000000005</v>
          </cell>
          <cell r="P1838" t="str">
            <v>81123102-52951101</v>
          </cell>
          <cell r="S1838" t="str">
            <v>2026A-03</v>
          </cell>
          <cell r="T1838" t="str">
            <v>Mobile Phones</v>
          </cell>
        </row>
        <row r="1839">
          <cell r="K1839">
            <v>534.82000000000005</v>
          </cell>
          <cell r="P1839" t="str">
            <v>81123102-52951101</v>
          </cell>
          <cell r="S1839" t="str">
            <v>2026A-03</v>
          </cell>
          <cell r="T1839" t="str">
            <v>Mobile Phones</v>
          </cell>
        </row>
        <row r="1840">
          <cell r="K1840">
            <v>2231.25</v>
          </cell>
          <cell r="P1840" t="str">
            <v>81123102-52951101</v>
          </cell>
          <cell r="S1840" t="str">
            <v>2026A-03</v>
          </cell>
          <cell r="T1840" t="str">
            <v>Mobile Phones</v>
          </cell>
        </row>
        <row r="1841">
          <cell r="K1841">
            <v>713.39</v>
          </cell>
          <cell r="P1841" t="str">
            <v>81123102-52951101</v>
          </cell>
          <cell r="S1841" t="str">
            <v>2026A-03</v>
          </cell>
          <cell r="T1841" t="str">
            <v>Mobile Phones</v>
          </cell>
        </row>
        <row r="1842">
          <cell r="K1842">
            <v>1337.5</v>
          </cell>
          <cell r="P1842" t="str">
            <v>81123102-52951101</v>
          </cell>
          <cell r="S1842" t="str">
            <v>2026A-03</v>
          </cell>
          <cell r="T1842" t="str">
            <v>Mobile Phones</v>
          </cell>
        </row>
        <row r="1843">
          <cell r="K1843">
            <v>1159.82</v>
          </cell>
          <cell r="P1843" t="str">
            <v>81123102-52951101</v>
          </cell>
          <cell r="S1843" t="str">
            <v>2026A-03</v>
          </cell>
          <cell r="T1843" t="str">
            <v>Mobile Phones</v>
          </cell>
        </row>
        <row r="1844">
          <cell r="K1844">
            <v>534.82000000000005</v>
          </cell>
          <cell r="P1844" t="str">
            <v>81123102-52951101</v>
          </cell>
          <cell r="S1844" t="str">
            <v>2026A-03</v>
          </cell>
          <cell r="T1844" t="str">
            <v>Mobile Phones</v>
          </cell>
        </row>
        <row r="1845">
          <cell r="K1845">
            <v>534.82000000000005</v>
          </cell>
          <cell r="P1845" t="str">
            <v>81123102-52951101</v>
          </cell>
          <cell r="S1845" t="str">
            <v>2026A-03</v>
          </cell>
          <cell r="T1845" t="str">
            <v>Mobile Phones</v>
          </cell>
        </row>
        <row r="1846">
          <cell r="K1846">
            <v>713.39</v>
          </cell>
          <cell r="P1846" t="str">
            <v>81123102-52951101</v>
          </cell>
          <cell r="S1846" t="str">
            <v>2026A-03</v>
          </cell>
          <cell r="T1846" t="str">
            <v>Mobile Phones</v>
          </cell>
        </row>
        <row r="1847">
          <cell r="K1847">
            <v>1159.68</v>
          </cell>
          <cell r="P1847" t="str">
            <v>81123102-52951101</v>
          </cell>
          <cell r="S1847" t="str">
            <v>2026A-03</v>
          </cell>
          <cell r="T1847" t="str">
            <v>Mobile Phones</v>
          </cell>
        </row>
        <row r="1848">
          <cell r="K1848">
            <v>713.39</v>
          </cell>
          <cell r="P1848" t="str">
            <v>81123102-52951101</v>
          </cell>
          <cell r="S1848" t="str">
            <v>2026A-03</v>
          </cell>
          <cell r="T1848" t="str">
            <v>Mobile Phones</v>
          </cell>
        </row>
        <row r="1849">
          <cell r="K1849">
            <v>891.96</v>
          </cell>
          <cell r="P1849" t="str">
            <v>81123102-52951101</v>
          </cell>
          <cell r="S1849" t="str">
            <v>2026A-03</v>
          </cell>
          <cell r="T1849" t="str">
            <v>Mobile Phones</v>
          </cell>
        </row>
        <row r="1850">
          <cell r="K1850">
            <v>534.82000000000005</v>
          </cell>
          <cell r="P1850" t="str">
            <v>81123102-52951101</v>
          </cell>
          <cell r="S1850" t="str">
            <v>2026A-03</v>
          </cell>
          <cell r="T1850" t="str">
            <v>Mobile Phones</v>
          </cell>
        </row>
        <row r="1851">
          <cell r="K1851">
            <v>534.82000000000005</v>
          </cell>
          <cell r="P1851" t="str">
            <v>81123102-52951101</v>
          </cell>
          <cell r="S1851" t="str">
            <v>2026A-03</v>
          </cell>
          <cell r="T1851" t="str">
            <v>Mobile Phones</v>
          </cell>
        </row>
        <row r="1852">
          <cell r="K1852">
            <v>534.82000000000005</v>
          </cell>
          <cell r="P1852" t="str">
            <v>81123102-52951101</v>
          </cell>
          <cell r="S1852" t="str">
            <v>2026A-03</v>
          </cell>
          <cell r="T1852" t="str">
            <v>Mobile Phones</v>
          </cell>
        </row>
        <row r="1853">
          <cell r="K1853">
            <v>1503.31</v>
          </cell>
          <cell r="P1853" t="str">
            <v>81123102-52951101</v>
          </cell>
          <cell r="S1853" t="str">
            <v>2026A-03</v>
          </cell>
          <cell r="T1853" t="str">
            <v>Mobile Phones</v>
          </cell>
        </row>
        <row r="1854">
          <cell r="K1854">
            <v>534.82000000000005</v>
          </cell>
          <cell r="P1854" t="str">
            <v>81123102-52951101</v>
          </cell>
          <cell r="S1854" t="str">
            <v>2026A-03</v>
          </cell>
          <cell r="T1854" t="str">
            <v>Mobile Phones</v>
          </cell>
        </row>
        <row r="1855">
          <cell r="K1855">
            <v>534.82000000000005</v>
          </cell>
          <cell r="P1855" t="str">
            <v>81123102-52951101</v>
          </cell>
          <cell r="S1855" t="str">
            <v>2026A-03</v>
          </cell>
          <cell r="T1855" t="str">
            <v>Mobile Phones</v>
          </cell>
        </row>
        <row r="1856">
          <cell r="K1856">
            <v>534.82000000000005</v>
          </cell>
          <cell r="P1856" t="str">
            <v>81123102-52951101</v>
          </cell>
          <cell r="S1856" t="str">
            <v>2026A-03</v>
          </cell>
          <cell r="T1856" t="str">
            <v>Mobile Phones</v>
          </cell>
        </row>
        <row r="1857">
          <cell r="K1857">
            <v>713.39</v>
          </cell>
          <cell r="P1857" t="str">
            <v>81123102-52951101</v>
          </cell>
          <cell r="S1857" t="str">
            <v>2026A-03</v>
          </cell>
          <cell r="T1857" t="str">
            <v>Mobile Phones</v>
          </cell>
        </row>
        <row r="1858">
          <cell r="K1858">
            <v>534.82000000000005</v>
          </cell>
          <cell r="P1858" t="str">
            <v>81123102-52951101</v>
          </cell>
          <cell r="S1858" t="str">
            <v>2026A-03</v>
          </cell>
          <cell r="T1858" t="str">
            <v>Mobile Phones</v>
          </cell>
        </row>
        <row r="1859">
          <cell r="K1859">
            <v>1146.17</v>
          </cell>
          <cell r="P1859" t="str">
            <v>81123102-52951101</v>
          </cell>
          <cell r="S1859" t="str">
            <v>2026A-03</v>
          </cell>
          <cell r="T1859" t="str">
            <v>Mobile Phones</v>
          </cell>
        </row>
        <row r="1860">
          <cell r="K1860">
            <v>1146.17</v>
          </cell>
          <cell r="P1860" t="str">
            <v>81123102-52951101</v>
          </cell>
          <cell r="S1860" t="str">
            <v>2026A-03</v>
          </cell>
          <cell r="T1860" t="str">
            <v>Mobile Phones</v>
          </cell>
        </row>
        <row r="1861">
          <cell r="K1861">
            <v>2722.59</v>
          </cell>
          <cell r="P1861" t="str">
            <v>81123102-52951101</v>
          </cell>
          <cell r="S1861" t="str">
            <v>2026A-03</v>
          </cell>
          <cell r="T1861" t="str">
            <v>Mobile Phones</v>
          </cell>
        </row>
        <row r="1862">
          <cell r="K1862">
            <v>5980.18</v>
          </cell>
          <cell r="P1862" t="str">
            <v>90111204-61091102</v>
          </cell>
          <cell r="S1862" t="str">
            <v>2026A-03</v>
          </cell>
          <cell r="T1862" t="str">
            <v>Meetings</v>
          </cell>
        </row>
        <row r="1863">
          <cell r="K1863">
            <v>2091.4299999999998</v>
          </cell>
          <cell r="P1863" t="str">
            <v>90111204-61091101</v>
          </cell>
          <cell r="S1863" t="str">
            <v>2026A-03</v>
          </cell>
          <cell r="T1863" t="str">
            <v>Meetings</v>
          </cell>
        </row>
        <row r="1864">
          <cell r="K1864">
            <v>25000</v>
          </cell>
          <cell r="P1864" t="str">
            <v>80122101-61071099</v>
          </cell>
          <cell r="S1864" t="str">
            <v>2026A-03</v>
          </cell>
          <cell r="T1864" t="str">
            <v>PAS19 Valuation</v>
          </cell>
        </row>
        <row r="1865">
          <cell r="K1865">
            <v>120</v>
          </cell>
          <cell r="P1865" t="str">
            <v>80123102-61111101</v>
          </cell>
          <cell r="S1865" t="str">
            <v>2026A-03</v>
          </cell>
          <cell r="T1865" t="str">
            <v>Office Supplies - Others</v>
          </cell>
        </row>
        <row r="1866">
          <cell r="K1866">
            <v>-48040.87</v>
          </cell>
          <cell r="P1866" t="str">
            <v>81319101-52041401</v>
          </cell>
          <cell r="S1866" t="str">
            <v>2026A-03</v>
          </cell>
          <cell r="T1866" t="str">
            <v>CV</v>
          </cell>
        </row>
        <row r="1867">
          <cell r="K1867">
            <v>5700</v>
          </cell>
          <cell r="P1867" t="str">
            <v>81319101-52061105</v>
          </cell>
          <cell r="S1867" t="str">
            <v>2026A-03</v>
          </cell>
          <cell r="T1867" t="str">
            <v>R&amp;M - GH</v>
          </cell>
        </row>
        <row r="1868">
          <cell r="K1868">
            <v>25000</v>
          </cell>
          <cell r="P1868" t="str">
            <v>81122101-52071199</v>
          </cell>
          <cell r="S1868" t="str">
            <v>2026A-03</v>
          </cell>
          <cell r="T1868" t="str">
            <v>PAS19 Valuation</v>
          </cell>
        </row>
        <row r="1869">
          <cell r="K1869">
            <v>35000</v>
          </cell>
          <cell r="P1869" t="str">
            <v>90122101-61071099</v>
          </cell>
          <cell r="S1869" t="str">
            <v>2026A-03</v>
          </cell>
          <cell r="T1869" t="str">
            <v>PAS19 Valuation</v>
          </cell>
        </row>
        <row r="1870">
          <cell r="K1870">
            <v>120</v>
          </cell>
          <cell r="P1870" t="str">
            <v>90122101-61111101</v>
          </cell>
          <cell r="S1870" t="str">
            <v>2026A-03</v>
          </cell>
          <cell r="T1870" t="str">
            <v>BIR 2316 DST</v>
          </cell>
        </row>
        <row r="1871">
          <cell r="K1871">
            <v>41530</v>
          </cell>
          <cell r="P1871" t="str">
            <v>80124101-61721105</v>
          </cell>
          <cell r="S1871" t="str">
            <v>2026A-03</v>
          </cell>
          <cell r="T1871" t="str">
            <v>Innove - SC1</v>
          </cell>
        </row>
        <row r="1872">
          <cell r="K1872">
            <v>115000</v>
          </cell>
          <cell r="P1872" t="str">
            <v>80124101-61721105</v>
          </cell>
          <cell r="S1872" t="str">
            <v>2026A-03</v>
          </cell>
          <cell r="T1872" t="str">
            <v>Innove - HQ</v>
          </cell>
        </row>
        <row r="1873">
          <cell r="K1873">
            <v>35432.39</v>
          </cell>
          <cell r="P1873" t="str">
            <v>80123102-61111201</v>
          </cell>
          <cell r="S1873" t="str">
            <v>2026A-03</v>
          </cell>
          <cell r="T1873" t="str">
            <v>Shell</v>
          </cell>
        </row>
        <row r="1874">
          <cell r="K1874">
            <v>7767.04</v>
          </cell>
          <cell r="P1874" t="str">
            <v>80123102-61111201</v>
          </cell>
          <cell r="S1874" t="str">
            <v>2026A-03</v>
          </cell>
          <cell r="T1874" t="str">
            <v>Shell</v>
          </cell>
        </row>
        <row r="1875">
          <cell r="K1875">
            <v>5681.43</v>
          </cell>
          <cell r="P1875" t="str">
            <v>80123102-61111201</v>
          </cell>
          <cell r="S1875" t="str">
            <v>2026A-03</v>
          </cell>
          <cell r="T1875" t="str">
            <v>Shell</v>
          </cell>
        </row>
        <row r="1876">
          <cell r="K1876">
            <v>12397.31</v>
          </cell>
          <cell r="P1876" t="str">
            <v>80123102-61111201</v>
          </cell>
          <cell r="S1876" t="str">
            <v>2026A-03</v>
          </cell>
          <cell r="T1876" t="str">
            <v>Shell</v>
          </cell>
        </row>
        <row r="1877">
          <cell r="K1877">
            <v>133.93</v>
          </cell>
          <cell r="P1877" t="str">
            <v>80123102-61111201</v>
          </cell>
          <cell r="S1877" t="str">
            <v>2026A-03</v>
          </cell>
          <cell r="T1877" t="str">
            <v>Shell</v>
          </cell>
        </row>
        <row r="1878">
          <cell r="K1878">
            <v>-300000</v>
          </cell>
          <cell r="P1878" t="str">
            <v>81111101-52041495</v>
          </cell>
          <cell r="S1878" t="str">
            <v>2026A-03</v>
          </cell>
          <cell r="T1878" t="str">
            <v>BTs</v>
          </cell>
        </row>
        <row r="1879">
          <cell r="K1879">
            <v>-52500</v>
          </cell>
          <cell r="P1879" t="str">
            <v>81111101-52041495</v>
          </cell>
          <cell r="S1879" t="str">
            <v>2026A-03</v>
          </cell>
          <cell r="T1879" t="str">
            <v>BTs</v>
          </cell>
        </row>
        <row r="1880">
          <cell r="K1880">
            <v>-52500</v>
          </cell>
          <cell r="P1880" t="str">
            <v>81111101-52041495</v>
          </cell>
          <cell r="S1880" t="str">
            <v>2026A-03</v>
          </cell>
          <cell r="T1880" t="str">
            <v>BTs</v>
          </cell>
        </row>
        <row r="1881">
          <cell r="K1881">
            <v>-205500</v>
          </cell>
          <cell r="P1881" t="str">
            <v>81111101-52041499</v>
          </cell>
          <cell r="S1881" t="str">
            <v>2026A-03</v>
          </cell>
          <cell r="T1881" t="str">
            <v>Admin Staff (SFI)</v>
          </cell>
        </row>
        <row r="1882">
          <cell r="K1882">
            <v>-45500</v>
          </cell>
          <cell r="P1882" t="str">
            <v>81111101-52041499</v>
          </cell>
          <cell r="S1882" t="str">
            <v>2026A-03</v>
          </cell>
          <cell r="T1882" t="str">
            <v>Admin Staff (H&amp;K)</v>
          </cell>
        </row>
        <row r="1883">
          <cell r="K1883">
            <v>-44500</v>
          </cell>
          <cell r="P1883" t="str">
            <v>81111101-52041499</v>
          </cell>
          <cell r="S1883" t="str">
            <v>2026A-03</v>
          </cell>
          <cell r="T1883" t="str">
            <v>Admin Staff (TAHj)</v>
          </cell>
        </row>
        <row r="1884">
          <cell r="K1884">
            <v>-44500</v>
          </cell>
          <cell r="P1884" t="str">
            <v>81111101-52041499</v>
          </cell>
          <cell r="S1884" t="str">
            <v>2026A-03</v>
          </cell>
          <cell r="T1884" t="str">
            <v>Admin Staff (TAHj)</v>
          </cell>
        </row>
        <row r="1885">
          <cell r="K1885">
            <v>-425000</v>
          </cell>
          <cell r="P1885" t="str">
            <v>81111101-52041495</v>
          </cell>
          <cell r="S1885" t="str">
            <v>2026A-03</v>
          </cell>
          <cell r="T1885" t="str">
            <v>BTs</v>
          </cell>
        </row>
        <row r="1886">
          <cell r="K1886">
            <v>45000</v>
          </cell>
          <cell r="P1886" t="str">
            <v>80124101-61721105</v>
          </cell>
          <cell r="S1886" t="str">
            <v>2026A-03</v>
          </cell>
          <cell r="T1886" t="str">
            <v>Fiber Internet - ES</v>
          </cell>
        </row>
        <row r="1887">
          <cell r="K1887">
            <v>165000</v>
          </cell>
          <cell r="P1887" t="str">
            <v>80124101-61721105</v>
          </cell>
          <cell r="S1887" t="str">
            <v>2026A-03</v>
          </cell>
          <cell r="T1887" t="str">
            <v>Fiber Internet - HQ</v>
          </cell>
        </row>
        <row r="1888">
          <cell r="K1888">
            <v>50000</v>
          </cell>
          <cell r="P1888" t="str">
            <v>80124101-61721105</v>
          </cell>
          <cell r="S1888" t="str">
            <v>2026A-03</v>
          </cell>
          <cell r="T1888" t="str">
            <v>Fiber Internet - Mckinley</v>
          </cell>
        </row>
        <row r="1889">
          <cell r="K1889">
            <v>53022</v>
          </cell>
          <cell r="P1889" t="str">
            <v>80124101-61721105</v>
          </cell>
          <cell r="S1889" t="str">
            <v>2026A-03</v>
          </cell>
          <cell r="T1889" t="str">
            <v>Fiber Internet - CV</v>
          </cell>
        </row>
        <row r="1890">
          <cell r="K1890">
            <v>825</v>
          </cell>
          <cell r="P1890" t="str">
            <v>80123102-61721103</v>
          </cell>
          <cell r="S1890" t="str">
            <v>2026A-03</v>
          </cell>
          <cell r="T1890" t="str">
            <v>Postal</v>
          </cell>
        </row>
        <row r="1891">
          <cell r="K1891">
            <v>43498.720000000001</v>
          </cell>
          <cell r="P1891" t="str">
            <v>81319101-52041401</v>
          </cell>
          <cell r="S1891" t="str">
            <v>2026A-03</v>
          </cell>
          <cell r="T1891" t="str">
            <v>GH</v>
          </cell>
        </row>
        <row r="1892">
          <cell r="K1892">
            <v>89197.61</v>
          </cell>
          <cell r="P1892" t="str">
            <v>81319101-52041401</v>
          </cell>
          <cell r="S1892" t="str">
            <v>2026A-03</v>
          </cell>
          <cell r="T1892" t="str">
            <v>GH</v>
          </cell>
        </row>
        <row r="1893">
          <cell r="K1893">
            <v>8699.36</v>
          </cell>
          <cell r="P1893" t="str">
            <v>81319101-52041401</v>
          </cell>
          <cell r="S1893" t="str">
            <v>2026A-03</v>
          </cell>
          <cell r="T1893" t="str">
            <v>GH</v>
          </cell>
        </row>
        <row r="1894">
          <cell r="K1894">
            <v>17838.740000000002</v>
          </cell>
          <cell r="P1894" t="str">
            <v>81319101-52041401</v>
          </cell>
          <cell r="S1894" t="str">
            <v>2026A-03</v>
          </cell>
          <cell r="T1894" t="str">
            <v>GH</v>
          </cell>
        </row>
        <row r="1895">
          <cell r="K1895">
            <v>23051.040000000001</v>
          </cell>
          <cell r="P1895" t="str">
            <v>81319101-52041405</v>
          </cell>
          <cell r="S1895" t="str">
            <v>2026A-03</v>
          </cell>
          <cell r="T1895" t="str">
            <v>TS</v>
          </cell>
        </row>
        <row r="1896">
          <cell r="K1896">
            <v>20283.72</v>
          </cell>
          <cell r="P1896" t="str">
            <v>81319101-52041405</v>
          </cell>
          <cell r="S1896" t="str">
            <v>2026A-03</v>
          </cell>
          <cell r="T1896" t="str">
            <v>ES</v>
          </cell>
        </row>
        <row r="1897">
          <cell r="K1897">
            <v>4530</v>
          </cell>
          <cell r="P1897" t="str">
            <v>80123101-61071002</v>
          </cell>
          <cell r="S1897" t="str">
            <v>2026A-03</v>
          </cell>
          <cell r="T1897" t="str">
            <v>Open Cases</v>
          </cell>
        </row>
        <row r="1898">
          <cell r="K1898">
            <v>20353.759999999998</v>
          </cell>
          <cell r="P1898" t="str">
            <v>81319101-52041499</v>
          </cell>
          <cell r="S1898" t="str">
            <v>2026A-03</v>
          </cell>
          <cell r="T1898" t="str">
            <v>GH</v>
          </cell>
        </row>
        <row r="1899">
          <cell r="K1899">
            <v>1073.57</v>
          </cell>
          <cell r="P1899" t="str">
            <v>90111204-61091101</v>
          </cell>
          <cell r="S1899" t="str">
            <v>2026A-03</v>
          </cell>
          <cell r="T1899" t="str">
            <v>Meetings</v>
          </cell>
        </row>
        <row r="1900">
          <cell r="K1900">
            <v>90</v>
          </cell>
          <cell r="P1900" t="str">
            <v>90111101-61031101</v>
          </cell>
          <cell r="S1900" t="str">
            <v>2026A-03</v>
          </cell>
          <cell r="T1900" t="str">
            <v>DST</v>
          </cell>
        </row>
        <row r="1901">
          <cell r="K1901">
            <v>300</v>
          </cell>
          <cell r="P1901" t="str">
            <v>80123101-61071002</v>
          </cell>
          <cell r="S1901" t="str">
            <v>2026A-03</v>
          </cell>
          <cell r="T1901" t="str">
            <v>Notarial Fees</v>
          </cell>
        </row>
        <row r="1902">
          <cell r="K1902">
            <v>424.82</v>
          </cell>
          <cell r="P1902" t="str">
            <v>80123101-61091101</v>
          </cell>
          <cell r="S1902" t="str">
            <v>2026A-03</v>
          </cell>
          <cell r="T1902" t="str">
            <v>Meetings</v>
          </cell>
        </row>
        <row r="1903">
          <cell r="K1903">
            <v>210</v>
          </cell>
          <cell r="P1903" t="str">
            <v>81111101-52031103</v>
          </cell>
          <cell r="S1903" t="str">
            <v>2026A-03</v>
          </cell>
          <cell r="T1903" t="str">
            <v>DST</v>
          </cell>
        </row>
        <row r="1904">
          <cell r="K1904">
            <v>-0.03</v>
          </cell>
          <cell r="P1904" t="str">
            <v>81319101-52111101</v>
          </cell>
          <cell r="S1904" t="str">
            <v>2026A-03</v>
          </cell>
          <cell r="T1904" t="str">
            <v>ES</v>
          </cell>
        </row>
        <row r="1905">
          <cell r="K1905">
            <v>12000</v>
          </cell>
          <cell r="P1905" t="str">
            <v>90122101-52071104</v>
          </cell>
          <cell r="S1905" t="str">
            <v>2026A-03</v>
          </cell>
          <cell r="T1905" t="str">
            <v>PSPI</v>
          </cell>
        </row>
        <row r="1906">
          <cell r="K1906">
            <v>5089.29</v>
          </cell>
          <cell r="P1906" t="str">
            <v>90111204-61091102</v>
          </cell>
          <cell r="S1906" t="str">
            <v>2026A-03</v>
          </cell>
          <cell r="T1906" t="str">
            <v>Meetings</v>
          </cell>
        </row>
        <row r="1907">
          <cell r="K1907">
            <v>-2500</v>
          </cell>
          <cell r="P1907" t="str">
            <v>81123102-52951101</v>
          </cell>
          <cell r="S1907" t="str">
            <v>2026A-03</v>
          </cell>
          <cell r="T1907" t="str">
            <v>Mobile Phones</v>
          </cell>
        </row>
        <row r="1908">
          <cell r="K1908">
            <v>26658.2</v>
          </cell>
          <cell r="P1908" t="str">
            <v>81111101-52041495</v>
          </cell>
          <cell r="S1908" t="str">
            <v>2026A-03</v>
          </cell>
          <cell r="T1908" t="str">
            <v>BTs</v>
          </cell>
        </row>
        <row r="1909">
          <cell r="K1909">
            <v>146826.76</v>
          </cell>
          <cell r="P1909" t="str">
            <v>81111101-52041495</v>
          </cell>
          <cell r="S1909" t="str">
            <v>2026A-03</v>
          </cell>
          <cell r="T1909" t="str">
            <v>BTs</v>
          </cell>
        </row>
        <row r="1910">
          <cell r="K1910">
            <v>-20653.28</v>
          </cell>
          <cell r="P1910" t="str">
            <v>81111101-52041495</v>
          </cell>
          <cell r="S1910" t="str">
            <v>2026A-03</v>
          </cell>
          <cell r="T1910" t="str">
            <v>BTs</v>
          </cell>
        </row>
        <row r="1911">
          <cell r="K1911">
            <v>44841.440000000002</v>
          </cell>
          <cell r="P1911" t="str">
            <v>81111101-52041495</v>
          </cell>
          <cell r="S1911" t="str">
            <v>2026A-03</v>
          </cell>
          <cell r="T1911" t="str">
            <v>BTs</v>
          </cell>
        </row>
        <row r="1912">
          <cell r="K1912">
            <v>306026.68</v>
          </cell>
          <cell r="P1912" t="str">
            <v>81111101-52041495</v>
          </cell>
          <cell r="S1912" t="str">
            <v>2026A-03</v>
          </cell>
          <cell r="T1912" t="str">
            <v>BTs</v>
          </cell>
        </row>
        <row r="1913">
          <cell r="K1913">
            <v>-214.88</v>
          </cell>
          <cell r="P1913" t="str">
            <v>81111101-52041495</v>
          </cell>
          <cell r="S1913" t="str">
            <v>2026A-03</v>
          </cell>
          <cell r="T1913" t="str">
            <v>BTs</v>
          </cell>
        </row>
        <row r="1914">
          <cell r="K1914">
            <v>210233.58</v>
          </cell>
          <cell r="P1914" t="str">
            <v>81123102-52041405</v>
          </cell>
          <cell r="S1914" t="str">
            <v>2026A-03</v>
          </cell>
          <cell r="T1914" t="str">
            <v>Janitorial (SFI)</v>
          </cell>
        </row>
        <row r="1915">
          <cell r="K1915">
            <v>-16024.3</v>
          </cell>
          <cell r="P1915" t="str">
            <v>81123102-52041405</v>
          </cell>
          <cell r="S1915" t="str">
            <v>2026A-03</v>
          </cell>
          <cell r="T1915" t="str">
            <v>Janitorial (SFI)</v>
          </cell>
        </row>
        <row r="1916">
          <cell r="K1916">
            <v>62931.39</v>
          </cell>
          <cell r="P1916" t="str">
            <v>81123102-52041405</v>
          </cell>
          <cell r="S1916" t="str">
            <v>2026A-03</v>
          </cell>
          <cell r="T1916" t="str">
            <v>Janitorial (SFI)</v>
          </cell>
        </row>
        <row r="1917">
          <cell r="K1917">
            <v>-5089.59</v>
          </cell>
          <cell r="P1917" t="str">
            <v>81123102-52041405</v>
          </cell>
          <cell r="S1917" t="str">
            <v>2026A-03</v>
          </cell>
          <cell r="T1917" t="str">
            <v>Janitorial (SFI)</v>
          </cell>
        </row>
        <row r="1918">
          <cell r="K1918">
            <v>170204.62</v>
          </cell>
          <cell r="P1918" t="str">
            <v>81123102-52041499</v>
          </cell>
          <cell r="S1918" t="str">
            <v>2026A-03</v>
          </cell>
          <cell r="T1918" t="str">
            <v>Admin Staff (SFI)</v>
          </cell>
        </row>
        <row r="1919">
          <cell r="K1919">
            <v>-7364.98</v>
          </cell>
          <cell r="P1919" t="str">
            <v>81123102-52041499</v>
          </cell>
          <cell r="S1919" t="str">
            <v>2026A-03</v>
          </cell>
          <cell r="T1919" t="str">
            <v>Admin Staff (SFI)</v>
          </cell>
        </row>
        <row r="1920">
          <cell r="K1920">
            <v>12023.22</v>
          </cell>
          <cell r="P1920" t="str">
            <v>81123102-52041499</v>
          </cell>
          <cell r="S1920" t="str">
            <v>2026A-03</v>
          </cell>
          <cell r="T1920" t="str">
            <v>Admin Staff (SFI)</v>
          </cell>
        </row>
        <row r="1921">
          <cell r="K1921">
            <v>-1770.79</v>
          </cell>
          <cell r="P1921" t="str">
            <v>81123102-52041499</v>
          </cell>
          <cell r="S1921" t="str">
            <v>2026A-03</v>
          </cell>
          <cell r="T1921" t="str">
            <v>Admin Staff (SFI)</v>
          </cell>
        </row>
        <row r="1922">
          <cell r="K1922">
            <v>106448.6</v>
          </cell>
          <cell r="P1922" t="str">
            <v>81319101-52041405</v>
          </cell>
          <cell r="S1922" t="str">
            <v>2026A-03</v>
          </cell>
          <cell r="T1922" t="str">
            <v>GH</v>
          </cell>
        </row>
        <row r="1923">
          <cell r="K1923">
            <v>90887.039999999994</v>
          </cell>
          <cell r="P1923" t="str">
            <v>81319101-52041401</v>
          </cell>
          <cell r="S1923" t="str">
            <v>2026A-03</v>
          </cell>
          <cell r="T1923" t="str">
            <v>ES</v>
          </cell>
        </row>
        <row r="1924">
          <cell r="K1924">
            <v>18175.919999999998</v>
          </cell>
          <cell r="P1924" t="str">
            <v>81319101-52041401</v>
          </cell>
          <cell r="S1924" t="str">
            <v>2026A-03</v>
          </cell>
          <cell r="T1924" t="str">
            <v>ES</v>
          </cell>
        </row>
        <row r="1925">
          <cell r="K1925">
            <v>-11964.29</v>
          </cell>
          <cell r="P1925" t="str">
            <v>80123102-61061104</v>
          </cell>
          <cell r="S1925" t="str">
            <v>2026A-03</v>
          </cell>
          <cell r="T1925" t="str">
            <v>R&amp;M - L300</v>
          </cell>
        </row>
        <row r="1926">
          <cell r="K1926">
            <v>1000</v>
          </cell>
          <cell r="P1926" t="str">
            <v>81123101-52071102</v>
          </cell>
          <cell r="S1926" t="str">
            <v>2026A-03</v>
          </cell>
          <cell r="T1926" t="str">
            <v>Notarial Fees</v>
          </cell>
        </row>
        <row r="1927">
          <cell r="K1927">
            <v>17500</v>
          </cell>
          <cell r="P1927" t="str">
            <v>81124101-52061109</v>
          </cell>
          <cell r="S1927" t="str">
            <v>2026A-03</v>
          </cell>
          <cell r="T1927" t="str">
            <v>UPS Maintenance</v>
          </cell>
        </row>
        <row r="1928">
          <cell r="K1928">
            <v>2625</v>
          </cell>
          <cell r="P1928" t="str">
            <v>81124101-52061109</v>
          </cell>
          <cell r="S1928" t="str">
            <v>2026A-03</v>
          </cell>
          <cell r="T1928" t="str">
            <v>UPS Maintenance</v>
          </cell>
        </row>
        <row r="1929">
          <cell r="K1929">
            <v>13964.29</v>
          </cell>
          <cell r="P1929" t="str">
            <v>81124101-52061109</v>
          </cell>
          <cell r="S1929" t="str">
            <v>2026A-03</v>
          </cell>
          <cell r="T1929" t="str">
            <v>UPS Maintenance</v>
          </cell>
        </row>
        <row r="1930">
          <cell r="K1930">
            <v>9821.43</v>
          </cell>
          <cell r="P1930" t="str">
            <v>81319101-52111102</v>
          </cell>
          <cell r="S1930" t="str">
            <v>2026A-03</v>
          </cell>
          <cell r="T1930" t="str">
            <v>ES</v>
          </cell>
        </row>
        <row r="1931">
          <cell r="K1931">
            <v>3125</v>
          </cell>
          <cell r="P1931" t="str">
            <v>81319101-52111101</v>
          </cell>
          <cell r="S1931" t="str">
            <v>2026A-03</v>
          </cell>
          <cell r="T1931" t="str">
            <v>ES</v>
          </cell>
        </row>
        <row r="1932">
          <cell r="K1932">
            <v>5000</v>
          </cell>
          <cell r="P1932" t="str">
            <v>81319101-52111101</v>
          </cell>
          <cell r="S1932" t="str">
            <v>2026A-03</v>
          </cell>
          <cell r="T1932" t="str">
            <v>ES</v>
          </cell>
        </row>
        <row r="1933">
          <cell r="K1933">
            <v>5321.43</v>
          </cell>
          <cell r="P1933" t="str">
            <v>81319101-52111101</v>
          </cell>
          <cell r="S1933" t="str">
            <v>2026A-03</v>
          </cell>
          <cell r="T1933" t="str">
            <v>ES</v>
          </cell>
        </row>
        <row r="1934">
          <cell r="K1934">
            <v>2946.43</v>
          </cell>
          <cell r="P1934" t="str">
            <v>81319101-52111101</v>
          </cell>
          <cell r="S1934" t="str">
            <v>2026A-03</v>
          </cell>
          <cell r="T1934" t="str">
            <v>ES</v>
          </cell>
        </row>
        <row r="1935">
          <cell r="K1935">
            <v>5321.43</v>
          </cell>
          <cell r="P1935" t="str">
            <v>81319101-52111101</v>
          </cell>
          <cell r="S1935" t="str">
            <v>2026A-03</v>
          </cell>
          <cell r="T1935" t="str">
            <v>ES</v>
          </cell>
        </row>
        <row r="1936">
          <cell r="K1936">
            <v>50.36</v>
          </cell>
          <cell r="P1936" t="str">
            <v>81319101-52111101</v>
          </cell>
          <cell r="S1936" t="str">
            <v>2026A-03</v>
          </cell>
          <cell r="T1936" t="str">
            <v>ES</v>
          </cell>
        </row>
        <row r="1937">
          <cell r="K1937">
            <v>83.57</v>
          </cell>
          <cell r="P1937" t="str">
            <v>81319101-52111101</v>
          </cell>
          <cell r="S1937" t="str">
            <v>2026A-03</v>
          </cell>
          <cell r="T1937" t="str">
            <v>ES</v>
          </cell>
        </row>
        <row r="1938">
          <cell r="K1938">
            <v>160.71</v>
          </cell>
          <cell r="P1938" t="str">
            <v>81319101-52111101</v>
          </cell>
          <cell r="S1938" t="str">
            <v>2026A-03</v>
          </cell>
          <cell r="T1938" t="str">
            <v>ES</v>
          </cell>
        </row>
        <row r="1939">
          <cell r="K1939">
            <v>495.54</v>
          </cell>
          <cell r="P1939" t="str">
            <v>81319101-52111101</v>
          </cell>
          <cell r="S1939" t="str">
            <v>2026A-03</v>
          </cell>
          <cell r="T1939" t="str">
            <v>ES</v>
          </cell>
        </row>
        <row r="1940">
          <cell r="K1940">
            <v>308.04000000000002</v>
          </cell>
          <cell r="P1940" t="str">
            <v>81319101-52111101</v>
          </cell>
          <cell r="S1940" t="str">
            <v>2026A-03</v>
          </cell>
          <cell r="T1940" t="str">
            <v>ES</v>
          </cell>
        </row>
        <row r="1941">
          <cell r="K1941">
            <v>308.04000000000002</v>
          </cell>
          <cell r="P1941" t="str">
            <v>81319101-52111101</v>
          </cell>
          <cell r="S1941" t="str">
            <v>2026A-03</v>
          </cell>
          <cell r="T1941" t="str">
            <v>ES</v>
          </cell>
        </row>
        <row r="1942">
          <cell r="K1942">
            <v>308.04000000000002</v>
          </cell>
          <cell r="P1942" t="str">
            <v>81319101-52111101</v>
          </cell>
          <cell r="S1942" t="str">
            <v>2026A-03</v>
          </cell>
          <cell r="T1942" t="str">
            <v>ES</v>
          </cell>
        </row>
        <row r="1943">
          <cell r="K1943">
            <v>1098.21</v>
          </cell>
          <cell r="P1943" t="str">
            <v>81319101-52111101</v>
          </cell>
          <cell r="S1943" t="str">
            <v>2026A-03</v>
          </cell>
          <cell r="T1943" t="str">
            <v>ES</v>
          </cell>
        </row>
        <row r="1944">
          <cell r="K1944">
            <v>482.14</v>
          </cell>
          <cell r="P1944" t="str">
            <v>81319101-52111101</v>
          </cell>
          <cell r="S1944" t="str">
            <v>2026A-03</v>
          </cell>
          <cell r="T1944" t="str">
            <v>ES</v>
          </cell>
        </row>
        <row r="1945">
          <cell r="K1945">
            <v>417.86</v>
          </cell>
          <cell r="P1945" t="str">
            <v>81319101-52111101</v>
          </cell>
          <cell r="S1945" t="str">
            <v>2026A-03</v>
          </cell>
          <cell r="T1945" t="str">
            <v>ES</v>
          </cell>
        </row>
        <row r="1946">
          <cell r="K1946">
            <v>32.14</v>
          </cell>
          <cell r="P1946" t="str">
            <v>81319101-52111101</v>
          </cell>
          <cell r="S1946" t="str">
            <v>2026A-03</v>
          </cell>
          <cell r="T1946" t="str">
            <v>ES</v>
          </cell>
        </row>
        <row r="1947">
          <cell r="K1947">
            <v>42.86</v>
          </cell>
          <cell r="P1947" t="str">
            <v>81319101-52111101</v>
          </cell>
          <cell r="S1947" t="str">
            <v>2026A-03</v>
          </cell>
          <cell r="T1947" t="str">
            <v>ES</v>
          </cell>
        </row>
        <row r="1948">
          <cell r="K1948">
            <v>464.29</v>
          </cell>
          <cell r="P1948" t="str">
            <v>81319101-52111101</v>
          </cell>
          <cell r="S1948" t="str">
            <v>2026A-03</v>
          </cell>
          <cell r="T1948" t="str">
            <v>ES</v>
          </cell>
        </row>
        <row r="1949">
          <cell r="K1949">
            <v>89.29</v>
          </cell>
          <cell r="P1949" t="str">
            <v>81319101-52111101</v>
          </cell>
          <cell r="S1949" t="str">
            <v>2026A-03</v>
          </cell>
          <cell r="T1949" t="str">
            <v>ES</v>
          </cell>
        </row>
        <row r="1950">
          <cell r="K1950">
            <v>169.64</v>
          </cell>
          <cell r="P1950" t="str">
            <v>81319101-52111101</v>
          </cell>
          <cell r="S1950" t="str">
            <v>2026A-03</v>
          </cell>
          <cell r="T1950" t="str">
            <v>ES</v>
          </cell>
        </row>
        <row r="1951">
          <cell r="K1951">
            <v>187.5</v>
          </cell>
          <cell r="P1951" t="str">
            <v>81319101-52111101</v>
          </cell>
          <cell r="S1951" t="str">
            <v>2026A-03</v>
          </cell>
          <cell r="T1951" t="str">
            <v>ES</v>
          </cell>
        </row>
        <row r="1952">
          <cell r="K1952">
            <v>369.64</v>
          </cell>
          <cell r="P1952" t="str">
            <v>81319101-52111101</v>
          </cell>
          <cell r="S1952" t="str">
            <v>2026A-03</v>
          </cell>
          <cell r="T1952" t="str">
            <v>ES</v>
          </cell>
        </row>
        <row r="1953">
          <cell r="K1953">
            <v>4464.29</v>
          </cell>
          <cell r="P1953" t="str">
            <v>81319101-52111101</v>
          </cell>
          <cell r="S1953" t="str">
            <v>2026A-03</v>
          </cell>
          <cell r="T1953" t="str">
            <v>ES</v>
          </cell>
        </row>
        <row r="1954">
          <cell r="K1954">
            <v>3303.57</v>
          </cell>
          <cell r="P1954" t="str">
            <v>81319101-52111101</v>
          </cell>
          <cell r="S1954" t="str">
            <v>2026A-03</v>
          </cell>
          <cell r="T1954" t="str">
            <v>ES</v>
          </cell>
        </row>
        <row r="1955">
          <cell r="K1955">
            <v>125</v>
          </cell>
          <cell r="P1955" t="str">
            <v>81319101-52111101</v>
          </cell>
          <cell r="S1955" t="str">
            <v>2026A-03</v>
          </cell>
          <cell r="T1955" t="str">
            <v>ES</v>
          </cell>
        </row>
        <row r="1956">
          <cell r="K1956">
            <v>125</v>
          </cell>
          <cell r="P1956" t="str">
            <v>81319101-52111101</v>
          </cell>
          <cell r="S1956" t="str">
            <v>2026A-03</v>
          </cell>
          <cell r="T1956" t="str">
            <v>ES</v>
          </cell>
        </row>
        <row r="1957">
          <cell r="K1957">
            <v>125</v>
          </cell>
          <cell r="P1957" t="str">
            <v>81319101-52111101</v>
          </cell>
          <cell r="S1957" t="str">
            <v>2026A-03</v>
          </cell>
          <cell r="T1957" t="str">
            <v>ES</v>
          </cell>
        </row>
        <row r="1958">
          <cell r="K1958">
            <v>133.93</v>
          </cell>
          <cell r="P1958" t="str">
            <v>81319101-52111101</v>
          </cell>
          <cell r="S1958" t="str">
            <v>2026A-03</v>
          </cell>
          <cell r="T1958" t="str">
            <v>ES</v>
          </cell>
        </row>
        <row r="1959">
          <cell r="K1959">
            <v>80.36</v>
          </cell>
          <cell r="P1959" t="str">
            <v>81319101-52111101</v>
          </cell>
          <cell r="S1959" t="str">
            <v>2026A-03</v>
          </cell>
          <cell r="T1959" t="str">
            <v>ES</v>
          </cell>
        </row>
        <row r="1960">
          <cell r="K1960">
            <v>207.81</v>
          </cell>
          <cell r="P1960" t="str">
            <v>81319101-52111101</v>
          </cell>
          <cell r="S1960" t="str">
            <v>2026A-03</v>
          </cell>
          <cell r="T1960" t="str">
            <v>ES</v>
          </cell>
        </row>
        <row r="1961">
          <cell r="K1961">
            <v>124.69</v>
          </cell>
          <cell r="P1961" t="str">
            <v>81319101-52111101</v>
          </cell>
          <cell r="S1961" t="str">
            <v>2026A-03</v>
          </cell>
          <cell r="T1961" t="str">
            <v>ES</v>
          </cell>
        </row>
        <row r="1962">
          <cell r="K1962">
            <v>50.89</v>
          </cell>
          <cell r="P1962" t="str">
            <v>81319101-52111101</v>
          </cell>
          <cell r="S1962" t="str">
            <v>2026A-03</v>
          </cell>
          <cell r="T1962" t="str">
            <v>ES</v>
          </cell>
        </row>
        <row r="1963">
          <cell r="K1963">
            <v>96.43</v>
          </cell>
          <cell r="P1963" t="str">
            <v>81319101-52111101</v>
          </cell>
          <cell r="S1963" t="str">
            <v>2026A-03</v>
          </cell>
          <cell r="T1963" t="str">
            <v>ES</v>
          </cell>
        </row>
        <row r="1964">
          <cell r="K1964">
            <v>642.86</v>
          </cell>
          <cell r="P1964" t="str">
            <v>81319101-52111101</v>
          </cell>
          <cell r="S1964" t="str">
            <v>2026A-03</v>
          </cell>
          <cell r="T1964" t="str">
            <v>ES</v>
          </cell>
        </row>
        <row r="1965">
          <cell r="K1965">
            <v>64.290000000000006</v>
          </cell>
          <cell r="P1965" t="str">
            <v>81319101-52111101</v>
          </cell>
          <cell r="S1965" t="str">
            <v>2026A-03</v>
          </cell>
          <cell r="T1965" t="str">
            <v>ES</v>
          </cell>
        </row>
        <row r="1966">
          <cell r="K1966">
            <v>1000</v>
          </cell>
          <cell r="P1966" t="str">
            <v>90123101-61071002</v>
          </cell>
          <cell r="S1966" t="str">
            <v>2026A-03</v>
          </cell>
          <cell r="T1966" t="str">
            <v>Notarial Fees</v>
          </cell>
        </row>
        <row r="1967">
          <cell r="K1967">
            <v>458</v>
          </cell>
          <cell r="P1967" t="str">
            <v>80122101-61711101</v>
          </cell>
          <cell r="S1967" t="str">
            <v>2026A-03</v>
          </cell>
          <cell r="T1967" t="str">
            <v>PRC</v>
          </cell>
        </row>
        <row r="1968">
          <cell r="K1968">
            <v>10000</v>
          </cell>
          <cell r="P1968" t="str">
            <v>80123101-61071005</v>
          </cell>
          <cell r="S1968" t="str">
            <v>2026A-03</v>
          </cell>
          <cell r="T1968" t="str">
            <v>Santiago</v>
          </cell>
        </row>
        <row r="1969">
          <cell r="K1969">
            <v>3033.84</v>
          </cell>
          <cell r="P1969" t="str">
            <v>81319101-52041499</v>
          </cell>
          <cell r="S1969" t="str">
            <v>2026A-03</v>
          </cell>
          <cell r="T1969" t="str">
            <v>GH</v>
          </cell>
        </row>
        <row r="1970">
          <cell r="K1970">
            <v>17815</v>
          </cell>
          <cell r="P1970" t="str">
            <v>90111101-61021206</v>
          </cell>
          <cell r="S1970" t="str">
            <v>2026A-03</v>
          </cell>
          <cell r="T1970" t="str">
            <v>OJT</v>
          </cell>
        </row>
        <row r="1971">
          <cell r="K1971">
            <v>17765.5</v>
          </cell>
          <cell r="P1971" t="str">
            <v>90111101-61021206</v>
          </cell>
          <cell r="S1971" t="str">
            <v>2026A-03</v>
          </cell>
          <cell r="T1971" t="str">
            <v>OJT</v>
          </cell>
        </row>
        <row r="1972">
          <cell r="K1972">
            <v>56490</v>
          </cell>
          <cell r="P1972" t="str">
            <v>90111101-52041495</v>
          </cell>
          <cell r="S1972" t="str">
            <v>2026A-03</v>
          </cell>
          <cell r="T1972" t="str">
            <v>BDO CMC</v>
          </cell>
        </row>
        <row r="1973">
          <cell r="K1973">
            <v>321428.57</v>
          </cell>
          <cell r="P1973" t="str">
            <v>80215106-61071004</v>
          </cell>
          <cell r="S1973" t="str">
            <v>2026A-03</v>
          </cell>
          <cell r="T1973" t="str">
            <v>Energy Audit</v>
          </cell>
        </row>
        <row r="1974">
          <cell r="K1974">
            <v>11761.98</v>
          </cell>
          <cell r="P1974" t="str">
            <v>81111101-52121101</v>
          </cell>
          <cell r="S1974" t="str">
            <v>2026A-03</v>
          </cell>
          <cell r="T1974" t="str">
            <v>Regular Employee</v>
          </cell>
        </row>
        <row r="1975">
          <cell r="K1975">
            <v>3400</v>
          </cell>
          <cell r="P1975" t="str">
            <v>81111101-52121103</v>
          </cell>
          <cell r="S1975" t="str">
            <v>2026A-03</v>
          </cell>
          <cell r="T1975" t="str">
            <v>OT Pay</v>
          </cell>
        </row>
        <row r="1976">
          <cell r="K1976">
            <v>5350</v>
          </cell>
          <cell r="P1976" t="str">
            <v>81111101-52121104</v>
          </cell>
          <cell r="S1976" t="str">
            <v>2026A-03</v>
          </cell>
          <cell r="T1976" t="str">
            <v>Guaranteed Bonus</v>
          </cell>
        </row>
        <row r="1977">
          <cell r="K1977">
            <v>143</v>
          </cell>
          <cell r="P1977" t="str">
            <v>81319101-52081101</v>
          </cell>
          <cell r="S1977" t="str">
            <v>2026A-03</v>
          </cell>
          <cell r="T1977" t="str">
            <v>Transpo</v>
          </cell>
        </row>
        <row r="1978">
          <cell r="K1978">
            <v>1000</v>
          </cell>
          <cell r="P1978" t="str">
            <v>81319101-52111101</v>
          </cell>
          <cell r="S1978" t="str">
            <v>2026A-03</v>
          </cell>
          <cell r="T1978" t="str">
            <v>GH</v>
          </cell>
        </row>
        <row r="1979">
          <cell r="K1979">
            <v>1000</v>
          </cell>
          <cell r="P1979" t="str">
            <v>81319101-52111101</v>
          </cell>
          <cell r="S1979" t="str">
            <v>2026A-03</v>
          </cell>
          <cell r="T1979" t="str">
            <v>GH</v>
          </cell>
        </row>
        <row r="1980">
          <cell r="K1980">
            <v>1000</v>
          </cell>
          <cell r="P1980" t="str">
            <v>81319101-52111101</v>
          </cell>
          <cell r="S1980" t="str">
            <v>2026A-03</v>
          </cell>
          <cell r="T1980" t="str">
            <v>GH</v>
          </cell>
        </row>
        <row r="1981">
          <cell r="K1981">
            <v>1000</v>
          </cell>
          <cell r="P1981" t="str">
            <v>81319101-52111101</v>
          </cell>
          <cell r="S1981" t="str">
            <v>2026A-03</v>
          </cell>
          <cell r="T1981" t="str">
            <v>GH</v>
          </cell>
        </row>
        <row r="1982">
          <cell r="K1982">
            <v>1000</v>
          </cell>
          <cell r="P1982" t="str">
            <v>81319101-52111101</v>
          </cell>
          <cell r="S1982" t="str">
            <v>2026A-03</v>
          </cell>
          <cell r="T1982" t="str">
            <v>GH</v>
          </cell>
        </row>
        <row r="1983">
          <cell r="K1983">
            <v>12384.89</v>
          </cell>
          <cell r="P1983" t="str">
            <v>90111101-52121101</v>
          </cell>
          <cell r="S1983" t="str">
            <v>2026A-03</v>
          </cell>
          <cell r="T1983" t="str">
            <v>Regular Employee</v>
          </cell>
        </row>
        <row r="1984">
          <cell r="K1984">
            <v>1600</v>
          </cell>
          <cell r="P1984" t="str">
            <v>90111101-52121103</v>
          </cell>
          <cell r="S1984" t="str">
            <v>2026A-03</v>
          </cell>
          <cell r="T1984" t="str">
            <v>OT Pay</v>
          </cell>
        </row>
        <row r="1985">
          <cell r="K1985">
            <v>8450</v>
          </cell>
          <cell r="P1985" t="str">
            <v>90111101-52121104</v>
          </cell>
          <cell r="S1985" t="str">
            <v>2026A-03</v>
          </cell>
          <cell r="T1985" t="str">
            <v>Guaranteed Bonus</v>
          </cell>
        </row>
        <row r="1986">
          <cell r="K1986">
            <v>18154.830000000002</v>
          </cell>
          <cell r="P1986" t="str">
            <v>81319101-52041405</v>
          </cell>
          <cell r="S1986" t="str">
            <v>2026A-03</v>
          </cell>
          <cell r="T1986" t="str">
            <v>ES</v>
          </cell>
        </row>
        <row r="1987">
          <cell r="K1987">
            <v>17229.240000000002</v>
          </cell>
          <cell r="P1987" t="str">
            <v>81319101-52041405</v>
          </cell>
          <cell r="S1987" t="str">
            <v>2026A-03</v>
          </cell>
          <cell r="T1987" t="str">
            <v>ES</v>
          </cell>
        </row>
        <row r="1988">
          <cell r="K1988">
            <v>28307.85</v>
          </cell>
          <cell r="P1988" t="str">
            <v>81111101-52041495</v>
          </cell>
          <cell r="S1988" t="str">
            <v>2026A-03</v>
          </cell>
          <cell r="T1988" t="str">
            <v>BTs</v>
          </cell>
        </row>
        <row r="1989">
          <cell r="K1989">
            <v>-6.43</v>
          </cell>
          <cell r="P1989" t="str">
            <v>81319101-52041499</v>
          </cell>
          <cell r="S1989" t="str">
            <v>2026A-03</v>
          </cell>
          <cell r="T1989" t="str">
            <v>ES</v>
          </cell>
        </row>
        <row r="1990">
          <cell r="K1990">
            <v>28915.24</v>
          </cell>
          <cell r="P1990" t="str">
            <v>81319101-52041499</v>
          </cell>
          <cell r="S1990" t="str">
            <v>2026A-03</v>
          </cell>
          <cell r="T1990" t="str">
            <v>ES</v>
          </cell>
        </row>
        <row r="1991">
          <cell r="K1991">
            <v>26724.83</v>
          </cell>
          <cell r="P1991" t="str">
            <v>81319101-52041499</v>
          </cell>
          <cell r="S1991" t="str">
            <v>2026A-03</v>
          </cell>
          <cell r="T1991" t="str">
            <v>ES</v>
          </cell>
        </row>
        <row r="1992">
          <cell r="K1992">
            <v>216500</v>
          </cell>
          <cell r="P1992" t="str">
            <v>80111101-61021201</v>
          </cell>
          <cell r="S1992" t="str">
            <v>2026A-03</v>
          </cell>
          <cell r="T1992" t="str">
            <v>Project Employee</v>
          </cell>
        </row>
        <row r="1993">
          <cell r="K1993">
            <v>-7419.94</v>
          </cell>
          <cell r="P1993" t="str">
            <v>80111101-61021201</v>
          </cell>
          <cell r="S1993" t="str">
            <v>2026A-03</v>
          </cell>
          <cell r="T1993" t="str">
            <v>Project Employee</v>
          </cell>
        </row>
        <row r="1994">
          <cell r="K1994">
            <v>-2564.92</v>
          </cell>
          <cell r="P1994" t="str">
            <v>80111101-61021201</v>
          </cell>
          <cell r="S1994" t="str">
            <v>2026A-03</v>
          </cell>
          <cell r="T1994" t="str">
            <v>Project Employee</v>
          </cell>
        </row>
        <row r="1995">
          <cell r="K1995">
            <v>-262.89999999999998</v>
          </cell>
          <cell r="P1995" t="str">
            <v>80111101-61021201</v>
          </cell>
          <cell r="S1995" t="str">
            <v>2026A-03</v>
          </cell>
          <cell r="T1995" t="str">
            <v>Project Employee</v>
          </cell>
        </row>
        <row r="1996">
          <cell r="K1996">
            <v>-19.239999999999998</v>
          </cell>
          <cell r="P1996" t="str">
            <v>80111101-61021201</v>
          </cell>
          <cell r="S1996" t="str">
            <v>2026A-03</v>
          </cell>
          <cell r="T1996" t="str">
            <v>Project Employee</v>
          </cell>
        </row>
        <row r="1997">
          <cell r="K1997">
            <v>47403.18</v>
          </cell>
          <cell r="P1997" t="str">
            <v>80111101-61021202</v>
          </cell>
          <cell r="S1997" t="str">
            <v>2026A-03</v>
          </cell>
          <cell r="T1997" t="str">
            <v>Project Employee</v>
          </cell>
        </row>
        <row r="1998">
          <cell r="K1998">
            <v>3200</v>
          </cell>
          <cell r="P1998" t="str">
            <v>80111101-61021306</v>
          </cell>
          <cell r="S1998" t="str">
            <v>2026A-03</v>
          </cell>
          <cell r="T1998" t="str">
            <v>Pag-ibig</v>
          </cell>
        </row>
        <row r="1999">
          <cell r="K1999">
            <v>25690</v>
          </cell>
          <cell r="P1999" t="str">
            <v>80111101-61021306</v>
          </cell>
          <cell r="S1999" t="str">
            <v>2026A-03</v>
          </cell>
          <cell r="T1999" t="str">
            <v>SSS</v>
          </cell>
        </row>
        <row r="2000">
          <cell r="K2000">
            <v>10825</v>
          </cell>
          <cell r="P2000" t="str">
            <v>80111101-61021306</v>
          </cell>
          <cell r="S2000" t="str">
            <v>2026A-03</v>
          </cell>
          <cell r="T2000" t="str">
            <v>Philhealth</v>
          </cell>
        </row>
        <row r="2001">
          <cell r="K2001">
            <v>26500</v>
          </cell>
          <cell r="P2001" t="str">
            <v>80111101-61021102</v>
          </cell>
          <cell r="S2001" t="str">
            <v>2026A-03</v>
          </cell>
          <cell r="T2001" t="str">
            <v>Regular Employee</v>
          </cell>
        </row>
        <row r="2002">
          <cell r="K2002">
            <v>-52.7</v>
          </cell>
          <cell r="P2002" t="str">
            <v>80111101-61021102</v>
          </cell>
          <cell r="S2002" t="str">
            <v>2026A-03</v>
          </cell>
          <cell r="T2002" t="str">
            <v>Regular Employee</v>
          </cell>
        </row>
        <row r="2003">
          <cell r="K2003">
            <v>-168.65</v>
          </cell>
          <cell r="P2003" t="str">
            <v>80111101-61021102</v>
          </cell>
          <cell r="S2003" t="str">
            <v>2026A-03</v>
          </cell>
          <cell r="T2003" t="str">
            <v>Regular Employee</v>
          </cell>
        </row>
        <row r="2004">
          <cell r="K2004">
            <v>50000</v>
          </cell>
          <cell r="P2004" t="str">
            <v>80111101-61021102</v>
          </cell>
          <cell r="S2004" t="str">
            <v>2026A-03</v>
          </cell>
          <cell r="T2004" t="str">
            <v>Regular Employee</v>
          </cell>
        </row>
        <row r="2005">
          <cell r="K2005">
            <v>218350</v>
          </cell>
          <cell r="P2005" t="str">
            <v>80111101-61021102</v>
          </cell>
          <cell r="S2005" t="str">
            <v>2026A-03</v>
          </cell>
          <cell r="T2005" t="str">
            <v>Regular Employee</v>
          </cell>
        </row>
        <row r="2006">
          <cell r="K2006">
            <v>-48.69</v>
          </cell>
          <cell r="P2006" t="str">
            <v>80111101-61021102</v>
          </cell>
          <cell r="S2006" t="str">
            <v>2026A-03</v>
          </cell>
          <cell r="T2006" t="str">
            <v>Regular Employee</v>
          </cell>
        </row>
        <row r="2007">
          <cell r="K2007">
            <v>706050</v>
          </cell>
          <cell r="P2007" t="str">
            <v>80111101-61021102</v>
          </cell>
          <cell r="S2007" t="str">
            <v>2026A-03</v>
          </cell>
          <cell r="T2007" t="str">
            <v>Regular Employee</v>
          </cell>
        </row>
        <row r="2008">
          <cell r="K2008">
            <v>-2267.21</v>
          </cell>
          <cell r="P2008" t="str">
            <v>80111101-61021102</v>
          </cell>
          <cell r="S2008" t="str">
            <v>2026A-03</v>
          </cell>
          <cell r="T2008" t="str">
            <v>Regular Employee</v>
          </cell>
        </row>
        <row r="2009">
          <cell r="K2009">
            <v>-1553.38</v>
          </cell>
          <cell r="P2009" t="str">
            <v>80111101-61021102</v>
          </cell>
          <cell r="S2009" t="str">
            <v>2026A-03</v>
          </cell>
          <cell r="T2009" t="str">
            <v>Regular Employee</v>
          </cell>
        </row>
        <row r="2010">
          <cell r="K2010">
            <v>-1663.79</v>
          </cell>
          <cell r="P2010" t="str">
            <v>80111101-61021102</v>
          </cell>
          <cell r="S2010" t="str">
            <v>2026A-03</v>
          </cell>
          <cell r="T2010" t="str">
            <v>Regular Employee</v>
          </cell>
        </row>
        <row r="2011">
          <cell r="K2011">
            <v>4825.9399999999996</v>
          </cell>
          <cell r="P2011" t="str">
            <v>80111101-61021103</v>
          </cell>
          <cell r="S2011" t="str">
            <v>2026A-03</v>
          </cell>
          <cell r="T2011" t="str">
            <v>OT Pay</v>
          </cell>
        </row>
        <row r="2012">
          <cell r="K2012">
            <v>16631.919999999998</v>
          </cell>
          <cell r="P2012" t="str">
            <v>80111101-61021103</v>
          </cell>
          <cell r="S2012" t="str">
            <v>2026A-03</v>
          </cell>
          <cell r="T2012" t="str">
            <v>OT Pay</v>
          </cell>
        </row>
        <row r="2013">
          <cell r="K2013">
            <v>1200</v>
          </cell>
          <cell r="P2013" t="str">
            <v>80111101-61021104</v>
          </cell>
          <cell r="S2013" t="str">
            <v>2026A-03</v>
          </cell>
          <cell r="T2013" t="str">
            <v>OT Pay</v>
          </cell>
        </row>
        <row r="2014">
          <cell r="K2014">
            <v>400</v>
          </cell>
          <cell r="P2014" t="str">
            <v>80111101-61021306</v>
          </cell>
          <cell r="S2014" t="str">
            <v>2026A-03</v>
          </cell>
          <cell r="T2014" t="str">
            <v>Pag-ibig</v>
          </cell>
        </row>
        <row r="2015">
          <cell r="K2015">
            <v>3140</v>
          </cell>
          <cell r="P2015" t="str">
            <v>80111101-61021306</v>
          </cell>
          <cell r="S2015" t="str">
            <v>2026A-03</v>
          </cell>
          <cell r="T2015" t="str">
            <v>SSS</v>
          </cell>
        </row>
        <row r="2016">
          <cell r="K2016">
            <v>1325</v>
          </cell>
          <cell r="P2016" t="str">
            <v>80111101-61021306</v>
          </cell>
          <cell r="S2016" t="str">
            <v>2026A-03</v>
          </cell>
          <cell r="T2016" t="str">
            <v>Philhealth</v>
          </cell>
        </row>
        <row r="2017">
          <cell r="K2017">
            <v>200</v>
          </cell>
          <cell r="P2017" t="str">
            <v>80111101-61021306</v>
          </cell>
          <cell r="S2017" t="str">
            <v>2026A-03</v>
          </cell>
          <cell r="T2017" t="str">
            <v>Pag-ibig</v>
          </cell>
        </row>
        <row r="2018">
          <cell r="K2018">
            <v>3530</v>
          </cell>
          <cell r="P2018" t="str">
            <v>80111101-61021306</v>
          </cell>
          <cell r="S2018" t="str">
            <v>2026A-03</v>
          </cell>
          <cell r="T2018" t="str">
            <v>SSS</v>
          </cell>
        </row>
        <row r="2019">
          <cell r="K2019">
            <v>2500</v>
          </cell>
          <cell r="P2019" t="str">
            <v>80111101-61021306</v>
          </cell>
          <cell r="S2019" t="str">
            <v>2026A-03</v>
          </cell>
          <cell r="T2019" t="str">
            <v>Philhealth</v>
          </cell>
        </row>
        <row r="2020">
          <cell r="K2020">
            <v>1800</v>
          </cell>
          <cell r="P2020" t="str">
            <v>80111101-61021306</v>
          </cell>
          <cell r="S2020" t="str">
            <v>2026A-03</v>
          </cell>
          <cell r="T2020" t="str">
            <v>Pag-ibig</v>
          </cell>
        </row>
        <row r="2021">
          <cell r="K2021">
            <v>16940</v>
          </cell>
          <cell r="P2021" t="str">
            <v>80111101-61021306</v>
          </cell>
          <cell r="S2021" t="str">
            <v>2026A-03</v>
          </cell>
          <cell r="T2021" t="str">
            <v>SSS</v>
          </cell>
        </row>
        <row r="2022">
          <cell r="K2022">
            <v>9405</v>
          </cell>
          <cell r="P2022" t="str">
            <v>80111101-61021306</v>
          </cell>
          <cell r="S2022" t="str">
            <v>2026A-03</v>
          </cell>
          <cell r="T2022" t="str">
            <v>Philhealth</v>
          </cell>
        </row>
        <row r="2023">
          <cell r="K2023">
            <v>7000</v>
          </cell>
          <cell r="P2023" t="str">
            <v>80111101-61021306</v>
          </cell>
          <cell r="S2023" t="str">
            <v>2026A-03</v>
          </cell>
          <cell r="T2023" t="str">
            <v>Pag-ibig</v>
          </cell>
        </row>
        <row r="2024">
          <cell r="K2024">
            <v>63000</v>
          </cell>
          <cell r="P2024" t="str">
            <v>80111101-61021306</v>
          </cell>
          <cell r="S2024" t="str">
            <v>2026A-03</v>
          </cell>
          <cell r="T2024" t="str">
            <v>SSS</v>
          </cell>
        </row>
        <row r="2025">
          <cell r="K2025">
            <v>33147.5</v>
          </cell>
          <cell r="P2025" t="str">
            <v>80111101-61021306</v>
          </cell>
          <cell r="S2025" t="str">
            <v>2026A-03</v>
          </cell>
          <cell r="T2025" t="str">
            <v>Philhealth</v>
          </cell>
        </row>
        <row r="2026">
          <cell r="K2026">
            <v>188600</v>
          </cell>
          <cell r="P2026" t="str">
            <v>81111101-52121101</v>
          </cell>
          <cell r="S2026" t="str">
            <v>2026A-03</v>
          </cell>
          <cell r="T2026" t="str">
            <v>Regular Employee</v>
          </cell>
        </row>
        <row r="2027">
          <cell r="K2027">
            <v>1291.6199999999999</v>
          </cell>
          <cell r="P2027" t="str">
            <v>81111101-52121101</v>
          </cell>
          <cell r="S2027" t="str">
            <v>2026A-03</v>
          </cell>
          <cell r="T2027" t="str">
            <v>Regular Employee</v>
          </cell>
        </row>
        <row r="2028">
          <cell r="K2028">
            <v>-453.83</v>
          </cell>
          <cell r="P2028" t="str">
            <v>81111101-52121101</v>
          </cell>
          <cell r="S2028" t="str">
            <v>2026A-03</v>
          </cell>
          <cell r="T2028" t="str">
            <v>Regular Employee</v>
          </cell>
        </row>
        <row r="2029">
          <cell r="K2029">
            <v>-742.31</v>
          </cell>
          <cell r="P2029" t="str">
            <v>81111101-52121101</v>
          </cell>
          <cell r="S2029" t="str">
            <v>2026A-03</v>
          </cell>
          <cell r="T2029" t="str">
            <v>Regular Employee</v>
          </cell>
        </row>
        <row r="2030">
          <cell r="K2030">
            <v>236200</v>
          </cell>
          <cell r="P2030" t="str">
            <v>81111101-52121101</v>
          </cell>
          <cell r="S2030" t="str">
            <v>2026A-03</v>
          </cell>
          <cell r="T2030" t="str">
            <v>Regular Employee</v>
          </cell>
        </row>
        <row r="2031">
          <cell r="K2031">
            <v>2858.05</v>
          </cell>
          <cell r="P2031" t="str">
            <v>81111101-52121101</v>
          </cell>
          <cell r="S2031" t="str">
            <v>2026A-03</v>
          </cell>
          <cell r="T2031" t="str">
            <v>Regular Employee</v>
          </cell>
        </row>
        <row r="2032">
          <cell r="K2032">
            <v>-4314.5600000000004</v>
          </cell>
          <cell r="P2032" t="str">
            <v>81111101-52121101</v>
          </cell>
          <cell r="S2032" t="str">
            <v>2026A-03</v>
          </cell>
          <cell r="T2032" t="str">
            <v>Regular Employee</v>
          </cell>
        </row>
        <row r="2033">
          <cell r="K2033">
            <v>-577.94000000000005</v>
          </cell>
          <cell r="P2033" t="str">
            <v>81111101-52121101</v>
          </cell>
          <cell r="S2033" t="str">
            <v>2026A-03</v>
          </cell>
          <cell r="T2033" t="str">
            <v>Regular Employee</v>
          </cell>
        </row>
        <row r="2034">
          <cell r="K2034">
            <v>-894.03</v>
          </cell>
          <cell r="P2034" t="str">
            <v>81111101-52121101</v>
          </cell>
          <cell r="S2034" t="str">
            <v>2026A-03</v>
          </cell>
          <cell r="T2034" t="str">
            <v>Regular Employee</v>
          </cell>
        </row>
        <row r="2035">
          <cell r="K2035">
            <v>104350</v>
          </cell>
          <cell r="P2035" t="str">
            <v>81111101-52121101</v>
          </cell>
          <cell r="S2035" t="str">
            <v>2026A-03</v>
          </cell>
          <cell r="T2035" t="str">
            <v>Regular Employee</v>
          </cell>
        </row>
        <row r="2036">
          <cell r="K2036">
            <v>1832.08</v>
          </cell>
          <cell r="P2036" t="str">
            <v>81111101-52121101</v>
          </cell>
          <cell r="S2036" t="str">
            <v>2026A-03</v>
          </cell>
          <cell r="T2036" t="str">
            <v>Regular Employee</v>
          </cell>
        </row>
        <row r="2037">
          <cell r="K2037">
            <v>-6.01</v>
          </cell>
          <cell r="P2037" t="str">
            <v>81111101-52121101</v>
          </cell>
          <cell r="S2037" t="str">
            <v>2026A-03</v>
          </cell>
          <cell r="T2037" t="str">
            <v>Regular Employee</v>
          </cell>
        </row>
        <row r="2038">
          <cell r="K2038">
            <v>-470.55</v>
          </cell>
          <cell r="P2038" t="str">
            <v>81111101-52121101</v>
          </cell>
          <cell r="S2038" t="str">
            <v>2026A-03</v>
          </cell>
          <cell r="T2038" t="str">
            <v>Regular Employee</v>
          </cell>
        </row>
        <row r="2039">
          <cell r="K2039">
            <v>1017550</v>
          </cell>
          <cell r="P2039" t="str">
            <v>81111101-52121101</v>
          </cell>
          <cell r="S2039" t="str">
            <v>2026A-03</v>
          </cell>
          <cell r="T2039" t="str">
            <v>Regular Employee</v>
          </cell>
        </row>
        <row r="2040">
          <cell r="K2040">
            <v>863.37</v>
          </cell>
          <cell r="P2040" t="str">
            <v>81111101-52121101</v>
          </cell>
          <cell r="S2040" t="str">
            <v>2026A-03</v>
          </cell>
          <cell r="T2040" t="str">
            <v>Regular Employee</v>
          </cell>
        </row>
        <row r="2041">
          <cell r="K2041">
            <v>-8546.67</v>
          </cell>
          <cell r="P2041" t="str">
            <v>81111101-52121101</v>
          </cell>
          <cell r="S2041" t="str">
            <v>2026A-03</v>
          </cell>
          <cell r="T2041" t="str">
            <v>Regular Employee</v>
          </cell>
        </row>
        <row r="2042">
          <cell r="K2042">
            <v>-799.63</v>
          </cell>
          <cell r="P2042" t="str">
            <v>81111101-52121101</v>
          </cell>
          <cell r="S2042" t="str">
            <v>2026A-03</v>
          </cell>
          <cell r="T2042" t="str">
            <v>Regular Employee</v>
          </cell>
        </row>
        <row r="2043">
          <cell r="K2043">
            <v>-8149.88</v>
          </cell>
          <cell r="P2043" t="str">
            <v>81111101-52121101</v>
          </cell>
          <cell r="S2043" t="str">
            <v>2026A-03</v>
          </cell>
          <cell r="T2043" t="str">
            <v>Regular Employee</v>
          </cell>
        </row>
        <row r="2044">
          <cell r="K2044">
            <v>138250</v>
          </cell>
          <cell r="P2044" t="str">
            <v>81111101-52121101</v>
          </cell>
          <cell r="S2044" t="str">
            <v>2026A-03</v>
          </cell>
          <cell r="T2044" t="str">
            <v>Regular Employee</v>
          </cell>
        </row>
        <row r="2045">
          <cell r="K2045">
            <v>2496.21</v>
          </cell>
          <cell r="P2045" t="str">
            <v>81111101-52121101</v>
          </cell>
          <cell r="S2045" t="str">
            <v>2026A-03</v>
          </cell>
          <cell r="T2045" t="str">
            <v>Regular Employee</v>
          </cell>
        </row>
        <row r="2046">
          <cell r="K2046">
            <v>-1248.1099999999999</v>
          </cell>
          <cell r="P2046" t="str">
            <v>81111101-52121101</v>
          </cell>
          <cell r="S2046" t="str">
            <v>2026A-03</v>
          </cell>
          <cell r="T2046" t="str">
            <v>Regular Employee</v>
          </cell>
        </row>
        <row r="2047">
          <cell r="K2047">
            <v>-1136.8499999999999</v>
          </cell>
          <cell r="P2047" t="str">
            <v>81111101-52121101</v>
          </cell>
          <cell r="S2047" t="str">
            <v>2026A-03</v>
          </cell>
          <cell r="T2047" t="str">
            <v>Regular Employee</v>
          </cell>
        </row>
        <row r="2048">
          <cell r="K2048">
            <v>5000.7</v>
          </cell>
          <cell r="P2048" t="str">
            <v>81111101-52121102</v>
          </cell>
          <cell r="S2048" t="str">
            <v>2026A-03</v>
          </cell>
          <cell r="T2048" t="str">
            <v>OT Pay</v>
          </cell>
        </row>
        <row r="2049">
          <cell r="K2049">
            <v>12080.24</v>
          </cell>
          <cell r="P2049" t="str">
            <v>81111101-52121102</v>
          </cell>
          <cell r="S2049" t="str">
            <v>2026A-03</v>
          </cell>
          <cell r="T2049" t="str">
            <v>OT Pay</v>
          </cell>
        </row>
        <row r="2050">
          <cell r="K2050">
            <v>5600</v>
          </cell>
          <cell r="P2050" t="str">
            <v>81111101-52121103</v>
          </cell>
          <cell r="S2050" t="str">
            <v>2026A-03</v>
          </cell>
          <cell r="T2050" t="str">
            <v>OT Pay</v>
          </cell>
        </row>
        <row r="2051">
          <cell r="K2051">
            <v>12400</v>
          </cell>
          <cell r="P2051" t="str">
            <v>81111101-52121103</v>
          </cell>
          <cell r="S2051" t="str">
            <v>2026A-03</v>
          </cell>
          <cell r="T2051" t="str">
            <v>OT Pay</v>
          </cell>
        </row>
        <row r="2052">
          <cell r="K2052">
            <v>1800</v>
          </cell>
          <cell r="P2052" t="str">
            <v>81111101-52121305</v>
          </cell>
          <cell r="S2052" t="str">
            <v>2026A-03</v>
          </cell>
          <cell r="T2052" t="str">
            <v>Pag-ibig</v>
          </cell>
        </row>
        <row r="2053">
          <cell r="K2053">
            <v>15440</v>
          </cell>
          <cell r="P2053" t="str">
            <v>81111101-52121305</v>
          </cell>
          <cell r="S2053" t="str">
            <v>2026A-03</v>
          </cell>
          <cell r="T2053" t="str">
            <v>SSS</v>
          </cell>
        </row>
        <row r="2054">
          <cell r="K2054">
            <v>8367.5</v>
          </cell>
          <cell r="P2054" t="str">
            <v>81111101-52121305</v>
          </cell>
          <cell r="S2054" t="str">
            <v>2026A-03</v>
          </cell>
          <cell r="T2054" t="str">
            <v>Philhealth</v>
          </cell>
        </row>
        <row r="2055">
          <cell r="K2055">
            <v>3600</v>
          </cell>
          <cell r="P2055" t="str">
            <v>81111101-52121305</v>
          </cell>
          <cell r="S2055" t="str">
            <v>2026A-03</v>
          </cell>
          <cell r="T2055" t="str">
            <v>Pag-ibig</v>
          </cell>
        </row>
        <row r="2056">
          <cell r="K2056">
            <v>24090</v>
          </cell>
          <cell r="P2056" t="str">
            <v>81111101-52121305</v>
          </cell>
          <cell r="S2056" t="str">
            <v>2026A-03</v>
          </cell>
          <cell r="T2056" t="str">
            <v>SSS</v>
          </cell>
        </row>
        <row r="2057">
          <cell r="K2057">
            <v>11810</v>
          </cell>
          <cell r="P2057" t="str">
            <v>81111101-52121305</v>
          </cell>
          <cell r="S2057" t="str">
            <v>2026A-03</v>
          </cell>
          <cell r="T2057" t="str">
            <v>Philhealth</v>
          </cell>
        </row>
        <row r="2058">
          <cell r="K2058">
            <v>1000</v>
          </cell>
          <cell r="P2058" t="str">
            <v>81111101-52121305</v>
          </cell>
          <cell r="S2058" t="str">
            <v>2026A-03</v>
          </cell>
          <cell r="T2058" t="str">
            <v>Pag-ibig</v>
          </cell>
        </row>
        <row r="2059">
          <cell r="K2059">
            <v>10530</v>
          </cell>
          <cell r="P2059" t="str">
            <v>81111101-52121305</v>
          </cell>
          <cell r="S2059" t="str">
            <v>2026A-03</v>
          </cell>
          <cell r="T2059" t="str">
            <v>SSS</v>
          </cell>
        </row>
        <row r="2060">
          <cell r="K2060">
            <v>5217.5</v>
          </cell>
          <cell r="P2060" t="str">
            <v>81111101-52121305</v>
          </cell>
          <cell r="S2060" t="str">
            <v>2026A-03</v>
          </cell>
          <cell r="T2060" t="str">
            <v>Philhealth</v>
          </cell>
        </row>
        <row r="2061">
          <cell r="K2061">
            <v>9400</v>
          </cell>
          <cell r="P2061" t="str">
            <v>81111101-52121305</v>
          </cell>
          <cell r="S2061" t="str">
            <v>2026A-03</v>
          </cell>
          <cell r="T2061" t="str">
            <v>Pag-ibig</v>
          </cell>
        </row>
        <row r="2062">
          <cell r="K2062">
            <v>90410</v>
          </cell>
          <cell r="P2062" t="str">
            <v>81111101-52121305</v>
          </cell>
          <cell r="S2062" t="str">
            <v>2026A-03</v>
          </cell>
          <cell r="T2062" t="str">
            <v>SSS</v>
          </cell>
        </row>
        <row r="2063">
          <cell r="K2063">
            <v>48675</v>
          </cell>
          <cell r="P2063" t="str">
            <v>81111101-52121305</v>
          </cell>
          <cell r="S2063" t="str">
            <v>2026A-03</v>
          </cell>
          <cell r="T2063" t="str">
            <v>Philhealth</v>
          </cell>
        </row>
        <row r="2064">
          <cell r="K2064">
            <v>1200</v>
          </cell>
          <cell r="P2064" t="str">
            <v>81111101-52121305</v>
          </cell>
          <cell r="S2064" t="str">
            <v>2026A-03</v>
          </cell>
          <cell r="T2064" t="str">
            <v>Pag-ibig</v>
          </cell>
        </row>
        <row r="2065">
          <cell r="K2065">
            <v>13980</v>
          </cell>
          <cell r="P2065" t="str">
            <v>81111101-52121305</v>
          </cell>
          <cell r="S2065" t="str">
            <v>2026A-03</v>
          </cell>
          <cell r="T2065" t="str">
            <v>SSS</v>
          </cell>
        </row>
        <row r="2066">
          <cell r="K2066">
            <v>6912.5</v>
          </cell>
          <cell r="P2066" t="str">
            <v>81111101-52121305</v>
          </cell>
          <cell r="S2066" t="str">
            <v>2026A-03</v>
          </cell>
          <cell r="T2066" t="str">
            <v>Philhealth</v>
          </cell>
        </row>
        <row r="2067">
          <cell r="K2067">
            <v>3147100</v>
          </cell>
          <cell r="P2067" t="str">
            <v>90111101-52121101</v>
          </cell>
          <cell r="S2067" t="str">
            <v>2026A-03</v>
          </cell>
          <cell r="T2067" t="str">
            <v>Regular Employee</v>
          </cell>
        </row>
        <row r="2068">
          <cell r="K2068">
            <v>10768.08</v>
          </cell>
          <cell r="P2068" t="str">
            <v>90111101-52121101</v>
          </cell>
          <cell r="S2068" t="str">
            <v>2026A-03</v>
          </cell>
          <cell r="T2068" t="str">
            <v>Regular Employee</v>
          </cell>
        </row>
        <row r="2069">
          <cell r="K2069">
            <v>-7397.81</v>
          </cell>
          <cell r="P2069" t="str">
            <v>90111101-52121101</v>
          </cell>
          <cell r="S2069" t="str">
            <v>2026A-03</v>
          </cell>
          <cell r="T2069" t="str">
            <v>Regular Employee</v>
          </cell>
        </row>
        <row r="2070">
          <cell r="K2070">
            <v>-3520.52</v>
          </cell>
          <cell r="P2070" t="str">
            <v>90111101-52121101</v>
          </cell>
          <cell r="S2070" t="str">
            <v>2026A-03</v>
          </cell>
          <cell r="T2070" t="str">
            <v>Regular Employee</v>
          </cell>
        </row>
        <row r="2071">
          <cell r="K2071">
            <v>-16003.26</v>
          </cell>
          <cell r="P2071" t="str">
            <v>90111101-52121101</v>
          </cell>
          <cell r="S2071" t="str">
            <v>2026A-03</v>
          </cell>
          <cell r="T2071" t="str">
            <v>Regular Employee</v>
          </cell>
        </row>
        <row r="2072">
          <cell r="K2072">
            <v>718200</v>
          </cell>
          <cell r="P2072" t="str">
            <v>90111101-52121101</v>
          </cell>
          <cell r="S2072" t="str">
            <v>2026A-03</v>
          </cell>
          <cell r="T2072" t="str">
            <v>Regular Employee</v>
          </cell>
        </row>
        <row r="2073">
          <cell r="K2073">
            <v>-412.3</v>
          </cell>
          <cell r="P2073" t="str">
            <v>90111101-52121101</v>
          </cell>
          <cell r="S2073" t="str">
            <v>2026A-03</v>
          </cell>
          <cell r="T2073" t="str">
            <v>Regular Employee</v>
          </cell>
        </row>
        <row r="2074">
          <cell r="K2074">
            <v>-13067.34</v>
          </cell>
          <cell r="P2074" t="str">
            <v>90111101-52121101</v>
          </cell>
          <cell r="S2074" t="str">
            <v>2026A-03</v>
          </cell>
          <cell r="T2074" t="str">
            <v>Regular Employee</v>
          </cell>
        </row>
        <row r="2075">
          <cell r="K2075">
            <v>2097050</v>
          </cell>
          <cell r="P2075" t="str">
            <v>90111101-52121101</v>
          </cell>
          <cell r="S2075" t="str">
            <v>2026A-03</v>
          </cell>
          <cell r="T2075" t="str">
            <v>Regular Employee</v>
          </cell>
        </row>
        <row r="2076">
          <cell r="K2076">
            <v>9893.26</v>
          </cell>
          <cell r="P2076" t="str">
            <v>90111101-52121101</v>
          </cell>
          <cell r="S2076" t="str">
            <v>2026A-03</v>
          </cell>
          <cell r="T2076" t="str">
            <v>Regular Employee</v>
          </cell>
        </row>
        <row r="2077">
          <cell r="K2077">
            <v>-7384.28</v>
          </cell>
          <cell r="P2077" t="str">
            <v>90111101-52121101</v>
          </cell>
          <cell r="S2077" t="str">
            <v>2026A-03</v>
          </cell>
          <cell r="T2077" t="str">
            <v>Regular Employee</v>
          </cell>
        </row>
        <row r="2078">
          <cell r="K2078">
            <v>-1090.96</v>
          </cell>
          <cell r="P2078" t="str">
            <v>90111101-52121101</v>
          </cell>
          <cell r="S2078" t="str">
            <v>2026A-03</v>
          </cell>
          <cell r="T2078" t="str">
            <v>Regular Employee</v>
          </cell>
        </row>
        <row r="2079">
          <cell r="K2079">
            <v>-9561.2000000000007</v>
          </cell>
          <cell r="P2079" t="str">
            <v>90111101-52121101</v>
          </cell>
          <cell r="S2079" t="str">
            <v>2026A-03</v>
          </cell>
          <cell r="T2079" t="str">
            <v>Regular Employee</v>
          </cell>
        </row>
        <row r="2080">
          <cell r="K2080">
            <v>1377725</v>
          </cell>
          <cell r="P2080" t="str">
            <v>90111101-52121101</v>
          </cell>
          <cell r="S2080" t="str">
            <v>2026A-03</v>
          </cell>
          <cell r="T2080" t="str">
            <v>Regular Employee</v>
          </cell>
        </row>
        <row r="2081">
          <cell r="K2081">
            <v>27050</v>
          </cell>
          <cell r="P2081" t="str">
            <v>90111101-52121101</v>
          </cell>
          <cell r="S2081" t="str">
            <v>2026A-03</v>
          </cell>
          <cell r="T2081" t="str">
            <v>Regular Employee</v>
          </cell>
        </row>
        <row r="2082">
          <cell r="K2082">
            <v>-170.36</v>
          </cell>
          <cell r="P2082" t="str">
            <v>90111101-52121101</v>
          </cell>
          <cell r="S2082" t="str">
            <v>2026A-03</v>
          </cell>
          <cell r="T2082" t="str">
            <v>Regular Employee</v>
          </cell>
        </row>
        <row r="2083">
          <cell r="K2083">
            <v>494200</v>
          </cell>
          <cell r="P2083" t="str">
            <v>90111101-52121101</v>
          </cell>
          <cell r="S2083" t="str">
            <v>2026A-03</v>
          </cell>
          <cell r="T2083" t="str">
            <v>Regular Employee</v>
          </cell>
        </row>
        <row r="2084">
          <cell r="K2084">
            <v>-1870.71</v>
          </cell>
          <cell r="P2084" t="str">
            <v>90111101-52121101</v>
          </cell>
          <cell r="S2084" t="str">
            <v>2026A-03</v>
          </cell>
          <cell r="T2084" t="str">
            <v>Regular Employee</v>
          </cell>
        </row>
        <row r="2085">
          <cell r="K2085">
            <v>-25.35</v>
          </cell>
          <cell r="P2085" t="str">
            <v>90111101-52121101</v>
          </cell>
          <cell r="S2085" t="str">
            <v>2026A-03</v>
          </cell>
          <cell r="T2085" t="str">
            <v>Regular Employee</v>
          </cell>
        </row>
        <row r="2086">
          <cell r="K2086">
            <v>-2390.87</v>
          </cell>
          <cell r="P2086" t="str">
            <v>90111101-52121101</v>
          </cell>
          <cell r="S2086" t="str">
            <v>2026A-03</v>
          </cell>
          <cell r="T2086" t="str">
            <v>Regular Employee</v>
          </cell>
        </row>
        <row r="2087">
          <cell r="K2087">
            <v>470350</v>
          </cell>
          <cell r="P2087" t="str">
            <v>90111101-52121101</v>
          </cell>
          <cell r="S2087" t="str">
            <v>2026A-03</v>
          </cell>
          <cell r="T2087" t="str">
            <v>Regular Employee</v>
          </cell>
        </row>
        <row r="2088">
          <cell r="K2088">
            <v>-225.95</v>
          </cell>
          <cell r="P2088" t="str">
            <v>90111101-52121101</v>
          </cell>
          <cell r="S2088" t="str">
            <v>2026A-03</v>
          </cell>
          <cell r="T2088" t="str">
            <v>Regular Employee</v>
          </cell>
        </row>
        <row r="2089">
          <cell r="K2089">
            <v>-167.92</v>
          </cell>
          <cell r="P2089" t="str">
            <v>90111101-52121101</v>
          </cell>
          <cell r="S2089" t="str">
            <v>2026A-03</v>
          </cell>
          <cell r="T2089" t="str">
            <v>Regular Employee</v>
          </cell>
        </row>
        <row r="2090">
          <cell r="K2090">
            <v>-1447.34</v>
          </cell>
          <cell r="P2090" t="str">
            <v>90111101-52121101</v>
          </cell>
          <cell r="S2090" t="str">
            <v>2026A-03</v>
          </cell>
          <cell r="T2090" t="str">
            <v>Regular Employee</v>
          </cell>
        </row>
        <row r="2091">
          <cell r="K2091">
            <v>6549.21</v>
          </cell>
          <cell r="P2091" t="str">
            <v>90111101-52121102</v>
          </cell>
          <cell r="S2091" t="str">
            <v>2026A-03</v>
          </cell>
          <cell r="T2091" t="str">
            <v>OT Pay</v>
          </cell>
        </row>
        <row r="2092">
          <cell r="K2092">
            <v>21447.72</v>
          </cell>
          <cell r="P2092" t="str">
            <v>90111101-52121102</v>
          </cell>
          <cell r="S2092" t="str">
            <v>2026A-03</v>
          </cell>
          <cell r="T2092" t="str">
            <v>OT Pay</v>
          </cell>
        </row>
        <row r="2093">
          <cell r="K2093">
            <v>5359.8</v>
          </cell>
          <cell r="P2093" t="str">
            <v>90111101-52121102</v>
          </cell>
          <cell r="S2093" t="str">
            <v>2026A-03</v>
          </cell>
          <cell r="T2093" t="str">
            <v>OT Pay</v>
          </cell>
        </row>
        <row r="2094">
          <cell r="K2094">
            <v>5200</v>
          </cell>
          <cell r="P2094" t="str">
            <v>90111101-52121103</v>
          </cell>
          <cell r="S2094" t="str">
            <v>2026A-03</v>
          </cell>
          <cell r="T2094" t="str">
            <v>OT Pay</v>
          </cell>
        </row>
        <row r="2095">
          <cell r="K2095">
            <v>400</v>
          </cell>
          <cell r="P2095" t="str">
            <v>90111101-52121103</v>
          </cell>
          <cell r="S2095" t="str">
            <v>2026A-03</v>
          </cell>
          <cell r="T2095" t="str">
            <v>OT Pay</v>
          </cell>
        </row>
        <row r="2096">
          <cell r="K2096">
            <v>14800</v>
          </cell>
          <cell r="P2096" t="str">
            <v>90111101-52121305</v>
          </cell>
          <cell r="S2096" t="str">
            <v>2026A-03</v>
          </cell>
          <cell r="T2096" t="str">
            <v>Pag-ibig</v>
          </cell>
        </row>
        <row r="2097">
          <cell r="K2097">
            <v>105480</v>
          </cell>
          <cell r="P2097" t="str">
            <v>90111101-52121305</v>
          </cell>
          <cell r="S2097" t="str">
            <v>2026A-03</v>
          </cell>
          <cell r="T2097" t="str">
            <v>Philhealth</v>
          </cell>
        </row>
        <row r="2098">
          <cell r="K2098">
            <v>180180</v>
          </cell>
          <cell r="P2098" t="str">
            <v>90111101-52121305</v>
          </cell>
          <cell r="S2098" t="str">
            <v>2026A-03</v>
          </cell>
          <cell r="T2098" t="str">
            <v>SSS</v>
          </cell>
        </row>
        <row r="2099">
          <cell r="K2099">
            <v>1800</v>
          </cell>
          <cell r="P2099" t="str">
            <v>90111101-52121305</v>
          </cell>
          <cell r="S2099" t="str">
            <v>2026A-03</v>
          </cell>
          <cell r="T2099" t="str">
            <v>Pag-ibig</v>
          </cell>
        </row>
        <row r="2100">
          <cell r="K2100">
            <v>14380</v>
          </cell>
          <cell r="P2100" t="str">
            <v>90111101-52121305</v>
          </cell>
          <cell r="S2100" t="str">
            <v>2026A-03</v>
          </cell>
          <cell r="T2100" t="str">
            <v>Philhealth</v>
          </cell>
        </row>
        <row r="2101">
          <cell r="K2101">
            <v>25320</v>
          </cell>
          <cell r="P2101" t="str">
            <v>90111101-52121305</v>
          </cell>
          <cell r="S2101" t="str">
            <v>2026A-03</v>
          </cell>
          <cell r="T2101" t="str">
            <v>SSS</v>
          </cell>
        </row>
        <row r="2102">
          <cell r="K2102">
            <v>12400</v>
          </cell>
          <cell r="P2102" t="str">
            <v>90111101-52121305</v>
          </cell>
          <cell r="S2102" t="str">
            <v>2026A-03</v>
          </cell>
          <cell r="T2102" t="str">
            <v>Pag-ibig</v>
          </cell>
        </row>
        <row r="2103">
          <cell r="K2103">
            <v>86072.5</v>
          </cell>
          <cell r="P2103" t="str">
            <v>90111101-52121305</v>
          </cell>
          <cell r="S2103" t="str">
            <v>2026A-03</v>
          </cell>
          <cell r="T2103" t="str">
            <v>Philhealth</v>
          </cell>
        </row>
        <row r="2104">
          <cell r="K2104">
            <v>157890</v>
          </cell>
          <cell r="P2104" t="str">
            <v>90111101-52121305</v>
          </cell>
          <cell r="S2104" t="str">
            <v>2026A-03</v>
          </cell>
          <cell r="T2104" t="str">
            <v>SSS</v>
          </cell>
        </row>
        <row r="2105">
          <cell r="K2105">
            <v>1200</v>
          </cell>
          <cell r="P2105" t="str">
            <v>90111101-52121305</v>
          </cell>
          <cell r="S2105" t="str">
            <v>2026A-03</v>
          </cell>
          <cell r="T2105" t="str">
            <v>Pag-ibig</v>
          </cell>
        </row>
        <row r="2106">
          <cell r="K2106">
            <v>13952.5</v>
          </cell>
          <cell r="P2106" t="str">
            <v>90111101-52121305</v>
          </cell>
          <cell r="S2106" t="str">
            <v>2026A-03</v>
          </cell>
          <cell r="T2106" t="str">
            <v>Philhealth</v>
          </cell>
        </row>
        <row r="2107">
          <cell r="K2107">
            <v>20580</v>
          </cell>
          <cell r="P2107" t="str">
            <v>90111101-52121305</v>
          </cell>
          <cell r="S2107" t="str">
            <v>2026A-03</v>
          </cell>
          <cell r="T2107" t="str">
            <v>SSS</v>
          </cell>
        </row>
        <row r="2108">
          <cell r="K2108">
            <v>200</v>
          </cell>
          <cell r="P2108" t="str">
            <v>90111101-52121305</v>
          </cell>
          <cell r="S2108" t="str">
            <v>2026A-03</v>
          </cell>
          <cell r="T2108" t="str">
            <v>Pag-ibig</v>
          </cell>
        </row>
        <row r="2109">
          <cell r="K2109">
            <v>1352.5</v>
          </cell>
          <cell r="P2109" t="str">
            <v>90111101-52121305</v>
          </cell>
          <cell r="S2109" t="str">
            <v>2026A-03</v>
          </cell>
          <cell r="T2109" t="str">
            <v>Philhealth</v>
          </cell>
        </row>
        <row r="2110">
          <cell r="K2110">
            <v>2730</v>
          </cell>
          <cell r="P2110" t="str">
            <v>90111101-52121305</v>
          </cell>
          <cell r="S2110" t="str">
            <v>2026A-03</v>
          </cell>
          <cell r="T2110" t="str">
            <v>SSS</v>
          </cell>
        </row>
        <row r="2111">
          <cell r="K2111">
            <v>2000</v>
          </cell>
          <cell r="P2111" t="str">
            <v>90111101-52121305</v>
          </cell>
          <cell r="S2111" t="str">
            <v>2026A-03</v>
          </cell>
          <cell r="T2111" t="str">
            <v>Pag-ibig</v>
          </cell>
        </row>
        <row r="2112">
          <cell r="K2112">
            <v>16485</v>
          </cell>
          <cell r="P2112" t="str">
            <v>90111101-52121305</v>
          </cell>
          <cell r="S2112" t="str">
            <v>2026A-03</v>
          </cell>
          <cell r="T2112" t="str">
            <v>Philhealth</v>
          </cell>
        </row>
        <row r="2113">
          <cell r="K2113">
            <v>27780</v>
          </cell>
          <cell r="P2113" t="str">
            <v>90111101-52121305</v>
          </cell>
          <cell r="S2113" t="str">
            <v>2026A-03</v>
          </cell>
          <cell r="T2113" t="str">
            <v>SSS</v>
          </cell>
        </row>
        <row r="2114">
          <cell r="K2114">
            <v>2400</v>
          </cell>
          <cell r="P2114" t="str">
            <v>90111101-52121305</v>
          </cell>
          <cell r="S2114" t="str">
            <v>2026A-03</v>
          </cell>
          <cell r="T2114" t="str">
            <v>Pag-ibig</v>
          </cell>
        </row>
        <row r="2115">
          <cell r="K2115">
            <v>18742.5</v>
          </cell>
          <cell r="P2115" t="str">
            <v>90111101-52121305</v>
          </cell>
          <cell r="S2115" t="str">
            <v>2026A-03</v>
          </cell>
          <cell r="T2115" t="str">
            <v>Philhealth</v>
          </cell>
        </row>
        <row r="2116">
          <cell r="K2116">
            <v>32500</v>
          </cell>
          <cell r="P2116" t="str">
            <v>90111101-52121305</v>
          </cell>
          <cell r="S2116" t="str">
            <v>2026A-03</v>
          </cell>
          <cell r="T2116" t="str">
            <v>SSS</v>
          </cell>
        </row>
        <row r="2117">
          <cell r="K2117">
            <v>87500</v>
          </cell>
          <cell r="P2117" t="str">
            <v>80314101-61731103</v>
          </cell>
          <cell r="S2117" t="str">
            <v>2026A-03</v>
          </cell>
          <cell r="T2117" t="str">
            <v>Enamel Pin</v>
          </cell>
        </row>
        <row r="2118">
          <cell r="K2118">
            <v>33</v>
          </cell>
          <cell r="P2118" t="str">
            <v>81123102-52061111</v>
          </cell>
          <cell r="S2118" t="str">
            <v>2026A-03</v>
          </cell>
          <cell r="T2118" t="str">
            <v>R&amp;M - Supplies</v>
          </cell>
        </row>
        <row r="2119">
          <cell r="K2119">
            <v>196</v>
          </cell>
          <cell r="P2119" t="str">
            <v>81123102-52061111</v>
          </cell>
          <cell r="S2119" t="str">
            <v>2026A-03</v>
          </cell>
          <cell r="T2119" t="str">
            <v>R&amp;M - Supplies</v>
          </cell>
        </row>
        <row r="2120">
          <cell r="K2120">
            <v>467.6</v>
          </cell>
          <cell r="P2120" t="str">
            <v>81111204-52091102</v>
          </cell>
          <cell r="S2120" t="str">
            <v>2026A-03</v>
          </cell>
          <cell r="T2120" t="str">
            <v>Meetings</v>
          </cell>
        </row>
        <row r="2121">
          <cell r="K2121">
            <v>446.95</v>
          </cell>
          <cell r="P2121" t="str">
            <v>81111204-52091102</v>
          </cell>
          <cell r="S2121" t="str">
            <v>2026A-03</v>
          </cell>
          <cell r="T2121" t="str">
            <v>Meetings</v>
          </cell>
        </row>
        <row r="2122">
          <cell r="K2122">
            <v>467.6</v>
          </cell>
          <cell r="P2122" t="str">
            <v>81111204-52091102</v>
          </cell>
          <cell r="S2122" t="str">
            <v>2026A-03</v>
          </cell>
          <cell r="T2122" t="str">
            <v>Meetings</v>
          </cell>
        </row>
        <row r="2123">
          <cell r="K2123">
            <v>20530.830000000002</v>
          </cell>
          <cell r="P2123" t="str">
            <v>81319101-52041499</v>
          </cell>
          <cell r="S2123" t="str">
            <v>2026A-03</v>
          </cell>
          <cell r="T2123" t="str">
            <v>GH</v>
          </cell>
        </row>
        <row r="2124">
          <cell r="K2124">
            <v>-7611.64</v>
          </cell>
          <cell r="P2124" t="str">
            <v>81319101-52041499</v>
          </cell>
          <cell r="S2124" t="str">
            <v>2026A-03</v>
          </cell>
          <cell r="T2124" t="str">
            <v>GH</v>
          </cell>
        </row>
        <row r="2125">
          <cell r="K2125">
            <v>59259.73</v>
          </cell>
          <cell r="P2125" t="str">
            <v>81319101-52041499</v>
          </cell>
          <cell r="S2125" t="str">
            <v>2026A-03</v>
          </cell>
          <cell r="T2125" t="str">
            <v>GH</v>
          </cell>
        </row>
        <row r="2126">
          <cell r="K2126">
            <v>29929.01</v>
          </cell>
          <cell r="P2126" t="str">
            <v>81319101-52041499</v>
          </cell>
          <cell r="S2126" t="str">
            <v>2026A-03</v>
          </cell>
          <cell r="T2126" t="str">
            <v>TS</v>
          </cell>
        </row>
        <row r="2127">
          <cell r="K2127">
            <v>528.57000000000005</v>
          </cell>
          <cell r="P2127" t="str">
            <v>81319101-52111101</v>
          </cell>
          <cell r="S2127" t="str">
            <v>2026A-03</v>
          </cell>
          <cell r="T2127" t="str">
            <v>ES</v>
          </cell>
        </row>
        <row r="2128">
          <cell r="K2128">
            <v>6159.91</v>
          </cell>
          <cell r="P2128" t="str">
            <v>90111204-61091101</v>
          </cell>
          <cell r="S2128" t="str">
            <v>2026A-03</v>
          </cell>
          <cell r="T2128" t="str">
            <v>Meetings</v>
          </cell>
        </row>
        <row r="2129">
          <cell r="K2129">
            <v>20892.86</v>
          </cell>
          <cell r="P2129" t="str">
            <v>81319101-52111101</v>
          </cell>
          <cell r="S2129" t="str">
            <v>2026A-03</v>
          </cell>
          <cell r="T2129" t="str">
            <v>GH</v>
          </cell>
        </row>
        <row r="2130">
          <cell r="K2130">
            <v>101785.71</v>
          </cell>
          <cell r="P2130" t="str">
            <v>80349101-61959994</v>
          </cell>
          <cell r="S2130" t="str">
            <v>2026A-03</v>
          </cell>
          <cell r="T2130" t="str">
            <v>CV Village</v>
          </cell>
        </row>
        <row r="2131">
          <cell r="K2131">
            <v>803.57</v>
          </cell>
          <cell r="P2131" t="str">
            <v>81319101-52061103</v>
          </cell>
          <cell r="S2131" t="str">
            <v>2026A-03</v>
          </cell>
          <cell r="T2131" t="str">
            <v>R&amp;M - Supplies</v>
          </cell>
        </row>
        <row r="2132">
          <cell r="K2132">
            <v>10680</v>
          </cell>
          <cell r="P2132" t="str">
            <v>80122101-61071099</v>
          </cell>
          <cell r="S2132" t="str">
            <v>2026A-03</v>
          </cell>
          <cell r="T2132" t="str">
            <v>Business Permit</v>
          </cell>
        </row>
        <row r="2133">
          <cell r="K2133">
            <v>10357.14</v>
          </cell>
          <cell r="P2133" t="str">
            <v>80123102-61061104</v>
          </cell>
          <cell r="S2133" t="str">
            <v>2026A-03</v>
          </cell>
          <cell r="T2133" t="str">
            <v>R&amp;M - Yokohama</v>
          </cell>
        </row>
        <row r="2134">
          <cell r="K2134">
            <v>30373.360000000001</v>
          </cell>
          <cell r="P2134" t="str">
            <v>81319101-52041405</v>
          </cell>
          <cell r="S2134" t="str">
            <v>2026A-03</v>
          </cell>
          <cell r="T2134" t="str">
            <v>ES</v>
          </cell>
        </row>
        <row r="2135">
          <cell r="K2135">
            <v>321428.57</v>
          </cell>
          <cell r="P2135" t="str">
            <v>80215106-61071004</v>
          </cell>
          <cell r="S2135" t="str">
            <v>2026A-03</v>
          </cell>
          <cell r="T2135" t="str">
            <v>Energy Audit</v>
          </cell>
        </row>
        <row r="2136">
          <cell r="K2136">
            <v>41187.57</v>
          </cell>
          <cell r="P2136" t="str">
            <v>80111101-61021303</v>
          </cell>
          <cell r="S2136" t="str">
            <v>2026A-03</v>
          </cell>
          <cell r="T2136" t="str">
            <v>HMO</v>
          </cell>
        </row>
        <row r="2137">
          <cell r="K2137">
            <v>823.75</v>
          </cell>
          <cell r="P2137" t="str">
            <v>80111101-61021303</v>
          </cell>
          <cell r="S2137" t="str">
            <v>2026A-03</v>
          </cell>
          <cell r="T2137" t="str">
            <v>HMO</v>
          </cell>
        </row>
        <row r="2138">
          <cell r="K2138">
            <v>82.38</v>
          </cell>
          <cell r="P2138" t="str">
            <v>80111101-61021303</v>
          </cell>
          <cell r="S2138" t="str">
            <v>2026A-03</v>
          </cell>
          <cell r="T2138" t="str">
            <v>HMO</v>
          </cell>
        </row>
        <row r="2139">
          <cell r="K2139">
            <v>-12621.33</v>
          </cell>
          <cell r="P2139" t="str">
            <v>80111101-61021303</v>
          </cell>
          <cell r="S2139" t="str">
            <v>2026A-03</v>
          </cell>
          <cell r="T2139" t="str">
            <v>HMO</v>
          </cell>
        </row>
        <row r="2140">
          <cell r="K2140">
            <v>-252.43</v>
          </cell>
          <cell r="P2140" t="str">
            <v>80111101-61021303</v>
          </cell>
          <cell r="S2140" t="str">
            <v>2026A-03</v>
          </cell>
          <cell r="T2140" t="str">
            <v>HMO</v>
          </cell>
        </row>
        <row r="2141">
          <cell r="K2141">
            <v>-25.24</v>
          </cell>
          <cell r="P2141" t="str">
            <v>80111101-61021303</v>
          </cell>
          <cell r="S2141" t="str">
            <v>2026A-03</v>
          </cell>
          <cell r="T2141" t="str">
            <v>HMO</v>
          </cell>
        </row>
        <row r="2142">
          <cell r="K2142">
            <v>-6160.13</v>
          </cell>
          <cell r="P2142" t="str">
            <v>80111101-61021303</v>
          </cell>
          <cell r="S2142" t="str">
            <v>2026A-03</v>
          </cell>
          <cell r="T2142" t="str">
            <v>HMO</v>
          </cell>
        </row>
        <row r="2143">
          <cell r="K2143">
            <v>-29894.7</v>
          </cell>
          <cell r="P2143" t="str">
            <v>80111101-61021303</v>
          </cell>
          <cell r="S2143" t="str">
            <v>2026A-03</v>
          </cell>
          <cell r="T2143" t="str">
            <v>HMO</v>
          </cell>
        </row>
        <row r="2144">
          <cell r="K2144">
            <v>1615</v>
          </cell>
          <cell r="P2144" t="str">
            <v>80122101-61021316</v>
          </cell>
          <cell r="S2144" t="str">
            <v>2026A-03</v>
          </cell>
          <cell r="T2144" t="str">
            <v>Pre-Employment Medical Exams</v>
          </cell>
        </row>
        <row r="2145">
          <cell r="K2145">
            <v>125</v>
          </cell>
          <cell r="P2145" t="str">
            <v>80122101-61021316</v>
          </cell>
          <cell r="S2145" t="str">
            <v>2026A-03</v>
          </cell>
          <cell r="T2145" t="str">
            <v>Pre-Employment Medical Exams</v>
          </cell>
        </row>
        <row r="2146">
          <cell r="K2146">
            <v>1615</v>
          </cell>
          <cell r="P2146" t="str">
            <v>80122101-61021316</v>
          </cell>
          <cell r="S2146" t="str">
            <v>2026A-03</v>
          </cell>
          <cell r="T2146" t="str">
            <v>Pre-Employment Medical Exams</v>
          </cell>
        </row>
        <row r="2147">
          <cell r="K2147">
            <v>125</v>
          </cell>
          <cell r="P2147" t="str">
            <v>80122101-61021316</v>
          </cell>
          <cell r="S2147" t="str">
            <v>2026A-03</v>
          </cell>
          <cell r="T2147" t="str">
            <v>Pre-Employment Medical Exams</v>
          </cell>
        </row>
        <row r="2148">
          <cell r="K2148">
            <v>4000</v>
          </cell>
          <cell r="P2148" t="str">
            <v>90122101-52121402</v>
          </cell>
          <cell r="S2148" t="str">
            <v>2026A-03</v>
          </cell>
          <cell r="T2148" t="str">
            <v>Drinking Water</v>
          </cell>
        </row>
        <row r="2149">
          <cell r="K2149">
            <v>2800</v>
          </cell>
          <cell r="P2149" t="str">
            <v>90122101-52121402</v>
          </cell>
          <cell r="S2149" t="str">
            <v>2026A-03</v>
          </cell>
          <cell r="T2149" t="str">
            <v>Drinking Water</v>
          </cell>
        </row>
        <row r="2150">
          <cell r="K2150">
            <v>4800</v>
          </cell>
          <cell r="P2150" t="str">
            <v>90122101-52121402</v>
          </cell>
          <cell r="S2150" t="str">
            <v>2026A-03</v>
          </cell>
          <cell r="T2150" t="str">
            <v>Drinking Water</v>
          </cell>
        </row>
        <row r="2151">
          <cell r="K2151">
            <v>3400</v>
          </cell>
          <cell r="P2151" t="str">
            <v>90122101-52121402</v>
          </cell>
          <cell r="S2151" t="str">
            <v>2026A-03</v>
          </cell>
          <cell r="T2151" t="str">
            <v>Drinking Water</v>
          </cell>
        </row>
        <row r="2152">
          <cell r="K2152">
            <v>-56</v>
          </cell>
          <cell r="P2152" t="str">
            <v>81319101-52041401</v>
          </cell>
          <cell r="S2152" t="str">
            <v>2026A-03</v>
          </cell>
          <cell r="T2152" t="str">
            <v>2025 Security</v>
          </cell>
        </row>
        <row r="2153">
          <cell r="K2153">
            <v>-11.2</v>
          </cell>
          <cell r="P2153" t="str">
            <v>81319101-52041401</v>
          </cell>
          <cell r="S2153" t="str">
            <v>2026A-03</v>
          </cell>
          <cell r="T2153" t="str">
            <v>2025 Security</v>
          </cell>
        </row>
        <row r="2154">
          <cell r="K2154">
            <v>-17.87</v>
          </cell>
          <cell r="P2154" t="str">
            <v>81319101-52041401</v>
          </cell>
          <cell r="S2154" t="str">
            <v>2026A-03</v>
          </cell>
          <cell r="T2154" t="str">
            <v>2025 Security</v>
          </cell>
        </row>
        <row r="2155">
          <cell r="K2155">
            <v>-3.57</v>
          </cell>
          <cell r="P2155" t="str">
            <v>81319101-52041401</v>
          </cell>
          <cell r="S2155" t="str">
            <v>2026A-03</v>
          </cell>
          <cell r="T2155" t="str">
            <v>2025 Security</v>
          </cell>
        </row>
        <row r="2156">
          <cell r="K2156">
            <v>21447.200000000001</v>
          </cell>
          <cell r="P2156" t="str">
            <v>81319101-52041401</v>
          </cell>
          <cell r="S2156" t="str">
            <v>2026A-03</v>
          </cell>
          <cell r="T2156" t="str">
            <v>TS</v>
          </cell>
        </row>
        <row r="2157">
          <cell r="K2157">
            <v>4289.0200000000004</v>
          </cell>
          <cell r="P2157" t="str">
            <v>81319101-52041401</v>
          </cell>
          <cell r="S2157" t="str">
            <v>2026A-03</v>
          </cell>
          <cell r="T2157" t="str">
            <v>TS</v>
          </cell>
        </row>
        <row r="2158">
          <cell r="K2158">
            <v>18587.57</v>
          </cell>
          <cell r="P2158" t="str">
            <v>81319101-52041401</v>
          </cell>
          <cell r="S2158" t="str">
            <v>2026A-03</v>
          </cell>
          <cell r="T2158" t="str">
            <v>TS</v>
          </cell>
        </row>
        <row r="2159">
          <cell r="K2159">
            <v>3717.15</v>
          </cell>
          <cell r="P2159" t="str">
            <v>81319101-52041401</v>
          </cell>
          <cell r="S2159" t="str">
            <v>2026A-03</v>
          </cell>
          <cell r="T2159" t="str">
            <v>TS</v>
          </cell>
        </row>
        <row r="2160">
          <cell r="K2160">
            <v>6600</v>
          </cell>
          <cell r="P2160" t="str">
            <v>80123101-61071002</v>
          </cell>
          <cell r="S2160" t="str">
            <v>2026A-03</v>
          </cell>
          <cell r="T2160" t="str">
            <v>Open Cases</v>
          </cell>
        </row>
        <row r="2161">
          <cell r="K2161">
            <v>2424</v>
          </cell>
          <cell r="P2161" t="str">
            <v>80123101-61071002</v>
          </cell>
          <cell r="S2161" t="str">
            <v>2026A-03</v>
          </cell>
          <cell r="T2161" t="str">
            <v>Open Cases</v>
          </cell>
        </row>
        <row r="2162">
          <cell r="K2162">
            <v>32</v>
          </cell>
          <cell r="P2162" t="str">
            <v>80123101-61711101</v>
          </cell>
          <cell r="S2162" t="str">
            <v>2026A-03</v>
          </cell>
          <cell r="T2162" t="str">
            <v>Dues and Fees - Legal</v>
          </cell>
        </row>
        <row r="2163">
          <cell r="K2163">
            <v>28200</v>
          </cell>
          <cell r="P2163" t="str">
            <v>80123101-61071002</v>
          </cell>
          <cell r="S2163" t="str">
            <v>2026A-03</v>
          </cell>
          <cell r="T2163" t="str">
            <v>Open Cases</v>
          </cell>
        </row>
        <row r="2164">
          <cell r="K2164">
            <v>110</v>
          </cell>
          <cell r="P2164" t="str">
            <v>80123101-61071002</v>
          </cell>
          <cell r="S2164" t="str">
            <v>2026A-03</v>
          </cell>
          <cell r="T2164" t="str">
            <v>Open Cases</v>
          </cell>
        </row>
        <row r="2165">
          <cell r="K2165">
            <v>190</v>
          </cell>
          <cell r="P2165" t="str">
            <v>80123101-61071002</v>
          </cell>
          <cell r="S2165" t="str">
            <v>2026A-03</v>
          </cell>
          <cell r="T2165" t="str">
            <v>Open Cases</v>
          </cell>
        </row>
        <row r="2166">
          <cell r="K2166">
            <v>6600</v>
          </cell>
          <cell r="P2166" t="str">
            <v>80123101-61071002</v>
          </cell>
          <cell r="S2166" t="str">
            <v>2026A-03</v>
          </cell>
          <cell r="T2166" t="str">
            <v>Open Cases</v>
          </cell>
        </row>
        <row r="2167">
          <cell r="K2167">
            <v>7272</v>
          </cell>
          <cell r="P2167" t="str">
            <v>80123101-61071002</v>
          </cell>
          <cell r="S2167" t="str">
            <v>2026A-03</v>
          </cell>
          <cell r="T2167" t="str">
            <v>Open Cases</v>
          </cell>
        </row>
        <row r="2168">
          <cell r="K2168">
            <v>6600</v>
          </cell>
          <cell r="P2168" t="str">
            <v>80123101-61071002</v>
          </cell>
          <cell r="S2168" t="str">
            <v>2026A-03</v>
          </cell>
          <cell r="T2168" t="str">
            <v>Open Cases</v>
          </cell>
        </row>
        <row r="2169">
          <cell r="K2169">
            <v>5817.6</v>
          </cell>
          <cell r="P2169" t="str">
            <v>80123101-61071002</v>
          </cell>
          <cell r="S2169" t="str">
            <v>2026A-03</v>
          </cell>
          <cell r="T2169" t="str">
            <v>Open Cases</v>
          </cell>
        </row>
        <row r="2170">
          <cell r="K2170">
            <v>16</v>
          </cell>
          <cell r="P2170" t="str">
            <v>80123101-61711101</v>
          </cell>
          <cell r="S2170" t="str">
            <v>2026A-03</v>
          </cell>
          <cell r="T2170" t="str">
            <v>Dues and Fees - Legal</v>
          </cell>
        </row>
        <row r="2171">
          <cell r="K2171">
            <v>16</v>
          </cell>
          <cell r="P2171" t="str">
            <v>80123101-61711101</v>
          </cell>
          <cell r="S2171" t="str">
            <v>2026A-03</v>
          </cell>
          <cell r="T2171" t="str">
            <v>Dues and Fees - Legal</v>
          </cell>
        </row>
        <row r="2172">
          <cell r="K2172">
            <v>-0.01</v>
          </cell>
          <cell r="P2172" t="str">
            <v>81123102-52061111</v>
          </cell>
          <cell r="S2172" t="str">
            <v>2026A-03</v>
          </cell>
          <cell r="T2172" t="str">
            <v>Zero</v>
          </cell>
        </row>
        <row r="2173">
          <cell r="K2173">
            <v>-1070.0999999999999</v>
          </cell>
          <cell r="P2173" t="str">
            <v>80111101-52101101</v>
          </cell>
          <cell r="S2173" t="str">
            <v>2026A-03</v>
          </cell>
          <cell r="T2173" t="str">
            <v>PARI</v>
          </cell>
        </row>
        <row r="2174">
          <cell r="K2174">
            <v>-428.04</v>
          </cell>
          <cell r="P2174" t="str">
            <v>80111101-52101101</v>
          </cell>
          <cell r="S2174" t="str">
            <v>2026A-03</v>
          </cell>
          <cell r="T2174" t="str">
            <v>PARI</v>
          </cell>
        </row>
        <row r="2175">
          <cell r="K2175">
            <v>-214.02</v>
          </cell>
          <cell r="P2175" t="str">
            <v>80111101-52101101</v>
          </cell>
          <cell r="S2175" t="str">
            <v>2026A-03</v>
          </cell>
          <cell r="T2175" t="str">
            <v>PARI</v>
          </cell>
        </row>
        <row r="2176">
          <cell r="K2176">
            <v>-214.02</v>
          </cell>
          <cell r="P2176" t="str">
            <v>80111101-52101101</v>
          </cell>
          <cell r="S2176" t="str">
            <v>2026A-03</v>
          </cell>
          <cell r="T2176" t="str">
            <v>PARI</v>
          </cell>
        </row>
        <row r="2177">
          <cell r="K2177">
            <v>-1712.16</v>
          </cell>
          <cell r="P2177" t="str">
            <v>80111101-52101101</v>
          </cell>
          <cell r="S2177" t="str">
            <v>2026A-03</v>
          </cell>
          <cell r="T2177" t="str">
            <v>PARI</v>
          </cell>
        </row>
        <row r="2178">
          <cell r="K2178">
            <v>-321.02999999999997</v>
          </cell>
          <cell r="P2178" t="str">
            <v>80111101-52101101</v>
          </cell>
          <cell r="S2178" t="str">
            <v>2026A-03</v>
          </cell>
          <cell r="T2178" t="str">
            <v>PARI</v>
          </cell>
        </row>
        <row r="2179">
          <cell r="K2179">
            <v>-535.04999999999995</v>
          </cell>
          <cell r="P2179" t="str">
            <v>80111101-52101101</v>
          </cell>
          <cell r="S2179" t="str">
            <v>2026A-03</v>
          </cell>
          <cell r="T2179" t="str">
            <v>PARI</v>
          </cell>
        </row>
        <row r="2180">
          <cell r="K2180">
            <v>-2782.27</v>
          </cell>
          <cell r="P2180" t="str">
            <v>80111101-52101101</v>
          </cell>
          <cell r="S2180" t="str">
            <v>2026A-03</v>
          </cell>
          <cell r="T2180" t="str">
            <v>PARI</v>
          </cell>
        </row>
        <row r="2181">
          <cell r="K2181">
            <v>-3424.33</v>
          </cell>
          <cell r="P2181" t="str">
            <v>80111101-52101101</v>
          </cell>
          <cell r="S2181" t="str">
            <v>2026A-03</v>
          </cell>
          <cell r="T2181" t="str">
            <v>PARI</v>
          </cell>
        </row>
        <row r="2182">
          <cell r="K2182">
            <v>-624.5</v>
          </cell>
          <cell r="P2182" t="str">
            <v>81111101-52101101</v>
          </cell>
          <cell r="S2182" t="str">
            <v>2026A-03</v>
          </cell>
          <cell r="T2182" t="str">
            <v>PARI</v>
          </cell>
        </row>
        <row r="2183">
          <cell r="K2183">
            <v>-249.8</v>
          </cell>
          <cell r="P2183" t="str">
            <v>81111101-52101101</v>
          </cell>
          <cell r="S2183" t="str">
            <v>2026A-03</v>
          </cell>
          <cell r="T2183" t="str">
            <v>PARI</v>
          </cell>
        </row>
        <row r="2184">
          <cell r="K2184">
            <v>-124.9</v>
          </cell>
          <cell r="P2184" t="str">
            <v>81111101-52101101</v>
          </cell>
          <cell r="S2184" t="str">
            <v>2026A-03</v>
          </cell>
          <cell r="T2184" t="str">
            <v>PARI</v>
          </cell>
        </row>
        <row r="2185">
          <cell r="K2185">
            <v>-124.9</v>
          </cell>
          <cell r="P2185" t="str">
            <v>81111101-52101101</v>
          </cell>
          <cell r="S2185" t="str">
            <v>2026A-03</v>
          </cell>
          <cell r="T2185" t="str">
            <v>PARI</v>
          </cell>
        </row>
        <row r="2186">
          <cell r="K2186">
            <v>-999.19</v>
          </cell>
          <cell r="P2186" t="str">
            <v>81111101-52101101</v>
          </cell>
          <cell r="S2186" t="str">
            <v>2026A-03</v>
          </cell>
          <cell r="T2186" t="str">
            <v>PARI</v>
          </cell>
        </row>
        <row r="2187">
          <cell r="K2187">
            <v>-187.35</v>
          </cell>
          <cell r="P2187" t="str">
            <v>81111101-52101101</v>
          </cell>
          <cell r="S2187" t="str">
            <v>2026A-03</v>
          </cell>
          <cell r="T2187" t="str">
            <v>PARI</v>
          </cell>
        </row>
        <row r="2188">
          <cell r="K2188">
            <v>-312.25</v>
          </cell>
          <cell r="P2188" t="str">
            <v>81111101-52101101</v>
          </cell>
          <cell r="S2188" t="str">
            <v>2026A-03</v>
          </cell>
          <cell r="T2188" t="str">
            <v>PARI</v>
          </cell>
        </row>
        <row r="2189">
          <cell r="K2189">
            <v>-1623.69</v>
          </cell>
          <cell r="P2189" t="str">
            <v>81111101-52101101</v>
          </cell>
          <cell r="S2189" t="str">
            <v>2026A-03</v>
          </cell>
          <cell r="T2189" t="str">
            <v>PARI</v>
          </cell>
        </row>
        <row r="2190">
          <cell r="K2190">
            <v>-1998.39</v>
          </cell>
          <cell r="P2190" t="str">
            <v>81111101-52101101</v>
          </cell>
          <cell r="S2190" t="str">
            <v>2026A-03</v>
          </cell>
          <cell r="T2190" t="str">
            <v>PARI</v>
          </cell>
        </row>
        <row r="2191">
          <cell r="K2191">
            <v>22841.07</v>
          </cell>
          <cell r="P2191" t="str">
            <v>81319101-52041499</v>
          </cell>
          <cell r="S2191" t="str">
            <v>2026A-03</v>
          </cell>
          <cell r="T2191" t="str">
            <v>GH</v>
          </cell>
        </row>
        <row r="2192">
          <cell r="K2192">
            <v>-27.4</v>
          </cell>
          <cell r="P2192" t="str">
            <v>81319101-52041401</v>
          </cell>
          <cell r="S2192" t="str">
            <v>2026A-03</v>
          </cell>
          <cell r="T2192" t="str">
            <v>2025 Security</v>
          </cell>
        </row>
        <row r="2193">
          <cell r="K2193">
            <v>-5.48</v>
          </cell>
          <cell r="P2193" t="str">
            <v>81319101-52041401</v>
          </cell>
          <cell r="S2193" t="str">
            <v>2026A-03</v>
          </cell>
          <cell r="T2193" t="str">
            <v>2025 Security</v>
          </cell>
        </row>
        <row r="2194">
          <cell r="K2194">
            <v>-137.02000000000001</v>
          </cell>
          <cell r="P2194" t="str">
            <v>81319101-52041401</v>
          </cell>
          <cell r="S2194" t="str">
            <v>2026A-03</v>
          </cell>
          <cell r="T2194" t="str">
            <v>2025 Security</v>
          </cell>
        </row>
        <row r="2195">
          <cell r="K2195">
            <v>-27.4</v>
          </cell>
          <cell r="P2195" t="str">
            <v>81319101-52041401</v>
          </cell>
          <cell r="S2195" t="str">
            <v>2026A-03</v>
          </cell>
          <cell r="T2195" t="str">
            <v>2025 Security</v>
          </cell>
        </row>
        <row r="2196">
          <cell r="K2196">
            <v>21447.200000000001</v>
          </cell>
          <cell r="P2196" t="str">
            <v>81319101-52041401</v>
          </cell>
          <cell r="S2196" t="str">
            <v>2026A-03</v>
          </cell>
          <cell r="T2196" t="str">
            <v>TS</v>
          </cell>
        </row>
        <row r="2197">
          <cell r="K2197">
            <v>4289.0200000000004</v>
          </cell>
          <cell r="P2197" t="str">
            <v>81319101-52041401</v>
          </cell>
          <cell r="S2197" t="str">
            <v>2026A-03</v>
          </cell>
          <cell r="T2197" t="str">
            <v>TS</v>
          </cell>
        </row>
        <row r="2198">
          <cell r="K2198">
            <v>28545.09</v>
          </cell>
          <cell r="P2198" t="str">
            <v>81319101-52061105</v>
          </cell>
          <cell r="S2198" t="str">
            <v>2026A-03</v>
          </cell>
          <cell r="T2198" t="str">
            <v>R&amp;M - ES</v>
          </cell>
        </row>
        <row r="2199">
          <cell r="K2199">
            <v>5926.36</v>
          </cell>
          <cell r="P2199" t="str">
            <v>81319101-52041405</v>
          </cell>
          <cell r="S2199" t="str">
            <v>2026A-03</v>
          </cell>
          <cell r="T2199" t="str">
            <v>TS</v>
          </cell>
        </row>
        <row r="2200">
          <cell r="K2200">
            <v>100</v>
          </cell>
          <cell r="P2200" t="str">
            <v>80123101-61071002</v>
          </cell>
          <cell r="S2200" t="str">
            <v>2026A-03</v>
          </cell>
          <cell r="T2200" t="str">
            <v>Notarial Fees</v>
          </cell>
        </row>
        <row r="2201">
          <cell r="K2201">
            <v>2709.17</v>
          </cell>
          <cell r="P2201" t="str">
            <v>81319101-52041405</v>
          </cell>
          <cell r="S2201" t="str">
            <v>2026A-03</v>
          </cell>
          <cell r="T2201" t="str">
            <v>GH</v>
          </cell>
        </row>
        <row r="2202">
          <cell r="K2202">
            <v>1500</v>
          </cell>
          <cell r="P2202" t="str">
            <v>80123102-61061104</v>
          </cell>
          <cell r="S2202" t="str">
            <v>2026A-03</v>
          </cell>
          <cell r="T2202" t="str">
            <v>R&amp;M Vehicle</v>
          </cell>
        </row>
        <row r="2203">
          <cell r="K2203">
            <v>0.01</v>
          </cell>
          <cell r="P2203" t="str">
            <v>81319101-52061103</v>
          </cell>
          <cell r="S2203" t="str">
            <v>2026A-03</v>
          </cell>
          <cell r="T2203" t="str">
            <v>Zero</v>
          </cell>
        </row>
        <row r="2204">
          <cell r="K2204">
            <v>20425.900000000001</v>
          </cell>
          <cell r="P2204" t="str">
            <v>81319101-52041401</v>
          </cell>
          <cell r="S2204" t="str">
            <v>2026A-03</v>
          </cell>
          <cell r="T2204" t="str">
            <v>2025 Security</v>
          </cell>
        </row>
        <row r="2205">
          <cell r="K2205">
            <v>4574.96</v>
          </cell>
          <cell r="P2205" t="str">
            <v>81319101-52041401</v>
          </cell>
          <cell r="S2205" t="str">
            <v>2026A-03</v>
          </cell>
          <cell r="T2205" t="str">
            <v>2025 Security</v>
          </cell>
        </row>
        <row r="2206">
          <cell r="K2206">
            <v>2231.25</v>
          </cell>
          <cell r="P2206" t="str">
            <v>80123102-61721101</v>
          </cell>
          <cell r="S2206" t="str">
            <v>2026A-03</v>
          </cell>
          <cell r="T2206" t="str">
            <v>Phone - MDIA</v>
          </cell>
        </row>
        <row r="2207">
          <cell r="K2207">
            <v>2231.25</v>
          </cell>
          <cell r="P2207" t="str">
            <v>80123102-61721101</v>
          </cell>
          <cell r="S2207" t="str">
            <v>2026A-03</v>
          </cell>
          <cell r="T2207" t="str">
            <v>Phone - JHJ</v>
          </cell>
        </row>
        <row r="2208">
          <cell r="K2208">
            <v>548.92999999999995</v>
          </cell>
          <cell r="P2208" t="str">
            <v>80124101-61721105</v>
          </cell>
          <cell r="S2208" t="str">
            <v>2026A-03</v>
          </cell>
          <cell r="T2208" t="str">
            <v>SMS Blast</v>
          </cell>
        </row>
        <row r="2209">
          <cell r="K2209">
            <v>320.36</v>
          </cell>
          <cell r="P2209" t="str">
            <v>80124101-61721105</v>
          </cell>
          <cell r="S2209" t="str">
            <v>2026A-03</v>
          </cell>
          <cell r="T2209" t="str">
            <v>SMS Blast</v>
          </cell>
        </row>
        <row r="2210">
          <cell r="K2210">
            <v>106.43</v>
          </cell>
          <cell r="P2210" t="str">
            <v>80124101-61721105</v>
          </cell>
          <cell r="S2210" t="str">
            <v>2026A-03</v>
          </cell>
          <cell r="T2210" t="str">
            <v>SMS Blast</v>
          </cell>
        </row>
        <row r="2211">
          <cell r="K2211">
            <v>802.5</v>
          </cell>
          <cell r="P2211" t="str">
            <v>80124101-61721105</v>
          </cell>
          <cell r="S2211" t="str">
            <v>2026A-03</v>
          </cell>
          <cell r="T2211" t="str">
            <v>SMS Blast</v>
          </cell>
        </row>
        <row r="2212">
          <cell r="K2212">
            <v>908.21</v>
          </cell>
          <cell r="P2212" t="str">
            <v>80124101-61721105</v>
          </cell>
          <cell r="S2212" t="str">
            <v>2026A-03</v>
          </cell>
          <cell r="T2212" t="str">
            <v>SMS Blast</v>
          </cell>
        </row>
        <row r="2213">
          <cell r="K2213">
            <v>1106.07</v>
          </cell>
          <cell r="P2213" t="str">
            <v>80124101-61721105</v>
          </cell>
          <cell r="S2213" t="str">
            <v>2026A-03</v>
          </cell>
          <cell r="T2213" t="str">
            <v>SMS Blast</v>
          </cell>
        </row>
        <row r="2214">
          <cell r="K2214">
            <v>317.14</v>
          </cell>
          <cell r="P2214" t="str">
            <v>80124101-61721105</v>
          </cell>
          <cell r="S2214" t="str">
            <v>2026A-03</v>
          </cell>
          <cell r="T2214" t="str">
            <v>SMS Blast</v>
          </cell>
        </row>
        <row r="2215">
          <cell r="K2215">
            <v>692.14</v>
          </cell>
          <cell r="P2215" t="str">
            <v>80124101-61721105</v>
          </cell>
          <cell r="S2215" t="str">
            <v>2026A-03</v>
          </cell>
          <cell r="T2215" t="str">
            <v>SMS Blast</v>
          </cell>
        </row>
        <row r="2216">
          <cell r="K2216">
            <v>1016.43</v>
          </cell>
          <cell r="P2216" t="str">
            <v>80124101-61721105</v>
          </cell>
          <cell r="S2216" t="str">
            <v>2026A-03</v>
          </cell>
          <cell r="T2216" t="str">
            <v>SMS Blast</v>
          </cell>
        </row>
        <row r="2217">
          <cell r="K2217">
            <v>871.79</v>
          </cell>
          <cell r="P2217" t="str">
            <v>80124101-61721105</v>
          </cell>
          <cell r="S2217" t="str">
            <v>2026A-03</v>
          </cell>
          <cell r="T2217" t="str">
            <v>SMS Blast</v>
          </cell>
        </row>
        <row r="2218">
          <cell r="K2218">
            <v>1811.07</v>
          </cell>
          <cell r="P2218" t="str">
            <v>80124101-61721105</v>
          </cell>
          <cell r="S2218" t="str">
            <v>2026A-03</v>
          </cell>
          <cell r="T2218" t="str">
            <v>SMS Blast</v>
          </cell>
        </row>
        <row r="2219">
          <cell r="K2219">
            <v>5955.71</v>
          </cell>
          <cell r="P2219" t="str">
            <v>80124101-61721105</v>
          </cell>
          <cell r="S2219" t="str">
            <v>2026A-03</v>
          </cell>
          <cell r="T2219" t="str">
            <v>SMS Blast</v>
          </cell>
        </row>
        <row r="2220">
          <cell r="K2220">
            <v>9365.75</v>
          </cell>
          <cell r="P2220" t="str">
            <v>80124101-61721105</v>
          </cell>
          <cell r="S2220" t="str">
            <v>2026A-03</v>
          </cell>
          <cell r="T2220" t="str">
            <v>SMS Blast</v>
          </cell>
        </row>
        <row r="2221">
          <cell r="K2221">
            <v>3949.64</v>
          </cell>
          <cell r="P2221" t="str">
            <v>80124101-61721105</v>
          </cell>
          <cell r="S2221" t="str">
            <v>2026A-03</v>
          </cell>
          <cell r="T2221" t="str">
            <v>SMS Blast</v>
          </cell>
        </row>
        <row r="2222">
          <cell r="K2222">
            <v>256.43</v>
          </cell>
          <cell r="P2222" t="str">
            <v>80124101-61721105</v>
          </cell>
          <cell r="S2222" t="str">
            <v>2026A-03</v>
          </cell>
          <cell r="T2222" t="str">
            <v>SMS Blast</v>
          </cell>
        </row>
        <row r="2223">
          <cell r="K2223">
            <v>344.64</v>
          </cell>
          <cell r="P2223" t="str">
            <v>80124101-61721105</v>
          </cell>
          <cell r="S2223" t="str">
            <v>2026A-03</v>
          </cell>
          <cell r="T2223" t="str">
            <v>SMS Blast</v>
          </cell>
        </row>
        <row r="2224">
          <cell r="K2224">
            <v>335</v>
          </cell>
          <cell r="P2224" t="str">
            <v>80124101-61721105</v>
          </cell>
          <cell r="S2224" t="str">
            <v>2026A-03</v>
          </cell>
          <cell r="T2224" t="str">
            <v>SMS Blast</v>
          </cell>
        </row>
        <row r="2225">
          <cell r="K2225">
            <v>356.43</v>
          </cell>
          <cell r="P2225" t="str">
            <v>80124101-61721105</v>
          </cell>
          <cell r="S2225" t="str">
            <v>2026A-03</v>
          </cell>
          <cell r="T2225" t="str">
            <v>SMS Blast</v>
          </cell>
        </row>
        <row r="2226">
          <cell r="K2226">
            <v>1283.57</v>
          </cell>
          <cell r="P2226" t="str">
            <v>80124101-61721105</v>
          </cell>
          <cell r="S2226" t="str">
            <v>2026A-03</v>
          </cell>
          <cell r="T2226" t="str">
            <v>SMS Blast</v>
          </cell>
        </row>
        <row r="2227">
          <cell r="K2227">
            <v>2610.36</v>
          </cell>
          <cell r="P2227" t="str">
            <v>80124101-61721105</v>
          </cell>
          <cell r="S2227" t="str">
            <v>2026A-03</v>
          </cell>
          <cell r="T2227" t="str">
            <v>SMS Blast</v>
          </cell>
        </row>
        <row r="2228">
          <cell r="K2228">
            <v>2588.21</v>
          </cell>
          <cell r="P2228" t="str">
            <v>80124101-61721105</v>
          </cell>
          <cell r="S2228" t="str">
            <v>2026A-03</v>
          </cell>
          <cell r="T2228" t="str">
            <v>SMS Blast</v>
          </cell>
        </row>
        <row r="2229">
          <cell r="K2229">
            <v>2753.57</v>
          </cell>
          <cell r="P2229" t="str">
            <v>80124101-61721105</v>
          </cell>
          <cell r="S2229" t="str">
            <v>2026A-03</v>
          </cell>
          <cell r="T2229" t="str">
            <v>SMS Blast</v>
          </cell>
        </row>
        <row r="2230">
          <cell r="K2230">
            <v>2928.21</v>
          </cell>
          <cell r="P2230" t="str">
            <v>80124101-61721105</v>
          </cell>
          <cell r="S2230" t="str">
            <v>2026A-03</v>
          </cell>
          <cell r="T2230" t="str">
            <v>SMS Blast</v>
          </cell>
        </row>
        <row r="2231">
          <cell r="K2231">
            <v>4181.79</v>
          </cell>
          <cell r="P2231" t="str">
            <v>80124101-61721105</v>
          </cell>
          <cell r="S2231" t="str">
            <v>2026A-03</v>
          </cell>
          <cell r="T2231" t="str">
            <v>SMS Blast</v>
          </cell>
        </row>
        <row r="2232">
          <cell r="K2232">
            <v>3323.93</v>
          </cell>
          <cell r="P2232" t="str">
            <v>80124101-61721105</v>
          </cell>
          <cell r="S2232" t="str">
            <v>2026A-03</v>
          </cell>
          <cell r="T2232" t="str">
            <v>SMS Blast</v>
          </cell>
        </row>
        <row r="2233">
          <cell r="K2233">
            <v>3573.57</v>
          </cell>
          <cell r="P2233" t="str">
            <v>80124101-61721105</v>
          </cell>
          <cell r="S2233" t="str">
            <v>2026A-03</v>
          </cell>
          <cell r="T2233" t="str">
            <v>SMS Blast</v>
          </cell>
        </row>
        <row r="2234">
          <cell r="K2234">
            <v>3025.71</v>
          </cell>
          <cell r="P2234" t="str">
            <v>80124101-61721105</v>
          </cell>
          <cell r="S2234" t="str">
            <v>2026A-03</v>
          </cell>
          <cell r="T2234" t="str">
            <v>SMS Blast</v>
          </cell>
        </row>
        <row r="2235">
          <cell r="K2235">
            <v>3177.14</v>
          </cell>
          <cell r="P2235" t="str">
            <v>80124101-61721105</v>
          </cell>
          <cell r="S2235" t="str">
            <v>2026A-03</v>
          </cell>
          <cell r="T2235" t="str">
            <v>SMS Blast</v>
          </cell>
        </row>
        <row r="2236">
          <cell r="K2236">
            <v>3677.5</v>
          </cell>
          <cell r="P2236" t="str">
            <v>80124101-61721105</v>
          </cell>
          <cell r="S2236" t="str">
            <v>2026A-03</v>
          </cell>
          <cell r="T2236" t="str">
            <v>SMS Blast</v>
          </cell>
        </row>
        <row r="2237">
          <cell r="K2237">
            <v>3461.07</v>
          </cell>
          <cell r="P2237" t="str">
            <v>80124101-61721105</v>
          </cell>
          <cell r="S2237" t="str">
            <v>2026A-03</v>
          </cell>
          <cell r="T2237" t="str">
            <v>SMS Blast</v>
          </cell>
        </row>
        <row r="2238">
          <cell r="K2238">
            <v>3925</v>
          </cell>
          <cell r="P2238" t="str">
            <v>80124101-61721105</v>
          </cell>
          <cell r="S2238" t="str">
            <v>2026A-03</v>
          </cell>
          <cell r="T2238" t="str">
            <v>SMS Blast</v>
          </cell>
        </row>
        <row r="2239">
          <cell r="K2239">
            <v>3752.14</v>
          </cell>
          <cell r="P2239" t="str">
            <v>80124101-61721105</v>
          </cell>
          <cell r="S2239" t="str">
            <v>2026A-03</v>
          </cell>
          <cell r="T2239" t="str">
            <v>SMS Blast</v>
          </cell>
        </row>
        <row r="2240">
          <cell r="K2240">
            <v>4071.79</v>
          </cell>
          <cell r="P2240" t="str">
            <v>80124101-61721105</v>
          </cell>
          <cell r="S2240" t="str">
            <v>2026A-03</v>
          </cell>
          <cell r="T2240" t="str">
            <v>SMS Blast</v>
          </cell>
        </row>
        <row r="2241">
          <cell r="K2241">
            <v>3645</v>
          </cell>
          <cell r="P2241" t="str">
            <v>80124101-61721105</v>
          </cell>
          <cell r="S2241" t="str">
            <v>2026A-03</v>
          </cell>
          <cell r="T2241" t="str">
            <v>SMS Blast</v>
          </cell>
        </row>
        <row r="2242">
          <cell r="K2242">
            <v>3313.57</v>
          </cell>
          <cell r="P2242" t="str">
            <v>80124101-61721105</v>
          </cell>
          <cell r="S2242" t="str">
            <v>2026A-03</v>
          </cell>
          <cell r="T2242" t="str">
            <v>SMS Blast</v>
          </cell>
        </row>
        <row r="2243">
          <cell r="K2243">
            <v>6509.64</v>
          </cell>
          <cell r="P2243" t="str">
            <v>80124101-61721105</v>
          </cell>
          <cell r="S2243" t="str">
            <v>2026A-03</v>
          </cell>
          <cell r="T2243" t="str">
            <v>SMS Blast</v>
          </cell>
        </row>
        <row r="2244">
          <cell r="K2244">
            <v>4506.07</v>
          </cell>
          <cell r="P2244" t="str">
            <v>80124101-61721105</v>
          </cell>
          <cell r="S2244" t="str">
            <v>2026A-03</v>
          </cell>
          <cell r="T2244" t="str">
            <v>SMS Blast</v>
          </cell>
        </row>
        <row r="2245">
          <cell r="K2245">
            <v>4733.21</v>
          </cell>
          <cell r="P2245" t="str">
            <v>80124101-61721105</v>
          </cell>
          <cell r="S2245" t="str">
            <v>2026A-03</v>
          </cell>
          <cell r="T2245" t="str">
            <v>SMS Blast</v>
          </cell>
        </row>
        <row r="2246">
          <cell r="K2246">
            <v>5308.57</v>
          </cell>
          <cell r="P2246" t="str">
            <v>80124101-61721105</v>
          </cell>
          <cell r="S2246" t="str">
            <v>2026A-03</v>
          </cell>
          <cell r="T2246" t="str">
            <v>SMS Blast</v>
          </cell>
        </row>
        <row r="2247">
          <cell r="K2247">
            <v>3981.79</v>
          </cell>
          <cell r="P2247" t="str">
            <v>80124101-61721105</v>
          </cell>
          <cell r="S2247" t="str">
            <v>2026A-03</v>
          </cell>
          <cell r="T2247" t="str">
            <v>SMS Blast</v>
          </cell>
        </row>
        <row r="2248">
          <cell r="K2248">
            <v>3533.21</v>
          </cell>
          <cell r="P2248" t="str">
            <v>80124101-61721105</v>
          </cell>
          <cell r="S2248" t="str">
            <v>2026A-03</v>
          </cell>
          <cell r="T2248" t="str">
            <v>SMS Blast</v>
          </cell>
        </row>
        <row r="2249">
          <cell r="K2249">
            <v>3350</v>
          </cell>
          <cell r="P2249" t="str">
            <v>80124101-61721105</v>
          </cell>
          <cell r="S2249" t="str">
            <v>2026A-03</v>
          </cell>
          <cell r="T2249" t="str">
            <v>SMS Blast</v>
          </cell>
        </row>
        <row r="2250">
          <cell r="K2250">
            <v>3551.43</v>
          </cell>
          <cell r="P2250" t="str">
            <v>80124101-61721105</v>
          </cell>
          <cell r="S2250" t="str">
            <v>2026A-03</v>
          </cell>
          <cell r="T2250" t="str">
            <v>SMS Blast</v>
          </cell>
        </row>
        <row r="2251">
          <cell r="K2251">
            <v>3106.43</v>
          </cell>
          <cell r="P2251" t="str">
            <v>80124101-61721105</v>
          </cell>
          <cell r="S2251" t="str">
            <v>2026A-03</v>
          </cell>
          <cell r="T2251" t="str">
            <v>SMS Blast</v>
          </cell>
        </row>
        <row r="2252">
          <cell r="K2252">
            <v>3135.71</v>
          </cell>
          <cell r="P2252" t="str">
            <v>80124101-61721105</v>
          </cell>
          <cell r="S2252" t="str">
            <v>2026A-03</v>
          </cell>
          <cell r="T2252" t="str">
            <v>SMS Blast</v>
          </cell>
        </row>
        <row r="2253">
          <cell r="K2253">
            <v>3348.93</v>
          </cell>
          <cell r="P2253" t="str">
            <v>80124101-61721105</v>
          </cell>
          <cell r="S2253" t="str">
            <v>2026A-03</v>
          </cell>
          <cell r="T2253" t="str">
            <v>SMS Blast</v>
          </cell>
        </row>
        <row r="2254">
          <cell r="K2254">
            <v>3108.57</v>
          </cell>
          <cell r="P2254" t="str">
            <v>80124101-61721105</v>
          </cell>
          <cell r="S2254" t="str">
            <v>2026A-03</v>
          </cell>
          <cell r="T2254" t="str">
            <v>SMS Blast</v>
          </cell>
        </row>
        <row r="2255">
          <cell r="K2255">
            <v>3010</v>
          </cell>
          <cell r="P2255" t="str">
            <v>80124101-61721105</v>
          </cell>
          <cell r="S2255" t="str">
            <v>2026A-03</v>
          </cell>
          <cell r="T2255" t="str">
            <v>SMS Blast</v>
          </cell>
        </row>
        <row r="2256">
          <cell r="K2256">
            <v>3033.21</v>
          </cell>
          <cell r="P2256" t="str">
            <v>80124101-61721105</v>
          </cell>
          <cell r="S2256" t="str">
            <v>2026A-03</v>
          </cell>
          <cell r="T2256" t="str">
            <v>SMS Blast</v>
          </cell>
        </row>
        <row r="2257">
          <cell r="K2257">
            <v>2792.5</v>
          </cell>
          <cell r="P2257" t="str">
            <v>80124101-61721105</v>
          </cell>
          <cell r="S2257" t="str">
            <v>2026A-03</v>
          </cell>
          <cell r="T2257" t="str">
            <v>SMS Blast</v>
          </cell>
        </row>
        <row r="2258">
          <cell r="K2258">
            <v>1545</v>
          </cell>
          <cell r="P2258" t="str">
            <v>81319101-52111101</v>
          </cell>
          <cell r="S2258" t="str">
            <v>2026A-03</v>
          </cell>
          <cell r="T2258" t="str">
            <v>ES</v>
          </cell>
        </row>
        <row r="2259">
          <cell r="K2259">
            <v>1590.18</v>
          </cell>
          <cell r="P2259" t="str">
            <v>81319101-52111101</v>
          </cell>
          <cell r="S2259" t="str">
            <v>2026A-03</v>
          </cell>
          <cell r="T2259" t="str">
            <v>ES</v>
          </cell>
        </row>
        <row r="2260">
          <cell r="K2260">
            <v>1580.36</v>
          </cell>
          <cell r="P2260" t="str">
            <v>81319101-52111101</v>
          </cell>
          <cell r="S2260" t="str">
            <v>2026A-03</v>
          </cell>
          <cell r="T2260" t="str">
            <v>ES</v>
          </cell>
        </row>
        <row r="2261">
          <cell r="K2261">
            <v>1196.43</v>
          </cell>
          <cell r="P2261" t="str">
            <v>81319101-52111101</v>
          </cell>
          <cell r="S2261" t="str">
            <v>2026A-03</v>
          </cell>
          <cell r="T2261" t="str">
            <v>ES</v>
          </cell>
        </row>
        <row r="2262">
          <cell r="K2262">
            <v>5258.93</v>
          </cell>
          <cell r="P2262" t="str">
            <v>81319101-52111101</v>
          </cell>
          <cell r="S2262" t="str">
            <v>2026A-03</v>
          </cell>
          <cell r="T2262" t="str">
            <v>ES</v>
          </cell>
        </row>
        <row r="2263">
          <cell r="K2263">
            <v>167.41</v>
          </cell>
          <cell r="P2263" t="str">
            <v>81319101-52111101</v>
          </cell>
          <cell r="S2263" t="str">
            <v>2026A-03</v>
          </cell>
          <cell r="T2263" t="str">
            <v>ES</v>
          </cell>
        </row>
        <row r="2264">
          <cell r="K2264">
            <v>441.96</v>
          </cell>
          <cell r="P2264" t="str">
            <v>81319101-52111101</v>
          </cell>
          <cell r="S2264" t="str">
            <v>2026A-03</v>
          </cell>
          <cell r="T2264" t="str">
            <v>ES</v>
          </cell>
        </row>
        <row r="2265">
          <cell r="K2265">
            <v>2796.88</v>
          </cell>
          <cell r="P2265" t="str">
            <v>81319101-52111101</v>
          </cell>
          <cell r="S2265" t="str">
            <v>2026A-03</v>
          </cell>
          <cell r="T2265" t="str">
            <v>ES</v>
          </cell>
        </row>
        <row r="2266">
          <cell r="K2266">
            <v>-1339.29</v>
          </cell>
          <cell r="P2266" t="str">
            <v>80123102-61721101</v>
          </cell>
          <cell r="S2266" t="str">
            <v>2026A-03</v>
          </cell>
          <cell r="T2266" t="str">
            <v>Mobile Phones</v>
          </cell>
        </row>
        <row r="2267">
          <cell r="K2267">
            <v>-47.32</v>
          </cell>
          <cell r="P2267" t="str">
            <v>80123102-61721101</v>
          </cell>
          <cell r="S2267" t="str">
            <v>2026A-03</v>
          </cell>
          <cell r="T2267" t="str">
            <v>Mobile Phones</v>
          </cell>
        </row>
        <row r="2268">
          <cell r="K2268">
            <v>-498.11</v>
          </cell>
          <cell r="P2268" t="str">
            <v>80123102-61721101</v>
          </cell>
          <cell r="S2268" t="str">
            <v>2026A-03</v>
          </cell>
          <cell r="T2268" t="str">
            <v>Mobile Phones</v>
          </cell>
        </row>
        <row r="2269">
          <cell r="K2269">
            <v>-10</v>
          </cell>
          <cell r="P2269" t="str">
            <v>80123102-61721101</v>
          </cell>
          <cell r="S2269" t="str">
            <v>2026A-03</v>
          </cell>
          <cell r="T2269" t="str">
            <v>Mobile Phones</v>
          </cell>
        </row>
        <row r="2270">
          <cell r="K2270">
            <v>-1339.29</v>
          </cell>
          <cell r="P2270" t="str">
            <v>81123102-52951101</v>
          </cell>
          <cell r="S2270" t="str">
            <v>2026A-03</v>
          </cell>
          <cell r="T2270" t="str">
            <v>Mobile Phones</v>
          </cell>
        </row>
        <row r="2271">
          <cell r="K2271">
            <v>11964.29</v>
          </cell>
          <cell r="P2271" t="str">
            <v>80123102-61061104</v>
          </cell>
          <cell r="S2271" t="str">
            <v>2026A-03</v>
          </cell>
          <cell r="T2271" t="str">
            <v>R&amp;M Vehicle</v>
          </cell>
        </row>
        <row r="2272">
          <cell r="K2272">
            <v>156890.70000000001</v>
          </cell>
          <cell r="P2272" t="str">
            <v>80123102-61041101</v>
          </cell>
          <cell r="S2272" t="str">
            <v>2026A-03</v>
          </cell>
          <cell r="T2272" t="str">
            <v>Electricity &amp; Water</v>
          </cell>
        </row>
        <row r="2273">
          <cell r="K2273">
            <v>600</v>
          </cell>
          <cell r="P2273" t="str">
            <v>80111101-52031101</v>
          </cell>
          <cell r="S2273" t="str">
            <v>2026A-03</v>
          </cell>
          <cell r="T2273" t="str">
            <v>Other Taxes</v>
          </cell>
        </row>
        <row r="2274">
          <cell r="K2274">
            <v>1070.0999999999999</v>
          </cell>
          <cell r="P2274" t="str">
            <v>80111101-52101101</v>
          </cell>
          <cell r="S2274" t="str">
            <v>2026A-03</v>
          </cell>
          <cell r="T2274" t="str">
            <v>PARI</v>
          </cell>
        </row>
        <row r="2275">
          <cell r="K2275">
            <v>428.04</v>
          </cell>
          <cell r="P2275" t="str">
            <v>80111101-52101101</v>
          </cell>
          <cell r="S2275" t="str">
            <v>2026A-03</v>
          </cell>
          <cell r="T2275" t="str">
            <v>PARI</v>
          </cell>
        </row>
        <row r="2276">
          <cell r="K2276">
            <v>214.02</v>
          </cell>
          <cell r="P2276" t="str">
            <v>80111101-52101101</v>
          </cell>
          <cell r="S2276" t="str">
            <v>2026A-03</v>
          </cell>
          <cell r="T2276" t="str">
            <v>PARI</v>
          </cell>
        </row>
        <row r="2277">
          <cell r="K2277">
            <v>214.02</v>
          </cell>
          <cell r="P2277" t="str">
            <v>80111101-52101101</v>
          </cell>
          <cell r="S2277" t="str">
            <v>2026A-03</v>
          </cell>
          <cell r="T2277" t="str">
            <v>PARI</v>
          </cell>
        </row>
        <row r="2278">
          <cell r="K2278">
            <v>1712.16</v>
          </cell>
          <cell r="P2278" t="str">
            <v>80111101-52101101</v>
          </cell>
          <cell r="S2278" t="str">
            <v>2026A-03</v>
          </cell>
          <cell r="T2278" t="str">
            <v>PARI</v>
          </cell>
        </row>
        <row r="2279">
          <cell r="K2279">
            <v>321.02999999999997</v>
          </cell>
          <cell r="P2279" t="str">
            <v>80111101-52101101</v>
          </cell>
          <cell r="S2279" t="str">
            <v>2026A-03</v>
          </cell>
          <cell r="T2279" t="str">
            <v>PARI</v>
          </cell>
        </row>
        <row r="2280">
          <cell r="K2280">
            <v>535.04999999999995</v>
          </cell>
          <cell r="P2280" t="str">
            <v>80111101-52101101</v>
          </cell>
          <cell r="S2280" t="str">
            <v>2026A-03</v>
          </cell>
          <cell r="T2280" t="str">
            <v>PARI</v>
          </cell>
        </row>
        <row r="2281">
          <cell r="K2281">
            <v>2782.27</v>
          </cell>
          <cell r="P2281" t="str">
            <v>80111101-52101101</v>
          </cell>
          <cell r="S2281" t="str">
            <v>2026A-03</v>
          </cell>
          <cell r="T2281" t="str">
            <v>PARI</v>
          </cell>
        </row>
        <row r="2282">
          <cell r="K2282">
            <v>3424.33</v>
          </cell>
          <cell r="P2282" t="str">
            <v>80111101-52101101</v>
          </cell>
          <cell r="S2282" t="str">
            <v>2026A-03</v>
          </cell>
          <cell r="T2282" t="str">
            <v>PARI</v>
          </cell>
        </row>
        <row r="2283">
          <cell r="K2283">
            <v>966.54</v>
          </cell>
          <cell r="P2283" t="str">
            <v>80111101-52101101</v>
          </cell>
          <cell r="S2283" t="str">
            <v>2026A-03</v>
          </cell>
          <cell r="T2283" t="str">
            <v>PARI</v>
          </cell>
        </row>
        <row r="2284">
          <cell r="K2284">
            <v>386.62</v>
          </cell>
          <cell r="P2284" t="str">
            <v>80111101-52101101</v>
          </cell>
          <cell r="S2284" t="str">
            <v>2026A-03</v>
          </cell>
          <cell r="T2284" t="str">
            <v>PARI</v>
          </cell>
        </row>
        <row r="2285">
          <cell r="K2285">
            <v>193.31</v>
          </cell>
          <cell r="P2285" t="str">
            <v>80111101-52101101</v>
          </cell>
          <cell r="S2285" t="str">
            <v>2026A-03</v>
          </cell>
          <cell r="T2285" t="str">
            <v>PARI</v>
          </cell>
        </row>
        <row r="2286">
          <cell r="K2286">
            <v>193.31</v>
          </cell>
          <cell r="P2286" t="str">
            <v>80111101-52101101</v>
          </cell>
          <cell r="S2286" t="str">
            <v>2026A-03</v>
          </cell>
          <cell r="T2286" t="str">
            <v>PARI</v>
          </cell>
        </row>
        <row r="2287">
          <cell r="K2287">
            <v>1546.47</v>
          </cell>
          <cell r="P2287" t="str">
            <v>80111101-52101101</v>
          </cell>
          <cell r="S2287" t="str">
            <v>2026A-03</v>
          </cell>
          <cell r="T2287" t="str">
            <v>PARI</v>
          </cell>
        </row>
        <row r="2288">
          <cell r="K2288">
            <v>289.95999999999998</v>
          </cell>
          <cell r="P2288" t="str">
            <v>80111101-52101101</v>
          </cell>
          <cell r="S2288" t="str">
            <v>2026A-03</v>
          </cell>
          <cell r="T2288" t="str">
            <v>PARI</v>
          </cell>
        </row>
        <row r="2289">
          <cell r="K2289">
            <v>483.27</v>
          </cell>
          <cell r="P2289" t="str">
            <v>80111101-52101101</v>
          </cell>
          <cell r="S2289" t="str">
            <v>2026A-03</v>
          </cell>
          <cell r="T2289" t="str">
            <v>PARI</v>
          </cell>
        </row>
        <row r="2290">
          <cell r="K2290">
            <v>2513.02</v>
          </cell>
          <cell r="P2290" t="str">
            <v>80111101-52101101</v>
          </cell>
          <cell r="S2290" t="str">
            <v>2026A-03</v>
          </cell>
          <cell r="T2290" t="str">
            <v>PARI</v>
          </cell>
        </row>
        <row r="2291">
          <cell r="K2291">
            <v>3092.94</v>
          </cell>
          <cell r="P2291" t="str">
            <v>80111101-52101101</v>
          </cell>
          <cell r="S2291" t="str">
            <v>2026A-03</v>
          </cell>
          <cell r="T2291" t="str">
            <v>PARI</v>
          </cell>
        </row>
        <row r="2292">
          <cell r="K2292">
            <v>4021.12</v>
          </cell>
          <cell r="P2292" t="str">
            <v>81111101-52031101</v>
          </cell>
          <cell r="S2292" t="str">
            <v>2026A-03</v>
          </cell>
          <cell r="T2292" t="str">
            <v>Other Taxes</v>
          </cell>
        </row>
        <row r="2293">
          <cell r="K2293">
            <v>40350</v>
          </cell>
          <cell r="P2293" t="str">
            <v>81111101-52031101</v>
          </cell>
          <cell r="S2293" t="str">
            <v>2026A-03</v>
          </cell>
          <cell r="T2293" t="str">
            <v>Other Taxes</v>
          </cell>
        </row>
        <row r="2294">
          <cell r="K2294">
            <v>564.05999999999995</v>
          </cell>
          <cell r="P2294" t="str">
            <v>81111101-52101101</v>
          </cell>
          <cell r="S2294" t="str">
            <v>2026A-03</v>
          </cell>
          <cell r="T2294" t="str">
            <v>PARI</v>
          </cell>
        </row>
        <row r="2295">
          <cell r="K2295">
            <v>225.62</v>
          </cell>
          <cell r="P2295" t="str">
            <v>81111101-52101101</v>
          </cell>
          <cell r="S2295" t="str">
            <v>2026A-03</v>
          </cell>
          <cell r="T2295" t="str">
            <v>PARI</v>
          </cell>
        </row>
        <row r="2296">
          <cell r="K2296">
            <v>112.81</v>
          </cell>
          <cell r="P2296" t="str">
            <v>81111101-52101101</v>
          </cell>
          <cell r="S2296" t="str">
            <v>2026A-03</v>
          </cell>
          <cell r="T2296" t="str">
            <v>PARI</v>
          </cell>
        </row>
        <row r="2297">
          <cell r="K2297">
            <v>112.81</v>
          </cell>
          <cell r="P2297" t="str">
            <v>81111101-52101101</v>
          </cell>
          <cell r="S2297" t="str">
            <v>2026A-03</v>
          </cell>
          <cell r="T2297" t="str">
            <v>PARI</v>
          </cell>
        </row>
        <row r="2298">
          <cell r="K2298">
            <v>902.5</v>
          </cell>
          <cell r="P2298" t="str">
            <v>81111101-52101101</v>
          </cell>
          <cell r="S2298" t="str">
            <v>2026A-03</v>
          </cell>
          <cell r="T2298" t="str">
            <v>PARI</v>
          </cell>
        </row>
        <row r="2299">
          <cell r="K2299">
            <v>169.22</v>
          </cell>
          <cell r="P2299" t="str">
            <v>81111101-52101101</v>
          </cell>
          <cell r="S2299" t="str">
            <v>2026A-03</v>
          </cell>
          <cell r="T2299" t="str">
            <v>PARI</v>
          </cell>
        </row>
        <row r="2300">
          <cell r="K2300">
            <v>282.02999999999997</v>
          </cell>
          <cell r="P2300" t="str">
            <v>81111101-52101101</v>
          </cell>
          <cell r="S2300" t="str">
            <v>2026A-03</v>
          </cell>
          <cell r="T2300" t="str">
            <v>PARI</v>
          </cell>
        </row>
        <row r="2301">
          <cell r="K2301">
            <v>1466.56</v>
          </cell>
          <cell r="P2301" t="str">
            <v>81111101-52101101</v>
          </cell>
          <cell r="S2301" t="str">
            <v>2026A-03</v>
          </cell>
          <cell r="T2301" t="str">
            <v>PARI</v>
          </cell>
        </row>
        <row r="2302">
          <cell r="K2302">
            <v>1804.99</v>
          </cell>
          <cell r="P2302" t="str">
            <v>81111101-52101101</v>
          </cell>
          <cell r="S2302" t="str">
            <v>2026A-03</v>
          </cell>
          <cell r="T2302" t="str">
            <v>PARI</v>
          </cell>
        </row>
        <row r="2303">
          <cell r="K2303">
            <v>624.5</v>
          </cell>
          <cell r="P2303" t="str">
            <v>81111101-52101101</v>
          </cell>
          <cell r="S2303" t="str">
            <v>2026A-03</v>
          </cell>
          <cell r="T2303" t="str">
            <v>PARI</v>
          </cell>
        </row>
        <row r="2304">
          <cell r="K2304">
            <v>249.8</v>
          </cell>
          <cell r="P2304" t="str">
            <v>81111101-52101101</v>
          </cell>
          <cell r="S2304" t="str">
            <v>2026A-03</v>
          </cell>
          <cell r="T2304" t="str">
            <v>PARI</v>
          </cell>
        </row>
        <row r="2305">
          <cell r="K2305">
            <v>124.9</v>
          </cell>
          <cell r="P2305" t="str">
            <v>81111101-52101101</v>
          </cell>
          <cell r="S2305" t="str">
            <v>2026A-03</v>
          </cell>
          <cell r="T2305" t="str">
            <v>PARI</v>
          </cell>
        </row>
        <row r="2306">
          <cell r="K2306">
            <v>124.9</v>
          </cell>
          <cell r="P2306" t="str">
            <v>81111101-52101101</v>
          </cell>
          <cell r="S2306" t="str">
            <v>2026A-03</v>
          </cell>
          <cell r="T2306" t="str">
            <v>PARI</v>
          </cell>
        </row>
        <row r="2307">
          <cell r="K2307">
            <v>999.19</v>
          </cell>
          <cell r="P2307" t="str">
            <v>81111101-52101101</v>
          </cell>
          <cell r="S2307" t="str">
            <v>2026A-03</v>
          </cell>
          <cell r="T2307" t="str">
            <v>PARI</v>
          </cell>
        </row>
        <row r="2308">
          <cell r="K2308">
            <v>187.35</v>
          </cell>
          <cell r="P2308" t="str">
            <v>81111101-52101101</v>
          </cell>
          <cell r="S2308" t="str">
            <v>2026A-03</v>
          </cell>
          <cell r="T2308" t="str">
            <v>PARI</v>
          </cell>
        </row>
        <row r="2309">
          <cell r="K2309">
            <v>312.25</v>
          </cell>
          <cell r="P2309" t="str">
            <v>81111101-52101101</v>
          </cell>
          <cell r="S2309" t="str">
            <v>2026A-03</v>
          </cell>
          <cell r="T2309" t="str">
            <v>PARI</v>
          </cell>
        </row>
        <row r="2310">
          <cell r="K2310">
            <v>1623.69</v>
          </cell>
          <cell r="P2310" t="str">
            <v>81111101-52101101</v>
          </cell>
          <cell r="S2310" t="str">
            <v>2026A-03</v>
          </cell>
          <cell r="T2310" t="str">
            <v>PARI</v>
          </cell>
        </row>
        <row r="2311">
          <cell r="K2311">
            <v>1998.39</v>
          </cell>
          <cell r="P2311" t="str">
            <v>81111101-52101101</v>
          </cell>
          <cell r="S2311" t="str">
            <v>2026A-03</v>
          </cell>
          <cell r="T2311" t="str">
            <v>PARI</v>
          </cell>
        </row>
        <row r="2312">
          <cell r="K2312">
            <v>19223.330000000002</v>
          </cell>
          <cell r="P2312" t="str">
            <v>81124101-52952103</v>
          </cell>
          <cell r="S2312" t="str">
            <v>2026A-03</v>
          </cell>
          <cell r="T2312" t="str">
            <v>SDWAN ES TS GH</v>
          </cell>
        </row>
        <row r="2313">
          <cell r="K2313">
            <v>73422.720000000001</v>
          </cell>
          <cell r="P2313" t="str">
            <v>81124101-52952103</v>
          </cell>
          <cell r="S2313" t="str">
            <v>2026A-03</v>
          </cell>
          <cell r="T2313" t="str">
            <v>WAF</v>
          </cell>
        </row>
        <row r="2314">
          <cell r="K2314">
            <v>48771.32</v>
          </cell>
          <cell r="P2314" t="str">
            <v>81124101-52952103</v>
          </cell>
          <cell r="S2314" t="str">
            <v>2026A-03</v>
          </cell>
          <cell r="T2314" t="str">
            <v>Palo Alto</v>
          </cell>
        </row>
        <row r="2315">
          <cell r="K2315">
            <v>39285.71</v>
          </cell>
          <cell r="P2315" t="str">
            <v>81124101-52952103</v>
          </cell>
          <cell r="S2315" t="str">
            <v>2026A-03</v>
          </cell>
          <cell r="T2315" t="str">
            <v>Datrium</v>
          </cell>
        </row>
        <row r="2316">
          <cell r="K2316">
            <v>20203.89</v>
          </cell>
          <cell r="P2316" t="str">
            <v>81124101-52952103</v>
          </cell>
          <cell r="S2316" t="str">
            <v>2026A-03</v>
          </cell>
          <cell r="T2316" t="str">
            <v>Aircuve</v>
          </cell>
        </row>
        <row r="2317">
          <cell r="K2317">
            <v>44642.86</v>
          </cell>
          <cell r="P2317" t="str">
            <v>81124101-52952103</v>
          </cell>
          <cell r="S2317" t="str">
            <v>2026A-03</v>
          </cell>
          <cell r="T2317" t="str">
            <v>Acronis</v>
          </cell>
        </row>
        <row r="2318">
          <cell r="K2318">
            <v>117682.35</v>
          </cell>
          <cell r="P2318" t="str">
            <v>81124101-52952103</v>
          </cell>
          <cell r="S2318" t="str">
            <v>2026A-03</v>
          </cell>
          <cell r="T2318" t="str">
            <v>M365</v>
          </cell>
        </row>
        <row r="2319">
          <cell r="K2319">
            <v>15557.36</v>
          </cell>
          <cell r="P2319" t="str">
            <v>81124101-52952103</v>
          </cell>
          <cell r="S2319" t="str">
            <v>2026A-03</v>
          </cell>
          <cell r="T2319" t="str">
            <v>HPE Server Maintenance</v>
          </cell>
        </row>
        <row r="2320">
          <cell r="K2320">
            <v>10200</v>
          </cell>
          <cell r="P2320" t="str">
            <v>81123101-52071102</v>
          </cell>
          <cell r="S2320" t="str">
            <v>2026A-03</v>
          </cell>
          <cell r="T2320" t="str">
            <v>Open Cases</v>
          </cell>
        </row>
        <row r="2321">
          <cell r="K2321">
            <v>1354</v>
          </cell>
          <cell r="P2321" t="str">
            <v>81123102-52951101</v>
          </cell>
          <cell r="S2321" t="str">
            <v>2026A-03</v>
          </cell>
          <cell r="T2321" t="str">
            <v>Mobile Phones</v>
          </cell>
        </row>
        <row r="2322">
          <cell r="K2322">
            <v>1339</v>
          </cell>
          <cell r="P2322" t="str">
            <v>81123102-52951101</v>
          </cell>
          <cell r="S2322" t="str">
            <v>2026A-03</v>
          </cell>
          <cell r="T2322" t="str">
            <v>Mobile Phones</v>
          </cell>
        </row>
        <row r="2323">
          <cell r="K2323">
            <v>300</v>
          </cell>
          <cell r="P2323" t="str">
            <v>90133102-61959201</v>
          </cell>
          <cell r="S2323" t="str">
            <v>2026A-03</v>
          </cell>
          <cell r="T2323" t="str">
            <v>Miscellaneous</v>
          </cell>
        </row>
        <row r="2324">
          <cell r="K2324">
            <v>-6240</v>
          </cell>
          <cell r="P2324" t="str">
            <v>81111101-52121301</v>
          </cell>
          <cell r="S2324" t="str">
            <v>2026A-03</v>
          </cell>
          <cell r="T2324" t="str">
            <v>Life Insurance</v>
          </cell>
        </row>
        <row r="2325">
          <cell r="K2325">
            <v>300</v>
          </cell>
          <cell r="P2325" t="str">
            <v>81123101-52071102</v>
          </cell>
          <cell r="S2325" t="str">
            <v>2026A-03</v>
          </cell>
          <cell r="T2325" t="str">
            <v>Open Cases</v>
          </cell>
        </row>
        <row r="2326">
          <cell r="K2326">
            <v>480</v>
          </cell>
          <cell r="P2326" t="str">
            <v>81123101-52071102</v>
          </cell>
          <cell r="S2326" t="str">
            <v>2026A-03</v>
          </cell>
          <cell r="T2326" t="str">
            <v>Open Cases</v>
          </cell>
        </row>
        <row r="2327">
          <cell r="K2327">
            <v>2000</v>
          </cell>
          <cell r="P2327" t="str">
            <v>81123101-52071102</v>
          </cell>
          <cell r="S2327" t="str">
            <v>2026A-03</v>
          </cell>
          <cell r="T2327" t="str">
            <v>Notarial Fees</v>
          </cell>
        </row>
        <row r="2328">
          <cell r="K2328">
            <v>500</v>
          </cell>
          <cell r="P2328" t="str">
            <v>81123101-52071102</v>
          </cell>
          <cell r="S2328" t="str">
            <v>2026A-03</v>
          </cell>
          <cell r="T2328" t="str">
            <v>Open Cases</v>
          </cell>
        </row>
        <row r="2329">
          <cell r="K2329">
            <v>310</v>
          </cell>
          <cell r="P2329" t="str">
            <v>81123101-52071102</v>
          </cell>
          <cell r="S2329" t="str">
            <v>2026A-03</v>
          </cell>
          <cell r="T2329" t="str">
            <v>Open Cases</v>
          </cell>
        </row>
        <row r="2330">
          <cell r="K2330">
            <v>2000</v>
          </cell>
          <cell r="P2330" t="str">
            <v>81123101-52071102</v>
          </cell>
          <cell r="S2330" t="str">
            <v>2026A-03</v>
          </cell>
          <cell r="T2330" t="str">
            <v>Open Cases</v>
          </cell>
        </row>
        <row r="2331">
          <cell r="K2331">
            <v>19454.05</v>
          </cell>
          <cell r="P2331" t="str">
            <v>81123102-52041405</v>
          </cell>
          <cell r="S2331" t="str">
            <v>2026A-03</v>
          </cell>
          <cell r="T2331" t="str">
            <v>Janitorial (H&amp;K)</v>
          </cell>
        </row>
        <row r="2332">
          <cell r="K2332">
            <v>-1129.23</v>
          </cell>
          <cell r="P2332" t="str">
            <v>81123102-52041405</v>
          </cell>
          <cell r="S2332" t="str">
            <v>2026A-03</v>
          </cell>
          <cell r="T2332" t="str">
            <v>Janitorial (H&amp;K)</v>
          </cell>
        </row>
        <row r="2333">
          <cell r="K2333">
            <v>4727.3599999999997</v>
          </cell>
          <cell r="P2333" t="str">
            <v>81123102-52041499</v>
          </cell>
          <cell r="S2333" t="str">
            <v>2026A-03</v>
          </cell>
          <cell r="T2333" t="str">
            <v>Admin Staff (H&amp;K)</v>
          </cell>
        </row>
        <row r="2334">
          <cell r="K2334">
            <v>3768.97</v>
          </cell>
          <cell r="P2334" t="str">
            <v>81123102-52041499</v>
          </cell>
          <cell r="S2334" t="str">
            <v>2026A-03</v>
          </cell>
          <cell r="T2334" t="str">
            <v>Admin Staff (H&amp;K)</v>
          </cell>
        </row>
        <row r="2335">
          <cell r="K2335">
            <v>2315.61</v>
          </cell>
          <cell r="P2335" t="str">
            <v>81123102-52041499</v>
          </cell>
          <cell r="S2335" t="str">
            <v>2026A-03</v>
          </cell>
          <cell r="T2335" t="str">
            <v>Admin Staff (H&amp;K)</v>
          </cell>
        </row>
        <row r="2336">
          <cell r="K2336">
            <v>-1539.66</v>
          </cell>
          <cell r="P2336" t="str">
            <v>81123102-52041499</v>
          </cell>
          <cell r="S2336" t="str">
            <v>2026A-03</v>
          </cell>
          <cell r="T2336" t="str">
            <v>Admin Staff (H&amp;K)</v>
          </cell>
        </row>
        <row r="2337">
          <cell r="K2337">
            <v>24581.99</v>
          </cell>
          <cell r="P2337" t="str">
            <v>81123102-52041405</v>
          </cell>
          <cell r="S2337" t="str">
            <v>2026A-03</v>
          </cell>
          <cell r="T2337" t="str">
            <v>Janitorial (H&amp;K)</v>
          </cell>
        </row>
        <row r="2338">
          <cell r="K2338">
            <v>24581.99</v>
          </cell>
          <cell r="P2338" t="str">
            <v>81123102-52041499</v>
          </cell>
          <cell r="S2338" t="str">
            <v>2026A-03</v>
          </cell>
          <cell r="T2338" t="str">
            <v>Admin Staff (H&amp;K)</v>
          </cell>
        </row>
        <row r="2339">
          <cell r="K2339">
            <v>20917.75</v>
          </cell>
          <cell r="P2339" t="str">
            <v>81123102-52041499</v>
          </cell>
          <cell r="S2339" t="str">
            <v>2026A-03</v>
          </cell>
          <cell r="T2339" t="str">
            <v>Admin Staff (H&amp;K)</v>
          </cell>
        </row>
        <row r="2340">
          <cell r="K2340">
            <v>57308.44</v>
          </cell>
          <cell r="P2340" t="str">
            <v>81123102-52041405</v>
          </cell>
          <cell r="S2340" t="str">
            <v>2026A-03</v>
          </cell>
          <cell r="T2340" t="str">
            <v>Janitorial (S1)</v>
          </cell>
        </row>
        <row r="2341">
          <cell r="K2341">
            <v>-11816.85</v>
          </cell>
          <cell r="P2341" t="str">
            <v>81123102-52041405</v>
          </cell>
          <cell r="S2341" t="str">
            <v>2026A-03</v>
          </cell>
          <cell r="T2341" t="str">
            <v>2025 Janitorial</v>
          </cell>
        </row>
        <row r="2342">
          <cell r="K2342">
            <v>13029.46</v>
          </cell>
          <cell r="P2342" t="str">
            <v>81122101-52121402</v>
          </cell>
          <cell r="S2342" t="str">
            <v>2026A-03</v>
          </cell>
          <cell r="T2342" t="str">
            <v>Clinic Supplies</v>
          </cell>
        </row>
        <row r="2343">
          <cell r="K2343">
            <v>148125</v>
          </cell>
          <cell r="P2343" t="str">
            <v>81124101-52952103</v>
          </cell>
          <cell r="S2343" t="str">
            <v>2026A-03</v>
          </cell>
          <cell r="T2343" t="str">
            <v>Bluebeam</v>
          </cell>
        </row>
        <row r="2344">
          <cell r="K2344">
            <v>155625</v>
          </cell>
          <cell r="P2344" t="str">
            <v>81124101-52952103</v>
          </cell>
          <cell r="S2344" t="str">
            <v>2026A-03</v>
          </cell>
          <cell r="T2344" t="str">
            <v>Sketchup</v>
          </cell>
        </row>
        <row r="2345">
          <cell r="K2345">
            <v>-6240</v>
          </cell>
          <cell r="P2345" t="str">
            <v>81111101-52121301</v>
          </cell>
          <cell r="S2345" t="str">
            <v>2026A-03</v>
          </cell>
          <cell r="T2345" t="str">
            <v>Life Insurance</v>
          </cell>
        </row>
        <row r="2346">
          <cell r="K2346">
            <v>22877.01</v>
          </cell>
          <cell r="P2346" t="str">
            <v>81319101-52041401</v>
          </cell>
          <cell r="S2346" t="str">
            <v>2026A-03</v>
          </cell>
          <cell r="T2346" t="str">
            <v>CV</v>
          </cell>
        </row>
        <row r="2347">
          <cell r="K2347">
            <v>4574.96</v>
          </cell>
          <cell r="P2347" t="str">
            <v>81319101-52041401</v>
          </cell>
          <cell r="S2347" t="str">
            <v>2026A-03</v>
          </cell>
          <cell r="T2347" t="str">
            <v>CV</v>
          </cell>
        </row>
        <row r="2348">
          <cell r="K2348">
            <v>2969716.91</v>
          </cell>
          <cell r="P2348" t="str">
            <v>90122101-52071104</v>
          </cell>
          <cell r="S2348" t="str">
            <v>2026A-03</v>
          </cell>
          <cell r="T2348" t="str">
            <v>OLC INTCNSLTNT</v>
          </cell>
        </row>
        <row r="2349">
          <cell r="K2349">
            <v>20604.8</v>
          </cell>
          <cell r="P2349" t="str">
            <v>81319101-52041401</v>
          </cell>
          <cell r="S2349" t="str">
            <v>2026A-03</v>
          </cell>
          <cell r="T2349" t="str">
            <v>CV</v>
          </cell>
        </row>
        <row r="2350">
          <cell r="K2350">
            <v>4120.54</v>
          </cell>
          <cell r="P2350" t="str">
            <v>81319101-52041401</v>
          </cell>
          <cell r="S2350" t="str">
            <v>2026A-03</v>
          </cell>
          <cell r="T2350" t="str">
            <v>CV</v>
          </cell>
        </row>
        <row r="2351">
          <cell r="K2351">
            <v>8272.5</v>
          </cell>
          <cell r="P2351" t="str">
            <v>81111101-52121301</v>
          </cell>
          <cell r="S2351" t="str">
            <v>2026A-03</v>
          </cell>
          <cell r="T2351" t="str">
            <v>Life Insurance</v>
          </cell>
        </row>
        <row r="2352">
          <cell r="K2352">
            <v>8272.5</v>
          </cell>
          <cell r="P2352" t="str">
            <v>81111101-52121301</v>
          </cell>
          <cell r="S2352" t="str">
            <v>2026A-03</v>
          </cell>
          <cell r="T2352" t="str">
            <v>Life Insurance</v>
          </cell>
        </row>
        <row r="2353">
          <cell r="K2353">
            <v>8272.5</v>
          </cell>
          <cell r="P2353" t="str">
            <v>81111101-52121301</v>
          </cell>
          <cell r="S2353" t="str">
            <v>2026A-03</v>
          </cell>
          <cell r="T2353" t="str">
            <v>Life Insurance</v>
          </cell>
        </row>
        <row r="2354">
          <cell r="K2354">
            <v>188600</v>
          </cell>
          <cell r="P2354" t="str">
            <v>81111101-52121101</v>
          </cell>
          <cell r="S2354" t="str">
            <v>2026A-03</v>
          </cell>
          <cell r="T2354" t="str">
            <v>Regular Employee</v>
          </cell>
        </row>
        <row r="2355">
          <cell r="K2355">
            <v>2583.2399999999998</v>
          </cell>
          <cell r="P2355" t="str">
            <v>81111101-52121101</v>
          </cell>
          <cell r="S2355" t="str">
            <v>2026A-03</v>
          </cell>
          <cell r="T2355" t="str">
            <v>Regular Employee</v>
          </cell>
        </row>
        <row r="2356">
          <cell r="K2356">
            <v>1231.8800000000001</v>
          </cell>
          <cell r="P2356" t="str">
            <v>81111101-52121101</v>
          </cell>
          <cell r="S2356" t="str">
            <v>2026A-03</v>
          </cell>
          <cell r="T2356" t="str">
            <v>Regular Employee</v>
          </cell>
        </row>
        <row r="2357">
          <cell r="K2357">
            <v>-1031.02</v>
          </cell>
          <cell r="P2357" t="str">
            <v>81111101-52121101</v>
          </cell>
          <cell r="S2357" t="str">
            <v>2026A-03</v>
          </cell>
          <cell r="T2357" t="str">
            <v>Regular Employee</v>
          </cell>
        </row>
        <row r="2358">
          <cell r="K2358">
            <v>-1275.75</v>
          </cell>
          <cell r="P2358" t="str">
            <v>81111101-52121101</v>
          </cell>
          <cell r="S2358" t="str">
            <v>2026A-03</v>
          </cell>
          <cell r="T2358" t="str">
            <v>Regular Employee</v>
          </cell>
        </row>
        <row r="2359">
          <cell r="K2359">
            <v>236200</v>
          </cell>
          <cell r="P2359" t="str">
            <v>81111101-52121101</v>
          </cell>
          <cell r="S2359" t="str">
            <v>2026A-03</v>
          </cell>
          <cell r="T2359" t="str">
            <v>Regular Employee</v>
          </cell>
        </row>
        <row r="2360">
          <cell r="K2360">
            <v>-1170.24</v>
          </cell>
          <cell r="P2360" t="str">
            <v>81111101-52121101</v>
          </cell>
          <cell r="S2360" t="str">
            <v>2026A-03</v>
          </cell>
          <cell r="T2360" t="str">
            <v>Regular Employee</v>
          </cell>
        </row>
        <row r="2361">
          <cell r="K2361">
            <v>-1202.56</v>
          </cell>
          <cell r="P2361" t="str">
            <v>81111101-52121101</v>
          </cell>
          <cell r="S2361" t="str">
            <v>2026A-03</v>
          </cell>
          <cell r="T2361" t="str">
            <v>Regular Employee</v>
          </cell>
        </row>
        <row r="2362">
          <cell r="K2362">
            <v>-975.51</v>
          </cell>
          <cell r="P2362" t="str">
            <v>81111101-52121101</v>
          </cell>
          <cell r="S2362" t="str">
            <v>2026A-03</v>
          </cell>
          <cell r="T2362" t="str">
            <v>Regular Employee</v>
          </cell>
        </row>
        <row r="2363">
          <cell r="K2363">
            <v>104350</v>
          </cell>
          <cell r="P2363" t="str">
            <v>81111101-52121101</v>
          </cell>
          <cell r="S2363" t="str">
            <v>2026A-03</v>
          </cell>
          <cell r="T2363" t="str">
            <v>Regular Employee</v>
          </cell>
        </row>
        <row r="2364">
          <cell r="K2364">
            <v>-428.23</v>
          </cell>
          <cell r="P2364" t="str">
            <v>81111101-52121101</v>
          </cell>
          <cell r="S2364" t="str">
            <v>2026A-03</v>
          </cell>
          <cell r="T2364" t="str">
            <v>Regular Employee</v>
          </cell>
        </row>
        <row r="2365">
          <cell r="K2365">
            <v>1027050</v>
          </cell>
          <cell r="P2365" t="str">
            <v>81111101-52121101</v>
          </cell>
          <cell r="S2365" t="str">
            <v>2026A-03</v>
          </cell>
          <cell r="T2365" t="str">
            <v>Regular Employee</v>
          </cell>
        </row>
        <row r="2366">
          <cell r="K2366">
            <v>1832.08</v>
          </cell>
          <cell r="P2366" t="str">
            <v>81111101-52121101</v>
          </cell>
          <cell r="S2366" t="str">
            <v>2026A-03</v>
          </cell>
          <cell r="T2366" t="str">
            <v>Regular Employee</v>
          </cell>
        </row>
        <row r="2367">
          <cell r="K2367">
            <v>132.25</v>
          </cell>
          <cell r="P2367" t="str">
            <v>81111101-52121101</v>
          </cell>
          <cell r="S2367" t="str">
            <v>2026A-03</v>
          </cell>
          <cell r="T2367" t="str">
            <v>Regular Employee</v>
          </cell>
        </row>
        <row r="2368">
          <cell r="K2368">
            <v>-10550.52</v>
          </cell>
          <cell r="P2368" t="str">
            <v>81111101-52121101</v>
          </cell>
          <cell r="S2368" t="str">
            <v>2026A-03</v>
          </cell>
          <cell r="T2368" t="str">
            <v>Regular Employee</v>
          </cell>
        </row>
        <row r="2369">
          <cell r="K2369">
            <v>-1176.76</v>
          </cell>
          <cell r="P2369" t="str">
            <v>81111101-52121101</v>
          </cell>
          <cell r="S2369" t="str">
            <v>2026A-03</v>
          </cell>
          <cell r="T2369" t="str">
            <v>Regular Employee</v>
          </cell>
        </row>
        <row r="2370">
          <cell r="K2370">
            <v>-7688.3</v>
          </cell>
          <cell r="P2370" t="str">
            <v>81111101-52121101</v>
          </cell>
          <cell r="S2370" t="str">
            <v>2026A-03</v>
          </cell>
          <cell r="T2370" t="str">
            <v>Regular Employee</v>
          </cell>
        </row>
        <row r="2371">
          <cell r="K2371">
            <v>138250</v>
          </cell>
          <cell r="P2371" t="str">
            <v>81111101-52121101</v>
          </cell>
          <cell r="S2371" t="str">
            <v>2026A-03</v>
          </cell>
          <cell r="T2371" t="str">
            <v>Regular Employee</v>
          </cell>
        </row>
        <row r="2372">
          <cell r="K2372">
            <v>-879.4</v>
          </cell>
          <cell r="P2372" t="str">
            <v>81111101-52121101</v>
          </cell>
          <cell r="S2372" t="str">
            <v>2026A-03</v>
          </cell>
          <cell r="T2372" t="str">
            <v>Regular Employee</v>
          </cell>
        </row>
        <row r="2373">
          <cell r="K2373">
            <v>-175.88</v>
          </cell>
          <cell r="P2373" t="str">
            <v>81111101-52121101</v>
          </cell>
          <cell r="S2373" t="str">
            <v>2026A-03</v>
          </cell>
          <cell r="T2373" t="str">
            <v>Regular Employee</v>
          </cell>
        </row>
        <row r="2374">
          <cell r="K2374">
            <v>-1349.96</v>
          </cell>
          <cell r="P2374" t="str">
            <v>81111101-52121101</v>
          </cell>
          <cell r="S2374" t="str">
            <v>2026A-03</v>
          </cell>
          <cell r="T2374" t="str">
            <v>Regular Employee</v>
          </cell>
        </row>
        <row r="2375">
          <cell r="K2375">
            <v>18683.78</v>
          </cell>
          <cell r="P2375" t="str">
            <v>81111101-52121102</v>
          </cell>
          <cell r="S2375" t="str">
            <v>2026A-03</v>
          </cell>
          <cell r="T2375" t="str">
            <v>OT Pay</v>
          </cell>
        </row>
        <row r="2376">
          <cell r="K2376">
            <v>7082.41</v>
          </cell>
          <cell r="P2376" t="str">
            <v>81111101-52121102</v>
          </cell>
          <cell r="S2376" t="str">
            <v>2026A-03</v>
          </cell>
          <cell r="T2376" t="str">
            <v>OT Pay</v>
          </cell>
        </row>
        <row r="2377">
          <cell r="K2377">
            <v>8450.26</v>
          </cell>
          <cell r="P2377" t="str">
            <v>81111101-52121102</v>
          </cell>
          <cell r="S2377" t="str">
            <v>2026A-03</v>
          </cell>
          <cell r="T2377" t="str">
            <v>OT Pay</v>
          </cell>
        </row>
        <row r="2378">
          <cell r="K2378">
            <v>5600</v>
          </cell>
          <cell r="P2378" t="str">
            <v>81111101-52121103</v>
          </cell>
          <cell r="S2378" t="str">
            <v>2026A-03</v>
          </cell>
          <cell r="T2378" t="str">
            <v>OT Pay</v>
          </cell>
        </row>
        <row r="2379">
          <cell r="K2379">
            <v>1200</v>
          </cell>
          <cell r="P2379" t="str">
            <v>81111101-52121103</v>
          </cell>
          <cell r="S2379" t="str">
            <v>2026A-03</v>
          </cell>
          <cell r="T2379" t="str">
            <v>OT Pay</v>
          </cell>
        </row>
        <row r="2380">
          <cell r="K2380">
            <v>17000</v>
          </cell>
          <cell r="P2380" t="str">
            <v>81111101-52121103</v>
          </cell>
          <cell r="S2380" t="str">
            <v>2026A-03</v>
          </cell>
          <cell r="T2380" t="str">
            <v>OT Pay</v>
          </cell>
        </row>
        <row r="2381">
          <cell r="K2381">
            <v>3000</v>
          </cell>
          <cell r="P2381" t="str">
            <v>81111101-52121103</v>
          </cell>
          <cell r="S2381" t="str">
            <v>2026A-03</v>
          </cell>
          <cell r="T2381" t="str">
            <v>OT Pay</v>
          </cell>
        </row>
        <row r="2382">
          <cell r="K2382">
            <v>12030</v>
          </cell>
          <cell r="P2382" t="str">
            <v>81111101-52121305</v>
          </cell>
          <cell r="S2382" t="str">
            <v>2026A-03</v>
          </cell>
          <cell r="T2382" t="str">
            <v>SSS</v>
          </cell>
        </row>
        <row r="2383">
          <cell r="K2383">
            <v>23750</v>
          </cell>
          <cell r="P2383" t="str">
            <v>81111101-52121305</v>
          </cell>
          <cell r="S2383" t="str">
            <v>2026A-03</v>
          </cell>
          <cell r="T2383" t="str">
            <v>SSS</v>
          </cell>
        </row>
        <row r="2384">
          <cell r="K2384">
            <v>6120</v>
          </cell>
          <cell r="P2384" t="str">
            <v>81111101-52121305</v>
          </cell>
          <cell r="S2384" t="str">
            <v>2026A-03</v>
          </cell>
          <cell r="T2384" t="str">
            <v>SSS</v>
          </cell>
        </row>
        <row r="2385">
          <cell r="K2385">
            <v>200</v>
          </cell>
          <cell r="P2385" t="str">
            <v>81111101-52121305</v>
          </cell>
          <cell r="S2385" t="str">
            <v>2026A-03</v>
          </cell>
          <cell r="T2385" t="str">
            <v>Pag-ibig</v>
          </cell>
        </row>
        <row r="2386">
          <cell r="K2386">
            <v>52460</v>
          </cell>
          <cell r="P2386" t="str">
            <v>81111101-52121305</v>
          </cell>
          <cell r="S2386" t="str">
            <v>2026A-03</v>
          </cell>
          <cell r="T2386" t="str">
            <v>SSS</v>
          </cell>
        </row>
        <row r="2387">
          <cell r="K2387">
            <v>475</v>
          </cell>
          <cell r="P2387" t="str">
            <v>81111101-52121305</v>
          </cell>
          <cell r="S2387" t="str">
            <v>2026A-03</v>
          </cell>
          <cell r="T2387" t="str">
            <v>Philhealth</v>
          </cell>
        </row>
        <row r="2388">
          <cell r="K2388">
            <v>7200</v>
          </cell>
          <cell r="P2388" t="str">
            <v>81111101-52121305</v>
          </cell>
          <cell r="S2388" t="str">
            <v>2026A-03</v>
          </cell>
          <cell r="T2388" t="str">
            <v>SSS</v>
          </cell>
        </row>
        <row r="2389">
          <cell r="K2389">
            <v>5000</v>
          </cell>
          <cell r="P2389" t="str">
            <v>81111101-52121308</v>
          </cell>
          <cell r="S2389" t="str">
            <v>2026A-03</v>
          </cell>
          <cell r="T2389" t="str">
            <v>Gas Allowance</v>
          </cell>
        </row>
        <row r="2390">
          <cell r="K2390">
            <v>25000</v>
          </cell>
          <cell r="P2390" t="str">
            <v>81111101-52121308</v>
          </cell>
          <cell r="S2390" t="str">
            <v>2026A-03</v>
          </cell>
          <cell r="T2390" t="str">
            <v>Gas Allowance</v>
          </cell>
        </row>
        <row r="2391">
          <cell r="K2391">
            <v>303089.17</v>
          </cell>
          <cell r="P2391" t="str">
            <v>81111101-52121304</v>
          </cell>
          <cell r="S2391" t="str">
            <v>2026A-03</v>
          </cell>
          <cell r="T2391" t="str">
            <v>Retirement</v>
          </cell>
        </row>
        <row r="2392">
          <cell r="K2392">
            <v>455000</v>
          </cell>
          <cell r="P2392" t="str">
            <v>81122101-52071104</v>
          </cell>
          <cell r="S2392" t="str">
            <v>2026A-03</v>
          </cell>
          <cell r="T2392" t="str">
            <v>INTCNSLTNT</v>
          </cell>
        </row>
        <row r="2393">
          <cell r="K2393">
            <v>18000</v>
          </cell>
          <cell r="P2393" t="str">
            <v>81122101-52071104</v>
          </cell>
          <cell r="S2393" t="str">
            <v>2026A-03</v>
          </cell>
          <cell r="T2393" t="str">
            <v>INTCNSLTNT</v>
          </cell>
        </row>
        <row r="2394">
          <cell r="K2394">
            <v>-8061.07</v>
          </cell>
          <cell r="P2394" t="str">
            <v>81122101-52071104</v>
          </cell>
          <cell r="S2394" t="str">
            <v>2026A-03</v>
          </cell>
          <cell r="T2394" t="str">
            <v>INTCNSLTNT</v>
          </cell>
        </row>
        <row r="2395">
          <cell r="K2395">
            <v>58100</v>
          </cell>
          <cell r="P2395" t="str">
            <v>81122101-52071104</v>
          </cell>
          <cell r="S2395" t="str">
            <v>2026A-03</v>
          </cell>
          <cell r="T2395" t="str">
            <v>INTCNSLTNT</v>
          </cell>
        </row>
        <row r="2396">
          <cell r="K2396">
            <v>3234356.33</v>
          </cell>
          <cell r="P2396" t="str">
            <v>90111101-52121304</v>
          </cell>
          <cell r="S2396" t="str">
            <v>2026A-03</v>
          </cell>
          <cell r="T2396" t="str">
            <v>Retirement</v>
          </cell>
        </row>
        <row r="2397">
          <cell r="K2397">
            <v>372955.42</v>
          </cell>
          <cell r="P2397" t="str">
            <v>90111101-52031101</v>
          </cell>
          <cell r="S2397" t="str">
            <v>2026A-03</v>
          </cell>
          <cell r="T2397" t="str">
            <v>Other Taxes</v>
          </cell>
        </row>
        <row r="2398">
          <cell r="K2398">
            <v>1442.91</v>
          </cell>
          <cell r="P2398" t="str">
            <v>90111101-52031101</v>
          </cell>
          <cell r="S2398" t="str">
            <v>2026A-03</v>
          </cell>
          <cell r="T2398" t="str">
            <v>Other Taxes</v>
          </cell>
        </row>
        <row r="2399">
          <cell r="K2399">
            <v>16817.080000000002</v>
          </cell>
          <cell r="P2399" t="str">
            <v>90111101-52121301</v>
          </cell>
          <cell r="S2399" t="str">
            <v>2026A-03</v>
          </cell>
          <cell r="T2399" t="str">
            <v>Sun Life - MDIA</v>
          </cell>
        </row>
        <row r="2400">
          <cell r="K2400">
            <v>78232.5</v>
          </cell>
          <cell r="P2400" t="str">
            <v>90111101-52121301</v>
          </cell>
          <cell r="S2400" t="str">
            <v>2026A-03</v>
          </cell>
          <cell r="T2400" t="str">
            <v>Life Insurance</v>
          </cell>
        </row>
        <row r="2401">
          <cell r="K2401">
            <v>38124.080000000002</v>
          </cell>
          <cell r="P2401" t="str">
            <v>90111101-52121303</v>
          </cell>
          <cell r="S2401" t="str">
            <v>2026A-03</v>
          </cell>
          <cell r="T2401" t="str">
            <v>Pacific Cross Insurance Policy (USD) - MDIA</v>
          </cell>
        </row>
        <row r="2402">
          <cell r="K2402">
            <v>36842.11</v>
          </cell>
          <cell r="P2402" t="str">
            <v>90122101-52071104</v>
          </cell>
          <cell r="S2402" t="str">
            <v>2026A-03</v>
          </cell>
          <cell r="T2402" t="str">
            <v>HRIS Tirso</v>
          </cell>
        </row>
        <row r="2403">
          <cell r="K2403">
            <v>30416.67</v>
          </cell>
          <cell r="P2403" t="str">
            <v>90111101-52101107</v>
          </cell>
          <cell r="S2403" t="str">
            <v>2026A-03</v>
          </cell>
          <cell r="T2403" t="str">
            <v>DOL</v>
          </cell>
        </row>
        <row r="2404">
          <cell r="K2404">
            <v>3802.08</v>
          </cell>
          <cell r="P2404" t="str">
            <v>90111101-52101107</v>
          </cell>
          <cell r="S2404" t="str">
            <v>2026A-03</v>
          </cell>
          <cell r="T2404" t="str">
            <v>DOL</v>
          </cell>
        </row>
        <row r="2405">
          <cell r="K2405">
            <v>60.83</v>
          </cell>
          <cell r="P2405" t="str">
            <v>90111101-52101107</v>
          </cell>
          <cell r="S2405" t="str">
            <v>2026A-03</v>
          </cell>
          <cell r="T2405" t="str">
            <v>DOL</v>
          </cell>
        </row>
        <row r="2406">
          <cell r="K2406">
            <v>46666.67</v>
          </cell>
          <cell r="P2406" t="str">
            <v>90122101-52121315</v>
          </cell>
          <cell r="S2406" t="str">
            <v>2026A-03</v>
          </cell>
          <cell r="T2406" t="str">
            <v>Jobstreet</v>
          </cell>
        </row>
        <row r="2407">
          <cell r="K2407">
            <v>1968.75</v>
          </cell>
          <cell r="P2407" t="str">
            <v>90122101-52121315</v>
          </cell>
          <cell r="S2407" t="str">
            <v>2026A-03</v>
          </cell>
          <cell r="T2407" t="str">
            <v>Jobstreet</v>
          </cell>
        </row>
        <row r="2408">
          <cell r="K2408">
            <v>-1214.29</v>
          </cell>
          <cell r="P2408" t="str">
            <v>90122101-52121402</v>
          </cell>
          <cell r="S2408" t="str">
            <v>2026A-03</v>
          </cell>
          <cell r="T2408" t="str">
            <v>Paper Towels</v>
          </cell>
        </row>
        <row r="2409">
          <cell r="K2409">
            <v>-3482.14</v>
          </cell>
          <cell r="P2409" t="str">
            <v>90122101-61111101</v>
          </cell>
          <cell r="S2409" t="str">
            <v>2026A-03</v>
          </cell>
          <cell r="T2409" t="str">
            <v>Tissue</v>
          </cell>
        </row>
        <row r="2410">
          <cell r="K2410">
            <v>-5803.57</v>
          </cell>
          <cell r="P2410" t="str">
            <v>90122101-61111101</v>
          </cell>
          <cell r="S2410" t="str">
            <v>2026A-03</v>
          </cell>
          <cell r="T2410" t="str">
            <v>Tissue</v>
          </cell>
        </row>
        <row r="2411">
          <cell r="K2411">
            <v>312.5</v>
          </cell>
          <cell r="P2411" t="str">
            <v>80111101-61021303</v>
          </cell>
          <cell r="S2411" t="str">
            <v>2026A-03</v>
          </cell>
          <cell r="T2411" t="str">
            <v>HMO</v>
          </cell>
        </row>
        <row r="2412">
          <cell r="K2412">
            <v>312.5</v>
          </cell>
          <cell r="P2412" t="str">
            <v>80111101-61021303</v>
          </cell>
          <cell r="S2412" t="str">
            <v>2026A-03</v>
          </cell>
          <cell r="T2412" t="str">
            <v>HMO</v>
          </cell>
        </row>
        <row r="2413">
          <cell r="K2413">
            <v>311287.78000000003</v>
          </cell>
          <cell r="P2413" t="str">
            <v>80124101-61711102</v>
          </cell>
          <cell r="S2413" t="str">
            <v>2026A-03</v>
          </cell>
          <cell r="T2413" t="str">
            <v>MSOC</v>
          </cell>
        </row>
        <row r="2414">
          <cell r="K2414">
            <v>-150668.79999999999</v>
          </cell>
          <cell r="P2414" t="str">
            <v>80123102-61101104</v>
          </cell>
          <cell r="S2414" t="str">
            <v>2026A-03</v>
          </cell>
          <cell r="T2414" t="str">
            <v>Insurance Vehicle</v>
          </cell>
        </row>
        <row r="2415">
          <cell r="K2415">
            <v>-47250.48</v>
          </cell>
          <cell r="P2415" t="str">
            <v>80123102-61721101</v>
          </cell>
          <cell r="S2415" t="str">
            <v>2026A-03</v>
          </cell>
          <cell r="T2415" t="str">
            <v>Mobile Phones</v>
          </cell>
        </row>
        <row r="2416">
          <cell r="K2416">
            <v>-108333.33</v>
          </cell>
          <cell r="P2416" t="str">
            <v>90111101-52071199</v>
          </cell>
          <cell r="S2416" t="str">
            <v>2026A-03</v>
          </cell>
          <cell r="T2416" t="str">
            <v>Lacson</v>
          </cell>
        </row>
        <row r="2417">
          <cell r="K2417">
            <v>-14843.75</v>
          </cell>
          <cell r="P2417" t="str">
            <v>90111101-52071199</v>
          </cell>
          <cell r="S2417" t="str">
            <v>2026A-03</v>
          </cell>
          <cell r="T2417" t="str">
            <v>Lacson</v>
          </cell>
        </row>
        <row r="2418">
          <cell r="K2418">
            <v>-975000</v>
          </cell>
          <cell r="P2418" t="str">
            <v>90111101-52121303</v>
          </cell>
          <cell r="S2418" t="str">
            <v>2026A-03</v>
          </cell>
          <cell r="T2418" t="str">
            <v>HMO</v>
          </cell>
        </row>
        <row r="2419">
          <cell r="K2419">
            <v>-296875</v>
          </cell>
          <cell r="P2419" t="str">
            <v>90111101-52121303</v>
          </cell>
          <cell r="S2419" t="str">
            <v>2026A-03</v>
          </cell>
          <cell r="T2419" t="str">
            <v>HMO</v>
          </cell>
        </row>
        <row r="2420">
          <cell r="K2420">
            <v>-612221.15</v>
          </cell>
          <cell r="P2420" t="str">
            <v>90111101-52121303</v>
          </cell>
          <cell r="S2420" t="str">
            <v>2026A-03</v>
          </cell>
          <cell r="T2420" t="str">
            <v>HMO</v>
          </cell>
        </row>
        <row r="2421">
          <cell r="K2421">
            <v>-45453.32</v>
          </cell>
          <cell r="P2421" t="str">
            <v>90111101-52041495</v>
          </cell>
          <cell r="S2421" t="str">
            <v>2026A-03</v>
          </cell>
          <cell r="T2421" t="str">
            <v>BDO CMC</v>
          </cell>
        </row>
        <row r="2422">
          <cell r="K2422">
            <v>7000</v>
          </cell>
          <cell r="P2422" t="str">
            <v>80123101-61071005</v>
          </cell>
          <cell r="S2422" t="str">
            <v>2026A-03</v>
          </cell>
          <cell r="T2422" t="str">
            <v>Corpuz</v>
          </cell>
        </row>
        <row r="2423">
          <cell r="K2423">
            <v>-87500</v>
          </cell>
          <cell r="P2423" t="str">
            <v>80314101-61731103</v>
          </cell>
          <cell r="S2423" t="str">
            <v>2026A-03</v>
          </cell>
          <cell r="T2423" t="str">
            <v>Enamel Pin</v>
          </cell>
        </row>
        <row r="2424">
          <cell r="K2424">
            <v>311287.78000000003</v>
          </cell>
          <cell r="P2424" t="str">
            <v>80124101-61711102</v>
          </cell>
          <cell r="S2424" t="str">
            <v>2026A-03</v>
          </cell>
          <cell r="T2424" t="str">
            <v>MSOC</v>
          </cell>
        </row>
        <row r="2425">
          <cell r="K2425">
            <v>13704.02</v>
          </cell>
          <cell r="P2425" t="str">
            <v>80123102-61061104</v>
          </cell>
          <cell r="S2425" t="str">
            <v>2026A-03</v>
          </cell>
          <cell r="T2425" t="str">
            <v>R&amp;M - Starex</v>
          </cell>
        </row>
        <row r="2426">
          <cell r="K2426">
            <v>660</v>
          </cell>
          <cell r="P2426" t="str">
            <v>80123102-61721103</v>
          </cell>
          <cell r="S2426" t="str">
            <v>2026A-03</v>
          </cell>
          <cell r="T2426" t="str">
            <v>Postal</v>
          </cell>
        </row>
        <row r="2427">
          <cell r="K2427">
            <v>231789.67</v>
          </cell>
          <cell r="P2427" t="str">
            <v>80111101-61021304</v>
          </cell>
          <cell r="S2427" t="str">
            <v>2026A-03</v>
          </cell>
          <cell r="T2427" t="str">
            <v>Retirement</v>
          </cell>
        </row>
        <row r="2428">
          <cell r="K2428">
            <v>216500</v>
          </cell>
          <cell r="P2428" t="str">
            <v>80111101-61021201</v>
          </cell>
          <cell r="S2428" t="str">
            <v>2026A-03</v>
          </cell>
          <cell r="T2428" t="str">
            <v>Project Employee</v>
          </cell>
        </row>
        <row r="2429">
          <cell r="K2429">
            <v>-2564.92</v>
          </cell>
          <cell r="P2429" t="str">
            <v>80111101-61021201</v>
          </cell>
          <cell r="S2429" t="str">
            <v>2026A-03</v>
          </cell>
          <cell r="T2429" t="str">
            <v>Project Employee</v>
          </cell>
        </row>
        <row r="2430">
          <cell r="K2430">
            <v>-9618.4500000000007</v>
          </cell>
          <cell r="P2430" t="str">
            <v>80111101-61021201</v>
          </cell>
          <cell r="S2430" t="str">
            <v>2026A-03</v>
          </cell>
          <cell r="T2430" t="str">
            <v>Project Employee</v>
          </cell>
        </row>
        <row r="2431">
          <cell r="K2431">
            <v>-429.39</v>
          </cell>
          <cell r="P2431" t="str">
            <v>80111101-61021201</v>
          </cell>
          <cell r="S2431" t="str">
            <v>2026A-03</v>
          </cell>
          <cell r="T2431" t="str">
            <v>Project Employee</v>
          </cell>
        </row>
        <row r="2432">
          <cell r="K2432">
            <v>52715.360000000001</v>
          </cell>
          <cell r="P2432" t="str">
            <v>80111101-61021202</v>
          </cell>
          <cell r="S2432" t="str">
            <v>2026A-03</v>
          </cell>
          <cell r="T2432" t="str">
            <v>Project Employee</v>
          </cell>
        </row>
        <row r="2433">
          <cell r="K2433">
            <v>23290</v>
          </cell>
          <cell r="P2433" t="str">
            <v>80111101-61021306</v>
          </cell>
          <cell r="S2433" t="str">
            <v>2026A-03</v>
          </cell>
          <cell r="T2433" t="str">
            <v>SSS</v>
          </cell>
        </row>
        <row r="2434">
          <cell r="K2434">
            <v>26500</v>
          </cell>
          <cell r="P2434" t="str">
            <v>80111101-61021102</v>
          </cell>
          <cell r="S2434" t="str">
            <v>2026A-03</v>
          </cell>
          <cell r="T2434" t="str">
            <v>Regular Employee</v>
          </cell>
        </row>
        <row r="2435">
          <cell r="K2435">
            <v>-252.95</v>
          </cell>
          <cell r="P2435" t="str">
            <v>80111101-61021102</v>
          </cell>
          <cell r="S2435" t="str">
            <v>2026A-03</v>
          </cell>
          <cell r="T2435" t="str">
            <v>Regular Employee</v>
          </cell>
        </row>
        <row r="2436">
          <cell r="K2436">
            <v>50000</v>
          </cell>
          <cell r="P2436" t="str">
            <v>80111101-61021102</v>
          </cell>
          <cell r="S2436" t="str">
            <v>2026A-03</v>
          </cell>
          <cell r="T2436" t="str">
            <v>Regular Employee</v>
          </cell>
        </row>
        <row r="2437">
          <cell r="K2437">
            <v>218350</v>
          </cell>
          <cell r="P2437" t="str">
            <v>80111101-61021102</v>
          </cell>
          <cell r="S2437" t="str">
            <v>2026A-03</v>
          </cell>
          <cell r="T2437" t="str">
            <v>Regular Employee</v>
          </cell>
        </row>
        <row r="2438">
          <cell r="K2438">
            <v>706050</v>
          </cell>
          <cell r="P2438" t="str">
            <v>80111101-61021102</v>
          </cell>
          <cell r="S2438" t="str">
            <v>2026A-03</v>
          </cell>
          <cell r="T2438" t="str">
            <v>Regular Employee</v>
          </cell>
        </row>
        <row r="2439">
          <cell r="K2439">
            <v>-4612.2700000000004</v>
          </cell>
          <cell r="P2439" t="str">
            <v>80111101-61021102</v>
          </cell>
          <cell r="S2439" t="str">
            <v>2026A-03</v>
          </cell>
          <cell r="T2439" t="str">
            <v>Regular Employee</v>
          </cell>
        </row>
        <row r="2440">
          <cell r="K2440">
            <v>1694.68</v>
          </cell>
          <cell r="P2440" t="str">
            <v>80111101-61021102</v>
          </cell>
          <cell r="S2440" t="str">
            <v>2026A-03</v>
          </cell>
          <cell r="T2440" t="str">
            <v>Regular Employee</v>
          </cell>
        </row>
        <row r="2441">
          <cell r="K2441">
            <v>-2627.89</v>
          </cell>
          <cell r="P2441" t="str">
            <v>80111101-61021102</v>
          </cell>
          <cell r="S2441" t="str">
            <v>2026A-03</v>
          </cell>
          <cell r="T2441" t="str">
            <v>Regular Employee</v>
          </cell>
        </row>
        <row r="2442">
          <cell r="K2442">
            <v>-445.93</v>
          </cell>
          <cell r="P2442" t="str">
            <v>80111101-61021102</v>
          </cell>
          <cell r="S2442" t="str">
            <v>2026A-03</v>
          </cell>
          <cell r="T2442" t="str">
            <v>Regular Employee</v>
          </cell>
        </row>
        <row r="2443">
          <cell r="K2443">
            <v>8112.45</v>
          </cell>
          <cell r="P2443" t="str">
            <v>80111101-61021103</v>
          </cell>
          <cell r="S2443" t="str">
            <v>2026A-03</v>
          </cell>
          <cell r="T2443" t="str">
            <v>OT Pay</v>
          </cell>
        </row>
        <row r="2444">
          <cell r="K2444">
            <v>10795.65</v>
          </cell>
          <cell r="P2444" t="str">
            <v>80111101-61021103</v>
          </cell>
          <cell r="S2444" t="str">
            <v>2026A-03</v>
          </cell>
          <cell r="T2444" t="str">
            <v>OT Pay</v>
          </cell>
        </row>
        <row r="2445">
          <cell r="K2445">
            <v>12600</v>
          </cell>
          <cell r="P2445" t="str">
            <v>80111101-61021104</v>
          </cell>
          <cell r="S2445" t="str">
            <v>2026A-03</v>
          </cell>
          <cell r="T2445" t="str">
            <v>OT Pay</v>
          </cell>
        </row>
        <row r="2446">
          <cell r="K2446">
            <v>3170</v>
          </cell>
          <cell r="P2446" t="str">
            <v>80111101-61021306</v>
          </cell>
          <cell r="S2446" t="str">
            <v>2026A-03</v>
          </cell>
          <cell r="T2446" t="str">
            <v>SSS</v>
          </cell>
        </row>
        <row r="2447">
          <cell r="K2447">
            <v>8880</v>
          </cell>
          <cell r="P2447" t="str">
            <v>80111101-61021306</v>
          </cell>
          <cell r="S2447" t="str">
            <v>2026A-03</v>
          </cell>
          <cell r="T2447" t="str">
            <v>SSS</v>
          </cell>
        </row>
        <row r="2448">
          <cell r="K2448">
            <v>40850</v>
          </cell>
          <cell r="P2448" t="str">
            <v>80111101-61021306</v>
          </cell>
          <cell r="S2448" t="str">
            <v>2026A-03</v>
          </cell>
          <cell r="T2448" t="str">
            <v>SSS</v>
          </cell>
        </row>
        <row r="2449">
          <cell r="K2449">
            <v>5000</v>
          </cell>
          <cell r="P2449" t="str">
            <v>80111101-61021309</v>
          </cell>
          <cell r="S2449" t="str">
            <v>2026A-03</v>
          </cell>
          <cell r="T2449" t="str">
            <v>Gas Allowance</v>
          </cell>
        </row>
        <row r="2450">
          <cell r="K2450">
            <v>10000</v>
          </cell>
          <cell r="P2450" t="str">
            <v>80111101-61021309</v>
          </cell>
          <cell r="S2450" t="str">
            <v>2026A-03</v>
          </cell>
          <cell r="T2450" t="str">
            <v>Gas Allowance</v>
          </cell>
        </row>
        <row r="2451">
          <cell r="K2451">
            <v>15000</v>
          </cell>
          <cell r="P2451" t="str">
            <v>80111101-61021309</v>
          </cell>
          <cell r="S2451" t="str">
            <v>2026A-03</v>
          </cell>
          <cell r="T2451" t="str">
            <v>Gas Allowance</v>
          </cell>
        </row>
        <row r="2452">
          <cell r="K2452">
            <v>4453.13</v>
          </cell>
          <cell r="P2452" t="str">
            <v>80124101-61711102</v>
          </cell>
          <cell r="S2452" t="str">
            <v>2026A-03</v>
          </cell>
          <cell r="T2452" t="str">
            <v>Meraki</v>
          </cell>
        </row>
        <row r="2453">
          <cell r="K2453">
            <v>8809.5300000000007</v>
          </cell>
          <cell r="P2453" t="str">
            <v>80124101-61711102</v>
          </cell>
          <cell r="S2453" t="str">
            <v>2026A-03</v>
          </cell>
          <cell r="T2453" t="str">
            <v>Adobe Photoshop</v>
          </cell>
        </row>
        <row r="2454">
          <cell r="K2454">
            <v>8900.91</v>
          </cell>
          <cell r="P2454" t="str">
            <v>80124101-61711102</v>
          </cell>
          <cell r="S2454" t="str">
            <v>2026A-03</v>
          </cell>
          <cell r="T2454" t="str">
            <v>Web Hosting</v>
          </cell>
        </row>
        <row r="2455">
          <cell r="K2455">
            <v>14309.77</v>
          </cell>
          <cell r="P2455" t="str">
            <v>80124101-61711102</v>
          </cell>
          <cell r="S2455" t="str">
            <v>2026A-03</v>
          </cell>
          <cell r="T2455" t="str">
            <v>Aruba</v>
          </cell>
        </row>
        <row r="2456">
          <cell r="K2456">
            <v>43612.79</v>
          </cell>
          <cell r="P2456" t="str">
            <v>80124101-61711102</v>
          </cell>
          <cell r="S2456" t="str">
            <v>2026A-03</v>
          </cell>
          <cell r="T2456" t="str">
            <v>Vmware</v>
          </cell>
        </row>
        <row r="2457">
          <cell r="K2457">
            <v>87944.49</v>
          </cell>
          <cell r="P2457" t="str">
            <v>80124101-61711102</v>
          </cell>
          <cell r="S2457" t="str">
            <v>2026A-03</v>
          </cell>
          <cell r="T2457" t="str">
            <v>M365 Email Security</v>
          </cell>
        </row>
        <row r="2458">
          <cell r="K2458">
            <v>365145.17</v>
          </cell>
          <cell r="P2458" t="str">
            <v>80124101-61711102</v>
          </cell>
          <cell r="S2458" t="str">
            <v>2026A-03</v>
          </cell>
          <cell r="T2458" t="str">
            <v>M365</v>
          </cell>
        </row>
        <row r="2459">
          <cell r="K2459">
            <v>55803.57</v>
          </cell>
          <cell r="P2459" t="str">
            <v>80124101-61711102</v>
          </cell>
          <cell r="S2459" t="str">
            <v>2026A-03</v>
          </cell>
          <cell r="T2459" t="str">
            <v>Kaseya</v>
          </cell>
        </row>
        <row r="2460">
          <cell r="K2460">
            <v>117708.11</v>
          </cell>
          <cell r="P2460" t="str">
            <v>80124101-61711102</v>
          </cell>
          <cell r="S2460" t="str">
            <v>2026A-03</v>
          </cell>
          <cell r="T2460" t="str">
            <v>Menlo Cloud Internet</v>
          </cell>
        </row>
        <row r="2461">
          <cell r="K2461">
            <v>80512.86</v>
          </cell>
          <cell r="P2461" t="str">
            <v>80124101-61711102</v>
          </cell>
          <cell r="S2461" t="str">
            <v>2026A-03</v>
          </cell>
          <cell r="T2461" t="str">
            <v>Crowdstrike</v>
          </cell>
        </row>
        <row r="2462">
          <cell r="K2462">
            <v>381550.68</v>
          </cell>
          <cell r="P2462" t="str">
            <v>80124101-61711102</v>
          </cell>
          <cell r="S2462" t="str">
            <v>2026A-03</v>
          </cell>
          <cell r="T2462" t="str">
            <v>SAP</v>
          </cell>
        </row>
        <row r="2463">
          <cell r="K2463">
            <v>346041.67</v>
          </cell>
          <cell r="P2463" t="str">
            <v>80134102-61711101</v>
          </cell>
          <cell r="S2463" t="str">
            <v>2026A-03</v>
          </cell>
          <cell r="T2463" t="str">
            <v>Membership - Valle Verde</v>
          </cell>
        </row>
        <row r="2464">
          <cell r="K2464">
            <v>57589.29</v>
          </cell>
          <cell r="P2464" t="str">
            <v>80134102-61711101</v>
          </cell>
          <cell r="S2464" t="str">
            <v>2026A-03</v>
          </cell>
          <cell r="T2464" t="str">
            <v>Membership - Consumables</v>
          </cell>
        </row>
        <row r="2465">
          <cell r="K2465">
            <v>125625</v>
          </cell>
          <cell r="P2465" t="str">
            <v>80134102-61711101</v>
          </cell>
          <cell r="S2465" t="str">
            <v>2026A-03</v>
          </cell>
          <cell r="T2465" t="str">
            <v>Membership - OPE</v>
          </cell>
        </row>
        <row r="2466">
          <cell r="K2466">
            <v>4500</v>
          </cell>
          <cell r="P2466" t="str">
            <v>80123101-61711101</v>
          </cell>
          <cell r="S2466" t="str">
            <v>2026A-03</v>
          </cell>
          <cell r="T2466" t="str">
            <v>Dues and Fees - Legal</v>
          </cell>
        </row>
        <row r="2467">
          <cell r="K2467">
            <v>148809.53</v>
          </cell>
          <cell r="P2467" t="str">
            <v>80314101-61731103</v>
          </cell>
          <cell r="S2467" t="str">
            <v>2026A-03</v>
          </cell>
          <cell r="T2467" t="str">
            <v>PR Retainer Fee</v>
          </cell>
        </row>
        <row r="2468">
          <cell r="K2468">
            <v>226178.19</v>
          </cell>
          <cell r="P2468" t="str">
            <v>80123102-61101104</v>
          </cell>
          <cell r="S2468" t="str">
            <v>2026A-03</v>
          </cell>
          <cell r="T2468" t="str">
            <v>Insurance Vehicle</v>
          </cell>
        </row>
        <row r="2469">
          <cell r="K2469">
            <v>17882.16</v>
          </cell>
          <cell r="P2469" t="str">
            <v>80123102-61101104</v>
          </cell>
          <cell r="S2469" t="str">
            <v>2026A-03</v>
          </cell>
          <cell r="T2469" t="str">
            <v>Insurance Vehicle</v>
          </cell>
        </row>
        <row r="2470">
          <cell r="K2470">
            <v>13657.5</v>
          </cell>
          <cell r="P2470" t="str">
            <v>80111101-61021301</v>
          </cell>
          <cell r="S2470" t="str">
            <v>2026A-03</v>
          </cell>
          <cell r="T2470" t="str">
            <v>Life Insurance</v>
          </cell>
        </row>
        <row r="2471">
          <cell r="K2471">
            <v>787.5</v>
          </cell>
          <cell r="P2471" t="str">
            <v>80111101-61021301</v>
          </cell>
          <cell r="S2471" t="str">
            <v>2026A-03</v>
          </cell>
          <cell r="T2471" t="str">
            <v>Life Insurance</v>
          </cell>
        </row>
        <row r="2472">
          <cell r="K2472">
            <v>-62.57</v>
          </cell>
          <cell r="P2472" t="str">
            <v>80123102-61721101</v>
          </cell>
          <cell r="S2472" t="str">
            <v>2026A-03</v>
          </cell>
          <cell r="T2472" t="str">
            <v>Mobile Phones</v>
          </cell>
        </row>
        <row r="2473">
          <cell r="K2473">
            <v>24581.99</v>
          </cell>
          <cell r="P2473" t="str">
            <v>81111101-52041499</v>
          </cell>
          <cell r="S2473" t="str">
            <v>2026A-03</v>
          </cell>
          <cell r="T2473" t="str">
            <v>Admin Staff (H&amp;K)</v>
          </cell>
        </row>
        <row r="2474">
          <cell r="K2474">
            <v>24581.99</v>
          </cell>
          <cell r="P2474" t="str">
            <v>81111101-52041499</v>
          </cell>
          <cell r="S2474" t="str">
            <v>2026A-03</v>
          </cell>
          <cell r="T2474" t="str">
            <v>Admin Staff (H&amp;K)</v>
          </cell>
        </row>
        <row r="2475">
          <cell r="K2475">
            <v>21816.77</v>
          </cell>
          <cell r="P2475" t="str">
            <v>81111101-52041499</v>
          </cell>
          <cell r="S2475" t="str">
            <v>2026A-03</v>
          </cell>
          <cell r="T2475" t="str">
            <v>Admin Staff (H&amp;K)</v>
          </cell>
        </row>
        <row r="2476">
          <cell r="K2476">
            <v>6311.04</v>
          </cell>
          <cell r="P2476" t="str">
            <v>81111101-52041499</v>
          </cell>
          <cell r="S2476" t="str">
            <v>2026A-03</v>
          </cell>
          <cell r="T2476" t="str">
            <v>Admin Staff (H&amp;K)</v>
          </cell>
        </row>
        <row r="2477">
          <cell r="K2477">
            <v>24115.040000000001</v>
          </cell>
          <cell r="P2477" t="str">
            <v>81111101-52041495</v>
          </cell>
          <cell r="S2477" t="str">
            <v>2026A-03</v>
          </cell>
          <cell r="T2477" t="str">
            <v>BTs</v>
          </cell>
        </row>
        <row r="2478">
          <cell r="K2478">
            <v>22910.080000000002</v>
          </cell>
          <cell r="P2478" t="str">
            <v>81111101-52041495</v>
          </cell>
          <cell r="S2478" t="str">
            <v>2026A-03</v>
          </cell>
          <cell r="T2478" t="str">
            <v>BTs</v>
          </cell>
        </row>
        <row r="2479">
          <cell r="K2479">
            <v>25923.64</v>
          </cell>
          <cell r="P2479" t="str">
            <v>81111101-52041495</v>
          </cell>
          <cell r="S2479" t="str">
            <v>2026A-03</v>
          </cell>
          <cell r="T2479" t="str">
            <v>BTs</v>
          </cell>
        </row>
        <row r="2480">
          <cell r="K2480">
            <v>40063.339999999997</v>
          </cell>
          <cell r="P2480" t="str">
            <v>81111101-52041499</v>
          </cell>
          <cell r="S2480" t="str">
            <v>2026A-03</v>
          </cell>
          <cell r="T2480" t="str">
            <v>Admin Staff (TAHj)</v>
          </cell>
        </row>
        <row r="2481">
          <cell r="K2481">
            <v>40118.629999999997</v>
          </cell>
          <cell r="P2481" t="str">
            <v>81111101-52041499</v>
          </cell>
          <cell r="S2481" t="str">
            <v>2026A-03</v>
          </cell>
          <cell r="T2481" t="str">
            <v>Admin Staff (TAHj)</v>
          </cell>
        </row>
        <row r="2482">
          <cell r="K2482">
            <v>6846.76</v>
          </cell>
          <cell r="P2482" t="str">
            <v>81111101-52041499</v>
          </cell>
          <cell r="S2482" t="str">
            <v>2026A-03</v>
          </cell>
          <cell r="T2482" t="str">
            <v>2025 Admin Staff</v>
          </cell>
        </row>
        <row r="2483">
          <cell r="K2483">
            <v>41064.94</v>
          </cell>
          <cell r="P2483" t="str">
            <v>81111101-52041499</v>
          </cell>
          <cell r="S2483" t="str">
            <v>2026A-03</v>
          </cell>
          <cell r="T2483" t="str">
            <v>Admin Staff (TAHj)</v>
          </cell>
        </row>
        <row r="2484">
          <cell r="K2484">
            <v>3139600</v>
          </cell>
          <cell r="P2484" t="str">
            <v>90111101-52121101</v>
          </cell>
          <cell r="S2484" t="str">
            <v>2026A-03</v>
          </cell>
          <cell r="T2484" t="str">
            <v>Regular Employee</v>
          </cell>
        </row>
        <row r="2485">
          <cell r="K2485">
            <v>12824.43</v>
          </cell>
          <cell r="P2485" t="str">
            <v>90111101-52121101</v>
          </cell>
          <cell r="S2485" t="str">
            <v>2026A-03</v>
          </cell>
          <cell r="T2485" t="str">
            <v>Regular Employee</v>
          </cell>
        </row>
        <row r="2486">
          <cell r="K2486">
            <v>3897.76</v>
          </cell>
          <cell r="P2486" t="str">
            <v>90111101-52121101</v>
          </cell>
          <cell r="S2486" t="str">
            <v>2026A-03</v>
          </cell>
          <cell r="T2486" t="str">
            <v>Regular Employee</v>
          </cell>
        </row>
        <row r="2487">
          <cell r="K2487">
            <v>-5105.42</v>
          </cell>
          <cell r="P2487" t="str">
            <v>90111101-52121101</v>
          </cell>
          <cell r="S2487" t="str">
            <v>2026A-03</v>
          </cell>
          <cell r="T2487" t="str">
            <v>Regular Employee</v>
          </cell>
        </row>
        <row r="2488">
          <cell r="K2488">
            <v>-6224.54</v>
          </cell>
          <cell r="P2488" t="str">
            <v>90111101-52121101</v>
          </cell>
          <cell r="S2488" t="str">
            <v>2026A-03</v>
          </cell>
          <cell r="T2488" t="str">
            <v>Regular Employee</v>
          </cell>
        </row>
        <row r="2489">
          <cell r="K2489">
            <v>-6009.23</v>
          </cell>
          <cell r="P2489" t="str">
            <v>90111101-52121101</v>
          </cell>
          <cell r="S2489" t="str">
            <v>2026A-03</v>
          </cell>
          <cell r="T2489" t="str">
            <v>Regular Employee</v>
          </cell>
        </row>
        <row r="2490">
          <cell r="K2490">
            <v>718200</v>
          </cell>
          <cell r="P2490" t="str">
            <v>90111101-52121101</v>
          </cell>
          <cell r="S2490" t="str">
            <v>2026A-03</v>
          </cell>
          <cell r="T2490" t="str">
            <v>Regular Employee</v>
          </cell>
        </row>
        <row r="2491">
          <cell r="K2491">
            <v>-1596.6</v>
          </cell>
          <cell r="P2491" t="str">
            <v>90111101-52121101</v>
          </cell>
          <cell r="S2491" t="str">
            <v>2026A-03</v>
          </cell>
          <cell r="T2491" t="str">
            <v>Regular Employee</v>
          </cell>
        </row>
        <row r="2492">
          <cell r="K2492">
            <v>-426.6</v>
          </cell>
          <cell r="P2492" t="str">
            <v>90111101-52121101</v>
          </cell>
          <cell r="S2492" t="str">
            <v>2026A-03</v>
          </cell>
          <cell r="T2492" t="str">
            <v>Regular Employee</v>
          </cell>
        </row>
        <row r="2493">
          <cell r="K2493">
            <v>-3233.62</v>
          </cell>
          <cell r="P2493" t="str">
            <v>90111101-52121101</v>
          </cell>
          <cell r="S2493" t="str">
            <v>2026A-03</v>
          </cell>
          <cell r="T2493" t="str">
            <v>Regular Employee</v>
          </cell>
        </row>
        <row r="2494">
          <cell r="K2494">
            <v>2097050</v>
          </cell>
          <cell r="P2494" t="str">
            <v>90111101-52121101</v>
          </cell>
          <cell r="S2494" t="str">
            <v>2026A-03</v>
          </cell>
          <cell r="T2494" t="str">
            <v>Regular Employee</v>
          </cell>
        </row>
        <row r="2495">
          <cell r="K2495">
            <v>3261.11</v>
          </cell>
          <cell r="P2495" t="str">
            <v>90111101-52121101</v>
          </cell>
          <cell r="S2495" t="str">
            <v>2026A-03</v>
          </cell>
          <cell r="T2495" t="str">
            <v>Regular Employee</v>
          </cell>
        </row>
        <row r="2496">
          <cell r="K2496">
            <v>10341.200000000001</v>
          </cell>
          <cell r="P2496" t="str">
            <v>90111101-52121101</v>
          </cell>
          <cell r="S2496" t="str">
            <v>2026A-03</v>
          </cell>
          <cell r="T2496" t="str">
            <v>Regular Employee</v>
          </cell>
        </row>
        <row r="2497">
          <cell r="K2497">
            <v>-4577.7</v>
          </cell>
          <cell r="P2497" t="str">
            <v>90111101-52121101</v>
          </cell>
          <cell r="S2497" t="str">
            <v>2026A-03</v>
          </cell>
          <cell r="T2497" t="str">
            <v>Regular Employee</v>
          </cell>
        </row>
        <row r="2498">
          <cell r="K2498">
            <v>-555.23</v>
          </cell>
          <cell r="P2498" t="str">
            <v>90111101-52121101</v>
          </cell>
          <cell r="S2498" t="str">
            <v>2026A-03</v>
          </cell>
          <cell r="T2498" t="str">
            <v>Regular Employee</v>
          </cell>
        </row>
        <row r="2499">
          <cell r="K2499">
            <v>-5651.98</v>
          </cell>
          <cell r="P2499" t="str">
            <v>90111101-52121101</v>
          </cell>
          <cell r="S2499" t="str">
            <v>2026A-03</v>
          </cell>
          <cell r="T2499" t="str">
            <v>Regular Employee</v>
          </cell>
        </row>
        <row r="2500">
          <cell r="K2500">
            <v>1377725</v>
          </cell>
          <cell r="P2500" t="str">
            <v>90111101-52121101</v>
          </cell>
          <cell r="S2500" t="str">
            <v>2026A-03</v>
          </cell>
          <cell r="T2500" t="str">
            <v>Regular Employee</v>
          </cell>
        </row>
        <row r="2501">
          <cell r="K2501">
            <v>-1075.6300000000001</v>
          </cell>
          <cell r="P2501" t="str">
            <v>90111101-52121101</v>
          </cell>
          <cell r="S2501" t="str">
            <v>2026A-03</v>
          </cell>
          <cell r="T2501" t="str">
            <v>Regular Employee</v>
          </cell>
        </row>
        <row r="2502">
          <cell r="K2502">
            <v>27050</v>
          </cell>
          <cell r="P2502" t="str">
            <v>90111101-52121101</v>
          </cell>
          <cell r="S2502" t="str">
            <v>2026A-03</v>
          </cell>
          <cell r="T2502" t="str">
            <v>Regular Employee</v>
          </cell>
        </row>
        <row r="2503">
          <cell r="K2503">
            <v>-250.89</v>
          </cell>
          <cell r="P2503" t="str">
            <v>90111101-52121101</v>
          </cell>
          <cell r="S2503" t="str">
            <v>2026A-03</v>
          </cell>
          <cell r="T2503" t="str">
            <v>Regular Employee</v>
          </cell>
        </row>
        <row r="2504">
          <cell r="K2504">
            <v>494200</v>
          </cell>
          <cell r="P2504" t="str">
            <v>90111101-52121101</v>
          </cell>
          <cell r="S2504" t="str">
            <v>2026A-03</v>
          </cell>
          <cell r="T2504" t="str">
            <v>Regular Employee</v>
          </cell>
        </row>
        <row r="2505">
          <cell r="K2505">
            <v>2390.87</v>
          </cell>
          <cell r="P2505" t="str">
            <v>90111101-52121101</v>
          </cell>
          <cell r="S2505" t="str">
            <v>2026A-03</v>
          </cell>
          <cell r="T2505" t="str">
            <v>Regular Employee</v>
          </cell>
        </row>
        <row r="2506">
          <cell r="K2506">
            <v>-949.62</v>
          </cell>
          <cell r="P2506" t="str">
            <v>90111101-52121101</v>
          </cell>
          <cell r="S2506" t="str">
            <v>2026A-03</v>
          </cell>
          <cell r="T2506" t="str">
            <v>Regular Employee</v>
          </cell>
        </row>
        <row r="2507">
          <cell r="K2507">
            <v>-6.34</v>
          </cell>
          <cell r="P2507" t="str">
            <v>90111101-52121101</v>
          </cell>
          <cell r="S2507" t="str">
            <v>2026A-03</v>
          </cell>
          <cell r="T2507" t="str">
            <v>Regular Employee</v>
          </cell>
        </row>
        <row r="2508">
          <cell r="K2508">
            <v>470350</v>
          </cell>
          <cell r="P2508" t="str">
            <v>90111101-52121101</v>
          </cell>
          <cell r="S2508" t="str">
            <v>2026A-03</v>
          </cell>
          <cell r="T2508" t="str">
            <v>Regular Employee</v>
          </cell>
        </row>
        <row r="2509">
          <cell r="K2509">
            <v>1447.34</v>
          </cell>
          <cell r="P2509" t="str">
            <v>90111101-52121101</v>
          </cell>
          <cell r="S2509" t="str">
            <v>2026A-03</v>
          </cell>
          <cell r="T2509" t="str">
            <v>Regular Employee</v>
          </cell>
        </row>
        <row r="2510">
          <cell r="K2510">
            <v>-208.19</v>
          </cell>
          <cell r="P2510" t="str">
            <v>90111101-52121101</v>
          </cell>
          <cell r="S2510" t="str">
            <v>2026A-03</v>
          </cell>
          <cell r="T2510" t="str">
            <v>Regular Employee</v>
          </cell>
        </row>
        <row r="2511">
          <cell r="K2511">
            <v>-51.69</v>
          </cell>
          <cell r="P2511" t="str">
            <v>90111101-52121101</v>
          </cell>
          <cell r="S2511" t="str">
            <v>2026A-03</v>
          </cell>
          <cell r="T2511" t="str">
            <v>Regular Employee</v>
          </cell>
        </row>
        <row r="2512">
          <cell r="K2512">
            <v>35000</v>
          </cell>
          <cell r="P2512" t="str">
            <v>90111101-52121101</v>
          </cell>
          <cell r="S2512" t="str">
            <v>2026A-03</v>
          </cell>
          <cell r="T2512" t="str">
            <v>Regular Employee</v>
          </cell>
        </row>
        <row r="2513">
          <cell r="K2513">
            <v>12174.49</v>
          </cell>
          <cell r="P2513" t="str">
            <v>90111101-52121102</v>
          </cell>
          <cell r="S2513" t="str">
            <v>2026A-03</v>
          </cell>
          <cell r="T2513" t="str">
            <v>OT Pay</v>
          </cell>
        </row>
        <row r="2514">
          <cell r="K2514">
            <v>18794.169999999998</v>
          </cell>
          <cell r="P2514" t="str">
            <v>90111101-52121102</v>
          </cell>
          <cell r="S2514" t="str">
            <v>2026A-03</v>
          </cell>
          <cell r="T2514" t="str">
            <v>OT Pay</v>
          </cell>
        </row>
        <row r="2515">
          <cell r="K2515">
            <v>8453.2999999999993</v>
          </cell>
          <cell r="P2515" t="str">
            <v>90111101-52121102</v>
          </cell>
          <cell r="S2515" t="str">
            <v>2026A-03</v>
          </cell>
          <cell r="T2515" t="str">
            <v>OT Pay</v>
          </cell>
        </row>
        <row r="2516">
          <cell r="K2516">
            <v>-375</v>
          </cell>
          <cell r="P2516" t="str">
            <v>90111101-52121305</v>
          </cell>
          <cell r="S2516" t="str">
            <v>2026A-03</v>
          </cell>
          <cell r="T2516" t="str">
            <v>Philhealth</v>
          </cell>
        </row>
        <row r="2517">
          <cell r="K2517">
            <v>62790</v>
          </cell>
          <cell r="P2517" t="str">
            <v>90111101-52121305</v>
          </cell>
          <cell r="S2517" t="str">
            <v>2026A-03</v>
          </cell>
          <cell r="T2517" t="str">
            <v>SSS</v>
          </cell>
        </row>
        <row r="2518">
          <cell r="K2518">
            <v>6200</v>
          </cell>
          <cell r="P2518" t="str">
            <v>90111101-52121305</v>
          </cell>
          <cell r="S2518" t="str">
            <v>2026A-03</v>
          </cell>
          <cell r="T2518" t="str">
            <v>SSS</v>
          </cell>
        </row>
        <row r="2519">
          <cell r="K2519">
            <v>48870</v>
          </cell>
          <cell r="P2519" t="str">
            <v>90111101-52121305</v>
          </cell>
          <cell r="S2519" t="str">
            <v>2026A-03</v>
          </cell>
          <cell r="T2519" t="str">
            <v>SSS</v>
          </cell>
        </row>
        <row r="2520">
          <cell r="K2520">
            <v>600</v>
          </cell>
          <cell r="P2520" t="str">
            <v>90111101-52121305</v>
          </cell>
          <cell r="S2520" t="str">
            <v>2026A-03</v>
          </cell>
          <cell r="T2520" t="str">
            <v>SSS</v>
          </cell>
        </row>
        <row r="2521">
          <cell r="K2521">
            <v>800</v>
          </cell>
          <cell r="P2521" t="str">
            <v>90111101-52121305</v>
          </cell>
          <cell r="S2521" t="str">
            <v>2026A-03</v>
          </cell>
          <cell r="T2521" t="str">
            <v>SSS</v>
          </cell>
        </row>
        <row r="2522">
          <cell r="K2522">
            <v>6070</v>
          </cell>
          <cell r="P2522" t="str">
            <v>90111101-52121305</v>
          </cell>
          <cell r="S2522" t="str">
            <v>2026A-03</v>
          </cell>
          <cell r="T2522" t="str">
            <v>SSS</v>
          </cell>
        </row>
        <row r="2523">
          <cell r="K2523">
            <v>7510</v>
          </cell>
          <cell r="P2523" t="str">
            <v>90111101-52121305</v>
          </cell>
          <cell r="S2523" t="str">
            <v>2026A-03</v>
          </cell>
          <cell r="T2523" t="str">
            <v>SSS</v>
          </cell>
        </row>
        <row r="2524">
          <cell r="K2524">
            <v>215500</v>
          </cell>
          <cell r="P2524" t="str">
            <v>90111101-52121308</v>
          </cell>
          <cell r="S2524" t="str">
            <v>2026A-03</v>
          </cell>
          <cell r="T2524" t="str">
            <v>Gas Allowance</v>
          </cell>
        </row>
        <row r="2525">
          <cell r="K2525">
            <v>29000</v>
          </cell>
          <cell r="P2525" t="str">
            <v>90111101-52121308</v>
          </cell>
          <cell r="S2525" t="str">
            <v>2026A-03</v>
          </cell>
          <cell r="T2525" t="str">
            <v>Gas Allowance</v>
          </cell>
        </row>
        <row r="2526">
          <cell r="K2526">
            <v>174250</v>
          </cell>
          <cell r="P2526" t="str">
            <v>90111101-52121308</v>
          </cell>
          <cell r="S2526" t="str">
            <v>2026A-03</v>
          </cell>
          <cell r="T2526" t="str">
            <v>Gas Allowance</v>
          </cell>
        </row>
        <row r="2527">
          <cell r="K2527">
            <v>48000</v>
          </cell>
          <cell r="P2527" t="str">
            <v>90111101-52121308</v>
          </cell>
          <cell r="S2527" t="str">
            <v>2026A-03</v>
          </cell>
          <cell r="T2527" t="str">
            <v>Gas Allowance</v>
          </cell>
        </row>
        <row r="2528">
          <cell r="K2528">
            <v>53750</v>
          </cell>
          <cell r="P2528" t="str">
            <v>90111101-52121308</v>
          </cell>
          <cell r="S2528" t="str">
            <v>2026A-03</v>
          </cell>
          <cell r="T2528" t="str">
            <v>Gas Allowance</v>
          </cell>
        </row>
        <row r="2529">
          <cell r="K2529">
            <v>46250</v>
          </cell>
          <cell r="P2529" t="str">
            <v>90111101-52121308</v>
          </cell>
          <cell r="S2529" t="str">
            <v>2026A-03</v>
          </cell>
          <cell r="T2529" t="str">
            <v>Gas Allowance</v>
          </cell>
        </row>
        <row r="2530">
          <cell r="K2530">
            <v>918331.73</v>
          </cell>
          <cell r="P2530" t="str">
            <v>90111101-52121303</v>
          </cell>
          <cell r="S2530" t="str">
            <v>2026A-03</v>
          </cell>
          <cell r="T2530" t="str">
            <v>HMO</v>
          </cell>
        </row>
        <row r="2531">
          <cell r="K2531">
            <v>-73684.22</v>
          </cell>
          <cell r="P2531" t="str">
            <v>90122101-52041499</v>
          </cell>
          <cell r="S2531" t="str">
            <v>2026A-03</v>
          </cell>
          <cell r="T2531" t="str">
            <v>HRIS Tirso</v>
          </cell>
        </row>
        <row r="2532">
          <cell r="K2532">
            <v>-36842.11</v>
          </cell>
          <cell r="P2532" t="str">
            <v>90122101-52041499</v>
          </cell>
          <cell r="S2532" t="str">
            <v>2026A-03</v>
          </cell>
          <cell r="T2532" t="str">
            <v>HRIS Tirso</v>
          </cell>
        </row>
        <row r="2533">
          <cell r="K2533">
            <v>73684.22</v>
          </cell>
          <cell r="P2533" t="str">
            <v>90122101-52071104</v>
          </cell>
          <cell r="S2533" t="str">
            <v>2026A-03</v>
          </cell>
          <cell r="T2533" t="str">
            <v>HRIS Tirso</v>
          </cell>
        </row>
        <row r="2534">
          <cell r="K2534">
            <v>36842.11</v>
          </cell>
          <cell r="P2534" t="str">
            <v>90122101-52071104</v>
          </cell>
          <cell r="S2534" t="str">
            <v>2026A-03</v>
          </cell>
          <cell r="T2534" t="str">
            <v>HRIS Tirso</v>
          </cell>
        </row>
        <row r="2535">
          <cell r="K2535">
            <v>1051640.8500000001</v>
          </cell>
          <cell r="P2535" t="str">
            <v>90111101-52121313</v>
          </cell>
          <cell r="S2535" t="str">
            <v>2026A-03</v>
          </cell>
          <cell r="T2535" t="str">
            <v>FBT</v>
          </cell>
        </row>
        <row r="2536">
          <cell r="K2536">
            <v>-2994570.36</v>
          </cell>
          <cell r="P2536" t="str">
            <v>80123101-61071002</v>
          </cell>
          <cell r="S2536" t="str">
            <v>2026A-03</v>
          </cell>
          <cell r="T2536" t="str">
            <v>Open Cases</v>
          </cell>
        </row>
        <row r="2537">
          <cell r="K2537">
            <v>2988220.36</v>
          </cell>
          <cell r="P2537" t="str">
            <v>80123101-61071002</v>
          </cell>
          <cell r="S2537" t="str">
            <v>2026A-03</v>
          </cell>
          <cell r="T2537" t="str">
            <v>Open Cases</v>
          </cell>
        </row>
        <row r="2538">
          <cell r="K2538">
            <v>360</v>
          </cell>
          <cell r="P2538" t="str">
            <v>80111101-52031103</v>
          </cell>
          <cell r="S2538" t="str">
            <v>2026A-03</v>
          </cell>
          <cell r="T2538" t="str">
            <v>DST</v>
          </cell>
        </row>
        <row r="2539">
          <cell r="K2539">
            <v>5100</v>
          </cell>
          <cell r="P2539" t="str">
            <v>90111101-61021206</v>
          </cell>
          <cell r="S2539" t="str">
            <v>2026A-03</v>
          </cell>
          <cell r="T2539" t="str">
            <v>OJT</v>
          </cell>
        </row>
        <row r="2540">
          <cell r="K2540">
            <v>540</v>
          </cell>
          <cell r="P2540" t="str">
            <v>80111101-52031103</v>
          </cell>
          <cell r="S2540" t="str">
            <v>2026A-03</v>
          </cell>
          <cell r="T2540" t="str">
            <v>DST</v>
          </cell>
        </row>
        <row r="2541">
          <cell r="K2541">
            <v>53437.5</v>
          </cell>
          <cell r="P2541" t="str">
            <v>81124101-52952103</v>
          </cell>
          <cell r="S2541" t="str">
            <v>2026A-03</v>
          </cell>
          <cell r="T2541" t="str">
            <v>Meraki</v>
          </cell>
        </row>
        <row r="2542">
          <cell r="K2542">
            <v>-276298.77</v>
          </cell>
          <cell r="P2542" t="str">
            <v>80111101-61021303</v>
          </cell>
          <cell r="S2542" t="str">
            <v>2026A-03</v>
          </cell>
          <cell r="T2542" t="str">
            <v>HMO</v>
          </cell>
        </row>
        <row r="2543">
          <cell r="K2543">
            <v>-20000</v>
          </cell>
          <cell r="P2543" t="str">
            <v>80123101-61071005</v>
          </cell>
          <cell r="S2543" t="str">
            <v>2026A-03</v>
          </cell>
          <cell r="T2543" t="str">
            <v>Angara</v>
          </cell>
        </row>
        <row r="2544">
          <cell r="K2544">
            <v>-10000</v>
          </cell>
          <cell r="P2544" t="str">
            <v>80123101-61071005</v>
          </cell>
          <cell r="S2544" t="str">
            <v>2026A-03</v>
          </cell>
          <cell r="T2544" t="str">
            <v>Santiago</v>
          </cell>
        </row>
        <row r="2545">
          <cell r="K2545">
            <v>-7000</v>
          </cell>
          <cell r="P2545" t="str">
            <v>80123101-61071005</v>
          </cell>
          <cell r="S2545" t="str">
            <v>2026A-03</v>
          </cell>
          <cell r="T2545" t="str">
            <v>Corpuz</v>
          </cell>
        </row>
        <row r="2546">
          <cell r="K2546">
            <v>-62778.57</v>
          </cell>
          <cell r="P2546" t="str">
            <v>80123102-61111201</v>
          </cell>
          <cell r="S2546" t="str">
            <v>2026A-03</v>
          </cell>
          <cell r="T2546" t="str">
            <v>Shell</v>
          </cell>
        </row>
        <row r="2547">
          <cell r="K2547">
            <v>-41530</v>
          </cell>
          <cell r="P2547" t="str">
            <v>80124101-61721105</v>
          </cell>
          <cell r="S2547" t="str">
            <v>2026A-03</v>
          </cell>
          <cell r="T2547" t="str">
            <v>Innove - SC1</v>
          </cell>
        </row>
        <row r="2548">
          <cell r="K2548">
            <v>-115000</v>
          </cell>
          <cell r="P2548" t="str">
            <v>80124101-61721105</v>
          </cell>
          <cell r="S2548" t="str">
            <v>2026A-03</v>
          </cell>
          <cell r="T2548" t="str">
            <v>Innove - HQ</v>
          </cell>
        </row>
        <row r="2549">
          <cell r="K2549">
            <v>840</v>
          </cell>
          <cell r="P2549" t="str">
            <v>80111101-52031103</v>
          </cell>
          <cell r="S2549" t="str">
            <v>2026A-03</v>
          </cell>
          <cell r="T2549" t="str">
            <v>DST</v>
          </cell>
        </row>
        <row r="2550">
          <cell r="K2550">
            <v>112677.41</v>
          </cell>
          <cell r="P2550" t="str">
            <v>80111101-52031103</v>
          </cell>
          <cell r="S2550" t="str">
            <v>2026A-03</v>
          </cell>
          <cell r="T2550" t="str">
            <v>DST</v>
          </cell>
        </row>
        <row r="2551">
          <cell r="K2551">
            <v>1209.29</v>
          </cell>
          <cell r="P2551" t="str">
            <v>80124101-61721105</v>
          </cell>
          <cell r="S2551" t="str">
            <v>2026A-03</v>
          </cell>
          <cell r="T2551" t="str">
            <v>SMS Blast</v>
          </cell>
        </row>
        <row r="2552">
          <cell r="K2552">
            <v>461.88</v>
          </cell>
          <cell r="P2552" t="str">
            <v>80123101-61091101</v>
          </cell>
          <cell r="S2552" t="str">
            <v>2026A-03</v>
          </cell>
          <cell r="T2552" t="str">
            <v>Meetings</v>
          </cell>
        </row>
        <row r="2553">
          <cell r="K2553">
            <v>414448.15</v>
          </cell>
          <cell r="P2553" t="str">
            <v>80111101-61021303</v>
          </cell>
          <cell r="S2553" t="str">
            <v>2026A-03</v>
          </cell>
          <cell r="T2553" t="str">
            <v>HMO</v>
          </cell>
        </row>
        <row r="2554">
          <cell r="K2554">
            <v>-141366.07</v>
          </cell>
          <cell r="P2554" t="str">
            <v>80124101-61721105</v>
          </cell>
          <cell r="S2554" t="str">
            <v>2026A-03</v>
          </cell>
          <cell r="T2554" t="str">
            <v>SMS Blast</v>
          </cell>
        </row>
        <row r="2555">
          <cell r="K2555">
            <v>20000</v>
          </cell>
          <cell r="P2555" t="str">
            <v>80123101-61071005</v>
          </cell>
          <cell r="S2555" t="str">
            <v>2026A-03</v>
          </cell>
          <cell r="T2555" t="str">
            <v>Angara</v>
          </cell>
        </row>
        <row r="2556">
          <cell r="K2556">
            <v>41530</v>
          </cell>
          <cell r="P2556" t="str">
            <v>80124101-61721105</v>
          </cell>
          <cell r="S2556" t="str">
            <v>2026A-03</v>
          </cell>
          <cell r="T2556" t="str">
            <v>Innove - SC1</v>
          </cell>
        </row>
        <row r="2557">
          <cell r="K2557">
            <v>115000</v>
          </cell>
          <cell r="P2557" t="str">
            <v>80124101-61721105</v>
          </cell>
          <cell r="S2557" t="str">
            <v>2026A-03</v>
          </cell>
          <cell r="T2557" t="str">
            <v>Innove - HQ</v>
          </cell>
        </row>
        <row r="2558">
          <cell r="K2558">
            <v>49103.85</v>
          </cell>
          <cell r="P2558" t="str">
            <v>80123102-61721101</v>
          </cell>
          <cell r="S2558" t="str">
            <v>2026A-03</v>
          </cell>
          <cell r="T2558" t="str">
            <v>Mobile Phones</v>
          </cell>
        </row>
        <row r="2559">
          <cell r="K2559">
            <v>4427.08</v>
          </cell>
          <cell r="P2559" t="str">
            <v>81111101-52121303</v>
          </cell>
          <cell r="S2559" t="str">
            <v>2026A-03</v>
          </cell>
          <cell r="T2559" t="str">
            <v>HMO</v>
          </cell>
        </row>
        <row r="2560">
          <cell r="K2560">
            <v>181571.17</v>
          </cell>
          <cell r="P2560" t="str">
            <v>81111101-52121303</v>
          </cell>
          <cell r="S2560" t="str">
            <v>2026A-03</v>
          </cell>
          <cell r="T2560" t="str">
            <v>HMO</v>
          </cell>
        </row>
        <row r="2561">
          <cell r="K2561">
            <v>1151.92</v>
          </cell>
          <cell r="P2561" t="str">
            <v>81111101-52101105</v>
          </cell>
          <cell r="S2561" t="str">
            <v>2026A-03</v>
          </cell>
          <cell r="T2561" t="str">
            <v>PTS</v>
          </cell>
        </row>
        <row r="2562">
          <cell r="K2562">
            <v>174206.35</v>
          </cell>
          <cell r="P2562" t="str">
            <v>81111101-52041499</v>
          </cell>
          <cell r="S2562" t="str">
            <v>2026A-03</v>
          </cell>
          <cell r="T2562" t="str">
            <v>Admin Staff (SFI)</v>
          </cell>
        </row>
        <row r="2563">
          <cell r="K2563">
            <v>104080.13</v>
          </cell>
          <cell r="P2563" t="str">
            <v>80123102-61111201</v>
          </cell>
          <cell r="S2563" t="str">
            <v>2026A-03</v>
          </cell>
          <cell r="T2563" t="str">
            <v>Shell</v>
          </cell>
        </row>
        <row r="2564">
          <cell r="K2564">
            <v>6650</v>
          </cell>
          <cell r="P2564" t="str">
            <v>81319101-52061105</v>
          </cell>
          <cell r="S2564" t="str">
            <v>2026A-03</v>
          </cell>
          <cell r="T2564" t="str">
            <v>R&amp;M - GH</v>
          </cell>
        </row>
        <row r="2565">
          <cell r="K2565">
            <v>1000</v>
          </cell>
          <cell r="P2565" t="str">
            <v>80123101-61071002</v>
          </cell>
          <cell r="S2565" t="str">
            <v>2026A-03</v>
          </cell>
          <cell r="T2565" t="str">
            <v>Notarial Fees</v>
          </cell>
        </row>
        <row r="2566">
          <cell r="K2566">
            <v>2000</v>
          </cell>
          <cell r="P2566" t="str">
            <v>90123101-61071002</v>
          </cell>
          <cell r="S2566" t="str">
            <v>2026A-03</v>
          </cell>
          <cell r="T2566" t="str">
            <v>Notarial Fees</v>
          </cell>
        </row>
        <row r="2567">
          <cell r="K2567">
            <v>30000</v>
          </cell>
          <cell r="P2567" t="str">
            <v>81123102-52081101</v>
          </cell>
          <cell r="S2567" t="str">
            <v>2026A-03</v>
          </cell>
          <cell r="T2567" t="str">
            <v>Zero</v>
          </cell>
        </row>
        <row r="2568">
          <cell r="K2568">
            <v>-30000</v>
          </cell>
          <cell r="P2568" t="str">
            <v>81123102-52081101</v>
          </cell>
          <cell r="S2568" t="str">
            <v>2026A-03</v>
          </cell>
          <cell r="T2568" t="str">
            <v>Zero</v>
          </cell>
        </row>
        <row r="2569">
          <cell r="K2569">
            <v>220</v>
          </cell>
          <cell r="P2569" t="str">
            <v>81123102-52081101</v>
          </cell>
          <cell r="S2569" t="str">
            <v>2026A-03</v>
          </cell>
          <cell r="T2569" t="str">
            <v>Transpo</v>
          </cell>
        </row>
        <row r="2570">
          <cell r="K2570">
            <v>-10500</v>
          </cell>
          <cell r="P2570" t="str">
            <v>90111101-61021403</v>
          </cell>
          <cell r="S2570" t="str">
            <v>2026A-03</v>
          </cell>
          <cell r="T2570" t="str">
            <v>Paper Towels</v>
          </cell>
        </row>
        <row r="2571">
          <cell r="K2571">
            <v>-182474.73</v>
          </cell>
          <cell r="P2571" t="str">
            <v>80111101-61021403</v>
          </cell>
          <cell r="S2571" t="str">
            <v>2026A-03</v>
          </cell>
          <cell r="T2571" t="str">
            <v>SMS Blast</v>
          </cell>
        </row>
        <row r="2572">
          <cell r="K2572">
            <v>41108.660000000003</v>
          </cell>
          <cell r="P2572" t="str">
            <v>80111101-61021403</v>
          </cell>
          <cell r="S2572" t="str">
            <v>2026A-03</v>
          </cell>
          <cell r="T2572" t="str">
            <v>SMS Blast</v>
          </cell>
        </row>
        <row r="2573">
          <cell r="K2573">
            <v>40000</v>
          </cell>
          <cell r="P2573" t="str">
            <v>90134102-52071104</v>
          </cell>
          <cell r="S2573" t="str">
            <v>2026A-03</v>
          </cell>
          <cell r="T2573" t="str">
            <v>TPD</v>
          </cell>
        </row>
        <row r="2574">
          <cell r="K2574">
            <v>6000</v>
          </cell>
          <cell r="P2574" t="str">
            <v>90134102-52071104</v>
          </cell>
          <cell r="S2574" t="str">
            <v>2026A-03</v>
          </cell>
          <cell r="T2574" t="str">
            <v>TPD</v>
          </cell>
        </row>
        <row r="2575">
          <cell r="K2575">
            <v>-0.01</v>
          </cell>
          <cell r="P2575" t="str">
            <v>81123102-52111101</v>
          </cell>
          <cell r="S2575" t="str">
            <v>2026A-03</v>
          </cell>
          <cell r="T2575" t="str">
            <v>Toner/ink</v>
          </cell>
        </row>
        <row r="2576">
          <cell r="K2576">
            <v>-162500</v>
          </cell>
          <cell r="P2576" t="str">
            <v>81111101-52041401</v>
          </cell>
          <cell r="S2576" t="str">
            <v>2026A-03</v>
          </cell>
          <cell r="T2576" t="str">
            <v>Security HQ</v>
          </cell>
        </row>
        <row r="2577">
          <cell r="K2577">
            <v>-109500</v>
          </cell>
          <cell r="P2577" t="str">
            <v>81111101-52041401</v>
          </cell>
          <cell r="S2577" t="str">
            <v>2026A-03</v>
          </cell>
          <cell r="T2577" t="str">
            <v>Security HQ</v>
          </cell>
        </row>
        <row r="2578">
          <cell r="K2578">
            <v>-109500</v>
          </cell>
          <cell r="P2578" t="str">
            <v>81111101-52041401</v>
          </cell>
          <cell r="S2578" t="str">
            <v>2026A-03</v>
          </cell>
          <cell r="T2578" t="str">
            <v>Security HQ</v>
          </cell>
        </row>
        <row r="2579">
          <cell r="K2579">
            <v>-182500</v>
          </cell>
          <cell r="P2579" t="str">
            <v>81111101-52041405</v>
          </cell>
          <cell r="S2579" t="str">
            <v>2026A-03</v>
          </cell>
          <cell r="T2579" t="str">
            <v>Janitorial (SFI)</v>
          </cell>
        </row>
        <row r="2580">
          <cell r="K2580">
            <v>-20000</v>
          </cell>
          <cell r="P2580" t="str">
            <v>81111101-52041405</v>
          </cell>
          <cell r="S2580" t="str">
            <v>2026A-03</v>
          </cell>
          <cell r="T2580" t="str">
            <v>Janitorial (H&amp;K)</v>
          </cell>
        </row>
        <row r="2581">
          <cell r="K2581">
            <v>-57500</v>
          </cell>
          <cell r="P2581" t="str">
            <v>81111101-52041405</v>
          </cell>
          <cell r="S2581" t="str">
            <v>2026A-03</v>
          </cell>
          <cell r="T2581" t="str">
            <v>Janitorial (S1)</v>
          </cell>
        </row>
        <row r="2582">
          <cell r="K2582">
            <v>-57500</v>
          </cell>
          <cell r="P2582" t="str">
            <v>81111101-52041405</v>
          </cell>
          <cell r="S2582" t="str">
            <v>2026A-03</v>
          </cell>
          <cell r="T2582" t="str">
            <v>Janitorial (S1)</v>
          </cell>
        </row>
        <row r="2583">
          <cell r="K2583">
            <v>105000</v>
          </cell>
          <cell r="P2583" t="str">
            <v>80314101-52551201</v>
          </cell>
          <cell r="S2583" t="str">
            <v>2026A-03</v>
          </cell>
          <cell r="T2583" t="str">
            <v>Townhall</v>
          </cell>
        </row>
        <row r="2584">
          <cell r="K2584">
            <v>20089.29</v>
          </cell>
          <cell r="P2584" t="str">
            <v>81123102-52111101</v>
          </cell>
          <cell r="S2584" t="str">
            <v>2026A-03</v>
          </cell>
          <cell r="T2584" t="str">
            <v>Office Supplies - Others</v>
          </cell>
        </row>
        <row r="2585">
          <cell r="K2585">
            <v>3964.29</v>
          </cell>
          <cell r="P2585" t="str">
            <v>81123102-52111101</v>
          </cell>
          <cell r="S2585" t="str">
            <v>2026A-03</v>
          </cell>
          <cell r="T2585" t="str">
            <v>Office Supplies - Others</v>
          </cell>
        </row>
        <row r="2586">
          <cell r="K2586">
            <v>15535.71</v>
          </cell>
          <cell r="P2586" t="str">
            <v>81123102-52111101</v>
          </cell>
          <cell r="S2586" t="str">
            <v>2026A-03</v>
          </cell>
          <cell r="T2586" t="str">
            <v>Office Supplies - Others</v>
          </cell>
        </row>
        <row r="2587">
          <cell r="K2587">
            <v>550</v>
          </cell>
          <cell r="P2587" t="str">
            <v>81123102-52111101</v>
          </cell>
          <cell r="S2587" t="str">
            <v>2026A-03</v>
          </cell>
          <cell r="T2587" t="str">
            <v>Office Supplies - Others</v>
          </cell>
        </row>
        <row r="2588">
          <cell r="K2588">
            <v>1767.86</v>
          </cell>
          <cell r="P2588" t="str">
            <v>81123102-52111101</v>
          </cell>
          <cell r="S2588" t="str">
            <v>2026A-03</v>
          </cell>
          <cell r="T2588" t="str">
            <v>Office Supplies - Others</v>
          </cell>
        </row>
        <row r="2589">
          <cell r="K2589">
            <v>675</v>
          </cell>
          <cell r="P2589" t="str">
            <v>81123102-52111101</v>
          </cell>
          <cell r="S2589" t="str">
            <v>2026A-03</v>
          </cell>
          <cell r="T2589" t="str">
            <v>Office Supplies - Others</v>
          </cell>
        </row>
        <row r="2590">
          <cell r="K2590">
            <v>1071.43</v>
          </cell>
          <cell r="P2590" t="str">
            <v>81123102-52111101</v>
          </cell>
          <cell r="S2590" t="str">
            <v>2026A-03</v>
          </cell>
          <cell r="T2590" t="str">
            <v>Office Supplies - Others</v>
          </cell>
        </row>
        <row r="2591">
          <cell r="K2591">
            <v>642.86</v>
          </cell>
          <cell r="P2591" t="str">
            <v>81123102-52111101</v>
          </cell>
          <cell r="S2591" t="str">
            <v>2026A-03</v>
          </cell>
          <cell r="T2591" t="str">
            <v>Office Supplies - Others</v>
          </cell>
        </row>
        <row r="2592">
          <cell r="K2592">
            <v>94.29</v>
          </cell>
          <cell r="P2592" t="str">
            <v>81123102-52111101</v>
          </cell>
          <cell r="S2592" t="str">
            <v>2026A-03</v>
          </cell>
          <cell r="T2592" t="str">
            <v>Office Supplies - Others</v>
          </cell>
        </row>
        <row r="2593">
          <cell r="K2593">
            <v>102.68</v>
          </cell>
          <cell r="P2593" t="str">
            <v>81123102-52111101</v>
          </cell>
          <cell r="S2593" t="str">
            <v>2026A-03</v>
          </cell>
          <cell r="T2593" t="str">
            <v>Office Supplies - Others</v>
          </cell>
        </row>
        <row r="2594">
          <cell r="K2594">
            <v>1028.57</v>
          </cell>
          <cell r="P2594" t="str">
            <v>81123102-52111101</v>
          </cell>
          <cell r="S2594" t="str">
            <v>2026A-03</v>
          </cell>
          <cell r="T2594" t="str">
            <v>Office Supplies - Others</v>
          </cell>
        </row>
        <row r="2595">
          <cell r="K2595">
            <v>13392.86</v>
          </cell>
          <cell r="P2595" t="str">
            <v>81123102-52111101</v>
          </cell>
          <cell r="S2595" t="str">
            <v>2026A-03</v>
          </cell>
          <cell r="T2595" t="str">
            <v>Office Supplies - Others</v>
          </cell>
        </row>
        <row r="2596">
          <cell r="K2596">
            <v>78.569999999999993</v>
          </cell>
          <cell r="P2596" t="str">
            <v>81123102-52111101</v>
          </cell>
          <cell r="S2596" t="str">
            <v>2026A-03</v>
          </cell>
          <cell r="T2596" t="str">
            <v>Office Supplies - Others</v>
          </cell>
        </row>
        <row r="2597">
          <cell r="K2597">
            <v>53.57</v>
          </cell>
          <cell r="P2597" t="str">
            <v>81123102-52111101</v>
          </cell>
          <cell r="S2597" t="str">
            <v>2026A-03</v>
          </cell>
          <cell r="T2597" t="str">
            <v>Office Supplies - Others</v>
          </cell>
        </row>
        <row r="2598">
          <cell r="K2598">
            <v>2089.29</v>
          </cell>
          <cell r="P2598" t="str">
            <v>81123102-52111101</v>
          </cell>
          <cell r="S2598" t="str">
            <v>2026A-03</v>
          </cell>
          <cell r="T2598" t="str">
            <v>Office Supplies - Others</v>
          </cell>
        </row>
        <row r="2599">
          <cell r="K2599">
            <v>335.71</v>
          </cell>
          <cell r="P2599" t="str">
            <v>81123102-52111101</v>
          </cell>
          <cell r="S2599" t="str">
            <v>2026A-03</v>
          </cell>
          <cell r="T2599" t="str">
            <v>Office Supplies - Others</v>
          </cell>
        </row>
        <row r="2600">
          <cell r="K2600">
            <v>80.36</v>
          </cell>
          <cell r="P2600" t="str">
            <v>81123102-52111101</v>
          </cell>
          <cell r="S2600" t="str">
            <v>2026A-03</v>
          </cell>
          <cell r="T2600" t="str">
            <v>Office Supplies - Others</v>
          </cell>
        </row>
        <row r="2601">
          <cell r="K2601">
            <v>71.430000000000007</v>
          </cell>
          <cell r="P2601" t="str">
            <v>81123102-52111101</v>
          </cell>
          <cell r="S2601" t="str">
            <v>2026A-03</v>
          </cell>
          <cell r="T2601" t="str">
            <v>Office Supplies - Others</v>
          </cell>
        </row>
        <row r="2602">
          <cell r="K2602">
            <v>1982.14</v>
          </cell>
          <cell r="P2602" t="str">
            <v>81123102-52111101</v>
          </cell>
          <cell r="S2602" t="str">
            <v>2026A-03</v>
          </cell>
          <cell r="T2602" t="str">
            <v>Office Supplies - Others</v>
          </cell>
        </row>
        <row r="2603">
          <cell r="K2603">
            <v>2767.86</v>
          </cell>
          <cell r="P2603" t="str">
            <v>81123102-52111101</v>
          </cell>
          <cell r="S2603" t="str">
            <v>2026A-03</v>
          </cell>
          <cell r="T2603" t="str">
            <v>Office Supplies - Others</v>
          </cell>
        </row>
        <row r="2604">
          <cell r="K2604">
            <v>736.61</v>
          </cell>
          <cell r="P2604" t="str">
            <v>81123102-52111101</v>
          </cell>
          <cell r="S2604" t="str">
            <v>2026A-03</v>
          </cell>
          <cell r="T2604" t="str">
            <v>Office Supplies - Others</v>
          </cell>
        </row>
        <row r="2605">
          <cell r="K2605">
            <v>21.43</v>
          </cell>
          <cell r="P2605" t="str">
            <v>81123102-52111101</v>
          </cell>
          <cell r="S2605" t="str">
            <v>2026A-03</v>
          </cell>
          <cell r="T2605" t="str">
            <v>Office Supplies - Others</v>
          </cell>
        </row>
        <row r="2606">
          <cell r="K2606">
            <v>392.86</v>
          </cell>
          <cell r="P2606" t="str">
            <v>81123102-52111101</v>
          </cell>
          <cell r="S2606" t="str">
            <v>2026A-03</v>
          </cell>
          <cell r="T2606" t="str">
            <v>Office Supplies - Others</v>
          </cell>
        </row>
        <row r="2607">
          <cell r="K2607">
            <v>68.75</v>
          </cell>
          <cell r="P2607" t="str">
            <v>81123102-52111101</v>
          </cell>
          <cell r="S2607" t="str">
            <v>2026A-03</v>
          </cell>
          <cell r="T2607" t="str">
            <v>Office Supplies - Others</v>
          </cell>
        </row>
        <row r="2608">
          <cell r="K2608">
            <v>200.89</v>
          </cell>
          <cell r="P2608" t="str">
            <v>81123102-52111101</v>
          </cell>
          <cell r="S2608" t="str">
            <v>2026A-03</v>
          </cell>
          <cell r="T2608" t="str">
            <v>Office Supplies - Others</v>
          </cell>
        </row>
        <row r="2609">
          <cell r="K2609">
            <v>123.21</v>
          </cell>
          <cell r="P2609" t="str">
            <v>81123102-52111101</v>
          </cell>
          <cell r="S2609" t="str">
            <v>2026A-03</v>
          </cell>
          <cell r="T2609" t="str">
            <v>Office Supplies - Others</v>
          </cell>
        </row>
        <row r="2610">
          <cell r="K2610">
            <v>500</v>
          </cell>
          <cell r="P2610" t="str">
            <v>81123102-52111101</v>
          </cell>
          <cell r="S2610" t="str">
            <v>2026A-03</v>
          </cell>
          <cell r="T2610" t="str">
            <v>Office Supplies - Others</v>
          </cell>
        </row>
        <row r="2611">
          <cell r="K2611">
            <v>433.93</v>
          </cell>
          <cell r="P2611" t="str">
            <v>81123102-52111101</v>
          </cell>
          <cell r="S2611" t="str">
            <v>2026A-03</v>
          </cell>
          <cell r="T2611" t="str">
            <v>Office Supplies - Others</v>
          </cell>
        </row>
        <row r="2612">
          <cell r="K2612">
            <v>154.02000000000001</v>
          </cell>
          <cell r="P2612" t="str">
            <v>81123102-52111101</v>
          </cell>
          <cell r="S2612" t="str">
            <v>2026A-03</v>
          </cell>
          <cell r="T2612" t="str">
            <v>Office Supplies - Others</v>
          </cell>
        </row>
        <row r="2613">
          <cell r="K2613">
            <v>154.02000000000001</v>
          </cell>
          <cell r="P2613" t="str">
            <v>81123102-52111101</v>
          </cell>
          <cell r="S2613" t="str">
            <v>2026A-03</v>
          </cell>
          <cell r="T2613" t="str">
            <v>Office Supplies - Others</v>
          </cell>
        </row>
        <row r="2614">
          <cell r="K2614">
            <v>154.02000000000001</v>
          </cell>
          <cell r="P2614" t="str">
            <v>81123102-52111101</v>
          </cell>
          <cell r="S2614" t="str">
            <v>2026A-03</v>
          </cell>
          <cell r="T2614" t="str">
            <v>Office Supplies - Others</v>
          </cell>
        </row>
        <row r="2615">
          <cell r="K2615">
            <v>513.39</v>
          </cell>
          <cell r="P2615" t="str">
            <v>81123102-52111101</v>
          </cell>
          <cell r="S2615" t="str">
            <v>2026A-03</v>
          </cell>
          <cell r="T2615" t="str">
            <v>Office Supplies - Others</v>
          </cell>
        </row>
        <row r="2616">
          <cell r="K2616">
            <v>642.86</v>
          </cell>
          <cell r="P2616" t="str">
            <v>81123102-52111101</v>
          </cell>
          <cell r="S2616" t="str">
            <v>2026A-03</v>
          </cell>
          <cell r="T2616" t="str">
            <v>Office Supplies - Others</v>
          </cell>
        </row>
        <row r="2617">
          <cell r="K2617">
            <v>58.93</v>
          </cell>
          <cell r="P2617" t="str">
            <v>81123102-52111101</v>
          </cell>
          <cell r="S2617" t="str">
            <v>2026A-03</v>
          </cell>
          <cell r="T2617" t="str">
            <v>Office Supplies - Others</v>
          </cell>
        </row>
        <row r="2618">
          <cell r="K2618">
            <v>58.93</v>
          </cell>
          <cell r="P2618" t="str">
            <v>81123102-52111101</v>
          </cell>
          <cell r="S2618" t="str">
            <v>2026A-03</v>
          </cell>
          <cell r="T2618" t="str">
            <v>Office Supplies - Others</v>
          </cell>
        </row>
        <row r="2619">
          <cell r="K2619">
            <v>19.64</v>
          </cell>
          <cell r="P2619" t="str">
            <v>81123102-52111101</v>
          </cell>
          <cell r="S2619" t="str">
            <v>2026A-03</v>
          </cell>
          <cell r="T2619" t="str">
            <v>Office Supplies - Others</v>
          </cell>
        </row>
        <row r="2620">
          <cell r="K2620">
            <v>417.86</v>
          </cell>
          <cell r="P2620" t="str">
            <v>81123102-52111101</v>
          </cell>
          <cell r="S2620" t="str">
            <v>2026A-03</v>
          </cell>
          <cell r="T2620" t="str">
            <v>Office Supplies - Others</v>
          </cell>
        </row>
        <row r="2621">
          <cell r="K2621">
            <v>53.57</v>
          </cell>
          <cell r="P2621" t="str">
            <v>81123102-52111101</v>
          </cell>
          <cell r="S2621" t="str">
            <v>2026A-03</v>
          </cell>
          <cell r="T2621" t="str">
            <v>Office Supplies - Others</v>
          </cell>
        </row>
        <row r="2622">
          <cell r="K2622">
            <v>254.46</v>
          </cell>
          <cell r="P2622" t="str">
            <v>81123102-52111101</v>
          </cell>
          <cell r="S2622" t="str">
            <v>2026A-03</v>
          </cell>
          <cell r="T2622" t="str">
            <v>Office Supplies - Others</v>
          </cell>
        </row>
        <row r="2623">
          <cell r="K2623">
            <v>792.86</v>
          </cell>
          <cell r="P2623" t="str">
            <v>81123102-52111101</v>
          </cell>
          <cell r="S2623" t="str">
            <v>2026A-03</v>
          </cell>
          <cell r="T2623" t="str">
            <v>Office Supplies - Others</v>
          </cell>
        </row>
        <row r="2624">
          <cell r="K2624">
            <v>241.07</v>
          </cell>
          <cell r="P2624" t="str">
            <v>81123102-52111101</v>
          </cell>
          <cell r="S2624" t="str">
            <v>2026A-03</v>
          </cell>
          <cell r="T2624" t="str">
            <v>Office Supplies - Others</v>
          </cell>
        </row>
        <row r="2625">
          <cell r="K2625">
            <v>125</v>
          </cell>
          <cell r="P2625" t="str">
            <v>81123102-52111101</v>
          </cell>
          <cell r="S2625" t="str">
            <v>2026A-03</v>
          </cell>
          <cell r="T2625" t="str">
            <v>Office Supplies - Others</v>
          </cell>
        </row>
        <row r="2626">
          <cell r="K2626">
            <v>154.02000000000001</v>
          </cell>
          <cell r="P2626" t="str">
            <v>81123102-52111101</v>
          </cell>
          <cell r="S2626" t="str">
            <v>2026A-03</v>
          </cell>
          <cell r="T2626" t="str">
            <v>Office Supplies - Others</v>
          </cell>
        </row>
        <row r="2627">
          <cell r="K2627">
            <v>234.38</v>
          </cell>
          <cell r="P2627" t="str">
            <v>81123102-52111101</v>
          </cell>
          <cell r="S2627" t="str">
            <v>2026A-03</v>
          </cell>
          <cell r="T2627" t="str">
            <v>Office Supplies - Others</v>
          </cell>
        </row>
        <row r="2628">
          <cell r="K2628">
            <v>696.43</v>
          </cell>
          <cell r="P2628" t="str">
            <v>81123102-52111101</v>
          </cell>
          <cell r="S2628" t="str">
            <v>2026A-03</v>
          </cell>
          <cell r="T2628" t="str">
            <v>Office Supplies - Others</v>
          </cell>
        </row>
        <row r="2629">
          <cell r="K2629">
            <v>191.96</v>
          </cell>
          <cell r="P2629" t="str">
            <v>81123102-52111101</v>
          </cell>
          <cell r="S2629" t="str">
            <v>2026A-03</v>
          </cell>
          <cell r="T2629" t="str">
            <v>Office Supplies - Others</v>
          </cell>
        </row>
        <row r="2630">
          <cell r="K2630">
            <v>264.29000000000002</v>
          </cell>
          <cell r="P2630" t="str">
            <v>81123102-52111101</v>
          </cell>
          <cell r="S2630" t="str">
            <v>2026A-03</v>
          </cell>
          <cell r="T2630" t="str">
            <v>Office Supplies - Others</v>
          </cell>
        </row>
        <row r="2631">
          <cell r="K2631">
            <v>357.14</v>
          </cell>
          <cell r="P2631" t="str">
            <v>81123102-52111101</v>
          </cell>
          <cell r="S2631" t="str">
            <v>2026A-03</v>
          </cell>
          <cell r="T2631" t="str">
            <v>Office Supplies - Others</v>
          </cell>
        </row>
        <row r="2632">
          <cell r="K2632">
            <v>250</v>
          </cell>
          <cell r="P2632" t="str">
            <v>81123102-52111101</v>
          </cell>
          <cell r="S2632" t="str">
            <v>2026A-03</v>
          </cell>
          <cell r="T2632" t="str">
            <v>Office Supplies - Others</v>
          </cell>
        </row>
        <row r="2633">
          <cell r="K2633">
            <v>357.14</v>
          </cell>
          <cell r="P2633" t="str">
            <v>81123102-52111101</v>
          </cell>
          <cell r="S2633" t="str">
            <v>2026A-03</v>
          </cell>
          <cell r="T2633" t="str">
            <v>Office Supplies - Others</v>
          </cell>
        </row>
        <row r="2634">
          <cell r="K2634">
            <v>30.36</v>
          </cell>
          <cell r="P2634" t="str">
            <v>81123102-52111101</v>
          </cell>
          <cell r="S2634" t="str">
            <v>2026A-03</v>
          </cell>
          <cell r="T2634" t="str">
            <v>Office Supplies - Others</v>
          </cell>
        </row>
        <row r="2635">
          <cell r="K2635">
            <v>25</v>
          </cell>
          <cell r="P2635" t="str">
            <v>81123102-52111101</v>
          </cell>
          <cell r="S2635" t="str">
            <v>2026A-03</v>
          </cell>
          <cell r="T2635" t="str">
            <v>Office Supplies - Others</v>
          </cell>
        </row>
        <row r="2636">
          <cell r="K2636">
            <v>33.93</v>
          </cell>
          <cell r="P2636" t="str">
            <v>81123102-52111101</v>
          </cell>
          <cell r="S2636" t="str">
            <v>2026A-03</v>
          </cell>
          <cell r="T2636" t="str">
            <v>Office Supplies - Others</v>
          </cell>
        </row>
        <row r="2637">
          <cell r="K2637">
            <v>294.64</v>
          </cell>
          <cell r="P2637" t="str">
            <v>81123102-52111101</v>
          </cell>
          <cell r="S2637" t="str">
            <v>2026A-03</v>
          </cell>
          <cell r="T2637" t="str">
            <v>Office Supplies - Others</v>
          </cell>
        </row>
        <row r="2638">
          <cell r="K2638">
            <v>267.86</v>
          </cell>
          <cell r="P2638" t="str">
            <v>81123102-52111101</v>
          </cell>
          <cell r="S2638" t="str">
            <v>2026A-03</v>
          </cell>
          <cell r="T2638" t="str">
            <v>Office Supplies - Others</v>
          </cell>
        </row>
        <row r="2639">
          <cell r="K2639">
            <v>32.14</v>
          </cell>
          <cell r="P2639" t="str">
            <v>81123102-52111101</v>
          </cell>
          <cell r="S2639" t="str">
            <v>2026A-03</v>
          </cell>
          <cell r="T2639" t="str">
            <v>Office Supplies - Others</v>
          </cell>
        </row>
        <row r="2640">
          <cell r="K2640">
            <v>1116.07</v>
          </cell>
          <cell r="P2640" t="str">
            <v>81123102-52111101</v>
          </cell>
          <cell r="S2640" t="str">
            <v>2026A-03</v>
          </cell>
          <cell r="T2640" t="str">
            <v>Office Supplies - Others</v>
          </cell>
        </row>
        <row r="2641">
          <cell r="K2641">
            <v>178.57</v>
          </cell>
          <cell r="P2641" t="str">
            <v>81123102-52111101</v>
          </cell>
          <cell r="S2641" t="str">
            <v>2026A-03</v>
          </cell>
          <cell r="T2641" t="str">
            <v>Office Supplies - Others</v>
          </cell>
        </row>
        <row r="2642">
          <cell r="K2642">
            <v>5357.14</v>
          </cell>
          <cell r="P2642" t="str">
            <v>81123102-52111101</v>
          </cell>
          <cell r="S2642" t="str">
            <v>2026A-03</v>
          </cell>
          <cell r="T2642" t="str">
            <v>Office Supplies - Others</v>
          </cell>
        </row>
        <row r="2643">
          <cell r="K2643">
            <v>20089.29</v>
          </cell>
          <cell r="P2643" t="str">
            <v>81123102-52111101</v>
          </cell>
          <cell r="S2643" t="str">
            <v>2026A-03</v>
          </cell>
          <cell r="T2643" t="str">
            <v>Office Supplies - Others</v>
          </cell>
        </row>
        <row r="2644">
          <cell r="K2644">
            <v>5000</v>
          </cell>
          <cell r="P2644" t="str">
            <v>81123102-52111101</v>
          </cell>
          <cell r="S2644" t="str">
            <v>2026A-03</v>
          </cell>
          <cell r="T2644" t="str">
            <v>Toner/ink</v>
          </cell>
        </row>
        <row r="2645">
          <cell r="K2645">
            <v>5892.86</v>
          </cell>
          <cell r="P2645" t="str">
            <v>81123102-52111101</v>
          </cell>
          <cell r="S2645" t="str">
            <v>2026A-03</v>
          </cell>
          <cell r="T2645" t="str">
            <v>Toner/ink</v>
          </cell>
        </row>
        <row r="2646">
          <cell r="K2646">
            <v>5892.86</v>
          </cell>
          <cell r="P2646" t="str">
            <v>81123102-52111101</v>
          </cell>
          <cell r="S2646" t="str">
            <v>2026A-03</v>
          </cell>
          <cell r="T2646" t="str">
            <v>Toner/ink</v>
          </cell>
        </row>
        <row r="2647">
          <cell r="K2647">
            <v>5892.86</v>
          </cell>
          <cell r="P2647" t="str">
            <v>81123102-52111101</v>
          </cell>
          <cell r="S2647" t="str">
            <v>2026A-03</v>
          </cell>
          <cell r="T2647" t="str">
            <v>Toner/ink</v>
          </cell>
        </row>
        <row r="2648">
          <cell r="K2648">
            <v>14195</v>
          </cell>
          <cell r="P2648" t="str">
            <v>81123102-52091102</v>
          </cell>
          <cell r="S2648" t="str">
            <v>2026A-03</v>
          </cell>
          <cell r="T2648" t="str">
            <v>Meetings</v>
          </cell>
        </row>
        <row r="2649">
          <cell r="K2649">
            <v>564.73</v>
          </cell>
          <cell r="P2649" t="str">
            <v>81123102-52091102</v>
          </cell>
          <cell r="S2649" t="str">
            <v>2026A-03</v>
          </cell>
          <cell r="T2649" t="str">
            <v>Meetings</v>
          </cell>
        </row>
        <row r="2650">
          <cell r="K2650">
            <v>852.68</v>
          </cell>
          <cell r="P2650" t="str">
            <v>81123102-52091102</v>
          </cell>
          <cell r="S2650" t="str">
            <v>2026A-03</v>
          </cell>
          <cell r="T2650" t="str">
            <v>Meetings</v>
          </cell>
        </row>
        <row r="2651">
          <cell r="K2651">
            <v>10.31</v>
          </cell>
          <cell r="P2651" t="str">
            <v>81123102-52111101</v>
          </cell>
          <cell r="S2651" t="str">
            <v>2026A-03</v>
          </cell>
          <cell r="T2651" t="str">
            <v>Office Supplies - Others</v>
          </cell>
        </row>
        <row r="2652">
          <cell r="K2652">
            <v>55</v>
          </cell>
          <cell r="P2652" t="str">
            <v>81123102-52111101</v>
          </cell>
          <cell r="S2652" t="str">
            <v>2026A-03</v>
          </cell>
          <cell r="T2652" t="str">
            <v>Office Supplies - Others</v>
          </cell>
        </row>
        <row r="2653">
          <cell r="K2653">
            <v>7.86</v>
          </cell>
          <cell r="P2653" t="str">
            <v>81123102-52111101</v>
          </cell>
          <cell r="S2653" t="str">
            <v>2026A-03</v>
          </cell>
          <cell r="T2653" t="str">
            <v>Office Supplies - Others</v>
          </cell>
        </row>
        <row r="2654">
          <cell r="K2654">
            <v>701.79</v>
          </cell>
          <cell r="P2654" t="str">
            <v>81123102-52111101</v>
          </cell>
          <cell r="S2654" t="str">
            <v>2026A-03</v>
          </cell>
          <cell r="T2654" t="str">
            <v>Office Supplies - Others</v>
          </cell>
        </row>
        <row r="2655">
          <cell r="K2655">
            <v>107.14</v>
          </cell>
          <cell r="P2655" t="str">
            <v>81123102-52111101</v>
          </cell>
          <cell r="S2655" t="str">
            <v>2026A-03</v>
          </cell>
          <cell r="T2655" t="str">
            <v>Office Supplies - Others</v>
          </cell>
        </row>
        <row r="2656">
          <cell r="K2656">
            <v>385.71</v>
          </cell>
          <cell r="P2656" t="str">
            <v>81123102-52111101</v>
          </cell>
          <cell r="S2656" t="str">
            <v>2026A-03</v>
          </cell>
          <cell r="T2656" t="str">
            <v>Office Supplies - Others</v>
          </cell>
        </row>
        <row r="2657">
          <cell r="K2657">
            <v>123.21</v>
          </cell>
          <cell r="P2657" t="str">
            <v>81123102-52111101</v>
          </cell>
          <cell r="S2657" t="str">
            <v>2026A-03</v>
          </cell>
          <cell r="T2657" t="str">
            <v>Office Supplies - Others</v>
          </cell>
        </row>
        <row r="2658">
          <cell r="K2658">
            <v>260.70999999999998</v>
          </cell>
          <cell r="P2658" t="str">
            <v>81123102-52111101</v>
          </cell>
          <cell r="S2658" t="str">
            <v>2026A-03</v>
          </cell>
          <cell r="T2658" t="str">
            <v>Office Supplies - Others</v>
          </cell>
        </row>
        <row r="2659">
          <cell r="K2659">
            <v>128.57</v>
          </cell>
          <cell r="P2659" t="str">
            <v>81123102-52111101</v>
          </cell>
          <cell r="S2659" t="str">
            <v>2026A-03</v>
          </cell>
          <cell r="T2659" t="str">
            <v>Office Supplies - Others</v>
          </cell>
        </row>
        <row r="2660">
          <cell r="K2660">
            <v>142.86000000000001</v>
          </cell>
          <cell r="P2660" t="str">
            <v>81123102-52111101</v>
          </cell>
          <cell r="S2660" t="str">
            <v>2026A-03</v>
          </cell>
          <cell r="T2660" t="str">
            <v>Office Supplies - Others</v>
          </cell>
        </row>
        <row r="2661">
          <cell r="K2661">
            <v>62.5</v>
          </cell>
          <cell r="P2661" t="str">
            <v>81123102-52111101</v>
          </cell>
          <cell r="S2661" t="str">
            <v>2026A-03</v>
          </cell>
          <cell r="T2661" t="str">
            <v>Office Supplies - Others</v>
          </cell>
        </row>
        <row r="2662">
          <cell r="K2662">
            <v>125</v>
          </cell>
          <cell r="P2662" t="str">
            <v>81123102-52111101</v>
          </cell>
          <cell r="S2662" t="str">
            <v>2026A-03</v>
          </cell>
          <cell r="T2662" t="str">
            <v>Office Supplies - Others</v>
          </cell>
        </row>
        <row r="2663">
          <cell r="K2663">
            <v>265.18</v>
          </cell>
          <cell r="P2663" t="str">
            <v>81123102-52111101</v>
          </cell>
          <cell r="S2663" t="str">
            <v>2026A-03</v>
          </cell>
          <cell r="T2663" t="str">
            <v>Office Supplies - Others</v>
          </cell>
        </row>
        <row r="2664">
          <cell r="K2664">
            <v>85.71</v>
          </cell>
          <cell r="P2664" t="str">
            <v>81123102-52111101</v>
          </cell>
          <cell r="S2664" t="str">
            <v>2026A-03</v>
          </cell>
          <cell r="T2664" t="str">
            <v>Office Supplies - Others</v>
          </cell>
        </row>
        <row r="2665">
          <cell r="K2665">
            <v>75</v>
          </cell>
          <cell r="P2665" t="str">
            <v>81123102-52111101</v>
          </cell>
          <cell r="S2665" t="str">
            <v>2026A-03</v>
          </cell>
          <cell r="T2665" t="str">
            <v>Office Supplies - Others</v>
          </cell>
        </row>
        <row r="2666">
          <cell r="K2666">
            <v>99.11</v>
          </cell>
          <cell r="P2666" t="str">
            <v>81123102-52111101</v>
          </cell>
          <cell r="S2666" t="str">
            <v>2026A-03</v>
          </cell>
          <cell r="T2666" t="str">
            <v>Office Supplies - Others</v>
          </cell>
        </row>
        <row r="2667">
          <cell r="K2667">
            <v>133.04</v>
          </cell>
          <cell r="P2667" t="str">
            <v>81123102-52111101</v>
          </cell>
          <cell r="S2667" t="str">
            <v>2026A-03</v>
          </cell>
          <cell r="T2667" t="str">
            <v>Office Supplies - Others</v>
          </cell>
        </row>
        <row r="2668">
          <cell r="K2668">
            <v>500</v>
          </cell>
          <cell r="P2668" t="str">
            <v>81123102-52111101</v>
          </cell>
          <cell r="S2668" t="str">
            <v>2026A-03</v>
          </cell>
          <cell r="T2668" t="str">
            <v>Office Supplies - Others</v>
          </cell>
        </row>
        <row r="2669">
          <cell r="K2669">
            <v>294.64</v>
          </cell>
          <cell r="P2669" t="str">
            <v>81123102-52111101</v>
          </cell>
          <cell r="S2669" t="str">
            <v>2026A-03</v>
          </cell>
          <cell r="T2669" t="str">
            <v>Office Supplies - Others</v>
          </cell>
        </row>
        <row r="2670">
          <cell r="K2670">
            <v>80.36</v>
          </cell>
          <cell r="P2670" t="str">
            <v>81123102-52111101</v>
          </cell>
          <cell r="S2670" t="str">
            <v>2026A-03</v>
          </cell>
          <cell r="T2670" t="str">
            <v>Office Supplies - Others</v>
          </cell>
        </row>
        <row r="2671">
          <cell r="K2671">
            <v>71.430000000000007</v>
          </cell>
          <cell r="P2671" t="str">
            <v>81123102-52111101</v>
          </cell>
          <cell r="S2671" t="str">
            <v>2026A-03</v>
          </cell>
          <cell r="T2671" t="str">
            <v>Office Supplies - Others</v>
          </cell>
        </row>
        <row r="2672">
          <cell r="K2672">
            <v>85.71</v>
          </cell>
          <cell r="P2672" t="str">
            <v>81123102-52111101</v>
          </cell>
          <cell r="S2672" t="str">
            <v>2026A-03</v>
          </cell>
          <cell r="T2672" t="str">
            <v>Office Supplies - Others</v>
          </cell>
        </row>
        <row r="2673">
          <cell r="K2673">
            <v>17.41</v>
          </cell>
          <cell r="P2673" t="str">
            <v>81123102-52111101</v>
          </cell>
          <cell r="S2673" t="str">
            <v>2026A-03</v>
          </cell>
          <cell r="T2673" t="str">
            <v>Office Supplies - Others</v>
          </cell>
        </row>
        <row r="2674">
          <cell r="K2674">
            <v>232.14</v>
          </cell>
          <cell r="P2674" t="str">
            <v>81123102-52111101</v>
          </cell>
          <cell r="S2674" t="str">
            <v>2026A-03</v>
          </cell>
          <cell r="T2674" t="str">
            <v>Office Supplies - Others</v>
          </cell>
        </row>
        <row r="2675">
          <cell r="K2675">
            <v>147.32</v>
          </cell>
          <cell r="P2675" t="str">
            <v>81123102-52111101</v>
          </cell>
          <cell r="S2675" t="str">
            <v>2026A-03</v>
          </cell>
          <cell r="T2675" t="str">
            <v>Office Supplies - Others</v>
          </cell>
        </row>
        <row r="2676">
          <cell r="K2676">
            <v>93.75</v>
          </cell>
          <cell r="P2676" t="str">
            <v>81123102-52111101</v>
          </cell>
          <cell r="S2676" t="str">
            <v>2026A-03</v>
          </cell>
          <cell r="T2676" t="str">
            <v>Office Supplies - Others</v>
          </cell>
        </row>
        <row r="2677">
          <cell r="K2677">
            <v>4017.86</v>
          </cell>
          <cell r="P2677" t="str">
            <v>81123102-61031201</v>
          </cell>
          <cell r="S2677" t="str">
            <v>2026A-03</v>
          </cell>
          <cell r="T2677" t="str">
            <v>R&amp;M - Supplies</v>
          </cell>
        </row>
        <row r="2678">
          <cell r="K2678">
            <v>53.57</v>
          </cell>
          <cell r="P2678" t="str">
            <v>81123102-52111101</v>
          </cell>
          <cell r="S2678" t="str">
            <v>2026A-03</v>
          </cell>
          <cell r="T2678" t="str">
            <v>Office Supplies - Others</v>
          </cell>
        </row>
        <row r="2679">
          <cell r="K2679">
            <v>375</v>
          </cell>
          <cell r="P2679" t="str">
            <v>81123102-52111101</v>
          </cell>
          <cell r="S2679" t="str">
            <v>2026A-03</v>
          </cell>
          <cell r="T2679" t="str">
            <v>Office Supplies - Others</v>
          </cell>
        </row>
        <row r="2680">
          <cell r="K2680">
            <v>160.54</v>
          </cell>
          <cell r="P2680" t="str">
            <v>81123102-52111101</v>
          </cell>
          <cell r="S2680" t="str">
            <v>2026A-03</v>
          </cell>
          <cell r="T2680" t="str">
            <v>Office Supplies - Others</v>
          </cell>
        </row>
        <row r="2681">
          <cell r="K2681">
            <v>214.46</v>
          </cell>
          <cell r="P2681" t="str">
            <v>81123102-52111101</v>
          </cell>
          <cell r="S2681" t="str">
            <v>2026A-03</v>
          </cell>
          <cell r="T2681" t="str">
            <v>Office Supplies - Others</v>
          </cell>
        </row>
        <row r="2682">
          <cell r="K2682">
            <v>26785.71</v>
          </cell>
          <cell r="P2682" t="str">
            <v>81123102-52111101</v>
          </cell>
          <cell r="S2682" t="str">
            <v>2026A-03</v>
          </cell>
          <cell r="T2682" t="str">
            <v>Toner/ink</v>
          </cell>
        </row>
        <row r="2683">
          <cell r="K2683">
            <v>30357.14</v>
          </cell>
          <cell r="P2683" t="str">
            <v>81123102-52111101</v>
          </cell>
          <cell r="S2683" t="str">
            <v>2026A-03</v>
          </cell>
          <cell r="T2683" t="str">
            <v>Toner/ink</v>
          </cell>
        </row>
        <row r="2684">
          <cell r="K2684">
            <v>14285.71</v>
          </cell>
          <cell r="P2684" t="str">
            <v>81123102-52111101</v>
          </cell>
          <cell r="S2684" t="str">
            <v>2026A-03</v>
          </cell>
          <cell r="T2684" t="str">
            <v>Toner/ink</v>
          </cell>
        </row>
        <row r="2685">
          <cell r="K2685">
            <v>10714.29</v>
          </cell>
          <cell r="P2685" t="str">
            <v>81123102-52111101</v>
          </cell>
          <cell r="S2685" t="str">
            <v>2026A-03</v>
          </cell>
          <cell r="T2685" t="str">
            <v>Toner/ink</v>
          </cell>
        </row>
        <row r="2686">
          <cell r="K2686">
            <v>10714.29</v>
          </cell>
          <cell r="P2686" t="str">
            <v>81123102-52111101</v>
          </cell>
          <cell r="S2686" t="str">
            <v>2026A-03</v>
          </cell>
          <cell r="T2686" t="str">
            <v>Toner/ink</v>
          </cell>
        </row>
        <row r="2687">
          <cell r="K2687">
            <v>10714.29</v>
          </cell>
          <cell r="P2687" t="str">
            <v>81123102-52111101</v>
          </cell>
          <cell r="S2687" t="str">
            <v>2026A-03</v>
          </cell>
          <cell r="T2687" t="str">
            <v>Toner/ink</v>
          </cell>
        </row>
        <row r="2688">
          <cell r="K2688">
            <v>5077.83</v>
          </cell>
          <cell r="P2688" t="str">
            <v>81111101-52041401</v>
          </cell>
          <cell r="S2688" t="str">
            <v>2026A-03</v>
          </cell>
          <cell r="T2688" t="str">
            <v>Security HQ</v>
          </cell>
        </row>
        <row r="2689">
          <cell r="K2689">
            <v>25390.43</v>
          </cell>
          <cell r="P2689" t="str">
            <v>81111101-52041401</v>
          </cell>
          <cell r="S2689" t="str">
            <v>2026A-03</v>
          </cell>
          <cell r="T2689" t="str">
            <v>Security HQ</v>
          </cell>
        </row>
        <row r="2690">
          <cell r="K2690">
            <v>13956.26</v>
          </cell>
          <cell r="P2690" t="str">
            <v>81111101-52041401</v>
          </cell>
          <cell r="S2690" t="str">
            <v>2026A-03</v>
          </cell>
          <cell r="T2690" t="str">
            <v>Security HQ</v>
          </cell>
        </row>
        <row r="2691">
          <cell r="K2691">
            <v>69786.899999999994</v>
          </cell>
          <cell r="P2691" t="str">
            <v>81111101-52041401</v>
          </cell>
          <cell r="S2691" t="str">
            <v>2026A-03</v>
          </cell>
          <cell r="T2691" t="str">
            <v>Security HQ</v>
          </cell>
        </row>
        <row r="2692">
          <cell r="K2692">
            <v>57308.44</v>
          </cell>
          <cell r="P2692" t="str">
            <v>81111101-52041405</v>
          </cell>
          <cell r="S2692" t="str">
            <v>2026A-03</v>
          </cell>
          <cell r="T2692" t="str">
            <v>Janitorial (S1)</v>
          </cell>
        </row>
        <row r="2693">
          <cell r="K2693">
            <v>57308.44</v>
          </cell>
          <cell r="P2693" t="str">
            <v>81111101-52041405</v>
          </cell>
          <cell r="S2693" t="str">
            <v>2026A-03</v>
          </cell>
          <cell r="T2693" t="str">
            <v>Janitorial (S1)</v>
          </cell>
        </row>
        <row r="2694">
          <cell r="K2694">
            <v>90887</v>
          </cell>
          <cell r="P2694" t="str">
            <v>81111101-52041401</v>
          </cell>
          <cell r="S2694" t="str">
            <v>2026A-03</v>
          </cell>
          <cell r="T2694" t="str">
            <v>Security HQ</v>
          </cell>
        </row>
        <row r="2695">
          <cell r="K2695">
            <v>18175.91</v>
          </cell>
          <cell r="P2695" t="str">
            <v>81111101-52041401</v>
          </cell>
          <cell r="S2695" t="str">
            <v>2026A-03</v>
          </cell>
          <cell r="T2695" t="str">
            <v>Security HQ</v>
          </cell>
        </row>
        <row r="2696">
          <cell r="K2696">
            <v>82091.520000000004</v>
          </cell>
          <cell r="P2696" t="str">
            <v>81111101-52041401</v>
          </cell>
          <cell r="S2696" t="str">
            <v>2026A-03</v>
          </cell>
          <cell r="T2696" t="str">
            <v>Security HQ</v>
          </cell>
        </row>
        <row r="2697">
          <cell r="K2697">
            <v>16416.96</v>
          </cell>
          <cell r="P2697" t="str">
            <v>81111101-52041401</v>
          </cell>
          <cell r="S2697" t="str">
            <v>2026A-03</v>
          </cell>
          <cell r="T2697" t="str">
            <v>Security HQ</v>
          </cell>
        </row>
        <row r="2698">
          <cell r="K2698">
            <v>-4017.86</v>
          </cell>
          <cell r="P2698" t="str">
            <v>81123102-61031201</v>
          </cell>
          <cell r="S2698" t="str">
            <v>2026A-03</v>
          </cell>
          <cell r="T2698" t="str">
            <v>R&amp;M - Supplies</v>
          </cell>
        </row>
        <row r="2699">
          <cell r="K2699">
            <v>-4017.86</v>
          </cell>
          <cell r="P2699" t="str">
            <v>81123102-61031201</v>
          </cell>
          <cell r="S2699" t="str">
            <v>2026A-03</v>
          </cell>
          <cell r="T2699" t="str">
            <v>R&amp;M - Supplies</v>
          </cell>
        </row>
        <row r="2700">
          <cell r="K2700">
            <v>40</v>
          </cell>
          <cell r="P2700" t="str">
            <v>81123102-52081101</v>
          </cell>
          <cell r="S2700" t="str">
            <v>2026A-01</v>
          </cell>
          <cell r="T2700" t="str">
            <v>Parking</v>
          </cell>
        </row>
        <row r="2701">
          <cell r="K2701">
            <v>44</v>
          </cell>
          <cell r="P2701" t="str">
            <v>81123102-52081101</v>
          </cell>
          <cell r="S2701" t="str">
            <v>2026A-01</v>
          </cell>
          <cell r="T2701" t="str">
            <v>Toll</v>
          </cell>
        </row>
        <row r="2702">
          <cell r="K2702">
            <v>150</v>
          </cell>
          <cell r="P2702" t="str">
            <v>81123102-52081101</v>
          </cell>
          <cell r="S2702" t="str">
            <v>2026A-01</v>
          </cell>
          <cell r="T2702" t="str">
            <v>Transpo</v>
          </cell>
        </row>
        <row r="2703">
          <cell r="K2703">
            <v>50</v>
          </cell>
          <cell r="P2703" t="str">
            <v>81123102-52081101</v>
          </cell>
          <cell r="S2703" t="str">
            <v>2026A-01</v>
          </cell>
          <cell r="T2703" t="str">
            <v>Parking</v>
          </cell>
        </row>
        <row r="2704">
          <cell r="K2704">
            <v>150</v>
          </cell>
          <cell r="P2704" t="str">
            <v>81123102-52081101</v>
          </cell>
          <cell r="S2704" t="str">
            <v>2026A-01</v>
          </cell>
          <cell r="T2704" t="str">
            <v>Parking</v>
          </cell>
        </row>
        <row r="2705">
          <cell r="K2705">
            <v>150</v>
          </cell>
          <cell r="P2705" t="str">
            <v>81123102-52081101</v>
          </cell>
          <cell r="S2705" t="str">
            <v>2026A-01</v>
          </cell>
          <cell r="T2705" t="str">
            <v>Transpo</v>
          </cell>
        </row>
        <row r="2706">
          <cell r="K2706">
            <v>55</v>
          </cell>
          <cell r="P2706" t="str">
            <v>81123102-52081101</v>
          </cell>
          <cell r="S2706" t="str">
            <v>2026A-01</v>
          </cell>
          <cell r="T2706" t="str">
            <v>Parking</v>
          </cell>
        </row>
        <row r="2707">
          <cell r="K2707">
            <v>30</v>
          </cell>
          <cell r="P2707" t="str">
            <v>81123102-52081101</v>
          </cell>
          <cell r="S2707" t="str">
            <v>2026A-01</v>
          </cell>
          <cell r="T2707" t="str">
            <v>Parking</v>
          </cell>
        </row>
        <row r="2708">
          <cell r="K2708">
            <v>60</v>
          </cell>
          <cell r="P2708" t="str">
            <v>81123102-52081101</v>
          </cell>
          <cell r="S2708" t="str">
            <v>2026A-01</v>
          </cell>
          <cell r="T2708" t="str">
            <v>Parking</v>
          </cell>
        </row>
        <row r="2709">
          <cell r="K2709">
            <v>140</v>
          </cell>
          <cell r="P2709" t="str">
            <v>81123102-52081101</v>
          </cell>
          <cell r="S2709" t="str">
            <v>2026A-01</v>
          </cell>
          <cell r="T2709" t="str">
            <v>Parking</v>
          </cell>
        </row>
        <row r="2710">
          <cell r="K2710">
            <v>30</v>
          </cell>
          <cell r="P2710" t="str">
            <v>81123102-52081101</v>
          </cell>
          <cell r="S2710" t="str">
            <v>2026A-01</v>
          </cell>
          <cell r="T2710" t="str">
            <v>Parking</v>
          </cell>
        </row>
        <row r="2711">
          <cell r="K2711">
            <v>280</v>
          </cell>
          <cell r="P2711" t="str">
            <v>81123102-52081101</v>
          </cell>
          <cell r="S2711" t="str">
            <v>2026A-01</v>
          </cell>
          <cell r="T2711" t="str">
            <v>Parking</v>
          </cell>
        </row>
        <row r="2712">
          <cell r="K2712">
            <v>40</v>
          </cell>
          <cell r="P2712" t="str">
            <v>81123102-52081101</v>
          </cell>
          <cell r="S2712" t="str">
            <v>2026A-01</v>
          </cell>
          <cell r="T2712" t="str">
            <v>Parking</v>
          </cell>
        </row>
        <row r="2713">
          <cell r="K2713">
            <v>80</v>
          </cell>
          <cell r="P2713" t="str">
            <v>81123102-52081101</v>
          </cell>
          <cell r="S2713" t="str">
            <v>2026A-01</v>
          </cell>
          <cell r="T2713" t="str">
            <v>Parking</v>
          </cell>
        </row>
        <row r="2714">
          <cell r="K2714">
            <v>50</v>
          </cell>
          <cell r="P2714" t="str">
            <v>81123102-52081101</v>
          </cell>
          <cell r="S2714" t="str">
            <v>2026A-01</v>
          </cell>
          <cell r="T2714" t="str">
            <v>Parking</v>
          </cell>
        </row>
        <row r="2715">
          <cell r="K2715">
            <v>1013</v>
          </cell>
          <cell r="P2715" t="str">
            <v>81319101-52081101</v>
          </cell>
          <cell r="S2715" t="str">
            <v>2026A-02</v>
          </cell>
          <cell r="T2715" t="str">
            <v>RFID</v>
          </cell>
        </row>
        <row r="2716">
          <cell r="K2716">
            <v>50</v>
          </cell>
          <cell r="P2716" t="str">
            <v>81123102-52081101</v>
          </cell>
          <cell r="S2716" t="str">
            <v>2026A-02</v>
          </cell>
          <cell r="T2716" t="str">
            <v>Parking</v>
          </cell>
        </row>
        <row r="2717">
          <cell r="K2717">
            <v>35</v>
          </cell>
          <cell r="P2717" t="str">
            <v>81123102-52081101</v>
          </cell>
          <cell r="S2717" t="str">
            <v>2026A-02</v>
          </cell>
          <cell r="T2717" t="str">
            <v>Parking</v>
          </cell>
        </row>
        <row r="2718">
          <cell r="K2718">
            <v>50</v>
          </cell>
          <cell r="P2718" t="str">
            <v>81123102-52081101</v>
          </cell>
          <cell r="S2718" t="str">
            <v>2026A-02</v>
          </cell>
          <cell r="T2718" t="str">
            <v>Parking</v>
          </cell>
        </row>
        <row r="2719">
          <cell r="K2719">
            <v>60</v>
          </cell>
          <cell r="P2719" t="str">
            <v>81123102-52081101</v>
          </cell>
          <cell r="S2719" t="str">
            <v>2026A-02</v>
          </cell>
          <cell r="T2719" t="str">
            <v>Parking</v>
          </cell>
        </row>
        <row r="2720">
          <cell r="K2720">
            <v>60</v>
          </cell>
          <cell r="P2720" t="str">
            <v>81123102-52081101</v>
          </cell>
          <cell r="S2720" t="str">
            <v>2026A-02</v>
          </cell>
          <cell r="T2720" t="str">
            <v>Parking</v>
          </cell>
        </row>
        <row r="2721">
          <cell r="K2721">
            <v>145</v>
          </cell>
          <cell r="P2721" t="str">
            <v>81123102-52081101</v>
          </cell>
          <cell r="S2721" t="str">
            <v>2026A-02</v>
          </cell>
          <cell r="T2721" t="str">
            <v>Transpo</v>
          </cell>
        </row>
        <row r="2722">
          <cell r="K2722">
            <v>60</v>
          </cell>
          <cell r="P2722" t="str">
            <v>81123102-52081101</v>
          </cell>
          <cell r="S2722" t="str">
            <v>2026A-02</v>
          </cell>
          <cell r="T2722" t="str">
            <v>Parking</v>
          </cell>
        </row>
        <row r="2723">
          <cell r="K2723">
            <v>60</v>
          </cell>
          <cell r="P2723" t="str">
            <v>81123102-52081101</v>
          </cell>
          <cell r="S2723" t="str">
            <v>2026A-02</v>
          </cell>
          <cell r="T2723" t="str">
            <v>Parking</v>
          </cell>
        </row>
        <row r="2724">
          <cell r="K2724">
            <v>60</v>
          </cell>
          <cell r="P2724" t="str">
            <v>81123102-52081101</v>
          </cell>
          <cell r="S2724" t="str">
            <v>2026A-02</v>
          </cell>
          <cell r="T2724" t="str">
            <v>Parking</v>
          </cell>
        </row>
        <row r="2725">
          <cell r="K2725">
            <v>150</v>
          </cell>
          <cell r="P2725" t="str">
            <v>81123102-52081101</v>
          </cell>
          <cell r="S2725" t="str">
            <v>2026A-02</v>
          </cell>
          <cell r="T2725" t="str">
            <v>Transpo</v>
          </cell>
        </row>
        <row r="2726">
          <cell r="K2726">
            <v>30</v>
          </cell>
          <cell r="P2726" t="str">
            <v>81123102-52081101</v>
          </cell>
          <cell r="S2726" t="str">
            <v>2026A-02</v>
          </cell>
          <cell r="T2726" t="str">
            <v>Parking</v>
          </cell>
        </row>
        <row r="2727">
          <cell r="K2727">
            <v>100</v>
          </cell>
          <cell r="P2727" t="str">
            <v>81123102-52081101</v>
          </cell>
          <cell r="S2727" t="str">
            <v>2026A-02</v>
          </cell>
          <cell r="T2727" t="str">
            <v>Parking</v>
          </cell>
        </row>
        <row r="2728">
          <cell r="K2728">
            <v>110</v>
          </cell>
          <cell r="P2728" t="str">
            <v>81123102-52081101</v>
          </cell>
          <cell r="S2728" t="str">
            <v>2026A-02</v>
          </cell>
          <cell r="T2728" t="str">
            <v>Parking</v>
          </cell>
        </row>
        <row r="2729">
          <cell r="K2729">
            <v>70</v>
          </cell>
          <cell r="P2729" t="str">
            <v>81123102-52081101</v>
          </cell>
          <cell r="S2729" t="str">
            <v>2026A-02</v>
          </cell>
          <cell r="T2729" t="str">
            <v>Parking</v>
          </cell>
        </row>
        <row r="2730">
          <cell r="K2730">
            <v>60</v>
          </cell>
          <cell r="P2730" t="str">
            <v>81123102-52081101</v>
          </cell>
          <cell r="S2730" t="str">
            <v>2026A-02</v>
          </cell>
          <cell r="T2730" t="str">
            <v>Parking</v>
          </cell>
        </row>
        <row r="2731">
          <cell r="K2731">
            <v>20</v>
          </cell>
          <cell r="P2731" t="str">
            <v>81123102-52081101</v>
          </cell>
          <cell r="S2731" t="str">
            <v>2026A-02</v>
          </cell>
          <cell r="T2731" t="str">
            <v>Parking</v>
          </cell>
        </row>
        <row r="2732">
          <cell r="K2732">
            <v>100</v>
          </cell>
          <cell r="P2732" t="str">
            <v>81123102-52081101</v>
          </cell>
          <cell r="S2732" t="str">
            <v>2026A-02</v>
          </cell>
          <cell r="T2732" t="str">
            <v>Parking</v>
          </cell>
        </row>
        <row r="2733">
          <cell r="K2733">
            <v>100</v>
          </cell>
          <cell r="P2733" t="str">
            <v>81123102-52081101</v>
          </cell>
          <cell r="S2733" t="str">
            <v>2026A-02</v>
          </cell>
          <cell r="T2733" t="str">
            <v>Parking</v>
          </cell>
        </row>
        <row r="2734">
          <cell r="K2734">
            <v>143</v>
          </cell>
          <cell r="P2734" t="str">
            <v>81319101-52081101</v>
          </cell>
          <cell r="S2734" t="str">
            <v>2026A-03</v>
          </cell>
          <cell r="T2734" t="str">
            <v>Transpo</v>
          </cell>
        </row>
        <row r="2735">
          <cell r="K2735">
            <v>170</v>
          </cell>
          <cell r="P2735" t="str">
            <v>81123102-52081101</v>
          </cell>
          <cell r="S2735" t="str">
            <v>2026A-03</v>
          </cell>
          <cell r="T2735" t="str">
            <v>Parking</v>
          </cell>
        </row>
        <row r="2736">
          <cell r="K2736">
            <v>140</v>
          </cell>
          <cell r="P2736" t="str">
            <v>81123102-52081101</v>
          </cell>
          <cell r="S2736" t="str">
            <v>2026A-03</v>
          </cell>
          <cell r="T2736" t="str">
            <v>Parking</v>
          </cell>
        </row>
        <row r="2737">
          <cell r="K2737">
            <v>10</v>
          </cell>
          <cell r="P2737" t="str">
            <v>81123102-52081101</v>
          </cell>
          <cell r="S2737" t="str">
            <v>2026A-03</v>
          </cell>
          <cell r="T2737" t="str">
            <v>Parking</v>
          </cell>
        </row>
        <row r="2738">
          <cell r="K2738">
            <v>210</v>
          </cell>
          <cell r="P2738" t="str">
            <v>81123102-52081101</v>
          </cell>
          <cell r="S2738" t="str">
            <v>2026A-03</v>
          </cell>
          <cell r="T2738" t="str">
            <v>Parking</v>
          </cell>
        </row>
        <row r="2739">
          <cell r="K2739">
            <v>30</v>
          </cell>
          <cell r="P2739" t="str">
            <v>81123102-52081101</v>
          </cell>
          <cell r="S2739" t="str">
            <v>2026A-03</v>
          </cell>
          <cell r="T2739" t="str">
            <v>Parking</v>
          </cell>
        </row>
        <row r="2740">
          <cell r="K2740">
            <v>70</v>
          </cell>
          <cell r="P2740" t="str">
            <v>81123102-52081101</v>
          </cell>
          <cell r="S2740" t="str">
            <v>2026A-03</v>
          </cell>
          <cell r="T2740" t="str">
            <v>Parking</v>
          </cell>
        </row>
        <row r="2741">
          <cell r="K2741">
            <v>130</v>
          </cell>
          <cell r="P2741" t="str">
            <v>81123102-52081101</v>
          </cell>
          <cell r="S2741" t="str">
            <v>2026A-03</v>
          </cell>
          <cell r="T2741" t="str">
            <v>Parking</v>
          </cell>
        </row>
        <row r="2742">
          <cell r="K2742">
            <v>50</v>
          </cell>
          <cell r="P2742" t="str">
            <v>81123102-52081101</v>
          </cell>
          <cell r="S2742" t="str">
            <v>2026A-03</v>
          </cell>
          <cell r="T2742" t="str">
            <v>Parking</v>
          </cell>
        </row>
        <row r="2743">
          <cell r="K2743">
            <v>55</v>
          </cell>
          <cell r="P2743" t="str">
            <v>81123102-52081101</v>
          </cell>
          <cell r="S2743" t="str">
            <v>2026A-03</v>
          </cell>
          <cell r="T2743" t="str">
            <v>Parking</v>
          </cell>
        </row>
        <row r="2744">
          <cell r="K2744">
            <v>65</v>
          </cell>
          <cell r="P2744" t="str">
            <v>81123102-52081101</v>
          </cell>
          <cell r="S2744" t="str">
            <v>2026A-03</v>
          </cell>
          <cell r="T2744" t="str">
            <v>Parking</v>
          </cell>
        </row>
        <row r="2745">
          <cell r="K2745">
            <v>60</v>
          </cell>
          <cell r="P2745" t="str">
            <v>81123102-52081101</v>
          </cell>
          <cell r="S2745" t="str">
            <v>2026A-03</v>
          </cell>
          <cell r="T2745" t="str">
            <v>Parking</v>
          </cell>
        </row>
        <row r="2746">
          <cell r="K2746">
            <v>20</v>
          </cell>
          <cell r="P2746" t="str">
            <v>81123102-52081101</v>
          </cell>
          <cell r="S2746" t="str">
            <v>2026A-03</v>
          </cell>
          <cell r="T2746" t="str">
            <v>Parking</v>
          </cell>
        </row>
        <row r="2747">
          <cell r="K2747">
            <v>158</v>
          </cell>
          <cell r="P2747" t="str">
            <v>81123102-52081101</v>
          </cell>
          <cell r="S2747" t="str">
            <v>2026A-03</v>
          </cell>
          <cell r="T2747" t="str">
            <v>Transpo</v>
          </cell>
        </row>
        <row r="2748">
          <cell r="K2748">
            <v>158</v>
          </cell>
          <cell r="P2748" t="str">
            <v>81123102-52081101</v>
          </cell>
          <cell r="S2748" t="str">
            <v>2026A-03</v>
          </cell>
          <cell r="T2748" t="str">
            <v>Transpo</v>
          </cell>
        </row>
        <row r="2749">
          <cell r="K2749">
            <v>158</v>
          </cell>
          <cell r="P2749" t="str">
            <v>81123102-52081101</v>
          </cell>
          <cell r="S2749" t="str">
            <v>2026A-03</v>
          </cell>
          <cell r="T2749" t="str">
            <v>Transpo</v>
          </cell>
        </row>
        <row r="2750">
          <cell r="K2750">
            <v>165</v>
          </cell>
          <cell r="P2750" t="str">
            <v>81123102-52081101</v>
          </cell>
          <cell r="S2750" t="str">
            <v>2026A-03</v>
          </cell>
          <cell r="T2750" t="str">
            <v>Transpo</v>
          </cell>
        </row>
        <row r="2751">
          <cell r="K2751">
            <v>50</v>
          </cell>
          <cell r="P2751" t="str">
            <v>81123102-52081101</v>
          </cell>
          <cell r="S2751" t="str">
            <v>2026A-03</v>
          </cell>
          <cell r="T2751" t="str">
            <v>Parking</v>
          </cell>
        </row>
        <row r="2752">
          <cell r="K2752">
            <v>50</v>
          </cell>
          <cell r="P2752" t="str">
            <v>81123102-52081101</v>
          </cell>
          <cell r="S2752" t="str">
            <v>2026A-03</v>
          </cell>
          <cell r="T2752" t="str">
            <v>Parking</v>
          </cell>
        </row>
        <row r="2753">
          <cell r="K2753">
            <v>-86643.06</v>
          </cell>
          <cell r="P2753" t="str">
            <v>81111101-52121313</v>
          </cell>
          <cell r="S2753" t="str">
            <v>2026A-03</v>
          </cell>
          <cell r="T2753" t="str">
            <v>FBT 2025</v>
          </cell>
        </row>
        <row r="2754">
          <cell r="K2754">
            <v>9150</v>
          </cell>
          <cell r="P2754" t="str">
            <v>90111101-52121101</v>
          </cell>
          <cell r="S2754" t="str">
            <v>2026A-03</v>
          </cell>
          <cell r="T2754" t="str">
            <v>Regular Employee</v>
          </cell>
        </row>
        <row r="2755">
          <cell r="K2755">
            <v>1676.36</v>
          </cell>
          <cell r="P2755" t="str">
            <v>90111101-52121101</v>
          </cell>
          <cell r="S2755" t="str">
            <v>2026A-03</v>
          </cell>
          <cell r="T2755" t="str">
            <v>Regular Employee</v>
          </cell>
        </row>
        <row r="2756">
          <cell r="K2756">
            <v>-576.25</v>
          </cell>
          <cell r="P2756" t="str">
            <v>90111101-52121101</v>
          </cell>
          <cell r="S2756" t="str">
            <v>2026A-03</v>
          </cell>
          <cell r="T2756" t="str">
            <v>Regular Employee</v>
          </cell>
        </row>
        <row r="2757">
          <cell r="K2757">
            <v>-4190.8900000000003</v>
          </cell>
          <cell r="P2757" t="str">
            <v>90111101-52121101</v>
          </cell>
          <cell r="S2757" t="str">
            <v>2026A-03</v>
          </cell>
          <cell r="T2757" t="str">
            <v>Regular Employee</v>
          </cell>
        </row>
        <row r="2758">
          <cell r="K2758">
            <v>696.74</v>
          </cell>
          <cell r="P2758" t="str">
            <v>90111101-52121102</v>
          </cell>
          <cell r="S2758" t="str">
            <v>2026A-03</v>
          </cell>
          <cell r="T2758" t="str">
            <v>OT Pay</v>
          </cell>
        </row>
        <row r="2759">
          <cell r="K2759">
            <v>6100</v>
          </cell>
          <cell r="P2759" t="str">
            <v>90111101-52121104</v>
          </cell>
          <cell r="S2759" t="str">
            <v>2026A-03</v>
          </cell>
          <cell r="T2759" t="str">
            <v>Guaranteed Bonus</v>
          </cell>
        </row>
        <row r="2760">
          <cell r="K2760">
            <v>-4937.1400000000003</v>
          </cell>
          <cell r="P2760" t="str">
            <v>90111101-61021403</v>
          </cell>
          <cell r="S2760" t="str">
            <v>2026A-04</v>
          </cell>
          <cell r="T2760" t="str">
            <v>Zero</v>
          </cell>
        </row>
        <row r="2761">
          <cell r="K2761">
            <v>-4937.1400000000003</v>
          </cell>
          <cell r="P2761" t="str">
            <v>90111101-61021403</v>
          </cell>
          <cell r="S2761" t="str">
            <v>2026A-04</v>
          </cell>
          <cell r="T2761" t="str">
            <v>Zero</v>
          </cell>
        </row>
        <row r="2762">
          <cell r="K2762">
            <v>-150000</v>
          </cell>
          <cell r="P2762" t="str">
            <v>80134102-61071004</v>
          </cell>
          <cell r="S2762" t="str">
            <v>2026A-04</v>
          </cell>
          <cell r="T2762" t="str">
            <v>Zero</v>
          </cell>
        </row>
        <row r="2763">
          <cell r="K2763">
            <v>35000</v>
          </cell>
          <cell r="P2763" t="str">
            <v>80134102-61071004</v>
          </cell>
          <cell r="S2763" t="str">
            <v>2026A-04</v>
          </cell>
          <cell r="T2763" t="str">
            <v>Zero</v>
          </cell>
        </row>
        <row r="2764">
          <cell r="K2764">
            <v>-1200</v>
          </cell>
          <cell r="P2764" t="str">
            <v>90311101-61021104</v>
          </cell>
          <cell r="S2764" t="str">
            <v>2026A-04</v>
          </cell>
          <cell r="T2764" t="str">
            <v>Zero</v>
          </cell>
        </row>
        <row r="2765">
          <cell r="K2765">
            <v>-600</v>
          </cell>
          <cell r="P2765" t="str">
            <v>90311101-61021104</v>
          </cell>
          <cell r="S2765" t="str">
            <v>2026A-04</v>
          </cell>
          <cell r="T2765" t="str">
            <v>Zero</v>
          </cell>
        </row>
        <row r="2766">
          <cell r="K2766">
            <v>-3500</v>
          </cell>
          <cell r="P2766" t="str">
            <v>81133102-52071106</v>
          </cell>
          <cell r="S2766" t="str">
            <v>2026A-04</v>
          </cell>
          <cell r="T2766" t="str">
            <v>RSG</v>
          </cell>
        </row>
        <row r="2767">
          <cell r="K2767">
            <v>-3500</v>
          </cell>
          <cell r="P2767" t="str">
            <v>81133102-52071106</v>
          </cell>
          <cell r="S2767" t="str">
            <v>2026A-04</v>
          </cell>
          <cell r="T2767" t="str">
            <v>RSG</v>
          </cell>
        </row>
        <row r="2768">
          <cell r="K2768">
            <v>-3500</v>
          </cell>
          <cell r="P2768" t="str">
            <v>81133102-52071106</v>
          </cell>
          <cell r="S2768" t="str">
            <v>2026A-04</v>
          </cell>
          <cell r="T2768" t="str">
            <v>RSG</v>
          </cell>
        </row>
        <row r="2769">
          <cell r="K2769">
            <v>-3500</v>
          </cell>
          <cell r="P2769" t="str">
            <v>81133102-52071106</v>
          </cell>
          <cell r="S2769" t="str">
            <v>2026A-04</v>
          </cell>
          <cell r="T2769" t="str">
            <v>RSG</v>
          </cell>
        </row>
        <row r="2770">
          <cell r="K2770">
            <v>-3500</v>
          </cell>
          <cell r="P2770" t="str">
            <v>81133102-52071106</v>
          </cell>
          <cell r="S2770" t="str">
            <v>2026A-04</v>
          </cell>
          <cell r="T2770" t="str">
            <v>RSG</v>
          </cell>
        </row>
        <row r="2771">
          <cell r="K2771">
            <v>-3500</v>
          </cell>
          <cell r="P2771" t="str">
            <v>81133102-52071106</v>
          </cell>
          <cell r="S2771" t="str">
            <v>2026A-04</v>
          </cell>
          <cell r="T2771" t="str">
            <v>RSG</v>
          </cell>
        </row>
        <row r="2772">
          <cell r="K2772">
            <v>-3500</v>
          </cell>
          <cell r="P2772" t="str">
            <v>81133102-52071106</v>
          </cell>
          <cell r="S2772" t="str">
            <v>2026A-04</v>
          </cell>
          <cell r="T2772" t="str">
            <v>RSG</v>
          </cell>
        </row>
        <row r="2773">
          <cell r="K2773">
            <v>-3500</v>
          </cell>
          <cell r="P2773" t="str">
            <v>81133102-52071106</v>
          </cell>
          <cell r="S2773" t="str">
            <v>2026A-04</v>
          </cell>
          <cell r="T2773" t="str">
            <v>RSG</v>
          </cell>
        </row>
        <row r="2774">
          <cell r="K2774">
            <v>-3500</v>
          </cell>
          <cell r="P2774" t="str">
            <v>81133102-52071106</v>
          </cell>
          <cell r="S2774" t="str">
            <v>2026A-04</v>
          </cell>
          <cell r="T2774" t="str">
            <v>RSG</v>
          </cell>
        </row>
        <row r="2775">
          <cell r="K2775">
            <v>-3500</v>
          </cell>
          <cell r="P2775" t="str">
            <v>81133102-52071106</v>
          </cell>
          <cell r="S2775" t="str">
            <v>2026A-04</v>
          </cell>
          <cell r="T2775" t="str">
            <v>RSG</v>
          </cell>
        </row>
        <row r="2776">
          <cell r="K2776">
            <v>-3500</v>
          </cell>
          <cell r="P2776" t="str">
            <v>81133102-52071106</v>
          </cell>
          <cell r="S2776" t="str">
            <v>2026A-04</v>
          </cell>
          <cell r="T2776" t="str">
            <v>RSG</v>
          </cell>
        </row>
        <row r="2777">
          <cell r="K2777">
            <v>-3500</v>
          </cell>
          <cell r="P2777" t="str">
            <v>81133102-52071106</v>
          </cell>
          <cell r="S2777" t="str">
            <v>2026A-04</v>
          </cell>
          <cell r="T2777" t="str">
            <v>RSG</v>
          </cell>
        </row>
        <row r="2778">
          <cell r="K2778">
            <v>-0.01</v>
          </cell>
          <cell r="P2778" t="str">
            <v>81123102-52111101</v>
          </cell>
          <cell r="S2778" t="str">
            <v>2026A-04</v>
          </cell>
          <cell r="T2778" t="str">
            <v>Office Supplies - Others</v>
          </cell>
        </row>
        <row r="2779">
          <cell r="K2779">
            <v>-32178.22</v>
          </cell>
          <cell r="P2779" t="str">
            <v>90111101-52121303</v>
          </cell>
          <cell r="S2779" t="str">
            <v>2026A-04</v>
          </cell>
          <cell r="T2779" t="str">
            <v>HMO</v>
          </cell>
        </row>
        <row r="2780">
          <cell r="K2780">
            <v>7947.41</v>
          </cell>
          <cell r="P2780" t="str">
            <v>81123102-52101112</v>
          </cell>
          <cell r="S2780" t="str">
            <v>2026A-04</v>
          </cell>
          <cell r="T2780" t="str">
            <v>Insurance - Vehicle</v>
          </cell>
        </row>
        <row r="2781">
          <cell r="K2781">
            <v>993.43</v>
          </cell>
          <cell r="P2781" t="str">
            <v>81123102-52101112</v>
          </cell>
          <cell r="S2781" t="str">
            <v>2026A-04</v>
          </cell>
          <cell r="T2781" t="str">
            <v>Insurance - Vehicle</v>
          </cell>
        </row>
        <row r="2782">
          <cell r="K2782">
            <v>15.89</v>
          </cell>
          <cell r="P2782" t="str">
            <v>81123102-52101112</v>
          </cell>
          <cell r="S2782" t="str">
            <v>2026A-04</v>
          </cell>
          <cell r="T2782" t="str">
            <v>Insurance - Vehicle</v>
          </cell>
        </row>
        <row r="2783">
          <cell r="K2783">
            <v>58811.01</v>
          </cell>
          <cell r="P2783" t="str">
            <v>81319101-52041499</v>
          </cell>
          <cell r="S2783" t="str">
            <v>2026A-04</v>
          </cell>
          <cell r="T2783" t="str">
            <v>GH</v>
          </cell>
        </row>
        <row r="2784">
          <cell r="K2784">
            <v>487200</v>
          </cell>
          <cell r="P2784" t="str">
            <v>80134102-61071001</v>
          </cell>
          <cell r="S2784" t="str">
            <v>2026A-04</v>
          </cell>
          <cell r="T2784" t="str">
            <v>PWC FS Audit</v>
          </cell>
        </row>
        <row r="2785">
          <cell r="K2785">
            <v>182261.86</v>
          </cell>
          <cell r="P2785" t="str">
            <v>81123102-52041405</v>
          </cell>
          <cell r="S2785" t="str">
            <v>2026A-04</v>
          </cell>
          <cell r="T2785" t="str">
            <v>Janitorial (SFI)</v>
          </cell>
        </row>
        <row r="2786">
          <cell r="K2786">
            <v>174206.35</v>
          </cell>
          <cell r="P2786" t="str">
            <v>81123102-52041499</v>
          </cell>
          <cell r="S2786" t="str">
            <v>2026A-04</v>
          </cell>
          <cell r="T2786" t="str">
            <v>Admin Staff (SFI)</v>
          </cell>
        </row>
        <row r="2787">
          <cell r="K2787">
            <v>7583.75</v>
          </cell>
          <cell r="P2787" t="str">
            <v>90111101-61021206</v>
          </cell>
          <cell r="S2787" t="str">
            <v>2026A-04</v>
          </cell>
          <cell r="T2787" t="str">
            <v>OJT</v>
          </cell>
        </row>
        <row r="2788">
          <cell r="K2788">
            <v>7551.88</v>
          </cell>
          <cell r="P2788" t="str">
            <v>90111101-61021206</v>
          </cell>
          <cell r="S2788" t="str">
            <v>2026A-04</v>
          </cell>
          <cell r="T2788" t="str">
            <v>OJT</v>
          </cell>
        </row>
        <row r="2789">
          <cell r="K2789">
            <v>-0.01</v>
          </cell>
          <cell r="P2789" t="str">
            <v>81123102-52111101</v>
          </cell>
          <cell r="S2789" t="str">
            <v>2026A-04</v>
          </cell>
          <cell r="T2789" t="str">
            <v>Toner/ink</v>
          </cell>
        </row>
        <row r="2790">
          <cell r="K2790">
            <v>1383.93</v>
          </cell>
          <cell r="P2790" t="str">
            <v>80124101-61721105</v>
          </cell>
          <cell r="S2790" t="str">
            <v>2026A-04</v>
          </cell>
          <cell r="T2790" t="str">
            <v>SMS Blast</v>
          </cell>
        </row>
        <row r="2791">
          <cell r="K2791">
            <v>-2303.79</v>
          </cell>
          <cell r="P2791" t="str">
            <v>81319101-52041499</v>
          </cell>
          <cell r="S2791" t="str">
            <v>2026A-04</v>
          </cell>
          <cell r="T2791" t="str">
            <v>GH</v>
          </cell>
        </row>
        <row r="2792">
          <cell r="K2792">
            <v>57835.22</v>
          </cell>
          <cell r="P2792" t="str">
            <v>81319101-52041499</v>
          </cell>
          <cell r="S2792" t="str">
            <v>2026A-04</v>
          </cell>
          <cell r="T2792" t="str">
            <v>GH</v>
          </cell>
        </row>
        <row r="2793">
          <cell r="K2793">
            <v>2908.61</v>
          </cell>
          <cell r="P2793" t="str">
            <v>80111101-61021301</v>
          </cell>
          <cell r="S2793" t="str">
            <v>2026A-04</v>
          </cell>
          <cell r="T2793" t="str">
            <v>Life Insurance</v>
          </cell>
        </row>
        <row r="2794">
          <cell r="K2794">
            <v>3883.56</v>
          </cell>
          <cell r="P2794" t="str">
            <v>90111101-52121301</v>
          </cell>
          <cell r="S2794" t="str">
            <v>2026A-04</v>
          </cell>
          <cell r="T2794" t="str">
            <v>Life Insurance</v>
          </cell>
        </row>
        <row r="2795">
          <cell r="K2795">
            <v>5700</v>
          </cell>
          <cell r="P2795" t="str">
            <v>90111101-61021206</v>
          </cell>
          <cell r="S2795" t="str">
            <v>2026A-04</v>
          </cell>
          <cell r="T2795" t="str">
            <v>OJT</v>
          </cell>
        </row>
        <row r="2796">
          <cell r="K2796">
            <v>10000</v>
          </cell>
          <cell r="P2796" t="str">
            <v>80123101-61071005</v>
          </cell>
          <cell r="S2796" t="str">
            <v>2026A-04</v>
          </cell>
          <cell r="T2796" t="str">
            <v>Sycip</v>
          </cell>
        </row>
        <row r="2797">
          <cell r="K2797">
            <v>-28545.09</v>
          </cell>
          <cell r="P2797" t="str">
            <v>81319101-52061105</v>
          </cell>
          <cell r="S2797" t="str">
            <v>2026A-04</v>
          </cell>
          <cell r="T2797" t="str">
            <v>Zero</v>
          </cell>
        </row>
        <row r="2798">
          <cell r="K2798">
            <v>28545.09</v>
          </cell>
          <cell r="P2798" t="str">
            <v>81319101-52061105</v>
          </cell>
          <cell r="S2798" t="str">
            <v>2026A-04</v>
          </cell>
          <cell r="T2798" t="str">
            <v>Zero</v>
          </cell>
        </row>
        <row r="2799">
          <cell r="K2799">
            <v>250000</v>
          </cell>
          <cell r="P2799" t="str">
            <v>81133102-52071104</v>
          </cell>
          <cell r="S2799" t="str">
            <v>2026A-04</v>
          </cell>
          <cell r="T2799" t="str">
            <v>RSG</v>
          </cell>
        </row>
        <row r="2800">
          <cell r="K2800">
            <v>-40692.99</v>
          </cell>
          <cell r="P2800" t="str">
            <v>80123101-61071002</v>
          </cell>
          <cell r="S2800" t="str">
            <v>2026A-04</v>
          </cell>
          <cell r="T2800" t="str">
            <v>Open Cases</v>
          </cell>
        </row>
        <row r="2801">
          <cell r="K2801">
            <v>9000</v>
          </cell>
          <cell r="P2801" t="str">
            <v>80123101-61071002</v>
          </cell>
          <cell r="S2801" t="str">
            <v>2026A-04</v>
          </cell>
          <cell r="T2801" t="str">
            <v>Open Cases</v>
          </cell>
        </row>
        <row r="2802">
          <cell r="K2802">
            <v>7272</v>
          </cell>
          <cell r="P2802" t="str">
            <v>80123101-61071002</v>
          </cell>
          <cell r="S2802" t="str">
            <v>2026A-04</v>
          </cell>
          <cell r="T2802" t="str">
            <v>Open Cases</v>
          </cell>
        </row>
        <row r="2803">
          <cell r="K2803">
            <v>9000</v>
          </cell>
          <cell r="P2803" t="str">
            <v>80123101-61071002</v>
          </cell>
          <cell r="S2803" t="str">
            <v>2026A-04</v>
          </cell>
          <cell r="T2803" t="str">
            <v>Open Cases</v>
          </cell>
        </row>
        <row r="2804">
          <cell r="K2804">
            <v>4848</v>
          </cell>
          <cell r="P2804" t="str">
            <v>80123101-61071002</v>
          </cell>
          <cell r="S2804" t="str">
            <v>2026A-04</v>
          </cell>
          <cell r="T2804" t="str">
            <v>Open Cases</v>
          </cell>
        </row>
        <row r="2805">
          <cell r="K2805">
            <v>10000</v>
          </cell>
          <cell r="P2805" t="str">
            <v>80123101-61071002</v>
          </cell>
          <cell r="S2805" t="str">
            <v>2026A-04</v>
          </cell>
          <cell r="T2805" t="str">
            <v>Open Cases</v>
          </cell>
        </row>
        <row r="2806">
          <cell r="K2806">
            <v>5817.6</v>
          </cell>
          <cell r="P2806" t="str">
            <v>80123101-61071002</v>
          </cell>
          <cell r="S2806" t="str">
            <v>2026A-04</v>
          </cell>
          <cell r="T2806" t="str">
            <v>Open Cases</v>
          </cell>
        </row>
        <row r="2807">
          <cell r="K2807">
            <v>32</v>
          </cell>
          <cell r="P2807" t="str">
            <v>80123101-61711101</v>
          </cell>
          <cell r="S2807" t="str">
            <v>2026A-04</v>
          </cell>
          <cell r="T2807" t="str">
            <v>Dues and Fees - Legal</v>
          </cell>
        </row>
        <row r="2808">
          <cell r="K2808">
            <v>32</v>
          </cell>
          <cell r="P2808" t="str">
            <v>80123101-61711101</v>
          </cell>
          <cell r="S2808" t="str">
            <v>2026A-04</v>
          </cell>
          <cell r="T2808" t="str">
            <v>Dues and Fees - Legal</v>
          </cell>
        </row>
        <row r="2809">
          <cell r="K2809">
            <v>2.04</v>
          </cell>
          <cell r="P2809" t="str">
            <v>80123101-61711101</v>
          </cell>
          <cell r="S2809" t="str">
            <v>2026A-04</v>
          </cell>
          <cell r="T2809" t="str">
            <v>Dues and Fees - Legal</v>
          </cell>
        </row>
        <row r="2810">
          <cell r="K2810">
            <v>32</v>
          </cell>
          <cell r="P2810" t="str">
            <v>80123101-61711101</v>
          </cell>
          <cell r="S2810" t="str">
            <v>2026A-04</v>
          </cell>
          <cell r="T2810" t="str">
            <v>Dues and Fees - Legal</v>
          </cell>
        </row>
        <row r="2811">
          <cell r="K2811">
            <v>31.67</v>
          </cell>
          <cell r="P2811" t="str">
            <v>80123101-61711101</v>
          </cell>
          <cell r="S2811" t="str">
            <v>2026A-04</v>
          </cell>
          <cell r="T2811" t="str">
            <v>Dues and Fees - Legal</v>
          </cell>
        </row>
        <row r="2812">
          <cell r="K2812">
            <v>20000</v>
          </cell>
          <cell r="P2812" t="str">
            <v>80123101-61071005</v>
          </cell>
          <cell r="S2812" t="str">
            <v>2026A-04</v>
          </cell>
          <cell r="T2812" t="str">
            <v>Poblador</v>
          </cell>
        </row>
        <row r="2813">
          <cell r="K2813">
            <v>9553.17</v>
          </cell>
          <cell r="P2813" t="str">
            <v>80123102-61721101</v>
          </cell>
          <cell r="S2813" t="str">
            <v>2026A-04</v>
          </cell>
          <cell r="T2813" t="str">
            <v>Mobile Phones</v>
          </cell>
        </row>
        <row r="2814">
          <cell r="K2814">
            <v>2171.1</v>
          </cell>
          <cell r="P2814" t="str">
            <v>80123102-61721101</v>
          </cell>
          <cell r="S2814" t="str">
            <v>2026A-04</v>
          </cell>
          <cell r="T2814" t="str">
            <v>Mobile Phones</v>
          </cell>
        </row>
        <row r="2815">
          <cell r="K2815">
            <v>1736.98</v>
          </cell>
          <cell r="P2815" t="str">
            <v>80123102-61721101</v>
          </cell>
          <cell r="S2815" t="str">
            <v>2026A-04</v>
          </cell>
          <cell r="T2815" t="str">
            <v>Mobile Phones</v>
          </cell>
        </row>
        <row r="2816">
          <cell r="K2816">
            <v>1736.98</v>
          </cell>
          <cell r="P2816" t="str">
            <v>80123102-61721101</v>
          </cell>
          <cell r="S2816" t="str">
            <v>2026A-04</v>
          </cell>
          <cell r="T2816" t="str">
            <v>Mobile Phones</v>
          </cell>
        </row>
        <row r="2817">
          <cell r="K2817">
            <v>1736.98</v>
          </cell>
          <cell r="P2817" t="str">
            <v>80123102-61721101</v>
          </cell>
          <cell r="S2817" t="str">
            <v>2026A-04</v>
          </cell>
          <cell r="T2817" t="str">
            <v>Mobile Phones</v>
          </cell>
        </row>
        <row r="2818">
          <cell r="K2818">
            <v>1736.98</v>
          </cell>
          <cell r="P2818" t="str">
            <v>80123102-61721101</v>
          </cell>
          <cell r="S2818" t="str">
            <v>2026A-04</v>
          </cell>
          <cell r="T2818" t="str">
            <v>Mobile Phones</v>
          </cell>
        </row>
        <row r="2819">
          <cell r="K2819">
            <v>1736.98</v>
          </cell>
          <cell r="P2819" t="str">
            <v>80123102-61721101</v>
          </cell>
          <cell r="S2819" t="str">
            <v>2026A-04</v>
          </cell>
          <cell r="T2819" t="str">
            <v>Mobile Phones</v>
          </cell>
        </row>
        <row r="2820">
          <cell r="K2820">
            <v>1736.98</v>
          </cell>
          <cell r="P2820" t="str">
            <v>80123102-61721101</v>
          </cell>
          <cell r="S2820" t="str">
            <v>2026A-04</v>
          </cell>
          <cell r="T2820" t="str">
            <v>Mobile Phones</v>
          </cell>
        </row>
        <row r="2821">
          <cell r="K2821">
            <v>1259.06</v>
          </cell>
          <cell r="P2821" t="str">
            <v>80123102-61721101</v>
          </cell>
          <cell r="S2821" t="str">
            <v>2026A-04</v>
          </cell>
          <cell r="T2821" t="str">
            <v>Mobile Phones</v>
          </cell>
        </row>
        <row r="2822">
          <cell r="K2822">
            <v>1744.78</v>
          </cell>
          <cell r="P2822" t="str">
            <v>80123102-61721101</v>
          </cell>
          <cell r="S2822" t="str">
            <v>2026A-04</v>
          </cell>
          <cell r="T2822" t="str">
            <v>Mobile Phones</v>
          </cell>
        </row>
        <row r="2823">
          <cell r="K2823">
            <v>1259.06</v>
          </cell>
          <cell r="P2823" t="str">
            <v>80123102-61721101</v>
          </cell>
          <cell r="S2823" t="str">
            <v>2026A-04</v>
          </cell>
          <cell r="T2823" t="str">
            <v>Mobile Phones</v>
          </cell>
        </row>
        <row r="2824">
          <cell r="K2824">
            <v>1304.51</v>
          </cell>
          <cell r="P2824" t="str">
            <v>80123102-61721101</v>
          </cell>
          <cell r="S2824" t="str">
            <v>2026A-04</v>
          </cell>
          <cell r="T2824" t="str">
            <v>Mobile Phones</v>
          </cell>
        </row>
        <row r="2825">
          <cell r="K2825">
            <v>223.21</v>
          </cell>
          <cell r="P2825" t="str">
            <v>80123102-61721101</v>
          </cell>
          <cell r="S2825" t="str">
            <v>2026A-04</v>
          </cell>
          <cell r="T2825" t="str">
            <v>Mobile Phones</v>
          </cell>
        </row>
        <row r="2826">
          <cell r="K2826">
            <v>1536.38</v>
          </cell>
          <cell r="P2826" t="str">
            <v>80123102-61721101</v>
          </cell>
          <cell r="S2826" t="str">
            <v>2026A-04</v>
          </cell>
          <cell r="T2826" t="str">
            <v>Mobile Phones</v>
          </cell>
        </row>
        <row r="2827">
          <cell r="K2827">
            <v>1259.06</v>
          </cell>
          <cell r="P2827" t="str">
            <v>80123102-61721101</v>
          </cell>
          <cell r="S2827" t="str">
            <v>2026A-04</v>
          </cell>
          <cell r="T2827" t="str">
            <v>Mobile Phones</v>
          </cell>
        </row>
        <row r="2828">
          <cell r="K2828">
            <v>135</v>
          </cell>
          <cell r="P2828" t="str">
            <v>80123102-61081101</v>
          </cell>
          <cell r="S2828" t="str">
            <v>2026A-04</v>
          </cell>
          <cell r="T2828" t="str">
            <v>Transpo</v>
          </cell>
        </row>
        <row r="2829">
          <cell r="K2829">
            <v>14687.68</v>
          </cell>
          <cell r="P2829" t="str">
            <v>80125101-61091101</v>
          </cell>
          <cell r="S2829" t="str">
            <v>2026A-04</v>
          </cell>
          <cell r="T2829" t="str">
            <v>Meetings</v>
          </cell>
        </row>
        <row r="2830">
          <cell r="K2830">
            <v>81</v>
          </cell>
          <cell r="P2830" t="str">
            <v>80123102-61081101</v>
          </cell>
          <cell r="S2830" t="str">
            <v>2026A-04</v>
          </cell>
          <cell r="T2830" t="str">
            <v>Transpo</v>
          </cell>
        </row>
        <row r="2831">
          <cell r="K2831">
            <v>15000</v>
          </cell>
          <cell r="P2831" t="str">
            <v>80133103-61711101</v>
          </cell>
          <cell r="S2831" t="str">
            <v>2026A-04</v>
          </cell>
          <cell r="T2831" t="str">
            <v>BOC</v>
          </cell>
        </row>
        <row r="2832">
          <cell r="K2832">
            <v>2020</v>
          </cell>
          <cell r="P2832" t="str">
            <v>80133103-61711101</v>
          </cell>
          <cell r="S2832" t="str">
            <v>2026A-04</v>
          </cell>
          <cell r="T2832" t="str">
            <v>BOC</v>
          </cell>
        </row>
        <row r="2833">
          <cell r="K2833">
            <v>-20425.900000000001</v>
          </cell>
          <cell r="P2833" t="str">
            <v>81319101-52041401</v>
          </cell>
          <cell r="S2833" t="str">
            <v>2026A-04</v>
          </cell>
          <cell r="T2833" t="str">
            <v>TS</v>
          </cell>
        </row>
        <row r="2834">
          <cell r="K2834">
            <v>-4574.96</v>
          </cell>
          <cell r="P2834" t="str">
            <v>81319101-52041401</v>
          </cell>
          <cell r="S2834" t="str">
            <v>2026A-04</v>
          </cell>
          <cell r="T2834" t="str">
            <v>TS</v>
          </cell>
        </row>
        <row r="2835">
          <cell r="K2835">
            <v>22877.01</v>
          </cell>
          <cell r="P2835" t="str">
            <v>81319101-52041401</v>
          </cell>
          <cell r="S2835" t="str">
            <v>2026A-04</v>
          </cell>
          <cell r="T2835" t="str">
            <v>TS</v>
          </cell>
        </row>
        <row r="2836">
          <cell r="K2836">
            <v>4574.96</v>
          </cell>
          <cell r="P2836" t="str">
            <v>81319101-52041401</v>
          </cell>
          <cell r="S2836" t="str">
            <v>2026A-04</v>
          </cell>
          <cell r="T2836" t="str">
            <v>TS</v>
          </cell>
        </row>
        <row r="2837">
          <cell r="K2837">
            <v>165</v>
          </cell>
          <cell r="P2837" t="str">
            <v>90111101-52951102</v>
          </cell>
          <cell r="S2837" t="str">
            <v>2026A-04</v>
          </cell>
          <cell r="T2837" t="str">
            <v>Zero</v>
          </cell>
        </row>
        <row r="2838">
          <cell r="K2838">
            <v>165</v>
          </cell>
          <cell r="P2838" t="str">
            <v>90111101-52951102</v>
          </cell>
          <cell r="S2838" t="str">
            <v>2026A-04</v>
          </cell>
          <cell r="T2838" t="str">
            <v>Zero</v>
          </cell>
        </row>
        <row r="2839">
          <cell r="K2839">
            <v>282</v>
          </cell>
          <cell r="P2839" t="str">
            <v>90111101-52951102</v>
          </cell>
          <cell r="S2839" t="str">
            <v>2026A-04</v>
          </cell>
          <cell r="T2839" t="str">
            <v>Zero</v>
          </cell>
        </row>
        <row r="2840">
          <cell r="K2840">
            <v>130</v>
          </cell>
          <cell r="P2840" t="str">
            <v>90111101-52951102</v>
          </cell>
          <cell r="S2840" t="str">
            <v>2026A-04</v>
          </cell>
          <cell r="T2840" t="str">
            <v>Zero</v>
          </cell>
        </row>
        <row r="2841">
          <cell r="K2841">
            <v>64</v>
          </cell>
          <cell r="P2841" t="str">
            <v>90111101-61111101</v>
          </cell>
          <cell r="S2841" t="str">
            <v>2026A-04</v>
          </cell>
          <cell r="T2841" t="str">
            <v>Zero</v>
          </cell>
        </row>
        <row r="2842">
          <cell r="K2842">
            <v>1338.39</v>
          </cell>
          <cell r="P2842" t="str">
            <v>80123102-61721101</v>
          </cell>
          <cell r="S2842" t="str">
            <v>2026A-04</v>
          </cell>
          <cell r="T2842" t="str">
            <v>Mobile Phones</v>
          </cell>
        </row>
        <row r="2843">
          <cell r="K2843">
            <v>891.96</v>
          </cell>
          <cell r="P2843" t="str">
            <v>80123102-61721101</v>
          </cell>
          <cell r="S2843" t="str">
            <v>2026A-04</v>
          </cell>
          <cell r="T2843" t="str">
            <v>Mobile Phones</v>
          </cell>
        </row>
        <row r="2844">
          <cell r="K2844">
            <v>891.96</v>
          </cell>
          <cell r="P2844" t="str">
            <v>80123102-61721101</v>
          </cell>
          <cell r="S2844" t="str">
            <v>2026A-04</v>
          </cell>
          <cell r="T2844" t="str">
            <v>Mobile Phones</v>
          </cell>
        </row>
        <row r="2845">
          <cell r="K2845">
            <v>891.96</v>
          </cell>
          <cell r="P2845" t="str">
            <v>80123102-61721101</v>
          </cell>
          <cell r="S2845" t="str">
            <v>2026A-04</v>
          </cell>
          <cell r="T2845" t="str">
            <v>Mobile Phones</v>
          </cell>
        </row>
        <row r="2846">
          <cell r="K2846">
            <v>947.83</v>
          </cell>
          <cell r="P2846" t="str">
            <v>80123102-61721101</v>
          </cell>
          <cell r="S2846" t="str">
            <v>2026A-04</v>
          </cell>
          <cell r="T2846" t="str">
            <v>Mobile Phones</v>
          </cell>
        </row>
        <row r="2847">
          <cell r="K2847">
            <v>713.39</v>
          </cell>
          <cell r="P2847" t="str">
            <v>80123102-61721101</v>
          </cell>
          <cell r="S2847" t="str">
            <v>2026A-04</v>
          </cell>
          <cell r="T2847" t="str">
            <v>Mobile Phones</v>
          </cell>
        </row>
        <row r="2848">
          <cell r="K2848">
            <v>1338.39</v>
          </cell>
          <cell r="P2848" t="str">
            <v>80123102-61721101</v>
          </cell>
          <cell r="S2848" t="str">
            <v>2026A-04</v>
          </cell>
          <cell r="T2848" t="str">
            <v>Mobile Phones</v>
          </cell>
        </row>
        <row r="2849">
          <cell r="K2849">
            <v>1338.39</v>
          </cell>
          <cell r="P2849" t="str">
            <v>80123102-61721101</v>
          </cell>
          <cell r="S2849" t="str">
            <v>2026A-04</v>
          </cell>
          <cell r="T2849" t="str">
            <v>Mobile Phones</v>
          </cell>
        </row>
        <row r="2850">
          <cell r="K2850">
            <v>891.96</v>
          </cell>
          <cell r="P2850" t="str">
            <v>80123102-61721101</v>
          </cell>
          <cell r="S2850" t="str">
            <v>2026A-04</v>
          </cell>
          <cell r="T2850" t="str">
            <v>Mobile Phones</v>
          </cell>
        </row>
        <row r="2851">
          <cell r="K2851">
            <v>713.39</v>
          </cell>
          <cell r="P2851" t="str">
            <v>80123102-61721101</v>
          </cell>
          <cell r="S2851" t="str">
            <v>2026A-04</v>
          </cell>
          <cell r="T2851" t="str">
            <v>Mobile Phones</v>
          </cell>
        </row>
        <row r="2852">
          <cell r="K2852">
            <v>713.39</v>
          </cell>
          <cell r="P2852" t="str">
            <v>80123102-61721101</v>
          </cell>
          <cell r="S2852" t="str">
            <v>2026A-04</v>
          </cell>
          <cell r="T2852" t="str">
            <v>Mobile Phones</v>
          </cell>
        </row>
        <row r="2853">
          <cell r="K2853">
            <v>713.39</v>
          </cell>
          <cell r="P2853" t="str">
            <v>80123102-61721101</v>
          </cell>
          <cell r="S2853" t="str">
            <v>2026A-04</v>
          </cell>
          <cell r="T2853" t="str">
            <v>Mobile Phones</v>
          </cell>
        </row>
        <row r="2854">
          <cell r="K2854">
            <v>1338.39</v>
          </cell>
          <cell r="P2854" t="str">
            <v>80123102-61721101</v>
          </cell>
          <cell r="S2854" t="str">
            <v>2026A-04</v>
          </cell>
          <cell r="T2854" t="str">
            <v>Mobile Phones</v>
          </cell>
        </row>
        <row r="2855">
          <cell r="K2855">
            <v>1606.41</v>
          </cell>
          <cell r="P2855" t="str">
            <v>80123102-61721101</v>
          </cell>
          <cell r="S2855" t="str">
            <v>2026A-04</v>
          </cell>
          <cell r="T2855" t="str">
            <v>Mobile Phones</v>
          </cell>
        </row>
        <row r="2856">
          <cell r="K2856">
            <v>891.96</v>
          </cell>
          <cell r="P2856" t="str">
            <v>80123102-61721101</v>
          </cell>
          <cell r="S2856" t="str">
            <v>2026A-04</v>
          </cell>
          <cell r="T2856" t="str">
            <v>Mobile Phones</v>
          </cell>
        </row>
        <row r="2857">
          <cell r="K2857">
            <v>1592.79</v>
          </cell>
          <cell r="P2857" t="str">
            <v>80123102-61721101</v>
          </cell>
          <cell r="S2857" t="str">
            <v>2026A-04</v>
          </cell>
          <cell r="T2857" t="str">
            <v>Mobile Phones</v>
          </cell>
        </row>
        <row r="2858">
          <cell r="K2858">
            <v>713.39</v>
          </cell>
          <cell r="P2858" t="str">
            <v>80123102-61721101</v>
          </cell>
          <cell r="S2858" t="str">
            <v>2026A-04</v>
          </cell>
          <cell r="T2858" t="str">
            <v>Mobile Phones</v>
          </cell>
        </row>
        <row r="2859">
          <cell r="K2859">
            <v>713.39</v>
          </cell>
          <cell r="P2859" t="str">
            <v>80123102-61721101</v>
          </cell>
          <cell r="S2859" t="str">
            <v>2026A-04</v>
          </cell>
          <cell r="T2859" t="str">
            <v>Mobile Phones</v>
          </cell>
        </row>
        <row r="2860">
          <cell r="K2860">
            <v>713.39</v>
          </cell>
          <cell r="P2860" t="str">
            <v>80123102-61721101</v>
          </cell>
          <cell r="S2860" t="str">
            <v>2026A-04</v>
          </cell>
          <cell r="T2860" t="str">
            <v>Mobile Phones</v>
          </cell>
        </row>
        <row r="2861">
          <cell r="K2861">
            <v>891.96</v>
          </cell>
          <cell r="P2861" t="str">
            <v>80123102-61721101</v>
          </cell>
          <cell r="S2861" t="str">
            <v>2026A-04</v>
          </cell>
          <cell r="T2861" t="str">
            <v>Mobile Phones</v>
          </cell>
        </row>
        <row r="2862">
          <cell r="K2862">
            <v>891.96</v>
          </cell>
          <cell r="P2862" t="str">
            <v>80123102-61721101</v>
          </cell>
          <cell r="S2862" t="str">
            <v>2026A-04</v>
          </cell>
          <cell r="T2862" t="str">
            <v>Mobile Phones</v>
          </cell>
        </row>
        <row r="2863">
          <cell r="K2863">
            <v>891.96</v>
          </cell>
          <cell r="P2863" t="str">
            <v>80123102-61721101</v>
          </cell>
          <cell r="S2863" t="str">
            <v>2026A-04</v>
          </cell>
          <cell r="T2863" t="str">
            <v>Mobile Phones</v>
          </cell>
        </row>
        <row r="2864">
          <cell r="K2864">
            <v>1338.39</v>
          </cell>
          <cell r="P2864" t="str">
            <v>80123102-61721101</v>
          </cell>
          <cell r="S2864" t="str">
            <v>2026A-04</v>
          </cell>
          <cell r="T2864" t="str">
            <v>Mobile Phones</v>
          </cell>
        </row>
        <row r="2865">
          <cell r="K2865">
            <v>891.96</v>
          </cell>
          <cell r="P2865" t="str">
            <v>80123102-61721101</v>
          </cell>
          <cell r="S2865" t="str">
            <v>2026A-04</v>
          </cell>
          <cell r="T2865" t="str">
            <v>Mobile Phones</v>
          </cell>
        </row>
        <row r="2866">
          <cell r="K2866">
            <v>891.96</v>
          </cell>
          <cell r="P2866" t="str">
            <v>80123102-61721101</v>
          </cell>
          <cell r="S2866" t="str">
            <v>2026A-04</v>
          </cell>
          <cell r="T2866" t="str">
            <v>Mobile Phones</v>
          </cell>
        </row>
        <row r="2867">
          <cell r="K2867">
            <v>891.96</v>
          </cell>
          <cell r="P2867" t="str">
            <v>80123102-61721101</v>
          </cell>
          <cell r="S2867" t="str">
            <v>2026A-04</v>
          </cell>
          <cell r="T2867" t="str">
            <v>Mobile Phones</v>
          </cell>
        </row>
        <row r="2868">
          <cell r="K2868">
            <v>534.82000000000005</v>
          </cell>
          <cell r="P2868" t="str">
            <v>80123102-61721101</v>
          </cell>
          <cell r="S2868" t="str">
            <v>2026A-04</v>
          </cell>
          <cell r="T2868" t="str">
            <v>Mobile Phones</v>
          </cell>
        </row>
        <row r="2869">
          <cell r="K2869">
            <v>713.39</v>
          </cell>
          <cell r="P2869" t="str">
            <v>80123102-61721101</v>
          </cell>
          <cell r="S2869" t="str">
            <v>2026A-04</v>
          </cell>
          <cell r="T2869" t="str">
            <v>Mobile Phones</v>
          </cell>
        </row>
        <row r="2870">
          <cell r="K2870">
            <v>891.96</v>
          </cell>
          <cell r="P2870" t="str">
            <v>80123102-61721101</v>
          </cell>
          <cell r="S2870" t="str">
            <v>2026A-04</v>
          </cell>
          <cell r="T2870" t="str">
            <v>Mobile Phones</v>
          </cell>
        </row>
        <row r="2871">
          <cell r="K2871">
            <v>891.96</v>
          </cell>
          <cell r="P2871" t="str">
            <v>80123102-61721101</v>
          </cell>
          <cell r="S2871" t="str">
            <v>2026A-04</v>
          </cell>
          <cell r="T2871" t="str">
            <v>Mobile Phones</v>
          </cell>
        </row>
        <row r="2872">
          <cell r="K2872">
            <v>1338.39</v>
          </cell>
          <cell r="P2872" t="str">
            <v>80123102-61721101</v>
          </cell>
          <cell r="S2872" t="str">
            <v>2026A-04</v>
          </cell>
          <cell r="T2872" t="str">
            <v>Mobile Phones</v>
          </cell>
        </row>
        <row r="2873">
          <cell r="K2873">
            <v>891.96</v>
          </cell>
          <cell r="P2873" t="str">
            <v>80123102-61721101</v>
          </cell>
          <cell r="S2873" t="str">
            <v>2026A-04</v>
          </cell>
          <cell r="T2873" t="str">
            <v>Mobile Phones</v>
          </cell>
        </row>
        <row r="2874">
          <cell r="K2874">
            <v>891.96</v>
          </cell>
          <cell r="P2874" t="str">
            <v>80123102-61721101</v>
          </cell>
          <cell r="S2874" t="str">
            <v>2026A-04</v>
          </cell>
          <cell r="T2874" t="str">
            <v>Mobile Phones</v>
          </cell>
        </row>
        <row r="2875">
          <cell r="K2875">
            <v>713.39</v>
          </cell>
          <cell r="P2875" t="str">
            <v>80123102-61721101</v>
          </cell>
          <cell r="S2875" t="str">
            <v>2026A-04</v>
          </cell>
          <cell r="T2875" t="str">
            <v>Mobile Phones</v>
          </cell>
        </row>
        <row r="2876">
          <cell r="K2876">
            <v>891.96</v>
          </cell>
          <cell r="P2876" t="str">
            <v>80123102-61721101</v>
          </cell>
          <cell r="S2876" t="str">
            <v>2026A-04</v>
          </cell>
          <cell r="T2876" t="str">
            <v>Mobile Phones</v>
          </cell>
        </row>
        <row r="2877">
          <cell r="K2877">
            <v>1338.39</v>
          </cell>
          <cell r="P2877" t="str">
            <v>80123102-61721101</v>
          </cell>
          <cell r="S2877" t="str">
            <v>2026A-04</v>
          </cell>
          <cell r="T2877" t="str">
            <v>Mobile Phones</v>
          </cell>
        </row>
        <row r="2878">
          <cell r="K2878">
            <v>891.96</v>
          </cell>
          <cell r="P2878" t="str">
            <v>80123102-61721101</v>
          </cell>
          <cell r="S2878" t="str">
            <v>2026A-04</v>
          </cell>
          <cell r="T2878" t="str">
            <v>Mobile Phones</v>
          </cell>
        </row>
        <row r="2879">
          <cell r="K2879">
            <v>891.96</v>
          </cell>
          <cell r="P2879" t="str">
            <v>80123102-61721101</v>
          </cell>
          <cell r="S2879" t="str">
            <v>2026A-04</v>
          </cell>
          <cell r="T2879" t="str">
            <v>Mobile Phones</v>
          </cell>
        </row>
        <row r="2880">
          <cell r="K2880">
            <v>891.96</v>
          </cell>
          <cell r="P2880" t="str">
            <v>80123102-61721101</v>
          </cell>
          <cell r="S2880" t="str">
            <v>2026A-04</v>
          </cell>
          <cell r="T2880" t="str">
            <v>Mobile Phones</v>
          </cell>
        </row>
        <row r="2881">
          <cell r="K2881">
            <v>534.82000000000005</v>
          </cell>
          <cell r="P2881" t="str">
            <v>80123102-61721101</v>
          </cell>
          <cell r="S2881" t="str">
            <v>2026A-04</v>
          </cell>
          <cell r="T2881" t="str">
            <v>Mobile Phones</v>
          </cell>
        </row>
        <row r="2882">
          <cell r="K2882">
            <v>713.39</v>
          </cell>
          <cell r="P2882" t="str">
            <v>80123102-61721101</v>
          </cell>
          <cell r="S2882" t="str">
            <v>2026A-04</v>
          </cell>
          <cell r="T2882" t="str">
            <v>Mobile Phones</v>
          </cell>
        </row>
        <row r="2883">
          <cell r="K2883">
            <v>891.96</v>
          </cell>
          <cell r="P2883" t="str">
            <v>80123102-61721101</v>
          </cell>
          <cell r="S2883" t="str">
            <v>2026A-04</v>
          </cell>
          <cell r="T2883" t="str">
            <v>Mobile Phones</v>
          </cell>
        </row>
        <row r="2884">
          <cell r="K2884">
            <v>891.96</v>
          </cell>
          <cell r="P2884" t="str">
            <v>80123102-61721101</v>
          </cell>
          <cell r="S2884" t="str">
            <v>2026A-04</v>
          </cell>
          <cell r="T2884" t="str">
            <v>Mobile Phones</v>
          </cell>
        </row>
        <row r="2885">
          <cell r="K2885">
            <v>1338.39</v>
          </cell>
          <cell r="P2885" t="str">
            <v>80123102-61721101</v>
          </cell>
          <cell r="S2885" t="str">
            <v>2026A-04</v>
          </cell>
          <cell r="T2885" t="str">
            <v>Mobile Phones</v>
          </cell>
        </row>
        <row r="2886">
          <cell r="K2886">
            <v>891.96</v>
          </cell>
          <cell r="P2886" t="str">
            <v>80123102-61721101</v>
          </cell>
          <cell r="S2886" t="str">
            <v>2026A-04</v>
          </cell>
          <cell r="T2886" t="str">
            <v>Mobile Phones</v>
          </cell>
        </row>
        <row r="2887">
          <cell r="K2887">
            <v>534.82000000000005</v>
          </cell>
          <cell r="P2887" t="str">
            <v>80123102-61721101</v>
          </cell>
          <cell r="S2887" t="str">
            <v>2026A-04</v>
          </cell>
          <cell r="T2887" t="str">
            <v>Mobile Phones</v>
          </cell>
        </row>
        <row r="2888">
          <cell r="K2888">
            <v>891.96</v>
          </cell>
          <cell r="P2888" t="str">
            <v>80123102-61721101</v>
          </cell>
          <cell r="S2888" t="str">
            <v>2026A-04</v>
          </cell>
          <cell r="T2888" t="str">
            <v>Mobile Phones</v>
          </cell>
        </row>
        <row r="2889">
          <cell r="K2889">
            <v>534.82000000000005</v>
          </cell>
          <cell r="P2889" t="str">
            <v>80123102-61721101</v>
          </cell>
          <cell r="S2889" t="str">
            <v>2026A-04</v>
          </cell>
          <cell r="T2889" t="str">
            <v>Mobile Phones</v>
          </cell>
        </row>
        <row r="2890">
          <cell r="K2890">
            <v>891.96</v>
          </cell>
          <cell r="P2890" t="str">
            <v>80123102-61721101</v>
          </cell>
          <cell r="S2890" t="str">
            <v>2026A-04</v>
          </cell>
          <cell r="T2890" t="str">
            <v>Mobile Phones</v>
          </cell>
        </row>
        <row r="2891">
          <cell r="K2891">
            <v>1338.39</v>
          </cell>
          <cell r="P2891" t="str">
            <v>80123102-61721101</v>
          </cell>
          <cell r="S2891" t="str">
            <v>2026A-04</v>
          </cell>
          <cell r="T2891" t="str">
            <v>Mobile Phones</v>
          </cell>
        </row>
        <row r="2892">
          <cell r="K2892">
            <v>2640</v>
          </cell>
          <cell r="P2892" t="str">
            <v>81122101-52121402</v>
          </cell>
          <cell r="S2892" t="str">
            <v>2026A-04</v>
          </cell>
          <cell r="T2892" t="str">
            <v>Drinking Water</v>
          </cell>
        </row>
        <row r="2893">
          <cell r="K2893">
            <v>4800</v>
          </cell>
          <cell r="P2893" t="str">
            <v>81122101-52121402</v>
          </cell>
          <cell r="S2893" t="str">
            <v>2026A-04</v>
          </cell>
          <cell r="T2893" t="str">
            <v>Drinking Water</v>
          </cell>
        </row>
        <row r="2894">
          <cell r="K2894">
            <v>4040</v>
          </cell>
          <cell r="P2894" t="str">
            <v>81122101-52121402</v>
          </cell>
          <cell r="S2894" t="str">
            <v>2026A-04</v>
          </cell>
          <cell r="T2894" t="str">
            <v>Drinking Water</v>
          </cell>
        </row>
        <row r="2895">
          <cell r="K2895">
            <v>2400</v>
          </cell>
          <cell r="P2895" t="str">
            <v>81122101-52121402</v>
          </cell>
          <cell r="S2895" t="str">
            <v>2026A-04</v>
          </cell>
          <cell r="T2895" t="str">
            <v>Drinking Water</v>
          </cell>
        </row>
        <row r="2896">
          <cell r="K2896">
            <v>8707.75</v>
          </cell>
          <cell r="P2896" t="str">
            <v>90111204-61091101</v>
          </cell>
          <cell r="S2896" t="str">
            <v>2026A-04</v>
          </cell>
          <cell r="T2896" t="str">
            <v>Meetings</v>
          </cell>
        </row>
        <row r="2897">
          <cell r="K2897">
            <v>5654</v>
          </cell>
          <cell r="P2897" t="str">
            <v>80123101-61071002</v>
          </cell>
          <cell r="S2897" t="str">
            <v>2026A-04</v>
          </cell>
          <cell r="T2897" t="str">
            <v>Open Cases</v>
          </cell>
        </row>
        <row r="2898">
          <cell r="K2898">
            <v>900</v>
          </cell>
          <cell r="P2898" t="str">
            <v>81122101-52121402</v>
          </cell>
          <cell r="S2898" t="str">
            <v>2026A-04</v>
          </cell>
          <cell r="T2898" t="str">
            <v>Others</v>
          </cell>
        </row>
        <row r="2899">
          <cell r="K2899">
            <v>-0.01</v>
          </cell>
          <cell r="P2899" t="str">
            <v>81319101-52111101</v>
          </cell>
          <cell r="S2899" t="str">
            <v>2026A-04</v>
          </cell>
          <cell r="T2899" t="str">
            <v>ES</v>
          </cell>
        </row>
        <row r="2900">
          <cell r="K2900">
            <v>75000</v>
          </cell>
          <cell r="P2900" t="str">
            <v>81123101-52071102</v>
          </cell>
          <cell r="S2900" t="str">
            <v>2026A-04</v>
          </cell>
          <cell r="T2900" t="str">
            <v>Open Cases</v>
          </cell>
        </row>
        <row r="2901">
          <cell r="K2901">
            <v>2653.71</v>
          </cell>
          <cell r="P2901" t="str">
            <v>90111204-61091102</v>
          </cell>
          <cell r="S2901" t="str">
            <v>2026A-04</v>
          </cell>
          <cell r="T2901" t="str">
            <v>Meetings</v>
          </cell>
        </row>
        <row r="2902">
          <cell r="K2902">
            <v>137353.44</v>
          </cell>
          <cell r="P2902" t="str">
            <v>80124101-61711102</v>
          </cell>
          <cell r="S2902" t="str">
            <v>2026A-04</v>
          </cell>
          <cell r="T2902" t="str">
            <v>AWS</v>
          </cell>
        </row>
        <row r="2903">
          <cell r="K2903">
            <v>6268.1</v>
          </cell>
          <cell r="P2903" t="str">
            <v>80124101-61711102</v>
          </cell>
          <cell r="S2903" t="str">
            <v>2026A-04</v>
          </cell>
          <cell r="T2903" t="str">
            <v>AI Copilot</v>
          </cell>
        </row>
        <row r="2904">
          <cell r="K2904">
            <v>2108.61</v>
          </cell>
          <cell r="P2904" t="str">
            <v>80124101-61711102</v>
          </cell>
          <cell r="S2904" t="str">
            <v>2026A-04</v>
          </cell>
          <cell r="T2904" t="str">
            <v>Microsoft Planner</v>
          </cell>
        </row>
        <row r="2905">
          <cell r="K2905">
            <v>2679.57</v>
          </cell>
          <cell r="P2905" t="str">
            <v>80124101-61711102</v>
          </cell>
          <cell r="S2905" t="str">
            <v>2026A-04</v>
          </cell>
          <cell r="T2905" t="str">
            <v>Zoom</v>
          </cell>
        </row>
        <row r="2906">
          <cell r="K2906">
            <v>5459.06</v>
          </cell>
          <cell r="P2906" t="str">
            <v>80124101-61711102</v>
          </cell>
          <cell r="S2906" t="str">
            <v>2026A-04</v>
          </cell>
          <cell r="T2906" t="str">
            <v>Power Apps</v>
          </cell>
        </row>
        <row r="2907">
          <cell r="K2907">
            <v>35755.18</v>
          </cell>
          <cell r="P2907" t="str">
            <v>80124101-61711102</v>
          </cell>
          <cell r="S2907" t="str">
            <v>2026A-04</v>
          </cell>
          <cell r="T2907" t="str">
            <v>AI Builder</v>
          </cell>
        </row>
        <row r="2908">
          <cell r="K2908">
            <v>2884.66</v>
          </cell>
          <cell r="P2908" t="str">
            <v>80124101-61711102</v>
          </cell>
          <cell r="S2908" t="str">
            <v>2026A-04</v>
          </cell>
          <cell r="T2908" t="str">
            <v>Power Apps</v>
          </cell>
        </row>
        <row r="2909">
          <cell r="K2909">
            <v>1081.75</v>
          </cell>
          <cell r="P2909" t="str">
            <v>80124101-61711102</v>
          </cell>
          <cell r="S2909" t="str">
            <v>2026A-04</v>
          </cell>
          <cell r="T2909" t="str">
            <v>Power Apps</v>
          </cell>
        </row>
        <row r="2910">
          <cell r="K2910">
            <v>827.25</v>
          </cell>
          <cell r="P2910" t="str">
            <v>80124101-61711102</v>
          </cell>
          <cell r="S2910" t="str">
            <v>2026A-04</v>
          </cell>
          <cell r="T2910" t="str">
            <v>Github</v>
          </cell>
        </row>
        <row r="2911">
          <cell r="K2911">
            <v>19975.97</v>
          </cell>
          <cell r="P2911" t="str">
            <v>80124101-61711102</v>
          </cell>
          <cell r="S2911" t="str">
            <v>2026A-04</v>
          </cell>
          <cell r="T2911" t="str">
            <v>Power BI</v>
          </cell>
        </row>
        <row r="2912">
          <cell r="K2912">
            <v>3256</v>
          </cell>
          <cell r="P2912" t="str">
            <v>80123101-61091101</v>
          </cell>
          <cell r="S2912" t="str">
            <v>2026A-04</v>
          </cell>
          <cell r="T2912" t="str">
            <v>Meetings</v>
          </cell>
        </row>
        <row r="2913">
          <cell r="K2913">
            <v>1733.16</v>
          </cell>
          <cell r="P2913" t="str">
            <v>80314101-61731103</v>
          </cell>
          <cell r="S2913" t="str">
            <v>2026A-04</v>
          </cell>
          <cell r="T2913" t="str">
            <v>AI Pollo</v>
          </cell>
        </row>
        <row r="2914">
          <cell r="K2914">
            <v>1245.6600000000001</v>
          </cell>
          <cell r="P2914" t="str">
            <v>80314101-61731103</v>
          </cell>
          <cell r="S2914" t="str">
            <v>2026A-04</v>
          </cell>
          <cell r="T2914" t="str">
            <v>Meta</v>
          </cell>
        </row>
        <row r="2915">
          <cell r="K2915">
            <v>11939.24</v>
          </cell>
          <cell r="P2915" t="str">
            <v>81124101-52952103</v>
          </cell>
          <cell r="S2915" t="str">
            <v>2026A-04</v>
          </cell>
          <cell r="T2915" t="str">
            <v>Google Workspace</v>
          </cell>
        </row>
        <row r="2916">
          <cell r="K2916">
            <v>14877.59</v>
          </cell>
          <cell r="P2916" t="str">
            <v>81124101-52952103</v>
          </cell>
          <cell r="S2916" t="str">
            <v>2026A-04</v>
          </cell>
          <cell r="T2916" t="str">
            <v>AI Chatgpt</v>
          </cell>
        </row>
        <row r="2917">
          <cell r="K2917">
            <v>2494.6</v>
          </cell>
          <cell r="P2917" t="str">
            <v>81123102-52101112</v>
          </cell>
          <cell r="S2917" t="str">
            <v>2026A-04</v>
          </cell>
          <cell r="T2917" t="str">
            <v>Insurance - Vehicle</v>
          </cell>
        </row>
        <row r="2918">
          <cell r="K2918">
            <v>311.83</v>
          </cell>
          <cell r="P2918" t="str">
            <v>81123102-52101112</v>
          </cell>
          <cell r="S2918" t="str">
            <v>2026A-04</v>
          </cell>
          <cell r="T2918" t="str">
            <v>Insurance - Vehicle</v>
          </cell>
        </row>
        <row r="2919">
          <cell r="K2919">
            <v>4.99</v>
          </cell>
          <cell r="P2919" t="str">
            <v>81123102-52101112</v>
          </cell>
          <cell r="S2919" t="str">
            <v>2026A-04</v>
          </cell>
          <cell r="T2919" t="str">
            <v>Insurance - Vehicle</v>
          </cell>
        </row>
        <row r="2920">
          <cell r="K2920">
            <v>90</v>
          </cell>
          <cell r="P2920" t="str">
            <v>90111101-61031101</v>
          </cell>
          <cell r="S2920" t="str">
            <v>2026A-04</v>
          </cell>
          <cell r="T2920" t="str">
            <v>DST</v>
          </cell>
        </row>
        <row r="2921">
          <cell r="K2921">
            <v>-414448.15</v>
          </cell>
          <cell r="P2921" t="str">
            <v>80111101-61021303</v>
          </cell>
          <cell r="S2921" t="str">
            <v>2026A-04</v>
          </cell>
          <cell r="T2921" t="str">
            <v>HMO</v>
          </cell>
        </row>
        <row r="2922">
          <cell r="K2922">
            <v>-104080.13</v>
          </cell>
          <cell r="P2922" t="str">
            <v>80123102-61111201</v>
          </cell>
          <cell r="S2922" t="str">
            <v>2026A-04</v>
          </cell>
          <cell r="T2922" t="str">
            <v>Shell</v>
          </cell>
        </row>
        <row r="2923">
          <cell r="K2923">
            <v>-41530</v>
          </cell>
          <cell r="P2923" t="str">
            <v>80124101-61721105</v>
          </cell>
          <cell r="S2923" t="str">
            <v>2026A-04</v>
          </cell>
          <cell r="T2923" t="str">
            <v>Innove - SC1</v>
          </cell>
        </row>
        <row r="2924">
          <cell r="K2924">
            <v>-115000</v>
          </cell>
          <cell r="P2924" t="str">
            <v>80124101-61721105</v>
          </cell>
          <cell r="S2924" t="str">
            <v>2026A-04</v>
          </cell>
          <cell r="T2924" t="str">
            <v>Innove - HQ</v>
          </cell>
        </row>
        <row r="2925">
          <cell r="K2925">
            <v>-49103.85</v>
          </cell>
          <cell r="P2925" t="str">
            <v>80123102-61721101</v>
          </cell>
          <cell r="S2925" t="str">
            <v>2026A-04</v>
          </cell>
          <cell r="T2925" t="str">
            <v>Mobile Phones</v>
          </cell>
        </row>
        <row r="2926">
          <cell r="K2926">
            <v>41530</v>
          </cell>
          <cell r="P2926" t="str">
            <v>80124101-61721105</v>
          </cell>
          <cell r="S2926" t="str">
            <v>2026A-04</v>
          </cell>
          <cell r="T2926" t="str">
            <v>Innove - SC1</v>
          </cell>
        </row>
        <row r="2927">
          <cell r="K2927">
            <v>115000</v>
          </cell>
          <cell r="P2927" t="str">
            <v>80124101-61721105</v>
          </cell>
          <cell r="S2927" t="str">
            <v>2026A-04</v>
          </cell>
          <cell r="T2927" t="str">
            <v>Innove - HQ</v>
          </cell>
        </row>
        <row r="2928">
          <cell r="K2928">
            <v>49028.72</v>
          </cell>
          <cell r="P2928" t="str">
            <v>80123102-61111201</v>
          </cell>
          <cell r="S2928" t="str">
            <v>2026A-04</v>
          </cell>
          <cell r="T2928" t="str">
            <v>Shell</v>
          </cell>
        </row>
        <row r="2929">
          <cell r="K2929">
            <v>6704.05</v>
          </cell>
          <cell r="P2929" t="str">
            <v>80123102-61111201</v>
          </cell>
          <cell r="S2929" t="str">
            <v>2026A-04</v>
          </cell>
          <cell r="T2929" t="str">
            <v>Shell</v>
          </cell>
        </row>
        <row r="2930">
          <cell r="K2930">
            <v>13219.23</v>
          </cell>
          <cell r="P2930" t="str">
            <v>80123102-61111201</v>
          </cell>
          <cell r="S2930" t="str">
            <v>2026A-04</v>
          </cell>
          <cell r="T2930" t="str">
            <v>Shell</v>
          </cell>
        </row>
        <row r="2931">
          <cell r="K2931">
            <v>31282.93</v>
          </cell>
          <cell r="P2931" t="str">
            <v>80123102-61111201</v>
          </cell>
          <cell r="S2931" t="str">
            <v>2026A-04</v>
          </cell>
          <cell r="T2931" t="str">
            <v>Shell</v>
          </cell>
        </row>
        <row r="2932">
          <cell r="K2932">
            <v>3711.27</v>
          </cell>
          <cell r="P2932" t="str">
            <v>80123102-61111201</v>
          </cell>
          <cell r="S2932" t="str">
            <v>2026A-04</v>
          </cell>
          <cell r="T2932" t="str">
            <v>Shell</v>
          </cell>
        </row>
        <row r="2933">
          <cell r="K2933">
            <v>133.93</v>
          </cell>
          <cell r="P2933" t="str">
            <v>80123102-61111201</v>
          </cell>
          <cell r="S2933" t="str">
            <v>2026A-04</v>
          </cell>
          <cell r="T2933" t="str">
            <v>Shell</v>
          </cell>
        </row>
        <row r="2934">
          <cell r="K2934">
            <v>-5077.83</v>
          </cell>
          <cell r="P2934" t="str">
            <v>81111101-52041401</v>
          </cell>
          <cell r="S2934" t="str">
            <v>2026A-04</v>
          </cell>
          <cell r="T2934" t="str">
            <v>Security HQ</v>
          </cell>
        </row>
        <row r="2935">
          <cell r="K2935">
            <v>-25390.43</v>
          </cell>
          <cell r="P2935" t="str">
            <v>81111101-52041401</v>
          </cell>
          <cell r="S2935" t="str">
            <v>2026A-04</v>
          </cell>
          <cell r="T2935" t="str">
            <v>Security HQ</v>
          </cell>
        </row>
        <row r="2936">
          <cell r="K2936">
            <v>-13956.26</v>
          </cell>
          <cell r="P2936" t="str">
            <v>81111101-52041401</v>
          </cell>
          <cell r="S2936" t="str">
            <v>2026A-04</v>
          </cell>
          <cell r="T2936" t="str">
            <v>Security HQ</v>
          </cell>
        </row>
        <row r="2937">
          <cell r="K2937">
            <v>-69786.899999999994</v>
          </cell>
          <cell r="P2937" t="str">
            <v>81111101-52041401</v>
          </cell>
          <cell r="S2937" t="str">
            <v>2026A-04</v>
          </cell>
          <cell r="T2937" t="str">
            <v>Security HQ</v>
          </cell>
        </row>
        <row r="2938">
          <cell r="K2938">
            <v>-20917.75</v>
          </cell>
          <cell r="P2938" t="str">
            <v>81111101-52041405</v>
          </cell>
          <cell r="S2938" t="str">
            <v>2026A-04</v>
          </cell>
          <cell r="T2938" t="str">
            <v>Janitorial (H&amp;K)</v>
          </cell>
        </row>
        <row r="2939">
          <cell r="K2939">
            <v>-1298.6400000000001</v>
          </cell>
          <cell r="P2939" t="str">
            <v>81111101-52041405</v>
          </cell>
          <cell r="S2939" t="str">
            <v>2026A-04</v>
          </cell>
          <cell r="T2939" t="str">
            <v>Janitorial (H&amp;K)</v>
          </cell>
        </row>
        <row r="2940">
          <cell r="K2940">
            <v>-24581.99</v>
          </cell>
          <cell r="P2940" t="str">
            <v>81111101-52041499</v>
          </cell>
          <cell r="S2940" t="str">
            <v>2026A-04</v>
          </cell>
          <cell r="T2940" t="str">
            <v>Admin Staff (H&amp;K)</v>
          </cell>
        </row>
        <row r="2941">
          <cell r="K2941">
            <v>-24581.99</v>
          </cell>
          <cell r="P2941" t="str">
            <v>81111101-52041499</v>
          </cell>
          <cell r="S2941" t="str">
            <v>2026A-04</v>
          </cell>
          <cell r="T2941" t="str">
            <v>Admin Staff (H&amp;K)</v>
          </cell>
        </row>
        <row r="2942">
          <cell r="K2942">
            <v>-21816.77</v>
          </cell>
          <cell r="P2942" t="str">
            <v>81111101-52041499</v>
          </cell>
          <cell r="S2942" t="str">
            <v>2026A-04</v>
          </cell>
          <cell r="T2942" t="str">
            <v>Admin Staff (H&amp;K)</v>
          </cell>
        </row>
        <row r="2943">
          <cell r="K2943">
            <v>-6311.04</v>
          </cell>
          <cell r="P2943" t="str">
            <v>81111101-52041499</v>
          </cell>
          <cell r="S2943" t="str">
            <v>2026A-04</v>
          </cell>
          <cell r="T2943" t="str">
            <v>Admin Staff (H&amp;K)</v>
          </cell>
        </row>
        <row r="2944">
          <cell r="K2944">
            <v>-57308.44</v>
          </cell>
          <cell r="P2944" t="str">
            <v>81111101-52041405</v>
          </cell>
          <cell r="S2944" t="str">
            <v>2026A-04</v>
          </cell>
          <cell r="T2944" t="str">
            <v>Janitorial (S1)</v>
          </cell>
        </row>
        <row r="2945">
          <cell r="K2945">
            <v>-57308.44</v>
          </cell>
          <cell r="P2945" t="str">
            <v>81111101-52041405</v>
          </cell>
          <cell r="S2945" t="str">
            <v>2026A-04</v>
          </cell>
          <cell r="T2945" t="str">
            <v>Janitorial (S1)</v>
          </cell>
        </row>
        <row r="2946">
          <cell r="K2946">
            <v>-24115.040000000001</v>
          </cell>
          <cell r="P2946" t="str">
            <v>81111101-52041495</v>
          </cell>
          <cell r="S2946" t="str">
            <v>2026A-04</v>
          </cell>
          <cell r="T2946" t="str">
            <v>BTs</v>
          </cell>
        </row>
        <row r="2947">
          <cell r="K2947">
            <v>-22910.080000000002</v>
          </cell>
          <cell r="P2947" t="str">
            <v>81111101-52041495</v>
          </cell>
          <cell r="S2947" t="str">
            <v>2026A-04</v>
          </cell>
          <cell r="T2947" t="str">
            <v>BTs</v>
          </cell>
        </row>
        <row r="2948">
          <cell r="K2948">
            <v>-25923.64</v>
          </cell>
          <cell r="P2948" t="str">
            <v>81111101-52041495</v>
          </cell>
          <cell r="S2948" t="str">
            <v>2026A-04</v>
          </cell>
          <cell r="T2948" t="str">
            <v>BTs</v>
          </cell>
        </row>
        <row r="2949">
          <cell r="K2949">
            <v>-40063.339999999997</v>
          </cell>
          <cell r="P2949" t="str">
            <v>81111101-52041499</v>
          </cell>
          <cell r="S2949" t="str">
            <v>2026A-04</v>
          </cell>
          <cell r="T2949" t="str">
            <v>Admin Staff (TAHJ)</v>
          </cell>
        </row>
        <row r="2950">
          <cell r="K2950">
            <v>-40118.629999999997</v>
          </cell>
          <cell r="P2950" t="str">
            <v>81111101-52041499</v>
          </cell>
          <cell r="S2950" t="str">
            <v>2026A-04</v>
          </cell>
          <cell r="T2950" t="str">
            <v>Admin Staff (TAHJ)</v>
          </cell>
        </row>
        <row r="2951">
          <cell r="K2951">
            <v>-6846.76</v>
          </cell>
          <cell r="P2951" t="str">
            <v>81111101-52041499</v>
          </cell>
          <cell r="S2951" t="str">
            <v>2026A-04</v>
          </cell>
          <cell r="T2951" t="str">
            <v>Zero</v>
          </cell>
        </row>
        <row r="2952">
          <cell r="K2952">
            <v>-41064.94</v>
          </cell>
          <cell r="P2952" t="str">
            <v>81111101-52041499</v>
          </cell>
          <cell r="S2952" t="str">
            <v>2026A-04</v>
          </cell>
          <cell r="T2952" t="str">
            <v>Admin Staff (TAHJ)</v>
          </cell>
        </row>
        <row r="2953">
          <cell r="K2953">
            <v>-182261.86</v>
          </cell>
          <cell r="P2953" t="str">
            <v>81111101-52041405</v>
          </cell>
          <cell r="S2953" t="str">
            <v>2026A-04</v>
          </cell>
          <cell r="T2953" t="str">
            <v>Janitorial (SFI)</v>
          </cell>
        </row>
        <row r="2954">
          <cell r="K2954">
            <v>-174206.35</v>
          </cell>
          <cell r="P2954" t="str">
            <v>81111101-52041499</v>
          </cell>
          <cell r="S2954" t="str">
            <v>2026A-04</v>
          </cell>
          <cell r="T2954" t="str">
            <v>Admin Staff (SFI)</v>
          </cell>
        </row>
        <row r="2955">
          <cell r="K2955">
            <v>-90887</v>
          </cell>
          <cell r="P2955" t="str">
            <v>81111101-52041401</v>
          </cell>
          <cell r="S2955" t="str">
            <v>2026A-04</v>
          </cell>
          <cell r="T2955" t="str">
            <v>Security HQ</v>
          </cell>
        </row>
        <row r="2956">
          <cell r="K2956">
            <v>-18175.91</v>
          </cell>
          <cell r="P2956" t="str">
            <v>81111101-52041401</v>
          </cell>
          <cell r="S2956" t="str">
            <v>2026A-04</v>
          </cell>
          <cell r="T2956" t="str">
            <v>Security HQ</v>
          </cell>
        </row>
        <row r="2957">
          <cell r="K2957">
            <v>-82091.520000000004</v>
          </cell>
          <cell r="P2957" t="str">
            <v>81111101-52041401</v>
          </cell>
          <cell r="S2957" t="str">
            <v>2026A-04</v>
          </cell>
          <cell r="T2957" t="str">
            <v>Security HQ</v>
          </cell>
        </row>
        <row r="2958">
          <cell r="K2958">
            <v>-16416.96</v>
          </cell>
          <cell r="P2958" t="str">
            <v>81111101-52041401</v>
          </cell>
          <cell r="S2958" t="str">
            <v>2026A-04</v>
          </cell>
          <cell r="T2958" t="str">
            <v>Security HQ</v>
          </cell>
        </row>
        <row r="2959">
          <cell r="K2959">
            <v>73684.22</v>
          </cell>
          <cell r="P2959" t="str">
            <v>90122101-52041499</v>
          </cell>
          <cell r="S2959" t="str">
            <v>2026A-04</v>
          </cell>
          <cell r="T2959" t="str">
            <v>HRIS Tirso</v>
          </cell>
        </row>
        <row r="2960">
          <cell r="K2960">
            <v>36842.11</v>
          </cell>
          <cell r="P2960" t="str">
            <v>90122101-52041499</v>
          </cell>
          <cell r="S2960" t="str">
            <v>2026A-04</v>
          </cell>
          <cell r="T2960" t="str">
            <v>HRIS Tirso</v>
          </cell>
        </row>
        <row r="2961">
          <cell r="K2961">
            <v>-73684.22</v>
          </cell>
          <cell r="P2961" t="str">
            <v>90122101-52071104</v>
          </cell>
          <cell r="S2961" t="str">
            <v>2026A-04</v>
          </cell>
          <cell r="T2961" t="str">
            <v>HRIS Tirso</v>
          </cell>
        </row>
        <row r="2962">
          <cell r="K2962">
            <v>-36842.11</v>
          </cell>
          <cell r="P2962" t="str">
            <v>90122101-52071104</v>
          </cell>
          <cell r="S2962" t="str">
            <v>2026A-04</v>
          </cell>
          <cell r="T2962" t="str">
            <v>HRIS Tirso</v>
          </cell>
        </row>
        <row r="2963">
          <cell r="K2963">
            <v>73684.22</v>
          </cell>
          <cell r="P2963" t="str">
            <v>90122101-52041499</v>
          </cell>
          <cell r="S2963" t="str">
            <v>2026A-04</v>
          </cell>
          <cell r="T2963" t="str">
            <v>HRIS Tirso</v>
          </cell>
        </row>
        <row r="2964">
          <cell r="K2964">
            <v>36842.11</v>
          </cell>
          <cell r="P2964" t="str">
            <v>90122101-52041499</v>
          </cell>
          <cell r="S2964" t="str">
            <v>2026A-04</v>
          </cell>
          <cell r="T2964" t="str">
            <v>HRIS Tirso</v>
          </cell>
        </row>
        <row r="2965">
          <cell r="K2965">
            <v>-73684.22</v>
          </cell>
          <cell r="P2965" t="str">
            <v>90122101-52071104</v>
          </cell>
          <cell r="S2965" t="str">
            <v>2026A-04</v>
          </cell>
          <cell r="T2965" t="str">
            <v>HRIS Tirso</v>
          </cell>
        </row>
        <row r="2966">
          <cell r="K2966">
            <v>-36842.11</v>
          </cell>
          <cell r="P2966" t="str">
            <v>90122101-52071104</v>
          </cell>
          <cell r="S2966" t="str">
            <v>2026A-04</v>
          </cell>
          <cell r="T2966" t="str">
            <v>HRIS Tirso</v>
          </cell>
        </row>
        <row r="2967">
          <cell r="K2967">
            <v>-73684.22</v>
          </cell>
          <cell r="P2967" t="str">
            <v>90122101-52041499</v>
          </cell>
          <cell r="S2967" t="str">
            <v>2026A-04</v>
          </cell>
          <cell r="T2967" t="str">
            <v>HRIS Tirso</v>
          </cell>
        </row>
        <row r="2968">
          <cell r="K2968">
            <v>-36842.11</v>
          </cell>
          <cell r="P2968" t="str">
            <v>90122101-52041499</v>
          </cell>
          <cell r="S2968" t="str">
            <v>2026A-04</v>
          </cell>
          <cell r="T2968" t="str">
            <v>HRIS Tirso</v>
          </cell>
        </row>
        <row r="2969">
          <cell r="K2969">
            <v>73684.22</v>
          </cell>
          <cell r="P2969" t="str">
            <v>90122101-52071104</v>
          </cell>
          <cell r="S2969" t="str">
            <v>2026A-04</v>
          </cell>
          <cell r="T2969" t="str">
            <v>HRIS Tirso</v>
          </cell>
        </row>
        <row r="2970">
          <cell r="K2970">
            <v>36842.11</v>
          </cell>
          <cell r="P2970" t="str">
            <v>90122101-52071104</v>
          </cell>
          <cell r="S2970" t="str">
            <v>2026A-04</v>
          </cell>
          <cell r="T2970" t="str">
            <v>HRIS Tirso</v>
          </cell>
        </row>
        <row r="2971">
          <cell r="K2971">
            <v>73684.22</v>
          </cell>
          <cell r="P2971" t="str">
            <v>90122101-52041499</v>
          </cell>
          <cell r="S2971" t="str">
            <v>2026A-04</v>
          </cell>
          <cell r="T2971" t="str">
            <v>HRIS Tirso</v>
          </cell>
        </row>
        <row r="2972">
          <cell r="K2972">
            <v>36842.11</v>
          </cell>
          <cell r="P2972" t="str">
            <v>90122101-52041499</v>
          </cell>
          <cell r="S2972" t="str">
            <v>2026A-04</v>
          </cell>
          <cell r="T2972" t="str">
            <v>HRIS Tirso</v>
          </cell>
        </row>
        <row r="2973">
          <cell r="K2973">
            <v>-73684.22</v>
          </cell>
          <cell r="P2973" t="str">
            <v>90122101-52071104</v>
          </cell>
          <cell r="S2973" t="str">
            <v>2026A-04</v>
          </cell>
          <cell r="T2973" t="str">
            <v>HRIS Tirso</v>
          </cell>
        </row>
        <row r="2974">
          <cell r="K2974">
            <v>-36842.11</v>
          </cell>
          <cell r="P2974" t="str">
            <v>90122101-52071104</v>
          </cell>
          <cell r="S2974" t="str">
            <v>2026A-04</v>
          </cell>
          <cell r="T2974" t="str">
            <v>HRIS Tirso</v>
          </cell>
        </row>
        <row r="2975">
          <cell r="K2975">
            <v>-918331.73</v>
          </cell>
          <cell r="P2975" t="str">
            <v>90111101-52121303</v>
          </cell>
          <cell r="S2975" t="str">
            <v>2026A-04</v>
          </cell>
          <cell r="T2975" t="str">
            <v>HMO</v>
          </cell>
        </row>
        <row r="2976">
          <cell r="K2976">
            <v>-1051640.8500000001</v>
          </cell>
          <cell r="P2976" t="str">
            <v>90111101-52121313</v>
          </cell>
          <cell r="S2976" t="str">
            <v>2026A-04</v>
          </cell>
          <cell r="T2976" t="str">
            <v>FBT</v>
          </cell>
        </row>
        <row r="2977">
          <cell r="K2977">
            <v>-0.02</v>
          </cell>
          <cell r="P2977" t="str">
            <v>90122101-52121402</v>
          </cell>
          <cell r="S2977" t="str">
            <v>2026A-04</v>
          </cell>
          <cell r="T2977" t="str">
            <v>Government Contri Adjustment</v>
          </cell>
        </row>
        <row r="2978">
          <cell r="K2978">
            <v>165000</v>
          </cell>
          <cell r="P2978" t="str">
            <v>80124101-61721105</v>
          </cell>
          <cell r="S2978" t="str">
            <v>2026A-04</v>
          </cell>
          <cell r="T2978" t="str">
            <v>Fiber Internet - HQ</v>
          </cell>
        </row>
        <row r="2979">
          <cell r="K2979">
            <v>45000</v>
          </cell>
          <cell r="P2979" t="str">
            <v>80124101-61721105</v>
          </cell>
          <cell r="S2979" t="str">
            <v>2026A-04</v>
          </cell>
          <cell r="T2979" t="str">
            <v>Fiber Internet - ES</v>
          </cell>
        </row>
        <row r="2980">
          <cell r="K2980">
            <v>50000</v>
          </cell>
          <cell r="P2980" t="str">
            <v>80124101-61721105</v>
          </cell>
          <cell r="S2980" t="str">
            <v>2026A-04</v>
          </cell>
          <cell r="T2980" t="str">
            <v>Fiber Internet - Mckinley</v>
          </cell>
        </row>
        <row r="2981">
          <cell r="K2981">
            <v>53022</v>
          </cell>
          <cell r="P2981" t="str">
            <v>80124101-61721105</v>
          </cell>
          <cell r="S2981" t="str">
            <v>2026A-04</v>
          </cell>
          <cell r="T2981" t="str">
            <v>Fiber Internet - CV</v>
          </cell>
        </row>
        <row r="2982">
          <cell r="K2982">
            <v>43498.720000000001</v>
          </cell>
          <cell r="P2982" t="str">
            <v>81319101-52041401</v>
          </cell>
          <cell r="S2982" t="str">
            <v>2026A-04</v>
          </cell>
          <cell r="T2982" t="str">
            <v>GH</v>
          </cell>
        </row>
        <row r="2983">
          <cell r="K2983">
            <v>89197.61</v>
          </cell>
          <cell r="P2983" t="str">
            <v>81319101-52041401</v>
          </cell>
          <cell r="S2983" t="str">
            <v>2026A-04</v>
          </cell>
          <cell r="T2983" t="str">
            <v>GH</v>
          </cell>
        </row>
        <row r="2984">
          <cell r="K2984">
            <v>8699.36</v>
          </cell>
          <cell r="P2984" t="str">
            <v>81319101-52041401</v>
          </cell>
          <cell r="S2984" t="str">
            <v>2026A-04</v>
          </cell>
          <cell r="T2984" t="str">
            <v>GH</v>
          </cell>
        </row>
        <row r="2985">
          <cell r="K2985">
            <v>17838.740000000002</v>
          </cell>
          <cell r="P2985" t="str">
            <v>81319101-52041401</v>
          </cell>
          <cell r="S2985" t="str">
            <v>2026A-04</v>
          </cell>
          <cell r="T2985" t="str">
            <v>GH</v>
          </cell>
        </row>
        <row r="2986">
          <cell r="K2986">
            <v>21753.4</v>
          </cell>
          <cell r="P2986" t="str">
            <v>81319101-52041499</v>
          </cell>
          <cell r="S2986" t="str">
            <v>2026A-04</v>
          </cell>
          <cell r="T2986" t="str">
            <v>GH</v>
          </cell>
        </row>
        <row r="2987">
          <cell r="K2987">
            <v>23051.040000000001</v>
          </cell>
          <cell r="P2987" t="str">
            <v>81319101-52041405</v>
          </cell>
          <cell r="S2987" t="str">
            <v>2026A-04</v>
          </cell>
          <cell r="T2987" t="str">
            <v>TS</v>
          </cell>
        </row>
        <row r="2988">
          <cell r="K2988">
            <v>29393.57</v>
          </cell>
          <cell r="P2988" t="str">
            <v>81319101-52041405</v>
          </cell>
          <cell r="S2988" t="str">
            <v>2026A-04</v>
          </cell>
          <cell r="T2988" t="str">
            <v>ES</v>
          </cell>
        </row>
        <row r="2989">
          <cell r="K2989">
            <v>4017.86</v>
          </cell>
          <cell r="P2989" t="str">
            <v>81319101-52111101</v>
          </cell>
          <cell r="S2989" t="str">
            <v>2026A-04</v>
          </cell>
          <cell r="T2989" t="str">
            <v>ES</v>
          </cell>
        </row>
        <row r="2990">
          <cell r="K2990">
            <v>7589.29</v>
          </cell>
          <cell r="P2990" t="str">
            <v>81319101-52111101</v>
          </cell>
          <cell r="S2990" t="str">
            <v>2026A-04</v>
          </cell>
          <cell r="T2990" t="str">
            <v>ES</v>
          </cell>
        </row>
        <row r="2991">
          <cell r="K2991">
            <v>21093.75</v>
          </cell>
          <cell r="P2991" t="str">
            <v>81319101-52111101</v>
          </cell>
          <cell r="S2991" t="str">
            <v>2026A-04</v>
          </cell>
          <cell r="T2991" t="str">
            <v>ES</v>
          </cell>
        </row>
        <row r="2992">
          <cell r="K2992">
            <v>-9874.2800000000007</v>
          </cell>
          <cell r="P2992" t="str">
            <v>90122101-52121402</v>
          </cell>
          <cell r="S2992" t="str">
            <v>2026A-04</v>
          </cell>
          <cell r="T2992" t="str">
            <v>Government Contri Adjustment</v>
          </cell>
        </row>
        <row r="2993">
          <cell r="K2993">
            <v>4937.1400000000003</v>
          </cell>
          <cell r="P2993" t="str">
            <v>90111101-61021403</v>
          </cell>
          <cell r="S2993" t="str">
            <v>2026A-04</v>
          </cell>
          <cell r="T2993" t="str">
            <v>Zero</v>
          </cell>
        </row>
        <row r="2994">
          <cell r="K2994">
            <v>4937.1400000000003</v>
          </cell>
          <cell r="P2994" t="str">
            <v>90111101-61021403</v>
          </cell>
          <cell r="S2994" t="str">
            <v>2026A-04</v>
          </cell>
          <cell r="T2994" t="str">
            <v>Zero</v>
          </cell>
        </row>
        <row r="2995">
          <cell r="K2995">
            <v>4955</v>
          </cell>
          <cell r="P2995" t="str">
            <v>90111204-61091102</v>
          </cell>
          <cell r="S2995" t="str">
            <v>2026A-04</v>
          </cell>
          <cell r="T2995" t="str">
            <v>Meetings</v>
          </cell>
        </row>
        <row r="2996">
          <cell r="K2996">
            <v>534.82000000000005</v>
          </cell>
          <cell r="P2996" t="str">
            <v>81123102-52951101</v>
          </cell>
          <cell r="S2996" t="str">
            <v>2026A-04</v>
          </cell>
          <cell r="T2996" t="str">
            <v>Mobile Phones</v>
          </cell>
        </row>
        <row r="2997">
          <cell r="K2997">
            <v>891.96</v>
          </cell>
          <cell r="P2997" t="str">
            <v>81123102-52951101</v>
          </cell>
          <cell r="S2997" t="str">
            <v>2026A-04</v>
          </cell>
          <cell r="T2997" t="str">
            <v>Mobile Phones</v>
          </cell>
        </row>
        <row r="2998">
          <cell r="K2998">
            <v>534.82000000000005</v>
          </cell>
          <cell r="P2998" t="str">
            <v>81123102-52951101</v>
          </cell>
          <cell r="S2998" t="str">
            <v>2026A-04</v>
          </cell>
          <cell r="T2998" t="str">
            <v>Mobile Phones</v>
          </cell>
        </row>
        <row r="2999">
          <cell r="K2999">
            <v>891.96</v>
          </cell>
          <cell r="P2999" t="str">
            <v>81123102-52951101</v>
          </cell>
          <cell r="S2999" t="str">
            <v>2026A-04</v>
          </cell>
          <cell r="T2999" t="str">
            <v>Mobile Phones</v>
          </cell>
        </row>
        <row r="3000">
          <cell r="K3000">
            <v>713.39</v>
          </cell>
          <cell r="P3000" t="str">
            <v>81123102-52951101</v>
          </cell>
          <cell r="S3000" t="str">
            <v>2026A-04</v>
          </cell>
          <cell r="T3000" t="str">
            <v>Mobile Phones</v>
          </cell>
        </row>
        <row r="3001">
          <cell r="K3001">
            <v>534.82000000000005</v>
          </cell>
          <cell r="P3001" t="str">
            <v>81123102-52951101</v>
          </cell>
          <cell r="S3001" t="str">
            <v>2026A-04</v>
          </cell>
          <cell r="T3001" t="str">
            <v>Mobile Phones</v>
          </cell>
        </row>
        <row r="3002">
          <cell r="K3002">
            <v>713.39</v>
          </cell>
          <cell r="P3002" t="str">
            <v>81123102-52951101</v>
          </cell>
          <cell r="S3002" t="str">
            <v>2026A-04</v>
          </cell>
          <cell r="T3002" t="str">
            <v>Mobile Phones</v>
          </cell>
        </row>
        <row r="3003">
          <cell r="K3003">
            <v>891.96</v>
          </cell>
          <cell r="P3003" t="str">
            <v>81123102-52951101</v>
          </cell>
          <cell r="S3003" t="str">
            <v>2026A-04</v>
          </cell>
          <cell r="T3003" t="str">
            <v>Mobile Phones</v>
          </cell>
        </row>
        <row r="3004">
          <cell r="K3004">
            <v>713.39</v>
          </cell>
          <cell r="P3004" t="str">
            <v>81123102-52951101</v>
          </cell>
          <cell r="S3004" t="str">
            <v>2026A-04</v>
          </cell>
          <cell r="T3004" t="str">
            <v>Mobile Phones</v>
          </cell>
        </row>
        <row r="3005">
          <cell r="K3005">
            <v>713.39</v>
          </cell>
          <cell r="P3005" t="str">
            <v>81123102-52951101</v>
          </cell>
          <cell r="S3005" t="str">
            <v>2026A-04</v>
          </cell>
          <cell r="T3005" t="str">
            <v>Mobile Phones</v>
          </cell>
        </row>
        <row r="3006">
          <cell r="K3006">
            <v>1159.82</v>
          </cell>
          <cell r="P3006" t="str">
            <v>81123102-52951101</v>
          </cell>
          <cell r="S3006" t="str">
            <v>2026A-04</v>
          </cell>
          <cell r="T3006" t="str">
            <v>Mobile Phones</v>
          </cell>
        </row>
        <row r="3007">
          <cell r="K3007">
            <v>1159.82</v>
          </cell>
          <cell r="P3007" t="str">
            <v>81123102-52951101</v>
          </cell>
          <cell r="S3007" t="str">
            <v>2026A-04</v>
          </cell>
          <cell r="T3007" t="str">
            <v>Mobile Phones</v>
          </cell>
        </row>
        <row r="3008">
          <cell r="K3008">
            <v>891.96</v>
          </cell>
          <cell r="P3008" t="str">
            <v>81123102-52951101</v>
          </cell>
          <cell r="S3008" t="str">
            <v>2026A-04</v>
          </cell>
          <cell r="T3008" t="str">
            <v>Mobile Phones</v>
          </cell>
        </row>
        <row r="3009">
          <cell r="K3009">
            <v>891.96</v>
          </cell>
          <cell r="P3009" t="str">
            <v>81123102-52951101</v>
          </cell>
          <cell r="S3009" t="str">
            <v>2026A-04</v>
          </cell>
          <cell r="T3009" t="str">
            <v>Mobile Phones</v>
          </cell>
        </row>
        <row r="3010">
          <cell r="K3010">
            <v>572.02</v>
          </cell>
          <cell r="P3010" t="str">
            <v>81123102-52951101</v>
          </cell>
          <cell r="S3010" t="str">
            <v>2026A-04</v>
          </cell>
          <cell r="T3010" t="str">
            <v>Mobile Phones</v>
          </cell>
        </row>
        <row r="3011">
          <cell r="K3011">
            <v>891.96</v>
          </cell>
          <cell r="P3011" t="str">
            <v>81123102-52951101</v>
          </cell>
          <cell r="S3011" t="str">
            <v>2026A-04</v>
          </cell>
          <cell r="T3011" t="str">
            <v>Mobile Phones</v>
          </cell>
        </row>
        <row r="3012">
          <cell r="K3012">
            <v>891.96</v>
          </cell>
          <cell r="P3012" t="str">
            <v>81123102-52951101</v>
          </cell>
          <cell r="S3012" t="str">
            <v>2026A-04</v>
          </cell>
          <cell r="T3012" t="str">
            <v>Mobile Phones</v>
          </cell>
        </row>
        <row r="3013">
          <cell r="K3013">
            <v>1159.82</v>
          </cell>
          <cell r="P3013" t="str">
            <v>81123102-52951101</v>
          </cell>
          <cell r="S3013" t="str">
            <v>2026A-04</v>
          </cell>
          <cell r="T3013" t="str">
            <v>Mobile Phones</v>
          </cell>
        </row>
        <row r="3014">
          <cell r="K3014">
            <v>713.39</v>
          </cell>
          <cell r="P3014" t="str">
            <v>81123102-52951101</v>
          </cell>
          <cell r="S3014" t="str">
            <v>2026A-04</v>
          </cell>
          <cell r="T3014" t="str">
            <v>Mobile Phones</v>
          </cell>
        </row>
        <row r="3015">
          <cell r="K3015">
            <v>713.39</v>
          </cell>
          <cell r="P3015" t="str">
            <v>81123102-52951101</v>
          </cell>
          <cell r="S3015" t="str">
            <v>2026A-04</v>
          </cell>
          <cell r="T3015" t="str">
            <v>Mobile Phones</v>
          </cell>
        </row>
        <row r="3016">
          <cell r="K3016">
            <v>713.39</v>
          </cell>
          <cell r="P3016" t="str">
            <v>81123102-52951101</v>
          </cell>
          <cell r="S3016" t="str">
            <v>2026A-04</v>
          </cell>
          <cell r="T3016" t="str">
            <v>Mobile Phones</v>
          </cell>
        </row>
        <row r="3017">
          <cell r="K3017">
            <v>534.82000000000005</v>
          </cell>
          <cell r="P3017" t="str">
            <v>81123102-52951101</v>
          </cell>
          <cell r="S3017" t="str">
            <v>2026A-04</v>
          </cell>
          <cell r="T3017" t="str">
            <v>Mobile Phones</v>
          </cell>
        </row>
        <row r="3018">
          <cell r="K3018">
            <v>713.39</v>
          </cell>
          <cell r="P3018" t="str">
            <v>81123102-52951101</v>
          </cell>
          <cell r="S3018" t="str">
            <v>2026A-04</v>
          </cell>
          <cell r="T3018" t="str">
            <v>Mobile Phones</v>
          </cell>
        </row>
        <row r="3019">
          <cell r="K3019">
            <v>534.82000000000005</v>
          </cell>
          <cell r="P3019" t="str">
            <v>81123102-52951101</v>
          </cell>
          <cell r="S3019" t="str">
            <v>2026A-04</v>
          </cell>
          <cell r="T3019" t="str">
            <v>Mobile Phones</v>
          </cell>
        </row>
        <row r="3020">
          <cell r="K3020">
            <v>891.96</v>
          </cell>
          <cell r="P3020" t="str">
            <v>81123102-52951101</v>
          </cell>
          <cell r="S3020" t="str">
            <v>2026A-04</v>
          </cell>
          <cell r="T3020" t="str">
            <v>Mobile Phones</v>
          </cell>
        </row>
        <row r="3021">
          <cell r="K3021">
            <v>1159.82</v>
          </cell>
          <cell r="P3021" t="str">
            <v>81123102-52951101</v>
          </cell>
          <cell r="S3021" t="str">
            <v>2026A-04</v>
          </cell>
          <cell r="T3021" t="str">
            <v>Mobile Phones</v>
          </cell>
        </row>
        <row r="3022">
          <cell r="K3022">
            <v>713.39</v>
          </cell>
          <cell r="P3022" t="str">
            <v>81123102-52951101</v>
          </cell>
          <cell r="S3022" t="str">
            <v>2026A-04</v>
          </cell>
          <cell r="T3022" t="str">
            <v>Mobile Phones</v>
          </cell>
        </row>
        <row r="3023">
          <cell r="K3023">
            <v>534.82000000000005</v>
          </cell>
          <cell r="P3023" t="str">
            <v>81123102-52951101</v>
          </cell>
          <cell r="S3023" t="str">
            <v>2026A-04</v>
          </cell>
          <cell r="T3023" t="str">
            <v>Mobile Phones</v>
          </cell>
        </row>
        <row r="3024">
          <cell r="K3024">
            <v>534.82000000000005</v>
          </cell>
          <cell r="P3024" t="str">
            <v>81123102-52951101</v>
          </cell>
          <cell r="S3024" t="str">
            <v>2026A-04</v>
          </cell>
          <cell r="T3024" t="str">
            <v>Mobile Phones</v>
          </cell>
        </row>
        <row r="3025">
          <cell r="K3025">
            <v>1606.25</v>
          </cell>
          <cell r="P3025" t="str">
            <v>81123102-52951101</v>
          </cell>
          <cell r="S3025" t="str">
            <v>2026A-04</v>
          </cell>
          <cell r="T3025" t="str">
            <v>Mobile Phones</v>
          </cell>
        </row>
        <row r="3026">
          <cell r="K3026">
            <v>534.82000000000005</v>
          </cell>
          <cell r="P3026" t="str">
            <v>81123102-52951101</v>
          </cell>
          <cell r="S3026" t="str">
            <v>2026A-04</v>
          </cell>
          <cell r="T3026" t="str">
            <v>Mobile Phones</v>
          </cell>
        </row>
        <row r="3027">
          <cell r="K3027">
            <v>891.96</v>
          </cell>
          <cell r="P3027" t="str">
            <v>81123102-52951101</v>
          </cell>
          <cell r="S3027" t="str">
            <v>2026A-04</v>
          </cell>
          <cell r="T3027" t="str">
            <v>Mobile Phones</v>
          </cell>
        </row>
        <row r="3028">
          <cell r="K3028">
            <v>572.02</v>
          </cell>
          <cell r="P3028" t="str">
            <v>81123102-52951101</v>
          </cell>
          <cell r="S3028" t="str">
            <v>2026A-04</v>
          </cell>
          <cell r="T3028" t="str">
            <v>Mobile Phones</v>
          </cell>
        </row>
        <row r="3029">
          <cell r="K3029">
            <v>713.39</v>
          </cell>
          <cell r="P3029" t="str">
            <v>81123102-52951101</v>
          </cell>
          <cell r="S3029" t="str">
            <v>2026A-04</v>
          </cell>
          <cell r="T3029" t="str">
            <v>Mobile Phones</v>
          </cell>
        </row>
        <row r="3030">
          <cell r="K3030">
            <v>891.96</v>
          </cell>
          <cell r="P3030" t="str">
            <v>81123102-52951101</v>
          </cell>
          <cell r="S3030" t="str">
            <v>2026A-04</v>
          </cell>
          <cell r="T3030" t="str">
            <v>Mobile Phones</v>
          </cell>
        </row>
        <row r="3031">
          <cell r="K3031">
            <v>1615.18</v>
          </cell>
          <cell r="P3031" t="str">
            <v>81123102-52951101</v>
          </cell>
          <cell r="S3031" t="str">
            <v>2026A-04</v>
          </cell>
          <cell r="T3031" t="str">
            <v>Mobile Phones</v>
          </cell>
        </row>
        <row r="3032">
          <cell r="K3032">
            <v>720.16</v>
          </cell>
          <cell r="P3032" t="str">
            <v>81123102-52951101</v>
          </cell>
          <cell r="S3032" t="str">
            <v>2026A-04</v>
          </cell>
          <cell r="T3032" t="str">
            <v>Mobile Phones</v>
          </cell>
        </row>
        <row r="3033">
          <cell r="K3033">
            <v>713.39</v>
          </cell>
          <cell r="P3033" t="str">
            <v>81123102-52951101</v>
          </cell>
          <cell r="S3033" t="str">
            <v>2026A-04</v>
          </cell>
          <cell r="T3033" t="str">
            <v>Mobile Phones</v>
          </cell>
        </row>
        <row r="3034">
          <cell r="K3034">
            <v>572.02</v>
          </cell>
          <cell r="P3034" t="str">
            <v>81123102-52951101</v>
          </cell>
          <cell r="S3034" t="str">
            <v>2026A-04</v>
          </cell>
          <cell r="T3034" t="str">
            <v>Mobile Phones</v>
          </cell>
        </row>
        <row r="3035">
          <cell r="K3035">
            <v>713.39</v>
          </cell>
          <cell r="P3035" t="str">
            <v>81123102-52951101</v>
          </cell>
          <cell r="S3035" t="str">
            <v>2026A-04</v>
          </cell>
          <cell r="T3035" t="str">
            <v>Mobile Phones</v>
          </cell>
        </row>
        <row r="3036">
          <cell r="K3036">
            <v>713.39</v>
          </cell>
          <cell r="P3036" t="str">
            <v>81123102-52951101</v>
          </cell>
          <cell r="S3036" t="str">
            <v>2026A-04</v>
          </cell>
          <cell r="T3036" t="str">
            <v>Mobile Phones</v>
          </cell>
        </row>
        <row r="3037">
          <cell r="K3037">
            <v>713.39</v>
          </cell>
          <cell r="P3037" t="str">
            <v>81123102-52951101</v>
          </cell>
          <cell r="S3037" t="str">
            <v>2026A-04</v>
          </cell>
          <cell r="T3037" t="str">
            <v>Mobile Phones</v>
          </cell>
        </row>
        <row r="3038">
          <cell r="K3038">
            <v>818.75</v>
          </cell>
          <cell r="P3038" t="str">
            <v>81123102-52951101</v>
          </cell>
          <cell r="S3038" t="str">
            <v>2026A-04</v>
          </cell>
          <cell r="T3038" t="str">
            <v>Mobile Phones</v>
          </cell>
        </row>
        <row r="3039">
          <cell r="K3039">
            <v>891.96</v>
          </cell>
          <cell r="P3039" t="str">
            <v>81123102-52951101</v>
          </cell>
          <cell r="S3039" t="str">
            <v>2026A-04</v>
          </cell>
          <cell r="T3039" t="str">
            <v>Mobile Phones</v>
          </cell>
        </row>
        <row r="3040">
          <cell r="K3040">
            <v>713.39</v>
          </cell>
          <cell r="P3040" t="str">
            <v>81123102-52951101</v>
          </cell>
          <cell r="S3040" t="str">
            <v>2026A-04</v>
          </cell>
          <cell r="T3040" t="str">
            <v>Mobile Phones</v>
          </cell>
        </row>
        <row r="3041">
          <cell r="K3041">
            <v>891.96</v>
          </cell>
          <cell r="P3041" t="str">
            <v>81123102-52951101</v>
          </cell>
          <cell r="S3041" t="str">
            <v>2026A-04</v>
          </cell>
          <cell r="T3041" t="str">
            <v>Mobile Phones</v>
          </cell>
        </row>
        <row r="3042">
          <cell r="K3042">
            <v>713.39</v>
          </cell>
          <cell r="P3042" t="str">
            <v>81123102-52951101</v>
          </cell>
          <cell r="S3042" t="str">
            <v>2026A-04</v>
          </cell>
          <cell r="T3042" t="str">
            <v>Mobile Phones</v>
          </cell>
        </row>
        <row r="3043">
          <cell r="K3043">
            <v>534.82000000000005</v>
          </cell>
          <cell r="P3043" t="str">
            <v>81123102-52951101</v>
          </cell>
          <cell r="S3043" t="str">
            <v>2026A-04</v>
          </cell>
          <cell r="T3043" t="str">
            <v>Mobile Phones</v>
          </cell>
        </row>
        <row r="3044">
          <cell r="K3044">
            <v>713.39</v>
          </cell>
          <cell r="P3044" t="str">
            <v>81123102-52951101</v>
          </cell>
          <cell r="S3044" t="str">
            <v>2026A-04</v>
          </cell>
          <cell r="T3044" t="str">
            <v>Mobile Phones</v>
          </cell>
        </row>
        <row r="3045">
          <cell r="K3045">
            <v>891.96</v>
          </cell>
          <cell r="P3045" t="str">
            <v>81123102-52951101</v>
          </cell>
          <cell r="S3045" t="str">
            <v>2026A-04</v>
          </cell>
          <cell r="T3045" t="str">
            <v>Mobile Phones</v>
          </cell>
        </row>
        <row r="3046">
          <cell r="K3046">
            <v>713.39</v>
          </cell>
          <cell r="P3046" t="str">
            <v>81123102-52951101</v>
          </cell>
          <cell r="S3046" t="str">
            <v>2026A-04</v>
          </cell>
          <cell r="T3046" t="str">
            <v>Mobile Phones</v>
          </cell>
        </row>
        <row r="3047">
          <cell r="K3047">
            <v>713.39</v>
          </cell>
          <cell r="P3047" t="str">
            <v>81123102-52951101</v>
          </cell>
          <cell r="S3047" t="str">
            <v>2026A-04</v>
          </cell>
          <cell r="T3047" t="str">
            <v>Mobile Phones</v>
          </cell>
        </row>
        <row r="3048">
          <cell r="K3048">
            <v>891.96</v>
          </cell>
          <cell r="P3048" t="str">
            <v>81123102-52951101</v>
          </cell>
          <cell r="S3048" t="str">
            <v>2026A-04</v>
          </cell>
          <cell r="T3048" t="str">
            <v>Mobile Phones</v>
          </cell>
        </row>
        <row r="3049">
          <cell r="K3049">
            <v>572.02</v>
          </cell>
          <cell r="P3049" t="str">
            <v>81123102-52951101</v>
          </cell>
          <cell r="S3049" t="str">
            <v>2026A-04</v>
          </cell>
          <cell r="T3049" t="str">
            <v>Mobile Phones</v>
          </cell>
        </row>
        <row r="3050">
          <cell r="K3050">
            <v>1338.39</v>
          </cell>
          <cell r="P3050" t="str">
            <v>81123102-52951101</v>
          </cell>
          <cell r="S3050" t="str">
            <v>2026A-04</v>
          </cell>
          <cell r="T3050" t="str">
            <v>Mobile Phones</v>
          </cell>
        </row>
        <row r="3051">
          <cell r="K3051">
            <v>534.82000000000005</v>
          </cell>
          <cell r="P3051" t="str">
            <v>81123102-52951101</v>
          </cell>
          <cell r="S3051" t="str">
            <v>2026A-04</v>
          </cell>
          <cell r="T3051" t="str">
            <v>Mobile Phones</v>
          </cell>
        </row>
        <row r="3052">
          <cell r="K3052">
            <v>713.39</v>
          </cell>
          <cell r="P3052" t="str">
            <v>81123102-52951101</v>
          </cell>
          <cell r="S3052" t="str">
            <v>2026A-04</v>
          </cell>
          <cell r="T3052" t="str">
            <v>Mobile Phones</v>
          </cell>
        </row>
        <row r="3053">
          <cell r="K3053">
            <v>713.39</v>
          </cell>
          <cell r="P3053" t="str">
            <v>81123102-52951101</v>
          </cell>
          <cell r="S3053" t="str">
            <v>2026A-04</v>
          </cell>
          <cell r="T3053" t="str">
            <v>Mobile Phones</v>
          </cell>
        </row>
        <row r="3054">
          <cell r="K3054">
            <v>1338.04</v>
          </cell>
          <cell r="P3054" t="str">
            <v>81123102-52951101</v>
          </cell>
          <cell r="S3054" t="str">
            <v>2026A-04</v>
          </cell>
          <cell r="T3054" t="str">
            <v>Mobile Phones</v>
          </cell>
        </row>
        <row r="3055">
          <cell r="K3055">
            <v>713.39</v>
          </cell>
          <cell r="P3055" t="str">
            <v>81123102-52951101</v>
          </cell>
          <cell r="S3055" t="str">
            <v>2026A-04</v>
          </cell>
          <cell r="T3055" t="str">
            <v>Mobile Phones</v>
          </cell>
        </row>
        <row r="3056">
          <cell r="K3056">
            <v>713.39</v>
          </cell>
          <cell r="P3056" t="str">
            <v>81123102-52951101</v>
          </cell>
          <cell r="S3056" t="str">
            <v>2026A-04</v>
          </cell>
          <cell r="T3056" t="str">
            <v>Mobile Phones</v>
          </cell>
        </row>
        <row r="3057">
          <cell r="K3057">
            <v>555.63</v>
          </cell>
          <cell r="P3057" t="str">
            <v>81123102-52951101</v>
          </cell>
          <cell r="S3057" t="str">
            <v>2026A-04</v>
          </cell>
          <cell r="T3057" t="str">
            <v>Mobile Phones</v>
          </cell>
        </row>
        <row r="3058">
          <cell r="K3058">
            <v>713.39</v>
          </cell>
          <cell r="P3058" t="str">
            <v>81123102-52951101</v>
          </cell>
          <cell r="S3058" t="str">
            <v>2026A-04</v>
          </cell>
          <cell r="T3058" t="str">
            <v>Mobile Phones</v>
          </cell>
        </row>
        <row r="3059">
          <cell r="K3059">
            <v>938.52</v>
          </cell>
          <cell r="P3059" t="str">
            <v>81123102-52951101</v>
          </cell>
          <cell r="S3059" t="str">
            <v>2026A-04</v>
          </cell>
          <cell r="T3059" t="str">
            <v>Mobile Phones</v>
          </cell>
        </row>
        <row r="3060">
          <cell r="K3060">
            <v>572.02</v>
          </cell>
          <cell r="P3060" t="str">
            <v>81123102-52951101</v>
          </cell>
          <cell r="S3060" t="str">
            <v>2026A-04</v>
          </cell>
          <cell r="T3060" t="str">
            <v>Mobile Phones</v>
          </cell>
        </row>
        <row r="3061">
          <cell r="K3061">
            <v>534.82000000000005</v>
          </cell>
          <cell r="P3061" t="str">
            <v>81123102-52951101</v>
          </cell>
          <cell r="S3061" t="str">
            <v>2026A-04</v>
          </cell>
          <cell r="T3061" t="str">
            <v>Mobile Phones</v>
          </cell>
        </row>
        <row r="3062">
          <cell r="K3062">
            <v>891.96</v>
          </cell>
          <cell r="P3062" t="str">
            <v>81123102-52951101</v>
          </cell>
          <cell r="S3062" t="str">
            <v>2026A-04</v>
          </cell>
          <cell r="T3062" t="str">
            <v>Mobile Phones</v>
          </cell>
        </row>
        <row r="3063">
          <cell r="K3063">
            <v>1159.82</v>
          </cell>
          <cell r="P3063" t="str">
            <v>81123102-52951101</v>
          </cell>
          <cell r="S3063" t="str">
            <v>2026A-04</v>
          </cell>
          <cell r="T3063" t="str">
            <v>Mobile Phones</v>
          </cell>
        </row>
        <row r="3064">
          <cell r="K3064">
            <v>1159.82</v>
          </cell>
          <cell r="P3064" t="str">
            <v>81123102-52951101</v>
          </cell>
          <cell r="S3064" t="str">
            <v>2026A-04</v>
          </cell>
          <cell r="T3064" t="str">
            <v>Mobile Phones</v>
          </cell>
        </row>
        <row r="3065">
          <cell r="K3065">
            <v>713.39</v>
          </cell>
          <cell r="P3065" t="str">
            <v>81123102-52951101</v>
          </cell>
          <cell r="S3065" t="str">
            <v>2026A-04</v>
          </cell>
          <cell r="T3065" t="str">
            <v>Mobile Phones</v>
          </cell>
        </row>
        <row r="3066">
          <cell r="K3066">
            <v>713.39</v>
          </cell>
          <cell r="P3066" t="str">
            <v>81123102-52951101</v>
          </cell>
          <cell r="S3066" t="str">
            <v>2026A-04</v>
          </cell>
          <cell r="T3066" t="str">
            <v>Mobile Phones</v>
          </cell>
        </row>
        <row r="3067">
          <cell r="K3067">
            <v>891.96</v>
          </cell>
          <cell r="P3067" t="str">
            <v>81123102-52951101</v>
          </cell>
          <cell r="S3067" t="str">
            <v>2026A-04</v>
          </cell>
          <cell r="T3067" t="str">
            <v>Mobile Phones</v>
          </cell>
        </row>
        <row r="3068">
          <cell r="K3068">
            <v>812.39</v>
          </cell>
          <cell r="P3068" t="str">
            <v>81123102-52951101</v>
          </cell>
          <cell r="S3068" t="str">
            <v>2026A-04</v>
          </cell>
          <cell r="T3068" t="str">
            <v>Mobile Phones</v>
          </cell>
        </row>
        <row r="3069">
          <cell r="K3069">
            <v>1159.82</v>
          </cell>
          <cell r="P3069" t="str">
            <v>81123102-52951101</v>
          </cell>
          <cell r="S3069" t="str">
            <v>2026A-04</v>
          </cell>
          <cell r="T3069" t="str">
            <v>Mobile Phones</v>
          </cell>
        </row>
        <row r="3070">
          <cell r="K3070">
            <v>891.96</v>
          </cell>
          <cell r="P3070" t="str">
            <v>81123102-52951101</v>
          </cell>
          <cell r="S3070" t="str">
            <v>2026A-04</v>
          </cell>
          <cell r="T3070" t="str">
            <v>Mobile Phones</v>
          </cell>
        </row>
        <row r="3071">
          <cell r="K3071">
            <v>534.82000000000005</v>
          </cell>
          <cell r="P3071" t="str">
            <v>81123102-52951101</v>
          </cell>
          <cell r="S3071" t="str">
            <v>2026A-04</v>
          </cell>
          <cell r="T3071" t="str">
            <v>Mobile Phones</v>
          </cell>
        </row>
        <row r="3072">
          <cell r="K3072">
            <v>713.39</v>
          </cell>
          <cell r="P3072" t="str">
            <v>81123102-52951101</v>
          </cell>
          <cell r="S3072" t="str">
            <v>2026A-04</v>
          </cell>
          <cell r="T3072" t="str">
            <v>Mobile Phones</v>
          </cell>
        </row>
        <row r="3073">
          <cell r="K3073">
            <v>534.82000000000005</v>
          </cell>
          <cell r="P3073" t="str">
            <v>81123102-52951101</v>
          </cell>
          <cell r="S3073" t="str">
            <v>2026A-04</v>
          </cell>
          <cell r="T3073" t="str">
            <v>Mobile Phones</v>
          </cell>
        </row>
        <row r="3074">
          <cell r="K3074">
            <v>713.39</v>
          </cell>
          <cell r="P3074" t="str">
            <v>81123102-52951101</v>
          </cell>
          <cell r="S3074" t="str">
            <v>2026A-04</v>
          </cell>
          <cell r="T3074" t="str">
            <v>Mobile Phones</v>
          </cell>
        </row>
        <row r="3075">
          <cell r="K3075">
            <v>1350.79</v>
          </cell>
          <cell r="P3075" t="str">
            <v>81123102-52951101</v>
          </cell>
          <cell r="S3075" t="str">
            <v>2026A-04</v>
          </cell>
          <cell r="T3075" t="str">
            <v>Mobile Phones</v>
          </cell>
        </row>
        <row r="3076">
          <cell r="K3076">
            <v>534.82000000000005</v>
          </cell>
          <cell r="P3076" t="str">
            <v>81123102-52951101</v>
          </cell>
          <cell r="S3076" t="str">
            <v>2026A-04</v>
          </cell>
          <cell r="T3076" t="str">
            <v>Mobile Phones</v>
          </cell>
        </row>
        <row r="3077">
          <cell r="K3077">
            <v>713.39</v>
          </cell>
          <cell r="P3077" t="str">
            <v>81123102-52951101</v>
          </cell>
          <cell r="S3077" t="str">
            <v>2026A-04</v>
          </cell>
          <cell r="T3077" t="str">
            <v>Mobile Phones</v>
          </cell>
        </row>
        <row r="3078">
          <cell r="K3078">
            <v>891.96</v>
          </cell>
          <cell r="P3078" t="str">
            <v>81123102-52951101</v>
          </cell>
          <cell r="S3078" t="str">
            <v>2026A-04</v>
          </cell>
          <cell r="T3078" t="str">
            <v>Mobile Phones</v>
          </cell>
        </row>
        <row r="3079">
          <cell r="K3079">
            <v>1159.82</v>
          </cell>
          <cell r="P3079" t="str">
            <v>81123102-52951101</v>
          </cell>
          <cell r="S3079" t="str">
            <v>2026A-04</v>
          </cell>
          <cell r="T3079" t="str">
            <v>Mobile Phones</v>
          </cell>
        </row>
        <row r="3080">
          <cell r="K3080">
            <v>891.96</v>
          </cell>
          <cell r="P3080" t="str">
            <v>81123102-52951101</v>
          </cell>
          <cell r="S3080" t="str">
            <v>2026A-04</v>
          </cell>
          <cell r="T3080" t="str">
            <v>Mobile Phones</v>
          </cell>
        </row>
        <row r="3081">
          <cell r="K3081">
            <v>1159.82</v>
          </cell>
          <cell r="P3081" t="str">
            <v>81123102-52951101</v>
          </cell>
          <cell r="S3081" t="str">
            <v>2026A-04</v>
          </cell>
          <cell r="T3081" t="str">
            <v>Mobile Phones</v>
          </cell>
        </row>
        <row r="3082">
          <cell r="K3082">
            <v>1159.82</v>
          </cell>
          <cell r="P3082" t="str">
            <v>81123102-52951101</v>
          </cell>
          <cell r="S3082" t="str">
            <v>2026A-04</v>
          </cell>
          <cell r="T3082" t="str">
            <v>Mobile Phones</v>
          </cell>
        </row>
        <row r="3083">
          <cell r="K3083">
            <v>1159.82</v>
          </cell>
          <cell r="P3083" t="str">
            <v>81123102-52951101</v>
          </cell>
          <cell r="S3083" t="str">
            <v>2026A-04</v>
          </cell>
          <cell r="T3083" t="str">
            <v>Mobile Phones</v>
          </cell>
        </row>
        <row r="3084">
          <cell r="K3084">
            <v>713.39</v>
          </cell>
          <cell r="P3084" t="str">
            <v>81123102-52951101</v>
          </cell>
          <cell r="S3084" t="str">
            <v>2026A-04</v>
          </cell>
          <cell r="T3084" t="str">
            <v>Mobile Phones</v>
          </cell>
        </row>
        <row r="3085">
          <cell r="K3085">
            <v>713.39</v>
          </cell>
          <cell r="P3085" t="str">
            <v>81123102-52951101</v>
          </cell>
          <cell r="S3085" t="str">
            <v>2026A-04</v>
          </cell>
          <cell r="T3085" t="str">
            <v>Mobile Phones</v>
          </cell>
        </row>
        <row r="3086">
          <cell r="K3086">
            <v>534.82000000000005</v>
          </cell>
          <cell r="P3086" t="str">
            <v>81123102-52951101</v>
          </cell>
          <cell r="S3086" t="str">
            <v>2026A-04</v>
          </cell>
          <cell r="T3086" t="str">
            <v>Mobile Phones</v>
          </cell>
        </row>
        <row r="3087">
          <cell r="K3087">
            <v>891.96</v>
          </cell>
          <cell r="P3087" t="str">
            <v>81123102-52951101</v>
          </cell>
          <cell r="S3087" t="str">
            <v>2026A-04</v>
          </cell>
          <cell r="T3087" t="str">
            <v>Mobile Phones</v>
          </cell>
        </row>
        <row r="3088">
          <cell r="K3088">
            <v>713.39</v>
          </cell>
          <cell r="P3088" t="str">
            <v>81123102-52951101</v>
          </cell>
          <cell r="S3088" t="str">
            <v>2026A-04</v>
          </cell>
          <cell r="T3088" t="str">
            <v>Mobile Phones</v>
          </cell>
        </row>
        <row r="3089">
          <cell r="K3089">
            <v>1159.82</v>
          </cell>
          <cell r="P3089" t="str">
            <v>81123102-52951101</v>
          </cell>
          <cell r="S3089" t="str">
            <v>2026A-04</v>
          </cell>
          <cell r="T3089" t="str">
            <v>Mobile Phones</v>
          </cell>
        </row>
        <row r="3090">
          <cell r="K3090">
            <v>1159.82</v>
          </cell>
          <cell r="P3090" t="str">
            <v>81123102-52951101</v>
          </cell>
          <cell r="S3090" t="str">
            <v>2026A-04</v>
          </cell>
          <cell r="T3090" t="str">
            <v>Mobile Phones</v>
          </cell>
        </row>
        <row r="3091">
          <cell r="K3091">
            <v>713.39</v>
          </cell>
          <cell r="P3091" t="str">
            <v>81123102-52951101</v>
          </cell>
          <cell r="S3091" t="str">
            <v>2026A-04</v>
          </cell>
          <cell r="T3091" t="str">
            <v>Mobile Phones</v>
          </cell>
        </row>
        <row r="3092">
          <cell r="K3092">
            <v>713.39</v>
          </cell>
          <cell r="P3092" t="str">
            <v>81123102-52951101</v>
          </cell>
          <cell r="S3092" t="str">
            <v>2026A-04</v>
          </cell>
          <cell r="T3092" t="str">
            <v>Mobile Phones</v>
          </cell>
        </row>
        <row r="3093">
          <cell r="K3093">
            <v>534.82000000000005</v>
          </cell>
          <cell r="P3093" t="str">
            <v>81123102-52951101</v>
          </cell>
          <cell r="S3093" t="str">
            <v>2026A-04</v>
          </cell>
          <cell r="T3093" t="str">
            <v>Mobile Phones</v>
          </cell>
        </row>
        <row r="3094">
          <cell r="K3094">
            <v>534.82000000000005</v>
          </cell>
          <cell r="P3094" t="str">
            <v>81123102-52951101</v>
          </cell>
          <cell r="S3094" t="str">
            <v>2026A-04</v>
          </cell>
          <cell r="T3094" t="str">
            <v>Mobile Phones</v>
          </cell>
        </row>
        <row r="3095">
          <cell r="K3095">
            <v>2231.25</v>
          </cell>
          <cell r="P3095" t="str">
            <v>81123102-52951101</v>
          </cell>
          <cell r="S3095" t="str">
            <v>2026A-04</v>
          </cell>
          <cell r="T3095" t="str">
            <v>Mobile Phones</v>
          </cell>
        </row>
        <row r="3096">
          <cell r="K3096">
            <v>713.39</v>
          </cell>
          <cell r="P3096" t="str">
            <v>81123102-52951101</v>
          </cell>
          <cell r="S3096" t="str">
            <v>2026A-04</v>
          </cell>
          <cell r="T3096" t="str">
            <v>Mobile Phones</v>
          </cell>
        </row>
        <row r="3097">
          <cell r="K3097">
            <v>1159.82</v>
          </cell>
          <cell r="P3097" t="str">
            <v>81123102-52951101</v>
          </cell>
          <cell r="S3097" t="str">
            <v>2026A-04</v>
          </cell>
          <cell r="T3097" t="str">
            <v>Mobile Phones</v>
          </cell>
        </row>
        <row r="3098">
          <cell r="K3098">
            <v>1159.82</v>
          </cell>
          <cell r="P3098" t="str">
            <v>81123102-52951101</v>
          </cell>
          <cell r="S3098" t="str">
            <v>2026A-04</v>
          </cell>
          <cell r="T3098" t="str">
            <v>Mobile Phones</v>
          </cell>
        </row>
        <row r="3099">
          <cell r="K3099">
            <v>534.82000000000005</v>
          </cell>
          <cell r="P3099" t="str">
            <v>81123102-52951101</v>
          </cell>
          <cell r="S3099" t="str">
            <v>2026A-04</v>
          </cell>
          <cell r="T3099" t="str">
            <v>Mobile Phones</v>
          </cell>
        </row>
        <row r="3100">
          <cell r="K3100">
            <v>534.82000000000005</v>
          </cell>
          <cell r="P3100" t="str">
            <v>81123102-52951101</v>
          </cell>
          <cell r="S3100" t="str">
            <v>2026A-04</v>
          </cell>
          <cell r="T3100" t="str">
            <v>Mobile Phones</v>
          </cell>
        </row>
        <row r="3101">
          <cell r="K3101">
            <v>713.39</v>
          </cell>
          <cell r="P3101" t="str">
            <v>81123102-52951101</v>
          </cell>
          <cell r="S3101" t="str">
            <v>2026A-04</v>
          </cell>
          <cell r="T3101" t="str">
            <v>Mobile Phones</v>
          </cell>
        </row>
        <row r="3102">
          <cell r="K3102">
            <v>2492.1799999999998</v>
          </cell>
          <cell r="P3102" t="str">
            <v>81123102-52951101</v>
          </cell>
          <cell r="S3102" t="str">
            <v>2026A-04</v>
          </cell>
          <cell r="T3102" t="str">
            <v>Mobile Phones</v>
          </cell>
        </row>
        <row r="3103">
          <cell r="K3103">
            <v>713.39</v>
          </cell>
          <cell r="P3103" t="str">
            <v>81123102-52951101</v>
          </cell>
          <cell r="S3103" t="str">
            <v>2026A-04</v>
          </cell>
          <cell r="T3103" t="str">
            <v>Mobile Phones</v>
          </cell>
        </row>
        <row r="3104">
          <cell r="K3104">
            <v>891.96</v>
          </cell>
          <cell r="P3104" t="str">
            <v>81123102-52951101</v>
          </cell>
          <cell r="S3104" t="str">
            <v>2026A-04</v>
          </cell>
          <cell r="T3104" t="str">
            <v>Mobile Phones</v>
          </cell>
        </row>
        <row r="3105">
          <cell r="K3105">
            <v>534.82000000000005</v>
          </cell>
          <cell r="P3105" t="str">
            <v>81123102-52951101</v>
          </cell>
          <cell r="S3105" t="str">
            <v>2026A-04</v>
          </cell>
          <cell r="T3105" t="str">
            <v>Mobile Phones</v>
          </cell>
        </row>
        <row r="3106">
          <cell r="K3106">
            <v>534.82000000000005</v>
          </cell>
          <cell r="P3106" t="str">
            <v>81123102-52951101</v>
          </cell>
          <cell r="S3106" t="str">
            <v>2026A-04</v>
          </cell>
          <cell r="T3106" t="str">
            <v>Mobile Phones</v>
          </cell>
        </row>
        <row r="3107">
          <cell r="K3107">
            <v>534.82000000000005</v>
          </cell>
          <cell r="P3107" t="str">
            <v>81123102-52951101</v>
          </cell>
          <cell r="S3107" t="str">
            <v>2026A-04</v>
          </cell>
          <cell r="T3107" t="str">
            <v>Mobile Phones</v>
          </cell>
        </row>
        <row r="3108">
          <cell r="K3108">
            <v>713.39</v>
          </cell>
          <cell r="P3108" t="str">
            <v>81123102-52951101</v>
          </cell>
          <cell r="S3108" t="str">
            <v>2026A-04</v>
          </cell>
          <cell r="T3108" t="str">
            <v>Mobile Phones</v>
          </cell>
        </row>
        <row r="3109">
          <cell r="K3109">
            <v>534.82000000000005</v>
          </cell>
          <cell r="P3109" t="str">
            <v>81123102-52951101</v>
          </cell>
          <cell r="S3109" t="str">
            <v>2026A-04</v>
          </cell>
          <cell r="T3109" t="str">
            <v>Mobile Phones</v>
          </cell>
        </row>
        <row r="3110">
          <cell r="K3110">
            <v>534.82000000000005</v>
          </cell>
          <cell r="P3110" t="str">
            <v>81123102-52951101</v>
          </cell>
          <cell r="S3110" t="str">
            <v>2026A-04</v>
          </cell>
          <cell r="T3110" t="str">
            <v>Mobile Phones</v>
          </cell>
        </row>
        <row r="3111">
          <cell r="K3111">
            <v>712.5</v>
          </cell>
          <cell r="P3111" t="str">
            <v>81123102-52951101</v>
          </cell>
          <cell r="S3111" t="str">
            <v>2026A-04</v>
          </cell>
          <cell r="T3111" t="str">
            <v>Mobile Phones</v>
          </cell>
        </row>
        <row r="3112">
          <cell r="K3112">
            <v>713.39</v>
          </cell>
          <cell r="P3112" t="str">
            <v>81123102-52951101</v>
          </cell>
          <cell r="S3112" t="str">
            <v>2026A-04</v>
          </cell>
          <cell r="T3112" t="str">
            <v>Mobile Phones</v>
          </cell>
        </row>
        <row r="3113">
          <cell r="K3113">
            <v>534.82000000000005</v>
          </cell>
          <cell r="P3113" t="str">
            <v>81123102-52951101</v>
          </cell>
          <cell r="S3113" t="str">
            <v>2026A-04</v>
          </cell>
          <cell r="T3113" t="str">
            <v>Mobile Phones</v>
          </cell>
        </row>
        <row r="3114">
          <cell r="K3114">
            <v>534.82000000000005</v>
          </cell>
          <cell r="P3114" t="str">
            <v>81123102-52951101</v>
          </cell>
          <cell r="S3114" t="str">
            <v>2026A-04</v>
          </cell>
          <cell r="T3114" t="str">
            <v>Mobile Phones</v>
          </cell>
        </row>
        <row r="3115">
          <cell r="K3115">
            <v>534.82000000000005</v>
          </cell>
          <cell r="P3115" t="str">
            <v>81123102-52951101</v>
          </cell>
          <cell r="S3115" t="str">
            <v>2026A-04</v>
          </cell>
          <cell r="T3115" t="str">
            <v>Mobile Phones</v>
          </cell>
        </row>
        <row r="3116">
          <cell r="K3116">
            <v>2231.25</v>
          </cell>
          <cell r="P3116" t="str">
            <v>81123102-52951101</v>
          </cell>
          <cell r="S3116" t="str">
            <v>2026A-04</v>
          </cell>
          <cell r="T3116" t="str">
            <v>Mobile Phones</v>
          </cell>
        </row>
        <row r="3117">
          <cell r="K3117">
            <v>1237.23</v>
          </cell>
          <cell r="P3117" t="str">
            <v>81123102-52951101</v>
          </cell>
          <cell r="S3117" t="str">
            <v>2026A-04</v>
          </cell>
          <cell r="T3117" t="str">
            <v>Mobile Phones</v>
          </cell>
        </row>
        <row r="3118">
          <cell r="K3118">
            <v>56164.95</v>
          </cell>
          <cell r="P3118" t="str">
            <v>81123102-52951101</v>
          </cell>
          <cell r="S3118" t="str">
            <v>2026A-04</v>
          </cell>
          <cell r="T3118" t="str">
            <v>Mobile Phones</v>
          </cell>
        </row>
        <row r="3119">
          <cell r="K3119">
            <v>10000</v>
          </cell>
          <cell r="P3119" t="str">
            <v>80123101-61071005</v>
          </cell>
          <cell r="S3119" t="str">
            <v>2026A-04</v>
          </cell>
          <cell r="T3119" t="str">
            <v>Sycip</v>
          </cell>
        </row>
        <row r="3120">
          <cell r="K3120">
            <v>300000</v>
          </cell>
          <cell r="P3120" t="str">
            <v>80349101-61959994</v>
          </cell>
          <cell r="S3120" t="str">
            <v>2026A-04</v>
          </cell>
          <cell r="T3120" t="str">
            <v>CV Village</v>
          </cell>
        </row>
        <row r="3121">
          <cell r="K3121">
            <v>106448.6</v>
          </cell>
          <cell r="P3121" t="str">
            <v>81319101-52041405</v>
          </cell>
          <cell r="S3121" t="str">
            <v>2026A-04</v>
          </cell>
          <cell r="T3121" t="str">
            <v>GH</v>
          </cell>
        </row>
        <row r="3122">
          <cell r="K3122">
            <v>955.78</v>
          </cell>
          <cell r="P3122" t="str">
            <v>81111101-52041495</v>
          </cell>
          <cell r="S3122" t="str">
            <v>2026A-04</v>
          </cell>
          <cell r="T3122" t="str">
            <v>BTs</v>
          </cell>
        </row>
        <row r="3123">
          <cell r="K3123">
            <v>146826.76</v>
          </cell>
          <cell r="P3123" t="str">
            <v>81111101-52041495</v>
          </cell>
          <cell r="S3123" t="str">
            <v>2026A-04</v>
          </cell>
          <cell r="T3123" t="str">
            <v>BTs</v>
          </cell>
        </row>
        <row r="3124">
          <cell r="K3124">
            <v>23904.9</v>
          </cell>
          <cell r="P3124" t="str">
            <v>81319101-52041499</v>
          </cell>
          <cell r="S3124" t="str">
            <v>2026A-04</v>
          </cell>
          <cell r="T3124" t="str">
            <v>GH</v>
          </cell>
        </row>
        <row r="3125">
          <cell r="K3125">
            <v>210233.58</v>
          </cell>
          <cell r="P3125" t="str">
            <v>81123102-52041405</v>
          </cell>
          <cell r="S3125" t="str">
            <v>2026A-04</v>
          </cell>
          <cell r="T3125" t="str">
            <v>Janitorial (SFI)</v>
          </cell>
        </row>
        <row r="3126">
          <cell r="K3126">
            <v>170204.62</v>
          </cell>
          <cell r="P3126" t="str">
            <v>81123102-52041499</v>
          </cell>
          <cell r="S3126" t="str">
            <v>2026A-04</v>
          </cell>
          <cell r="T3126" t="str">
            <v>Admin Staff (SFI)</v>
          </cell>
        </row>
        <row r="3127">
          <cell r="K3127">
            <v>306026.69</v>
          </cell>
          <cell r="P3127" t="str">
            <v>81111101-52041495</v>
          </cell>
          <cell r="S3127" t="str">
            <v>2026A-04</v>
          </cell>
          <cell r="T3127" t="str">
            <v>BTs</v>
          </cell>
        </row>
        <row r="3128">
          <cell r="K3128">
            <v>5094.79</v>
          </cell>
          <cell r="P3128" t="str">
            <v>81319101-52041405</v>
          </cell>
          <cell r="S3128" t="str">
            <v>2026A-04</v>
          </cell>
          <cell r="T3128" t="str">
            <v>ES</v>
          </cell>
        </row>
        <row r="3129">
          <cell r="K3129">
            <v>-4075.72</v>
          </cell>
          <cell r="P3129" t="str">
            <v>81123102-52041405</v>
          </cell>
          <cell r="S3129" t="str">
            <v>2026A-04</v>
          </cell>
          <cell r="T3129" t="str">
            <v>Janitorial (SFI)</v>
          </cell>
        </row>
        <row r="3130">
          <cell r="K3130">
            <v>57199.05</v>
          </cell>
          <cell r="P3130" t="str">
            <v>81123102-52041405</v>
          </cell>
          <cell r="S3130" t="str">
            <v>2026A-04</v>
          </cell>
          <cell r="T3130" t="str">
            <v>Janitorial (SFI)</v>
          </cell>
        </row>
        <row r="3131">
          <cell r="K3131">
            <v>-4549.49</v>
          </cell>
          <cell r="P3131" t="str">
            <v>81123102-52041405</v>
          </cell>
          <cell r="S3131" t="str">
            <v>2026A-04</v>
          </cell>
          <cell r="T3131" t="str">
            <v>Janitorial (SFI)</v>
          </cell>
        </row>
        <row r="3132">
          <cell r="K3132">
            <v>-8957.18</v>
          </cell>
          <cell r="P3132" t="str">
            <v>81123102-52041499</v>
          </cell>
          <cell r="S3132" t="str">
            <v>2026A-04</v>
          </cell>
          <cell r="T3132" t="str">
            <v>Admin Staff (SFI)</v>
          </cell>
        </row>
        <row r="3133">
          <cell r="K3133">
            <v>14830.87</v>
          </cell>
          <cell r="P3133" t="str">
            <v>81123102-52041499</v>
          </cell>
          <cell r="S3133" t="str">
            <v>2026A-04</v>
          </cell>
          <cell r="T3133" t="str">
            <v>Admin Staff (SFI)</v>
          </cell>
        </row>
        <row r="3134">
          <cell r="K3134">
            <v>-1823.65</v>
          </cell>
          <cell r="P3134" t="str">
            <v>81123102-52041499</v>
          </cell>
          <cell r="S3134" t="str">
            <v>2026A-04</v>
          </cell>
          <cell r="T3134" t="str">
            <v>Admin Staff (SFI)</v>
          </cell>
        </row>
        <row r="3135">
          <cell r="K3135">
            <v>-17814.37</v>
          </cell>
          <cell r="P3135" t="str">
            <v>81111101-52041495</v>
          </cell>
          <cell r="S3135" t="str">
            <v>2026A-04</v>
          </cell>
          <cell r="T3135" t="str">
            <v>BTs</v>
          </cell>
        </row>
        <row r="3136">
          <cell r="K3136">
            <v>56325.42</v>
          </cell>
          <cell r="P3136" t="str">
            <v>81111101-52041495</v>
          </cell>
          <cell r="S3136" t="str">
            <v>2026A-04</v>
          </cell>
          <cell r="T3136" t="str">
            <v>BTs</v>
          </cell>
        </row>
        <row r="3137">
          <cell r="K3137">
            <v>-1843.64</v>
          </cell>
          <cell r="P3137" t="str">
            <v>81111101-52041495</v>
          </cell>
          <cell r="S3137" t="str">
            <v>2026A-04</v>
          </cell>
          <cell r="T3137" t="str">
            <v>BTs</v>
          </cell>
        </row>
        <row r="3138">
          <cell r="K3138">
            <v>5745.54</v>
          </cell>
          <cell r="P3138" t="str">
            <v>81122101-52111101</v>
          </cell>
          <cell r="S3138" t="str">
            <v>2026A-04</v>
          </cell>
          <cell r="T3138" t="str">
            <v>Tissue</v>
          </cell>
        </row>
        <row r="3139">
          <cell r="K3139">
            <v>10054.290000000001</v>
          </cell>
          <cell r="P3139" t="str">
            <v>80314101-61731103</v>
          </cell>
          <cell r="S3139" t="str">
            <v>2026A-04</v>
          </cell>
          <cell r="T3139" t="str">
            <v>Xmas Décor</v>
          </cell>
        </row>
        <row r="3140">
          <cell r="K3140">
            <v>21447.200000000001</v>
          </cell>
          <cell r="P3140" t="str">
            <v>81319101-52041401</v>
          </cell>
          <cell r="S3140" t="str">
            <v>2026A-04</v>
          </cell>
          <cell r="T3140" t="str">
            <v>CV</v>
          </cell>
        </row>
        <row r="3141">
          <cell r="K3141">
            <v>4289.0200000000004</v>
          </cell>
          <cell r="P3141" t="str">
            <v>81319101-52041401</v>
          </cell>
          <cell r="S3141" t="str">
            <v>2026A-04</v>
          </cell>
          <cell r="T3141" t="str">
            <v>CV</v>
          </cell>
        </row>
        <row r="3142">
          <cell r="K3142">
            <v>21447.200000000001</v>
          </cell>
          <cell r="P3142" t="str">
            <v>81319101-52041401</v>
          </cell>
          <cell r="S3142" t="str">
            <v>2026A-04</v>
          </cell>
          <cell r="T3142" t="str">
            <v>TS</v>
          </cell>
        </row>
        <row r="3143">
          <cell r="K3143">
            <v>4289.0200000000004</v>
          </cell>
          <cell r="P3143" t="str">
            <v>81319101-52041401</v>
          </cell>
          <cell r="S3143" t="str">
            <v>2026A-04</v>
          </cell>
          <cell r="T3143" t="str">
            <v>TS</v>
          </cell>
        </row>
        <row r="3144">
          <cell r="K3144">
            <v>1988.96</v>
          </cell>
          <cell r="P3144" t="str">
            <v>81319101-52041499</v>
          </cell>
          <cell r="S3144" t="str">
            <v>2026A-04</v>
          </cell>
          <cell r="T3144" t="str">
            <v>GH</v>
          </cell>
        </row>
        <row r="3145">
          <cell r="K3145">
            <v>1486.04</v>
          </cell>
          <cell r="P3145" t="str">
            <v>81319101-52041499</v>
          </cell>
          <cell r="S3145" t="str">
            <v>2026A-04</v>
          </cell>
          <cell r="T3145" t="str">
            <v>GH</v>
          </cell>
        </row>
        <row r="3146">
          <cell r="K3146">
            <v>56910</v>
          </cell>
          <cell r="P3146" t="str">
            <v>90111101-52041495</v>
          </cell>
          <cell r="S3146" t="str">
            <v>2026A-04</v>
          </cell>
          <cell r="T3146" t="str">
            <v>BDO CMC</v>
          </cell>
        </row>
        <row r="3147">
          <cell r="K3147">
            <v>35333</v>
          </cell>
          <cell r="P3147" t="str">
            <v>80111101-61021105</v>
          </cell>
          <cell r="S3147" t="str">
            <v>2026A-04</v>
          </cell>
          <cell r="T3147" t="str">
            <v>Guaranteed Bonus</v>
          </cell>
        </row>
        <row r="3148">
          <cell r="K3148">
            <v>66667</v>
          </cell>
          <cell r="P3148" t="str">
            <v>80111101-61021105</v>
          </cell>
          <cell r="S3148" t="str">
            <v>2026A-04</v>
          </cell>
          <cell r="T3148" t="str">
            <v>Guaranteed Bonus</v>
          </cell>
        </row>
        <row r="3149">
          <cell r="K3149">
            <v>17000</v>
          </cell>
          <cell r="P3149" t="str">
            <v>80111101-61021105</v>
          </cell>
          <cell r="S3149" t="str">
            <v>2026A-04</v>
          </cell>
          <cell r="T3149" t="str">
            <v>Guaranteed Bonus</v>
          </cell>
        </row>
        <row r="3150">
          <cell r="K3150">
            <v>274134</v>
          </cell>
          <cell r="P3150" t="str">
            <v>80111101-61021105</v>
          </cell>
          <cell r="S3150" t="str">
            <v>2026A-04</v>
          </cell>
          <cell r="T3150" t="str">
            <v>Guaranteed Bonus</v>
          </cell>
        </row>
        <row r="3151">
          <cell r="K3151">
            <v>10800</v>
          </cell>
          <cell r="P3151" t="str">
            <v>80111101-61021105</v>
          </cell>
          <cell r="S3151" t="str">
            <v>2026A-04</v>
          </cell>
          <cell r="T3151" t="str">
            <v>Guaranteed Bonus</v>
          </cell>
        </row>
        <row r="3152">
          <cell r="K3152">
            <v>916269</v>
          </cell>
          <cell r="P3152" t="str">
            <v>80111101-61021105</v>
          </cell>
          <cell r="S3152" t="str">
            <v>2026A-04</v>
          </cell>
          <cell r="T3152" t="str">
            <v>Guaranteed Bonus</v>
          </cell>
        </row>
        <row r="3153">
          <cell r="K3153">
            <v>5083.57</v>
          </cell>
          <cell r="P3153" t="str">
            <v>80123101-61091101</v>
          </cell>
          <cell r="S3153" t="str">
            <v>2026A-04</v>
          </cell>
          <cell r="T3153" t="str">
            <v>Meetings</v>
          </cell>
        </row>
        <row r="3154">
          <cell r="K3154">
            <v>227717</v>
          </cell>
          <cell r="P3154" t="str">
            <v>81111101-52121104</v>
          </cell>
          <cell r="S3154" t="str">
            <v>2026A-04</v>
          </cell>
          <cell r="T3154" t="str">
            <v>Guaranteed Bonus</v>
          </cell>
        </row>
        <row r="3155">
          <cell r="K3155">
            <v>314933</v>
          </cell>
          <cell r="P3155" t="str">
            <v>81111101-52121104</v>
          </cell>
          <cell r="S3155" t="str">
            <v>2026A-04</v>
          </cell>
          <cell r="T3155" t="str">
            <v>Guaranteed Bonus</v>
          </cell>
        </row>
        <row r="3156">
          <cell r="K3156">
            <v>139133</v>
          </cell>
          <cell r="P3156" t="str">
            <v>81111101-52121104</v>
          </cell>
          <cell r="S3156" t="str">
            <v>2026A-04</v>
          </cell>
          <cell r="T3156" t="str">
            <v>Guaranteed Bonus</v>
          </cell>
        </row>
        <row r="3157">
          <cell r="K3157">
            <v>16733</v>
          </cell>
          <cell r="P3157" t="str">
            <v>81111101-52121104</v>
          </cell>
          <cell r="S3157" t="str">
            <v>2026A-04</v>
          </cell>
          <cell r="T3157" t="str">
            <v>Guaranteed Bonus</v>
          </cell>
        </row>
        <row r="3158">
          <cell r="K3158">
            <v>1321667</v>
          </cell>
          <cell r="P3158" t="str">
            <v>81111101-52121104</v>
          </cell>
          <cell r="S3158" t="str">
            <v>2026A-04</v>
          </cell>
          <cell r="T3158" t="str">
            <v>Guaranteed Bonus</v>
          </cell>
        </row>
        <row r="3159">
          <cell r="K3159">
            <v>184333</v>
          </cell>
          <cell r="P3159" t="str">
            <v>81111101-52121104</v>
          </cell>
          <cell r="S3159" t="str">
            <v>2026A-04</v>
          </cell>
          <cell r="T3159" t="str">
            <v>Guaranteed Bonus</v>
          </cell>
        </row>
        <row r="3160">
          <cell r="K3160">
            <v>210</v>
          </cell>
          <cell r="P3160" t="str">
            <v>81123102-52061111</v>
          </cell>
          <cell r="S3160" t="str">
            <v>2026A-04</v>
          </cell>
          <cell r="T3160" t="str">
            <v>R&amp;M - Supplies</v>
          </cell>
        </row>
        <row r="3161">
          <cell r="K3161">
            <v>155</v>
          </cell>
          <cell r="P3161" t="str">
            <v>81123102-52061111</v>
          </cell>
          <cell r="S3161" t="str">
            <v>2026A-04</v>
          </cell>
          <cell r="T3161" t="str">
            <v>R&amp;M - Supplies</v>
          </cell>
        </row>
        <row r="3162">
          <cell r="K3162">
            <v>40</v>
          </cell>
          <cell r="P3162" t="str">
            <v>81123102-52081101</v>
          </cell>
          <cell r="S3162" t="str">
            <v>2026A-04</v>
          </cell>
          <cell r="T3162" t="str">
            <v>Parking</v>
          </cell>
        </row>
        <row r="3163">
          <cell r="K3163">
            <v>50</v>
          </cell>
          <cell r="P3163" t="str">
            <v>81123102-52081101</v>
          </cell>
          <cell r="S3163" t="str">
            <v>2026A-04</v>
          </cell>
          <cell r="T3163" t="str">
            <v>Parking</v>
          </cell>
        </row>
        <row r="3164">
          <cell r="K3164">
            <v>60</v>
          </cell>
          <cell r="P3164" t="str">
            <v>81123102-52081101</v>
          </cell>
          <cell r="S3164" t="str">
            <v>2026A-04</v>
          </cell>
          <cell r="T3164" t="str">
            <v>Parking</v>
          </cell>
        </row>
        <row r="3165">
          <cell r="K3165">
            <v>65</v>
          </cell>
          <cell r="P3165" t="str">
            <v>81123102-52081101</v>
          </cell>
          <cell r="S3165" t="str">
            <v>2026A-04</v>
          </cell>
          <cell r="T3165" t="str">
            <v>Parking</v>
          </cell>
        </row>
        <row r="3166">
          <cell r="K3166">
            <v>40</v>
          </cell>
          <cell r="P3166" t="str">
            <v>81123102-52081101</v>
          </cell>
          <cell r="S3166" t="str">
            <v>2026A-04</v>
          </cell>
          <cell r="T3166" t="str">
            <v>Parking</v>
          </cell>
        </row>
        <row r="3167">
          <cell r="K3167">
            <v>100</v>
          </cell>
          <cell r="P3167" t="str">
            <v>81123102-52081101</v>
          </cell>
          <cell r="S3167" t="str">
            <v>2026A-04</v>
          </cell>
          <cell r="T3167" t="str">
            <v>Parking</v>
          </cell>
        </row>
        <row r="3168">
          <cell r="K3168">
            <v>135</v>
          </cell>
          <cell r="P3168" t="str">
            <v>81123102-52081101</v>
          </cell>
          <cell r="S3168" t="str">
            <v>2026A-04</v>
          </cell>
          <cell r="T3168" t="str">
            <v>Parking</v>
          </cell>
        </row>
        <row r="3169">
          <cell r="K3169">
            <v>40</v>
          </cell>
          <cell r="P3169" t="str">
            <v>81123102-52081101</v>
          </cell>
          <cell r="S3169" t="str">
            <v>2026A-04</v>
          </cell>
          <cell r="T3169" t="str">
            <v>Parking</v>
          </cell>
        </row>
        <row r="3170">
          <cell r="K3170">
            <v>100</v>
          </cell>
          <cell r="P3170" t="str">
            <v>81123102-52081101</v>
          </cell>
          <cell r="S3170" t="str">
            <v>2026A-04</v>
          </cell>
          <cell r="T3170" t="str">
            <v>Parking</v>
          </cell>
        </row>
        <row r="3171">
          <cell r="K3171">
            <v>60</v>
          </cell>
          <cell r="P3171" t="str">
            <v>81123102-52081101</v>
          </cell>
          <cell r="S3171" t="str">
            <v>2026A-04</v>
          </cell>
          <cell r="T3171" t="str">
            <v>Parking</v>
          </cell>
        </row>
        <row r="3172">
          <cell r="K3172">
            <v>60</v>
          </cell>
          <cell r="P3172" t="str">
            <v>81123102-52081101</v>
          </cell>
          <cell r="S3172" t="str">
            <v>2026A-04</v>
          </cell>
          <cell r="T3172" t="str">
            <v>Parking</v>
          </cell>
        </row>
        <row r="3173">
          <cell r="K3173">
            <v>60</v>
          </cell>
          <cell r="P3173" t="str">
            <v>81123102-52081101</v>
          </cell>
          <cell r="S3173" t="str">
            <v>2026A-04</v>
          </cell>
          <cell r="T3173" t="str">
            <v>Parking</v>
          </cell>
        </row>
        <row r="3174">
          <cell r="K3174">
            <v>150</v>
          </cell>
          <cell r="P3174" t="str">
            <v>81123102-52081103</v>
          </cell>
          <cell r="S3174" t="str">
            <v>2026A-04</v>
          </cell>
          <cell r="T3174" t="str">
            <v>Meal Allowance</v>
          </cell>
        </row>
        <row r="3175">
          <cell r="K3175">
            <v>294</v>
          </cell>
          <cell r="P3175" t="str">
            <v>81111204-52091102</v>
          </cell>
          <cell r="S3175" t="str">
            <v>2026A-04</v>
          </cell>
          <cell r="T3175" t="str">
            <v>Meetings</v>
          </cell>
        </row>
        <row r="3176">
          <cell r="K3176">
            <v>50</v>
          </cell>
          <cell r="P3176" t="str">
            <v>81123102-52111101</v>
          </cell>
          <cell r="S3176" t="str">
            <v>2026A-04</v>
          </cell>
          <cell r="T3176" t="str">
            <v>Office Supplies - Others</v>
          </cell>
        </row>
        <row r="3177">
          <cell r="K3177">
            <v>331</v>
          </cell>
          <cell r="P3177" t="str">
            <v>81123102-52119101</v>
          </cell>
          <cell r="S3177" t="str">
            <v>2026A-04</v>
          </cell>
          <cell r="T3177" t="str">
            <v>Gas/fuel</v>
          </cell>
        </row>
        <row r="3178">
          <cell r="K3178">
            <v>250</v>
          </cell>
          <cell r="P3178" t="str">
            <v>81123102-52119101</v>
          </cell>
          <cell r="S3178" t="str">
            <v>2026A-04</v>
          </cell>
          <cell r="T3178" t="str">
            <v>Gas/fuel</v>
          </cell>
        </row>
        <row r="3179">
          <cell r="K3179">
            <v>196</v>
          </cell>
          <cell r="P3179" t="str">
            <v>81123102-52119101</v>
          </cell>
          <cell r="S3179" t="str">
            <v>2026A-04</v>
          </cell>
          <cell r="T3179" t="str">
            <v>Gas/fuel</v>
          </cell>
        </row>
        <row r="3180">
          <cell r="K3180">
            <v>183</v>
          </cell>
          <cell r="P3180" t="str">
            <v>81123102-52119101</v>
          </cell>
          <cell r="S3180" t="str">
            <v>2026A-04</v>
          </cell>
          <cell r="T3180" t="str">
            <v>Gas/fuel</v>
          </cell>
        </row>
        <row r="3181">
          <cell r="K3181">
            <v>354.46</v>
          </cell>
          <cell r="P3181" t="str">
            <v>81123102-52119101</v>
          </cell>
          <cell r="S3181" t="str">
            <v>2026A-04</v>
          </cell>
          <cell r="T3181" t="str">
            <v>Gas/fuel</v>
          </cell>
        </row>
        <row r="3182">
          <cell r="K3182">
            <v>94.5</v>
          </cell>
          <cell r="P3182" t="str">
            <v>81123102-52119101</v>
          </cell>
          <cell r="S3182" t="str">
            <v>2026A-04</v>
          </cell>
          <cell r="T3182" t="str">
            <v>Gas/fuel</v>
          </cell>
        </row>
        <row r="3183">
          <cell r="K3183">
            <v>150</v>
          </cell>
          <cell r="P3183" t="str">
            <v>81123102-52119101</v>
          </cell>
          <cell r="S3183" t="str">
            <v>2026A-04</v>
          </cell>
          <cell r="T3183" t="str">
            <v>Gas/fuel</v>
          </cell>
        </row>
        <row r="3184">
          <cell r="K3184">
            <v>262</v>
          </cell>
          <cell r="P3184" t="str">
            <v>81123102-52119101</v>
          </cell>
          <cell r="S3184" t="str">
            <v>2026A-04</v>
          </cell>
          <cell r="T3184" t="str">
            <v>Gas/fuel</v>
          </cell>
        </row>
        <row r="3185">
          <cell r="K3185">
            <v>331</v>
          </cell>
          <cell r="P3185" t="str">
            <v>81123102-52119101</v>
          </cell>
          <cell r="S3185" t="str">
            <v>2026A-04</v>
          </cell>
          <cell r="T3185" t="str">
            <v>Gas/fuel</v>
          </cell>
        </row>
        <row r="3186">
          <cell r="K3186">
            <v>492</v>
          </cell>
          <cell r="P3186" t="str">
            <v>81123102-52119101</v>
          </cell>
          <cell r="S3186" t="str">
            <v>2026A-04</v>
          </cell>
          <cell r="T3186" t="str">
            <v>Gas/fuel</v>
          </cell>
        </row>
        <row r="3187">
          <cell r="K3187">
            <v>250</v>
          </cell>
          <cell r="P3187" t="str">
            <v>81123102-52119101</v>
          </cell>
          <cell r="S3187" t="str">
            <v>2026A-04</v>
          </cell>
          <cell r="T3187" t="str">
            <v>Gas/fuel</v>
          </cell>
        </row>
        <row r="3188">
          <cell r="K3188">
            <v>532</v>
          </cell>
          <cell r="P3188" t="str">
            <v>81123102-52119101</v>
          </cell>
          <cell r="S3188" t="str">
            <v>2026A-04</v>
          </cell>
          <cell r="T3188" t="str">
            <v>Gas/fuel</v>
          </cell>
        </row>
        <row r="3189">
          <cell r="K3189">
            <v>319</v>
          </cell>
          <cell r="P3189" t="str">
            <v>81123102-52119101</v>
          </cell>
          <cell r="S3189" t="str">
            <v>2026A-04</v>
          </cell>
          <cell r="T3189" t="str">
            <v>Gas/fuel</v>
          </cell>
        </row>
        <row r="3190">
          <cell r="K3190">
            <v>301</v>
          </cell>
          <cell r="P3190" t="str">
            <v>81123102-52119101</v>
          </cell>
          <cell r="S3190" t="str">
            <v>2026A-04</v>
          </cell>
          <cell r="T3190" t="str">
            <v>Gas/fuel</v>
          </cell>
        </row>
        <row r="3191">
          <cell r="K3191">
            <v>290</v>
          </cell>
          <cell r="P3191" t="str">
            <v>81123102-52119101</v>
          </cell>
          <cell r="S3191" t="str">
            <v>2026A-04</v>
          </cell>
          <cell r="T3191" t="str">
            <v>Gas/fuel</v>
          </cell>
        </row>
        <row r="3192">
          <cell r="K3192">
            <v>209</v>
          </cell>
          <cell r="P3192" t="str">
            <v>81123102-52119101</v>
          </cell>
          <cell r="S3192" t="str">
            <v>2026A-04</v>
          </cell>
          <cell r="T3192" t="str">
            <v>Gas/fuel</v>
          </cell>
        </row>
        <row r="3193">
          <cell r="K3193">
            <v>183</v>
          </cell>
          <cell r="P3193" t="str">
            <v>81123102-52119101</v>
          </cell>
          <cell r="S3193" t="str">
            <v>2026A-04</v>
          </cell>
          <cell r="T3193" t="str">
            <v>Gas/fuel</v>
          </cell>
        </row>
        <row r="3194">
          <cell r="K3194">
            <v>330</v>
          </cell>
          <cell r="P3194" t="str">
            <v>81123102-52119101</v>
          </cell>
          <cell r="S3194" t="str">
            <v>2026A-04</v>
          </cell>
          <cell r="T3194" t="str">
            <v>Gas/fuel</v>
          </cell>
        </row>
        <row r="3195">
          <cell r="K3195">
            <v>329</v>
          </cell>
          <cell r="P3195" t="str">
            <v>81123102-52119101</v>
          </cell>
          <cell r="S3195" t="str">
            <v>2026A-04</v>
          </cell>
          <cell r="T3195" t="str">
            <v>Gas/fuel</v>
          </cell>
        </row>
        <row r="3196">
          <cell r="K3196">
            <v>186</v>
          </cell>
          <cell r="P3196" t="str">
            <v>81123102-52119101</v>
          </cell>
          <cell r="S3196" t="str">
            <v>2026A-04</v>
          </cell>
          <cell r="T3196" t="str">
            <v>Gas/fuel</v>
          </cell>
        </row>
        <row r="3197">
          <cell r="K3197">
            <v>210</v>
          </cell>
          <cell r="P3197" t="str">
            <v>81123102-52119101</v>
          </cell>
          <cell r="S3197" t="str">
            <v>2026A-04</v>
          </cell>
          <cell r="T3197" t="str">
            <v>Gas/fuel</v>
          </cell>
        </row>
        <row r="3198">
          <cell r="K3198">
            <v>394</v>
          </cell>
          <cell r="P3198" t="str">
            <v>81123102-52119101</v>
          </cell>
          <cell r="S3198" t="str">
            <v>2026A-04</v>
          </cell>
          <cell r="T3198" t="str">
            <v>Gas/fuel</v>
          </cell>
        </row>
        <row r="3199">
          <cell r="K3199">
            <v>430</v>
          </cell>
          <cell r="P3199" t="str">
            <v>81123102-52119101</v>
          </cell>
          <cell r="S3199" t="str">
            <v>2026A-04</v>
          </cell>
          <cell r="T3199" t="str">
            <v>Gas/fuel</v>
          </cell>
        </row>
        <row r="3200">
          <cell r="K3200">
            <v>3278.06</v>
          </cell>
          <cell r="P3200" t="str">
            <v>81319101-52041405</v>
          </cell>
          <cell r="S3200" t="str">
            <v>2026A-04</v>
          </cell>
          <cell r="T3200" t="str">
            <v>GH</v>
          </cell>
        </row>
        <row r="3201">
          <cell r="K3201">
            <v>1951333</v>
          </cell>
          <cell r="P3201" t="str">
            <v>90111101-52121104</v>
          </cell>
          <cell r="S3201" t="str">
            <v>2026A-04</v>
          </cell>
          <cell r="T3201" t="str">
            <v>Guaranteed Bonus</v>
          </cell>
        </row>
        <row r="3202">
          <cell r="K3202">
            <v>3389201</v>
          </cell>
          <cell r="P3202" t="str">
            <v>90111101-52121104</v>
          </cell>
          <cell r="S3202" t="str">
            <v>2026A-04</v>
          </cell>
          <cell r="T3202" t="str">
            <v>Guaranteed Bonus</v>
          </cell>
        </row>
        <row r="3203">
          <cell r="K3203">
            <v>509234</v>
          </cell>
          <cell r="P3203" t="str">
            <v>90111101-52121104</v>
          </cell>
          <cell r="S3203" t="str">
            <v>2026A-04</v>
          </cell>
          <cell r="T3203" t="str">
            <v>Guaranteed Bonus</v>
          </cell>
        </row>
        <row r="3204">
          <cell r="K3204">
            <v>480068</v>
          </cell>
          <cell r="P3204" t="str">
            <v>90111101-52121104</v>
          </cell>
          <cell r="S3204" t="str">
            <v>2026A-04</v>
          </cell>
          <cell r="T3204" t="str">
            <v>Guaranteed Bonus</v>
          </cell>
        </row>
        <row r="3205">
          <cell r="K3205">
            <v>585800</v>
          </cell>
          <cell r="P3205" t="str">
            <v>90111101-52121104</v>
          </cell>
          <cell r="S3205" t="str">
            <v>2026A-04</v>
          </cell>
          <cell r="T3205" t="str">
            <v>Guaranteed Bonus</v>
          </cell>
        </row>
        <row r="3206">
          <cell r="K3206">
            <v>2923866</v>
          </cell>
          <cell r="P3206" t="str">
            <v>90111101-52121104</v>
          </cell>
          <cell r="S3206" t="str">
            <v>2026A-04</v>
          </cell>
          <cell r="T3206" t="str">
            <v>Guaranteed Bonus</v>
          </cell>
        </row>
        <row r="3207">
          <cell r="K3207">
            <v>1914496</v>
          </cell>
          <cell r="P3207" t="str">
            <v>90111101-52121104</v>
          </cell>
          <cell r="S3207" t="str">
            <v>2026A-04</v>
          </cell>
          <cell r="T3207" t="str">
            <v>Guaranteed Bonus</v>
          </cell>
        </row>
        <row r="3208">
          <cell r="K3208">
            <v>508100</v>
          </cell>
          <cell r="P3208" t="str">
            <v>90111101-52121104</v>
          </cell>
          <cell r="S3208" t="str">
            <v>2026A-04</v>
          </cell>
          <cell r="T3208" t="str">
            <v>Guaranteed Bonus</v>
          </cell>
        </row>
        <row r="3209">
          <cell r="K3209">
            <v>36067</v>
          </cell>
          <cell r="P3209" t="str">
            <v>90111101-52121104</v>
          </cell>
          <cell r="S3209" t="str">
            <v>2026A-04</v>
          </cell>
          <cell r="T3209" t="str">
            <v>Guaranteed Bonus</v>
          </cell>
        </row>
        <row r="3210">
          <cell r="K3210">
            <v>288133</v>
          </cell>
          <cell r="P3210" t="str">
            <v>90111101-52121104</v>
          </cell>
          <cell r="S3210" t="str">
            <v>2026A-04</v>
          </cell>
          <cell r="T3210" t="str">
            <v>Guaranteed Bonus</v>
          </cell>
        </row>
        <row r="3211">
          <cell r="K3211">
            <v>622600</v>
          </cell>
          <cell r="P3211" t="str">
            <v>90111101-52121104</v>
          </cell>
          <cell r="S3211" t="str">
            <v>2026A-04</v>
          </cell>
          <cell r="T3211" t="str">
            <v>Guaranteed Bonus</v>
          </cell>
        </row>
        <row r="3212">
          <cell r="K3212">
            <v>125667</v>
          </cell>
          <cell r="P3212" t="str">
            <v>90111101-52121104</v>
          </cell>
          <cell r="S3212" t="str">
            <v>2026A-04</v>
          </cell>
          <cell r="T3212" t="str">
            <v>Guaranteed Bonus</v>
          </cell>
        </row>
        <row r="3213">
          <cell r="K3213">
            <v>676567</v>
          </cell>
          <cell r="P3213" t="str">
            <v>90111101-52121104</v>
          </cell>
          <cell r="S3213" t="str">
            <v>2026A-04</v>
          </cell>
          <cell r="T3213" t="str">
            <v>Guaranteed Bonus</v>
          </cell>
        </row>
        <row r="3214">
          <cell r="K3214">
            <v>9324.5400000000009</v>
          </cell>
          <cell r="P3214" t="str">
            <v>80123102-61061104</v>
          </cell>
          <cell r="S3214" t="str">
            <v>2026A-04</v>
          </cell>
          <cell r="T3214" t="str">
            <v>R&amp;M - Everest</v>
          </cell>
        </row>
        <row r="3215">
          <cell r="K3215">
            <v>-355357.14</v>
          </cell>
          <cell r="P3215" t="str">
            <v>81123102-52041502</v>
          </cell>
          <cell r="S3215" t="str">
            <v>2026A-04</v>
          </cell>
          <cell r="T3215" t="str">
            <v>MTS Recovery</v>
          </cell>
        </row>
        <row r="3216">
          <cell r="K3216">
            <v>8973.2099999999991</v>
          </cell>
          <cell r="P3216" t="str">
            <v>81123102-52061103</v>
          </cell>
          <cell r="S3216" t="str">
            <v>2026A-04</v>
          </cell>
          <cell r="T3216" t="str">
            <v>R&amp;M - Building</v>
          </cell>
        </row>
        <row r="3217">
          <cell r="K3217">
            <v>2767.86</v>
          </cell>
          <cell r="P3217" t="str">
            <v>81123102-52111101</v>
          </cell>
          <cell r="S3217" t="str">
            <v>2026A-04</v>
          </cell>
          <cell r="T3217" t="str">
            <v>Office Supplies - Others</v>
          </cell>
        </row>
        <row r="3218">
          <cell r="K3218">
            <v>660.71</v>
          </cell>
          <cell r="P3218" t="str">
            <v>81123102-52111101</v>
          </cell>
          <cell r="S3218" t="str">
            <v>2026A-04</v>
          </cell>
          <cell r="T3218" t="str">
            <v>Office Supplies - Others</v>
          </cell>
        </row>
        <row r="3219">
          <cell r="K3219">
            <v>776.79</v>
          </cell>
          <cell r="P3219" t="str">
            <v>81123102-52111101</v>
          </cell>
          <cell r="S3219" t="str">
            <v>2026A-04</v>
          </cell>
          <cell r="T3219" t="str">
            <v>Office Supplies - Others</v>
          </cell>
        </row>
        <row r="3220">
          <cell r="K3220">
            <v>691.96</v>
          </cell>
          <cell r="P3220" t="str">
            <v>81123102-52111101</v>
          </cell>
          <cell r="S3220" t="str">
            <v>2026A-04</v>
          </cell>
          <cell r="T3220" t="str">
            <v>Office Supplies - Others</v>
          </cell>
        </row>
        <row r="3221">
          <cell r="K3221">
            <v>89.29</v>
          </cell>
          <cell r="P3221" t="str">
            <v>81123102-52111101</v>
          </cell>
          <cell r="S3221" t="str">
            <v>2026A-04</v>
          </cell>
          <cell r="T3221" t="str">
            <v>Office Supplies - Others</v>
          </cell>
        </row>
        <row r="3222">
          <cell r="K3222">
            <v>85.71</v>
          </cell>
          <cell r="P3222" t="str">
            <v>81123102-52111101</v>
          </cell>
          <cell r="S3222" t="str">
            <v>2026A-04</v>
          </cell>
          <cell r="T3222" t="str">
            <v>Office Supplies - Others</v>
          </cell>
        </row>
        <row r="3223">
          <cell r="K3223">
            <v>44.64</v>
          </cell>
          <cell r="P3223" t="str">
            <v>81123102-52111101</v>
          </cell>
          <cell r="S3223" t="str">
            <v>2026A-04</v>
          </cell>
          <cell r="T3223" t="str">
            <v>Office Supplies - Others</v>
          </cell>
        </row>
        <row r="3224">
          <cell r="K3224">
            <v>10.36</v>
          </cell>
          <cell r="P3224" t="str">
            <v>81123102-52111101</v>
          </cell>
          <cell r="S3224" t="str">
            <v>2026A-04</v>
          </cell>
          <cell r="T3224" t="str">
            <v>Office Supplies - Others</v>
          </cell>
        </row>
        <row r="3225">
          <cell r="K3225">
            <v>24.11</v>
          </cell>
          <cell r="P3225" t="str">
            <v>81123102-52111101</v>
          </cell>
          <cell r="S3225" t="str">
            <v>2026A-04</v>
          </cell>
          <cell r="T3225" t="str">
            <v>Office Supplies - Others</v>
          </cell>
        </row>
        <row r="3226">
          <cell r="K3226">
            <v>117.86</v>
          </cell>
          <cell r="P3226" t="str">
            <v>81123102-52111101</v>
          </cell>
          <cell r="S3226" t="str">
            <v>2026A-04</v>
          </cell>
          <cell r="T3226" t="str">
            <v>Office Supplies - Others</v>
          </cell>
        </row>
        <row r="3227">
          <cell r="K3227">
            <v>375</v>
          </cell>
          <cell r="P3227" t="str">
            <v>81123102-52111101</v>
          </cell>
          <cell r="S3227" t="str">
            <v>2026A-04</v>
          </cell>
          <cell r="T3227" t="str">
            <v>Office Supplies - Others</v>
          </cell>
        </row>
        <row r="3228">
          <cell r="K3228">
            <v>133.93</v>
          </cell>
          <cell r="P3228" t="str">
            <v>81123102-52111101</v>
          </cell>
          <cell r="S3228" t="str">
            <v>2026A-04</v>
          </cell>
          <cell r="T3228" t="str">
            <v>Office Supplies - Others</v>
          </cell>
        </row>
        <row r="3229">
          <cell r="K3229">
            <v>133.93</v>
          </cell>
          <cell r="P3229" t="str">
            <v>81123102-52111101</v>
          </cell>
          <cell r="S3229" t="str">
            <v>2026A-04</v>
          </cell>
          <cell r="T3229" t="str">
            <v>Office Supplies - Others</v>
          </cell>
        </row>
        <row r="3230">
          <cell r="K3230">
            <v>133.93</v>
          </cell>
          <cell r="P3230" t="str">
            <v>81123102-52111101</v>
          </cell>
          <cell r="S3230" t="str">
            <v>2026A-04</v>
          </cell>
          <cell r="T3230" t="str">
            <v>Office Supplies - Others</v>
          </cell>
        </row>
        <row r="3231">
          <cell r="K3231">
            <v>133.93</v>
          </cell>
          <cell r="P3231" t="str">
            <v>81123102-52111101</v>
          </cell>
          <cell r="S3231" t="str">
            <v>2026A-04</v>
          </cell>
          <cell r="T3231" t="str">
            <v>Office Supplies - Others</v>
          </cell>
        </row>
        <row r="3232">
          <cell r="K3232">
            <v>6.96</v>
          </cell>
          <cell r="P3232" t="str">
            <v>81123102-52111101</v>
          </cell>
          <cell r="S3232" t="str">
            <v>2026A-04</v>
          </cell>
          <cell r="T3232" t="str">
            <v>Office Supplies - Others</v>
          </cell>
        </row>
        <row r="3233">
          <cell r="K3233">
            <v>157.13999999999999</v>
          </cell>
          <cell r="P3233" t="str">
            <v>81123102-52111101</v>
          </cell>
          <cell r="S3233" t="str">
            <v>2026A-04</v>
          </cell>
          <cell r="T3233" t="str">
            <v>Office Supplies - Others</v>
          </cell>
        </row>
        <row r="3234">
          <cell r="K3234">
            <v>209.82</v>
          </cell>
          <cell r="P3234" t="str">
            <v>81123102-52111101</v>
          </cell>
          <cell r="S3234" t="str">
            <v>2026A-04</v>
          </cell>
          <cell r="T3234" t="str">
            <v>Office Supplies - Others</v>
          </cell>
        </row>
        <row r="3235">
          <cell r="K3235">
            <v>209.82</v>
          </cell>
          <cell r="P3235" t="str">
            <v>81123102-52111101</v>
          </cell>
          <cell r="S3235" t="str">
            <v>2026A-04</v>
          </cell>
          <cell r="T3235" t="str">
            <v>Office Supplies - Others</v>
          </cell>
        </row>
        <row r="3236">
          <cell r="K3236">
            <v>209.82</v>
          </cell>
          <cell r="P3236" t="str">
            <v>81123102-52111101</v>
          </cell>
          <cell r="S3236" t="str">
            <v>2026A-04</v>
          </cell>
          <cell r="T3236" t="str">
            <v>Office Supplies - Others</v>
          </cell>
        </row>
        <row r="3237">
          <cell r="K3237">
            <v>209.82</v>
          </cell>
          <cell r="P3237" t="str">
            <v>81123102-52111101</v>
          </cell>
          <cell r="S3237" t="str">
            <v>2026A-04</v>
          </cell>
          <cell r="T3237" t="str">
            <v>Office Supplies - Others</v>
          </cell>
        </row>
        <row r="3238">
          <cell r="K3238">
            <v>209.82</v>
          </cell>
          <cell r="P3238" t="str">
            <v>81123102-52111101</v>
          </cell>
          <cell r="S3238" t="str">
            <v>2026A-04</v>
          </cell>
          <cell r="T3238" t="str">
            <v>Office Supplies - Others</v>
          </cell>
        </row>
        <row r="3239">
          <cell r="K3239">
            <v>415.63</v>
          </cell>
          <cell r="P3239" t="str">
            <v>81123102-52111101</v>
          </cell>
          <cell r="S3239" t="str">
            <v>2026A-04</v>
          </cell>
          <cell r="T3239" t="str">
            <v>Office Supplies - Others</v>
          </cell>
        </row>
        <row r="3240">
          <cell r="K3240">
            <v>415.63</v>
          </cell>
          <cell r="P3240" t="str">
            <v>81123102-52111101</v>
          </cell>
          <cell r="S3240" t="str">
            <v>2026A-04</v>
          </cell>
          <cell r="T3240" t="str">
            <v>Office Supplies - Others</v>
          </cell>
        </row>
        <row r="3241">
          <cell r="K3241">
            <v>415.63</v>
          </cell>
          <cell r="P3241" t="str">
            <v>81123102-52111101</v>
          </cell>
          <cell r="S3241" t="str">
            <v>2026A-04</v>
          </cell>
          <cell r="T3241" t="str">
            <v>Office Supplies - Others</v>
          </cell>
        </row>
        <row r="3242">
          <cell r="K3242">
            <v>415.62</v>
          </cell>
          <cell r="P3242" t="str">
            <v>81123102-52111101</v>
          </cell>
          <cell r="S3242" t="str">
            <v>2026A-04</v>
          </cell>
          <cell r="T3242" t="str">
            <v>Office Supplies - Others</v>
          </cell>
        </row>
        <row r="3243">
          <cell r="K3243">
            <v>178.57</v>
          </cell>
          <cell r="P3243" t="str">
            <v>81123102-52111101</v>
          </cell>
          <cell r="S3243" t="str">
            <v>2026A-04</v>
          </cell>
          <cell r="T3243" t="str">
            <v>Office Supplies - Others</v>
          </cell>
        </row>
        <row r="3244">
          <cell r="K3244">
            <v>178.57</v>
          </cell>
          <cell r="P3244" t="str">
            <v>81123102-52111101</v>
          </cell>
          <cell r="S3244" t="str">
            <v>2026A-04</v>
          </cell>
          <cell r="T3244" t="str">
            <v>Office Supplies - Others</v>
          </cell>
        </row>
        <row r="3245">
          <cell r="K3245">
            <v>178.57</v>
          </cell>
          <cell r="P3245" t="str">
            <v>81123102-52111101</v>
          </cell>
          <cell r="S3245" t="str">
            <v>2026A-04</v>
          </cell>
          <cell r="T3245" t="str">
            <v>Office Supplies - Others</v>
          </cell>
        </row>
        <row r="3246">
          <cell r="K3246">
            <v>178.57</v>
          </cell>
          <cell r="P3246" t="str">
            <v>81123102-52111101</v>
          </cell>
          <cell r="S3246" t="str">
            <v>2026A-04</v>
          </cell>
          <cell r="T3246" t="str">
            <v>Office Supplies - Others</v>
          </cell>
        </row>
        <row r="3247">
          <cell r="K3247">
            <v>139.29</v>
          </cell>
          <cell r="P3247" t="str">
            <v>81123102-52111101</v>
          </cell>
          <cell r="S3247" t="str">
            <v>2026A-04</v>
          </cell>
          <cell r="T3247" t="str">
            <v>Office Supplies - Others</v>
          </cell>
        </row>
        <row r="3248">
          <cell r="K3248">
            <v>25</v>
          </cell>
          <cell r="P3248" t="str">
            <v>81123102-52111101</v>
          </cell>
          <cell r="S3248" t="str">
            <v>2026A-04</v>
          </cell>
          <cell r="T3248" t="str">
            <v>Office Supplies - Others</v>
          </cell>
        </row>
        <row r="3249">
          <cell r="K3249">
            <v>64.290000000000006</v>
          </cell>
          <cell r="P3249" t="str">
            <v>81123102-52111101</v>
          </cell>
          <cell r="S3249" t="str">
            <v>2026A-04</v>
          </cell>
          <cell r="T3249" t="str">
            <v>Office Supplies - Others</v>
          </cell>
        </row>
        <row r="3250">
          <cell r="K3250">
            <v>290.18</v>
          </cell>
          <cell r="P3250" t="str">
            <v>81123102-52111101</v>
          </cell>
          <cell r="S3250" t="str">
            <v>2026A-04</v>
          </cell>
          <cell r="T3250" t="str">
            <v>Office Supplies - Others</v>
          </cell>
        </row>
        <row r="3251">
          <cell r="K3251">
            <v>20089.29</v>
          </cell>
          <cell r="P3251" t="str">
            <v>81123102-52111101</v>
          </cell>
          <cell r="S3251" t="str">
            <v>2026A-04</v>
          </cell>
          <cell r="T3251" t="str">
            <v>Office Supplies - Others</v>
          </cell>
        </row>
        <row r="3252">
          <cell r="K3252">
            <v>7741.07</v>
          </cell>
          <cell r="P3252" t="str">
            <v>81122101-52111101</v>
          </cell>
          <cell r="S3252" t="str">
            <v>2026A-04</v>
          </cell>
          <cell r="T3252" t="str">
            <v>Alcohol</v>
          </cell>
        </row>
        <row r="3253">
          <cell r="K3253">
            <v>16600</v>
          </cell>
          <cell r="P3253" t="str">
            <v>90122101-52071104</v>
          </cell>
          <cell r="S3253" t="str">
            <v>2026A-04</v>
          </cell>
          <cell r="T3253" t="str">
            <v>PSPI</v>
          </cell>
        </row>
        <row r="3254">
          <cell r="K3254">
            <v>6785.71</v>
          </cell>
          <cell r="P3254" t="str">
            <v>81319101-52061103</v>
          </cell>
          <cell r="S3254" t="str">
            <v>2026A-04</v>
          </cell>
          <cell r="T3254" t="str">
            <v>R&amp;M - Supplies</v>
          </cell>
        </row>
        <row r="3255">
          <cell r="K3255">
            <v>1694.64</v>
          </cell>
          <cell r="P3255" t="str">
            <v>81319101-52111102</v>
          </cell>
          <cell r="S3255" t="str">
            <v>2026A-04</v>
          </cell>
          <cell r="T3255" t="str">
            <v>ES</v>
          </cell>
        </row>
        <row r="3256">
          <cell r="K3256">
            <v>23837.25</v>
          </cell>
          <cell r="P3256" t="str">
            <v>81111101-52041495</v>
          </cell>
          <cell r="S3256" t="str">
            <v>2026A-04</v>
          </cell>
          <cell r="T3256" t="str">
            <v>BTs</v>
          </cell>
        </row>
        <row r="3257">
          <cell r="K3257">
            <v>40089.94</v>
          </cell>
          <cell r="P3257" t="str">
            <v>81319101-52041499</v>
          </cell>
          <cell r="S3257" t="str">
            <v>2026A-04</v>
          </cell>
          <cell r="T3257" t="str">
            <v>ES</v>
          </cell>
        </row>
        <row r="3258">
          <cell r="K3258">
            <v>5880.33</v>
          </cell>
          <cell r="P3258" t="str">
            <v>81319101-52041499</v>
          </cell>
          <cell r="S3258" t="str">
            <v>2026A-04</v>
          </cell>
          <cell r="T3258" t="str">
            <v>ES</v>
          </cell>
        </row>
        <row r="3259">
          <cell r="K3259">
            <v>26724.83</v>
          </cell>
          <cell r="P3259" t="str">
            <v>81319101-52041499</v>
          </cell>
          <cell r="S3259" t="str">
            <v>2026A-04</v>
          </cell>
          <cell r="T3259" t="str">
            <v>ES</v>
          </cell>
        </row>
        <row r="3260">
          <cell r="K3260">
            <v>3900</v>
          </cell>
          <cell r="P3260" t="str">
            <v>81319101-52111101</v>
          </cell>
          <cell r="S3260" t="str">
            <v>2026A-04</v>
          </cell>
          <cell r="T3260" t="str">
            <v>ES</v>
          </cell>
        </row>
        <row r="3261">
          <cell r="K3261">
            <v>3700</v>
          </cell>
          <cell r="P3261" t="str">
            <v>81319101-52111101</v>
          </cell>
          <cell r="S3261" t="str">
            <v>2026A-04</v>
          </cell>
          <cell r="T3261" t="str">
            <v>ES</v>
          </cell>
        </row>
        <row r="3262">
          <cell r="K3262">
            <v>4017.86</v>
          </cell>
          <cell r="P3262" t="str">
            <v>81319101-52111101</v>
          </cell>
          <cell r="S3262" t="str">
            <v>2026A-04</v>
          </cell>
          <cell r="T3262" t="str">
            <v>ES</v>
          </cell>
        </row>
        <row r="3263">
          <cell r="K3263">
            <v>461.79</v>
          </cell>
          <cell r="P3263" t="str">
            <v>81123102-52951101</v>
          </cell>
          <cell r="S3263" t="str">
            <v>2026A-04</v>
          </cell>
          <cell r="T3263" t="str">
            <v>Mobile Phones</v>
          </cell>
        </row>
        <row r="3264">
          <cell r="K3264">
            <v>800</v>
          </cell>
          <cell r="P3264" t="str">
            <v>81123102-52951101</v>
          </cell>
          <cell r="S3264" t="str">
            <v>2026A-04</v>
          </cell>
          <cell r="T3264" t="str">
            <v>Mobile Phones</v>
          </cell>
        </row>
        <row r="3265">
          <cell r="K3265">
            <v>-31.9</v>
          </cell>
          <cell r="P3265" t="str">
            <v>81123102-52951101</v>
          </cell>
          <cell r="S3265" t="str">
            <v>2026A-04</v>
          </cell>
          <cell r="T3265" t="str">
            <v>Mobile Phones</v>
          </cell>
        </row>
        <row r="3266">
          <cell r="K3266">
            <v>-677.36</v>
          </cell>
          <cell r="P3266" t="str">
            <v>81123102-52951101</v>
          </cell>
          <cell r="S3266" t="str">
            <v>2026A-04</v>
          </cell>
          <cell r="T3266" t="str">
            <v>Mobile Phones</v>
          </cell>
        </row>
        <row r="3267">
          <cell r="K3267">
            <v>-567.4</v>
          </cell>
          <cell r="P3267" t="str">
            <v>81123102-52951101</v>
          </cell>
          <cell r="S3267" t="str">
            <v>2026A-04</v>
          </cell>
          <cell r="T3267" t="str">
            <v>Mobile Phones</v>
          </cell>
        </row>
        <row r="3268">
          <cell r="K3268">
            <v>-1339.29</v>
          </cell>
          <cell r="P3268" t="str">
            <v>81123102-52951101</v>
          </cell>
          <cell r="S3268" t="str">
            <v>2026A-04</v>
          </cell>
          <cell r="T3268" t="str">
            <v>Mobile Phones</v>
          </cell>
        </row>
        <row r="3269">
          <cell r="K3269">
            <v>-461.79</v>
          </cell>
          <cell r="P3269" t="str">
            <v>81123102-52951101</v>
          </cell>
          <cell r="S3269" t="str">
            <v>2026A-04</v>
          </cell>
          <cell r="T3269" t="str">
            <v>Mobile Phones</v>
          </cell>
        </row>
        <row r="3270">
          <cell r="K3270">
            <v>-800</v>
          </cell>
          <cell r="P3270" t="str">
            <v>81123102-52951101</v>
          </cell>
          <cell r="S3270" t="str">
            <v>2026A-04</v>
          </cell>
          <cell r="T3270" t="str">
            <v>Mobile Phones</v>
          </cell>
        </row>
        <row r="3271">
          <cell r="K3271">
            <v>-1339.29</v>
          </cell>
          <cell r="P3271" t="str">
            <v>81123102-52951101</v>
          </cell>
          <cell r="S3271" t="str">
            <v>2026A-04</v>
          </cell>
          <cell r="T3271" t="str">
            <v>Mobile Phones</v>
          </cell>
        </row>
        <row r="3272">
          <cell r="K3272">
            <v>-1075.79</v>
          </cell>
          <cell r="P3272" t="str">
            <v>81123102-52951101</v>
          </cell>
          <cell r="S3272" t="str">
            <v>2026A-04</v>
          </cell>
          <cell r="T3272" t="str">
            <v>Mobile Phones</v>
          </cell>
        </row>
        <row r="3273">
          <cell r="K3273">
            <v>-17.739999999999998</v>
          </cell>
          <cell r="P3273" t="str">
            <v>81123102-52951101</v>
          </cell>
          <cell r="S3273" t="str">
            <v>2026A-04</v>
          </cell>
          <cell r="T3273" t="str">
            <v>Mobile Phones</v>
          </cell>
        </row>
        <row r="3274">
          <cell r="K3274">
            <v>-1337.79</v>
          </cell>
          <cell r="P3274" t="str">
            <v>81123102-52951101</v>
          </cell>
          <cell r="S3274" t="str">
            <v>2026A-04</v>
          </cell>
          <cell r="T3274" t="str">
            <v>Mobile Phones</v>
          </cell>
        </row>
        <row r="3275">
          <cell r="K3275">
            <v>-600</v>
          </cell>
          <cell r="P3275" t="str">
            <v>81123102-52951101</v>
          </cell>
          <cell r="S3275" t="str">
            <v>2026A-04</v>
          </cell>
          <cell r="T3275" t="str">
            <v>Mobile Phones</v>
          </cell>
        </row>
        <row r="3276">
          <cell r="K3276">
            <v>-600</v>
          </cell>
          <cell r="P3276" t="str">
            <v>81123102-52951101</v>
          </cell>
          <cell r="S3276" t="str">
            <v>2026A-04</v>
          </cell>
          <cell r="T3276" t="str">
            <v>Mobile Phones</v>
          </cell>
        </row>
        <row r="3277">
          <cell r="K3277">
            <v>-800</v>
          </cell>
          <cell r="P3277" t="str">
            <v>81123102-52951101</v>
          </cell>
          <cell r="S3277" t="str">
            <v>2026A-04</v>
          </cell>
          <cell r="T3277" t="str">
            <v>Mobile Phones</v>
          </cell>
        </row>
        <row r="3278">
          <cell r="K3278">
            <v>-238.3</v>
          </cell>
          <cell r="P3278" t="str">
            <v>81319101-52041401</v>
          </cell>
          <cell r="S3278" t="str">
            <v>2026A-04</v>
          </cell>
          <cell r="T3278" t="str">
            <v>ES</v>
          </cell>
        </row>
        <row r="3279">
          <cell r="K3279">
            <v>-47.66</v>
          </cell>
          <cell r="P3279" t="str">
            <v>81319101-52041401</v>
          </cell>
          <cell r="S3279" t="str">
            <v>2026A-04</v>
          </cell>
          <cell r="T3279" t="str">
            <v>ES</v>
          </cell>
        </row>
        <row r="3280">
          <cell r="K3280">
            <v>87955.199999999997</v>
          </cell>
          <cell r="P3280" t="str">
            <v>81319101-52041401</v>
          </cell>
          <cell r="S3280" t="str">
            <v>2026A-04</v>
          </cell>
          <cell r="T3280" t="str">
            <v>ES</v>
          </cell>
        </row>
        <row r="3281">
          <cell r="K3281">
            <v>17589.599999999999</v>
          </cell>
          <cell r="P3281" t="str">
            <v>81319101-52041401</v>
          </cell>
          <cell r="S3281" t="str">
            <v>2026A-04</v>
          </cell>
          <cell r="T3281" t="str">
            <v>ES</v>
          </cell>
        </row>
        <row r="3282">
          <cell r="K3282">
            <v>8231.57</v>
          </cell>
          <cell r="P3282" t="str">
            <v>81319101-52041405</v>
          </cell>
          <cell r="S3282" t="str">
            <v>2026A-04</v>
          </cell>
          <cell r="T3282" t="str">
            <v>TS</v>
          </cell>
        </row>
        <row r="3283">
          <cell r="K3283">
            <v>2919.64</v>
          </cell>
          <cell r="P3283" t="str">
            <v>81319101-52111101</v>
          </cell>
          <cell r="S3283" t="str">
            <v>2026A-04</v>
          </cell>
          <cell r="T3283" t="str">
            <v>GH</v>
          </cell>
        </row>
        <row r="3284">
          <cell r="K3284">
            <v>2209.8200000000002</v>
          </cell>
          <cell r="P3284" t="str">
            <v>81319101-52111101</v>
          </cell>
          <cell r="S3284" t="str">
            <v>2026A-04</v>
          </cell>
          <cell r="T3284" t="str">
            <v>GH</v>
          </cell>
        </row>
        <row r="3285">
          <cell r="K3285">
            <v>2926.79</v>
          </cell>
          <cell r="P3285" t="str">
            <v>81319101-52111101</v>
          </cell>
          <cell r="S3285" t="str">
            <v>2026A-04</v>
          </cell>
          <cell r="T3285" t="str">
            <v>GH</v>
          </cell>
        </row>
        <row r="3286">
          <cell r="K3286">
            <v>2750</v>
          </cell>
          <cell r="P3286" t="str">
            <v>81319101-52111101</v>
          </cell>
          <cell r="S3286" t="str">
            <v>2026A-04</v>
          </cell>
          <cell r="T3286" t="str">
            <v>GH</v>
          </cell>
        </row>
        <row r="3287">
          <cell r="K3287">
            <v>1330.36</v>
          </cell>
          <cell r="P3287" t="str">
            <v>81319101-52111101</v>
          </cell>
          <cell r="S3287" t="str">
            <v>2026A-04</v>
          </cell>
          <cell r="T3287" t="str">
            <v>GH</v>
          </cell>
        </row>
        <row r="3288">
          <cell r="K3288">
            <v>39.29</v>
          </cell>
          <cell r="P3288" t="str">
            <v>81319101-52111101</v>
          </cell>
          <cell r="S3288" t="str">
            <v>2026A-04</v>
          </cell>
          <cell r="T3288" t="str">
            <v>GH</v>
          </cell>
        </row>
        <row r="3289">
          <cell r="K3289">
            <v>102.68</v>
          </cell>
          <cell r="P3289" t="str">
            <v>81319101-52111101</v>
          </cell>
          <cell r="S3289" t="str">
            <v>2026A-04</v>
          </cell>
          <cell r="T3289" t="str">
            <v>GH</v>
          </cell>
        </row>
        <row r="3290">
          <cell r="K3290">
            <v>589.29</v>
          </cell>
          <cell r="P3290" t="str">
            <v>81319101-52111101</v>
          </cell>
          <cell r="S3290" t="str">
            <v>2026A-04</v>
          </cell>
          <cell r="T3290" t="str">
            <v>GH</v>
          </cell>
        </row>
        <row r="3291">
          <cell r="K3291">
            <v>160.71</v>
          </cell>
          <cell r="P3291" t="str">
            <v>81319101-52111101</v>
          </cell>
          <cell r="S3291" t="str">
            <v>2026A-04</v>
          </cell>
          <cell r="T3291" t="str">
            <v>GH</v>
          </cell>
        </row>
        <row r="3292">
          <cell r="K3292">
            <v>42.86</v>
          </cell>
          <cell r="P3292" t="str">
            <v>81319101-52111101</v>
          </cell>
          <cell r="S3292" t="str">
            <v>2026A-04</v>
          </cell>
          <cell r="T3292" t="str">
            <v>GH</v>
          </cell>
        </row>
        <row r="3293">
          <cell r="K3293">
            <v>77.680000000000007</v>
          </cell>
          <cell r="P3293" t="str">
            <v>81319101-52111101</v>
          </cell>
          <cell r="S3293" t="str">
            <v>2026A-04</v>
          </cell>
          <cell r="T3293" t="str">
            <v>GH</v>
          </cell>
        </row>
        <row r="3294">
          <cell r="K3294">
            <v>29.02</v>
          </cell>
          <cell r="P3294" t="str">
            <v>81319101-52111101</v>
          </cell>
          <cell r="S3294" t="str">
            <v>2026A-04</v>
          </cell>
          <cell r="T3294" t="str">
            <v>GH</v>
          </cell>
        </row>
        <row r="3295">
          <cell r="K3295">
            <v>107.14</v>
          </cell>
          <cell r="P3295" t="str">
            <v>81319101-52111101</v>
          </cell>
          <cell r="S3295" t="str">
            <v>2026A-04</v>
          </cell>
          <cell r="T3295" t="str">
            <v>GH</v>
          </cell>
        </row>
        <row r="3296">
          <cell r="K3296">
            <v>232.14</v>
          </cell>
          <cell r="P3296" t="str">
            <v>81319101-52111101</v>
          </cell>
          <cell r="S3296" t="str">
            <v>2026A-04</v>
          </cell>
          <cell r="T3296" t="str">
            <v>GH</v>
          </cell>
        </row>
        <row r="3297">
          <cell r="K3297">
            <v>200</v>
          </cell>
          <cell r="P3297" t="str">
            <v>81319101-52111101</v>
          </cell>
          <cell r="S3297" t="str">
            <v>2026A-04</v>
          </cell>
          <cell r="T3297" t="str">
            <v>GH</v>
          </cell>
        </row>
        <row r="3298">
          <cell r="K3298">
            <v>35.71</v>
          </cell>
          <cell r="P3298" t="str">
            <v>81319101-52111101</v>
          </cell>
          <cell r="S3298" t="str">
            <v>2026A-04</v>
          </cell>
          <cell r="T3298" t="str">
            <v>GH</v>
          </cell>
        </row>
        <row r="3299">
          <cell r="K3299">
            <v>35.71</v>
          </cell>
          <cell r="P3299" t="str">
            <v>81319101-52111101</v>
          </cell>
          <cell r="S3299" t="str">
            <v>2026A-04</v>
          </cell>
          <cell r="T3299" t="str">
            <v>GH</v>
          </cell>
        </row>
        <row r="3300">
          <cell r="K3300">
            <v>4017.86</v>
          </cell>
          <cell r="P3300" t="str">
            <v>81123102-61031201</v>
          </cell>
          <cell r="S3300" t="str">
            <v>2026A-04</v>
          </cell>
          <cell r="T3300" t="str">
            <v>Zero</v>
          </cell>
        </row>
        <row r="3301">
          <cell r="K3301">
            <v>67333</v>
          </cell>
          <cell r="P3301" t="str">
            <v>80111101-61021317</v>
          </cell>
          <cell r="S3301" t="str">
            <v>2026A-04</v>
          </cell>
          <cell r="T3301" t="str">
            <v>PB</v>
          </cell>
        </row>
        <row r="3302">
          <cell r="K3302">
            <v>30833.67</v>
          </cell>
          <cell r="P3302" t="str">
            <v>80111101-61021317</v>
          </cell>
          <cell r="S3302" t="str">
            <v>2026A-04</v>
          </cell>
          <cell r="T3302" t="str">
            <v>PB</v>
          </cell>
        </row>
        <row r="3303">
          <cell r="K3303">
            <v>2467842</v>
          </cell>
          <cell r="P3303" t="str">
            <v>80111101-61021317</v>
          </cell>
          <cell r="S3303" t="str">
            <v>2026A-04</v>
          </cell>
          <cell r="T3303" t="str">
            <v>PB</v>
          </cell>
        </row>
        <row r="3304">
          <cell r="K3304">
            <v>614996.5</v>
          </cell>
          <cell r="P3304" t="str">
            <v>80111101-61021317</v>
          </cell>
          <cell r="S3304" t="str">
            <v>2026A-04</v>
          </cell>
          <cell r="T3304" t="str">
            <v>PB</v>
          </cell>
        </row>
        <row r="3305">
          <cell r="K3305">
            <v>144667</v>
          </cell>
          <cell r="P3305" t="str">
            <v>80111101-61021317</v>
          </cell>
          <cell r="S3305" t="str">
            <v>2026A-04</v>
          </cell>
          <cell r="T3305" t="str">
            <v>PB</v>
          </cell>
        </row>
        <row r="3306">
          <cell r="K3306">
            <v>23333</v>
          </cell>
          <cell r="P3306" t="str">
            <v>80111101-61021317</v>
          </cell>
          <cell r="S3306" t="str">
            <v>2026A-04</v>
          </cell>
          <cell r="T3306" t="str">
            <v>PB</v>
          </cell>
        </row>
        <row r="3307">
          <cell r="K3307">
            <v>1374282.99</v>
          </cell>
          <cell r="P3307" t="str">
            <v>80111101-61021317</v>
          </cell>
          <cell r="S3307" t="str">
            <v>2026A-04</v>
          </cell>
          <cell r="T3307" t="str">
            <v>PB</v>
          </cell>
        </row>
        <row r="3308">
          <cell r="K3308">
            <v>373166</v>
          </cell>
          <cell r="P3308" t="str">
            <v>80111101-61021317</v>
          </cell>
          <cell r="S3308" t="str">
            <v>2026A-04</v>
          </cell>
          <cell r="T3308" t="str">
            <v>PB</v>
          </cell>
        </row>
        <row r="3309">
          <cell r="K3309">
            <v>-5096454.16</v>
          </cell>
          <cell r="P3309" t="str">
            <v>80111101-61021317</v>
          </cell>
          <cell r="S3309" t="str">
            <v>2026A-04</v>
          </cell>
          <cell r="T3309" t="str">
            <v>PB</v>
          </cell>
        </row>
        <row r="3310">
          <cell r="K3310">
            <v>107895.83</v>
          </cell>
          <cell r="P3310" t="str">
            <v>80311101-61021317</v>
          </cell>
          <cell r="S3310" t="str">
            <v>2026A-04</v>
          </cell>
          <cell r="T3310" t="str">
            <v>Guaranteed Bonus</v>
          </cell>
        </row>
        <row r="3311">
          <cell r="K3311">
            <v>-107895.83</v>
          </cell>
          <cell r="P3311" t="str">
            <v>80111101-61021317</v>
          </cell>
          <cell r="S3311" t="str">
            <v>2026A-04</v>
          </cell>
          <cell r="T3311" t="str">
            <v>PB</v>
          </cell>
        </row>
        <row r="3312">
          <cell r="K3312">
            <v>30800</v>
          </cell>
          <cell r="P3312" t="str">
            <v>80111101-61021102</v>
          </cell>
          <cell r="S3312" t="str">
            <v>2026A-04</v>
          </cell>
          <cell r="T3312" t="str">
            <v>Regular Employee</v>
          </cell>
        </row>
        <row r="3313">
          <cell r="K3313">
            <v>-26.28</v>
          </cell>
          <cell r="P3313" t="str">
            <v>80111101-61021102</v>
          </cell>
          <cell r="S3313" t="str">
            <v>2026A-04</v>
          </cell>
          <cell r="T3313" t="str">
            <v>Regular Employee</v>
          </cell>
        </row>
        <row r="3314">
          <cell r="K3314">
            <v>50500</v>
          </cell>
          <cell r="P3314" t="str">
            <v>80111101-61021102</v>
          </cell>
          <cell r="S3314" t="str">
            <v>2026A-04</v>
          </cell>
          <cell r="T3314" t="str">
            <v>Regular Employee</v>
          </cell>
        </row>
        <row r="3315">
          <cell r="K3315">
            <v>229150</v>
          </cell>
          <cell r="P3315" t="str">
            <v>80111101-61021102</v>
          </cell>
          <cell r="S3315" t="str">
            <v>2026A-04</v>
          </cell>
          <cell r="T3315" t="str">
            <v>Regular Employee</v>
          </cell>
        </row>
        <row r="3316">
          <cell r="K3316">
            <v>737300</v>
          </cell>
          <cell r="P3316" t="str">
            <v>80111101-61021102</v>
          </cell>
          <cell r="S3316" t="str">
            <v>2026A-04</v>
          </cell>
          <cell r="T3316" t="str">
            <v>Regular Employee</v>
          </cell>
        </row>
        <row r="3317">
          <cell r="K3317">
            <v>-12181.07</v>
          </cell>
          <cell r="P3317" t="str">
            <v>80111101-61021102</v>
          </cell>
          <cell r="S3317" t="str">
            <v>2026A-04</v>
          </cell>
          <cell r="T3317" t="str">
            <v>Regular Employee</v>
          </cell>
        </row>
        <row r="3318">
          <cell r="K3318">
            <v>7797.81</v>
          </cell>
          <cell r="P3318" t="str">
            <v>80111101-61021102</v>
          </cell>
          <cell r="S3318" t="str">
            <v>2026A-04</v>
          </cell>
          <cell r="T3318" t="str">
            <v>Regular Employee</v>
          </cell>
        </row>
        <row r="3319">
          <cell r="K3319">
            <v>-4155.83</v>
          </cell>
          <cell r="P3319" t="str">
            <v>80111101-61021102</v>
          </cell>
          <cell r="S3319" t="str">
            <v>2026A-04</v>
          </cell>
          <cell r="T3319" t="str">
            <v>Regular Employee</v>
          </cell>
        </row>
        <row r="3320">
          <cell r="K3320">
            <v>-339.05</v>
          </cell>
          <cell r="P3320" t="str">
            <v>80111101-61021102</v>
          </cell>
          <cell r="S3320" t="str">
            <v>2026A-04</v>
          </cell>
          <cell r="T3320" t="str">
            <v>Regular Employee</v>
          </cell>
        </row>
        <row r="3321">
          <cell r="K3321">
            <v>4277.24</v>
          </cell>
          <cell r="P3321" t="str">
            <v>80111101-61021103</v>
          </cell>
          <cell r="S3321" t="str">
            <v>2026A-04</v>
          </cell>
          <cell r="T3321" t="str">
            <v>OT Pay</v>
          </cell>
        </row>
        <row r="3322">
          <cell r="K3322">
            <v>12842.59</v>
          </cell>
          <cell r="P3322" t="str">
            <v>80111101-61021103</v>
          </cell>
          <cell r="S3322" t="str">
            <v>2026A-04</v>
          </cell>
          <cell r="T3322" t="str">
            <v>OT Pay</v>
          </cell>
        </row>
        <row r="3323">
          <cell r="K3323">
            <v>8200</v>
          </cell>
          <cell r="P3323" t="str">
            <v>80111101-61021104</v>
          </cell>
          <cell r="S3323" t="str">
            <v>2026A-04</v>
          </cell>
          <cell r="T3323" t="str">
            <v>OT Pay</v>
          </cell>
        </row>
        <row r="3324">
          <cell r="K3324">
            <v>400</v>
          </cell>
          <cell r="P3324" t="str">
            <v>80111101-61021306</v>
          </cell>
          <cell r="S3324" t="str">
            <v>2026A-04</v>
          </cell>
          <cell r="T3324" t="str">
            <v>Pag-ibig</v>
          </cell>
        </row>
        <row r="3325">
          <cell r="K3325">
            <v>7060</v>
          </cell>
          <cell r="P3325" t="str">
            <v>80111101-61021306</v>
          </cell>
          <cell r="S3325" t="str">
            <v>2026A-04</v>
          </cell>
          <cell r="T3325" t="str">
            <v>SSS</v>
          </cell>
        </row>
        <row r="3326">
          <cell r="K3326">
            <v>1540</v>
          </cell>
          <cell r="P3326" t="str">
            <v>80111101-61021306</v>
          </cell>
          <cell r="S3326" t="str">
            <v>2026A-04</v>
          </cell>
          <cell r="T3326" t="str">
            <v>Philhealth</v>
          </cell>
        </row>
        <row r="3327">
          <cell r="K3327">
            <v>200</v>
          </cell>
          <cell r="P3327" t="str">
            <v>80111101-61021306</v>
          </cell>
          <cell r="S3327" t="str">
            <v>2026A-04</v>
          </cell>
          <cell r="T3327" t="str">
            <v>Pag-ibig</v>
          </cell>
        </row>
        <row r="3328">
          <cell r="K3328">
            <v>3530</v>
          </cell>
          <cell r="P3328" t="str">
            <v>80111101-61021306</v>
          </cell>
          <cell r="S3328" t="str">
            <v>2026A-04</v>
          </cell>
          <cell r="T3328" t="str">
            <v>SSS</v>
          </cell>
        </row>
        <row r="3329">
          <cell r="K3329">
            <v>2500</v>
          </cell>
          <cell r="P3329" t="str">
            <v>80111101-61021306</v>
          </cell>
          <cell r="S3329" t="str">
            <v>2026A-04</v>
          </cell>
          <cell r="T3329" t="str">
            <v>Philhealth</v>
          </cell>
        </row>
        <row r="3330">
          <cell r="K3330">
            <v>1800</v>
          </cell>
          <cell r="P3330" t="str">
            <v>80111101-61021306</v>
          </cell>
          <cell r="S3330" t="str">
            <v>2026A-04</v>
          </cell>
          <cell r="T3330" t="str">
            <v>Pag-ibig</v>
          </cell>
        </row>
        <row r="3331">
          <cell r="K3331">
            <v>31770</v>
          </cell>
          <cell r="P3331" t="str">
            <v>80111101-61021306</v>
          </cell>
          <cell r="S3331" t="str">
            <v>2026A-04</v>
          </cell>
          <cell r="T3331" t="str">
            <v>SSS</v>
          </cell>
        </row>
        <row r="3332">
          <cell r="K3332">
            <v>9945</v>
          </cell>
          <cell r="P3332" t="str">
            <v>80111101-61021306</v>
          </cell>
          <cell r="S3332" t="str">
            <v>2026A-04</v>
          </cell>
          <cell r="T3332" t="str">
            <v>Philhealth</v>
          </cell>
        </row>
        <row r="3333">
          <cell r="K3333">
            <v>6800</v>
          </cell>
          <cell r="P3333" t="str">
            <v>80111101-61021306</v>
          </cell>
          <cell r="S3333" t="str">
            <v>2026A-04</v>
          </cell>
          <cell r="T3333" t="str">
            <v>Pag-ibig</v>
          </cell>
        </row>
        <row r="3334">
          <cell r="K3334">
            <v>120020</v>
          </cell>
          <cell r="P3334" t="str">
            <v>80111101-61021306</v>
          </cell>
          <cell r="S3334" t="str">
            <v>2026A-04</v>
          </cell>
          <cell r="T3334" t="str">
            <v>SSS</v>
          </cell>
        </row>
        <row r="3335">
          <cell r="K3335">
            <v>34335</v>
          </cell>
          <cell r="P3335" t="str">
            <v>80111101-61021306</v>
          </cell>
          <cell r="S3335" t="str">
            <v>2026A-04</v>
          </cell>
          <cell r="T3335" t="str">
            <v>Philhealth</v>
          </cell>
        </row>
        <row r="3336">
          <cell r="K3336">
            <v>218750</v>
          </cell>
          <cell r="P3336" t="str">
            <v>80111101-61021201</v>
          </cell>
          <cell r="S3336" t="str">
            <v>2026A-04</v>
          </cell>
          <cell r="T3336" t="str">
            <v>Project Employee</v>
          </cell>
        </row>
        <row r="3337">
          <cell r="K3337">
            <v>-10337.530000000001</v>
          </cell>
          <cell r="P3337" t="str">
            <v>80111101-61021201</v>
          </cell>
          <cell r="S3337" t="str">
            <v>2026A-04</v>
          </cell>
          <cell r="T3337" t="str">
            <v>Project Employee</v>
          </cell>
        </row>
        <row r="3338">
          <cell r="K3338">
            <v>-8404.68</v>
          </cell>
          <cell r="P3338" t="str">
            <v>80111101-61021201</v>
          </cell>
          <cell r="S3338" t="str">
            <v>2026A-04</v>
          </cell>
          <cell r="T3338" t="str">
            <v>Project Employee</v>
          </cell>
        </row>
        <row r="3339">
          <cell r="K3339">
            <v>-46.02</v>
          </cell>
          <cell r="P3339" t="str">
            <v>80111101-61021201</v>
          </cell>
          <cell r="S3339" t="str">
            <v>2026A-04</v>
          </cell>
          <cell r="T3339" t="str">
            <v>Project Employee</v>
          </cell>
        </row>
        <row r="3340">
          <cell r="K3340">
            <v>-581.69000000000005</v>
          </cell>
          <cell r="P3340" t="str">
            <v>80111101-61021201</v>
          </cell>
          <cell r="S3340" t="str">
            <v>2026A-04</v>
          </cell>
          <cell r="T3340" t="str">
            <v>Project Employee</v>
          </cell>
        </row>
        <row r="3341">
          <cell r="K3341">
            <v>48265.56</v>
          </cell>
          <cell r="P3341" t="str">
            <v>80111101-61021202</v>
          </cell>
          <cell r="S3341" t="str">
            <v>2026A-04</v>
          </cell>
          <cell r="T3341" t="str">
            <v>Project Employee</v>
          </cell>
        </row>
        <row r="3342">
          <cell r="K3342">
            <v>3200</v>
          </cell>
          <cell r="P3342" t="str">
            <v>80111101-61021306</v>
          </cell>
          <cell r="S3342" t="str">
            <v>2026A-04</v>
          </cell>
          <cell r="T3342" t="str">
            <v>Pag-ibig</v>
          </cell>
        </row>
        <row r="3343">
          <cell r="K3343">
            <v>35520</v>
          </cell>
          <cell r="P3343" t="str">
            <v>80111101-61021306</v>
          </cell>
          <cell r="S3343" t="str">
            <v>2026A-04</v>
          </cell>
          <cell r="T3343" t="str">
            <v>SSS</v>
          </cell>
        </row>
        <row r="3344">
          <cell r="K3344">
            <v>10937.5</v>
          </cell>
          <cell r="P3344" t="str">
            <v>80111101-61021306</v>
          </cell>
          <cell r="S3344" t="str">
            <v>2026A-04</v>
          </cell>
          <cell r="T3344" t="str">
            <v>Philhealth</v>
          </cell>
        </row>
        <row r="3345">
          <cell r="K3345">
            <v>100000</v>
          </cell>
          <cell r="P3345" t="str">
            <v>80134102-61071004</v>
          </cell>
          <cell r="S3345" t="str">
            <v>2026A-04</v>
          </cell>
          <cell r="T3345" t="str">
            <v>Zero</v>
          </cell>
        </row>
        <row r="3346">
          <cell r="K3346">
            <v>15000</v>
          </cell>
          <cell r="P3346" t="str">
            <v>80134102-61071004</v>
          </cell>
          <cell r="S3346" t="str">
            <v>2026A-04</v>
          </cell>
          <cell r="T3346" t="str">
            <v>Zero</v>
          </cell>
        </row>
        <row r="3347">
          <cell r="K3347">
            <v>311287.78000000003</v>
          </cell>
          <cell r="P3347" t="str">
            <v>80124101-61711102</v>
          </cell>
          <cell r="S3347" t="str">
            <v>2026A-04</v>
          </cell>
          <cell r="T3347" t="str">
            <v>MSOC</v>
          </cell>
        </row>
        <row r="3348">
          <cell r="K3348">
            <v>129573.25</v>
          </cell>
          <cell r="P3348" t="str">
            <v>81111101-52121316</v>
          </cell>
          <cell r="S3348" t="str">
            <v>2026A-04</v>
          </cell>
          <cell r="T3348" t="str">
            <v>PB</v>
          </cell>
        </row>
        <row r="3349">
          <cell r="K3349">
            <v>425783</v>
          </cell>
          <cell r="P3349" t="str">
            <v>81111101-52121316</v>
          </cell>
          <cell r="S3349" t="str">
            <v>2026A-04</v>
          </cell>
          <cell r="T3349" t="str">
            <v>PB</v>
          </cell>
        </row>
        <row r="3350">
          <cell r="K3350">
            <v>364049</v>
          </cell>
          <cell r="P3350" t="str">
            <v>81111101-52121316</v>
          </cell>
          <cell r="S3350" t="str">
            <v>2026A-04</v>
          </cell>
          <cell r="T3350" t="str">
            <v>PB</v>
          </cell>
        </row>
        <row r="3351">
          <cell r="K3351">
            <v>1011866</v>
          </cell>
          <cell r="P3351" t="str">
            <v>81111101-52121316</v>
          </cell>
          <cell r="S3351" t="str">
            <v>2026A-04</v>
          </cell>
          <cell r="T3351" t="str">
            <v>PB</v>
          </cell>
        </row>
        <row r="3352">
          <cell r="K3352">
            <v>309208</v>
          </cell>
          <cell r="P3352" t="str">
            <v>81111101-52121316</v>
          </cell>
          <cell r="S3352" t="str">
            <v>2026A-04</v>
          </cell>
          <cell r="T3352" t="str">
            <v>PB</v>
          </cell>
        </row>
        <row r="3353">
          <cell r="K3353">
            <v>173250.34</v>
          </cell>
          <cell r="P3353" t="str">
            <v>81111101-52121316</v>
          </cell>
          <cell r="S3353" t="str">
            <v>2026A-04</v>
          </cell>
          <cell r="T3353" t="str">
            <v>PB</v>
          </cell>
        </row>
        <row r="3354">
          <cell r="K3354">
            <v>3467240</v>
          </cell>
          <cell r="P3354" t="str">
            <v>81111101-52121316</v>
          </cell>
          <cell r="S3354" t="str">
            <v>2026A-04</v>
          </cell>
          <cell r="T3354" t="str">
            <v>PB</v>
          </cell>
        </row>
        <row r="3355">
          <cell r="K3355">
            <v>2000577.08</v>
          </cell>
          <cell r="P3355" t="str">
            <v>81111101-52121316</v>
          </cell>
          <cell r="S3355" t="str">
            <v>2026A-04</v>
          </cell>
          <cell r="T3355" t="str">
            <v>PB</v>
          </cell>
        </row>
        <row r="3356">
          <cell r="K3356">
            <v>573556</v>
          </cell>
          <cell r="P3356" t="str">
            <v>81111101-52121316</v>
          </cell>
          <cell r="S3356" t="str">
            <v>2026A-04</v>
          </cell>
          <cell r="T3356" t="str">
            <v>PB</v>
          </cell>
        </row>
        <row r="3357">
          <cell r="K3357">
            <v>337500</v>
          </cell>
          <cell r="P3357" t="str">
            <v>81111101-52121316</v>
          </cell>
          <cell r="S3357" t="str">
            <v>2026A-04</v>
          </cell>
          <cell r="T3357" t="str">
            <v>PB</v>
          </cell>
        </row>
        <row r="3358">
          <cell r="K3358">
            <v>-8792602.6699999999</v>
          </cell>
          <cell r="P3358" t="str">
            <v>81111101-52121316</v>
          </cell>
          <cell r="S3358" t="str">
            <v>2026A-04</v>
          </cell>
          <cell r="T3358" t="str">
            <v>PB</v>
          </cell>
        </row>
        <row r="3359">
          <cell r="K3359">
            <v>195050</v>
          </cell>
          <cell r="P3359" t="str">
            <v>81111101-52121101</v>
          </cell>
          <cell r="S3359" t="str">
            <v>2026A-04</v>
          </cell>
          <cell r="T3359" t="str">
            <v>Regular Employee</v>
          </cell>
        </row>
        <row r="3360">
          <cell r="K3360">
            <v>-5.08</v>
          </cell>
          <cell r="P3360" t="str">
            <v>81111101-52121101</v>
          </cell>
          <cell r="S3360" t="str">
            <v>2026A-04</v>
          </cell>
          <cell r="T3360" t="str">
            <v>Regular Employee</v>
          </cell>
        </row>
        <row r="3361">
          <cell r="K3361">
            <v>-473.37</v>
          </cell>
          <cell r="P3361" t="str">
            <v>81111101-52121101</v>
          </cell>
          <cell r="S3361" t="str">
            <v>2026A-04</v>
          </cell>
          <cell r="T3361" t="str">
            <v>Regular Employee</v>
          </cell>
        </row>
        <row r="3362">
          <cell r="K3362">
            <v>256350</v>
          </cell>
          <cell r="P3362" t="str">
            <v>81111101-52121101</v>
          </cell>
          <cell r="S3362" t="str">
            <v>2026A-04</v>
          </cell>
          <cell r="T3362" t="str">
            <v>Regular Employee</v>
          </cell>
        </row>
        <row r="3363">
          <cell r="K3363">
            <v>758.02</v>
          </cell>
          <cell r="P3363" t="str">
            <v>81111101-52121101</v>
          </cell>
          <cell r="S3363" t="str">
            <v>2026A-04</v>
          </cell>
          <cell r="T3363" t="str">
            <v>Regular Employee</v>
          </cell>
        </row>
        <row r="3364">
          <cell r="K3364">
            <v>-2290.11</v>
          </cell>
          <cell r="P3364" t="str">
            <v>81111101-52121101</v>
          </cell>
          <cell r="S3364" t="str">
            <v>2026A-04</v>
          </cell>
          <cell r="T3364" t="str">
            <v>Regular Employee</v>
          </cell>
        </row>
        <row r="3365">
          <cell r="K3365">
            <v>-741.42</v>
          </cell>
          <cell r="P3365" t="str">
            <v>81111101-52121101</v>
          </cell>
          <cell r="S3365" t="str">
            <v>2026A-04</v>
          </cell>
          <cell r="T3365" t="str">
            <v>Regular Employee</v>
          </cell>
        </row>
        <row r="3366">
          <cell r="K3366">
            <v>-579.15</v>
          </cell>
          <cell r="P3366" t="str">
            <v>81111101-52121101</v>
          </cell>
          <cell r="S3366" t="str">
            <v>2026A-04</v>
          </cell>
          <cell r="T3366" t="str">
            <v>Regular Employee</v>
          </cell>
        </row>
        <row r="3367">
          <cell r="K3367">
            <v>110900</v>
          </cell>
          <cell r="P3367" t="str">
            <v>81111101-52121101</v>
          </cell>
          <cell r="S3367" t="str">
            <v>2026A-04</v>
          </cell>
          <cell r="T3367" t="str">
            <v>Regular Employee</v>
          </cell>
        </row>
        <row r="3368">
          <cell r="K3368">
            <v>-1937.42</v>
          </cell>
          <cell r="P3368" t="str">
            <v>81111101-52121101</v>
          </cell>
          <cell r="S3368" t="str">
            <v>2026A-04</v>
          </cell>
          <cell r="T3368" t="str">
            <v>Regular Employee</v>
          </cell>
        </row>
        <row r="3369">
          <cell r="K3369">
            <v>-43.59</v>
          </cell>
          <cell r="P3369" t="str">
            <v>81111101-52121101</v>
          </cell>
          <cell r="S3369" t="str">
            <v>2026A-04</v>
          </cell>
          <cell r="T3369" t="str">
            <v>Regular Employee</v>
          </cell>
        </row>
        <row r="3370">
          <cell r="K3370">
            <v>1076450</v>
          </cell>
          <cell r="P3370" t="str">
            <v>81111101-52121101</v>
          </cell>
          <cell r="S3370" t="str">
            <v>2026A-04</v>
          </cell>
          <cell r="T3370" t="str">
            <v>Regular Employee</v>
          </cell>
        </row>
        <row r="3371">
          <cell r="K3371">
            <v>5061.12</v>
          </cell>
          <cell r="P3371" t="str">
            <v>81111101-52121101</v>
          </cell>
          <cell r="S3371" t="str">
            <v>2026A-04</v>
          </cell>
          <cell r="T3371" t="str">
            <v>Regular Employee</v>
          </cell>
        </row>
        <row r="3372">
          <cell r="K3372">
            <v>-24398.78</v>
          </cell>
          <cell r="P3372" t="str">
            <v>81111101-52121101</v>
          </cell>
          <cell r="S3372" t="str">
            <v>2026A-04</v>
          </cell>
          <cell r="T3372" t="str">
            <v>Regular Employee</v>
          </cell>
        </row>
        <row r="3373">
          <cell r="K3373">
            <v>-2226.63</v>
          </cell>
          <cell r="P3373" t="str">
            <v>81111101-52121101</v>
          </cell>
          <cell r="S3373" t="str">
            <v>2026A-04</v>
          </cell>
          <cell r="T3373" t="str">
            <v>Regular Employee</v>
          </cell>
        </row>
        <row r="3374">
          <cell r="K3374">
            <v>-7580.54</v>
          </cell>
          <cell r="P3374" t="str">
            <v>81111101-52121101</v>
          </cell>
          <cell r="S3374" t="str">
            <v>2026A-04</v>
          </cell>
          <cell r="T3374" t="str">
            <v>Regular Employee</v>
          </cell>
        </row>
        <row r="3375">
          <cell r="K3375">
            <v>147650</v>
          </cell>
          <cell r="P3375" t="str">
            <v>81111101-52121101</v>
          </cell>
          <cell r="S3375" t="str">
            <v>2026A-04</v>
          </cell>
          <cell r="T3375" t="str">
            <v>Regular Employee</v>
          </cell>
        </row>
        <row r="3376">
          <cell r="K3376">
            <v>-2761.86</v>
          </cell>
          <cell r="P3376" t="str">
            <v>81111101-52121101</v>
          </cell>
          <cell r="S3376" t="str">
            <v>2026A-04</v>
          </cell>
          <cell r="T3376" t="str">
            <v>Regular Employee</v>
          </cell>
        </row>
        <row r="3377">
          <cell r="K3377">
            <v>-540.87</v>
          </cell>
          <cell r="P3377" t="str">
            <v>81111101-52121101</v>
          </cell>
          <cell r="S3377" t="str">
            <v>2026A-04</v>
          </cell>
          <cell r="T3377" t="str">
            <v>Regular Employee</v>
          </cell>
        </row>
        <row r="3378">
          <cell r="K3378">
            <v>-2422.2199999999998</v>
          </cell>
          <cell r="P3378" t="str">
            <v>81111101-52121101</v>
          </cell>
          <cell r="S3378" t="str">
            <v>2026A-04</v>
          </cell>
          <cell r="T3378" t="str">
            <v>Regular Employee</v>
          </cell>
        </row>
        <row r="3379">
          <cell r="K3379">
            <v>99902.04</v>
          </cell>
          <cell r="P3379" t="str">
            <v>81111101-52121102</v>
          </cell>
          <cell r="S3379" t="str">
            <v>2026A-04</v>
          </cell>
          <cell r="T3379" t="str">
            <v>OT Pay</v>
          </cell>
        </row>
        <row r="3380">
          <cell r="K3380">
            <v>3530.92</v>
          </cell>
          <cell r="P3380" t="str">
            <v>81111101-52121102</v>
          </cell>
          <cell r="S3380" t="str">
            <v>2026A-04</v>
          </cell>
          <cell r="T3380" t="str">
            <v>OT Pay</v>
          </cell>
        </row>
        <row r="3381">
          <cell r="K3381">
            <v>52967.53</v>
          </cell>
          <cell r="P3381" t="str">
            <v>81111101-52121102</v>
          </cell>
          <cell r="S3381" t="str">
            <v>2026A-04</v>
          </cell>
          <cell r="T3381" t="str">
            <v>OT Pay</v>
          </cell>
        </row>
        <row r="3382">
          <cell r="K3382">
            <v>1200</v>
          </cell>
          <cell r="P3382" t="str">
            <v>81111101-52121103</v>
          </cell>
          <cell r="S3382" t="str">
            <v>2026A-04</v>
          </cell>
          <cell r="T3382" t="str">
            <v>OT Pay</v>
          </cell>
        </row>
        <row r="3383">
          <cell r="K3383">
            <v>5200</v>
          </cell>
          <cell r="P3383" t="str">
            <v>81111101-52121103</v>
          </cell>
          <cell r="S3383" t="str">
            <v>2026A-04</v>
          </cell>
          <cell r="T3383" t="str">
            <v>OT Pay</v>
          </cell>
        </row>
        <row r="3384">
          <cell r="K3384">
            <v>15800</v>
          </cell>
          <cell r="P3384" t="str">
            <v>81111101-52121103</v>
          </cell>
          <cell r="S3384" t="str">
            <v>2026A-04</v>
          </cell>
          <cell r="T3384" t="str">
            <v>OT Pay</v>
          </cell>
        </row>
        <row r="3385">
          <cell r="K3385">
            <v>1800</v>
          </cell>
          <cell r="P3385" t="str">
            <v>81111101-52121305</v>
          </cell>
          <cell r="S3385" t="str">
            <v>2026A-04</v>
          </cell>
          <cell r="T3385" t="str">
            <v>Pag-ibig</v>
          </cell>
        </row>
        <row r="3386">
          <cell r="K3386">
            <v>31770</v>
          </cell>
          <cell r="P3386" t="str">
            <v>81111101-52121305</v>
          </cell>
          <cell r="S3386" t="str">
            <v>2026A-04</v>
          </cell>
          <cell r="T3386" t="str">
            <v>SSS</v>
          </cell>
        </row>
        <row r="3387">
          <cell r="K3387">
            <v>8690</v>
          </cell>
          <cell r="P3387" t="str">
            <v>81111101-52121305</v>
          </cell>
          <cell r="S3387" t="str">
            <v>2026A-04</v>
          </cell>
          <cell r="T3387" t="str">
            <v>Philhealth</v>
          </cell>
        </row>
        <row r="3388">
          <cell r="K3388">
            <v>3600</v>
          </cell>
          <cell r="P3388" t="str">
            <v>81111101-52121305</v>
          </cell>
          <cell r="S3388" t="str">
            <v>2026A-04</v>
          </cell>
          <cell r="T3388" t="str">
            <v>Pag-ibig</v>
          </cell>
        </row>
        <row r="3389">
          <cell r="K3389">
            <v>63540</v>
          </cell>
          <cell r="P3389" t="str">
            <v>81111101-52121305</v>
          </cell>
          <cell r="S3389" t="str">
            <v>2026A-04</v>
          </cell>
          <cell r="T3389" t="str">
            <v>SSS</v>
          </cell>
        </row>
        <row r="3390">
          <cell r="K3390">
            <v>12817.5</v>
          </cell>
          <cell r="P3390" t="str">
            <v>81111101-52121305</v>
          </cell>
          <cell r="S3390" t="str">
            <v>2026A-04</v>
          </cell>
          <cell r="T3390" t="str">
            <v>Philhealth</v>
          </cell>
        </row>
        <row r="3391">
          <cell r="K3391">
            <v>1000</v>
          </cell>
          <cell r="P3391" t="str">
            <v>81111101-52121305</v>
          </cell>
          <cell r="S3391" t="str">
            <v>2026A-04</v>
          </cell>
          <cell r="T3391" t="str">
            <v>Pag-ibig</v>
          </cell>
        </row>
        <row r="3392">
          <cell r="K3392">
            <v>17650</v>
          </cell>
          <cell r="P3392" t="str">
            <v>81111101-52121305</v>
          </cell>
          <cell r="S3392" t="str">
            <v>2026A-04</v>
          </cell>
          <cell r="T3392" t="str">
            <v>SSS</v>
          </cell>
        </row>
        <row r="3393">
          <cell r="K3393">
            <v>5545</v>
          </cell>
          <cell r="P3393" t="str">
            <v>81111101-52121305</v>
          </cell>
          <cell r="S3393" t="str">
            <v>2026A-04</v>
          </cell>
          <cell r="T3393" t="str">
            <v>Philhealth</v>
          </cell>
        </row>
        <row r="3394">
          <cell r="K3394">
            <v>9600</v>
          </cell>
          <cell r="P3394" t="str">
            <v>81111101-52121305</v>
          </cell>
          <cell r="S3394" t="str">
            <v>2026A-04</v>
          </cell>
          <cell r="T3394" t="str">
            <v>Pag-ibig</v>
          </cell>
        </row>
        <row r="3395">
          <cell r="K3395">
            <v>165870</v>
          </cell>
          <cell r="P3395" t="str">
            <v>81111101-52121305</v>
          </cell>
          <cell r="S3395" t="str">
            <v>2026A-04</v>
          </cell>
          <cell r="T3395" t="str">
            <v>SSS</v>
          </cell>
        </row>
        <row r="3396">
          <cell r="K3396">
            <v>52175</v>
          </cell>
          <cell r="P3396" t="str">
            <v>81111101-52121305</v>
          </cell>
          <cell r="S3396" t="str">
            <v>2026A-04</v>
          </cell>
          <cell r="T3396" t="str">
            <v>Philhealth</v>
          </cell>
        </row>
        <row r="3397">
          <cell r="K3397">
            <v>1200</v>
          </cell>
          <cell r="P3397" t="str">
            <v>81111101-52121305</v>
          </cell>
          <cell r="S3397" t="str">
            <v>2026A-04</v>
          </cell>
          <cell r="T3397" t="str">
            <v>Pag-ibig</v>
          </cell>
        </row>
        <row r="3398">
          <cell r="K3398">
            <v>21180</v>
          </cell>
          <cell r="P3398" t="str">
            <v>81111101-52121305</v>
          </cell>
          <cell r="S3398" t="str">
            <v>2026A-04</v>
          </cell>
          <cell r="T3398" t="str">
            <v>SSS</v>
          </cell>
        </row>
        <row r="3399">
          <cell r="K3399">
            <v>7382.5</v>
          </cell>
          <cell r="P3399" t="str">
            <v>81111101-52121305</v>
          </cell>
          <cell r="S3399" t="str">
            <v>2026A-04</v>
          </cell>
          <cell r="T3399" t="str">
            <v>Philhealth</v>
          </cell>
        </row>
        <row r="3400">
          <cell r="K3400">
            <v>21698019</v>
          </cell>
          <cell r="P3400" t="str">
            <v>90111101-52121316</v>
          </cell>
          <cell r="S3400" t="str">
            <v>2026A-04</v>
          </cell>
          <cell r="T3400" t="str">
            <v>PB</v>
          </cell>
        </row>
        <row r="3401">
          <cell r="K3401">
            <v>2510055.67</v>
          </cell>
          <cell r="P3401" t="str">
            <v>90111101-52121316</v>
          </cell>
          <cell r="S3401" t="str">
            <v>2026A-04</v>
          </cell>
          <cell r="T3401" t="str">
            <v>PB</v>
          </cell>
        </row>
        <row r="3402">
          <cell r="K3402">
            <v>3675074</v>
          </cell>
          <cell r="P3402" t="str">
            <v>90111101-52121316</v>
          </cell>
          <cell r="S3402" t="str">
            <v>2026A-04</v>
          </cell>
          <cell r="T3402" t="str">
            <v>PB</v>
          </cell>
        </row>
        <row r="3403">
          <cell r="K3403">
            <v>183766</v>
          </cell>
          <cell r="P3403" t="str">
            <v>90111101-52121316</v>
          </cell>
          <cell r="S3403" t="str">
            <v>2026A-04</v>
          </cell>
          <cell r="T3403" t="str">
            <v>PB</v>
          </cell>
        </row>
        <row r="3404">
          <cell r="K3404">
            <v>12752466</v>
          </cell>
          <cell r="P3404" t="str">
            <v>90111101-52121316</v>
          </cell>
          <cell r="S3404" t="str">
            <v>2026A-04</v>
          </cell>
          <cell r="T3404" t="str">
            <v>PB</v>
          </cell>
        </row>
        <row r="3405">
          <cell r="K3405">
            <v>2425154</v>
          </cell>
          <cell r="P3405" t="str">
            <v>90111101-52121316</v>
          </cell>
          <cell r="S3405" t="str">
            <v>2026A-04</v>
          </cell>
          <cell r="T3405" t="str">
            <v>PB</v>
          </cell>
        </row>
        <row r="3406">
          <cell r="K3406">
            <v>10505810</v>
          </cell>
          <cell r="P3406" t="str">
            <v>90111101-52121316</v>
          </cell>
          <cell r="S3406" t="str">
            <v>2026A-04</v>
          </cell>
          <cell r="T3406" t="str">
            <v>PB</v>
          </cell>
        </row>
        <row r="3407">
          <cell r="K3407">
            <v>31900</v>
          </cell>
          <cell r="P3407" t="str">
            <v>90111101-52121316</v>
          </cell>
          <cell r="S3407" t="str">
            <v>2026A-04</v>
          </cell>
          <cell r="T3407" t="str">
            <v>PB</v>
          </cell>
        </row>
        <row r="3408">
          <cell r="K3408">
            <v>135417</v>
          </cell>
          <cell r="P3408" t="str">
            <v>90111101-52121316</v>
          </cell>
          <cell r="S3408" t="str">
            <v>2026A-04</v>
          </cell>
          <cell r="T3408" t="str">
            <v>PB</v>
          </cell>
        </row>
        <row r="3409">
          <cell r="K3409">
            <v>53933</v>
          </cell>
          <cell r="P3409" t="str">
            <v>90111101-52121316</v>
          </cell>
          <cell r="S3409" t="str">
            <v>2026A-04</v>
          </cell>
          <cell r="T3409" t="str">
            <v>PB</v>
          </cell>
        </row>
        <row r="3410">
          <cell r="K3410">
            <v>4630161</v>
          </cell>
          <cell r="P3410" t="str">
            <v>90111101-52121316</v>
          </cell>
          <cell r="S3410" t="str">
            <v>2026A-04</v>
          </cell>
          <cell r="T3410" t="str">
            <v>PB</v>
          </cell>
        </row>
        <row r="3411">
          <cell r="K3411">
            <v>252000</v>
          </cell>
          <cell r="P3411" t="str">
            <v>90111101-52121316</v>
          </cell>
          <cell r="S3411" t="str">
            <v>2026A-04</v>
          </cell>
          <cell r="T3411" t="str">
            <v>PB</v>
          </cell>
        </row>
        <row r="3412">
          <cell r="K3412">
            <v>3950492</v>
          </cell>
          <cell r="P3412" t="str">
            <v>90111101-52121316</v>
          </cell>
          <cell r="S3412" t="str">
            <v>2026A-04</v>
          </cell>
          <cell r="T3412" t="str">
            <v>PB</v>
          </cell>
        </row>
        <row r="3413">
          <cell r="K3413">
            <v>361983</v>
          </cell>
          <cell r="P3413" t="str">
            <v>90111101-52121316</v>
          </cell>
          <cell r="S3413" t="str">
            <v>2026A-04</v>
          </cell>
          <cell r="T3413" t="str">
            <v>PB</v>
          </cell>
        </row>
        <row r="3414">
          <cell r="K3414">
            <v>-63166230.670000002</v>
          </cell>
          <cell r="P3414" t="str">
            <v>90111101-52121316</v>
          </cell>
          <cell r="S3414" t="str">
            <v>2026A-04</v>
          </cell>
          <cell r="T3414" t="str">
            <v>PB</v>
          </cell>
        </row>
        <row r="3415">
          <cell r="K3415">
            <v>-742</v>
          </cell>
          <cell r="P3415" t="str">
            <v>90111101-52951102</v>
          </cell>
          <cell r="S3415" t="str">
            <v>2026A-04</v>
          </cell>
          <cell r="T3415" t="str">
            <v>Zero</v>
          </cell>
        </row>
        <row r="3416">
          <cell r="K3416">
            <v>926</v>
          </cell>
          <cell r="P3416" t="str">
            <v>90311101-61021104</v>
          </cell>
          <cell r="S3416" t="str">
            <v>2026A-04</v>
          </cell>
          <cell r="T3416" t="str">
            <v>Zero</v>
          </cell>
        </row>
        <row r="3417">
          <cell r="K3417">
            <v>-120</v>
          </cell>
          <cell r="P3417" t="str">
            <v>90122101-61111101</v>
          </cell>
          <cell r="S3417" t="str">
            <v>2026A-04</v>
          </cell>
          <cell r="T3417" t="str">
            <v>BIR 2316 DST</v>
          </cell>
        </row>
        <row r="3418">
          <cell r="K3418">
            <v>-64</v>
          </cell>
          <cell r="P3418" t="str">
            <v>90111101-61111101</v>
          </cell>
          <cell r="S3418" t="str">
            <v>2026A-04</v>
          </cell>
          <cell r="T3418" t="str">
            <v>Zero</v>
          </cell>
        </row>
        <row r="3419">
          <cell r="K3419">
            <v>-874</v>
          </cell>
          <cell r="P3419" t="str">
            <v>90311101-52121402</v>
          </cell>
          <cell r="S3419" t="str">
            <v>2026A-04</v>
          </cell>
          <cell r="T3419" t="str">
            <v>Others</v>
          </cell>
        </row>
        <row r="3420">
          <cell r="K3420">
            <v>874</v>
          </cell>
          <cell r="P3420" t="str">
            <v>90122101-61021104</v>
          </cell>
          <cell r="S3420" t="str">
            <v>2026A-04</v>
          </cell>
          <cell r="T3420" t="str">
            <v>Zero</v>
          </cell>
        </row>
        <row r="3421">
          <cell r="K3421">
            <v>600</v>
          </cell>
          <cell r="P3421" t="str">
            <v>90122101-52121402</v>
          </cell>
          <cell r="S3421" t="str">
            <v>2026A-04</v>
          </cell>
          <cell r="T3421" t="str">
            <v>Government Contri Adjustment</v>
          </cell>
        </row>
        <row r="3422">
          <cell r="K3422">
            <v>662</v>
          </cell>
          <cell r="P3422" t="str">
            <v>90122101-52121402</v>
          </cell>
          <cell r="S3422" t="str">
            <v>2026A-04</v>
          </cell>
          <cell r="T3422" t="str">
            <v>Government Contri Adjustment</v>
          </cell>
        </row>
        <row r="3423">
          <cell r="K3423">
            <v>-0.01</v>
          </cell>
          <cell r="P3423" t="str">
            <v>90122101-52121402</v>
          </cell>
          <cell r="S3423" t="str">
            <v>2026A-04</v>
          </cell>
          <cell r="T3423" t="str">
            <v>Vaccine</v>
          </cell>
        </row>
        <row r="3424">
          <cell r="K3424">
            <v>0.04</v>
          </cell>
          <cell r="P3424" t="str">
            <v>90122101-52121402</v>
          </cell>
          <cell r="S3424" t="str">
            <v>2026A-04</v>
          </cell>
          <cell r="T3424" t="str">
            <v>Vaccine</v>
          </cell>
        </row>
        <row r="3425">
          <cell r="K3425">
            <v>6616.06</v>
          </cell>
          <cell r="P3425" t="str">
            <v>90122101-52121402</v>
          </cell>
          <cell r="S3425" t="str">
            <v>2026A-04</v>
          </cell>
          <cell r="T3425" t="str">
            <v>Vaccine</v>
          </cell>
        </row>
        <row r="3426">
          <cell r="K3426">
            <v>2800</v>
          </cell>
          <cell r="P3426" t="str">
            <v>90122101-52121402</v>
          </cell>
          <cell r="S3426" t="str">
            <v>2026A-04</v>
          </cell>
          <cell r="T3426" t="str">
            <v>Government Contri Adjustment</v>
          </cell>
        </row>
        <row r="3427">
          <cell r="K3427">
            <v>2250</v>
          </cell>
          <cell r="P3427" t="str">
            <v>90111101-52081103</v>
          </cell>
          <cell r="S3427" t="str">
            <v>2026A-04</v>
          </cell>
          <cell r="T3427" t="str">
            <v>Meal Allowance</v>
          </cell>
        </row>
        <row r="3428">
          <cell r="K3428">
            <v>3257750</v>
          </cell>
          <cell r="P3428" t="str">
            <v>90111101-52121101</v>
          </cell>
          <cell r="S3428" t="str">
            <v>2026A-04</v>
          </cell>
          <cell r="T3428" t="str">
            <v>Regular Employee</v>
          </cell>
        </row>
        <row r="3429">
          <cell r="K3429">
            <v>6185.58</v>
          </cell>
          <cell r="P3429" t="str">
            <v>90111101-52121101</v>
          </cell>
          <cell r="S3429" t="str">
            <v>2026A-04</v>
          </cell>
          <cell r="T3429" t="str">
            <v>Regular Employee</v>
          </cell>
        </row>
        <row r="3430">
          <cell r="K3430">
            <v>176.98</v>
          </cell>
          <cell r="P3430" t="str">
            <v>90111101-52121101</v>
          </cell>
          <cell r="S3430" t="str">
            <v>2026A-04</v>
          </cell>
          <cell r="T3430" t="str">
            <v>Regular Employee</v>
          </cell>
        </row>
        <row r="3431">
          <cell r="K3431">
            <v>-1662.7</v>
          </cell>
          <cell r="P3431" t="str">
            <v>90111101-52121101</v>
          </cell>
          <cell r="S3431" t="str">
            <v>2026A-04</v>
          </cell>
          <cell r="T3431" t="str">
            <v>Regular Employee</v>
          </cell>
        </row>
        <row r="3432">
          <cell r="K3432">
            <v>-1139.97</v>
          </cell>
          <cell r="P3432" t="str">
            <v>90111101-52121101</v>
          </cell>
          <cell r="S3432" t="str">
            <v>2026A-04</v>
          </cell>
          <cell r="T3432" t="str">
            <v>Regular Employee</v>
          </cell>
        </row>
        <row r="3433">
          <cell r="K3433">
            <v>-5894.74</v>
          </cell>
          <cell r="P3433" t="str">
            <v>90111101-52121101</v>
          </cell>
          <cell r="S3433" t="str">
            <v>2026A-04</v>
          </cell>
          <cell r="T3433" t="str">
            <v>Regular Employee</v>
          </cell>
        </row>
        <row r="3434">
          <cell r="K3434">
            <v>-1543.53</v>
          </cell>
          <cell r="P3434" t="str">
            <v>90111101-52121101</v>
          </cell>
          <cell r="S3434" t="str">
            <v>2026A-04</v>
          </cell>
          <cell r="T3434" t="str">
            <v>Regular Employee</v>
          </cell>
        </row>
        <row r="3435">
          <cell r="K3435">
            <v>734400</v>
          </cell>
          <cell r="P3435" t="str">
            <v>90111101-52121101</v>
          </cell>
          <cell r="S3435" t="str">
            <v>2026A-04</v>
          </cell>
          <cell r="T3435" t="str">
            <v>Regular Employee</v>
          </cell>
        </row>
        <row r="3436">
          <cell r="K3436">
            <v>3590.88</v>
          </cell>
          <cell r="P3436" t="str">
            <v>90111101-52121101</v>
          </cell>
          <cell r="S3436" t="str">
            <v>2026A-04</v>
          </cell>
          <cell r="T3436" t="str">
            <v>Regular Employee</v>
          </cell>
        </row>
        <row r="3437">
          <cell r="K3437">
            <v>1773</v>
          </cell>
          <cell r="P3437" t="str">
            <v>90111101-52121101</v>
          </cell>
          <cell r="S3437" t="str">
            <v>2026A-04</v>
          </cell>
          <cell r="T3437" t="str">
            <v>Regular Employee</v>
          </cell>
        </row>
        <row r="3438">
          <cell r="K3438">
            <v>-344.13</v>
          </cell>
          <cell r="P3438" t="str">
            <v>90111101-52121101</v>
          </cell>
          <cell r="S3438" t="str">
            <v>2026A-04</v>
          </cell>
          <cell r="T3438" t="str">
            <v>Regular Employee</v>
          </cell>
        </row>
        <row r="3439">
          <cell r="K3439">
            <v>-285.64999999999998</v>
          </cell>
          <cell r="P3439" t="str">
            <v>90111101-52121101</v>
          </cell>
          <cell r="S3439" t="str">
            <v>2026A-04</v>
          </cell>
          <cell r="T3439" t="str">
            <v>Regular Employee</v>
          </cell>
        </row>
        <row r="3440">
          <cell r="K3440">
            <v>-5796.25</v>
          </cell>
          <cell r="P3440" t="str">
            <v>90111101-52121101</v>
          </cell>
          <cell r="S3440" t="str">
            <v>2026A-04</v>
          </cell>
          <cell r="T3440" t="str">
            <v>Regular Employee</v>
          </cell>
        </row>
        <row r="3441">
          <cell r="K3441">
            <v>2195650</v>
          </cell>
          <cell r="P3441" t="str">
            <v>90111101-52121101</v>
          </cell>
          <cell r="S3441" t="str">
            <v>2026A-04</v>
          </cell>
          <cell r="T3441" t="str">
            <v>Regular Employee</v>
          </cell>
        </row>
        <row r="3442">
          <cell r="K3442">
            <v>2564.92</v>
          </cell>
          <cell r="P3442" t="str">
            <v>90111101-52121101</v>
          </cell>
          <cell r="S3442" t="str">
            <v>2026A-04</v>
          </cell>
          <cell r="T3442" t="str">
            <v>Regular Employee</v>
          </cell>
        </row>
        <row r="3443">
          <cell r="K3443">
            <v>1327.2</v>
          </cell>
          <cell r="P3443" t="str">
            <v>90111101-52121101</v>
          </cell>
          <cell r="S3443" t="str">
            <v>2026A-04</v>
          </cell>
          <cell r="T3443" t="str">
            <v>Regular Employee</v>
          </cell>
        </row>
        <row r="3444">
          <cell r="K3444">
            <v>-2474.88</v>
          </cell>
          <cell r="P3444" t="str">
            <v>90111101-52121101</v>
          </cell>
          <cell r="S3444" t="str">
            <v>2026A-04</v>
          </cell>
          <cell r="T3444" t="str">
            <v>Regular Employee</v>
          </cell>
        </row>
        <row r="3445">
          <cell r="K3445">
            <v>-1765.18</v>
          </cell>
          <cell r="P3445" t="str">
            <v>90111101-52121101</v>
          </cell>
          <cell r="S3445" t="str">
            <v>2026A-04</v>
          </cell>
          <cell r="T3445" t="str">
            <v>Regular Employee</v>
          </cell>
        </row>
        <row r="3446">
          <cell r="K3446">
            <v>-16473.400000000001</v>
          </cell>
          <cell r="P3446" t="str">
            <v>90111101-52121101</v>
          </cell>
          <cell r="S3446" t="str">
            <v>2026A-04</v>
          </cell>
          <cell r="T3446" t="str">
            <v>Regular Employee</v>
          </cell>
        </row>
        <row r="3447">
          <cell r="K3447">
            <v>1495925</v>
          </cell>
          <cell r="P3447" t="str">
            <v>90111101-52121101</v>
          </cell>
          <cell r="S3447" t="str">
            <v>2026A-04</v>
          </cell>
          <cell r="T3447" t="str">
            <v>Regular Employee</v>
          </cell>
        </row>
        <row r="3448">
          <cell r="K3448">
            <v>-5221.4399999999996</v>
          </cell>
          <cell r="P3448" t="str">
            <v>90111101-52121101</v>
          </cell>
          <cell r="S3448" t="str">
            <v>2026A-04</v>
          </cell>
          <cell r="T3448" t="str">
            <v>Regular Employee</v>
          </cell>
        </row>
        <row r="3449">
          <cell r="K3449">
            <v>27950</v>
          </cell>
          <cell r="P3449" t="str">
            <v>90111101-52121101</v>
          </cell>
          <cell r="S3449" t="str">
            <v>2026A-04</v>
          </cell>
          <cell r="T3449" t="str">
            <v>Regular Employee</v>
          </cell>
        </row>
        <row r="3450">
          <cell r="K3450">
            <v>-112.01</v>
          </cell>
          <cell r="P3450" t="str">
            <v>90111101-52121101</v>
          </cell>
          <cell r="S3450" t="str">
            <v>2026A-04</v>
          </cell>
          <cell r="T3450" t="str">
            <v>Regular Employee</v>
          </cell>
        </row>
        <row r="3451">
          <cell r="K3451">
            <v>526250</v>
          </cell>
          <cell r="P3451" t="str">
            <v>90111101-52121101</v>
          </cell>
          <cell r="S3451" t="str">
            <v>2026A-04</v>
          </cell>
          <cell r="T3451" t="str">
            <v>Regular Employee</v>
          </cell>
        </row>
        <row r="3452">
          <cell r="K3452">
            <v>-788.91</v>
          </cell>
          <cell r="P3452" t="str">
            <v>90111101-52121101</v>
          </cell>
          <cell r="S3452" t="str">
            <v>2026A-04</v>
          </cell>
          <cell r="T3452" t="str">
            <v>Regular Employee</v>
          </cell>
        </row>
        <row r="3453">
          <cell r="K3453">
            <v>-544.76</v>
          </cell>
          <cell r="P3453" t="str">
            <v>90111101-52121101</v>
          </cell>
          <cell r="S3453" t="str">
            <v>2026A-04</v>
          </cell>
          <cell r="T3453" t="str">
            <v>Regular Employee</v>
          </cell>
        </row>
        <row r="3454">
          <cell r="K3454">
            <v>-900.01</v>
          </cell>
          <cell r="P3454" t="str">
            <v>90111101-52121101</v>
          </cell>
          <cell r="S3454" t="str">
            <v>2026A-04</v>
          </cell>
          <cell r="T3454" t="str">
            <v>Regular Employee</v>
          </cell>
        </row>
        <row r="3455">
          <cell r="K3455">
            <v>497600</v>
          </cell>
          <cell r="P3455" t="str">
            <v>90111101-52121101</v>
          </cell>
          <cell r="S3455" t="str">
            <v>2026A-04</v>
          </cell>
          <cell r="T3455" t="str">
            <v>Regular Employee</v>
          </cell>
        </row>
        <row r="3456">
          <cell r="K3456">
            <v>-785.25</v>
          </cell>
          <cell r="P3456" t="str">
            <v>90111101-52121101</v>
          </cell>
          <cell r="S3456" t="str">
            <v>2026A-04</v>
          </cell>
          <cell r="T3456" t="str">
            <v>Regular Employee</v>
          </cell>
        </row>
        <row r="3457">
          <cell r="K3457">
            <v>-1969.49</v>
          </cell>
          <cell r="P3457" t="str">
            <v>90111101-52121101</v>
          </cell>
          <cell r="S3457" t="str">
            <v>2026A-04</v>
          </cell>
          <cell r="T3457" t="str">
            <v>Regular Employee</v>
          </cell>
        </row>
        <row r="3458">
          <cell r="K3458">
            <v>46804.71</v>
          </cell>
          <cell r="P3458" t="str">
            <v>90111101-52121102</v>
          </cell>
          <cell r="S3458" t="str">
            <v>2026A-04</v>
          </cell>
          <cell r="T3458" t="str">
            <v>OT Pay</v>
          </cell>
        </row>
        <row r="3459">
          <cell r="K3459">
            <v>37371.339999999997</v>
          </cell>
          <cell r="P3459" t="str">
            <v>90111101-52121102</v>
          </cell>
          <cell r="S3459" t="str">
            <v>2026A-04</v>
          </cell>
          <cell r="T3459" t="str">
            <v>OT Pay</v>
          </cell>
        </row>
        <row r="3460">
          <cell r="K3460">
            <v>7071.21</v>
          </cell>
          <cell r="P3460" t="str">
            <v>90111101-52121102</v>
          </cell>
          <cell r="S3460" t="str">
            <v>2026A-04</v>
          </cell>
          <cell r="T3460" t="str">
            <v>OT Pay</v>
          </cell>
        </row>
        <row r="3461">
          <cell r="K3461">
            <v>12192.95</v>
          </cell>
          <cell r="P3461" t="str">
            <v>90111101-52121102</v>
          </cell>
          <cell r="S3461" t="str">
            <v>2026A-04</v>
          </cell>
          <cell r="T3461" t="str">
            <v>OT Pay</v>
          </cell>
        </row>
        <row r="3462">
          <cell r="K3462">
            <v>14583.33</v>
          </cell>
          <cell r="P3462" t="str">
            <v>90111101-52121104</v>
          </cell>
          <cell r="S3462" t="str">
            <v>2026A-04</v>
          </cell>
          <cell r="T3462" t="str">
            <v>Guaranteed Bonus</v>
          </cell>
        </row>
        <row r="3463">
          <cell r="K3463">
            <v>70867</v>
          </cell>
          <cell r="P3463" t="str">
            <v>90111101-52121104</v>
          </cell>
          <cell r="S3463" t="str">
            <v>2026A-04</v>
          </cell>
          <cell r="T3463" t="str">
            <v>Guaranteed Bonus</v>
          </cell>
        </row>
        <row r="3464">
          <cell r="K3464">
            <v>14800</v>
          </cell>
          <cell r="P3464" t="str">
            <v>90111101-52121305</v>
          </cell>
          <cell r="S3464" t="str">
            <v>2026A-04</v>
          </cell>
          <cell r="T3464" t="str">
            <v>Pag-ibig</v>
          </cell>
        </row>
        <row r="3465">
          <cell r="K3465">
            <v>108097.5</v>
          </cell>
          <cell r="P3465" t="str">
            <v>90111101-52121305</v>
          </cell>
          <cell r="S3465" t="str">
            <v>2026A-04</v>
          </cell>
          <cell r="T3465" t="str">
            <v>Philhealth</v>
          </cell>
        </row>
        <row r="3466">
          <cell r="K3466">
            <v>261020</v>
          </cell>
          <cell r="P3466" t="str">
            <v>90111101-52121305</v>
          </cell>
          <cell r="S3466" t="str">
            <v>2026A-04</v>
          </cell>
          <cell r="T3466" t="str">
            <v>SSS</v>
          </cell>
        </row>
        <row r="3467">
          <cell r="K3467">
            <v>1800</v>
          </cell>
          <cell r="P3467" t="str">
            <v>90111101-52121305</v>
          </cell>
          <cell r="S3467" t="str">
            <v>2026A-04</v>
          </cell>
          <cell r="T3467" t="str">
            <v>Pag-ibig</v>
          </cell>
        </row>
        <row r="3468">
          <cell r="K3468">
            <v>14790</v>
          </cell>
          <cell r="P3468" t="str">
            <v>90111101-52121305</v>
          </cell>
          <cell r="S3468" t="str">
            <v>2026A-04</v>
          </cell>
          <cell r="T3468" t="str">
            <v>Philhealth</v>
          </cell>
        </row>
        <row r="3469">
          <cell r="K3469">
            <v>31770</v>
          </cell>
          <cell r="P3469" t="str">
            <v>90111101-52121305</v>
          </cell>
          <cell r="S3469" t="str">
            <v>2026A-04</v>
          </cell>
          <cell r="T3469" t="str">
            <v>SSS</v>
          </cell>
        </row>
        <row r="3470">
          <cell r="K3470">
            <v>12400</v>
          </cell>
          <cell r="P3470" t="str">
            <v>90111101-52121305</v>
          </cell>
          <cell r="S3470" t="str">
            <v>2026A-04</v>
          </cell>
          <cell r="T3470" t="str">
            <v>Pag-ibig</v>
          </cell>
        </row>
        <row r="3471">
          <cell r="K3471">
            <v>90372.5</v>
          </cell>
          <cell r="P3471" t="str">
            <v>90111101-52121305</v>
          </cell>
          <cell r="S3471" t="str">
            <v>2026A-04</v>
          </cell>
          <cell r="T3471" t="str">
            <v>Philhealth</v>
          </cell>
        </row>
        <row r="3472">
          <cell r="K3472">
            <v>218860</v>
          </cell>
          <cell r="P3472" t="str">
            <v>90111101-52121305</v>
          </cell>
          <cell r="S3472" t="str">
            <v>2026A-04</v>
          </cell>
          <cell r="T3472" t="str">
            <v>SSS</v>
          </cell>
        </row>
        <row r="3473">
          <cell r="K3473">
            <v>1200</v>
          </cell>
          <cell r="P3473" t="str">
            <v>90111101-52121305</v>
          </cell>
          <cell r="S3473" t="str">
            <v>2026A-04</v>
          </cell>
          <cell r="T3473" t="str">
            <v>Pag-ibig</v>
          </cell>
        </row>
        <row r="3474">
          <cell r="K3474">
            <v>14000</v>
          </cell>
          <cell r="P3474" t="str">
            <v>90111101-52121305</v>
          </cell>
          <cell r="S3474" t="str">
            <v>2026A-04</v>
          </cell>
          <cell r="T3474" t="str">
            <v>Philhealth</v>
          </cell>
        </row>
        <row r="3475">
          <cell r="K3475">
            <v>21180</v>
          </cell>
          <cell r="P3475" t="str">
            <v>90111101-52121305</v>
          </cell>
          <cell r="S3475" t="str">
            <v>2026A-04</v>
          </cell>
          <cell r="T3475" t="str">
            <v>SSS</v>
          </cell>
        </row>
        <row r="3476">
          <cell r="K3476">
            <v>200</v>
          </cell>
          <cell r="P3476" t="str">
            <v>90111101-52121305</v>
          </cell>
          <cell r="S3476" t="str">
            <v>2026A-04</v>
          </cell>
          <cell r="T3476" t="str">
            <v>Pag-ibig</v>
          </cell>
        </row>
        <row r="3477">
          <cell r="K3477">
            <v>1397.5</v>
          </cell>
          <cell r="P3477" t="str">
            <v>90111101-52121305</v>
          </cell>
          <cell r="S3477" t="str">
            <v>2026A-04</v>
          </cell>
          <cell r="T3477" t="str">
            <v>Philhealth</v>
          </cell>
        </row>
        <row r="3478">
          <cell r="K3478">
            <v>3530</v>
          </cell>
          <cell r="P3478" t="str">
            <v>90111101-52121305</v>
          </cell>
          <cell r="S3478" t="str">
            <v>2026A-04</v>
          </cell>
          <cell r="T3478" t="str">
            <v>SSS</v>
          </cell>
        </row>
        <row r="3479">
          <cell r="K3479">
            <v>2000</v>
          </cell>
          <cell r="P3479" t="str">
            <v>90111101-52121305</v>
          </cell>
          <cell r="S3479" t="str">
            <v>2026A-04</v>
          </cell>
          <cell r="T3479" t="str">
            <v>Pag-ibig</v>
          </cell>
        </row>
        <row r="3480">
          <cell r="K3480">
            <v>16972.5</v>
          </cell>
          <cell r="P3480" t="str">
            <v>90111101-52121305</v>
          </cell>
          <cell r="S3480" t="str">
            <v>2026A-04</v>
          </cell>
          <cell r="T3480" t="str">
            <v>Philhealth</v>
          </cell>
        </row>
        <row r="3481">
          <cell r="K3481">
            <v>35300</v>
          </cell>
          <cell r="P3481" t="str">
            <v>90111101-52121305</v>
          </cell>
          <cell r="S3481" t="str">
            <v>2026A-04</v>
          </cell>
          <cell r="T3481" t="str">
            <v>SSS</v>
          </cell>
        </row>
        <row r="3482">
          <cell r="K3482">
            <v>2400</v>
          </cell>
          <cell r="P3482" t="str">
            <v>90111101-52121305</v>
          </cell>
          <cell r="S3482" t="str">
            <v>2026A-04</v>
          </cell>
          <cell r="T3482" t="str">
            <v>Pag-ibig</v>
          </cell>
        </row>
        <row r="3483">
          <cell r="K3483">
            <v>19730</v>
          </cell>
          <cell r="P3483" t="str">
            <v>90111101-52121305</v>
          </cell>
          <cell r="S3483" t="str">
            <v>2026A-04</v>
          </cell>
          <cell r="T3483" t="str">
            <v>Philhealth</v>
          </cell>
        </row>
        <row r="3484">
          <cell r="K3484">
            <v>42360</v>
          </cell>
          <cell r="P3484" t="str">
            <v>90111101-52121305</v>
          </cell>
          <cell r="S3484" t="str">
            <v>2026A-04</v>
          </cell>
          <cell r="T3484" t="str">
            <v>SSS</v>
          </cell>
        </row>
        <row r="3485">
          <cell r="K3485">
            <v>2599422.79</v>
          </cell>
          <cell r="P3485" t="str">
            <v>90122101-52071104</v>
          </cell>
          <cell r="S3485" t="str">
            <v>2026A-04</v>
          </cell>
          <cell r="T3485" t="str">
            <v>OLC INTCNSLTNT</v>
          </cell>
        </row>
        <row r="3486">
          <cell r="K3486">
            <v>21188922.77</v>
          </cell>
          <cell r="P3486" t="str">
            <v>90111101-52121316</v>
          </cell>
          <cell r="S3486" t="str">
            <v>2026A-04</v>
          </cell>
          <cell r="T3486" t="str">
            <v>PB</v>
          </cell>
        </row>
        <row r="3487">
          <cell r="K3487">
            <v>-21188922.77</v>
          </cell>
          <cell r="P3487" t="str">
            <v>90111101-52121316</v>
          </cell>
          <cell r="S3487" t="str">
            <v>2026A-04</v>
          </cell>
          <cell r="T3487" t="str">
            <v>PB</v>
          </cell>
        </row>
        <row r="3488">
          <cell r="K3488">
            <v>101785.71</v>
          </cell>
          <cell r="P3488" t="str">
            <v>80349101-61959994</v>
          </cell>
          <cell r="S3488" t="str">
            <v>2026A-04</v>
          </cell>
          <cell r="T3488" t="str">
            <v>CV Village</v>
          </cell>
        </row>
        <row r="3489">
          <cell r="K3489">
            <v>400499.99</v>
          </cell>
          <cell r="P3489" t="str">
            <v>81111101-61959202</v>
          </cell>
          <cell r="S3489" t="str">
            <v>2026A-04</v>
          </cell>
          <cell r="T3489" t="str">
            <v>Penalties</v>
          </cell>
        </row>
        <row r="3490">
          <cell r="K3490">
            <v>38839.29</v>
          </cell>
          <cell r="P3490" t="str">
            <v>81124101-52952103</v>
          </cell>
          <cell r="S3490" t="str">
            <v>2026A-04</v>
          </cell>
          <cell r="T3490" t="str">
            <v>VRAY</v>
          </cell>
        </row>
        <row r="3491">
          <cell r="K3491">
            <v>15178.57</v>
          </cell>
          <cell r="P3491" t="str">
            <v>81123102-52111101</v>
          </cell>
          <cell r="S3491" t="str">
            <v>2026A-04</v>
          </cell>
          <cell r="T3491" t="str">
            <v>Toner/ink</v>
          </cell>
        </row>
        <row r="3492">
          <cell r="K3492">
            <v>15178.57</v>
          </cell>
          <cell r="P3492" t="str">
            <v>81123102-52111101</v>
          </cell>
          <cell r="S3492" t="str">
            <v>2026A-04</v>
          </cell>
          <cell r="T3492" t="str">
            <v>Toner/ink</v>
          </cell>
        </row>
        <row r="3493">
          <cell r="K3493">
            <v>11491.07</v>
          </cell>
          <cell r="P3493" t="str">
            <v>81122101-52111101</v>
          </cell>
          <cell r="S3493" t="str">
            <v>2026A-04</v>
          </cell>
          <cell r="T3493" t="str">
            <v>Tissue</v>
          </cell>
        </row>
        <row r="3494">
          <cell r="K3494">
            <v>13392.86</v>
          </cell>
          <cell r="P3494" t="str">
            <v>81123102-52111101</v>
          </cell>
          <cell r="S3494" t="str">
            <v>2026A-04</v>
          </cell>
          <cell r="T3494" t="str">
            <v>Office Supplies - Others</v>
          </cell>
        </row>
        <row r="3495">
          <cell r="K3495">
            <v>10535.71</v>
          </cell>
          <cell r="P3495" t="str">
            <v>81123102-52111101</v>
          </cell>
          <cell r="S3495" t="str">
            <v>2026A-04</v>
          </cell>
          <cell r="T3495" t="str">
            <v>Office Supplies - Others</v>
          </cell>
        </row>
        <row r="3496">
          <cell r="K3496">
            <v>229511.1</v>
          </cell>
          <cell r="P3496" t="str">
            <v>81221201-61959999</v>
          </cell>
          <cell r="S3496" t="str">
            <v>2026A-04</v>
          </cell>
          <cell r="T3496" t="str">
            <v>GH Redev Plan</v>
          </cell>
        </row>
        <row r="3497">
          <cell r="K3497">
            <v>688533.3</v>
          </cell>
          <cell r="P3497" t="str">
            <v>81221201-61959999</v>
          </cell>
          <cell r="S3497" t="str">
            <v>2026A-04</v>
          </cell>
          <cell r="T3497" t="str">
            <v>GH Redev Plan</v>
          </cell>
        </row>
        <row r="3498">
          <cell r="K3498">
            <v>-0.08</v>
          </cell>
          <cell r="P3498" t="str">
            <v>90111101-52121303</v>
          </cell>
          <cell r="S3498" t="str">
            <v>2026A-04</v>
          </cell>
          <cell r="T3498" t="str">
            <v>HMO</v>
          </cell>
        </row>
        <row r="3499">
          <cell r="K3499">
            <v>2645.5</v>
          </cell>
          <cell r="P3499" t="str">
            <v>80123101-61091101</v>
          </cell>
          <cell r="S3499" t="str">
            <v>2026A-04</v>
          </cell>
          <cell r="T3499" t="str">
            <v>Meetings</v>
          </cell>
        </row>
        <row r="3500">
          <cell r="K3500">
            <v>20378.55</v>
          </cell>
          <cell r="P3500" t="str">
            <v>81319101-52041499</v>
          </cell>
          <cell r="S3500" t="str">
            <v>2026A-04</v>
          </cell>
          <cell r="T3500" t="str">
            <v>GH</v>
          </cell>
        </row>
        <row r="3501">
          <cell r="K3501">
            <v>-9.5299999999999994</v>
          </cell>
          <cell r="P3501" t="str">
            <v>81319101-52041401</v>
          </cell>
          <cell r="S3501" t="str">
            <v>2026A-04</v>
          </cell>
          <cell r="T3501" t="str">
            <v>TS</v>
          </cell>
        </row>
        <row r="3502">
          <cell r="K3502">
            <v>-1.91</v>
          </cell>
          <cell r="P3502" t="str">
            <v>81319101-52041401</v>
          </cell>
          <cell r="S3502" t="str">
            <v>2026A-04</v>
          </cell>
          <cell r="T3502" t="str">
            <v>TS</v>
          </cell>
        </row>
        <row r="3503">
          <cell r="K3503">
            <v>-33.36</v>
          </cell>
          <cell r="P3503" t="str">
            <v>81319101-52041401</v>
          </cell>
          <cell r="S3503" t="str">
            <v>2026A-04</v>
          </cell>
          <cell r="T3503" t="str">
            <v>TS</v>
          </cell>
        </row>
        <row r="3504">
          <cell r="K3504">
            <v>-6.68</v>
          </cell>
          <cell r="P3504" t="str">
            <v>81319101-52041401</v>
          </cell>
          <cell r="S3504" t="str">
            <v>2026A-04</v>
          </cell>
          <cell r="T3504" t="str">
            <v>TS</v>
          </cell>
        </row>
        <row r="3505">
          <cell r="K3505">
            <v>21447.200000000001</v>
          </cell>
          <cell r="P3505" t="str">
            <v>81319101-52041401</v>
          </cell>
          <cell r="S3505" t="str">
            <v>2026A-04</v>
          </cell>
          <cell r="T3505" t="str">
            <v>TS</v>
          </cell>
        </row>
        <row r="3506">
          <cell r="K3506">
            <v>4289.0200000000004</v>
          </cell>
          <cell r="P3506" t="str">
            <v>81319101-52041401</v>
          </cell>
          <cell r="S3506" t="str">
            <v>2026A-04</v>
          </cell>
          <cell r="T3506" t="str">
            <v>TS</v>
          </cell>
        </row>
        <row r="3507">
          <cell r="K3507">
            <v>9107.14</v>
          </cell>
          <cell r="P3507" t="str">
            <v>81123102-52061111</v>
          </cell>
          <cell r="S3507" t="str">
            <v>2026A-04</v>
          </cell>
          <cell r="T3507" t="str">
            <v>R&amp;M - Supplies</v>
          </cell>
        </row>
        <row r="3508">
          <cell r="K3508">
            <v>760.71</v>
          </cell>
          <cell r="P3508" t="str">
            <v>81123102-52111101</v>
          </cell>
          <cell r="S3508" t="str">
            <v>2026A-04</v>
          </cell>
          <cell r="T3508" t="str">
            <v>Office Supplies - Others</v>
          </cell>
        </row>
        <row r="3509">
          <cell r="K3509">
            <v>102.68</v>
          </cell>
          <cell r="P3509" t="str">
            <v>81123102-52111101</v>
          </cell>
          <cell r="S3509" t="str">
            <v>2026A-04</v>
          </cell>
          <cell r="T3509" t="str">
            <v>Office Supplies - Others</v>
          </cell>
        </row>
        <row r="3510">
          <cell r="K3510">
            <v>102.68</v>
          </cell>
          <cell r="P3510" t="str">
            <v>81123102-52111101</v>
          </cell>
          <cell r="S3510" t="str">
            <v>2026A-04</v>
          </cell>
          <cell r="T3510" t="str">
            <v>Office Supplies - Others</v>
          </cell>
        </row>
        <row r="3511">
          <cell r="K3511">
            <v>227678.57</v>
          </cell>
          <cell r="P3511" t="str">
            <v>81124101-52061109</v>
          </cell>
          <cell r="S3511" t="str">
            <v>2026A-04</v>
          </cell>
          <cell r="T3511" t="str">
            <v>UPS Maintenance</v>
          </cell>
        </row>
        <row r="3512">
          <cell r="K3512">
            <v>3498</v>
          </cell>
          <cell r="P3512" t="str">
            <v>90111204-61091102</v>
          </cell>
          <cell r="S3512" t="str">
            <v>2026A-04</v>
          </cell>
          <cell r="T3512" t="str">
            <v>Meetings</v>
          </cell>
        </row>
        <row r="3513">
          <cell r="K3513">
            <v>7000</v>
          </cell>
          <cell r="P3513" t="str">
            <v>80123101-61071005</v>
          </cell>
          <cell r="S3513" t="str">
            <v>2026A-04</v>
          </cell>
          <cell r="T3513" t="str">
            <v>Corpuz</v>
          </cell>
        </row>
        <row r="3514">
          <cell r="K3514">
            <v>2075.89</v>
          </cell>
          <cell r="P3514" t="str">
            <v>81123102-52111101</v>
          </cell>
          <cell r="S3514" t="str">
            <v>2026A-04</v>
          </cell>
          <cell r="T3514" t="str">
            <v>Office Supplies - Others</v>
          </cell>
        </row>
        <row r="3515">
          <cell r="K3515">
            <v>1044.6400000000001</v>
          </cell>
          <cell r="P3515" t="str">
            <v>81123102-52111101</v>
          </cell>
          <cell r="S3515" t="str">
            <v>2026A-04</v>
          </cell>
          <cell r="T3515" t="str">
            <v>Office Supplies - Others</v>
          </cell>
        </row>
        <row r="3516">
          <cell r="K3516">
            <v>62.5</v>
          </cell>
          <cell r="P3516" t="str">
            <v>81123102-52111101</v>
          </cell>
          <cell r="S3516" t="str">
            <v>2026A-04</v>
          </cell>
          <cell r="T3516" t="str">
            <v>Office Supplies - Others</v>
          </cell>
        </row>
        <row r="3517">
          <cell r="K3517">
            <v>133.93</v>
          </cell>
          <cell r="P3517" t="str">
            <v>81123102-52111101</v>
          </cell>
          <cell r="S3517" t="str">
            <v>2026A-04</v>
          </cell>
          <cell r="T3517" t="str">
            <v>Office Supplies - Others</v>
          </cell>
        </row>
        <row r="3518">
          <cell r="K3518">
            <v>223.21</v>
          </cell>
          <cell r="P3518" t="str">
            <v>81123102-52111101</v>
          </cell>
          <cell r="S3518" t="str">
            <v>2026A-04</v>
          </cell>
          <cell r="T3518" t="str">
            <v>Office Supplies - Others</v>
          </cell>
        </row>
        <row r="3519">
          <cell r="K3519">
            <v>500</v>
          </cell>
          <cell r="P3519" t="str">
            <v>81123102-52111101</v>
          </cell>
          <cell r="S3519" t="str">
            <v>2026A-04</v>
          </cell>
          <cell r="T3519" t="str">
            <v>Office Supplies - Others</v>
          </cell>
        </row>
        <row r="3520">
          <cell r="K3520">
            <v>156.25</v>
          </cell>
          <cell r="P3520" t="str">
            <v>81123102-52111101</v>
          </cell>
          <cell r="S3520" t="str">
            <v>2026A-04</v>
          </cell>
          <cell r="T3520" t="str">
            <v>Office Supplies - Others</v>
          </cell>
        </row>
        <row r="3521">
          <cell r="K3521">
            <v>250</v>
          </cell>
          <cell r="P3521" t="str">
            <v>81123102-52111101</v>
          </cell>
          <cell r="S3521" t="str">
            <v>2026A-04</v>
          </cell>
          <cell r="T3521" t="str">
            <v>Office Supplies - Others</v>
          </cell>
        </row>
        <row r="3522">
          <cell r="K3522">
            <v>428.57</v>
          </cell>
          <cell r="P3522" t="str">
            <v>81123102-52111101</v>
          </cell>
          <cell r="S3522" t="str">
            <v>2026A-04</v>
          </cell>
          <cell r="T3522" t="str">
            <v>Office Supplies - Others</v>
          </cell>
        </row>
        <row r="3523">
          <cell r="K3523">
            <v>111.61</v>
          </cell>
          <cell r="P3523" t="str">
            <v>81123102-52111101</v>
          </cell>
          <cell r="S3523" t="str">
            <v>2026A-04</v>
          </cell>
          <cell r="T3523" t="str">
            <v>Office Supplies - Others</v>
          </cell>
        </row>
        <row r="3524">
          <cell r="K3524">
            <v>267.86</v>
          </cell>
          <cell r="P3524" t="str">
            <v>81123102-52111101</v>
          </cell>
          <cell r="S3524" t="str">
            <v>2026A-04</v>
          </cell>
          <cell r="T3524" t="str">
            <v>Office Supplies - Others</v>
          </cell>
        </row>
        <row r="3525">
          <cell r="K3525">
            <v>267.86</v>
          </cell>
          <cell r="P3525" t="str">
            <v>81123102-52111101</v>
          </cell>
          <cell r="S3525" t="str">
            <v>2026A-04</v>
          </cell>
          <cell r="T3525" t="str">
            <v>Office Supplies - Others</v>
          </cell>
        </row>
        <row r="3526">
          <cell r="K3526">
            <v>267.86</v>
          </cell>
          <cell r="P3526" t="str">
            <v>81123102-52111101</v>
          </cell>
          <cell r="S3526" t="str">
            <v>2026A-04</v>
          </cell>
          <cell r="T3526" t="str">
            <v>Office Supplies - Others</v>
          </cell>
        </row>
        <row r="3527">
          <cell r="K3527">
            <v>120.54</v>
          </cell>
          <cell r="P3527" t="str">
            <v>81123102-52111101</v>
          </cell>
          <cell r="S3527" t="str">
            <v>2026A-04</v>
          </cell>
          <cell r="T3527" t="str">
            <v>Office Supplies - Others</v>
          </cell>
        </row>
        <row r="3528">
          <cell r="K3528">
            <v>116.07</v>
          </cell>
          <cell r="P3528" t="str">
            <v>81123102-52111101</v>
          </cell>
          <cell r="S3528" t="str">
            <v>2026A-04</v>
          </cell>
          <cell r="T3528" t="str">
            <v>Office Supplies - Others</v>
          </cell>
        </row>
        <row r="3529">
          <cell r="K3529">
            <v>162.94999999999999</v>
          </cell>
          <cell r="P3529" t="str">
            <v>81123102-52111101</v>
          </cell>
          <cell r="S3529" t="str">
            <v>2026A-04</v>
          </cell>
          <cell r="T3529" t="str">
            <v>Office Supplies - Others</v>
          </cell>
        </row>
        <row r="3530">
          <cell r="K3530">
            <v>264.29000000000002</v>
          </cell>
          <cell r="P3530" t="str">
            <v>81123102-52111101</v>
          </cell>
          <cell r="S3530" t="str">
            <v>2026A-04</v>
          </cell>
          <cell r="T3530" t="str">
            <v>Office Supplies - Others</v>
          </cell>
        </row>
        <row r="3531">
          <cell r="K3531">
            <v>183.93</v>
          </cell>
          <cell r="P3531" t="str">
            <v>81123102-52111101</v>
          </cell>
          <cell r="S3531" t="str">
            <v>2026A-04</v>
          </cell>
          <cell r="T3531" t="str">
            <v>Office Supplies - Others</v>
          </cell>
        </row>
        <row r="3532">
          <cell r="K3532">
            <v>151.79</v>
          </cell>
          <cell r="P3532" t="str">
            <v>81123102-52111101</v>
          </cell>
          <cell r="S3532" t="str">
            <v>2026A-04</v>
          </cell>
          <cell r="T3532" t="str">
            <v>Office Supplies - Others</v>
          </cell>
        </row>
        <row r="3533">
          <cell r="K3533">
            <v>12250</v>
          </cell>
          <cell r="P3533" t="str">
            <v>81123102-52111101</v>
          </cell>
          <cell r="S3533" t="str">
            <v>2026A-04</v>
          </cell>
          <cell r="T3533" t="str">
            <v>Toner/ink</v>
          </cell>
        </row>
        <row r="3534">
          <cell r="K3534">
            <v>8732.14</v>
          </cell>
          <cell r="P3534" t="str">
            <v>81123102-52111101</v>
          </cell>
          <cell r="S3534" t="str">
            <v>2026A-04</v>
          </cell>
          <cell r="T3534" t="str">
            <v>Toner/ink</v>
          </cell>
        </row>
        <row r="3535">
          <cell r="K3535">
            <v>8732.14</v>
          </cell>
          <cell r="P3535" t="str">
            <v>81123102-52111101</v>
          </cell>
          <cell r="S3535" t="str">
            <v>2026A-04</v>
          </cell>
          <cell r="T3535" t="str">
            <v>Toner/ink</v>
          </cell>
        </row>
        <row r="3536">
          <cell r="K3536">
            <v>8732.14</v>
          </cell>
          <cell r="P3536" t="str">
            <v>81123102-52111101</v>
          </cell>
          <cell r="S3536" t="str">
            <v>2026A-04</v>
          </cell>
          <cell r="T3536" t="str">
            <v>Toner/ink</v>
          </cell>
        </row>
        <row r="3537">
          <cell r="K3537">
            <v>5133.93</v>
          </cell>
          <cell r="P3537" t="str">
            <v>81319101-52061101</v>
          </cell>
          <cell r="S3537" t="str">
            <v>2026A-04</v>
          </cell>
          <cell r="T3537" t="str">
            <v>R&amp;M - ES</v>
          </cell>
        </row>
        <row r="3538">
          <cell r="K3538">
            <v>3921.43</v>
          </cell>
          <cell r="P3538" t="str">
            <v>81319101-52111101</v>
          </cell>
          <cell r="S3538" t="str">
            <v>2026A-04</v>
          </cell>
          <cell r="T3538" t="str">
            <v>ES</v>
          </cell>
        </row>
        <row r="3539">
          <cell r="K3539">
            <v>13044.64</v>
          </cell>
          <cell r="P3539" t="str">
            <v>81319101-52111101</v>
          </cell>
          <cell r="S3539" t="str">
            <v>2026A-04</v>
          </cell>
          <cell r="T3539" t="str">
            <v>GH</v>
          </cell>
        </row>
        <row r="3540">
          <cell r="K3540">
            <v>56250</v>
          </cell>
          <cell r="P3540" t="str">
            <v>81123102-52061103</v>
          </cell>
          <cell r="S3540" t="str">
            <v>2026A-04</v>
          </cell>
          <cell r="T3540" t="str">
            <v>R&amp;M - F&amp;F</v>
          </cell>
        </row>
        <row r="3541">
          <cell r="K3541">
            <v>5357.14</v>
          </cell>
          <cell r="P3541" t="str">
            <v>81123102-52061103</v>
          </cell>
          <cell r="S3541" t="str">
            <v>2026A-04</v>
          </cell>
          <cell r="T3541" t="str">
            <v>R&amp;M - F&amp;F</v>
          </cell>
        </row>
        <row r="3542">
          <cell r="K3542">
            <v>-60714.29</v>
          </cell>
          <cell r="P3542" t="str">
            <v>81123102-52041502</v>
          </cell>
          <cell r="S3542" t="str">
            <v>2026A-04</v>
          </cell>
          <cell r="T3542" t="str">
            <v>MTS Recovery</v>
          </cell>
        </row>
        <row r="3543">
          <cell r="K3543">
            <v>4021.12</v>
          </cell>
          <cell r="P3543" t="str">
            <v>81111101-52031101</v>
          </cell>
          <cell r="S3543" t="str">
            <v>2026A-04</v>
          </cell>
          <cell r="T3543" t="str">
            <v>Other Taxes</v>
          </cell>
        </row>
        <row r="3544">
          <cell r="K3544">
            <v>21093.75</v>
          </cell>
          <cell r="P3544" t="str">
            <v>81123102-52111101</v>
          </cell>
          <cell r="S3544" t="str">
            <v>2026A-04</v>
          </cell>
          <cell r="T3544" t="str">
            <v>Toner/ink</v>
          </cell>
        </row>
        <row r="3545">
          <cell r="K3545">
            <v>517.78</v>
          </cell>
          <cell r="P3545" t="str">
            <v>80111101-52101101</v>
          </cell>
          <cell r="S3545" t="str">
            <v>2026A-04</v>
          </cell>
          <cell r="T3545" t="str">
            <v>PARI</v>
          </cell>
        </row>
        <row r="3546">
          <cell r="K3546">
            <v>207.15</v>
          </cell>
          <cell r="P3546" t="str">
            <v>80111101-52101101</v>
          </cell>
          <cell r="S3546" t="str">
            <v>2026A-04</v>
          </cell>
          <cell r="T3546" t="str">
            <v>PARI</v>
          </cell>
        </row>
        <row r="3547">
          <cell r="K3547">
            <v>103.57</v>
          </cell>
          <cell r="P3547" t="str">
            <v>80111101-52101101</v>
          </cell>
          <cell r="S3547" t="str">
            <v>2026A-04</v>
          </cell>
          <cell r="T3547" t="str">
            <v>PARI</v>
          </cell>
        </row>
        <row r="3548">
          <cell r="K3548">
            <v>103.57</v>
          </cell>
          <cell r="P3548" t="str">
            <v>80111101-52101101</v>
          </cell>
          <cell r="S3548" t="str">
            <v>2026A-04</v>
          </cell>
          <cell r="T3548" t="str">
            <v>PARI</v>
          </cell>
        </row>
        <row r="3549">
          <cell r="K3549">
            <v>828.53</v>
          </cell>
          <cell r="P3549" t="str">
            <v>80111101-52101101</v>
          </cell>
          <cell r="S3549" t="str">
            <v>2026A-04</v>
          </cell>
          <cell r="T3549" t="str">
            <v>PARI</v>
          </cell>
        </row>
        <row r="3550">
          <cell r="K3550">
            <v>155.28</v>
          </cell>
          <cell r="P3550" t="str">
            <v>80111101-52101101</v>
          </cell>
          <cell r="S3550" t="str">
            <v>2026A-04</v>
          </cell>
          <cell r="T3550" t="str">
            <v>PARI</v>
          </cell>
        </row>
        <row r="3551">
          <cell r="K3551">
            <v>258.89</v>
          </cell>
          <cell r="P3551" t="str">
            <v>80111101-52101101</v>
          </cell>
          <cell r="S3551" t="str">
            <v>2026A-04</v>
          </cell>
          <cell r="T3551" t="str">
            <v>PARI</v>
          </cell>
        </row>
        <row r="3552">
          <cell r="K3552">
            <v>1346.21</v>
          </cell>
          <cell r="P3552" t="str">
            <v>80111101-52101101</v>
          </cell>
          <cell r="S3552" t="str">
            <v>2026A-04</v>
          </cell>
          <cell r="T3552" t="str">
            <v>PARI</v>
          </cell>
        </row>
        <row r="3553">
          <cell r="K3553">
            <v>1656.92</v>
          </cell>
          <cell r="P3553" t="str">
            <v>80111101-52101101</v>
          </cell>
          <cell r="S3553" t="str">
            <v>2026A-04</v>
          </cell>
          <cell r="T3553" t="str">
            <v>PARI</v>
          </cell>
        </row>
        <row r="3554">
          <cell r="K3554">
            <v>1973.9</v>
          </cell>
          <cell r="P3554" t="str">
            <v>80111101-52101105</v>
          </cell>
          <cell r="S3554" t="str">
            <v>2026A-04</v>
          </cell>
          <cell r="T3554" t="str">
            <v>PTS</v>
          </cell>
        </row>
        <row r="3555">
          <cell r="K3555">
            <v>1973.9</v>
          </cell>
          <cell r="P3555" t="str">
            <v>80111101-52101105</v>
          </cell>
          <cell r="S3555" t="str">
            <v>2026A-04</v>
          </cell>
          <cell r="T3555" t="str">
            <v>PTS</v>
          </cell>
        </row>
        <row r="3556">
          <cell r="K3556">
            <v>1973.9</v>
          </cell>
          <cell r="P3556" t="str">
            <v>80111101-52101105</v>
          </cell>
          <cell r="S3556" t="str">
            <v>2026A-04</v>
          </cell>
          <cell r="T3556" t="str">
            <v>PTS</v>
          </cell>
        </row>
        <row r="3557">
          <cell r="K3557">
            <v>302.17</v>
          </cell>
          <cell r="P3557" t="str">
            <v>81111101-52101101</v>
          </cell>
          <cell r="S3557" t="str">
            <v>2026A-04</v>
          </cell>
          <cell r="T3557" t="str">
            <v>PARI</v>
          </cell>
        </row>
        <row r="3558">
          <cell r="K3558">
            <v>120.9</v>
          </cell>
          <cell r="P3558" t="str">
            <v>81111101-52101101</v>
          </cell>
          <cell r="S3558" t="str">
            <v>2026A-04</v>
          </cell>
          <cell r="T3558" t="str">
            <v>PARI</v>
          </cell>
        </row>
        <row r="3559">
          <cell r="K3559">
            <v>60.46</v>
          </cell>
          <cell r="P3559" t="str">
            <v>81111101-52101101</v>
          </cell>
          <cell r="S3559" t="str">
            <v>2026A-04</v>
          </cell>
          <cell r="T3559" t="str">
            <v>PARI</v>
          </cell>
        </row>
        <row r="3560">
          <cell r="K3560">
            <v>60.46</v>
          </cell>
          <cell r="P3560" t="str">
            <v>81111101-52101101</v>
          </cell>
          <cell r="S3560" t="str">
            <v>2026A-04</v>
          </cell>
          <cell r="T3560" t="str">
            <v>PARI</v>
          </cell>
        </row>
        <row r="3561">
          <cell r="K3561">
            <v>483.51</v>
          </cell>
          <cell r="P3561" t="str">
            <v>81111101-52101101</v>
          </cell>
          <cell r="S3561" t="str">
            <v>2026A-04</v>
          </cell>
          <cell r="T3561" t="str">
            <v>PARI</v>
          </cell>
        </row>
        <row r="3562">
          <cell r="K3562">
            <v>90.63</v>
          </cell>
          <cell r="P3562" t="str">
            <v>81111101-52101101</v>
          </cell>
          <cell r="S3562" t="str">
            <v>2026A-04</v>
          </cell>
          <cell r="T3562" t="str">
            <v>PARI</v>
          </cell>
        </row>
        <row r="3563">
          <cell r="K3563">
            <v>151.01</v>
          </cell>
          <cell r="P3563" t="str">
            <v>81111101-52101101</v>
          </cell>
          <cell r="S3563" t="str">
            <v>2026A-04</v>
          </cell>
          <cell r="T3563" t="str">
            <v>PARI</v>
          </cell>
        </row>
        <row r="3564">
          <cell r="K3564">
            <v>785.65</v>
          </cell>
          <cell r="P3564" t="str">
            <v>81111101-52101101</v>
          </cell>
          <cell r="S3564" t="str">
            <v>2026A-04</v>
          </cell>
          <cell r="T3564" t="str">
            <v>PARI</v>
          </cell>
        </row>
        <row r="3565">
          <cell r="K3565">
            <v>966.98</v>
          </cell>
          <cell r="P3565" t="str">
            <v>81111101-52101101</v>
          </cell>
          <cell r="S3565" t="str">
            <v>2026A-04</v>
          </cell>
          <cell r="T3565" t="str">
            <v>PARI</v>
          </cell>
        </row>
        <row r="3566">
          <cell r="K3566">
            <v>1151.92</v>
          </cell>
          <cell r="P3566" t="str">
            <v>81111101-52101105</v>
          </cell>
          <cell r="S3566" t="str">
            <v>2026A-04</v>
          </cell>
          <cell r="T3566" t="str">
            <v>PTS</v>
          </cell>
        </row>
        <row r="3567">
          <cell r="K3567">
            <v>73422.720000000001</v>
          </cell>
          <cell r="P3567" t="str">
            <v>81124101-52952103</v>
          </cell>
          <cell r="S3567" t="str">
            <v>2026A-04</v>
          </cell>
          <cell r="T3567" t="str">
            <v>WAF</v>
          </cell>
        </row>
        <row r="3568">
          <cell r="K3568">
            <v>39285.71</v>
          </cell>
          <cell r="P3568" t="str">
            <v>81124101-52952103</v>
          </cell>
          <cell r="S3568" t="str">
            <v>2026A-04</v>
          </cell>
          <cell r="T3568" t="str">
            <v>Datrium</v>
          </cell>
        </row>
        <row r="3569">
          <cell r="K3569">
            <v>48771.32</v>
          </cell>
          <cell r="P3569" t="str">
            <v>81124101-52952103</v>
          </cell>
          <cell r="S3569" t="str">
            <v>2026A-04</v>
          </cell>
          <cell r="T3569" t="str">
            <v>Palo Alto</v>
          </cell>
        </row>
        <row r="3570">
          <cell r="K3570">
            <v>44642.86</v>
          </cell>
          <cell r="P3570" t="str">
            <v>81124101-52952103</v>
          </cell>
          <cell r="S3570" t="str">
            <v>2026A-04</v>
          </cell>
          <cell r="T3570" t="str">
            <v>Acronis</v>
          </cell>
        </row>
        <row r="3571">
          <cell r="K3571">
            <v>19223.330000000002</v>
          </cell>
          <cell r="P3571" t="str">
            <v>81124101-52952103</v>
          </cell>
          <cell r="S3571" t="str">
            <v>2026A-04</v>
          </cell>
          <cell r="T3571" t="str">
            <v>SDWAN ES TS GH</v>
          </cell>
        </row>
        <row r="3572">
          <cell r="K3572">
            <v>15557.36</v>
          </cell>
          <cell r="P3572" t="str">
            <v>81124101-52952103</v>
          </cell>
          <cell r="S3572" t="str">
            <v>2026A-04</v>
          </cell>
          <cell r="T3572" t="str">
            <v>HPE Server Maintenance</v>
          </cell>
        </row>
        <row r="3573">
          <cell r="K3573">
            <v>117682.35</v>
          </cell>
          <cell r="P3573" t="str">
            <v>81124101-52952103</v>
          </cell>
          <cell r="S3573" t="str">
            <v>2026A-04</v>
          </cell>
          <cell r="T3573" t="str">
            <v>M365</v>
          </cell>
        </row>
        <row r="3574">
          <cell r="K3574">
            <v>20203.89</v>
          </cell>
          <cell r="P3574" t="str">
            <v>81124101-52952103</v>
          </cell>
          <cell r="S3574" t="str">
            <v>2026A-04</v>
          </cell>
          <cell r="T3574" t="str">
            <v>Aircuve</v>
          </cell>
        </row>
        <row r="3575">
          <cell r="K3575">
            <v>8272.5</v>
          </cell>
          <cell r="P3575" t="str">
            <v>81111101-52121301</v>
          </cell>
          <cell r="S3575" t="str">
            <v>2026A-04</v>
          </cell>
          <cell r="T3575" t="str">
            <v>Life Insurance</v>
          </cell>
        </row>
        <row r="3576">
          <cell r="K3576">
            <v>25660.71</v>
          </cell>
          <cell r="P3576" t="str">
            <v>81124101-52952103</v>
          </cell>
          <cell r="S3576" t="str">
            <v>2026A-04</v>
          </cell>
          <cell r="T3576" t="str">
            <v>SonicWall Firewall Security</v>
          </cell>
        </row>
        <row r="3577">
          <cell r="K3577">
            <v>25660.71</v>
          </cell>
          <cell r="P3577" t="str">
            <v>81124101-52952103</v>
          </cell>
          <cell r="S3577" t="str">
            <v>2026A-04</v>
          </cell>
          <cell r="T3577" t="str">
            <v>SonicWall Firewall Security</v>
          </cell>
        </row>
        <row r="3578">
          <cell r="K3578">
            <v>25660.71</v>
          </cell>
          <cell r="P3578" t="str">
            <v>81124101-52952103</v>
          </cell>
          <cell r="S3578" t="str">
            <v>2026A-04</v>
          </cell>
          <cell r="T3578" t="str">
            <v>SonicWall Firewall Security</v>
          </cell>
        </row>
        <row r="3579">
          <cell r="K3579">
            <v>25660.71</v>
          </cell>
          <cell r="P3579" t="str">
            <v>81124101-52952103</v>
          </cell>
          <cell r="S3579" t="str">
            <v>2026A-04</v>
          </cell>
          <cell r="T3579" t="str">
            <v>SonicWall Firewall Security</v>
          </cell>
        </row>
        <row r="3580">
          <cell r="K3580">
            <v>25660.71</v>
          </cell>
          <cell r="P3580" t="str">
            <v>81124101-52952103</v>
          </cell>
          <cell r="S3580" t="str">
            <v>2026A-04</v>
          </cell>
          <cell r="T3580" t="str">
            <v>SonicWall Firewall Security</v>
          </cell>
        </row>
        <row r="3581">
          <cell r="K3581">
            <v>62628.57</v>
          </cell>
          <cell r="P3581" t="str">
            <v>81124101-52952103</v>
          </cell>
          <cell r="S3581" t="str">
            <v>2026A-04</v>
          </cell>
          <cell r="T3581" t="str">
            <v>M365 Extra Storage</v>
          </cell>
        </row>
        <row r="3582">
          <cell r="K3582">
            <v>62628.57</v>
          </cell>
          <cell r="P3582" t="str">
            <v>81124101-52952103</v>
          </cell>
          <cell r="S3582" t="str">
            <v>2026A-04</v>
          </cell>
          <cell r="T3582" t="str">
            <v>M365 Extra Storage</v>
          </cell>
        </row>
        <row r="3583">
          <cell r="K3583">
            <v>62628.57</v>
          </cell>
          <cell r="P3583" t="str">
            <v>81124101-52952103</v>
          </cell>
          <cell r="S3583" t="str">
            <v>2026A-04</v>
          </cell>
          <cell r="T3583" t="str">
            <v>M365 Extra Storage</v>
          </cell>
        </row>
        <row r="3584">
          <cell r="K3584">
            <v>4427.08</v>
          </cell>
          <cell r="P3584" t="str">
            <v>81111101-52121303</v>
          </cell>
          <cell r="S3584" t="str">
            <v>2026A-04</v>
          </cell>
          <cell r="T3584" t="str">
            <v>HMO</v>
          </cell>
        </row>
        <row r="3585">
          <cell r="K3585">
            <v>181571.17</v>
          </cell>
          <cell r="P3585" t="str">
            <v>81111101-52121303</v>
          </cell>
          <cell r="S3585" t="str">
            <v>2026A-04</v>
          </cell>
          <cell r="T3585" t="str">
            <v>HMO</v>
          </cell>
        </row>
        <row r="3586">
          <cell r="K3586">
            <v>4017.86</v>
          </cell>
          <cell r="P3586" t="str">
            <v>81123102-52061111</v>
          </cell>
          <cell r="S3586" t="str">
            <v>2026A-04</v>
          </cell>
          <cell r="T3586" t="str">
            <v>R&amp;M - Supplies</v>
          </cell>
        </row>
        <row r="3587">
          <cell r="K3587">
            <v>-4017.86</v>
          </cell>
          <cell r="P3587" t="str">
            <v>81123102-61031201</v>
          </cell>
          <cell r="S3587" t="str">
            <v>2026A-04</v>
          </cell>
          <cell r="T3587" t="str">
            <v>Zero</v>
          </cell>
        </row>
        <row r="3588">
          <cell r="K3588">
            <v>77460.06</v>
          </cell>
          <cell r="P3588" t="str">
            <v>81319101-52041499</v>
          </cell>
          <cell r="S3588" t="str">
            <v>2026A-04</v>
          </cell>
          <cell r="T3588" t="str">
            <v>Office support GH</v>
          </cell>
        </row>
        <row r="3589">
          <cell r="K3589">
            <v>214285.71</v>
          </cell>
          <cell r="P3589" t="str">
            <v>81122101-52121402</v>
          </cell>
          <cell r="S3589" t="str">
            <v>2026A-04</v>
          </cell>
          <cell r="T3589" t="str">
            <v>Polo Shirts</v>
          </cell>
        </row>
        <row r="3590">
          <cell r="K3590">
            <v>5077.83</v>
          </cell>
          <cell r="P3590" t="str">
            <v>81111101-52041401</v>
          </cell>
          <cell r="S3590" t="str">
            <v>2026A-04</v>
          </cell>
          <cell r="T3590" t="str">
            <v>Security HQ</v>
          </cell>
        </row>
        <row r="3591">
          <cell r="K3591">
            <v>25390.43</v>
          </cell>
          <cell r="P3591" t="str">
            <v>81111101-52041401</v>
          </cell>
          <cell r="S3591" t="str">
            <v>2026A-04</v>
          </cell>
          <cell r="T3591" t="str">
            <v>Security HQ</v>
          </cell>
        </row>
        <row r="3592">
          <cell r="K3592">
            <v>13956.26</v>
          </cell>
          <cell r="P3592" t="str">
            <v>81111101-52041401</v>
          </cell>
          <cell r="S3592" t="str">
            <v>2026A-04</v>
          </cell>
          <cell r="T3592" t="str">
            <v>Security HQ</v>
          </cell>
        </row>
        <row r="3593">
          <cell r="K3593">
            <v>69786.899999999994</v>
          </cell>
          <cell r="P3593" t="str">
            <v>81111101-52041401</v>
          </cell>
          <cell r="S3593" t="str">
            <v>2026A-04</v>
          </cell>
          <cell r="T3593" t="str">
            <v>Security HQ</v>
          </cell>
        </row>
        <row r="3594">
          <cell r="K3594">
            <v>6289.56</v>
          </cell>
          <cell r="P3594" t="str">
            <v>81111101-52041401</v>
          </cell>
          <cell r="S3594" t="str">
            <v>2026A-04</v>
          </cell>
          <cell r="T3594" t="str">
            <v>Security HQ</v>
          </cell>
        </row>
        <row r="3595">
          <cell r="K3595">
            <v>31449.24</v>
          </cell>
          <cell r="P3595" t="str">
            <v>81111101-52041401</v>
          </cell>
          <cell r="S3595" t="str">
            <v>2026A-04</v>
          </cell>
          <cell r="T3595" t="str">
            <v>Security HQ</v>
          </cell>
        </row>
        <row r="3596">
          <cell r="K3596">
            <v>90887</v>
          </cell>
          <cell r="P3596" t="str">
            <v>81111101-52041401</v>
          </cell>
          <cell r="S3596" t="str">
            <v>2026A-04</v>
          </cell>
          <cell r="T3596" t="str">
            <v>Security HQ</v>
          </cell>
        </row>
        <row r="3597">
          <cell r="K3597">
            <v>18175.91</v>
          </cell>
          <cell r="P3597" t="str">
            <v>81111101-52041401</v>
          </cell>
          <cell r="S3597" t="str">
            <v>2026A-04</v>
          </cell>
          <cell r="T3597" t="str">
            <v>Security HQ</v>
          </cell>
        </row>
        <row r="3598">
          <cell r="K3598">
            <v>82091.520000000004</v>
          </cell>
          <cell r="P3598" t="str">
            <v>81111101-52041401</v>
          </cell>
          <cell r="S3598" t="str">
            <v>2026A-04</v>
          </cell>
          <cell r="T3598" t="str">
            <v>Security HQ</v>
          </cell>
        </row>
        <row r="3599">
          <cell r="K3599">
            <v>16416.96</v>
          </cell>
          <cell r="P3599" t="str">
            <v>81111101-52041401</v>
          </cell>
          <cell r="S3599" t="str">
            <v>2026A-04</v>
          </cell>
          <cell r="T3599" t="str">
            <v>Security HQ</v>
          </cell>
        </row>
        <row r="3600">
          <cell r="K3600">
            <v>1298.6400000000001</v>
          </cell>
          <cell r="P3600" t="str">
            <v>81111101-52041405</v>
          </cell>
          <cell r="S3600" t="str">
            <v>2026A-04</v>
          </cell>
          <cell r="T3600" t="str">
            <v>Janitorial (H&amp;K)</v>
          </cell>
        </row>
        <row r="3601">
          <cell r="K3601">
            <v>21816.77</v>
          </cell>
          <cell r="P3601" t="str">
            <v>81111101-52041499</v>
          </cell>
          <cell r="S3601" t="str">
            <v>2026A-04</v>
          </cell>
          <cell r="T3601" t="str">
            <v>Admin Staff (H&amp;K)</v>
          </cell>
        </row>
        <row r="3602">
          <cell r="K3602">
            <v>6311.04</v>
          </cell>
          <cell r="P3602" t="str">
            <v>81111101-52041499</v>
          </cell>
          <cell r="S3602" t="str">
            <v>2026A-04</v>
          </cell>
          <cell r="T3602" t="str">
            <v>Admin Staff (H&amp;K)</v>
          </cell>
        </row>
        <row r="3603">
          <cell r="K3603">
            <v>20917.75</v>
          </cell>
          <cell r="P3603" t="str">
            <v>81111101-52041405</v>
          </cell>
          <cell r="S3603" t="str">
            <v>2026A-04</v>
          </cell>
          <cell r="T3603" t="str">
            <v>Janitorial (H&amp;K)</v>
          </cell>
        </row>
        <row r="3604">
          <cell r="K3604">
            <v>24581.99</v>
          </cell>
          <cell r="P3604" t="str">
            <v>81111101-52041499</v>
          </cell>
          <cell r="S3604" t="str">
            <v>2026A-04</v>
          </cell>
          <cell r="T3604" t="str">
            <v>Admin Staff (H&amp;K)</v>
          </cell>
        </row>
        <row r="3605">
          <cell r="K3605">
            <v>24581.99</v>
          </cell>
          <cell r="P3605" t="str">
            <v>81111101-52041499</v>
          </cell>
          <cell r="S3605" t="str">
            <v>2026A-04</v>
          </cell>
          <cell r="T3605" t="str">
            <v>Admin Staff (H&amp;K)</v>
          </cell>
        </row>
        <row r="3606">
          <cell r="K3606">
            <v>14719.29</v>
          </cell>
          <cell r="P3606" t="str">
            <v>81111101-52041405</v>
          </cell>
          <cell r="S3606" t="str">
            <v>2026A-04</v>
          </cell>
          <cell r="T3606" t="str">
            <v>Janitorial (H&amp;K)</v>
          </cell>
        </row>
        <row r="3607">
          <cell r="K3607">
            <v>1926.02</v>
          </cell>
          <cell r="P3607" t="str">
            <v>81111101-52041499</v>
          </cell>
          <cell r="S3607" t="str">
            <v>2026A-04</v>
          </cell>
          <cell r="T3607" t="str">
            <v>Admin Staff (H&amp;K)</v>
          </cell>
        </row>
        <row r="3608">
          <cell r="K3608">
            <v>3129.39</v>
          </cell>
          <cell r="P3608" t="str">
            <v>81111101-52041499</v>
          </cell>
          <cell r="S3608" t="str">
            <v>2026A-04</v>
          </cell>
          <cell r="T3608" t="str">
            <v>Admin Staff (H&amp;K)</v>
          </cell>
        </row>
        <row r="3609">
          <cell r="K3609">
            <v>24581.99</v>
          </cell>
          <cell r="P3609" t="str">
            <v>81111101-52041405</v>
          </cell>
          <cell r="S3609" t="str">
            <v>2026A-04</v>
          </cell>
          <cell r="T3609" t="str">
            <v>Janitorial (H&amp;K)</v>
          </cell>
        </row>
        <row r="3610">
          <cell r="K3610">
            <v>24581.99</v>
          </cell>
          <cell r="P3610" t="str">
            <v>81111101-52041499</v>
          </cell>
          <cell r="S3610" t="str">
            <v>2026A-04</v>
          </cell>
          <cell r="T3610" t="str">
            <v>Admin Staff (H&amp;K)</v>
          </cell>
        </row>
        <row r="3611">
          <cell r="K3611">
            <v>20917.75</v>
          </cell>
          <cell r="P3611" t="str">
            <v>81111101-52041499</v>
          </cell>
          <cell r="S3611" t="str">
            <v>2026A-04</v>
          </cell>
          <cell r="T3611" t="str">
            <v>Admin Staff (H&amp;K)</v>
          </cell>
        </row>
        <row r="3612">
          <cell r="K3612">
            <v>-20917.75</v>
          </cell>
          <cell r="P3612" t="str">
            <v>81111101-52041405</v>
          </cell>
          <cell r="S3612" t="str">
            <v>2026A-04</v>
          </cell>
          <cell r="T3612" t="str">
            <v>Janitorial (H&amp;K)</v>
          </cell>
        </row>
        <row r="3613">
          <cell r="K3613">
            <v>-24581.99</v>
          </cell>
          <cell r="P3613" t="str">
            <v>81111101-52041499</v>
          </cell>
          <cell r="S3613" t="str">
            <v>2026A-04</v>
          </cell>
          <cell r="T3613" t="str">
            <v>Admin Staff (H&amp;K)</v>
          </cell>
        </row>
        <row r="3614">
          <cell r="K3614">
            <v>-24581.99</v>
          </cell>
          <cell r="P3614" t="str">
            <v>81111101-52041499</v>
          </cell>
          <cell r="S3614" t="str">
            <v>2026A-04</v>
          </cell>
          <cell r="T3614" t="str">
            <v>Admin Staff (H&amp;K)</v>
          </cell>
        </row>
        <row r="3615">
          <cell r="K3615">
            <v>-1298.6400000000001</v>
          </cell>
          <cell r="P3615" t="str">
            <v>81111101-52041405</v>
          </cell>
          <cell r="S3615" t="str">
            <v>2026A-04</v>
          </cell>
          <cell r="T3615" t="str">
            <v>Janitorial (H&amp;K)</v>
          </cell>
        </row>
        <row r="3616">
          <cell r="K3616">
            <v>-21816.77</v>
          </cell>
          <cell r="P3616" t="str">
            <v>81111101-52041499</v>
          </cell>
          <cell r="S3616" t="str">
            <v>2026A-04</v>
          </cell>
          <cell r="T3616" t="str">
            <v>Admin Staff (H&amp;K)</v>
          </cell>
        </row>
        <row r="3617">
          <cell r="K3617">
            <v>-6311.04</v>
          </cell>
          <cell r="P3617" t="str">
            <v>81111101-52041499</v>
          </cell>
          <cell r="S3617" t="str">
            <v>2026A-04</v>
          </cell>
          <cell r="T3617" t="str">
            <v>Admin Staff (H&amp;K)</v>
          </cell>
        </row>
        <row r="3618">
          <cell r="K3618">
            <v>21816.77</v>
          </cell>
          <cell r="P3618" t="str">
            <v>81111101-52041405</v>
          </cell>
          <cell r="S3618" t="str">
            <v>2026A-04</v>
          </cell>
          <cell r="T3618" t="str">
            <v>Janitorial (H&amp;K)</v>
          </cell>
        </row>
        <row r="3619">
          <cell r="K3619">
            <v>6311.04</v>
          </cell>
          <cell r="P3619" t="str">
            <v>81111101-52041499</v>
          </cell>
          <cell r="S3619" t="str">
            <v>2026A-04</v>
          </cell>
          <cell r="T3619" t="str">
            <v>Admin Staff (H&amp;K)</v>
          </cell>
        </row>
        <row r="3620">
          <cell r="K3620">
            <v>1298.6400000000001</v>
          </cell>
          <cell r="P3620" t="str">
            <v>81111101-52041499</v>
          </cell>
          <cell r="S3620" t="str">
            <v>2026A-04</v>
          </cell>
          <cell r="T3620" t="str">
            <v>Admin Staff (H&amp;K)</v>
          </cell>
        </row>
        <row r="3621">
          <cell r="K3621">
            <v>24581.99</v>
          </cell>
          <cell r="P3621" t="str">
            <v>81111101-52041405</v>
          </cell>
          <cell r="S3621" t="str">
            <v>2026A-04</v>
          </cell>
          <cell r="T3621" t="str">
            <v>Janitorial (H&amp;K)</v>
          </cell>
        </row>
        <row r="3622">
          <cell r="K3622">
            <v>24581.99</v>
          </cell>
          <cell r="P3622" t="str">
            <v>81111101-52041499</v>
          </cell>
          <cell r="S3622" t="str">
            <v>2026A-04</v>
          </cell>
          <cell r="T3622" t="str">
            <v>Admin Staff (H&amp;K)</v>
          </cell>
        </row>
        <row r="3623">
          <cell r="K3623">
            <v>20917.75</v>
          </cell>
          <cell r="P3623" t="str">
            <v>81111101-52041499</v>
          </cell>
          <cell r="S3623" t="str">
            <v>2026A-04</v>
          </cell>
          <cell r="T3623" t="str">
            <v>Admin Staff (H&amp;K)</v>
          </cell>
        </row>
        <row r="3624">
          <cell r="K3624">
            <v>57308.44</v>
          </cell>
          <cell r="P3624" t="str">
            <v>81111101-52041405</v>
          </cell>
          <cell r="S3624" t="str">
            <v>2026A-04</v>
          </cell>
          <cell r="T3624" t="str">
            <v>Janitorial (S1)</v>
          </cell>
        </row>
        <row r="3625">
          <cell r="K3625">
            <v>57308.44</v>
          </cell>
          <cell r="P3625" t="str">
            <v>81111101-52041405</v>
          </cell>
          <cell r="S3625" t="str">
            <v>2026A-04</v>
          </cell>
          <cell r="T3625" t="str">
            <v>Janitorial (S1)</v>
          </cell>
        </row>
        <row r="3626">
          <cell r="K3626">
            <v>57308.44</v>
          </cell>
          <cell r="P3626" t="str">
            <v>81111101-52041405</v>
          </cell>
          <cell r="S3626" t="str">
            <v>2026A-04</v>
          </cell>
          <cell r="T3626" t="str">
            <v>Janitorial (S1)</v>
          </cell>
        </row>
        <row r="3627">
          <cell r="K3627">
            <v>6846.76</v>
          </cell>
          <cell r="P3627" t="str">
            <v>81111101-52041499</v>
          </cell>
          <cell r="S3627" t="str">
            <v>2026A-04</v>
          </cell>
          <cell r="T3627" t="str">
            <v>Zero</v>
          </cell>
        </row>
        <row r="3628">
          <cell r="K3628">
            <v>22910.080000000002</v>
          </cell>
          <cell r="P3628" t="str">
            <v>81111101-52041495</v>
          </cell>
          <cell r="S3628" t="str">
            <v>2026A-04</v>
          </cell>
          <cell r="T3628" t="str">
            <v>BTs</v>
          </cell>
        </row>
        <row r="3629">
          <cell r="K3629">
            <v>40118.629999999997</v>
          </cell>
          <cell r="P3629" t="str">
            <v>81111101-52041499</v>
          </cell>
          <cell r="S3629" t="str">
            <v>2026A-04</v>
          </cell>
          <cell r="T3629" t="str">
            <v>Admin Staff (TAHJ)</v>
          </cell>
        </row>
        <row r="3630">
          <cell r="K3630">
            <v>24115.040000000001</v>
          </cell>
          <cell r="P3630" t="str">
            <v>81111101-52041495</v>
          </cell>
          <cell r="S3630" t="str">
            <v>2026A-04</v>
          </cell>
          <cell r="T3630" t="str">
            <v>BTs</v>
          </cell>
        </row>
        <row r="3631">
          <cell r="K3631">
            <v>40063.339999999997</v>
          </cell>
          <cell r="P3631" t="str">
            <v>81111101-52041499</v>
          </cell>
          <cell r="S3631" t="str">
            <v>2026A-04</v>
          </cell>
          <cell r="T3631" t="str">
            <v>Admin Staff (TAHJ)</v>
          </cell>
        </row>
        <row r="3632">
          <cell r="K3632">
            <v>25923.64</v>
          </cell>
          <cell r="P3632" t="str">
            <v>81111101-52041495</v>
          </cell>
          <cell r="S3632" t="str">
            <v>2026A-04</v>
          </cell>
          <cell r="T3632" t="str">
            <v>BTs</v>
          </cell>
        </row>
        <row r="3633">
          <cell r="K3633">
            <v>41064.94</v>
          </cell>
          <cell r="P3633" t="str">
            <v>81111101-52041499</v>
          </cell>
          <cell r="S3633" t="str">
            <v>2026A-04</v>
          </cell>
          <cell r="T3633" t="str">
            <v>Admin Staff (TAHJ)</v>
          </cell>
        </row>
        <row r="3634">
          <cell r="K3634">
            <v>24717.95</v>
          </cell>
          <cell r="P3634" t="str">
            <v>81111101-52041495</v>
          </cell>
          <cell r="S3634" t="str">
            <v>2026A-04</v>
          </cell>
          <cell r="T3634" t="str">
            <v>BTs</v>
          </cell>
        </row>
        <row r="3635">
          <cell r="K3635">
            <v>50943.040000000001</v>
          </cell>
          <cell r="P3635" t="str">
            <v>81111101-52041499</v>
          </cell>
          <cell r="S3635" t="str">
            <v>2026A-04</v>
          </cell>
          <cell r="T3635" t="str">
            <v>Admin Staff (TAHJ)</v>
          </cell>
        </row>
        <row r="3636">
          <cell r="K3636">
            <v>52556.9</v>
          </cell>
          <cell r="P3636" t="str">
            <v>81111101-52041401</v>
          </cell>
          <cell r="S3636" t="str">
            <v>2026A-04</v>
          </cell>
          <cell r="T3636" t="str">
            <v>Security HQ</v>
          </cell>
        </row>
        <row r="3637">
          <cell r="K3637">
            <v>10510.58</v>
          </cell>
          <cell r="P3637" t="str">
            <v>81111101-52041401</v>
          </cell>
          <cell r="S3637" t="str">
            <v>2026A-04</v>
          </cell>
          <cell r="T3637" t="str">
            <v>Security HQ</v>
          </cell>
        </row>
        <row r="3638">
          <cell r="K3638">
            <v>65425.22</v>
          </cell>
          <cell r="P3638" t="str">
            <v>81111101-52041401</v>
          </cell>
          <cell r="S3638" t="str">
            <v>2026A-04</v>
          </cell>
          <cell r="T3638" t="str">
            <v>Security HQ</v>
          </cell>
        </row>
        <row r="3639">
          <cell r="K3639">
            <v>13083.99</v>
          </cell>
          <cell r="P3639" t="str">
            <v>81111101-52041401</v>
          </cell>
          <cell r="S3639" t="str">
            <v>2026A-04</v>
          </cell>
          <cell r="T3639" t="str">
            <v>Security HQ</v>
          </cell>
        </row>
        <row r="3640">
          <cell r="K3640">
            <v>25003.8</v>
          </cell>
          <cell r="P3640" t="str">
            <v>81111101-52041495</v>
          </cell>
          <cell r="S3640" t="str">
            <v>2026A-04</v>
          </cell>
          <cell r="T3640" t="str">
            <v>BTs</v>
          </cell>
        </row>
        <row r="3641">
          <cell r="K3641">
            <v>11352.3</v>
          </cell>
          <cell r="P3641" t="str">
            <v>81111101-52041495</v>
          </cell>
          <cell r="S3641" t="str">
            <v>2026A-04</v>
          </cell>
          <cell r="T3641" t="str">
            <v>BTs</v>
          </cell>
        </row>
        <row r="3642">
          <cell r="K3642">
            <v>218750</v>
          </cell>
          <cell r="P3642" t="str">
            <v>80111101-61021201</v>
          </cell>
          <cell r="S3642" t="str">
            <v>2026A-04</v>
          </cell>
          <cell r="T3642" t="str">
            <v>Project Employee</v>
          </cell>
        </row>
        <row r="3643">
          <cell r="K3643">
            <v>13500</v>
          </cell>
          <cell r="P3643" t="str">
            <v>80111101-61021201</v>
          </cell>
          <cell r="S3643" t="str">
            <v>2026A-04</v>
          </cell>
          <cell r="T3643" t="str">
            <v>Project Employee</v>
          </cell>
        </row>
        <row r="3644">
          <cell r="K3644">
            <v>-14546.72</v>
          </cell>
          <cell r="P3644" t="str">
            <v>80111101-61021201</v>
          </cell>
          <cell r="S3644" t="str">
            <v>2026A-04</v>
          </cell>
          <cell r="T3644" t="str">
            <v>Project Employee</v>
          </cell>
        </row>
        <row r="3645">
          <cell r="K3645">
            <v>-2491.63</v>
          </cell>
          <cell r="P3645" t="str">
            <v>80111101-61021201</v>
          </cell>
          <cell r="S3645" t="str">
            <v>2026A-04</v>
          </cell>
          <cell r="T3645" t="str">
            <v>Project Employee</v>
          </cell>
        </row>
        <row r="3646">
          <cell r="K3646">
            <v>-187.24</v>
          </cell>
          <cell r="P3646" t="str">
            <v>80111101-61021201</v>
          </cell>
          <cell r="S3646" t="str">
            <v>2026A-04</v>
          </cell>
          <cell r="T3646" t="str">
            <v>Project Employee</v>
          </cell>
        </row>
        <row r="3647">
          <cell r="K3647">
            <v>-640.78</v>
          </cell>
          <cell r="P3647" t="str">
            <v>80111101-61021201</v>
          </cell>
          <cell r="S3647" t="str">
            <v>2026A-04</v>
          </cell>
          <cell r="T3647" t="str">
            <v>Project Employee</v>
          </cell>
        </row>
        <row r="3648">
          <cell r="K3648">
            <v>3297.75</v>
          </cell>
          <cell r="P3648" t="str">
            <v>80111101-61021201</v>
          </cell>
          <cell r="S3648" t="str">
            <v>2026A-04</v>
          </cell>
          <cell r="T3648" t="str">
            <v>Project Employee</v>
          </cell>
        </row>
        <row r="3649">
          <cell r="K3649">
            <v>2143.13</v>
          </cell>
          <cell r="P3649" t="str">
            <v>80111101-61021202</v>
          </cell>
          <cell r="S3649" t="str">
            <v>2026A-04</v>
          </cell>
          <cell r="T3649" t="str">
            <v>Project Employee</v>
          </cell>
        </row>
        <row r="3650">
          <cell r="K3650">
            <v>66754.87</v>
          </cell>
          <cell r="P3650" t="str">
            <v>80111101-61021202</v>
          </cell>
          <cell r="S3650" t="str">
            <v>2026A-04</v>
          </cell>
          <cell r="T3650" t="str">
            <v>Project Employee</v>
          </cell>
        </row>
        <row r="3651">
          <cell r="K3651">
            <v>18060</v>
          </cell>
          <cell r="P3651" t="str">
            <v>80111101-61021306</v>
          </cell>
          <cell r="S3651" t="str">
            <v>2026A-04</v>
          </cell>
          <cell r="T3651" t="str">
            <v>SSS</v>
          </cell>
        </row>
        <row r="3652">
          <cell r="K3652">
            <v>30800</v>
          </cell>
          <cell r="P3652" t="str">
            <v>80111101-61021102</v>
          </cell>
          <cell r="S3652" t="str">
            <v>2026A-04</v>
          </cell>
          <cell r="T3652" t="str">
            <v>Regular Employee</v>
          </cell>
        </row>
        <row r="3653">
          <cell r="K3653">
            <v>-161.18</v>
          </cell>
          <cell r="P3653" t="str">
            <v>80111101-61021102</v>
          </cell>
          <cell r="S3653" t="str">
            <v>2026A-04</v>
          </cell>
          <cell r="T3653" t="str">
            <v>Regular Employee</v>
          </cell>
        </row>
        <row r="3654">
          <cell r="K3654">
            <v>-56.06</v>
          </cell>
          <cell r="P3654" t="str">
            <v>80111101-61021102</v>
          </cell>
          <cell r="S3654" t="str">
            <v>2026A-04</v>
          </cell>
          <cell r="T3654" t="str">
            <v>Regular Employee</v>
          </cell>
        </row>
        <row r="3655">
          <cell r="K3655">
            <v>25800</v>
          </cell>
          <cell r="P3655" t="str">
            <v>80111101-61021102</v>
          </cell>
          <cell r="S3655" t="str">
            <v>2026A-04</v>
          </cell>
          <cell r="T3655" t="str">
            <v>Regular Employee</v>
          </cell>
        </row>
        <row r="3656">
          <cell r="K3656">
            <v>50500</v>
          </cell>
          <cell r="P3656" t="str">
            <v>80111101-61021102</v>
          </cell>
          <cell r="S3656" t="str">
            <v>2026A-04</v>
          </cell>
          <cell r="T3656" t="str">
            <v>Regular Employee</v>
          </cell>
        </row>
        <row r="3657">
          <cell r="K3657">
            <v>3000</v>
          </cell>
          <cell r="P3657" t="str">
            <v>80111101-61021102</v>
          </cell>
          <cell r="S3657" t="str">
            <v>2026A-04</v>
          </cell>
          <cell r="T3657" t="str">
            <v>Regular Employee</v>
          </cell>
        </row>
        <row r="3658">
          <cell r="K3658">
            <v>229150</v>
          </cell>
          <cell r="P3658" t="str">
            <v>80111101-61021102</v>
          </cell>
          <cell r="S3658" t="str">
            <v>2026A-04</v>
          </cell>
          <cell r="T3658" t="str">
            <v>Regular Employee</v>
          </cell>
        </row>
        <row r="3659">
          <cell r="K3659">
            <v>-4.3499999999999996</v>
          </cell>
          <cell r="P3659" t="str">
            <v>80111101-61021102</v>
          </cell>
          <cell r="S3659" t="str">
            <v>2026A-04</v>
          </cell>
          <cell r="T3659" t="str">
            <v>Regular Employee</v>
          </cell>
        </row>
        <row r="3660">
          <cell r="K3660">
            <v>64800</v>
          </cell>
          <cell r="P3660" t="str">
            <v>80111101-61021102</v>
          </cell>
          <cell r="S3660" t="str">
            <v>2026A-04</v>
          </cell>
          <cell r="T3660" t="str">
            <v>Regular Employee</v>
          </cell>
        </row>
        <row r="3661">
          <cell r="K3661">
            <v>737300</v>
          </cell>
          <cell r="P3661" t="str">
            <v>80111101-61021102</v>
          </cell>
          <cell r="S3661" t="str">
            <v>2026A-04</v>
          </cell>
          <cell r="T3661" t="str">
            <v>Regular Employee</v>
          </cell>
        </row>
        <row r="3662">
          <cell r="K3662">
            <v>-4516.09</v>
          </cell>
          <cell r="P3662" t="str">
            <v>80111101-61021102</v>
          </cell>
          <cell r="S3662" t="str">
            <v>2026A-04</v>
          </cell>
          <cell r="T3662" t="str">
            <v>Regular Employee</v>
          </cell>
        </row>
        <row r="3663">
          <cell r="K3663">
            <v>5947.4</v>
          </cell>
          <cell r="P3663" t="str">
            <v>80111101-61021102</v>
          </cell>
          <cell r="S3663" t="str">
            <v>2026A-04</v>
          </cell>
          <cell r="T3663" t="str">
            <v>Regular Employee</v>
          </cell>
        </row>
        <row r="3664">
          <cell r="K3664">
            <v>543.36</v>
          </cell>
          <cell r="P3664" t="str">
            <v>80111101-61021102</v>
          </cell>
          <cell r="S3664" t="str">
            <v>2026A-04</v>
          </cell>
          <cell r="T3664" t="str">
            <v>Regular Employee</v>
          </cell>
        </row>
        <row r="3665">
          <cell r="K3665">
            <v>-2605.79</v>
          </cell>
          <cell r="P3665" t="str">
            <v>80111101-61021102</v>
          </cell>
          <cell r="S3665" t="str">
            <v>2026A-04</v>
          </cell>
          <cell r="T3665" t="str">
            <v>Regular Employee</v>
          </cell>
        </row>
        <row r="3666">
          <cell r="K3666">
            <v>-387.83</v>
          </cell>
          <cell r="P3666" t="str">
            <v>80111101-61021102</v>
          </cell>
          <cell r="S3666" t="str">
            <v>2026A-04</v>
          </cell>
          <cell r="T3666" t="str">
            <v>Regular Employee</v>
          </cell>
        </row>
        <row r="3667">
          <cell r="K3667">
            <v>283500</v>
          </cell>
          <cell r="P3667" t="str">
            <v>80111101-61021102</v>
          </cell>
          <cell r="S3667" t="str">
            <v>2026A-04</v>
          </cell>
          <cell r="T3667" t="str">
            <v>Regular Employee</v>
          </cell>
        </row>
        <row r="3668">
          <cell r="K3668">
            <v>5563.81</v>
          </cell>
          <cell r="P3668" t="str">
            <v>80111101-61021103</v>
          </cell>
          <cell r="S3668" t="str">
            <v>2026A-04</v>
          </cell>
          <cell r="T3668" t="str">
            <v>OT Pay</v>
          </cell>
        </row>
        <row r="3669">
          <cell r="K3669">
            <v>11962.5</v>
          </cell>
          <cell r="P3669" t="str">
            <v>80111101-61021103</v>
          </cell>
          <cell r="S3669" t="str">
            <v>2026A-04</v>
          </cell>
          <cell r="T3669" t="str">
            <v>OT Pay</v>
          </cell>
        </row>
        <row r="3670">
          <cell r="K3670">
            <v>5770.24</v>
          </cell>
          <cell r="P3670" t="str">
            <v>80111101-61021103</v>
          </cell>
          <cell r="S3670" t="str">
            <v>2026A-04</v>
          </cell>
          <cell r="T3670" t="str">
            <v>OT Pay</v>
          </cell>
        </row>
        <row r="3671">
          <cell r="K3671">
            <v>5000</v>
          </cell>
          <cell r="P3671" t="str">
            <v>80111101-61021309</v>
          </cell>
          <cell r="S3671" t="str">
            <v>2026A-04</v>
          </cell>
          <cell r="T3671" t="str">
            <v>Gas Allowance</v>
          </cell>
        </row>
        <row r="3672">
          <cell r="K3672">
            <v>10000</v>
          </cell>
          <cell r="P3672" t="str">
            <v>80111101-61021309</v>
          </cell>
          <cell r="S3672" t="str">
            <v>2026A-04</v>
          </cell>
          <cell r="T3672" t="str">
            <v>Gas Allowance</v>
          </cell>
        </row>
        <row r="3673">
          <cell r="K3673">
            <v>35000</v>
          </cell>
          <cell r="P3673" t="str">
            <v>80111101-61021309</v>
          </cell>
          <cell r="S3673" t="str">
            <v>2026A-04</v>
          </cell>
          <cell r="T3673" t="str">
            <v>Gas Allowance</v>
          </cell>
        </row>
        <row r="3674">
          <cell r="K3674">
            <v>4453.13</v>
          </cell>
          <cell r="P3674" t="str">
            <v>80124101-61711102</v>
          </cell>
          <cell r="S3674" t="str">
            <v>2026A-04</v>
          </cell>
          <cell r="T3674" t="str">
            <v>Meraki</v>
          </cell>
        </row>
        <row r="3675">
          <cell r="K3675">
            <v>87944.49</v>
          </cell>
          <cell r="P3675" t="str">
            <v>80124101-61711102</v>
          </cell>
          <cell r="S3675" t="str">
            <v>2026A-04</v>
          </cell>
          <cell r="T3675" t="str">
            <v>M365 Email Security</v>
          </cell>
        </row>
        <row r="3676">
          <cell r="K3676">
            <v>365145.17</v>
          </cell>
          <cell r="P3676" t="str">
            <v>80124101-61711102</v>
          </cell>
          <cell r="S3676" t="str">
            <v>2026A-04</v>
          </cell>
          <cell r="T3676" t="str">
            <v>M365</v>
          </cell>
        </row>
        <row r="3677">
          <cell r="K3677">
            <v>55803.57</v>
          </cell>
          <cell r="P3677" t="str">
            <v>80124101-61711102</v>
          </cell>
          <cell r="S3677" t="str">
            <v>2026A-04</v>
          </cell>
          <cell r="T3677" t="str">
            <v>Kaseya</v>
          </cell>
        </row>
        <row r="3678">
          <cell r="K3678">
            <v>117708.11</v>
          </cell>
          <cell r="P3678" t="str">
            <v>80124101-61711102</v>
          </cell>
          <cell r="S3678" t="str">
            <v>2026A-04</v>
          </cell>
          <cell r="T3678" t="str">
            <v>Menlo Cloud Internet</v>
          </cell>
        </row>
        <row r="3679">
          <cell r="K3679">
            <v>80512.86</v>
          </cell>
          <cell r="P3679" t="str">
            <v>80124101-61711102</v>
          </cell>
          <cell r="S3679" t="str">
            <v>2026A-04</v>
          </cell>
          <cell r="T3679" t="str">
            <v>Crowdstrike</v>
          </cell>
        </row>
        <row r="3680">
          <cell r="K3680">
            <v>381550.68</v>
          </cell>
          <cell r="P3680" t="str">
            <v>80124101-61711102</v>
          </cell>
          <cell r="S3680" t="str">
            <v>2026A-04</v>
          </cell>
          <cell r="T3680" t="str">
            <v>SAP</v>
          </cell>
        </row>
        <row r="3681">
          <cell r="K3681">
            <v>346041.67</v>
          </cell>
          <cell r="P3681" t="str">
            <v>80134102-61711101</v>
          </cell>
          <cell r="S3681" t="str">
            <v>2026A-04</v>
          </cell>
          <cell r="T3681" t="str">
            <v>Membership - Valle Verde</v>
          </cell>
        </row>
        <row r="3682">
          <cell r="K3682">
            <v>57589.29</v>
          </cell>
          <cell r="P3682" t="str">
            <v>80134102-61711101</v>
          </cell>
          <cell r="S3682" t="str">
            <v>2026A-04</v>
          </cell>
          <cell r="T3682" t="str">
            <v>Membership - Consumables</v>
          </cell>
        </row>
        <row r="3683">
          <cell r="K3683">
            <v>125625</v>
          </cell>
          <cell r="P3683" t="str">
            <v>80134102-61711101</v>
          </cell>
          <cell r="S3683" t="str">
            <v>2026A-04</v>
          </cell>
          <cell r="T3683" t="str">
            <v>Membership - OPE</v>
          </cell>
        </row>
        <row r="3684">
          <cell r="K3684">
            <v>4500</v>
          </cell>
          <cell r="P3684" t="str">
            <v>80123101-61711101</v>
          </cell>
          <cell r="S3684" t="str">
            <v>2026A-04</v>
          </cell>
          <cell r="T3684" t="str">
            <v>Dues and Fees - Legal</v>
          </cell>
        </row>
        <row r="3685">
          <cell r="K3685">
            <v>75392.75</v>
          </cell>
          <cell r="P3685" t="str">
            <v>80123102-61101104</v>
          </cell>
          <cell r="S3685" t="str">
            <v>2026A-04</v>
          </cell>
          <cell r="T3685" t="str">
            <v>Insurance Vehicle</v>
          </cell>
        </row>
        <row r="3686">
          <cell r="K3686">
            <v>5960.72</v>
          </cell>
          <cell r="P3686" t="str">
            <v>80123102-61101104</v>
          </cell>
          <cell r="S3686" t="str">
            <v>2026A-04</v>
          </cell>
          <cell r="T3686" t="str">
            <v>Insurance Vehicle</v>
          </cell>
        </row>
        <row r="3687">
          <cell r="K3687">
            <v>4552.5</v>
          </cell>
          <cell r="P3687" t="str">
            <v>80111101-61021301</v>
          </cell>
          <cell r="S3687" t="str">
            <v>2026A-04</v>
          </cell>
          <cell r="T3687" t="str">
            <v>Life Insurance</v>
          </cell>
        </row>
        <row r="3688">
          <cell r="K3688">
            <v>262.5</v>
          </cell>
          <cell r="P3688" t="str">
            <v>80111101-61021301</v>
          </cell>
          <cell r="S3688" t="str">
            <v>2026A-04</v>
          </cell>
          <cell r="T3688" t="str">
            <v>Life Insurance</v>
          </cell>
        </row>
        <row r="3689">
          <cell r="K3689">
            <v>231789.67</v>
          </cell>
          <cell r="P3689" t="str">
            <v>80111101-61021304</v>
          </cell>
          <cell r="S3689" t="str">
            <v>2026A-04</v>
          </cell>
          <cell r="T3689" t="str">
            <v>Retirement</v>
          </cell>
        </row>
        <row r="3690">
          <cell r="K3690">
            <v>159280.65</v>
          </cell>
          <cell r="P3690" t="str">
            <v>80123102-61041101</v>
          </cell>
          <cell r="S3690" t="str">
            <v>2026A-04</v>
          </cell>
          <cell r="T3690" t="str">
            <v>Electricity &amp; Water</v>
          </cell>
        </row>
        <row r="3691">
          <cell r="K3691">
            <v>552597.54</v>
          </cell>
          <cell r="P3691" t="str">
            <v>80111101-61021303</v>
          </cell>
          <cell r="S3691" t="str">
            <v>2026A-04</v>
          </cell>
          <cell r="T3691" t="str">
            <v>HMO</v>
          </cell>
        </row>
        <row r="3692">
          <cell r="K3692">
            <v>103946.2</v>
          </cell>
          <cell r="P3692" t="str">
            <v>80123102-61111201</v>
          </cell>
          <cell r="S3692" t="str">
            <v>2026A-04</v>
          </cell>
          <cell r="T3692" t="str">
            <v>Shell</v>
          </cell>
        </row>
        <row r="3693">
          <cell r="K3693">
            <v>41530</v>
          </cell>
          <cell r="P3693" t="str">
            <v>80124101-61721105</v>
          </cell>
          <cell r="S3693" t="str">
            <v>2026A-04</v>
          </cell>
          <cell r="T3693" t="str">
            <v>Innove - SC1</v>
          </cell>
        </row>
        <row r="3694">
          <cell r="K3694">
            <v>115000</v>
          </cell>
          <cell r="P3694" t="str">
            <v>80124101-61721105</v>
          </cell>
          <cell r="S3694" t="str">
            <v>2026A-04</v>
          </cell>
          <cell r="T3694" t="str">
            <v>Innove - HQ</v>
          </cell>
        </row>
        <row r="3695">
          <cell r="K3695">
            <v>47612.68</v>
          </cell>
          <cell r="P3695" t="str">
            <v>80123102-61721101</v>
          </cell>
          <cell r="S3695" t="str">
            <v>2026A-04</v>
          </cell>
          <cell r="T3695" t="str">
            <v>Mobile Phones</v>
          </cell>
        </row>
        <row r="3696">
          <cell r="K3696">
            <v>20000</v>
          </cell>
          <cell r="P3696" t="str">
            <v>80123101-61071005</v>
          </cell>
          <cell r="S3696" t="str">
            <v>2026A-04</v>
          </cell>
          <cell r="T3696" t="str">
            <v>Angara</v>
          </cell>
        </row>
        <row r="3697">
          <cell r="K3697">
            <v>20000</v>
          </cell>
          <cell r="P3697" t="str">
            <v>80123101-61071005</v>
          </cell>
          <cell r="S3697" t="str">
            <v>2026A-04</v>
          </cell>
          <cell r="T3697" t="str">
            <v>Angara</v>
          </cell>
        </row>
        <row r="3698">
          <cell r="K3698">
            <v>20000</v>
          </cell>
          <cell r="P3698" t="str">
            <v>80123101-61071005</v>
          </cell>
          <cell r="S3698" t="str">
            <v>2026A-04</v>
          </cell>
          <cell r="T3698" t="str">
            <v>Santiago</v>
          </cell>
        </row>
        <row r="3699">
          <cell r="K3699">
            <v>195050</v>
          </cell>
          <cell r="P3699" t="str">
            <v>81111101-52121101</v>
          </cell>
          <cell r="S3699" t="str">
            <v>2026A-04</v>
          </cell>
          <cell r="T3699" t="str">
            <v>Regular Employee</v>
          </cell>
        </row>
        <row r="3700">
          <cell r="K3700">
            <v>-4520.66</v>
          </cell>
          <cell r="P3700" t="str">
            <v>81111101-52121101</v>
          </cell>
          <cell r="S3700" t="str">
            <v>2026A-04</v>
          </cell>
          <cell r="T3700" t="str">
            <v>Regular Employee</v>
          </cell>
        </row>
        <row r="3701">
          <cell r="K3701">
            <v>-1399.03</v>
          </cell>
          <cell r="P3701" t="str">
            <v>81111101-52121101</v>
          </cell>
          <cell r="S3701" t="str">
            <v>2026A-04</v>
          </cell>
          <cell r="T3701" t="str">
            <v>Regular Employee</v>
          </cell>
        </row>
        <row r="3702">
          <cell r="K3702">
            <v>-1333.01</v>
          </cell>
          <cell r="P3702" t="str">
            <v>81111101-52121101</v>
          </cell>
          <cell r="S3702" t="str">
            <v>2026A-04</v>
          </cell>
          <cell r="T3702" t="str">
            <v>Regular Employee</v>
          </cell>
        </row>
        <row r="3703">
          <cell r="K3703">
            <v>38700</v>
          </cell>
          <cell r="P3703" t="str">
            <v>81111101-52121101</v>
          </cell>
          <cell r="S3703" t="str">
            <v>2026A-04</v>
          </cell>
          <cell r="T3703" t="str">
            <v>Regular Employee</v>
          </cell>
        </row>
        <row r="3704">
          <cell r="K3704">
            <v>256350</v>
          </cell>
          <cell r="P3704" t="str">
            <v>81111101-52121101</v>
          </cell>
          <cell r="S3704" t="str">
            <v>2026A-04</v>
          </cell>
          <cell r="T3704" t="str">
            <v>Regular Employee</v>
          </cell>
        </row>
        <row r="3705">
          <cell r="K3705">
            <v>-1516.05</v>
          </cell>
          <cell r="P3705" t="str">
            <v>81111101-52121101</v>
          </cell>
          <cell r="S3705" t="str">
            <v>2026A-04</v>
          </cell>
          <cell r="T3705" t="str">
            <v>Regular Employee</v>
          </cell>
        </row>
        <row r="3706">
          <cell r="K3706">
            <v>-841.53</v>
          </cell>
          <cell r="P3706" t="str">
            <v>81111101-52121101</v>
          </cell>
          <cell r="S3706" t="str">
            <v>2026A-04</v>
          </cell>
          <cell r="T3706" t="str">
            <v>Regular Employee</v>
          </cell>
        </row>
        <row r="3707">
          <cell r="K3707">
            <v>-1637.07</v>
          </cell>
          <cell r="P3707" t="str">
            <v>81111101-52121101</v>
          </cell>
          <cell r="S3707" t="str">
            <v>2026A-04</v>
          </cell>
          <cell r="T3707" t="str">
            <v>Regular Employee</v>
          </cell>
        </row>
        <row r="3708">
          <cell r="K3708">
            <v>120900</v>
          </cell>
          <cell r="P3708" t="str">
            <v>81111101-52121101</v>
          </cell>
          <cell r="S3708" t="str">
            <v>2026A-04</v>
          </cell>
          <cell r="T3708" t="str">
            <v>Regular Employee</v>
          </cell>
        </row>
        <row r="3709">
          <cell r="K3709">
            <v>110900</v>
          </cell>
          <cell r="P3709" t="str">
            <v>81111101-52121101</v>
          </cell>
          <cell r="S3709" t="str">
            <v>2026A-04</v>
          </cell>
          <cell r="T3709" t="str">
            <v>Regular Employee</v>
          </cell>
        </row>
        <row r="3710">
          <cell r="K3710">
            <v>1937.42</v>
          </cell>
          <cell r="P3710" t="str">
            <v>81111101-52121101</v>
          </cell>
          <cell r="S3710" t="str">
            <v>2026A-04</v>
          </cell>
          <cell r="T3710" t="str">
            <v>Regular Employee</v>
          </cell>
        </row>
        <row r="3711">
          <cell r="K3711">
            <v>-15.23</v>
          </cell>
          <cell r="P3711" t="str">
            <v>81111101-52121101</v>
          </cell>
          <cell r="S3711" t="str">
            <v>2026A-04</v>
          </cell>
          <cell r="T3711" t="str">
            <v>Regular Employee</v>
          </cell>
        </row>
        <row r="3712">
          <cell r="K3712">
            <v>-615.14</v>
          </cell>
          <cell r="P3712" t="str">
            <v>81111101-52121101</v>
          </cell>
          <cell r="S3712" t="str">
            <v>2026A-04</v>
          </cell>
          <cell r="T3712" t="str">
            <v>Regular Employee</v>
          </cell>
        </row>
        <row r="3713">
          <cell r="K3713">
            <v>39300</v>
          </cell>
          <cell r="P3713" t="str">
            <v>81111101-52121101</v>
          </cell>
          <cell r="S3713" t="str">
            <v>2026A-04</v>
          </cell>
          <cell r="T3713" t="str">
            <v>Regular Employee</v>
          </cell>
        </row>
        <row r="3714">
          <cell r="K3714">
            <v>1096450</v>
          </cell>
          <cell r="P3714" t="str">
            <v>81111101-52121101</v>
          </cell>
          <cell r="S3714" t="str">
            <v>2026A-04</v>
          </cell>
          <cell r="T3714" t="str">
            <v>Regular Employee</v>
          </cell>
        </row>
        <row r="3715">
          <cell r="K3715">
            <v>16607.849999999999</v>
          </cell>
          <cell r="P3715" t="str">
            <v>81111101-52121101</v>
          </cell>
          <cell r="S3715" t="str">
            <v>2026A-04</v>
          </cell>
          <cell r="T3715" t="str">
            <v>Regular Employee</v>
          </cell>
        </row>
        <row r="3716">
          <cell r="K3716">
            <v>1603.75</v>
          </cell>
          <cell r="P3716" t="str">
            <v>81111101-52121101</v>
          </cell>
          <cell r="S3716" t="str">
            <v>2026A-04</v>
          </cell>
          <cell r="T3716" t="str">
            <v>Regular Employee</v>
          </cell>
        </row>
        <row r="3717">
          <cell r="K3717">
            <v>-14363.55</v>
          </cell>
          <cell r="P3717" t="str">
            <v>81111101-52121101</v>
          </cell>
          <cell r="S3717" t="str">
            <v>2026A-04</v>
          </cell>
          <cell r="T3717" t="str">
            <v>Regular Employee</v>
          </cell>
        </row>
        <row r="3718">
          <cell r="K3718">
            <v>-1781.31</v>
          </cell>
          <cell r="P3718" t="str">
            <v>81111101-52121101</v>
          </cell>
          <cell r="S3718" t="str">
            <v>2026A-04</v>
          </cell>
          <cell r="T3718" t="str">
            <v>Regular Employee</v>
          </cell>
        </row>
        <row r="3719">
          <cell r="K3719">
            <v>-8809.4599999999991</v>
          </cell>
          <cell r="P3719" t="str">
            <v>81111101-52121101</v>
          </cell>
          <cell r="S3719" t="str">
            <v>2026A-04</v>
          </cell>
          <cell r="T3719" t="str">
            <v>Regular Employee</v>
          </cell>
        </row>
        <row r="3720">
          <cell r="K3720">
            <v>416400</v>
          </cell>
          <cell r="P3720" t="str">
            <v>81111101-52121101</v>
          </cell>
          <cell r="S3720" t="str">
            <v>2026A-04</v>
          </cell>
          <cell r="T3720" t="str">
            <v>Regular Employee</v>
          </cell>
        </row>
        <row r="3721">
          <cell r="K3721">
            <v>147650</v>
          </cell>
          <cell r="P3721" t="str">
            <v>81111101-52121101</v>
          </cell>
          <cell r="S3721" t="str">
            <v>2026A-04</v>
          </cell>
          <cell r="T3721" t="str">
            <v>Regular Employee</v>
          </cell>
        </row>
        <row r="3722">
          <cell r="K3722">
            <v>2761.86</v>
          </cell>
          <cell r="P3722" t="str">
            <v>81111101-52121101</v>
          </cell>
          <cell r="S3722" t="str">
            <v>2026A-04</v>
          </cell>
          <cell r="T3722" t="str">
            <v>Regular Employee</v>
          </cell>
        </row>
        <row r="3723">
          <cell r="K3723">
            <v>-7900.86</v>
          </cell>
          <cell r="P3723" t="str">
            <v>81111101-52121101</v>
          </cell>
          <cell r="S3723" t="str">
            <v>2026A-04</v>
          </cell>
          <cell r="T3723" t="str">
            <v>Regular Employee</v>
          </cell>
        </row>
        <row r="3724">
          <cell r="K3724">
            <v>-1169.93</v>
          </cell>
          <cell r="P3724" t="str">
            <v>81111101-52121101</v>
          </cell>
          <cell r="S3724" t="str">
            <v>2026A-04</v>
          </cell>
          <cell r="T3724" t="str">
            <v>Regular Employee</v>
          </cell>
        </row>
        <row r="3725">
          <cell r="K3725">
            <v>-421.05</v>
          </cell>
          <cell r="P3725" t="str">
            <v>81111101-52121101</v>
          </cell>
          <cell r="S3725" t="str">
            <v>2026A-04</v>
          </cell>
          <cell r="T3725" t="str">
            <v>Regular Employee</v>
          </cell>
        </row>
        <row r="3726">
          <cell r="K3726">
            <v>56400</v>
          </cell>
          <cell r="P3726" t="str">
            <v>81111101-52121101</v>
          </cell>
          <cell r="S3726" t="str">
            <v>2026A-04</v>
          </cell>
          <cell r="T3726" t="str">
            <v>Regular Employee</v>
          </cell>
        </row>
        <row r="3727">
          <cell r="K3727">
            <v>15222.53</v>
          </cell>
          <cell r="P3727" t="str">
            <v>81111101-52121102</v>
          </cell>
          <cell r="S3727" t="str">
            <v>2026A-04</v>
          </cell>
          <cell r="T3727" t="str">
            <v>OT Pay</v>
          </cell>
        </row>
        <row r="3728">
          <cell r="K3728">
            <v>1385.01</v>
          </cell>
          <cell r="P3728" t="str">
            <v>81111101-52121102</v>
          </cell>
          <cell r="S3728" t="str">
            <v>2026A-04</v>
          </cell>
          <cell r="T3728" t="str">
            <v>OT Pay</v>
          </cell>
        </row>
        <row r="3729">
          <cell r="K3729">
            <v>1727.35</v>
          </cell>
          <cell r="P3729" t="str">
            <v>81111101-52121102</v>
          </cell>
          <cell r="S3729" t="str">
            <v>2026A-04</v>
          </cell>
          <cell r="T3729" t="str">
            <v>OT Pay</v>
          </cell>
        </row>
        <row r="3730">
          <cell r="K3730">
            <v>2362.88</v>
          </cell>
          <cell r="P3730" t="str">
            <v>81111101-52121102</v>
          </cell>
          <cell r="S3730" t="str">
            <v>2026A-04</v>
          </cell>
          <cell r="T3730" t="str">
            <v>OT Pay</v>
          </cell>
        </row>
        <row r="3731">
          <cell r="K3731">
            <v>20913.93</v>
          </cell>
          <cell r="P3731" t="str">
            <v>81111101-52121102</v>
          </cell>
          <cell r="S3731" t="str">
            <v>2026A-04</v>
          </cell>
          <cell r="T3731" t="str">
            <v>OT Pay</v>
          </cell>
        </row>
        <row r="3732">
          <cell r="K3732">
            <v>7493.41</v>
          </cell>
          <cell r="P3732" t="str">
            <v>81111101-52121102</v>
          </cell>
          <cell r="S3732" t="str">
            <v>2026A-04</v>
          </cell>
          <cell r="T3732" t="str">
            <v>OT Pay</v>
          </cell>
        </row>
        <row r="3733">
          <cell r="K3733">
            <v>15600</v>
          </cell>
          <cell r="P3733" t="str">
            <v>81111101-52121103</v>
          </cell>
          <cell r="S3733" t="str">
            <v>2026A-04</v>
          </cell>
          <cell r="T3733" t="str">
            <v>OT Pay</v>
          </cell>
        </row>
        <row r="3734">
          <cell r="K3734">
            <v>2800</v>
          </cell>
          <cell r="P3734" t="str">
            <v>81111101-52121103</v>
          </cell>
          <cell r="S3734" t="str">
            <v>2026A-04</v>
          </cell>
          <cell r="T3734" t="str">
            <v>OT Pay</v>
          </cell>
        </row>
        <row r="3735">
          <cell r="K3735">
            <v>14800</v>
          </cell>
          <cell r="P3735" t="str">
            <v>81111101-52121103</v>
          </cell>
          <cell r="S3735" t="str">
            <v>2026A-04</v>
          </cell>
          <cell r="T3735" t="str">
            <v>OT Pay</v>
          </cell>
        </row>
        <row r="3736">
          <cell r="K3736">
            <v>2020</v>
          </cell>
          <cell r="P3736" t="str">
            <v>81111101-52121305</v>
          </cell>
          <cell r="S3736" t="str">
            <v>2026A-04</v>
          </cell>
          <cell r="T3736" t="str">
            <v>SSS</v>
          </cell>
        </row>
        <row r="3737">
          <cell r="K3737">
            <v>5000</v>
          </cell>
          <cell r="P3737" t="str">
            <v>81111101-52121308</v>
          </cell>
          <cell r="S3737" t="str">
            <v>2026A-04</v>
          </cell>
          <cell r="T3737" t="str">
            <v>Gas Allowance</v>
          </cell>
        </row>
        <row r="3738">
          <cell r="K3738">
            <v>45000</v>
          </cell>
          <cell r="P3738" t="str">
            <v>81111101-52121308</v>
          </cell>
          <cell r="S3738" t="str">
            <v>2026A-04</v>
          </cell>
          <cell r="T3738" t="str">
            <v>Gas Allowance</v>
          </cell>
        </row>
        <row r="3739">
          <cell r="K3739">
            <v>455000</v>
          </cell>
          <cell r="P3739" t="str">
            <v>81122101-52071104</v>
          </cell>
          <cell r="S3739" t="str">
            <v>2026A-04</v>
          </cell>
          <cell r="T3739" t="str">
            <v>INTCNSLTNT</v>
          </cell>
        </row>
        <row r="3740">
          <cell r="K3740">
            <v>12000</v>
          </cell>
          <cell r="P3740" t="str">
            <v>81122101-52071104</v>
          </cell>
          <cell r="S3740" t="str">
            <v>2026A-04</v>
          </cell>
          <cell r="T3740" t="str">
            <v>INTCNSLTNT</v>
          </cell>
        </row>
        <row r="3741">
          <cell r="K3741">
            <v>-12091.61</v>
          </cell>
          <cell r="P3741" t="str">
            <v>81122101-52071104</v>
          </cell>
          <cell r="S3741" t="str">
            <v>2026A-04</v>
          </cell>
          <cell r="T3741" t="str">
            <v>INTCNSLTNT</v>
          </cell>
        </row>
        <row r="3742">
          <cell r="K3742">
            <v>58100</v>
          </cell>
          <cell r="P3742" t="str">
            <v>81122101-52071104</v>
          </cell>
          <cell r="S3742" t="str">
            <v>2026A-04</v>
          </cell>
          <cell r="T3742" t="str">
            <v>INTCNSLTNT</v>
          </cell>
        </row>
        <row r="3743">
          <cell r="K3743">
            <v>303089.17</v>
          </cell>
          <cell r="P3743" t="str">
            <v>81111101-52121304</v>
          </cell>
          <cell r="S3743" t="str">
            <v>2026A-04</v>
          </cell>
          <cell r="T3743" t="str">
            <v>Retirement</v>
          </cell>
        </row>
        <row r="3744">
          <cell r="K3744">
            <v>2550</v>
          </cell>
          <cell r="P3744" t="str">
            <v>90111101-52081103</v>
          </cell>
          <cell r="S3744" t="str">
            <v>2026A-04</v>
          </cell>
          <cell r="T3744" t="str">
            <v>Meal Allowance</v>
          </cell>
        </row>
        <row r="3745">
          <cell r="K3745">
            <v>3600</v>
          </cell>
          <cell r="P3745" t="str">
            <v>90111101-52081103</v>
          </cell>
          <cell r="S3745" t="str">
            <v>2026A-04</v>
          </cell>
          <cell r="T3745" t="str">
            <v>Meal Allowance</v>
          </cell>
        </row>
        <row r="3746">
          <cell r="K3746">
            <v>3236050</v>
          </cell>
          <cell r="P3746" t="str">
            <v>90111101-52121101</v>
          </cell>
          <cell r="S3746" t="str">
            <v>2026A-04</v>
          </cell>
          <cell r="T3746" t="str">
            <v>Regular Employee</v>
          </cell>
        </row>
        <row r="3747">
          <cell r="K3747">
            <v>2175.6</v>
          </cell>
          <cell r="P3747" t="str">
            <v>90111101-52121101</v>
          </cell>
          <cell r="S3747" t="str">
            <v>2026A-04</v>
          </cell>
          <cell r="T3747" t="str">
            <v>Regular Employee</v>
          </cell>
        </row>
        <row r="3748">
          <cell r="K3748">
            <v>-1509.63</v>
          </cell>
          <cell r="P3748" t="str">
            <v>90111101-52121101</v>
          </cell>
          <cell r="S3748" t="str">
            <v>2026A-04</v>
          </cell>
          <cell r="T3748" t="str">
            <v>Regular Employee</v>
          </cell>
        </row>
        <row r="3749">
          <cell r="K3749">
            <v>-1805.35</v>
          </cell>
          <cell r="P3749" t="str">
            <v>90111101-52121101</v>
          </cell>
          <cell r="S3749" t="str">
            <v>2026A-04</v>
          </cell>
          <cell r="T3749" t="str">
            <v>Regular Employee</v>
          </cell>
        </row>
        <row r="3750">
          <cell r="K3750">
            <v>-16053.63</v>
          </cell>
          <cell r="P3750" t="str">
            <v>90111101-52121101</v>
          </cell>
          <cell r="S3750" t="str">
            <v>2026A-04</v>
          </cell>
          <cell r="T3750" t="str">
            <v>Regular Employee</v>
          </cell>
        </row>
        <row r="3751">
          <cell r="K3751">
            <v>-4749.68</v>
          </cell>
          <cell r="P3751" t="str">
            <v>90111101-52121101</v>
          </cell>
          <cell r="S3751" t="str">
            <v>2026A-04</v>
          </cell>
          <cell r="T3751" t="str">
            <v>Regular Employee</v>
          </cell>
        </row>
        <row r="3752">
          <cell r="K3752">
            <v>701400</v>
          </cell>
          <cell r="P3752" t="str">
            <v>90111101-52121101</v>
          </cell>
          <cell r="S3752" t="str">
            <v>2026A-04</v>
          </cell>
          <cell r="T3752" t="str">
            <v>Regular Employee</v>
          </cell>
        </row>
        <row r="3753">
          <cell r="K3753">
            <v>734400</v>
          </cell>
          <cell r="P3753" t="str">
            <v>90111101-52121101</v>
          </cell>
          <cell r="S3753" t="str">
            <v>2026A-04</v>
          </cell>
          <cell r="T3753" t="str">
            <v>Regular Employee</v>
          </cell>
        </row>
        <row r="3754">
          <cell r="K3754">
            <v>-44.89</v>
          </cell>
          <cell r="P3754" t="str">
            <v>90111101-52121101</v>
          </cell>
          <cell r="S3754" t="str">
            <v>2026A-04</v>
          </cell>
          <cell r="T3754" t="str">
            <v>Regular Employee</v>
          </cell>
        </row>
        <row r="3755">
          <cell r="K3755">
            <v>97200</v>
          </cell>
          <cell r="P3755" t="str">
            <v>90111101-52121101</v>
          </cell>
          <cell r="S3755" t="str">
            <v>2026A-04</v>
          </cell>
          <cell r="T3755" t="str">
            <v>Regular Employee</v>
          </cell>
        </row>
        <row r="3756">
          <cell r="K3756">
            <v>2195650</v>
          </cell>
          <cell r="P3756" t="str">
            <v>90111101-52121101</v>
          </cell>
          <cell r="S3756" t="str">
            <v>2026A-04</v>
          </cell>
          <cell r="T3756" t="str">
            <v>Regular Employee</v>
          </cell>
        </row>
        <row r="3757">
          <cell r="K3757">
            <v>241.86</v>
          </cell>
          <cell r="P3757" t="str">
            <v>90111101-52121101</v>
          </cell>
          <cell r="S3757" t="str">
            <v>2026A-04</v>
          </cell>
          <cell r="T3757" t="str">
            <v>Regular Employee</v>
          </cell>
        </row>
        <row r="3758">
          <cell r="K3758">
            <v>4440.51</v>
          </cell>
          <cell r="P3758" t="str">
            <v>90111101-52121101</v>
          </cell>
          <cell r="S3758" t="str">
            <v>2026A-04</v>
          </cell>
          <cell r="T3758" t="str">
            <v>Regular Employee</v>
          </cell>
        </row>
        <row r="3759">
          <cell r="K3759">
            <v>-5299.75</v>
          </cell>
          <cell r="P3759" t="str">
            <v>90111101-52121101</v>
          </cell>
          <cell r="S3759" t="str">
            <v>2026A-04</v>
          </cell>
          <cell r="T3759" t="str">
            <v>Regular Employee</v>
          </cell>
        </row>
        <row r="3760">
          <cell r="K3760">
            <v>-1314.96</v>
          </cell>
          <cell r="P3760" t="str">
            <v>90111101-52121101</v>
          </cell>
          <cell r="S3760" t="str">
            <v>2026A-04</v>
          </cell>
          <cell r="T3760" t="str">
            <v>Regular Employee</v>
          </cell>
        </row>
        <row r="3761">
          <cell r="K3761">
            <v>-12918.46</v>
          </cell>
          <cell r="P3761" t="str">
            <v>90111101-52121101</v>
          </cell>
          <cell r="S3761" t="str">
            <v>2026A-04</v>
          </cell>
          <cell r="T3761" t="str">
            <v>Regular Employee</v>
          </cell>
        </row>
        <row r="3762">
          <cell r="K3762">
            <v>-3119.13</v>
          </cell>
          <cell r="P3762" t="str">
            <v>90111101-52121101</v>
          </cell>
          <cell r="S3762" t="str">
            <v>2026A-04</v>
          </cell>
          <cell r="T3762" t="str">
            <v>Regular Employee</v>
          </cell>
        </row>
        <row r="3763">
          <cell r="K3763">
            <v>591600</v>
          </cell>
          <cell r="P3763" t="str">
            <v>90111101-52121101</v>
          </cell>
          <cell r="S3763" t="str">
            <v>2026A-04</v>
          </cell>
          <cell r="T3763" t="str">
            <v>Regular Employee</v>
          </cell>
        </row>
        <row r="3764">
          <cell r="K3764">
            <v>1495925</v>
          </cell>
          <cell r="P3764" t="str">
            <v>90111101-52121101</v>
          </cell>
          <cell r="S3764" t="str">
            <v>2026A-04</v>
          </cell>
          <cell r="T3764" t="str">
            <v>Regular Employee</v>
          </cell>
        </row>
        <row r="3765">
          <cell r="K3765">
            <v>5221.4399999999996</v>
          </cell>
          <cell r="P3765" t="str">
            <v>90111101-52121101</v>
          </cell>
          <cell r="S3765" t="str">
            <v>2026A-04</v>
          </cell>
          <cell r="T3765" t="str">
            <v>Regular Employee</v>
          </cell>
        </row>
        <row r="3766">
          <cell r="K3766">
            <v>709200</v>
          </cell>
          <cell r="P3766" t="str">
            <v>90111101-52121101</v>
          </cell>
          <cell r="S3766" t="str">
            <v>2026A-04</v>
          </cell>
          <cell r="T3766" t="str">
            <v>Regular Employee</v>
          </cell>
        </row>
        <row r="3767">
          <cell r="K3767">
            <v>27950</v>
          </cell>
          <cell r="P3767" t="str">
            <v>90111101-52121101</v>
          </cell>
          <cell r="S3767" t="str">
            <v>2026A-04</v>
          </cell>
          <cell r="T3767" t="str">
            <v>Regular Employee</v>
          </cell>
        </row>
        <row r="3768">
          <cell r="K3768">
            <v>-12.8</v>
          </cell>
          <cell r="P3768" t="str">
            <v>90111101-52121101</v>
          </cell>
          <cell r="S3768" t="str">
            <v>2026A-04</v>
          </cell>
          <cell r="T3768" t="str">
            <v>Regular Employee</v>
          </cell>
        </row>
        <row r="3769">
          <cell r="K3769">
            <v>5400</v>
          </cell>
          <cell r="P3769" t="str">
            <v>90111101-52121101</v>
          </cell>
          <cell r="S3769" t="str">
            <v>2026A-04</v>
          </cell>
          <cell r="T3769" t="str">
            <v>Regular Employee</v>
          </cell>
        </row>
        <row r="3770">
          <cell r="K3770">
            <v>526250</v>
          </cell>
          <cell r="P3770" t="str">
            <v>90111101-52121101</v>
          </cell>
          <cell r="S3770" t="str">
            <v>2026A-04</v>
          </cell>
          <cell r="T3770" t="str">
            <v>Regular Employee</v>
          </cell>
        </row>
        <row r="3771">
          <cell r="K3771">
            <v>900.01</v>
          </cell>
          <cell r="P3771" t="str">
            <v>90111101-52121101</v>
          </cell>
          <cell r="S3771" t="str">
            <v>2026A-04</v>
          </cell>
          <cell r="T3771" t="str">
            <v>Regular Employee</v>
          </cell>
        </row>
        <row r="3772">
          <cell r="K3772">
            <v>-2545.7800000000002</v>
          </cell>
          <cell r="P3772" t="str">
            <v>90111101-52121101</v>
          </cell>
          <cell r="S3772" t="str">
            <v>2026A-04</v>
          </cell>
          <cell r="T3772" t="str">
            <v>Regular Employee</v>
          </cell>
        </row>
        <row r="3773">
          <cell r="K3773">
            <v>-1326.63</v>
          </cell>
          <cell r="P3773" t="str">
            <v>90111101-52121101</v>
          </cell>
          <cell r="S3773" t="str">
            <v>2026A-04</v>
          </cell>
          <cell r="T3773" t="str">
            <v>Regular Employee</v>
          </cell>
        </row>
        <row r="3774">
          <cell r="K3774">
            <v>-2519.12</v>
          </cell>
          <cell r="P3774" t="str">
            <v>90111101-52121101</v>
          </cell>
          <cell r="S3774" t="str">
            <v>2026A-04</v>
          </cell>
          <cell r="T3774" t="str">
            <v>Regular Employee</v>
          </cell>
        </row>
        <row r="3775">
          <cell r="K3775">
            <v>192300</v>
          </cell>
          <cell r="P3775" t="str">
            <v>90111101-52121101</v>
          </cell>
          <cell r="S3775" t="str">
            <v>2026A-04</v>
          </cell>
          <cell r="T3775" t="str">
            <v>Regular Employee</v>
          </cell>
        </row>
        <row r="3776">
          <cell r="K3776">
            <v>497600</v>
          </cell>
          <cell r="P3776" t="str">
            <v>90111101-52121101</v>
          </cell>
          <cell r="S3776" t="str">
            <v>2026A-04</v>
          </cell>
          <cell r="T3776" t="str">
            <v>Regular Employee</v>
          </cell>
        </row>
        <row r="3777">
          <cell r="K3777">
            <v>1969.49</v>
          </cell>
          <cell r="P3777" t="str">
            <v>90111101-52121101</v>
          </cell>
          <cell r="S3777" t="str">
            <v>2026A-04</v>
          </cell>
          <cell r="T3777" t="str">
            <v>Regular Employee</v>
          </cell>
        </row>
        <row r="3778">
          <cell r="K3778">
            <v>-1050.8699999999999</v>
          </cell>
          <cell r="P3778" t="str">
            <v>90111101-52121101</v>
          </cell>
          <cell r="S3778" t="str">
            <v>2026A-04</v>
          </cell>
          <cell r="T3778" t="str">
            <v>Regular Employee</v>
          </cell>
        </row>
        <row r="3779">
          <cell r="K3779">
            <v>-29.06</v>
          </cell>
          <cell r="P3779" t="str">
            <v>90111101-52121101</v>
          </cell>
          <cell r="S3779" t="str">
            <v>2026A-04</v>
          </cell>
          <cell r="T3779" t="str">
            <v>Regular Employee</v>
          </cell>
        </row>
        <row r="3780">
          <cell r="K3780">
            <v>163500</v>
          </cell>
          <cell r="P3780" t="str">
            <v>90111101-52121101</v>
          </cell>
          <cell r="S3780" t="str">
            <v>2026A-04</v>
          </cell>
          <cell r="T3780" t="str">
            <v>Regular Employee</v>
          </cell>
        </row>
        <row r="3781">
          <cell r="K3781">
            <v>13300</v>
          </cell>
          <cell r="P3781" t="str">
            <v>90111101-52121101</v>
          </cell>
          <cell r="S3781" t="str">
            <v>2026A-04</v>
          </cell>
          <cell r="T3781" t="str">
            <v>Regular Employee</v>
          </cell>
        </row>
        <row r="3782">
          <cell r="K3782">
            <v>5229.26</v>
          </cell>
          <cell r="P3782" t="str">
            <v>90111101-52121102</v>
          </cell>
          <cell r="S3782" t="str">
            <v>2026A-04</v>
          </cell>
          <cell r="T3782" t="str">
            <v>OT Pay</v>
          </cell>
        </row>
        <row r="3783">
          <cell r="K3783">
            <v>3827.99</v>
          </cell>
          <cell r="P3783" t="str">
            <v>90111101-52121102</v>
          </cell>
          <cell r="S3783" t="str">
            <v>2026A-04</v>
          </cell>
          <cell r="T3783" t="str">
            <v>OT Pay</v>
          </cell>
        </row>
        <row r="3784">
          <cell r="K3784">
            <v>15407.62</v>
          </cell>
          <cell r="P3784" t="str">
            <v>90111101-52121102</v>
          </cell>
          <cell r="S3784" t="str">
            <v>2026A-04</v>
          </cell>
          <cell r="T3784" t="str">
            <v>OT Pay</v>
          </cell>
        </row>
        <row r="3785">
          <cell r="K3785">
            <v>3589.22</v>
          </cell>
          <cell r="P3785" t="str">
            <v>90111101-52121102</v>
          </cell>
          <cell r="S3785" t="str">
            <v>2026A-04</v>
          </cell>
          <cell r="T3785" t="str">
            <v>OT Pay</v>
          </cell>
        </row>
        <row r="3786">
          <cell r="K3786">
            <v>3409.3</v>
          </cell>
          <cell r="P3786" t="str">
            <v>90111101-52121102</v>
          </cell>
          <cell r="S3786" t="str">
            <v>2026A-04</v>
          </cell>
          <cell r="T3786" t="str">
            <v>OT Pay</v>
          </cell>
        </row>
        <row r="3787">
          <cell r="K3787">
            <v>3256.42</v>
          </cell>
          <cell r="P3787" t="str">
            <v>90111101-52121102</v>
          </cell>
          <cell r="S3787" t="str">
            <v>2026A-04</v>
          </cell>
          <cell r="T3787" t="str">
            <v>OT Pay</v>
          </cell>
        </row>
        <row r="3788">
          <cell r="K3788">
            <v>898.72</v>
          </cell>
          <cell r="P3788" t="str">
            <v>90111101-52121102</v>
          </cell>
          <cell r="S3788" t="str">
            <v>2026A-04</v>
          </cell>
          <cell r="T3788" t="str">
            <v>OT Pay</v>
          </cell>
        </row>
        <row r="3789">
          <cell r="K3789">
            <v>2400</v>
          </cell>
          <cell r="P3789" t="str">
            <v>90111101-52121103</v>
          </cell>
          <cell r="S3789" t="str">
            <v>2026A-04</v>
          </cell>
          <cell r="T3789" t="str">
            <v>OT Pay</v>
          </cell>
        </row>
        <row r="3790">
          <cell r="K3790">
            <v>2400</v>
          </cell>
          <cell r="P3790" t="str">
            <v>90111101-52121103</v>
          </cell>
          <cell r="S3790" t="str">
            <v>2026A-04</v>
          </cell>
          <cell r="T3790" t="str">
            <v>OT Pay</v>
          </cell>
        </row>
        <row r="3791">
          <cell r="K3791">
            <v>200</v>
          </cell>
          <cell r="P3791" t="str">
            <v>90111101-52121305</v>
          </cell>
          <cell r="S3791" t="str">
            <v>2026A-04</v>
          </cell>
          <cell r="T3791" t="str">
            <v>SSS</v>
          </cell>
        </row>
        <row r="3792">
          <cell r="K3792">
            <v>275500</v>
          </cell>
          <cell r="P3792" t="str">
            <v>90111101-52121308</v>
          </cell>
          <cell r="S3792" t="str">
            <v>2026A-04</v>
          </cell>
          <cell r="T3792" t="str">
            <v>Gas Allowance</v>
          </cell>
        </row>
        <row r="3793">
          <cell r="K3793">
            <v>29000</v>
          </cell>
          <cell r="P3793" t="str">
            <v>90111101-52121308</v>
          </cell>
          <cell r="S3793" t="str">
            <v>2026A-04</v>
          </cell>
          <cell r="T3793" t="str">
            <v>Gas Allowance</v>
          </cell>
        </row>
        <row r="3794">
          <cell r="K3794">
            <v>185500</v>
          </cell>
          <cell r="P3794" t="str">
            <v>90111101-52121308</v>
          </cell>
          <cell r="S3794" t="str">
            <v>2026A-04</v>
          </cell>
          <cell r="T3794" t="str">
            <v>Gas Allowance</v>
          </cell>
        </row>
        <row r="3795">
          <cell r="K3795">
            <v>48000</v>
          </cell>
          <cell r="P3795" t="str">
            <v>90111101-52121308</v>
          </cell>
          <cell r="S3795" t="str">
            <v>2026A-04</v>
          </cell>
          <cell r="T3795" t="str">
            <v>Gas Allowance</v>
          </cell>
        </row>
        <row r="3796">
          <cell r="K3796">
            <v>53750</v>
          </cell>
          <cell r="P3796" t="str">
            <v>90111101-52121308</v>
          </cell>
          <cell r="S3796" t="str">
            <v>2026A-04</v>
          </cell>
          <cell r="T3796" t="str">
            <v>Gas Allowance</v>
          </cell>
        </row>
        <row r="3797">
          <cell r="K3797">
            <v>78250</v>
          </cell>
          <cell r="P3797" t="str">
            <v>90111101-52121308</v>
          </cell>
          <cell r="S3797" t="str">
            <v>2026A-04</v>
          </cell>
          <cell r="T3797" t="str">
            <v>Gas Allowance</v>
          </cell>
        </row>
        <row r="3798">
          <cell r="K3798">
            <v>372955.41</v>
          </cell>
          <cell r="P3798" t="str">
            <v>90111101-52031101</v>
          </cell>
          <cell r="S3798" t="str">
            <v>2026A-04</v>
          </cell>
          <cell r="T3798" t="str">
            <v>Other Taxes</v>
          </cell>
        </row>
        <row r="3799">
          <cell r="K3799">
            <v>1442.91</v>
          </cell>
          <cell r="P3799" t="str">
            <v>90111101-52031101</v>
          </cell>
          <cell r="S3799" t="str">
            <v>2026A-04</v>
          </cell>
          <cell r="T3799" t="str">
            <v>Other Taxes</v>
          </cell>
        </row>
        <row r="3800">
          <cell r="K3800">
            <v>16817.080000000002</v>
          </cell>
          <cell r="P3800" t="str">
            <v>90111101-52121301</v>
          </cell>
          <cell r="S3800" t="str">
            <v>2026A-04</v>
          </cell>
          <cell r="T3800" t="str">
            <v>Sun Life - MDIA</v>
          </cell>
        </row>
        <row r="3801">
          <cell r="K3801">
            <v>26077.5</v>
          </cell>
          <cell r="P3801" t="str">
            <v>90111101-52121301</v>
          </cell>
          <cell r="S3801" t="str">
            <v>2026A-04</v>
          </cell>
          <cell r="T3801" t="str">
            <v>Life Insurance</v>
          </cell>
        </row>
        <row r="3802">
          <cell r="K3802">
            <v>38124.080000000002</v>
          </cell>
          <cell r="P3802" t="str">
            <v>90111101-52121303</v>
          </cell>
          <cell r="S3802" t="str">
            <v>2026A-04</v>
          </cell>
          <cell r="T3802" t="str">
            <v>Pacific Cross Insurance Policy (USD) - MDIA</v>
          </cell>
        </row>
        <row r="3803">
          <cell r="K3803">
            <v>36842.11</v>
          </cell>
          <cell r="P3803" t="str">
            <v>90122101-52071104</v>
          </cell>
          <cell r="S3803" t="str">
            <v>2026A-04</v>
          </cell>
          <cell r="T3803" t="str">
            <v>HRIS Tirso</v>
          </cell>
        </row>
        <row r="3804">
          <cell r="K3804">
            <v>30416.67</v>
          </cell>
          <cell r="P3804" t="str">
            <v>90111101-52101107</v>
          </cell>
          <cell r="S3804" t="str">
            <v>2026A-04</v>
          </cell>
          <cell r="T3804" t="str">
            <v>DOL</v>
          </cell>
        </row>
        <row r="3805">
          <cell r="K3805">
            <v>3802.08</v>
          </cell>
          <cell r="P3805" t="str">
            <v>90111101-52101107</v>
          </cell>
          <cell r="S3805" t="str">
            <v>2026A-04</v>
          </cell>
          <cell r="T3805" t="str">
            <v>DOL</v>
          </cell>
        </row>
        <row r="3806">
          <cell r="K3806">
            <v>60.83</v>
          </cell>
          <cell r="P3806" t="str">
            <v>90111101-52101107</v>
          </cell>
          <cell r="S3806" t="str">
            <v>2026A-04</v>
          </cell>
          <cell r="T3806" t="str">
            <v>DOL</v>
          </cell>
        </row>
        <row r="3807">
          <cell r="K3807">
            <v>46666.67</v>
          </cell>
          <cell r="P3807" t="str">
            <v>90122101-52121315</v>
          </cell>
          <cell r="S3807" t="str">
            <v>2026A-04</v>
          </cell>
          <cell r="T3807" t="str">
            <v>Jobstreet</v>
          </cell>
        </row>
        <row r="3808">
          <cell r="K3808">
            <v>1968.75</v>
          </cell>
          <cell r="P3808" t="str">
            <v>90122101-52121315</v>
          </cell>
          <cell r="S3808" t="str">
            <v>2026A-04</v>
          </cell>
          <cell r="T3808" t="str">
            <v>Jobstreet</v>
          </cell>
        </row>
        <row r="3809">
          <cell r="K3809">
            <v>3234356.33</v>
          </cell>
          <cell r="P3809" t="str">
            <v>90111101-52121304</v>
          </cell>
          <cell r="S3809" t="str">
            <v>2026A-04</v>
          </cell>
          <cell r="T3809" t="str">
            <v>Retirement</v>
          </cell>
        </row>
        <row r="3810">
          <cell r="K3810">
            <v>1224442.31</v>
          </cell>
          <cell r="P3810" t="str">
            <v>90111101-52121303</v>
          </cell>
          <cell r="S3810" t="str">
            <v>2026A-04</v>
          </cell>
          <cell r="T3810" t="str">
            <v>HMO</v>
          </cell>
        </row>
        <row r="3811">
          <cell r="K3811">
            <v>789274.68</v>
          </cell>
          <cell r="P3811" t="str">
            <v>90111101-52121304</v>
          </cell>
          <cell r="S3811" t="str">
            <v>2026A-04</v>
          </cell>
          <cell r="T3811" t="str">
            <v>Retirement</v>
          </cell>
        </row>
        <row r="3812">
          <cell r="K3812">
            <v>1051640.8500000001</v>
          </cell>
          <cell r="P3812" t="str">
            <v>90111101-52121313</v>
          </cell>
          <cell r="S3812" t="str">
            <v>2026A-04</v>
          </cell>
          <cell r="T3812" t="str">
            <v>FBT</v>
          </cell>
        </row>
        <row r="3813">
          <cell r="K3813">
            <v>-105000</v>
          </cell>
          <cell r="P3813" t="str">
            <v>80314101-52551201</v>
          </cell>
          <cell r="S3813" t="str">
            <v>2026A-04</v>
          </cell>
          <cell r="T3813" t="str">
            <v>Townhall</v>
          </cell>
        </row>
        <row r="3814">
          <cell r="K3814">
            <v>92</v>
          </cell>
          <cell r="P3814" t="str">
            <v>80111101-52031103</v>
          </cell>
          <cell r="S3814" t="str">
            <v>2026A-04</v>
          </cell>
          <cell r="T3814" t="str">
            <v>DST</v>
          </cell>
        </row>
        <row r="3815">
          <cell r="K3815">
            <v>810</v>
          </cell>
          <cell r="P3815" t="str">
            <v>80111101-52031103</v>
          </cell>
          <cell r="S3815" t="str">
            <v>2026A-04</v>
          </cell>
          <cell r="T3815" t="str">
            <v>DST</v>
          </cell>
        </row>
        <row r="3816">
          <cell r="K3816">
            <v>113449.49</v>
          </cell>
          <cell r="P3816" t="str">
            <v>80111101-52031103</v>
          </cell>
          <cell r="S3816" t="str">
            <v>2026A-04</v>
          </cell>
          <cell r="T3816" t="str">
            <v>DST</v>
          </cell>
        </row>
        <row r="3817">
          <cell r="K3817">
            <v>136398</v>
          </cell>
          <cell r="P3817" t="str">
            <v>90111101-52121313</v>
          </cell>
          <cell r="S3817" t="str">
            <v>2026A-04</v>
          </cell>
          <cell r="T3817" t="str">
            <v>FBT</v>
          </cell>
        </row>
        <row r="3818">
          <cell r="K3818">
            <v>-460808.4</v>
          </cell>
          <cell r="P3818" t="str">
            <v>81349101-52959901</v>
          </cell>
          <cell r="S3818" t="str">
            <v>2026A-03</v>
          </cell>
          <cell r="T3818" t="str">
            <v>GH Redev Plan</v>
          </cell>
        </row>
        <row r="3819">
          <cell r="K3819">
            <v>460808.4</v>
          </cell>
          <cell r="P3819" t="str">
            <v>81221201-61959999</v>
          </cell>
          <cell r="S3819" t="str">
            <v>2026A-03</v>
          </cell>
          <cell r="T3819" t="str">
            <v>GH Redev Plan</v>
          </cell>
        </row>
        <row r="3820">
          <cell r="K3820">
            <v>460808.4</v>
          </cell>
          <cell r="P3820" t="str">
            <v>81349101-52959901</v>
          </cell>
          <cell r="S3820" t="str">
            <v>2026A-03</v>
          </cell>
          <cell r="T3820" t="str">
            <v>GH Redev Plan</v>
          </cell>
        </row>
        <row r="3821">
          <cell r="K3821">
            <v>-460808.4</v>
          </cell>
          <cell r="P3821" t="str">
            <v>81221201-61959999</v>
          </cell>
          <cell r="S3821" t="str">
            <v>2026A-03</v>
          </cell>
          <cell r="T3821" t="str">
            <v>GH Redev Plan</v>
          </cell>
        </row>
        <row r="3822">
          <cell r="K3822">
            <v>460808.4</v>
          </cell>
          <cell r="P3822" t="str">
            <v>81349101-52959901</v>
          </cell>
          <cell r="S3822" t="str">
            <v>2026A-03</v>
          </cell>
          <cell r="T3822" t="str">
            <v>GH Redev Plan</v>
          </cell>
        </row>
        <row r="3823">
          <cell r="K3823">
            <v>-460808.4</v>
          </cell>
          <cell r="P3823" t="str">
            <v>81221201-61959999</v>
          </cell>
          <cell r="S3823" t="str">
            <v>2026A-03</v>
          </cell>
          <cell r="T3823" t="str">
            <v>GH Redev Plan</v>
          </cell>
        </row>
        <row r="3824">
          <cell r="K3824">
            <v>-1786.2</v>
          </cell>
          <cell r="P3824" t="str">
            <v>81349101-52959901</v>
          </cell>
          <cell r="S3824" t="str">
            <v>2026A-03</v>
          </cell>
          <cell r="T3824" t="str">
            <v>GH Redev Plan</v>
          </cell>
        </row>
        <row r="3825">
          <cell r="K3825">
            <v>1786.2</v>
          </cell>
          <cell r="P3825" t="str">
            <v>81221201-61959999</v>
          </cell>
          <cell r="S3825" t="str">
            <v>2026A-03</v>
          </cell>
          <cell r="T3825" t="str">
            <v>GH Redev Plan</v>
          </cell>
        </row>
        <row r="3826">
          <cell r="K3826">
            <v>25500</v>
          </cell>
          <cell r="P3826" t="str">
            <v>80123102-61721101</v>
          </cell>
          <cell r="S3826" t="str">
            <v>2026A-04</v>
          </cell>
          <cell r="T3826" t="str">
            <v>Mobile Phones</v>
          </cell>
        </row>
        <row r="3827">
          <cell r="K3827">
            <v>24750</v>
          </cell>
          <cell r="P3827" t="str">
            <v>80123102-61721101</v>
          </cell>
          <cell r="S3827" t="str">
            <v>2026A-04</v>
          </cell>
          <cell r="T3827" t="str">
            <v>Mobile Phones</v>
          </cell>
        </row>
        <row r="3828">
          <cell r="K3828">
            <v>-25750</v>
          </cell>
          <cell r="P3828" t="str">
            <v>80123102-61721101</v>
          </cell>
          <cell r="S3828" t="str">
            <v>2026A-04</v>
          </cell>
          <cell r="T3828" t="str">
            <v>Mobile Phones</v>
          </cell>
        </row>
        <row r="3829">
          <cell r="K3829">
            <v>-25800</v>
          </cell>
          <cell r="P3829" t="str">
            <v>80123102-61721101</v>
          </cell>
          <cell r="S3829" t="str">
            <v>2026A-04</v>
          </cell>
          <cell r="T3829" t="str">
            <v>Mobile Phones</v>
          </cell>
        </row>
        <row r="3830">
          <cell r="K3830">
            <v>-25500</v>
          </cell>
          <cell r="P3830" t="str">
            <v>80123102-61721101</v>
          </cell>
          <cell r="S3830" t="str">
            <v>2026A-04</v>
          </cell>
          <cell r="T3830" t="str">
            <v>Mobile Phones</v>
          </cell>
        </row>
        <row r="3831">
          <cell r="K3831">
            <v>-24750</v>
          </cell>
          <cell r="P3831" t="str">
            <v>80123102-61721101</v>
          </cell>
          <cell r="S3831" t="str">
            <v>2026A-04</v>
          </cell>
          <cell r="T3831" t="str">
            <v>Mobile Phones</v>
          </cell>
        </row>
        <row r="3832">
          <cell r="K3832">
            <v>-26350</v>
          </cell>
          <cell r="P3832" t="str">
            <v>80123102-61721101</v>
          </cell>
          <cell r="S3832" t="str">
            <v>2026A-04</v>
          </cell>
          <cell r="T3832" t="str">
            <v>Mobile Phones</v>
          </cell>
        </row>
        <row r="3833">
          <cell r="K3833">
            <v>25750</v>
          </cell>
          <cell r="P3833" t="str">
            <v>80123102-61721101</v>
          </cell>
          <cell r="S3833" t="str">
            <v>2026A-04</v>
          </cell>
          <cell r="T3833" t="str">
            <v>Mobile Phones</v>
          </cell>
        </row>
        <row r="3834">
          <cell r="K3834">
            <v>25800</v>
          </cell>
          <cell r="P3834" t="str">
            <v>80123102-61721101</v>
          </cell>
          <cell r="S3834" t="str">
            <v>2026A-04</v>
          </cell>
          <cell r="T3834" t="str">
            <v>Mobile Phones</v>
          </cell>
        </row>
        <row r="3835">
          <cell r="K3835">
            <v>26350</v>
          </cell>
          <cell r="P3835" t="str">
            <v>80123102-61721101</v>
          </cell>
          <cell r="S3835" t="str">
            <v>2026A-04</v>
          </cell>
          <cell r="T3835" t="str">
            <v>Mobile Phones</v>
          </cell>
        </row>
        <row r="3836">
          <cell r="K3836">
            <v>27950</v>
          </cell>
          <cell r="P3836" t="str">
            <v>80123102-61721101</v>
          </cell>
          <cell r="S3836" t="str">
            <v>2026A-04</v>
          </cell>
          <cell r="T3836" t="str">
            <v>Mobile Phones</v>
          </cell>
        </row>
        <row r="3837">
          <cell r="K3837">
            <v>-29750</v>
          </cell>
          <cell r="P3837" t="str">
            <v>80123102-61721101</v>
          </cell>
          <cell r="S3837" t="str">
            <v>2026A-04</v>
          </cell>
          <cell r="T3837" t="str">
            <v>Mobile Phones</v>
          </cell>
        </row>
        <row r="3838">
          <cell r="K3838">
            <v>2310</v>
          </cell>
          <cell r="P3838" t="str">
            <v>80123102-61081101</v>
          </cell>
          <cell r="S3838" t="str">
            <v>2026A-04</v>
          </cell>
          <cell r="T3838" t="str">
            <v>Transpo</v>
          </cell>
        </row>
        <row r="3839">
          <cell r="K3839">
            <v>2700</v>
          </cell>
          <cell r="P3839" t="str">
            <v>80123102-61081101</v>
          </cell>
          <cell r="S3839" t="str">
            <v>2026A-04</v>
          </cell>
          <cell r="T3839" t="str">
            <v>Transpo</v>
          </cell>
        </row>
        <row r="3840">
          <cell r="K3840">
            <v>2879.06</v>
          </cell>
          <cell r="P3840" t="str">
            <v>80123102-61081101</v>
          </cell>
          <cell r="S3840" t="str">
            <v>2026A-04</v>
          </cell>
          <cell r="T3840" t="str">
            <v>Transpo</v>
          </cell>
        </row>
        <row r="3841">
          <cell r="K3841">
            <v>1200</v>
          </cell>
          <cell r="P3841" t="str">
            <v>80123102-61081101</v>
          </cell>
          <cell r="S3841" t="str">
            <v>2026A-04</v>
          </cell>
          <cell r="T3841" t="str">
            <v>Transpo</v>
          </cell>
        </row>
        <row r="3842">
          <cell r="K3842">
            <v>11090</v>
          </cell>
          <cell r="P3842" t="str">
            <v>80123102-61081101</v>
          </cell>
          <cell r="S3842" t="str">
            <v>2026A-04</v>
          </cell>
          <cell r="T3842" t="str">
            <v>Transpo</v>
          </cell>
        </row>
        <row r="3843">
          <cell r="K3843">
            <v>13500</v>
          </cell>
          <cell r="P3843" t="str">
            <v>80123102-61081101</v>
          </cell>
          <cell r="S3843" t="str">
            <v>2026A-04</v>
          </cell>
          <cell r="T3843" t="str">
            <v>Transpo</v>
          </cell>
        </row>
        <row r="3844">
          <cell r="K3844">
            <v>2130</v>
          </cell>
          <cell r="P3844" t="str">
            <v>80123102-61081101</v>
          </cell>
          <cell r="S3844" t="str">
            <v>2026A-04</v>
          </cell>
          <cell r="T3844" t="str">
            <v>Transpo</v>
          </cell>
        </row>
        <row r="3845">
          <cell r="K3845">
            <v>2700</v>
          </cell>
          <cell r="P3845" t="str">
            <v>80123102-61081101</v>
          </cell>
          <cell r="S3845" t="str">
            <v>2026A-04</v>
          </cell>
          <cell r="T3845" t="str">
            <v>Transpo</v>
          </cell>
        </row>
        <row r="3846">
          <cell r="K3846">
            <v>610.4</v>
          </cell>
          <cell r="P3846" t="str">
            <v>80123102-61101104</v>
          </cell>
          <cell r="S3846" t="str">
            <v>2026A-04</v>
          </cell>
          <cell r="T3846" t="str">
            <v>Insurance Vehicle</v>
          </cell>
        </row>
        <row r="3847">
          <cell r="K3847">
            <v>610.4</v>
          </cell>
          <cell r="P3847" t="str">
            <v>80123102-61101104</v>
          </cell>
          <cell r="S3847" t="str">
            <v>2026A-04</v>
          </cell>
          <cell r="T3847" t="str">
            <v>Insurance Vehicle</v>
          </cell>
        </row>
        <row r="3848">
          <cell r="K3848">
            <v>3152</v>
          </cell>
          <cell r="P3848" t="str">
            <v>80123102-61101104</v>
          </cell>
          <cell r="S3848" t="str">
            <v>2026A-04</v>
          </cell>
          <cell r="T3848" t="str">
            <v>Insurance Vehicle</v>
          </cell>
        </row>
        <row r="3849">
          <cell r="K3849">
            <v>670.4</v>
          </cell>
          <cell r="P3849" t="str">
            <v>80123102-61101104</v>
          </cell>
          <cell r="S3849" t="str">
            <v>2026A-04</v>
          </cell>
          <cell r="T3849" t="str">
            <v>Insurance Vehicle</v>
          </cell>
        </row>
        <row r="3850">
          <cell r="K3850">
            <v>30483.7</v>
          </cell>
          <cell r="P3850" t="str">
            <v>90122101-52041499</v>
          </cell>
          <cell r="S3850" t="str">
            <v>2026A-04</v>
          </cell>
          <cell r="T3850" t="str">
            <v>Doctor</v>
          </cell>
        </row>
        <row r="3851">
          <cell r="K3851">
            <v>46898</v>
          </cell>
          <cell r="P3851" t="str">
            <v>90122101-52041499</v>
          </cell>
          <cell r="S3851" t="str">
            <v>2026A-04</v>
          </cell>
          <cell r="T3851" t="str">
            <v>Doctor</v>
          </cell>
        </row>
        <row r="3852">
          <cell r="K3852">
            <v>1740</v>
          </cell>
          <cell r="P3852" t="str">
            <v>90122101-52121315</v>
          </cell>
          <cell r="S3852" t="str">
            <v>2026A-04</v>
          </cell>
          <cell r="T3852" t="str">
            <v>Pre-Employment Medical Exams</v>
          </cell>
        </row>
        <row r="3853">
          <cell r="K3853">
            <v>3480</v>
          </cell>
          <cell r="P3853" t="str">
            <v>90122101-52121315</v>
          </cell>
          <cell r="S3853" t="str">
            <v>2026A-04</v>
          </cell>
          <cell r="T3853" t="str">
            <v>Pre-Employment Medical Exams</v>
          </cell>
        </row>
        <row r="3854">
          <cell r="K3854">
            <v>3040</v>
          </cell>
          <cell r="P3854" t="str">
            <v>90123101-61071002</v>
          </cell>
          <cell r="S3854" t="str">
            <v>2026A-04</v>
          </cell>
          <cell r="T3854" t="str">
            <v>Opex</v>
          </cell>
        </row>
        <row r="3855">
          <cell r="K3855">
            <v>2500</v>
          </cell>
          <cell r="P3855" t="str">
            <v>90123101-61071002</v>
          </cell>
          <cell r="S3855" t="str">
            <v>2026A-04</v>
          </cell>
          <cell r="T3855" t="str">
            <v>Notarial Fees</v>
          </cell>
        </row>
        <row r="3856">
          <cell r="K3856">
            <v>216666.67</v>
          </cell>
          <cell r="P3856" t="str">
            <v>90111101-52071199</v>
          </cell>
          <cell r="S3856" t="str">
            <v>2026A-04</v>
          </cell>
          <cell r="T3856" t="str">
            <v>Lacson</v>
          </cell>
        </row>
        <row r="3857">
          <cell r="K3857">
            <v>29687.49</v>
          </cell>
          <cell r="P3857" t="str">
            <v>90111101-52071199</v>
          </cell>
          <cell r="S3857" t="str">
            <v>2026A-04</v>
          </cell>
          <cell r="T3857" t="str">
            <v>Lacson</v>
          </cell>
        </row>
        <row r="3858">
          <cell r="K3858">
            <v>-5580.91</v>
          </cell>
          <cell r="P3858" t="str">
            <v>80123102-61101104</v>
          </cell>
          <cell r="S3858" t="str">
            <v>2026A-05</v>
          </cell>
          <cell r="T3858" t="str">
            <v>Zero</v>
          </cell>
        </row>
        <row r="3859">
          <cell r="K3859">
            <v>-10000</v>
          </cell>
          <cell r="P3859" t="str">
            <v>80123101-61071002</v>
          </cell>
          <cell r="S3859" t="str">
            <v>2026A-05</v>
          </cell>
          <cell r="T3859" t="str">
            <v>Open Cases</v>
          </cell>
        </row>
        <row r="3860">
          <cell r="K3860">
            <v>-1004429.6</v>
          </cell>
          <cell r="P3860" t="str">
            <v>80124101-61061105</v>
          </cell>
          <cell r="S3860" t="str">
            <v>2026A-05</v>
          </cell>
          <cell r="T3860" t="str">
            <v>Zero</v>
          </cell>
        </row>
        <row r="3861">
          <cell r="K3861">
            <v>-31172</v>
          </cell>
          <cell r="P3861" t="str">
            <v>80111101-61021303</v>
          </cell>
          <cell r="S3861" t="str">
            <v>2026A-05</v>
          </cell>
          <cell r="T3861" t="str">
            <v>HMO</v>
          </cell>
        </row>
        <row r="3862">
          <cell r="K3862">
            <v>500</v>
          </cell>
          <cell r="P3862" t="str">
            <v>80123102-61721101</v>
          </cell>
          <cell r="S3862" t="str">
            <v>2026A-05</v>
          </cell>
          <cell r="T3862" t="str">
            <v>Mobile Phones</v>
          </cell>
        </row>
        <row r="3863">
          <cell r="K3863">
            <v>-2600</v>
          </cell>
          <cell r="P3863" t="str">
            <v>90111101-52121103</v>
          </cell>
          <cell r="S3863" t="str">
            <v>2026A-05</v>
          </cell>
          <cell r="T3863" t="str">
            <v>OT Pay</v>
          </cell>
        </row>
        <row r="3864">
          <cell r="K3864">
            <v>-5702.92</v>
          </cell>
          <cell r="P3864" t="str">
            <v>81319101-52061105</v>
          </cell>
          <cell r="S3864" t="str">
            <v>2026A-05</v>
          </cell>
          <cell r="T3864" t="str">
            <v>R&amp;M - GH</v>
          </cell>
        </row>
        <row r="3865">
          <cell r="K3865">
            <v>-31250</v>
          </cell>
          <cell r="P3865" t="str">
            <v>80124101-61061105</v>
          </cell>
          <cell r="S3865" t="str">
            <v>2026A-05</v>
          </cell>
          <cell r="T3865" t="str">
            <v>Zero</v>
          </cell>
        </row>
        <row r="3866">
          <cell r="K3866">
            <v>-18750</v>
          </cell>
          <cell r="P3866" t="str">
            <v>80124101-61061105</v>
          </cell>
          <cell r="S3866" t="str">
            <v>2026A-05</v>
          </cell>
          <cell r="T3866" t="str">
            <v>Zero</v>
          </cell>
        </row>
        <row r="3867">
          <cell r="K3867">
            <v>-9821.43</v>
          </cell>
          <cell r="P3867" t="str">
            <v>80124101-61061105</v>
          </cell>
          <cell r="S3867" t="str">
            <v>2026A-05</v>
          </cell>
          <cell r="T3867" t="str">
            <v>Zero</v>
          </cell>
        </row>
        <row r="3868">
          <cell r="K3868">
            <v>-2988220.36</v>
          </cell>
          <cell r="P3868" t="str">
            <v>80123101-61071002</v>
          </cell>
          <cell r="S3868" t="str">
            <v>2026A-05</v>
          </cell>
          <cell r="T3868" t="str">
            <v>Open Cases</v>
          </cell>
        </row>
        <row r="3869">
          <cell r="K3869">
            <v>2968220.36</v>
          </cell>
          <cell r="P3869" t="str">
            <v>80123101-61071002</v>
          </cell>
          <cell r="S3869" t="str">
            <v>2026A-05</v>
          </cell>
          <cell r="T3869" t="str">
            <v>Open Cases</v>
          </cell>
        </row>
        <row r="3870">
          <cell r="K3870">
            <v>100</v>
          </cell>
          <cell r="P3870" t="str">
            <v>81122101-52071199</v>
          </cell>
          <cell r="S3870" t="str">
            <v>2026A-05</v>
          </cell>
          <cell r="T3870" t="str">
            <v>Others</v>
          </cell>
        </row>
        <row r="3871">
          <cell r="K3871">
            <v>28654.22</v>
          </cell>
          <cell r="P3871" t="str">
            <v>81123102-52041405</v>
          </cell>
          <cell r="S3871" t="str">
            <v>2026A-05</v>
          </cell>
          <cell r="T3871" t="str">
            <v>Janitorial (S1)</v>
          </cell>
        </row>
        <row r="3872">
          <cell r="K3872">
            <v>28654.22</v>
          </cell>
          <cell r="P3872" t="str">
            <v>81123102-52041405</v>
          </cell>
          <cell r="S3872" t="str">
            <v>2026A-05</v>
          </cell>
          <cell r="T3872" t="str">
            <v>Janitorial (S1)</v>
          </cell>
        </row>
        <row r="3873">
          <cell r="K3873">
            <v>300</v>
          </cell>
          <cell r="P3873" t="str">
            <v>81133102-61959201</v>
          </cell>
          <cell r="S3873" t="str">
            <v>2026A-05</v>
          </cell>
          <cell r="T3873" t="str">
            <v>Others</v>
          </cell>
        </row>
        <row r="3874">
          <cell r="K3874">
            <v>90887.039999999994</v>
          </cell>
          <cell r="P3874" t="str">
            <v>81123102-52041401</v>
          </cell>
          <cell r="S3874" t="str">
            <v>2026A-05</v>
          </cell>
          <cell r="T3874" t="str">
            <v>Security HQ</v>
          </cell>
        </row>
        <row r="3875">
          <cell r="K3875">
            <v>18175.919999999998</v>
          </cell>
          <cell r="P3875" t="str">
            <v>81123102-52041401</v>
          </cell>
          <cell r="S3875" t="str">
            <v>2026A-05</v>
          </cell>
          <cell r="T3875" t="str">
            <v>Security HQ</v>
          </cell>
        </row>
        <row r="3876">
          <cell r="K3876">
            <v>82091.520000000004</v>
          </cell>
          <cell r="P3876" t="str">
            <v>81123102-52041401</v>
          </cell>
          <cell r="S3876" t="str">
            <v>2026A-05</v>
          </cell>
          <cell r="T3876" t="str">
            <v>Security HQ</v>
          </cell>
        </row>
        <row r="3877">
          <cell r="K3877">
            <v>16416.96</v>
          </cell>
          <cell r="P3877" t="str">
            <v>81123102-52041401</v>
          </cell>
          <cell r="S3877" t="str">
            <v>2026A-05</v>
          </cell>
          <cell r="T3877" t="str">
            <v>Security HQ</v>
          </cell>
        </row>
        <row r="3878">
          <cell r="K3878">
            <v>1295.8900000000001</v>
          </cell>
          <cell r="P3878" t="str">
            <v>81111204-52091102</v>
          </cell>
          <cell r="S3878" t="str">
            <v>2026A-05</v>
          </cell>
          <cell r="T3878" t="str">
            <v>Meetings</v>
          </cell>
        </row>
        <row r="3879">
          <cell r="K3879">
            <v>152400</v>
          </cell>
          <cell r="P3879" t="str">
            <v>81134102-61071001</v>
          </cell>
          <cell r="S3879" t="str">
            <v>2026A-05</v>
          </cell>
          <cell r="T3879" t="str">
            <v>PWC FS Audit</v>
          </cell>
        </row>
        <row r="3880">
          <cell r="K3880">
            <v>6846.76</v>
          </cell>
          <cell r="P3880" t="str">
            <v>81123102-52041499</v>
          </cell>
          <cell r="S3880" t="str">
            <v>2026A-05</v>
          </cell>
          <cell r="T3880" t="str">
            <v>Admin Staff (TAHJ)</v>
          </cell>
        </row>
        <row r="3881">
          <cell r="K3881">
            <v>40118.629999999997</v>
          </cell>
          <cell r="P3881" t="str">
            <v>81123102-52041499</v>
          </cell>
          <cell r="S3881" t="str">
            <v>2026A-05</v>
          </cell>
          <cell r="T3881" t="str">
            <v>Admin Staff (TAHJ)</v>
          </cell>
        </row>
        <row r="3882">
          <cell r="K3882">
            <v>40063.339999999997</v>
          </cell>
          <cell r="P3882" t="str">
            <v>81123102-52041499</v>
          </cell>
          <cell r="S3882" t="str">
            <v>2026A-05</v>
          </cell>
          <cell r="T3882" t="str">
            <v>Admin Staff (TAHJ)</v>
          </cell>
        </row>
        <row r="3883">
          <cell r="K3883">
            <v>22910.080000000002</v>
          </cell>
          <cell r="P3883" t="str">
            <v>81111101-52041495</v>
          </cell>
          <cell r="S3883" t="str">
            <v>2026A-05</v>
          </cell>
          <cell r="T3883" t="str">
            <v>BTs</v>
          </cell>
        </row>
        <row r="3884">
          <cell r="K3884">
            <v>-235.92</v>
          </cell>
          <cell r="P3884" t="str">
            <v>81319101-52041401</v>
          </cell>
          <cell r="S3884" t="str">
            <v>2026A-05</v>
          </cell>
          <cell r="T3884" t="str">
            <v>ES</v>
          </cell>
        </row>
        <row r="3885">
          <cell r="K3885">
            <v>-47.18</v>
          </cell>
          <cell r="P3885" t="str">
            <v>81319101-52041401</v>
          </cell>
          <cell r="S3885" t="str">
            <v>2026A-05</v>
          </cell>
          <cell r="T3885" t="str">
            <v>ES</v>
          </cell>
        </row>
        <row r="3886">
          <cell r="K3886">
            <v>120</v>
          </cell>
          <cell r="P3886" t="str">
            <v>81122101-52111101</v>
          </cell>
          <cell r="S3886" t="str">
            <v>2026A-05</v>
          </cell>
          <cell r="T3886" t="str">
            <v>Others</v>
          </cell>
        </row>
        <row r="3887">
          <cell r="K3887">
            <v>69786.899999999994</v>
          </cell>
          <cell r="P3887" t="str">
            <v>81123102-52041401</v>
          </cell>
          <cell r="S3887" t="str">
            <v>2026A-05</v>
          </cell>
          <cell r="T3887" t="str">
            <v>Security HQ</v>
          </cell>
        </row>
        <row r="3888">
          <cell r="K3888">
            <v>13956.26</v>
          </cell>
          <cell r="P3888" t="str">
            <v>81123102-52041401</v>
          </cell>
          <cell r="S3888" t="str">
            <v>2026A-05</v>
          </cell>
          <cell r="T3888" t="str">
            <v>Security HQ</v>
          </cell>
        </row>
        <row r="3889">
          <cell r="K3889">
            <v>25390.43</v>
          </cell>
          <cell r="P3889" t="str">
            <v>81123102-52041401</v>
          </cell>
          <cell r="S3889" t="str">
            <v>2026A-05</v>
          </cell>
          <cell r="T3889" t="str">
            <v>Security HQ</v>
          </cell>
        </row>
        <row r="3890">
          <cell r="K3890">
            <v>5077.83</v>
          </cell>
          <cell r="P3890" t="str">
            <v>81123102-52041401</v>
          </cell>
          <cell r="S3890" t="str">
            <v>2026A-05</v>
          </cell>
          <cell r="T3890" t="str">
            <v>Security HQ</v>
          </cell>
        </row>
        <row r="3891">
          <cell r="K3891">
            <v>24581.99</v>
          </cell>
          <cell r="P3891" t="str">
            <v>81123102-52041405</v>
          </cell>
          <cell r="S3891" t="str">
            <v>2026A-05</v>
          </cell>
          <cell r="T3891" t="str">
            <v>Janitorial (H&amp;K)</v>
          </cell>
        </row>
        <row r="3892">
          <cell r="K3892">
            <v>21816.77</v>
          </cell>
          <cell r="P3892" t="str">
            <v>81123102-52041405</v>
          </cell>
          <cell r="S3892" t="str">
            <v>2026A-05</v>
          </cell>
          <cell r="T3892" t="str">
            <v>Janitorial (H&amp;K)</v>
          </cell>
        </row>
        <row r="3893">
          <cell r="K3893">
            <v>24581.99</v>
          </cell>
          <cell r="P3893" t="str">
            <v>81123102-52041499</v>
          </cell>
          <cell r="S3893" t="str">
            <v>2026A-05</v>
          </cell>
          <cell r="T3893" t="str">
            <v>Admin Staff (H&amp;K)</v>
          </cell>
        </row>
        <row r="3894">
          <cell r="K3894">
            <v>20917.75</v>
          </cell>
          <cell r="P3894" t="str">
            <v>81123102-52041499</v>
          </cell>
          <cell r="S3894" t="str">
            <v>2026A-05</v>
          </cell>
          <cell r="T3894" t="str">
            <v>Admin Staff (H&amp;K)</v>
          </cell>
        </row>
        <row r="3895">
          <cell r="K3895">
            <v>6311.04</v>
          </cell>
          <cell r="P3895" t="str">
            <v>81123102-52041499</v>
          </cell>
          <cell r="S3895" t="str">
            <v>2026A-05</v>
          </cell>
          <cell r="T3895" t="str">
            <v>Admin Staff (H&amp;K)</v>
          </cell>
        </row>
        <row r="3896">
          <cell r="K3896">
            <v>1298.6400000000001</v>
          </cell>
          <cell r="P3896" t="str">
            <v>81123102-52041499</v>
          </cell>
          <cell r="S3896" t="str">
            <v>2026A-05</v>
          </cell>
          <cell r="T3896" t="str">
            <v>Admin Staff (H&amp;K)</v>
          </cell>
        </row>
        <row r="3897">
          <cell r="K3897">
            <v>28654.22</v>
          </cell>
          <cell r="P3897" t="str">
            <v>81123102-52041405</v>
          </cell>
          <cell r="S3897" t="str">
            <v>2026A-05</v>
          </cell>
          <cell r="T3897" t="str">
            <v>Janitorial (S1)</v>
          </cell>
        </row>
        <row r="3898">
          <cell r="K3898">
            <v>28654.22</v>
          </cell>
          <cell r="P3898" t="str">
            <v>81123102-52041405</v>
          </cell>
          <cell r="S3898" t="str">
            <v>2026A-05</v>
          </cell>
          <cell r="T3898" t="str">
            <v>Janitorial (S1)</v>
          </cell>
        </row>
        <row r="3899">
          <cell r="K3899">
            <v>41064.94</v>
          </cell>
          <cell r="P3899" t="str">
            <v>81123102-52041499</v>
          </cell>
          <cell r="S3899" t="str">
            <v>2026A-05</v>
          </cell>
          <cell r="T3899" t="str">
            <v>Admin Staff (TAHJ)</v>
          </cell>
        </row>
        <row r="3900">
          <cell r="K3900">
            <v>95</v>
          </cell>
          <cell r="P3900" t="str">
            <v>81122101-52121402</v>
          </cell>
          <cell r="S3900" t="str">
            <v>2026A-05</v>
          </cell>
          <cell r="T3900" t="str">
            <v>Clinic Supplies</v>
          </cell>
        </row>
        <row r="3901">
          <cell r="K3901">
            <v>31449.24</v>
          </cell>
          <cell r="P3901" t="str">
            <v>81123102-52041401</v>
          </cell>
          <cell r="S3901" t="str">
            <v>2026A-05</v>
          </cell>
          <cell r="T3901" t="str">
            <v>Security HQ</v>
          </cell>
        </row>
        <row r="3902">
          <cell r="K3902">
            <v>6289.56</v>
          </cell>
          <cell r="P3902" t="str">
            <v>81123102-52041401</v>
          </cell>
          <cell r="S3902" t="str">
            <v>2026A-05</v>
          </cell>
          <cell r="T3902" t="str">
            <v>Security HQ</v>
          </cell>
        </row>
        <row r="3903">
          <cell r="K3903">
            <v>20000</v>
          </cell>
          <cell r="P3903" t="str">
            <v>80123101-61071005</v>
          </cell>
          <cell r="S3903" t="str">
            <v>2026A-05</v>
          </cell>
          <cell r="T3903" t="str">
            <v>Angara</v>
          </cell>
        </row>
        <row r="3904">
          <cell r="K3904">
            <v>20000</v>
          </cell>
          <cell r="P3904" t="str">
            <v>80123101-61071005</v>
          </cell>
          <cell r="S3904" t="str">
            <v>2026A-05</v>
          </cell>
          <cell r="T3904" t="str">
            <v>Angara</v>
          </cell>
        </row>
        <row r="3905">
          <cell r="K3905">
            <v>24581.99</v>
          </cell>
          <cell r="P3905" t="str">
            <v>81123102-52041405</v>
          </cell>
          <cell r="S3905" t="str">
            <v>2026A-05</v>
          </cell>
          <cell r="T3905" t="str">
            <v>Janitorial (H&amp;K)</v>
          </cell>
        </row>
        <row r="3906">
          <cell r="K3906">
            <v>14719.29</v>
          </cell>
          <cell r="P3906" t="str">
            <v>81123102-52041405</v>
          </cell>
          <cell r="S3906" t="str">
            <v>2026A-05</v>
          </cell>
          <cell r="T3906" t="str">
            <v>Janitorial (H&amp;K)</v>
          </cell>
        </row>
        <row r="3907">
          <cell r="K3907">
            <v>24581.99</v>
          </cell>
          <cell r="P3907" t="str">
            <v>81123102-52041499</v>
          </cell>
          <cell r="S3907" t="str">
            <v>2026A-05</v>
          </cell>
          <cell r="T3907" t="str">
            <v>Admin Staff (H&amp;K)</v>
          </cell>
        </row>
        <row r="3908">
          <cell r="K3908">
            <v>20917.75</v>
          </cell>
          <cell r="P3908" t="str">
            <v>81123102-52041499</v>
          </cell>
          <cell r="S3908" t="str">
            <v>2026A-05</v>
          </cell>
          <cell r="T3908" t="str">
            <v>Admin Staff (H&amp;K)</v>
          </cell>
        </row>
        <row r="3909">
          <cell r="K3909">
            <v>1926.02</v>
          </cell>
          <cell r="P3909" t="str">
            <v>81123102-52041499</v>
          </cell>
          <cell r="S3909" t="str">
            <v>2026A-05</v>
          </cell>
          <cell r="T3909" t="str">
            <v>Admin Staff (H&amp;K)</v>
          </cell>
        </row>
        <row r="3910">
          <cell r="K3910">
            <v>3129.39</v>
          </cell>
          <cell r="P3910" t="str">
            <v>81123102-52041499</v>
          </cell>
          <cell r="S3910" t="str">
            <v>2026A-05</v>
          </cell>
          <cell r="T3910" t="str">
            <v>Admin Staff (H&amp;K)</v>
          </cell>
        </row>
        <row r="3911">
          <cell r="K3911">
            <v>28654.22</v>
          </cell>
          <cell r="P3911" t="str">
            <v>81123102-52041405</v>
          </cell>
          <cell r="S3911" t="str">
            <v>2026A-05</v>
          </cell>
          <cell r="T3911" t="str">
            <v>Janitorial (S1)</v>
          </cell>
        </row>
        <row r="3912">
          <cell r="K3912">
            <v>28654.22</v>
          </cell>
          <cell r="P3912" t="str">
            <v>81123102-52041405</v>
          </cell>
          <cell r="S3912" t="str">
            <v>2026A-05</v>
          </cell>
          <cell r="T3912" t="str">
            <v>Janitorial (S1)</v>
          </cell>
        </row>
        <row r="3913">
          <cell r="K3913">
            <v>65425.22</v>
          </cell>
          <cell r="P3913" t="str">
            <v>81123102-52041401</v>
          </cell>
          <cell r="S3913" t="str">
            <v>2026A-05</v>
          </cell>
          <cell r="T3913" t="str">
            <v>Security HQ</v>
          </cell>
        </row>
        <row r="3914">
          <cell r="K3914">
            <v>13083.99</v>
          </cell>
          <cell r="P3914" t="str">
            <v>81123102-52041401</v>
          </cell>
          <cell r="S3914" t="str">
            <v>2026A-05</v>
          </cell>
          <cell r="T3914" t="str">
            <v>Security HQ</v>
          </cell>
        </row>
        <row r="3915">
          <cell r="K3915">
            <v>2244.91</v>
          </cell>
          <cell r="P3915" t="str">
            <v>81319101-52041499</v>
          </cell>
          <cell r="S3915" t="str">
            <v>2026A-05</v>
          </cell>
          <cell r="T3915" t="str">
            <v>GH</v>
          </cell>
        </row>
        <row r="3916">
          <cell r="K3916">
            <v>50943.040000000001</v>
          </cell>
          <cell r="P3916" t="str">
            <v>81123102-52041499</v>
          </cell>
          <cell r="S3916" t="str">
            <v>2026A-05</v>
          </cell>
          <cell r="T3916" t="str">
            <v>Admin Staff (TAHJ)</v>
          </cell>
        </row>
        <row r="3917">
          <cell r="K3917">
            <v>20000</v>
          </cell>
          <cell r="P3917" t="str">
            <v>80123101-61071005</v>
          </cell>
          <cell r="S3917" t="str">
            <v>2026A-05</v>
          </cell>
          <cell r="T3917" t="str">
            <v>Poblador</v>
          </cell>
        </row>
        <row r="3918">
          <cell r="K3918">
            <v>-400499.99</v>
          </cell>
          <cell r="P3918" t="str">
            <v>81111101-61959202</v>
          </cell>
          <cell r="S3918" t="str">
            <v>2026A-05</v>
          </cell>
          <cell r="T3918" t="str">
            <v>Penalties</v>
          </cell>
        </row>
        <row r="3919">
          <cell r="K3919">
            <v>20896.72</v>
          </cell>
          <cell r="P3919" t="str">
            <v>81319101-52041401</v>
          </cell>
          <cell r="S3919" t="str">
            <v>2026A-05</v>
          </cell>
          <cell r="T3919" t="str">
            <v>CV</v>
          </cell>
        </row>
        <row r="3920">
          <cell r="K3920">
            <v>4178.9399999999996</v>
          </cell>
          <cell r="P3920" t="str">
            <v>81319101-52041401</v>
          </cell>
          <cell r="S3920" t="str">
            <v>2026A-05</v>
          </cell>
          <cell r="T3920" t="str">
            <v>CV</v>
          </cell>
        </row>
        <row r="3921">
          <cell r="K3921">
            <v>450</v>
          </cell>
          <cell r="P3921" t="str">
            <v>90122101-61711101</v>
          </cell>
          <cell r="S3921" t="str">
            <v>2026A-05</v>
          </cell>
          <cell r="T3921" t="str">
            <v>PRC</v>
          </cell>
        </row>
        <row r="3922">
          <cell r="K3922">
            <v>330</v>
          </cell>
          <cell r="P3922" t="str">
            <v>90122101-61711101</v>
          </cell>
          <cell r="S3922" t="str">
            <v>2026A-05</v>
          </cell>
          <cell r="T3922" t="str">
            <v>UAP</v>
          </cell>
        </row>
        <row r="3923">
          <cell r="K3923">
            <v>330</v>
          </cell>
          <cell r="P3923" t="str">
            <v>90122101-61711101</v>
          </cell>
          <cell r="S3923" t="str">
            <v>2026A-05</v>
          </cell>
          <cell r="T3923" t="str">
            <v>UAP</v>
          </cell>
        </row>
        <row r="3924">
          <cell r="K3924">
            <v>1330</v>
          </cell>
          <cell r="P3924" t="str">
            <v>90123101-61071002</v>
          </cell>
          <cell r="S3924" t="str">
            <v>2026A-05</v>
          </cell>
          <cell r="T3924" t="str">
            <v>Zero</v>
          </cell>
        </row>
        <row r="3925">
          <cell r="K3925">
            <v>210</v>
          </cell>
          <cell r="P3925" t="str">
            <v>90123101-61071002</v>
          </cell>
          <cell r="S3925" t="str">
            <v>2026A-05</v>
          </cell>
          <cell r="T3925" t="str">
            <v>Zero</v>
          </cell>
        </row>
        <row r="3926">
          <cell r="K3926">
            <v>1500</v>
          </cell>
          <cell r="P3926" t="str">
            <v>90123101-61071002</v>
          </cell>
          <cell r="S3926" t="str">
            <v>2026A-05</v>
          </cell>
          <cell r="T3926" t="str">
            <v>Zero</v>
          </cell>
        </row>
        <row r="3927">
          <cell r="K3927">
            <v>9553.17</v>
          </cell>
          <cell r="P3927" t="str">
            <v>80123102-61721101</v>
          </cell>
          <cell r="S3927" t="str">
            <v>2026A-05</v>
          </cell>
          <cell r="T3927" t="str">
            <v>Mobile Phones</v>
          </cell>
        </row>
        <row r="3928">
          <cell r="K3928">
            <v>2171.1</v>
          </cell>
          <cell r="P3928" t="str">
            <v>80123102-61721101</v>
          </cell>
          <cell r="S3928" t="str">
            <v>2026A-05</v>
          </cell>
          <cell r="T3928" t="str">
            <v>Mobile Phones</v>
          </cell>
        </row>
        <row r="3929">
          <cell r="K3929">
            <v>1736.98</v>
          </cell>
          <cell r="P3929" t="str">
            <v>80123102-61721101</v>
          </cell>
          <cell r="S3929" t="str">
            <v>2026A-05</v>
          </cell>
          <cell r="T3929" t="str">
            <v>Mobile Phones</v>
          </cell>
        </row>
        <row r="3930">
          <cell r="K3930">
            <v>1736.98</v>
          </cell>
          <cell r="P3930" t="str">
            <v>80123102-61721101</v>
          </cell>
          <cell r="S3930" t="str">
            <v>2026A-05</v>
          </cell>
          <cell r="T3930" t="str">
            <v>Mobile Phones</v>
          </cell>
        </row>
        <row r="3931">
          <cell r="K3931">
            <v>1736.98</v>
          </cell>
          <cell r="P3931" t="str">
            <v>80123102-61721101</v>
          </cell>
          <cell r="S3931" t="str">
            <v>2026A-05</v>
          </cell>
          <cell r="T3931" t="str">
            <v>Mobile Phones</v>
          </cell>
        </row>
        <row r="3932">
          <cell r="K3932">
            <v>1736.98</v>
          </cell>
          <cell r="P3932" t="str">
            <v>80123102-61721101</v>
          </cell>
          <cell r="S3932" t="str">
            <v>2026A-05</v>
          </cell>
          <cell r="T3932" t="str">
            <v>Mobile Phones</v>
          </cell>
        </row>
        <row r="3933">
          <cell r="K3933">
            <v>1736.98</v>
          </cell>
          <cell r="P3933" t="str">
            <v>80123102-61721101</v>
          </cell>
          <cell r="S3933" t="str">
            <v>2026A-05</v>
          </cell>
          <cell r="T3933" t="str">
            <v>Mobile Phones</v>
          </cell>
        </row>
        <row r="3934">
          <cell r="K3934">
            <v>1736.98</v>
          </cell>
          <cell r="P3934" t="str">
            <v>80123102-61721101</v>
          </cell>
          <cell r="S3934" t="str">
            <v>2026A-05</v>
          </cell>
          <cell r="T3934" t="str">
            <v>Mobile Phones</v>
          </cell>
        </row>
        <row r="3935">
          <cell r="K3935">
            <v>1259.06</v>
          </cell>
          <cell r="P3935" t="str">
            <v>80123102-61721101</v>
          </cell>
          <cell r="S3935" t="str">
            <v>2026A-05</v>
          </cell>
          <cell r="T3935" t="str">
            <v>Mobile Phones</v>
          </cell>
        </row>
        <row r="3936">
          <cell r="K3936">
            <v>1694.78</v>
          </cell>
          <cell r="P3936" t="str">
            <v>80123102-61721101</v>
          </cell>
          <cell r="S3936" t="str">
            <v>2026A-05</v>
          </cell>
          <cell r="T3936" t="str">
            <v>Mobile Phones</v>
          </cell>
        </row>
        <row r="3937">
          <cell r="K3937">
            <v>1259.06</v>
          </cell>
          <cell r="P3937" t="str">
            <v>80123102-61721101</v>
          </cell>
          <cell r="S3937" t="str">
            <v>2026A-05</v>
          </cell>
          <cell r="T3937" t="str">
            <v>Mobile Phones</v>
          </cell>
        </row>
        <row r="3938">
          <cell r="K3938">
            <v>1304.51</v>
          </cell>
          <cell r="P3938" t="str">
            <v>80123102-61721101</v>
          </cell>
          <cell r="S3938" t="str">
            <v>2026A-05</v>
          </cell>
          <cell r="T3938" t="str">
            <v>Mobile Phones</v>
          </cell>
        </row>
        <row r="3939">
          <cell r="K3939">
            <v>223.21</v>
          </cell>
          <cell r="P3939" t="str">
            <v>80123102-61721101</v>
          </cell>
          <cell r="S3939" t="str">
            <v>2026A-05</v>
          </cell>
          <cell r="T3939" t="str">
            <v>Mobile Phones</v>
          </cell>
        </row>
        <row r="3940">
          <cell r="K3940">
            <v>1536.38</v>
          </cell>
          <cell r="P3940" t="str">
            <v>80123102-61721101</v>
          </cell>
          <cell r="S3940" t="str">
            <v>2026A-05</v>
          </cell>
          <cell r="T3940" t="str">
            <v>Mobile Phones</v>
          </cell>
        </row>
        <row r="3941">
          <cell r="K3941">
            <v>1259.06</v>
          </cell>
          <cell r="P3941" t="str">
            <v>80123102-61721101</v>
          </cell>
          <cell r="S3941" t="str">
            <v>2026A-05</v>
          </cell>
          <cell r="T3941" t="str">
            <v>Mobile Phones</v>
          </cell>
        </row>
        <row r="3942">
          <cell r="K3942">
            <v>1000</v>
          </cell>
          <cell r="P3942" t="str">
            <v>81319101-52111101</v>
          </cell>
          <cell r="S3942" t="str">
            <v>2026A-05</v>
          </cell>
          <cell r="T3942" t="str">
            <v>GH</v>
          </cell>
        </row>
        <row r="3943">
          <cell r="K3943">
            <v>1000</v>
          </cell>
          <cell r="P3943" t="str">
            <v>81319101-52111101</v>
          </cell>
          <cell r="S3943" t="str">
            <v>2026A-05</v>
          </cell>
          <cell r="T3943" t="str">
            <v>GH</v>
          </cell>
        </row>
        <row r="3944">
          <cell r="K3944">
            <v>1000</v>
          </cell>
          <cell r="P3944" t="str">
            <v>81319101-52111101</v>
          </cell>
          <cell r="S3944" t="str">
            <v>2026A-05</v>
          </cell>
          <cell r="T3944" t="str">
            <v>GH</v>
          </cell>
        </row>
        <row r="3945">
          <cell r="K3945">
            <v>1000</v>
          </cell>
          <cell r="P3945" t="str">
            <v>81319101-52111101</v>
          </cell>
          <cell r="S3945" t="str">
            <v>2026A-05</v>
          </cell>
          <cell r="T3945" t="str">
            <v>GH</v>
          </cell>
        </row>
        <row r="3946">
          <cell r="K3946">
            <v>1000</v>
          </cell>
          <cell r="P3946" t="str">
            <v>81319101-52111101</v>
          </cell>
          <cell r="S3946" t="str">
            <v>2026A-05</v>
          </cell>
          <cell r="T3946" t="str">
            <v>GH</v>
          </cell>
        </row>
        <row r="3947">
          <cell r="K3947">
            <v>52556.9</v>
          </cell>
          <cell r="P3947" t="str">
            <v>81123102-52041401</v>
          </cell>
          <cell r="S3947" t="str">
            <v>2026A-05</v>
          </cell>
          <cell r="T3947" t="str">
            <v>Security HQ</v>
          </cell>
        </row>
        <row r="3948">
          <cell r="K3948">
            <v>10510.58</v>
          </cell>
          <cell r="P3948" t="str">
            <v>81123102-52041401</v>
          </cell>
          <cell r="S3948" t="str">
            <v>2026A-05</v>
          </cell>
          <cell r="T3948" t="str">
            <v>Security HQ</v>
          </cell>
        </row>
        <row r="3949">
          <cell r="K3949">
            <v>4800</v>
          </cell>
          <cell r="P3949" t="str">
            <v>81122101-52121402</v>
          </cell>
          <cell r="S3949" t="str">
            <v>2026A-05</v>
          </cell>
          <cell r="T3949" t="str">
            <v>Drinking Water</v>
          </cell>
        </row>
        <row r="3950">
          <cell r="K3950">
            <v>1840</v>
          </cell>
          <cell r="P3950" t="str">
            <v>81122101-52121402</v>
          </cell>
          <cell r="S3950" t="str">
            <v>2026A-05</v>
          </cell>
          <cell r="T3950" t="str">
            <v>Drinking Water</v>
          </cell>
        </row>
        <row r="3951">
          <cell r="K3951">
            <v>3800</v>
          </cell>
          <cell r="P3951" t="str">
            <v>81122101-52121402</v>
          </cell>
          <cell r="S3951" t="str">
            <v>2026A-05</v>
          </cell>
          <cell r="T3951" t="str">
            <v>Drinking Water</v>
          </cell>
        </row>
        <row r="3952">
          <cell r="K3952">
            <v>3840</v>
          </cell>
          <cell r="P3952" t="str">
            <v>81122101-52121402</v>
          </cell>
          <cell r="S3952" t="str">
            <v>2026A-05</v>
          </cell>
          <cell r="T3952" t="str">
            <v>Drinking Water</v>
          </cell>
        </row>
        <row r="3953">
          <cell r="K3953">
            <v>2231.25</v>
          </cell>
          <cell r="P3953" t="str">
            <v>80123102-61721101</v>
          </cell>
          <cell r="S3953" t="str">
            <v>2026A-05</v>
          </cell>
          <cell r="T3953" t="str">
            <v>Phone - MDIA</v>
          </cell>
        </row>
        <row r="3954">
          <cell r="K3954">
            <v>2231.25</v>
          </cell>
          <cell r="P3954" t="str">
            <v>80123102-61721101</v>
          </cell>
          <cell r="S3954" t="str">
            <v>2026A-05</v>
          </cell>
          <cell r="T3954" t="str">
            <v>Phone - JHJ</v>
          </cell>
        </row>
        <row r="3955">
          <cell r="K3955">
            <v>1338.39</v>
          </cell>
          <cell r="P3955" t="str">
            <v>80123102-61721101</v>
          </cell>
          <cell r="S3955" t="str">
            <v>2026A-05</v>
          </cell>
          <cell r="T3955" t="str">
            <v>Mobile Phones</v>
          </cell>
        </row>
        <row r="3956">
          <cell r="K3956">
            <v>891.96</v>
          </cell>
          <cell r="P3956" t="str">
            <v>80123102-61721101</v>
          </cell>
          <cell r="S3956" t="str">
            <v>2026A-05</v>
          </cell>
          <cell r="T3956" t="str">
            <v>Mobile Phones</v>
          </cell>
        </row>
        <row r="3957">
          <cell r="K3957">
            <v>1345.54</v>
          </cell>
          <cell r="P3957" t="str">
            <v>80123102-61721101</v>
          </cell>
          <cell r="S3957" t="str">
            <v>2026A-05</v>
          </cell>
          <cell r="T3957" t="str">
            <v>Mobile Phones</v>
          </cell>
        </row>
        <row r="3958">
          <cell r="K3958">
            <v>891.96</v>
          </cell>
          <cell r="P3958" t="str">
            <v>80123102-61721101</v>
          </cell>
          <cell r="S3958" t="str">
            <v>2026A-05</v>
          </cell>
          <cell r="T3958" t="str">
            <v>Mobile Phones</v>
          </cell>
        </row>
        <row r="3959">
          <cell r="K3959">
            <v>891.96</v>
          </cell>
          <cell r="P3959" t="str">
            <v>80123102-61721101</v>
          </cell>
          <cell r="S3959" t="str">
            <v>2026A-05</v>
          </cell>
          <cell r="T3959" t="str">
            <v>Mobile Phones</v>
          </cell>
        </row>
        <row r="3960">
          <cell r="K3960">
            <v>713.39</v>
          </cell>
          <cell r="P3960" t="str">
            <v>80123102-61721101</v>
          </cell>
          <cell r="S3960" t="str">
            <v>2026A-05</v>
          </cell>
          <cell r="T3960" t="str">
            <v>Mobile Phones</v>
          </cell>
        </row>
        <row r="3961">
          <cell r="K3961">
            <v>2673.13</v>
          </cell>
          <cell r="P3961" t="str">
            <v>80123102-61721101</v>
          </cell>
          <cell r="S3961" t="str">
            <v>2026A-05</v>
          </cell>
          <cell r="T3961" t="str">
            <v>Mobile Phones</v>
          </cell>
        </row>
        <row r="3962">
          <cell r="K3962">
            <v>1636.35</v>
          </cell>
          <cell r="P3962" t="str">
            <v>80123102-61721101</v>
          </cell>
          <cell r="S3962" t="str">
            <v>2026A-05</v>
          </cell>
          <cell r="T3962" t="str">
            <v>Mobile Phones</v>
          </cell>
        </row>
        <row r="3963">
          <cell r="K3963">
            <v>891.96</v>
          </cell>
          <cell r="P3963" t="str">
            <v>80123102-61721101</v>
          </cell>
          <cell r="S3963" t="str">
            <v>2026A-05</v>
          </cell>
          <cell r="T3963" t="str">
            <v>Mobile Phones</v>
          </cell>
        </row>
        <row r="3964">
          <cell r="K3964">
            <v>713.39</v>
          </cell>
          <cell r="P3964" t="str">
            <v>80123102-61721101</v>
          </cell>
          <cell r="S3964" t="str">
            <v>2026A-05</v>
          </cell>
          <cell r="T3964" t="str">
            <v>Mobile Phones</v>
          </cell>
        </row>
        <row r="3965">
          <cell r="K3965">
            <v>713.39</v>
          </cell>
          <cell r="P3965" t="str">
            <v>80123102-61721101</v>
          </cell>
          <cell r="S3965" t="str">
            <v>2026A-05</v>
          </cell>
          <cell r="T3965" t="str">
            <v>Mobile Phones</v>
          </cell>
        </row>
        <row r="3966">
          <cell r="K3966">
            <v>713.39</v>
          </cell>
          <cell r="P3966" t="str">
            <v>80123102-61721101</v>
          </cell>
          <cell r="S3966" t="str">
            <v>2026A-05</v>
          </cell>
          <cell r="T3966" t="str">
            <v>Mobile Phones</v>
          </cell>
        </row>
        <row r="3967">
          <cell r="K3967">
            <v>1338.39</v>
          </cell>
          <cell r="P3967" t="str">
            <v>80123102-61721101</v>
          </cell>
          <cell r="S3967" t="str">
            <v>2026A-05</v>
          </cell>
          <cell r="T3967" t="str">
            <v>Mobile Phones</v>
          </cell>
        </row>
        <row r="3968">
          <cell r="K3968">
            <v>1606.25</v>
          </cell>
          <cell r="P3968" t="str">
            <v>80123102-61721101</v>
          </cell>
          <cell r="S3968" t="str">
            <v>2026A-05</v>
          </cell>
          <cell r="T3968" t="str">
            <v>Mobile Phones</v>
          </cell>
        </row>
        <row r="3969">
          <cell r="K3969">
            <v>891.96</v>
          </cell>
          <cell r="P3969" t="str">
            <v>80123102-61721101</v>
          </cell>
          <cell r="S3969" t="str">
            <v>2026A-05</v>
          </cell>
          <cell r="T3969" t="str">
            <v>Mobile Phones</v>
          </cell>
        </row>
        <row r="3970">
          <cell r="K3970">
            <v>713.39</v>
          </cell>
          <cell r="P3970" t="str">
            <v>80123102-61721101</v>
          </cell>
          <cell r="S3970" t="str">
            <v>2026A-05</v>
          </cell>
          <cell r="T3970" t="str">
            <v>Mobile Phones</v>
          </cell>
        </row>
        <row r="3971">
          <cell r="K3971">
            <v>713.39</v>
          </cell>
          <cell r="P3971" t="str">
            <v>80123102-61721101</v>
          </cell>
          <cell r="S3971" t="str">
            <v>2026A-05</v>
          </cell>
          <cell r="T3971" t="str">
            <v>Mobile Phones</v>
          </cell>
        </row>
        <row r="3972">
          <cell r="K3972">
            <v>713.39</v>
          </cell>
          <cell r="P3972" t="str">
            <v>80123102-61721101</v>
          </cell>
          <cell r="S3972" t="str">
            <v>2026A-05</v>
          </cell>
          <cell r="T3972" t="str">
            <v>Mobile Phones</v>
          </cell>
        </row>
        <row r="3973">
          <cell r="K3973">
            <v>891.96</v>
          </cell>
          <cell r="P3973" t="str">
            <v>80123102-61721101</v>
          </cell>
          <cell r="S3973" t="str">
            <v>2026A-05</v>
          </cell>
          <cell r="T3973" t="str">
            <v>Mobile Phones</v>
          </cell>
        </row>
        <row r="3974">
          <cell r="K3974">
            <v>891.96</v>
          </cell>
          <cell r="P3974" t="str">
            <v>80123102-61721101</v>
          </cell>
          <cell r="S3974" t="str">
            <v>2026A-05</v>
          </cell>
          <cell r="T3974" t="str">
            <v>Mobile Phones</v>
          </cell>
        </row>
        <row r="3975">
          <cell r="K3975">
            <v>891.96</v>
          </cell>
          <cell r="P3975" t="str">
            <v>80123102-61721101</v>
          </cell>
          <cell r="S3975" t="str">
            <v>2026A-05</v>
          </cell>
          <cell r="T3975" t="str">
            <v>Mobile Phones</v>
          </cell>
        </row>
        <row r="3976">
          <cell r="K3976">
            <v>1338.39</v>
          </cell>
          <cell r="P3976" t="str">
            <v>80123102-61721101</v>
          </cell>
          <cell r="S3976" t="str">
            <v>2026A-05</v>
          </cell>
          <cell r="T3976" t="str">
            <v>Mobile Phones</v>
          </cell>
        </row>
        <row r="3977">
          <cell r="K3977">
            <v>891.96</v>
          </cell>
          <cell r="P3977" t="str">
            <v>80123102-61721101</v>
          </cell>
          <cell r="S3977" t="str">
            <v>2026A-05</v>
          </cell>
          <cell r="T3977" t="str">
            <v>Mobile Phones</v>
          </cell>
        </row>
        <row r="3978">
          <cell r="K3978">
            <v>891.96</v>
          </cell>
          <cell r="P3978" t="str">
            <v>80123102-61721101</v>
          </cell>
          <cell r="S3978" t="str">
            <v>2026A-05</v>
          </cell>
          <cell r="T3978" t="str">
            <v>Mobile Phones</v>
          </cell>
        </row>
        <row r="3979">
          <cell r="K3979">
            <v>891.96</v>
          </cell>
          <cell r="P3979" t="str">
            <v>80123102-61721101</v>
          </cell>
          <cell r="S3979" t="str">
            <v>2026A-05</v>
          </cell>
          <cell r="T3979" t="str">
            <v>Mobile Phones</v>
          </cell>
        </row>
        <row r="3980">
          <cell r="K3980">
            <v>534.82000000000005</v>
          </cell>
          <cell r="P3980" t="str">
            <v>80123102-61721101</v>
          </cell>
          <cell r="S3980" t="str">
            <v>2026A-05</v>
          </cell>
          <cell r="T3980" t="str">
            <v>Mobile Phones</v>
          </cell>
        </row>
        <row r="3981">
          <cell r="K3981">
            <v>713.39</v>
          </cell>
          <cell r="P3981" t="str">
            <v>80123102-61721101</v>
          </cell>
          <cell r="S3981" t="str">
            <v>2026A-05</v>
          </cell>
          <cell r="T3981" t="str">
            <v>Mobile Phones</v>
          </cell>
        </row>
        <row r="3982">
          <cell r="K3982">
            <v>891.96</v>
          </cell>
          <cell r="P3982" t="str">
            <v>80123102-61721101</v>
          </cell>
          <cell r="S3982" t="str">
            <v>2026A-05</v>
          </cell>
          <cell r="T3982" t="str">
            <v>Mobile Phones</v>
          </cell>
        </row>
        <row r="3983">
          <cell r="K3983">
            <v>1338.39</v>
          </cell>
          <cell r="P3983" t="str">
            <v>80123102-61721101</v>
          </cell>
          <cell r="S3983" t="str">
            <v>2026A-05</v>
          </cell>
          <cell r="T3983" t="str">
            <v>Mobile Phones</v>
          </cell>
        </row>
        <row r="3984">
          <cell r="K3984">
            <v>891.96</v>
          </cell>
          <cell r="P3984" t="str">
            <v>80123102-61721101</v>
          </cell>
          <cell r="S3984" t="str">
            <v>2026A-05</v>
          </cell>
          <cell r="T3984" t="str">
            <v>Mobile Phones</v>
          </cell>
        </row>
        <row r="3985">
          <cell r="K3985">
            <v>891.96</v>
          </cell>
          <cell r="P3985" t="str">
            <v>80123102-61721101</v>
          </cell>
          <cell r="S3985" t="str">
            <v>2026A-05</v>
          </cell>
          <cell r="T3985" t="str">
            <v>Mobile Phones</v>
          </cell>
        </row>
        <row r="3986">
          <cell r="K3986">
            <v>713.39</v>
          </cell>
          <cell r="P3986" t="str">
            <v>80123102-61721101</v>
          </cell>
          <cell r="S3986" t="str">
            <v>2026A-05</v>
          </cell>
          <cell r="T3986" t="str">
            <v>Mobile Phones</v>
          </cell>
        </row>
        <row r="3987">
          <cell r="K3987">
            <v>891.96</v>
          </cell>
          <cell r="P3987" t="str">
            <v>80123102-61721101</v>
          </cell>
          <cell r="S3987" t="str">
            <v>2026A-05</v>
          </cell>
          <cell r="T3987" t="str">
            <v>Mobile Phones</v>
          </cell>
        </row>
        <row r="3988">
          <cell r="K3988">
            <v>1338.39</v>
          </cell>
          <cell r="P3988" t="str">
            <v>80123102-61721101</v>
          </cell>
          <cell r="S3988" t="str">
            <v>2026A-05</v>
          </cell>
          <cell r="T3988" t="str">
            <v>Mobile Phones</v>
          </cell>
        </row>
        <row r="3989">
          <cell r="K3989">
            <v>891.96</v>
          </cell>
          <cell r="P3989" t="str">
            <v>80123102-61721101</v>
          </cell>
          <cell r="S3989" t="str">
            <v>2026A-05</v>
          </cell>
          <cell r="T3989" t="str">
            <v>Mobile Phones</v>
          </cell>
        </row>
        <row r="3990">
          <cell r="K3990">
            <v>891.96</v>
          </cell>
          <cell r="P3990" t="str">
            <v>80123102-61721101</v>
          </cell>
          <cell r="S3990" t="str">
            <v>2026A-05</v>
          </cell>
          <cell r="T3990" t="str">
            <v>Mobile Phones</v>
          </cell>
        </row>
        <row r="3991">
          <cell r="K3991">
            <v>891.96</v>
          </cell>
          <cell r="P3991" t="str">
            <v>80123102-61721101</v>
          </cell>
          <cell r="S3991" t="str">
            <v>2026A-05</v>
          </cell>
          <cell r="T3991" t="str">
            <v>Mobile Phones</v>
          </cell>
        </row>
        <row r="3992">
          <cell r="K3992">
            <v>534.82000000000005</v>
          </cell>
          <cell r="P3992" t="str">
            <v>80123102-61721101</v>
          </cell>
          <cell r="S3992" t="str">
            <v>2026A-05</v>
          </cell>
          <cell r="T3992" t="str">
            <v>Mobile Phones</v>
          </cell>
        </row>
        <row r="3993">
          <cell r="K3993">
            <v>713.39</v>
          </cell>
          <cell r="P3993" t="str">
            <v>80123102-61721101</v>
          </cell>
          <cell r="S3993" t="str">
            <v>2026A-05</v>
          </cell>
          <cell r="T3993" t="str">
            <v>Mobile Phones</v>
          </cell>
        </row>
        <row r="3994">
          <cell r="K3994">
            <v>891.96</v>
          </cell>
          <cell r="P3994" t="str">
            <v>80123102-61721101</v>
          </cell>
          <cell r="S3994" t="str">
            <v>2026A-05</v>
          </cell>
          <cell r="T3994" t="str">
            <v>Mobile Phones</v>
          </cell>
        </row>
        <row r="3995">
          <cell r="K3995">
            <v>891.96</v>
          </cell>
          <cell r="P3995" t="str">
            <v>80123102-61721101</v>
          </cell>
          <cell r="S3995" t="str">
            <v>2026A-05</v>
          </cell>
          <cell r="T3995" t="str">
            <v>Mobile Phones</v>
          </cell>
        </row>
        <row r="3996">
          <cell r="K3996">
            <v>1338.39</v>
          </cell>
          <cell r="P3996" t="str">
            <v>80123102-61721101</v>
          </cell>
          <cell r="S3996" t="str">
            <v>2026A-05</v>
          </cell>
          <cell r="T3996" t="str">
            <v>Mobile Phones</v>
          </cell>
        </row>
        <row r="3997">
          <cell r="K3997">
            <v>891.96</v>
          </cell>
          <cell r="P3997" t="str">
            <v>80123102-61721101</v>
          </cell>
          <cell r="S3997" t="str">
            <v>2026A-05</v>
          </cell>
          <cell r="T3997" t="str">
            <v>Mobile Phones</v>
          </cell>
        </row>
        <row r="3998">
          <cell r="K3998">
            <v>534.82000000000005</v>
          </cell>
          <cell r="P3998" t="str">
            <v>80123102-61721101</v>
          </cell>
          <cell r="S3998" t="str">
            <v>2026A-05</v>
          </cell>
          <cell r="T3998" t="str">
            <v>Mobile Phones</v>
          </cell>
        </row>
        <row r="3999">
          <cell r="K3999">
            <v>2226.62</v>
          </cell>
          <cell r="P3999" t="str">
            <v>80123102-61721101</v>
          </cell>
          <cell r="S3999" t="str">
            <v>2026A-05</v>
          </cell>
          <cell r="T3999" t="str">
            <v>Mobile Phones</v>
          </cell>
        </row>
        <row r="4000">
          <cell r="K4000">
            <v>534.82000000000005</v>
          </cell>
          <cell r="P4000" t="str">
            <v>80123102-61721101</v>
          </cell>
          <cell r="S4000" t="str">
            <v>2026A-05</v>
          </cell>
          <cell r="T4000" t="str">
            <v>Mobile Phones</v>
          </cell>
        </row>
        <row r="4001">
          <cell r="K4001">
            <v>891.96</v>
          </cell>
          <cell r="P4001" t="str">
            <v>80123102-61721101</v>
          </cell>
          <cell r="S4001" t="str">
            <v>2026A-05</v>
          </cell>
          <cell r="T4001" t="str">
            <v>Mobile Phones</v>
          </cell>
        </row>
        <row r="4002">
          <cell r="K4002">
            <v>1338.39</v>
          </cell>
          <cell r="P4002" t="str">
            <v>80123102-61721101</v>
          </cell>
          <cell r="S4002" t="str">
            <v>2026A-05</v>
          </cell>
          <cell r="T4002" t="str">
            <v>Mobile Phones</v>
          </cell>
        </row>
        <row r="4003">
          <cell r="K4003">
            <v>6352</v>
          </cell>
          <cell r="P4003" t="str">
            <v>80123101-61071002</v>
          </cell>
          <cell r="S4003" t="str">
            <v>2026A-05</v>
          </cell>
          <cell r="T4003" t="str">
            <v>Open Cases</v>
          </cell>
        </row>
        <row r="4004">
          <cell r="K4004">
            <v>400</v>
          </cell>
          <cell r="P4004" t="str">
            <v>80123102-61111101</v>
          </cell>
          <cell r="S4004" t="str">
            <v>2026A-05</v>
          </cell>
          <cell r="T4004" t="str">
            <v>Office Supplies - Others</v>
          </cell>
        </row>
        <row r="4005">
          <cell r="K4005">
            <v>684</v>
          </cell>
          <cell r="P4005" t="str">
            <v>80123102-61721103</v>
          </cell>
          <cell r="S4005" t="str">
            <v>2026A-05</v>
          </cell>
          <cell r="T4005" t="str">
            <v>Postal</v>
          </cell>
        </row>
        <row r="4006">
          <cell r="K4006">
            <v>3700</v>
          </cell>
          <cell r="P4006" t="str">
            <v>81122101-52121402</v>
          </cell>
          <cell r="S4006" t="str">
            <v>2026A-05</v>
          </cell>
          <cell r="T4006" t="str">
            <v>Bereavement Assistance</v>
          </cell>
        </row>
        <row r="4007">
          <cell r="K4007">
            <v>519</v>
          </cell>
          <cell r="P4007" t="str">
            <v>81124101-52061109</v>
          </cell>
          <cell r="S4007" t="str">
            <v>2026A-05</v>
          </cell>
          <cell r="T4007" t="str">
            <v>UPS Maintenance</v>
          </cell>
        </row>
        <row r="4008">
          <cell r="K4008">
            <v>56490</v>
          </cell>
          <cell r="P4008" t="str">
            <v>90111101-52041495</v>
          </cell>
          <cell r="S4008" t="str">
            <v>2026A-05</v>
          </cell>
          <cell r="T4008" t="str">
            <v>BDO CMC</v>
          </cell>
        </row>
        <row r="4009">
          <cell r="K4009">
            <v>1947</v>
          </cell>
          <cell r="P4009" t="str">
            <v>80123101-61091101</v>
          </cell>
          <cell r="S4009" t="str">
            <v>2026A-05</v>
          </cell>
          <cell r="T4009" t="str">
            <v>Meetings</v>
          </cell>
        </row>
        <row r="4010">
          <cell r="K4010">
            <v>21996.92</v>
          </cell>
          <cell r="P4010" t="str">
            <v>80123102-61061104</v>
          </cell>
          <cell r="S4010" t="str">
            <v>2026A-05</v>
          </cell>
          <cell r="T4010" t="str">
            <v>R&amp;M - Hiace</v>
          </cell>
        </row>
        <row r="4011">
          <cell r="K4011">
            <v>23920.33</v>
          </cell>
          <cell r="P4011" t="str">
            <v>80123102-61061104</v>
          </cell>
          <cell r="S4011" t="str">
            <v>2026A-05</v>
          </cell>
          <cell r="T4011" t="str">
            <v>R&amp;M - Innova</v>
          </cell>
        </row>
        <row r="4012">
          <cell r="K4012">
            <v>1615</v>
          </cell>
          <cell r="P4012" t="str">
            <v>90122101-52121315</v>
          </cell>
          <cell r="S4012" t="str">
            <v>2026A-05</v>
          </cell>
          <cell r="T4012" t="str">
            <v>Pre-Employment Medical Exams</v>
          </cell>
        </row>
        <row r="4013">
          <cell r="K4013">
            <v>125</v>
          </cell>
          <cell r="P4013" t="str">
            <v>90122101-52121315</v>
          </cell>
          <cell r="S4013" t="str">
            <v>2026A-05</v>
          </cell>
          <cell r="T4013" t="str">
            <v>Pre-Employment Medical Exams</v>
          </cell>
        </row>
        <row r="4014">
          <cell r="K4014">
            <v>6607.44</v>
          </cell>
          <cell r="P4014" t="str">
            <v>80124101-61711102</v>
          </cell>
          <cell r="S4014" t="str">
            <v>2026A-05</v>
          </cell>
          <cell r="T4014" t="str">
            <v>AI Copilot</v>
          </cell>
        </row>
        <row r="4015">
          <cell r="K4015">
            <v>2195.9</v>
          </cell>
          <cell r="P4015" t="str">
            <v>80124101-61711102</v>
          </cell>
          <cell r="S4015" t="str">
            <v>2026A-05</v>
          </cell>
          <cell r="T4015" t="str">
            <v>Microsoft Planner</v>
          </cell>
        </row>
        <row r="4016">
          <cell r="K4016">
            <v>2720.1</v>
          </cell>
          <cell r="P4016" t="str">
            <v>80124101-61711102</v>
          </cell>
          <cell r="S4016" t="str">
            <v>2026A-05</v>
          </cell>
          <cell r="T4016" t="str">
            <v>Zoom</v>
          </cell>
        </row>
        <row r="4017">
          <cell r="K4017">
            <v>5537.96</v>
          </cell>
          <cell r="P4017" t="str">
            <v>80124101-61711102</v>
          </cell>
          <cell r="S4017" t="str">
            <v>2026A-05</v>
          </cell>
          <cell r="T4017" t="str">
            <v>Power Apps</v>
          </cell>
        </row>
        <row r="4018">
          <cell r="K4018">
            <v>36181.29</v>
          </cell>
          <cell r="P4018" t="str">
            <v>80124101-61711102</v>
          </cell>
          <cell r="S4018" t="str">
            <v>2026A-05</v>
          </cell>
          <cell r="T4018" t="str">
            <v>AI Builder</v>
          </cell>
        </row>
        <row r="4019">
          <cell r="K4019">
            <v>2904.05</v>
          </cell>
          <cell r="P4019" t="str">
            <v>80124101-61711102</v>
          </cell>
          <cell r="S4019" t="str">
            <v>2026A-05</v>
          </cell>
          <cell r="T4019" t="str">
            <v>Power Apps</v>
          </cell>
        </row>
        <row r="4020">
          <cell r="K4020">
            <v>1089.02</v>
          </cell>
          <cell r="P4020" t="str">
            <v>80124101-61711102</v>
          </cell>
          <cell r="S4020" t="str">
            <v>2026A-05</v>
          </cell>
          <cell r="T4020" t="str">
            <v>Power Apps</v>
          </cell>
        </row>
        <row r="4021">
          <cell r="K4021">
            <v>829.72</v>
          </cell>
          <cell r="P4021" t="str">
            <v>80124101-61711102</v>
          </cell>
          <cell r="S4021" t="str">
            <v>2026A-05</v>
          </cell>
          <cell r="T4021" t="str">
            <v>Github</v>
          </cell>
        </row>
        <row r="4022">
          <cell r="K4022">
            <v>130164.24</v>
          </cell>
          <cell r="P4022" t="str">
            <v>80124101-61711102</v>
          </cell>
          <cell r="S4022" t="str">
            <v>2026A-05</v>
          </cell>
          <cell r="T4022" t="str">
            <v>AWS</v>
          </cell>
        </row>
        <row r="4023">
          <cell r="K4023">
            <v>3169.83</v>
          </cell>
          <cell r="P4023" t="str">
            <v>80123101-61091101</v>
          </cell>
          <cell r="S4023" t="str">
            <v>2026A-05</v>
          </cell>
          <cell r="T4023" t="str">
            <v>Meetings</v>
          </cell>
        </row>
        <row r="4024">
          <cell r="K4024">
            <v>658.93</v>
          </cell>
          <cell r="P4024" t="str">
            <v>80111204-61091102</v>
          </cell>
          <cell r="S4024" t="str">
            <v>2026A-05</v>
          </cell>
          <cell r="T4024" t="str">
            <v>Meetings</v>
          </cell>
        </row>
        <row r="4025">
          <cell r="K4025">
            <v>15284.77</v>
          </cell>
          <cell r="P4025" t="str">
            <v>80124101-61711102</v>
          </cell>
          <cell r="S4025" t="str">
            <v>2026A-05</v>
          </cell>
          <cell r="T4025" t="str">
            <v>Acrobat Pro</v>
          </cell>
        </row>
        <row r="4026">
          <cell r="K4026">
            <v>1245.6600000000001</v>
          </cell>
          <cell r="P4026" t="str">
            <v>80314101-61731103</v>
          </cell>
          <cell r="S4026" t="str">
            <v>2026A-05</v>
          </cell>
          <cell r="T4026" t="str">
            <v>Meta</v>
          </cell>
        </row>
        <row r="4027">
          <cell r="K4027">
            <v>15628.85</v>
          </cell>
          <cell r="P4027" t="str">
            <v>80123102-61061104</v>
          </cell>
          <cell r="S4027" t="str">
            <v>2026A-05</v>
          </cell>
          <cell r="T4027" t="str">
            <v>R&amp;M - Yaris</v>
          </cell>
        </row>
        <row r="4028">
          <cell r="K4028">
            <v>2000</v>
          </cell>
          <cell r="P4028" t="str">
            <v>81122101-52121402</v>
          </cell>
          <cell r="S4028" t="str">
            <v>2026A-05</v>
          </cell>
          <cell r="T4028" t="str">
            <v>Clinic Supplies</v>
          </cell>
        </row>
        <row r="4029">
          <cell r="K4029">
            <v>10692.94</v>
          </cell>
          <cell r="P4029" t="str">
            <v>81124101-52952103</v>
          </cell>
          <cell r="S4029" t="str">
            <v>2026A-05</v>
          </cell>
          <cell r="T4029" t="str">
            <v>AI Chatgpt</v>
          </cell>
        </row>
        <row r="4030">
          <cell r="K4030">
            <v>20691.3</v>
          </cell>
          <cell r="P4030" t="str">
            <v>81124101-52952103</v>
          </cell>
          <cell r="S4030" t="str">
            <v>2026A-05</v>
          </cell>
          <cell r="T4030" t="str">
            <v>Domain</v>
          </cell>
        </row>
        <row r="4031">
          <cell r="K4031">
            <v>12573.43</v>
          </cell>
          <cell r="P4031" t="str">
            <v>81124101-52952103</v>
          </cell>
          <cell r="S4031" t="str">
            <v>2026A-05</v>
          </cell>
          <cell r="T4031" t="str">
            <v>Google Workspace</v>
          </cell>
        </row>
        <row r="4032">
          <cell r="K4032">
            <v>2660.25</v>
          </cell>
          <cell r="P4032" t="str">
            <v>81124101-52952103</v>
          </cell>
          <cell r="S4032" t="str">
            <v>2026A-05</v>
          </cell>
          <cell r="T4032" t="str">
            <v>Domain</v>
          </cell>
        </row>
        <row r="4033">
          <cell r="K4033">
            <v>3881.98</v>
          </cell>
          <cell r="P4033" t="str">
            <v>81124101-52952103</v>
          </cell>
          <cell r="S4033" t="str">
            <v>2026A-05</v>
          </cell>
          <cell r="T4033" t="str">
            <v>Domain</v>
          </cell>
        </row>
        <row r="4034">
          <cell r="K4034">
            <v>3422.5</v>
          </cell>
          <cell r="P4034" t="str">
            <v>80124101-61721105</v>
          </cell>
          <cell r="S4034" t="str">
            <v>2026A-05</v>
          </cell>
          <cell r="T4034" t="str">
            <v>SMS Blast</v>
          </cell>
        </row>
        <row r="4035">
          <cell r="K4035">
            <v>-5077.83</v>
          </cell>
          <cell r="P4035" t="str">
            <v>81111101-52041401</v>
          </cell>
          <cell r="S4035" t="str">
            <v>2026A-05</v>
          </cell>
          <cell r="T4035" t="str">
            <v>Security HQ</v>
          </cell>
        </row>
        <row r="4036">
          <cell r="K4036">
            <v>-25390.43</v>
          </cell>
          <cell r="P4036" t="str">
            <v>81111101-52041401</v>
          </cell>
          <cell r="S4036" t="str">
            <v>2026A-05</v>
          </cell>
          <cell r="T4036" t="str">
            <v>Security HQ</v>
          </cell>
        </row>
        <row r="4037">
          <cell r="K4037">
            <v>-13956.26</v>
          </cell>
          <cell r="P4037" t="str">
            <v>81111101-52041401</v>
          </cell>
          <cell r="S4037" t="str">
            <v>2026A-05</v>
          </cell>
          <cell r="T4037" t="str">
            <v>Security HQ</v>
          </cell>
        </row>
        <row r="4038">
          <cell r="K4038">
            <v>-69786.899999999994</v>
          </cell>
          <cell r="P4038" t="str">
            <v>81111101-52041401</v>
          </cell>
          <cell r="S4038" t="str">
            <v>2026A-05</v>
          </cell>
          <cell r="T4038" t="str">
            <v>Security HQ</v>
          </cell>
        </row>
        <row r="4039">
          <cell r="K4039">
            <v>-6289.56</v>
          </cell>
          <cell r="P4039" t="str">
            <v>81111101-52041401</v>
          </cell>
          <cell r="S4039" t="str">
            <v>2026A-05</v>
          </cell>
          <cell r="T4039" t="str">
            <v>Security HQ</v>
          </cell>
        </row>
        <row r="4040">
          <cell r="K4040">
            <v>-31449.24</v>
          </cell>
          <cell r="P4040" t="str">
            <v>81111101-52041401</v>
          </cell>
          <cell r="S4040" t="str">
            <v>2026A-05</v>
          </cell>
          <cell r="T4040" t="str">
            <v>Security HQ</v>
          </cell>
        </row>
        <row r="4041">
          <cell r="K4041">
            <v>-90887</v>
          </cell>
          <cell r="P4041" t="str">
            <v>81111101-52041401</v>
          </cell>
          <cell r="S4041" t="str">
            <v>2026A-05</v>
          </cell>
          <cell r="T4041" t="str">
            <v>Security HQ</v>
          </cell>
        </row>
        <row r="4042">
          <cell r="K4042">
            <v>-18175.91</v>
          </cell>
          <cell r="P4042" t="str">
            <v>81111101-52041401</v>
          </cell>
          <cell r="S4042" t="str">
            <v>2026A-05</v>
          </cell>
          <cell r="T4042" t="str">
            <v>Security HQ</v>
          </cell>
        </row>
        <row r="4043">
          <cell r="K4043">
            <v>-82091.520000000004</v>
          </cell>
          <cell r="P4043" t="str">
            <v>81111101-52041401</v>
          </cell>
          <cell r="S4043" t="str">
            <v>2026A-05</v>
          </cell>
          <cell r="T4043" t="str">
            <v>Security HQ</v>
          </cell>
        </row>
        <row r="4044">
          <cell r="K4044">
            <v>-16416.96</v>
          </cell>
          <cell r="P4044" t="str">
            <v>81111101-52041401</v>
          </cell>
          <cell r="S4044" t="str">
            <v>2026A-05</v>
          </cell>
          <cell r="T4044" t="str">
            <v>Security HQ</v>
          </cell>
        </row>
        <row r="4045">
          <cell r="K4045">
            <v>-14719.29</v>
          </cell>
          <cell r="P4045" t="str">
            <v>81111101-52041405</v>
          </cell>
          <cell r="S4045" t="str">
            <v>2026A-05</v>
          </cell>
          <cell r="T4045" t="str">
            <v>Janitorial (H&amp;K)</v>
          </cell>
        </row>
        <row r="4046">
          <cell r="K4046">
            <v>-1926.02</v>
          </cell>
          <cell r="P4046" t="str">
            <v>81111101-52041499</v>
          </cell>
          <cell r="S4046" t="str">
            <v>2026A-05</v>
          </cell>
          <cell r="T4046" t="str">
            <v>Admin Staff (H&amp;K)</v>
          </cell>
        </row>
        <row r="4047">
          <cell r="K4047">
            <v>-3129.39</v>
          </cell>
          <cell r="P4047" t="str">
            <v>81111101-52041499</v>
          </cell>
          <cell r="S4047" t="str">
            <v>2026A-05</v>
          </cell>
          <cell r="T4047" t="str">
            <v>Admin Staff (H&amp;K)</v>
          </cell>
        </row>
        <row r="4048">
          <cell r="K4048">
            <v>-24581.99</v>
          </cell>
          <cell r="P4048" t="str">
            <v>81111101-52041405</v>
          </cell>
          <cell r="S4048" t="str">
            <v>2026A-05</v>
          </cell>
          <cell r="T4048" t="str">
            <v>Janitorial (H&amp;K)</v>
          </cell>
        </row>
        <row r="4049">
          <cell r="K4049">
            <v>-24581.99</v>
          </cell>
          <cell r="P4049" t="str">
            <v>81111101-52041499</v>
          </cell>
          <cell r="S4049" t="str">
            <v>2026A-05</v>
          </cell>
          <cell r="T4049" t="str">
            <v>Admin Staff (H&amp;K)</v>
          </cell>
        </row>
        <row r="4050">
          <cell r="K4050">
            <v>-20917.75</v>
          </cell>
          <cell r="P4050" t="str">
            <v>81111101-52041499</v>
          </cell>
          <cell r="S4050" t="str">
            <v>2026A-05</v>
          </cell>
          <cell r="T4050" t="str">
            <v>Admin Staff (H&amp;K)</v>
          </cell>
        </row>
        <row r="4051">
          <cell r="K4051">
            <v>-21816.77</v>
          </cell>
          <cell r="P4051" t="str">
            <v>81111101-52041405</v>
          </cell>
          <cell r="S4051" t="str">
            <v>2026A-05</v>
          </cell>
          <cell r="T4051" t="str">
            <v>Janitorial (H&amp;K)</v>
          </cell>
        </row>
        <row r="4052">
          <cell r="K4052">
            <v>-6311.04</v>
          </cell>
          <cell r="P4052" t="str">
            <v>81111101-52041499</v>
          </cell>
          <cell r="S4052" t="str">
            <v>2026A-05</v>
          </cell>
          <cell r="T4052" t="str">
            <v>Admin Staff (H&amp;K)</v>
          </cell>
        </row>
        <row r="4053">
          <cell r="K4053">
            <v>-1298.6400000000001</v>
          </cell>
          <cell r="P4053" t="str">
            <v>81111101-52041499</v>
          </cell>
          <cell r="S4053" t="str">
            <v>2026A-05</v>
          </cell>
          <cell r="T4053" t="str">
            <v>Admin Staff (H&amp;K)</v>
          </cell>
        </row>
        <row r="4054">
          <cell r="K4054">
            <v>-24581.99</v>
          </cell>
          <cell r="P4054" t="str">
            <v>81111101-52041405</v>
          </cell>
          <cell r="S4054" t="str">
            <v>2026A-05</v>
          </cell>
          <cell r="T4054" t="str">
            <v>Janitorial (H&amp;K)</v>
          </cell>
        </row>
        <row r="4055">
          <cell r="K4055">
            <v>-24581.99</v>
          </cell>
          <cell r="P4055" t="str">
            <v>81111101-52041499</v>
          </cell>
          <cell r="S4055" t="str">
            <v>2026A-05</v>
          </cell>
          <cell r="T4055" t="str">
            <v>Admin Staff (H&amp;K)</v>
          </cell>
        </row>
        <row r="4056">
          <cell r="K4056">
            <v>-20917.75</v>
          </cell>
          <cell r="P4056" t="str">
            <v>81111101-52041499</v>
          </cell>
          <cell r="S4056" t="str">
            <v>2026A-05</v>
          </cell>
          <cell r="T4056" t="str">
            <v>Admin Staff (H&amp;K)</v>
          </cell>
        </row>
        <row r="4057">
          <cell r="K4057">
            <v>-57308.44</v>
          </cell>
          <cell r="P4057" t="str">
            <v>81111101-52041405</v>
          </cell>
          <cell r="S4057" t="str">
            <v>2026A-05</v>
          </cell>
          <cell r="T4057" t="str">
            <v>Janitorial (S1)</v>
          </cell>
        </row>
        <row r="4058">
          <cell r="K4058">
            <v>-57308.44</v>
          </cell>
          <cell r="P4058" t="str">
            <v>81111101-52041405</v>
          </cell>
          <cell r="S4058" t="str">
            <v>2026A-05</v>
          </cell>
          <cell r="T4058" t="str">
            <v>Janitorial (S1)</v>
          </cell>
        </row>
        <row r="4059">
          <cell r="K4059">
            <v>-57308.44</v>
          </cell>
          <cell r="P4059" t="str">
            <v>81111101-52041405</v>
          </cell>
          <cell r="S4059" t="str">
            <v>2026A-05</v>
          </cell>
          <cell r="T4059" t="str">
            <v>Janitorial (S1)</v>
          </cell>
        </row>
        <row r="4060">
          <cell r="K4060">
            <v>-6846.76</v>
          </cell>
          <cell r="P4060" t="str">
            <v>81111101-52041499</v>
          </cell>
          <cell r="S4060" t="str">
            <v>2026A-05</v>
          </cell>
          <cell r="T4060" t="str">
            <v>Admin Staff (TAHJ)</v>
          </cell>
        </row>
        <row r="4061">
          <cell r="K4061">
            <v>-22910.080000000002</v>
          </cell>
          <cell r="P4061" t="str">
            <v>81111101-52041495</v>
          </cell>
          <cell r="S4061" t="str">
            <v>2026A-05</v>
          </cell>
          <cell r="T4061" t="str">
            <v>BTs</v>
          </cell>
        </row>
        <row r="4062">
          <cell r="K4062">
            <v>-40118.629999999997</v>
          </cell>
          <cell r="P4062" t="str">
            <v>81111101-52041499</v>
          </cell>
          <cell r="S4062" t="str">
            <v>2026A-05</v>
          </cell>
          <cell r="T4062" t="str">
            <v>Admin Staff (TAHJ)</v>
          </cell>
        </row>
        <row r="4063">
          <cell r="K4063">
            <v>-24115.040000000001</v>
          </cell>
          <cell r="P4063" t="str">
            <v>81111101-52041495</v>
          </cell>
          <cell r="S4063" t="str">
            <v>2026A-05</v>
          </cell>
          <cell r="T4063" t="str">
            <v>BTs</v>
          </cell>
        </row>
        <row r="4064">
          <cell r="K4064">
            <v>-40063.339999999997</v>
          </cell>
          <cell r="P4064" t="str">
            <v>81111101-52041499</v>
          </cell>
          <cell r="S4064" t="str">
            <v>2026A-05</v>
          </cell>
          <cell r="T4064" t="str">
            <v>Admin Staff (TAHJ)</v>
          </cell>
        </row>
        <row r="4065">
          <cell r="K4065">
            <v>-25923.64</v>
          </cell>
          <cell r="P4065" t="str">
            <v>81111101-52041495</v>
          </cell>
          <cell r="S4065" t="str">
            <v>2026A-05</v>
          </cell>
          <cell r="T4065" t="str">
            <v>BTs</v>
          </cell>
        </row>
        <row r="4066">
          <cell r="K4066">
            <v>-41064.94</v>
          </cell>
          <cell r="P4066" t="str">
            <v>81111101-52041499</v>
          </cell>
          <cell r="S4066" t="str">
            <v>2026A-05</v>
          </cell>
          <cell r="T4066" t="str">
            <v>Admin Staff (TAHJ)</v>
          </cell>
        </row>
        <row r="4067">
          <cell r="K4067">
            <v>-24717.95</v>
          </cell>
          <cell r="P4067" t="str">
            <v>81111101-52041495</v>
          </cell>
          <cell r="S4067" t="str">
            <v>2026A-05</v>
          </cell>
          <cell r="T4067" t="str">
            <v>BTs</v>
          </cell>
        </row>
        <row r="4068">
          <cell r="K4068">
            <v>-50943.040000000001</v>
          </cell>
          <cell r="P4068" t="str">
            <v>81111101-52041499</v>
          </cell>
          <cell r="S4068" t="str">
            <v>2026A-05</v>
          </cell>
          <cell r="T4068" t="str">
            <v>Admin Staff (TAHJ)</v>
          </cell>
        </row>
        <row r="4069">
          <cell r="K4069">
            <v>-52556.9</v>
          </cell>
          <cell r="P4069" t="str">
            <v>81111101-52041401</v>
          </cell>
          <cell r="S4069" t="str">
            <v>2026A-05</v>
          </cell>
          <cell r="T4069" t="str">
            <v>Security HQ</v>
          </cell>
        </row>
        <row r="4070">
          <cell r="K4070">
            <v>-10510.58</v>
          </cell>
          <cell r="P4070" t="str">
            <v>81111101-52041401</v>
          </cell>
          <cell r="S4070" t="str">
            <v>2026A-05</v>
          </cell>
          <cell r="T4070" t="str">
            <v>Security HQ</v>
          </cell>
        </row>
        <row r="4071">
          <cell r="K4071">
            <v>-65425.22</v>
          </cell>
          <cell r="P4071" t="str">
            <v>81111101-52041401</v>
          </cell>
          <cell r="S4071" t="str">
            <v>2026A-05</v>
          </cell>
          <cell r="T4071" t="str">
            <v>Security HQ</v>
          </cell>
        </row>
        <row r="4072">
          <cell r="K4072">
            <v>-13083.99</v>
          </cell>
          <cell r="P4072" t="str">
            <v>81111101-52041401</v>
          </cell>
          <cell r="S4072" t="str">
            <v>2026A-05</v>
          </cell>
          <cell r="T4072" t="str">
            <v>Security HQ</v>
          </cell>
        </row>
        <row r="4073">
          <cell r="K4073">
            <v>-25003.8</v>
          </cell>
          <cell r="P4073" t="str">
            <v>81111101-52041495</v>
          </cell>
          <cell r="S4073" t="str">
            <v>2026A-05</v>
          </cell>
          <cell r="T4073" t="str">
            <v>BTs</v>
          </cell>
        </row>
        <row r="4074">
          <cell r="K4074">
            <v>-11352.3</v>
          </cell>
          <cell r="P4074" t="str">
            <v>81111101-52041495</v>
          </cell>
          <cell r="S4074" t="str">
            <v>2026A-05</v>
          </cell>
          <cell r="T4074" t="str">
            <v>BTs</v>
          </cell>
        </row>
        <row r="4075">
          <cell r="K4075">
            <v>2000</v>
          </cell>
          <cell r="P4075" t="str">
            <v>81123101-52071102</v>
          </cell>
          <cell r="S4075" t="str">
            <v>2026A-05</v>
          </cell>
          <cell r="T4075" t="str">
            <v>Notarial Fees</v>
          </cell>
        </row>
        <row r="4076">
          <cell r="K4076">
            <v>500</v>
          </cell>
          <cell r="P4076" t="str">
            <v>81123101-52071102</v>
          </cell>
          <cell r="S4076" t="str">
            <v>2026A-05</v>
          </cell>
          <cell r="T4076" t="str">
            <v>Notarial Fees</v>
          </cell>
        </row>
        <row r="4077">
          <cell r="K4077">
            <v>5000</v>
          </cell>
          <cell r="P4077" t="str">
            <v>81123102-52111101</v>
          </cell>
          <cell r="S4077" t="str">
            <v>2026A-05</v>
          </cell>
          <cell r="T4077" t="str">
            <v>Office Supplies - Others</v>
          </cell>
        </row>
        <row r="4078">
          <cell r="K4078">
            <v>8500</v>
          </cell>
          <cell r="P4078" t="str">
            <v>81123102-52111101</v>
          </cell>
          <cell r="S4078" t="str">
            <v>2026A-05</v>
          </cell>
          <cell r="T4078" t="str">
            <v>Office Supplies - Others</v>
          </cell>
        </row>
        <row r="4079">
          <cell r="K4079">
            <v>41530</v>
          </cell>
          <cell r="P4079" t="str">
            <v>80124101-61721105</v>
          </cell>
          <cell r="S4079" t="str">
            <v>2026A-05</v>
          </cell>
          <cell r="T4079" t="str">
            <v>Innove - SC1</v>
          </cell>
        </row>
        <row r="4080">
          <cell r="K4080">
            <v>115000</v>
          </cell>
          <cell r="P4080" t="str">
            <v>80124101-61721105</v>
          </cell>
          <cell r="S4080" t="str">
            <v>2026A-05</v>
          </cell>
          <cell r="T4080" t="str">
            <v>Innove - HQ</v>
          </cell>
        </row>
        <row r="4081">
          <cell r="K4081">
            <v>48933.41</v>
          </cell>
          <cell r="P4081" t="str">
            <v>80123102-61111201</v>
          </cell>
          <cell r="S4081" t="str">
            <v>2026A-05</v>
          </cell>
          <cell r="T4081" t="str">
            <v>Shell</v>
          </cell>
        </row>
        <row r="4082">
          <cell r="K4082">
            <v>9906.33</v>
          </cell>
          <cell r="P4082" t="str">
            <v>80123102-61111201</v>
          </cell>
          <cell r="S4082" t="str">
            <v>2026A-05</v>
          </cell>
          <cell r="T4082" t="str">
            <v>Shell</v>
          </cell>
        </row>
        <row r="4083">
          <cell r="K4083">
            <v>15812.73</v>
          </cell>
          <cell r="P4083" t="str">
            <v>80123102-61111201</v>
          </cell>
          <cell r="S4083" t="str">
            <v>2026A-05</v>
          </cell>
          <cell r="T4083" t="str">
            <v>Shell</v>
          </cell>
        </row>
        <row r="4084">
          <cell r="K4084">
            <v>25673.49</v>
          </cell>
          <cell r="P4084" t="str">
            <v>80123102-61111201</v>
          </cell>
          <cell r="S4084" t="str">
            <v>2026A-05</v>
          </cell>
          <cell r="T4084" t="str">
            <v>Shell</v>
          </cell>
        </row>
        <row r="4085">
          <cell r="K4085">
            <v>10649.28</v>
          </cell>
          <cell r="P4085" t="str">
            <v>80123102-61111201</v>
          </cell>
          <cell r="S4085" t="str">
            <v>2026A-05</v>
          </cell>
          <cell r="T4085" t="str">
            <v>Shell</v>
          </cell>
        </row>
        <row r="4086">
          <cell r="K4086">
            <v>133.93</v>
          </cell>
          <cell r="P4086" t="str">
            <v>80123102-61111201</v>
          </cell>
          <cell r="S4086" t="str">
            <v>2026A-05</v>
          </cell>
          <cell r="T4086" t="str">
            <v>Shell</v>
          </cell>
        </row>
        <row r="4087">
          <cell r="K4087">
            <v>5700</v>
          </cell>
          <cell r="P4087" t="str">
            <v>81319101-52061105</v>
          </cell>
          <cell r="S4087" t="str">
            <v>2026A-05</v>
          </cell>
          <cell r="T4087" t="str">
            <v>R&amp;M - GH</v>
          </cell>
        </row>
        <row r="4088">
          <cell r="K4088">
            <v>-30483.7</v>
          </cell>
          <cell r="P4088" t="str">
            <v>90122101-52041499</v>
          </cell>
          <cell r="S4088" t="str">
            <v>2026A-05</v>
          </cell>
          <cell r="T4088" t="str">
            <v>Doctor</v>
          </cell>
        </row>
        <row r="4089">
          <cell r="K4089">
            <v>-46898</v>
          </cell>
          <cell r="P4089" t="str">
            <v>90122101-52041499</v>
          </cell>
          <cell r="S4089" t="str">
            <v>2026A-05</v>
          </cell>
          <cell r="T4089" t="str">
            <v>Doctor</v>
          </cell>
        </row>
        <row r="4090">
          <cell r="K4090">
            <v>-1740</v>
          </cell>
          <cell r="P4090" t="str">
            <v>90122101-52121315</v>
          </cell>
          <cell r="S4090" t="str">
            <v>2026A-05</v>
          </cell>
          <cell r="T4090" t="str">
            <v>Pre-Employment Medical Exams</v>
          </cell>
        </row>
        <row r="4091">
          <cell r="K4091">
            <v>-3480</v>
          </cell>
          <cell r="P4091" t="str">
            <v>90122101-52121315</v>
          </cell>
          <cell r="S4091" t="str">
            <v>2026A-05</v>
          </cell>
          <cell r="T4091" t="str">
            <v>Pre-Employment Medical Exams</v>
          </cell>
        </row>
        <row r="4092">
          <cell r="K4092">
            <v>-3040</v>
          </cell>
          <cell r="P4092" t="str">
            <v>90123101-61071002</v>
          </cell>
          <cell r="S4092" t="str">
            <v>2026A-05</v>
          </cell>
          <cell r="T4092" t="str">
            <v>Zero</v>
          </cell>
        </row>
        <row r="4093">
          <cell r="K4093">
            <v>-2500</v>
          </cell>
          <cell r="P4093" t="str">
            <v>90123101-61071002</v>
          </cell>
          <cell r="S4093" t="str">
            <v>2026A-05</v>
          </cell>
          <cell r="T4093" t="str">
            <v>Zero</v>
          </cell>
        </row>
        <row r="4094">
          <cell r="K4094">
            <v>-216666.67</v>
          </cell>
          <cell r="P4094" t="str">
            <v>90111101-52071199</v>
          </cell>
          <cell r="S4094" t="str">
            <v>2026A-05</v>
          </cell>
          <cell r="T4094" t="str">
            <v>Lacson</v>
          </cell>
        </row>
        <row r="4095">
          <cell r="K4095">
            <v>-29687.49</v>
          </cell>
          <cell r="P4095" t="str">
            <v>90111101-52071199</v>
          </cell>
          <cell r="S4095" t="str">
            <v>2026A-05</v>
          </cell>
          <cell r="T4095" t="str">
            <v>Lacson</v>
          </cell>
        </row>
        <row r="4096">
          <cell r="K4096">
            <v>1188039.33</v>
          </cell>
          <cell r="P4096" t="str">
            <v>90111101-52121313</v>
          </cell>
          <cell r="S4096" t="str">
            <v>2026A-05</v>
          </cell>
          <cell r="T4096" t="str">
            <v>FBT</v>
          </cell>
        </row>
        <row r="4097">
          <cell r="K4097">
            <v>3230</v>
          </cell>
          <cell r="P4097" t="str">
            <v>90122101-52121315</v>
          </cell>
          <cell r="S4097" t="str">
            <v>2026A-05</v>
          </cell>
          <cell r="T4097" t="str">
            <v>Pre-Employment Medical Exams</v>
          </cell>
        </row>
        <row r="4098">
          <cell r="K4098">
            <v>250</v>
          </cell>
          <cell r="P4098" t="str">
            <v>90122101-52121315</v>
          </cell>
          <cell r="S4098" t="str">
            <v>2026A-05</v>
          </cell>
          <cell r="T4098" t="str">
            <v>Pre-Employment Medical Exams</v>
          </cell>
        </row>
        <row r="4099">
          <cell r="K4099">
            <v>30483.7</v>
          </cell>
          <cell r="P4099" t="str">
            <v>90122101-52041499</v>
          </cell>
          <cell r="S4099" t="str">
            <v>2026A-05</v>
          </cell>
          <cell r="T4099" t="str">
            <v>Doctor</v>
          </cell>
        </row>
        <row r="4100">
          <cell r="K4100">
            <v>46898</v>
          </cell>
          <cell r="P4100" t="str">
            <v>90122101-52041499</v>
          </cell>
          <cell r="S4100" t="str">
            <v>2026A-05</v>
          </cell>
          <cell r="T4100" t="str">
            <v>Doctor</v>
          </cell>
        </row>
        <row r="4101">
          <cell r="K4101">
            <v>8185.57</v>
          </cell>
          <cell r="P4101" t="str">
            <v>80111101-61021303</v>
          </cell>
          <cell r="S4101" t="str">
            <v>2026A-05</v>
          </cell>
          <cell r="T4101" t="str">
            <v>HMO</v>
          </cell>
        </row>
        <row r="4102">
          <cell r="K4102">
            <v>21250</v>
          </cell>
          <cell r="P4102" t="str">
            <v>80111101-61021303</v>
          </cell>
          <cell r="S4102" t="str">
            <v>2026A-05</v>
          </cell>
          <cell r="T4102" t="str">
            <v>HMO</v>
          </cell>
        </row>
        <row r="4103">
          <cell r="K4103">
            <v>-1736.43</v>
          </cell>
          <cell r="P4103" t="str">
            <v>80111101-61021301</v>
          </cell>
          <cell r="S4103" t="str">
            <v>2026A-05</v>
          </cell>
          <cell r="T4103" t="str">
            <v>Accident Insurance</v>
          </cell>
        </row>
        <row r="4104">
          <cell r="K4104">
            <v>1736.43</v>
          </cell>
          <cell r="P4104" t="str">
            <v>80111101-61021303</v>
          </cell>
          <cell r="S4104" t="str">
            <v>2026A-05</v>
          </cell>
          <cell r="T4104" t="str">
            <v>HMO</v>
          </cell>
        </row>
        <row r="4105">
          <cell r="K4105">
            <v>1061.82</v>
          </cell>
          <cell r="P4105" t="str">
            <v>80111101-61021301</v>
          </cell>
          <cell r="S4105" t="str">
            <v>2026A-05</v>
          </cell>
          <cell r="T4105" t="str">
            <v>Accident Insurance</v>
          </cell>
        </row>
        <row r="4106">
          <cell r="K4106">
            <v>3985.92</v>
          </cell>
          <cell r="P4106" t="str">
            <v>80123101-61711101</v>
          </cell>
          <cell r="S4106" t="str">
            <v>2026A-05</v>
          </cell>
          <cell r="T4106" t="str">
            <v>Dues and Fees - Legal</v>
          </cell>
        </row>
        <row r="4107">
          <cell r="K4107">
            <v>1004429.6</v>
          </cell>
          <cell r="P4107" t="str">
            <v>80124101-61061105</v>
          </cell>
          <cell r="S4107" t="str">
            <v>2026A-05</v>
          </cell>
          <cell r="T4107" t="str">
            <v>Zero</v>
          </cell>
        </row>
        <row r="4108">
          <cell r="K4108">
            <v>-1004429.6</v>
          </cell>
          <cell r="P4108" t="str">
            <v>80124101-61711102</v>
          </cell>
          <cell r="S4108" t="str">
            <v>2026A-05</v>
          </cell>
          <cell r="T4108" t="str">
            <v>Accrual</v>
          </cell>
        </row>
        <row r="4109">
          <cell r="K4109">
            <v>97332.6</v>
          </cell>
          <cell r="P4109" t="str">
            <v>80124101-61711102</v>
          </cell>
          <cell r="S4109" t="str">
            <v>2026A-05</v>
          </cell>
          <cell r="T4109" t="str">
            <v>M365 2024</v>
          </cell>
        </row>
        <row r="4110">
          <cell r="K4110">
            <v>8296.1299999999992</v>
          </cell>
          <cell r="P4110" t="str">
            <v>80124101-61711102</v>
          </cell>
          <cell r="S4110" t="str">
            <v>2026A-05</v>
          </cell>
          <cell r="T4110" t="str">
            <v>Autocad</v>
          </cell>
        </row>
        <row r="4111">
          <cell r="K4111">
            <v>124899.18</v>
          </cell>
          <cell r="P4111" t="str">
            <v>80124101-61711102</v>
          </cell>
          <cell r="S4111" t="str">
            <v>2026A-05</v>
          </cell>
          <cell r="T4111" t="str">
            <v>Autocad</v>
          </cell>
        </row>
        <row r="4112">
          <cell r="K4112">
            <v>412154.62</v>
          </cell>
          <cell r="P4112" t="str">
            <v>80124101-61711102</v>
          </cell>
          <cell r="S4112" t="str">
            <v>2026A-05</v>
          </cell>
          <cell r="T4112" t="str">
            <v>Acronis</v>
          </cell>
        </row>
        <row r="4113">
          <cell r="K4113">
            <v>45238.09</v>
          </cell>
          <cell r="P4113" t="str">
            <v>80124101-61711102</v>
          </cell>
          <cell r="S4113" t="str">
            <v>2026A-05</v>
          </cell>
          <cell r="T4113" t="str">
            <v>SDWAN Adaptiv CV</v>
          </cell>
        </row>
        <row r="4114">
          <cell r="K4114">
            <v>215476.19</v>
          </cell>
          <cell r="P4114" t="str">
            <v>80124101-61711102</v>
          </cell>
          <cell r="S4114" t="str">
            <v>2026A-05</v>
          </cell>
          <cell r="T4114" t="str">
            <v>SDWAN Cloud License</v>
          </cell>
        </row>
        <row r="4115">
          <cell r="K4115">
            <v>113988.09</v>
          </cell>
          <cell r="P4115" t="str">
            <v>80124101-61711102</v>
          </cell>
          <cell r="S4115" t="str">
            <v>2026A-05</v>
          </cell>
          <cell r="T4115" t="str">
            <v>SDWAN Device</v>
          </cell>
        </row>
        <row r="4116">
          <cell r="K4116">
            <v>31250</v>
          </cell>
          <cell r="P4116" t="str">
            <v>80124101-61061105</v>
          </cell>
          <cell r="S4116" t="str">
            <v>2026A-05</v>
          </cell>
          <cell r="T4116" t="str">
            <v>Zero</v>
          </cell>
        </row>
        <row r="4117">
          <cell r="K4117">
            <v>18750</v>
          </cell>
          <cell r="P4117" t="str">
            <v>80124101-61061105</v>
          </cell>
          <cell r="S4117" t="str">
            <v>2026A-05</v>
          </cell>
          <cell r="T4117" t="str">
            <v>Zero</v>
          </cell>
        </row>
        <row r="4118">
          <cell r="K4118">
            <v>9821.43</v>
          </cell>
          <cell r="P4118" t="str">
            <v>80124101-61061105</v>
          </cell>
          <cell r="S4118" t="str">
            <v>2026A-05</v>
          </cell>
          <cell r="T4118" t="str">
            <v>Zero</v>
          </cell>
        </row>
        <row r="4119">
          <cell r="K4119">
            <v>-59821.43</v>
          </cell>
          <cell r="P4119" t="str">
            <v>80124101-61711102</v>
          </cell>
          <cell r="S4119" t="str">
            <v>2026A-05</v>
          </cell>
          <cell r="T4119" t="str">
            <v>Accrual</v>
          </cell>
        </row>
        <row r="4120">
          <cell r="K4120">
            <v>46866.13</v>
          </cell>
          <cell r="P4120" t="str">
            <v>80124101-61711102</v>
          </cell>
          <cell r="S4120" t="str">
            <v>2026A-05</v>
          </cell>
          <cell r="T4120" t="str">
            <v>Accrual</v>
          </cell>
        </row>
        <row r="4121">
          <cell r="K4121">
            <v>5580.91</v>
          </cell>
          <cell r="P4121" t="str">
            <v>80123102-61101104</v>
          </cell>
          <cell r="S4121" t="str">
            <v>2026A-05</v>
          </cell>
          <cell r="T4121" t="str">
            <v>Zero</v>
          </cell>
        </row>
        <row r="4122">
          <cell r="K4122">
            <v>10000</v>
          </cell>
          <cell r="P4122" t="str">
            <v>80123101-61071002</v>
          </cell>
          <cell r="S4122" t="str">
            <v>2026A-05</v>
          </cell>
          <cell r="T4122" t="str">
            <v>Open Cases</v>
          </cell>
        </row>
        <row r="4123">
          <cell r="K4123">
            <v>20000</v>
          </cell>
          <cell r="P4123" t="str">
            <v>80123101-61071002</v>
          </cell>
          <cell r="S4123" t="str">
            <v>2026A-05</v>
          </cell>
          <cell r="T4123" t="str">
            <v>Open Cases</v>
          </cell>
        </row>
        <row r="4124">
          <cell r="K4124">
            <v>45000</v>
          </cell>
          <cell r="P4124" t="str">
            <v>80124101-61721105</v>
          </cell>
          <cell r="S4124" t="str">
            <v>2026A-05</v>
          </cell>
          <cell r="T4124" t="str">
            <v>Fiber Internet - ES</v>
          </cell>
        </row>
        <row r="4125">
          <cell r="K4125">
            <v>165000</v>
          </cell>
          <cell r="P4125" t="str">
            <v>80124101-61721105</v>
          </cell>
          <cell r="S4125" t="str">
            <v>2026A-05</v>
          </cell>
          <cell r="T4125" t="str">
            <v>Fiber Internet - HQ</v>
          </cell>
        </row>
        <row r="4126">
          <cell r="K4126">
            <v>50000</v>
          </cell>
          <cell r="P4126" t="str">
            <v>80124101-61721105</v>
          </cell>
          <cell r="S4126" t="str">
            <v>2026A-05</v>
          </cell>
          <cell r="T4126" t="str">
            <v>Fiber Internet - Mckinley</v>
          </cell>
        </row>
        <row r="4127">
          <cell r="K4127">
            <v>53022</v>
          </cell>
          <cell r="P4127" t="str">
            <v>80124101-61721105</v>
          </cell>
          <cell r="S4127" t="str">
            <v>2026A-05</v>
          </cell>
          <cell r="T4127" t="str">
            <v>Fiber Internet - CV</v>
          </cell>
        </row>
        <row r="4128">
          <cell r="K4128">
            <v>25178.43</v>
          </cell>
          <cell r="P4128" t="str">
            <v>81111101-52041495</v>
          </cell>
          <cell r="S4128" t="str">
            <v>2026A-05</v>
          </cell>
          <cell r="T4128" t="str">
            <v>BTs</v>
          </cell>
        </row>
        <row r="4129">
          <cell r="K4129">
            <v>29629.87</v>
          </cell>
          <cell r="P4129" t="str">
            <v>81319101-52041499</v>
          </cell>
          <cell r="S4129" t="str">
            <v>2026A-05</v>
          </cell>
          <cell r="T4129" t="str">
            <v>ES</v>
          </cell>
        </row>
        <row r="4130">
          <cell r="K4130">
            <v>26724.83</v>
          </cell>
          <cell r="P4130" t="str">
            <v>81319101-52041499</v>
          </cell>
          <cell r="S4130" t="str">
            <v>2026A-05</v>
          </cell>
          <cell r="T4130" t="str">
            <v>ES</v>
          </cell>
        </row>
        <row r="4131">
          <cell r="K4131">
            <v>28490.26</v>
          </cell>
          <cell r="P4131" t="str">
            <v>81319101-52041499</v>
          </cell>
          <cell r="S4131" t="str">
            <v>2026A-05</v>
          </cell>
          <cell r="T4131" t="str">
            <v>TS</v>
          </cell>
        </row>
        <row r="4132">
          <cell r="K4132">
            <v>160714.29</v>
          </cell>
          <cell r="P4132" t="str">
            <v>80215106-61071004</v>
          </cell>
          <cell r="S4132" t="str">
            <v>2026A-05</v>
          </cell>
          <cell r="T4132" t="str">
            <v>Energy Audit</v>
          </cell>
        </row>
        <row r="4133">
          <cell r="K4133">
            <v>1140</v>
          </cell>
          <cell r="P4133" t="str">
            <v>81319101-52091102</v>
          </cell>
          <cell r="S4133" t="str">
            <v>2026A-05</v>
          </cell>
          <cell r="T4133" t="str">
            <v>Meetings</v>
          </cell>
        </row>
        <row r="4134">
          <cell r="K4134">
            <v>24011.5</v>
          </cell>
          <cell r="P4134" t="str">
            <v>81319101-52041405</v>
          </cell>
          <cell r="S4134" t="str">
            <v>2026A-05</v>
          </cell>
          <cell r="T4134" t="str">
            <v>TS</v>
          </cell>
        </row>
        <row r="4135">
          <cell r="K4135">
            <v>10000</v>
          </cell>
          <cell r="P4135" t="str">
            <v>80123101-61071005</v>
          </cell>
          <cell r="S4135" t="str">
            <v>2026A-05</v>
          </cell>
          <cell r="T4135" t="str">
            <v>Santiago</v>
          </cell>
        </row>
        <row r="4136">
          <cell r="K4136">
            <v>22691.97</v>
          </cell>
          <cell r="P4136" t="str">
            <v>81319101-52041499</v>
          </cell>
          <cell r="S4136" t="str">
            <v>2026A-05</v>
          </cell>
          <cell r="T4136" t="str">
            <v>GH</v>
          </cell>
        </row>
        <row r="4137">
          <cell r="K4137">
            <v>534.82000000000005</v>
          </cell>
          <cell r="P4137" t="str">
            <v>81123102-52951101</v>
          </cell>
          <cell r="S4137" t="str">
            <v>2026A-05</v>
          </cell>
          <cell r="T4137" t="str">
            <v>Mobile Phones</v>
          </cell>
        </row>
        <row r="4138">
          <cell r="K4138">
            <v>891.96</v>
          </cell>
          <cell r="P4138" t="str">
            <v>81123102-52951101</v>
          </cell>
          <cell r="S4138" t="str">
            <v>2026A-05</v>
          </cell>
          <cell r="T4138" t="str">
            <v>Mobile Phones</v>
          </cell>
        </row>
        <row r="4139">
          <cell r="K4139">
            <v>534.82000000000005</v>
          </cell>
          <cell r="P4139" t="str">
            <v>81123102-52951101</v>
          </cell>
          <cell r="S4139" t="str">
            <v>2026A-05</v>
          </cell>
          <cell r="T4139" t="str">
            <v>Mobile Phones</v>
          </cell>
        </row>
        <row r="4140">
          <cell r="K4140">
            <v>891.96</v>
          </cell>
          <cell r="P4140" t="str">
            <v>81123102-52951101</v>
          </cell>
          <cell r="S4140" t="str">
            <v>2026A-05</v>
          </cell>
          <cell r="T4140" t="str">
            <v>Mobile Phones</v>
          </cell>
        </row>
        <row r="4141">
          <cell r="K4141">
            <v>713.39</v>
          </cell>
          <cell r="P4141" t="str">
            <v>81123102-52951101</v>
          </cell>
          <cell r="S4141" t="str">
            <v>2026A-05</v>
          </cell>
          <cell r="T4141" t="str">
            <v>Mobile Phones</v>
          </cell>
        </row>
        <row r="4142">
          <cell r="K4142">
            <v>534.82000000000005</v>
          </cell>
          <cell r="P4142" t="str">
            <v>81123102-52951101</v>
          </cell>
          <cell r="S4142" t="str">
            <v>2026A-05</v>
          </cell>
          <cell r="T4142" t="str">
            <v>Mobile Phones</v>
          </cell>
        </row>
        <row r="4143">
          <cell r="K4143">
            <v>713.39</v>
          </cell>
          <cell r="P4143" t="str">
            <v>81123102-52951101</v>
          </cell>
          <cell r="S4143" t="str">
            <v>2026A-05</v>
          </cell>
          <cell r="T4143" t="str">
            <v>Mobile Phones</v>
          </cell>
        </row>
        <row r="4144">
          <cell r="K4144">
            <v>891.96</v>
          </cell>
          <cell r="P4144" t="str">
            <v>81123102-52951101</v>
          </cell>
          <cell r="S4144" t="str">
            <v>2026A-05</v>
          </cell>
          <cell r="T4144" t="str">
            <v>Mobile Phones</v>
          </cell>
        </row>
        <row r="4145">
          <cell r="K4145">
            <v>713.39</v>
          </cell>
          <cell r="P4145" t="str">
            <v>81123102-52951101</v>
          </cell>
          <cell r="S4145" t="str">
            <v>2026A-05</v>
          </cell>
          <cell r="T4145" t="str">
            <v>Mobile Phones</v>
          </cell>
        </row>
        <row r="4146">
          <cell r="K4146">
            <v>713.39</v>
          </cell>
          <cell r="P4146" t="str">
            <v>81123102-52951101</v>
          </cell>
          <cell r="S4146" t="str">
            <v>2026A-05</v>
          </cell>
          <cell r="T4146" t="str">
            <v>Mobile Phones</v>
          </cell>
        </row>
        <row r="4147">
          <cell r="K4147">
            <v>1159.82</v>
          </cell>
          <cell r="P4147" t="str">
            <v>81123102-52951101</v>
          </cell>
          <cell r="S4147" t="str">
            <v>2026A-05</v>
          </cell>
          <cell r="T4147" t="str">
            <v>Mobile Phones</v>
          </cell>
        </row>
        <row r="4148">
          <cell r="K4148">
            <v>1159.82</v>
          </cell>
          <cell r="P4148" t="str">
            <v>81123102-52951101</v>
          </cell>
          <cell r="S4148" t="str">
            <v>2026A-05</v>
          </cell>
          <cell r="T4148" t="str">
            <v>Mobile Phones</v>
          </cell>
        </row>
        <row r="4149">
          <cell r="K4149">
            <v>891.96</v>
          </cell>
          <cell r="P4149" t="str">
            <v>81123102-52951101</v>
          </cell>
          <cell r="S4149" t="str">
            <v>2026A-05</v>
          </cell>
          <cell r="T4149" t="str">
            <v>Mobile Phones</v>
          </cell>
        </row>
        <row r="4150">
          <cell r="K4150">
            <v>891.96</v>
          </cell>
          <cell r="P4150" t="str">
            <v>81123102-52951101</v>
          </cell>
          <cell r="S4150" t="str">
            <v>2026A-05</v>
          </cell>
          <cell r="T4150" t="str">
            <v>Mobile Phones</v>
          </cell>
        </row>
        <row r="4151">
          <cell r="K4151">
            <v>572.02</v>
          </cell>
          <cell r="P4151" t="str">
            <v>81123102-52951101</v>
          </cell>
          <cell r="S4151" t="str">
            <v>2026A-05</v>
          </cell>
          <cell r="T4151" t="str">
            <v>Mobile Phones</v>
          </cell>
        </row>
        <row r="4152">
          <cell r="K4152">
            <v>891.96</v>
          </cell>
          <cell r="P4152" t="str">
            <v>81123102-52951101</v>
          </cell>
          <cell r="S4152" t="str">
            <v>2026A-05</v>
          </cell>
          <cell r="T4152" t="str">
            <v>Mobile Phones</v>
          </cell>
        </row>
        <row r="4153">
          <cell r="K4153">
            <v>891.96</v>
          </cell>
          <cell r="P4153" t="str">
            <v>81123102-52951101</v>
          </cell>
          <cell r="S4153" t="str">
            <v>2026A-05</v>
          </cell>
          <cell r="T4153" t="str">
            <v>Mobile Phones</v>
          </cell>
        </row>
        <row r="4154">
          <cell r="K4154">
            <v>1159.82</v>
          </cell>
          <cell r="P4154" t="str">
            <v>81123102-52951101</v>
          </cell>
          <cell r="S4154" t="str">
            <v>2026A-05</v>
          </cell>
          <cell r="T4154" t="str">
            <v>Mobile Phones</v>
          </cell>
        </row>
        <row r="4155">
          <cell r="K4155">
            <v>713.39</v>
          </cell>
          <cell r="P4155" t="str">
            <v>81123102-52951101</v>
          </cell>
          <cell r="S4155" t="str">
            <v>2026A-05</v>
          </cell>
          <cell r="T4155" t="str">
            <v>Mobile Phones</v>
          </cell>
        </row>
        <row r="4156">
          <cell r="K4156">
            <v>713.39</v>
          </cell>
          <cell r="P4156" t="str">
            <v>81123102-52951101</v>
          </cell>
          <cell r="S4156" t="str">
            <v>2026A-05</v>
          </cell>
          <cell r="T4156" t="str">
            <v>Mobile Phones</v>
          </cell>
        </row>
        <row r="4157">
          <cell r="K4157">
            <v>713.39</v>
          </cell>
          <cell r="P4157" t="str">
            <v>81123102-52951101</v>
          </cell>
          <cell r="S4157" t="str">
            <v>2026A-05</v>
          </cell>
          <cell r="T4157" t="str">
            <v>Mobile Phones</v>
          </cell>
        </row>
        <row r="4158">
          <cell r="K4158">
            <v>534.82000000000005</v>
          </cell>
          <cell r="P4158" t="str">
            <v>81123102-52951101</v>
          </cell>
          <cell r="S4158" t="str">
            <v>2026A-05</v>
          </cell>
          <cell r="T4158" t="str">
            <v>Mobile Phones</v>
          </cell>
        </row>
        <row r="4159">
          <cell r="K4159">
            <v>713.39</v>
          </cell>
          <cell r="P4159" t="str">
            <v>81123102-52951101</v>
          </cell>
          <cell r="S4159" t="str">
            <v>2026A-05</v>
          </cell>
          <cell r="T4159" t="str">
            <v>Mobile Phones</v>
          </cell>
        </row>
        <row r="4160">
          <cell r="K4160">
            <v>534.82000000000005</v>
          </cell>
          <cell r="P4160" t="str">
            <v>81123102-52951101</v>
          </cell>
          <cell r="S4160" t="str">
            <v>2026A-05</v>
          </cell>
          <cell r="T4160" t="str">
            <v>Mobile Phones</v>
          </cell>
        </row>
        <row r="4161">
          <cell r="K4161">
            <v>2239.2800000000002</v>
          </cell>
          <cell r="P4161" t="str">
            <v>81123102-52951101</v>
          </cell>
          <cell r="S4161" t="str">
            <v>2026A-05</v>
          </cell>
          <cell r="T4161" t="str">
            <v>Mobile Phones</v>
          </cell>
        </row>
        <row r="4162">
          <cell r="K4162">
            <v>1159.82</v>
          </cell>
          <cell r="P4162" t="str">
            <v>81123102-52951101</v>
          </cell>
          <cell r="S4162" t="str">
            <v>2026A-05</v>
          </cell>
          <cell r="T4162" t="str">
            <v>Mobile Phones</v>
          </cell>
        </row>
        <row r="4163">
          <cell r="K4163">
            <v>713.39</v>
          </cell>
          <cell r="P4163" t="str">
            <v>81123102-52951101</v>
          </cell>
          <cell r="S4163" t="str">
            <v>2026A-05</v>
          </cell>
          <cell r="T4163" t="str">
            <v>Mobile Phones</v>
          </cell>
        </row>
        <row r="4164">
          <cell r="K4164">
            <v>534.82000000000005</v>
          </cell>
          <cell r="P4164" t="str">
            <v>81123102-52951101</v>
          </cell>
          <cell r="S4164" t="str">
            <v>2026A-05</v>
          </cell>
          <cell r="T4164" t="str">
            <v>Mobile Phones</v>
          </cell>
        </row>
        <row r="4165">
          <cell r="K4165">
            <v>534.82000000000005</v>
          </cell>
          <cell r="P4165" t="str">
            <v>81123102-52951101</v>
          </cell>
          <cell r="S4165" t="str">
            <v>2026A-05</v>
          </cell>
          <cell r="T4165" t="str">
            <v>Mobile Phones</v>
          </cell>
        </row>
        <row r="4166">
          <cell r="K4166">
            <v>1606.25</v>
          </cell>
          <cell r="P4166" t="str">
            <v>81123102-52951101</v>
          </cell>
          <cell r="S4166" t="str">
            <v>2026A-05</v>
          </cell>
          <cell r="T4166" t="str">
            <v>Mobile Phones</v>
          </cell>
        </row>
        <row r="4167">
          <cell r="K4167">
            <v>534.82000000000005</v>
          </cell>
          <cell r="P4167" t="str">
            <v>81123102-52951101</v>
          </cell>
          <cell r="S4167" t="str">
            <v>2026A-05</v>
          </cell>
          <cell r="T4167" t="str">
            <v>Mobile Phones</v>
          </cell>
        </row>
        <row r="4168">
          <cell r="K4168">
            <v>891.96</v>
          </cell>
          <cell r="P4168" t="str">
            <v>81123102-52951101</v>
          </cell>
          <cell r="S4168" t="str">
            <v>2026A-05</v>
          </cell>
          <cell r="T4168" t="str">
            <v>Mobile Phones</v>
          </cell>
        </row>
        <row r="4169">
          <cell r="K4169">
            <v>572.02</v>
          </cell>
          <cell r="P4169" t="str">
            <v>81123102-52951101</v>
          </cell>
          <cell r="S4169" t="str">
            <v>2026A-05</v>
          </cell>
          <cell r="T4169" t="str">
            <v>Mobile Phones</v>
          </cell>
        </row>
        <row r="4170">
          <cell r="K4170">
            <v>713.39</v>
          </cell>
          <cell r="P4170" t="str">
            <v>81123102-52951101</v>
          </cell>
          <cell r="S4170" t="str">
            <v>2026A-05</v>
          </cell>
          <cell r="T4170" t="str">
            <v>Mobile Phones</v>
          </cell>
        </row>
        <row r="4171">
          <cell r="K4171">
            <v>891.96</v>
          </cell>
          <cell r="P4171" t="str">
            <v>81123102-52951101</v>
          </cell>
          <cell r="S4171" t="str">
            <v>2026A-05</v>
          </cell>
          <cell r="T4171" t="str">
            <v>Mobile Phones</v>
          </cell>
        </row>
        <row r="4172">
          <cell r="K4172">
            <v>1962.5</v>
          </cell>
          <cell r="P4172" t="str">
            <v>81123102-52951101</v>
          </cell>
          <cell r="S4172" t="str">
            <v>2026A-05</v>
          </cell>
          <cell r="T4172" t="str">
            <v>Mobile Phones</v>
          </cell>
        </row>
        <row r="4173">
          <cell r="K4173">
            <v>740.18</v>
          </cell>
          <cell r="P4173" t="str">
            <v>81123102-52951101</v>
          </cell>
          <cell r="S4173" t="str">
            <v>2026A-05</v>
          </cell>
          <cell r="T4173" t="str">
            <v>Mobile Phones</v>
          </cell>
        </row>
        <row r="4174">
          <cell r="K4174">
            <v>713.39</v>
          </cell>
          <cell r="P4174" t="str">
            <v>81123102-52951101</v>
          </cell>
          <cell r="S4174" t="str">
            <v>2026A-05</v>
          </cell>
          <cell r="T4174" t="str">
            <v>Mobile Phones</v>
          </cell>
        </row>
        <row r="4175">
          <cell r="K4175">
            <v>572.02</v>
          </cell>
          <cell r="P4175" t="str">
            <v>81123102-52951101</v>
          </cell>
          <cell r="S4175" t="str">
            <v>2026A-05</v>
          </cell>
          <cell r="T4175" t="str">
            <v>Mobile Phones</v>
          </cell>
        </row>
        <row r="4176">
          <cell r="K4176">
            <v>713.39</v>
          </cell>
          <cell r="P4176" t="str">
            <v>81123102-52951101</v>
          </cell>
          <cell r="S4176" t="str">
            <v>2026A-05</v>
          </cell>
          <cell r="T4176" t="str">
            <v>Mobile Phones</v>
          </cell>
        </row>
        <row r="4177">
          <cell r="K4177">
            <v>713.39</v>
          </cell>
          <cell r="P4177" t="str">
            <v>81123102-52951101</v>
          </cell>
          <cell r="S4177" t="str">
            <v>2026A-05</v>
          </cell>
          <cell r="T4177" t="str">
            <v>Mobile Phones</v>
          </cell>
        </row>
        <row r="4178">
          <cell r="K4178">
            <v>713.39</v>
          </cell>
          <cell r="P4178" t="str">
            <v>81123102-52951101</v>
          </cell>
          <cell r="S4178" t="str">
            <v>2026A-05</v>
          </cell>
          <cell r="T4178" t="str">
            <v>Mobile Phones</v>
          </cell>
        </row>
        <row r="4179">
          <cell r="K4179">
            <v>2261.66</v>
          </cell>
          <cell r="P4179" t="str">
            <v>81123102-52951101</v>
          </cell>
          <cell r="S4179" t="str">
            <v>2026A-05</v>
          </cell>
          <cell r="T4179" t="str">
            <v>Mobile Phones</v>
          </cell>
        </row>
        <row r="4180">
          <cell r="K4180">
            <v>891.96</v>
          </cell>
          <cell r="P4180" t="str">
            <v>81123102-52951101</v>
          </cell>
          <cell r="S4180" t="str">
            <v>2026A-05</v>
          </cell>
          <cell r="T4180" t="str">
            <v>Mobile Phones</v>
          </cell>
        </row>
        <row r="4181">
          <cell r="K4181">
            <v>713.39</v>
          </cell>
          <cell r="P4181" t="str">
            <v>81123102-52951101</v>
          </cell>
          <cell r="S4181" t="str">
            <v>2026A-05</v>
          </cell>
          <cell r="T4181" t="str">
            <v>Mobile Phones</v>
          </cell>
        </row>
        <row r="4182">
          <cell r="K4182">
            <v>891.96</v>
          </cell>
          <cell r="P4182" t="str">
            <v>81123102-52951101</v>
          </cell>
          <cell r="S4182" t="str">
            <v>2026A-05</v>
          </cell>
          <cell r="T4182" t="str">
            <v>Mobile Phones</v>
          </cell>
        </row>
        <row r="4183">
          <cell r="K4183">
            <v>713.39</v>
          </cell>
          <cell r="P4183" t="str">
            <v>81123102-52951101</v>
          </cell>
          <cell r="S4183" t="str">
            <v>2026A-05</v>
          </cell>
          <cell r="T4183" t="str">
            <v>Mobile Phones</v>
          </cell>
        </row>
        <row r="4184">
          <cell r="K4184">
            <v>1150.3800000000001</v>
          </cell>
          <cell r="P4184" t="str">
            <v>81123102-52951101</v>
          </cell>
          <cell r="S4184" t="str">
            <v>2026A-05</v>
          </cell>
          <cell r="T4184" t="str">
            <v>Mobile Phones</v>
          </cell>
        </row>
        <row r="4185">
          <cell r="K4185">
            <v>910.89</v>
          </cell>
          <cell r="P4185" t="str">
            <v>81123102-52951101</v>
          </cell>
          <cell r="S4185" t="str">
            <v>2026A-05</v>
          </cell>
          <cell r="T4185" t="str">
            <v>Mobile Phones</v>
          </cell>
        </row>
        <row r="4186">
          <cell r="K4186">
            <v>891.96</v>
          </cell>
          <cell r="P4186" t="str">
            <v>81123102-52951101</v>
          </cell>
          <cell r="S4186" t="str">
            <v>2026A-05</v>
          </cell>
          <cell r="T4186" t="str">
            <v>Mobile Phones</v>
          </cell>
        </row>
        <row r="4187">
          <cell r="K4187">
            <v>713.39</v>
          </cell>
          <cell r="P4187" t="str">
            <v>81123102-52951101</v>
          </cell>
          <cell r="S4187" t="str">
            <v>2026A-05</v>
          </cell>
          <cell r="T4187" t="str">
            <v>Mobile Phones</v>
          </cell>
        </row>
        <row r="4188">
          <cell r="K4188">
            <v>713.39</v>
          </cell>
          <cell r="P4188" t="str">
            <v>81123102-52951101</v>
          </cell>
          <cell r="S4188" t="str">
            <v>2026A-05</v>
          </cell>
          <cell r="T4188" t="str">
            <v>Mobile Phones</v>
          </cell>
        </row>
        <row r="4189">
          <cell r="K4189">
            <v>891.96</v>
          </cell>
          <cell r="P4189" t="str">
            <v>81123102-52951101</v>
          </cell>
          <cell r="S4189" t="str">
            <v>2026A-05</v>
          </cell>
          <cell r="T4189" t="str">
            <v>Mobile Phones</v>
          </cell>
        </row>
        <row r="4190">
          <cell r="K4190">
            <v>572.02</v>
          </cell>
          <cell r="P4190" t="str">
            <v>81123102-52951101</v>
          </cell>
          <cell r="S4190" t="str">
            <v>2026A-05</v>
          </cell>
          <cell r="T4190" t="str">
            <v>Mobile Phones</v>
          </cell>
        </row>
        <row r="4191">
          <cell r="K4191">
            <v>1338.39</v>
          </cell>
          <cell r="P4191" t="str">
            <v>81123102-52951101</v>
          </cell>
          <cell r="S4191" t="str">
            <v>2026A-05</v>
          </cell>
          <cell r="T4191" t="str">
            <v>Mobile Phones</v>
          </cell>
        </row>
        <row r="4192">
          <cell r="K4192">
            <v>534.82000000000005</v>
          </cell>
          <cell r="P4192" t="str">
            <v>81123102-52951101</v>
          </cell>
          <cell r="S4192" t="str">
            <v>2026A-05</v>
          </cell>
          <cell r="T4192" t="str">
            <v>Mobile Phones</v>
          </cell>
        </row>
        <row r="4193">
          <cell r="K4193">
            <v>713.39</v>
          </cell>
          <cell r="P4193" t="str">
            <v>81123102-52951101</v>
          </cell>
          <cell r="S4193" t="str">
            <v>2026A-05</v>
          </cell>
          <cell r="T4193" t="str">
            <v>Mobile Phones</v>
          </cell>
        </row>
        <row r="4194">
          <cell r="K4194">
            <v>713.39</v>
          </cell>
          <cell r="P4194" t="str">
            <v>81123102-52951101</v>
          </cell>
          <cell r="S4194" t="str">
            <v>2026A-05</v>
          </cell>
          <cell r="T4194" t="str">
            <v>Mobile Phones</v>
          </cell>
        </row>
        <row r="4195">
          <cell r="K4195">
            <v>713.39</v>
          </cell>
          <cell r="P4195" t="str">
            <v>81123102-52951101</v>
          </cell>
          <cell r="S4195" t="str">
            <v>2026A-05</v>
          </cell>
          <cell r="T4195" t="str">
            <v>Mobile Phones</v>
          </cell>
        </row>
        <row r="4196">
          <cell r="K4196">
            <v>713.39</v>
          </cell>
          <cell r="P4196" t="str">
            <v>81123102-52951101</v>
          </cell>
          <cell r="S4196" t="str">
            <v>2026A-05</v>
          </cell>
          <cell r="T4196" t="str">
            <v>Mobile Phones</v>
          </cell>
        </row>
        <row r="4197">
          <cell r="K4197">
            <v>534.82000000000005</v>
          </cell>
          <cell r="P4197" t="str">
            <v>81123102-52951101</v>
          </cell>
          <cell r="S4197" t="str">
            <v>2026A-05</v>
          </cell>
          <cell r="T4197" t="str">
            <v>Mobile Phones</v>
          </cell>
        </row>
        <row r="4198">
          <cell r="K4198">
            <v>1082.8900000000001</v>
          </cell>
          <cell r="P4198" t="str">
            <v>81123102-52951101</v>
          </cell>
          <cell r="S4198" t="str">
            <v>2026A-05</v>
          </cell>
          <cell r="T4198" t="str">
            <v>Mobile Phones</v>
          </cell>
        </row>
        <row r="4199">
          <cell r="K4199">
            <v>572.02</v>
          </cell>
          <cell r="P4199" t="str">
            <v>81123102-52951101</v>
          </cell>
          <cell r="S4199" t="str">
            <v>2026A-05</v>
          </cell>
          <cell r="T4199" t="str">
            <v>Mobile Phones</v>
          </cell>
        </row>
        <row r="4200">
          <cell r="K4200">
            <v>534.82000000000005</v>
          </cell>
          <cell r="P4200" t="str">
            <v>81123102-52951101</v>
          </cell>
          <cell r="S4200" t="str">
            <v>2026A-05</v>
          </cell>
          <cell r="T4200" t="str">
            <v>Mobile Phones</v>
          </cell>
        </row>
        <row r="4201">
          <cell r="K4201">
            <v>891.96</v>
          </cell>
          <cell r="P4201" t="str">
            <v>81123102-52951101</v>
          </cell>
          <cell r="S4201" t="str">
            <v>2026A-05</v>
          </cell>
          <cell r="T4201" t="str">
            <v>Mobile Phones</v>
          </cell>
        </row>
        <row r="4202">
          <cell r="K4202">
            <v>1159.82</v>
          </cell>
          <cell r="P4202" t="str">
            <v>81123102-52951101</v>
          </cell>
          <cell r="S4202" t="str">
            <v>2026A-05</v>
          </cell>
          <cell r="T4202" t="str">
            <v>Mobile Phones</v>
          </cell>
        </row>
        <row r="4203">
          <cell r="K4203">
            <v>1159.82</v>
          </cell>
          <cell r="P4203" t="str">
            <v>81123102-52951101</v>
          </cell>
          <cell r="S4203" t="str">
            <v>2026A-05</v>
          </cell>
          <cell r="T4203" t="str">
            <v>Mobile Phones</v>
          </cell>
        </row>
        <row r="4204">
          <cell r="K4204">
            <v>1159.82</v>
          </cell>
          <cell r="P4204" t="str">
            <v>81123102-52951101</v>
          </cell>
          <cell r="S4204" t="str">
            <v>2026A-05</v>
          </cell>
          <cell r="T4204" t="str">
            <v>Mobile Phones</v>
          </cell>
        </row>
        <row r="4205">
          <cell r="K4205">
            <v>713.39</v>
          </cell>
          <cell r="P4205" t="str">
            <v>81123102-52951101</v>
          </cell>
          <cell r="S4205" t="str">
            <v>2026A-05</v>
          </cell>
          <cell r="T4205" t="str">
            <v>Mobile Phones</v>
          </cell>
        </row>
        <row r="4206">
          <cell r="K4206">
            <v>713.39</v>
          </cell>
          <cell r="P4206" t="str">
            <v>81123102-52951101</v>
          </cell>
          <cell r="S4206" t="str">
            <v>2026A-05</v>
          </cell>
          <cell r="T4206" t="str">
            <v>Mobile Phones</v>
          </cell>
        </row>
        <row r="4207">
          <cell r="K4207">
            <v>891.96</v>
          </cell>
          <cell r="P4207" t="str">
            <v>81123102-52951101</v>
          </cell>
          <cell r="S4207" t="str">
            <v>2026A-05</v>
          </cell>
          <cell r="T4207" t="str">
            <v>Mobile Phones</v>
          </cell>
        </row>
        <row r="4208">
          <cell r="K4208">
            <v>713.39</v>
          </cell>
          <cell r="P4208" t="str">
            <v>81123102-52951101</v>
          </cell>
          <cell r="S4208" t="str">
            <v>2026A-05</v>
          </cell>
          <cell r="T4208" t="str">
            <v>Mobile Phones</v>
          </cell>
        </row>
        <row r="4209">
          <cell r="K4209">
            <v>1159.82</v>
          </cell>
          <cell r="P4209" t="str">
            <v>81123102-52951101</v>
          </cell>
          <cell r="S4209" t="str">
            <v>2026A-05</v>
          </cell>
          <cell r="T4209" t="str">
            <v>Mobile Phones</v>
          </cell>
        </row>
        <row r="4210">
          <cell r="K4210">
            <v>891.96</v>
          </cell>
          <cell r="P4210" t="str">
            <v>81123102-52951101</v>
          </cell>
          <cell r="S4210" t="str">
            <v>2026A-05</v>
          </cell>
          <cell r="T4210" t="str">
            <v>Mobile Phones</v>
          </cell>
        </row>
        <row r="4211">
          <cell r="K4211">
            <v>534.82000000000005</v>
          </cell>
          <cell r="P4211" t="str">
            <v>81123102-52951101</v>
          </cell>
          <cell r="S4211" t="str">
            <v>2026A-05</v>
          </cell>
          <cell r="T4211" t="str">
            <v>Mobile Phones</v>
          </cell>
        </row>
        <row r="4212">
          <cell r="K4212">
            <v>713.39</v>
          </cell>
          <cell r="P4212" t="str">
            <v>81123102-52951101</v>
          </cell>
          <cell r="S4212" t="str">
            <v>2026A-05</v>
          </cell>
          <cell r="T4212" t="str">
            <v>Mobile Phones</v>
          </cell>
        </row>
        <row r="4213">
          <cell r="K4213">
            <v>534.82000000000005</v>
          </cell>
          <cell r="P4213" t="str">
            <v>81123102-52951101</v>
          </cell>
          <cell r="S4213" t="str">
            <v>2026A-05</v>
          </cell>
          <cell r="T4213" t="str">
            <v>Mobile Phones</v>
          </cell>
        </row>
        <row r="4214">
          <cell r="K4214">
            <v>713.39</v>
          </cell>
          <cell r="P4214" t="str">
            <v>81123102-52951101</v>
          </cell>
          <cell r="S4214" t="str">
            <v>2026A-05</v>
          </cell>
          <cell r="T4214" t="str">
            <v>Mobile Phones</v>
          </cell>
        </row>
        <row r="4215">
          <cell r="K4215">
            <v>1299.05</v>
          </cell>
          <cell r="P4215" t="str">
            <v>81123102-52951101</v>
          </cell>
          <cell r="S4215" t="str">
            <v>2026A-05</v>
          </cell>
          <cell r="T4215" t="str">
            <v>Mobile Phones</v>
          </cell>
        </row>
        <row r="4216">
          <cell r="K4216">
            <v>534.82000000000005</v>
          </cell>
          <cell r="P4216" t="str">
            <v>81123102-52951101</v>
          </cell>
          <cell r="S4216" t="str">
            <v>2026A-05</v>
          </cell>
          <cell r="T4216" t="str">
            <v>Mobile Phones</v>
          </cell>
        </row>
        <row r="4217">
          <cell r="K4217">
            <v>713.39</v>
          </cell>
          <cell r="P4217" t="str">
            <v>81123102-52951101</v>
          </cell>
          <cell r="S4217" t="str">
            <v>2026A-05</v>
          </cell>
          <cell r="T4217" t="str">
            <v>Mobile Phones</v>
          </cell>
        </row>
        <row r="4218">
          <cell r="K4218">
            <v>891.96</v>
          </cell>
          <cell r="P4218" t="str">
            <v>81123102-52951101</v>
          </cell>
          <cell r="S4218" t="str">
            <v>2026A-05</v>
          </cell>
          <cell r="T4218" t="str">
            <v>Mobile Phones</v>
          </cell>
        </row>
        <row r="4219">
          <cell r="K4219">
            <v>1159.82</v>
          </cell>
          <cell r="P4219" t="str">
            <v>81123102-52951101</v>
          </cell>
          <cell r="S4219" t="str">
            <v>2026A-05</v>
          </cell>
          <cell r="T4219" t="str">
            <v>Mobile Phones</v>
          </cell>
        </row>
        <row r="4220">
          <cell r="K4220">
            <v>891.96</v>
          </cell>
          <cell r="P4220" t="str">
            <v>81123102-52951101</v>
          </cell>
          <cell r="S4220" t="str">
            <v>2026A-05</v>
          </cell>
          <cell r="T4220" t="str">
            <v>Mobile Phones</v>
          </cell>
        </row>
        <row r="4221">
          <cell r="K4221">
            <v>2647.14</v>
          </cell>
          <cell r="P4221" t="str">
            <v>81123102-52951101</v>
          </cell>
          <cell r="S4221" t="str">
            <v>2026A-05</v>
          </cell>
          <cell r="T4221" t="str">
            <v>Mobile Phones</v>
          </cell>
        </row>
        <row r="4222">
          <cell r="K4222">
            <v>2497.38</v>
          </cell>
          <cell r="P4222" t="str">
            <v>81123102-52951101</v>
          </cell>
          <cell r="S4222" t="str">
            <v>2026A-05</v>
          </cell>
          <cell r="T4222" t="str">
            <v>Mobile Phones</v>
          </cell>
        </row>
        <row r="4223">
          <cell r="K4223">
            <v>1159.82</v>
          </cell>
          <cell r="P4223" t="str">
            <v>81123102-52951101</v>
          </cell>
          <cell r="S4223" t="str">
            <v>2026A-05</v>
          </cell>
          <cell r="T4223" t="str">
            <v>Mobile Phones</v>
          </cell>
        </row>
        <row r="4224">
          <cell r="K4224">
            <v>713.39</v>
          </cell>
          <cell r="P4224" t="str">
            <v>81123102-52951101</v>
          </cell>
          <cell r="S4224" t="str">
            <v>2026A-05</v>
          </cell>
          <cell r="T4224" t="str">
            <v>Mobile Phones</v>
          </cell>
        </row>
        <row r="4225">
          <cell r="K4225">
            <v>534.82000000000005</v>
          </cell>
          <cell r="P4225" t="str">
            <v>81123102-52951101</v>
          </cell>
          <cell r="S4225" t="str">
            <v>2026A-05</v>
          </cell>
          <cell r="T4225" t="str">
            <v>Mobile Phones</v>
          </cell>
        </row>
        <row r="4226">
          <cell r="K4226">
            <v>891.96</v>
          </cell>
          <cell r="P4226" t="str">
            <v>81123102-52951101</v>
          </cell>
          <cell r="S4226" t="str">
            <v>2026A-05</v>
          </cell>
          <cell r="T4226" t="str">
            <v>Mobile Phones</v>
          </cell>
        </row>
        <row r="4227">
          <cell r="K4227">
            <v>713.39</v>
          </cell>
          <cell r="P4227" t="str">
            <v>81123102-52951101</v>
          </cell>
          <cell r="S4227" t="str">
            <v>2026A-05</v>
          </cell>
          <cell r="T4227" t="str">
            <v>Mobile Phones</v>
          </cell>
        </row>
        <row r="4228">
          <cell r="K4228">
            <v>1159.82</v>
          </cell>
          <cell r="P4228" t="str">
            <v>81123102-52951101</v>
          </cell>
          <cell r="S4228" t="str">
            <v>2026A-05</v>
          </cell>
          <cell r="T4228" t="str">
            <v>Mobile Phones</v>
          </cell>
        </row>
        <row r="4229">
          <cell r="K4229">
            <v>1159.82</v>
          </cell>
          <cell r="P4229" t="str">
            <v>81123102-52951101</v>
          </cell>
          <cell r="S4229" t="str">
            <v>2026A-05</v>
          </cell>
          <cell r="T4229" t="str">
            <v>Mobile Phones</v>
          </cell>
        </row>
        <row r="4230">
          <cell r="K4230">
            <v>713.39</v>
          </cell>
          <cell r="P4230" t="str">
            <v>81123102-52951101</v>
          </cell>
          <cell r="S4230" t="str">
            <v>2026A-05</v>
          </cell>
          <cell r="T4230" t="str">
            <v>Mobile Phones</v>
          </cell>
        </row>
        <row r="4231">
          <cell r="K4231">
            <v>713.39</v>
          </cell>
          <cell r="P4231" t="str">
            <v>81123102-52951101</v>
          </cell>
          <cell r="S4231" t="str">
            <v>2026A-05</v>
          </cell>
          <cell r="T4231" t="str">
            <v>Mobile Phones</v>
          </cell>
        </row>
        <row r="4232">
          <cell r="K4232">
            <v>534.82000000000005</v>
          </cell>
          <cell r="P4232" t="str">
            <v>81123102-52951101</v>
          </cell>
          <cell r="S4232" t="str">
            <v>2026A-05</v>
          </cell>
          <cell r="T4232" t="str">
            <v>Mobile Phones</v>
          </cell>
        </row>
        <row r="4233">
          <cell r="K4233">
            <v>534.82000000000005</v>
          </cell>
          <cell r="P4233" t="str">
            <v>81123102-52951101</v>
          </cell>
          <cell r="S4233" t="str">
            <v>2026A-05</v>
          </cell>
          <cell r="T4233" t="str">
            <v>Mobile Phones</v>
          </cell>
        </row>
        <row r="4234">
          <cell r="K4234">
            <v>2231.25</v>
          </cell>
          <cell r="P4234" t="str">
            <v>81123102-52951101</v>
          </cell>
          <cell r="S4234" t="str">
            <v>2026A-05</v>
          </cell>
          <cell r="T4234" t="str">
            <v>Mobile Phones</v>
          </cell>
        </row>
        <row r="4235">
          <cell r="K4235">
            <v>713.39</v>
          </cell>
          <cell r="P4235" t="str">
            <v>81123102-52951101</v>
          </cell>
          <cell r="S4235" t="str">
            <v>2026A-05</v>
          </cell>
          <cell r="T4235" t="str">
            <v>Mobile Phones</v>
          </cell>
        </row>
        <row r="4236">
          <cell r="K4236">
            <v>1159.82</v>
          </cell>
          <cell r="P4236" t="str">
            <v>81123102-52951101</v>
          </cell>
          <cell r="S4236" t="str">
            <v>2026A-05</v>
          </cell>
          <cell r="T4236" t="str">
            <v>Mobile Phones</v>
          </cell>
        </row>
        <row r="4237">
          <cell r="K4237">
            <v>1215.69</v>
          </cell>
          <cell r="P4237" t="str">
            <v>81123102-52951101</v>
          </cell>
          <cell r="S4237" t="str">
            <v>2026A-05</v>
          </cell>
          <cell r="T4237" t="str">
            <v>Mobile Phones</v>
          </cell>
        </row>
        <row r="4238">
          <cell r="K4238">
            <v>534.82000000000005</v>
          </cell>
          <cell r="P4238" t="str">
            <v>81123102-52951101</v>
          </cell>
          <cell r="S4238" t="str">
            <v>2026A-05</v>
          </cell>
          <cell r="T4238" t="str">
            <v>Mobile Phones</v>
          </cell>
        </row>
        <row r="4239">
          <cell r="K4239">
            <v>534.82000000000005</v>
          </cell>
          <cell r="P4239" t="str">
            <v>81123102-52951101</v>
          </cell>
          <cell r="S4239" t="str">
            <v>2026A-05</v>
          </cell>
          <cell r="T4239" t="str">
            <v>Mobile Phones</v>
          </cell>
        </row>
        <row r="4240">
          <cell r="K4240">
            <v>713.39</v>
          </cell>
          <cell r="P4240" t="str">
            <v>81123102-52951101</v>
          </cell>
          <cell r="S4240" t="str">
            <v>2026A-05</v>
          </cell>
          <cell r="T4240" t="str">
            <v>Mobile Phones</v>
          </cell>
        </row>
        <row r="4241">
          <cell r="K4241">
            <v>2499.11</v>
          </cell>
          <cell r="P4241" t="str">
            <v>81123102-52951101</v>
          </cell>
          <cell r="S4241" t="str">
            <v>2026A-05</v>
          </cell>
          <cell r="T4241" t="str">
            <v>Mobile Phones</v>
          </cell>
        </row>
        <row r="4242">
          <cell r="K4242">
            <v>713.39</v>
          </cell>
          <cell r="P4242" t="str">
            <v>81123102-52951101</v>
          </cell>
          <cell r="S4242" t="str">
            <v>2026A-05</v>
          </cell>
          <cell r="T4242" t="str">
            <v>Mobile Phones</v>
          </cell>
        </row>
        <row r="4243">
          <cell r="K4243">
            <v>891.96</v>
          </cell>
          <cell r="P4243" t="str">
            <v>81123102-52951101</v>
          </cell>
          <cell r="S4243" t="str">
            <v>2026A-05</v>
          </cell>
          <cell r="T4243" t="str">
            <v>Mobile Phones</v>
          </cell>
        </row>
        <row r="4244">
          <cell r="K4244">
            <v>534.82000000000005</v>
          </cell>
          <cell r="P4244" t="str">
            <v>81123102-52951101</v>
          </cell>
          <cell r="S4244" t="str">
            <v>2026A-05</v>
          </cell>
          <cell r="T4244" t="str">
            <v>Mobile Phones</v>
          </cell>
        </row>
        <row r="4245">
          <cell r="K4245">
            <v>534.82000000000005</v>
          </cell>
          <cell r="P4245" t="str">
            <v>81123102-52951101</v>
          </cell>
          <cell r="S4245" t="str">
            <v>2026A-05</v>
          </cell>
          <cell r="T4245" t="str">
            <v>Mobile Phones</v>
          </cell>
        </row>
        <row r="4246">
          <cell r="K4246">
            <v>534.82000000000005</v>
          </cell>
          <cell r="P4246" t="str">
            <v>81123102-52951101</v>
          </cell>
          <cell r="S4246" t="str">
            <v>2026A-05</v>
          </cell>
          <cell r="T4246" t="str">
            <v>Mobile Phones</v>
          </cell>
        </row>
        <row r="4247">
          <cell r="K4247">
            <v>713.39</v>
          </cell>
          <cell r="P4247" t="str">
            <v>81123102-52951101</v>
          </cell>
          <cell r="S4247" t="str">
            <v>2026A-05</v>
          </cell>
          <cell r="T4247" t="str">
            <v>Mobile Phones</v>
          </cell>
        </row>
        <row r="4248">
          <cell r="K4248">
            <v>534.82000000000005</v>
          </cell>
          <cell r="P4248" t="str">
            <v>81123102-52951101</v>
          </cell>
          <cell r="S4248" t="str">
            <v>2026A-05</v>
          </cell>
          <cell r="T4248" t="str">
            <v>Mobile Phones</v>
          </cell>
        </row>
        <row r="4249">
          <cell r="K4249">
            <v>1220.43</v>
          </cell>
          <cell r="P4249" t="str">
            <v>81123102-52951101</v>
          </cell>
          <cell r="S4249" t="str">
            <v>2026A-05</v>
          </cell>
          <cell r="T4249" t="str">
            <v>Mobile Phones</v>
          </cell>
        </row>
        <row r="4250">
          <cell r="K4250">
            <v>534.82000000000005</v>
          </cell>
          <cell r="P4250" t="str">
            <v>81123102-52951101</v>
          </cell>
          <cell r="S4250" t="str">
            <v>2026A-05</v>
          </cell>
          <cell r="T4250" t="str">
            <v>Mobile Phones</v>
          </cell>
        </row>
        <row r="4251">
          <cell r="K4251">
            <v>740.18</v>
          </cell>
          <cell r="P4251" t="str">
            <v>81123102-52951101</v>
          </cell>
          <cell r="S4251" t="str">
            <v>2026A-05</v>
          </cell>
          <cell r="T4251" t="str">
            <v>Mobile Phones</v>
          </cell>
        </row>
        <row r="4252">
          <cell r="K4252">
            <v>543.75</v>
          </cell>
          <cell r="P4252" t="str">
            <v>81123102-52951101</v>
          </cell>
          <cell r="S4252" t="str">
            <v>2026A-05</v>
          </cell>
          <cell r="T4252" t="str">
            <v>Mobile Phones</v>
          </cell>
        </row>
        <row r="4253">
          <cell r="K4253">
            <v>534.82000000000005</v>
          </cell>
          <cell r="P4253" t="str">
            <v>81123102-52951101</v>
          </cell>
          <cell r="S4253" t="str">
            <v>2026A-05</v>
          </cell>
          <cell r="T4253" t="str">
            <v>Mobile Phones</v>
          </cell>
        </row>
        <row r="4254">
          <cell r="K4254">
            <v>534.82000000000005</v>
          </cell>
          <cell r="P4254" t="str">
            <v>81123102-52951101</v>
          </cell>
          <cell r="S4254" t="str">
            <v>2026A-05</v>
          </cell>
          <cell r="T4254" t="str">
            <v>Mobile Phones</v>
          </cell>
        </row>
        <row r="4255">
          <cell r="K4255">
            <v>2240.34</v>
          </cell>
          <cell r="P4255" t="str">
            <v>81123102-52951101</v>
          </cell>
          <cell r="S4255" t="str">
            <v>2026A-05</v>
          </cell>
          <cell r="T4255" t="str">
            <v>Mobile Phones</v>
          </cell>
        </row>
        <row r="4256">
          <cell r="K4256">
            <v>891.96</v>
          </cell>
          <cell r="P4256" t="str">
            <v>81123102-52951101</v>
          </cell>
          <cell r="S4256" t="str">
            <v>2026A-05</v>
          </cell>
          <cell r="T4256" t="str">
            <v>Mobile Phones</v>
          </cell>
        </row>
        <row r="4257">
          <cell r="K4257">
            <v>750.6</v>
          </cell>
          <cell r="P4257" t="str">
            <v>81123102-52951101</v>
          </cell>
          <cell r="S4257" t="str">
            <v>2026A-05</v>
          </cell>
          <cell r="T4257" t="str">
            <v>Mobile Phones</v>
          </cell>
        </row>
        <row r="4258">
          <cell r="K4258">
            <v>1022.53</v>
          </cell>
          <cell r="P4258" t="str">
            <v>81123102-52951101</v>
          </cell>
          <cell r="S4258" t="str">
            <v>2026A-05</v>
          </cell>
          <cell r="T4258" t="str">
            <v>Mobile Phones</v>
          </cell>
        </row>
        <row r="4259">
          <cell r="K4259">
            <v>1022.53</v>
          </cell>
          <cell r="P4259" t="str">
            <v>81123102-52951101</v>
          </cell>
          <cell r="S4259" t="str">
            <v>2026A-05</v>
          </cell>
          <cell r="T4259" t="str">
            <v>Mobile Phones</v>
          </cell>
        </row>
        <row r="4260">
          <cell r="K4260">
            <v>1022.53</v>
          </cell>
          <cell r="P4260" t="str">
            <v>81123102-52951101</v>
          </cell>
          <cell r="S4260" t="str">
            <v>2026A-05</v>
          </cell>
          <cell r="T4260" t="str">
            <v>Mobile Phones</v>
          </cell>
        </row>
        <row r="4261">
          <cell r="K4261">
            <v>1022.53</v>
          </cell>
          <cell r="P4261" t="str">
            <v>81123102-52951101</v>
          </cell>
          <cell r="S4261" t="str">
            <v>2026A-05</v>
          </cell>
          <cell r="T4261" t="str">
            <v>Mobile Phones</v>
          </cell>
        </row>
        <row r="4262">
          <cell r="K4262">
            <v>998.75</v>
          </cell>
          <cell r="P4262" t="str">
            <v>81123102-52951101</v>
          </cell>
          <cell r="S4262" t="str">
            <v>2026A-05</v>
          </cell>
          <cell r="T4262" t="str">
            <v>Mobile Phones</v>
          </cell>
        </row>
        <row r="4263">
          <cell r="K4263">
            <v>1032.1099999999999</v>
          </cell>
          <cell r="P4263" t="str">
            <v>81123102-52951101</v>
          </cell>
          <cell r="S4263" t="str">
            <v>2026A-05</v>
          </cell>
          <cell r="T4263" t="str">
            <v>Mobile Phones</v>
          </cell>
        </row>
        <row r="4264">
          <cell r="K4264">
            <v>2500</v>
          </cell>
          <cell r="P4264" t="str">
            <v>90123101-61071002</v>
          </cell>
          <cell r="S4264" t="str">
            <v>2026A-05</v>
          </cell>
          <cell r="T4264" t="str">
            <v>Zero</v>
          </cell>
        </row>
        <row r="4265">
          <cell r="K4265">
            <v>180</v>
          </cell>
          <cell r="P4265" t="str">
            <v>90111101-61031101</v>
          </cell>
          <cell r="S4265" t="str">
            <v>2026A-05</v>
          </cell>
          <cell r="T4265" t="str">
            <v>DST</v>
          </cell>
        </row>
        <row r="4266">
          <cell r="K4266">
            <v>21447.200000000001</v>
          </cell>
          <cell r="P4266" t="str">
            <v>81319101-52041401</v>
          </cell>
          <cell r="S4266" t="str">
            <v>2026A-05</v>
          </cell>
          <cell r="T4266" t="str">
            <v>CV</v>
          </cell>
        </row>
        <row r="4267">
          <cell r="K4267">
            <v>4289.0200000000004</v>
          </cell>
          <cell r="P4267" t="str">
            <v>81319101-52041401</v>
          </cell>
          <cell r="S4267" t="str">
            <v>2026A-05</v>
          </cell>
          <cell r="T4267" t="str">
            <v>CV</v>
          </cell>
        </row>
        <row r="4268">
          <cell r="K4268">
            <v>21447.200000000001</v>
          </cell>
          <cell r="P4268" t="str">
            <v>81319101-52041401</v>
          </cell>
          <cell r="S4268" t="str">
            <v>2026A-05</v>
          </cell>
          <cell r="T4268" t="str">
            <v>TS</v>
          </cell>
        </row>
        <row r="4269">
          <cell r="K4269">
            <v>4289.0200000000004</v>
          </cell>
          <cell r="P4269" t="str">
            <v>81319101-52041401</v>
          </cell>
          <cell r="S4269" t="str">
            <v>2026A-05</v>
          </cell>
          <cell r="T4269" t="str">
            <v>TS</v>
          </cell>
        </row>
        <row r="4270">
          <cell r="K4270">
            <v>1615</v>
          </cell>
          <cell r="P4270" t="str">
            <v>90122101-52121315</v>
          </cell>
          <cell r="S4270" t="str">
            <v>2026A-05</v>
          </cell>
          <cell r="T4270" t="str">
            <v>Pre-Employment Medical Exams</v>
          </cell>
        </row>
        <row r="4271">
          <cell r="K4271">
            <v>125</v>
          </cell>
          <cell r="P4271" t="str">
            <v>90122101-52121315</v>
          </cell>
          <cell r="S4271" t="str">
            <v>2026A-05</v>
          </cell>
          <cell r="T4271" t="str">
            <v>Pre-Employment Medical Exams</v>
          </cell>
        </row>
        <row r="4272">
          <cell r="K4272">
            <v>240000</v>
          </cell>
          <cell r="P4272" t="str">
            <v>90134102-61071001</v>
          </cell>
          <cell r="S4272" t="str">
            <v>2026A-05</v>
          </cell>
          <cell r="T4272" t="str">
            <v>PWC FS Audit</v>
          </cell>
        </row>
        <row r="4273">
          <cell r="K4273">
            <v>4419.6400000000003</v>
          </cell>
          <cell r="P4273" t="str">
            <v>81123102-52111101</v>
          </cell>
          <cell r="S4273" t="str">
            <v>2026A-05</v>
          </cell>
          <cell r="T4273" t="str">
            <v>Office Supplies - Others</v>
          </cell>
        </row>
        <row r="4274">
          <cell r="K4274">
            <v>27.5</v>
          </cell>
          <cell r="P4274" t="str">
            <v>81123102-52111101</v>
          </cell>
          <cell r="S4274" t="str">
            <v>2026A-05</v>
          </cell>
          <cell r="T4274" t="str">
            <v>Office Supplies - Others</v>
          </cell>
        </row>
        <row r="4275">
          <cell r="K4275">
            <v>15.71</v>
          </cell>
          <cell r="P4275" t="str">
            <v>81123102-52111101</v>
          </cell>
          <cell r="S4275" t="str">
            <v>2026A-05</v>
          </cell>
          <cell r="T4275" t="str">
            <v>Office Supplies - Others</v>
          </cell>
        </row>
        <row r="4276">
          <cell r="K4276">
            <v>68.75</v>
          </cell>
          <cell r="P4276" t="str">
            <v>81123102-52111101</v>
          </cell>
          <cell r="S4276" t="str">
            <v>2026A-05</v>
          </cell>
          <cell r="T4276" t="str">
            <v>Office Supplies - Others</v>
          </cell>
        </row>
        <row r="4277">
          <cell r="K4277">
            <v>53.57</v>
          </cell>
          <cell r="P4277" t="str">
            <v>81123102-52111101</v>
          </cell>
          <cell r="S4277" t="str">
            <v>2026A-05</v>
          </cell>
          <cell r="T4277" t="str">
            <v>Office Supplies - Others</v>
          </cell>
        </row>
        <row r="4278">
          <cell r="K4278">
            <v>24.11</v>
          </cell>
          <cell r="P4278" t="str">
            <v>81123102-52111101</v>
          </cell>
          <cell r="S4278" t="str">
            <v>2026A-05</v>
          </cell>
          <cell r="T4278" t="str">
            <v>Office Supplies - Others</v>
          </cell>
        </row>
        <row r="4279">
          <cell r="K4279">
            <v>83.13</v>
          </cell>
          <cell r="P4279" t="str">
            <v>81123102-52111101</v>
          </cell>
          <cell r="S4279" t="str">
            <v>2026A-05</v>
          </cell>
          <cell r="T4279" t="str">
            <v>Office Supplies - Others</v>
          </cell>
        </row>
        <row r="4280">
          <cell r="K4280">
            <v>83.13</v>
          </cell>
          <cell r="P4280" t="str">
            <v>81123102-52111101</v>
          </cell>
          <cell r="S4280" t="str">
            <v>2026A-05</v>
          </cell>
          <cell r="T4280" t="str">
            <v>Office Supplies - Others</v>
          </cell>
        </row>
        <row r="4281">
          <cell r="K4281">
            <v>437.5</v>
          </cell>
          <cell r="P4281" t="str">
            <v>81123102-52111101</v>
          </cell>
          <cell r="S4281" t="str">
            <v>2026A-05</v>
          </cell>
          <cell r="T4281" t="str">
            <v>Office Supplies - Others</v>
          </cell>
        </row>
        <row r="4282">
          <cell r="K4282">
            <v>147.32</v>
          </cell>
          <cell r="P4282" t="str">
            <v>81123102-52111101</v>
          </cell>
          <cell r="S4282" t="str">
            <v>2026A-05</v>
          </cell>
          <cell r="T4282" t="str">
            <v>Office Supplies - Others</v>
          </cell>
        </row>
        <row r="4283">
          <cell r="K4283">
            <v>80.36</v>
          </cell>
          <cell r="P4283" t="str">
            <v>81123102-52111101</v>
          </cell>
          <cell r="S4283" t="str">
            <v>2026A-05</v>
          </cell>
          <cell r="T4283" t="str">
            <v>Office Supplies - Others</v>
          </cell>
        </row>
        <row r="4284">
          <cell r="K4284">
            <v>2464.29</v>
          </cell>
          <cell r="P4284" t="str">
            <v>81123102-52111101</v>
          </cell>
          <cell r="S4284" t="str">
            <v>2026A-05</v>
          </cell>
          <cell r="T4284" t="str">
            <v>Office Supplies - Others</v>
          </cell>
        </row>
        <row r="4285">
          <cell r="K4285">
            <v>62.5</v>
          </cell>
          <cell r="P4285" t="str">
            <v>81123102-52111101</v>
          </cell>
          <cell r="S4285" t="str">
            <v>2026A-05</v>
          </cell>
          <cell r="T4285" t="str">
            <v>Office Supplies - Others</v>
          </cell>
        </row>
        <row r="4286">
          <cell r="K4286">
            <v>62.5</v>
          </cell>
          <cell r="P4286" t="str">
            <v>81123102-52111101</v>
          </cell>
          <cell r="S4286" t="str">
            <v>2026A-05</v>
          </cell>
          <cell r="T4286" t="str">
            <v>Office Supplies - Others</v>
          </cell>
        </row>
        <row r="4287">
          <cell r="K4287">
            <v>62.5</v>
          </cell>
          <cell r="P4287" t="str">
            <v>81123102-52111101</v>
          </cell>
          <cell r="S4287" t="str">
            <v>2026A-05</v>
          </cell>
          <cell r="T4287" t="str">
            <v>Office Supplies - Others</v>
          </cell>
        </row>
        <row r="4288">
          <cell r="K4288">
            <v>-8973.2099999999991</v>
          </cell>
          <cell r="P4288" t="str">
            <v>81123102-52061103</v>
          </cell>
          <cell r="S4288" t="str">
            <v>2026A-05</v>
          </cell>
          <cell r="T4288" t="str">
            <v>R&amp;M - Building</v>
          </cell>
        </row>
        <row r="4289">
          <cell r="K4289">
            <v>747.77</v>
          </cell>
          <cell r="P4289" t="str">
            <v>81123102-52061103</v>
          </cell>
          <cell r="S4289" t="str">
            <v>2026A-05</v>
          </cell>
          <cell r="T4289" t="str">
            <v>R&amp;M - Building</v>
          </cell>
        </row>
        <row r="4290">
          <cell r="K4290">
            <v>747.77</v>
          </cell>
          <cell r="P4290" t="str">
            <v>81123102-52061103</v>
          </cell>
          <cell r="S4290" t="str">
            <v>2026A-05</v>
          </cell>
          <cell r="T4290" t="str">
            <v>R&amp;M - Building</v>
          </cell>
        </row>
        <row r="4291">
          <cell r="K4291">
            <v>107053.57</v>
          </cell>
          <cell r="P4291" t="str">
            <v>81123102-52061103</v>
          </cell>
          <cell r="S4291" t="str">
            <v>2026A-05</v>
          </cell>
          <cell r="T4291" t="str">
            <v>R&amp;M - F&amp;F</v>
          </cell>
        </row>
        <row r="4292">
          <cell r="K4292">
            <v>107053.57</v>
          </cell>
          <cell r="P4292" t="str">
            <v>81123102-52061103</v>
          </cell>
          <cell r="S4292" t="str">
            <v>2026A-05</v>
          </cell>
          <cell r="T4292" t="str">
            <v>R&amp;M - F&amp;F</v>
          </cell>
        </row>
        <row r="4293">
          <cell r="K4293">
            <v>107053.57</v>
          </cell>
          <cell r="P4293" t="str">
            <v>81123102-52061103</v>
          </cell>
          <cell r="S4293" t="str">
            <v>2026A-05</v>
          </cell>
          <cell r="T4293" t="str">
            <v>R&amp;M - F&amp;F</v>
          </cell>
        </row>
        <row r="4294">
          <cell r="K4294">
            <v>107053.57</v>
          </cell>
          <cell r="P4294" t="str">
            <v>81123102-52061103</v>
          </cell>
          <cell r="S4294" t="str">
            <v>2026A-05</v>
          </cell>
          <cell r="T4294" t="str">
            <v>R&amp;M - F&amp;F</v>
          </cell>
        </row>
        <row r="4295">
          <cell r="K4295">
            <v>16400</v>
          </cell>
          <cell r="P4295" t="str">
            <v>90122101-52071104</v>
          </cell>
          <cell r="S4295" t="str">
            <v>2026A-05</v>
          </cell>
          <cell r="T4295" t="str">
            <v>PSPI</v>
          </cell>
        </row>
        <row r="4296">
          <cell r="K4296">
            <v>700</v>
          </cell>
          <cell r="P4296" t="str">
            <v>81123102-52061105</v>
          </cell>
          <cell r="S4296" t="str">
            <v>2026A-05</v>
          </cell>
          <cell r="T4296" t="str">
            <v>R&amp;M Vehicle</v>
          </cell>
        </row>
        <row r="4297">
          <cell r="K4297">
            <v>500</v>
          </cell>
          <cell r="P4297" t="str">
            <v>81123102-52061111</v>
          </cell>
          <cell r="S4297" t="str">
            <v>2026A-05</v>
          </cell>
          <cell r="T4297" t="str">
            <v>R&amp;M - Supplies</v>
          </cell>
        </row>
        <row r="4298">
          <cell r="K4298">
            <v>120</v>
          </cell>
          <cell r="P4298" t="str">
            <v>81123102-52081101</v>
          </cell>
          <cell r="S4298" t="str">
            <v>2026A-05</v>
          </cell>
          <cell r="T4298" t="str">
            <v>Parking</v>
          </cell>
        </row>
        <row r="4299">
          <cell r="K4299">
            <v>60</v>
          </cell>
          <cell r="P4299" t="str">
            <v>81123102-52081101</v>
          </cell>
          <cell r="S4299" t="str">
            <v>2026A-05</v>
          </cell>
          <cell r="T4299" t="str">
            <v>Parking</v>
          </cell>
        </row>
        <row r="4300">
          <cell r="K4300">
            <v>110</v>
          </cell>
          <cell r="P4300" t="str">
            <v>81123102-52081101</v>
          </cell>
          <cell r="S4300" t="str">
            <v>2026A-05</v>
          </cell>
          <cell r="T4300" t="str">
            <v>Parking</v>
          </cell>
        </row>
        <row r="4301">
          <cell r="K4301">
            <v>50</v>
          </cell>
          <cell r="P4301" t="str">
            <v>81123102-52081101</v>
          </cell>
          <cell r="S4301" t="str">
            <v>2026A-05</v>
          </cell>
          <cell r="T4301" t="str">
            <v>Parking</v>
          </cell>
        </row>
        <row r="4302">
          <cell r="K4302">
            <v>125</v>
          </cell>
          <cell r="P4302" t="str">
            <v>81123102-52081101</v>
          </cell>
          <cell r="S4302" t="str">
            <v>2026A-05</v>
          </cell>
          <cell r="T4302" t="str">
            <v>Parking</v>
          </cell>
        </row>
        <row r="4303">
          <cell r="K4303">
            <v>50</v>
          </cell>
          <cell r="P4303" t="str">
            <v>81123102-52081101</v>
          </cell>
          <cell r="S4303" t="str">
            <v>2026A-05</v>
          </cell>
          <cell r="T4303" t="str">
            <v>Parking</v>
          </cell>
        </row>
        <row r="4304">
          <cell r="K4304">
            <v>40</v>
          </cell>
          <cell r="P4304" t="str">
            <v>81123102-52081101</v>
          </cell>
          <cell r="S4304" t="str">
            <v>2026A-05</v>
          </cell>
          <cell r="T4304" t="str">
            <v>Parking</v>
          </cell>
        </row>
        <row r="4305">
          <cell r="K4305">
            <v>40</v>
          </cell>
          <cell r="P4305" t="str">
            <v>81123102-52081101</v>
          </cell>
          <cell r="S4305" t="str">
            <v>2026A-05</v>
          </cell>
          <cell r="T4305" t="str">
            <v>Parking</v>
          </cell>
        </row>
        <row r="4306">
          <cell r="K4306">
            <v>135</v>
          </cell>
          <cell r="P4306" t="str">
            <v>81123102-52081101</v>
          </cell>
          <cell r="S4306" t="str">
            <v>2026A-05</v>
          </cell>
          <cell r="T4306" t="str">
            <v>Parking</v>
          </cell>
        </row>
        <row r="4307">
          <cell r="K4307">
            <v>50</v>
          </cell>
          <cell r="P4307" t="str">
            <v>81123102-52081101</v>
          </cell>
          <cell r="S4307" t="str">
            <v>2026A-05</v>
          </cell>
          <cell r="T4307" t="str">
            <v>Parking</v>
          </cell>
        </row>
        <row r="4308">
          <cell r="K4308">
            <v>60</v>
          </cell>
          <cell r="P4308" t="str">
            <v>81123102-52081101</v>
          </cell>
          <cell r="S4308" t="str">
            <v>2026A-05</v>
          </cell>
          <cell r="T4308" t="str">
            <v>Parking</v>
          </cell>
        </row>
        <row r="4309">
          <cell r="K4309">
            <v>150</v>
          </cell>
          <cell r="P4309" t="str">
            <v>81123102-52081103</v>
          </cell>
          <cell r="S4309" t="str">
            <v>2026A-05</v>
          </cell>
          <cell r="T4309" t="str">
            <v>Meal Allowance</v>
          </cell>
        </row>
        <row r="4310">
          <cell r="K4310">
            <v>150</v>
          </cell>
          <cell r="P4310" t="str">
            <v>81123102-52081103</v>
          </cell>
          <cell r="S4310" t="str">
            <v>2026A-05</v>
          </cell>
          <cell r="T4310" t="str">
            <v>Meal Allowance</v>
          </cell>
        </row>
        <row r="4311">
          <cell r="K4311">
            <v>150</v>
          </cell>
          <cell r="P4311" t="str">
            <v>81123102-52081103</v>
          </cell>
          <cell r="S4311" t="str">
            <v>2026A-05</v>
          </cell>
          <cell r="T4311" t="str">
            <v>Meal Allowance</v>
          </cell>
        </row>
        <row r="4312">
          <cell r="K4312">
            <v>150</v>
          </cell>
          <cell r="P4312" t="str">
            <v>81123102-52081103</v>
          </cell>
          <cell r="S4312" t="str">
            <v>2026A-05</v>
          </cell>
          <cell r="T4312" t="str">
            <v>Meal Allowance</v>
          </cell>
        </row>
        <row r="4313">
          <cell r="K4313">
            <v>150</v>
          </cell>
          <cell r="P4313" t="str">
            <v>81123102-52081103</v>
          </cell>
          <cell r="S4313" t="str">
            <v>2026A-05</v>
          </cell>
          <cell r="T4313" t="str">
            <v>Meal Allowance</v>
          </cell>
        </row>
        <row r="4314">
          <cell r="K4314">
            <v>50</v>
          </cell>
          <cell r="P4314" t="str">
            <v>81123102-52081103</v>
          </cell>
          <cell r="S4314" t="str">
            <v>2026A-05</v>
          </cell>
          <cell r="T4314" t="str">
            <v>Meal Allowance</v>
          </cell>
        </row>
        <row r="4315">
          <cell r="K4315">
            <v>588</v>
          </cell>
          <cell r="P4315" t="str">
            <v>81111204-52091102</v>
          </cell>
          <cell r="S4315" t="str">
            <v>2026A-05</v>
          </cell>
          <cell r="T4315" t="str">
            <v>Meetings</v>
          </cell>
        </row>
        <row r="4316">
          <cell r="K4316">
            <v>460</v>
          </cell>
          <cell r="P4316" t="str">
            <v>81123102-52119101</v>
          </cell>
          <cell r="S4316" t="str">
            <v>2026A-05</v>
          </cell>
          <cell r="T4316" t="str">
            <v>Gas/fuel</v>
          </cell>
        </row>
        <row r="4317">
          <cell r="K4317">
            <v>210</v>
          </cell>
          <cell r="P4317" t="str">
            <v>81123102-52119101</v>
          </cell>
          <cell r="S4317" t="str">
            <v>2026A-05</v>
          </cell>
          <cell r="T4317" t="str">
            <v>Gas/fuel</v>
          </cell>
        </row>
        <row r="4318">
          <cell r="K4318">
            <v>321</v>
          </cell>
          <cell r="P4318" t="str">
            <v>81123102-52119101</v>
          </cell>
          <cell r="S4318" t="str">
            <v>2026A-05</v>
          </cell>
          <cell r="T4318" t="str">
            <v>Gas/fuel</v>
          </cell>
        </row>
        <row r="4319">
          <cell r="K4319">
            <v>250</v>
          </cell>
          <cell r="P4319" t="str">
            <v>81123102-52119101</v>
          </cell>
          <cell r="S4319" t="str">
            <v>2026A-05</v>
          </cell>
          <cell r="T4319" t="str">
            <v>Gas/fuel</v>
          </cell>
        </row>
        <row r="4320">
          <cell r="K4320">
            <v>109</v>
          </cell>
          <cell r="P4320" t="str">
            <v>81123102-52119101</v>
          </cell>
          <cell r="S4320" t="str">
            <v>2026A-05</v>
          </cell>
          <cell r="T4320" t="str">
            <v>Gas/fuel</v>
          </cell>
        </row>
        <row r="4321">
          <cell r="K4321">
            <v>326</v>
          </cell>
          <cell r="P4321" t="str">
            <v>81123102-52119101</v>
          </cell>
          <cell r="S4321" t="str">
            <v>2026A-05</v>
          </cell>
          <cell r="T4321" t="str">
            <v>Gas/fuel</v>
          </cell>
        </row>
        <row r="4322">
          <cell r="K4322">
            <v>393</v>
          </cell>
          <cell r="P4322" t="str">
            <v>81123102-52119101</v>
          </cell>
          <cell r="S4322" t="str">
            <v>2026A-05</v>
          </cell>
          <cell r="T4322" t="str">
            <v>Gas/fuel</v>
          </cell>
        </row>
        <row r="4323">
          <cell r="K4323">
            <v>353</v>
          </cell>
          <cell r="P4323" t="str">
            <v>81123102-52119101</v>
          </cell>
          <cell r="S4323" t="str">
            <v>2026A-05</v>
          </cell>
          <cell r="T4323" t="str">
            <v>Gas/fuel</v>
          </cell>
        </row>
        <row r="4324">
          <cell r="K4324">
            <v>304</v>
          </cell>
          <cell r="P4324" t="str">
            <v>81123102-52119101</v>
          </cell>
          <cell r="S4324" t="str">
            <v>2026A-05</v>
          </cell>
          <cell r="T4324" t="str">
            <v>Gas/fuel</v>
          </cell>
        </row>
        <row r="4325">
          <cell r="K4325">
            <v>481</v>
          </cell>
          <cell r="P4325" t="str">
            <v>81123102-52119101</v>
          </cell>
          <cell r="S4325" t="str">
            <v>2026A-05</v>
          </cell>
          <cell r="T4325" t="str">
            <v>Gas/fuel</v>
          </cell>
        </row>
        <row r="4326">
          <cell r="K4326">
            <v>220</v>
          </cell>
          <cell r="P4326" t="str">
            <v>81123102-52119101</v>
          </cell>
          <cell r="S4326" t="str">
            <v>2026A-05</v>
          </cell>
          <cell r="T4326" t="str">
            <v>Gas/fuel</v>
          </cell>
        </row>
        <row r="4327">
          <cell r="K4327">
            <v>366</v>
          </cell>
          <cell r="P4327" t="str">
            <v>81123102-52119101</v>
          </cell>
          <cell r="S4327" t="str">
            <v>2026A-05</v>
          </cell>
          <cell r="T4327" t="str">
            <v>Gas/fuel</v>
          </cell>
        </row>
        <row r="4328">
          <cell r="K4328">
            <v>250</v>
          </cell>
          <cell r="P4328" t="str">
            <v>81123102-52119101</v>
          </cell>
          <cell r="S4328" t="str">
            <v>2026A-05</v>
          </cell>
          <cell r="T4328" t="str">
            <v>Gas/fuel</v>
          </cell>
        </row>
        <row r="4329">
          <cell r="K4329">
            <v>211</v>
          </cell>
          <cell r="P4329" t="str">
            <v>81123102-52119101</v>
          </cell>
          <cell r="S4329" t="str">
            <v>2026A-05</v>
          </cell>
          <cell r="T4329" t="str">
            <v>Gas/fuel</v>
          </cell>
        </row>
        <row r="4330">
          <cell r="K4330">
            <v>450</v>
          </cell>
          <cell r="P4330" t="str">
            <v>81123102-52119101</v>
          </cell>
          <cell r="S4330" t="str">
            <v>2026A-05</v>
          </cell>
          <cell r="T4330" t="str">
            <v>Gas/fuel</v>
          </cell>
        </row>
        <row r="4331">
          <cell r="K4331">
            <v>250</v>
          </cell>
          <cell r="P4331" t="str">
            <v>81123102-52119101</v>
          </cell>
          <cell r="S4331" t="str">
            <v>2026A-05</v>
          </cell>
          <cell r="T4331" t="str">
            <v>Gas/fuel</v>
          </cell>
        </row>
        <row r="4332">
          <cell r="K4332">
            <v>595</v>
          </cell>
          <cell r="P4332" t="str">
            <v>81123102-52119101</v>
          </cell>
          <cell r="S4332" t="str">
            <v>2026A-05</v>
          </cell>
          <cell r="T4332" t="str">
            <v>Gas/fuel</v>
          </cell>
        </row>
        <row r="4333">
          <cell r="K4333">
            <v>484</v>
          </cell>
          <cell r="P4333" t="str">
            <v>81123102-52119101</v>
          </cell>
          <cell r="S4333" t="str">
            <v>2026A-05</v>
          </cell>
          <cell r="T4333" t="str">
            <v>Gas/fuel</v>
          </cell>
        </row>
        <row r="4334">
          <cell r="K4334">
            <v>250</v>
          </cell>
          <cell r="P4334" t="str">
            <v>81123102-52119101</v>
          </cell>
          <cell r="S4334" t="str">
            <v>2026A-05</v>
          </cell>
          <cell r="T4334" t="str">
            <v>Gas/fuel</v>
          </cell>
        </row>
        <row r="4335">
          <cell r="K4335">
            <v>225</v>
          </cell>
          <cell r="P4335" t="str">
            <v>81123102-52119101</v>
          </cell>
          <cell r="S4335" t="str">
            <v>2026A-05</v>
          </cell>
          <cell r="T4335" t="str">
            <v>Gas/fuel</v>
          </cell>
        </row>
        <row r="4336">
          <cell r="K4336">
            <v>250</v>
          </cell>
          <cell r="P4336" t="str">
            <v>81123102-52119101</v>
          </cell>
          <cell r="S4336" t="str">
            <v>2026A-05</v>
          </cell>
          <cell r="T4336" t="str">
            <v>Gas/fuel</v>
          </cell>
        </row>
        <row r="4337">
          <cell r="K4337">
            <v>236</v>
          </cell>
          <cell r="P4337" t="str">
            <v>81123102-52119101</v>
          </cell>
          <cell r="S4337" t="str">
            <v>2026A-05</v>
          </cell>
          <cell r="T4337" t="str">
            <v>Gas/fuel</v>
          </cell>
        </row>
        <row r="4338">
          <cell r="K4338">
            <v>391</v>
          </cell>
          <cell r="P4338" t="str">
            <v>81123102-52119101</v>
          </cell>
          <cell r="S4338" t="str">
            <v>2026A-05</v>
          </cell>
          <cell r="T4338" t="str">
            <v>Gas/fuel</v>
          </cell>
        </row>
        <row r="4339">
          <cell r="K4339">
            <v>885</v>
          </cell>
          <cell r="P4339" t="str">
            <v>80123102-61721103</v>
          </cell>
          <cell r="S4339" t="str">
            <v>2026A-05</v>
          </cell>
          <cell r="T4339" t="str">
            <v>Postal</v>
          </cell>
        </row>
        <row r="4340">
          <cell r="K4340">
            <v>15178.57</v>
          </cell>
          <cell r="P4340" t="str">
            <v>81123102-52061101</v>
          </cell>
          <cell r="S4340" t="str">
            <v>2026A-05</v>
          </cell>
          <cell r="T4340" t="str">
            <v>R&amp;M - F&amp;F</v>
          </cell>
        </row>
        <row r="4341">
          <cell r="K4341">
            <v>1369.64</v>
          </cell>
          <cell r="P4341" t="str">
            <v>81221201-61111101</v>
          </cell>
          <cell r="S4341" t="str">
            <v>2026A-05</v>
          </cell>
          <cell r="T4341" t="str">
            <v>Tissue</v>
          </cell>
        </row>
        <row r="4342">
          <cell r="K4342">
            <v>1350</v>
          </cell>
          <cell r="P4342" t="str">
            <v>81221201-61111101</v>
          </cell>
          <cell r="S4342" t="str">
            <v>2026A-05</v>
          </cell>
          <cell r="T4342" t="str">
            <v>Tissue</v>
          </cell>
        </row>
        <row r="4343">
          <cell r="K4343">
            <v>2057.14</v>
          </cell>
          <cell r="P4343" t="str">
            <v>81221201-61111101</v>
          </cell>
          <cell r="S4343" t="str">
            <v>2026A-05</v>
          </cell>
          <cell r="T4343" t="str">
            <v>Tissue</v>
          </cell>
        </row>
        <row r="4344">
          <cell r="K4344">
            <v>1850</v>
          </cell>
          <cell r="P4344" t="str">
            <v>81221201-61111101</v>
          </cell>
          <cell r="S4344" t="str">
            <v>2026A-05</v>
          </cell>
          <cell r="T4344" t="str">
            <v>Tissue</v>
          </cell>
        </row>
        <row r="4345">
          <cell r="K4345">
            <v>175.22</v>
          </cell>
          <cell r="P4345" t="str">
            <v>81221201-61111101</v>
          </cell>
          <cell r="S4345" t="str">
            <v>2026A-05</v>
          </cell>
          <cell r="T4345" t="str">
            <v>Tissue</v>
          </cell>
        </row>
        <row r="4346">
          <cell r="K4346">
            <v>533.48</v>
          </cell>
          <cell r="P4346" t="str">
            <v>81221201-61111101</v>
          </cell>
          <cell r="S4346" t="str">
            <v>2026A-05</v>
          </cell>
          <cell r="T4346" t="str">
            <v>Tissue</v>
          </cell>
        </row>
        <row r="4347">
          <cell r="K4347">
            <v>1989.29</v>
          </cell>
          <cell r="P4347" t="str">
            <v>81221201-61111101</v>
          </cell>
          <cell r="S4347" t="str">
            <v>2026A-05</v>
          </cell>
          <cell r="T4347" t="str">
            <v>Tissue</v>
          </cell>
        </row>
        <row r="4348">
          <cell r="K4348">
            <v>1024.6400000000001</v>
          </cell>
          <cell r="P4348" t="str">
            <v>81221201-61111101</v>
          </cell>
          <cell r="S4348" t="str">
            <v>2026A-05</v>
          </cell>
          <cell r="T4348" t="str">
            <v>Tissue</v>
          </cell>
        </row>
        <row r="4349">
          <cell r="K4349">
            <v>1169.42</v>
          </cell>
          <cell r="P4349" t="str">
            <v>81221201-61111101</v>
          </cell>
          <cell r="S4349" t="str">
            <v>2026A-05</v>
          </cell>
          <cell r="T4349" t="str">
            <v>Tissue</v>
          </cell>
        </row>
        <row r="4350">
          <cell r="K4350">
            <v>920.09</v>
          </cell>
          <cell r="P4350" t="str">
            <v>81221201-61111101</v>
          </cell>
          <cell r="S4350" t="str">
            <v>2026A-05</v>
          </cell>
          <cell r="T4350" t="str">
            <v>Tissue</v>
          </cell>
        </row>
        <row r="4351">
          <cell r="K4351">
            <v>1504.24</v>
          </cell>
          <cell r="P4351" t="str">
            <v>81221201-61111101</v>
          </cell>
          <cell r="S4351" t="str">
            <v>2026A-05</v>
          </cell>
          <cell r="T4351" t="str">
            <v>Tissue</v>
          </cell>
        </row>
        <row r="4352">
          <cell r="K4352">
            <v>1502.01</v>
          </cell>
          <cell r="P4352" t="str">
            <v>81221201-61111101</v>
          </cell>
          <cell r="S4352" t="str">
            <v>2026A-05</v>
          </cell>
          <cell r="T4352" t="str">
            <v>Tissue</v>
          </cell>
        </row>
        <row r="4353">
          <cell r="K4353">
            <v>218750</v>
          </cell>
          <cell r="P4353" t="str">
            <v>80111101-61021201</v>
          </cell>
          <cell r="S4353" t="str">
            <v>2026A-05</v>
          </cell>
          <cell r="T4353" t="str">
            <v>Project Employee</v>
          </cell>
        </row>
        <row r="4354">
          <cell r="K4354">
            <v>-2642.78</v>
          </cell>
          <cell r="P4354" t="str">
            <v>80111101-61021201</v>
          </cell>
          <cell r="S4354" t="str">
            <v>2026A-05</v>
          </cell>
          <cell r="T4354" t="str">
            <v>Project Employee</v>
          </cell>
        </row>
        <row r="4355">
          <cell r="K4355">
            <v>-722.82</v>
          </cell>
          <cell r="P4355" t="str">
            <v>80111101-61021201</v>
          </cell>
          <cell r="S4355" t="str">
            <v>2026A-05</v>
          </cell>
          <cell r="T4355" t="str">
            <v>Project Employee</v>
          </cell>
        </row>
        <row r="4356">
          <cell r="K4356">
            <v>45981.4</v>
          </cell>
          <cell r="P4356" t="str">
            <v>80111101-61021202</v>
          </cell>
          <cell r="S4356" t="str">
            <v>2026A-05</v>
          </cell>
          <cell r="T4356" t="str">
            <v>Project Employee</v>
          </cell>
        </row>
        <row r="4357">
          <cell r="K4357">
            <v>3200</v>
          </cell>
          <cell r="P4357" t="str">
            <v>80111101-61021306</v>
          </cell>
          <cell r="S4357" t="str">
            <v>2026A-05</v>
          </cell>
          <cell r="T4357" t="str">
            <v>Pag-ibig</v>
          </cell>
        </row>
        <row r="4358">
          <cell r="K4358">
            <v>26520</v>
          </cell>
          <cell r="P4358" t="str">
            <v>80111101-61021306</v>
          </cell>
          <cell r="S4358" t="str">
            <v>2026A-05</v>
          </cell>
          <cell r="T4358" t="str">
            <v>SSS</v>
          </cell>
        </row>
        <row r="4359">
          <cell r="K4359">
            <v>10937.5</v>
          </cell>
          <cell r="P4359" t="str">
            <v>80111101-61021306</v>
          </cell>
          <cell r="S4359" t="str">
            <v>2026A-05</v>
          </cell>
          <cell r="T4359" t="str">
            <v>Philhealth</v>
          </cell>
        </row>
        <row r="4360">
          <cell r="K4360">
            <v>30800</v>
          </cell>
          <cell r="P4360" t="str">
            <v>80111101-61021102</v>
          </cell>
          <cell r="S4360" t="str">
            <v>2026A-05</v>
          </cell>
          <cell r="T4360" t="str">
            <v>Regular Employee</v>
          </cell>
        </row>
        <row r="4361">
          <cell r="K4361">
            <v>-3.5</v>
          </cell>
          <cell r="P4361" t="str">
            <v>80111101-61021102</v>
          </cell>
          <cell r="S4361" t="str">
            <v>2026A-05</v>
          </cell>
          <cell r="T4361" t="str">
            <v>Regular Employee</v>
          </cell>
        </row>
        <row r="4362">
          <cell r="K4362">
            <v>50500</v>
          </cell>
          <cell r="P4362" t="str">
            <v>80111101-61021102</v>
          </cell>
          <cell r="S4362" t="str">
            <v>2026A-05</v>
          </cell>
          <cell r="T4362" t="str">
            <v>Regular Employee</v>
          </cell>
        </row>
        <row r="4363">
          <cell r="K4363">
            <v>238150</v>
          </cell>
          <cell r="P4363" t="str">
            <v>80111101-61021102</v>
          </cell>
          <cell r="S4363" t="str">
            <v>2026A-05</v>
          </cell>
          <cell r="T4363" t="str">
            <v>Regular Employee</v>
          </cell>
        </row>
        <row r="4364">
          <cell r="K4364">
            <v>-3297.75</v>
          </cell>
          <cell r="P4364" t="str">
            <v>80111101-61021102</v>
          </cell>
          <cell r="S4364" t="str">
            <v>2026A-05</v>
          </cell>
          <cell r="T4364" t="str">
            <v>Regular Employee</v>
          </cell>
        </row>
        <row r="4365">
          <cell r="K4365">
            <v>-48.38</v>
          </cell>
          <cell r="P4365" t="str">
            <v>80111101-61021102</v>
          </cell>
          <cell r="S4365" t="str">
            <v>2026A-05</v>
          </cell>
          <cell r="T4365" t="str">
            <v>Regular Employee</v>
          </cell>
        </row>
        <row r="4366">
          <cell r="K4366">
            <v>737300</v>
          </cell>
          <cell r="P4366" t="str">
            <v>80111101-61021102</v>
          </cell>
          <cell r="S4366" t="str">
            <v>2026A-05</v>
          </cell>
          <cell r="T4366" t="str">
            <v>Regular Employee</v>
          </cell>
        </row>
        <row r="4367">
          <cell r="K4367">
            <v>-5542.05</v>
          </cell>
          <cell r="P4367" t="str">
            <v>80111101-61021102</v>
          </cell>
          <cell r="S4367" t="str">
            <v>2026A-05</v>
          </cell>
          <cell r="T4367" t="str">
            <v>Regular Employee</v>
          </cell>
        </row>
        <row r="4368">
          <cell r="K4368">
            <v>2880.95</v>
          </cell>
          <cell r="P4368" t="str">
            <v>80111101-61021102</v>
          </cell>
          <cell r="S4368" t="str">
            <v>2026A-05</v>
          </cell>
          <cell r="T4368" t="str">
            <v>Regular Employee</v>
          </cell>
        </row>
        <row r="4369">
          <cell r="K4369">
            <v>-1116.74</v>
          </cell>
          <cell r="P4369" t="str">
            <v>80111101-61021102</v>
          </cell>
          <cell r="S4369" t="str">
            <v>2026A-05</v>
          </cell>
          <cell r="T4369" t="str">
            <v>Regular Employee</v>
          </cell>
        </row>
        <row r="4370">
          <cell r="K4370">
            <v>-378.48</v>
          </cell>
          <cell r="P4370" t="str">
            <v>80111101-61021102</v>
          </cell>
          <cell r="S4370" t="str">
            <v>2026A-05</v>
          </cell>
          <cell r="T4370" t="str">
            <v>Regular Employee</v>
          </cell>
        </row>
        <row r="4371">
          <cell r="K4371">
            <v>5651.71</v>
          </cell>
          <cell r="P4371" t="str">
            <v>80111101-61021103</v>
          </cell>
          <cell r="S4371" t="str">
            <v>2026A-05</v>
          </cell>
          <cell r="T4371" t="str">
            <v>OT Pay</v>
          </cell>
        </row>
        <row r="4372">
          <cell r="K4372">
            <v>3368</v>
          </cell>
          <cell r="P4372" t="str">
            <v>80111101-61021104</v>
          </cell>
          <cell r="S4372" t="str">
            <v>2026A-05</v>
          </cell>
          <cell r="T4372" t="str">
            <v>OT Pay</v>
          </cell>
        </row>
        <row r="4373">
          <cell r="K4373">
            <v>7600</v>
          </cell>
          <cell r="P4373" t="str">
            <v>80111101-61021104</v>
          </cell>
          <cell r="S4373" t="str">
            <v>2026A-05</v>
          </cell>
          <cell r="T4373" t="str">
            <v>OT Pay</v>
          </cell>
        </row>
        <row r="4374">
          <cell r="K4374">
            <v>400</v>
          </cell>
          <cell r="P4374" t="str">
            <v>80111101-61021306</v>
          </cell>
          <cell r="S4374" t="str">
            <v>2026A-05</v>
          </cell>
          <cell r="T4374" t="str">
            <v>Pag-ibig</v>
          </cell>
        </row>
        <row r="4375">
          <cell r="K4375">
            <v>3160</v>
          </cell>
          <cell r="P4375" t="str">
            <v>80111101-61021306</v>
          </cell>
          <cell r="S4375" t="str">
            <v>2026A-05</v>
          </cell>
          <cell r="T4375" t="str">
            <v>SSS</v>
          </cell>
        </row>
        <row r="4376">
          <cell r="K4376">
            <v>1540</v>
          </cell>
          <cell r="P4376" t="str">
            <v>80111101-61021306</v>
          </cell>
          <cell r="S4376" t="str">
            <v>2026A-05</v>
          </cell>
          <cell r="T4376" t="str">
            <v>Philhealth</v>
          </cell>
        </row>
        <row r="4377">
          <cell r="K4377">
            <v>200</v>
          </cell>
          <cell r="P4377" t="str">
            <v>80111101-61021306</v>
          </cell>
          <cell r="S4377" t="str">
            <v>2026A-05</v>
          </cell>
          <cell r="T4377" t="str">
            <v>Pag-ibig</v>
          </cell>
        </row>
        <row r="4378">
          <cell r="K4378">
            <v>3530</v>
          </cell>
          <cell r="P4378" t="str">
            <v>80111101-61021306</v>
          </cell>
          <cell r="S4378" t="str">
            <v>2026A-05</v>
          </cell>
          <cell r="T4378" t="str">
            <v>SSS</v>
          </cell>
        </row>
        <row r="4379">
          <cell r="K4379">
            <v>2500</v>
          </cell>
          <cell r="P4379" t="str">
            <v>80111101-61021306</v>
          </cell>
          <cell r="S4379" t="str">
            <v>2026A-05</v>
          </cell>
          <cell r="T4379" t="str">
            <v>Philhealth</v>
          </cell>
        </row>
        <row r="4380">
          <cell r="K4380">
            <v>2000</v>
          </cell>
          <cell r="P4380" t="str">
            <v>80111101-61021306</v>
          </cell>
          <cell r="S4380" t="str">
            <v>2026A-05</v>
          </cell>
          <cell r="T4380" t="str">
            <v>Pag-ibig</v>
          </cell>
        </row>
        <row r="4381">
          <cell r="K4381">
            <v>18300</v>
          </cell>
          <cell r="P4381" t="str">
            <v>80111101-61021306</v>
          </cell>
          <cell r="S4381" t="str">
            <v>2026A-05</v>
          </cell>
          <cell r="T4381" t="str">
            <v>SSS</v>
          </cell>
        </row>
        <row r="4382">
          <cell r="K4382">
            <v>10395</v>
          </cell>
          <cell r="P4382" t="str">
            <v>80111101-61021306</v>
          </cell>
          <cell r="S4382" t="str">
            <v>2026A-05</v>
          </cell>
          <cell r="T4382" t="str">
            <v>Philhealth</v>
          </cell>
        </row>
        <row r="4383">
          <cell r="K4383">
            <v>6800</v>
          </cell>
          <cell r="P4383" t="str">
            <v>80111101-61021306</v>
          </cell>
          <cell r="S4383" t="str">
            <v>2026A-05</v>
          </cell>
          <cell r="T4383" t="str">
            <v>Pag-ibig</v>
          </cell>
        </row>
        <row r="4384">
          <cell r="K4384">
            <v>64120</v>
          </cell>
          <cell r="P4384" t="str">
            <v>80111101-61021306</v>
          </cell>
          <cell r="S4384" t="str">
            <v>2026A-05</v>
          </cell>
          <cell r="T4384" t="str">
            <v>SSS</v>
          </cell>
        </row>
        <row r="4385">
          <cell r="K4385">
            <v>34335</v>
          </cell>
          <cell r="P4385" t="str">
            <v>80111101-61021306</v>
          </cell>
          <cell r="S4385" t="str">
            <v>2026A-05</v>
          </cell>
          <cell r="T4385" t="str">
            <v>Philhealth</v>
          </cell>
        </row>
        <row r="4386">
          <cell r="K4386">
            <v>7000</v>
          </cell>
          <cell r="P4386" t="str">
            <v>80123101-61071005</v>
          </cell>
          <cell r="S4386" t="str">
            <v>2026A-05</v>
          </cell>
          <cell r="T4386" t="str">
            <v>Corpuz</v>
          </cell>
        </row>
        <row r="4387">
          <cell r="K4387">
            <v>10000</v>
          </cell>
          <cell r="P4387" t="str">
            <v>80123101-61071005</v>
          </cell>
          <cell r="S4387" t="str">
            <v>2026A-05</v>
          </cell>
          <cell r="T4387" t="str">
            <v>Santiago</v>
          </cell>
        </row>
        <row r="4388">
          <cell r="K4388">
            <v>195050</v>
          </cell>
          <cell r="P4388" t="str">
            <v>81111101-52121101</v>
          </cell>
          <cell r="S4388" t="str">
            <v>2026A-05</v>
          </cell>
          <cell r="T4388" t="str">
            <v>Regular Employee</v>
          </cell>
        </row>
        <row r="4389">
          <cell r="K4389">
            <v>2381.6999999999998</v>
          </cell>
          <cell r="P4389" t="str">
            <v>81111101-52121101</v>
          </cell>
          <cell r="S4389" t="str">
            <v>2026A-05</v>
          </cell>
          <cell r="T4389" t="str">
            <v>Regular Employee</v>
          </cell>
        </row>
        <row r="4390">
          <cell r="K4390">
            <v>-4589.37</v>
          </cell>
          <cell r="P4390" t="str">
            <v>81111101-52121101</v>
          </cell>
          <cell r="S4390" t="str">
            <v>2026A-05</v>
          </cell>
          <cell r="T4390" t="str">
            <v>Regular Employee</v>
          </cell>
        </row>
        <row r="4391">
          <cell r="K4391">
            <v>-154.94</v>
          </cell>
          <cell r="P4391" t="str">
            <v>81111101-52121101</v>
          </cell>
          <cell r="S4391" t="str">
            <v>2026A-05</v>
          </cell>
          <cell r="T4391" t="str">
            <v>Regular Employee</v>
          </cell>
        </row>
        <row r="4392">
          <cell r="K4392">
            <v>-648.51</v>
          </cell>
          <cell r="P4392" t="str">
            <v>81111101-52121101</v>
          </cell>
          <cell r="S4392" t="str">
            <v>2026A-05</v>
          </cell>
          <cell r="T4392" t="str">
            <v>Regular Employee</v>
          </cell>
        </row>
        <row r="4393">
          <cell r="K4393">
            <v>246700</v>
          </cell>
          <cell r="P4393" t="str">
            <v>81111101-52121101</v>
          </cell>
          <cell r="S4393" t="str">
            <v>2026A-05</v>
          </cell>
          <cell r="T4393" t="str">
            <v>Regular Employee</v>
          </cell>
        </row>
        <row r="4394">
          <cell r="K4394">
            <v>-10919.23</v>
          </cell>
          <cell r="P4394" t="str">
            <v>81111101-52121101</v>
          </cell>
          <cell r="S4394" t="str">
            <v>2026A-05</v>
          </cell>
          <cell r="T4394" t="str">
            <v>Regular Employee</v>
          </cell>
        </row>
        <row r="4395">
          <cell r="K4395">
            <v>-1739.12</v>
          </cell>
          <cell r="P4395" t="str">
            <v>81111101-52121101</v>
          </cell>
          <cell r="S4395" t="str">
            <v>2026A-05</v>
          </cell>
          <cell r="T4395" t="str">
            <v>Regular Employee</v>
          </cell>
        </row>
        <row r="4396">
          <cell r="K4396">
            <v>-1063.26</v>
          </cell>
          <cell r="P4396" t="str">
            <v>81111101-52121101</v>
          </cell>
          <cell r="S4396" t="str">
            <v>2026A-05</v>
          </cell>
          <cell r="T4396" t="str">
            <v>Regular Employee</v>
          </cell>
        </row>
        <row r="4397">
          <cell r="K4397">
            <v>110900</v>
          </cell>
          <cell r="P4397" t="str">
            <v>81111101-52121101</v>
          </cell>
          <cell r="S4397" t="str">
            <v>2026A-05</v>
          </cell>
          <cell r="T4397" t="str">
            <v>Regular Employee</v>
          </cell>
        </row>
        <row r="4398">
          <cell r="K4398">
            <v>1082600</v>
          </cell>
          <cell r="P4398" t="str">
            <v>81111101-52121101</v>
          </cell>
          <cell r="S4398" t="str">
            <v>2026A-05</v>
          </cell>
          <cell r="T4398" t="str">
            <v>Regular Employee</v>
          </cell>
        </row>
        <row r="4399">
          <cell r="K4399">
            <v>-11688.7</v>
          </cell>
          <cell r="P4399" t="str">
            <v>81111101-52121101</v>
          </cell>
          <cell r="S4399" t="str">
            <v>2026A-05</v>
          </cell>
          <cell r="T4399" t="str">
            <v>Regular Employee</v>
          </cell>
        </row>
        <row r="4400">
          <cell r="K4400">
            <v>-2787.57</v>
          </cell>
          <cell r="P4400" t="str">
            <v>81111101-52121101</v>
          </cell>
          <cell r="S4400" t="str">
            <v>2026A-05</v>
          </cell>
          <cell r="T4400" t="str">
            <v>Regular Employee</v>
          </cell>
        </row>
        <row r="4401">
          <cell r="K4401">
            <v>-6095.76</v>
          </cell>
          <cell r="P4401" t="str">
            <v>81111101-52121101</v>
          </cell>
          <cell r="S4401" t="str">
            <v>2026A-05</v>
          </cell>
          <cell r="T4401" t="str">
            <v>Regular Employee</v>
          </cell>
        </row>
        <row r="4402">
          <cell r="K4402">
            <v>147650</v>
          </cell>
          <cell r="P4402" t="str">
            <v>81111101-52121101</v>
          </cell>
          <cell r="S4402" t="str">
            <v>2026A-05</v>
          </cell>
          <cell r="T4402" t="str">
            <v>Regular Employee</v>
          </cell>
        </row>
        <row r="4403">
          <cell r="K4403">
            <v>-8123</v>
          </cell>
          <cell r="P4403" t="str">
            <v>81111101-52121101</v>
          </cell>
          <cell r="S4403" t="str">
            <v>2026A-05</v>
          </cell>
          <cell r="T4403" t="str">
            <v>Regular Employee</v>
          </cell>
        </row>
        <row r="4404">
          <cell r="K4404">
            <v>-995.73</v>
          </cell>
          <cell r="P4404" t="str">
            <v>81111101-52121101</v>
          </cell>
          <cell r="S4404" t="str">
            <v>2026A-05</v>
          </cell>
          <cell r="T4404" t="str">
            <v>Regular Employee</v>
          </cell>
        </row>
        <row r="4405">
          <cell r="K4405">
            <v>-1846.25</v>
          </cell>
          <cell r="P4405" t="str">
            <v>81111101-52121101</v>
          </cell>
          <cell r="S4405" t="str">
            <v>2026A-05</v>
          </cell>
          <cell r="T4405" t="str">
            <v>Regular Employee</v>
          </cell>
        </row>
        <row r="4406">
          <cell r="K4406">
            <v>15080.58</v>
          </cell>
          <cell r="P4406" t="str">
            <v>81111101-52121102</v>
          </cell>
          <cell r="S4406" t="str">
            <v>2026A-05</v>
          </cell>
          <cell r="T4406" t="str">
            <v>OT Pay</v>
          </cell>
        </row>
        <row r="4407">
          <cell r="K4407">
            <v>6818</v>
          </cell>
          <cell r="P4407" t="str">
            <v>81111101-52121102</v>
          </cell>
          <cell r="S4407" t="str">
            <v>2026A-05</v>
          </cell>
          <cell r="T4407" t="str">
            <v>OT Pay</v>
          </cell>
        </row>
        <row r="4408">
          <cell r="K4408">
            <v>12452.28</v>
          </cell>
          <cell r="P4408" t="str">
            <v>81111101-52121102</v>
          </cell>
          <cell r="S4408" t="str">
            <v>2026A-05</v>
          </cell>
          <cell r="T4408" t="str">
            <v>OT Pay</v>
          </cell>
        </row>
        <row r="4409">
          <cell r="K4409">
            <v>5600</v>
          </cell>
          <cell r="P4409" t="str">
            <v>81111101-52121103</v>
          </cell>
          <cell r="S4409" t="str">
            <v>2026A-05</v>
          </cell>
          <cell r="T4409" t="str">
            <v>OT Pay</v>
          </cell>
        </row>
        <row r="4410">
          <cell r="K4410">
            <v>16800</v>
          </cell>
          <cell r="P4410" t="str">
            <v>81111101-52121103</v>
          </cell>
          <cell r="S4410" t="str">
            <v>2026A-05</v>
          </cell>
          <cell r="T4410" t="str">
            <v>OT Pay</v>
          </cell>
        </row>
        <row r="4411">
          <cell r="K4411">
            <v>6600</v>
          </cell>
          <cell r="P4411" t="str">
            <v>81111101-52121103</v>
          </cell>
          <cell r="S4411" t="str">
            <v>2026A-05</v>
          </cell>
          <cell r="T4411" t="str">
            <v>OT Pay</v>
          </cell>
        </row>
        <row r="4412">
          <cell r="K4412">
            <v>1800</v>
          </cell>
          <cell r="P4412" t="str">
            <v>81111101-52121305</v>
          </cell>
          <cell r="S4412" t="str">
            <v>2026A-05</v>
          </cell>
          <cell r="T4412" t="str">
            <v>Pag-ibig</v>
          </cell>
        </row>
        <row r="4413">
          <cell r="K4413">
            <v>17290</v>
          </cell>
          <cell r="P4413" t="str">
            <v>81111101-52121305</v>
          </cell>
          <cell r="S4413" t="str">
            <v>2026A-05</v>
          </cell>
          <cell r="T4413" t="str">
            <v>SSS</v>
          </cell>
        </row>
        <row r="4414">
          <cell r="K4414">
            <v>8690</v>
          </cell>
          <cell r="P4414" t="str">
            <v>81111101-52121305</v>
          </cell>
          <cell r="S4414" t="str">
            <v>2026A-05</v>
          </cell>
          <cell r="T4414" t="str">
            <v>Philhealth</v>
          </cell>
        </row>
        <row r="4415">
          <cell r="K4415">
            <v>3400</v>
          </cell>
          <cell r="P4415" t="str">
            <v>81111101-52121305</v>
          </cell>
          <cell r="S4415" t="str">
            <v>2026A-05</v>
          </cell>
          <cell r="T4415" t="str">
            <v>Pag-ibig</v>
          </cell>
        </row>
        <row r="4416">
          <cell r="K4416">
            <v>24330</v>
          </cell>
          <cell r="P4416" t="str">
            <v>81111101-52121305</v>
          </cell>
          <cell r="S4416" t="str">
            <v>2026A-05</v>
          </cell>
          <cell r="T4416" t="str">
            <v>SSS</v>
          </cell>
        </row>
        <row r="4417">
          <cell r="K4417">
            <v>12335</v>
          </cell>
          <cell r="P4417" t="str">
            <v>81111101-52121305</v>
          </cell>
          <cell r="S4417" t="str">
            <v>2026A-05</v>
          </cell>
          <cell r="T4417" t="str">
            <v>Philhealth</v>
          </cell>
        </row>
        <row r="4418">
          <cell r="K4418">
            <v>1000</v>
          </cell>
          <cell r="P4418" t="str">
            <v>81111101-52121305</v>
          </cell>
          <cell r="S4418" t="str">
            <v>2026A-05</v>
          </cell>
          <cell r="T4418" t="str">
            <v>Pag-ibig</v>
          </cell>
        </row>
        <row r="4419">
          <cell r="K4419">
            <v>10680</v>
          </cell>
          <cell r="P4419" t="str">
            <v>81111101-52121305</v>
          </cell>
          <cell r="S4419" t="str">
            <v>2026A-05</v>
          </cell>
          <cell r="T4419" t="str">
            <v>SSS</v>
          </cell>
        </row>
        <row r="4420">
          <cell r="K4420">
            <v>5545</v>
          </cell>
          <cell r="P4420" t="str">
            <v>81111101-52121305</v>
          </cell>
          <cell r="S4420" t="str">
            <v>2026A-05</v>
          </cell>
          <cell r="T4420" t="str">
            <v>Philhealth</v>
          </cell>
        </row>
        <row r="4421">
          <cell r="K4421">
            <v>9400</v>
          </cell>
          <cell r="P4421" t="str">
            <v>81111101-52121305</v>
          </cell>
          <cell r="S4421" t="str">
            <v>2026A-05</v>
          </cell>
          <cell r="T4421" t="str">
            <v>Pag-ibig</v>
          </cell>
        </row>
        <row r="4422">
          <cell r="K4422">
            <v>95590</v>
          </cell>
          <cell r="P4422" t="str">
            <v>81111101-52121305</v>
          </cell>
          <cell r="S4422" t="str">
            <v>2026A-05</v>
          </cell>
          <cell r="T4422" t="str">
            <v>SSS</v>
          </cell>
        </row>
        <row r="4423">
          <cell r="K4423">
            <v>51482.5</v>
          </cell>
          <cell r="P4423" t="str">
            <v>81111101-52121305</v>
          </cell>
          <cell r="S4423" t="str">
            <v>2026A-05</v>
          </cell>
          <cell r="T4423" t="str">
            <v>Philhealth</v>
          </cell>
        </row>
        <row r="4424">
          <cell r="K4424">
            <v>1200</v>
          </cell>
          <cell r="P4424" t="str">
            <v>81111101-52121305</v>
          </cell>
          <cell r="S4424" t="str">
            <v>2026A-05</v>
          </cell>
          <cell r="T4424" t="str">
            <v>Pag-ibig</v>
          </cell>
        </row>
        <row r="4425">
          <cell r="K4425">
            <v>13880</v>
          </cell>
          <cell r="P4425" t="str">
            <v>81111101-52121305</v>
          </cell>
          <cell r="S4425" t="str">
            <v>2026A-05</v>
          </cell>
          <cell r="T4425" t="str">
            <v>SSS</v>
          </cell>
        </row>
        <row r="4426">
          <cell r="K4426">
            <v>7382.5</v>
          </cell>
          <cell r="P4426" t="str">
            <v>81111101-52121305</v>
          </cell>
          <cell r="S4426" t="str">
            <v>2026A-05</v>
          </cell>
          <cell r="T4426" t="str">
            <v>Philhealth</v>
          </cell>
        </row>
        <row r="4427">
          <cell r="K4427">
            <v>3219450</v>
          </cell>
          <cell r="P4427" t="str">
            <v>90111101-52121101</v>
          </cell>
          <cell r="S4427" t="str">
            <v>2026A-05</v>
          </cell>
          <cell r="T4427" t="str">
            <v>Regular Employee</v>
          </cell>
        </row>
        <row r="4428">
          <cell r="K4428">
            <v>6485.57</v>
          </cell>
          <cell r="P4428" t="str">
            <v>90111101-52121101</v>
          </cell>
          <cell r="S4428" t="str">
            <v>2026A-05</v>
          </cell>
          <cell r="T4428" t="str">
            <v>Regular Employee</v>
          </cell>
        </row>
        <row r="4429">
          <cell r="K4429">
            <v>-2157.4299999999998</v>
          </cell>
          <cell r="P4429" t="str">
            <v>90111101-52121101</v>
          </cell>
          <cell r="S4429" t="str">
            <v>2026A-05</v>
          </cell>
          <cell r="T4429" t="str">
            <v>Regular Employee</v>
          </cell>
        </row>
        <row r="4430">
          <cell r="K4430">
            <v>-29.25</v>
          </cell>
          <cell r="P4430" t="str">
            <v>90111101-52121101</v>
          </cell>
          <cell r="S4430" t="str">
            <v>2026A-05</v>
          </cell>
          <cell r="T4430" t="str">
            <v>Regular Employee</v>
          </cell>
        </row>
        <row r="4431">
          <cell r="K4431">
            <v>-4735.93</v>
          </cell>
          <cell r="P4431" t="str">
            <v>90111101-52121101</v>
          </cell>
          <cell r="S4431" t="str">
            <v>2026A-05</v>
          </cell>
          <cell r="T4431" t="str">
            <v>Regular Employee</v>
          </cell>
        </row>
        <row r="4432">
          <cell r="K4432">
            <v>734400</v>
          </cell>
          <cell r="P4432" t="str">
            <v>90111101-52121101</v>
          </cell>
          <cell r="S4432" t="str">
            <v>2026A-05</v>
          </cell>
          <cell r="T4432" t="str">
            <v>Regular Employee</v>
          </cell>
        </row>
        <row r="4433">
          <cell r="K4433">
            <v>-36</v>
          </cell>
          <cell r="P4433" t="str">
            <v>90111101-52121101</v>
          </cell>
          <cell r="S4433" t="str">
            <v>2026A-05</v>
          </cell>
          <cell r="T4433" t="str">
            <v>Regular Employee</v>
          </cell>
        </row>
        <row r="4434">
          <cell r="K4434">
            <v>-511.71</v>
          </cell>
          <cell r="P4434" t="str">
            <v>90111101-52121101</v>
          </cell>
          <cell r="S4434" t="str">
            <v>2026A-05</v>
          </cell>
          <cell r="T4434" t="str">
            <v>Regular Employee</v>
          </cell>
        </row>
        <row r="4435">
          <cell r="K4435">
            <v>-10083.32</v>
          </cell>
          <cell r="P4435" t="str">
            <v>90111101-52121101</v>
          </cell>
          <cell r="S4435" t="str">
            <v>2026A-05</v>
          </cell>
          <cell r="T4435" t="str">
            <v>Regular Employee</v>
          </cell>
        </row>
        <row r="4436">
          <cell r="K4436">
            <v>2195650</v>
          </cell>
          <cell r="P4436" t="str">
            <v>90111101-52121101</v>
          </cell>
          <cell r="S4436" t="str">
            <v>2026A-05</v>
          </cell>
          <cell r="T4436" t="str">
            <v>Regular Employee</v>
          </cell>
        </row>
        <row r="4437">
          <cell r="K4437">
            <v>6545.11</v>
          </cell>
          <cell r="P4437" t="str">
            <v>90111101-52121101</v>
          </cell>
          <cell r="S4437" t="str">
            <v>2026A-05</v>
          </cell>
          <cell r="T4437" t="str">
            <v>Regular Employee</v>
          </cell>
        </row>
        <row r="4438">
          <cell r="K4438">
            <v>-1853.54</v>
          </cell>
          <cell r="P4438" t="str">
            <v>90111101-52121101</v>
          </cell>
          <cell r="S4438" t="str">
            <v>2026A-05</v>
          </cell>
          <cell r="T4438" t="str">
            <v>Regular Employee</v>
          </cell>
        </row>
        <row r="4439">
          <cell r="K4439">
            <v>-1392.14</v>
          </cell>
          <cell r="P4439" t="str">
            <v>90111101-52121101</v>
          </cell>
          <cell r="S4439" t="str">
            <v>2026A-05</v>
          </cell>
          <cell r="T4439" t="str">
            <v>Regular Employee</v>
          </cell>
        </row>
        <row r="4440">
          <cell r="K4440">
            <v>-1231.68</v>
          </cell>
          <cell r="P4440" t="str">
            <v>90111101-52121101</v>
          </cell>
          <cell r="S4440" t="str">
            <v>2026A-05</v>
          </cell>
          <cell r="T4440" t="str">
            <v>Regular Employee</v>
          </cell>
        </row>
        <row r="4441">
          <cell r="K4441">
            <v>-3096.22</v>
          </cell>
          <cell r="P4441" t="str">
            <v>90111101-52121101</v>
          </cell>
          <cell r="S4441" t="str">
            <v>2026A-05</v>
          </cell>
          <cell r="T4441" t="str">
            <v>Regular Employee</v>
          </cell>
        </row>
        <row r="4442">
          <cell r="K4442">
            <v>1495925</v>
          </cell>
          <cell r="P4442" t="str">
            <v>90111101-52121101</v>
          </cell>
          <cell r="S4442" t="str">
            <v>2026A-05</v>
          </cell>
          <cell r="T4442" t="str">
            <v>Regular Employee</v>
          </cell>
        </row>
        <row r="4443">
          <cell r="K4443">
            <v>-329.63</v>
          </cell>
          <cell r="P4443" t="str">
            <v>90111101-52121101</v>
          </cell>
          <cell r="S4443" t="str">
            <v>2026A-05</v>
          </cell>
          <cell r="T4443" t="str">
            <v>Regular Employee</v>
          </cell>
        </row>
        <row r="4444">
          <cell r="K4444">
            <v>27950</v>
          </cell>
          <cell r="P4444" t="str">
            <v>90111101-52121101</v>
          </cell>
          <cell r="S4444" t="str">
            <v>2026A-05</v>
          </cell>
          <cell r="T4444" t="str">
            <v>Regular Employee</v>
          </cell>
        </row>
        <row r="4445">
          <cell r="K4445">
            <v>526250</v>
          </cell>
          <cell r="P4445" t="str">
            <v>90111101-52121101</v>
          </cell>
          <cell r="S4445" t="str">
            <v>2026A-05</v>
          </cell>
          <cell r="T4445" t="str">
            <v>Regular Employee</v>
          </cell>
        </row>
        <row r="4446">
          <cell r="K4446">
            <v>-436.84</v>
          </cell>
          <cell r="P4446" t="str">
            <v>90111101-52121101</v>
          </cell>
          <cell r="S4446" t="str">
            <v>2026A-05</v>
          </cell>
          <cell r="T4446" t="str">
            <v>Regular Employee</v>
          </cell>
        </row>
        <row r="4447">
          <cell r="K4447">
            <v>-5143.58</v>
          </cell>
          <cell r="P4447" t="str">
            <v>90111101-52121101</v>
          </cell>
          <cell r="S4447" t="str">
            <v>2026A-05</v>
          </cell>
          <cell r="T4447" t="str">
            <v>Regular Employee</v>
          </cell>
        </row>
        <row r="4448">
          <cell r="K4448">
            <v>497600</v>
          </cell>
          <cell r="P4448" t="str">
            <v>90111101-52121101</v>
          </cell>
          <cell r="S4448" t="str">
            <v>2026A-05</v>
          </cell>
          <cell r="T4448" t="str">
            <v>Regular Employee</v>
          </cell>
        </row>
        <row r="4449">
          <cell r="K4449">
            <v>-5547.93</v>
          </cell>
          <cell r="P4449" t="str">
            <v>90111101-52121101</v>
          </cell>
          <cell r="S4449" t="str">
            <v>2026A-05</v>
          </cell>
          <cell r="T4449" t="str">
            <v>Regular Employee</v>
          </cell>
        </row>
        <row r="4450">
          <cell r="K4450">
            <v>19277.39</v>
          </cell>
          <cell r="P4450" t="str">
            <v>90111101-52121102</v>
          </cell>
          <cell r="S4450" t="str">
            <v>2026A-05</v>
          </cell>
          <cell r="T4450" t="str">
            <v>OT Pay</v>
          </cell>
        </row>
        <row r="4451">
          <cell r="K4451">
            <v>10121.129999999999</v>
          </cell>
          <cell r="P4451" t="str">
            <v>90111101-52121102</v>
          </cell>
          <cell r="S4451" t="str">
            <v>2026A-05</v>
          </cell>
          <cell r="T4451" t="str">
            <v>OT Pay</v>
          </cell>
        </row>
        <row r="4452">
          <cell r="K4452">
            <v>8561.58</v>
          </cell>
          <cell r="P4452" t="str">
            <v>90111101-52121102</v>
          </cell>
          <cell r="S4452" t="str">
            <v>2026A-05</v>
          </cell>
          <cell r="T4452" t="str">
            <v>OT Pay</v>
          </cell>
        </row>
        <row r="4453">
          <cell r="K4453">
            <v>4000</v>
          </cell>
          <cell r="P4453" t="str">
            <v>90111101-52121103</v>
          </cell>
          <cell r="S4453" t="str">
            <v>2026A-05</v>
          </cell>
          <cell r="T4453" t="str">
            <v>OT Pay</v>
          </cell>
        </row>
        <row r="4454">
          <cell r="K4454">
            <v>12400</v>
          </cell>
          <cell r="P4454" t="str">
            <v>90111101-52121305</v>
          </cell>
          <cell r="S4454" t="str">
            <v>2026A-05</v>
          </cell>
          <cell r="T4454" t="str">
            <v>Pag-ibig</v>
          </cell>
        </row>
        <row r="4455">
          <cell r="K4455">
            <v>19730</v>
          </cell>
          <cell r="P4455" t="str">
            <v>90111101-52121305</v>
          </cell>
          <cell r="S4455" t="str">
            <v>2026A-05</v>
          </cell>
          <cell r="T4455" t="str">
            <v>Philhealth</v>
          </cell>
        </row>
        <row r="4456">
          <cell r="K4456">
            <v>14790</v>
          </cell>
          <cell r="P4456" t="str">
            <v>90111101-52121305</v>
          </cell>
          <cell r="S4456" t="str">
            <v>2026A-05</v>
          </cell>
          <cell r="T4456" t="str">
            <v>Philhealth</v>
          </cell>
        </row>
        <row r="4457">
          <cell r="K4457">
            <v>182790</v>
          </cell>
          <cell r="P4457" t="str">
            <v>90111101-52121305</v>
          </cell>
          <cell r="S4457" t="str">
            <v>2026A-05</v>
          </cell>
          <cell r="T4457" t="str">
            <v>SSS</v>
          </cell>
        </row>
        <row r="4458">
          <cell r="K4458">
            <v>16972.5</v>
          </cell>
          <cell r="P4458" t="str">
            <v>90111101-52121305</v>
          </cell>
          <cell r="S4458" t="str">
            <v>2026A-05</v>
          </cell>
          <cell r="T4458" t="str">
            <v>Philhealth</v>
          </cell>
        </row>
        <row r="4459">
          <cell r="K4459">
            <v>25520</v>
          </cell>
          <cell r="P4459" t="str">
            <v>90111101-52121305</v>
          </cell>
          <cell r="S4459" t="str">
            <v>2026A-05</v>
          </cell>
          <cell r="T4459" t="str">
            <v>SSS</v>
          </cell>
        </row>
        <row r="4460">
          <cell r="K4460">
            <v>2400</v>
          </cell>
          <cell r="P4460" t="str">
            <v>90111101-52121305</v>
          </cell>
          <cell r="S4460" t="str">
            <v>2026A-05</v>
          </cell>
          <cell r="T4460" t="str">
            <v>Pag-ibig</v>
          </cell>
        </row>
        <row r="4461">
          <cell r="K4461">
            <v>106182.5</v>
          </cell>
          <cell r="P4461" t="str">
            <v>90111101-52121305</v>
          </cell>
          <cell r="S4461" t="str">
            <v>2026A-05</v>
          </cell>
          <cell r="T4461" t="str">
            <v>Philhealth</v>
          </cell>
        </row>
        <row r="4462">
          <cell r="K4462">
            <v>90372.5</v>
          </cell>
          <cell r="P4462" t="str">
            <v>90111101-52121305</v>
          </cell>
          <cell r="S4462" t="str">
            <v>2026A-05</v>
          </cell>
          <cell r="T4462" t="str">
            <v>Philhealth</v>
          </cell>
        </row>
        <row r="4463">
          <cell r="K4463">
            <v>1397.5</v>
          </cell>
          <cell r="P4463" t="str">
            <v>90111101-52121305</v>
          </cell>
          <cell r="S4463" t="str">
            <v>2026A-05</v>
          </cell>
          <cell r="T4463" t="str">
            <v>Philhealth</v>
          </cell>
        </row>
        <row r="4464">
          <cell r="K4464">
            <v>163450</v>
          </cell>
          <cell r="P4464" t="str">
            <v>90111101-52121305</v>
          </cell>
          <cell r="S4464" t="str">
            <v>2026A-05</v>
          </cell>
          <cell r="T4464" t="str">
            <v>SSS</v>
          </cell>
        </row>
        <row r="4465">
          <cell r="K4465">
            <v>20680</v>
          </cell>
          <cell r="P4465" t="str">
            <v>90111101-52121305</v>
          </cell>
          <cell r="S4465" t="str">
            <v>2026A-05</v>
          </cell>
          <cell r="T4465" t="str">
            <v>SSS</v>
          </cell>
        </row>
        <row r="4466">
          <cell r="K4466">
            <v>1200</v>
          </cell>
          <cell r="P4466" t="str">
            <v>90111101-52121305</v>
          </cell>
          <cell r="S4466" t="str">
            <v>2026A-05</v>
          </cell>
          <cell r="T4466" t="str">
            <v>Pag-ibig</v>
          </cell>
        </row>
        <row r="4467">
          <cell r="K4467">
            <v>2780</v>
          </cell>
          <cell r="P4467" t="str">
            <v>90111101-52121305</v>
          </cell>
          <cell r="S4467" t="str">
            <v>2026A-05</v>
          </cell>
          <cell r="T4467" t="str">
            <v>SSS</v>
          </cell>
        </row>
        <row r="4468">
          <cell r="K4468">
            <v>14400</v>
          </cell>
          <cell r="P4468" t="str">
            <v>90111101-52121305</v>
          </cell>
          <cell r="S4468" t="str">
            <v>2026A-05</v>
          </cell>
          <cell r="T4468" t="str">
            <v>Pag-ibig</v>
          </cell>
        </row>
        <row r="4469">
          <cell r="K4469">
            <v>1800</v>
          </cell>
          <cell r="P4469" t="str">
            <v>90111101-52121305</v>
          </cell>
          <cell r="S4469" t="str">
            <v>2026A-05</v>
          </cell>
          <cell r="T4469" t="str">
            <v>Pag-ibig</v>
          </cell>
        </row>
        <row r="4470">
          <cell r="K4470">
            <v>14000</v>
          </cell>
          <cell r="P4470" t="str">
            <v>90111101-52121305</v>
          </cell>
          <cell r="S4470" t="str">
            <v>2026A-05</v>
          </cell>
          <cell r="T4470" t="str">
            <v>Philhealth</v>
          </cell>
        </row>
        <row r="4471">
          <cell r="K4471">
            <v>28280</v>
          </cell>
          <cell r="P4471" t="str">
            <v>90111101-52121305</v>
          </cell>
          <cell r="S4471" t="str">
            <v>2026A-05</v>
          </cell>
          <cell r="T4471" t="str">
            <v>SSS</v>
          </cell>
        </row>
        <row r="4472">
          <cell r="K4472">
            <v>2000</v>
          </cell>
          <cell r="P4472" t="str">
            <v>90111101-52121305</v>
          </cell>
          <cell r="S4472" t="str">
            <v>2026A-05</v>
          </cell>
          <cell r="T4472" t="str">
            <v>Pag-ibig</v>
          </cell>
        </row>
        <row r="4473">
          <cell r="K4473">
            <v>200</v>
          </cell>
          <cell r="P4473" t="str">
            <v>90111101-52121305</v>
          </cell>
          <cell r="S4473" t="str">
            <v>2026A-05</v>
          </cell>
          <cell r="T4473" t="str">
            <v>Pag-ibig</v>
          </cell>
        </row>
        <row r="4474">
          <cell r="K4474">
            <v>33200</v>
          </cell>
          <cell r="P4474" t="str">
            <v>90111101-52121305</v>
          </cell>
          <cell r="S4474" t="str">
            <v>2026A-05</v>
          </cell>
          <cell r="T4474" t="str">
            <v>SSS</v>
          </cell>
        </row>
        <row r="4475">
          <cell r="K4475">
            <v>295.31</v>
          </cell>
          <cell r="P4475" t="str">
            <v>81319101-52111101</v>
          </cell>
          <cell r="S4475" t="str">
            <v>2026A-05</v>
          </cell>
          <cell r="T4475" t="str">
            <v>ES</v>
          </cell>
        </row>
        <row r="4476">
          <cell r="K4476">
            <v>800</v>
          </cell>
          <cell r="P4476" t="str">
            <v>81123102-52061105</v>
          </cell>
          <cell r="S4476" t="str">
            <v>2026A-05</v>
          </cell>
          <cell r="T4476" t="str">
            <v>R&amp;M Vehicle</v>
          </cell>
        </row>
        <row r="4477">
          <cell r="K4477">
            <v>629</v>
          </cell>
          <cell r="P4477" t="str">
            <v>81124101-52061109</v>
          </cell>
          <cell r="S4477" t="str">
            <v>2026A-05</v>
          </cell>
          <cell r="T4477" t="str">
            <v>UPS Maintenance</v>
          </cell>
        </row>
        <row r="4478">
          <cell r="K4478">
            <v>267</v>
          </cell>
          <cell r="P4478" t="str">
            <v>81123102-52061111</v>
          </cell>
          <cell r="S4478" t="str">
            <v>2026A-05</v>
          </cell>
          <cell r="T4478" t="str">
            <v>R&amp;M - Supplies</v>
          </cell>
        </row>
        <row r="4479">
          <cell r="K4479">
            <v>178</v>
          </cell>
          <cell r="P4479" t="str">
            <v>81123102-52061111</v>
          </cell>
          <cell r="S4479" t="str">
            <v>2026A-05</v>
          </cell>
          <cell r="T4479" t="str">
            <v>R&amp;M - Supplies</v>
          </cell>
        </row>
        <row r="4480">
          <cell r="K4480">
            <v>80</v>
          </cell>
          <cell r="P4480" t="str">
            <v>81123102-52081101</v>
          </cell>
          <cell r="S4480" t="str">
            <v>2026A-05</v>
          </cell>
          <cell r="T4480" t="str">
            <v>Parking</v>
          </cell>
        </row>
        <row r="4481">
          <cell r="K4481">
            <v>80</v>
          </cell>
          <cell r="P4481" t="str">
            <v>81123102-52081101</v>
          </cell>
          <cell r="S4481" t="str">
            <v>2026A-05</v>
          </cell>
          <cell r="T4481" t="str">
            <v>Parking</v>
          </cell>
        </row>
        <row r="4482">
          <cell r="K4482">
            <v>50</v>
          </cell>
          <cell r="P4482" t="str">
            <v>81123102-52081101</v>
          </cell>
          <cell r="S4482" t="str">
            <v>2026A-05</v>
          </cell>
          <cell r="T4482" t="str">
            <v>Parking</v>
          </cell>
        </row>
        <row r="4483">
          <cell r="K4483">
            <v>90</v>
          </cell>
          <cell r="P4483" t="str">
            <v>81123102-52081101</v>
          </cell>
          <cell r="S4483" t="str">
            <v>2026A-05</v>
          </cell>
          <cell r="T4483" t="str">
            <v>Parking</v>
          </cell>
        </row>
        <row r="4484">
          <cell r="K4484">
            <v>80</v>
          </cell>
          <cell r="P4484" t="str">
            <v>81123102-52081101</v>
          </cell>
          <cell r="S4484" t="str">
            <v>2026A-05</v>
          </cell>
          <cell r="T4484" t="str">
            <v>Parking</v>
          </cell>
        </row>
        <row r="4485">
          <cell r="K4485">
            <v>40</v>
          </cell>
          <cell r="P4485" t="str">
            <v>81123102-52081101</v>
          </cell>
          <cell r="S4485" t="str">
            <v>2026A-05</v>
          </cell>
          <cell r="T4485" t="str">
            <v>Parking</v>
          </cell>
        </row>
        <row r="4486">
          <cell r="K4486">
            <v>115</v>
          </cell>
          <cell r="P4486" t="str">
            <v>81123102-52081101</v>
          </cell>
          <cell r="S4486" t="str">
            <v>2026A-05</v>
          </cell>
          <cell r="T4486" t="str">
            <v>Parking</v>
          </cell>
        </row>
        <row r="4487">
          <cell r="K4487">
            <v>50</v>
          </cell>
          <cell r="P4487" t="str">
            <v>81123102-52081101</v>
          </cell>
          <cell r="S4487" t="str">
            <v>2026A-05</v>
          </cell>
          <cell r="T4487" t="str">
            <v>Parking</v>
          </cell>
        </row>
        <row r="4488">
          <cell r="K4488">
            <v>158</v>
          </cell>
          <cell r="P4488" t="str">
            <v>81123102-52081101</v>
          </cell>
          <cell r="S4488" t="str">
            <v>2026A-05</v>
          </cell>
          <cell r="T4488" t="str">
            <v>Transpo</v>
          </cell>
        </row>
        <row r="4489">
          <cell r="K4489">
            <v>158</v>
          </cell>
          <cell r="P4489" t="str">
            <v>81123102-52081101</v>
          </cell>
          <cell r="S4489" t="str">
            <v>2026A-05</v>
          </cell>
          <cell r="T4489" t="str">
            <v>Transpo</v>
          </cell>
        </row>
        <row r="4490">
          <cell r="K4490">
            <v>158</v>
          </cell>
          <cell r="P4490" t="str">
            <v>81123102-52081101</v>
          </cell>
          <cell r="S4490" t="str">
            <v>2026A-05</v>
          </cell>
          <cell r="T4490" t="str">
            <v>Transpo</v>
          </cell>
        </row>
        <row r="4491">
          <cell r="K4491">
            <v>158</v>
          </cell>
          <cell r="P4491" t="str">
            <v>81123102-52081101</v>
          </cell>
          <cell r="S4491" t="str">
            <v>2026A-05</v>
          </cell>
          <cell r="T4491" t="str">
            <v>Transpo</v>
          </cell>
        </row>
        <row r="4492">
          <cell r="K4492">
            <v>60</v>
          </cell>
          <cell r="P4492" t="str">
            <v>81123102-52081101</v>
          </cell>
          <cell r="S4492" t="str">
            <v>2026A-05</v>
          </cell>
          <cell r="T4492" t="str">
            <v>Parking</v>
          </cell>
        </row>
        <row r="4493">
          <cell r="K4493">
            <v>60</v>
          </cell>
          <cell r="P4493" t="str">
            <v>81123102-52081101</v>
          </cell>
          <cell r="S4493" t="str">
            <v>2026A-05</v>
          </cell>
          <cell r="T4493" t="str">
            <v>Parking</v>
          </cell>
        </row>
        <row r="4494">
          <cell r="K4494">
            <v>50</v>
          </cell>
          <cell r="P4494" t="str">
            <v>81123102-52081101</v>
          </cell>
          <cell r="S4494" t="str">
            <v>2026A-05</v>
          </cell>
          <cell r="T4494" t="str">
            <v>Parking</v>
          </cell>
        </row>
        <row r="4495">
          <cell r="K4495">
            <v>2000</v>
          </cell>
          <cell r="P4495" t="str">
            <v>81123102-52081101</v>
          </cell>
          <cell r="S4495" t="str">
            <v>2026A-05</v>
          </cell>
          <cell r="T4495" t="str">
            <v>Toll</v>
          </cell>
        </row>
        <row r="4496">
          <cell r="K4496">
            <v>150</v>
          </cell>
          <cell r="P4496" t="str">
            <v>81123102-52081103</v>
          </cell>
          <cell r="S4496" t="str">
            <v>2026A-05</v>
          </cell>
          <cell r="T4496" t="str">
            <v>Meal Allowance</v>
          </cell>
        </row>
        <row r="4497">
          <cell r="K4497">
            <v>150</v>
          </cell>
          <cell r="P4497" t="str">
            <v>81123102-52081103</v>
          </cell>
          <cell r="S4497" t="str">
            <v>2026A-05</v>
          </cell>
          <cell r="T4497" t="str">
            <v>Meal Allowance</v>
          </cell>
        </row>
        <row r="4498">
          <cell r="K4498">
            <v>300</v>
          </cell>
          <cell r="P4498" t="str">
            <v>81123102-52081103</v>
          </cell>
          <cell r="S4498" t="str">
            <v>2026A-05</v>
          </cell>
          <cell r="T4498" t="str">
            <v>Meal Allowance</v>
          </cell>
        </row>
        <row r="4499">
          <cell r="K4499">
            <v>150</v>
          </cell>
          <cell r="P4499" t="str">
            <v>81123102-52081103</v>
          </cell>
          <cell r="S4499" t="str">
            <v>2026A-05</v>
          </cell>
          <cell r="T4499" t="str">
            <v>Meal Allowance</v>
          </cell>
        </row>
        <row r="4500">
          <cell r="K4500">
            <v>150</v>
          </cell>
          <cell r="P4500" t="str">
            <v>81123102-52081103</v>
          </cell>
          <cell r="S4500" t="str">
            <v>2026A-05</v>
          </cell>
          <cell r="T4500" t="str">
            <v>Meal Allowance</v>
          </cell>
        </row>
        <row r="4501">
          <cell r="K4501">
            <v>1798</v>
          </cell>
          <cell r="P4501" t="str">
            <v>81123102-52111102</v>
          </cell>
          <cell r="S4501" t="str">
            <v>2026A-05</v>
          </cell>
          <cell r="T4501" t="str">
            <v>LVA</v>
          </cell>
        </row>
        <row r="4502">
          <cell r="K4502">
            <v>431</v>
          </cell>
          <cell r="P4502" t="str">
            <v>81123102-52119101</v>
          </cell>
          <cell r="S4502" t="str">
            <v>2026A-05</v>
          </cell>
          <cell r="T4502" t="str">
            <v>Gas/fuel</v>
          </cell>
        </row>
        <row r="4503">
          <cell r="K4503">
            <v>127</v>
          </cell>
          <cell r="P4503" t="str">
            <v>81123102-52119101</v>
          </cell>
          <cell r="S4503" t="str">
            <v>2026A-05</v>
          </cell>
          <cell r="T4503" t="str">
            <v>Gas/fuel</v>
          </cell>
        </row>
        <row r="4504">
          <cell r="K4504">
            <v>291</v>
          </cell>
          <cell r="P4504" t="str">
            <v>81123102-52119101</v>
          </cell>
          <cell r="S4504" t="str">
            <v>2026A-05</v>
          </cell>
          <cell r="T4504" t="str">
            <v>Gas/fuel</v>
          </cell>
        </row>
        <row r="4505">
          <cell r="K4505">
            <v>250</v>
          </cell>
          <cell r="P4505" t="str">
            <v>81123102-52119101</v>
          </cell>
          <cell r="S4505" t="str">
            <v>2026A-05</v>
          </cell>
          <cell r="T4505" t="str">
            <v>Gas/fuel</v>
          </cell>
        </row>
        <row r="4506">
          <cell r="K4506">
            <v>316</v>
          </cell>
          <cell r="P4506" t="str">
            <v>81123102-52119101</v>
          </cell>
          <cell r="S4506" t="str">
            <v>2026A-05</v>
          </cell>
          <cell r="T4506" t="str">
            <v>Gas/fuel</v>
          </cell>
        </row>
        <row r="4507">
          <cell r="K4507">
            <v>250</v>
          </cell>
          <cell r="P4507" t="str">
            <v>81123102-52119101</v>
          </cell>
          <cell r="S4507" t="str">
            <v>2026A-05</v>
          </cell>
          <cell r="T4507" t="str">
            <v>Gas/fuel</v>
          </cell>
        </row>
        <row r="4508">
          <cell r="K4508">
            <v>154</v>
          </cell>
          <cell r="P4508" t="str">
            <v>81123102-52119101</v>
          </cell>
          <cell r="S4508" t="str">
            <v>2026A-05</v>
          </cell>
          <cell r="T4508" t="str">
            <v>Gas/fuel</v>
          </cell>
        </row>
        <row r="4509">
          <cell r="K4509">
            <v>542</v>
          </cell>
          <cell r="P4509" t="str">
            <v>81123102-52119101</v>
          </cell>
          <cell r="S4509" t="str">
            <v>2026A-05</v>
          </cell>
          <cell r="T4509" t="str">
            <v>Gas/fuel</v>
          </cell>
        </row>
        <row r="4510">
          <cell r="K4510">
            <v>689</v>
          </cell>
          <cell r="P4510" t="str">
            <v>81123102-52119101</v>
          </cell>
          <cell r="S4510" t="str">
            <v>2026A-05</v>
          </cell>
          <cell r="T4510" t="str">
            <v>Gas/fuel</v>
          </cell>
        </row>
        <row r="4511">
          <cell r="K4511">
            <v>250</v>
          </cell>
          <cell r="P4511" t="str">
            <v>81123102-52119101</v>
          </cell>
          <cell r="S4511" t="str">
            <v>2026A-05</v>
          </cell>
          <cell r="T4511" t="str">
            <v>Gas/fuel</v>
          </cell>
        </row>
        <row r="4512">
          <cell r="K4512">
            <v>332</v>
          </cell>
          <cell r="P4512" t="str">
            <v>81123102-52119101</v>
          </cell>
          <cell r="S4512" t="str">
            <v>2026A-05</v>
          </cell>
          <cell r="T4512" t="str">
            <v>Gas/fuel</v>
          </cell>
        </row>
        <row r="4513">
          <cell r="K4513">
            <v>367.56</v>
          </cell>
          <cell r="P4513" t="str">
            <v>81123102-52119101</v>
          </cell>
          <cell r="S4513" t="str">
            <v>2026A-05</v>
          </cell>
          <cell r="T4513" t="str">
            <v>Gas/fuel</v>
          </cell>
        </row>
        <row r="4514">
          <cell r="K4514">
            <v>481</v>
          </cell>
          <cell r="P4514" t="str">
            <v>81123102-52119101</v>
          </cell>
          <cell r="S4514" t="str">
            <v>2026A-05</v>
          </cell>
          <cell r="T4514" t="str">
            <v>Gas/fuel</v>
          </cell>
        </row>
        <row r="4515">
          <cell r="K4515">
            <v>251</v>
          </cell>
          <cell r="P4515" t="str">
            <v>81123102-52119101</v>
          </cell>
          <cell r="S4515" t="str">
            <v>2026A-05</v>
          </cell>
          <cell r="T4515" t="str">
            <v>Gas/fuel</v>
          </cell>
        </row>
        <row r="4516">
          <cell r="K4516">
            <v>250</v>
          </cell>
          <cell r="P4516" t="str">
            <v>81123102-52119101</v>
          </cell>
          <cell r="S4516" t="str">
            <v>2026A-05</v>
          </cell>
          <cell r="T4516" t="str">
            <v>Gas/fuel</v>
          </cell>
        </row>
        <row r="4517">
          <cell r="K4517">
            <v>478</v>
          </cell>
          <cell r="P4517" t="str">
            <v>81123102-52119101</v>
          </cell>
          <cell r="S4517" t="str">
            <v>2026A-05</v>
          </cell>
          <cell r="T4517" t="str">
            <v>Gas/fuel</v>
          </cell>
        </row>
        <row r="4518">
          <cell r="K4518">
            <v>649</v>
          </cell>
          <cell r="P4518" t="str">
            <v>81123102-52119101</v>
          </cell>
          <cell r="S4518" t="str">
            <v>2026A-05</v>
          </cell>
          <cell r="T4518" t="str">
            <v>Gas/fuel</v>
          </cell>
        </row>
        <row r="4519">
          <cell r="K4519">
            <v>383</v>
          </cell>
          <cell r="P4519" t="str">
            <v>81123102-52119101</v>
          </cell>
          <cell r="S4519" t="str">
            <v>2026A-05</v>
          </cell>
          <cell r="T4519" t="str">
            <v>Gas/fuel</v>
          </cell>
        </row>
        <row r="4520">
          <cell r="K4520">
            <v>374</v>
          </cell>
          <cell r="P4520" t="str">
            <v>81123102-52119101</v>
          </cell>
          <cell r="S4520" t="str">
            <v>2026A-05</v>
          </cell>
          <cell r="T4520" t="str">
            <v>Gas/fuel</v>
          </cell>
        </row>
        <row r="4521">
          <cell r="K4521">
            <v>-508</v>
          </cell>
          <cell r="P4521" t="str">
            <v>80123102-61721101</v>
          </cell>
          <cell r="S4521" t="str">
            <v>2026A-05</v>
          </cell>
          <cell r="T4521" t="str">
            <v>Mobile Phones</v>
          </cell>
        </row>
        <row r="4522">
          <cell r="K4522">
            <v>-1334.6</v>
          </cell>
          <cell r="P4522" t="str">
            <v>80123102-61721101</v>
          </cell>
          <cell r="S4522" t="str">
            <v>2026A-05</v>
          </cell>
          <cell r="T4522" t="str">
            <v>Mobile Phones</v>
          </cell>
        </row>
        <row r="4523">
          <cell r="K4523">
            <v>-1334.65</v>
          </cell>
          <cell r="P4523" t="str">
            <v>80123102-61721101</v>
          </cell>
          <cell r="S4523" t="str">
            <v>2026A-05</v>
          </cell>
          <cell r="T4523" t="str">
            <v>Mobile Phones</v>
          </cell>
        </row>
        <row r="4524">
          <cell r="K4524">
            <v>7142.86</v>
          </cell>
          <cell r="P4524" t="str">
            <v>81123102-52061111</v>
          </cell>
          <cell r="S4524" t="str">
            <v>2026A-05</v>
          </cell>
          <cell r="T4524" t="str">
            <v>R&amp;M - Supplies</v>
          </cell>
        </row>
        <row r="4525">
          <cell r="K4525">
            <v>14100</v>
          </cell>
          <cell r="P4525" t="str">
            <v>90111101-52121101</v>
          </cell>
          <cell r="S4525" t="str">
            <v>2026A-05</v>
          </cell>
          <cell r="T4525" t="str">
            <v>Regular Employee</v>
          </cell>
        </row>
        <row r="4526">
          <cell r="K4526">
            <v>6458.1</v>
          </cell>
          <cell r="P4526" t="str">
            <v>90111101-52121101</v>
          </cell>
          <cell r="S4526" t="str">
            <v>2026A-05</v>
          </cell>
          <cell r="T4526" t="str">
            <v>Regular Employee</v>
          </cell>
        </row>
        <row r="4527">
          <cell r="K4527">
            <v>-153.38</v>
          </cell>
          <cell r="P4527" t="str">
            <v>90111101-52121101</v>
          </cell>
          <cell r="S4527" t="str">
            <v>2026A-05</v>
          </cell>
          <cell r="T4527" t="str">
            <v>Regular Employee</v>
          </cell>
        </row>
        <row r="4528">
          <cell r="K4528">
            <v>-322.89999999999998</v>
          </cell>
          <cell r="P4528" t="str">
            <v>90111101-52121101</v>
          </cell>
          <cell r="S4528" t="str">
            <v>2026A-05</v>
          </cell>
          <cell r="T4528" t="str">
            <v>Regular Employee</v>
          </cell>
        </row>
        <row r="4529">
          <cell r="K4529">
            <v>11750</v>
          </cell>
          <cell r="P4529" t="str">
            <v>90111101-52121104</v>
          </cell>
          <cell r="S4529" t="str">
            <v>2026A-05</v>
          </cell>
          <cell r="T4529" t="str">
            <v>Guaranteed Bonus</v>
          </cell>
        </row>
        <row r="4530">
          <cell r="K4530">
            <v>3551.91</v>
          </cell>
          <cell r="P4530" t="str">
            <v>90111101-52121106</v>
          </cell>
          <cell r="S4530" t="str">
            <v>2026A-05</v>
          </cell>
          <cell r="T4530" t="str">
            <v>SL conversion</v>
          </cell>
        </row>
        <row r="4531">
          <cell r="K4531">
            <v>16071.43</v>
          </cell>
          <cell r="P4531" t="str">
            <v>81221201-61111101</v>
          </cell>
          <cell r="S4531" t="str">
            <v>2026A-05</v>
          </cell>
          <cell r="T4531" t="str">
            <v>Tissue</v>
          </cell>
        </row>
        <row r="4532">
          <cell r="K4532">
            <v>1500</v>
          </cell>
          <cell r="P4532" t="str">
            <v>81319101-52111101</v>
          </cell>
          <cell r="S4532" t="str">
            <v>2026A-05</v>
          </cell>
          <cell r="T4532" t="str">
            <v>GH</v>
          </cell>
        </row>
        <row r="4533">
          <cell r="K4533">
            <v>-2983.52</v>
          </cell>
          <cell r="P4533" t="str">
            <v>90111101-61021403</v>
          </cell>
          <cell r="S4533" t="str">
            <v>2026A-05</v>
          </cell>
          <cell r="T4533" t="str">
            <v>Others</v>
          </cell>
        </row>
        <row r="4534">
          <cell r="K4534">
            <v>-35000</v>
          </cell>
          <cell r="P4534" t="str">
            <v>80134102-61071004</v>
          </cell>
          <cell r="S4534" t="str">
            <v>2026A-05</v>
          </cell>
          <cell r="T4534" t="str">
            <v>Zero</v>
          </cell>
        </row>
        <row r="4535">
          <cell r="K4535">
            <v>-33068.57</v>
          </cell>
          <cell r="P4535" t="str">
            <v>90111101-61021403</v>
          </cell>
          <cell r="S4535" t="str">
            <v>2026A-05</v>
          </cell>
          <cell r="T4535" t="str">
            <v>Others</v>
          </cell>
        </row>
        <row r="4536">
          <cell r="K4536">
            <v>-188.58</v>
          </cell>
          <cell r="P4536" t="str">
            <v>90111101-61021403</v>
          </cell>
          <cell r="S4536" t="str">
            <v>2026A-05</v>
          </cell>
          <cell r="T4536" t="str">
            <v>Others</v>
          </cell>
        </row>
        <row r="4537">
          <cell r="K4537">
            <v>-1268.58</v>
          </cell>
          <cell r="P4537" t="str">
            <v>90111101-61021403</v>
          </cell>
          <cell r="S4537" t="str">
            <v>2026A-05</v>
          </cell>
          <cell r="T4537" t="str">
            <v>Others</v>
          </cell>
        </row>
        <row r="4538">
          <cell r="K4538">
            <v>-669.64</v>
          </cell>
          <cell r="P4538" t="str">
            <v>90111101-61021403</v>
          </cell>
          <cell r="S4538" t="str">
            <v>2026A-05</v>
          </cell>
          <cell r="T4538" t="str">
            <v>Others</v>
          </cell>
        </row>
        <row r="4539">
          <cell r="K4539">
            <v>-18798.419999999998</v>
          </cell>
          <cell r="P4539" t="str">
            <v>90111101-61021403</v>
          </cell>
          <cell r="S4539" t="str">
            <v>2026A-05</v>
          </cell>
          <cell r="T4539" t="str">
            <v>Others</v>
          </cell>
        </row>
        <row r="4540">
          <cell r="K4540">
            <v>33068.57</v>
          </cell>
          <cell r="P4540" t="str">
            <v>90111101-61021403</v>
          </cell>
          <cell r="S4540" t="str">
            <v>2026A-05</v>
          </cell>
          <cell r="T4540" t="str">
            <v>Others</v>
          </cell>
        </row>
        <row r="4541">
          <cell r="K4541">
            <v>1268.58</v>
          </cell>
          <cell r="P4541" t="str">
            <v>90111101-61021403</v>
          </cell>
          <cell r="S4541" t="str">
            <v>2026A-05</v>
          </cell>
          <cell r="T4541" t="str">
            <v>Others</v>
          </cell>
        </row>
        <row r="4542">
          <cell r="K4542">
            <v>110.3</v>
          </cell>
          <cell r="P4542" t="str">
            <v>90111101-61021403</v>
          </cell>
          <cell r="S4542" t="str">
            <v>2026A-05</v>
          </cell>
          <cell r="T4542" t="str">
            <v>Others</v>
          </cell>
        </row>
        <row r="4543">
          <cell r="K4543">
            <v>18798.419999999998</v>
          </cell>
          <cell r="P4543" t="str">
            <v>90111101-61021403</v>
          </cell>
          <cell r="S4543" t="str">
            <v>2026A-05</v>
          </cell>
          <cell r="T4543" t="str">
            <v>Others</v>
          </cell>
        </row>
        <row r="4544">
          <cell r="K4544">
            <v>-33068.57</v>
          </cell>
          <cell r="P4544" t="str">
            <v>90111101-61021403</v>
          </cell>
          <cell r="S4544" t="str">
            <v>2026A-05</v>
          </cell>
          <cell r="T4544" t="str">
            <v>Others</v>
          </cell>
        </row>
        <row r="4545">
          <cell r="K4545">
            <v>-1268.58</v>
          </cell>
          <cell r="P4545" t="str">
            <v>90111101-61021403</v>
          </cell>
          <cell r="S4545" t="str">
            <v>2026A-05</v>
          </cell>
          <cell r="T4545" t="str">
            <v>Others</v>
          </cell>
        </row>
        <row r="4546">
          <cell r="K4546">
            <v>-110.3</v>
          </cell>
          <cell r="P4546" t="str">
            <v>90111101-61021403</v>
          </cell>
          <cell r="S4546" t="str">
            <v>2026A-05</v>
          </cell>
          <cell r="T4546" t="str">
            <v>Others</v>
          </cell>
        </row>
        <row r="4547">
          <cell r="K4547">
            <v>-18798.419999999998</v>
          </cell>
          <cell r="P4547" t="str">
            <v>90111101-61021403</v>
          </cell>
          <cell r="S4547" t="str">
            <v>2026A-05</v>
          </cell>
          <cell r="T4547" t="str">
            <v>Others</v>
          </cell>
        </row>
        <row r="4548">
          <cell r="K4548">
            <v>-0.3</v>
          </cell>
          <cell r="P4548" t="str">
            <v>90111101-61021403</v>
          </cell>
          <cell r="S4548" t="str">
            <v>2026A-05</v>
          </cell>
          <cell r="T4548" t="str">
            <v>Others</v>
          </cell>
        </row>
        <row r="4549">
          <cell r="K4549">
            <v>-187363</v>
          </cell>
          <cell r="P4549" t="str">
            <v>80134102-61071001</v>
          </cell>
          <cell r="S4549" t="str">
            <v>2026A-05</v>
          </cell>
          <cell r="T4549" t="str">
            <v>PWC FS Audit</v>
          </cell>
        </row>
        <row r="4550">
          <cell r="K4550">
            <v>-140525</v>
          </cell>
          <cell r="P4550" t="str">
            <v>80134102-61071001</v>
          </cell>
          <cell r="S4550" t="str">
            <v>2026A-05</v>
          </cell>
          <cell r="T4550" t="str">
            <v>PWC FS Audit</v>
          </cell>
        </row>
        <row r="4551">
          <cell r="K4551">
            <v>-22866.45</v>
          </cell>
          <cell r="P4551" t="str">
            <v>80134102-61091101</v>
          </cell>
          <cell r="S4551" t="str">
            <v>2026A-05</v>
          </cell>
          <cell r="T4551" t="str">
            <v>Zero</v>
          </cell>
        </row>
        <row r="4552">
          <cell r="K4552">
            <v>-14052.5</v>
          </cell>
          <cell r="P4552" t="str">
            <v>80134102-61091101</v>
          </cell>
          <cell r="S4552" t="str">
            <v>2026A-05</v>
          </cell>
          <cell r="T4552" t="str">
            <v>Zero</v>
          </cell>
        </row>
        <row r="4553">
          <cell r="K4553">
            <v>-1.08</v>
          </cell>
          <cell r="P4553" t="str">
            <v>90111101-61021403</v>
          </cell>
          <cell r="S4553" t="str">
            <v>2026A-05</v>
          </cell>
          <cell r="T4553" t="str">
            <v>Others</v>
          </cell>
        </row>
        <row r="4554">
          <cell r="K4554">
            <v>24115.040000000001</v>
          </cell>
          <cell r="P4554" t="str">
            <v>81111101-52041495</v>
          </cell>
          <cell r="S4554" t="str">
            <v>2026A-05</v>
          </cell>
          <cell r="T4554" t="str">
            <v>BTs</v>
          </cell>
        </row>
        <row r="4555">
          <cell r="K4555">
            <v>235.92</v>
          </cell>
          <cell r="P4555" t="str">
            <v>81319101-52041401</v>
          </cell>
          <cell r="S4555" t="str">
            <v>2026A-05</v>
          </cell>
          <cell r="T4555" t="str">
            <v>ES</v>
          </cell>
        </row>
        <row r="4556">
          <cell r="K4556">
            <v>47.18</v>
          </cell>
          <cell r="P4556" t="str">
            <v>81319101-52041401</v>
          </cell>
          <cell r="S4556" t="str">
            <v>2026A-05</v>
          </cell>
          <cell r="T4556" t="str">
            <v>ES</v>
          </cell>
        </row>
        <row r="4557">
          <cell r="K4557">
            <v>-0.01</v>
          </cell>
          <cell r="P4557" t="str">
            <v>81123102-52111101</v>
          </cell>
          <cell r="S4557" t="str">
            <v>2026A-05</v>
          </cell>
          <cell r="T4557" t="str">
            <v>Office Supplies - Others</v>
          </cell>
        </row>
        <row r="4558">
          <cell r="K4558">
            <v>-0.01</v>
          </cell>
          <cell r="P4558" t="str">
            <v>81123102-52111101</v>
          </cell>
          <cell r="S4558" t="str">
            <v>2026A-05</v>
          </cell>
          <cell r="T4558" t="str">
            <v>Toner/ink</v>
          </cell>
        </row>
        <row r="4559">
          <cell r="K4559">
            <v>25923.64</v>
          </cell>
          <cell r="P4559" t="str">
            <v>81111101-52041495</v>
          </cell>
          <cell r="S4559" t="str">
            <v>2026A-05</v>
          </cell>
          <cell r="T4559" t="str">
            <v>BTs</v>
          </cell>
        </row>
        <row r="4560">
          <cell r="K4560">
            <v>15000</v>
          </cell>
          <cell r="P4560" t="str">
            <v>81133103-52952101</v>
          </cell>
          <cell r="S4560" t="str">
            <v>2026A-05</v>
          </cell>
          <cell r="T4560" t="str">
            <v>BOC</v>
          </cell>
        </row>
        <row r="4561">
          <cell r="K4561">
            <v>2020</v>
          </cell>
          <cell r="P4561" t="str">
            <v>81133103-52952101</v>
          </cell>
          <cell r="S4561" t="str">
            <v>2026A-05</v>
          </cell>
          <cell r="T4561" t="str">
            <v>BOC</v>
          </cell>
        </row>
        <row r="4562">
          <cell r="K4562">
            <v>75000</v>
          </cell>
          <cell r="P4562" t="str">
            <v>81123101-52071102</v>
          </cell>
          <cell r="S4562" t="str">
            <v>2026A-05</v>
          </cell>
          <cell r="T4562" t="str">
            <v>Open Cases</v>
          </cell>
        </row>
        <row r="4563">
          <cell r="K4563">
            <v>3500</v>
          </cell>
          <cell r="P4563" t="str">
            <v>81123101-52071102</v>
          </cell>
          <cell r="S4563" t="str">
            <v>2026A-05</v>
          </cell>
          <cell r="T4563" t="str">
            <v>Open Cases</v>
          </cell>
        </row>
        <row r="4564">
          <cell r="K4564">
            <v>6650</v>
          </cell>
          <cell r="P4564" t="str">
            <v>81123101-52071102</v>
          </cell>
          <cell r="S4564" t="str">
            <v>2026A-05</v>
          </cell>
          <cell r="T4564" t="str">
            <v>Open Cases</v>
          </cell>
        </row>
        <row r="4565">
          <cell r="K4565">
            <v>0.01</v>
          </cell>
          <cell r="P4565" t="str">
            <v>81123102-52111101</v>
          </cell>
          <cell r="S4565" t="str">
            <v>2026A-05</v>
          </cell>
          <cell r="T4565" t="str">
            <v>Toner/ink</v>
          </cell>
        </row>
        <row r="4566">
          <cell r="K4566">
            <v>24717.95</v>
          </cell>
          <cell r="P4566" t="str">
            <v>81111101-52041495</v>
          </cell>
          <cell r="S4566" t="str">
            <v>2026A-05</v>
          </cell>
          <cell r="T4566" t="str">
            <v>BTs</v>
          </cell>
        </row>
        <row r="4567">
          <cell r="K4567">
            <v>125000</v>
          </cell>
          <cell r="P4567" t="str">
            <v>80134102-61071004</v>
          </cell>
          <cell r="S4567" t="str">
            <v>2026A-05</v>
          </cell>
          <cell r="T4567" t="str">
            <v>Zero</v>
          </cell>
        </row>
        <row r="4568">
          <cell r="K4568">
            <v>18750</v>
          </cell>
          <cell r="P4568" t="str">
            <v>80134102-61071004</v>
          </cell>
          <cell r="S4568" t="str">
            <v>2026A-05</v>
          </cell>
          <cell r="T4568" t="str">
            <v>Zero</v>
          </cell>
        </row>
        <row r="4569">
          <cell r="K4569">
            <v>5083.7</v>
          </cell>
          <cell r="P4569" t="str">
            <v>81319101-52041405</v>
          </cell>
          <cell r="S4569" t="str">
            <v>2026A-05</v>
          </cell>
          <cell r="T4569" t="str">
            <v>ES</v>
          </cell>
        </row>
        <row r="4570">
          <cell r="K4570">
            <v>250000</v>
          </cell>
          <cell r="P4570" t="str">
            <v>80133102-61071004</v>
          </cell>
          <cell r="S4570" t="str">
            <v>2026A-05</v>
          </cell>
          <cell r="T4570" t="str">
            <v>RSG</v>
          </cell>
        </row>
        <row r="4571">
          <cell r="K4571">
            <v>3718.29</v>
          </cell>
          <cell r="P4571" t="str">
            <v>80111204-61091101</v>
          </cell>
          <cell r="S4571" t="str">
            <v>2026A-05</v>
          </cell>
          <cell r="T4571" t="str">
            <v>Meetings</v>
          </cell>
        </row>
        <row r="4572">
          <cell r="K4572">
            <v>3030</v>
          </cell>
          <cell r="P4572" t="str">
            <v>80125101-61091101</v>
          </cell>
          <cell r="S4572" t="str">
            <v>2026A-05</v>
          </cell>
          <cell r="T4572" t="str">
            <v>Meetings</v>
          </cell>
        </row>
        <row r="4573">
          <cell r="K4573">
            <v>876</v>
          </cell>
          <cell r="P4573" t="str">
            <v>80125101-61091101</v>
          </cell>
          <cell r="S4573" t="str">
            <v>2026A-05</v>
          </cell>
          <cell r="T4573" t="str">
            <v>Meetings</v>
          </cell>
        </row>
        <row r="4574">
          <cell r="K4574">
            <v>51868.89</v>
          </cell>
          <cell r="P4574" t="str">
            <v>80111101-61021314</v>
          </cell>
          <cell r="S4574" t="str">
            <v>2026A-05</v>
          </cell>
          <cell r="T4574" t="str">
            <v>FBT</v>
          </cell>
        </row>
        <row r="4575">
          <cell r="K4575">
            <v>-552597.54</v>
          </cell>
          <cell r="P4575" t="str">
            <v>80111101-61021303</v>
          </cell>
          <cell r="S4575" t="str">
            <v>2026A-05</v>
          </cell>
          <cell r="T4575" t="str">
            <v>HMO</v>
          </cell>
        </row>
        <row r="4576">
          <cell r="K4576">
            <v>-103946.2</v>
          </cell>
          <cell r="P4576" t="str">
            <v>80123102-61111201</v>
          </cell>
          <cell r="S4576" t="str">
            <v>2026A-05</v>
          </cell>
          <cell r="T4576" t="str">
            <v>Shell</v>
          </cell>
        </row>
        <row r="4577">
          <cell r="K4577">
            <v>-20000</v>
          </cell>
          <cell r="P4577" t="str">
            <v>80123101-61071005</v>
          </cell>
          <cell r="S4577" t="str">
            <v>2026A-05</v>
          </cell>
          <cell r="T4577" t="str">
            <v>Angara</v>
          </cell>
        </row>
        <row r="4578">
          <cell r="K4578">
            <v>-20000</v>
          </cell>
          <cell r="P4578" t="str">
            <v>80123101-61071005</v>
          </cell>
          <cell r="S4578" t="str">
            <v>2026A-05</v>
          </cell>
          <cell r="T4578" t="str">
            <v>Poblador</v>
          </cell>
        </row>
        <row r="4579">
          <cell r="K4579">
            <v>-20000</v>
          </cell>
          <cell r="P4579" t="str">
            <v>80123101-61071005</v>
          </cell>
          <cell r="S4579" t="str">
            <v>2026A-05</v>
          </cell>
          <cell r="T4579" t="str">
            <v>Santiago</v>
          </cell>
        </row>
        <row r="4580">
          <cell r="K4580">
            <v>-47612.68</v>
          </cell>
          <cell r="P4580" t="str">
            <v>80123102-61721101</v>
          </cell>
          <cell r="S4580" t="str">
            <v>2026A-05</v>
          </cell>
          <cell r="T4580" t="str">
            <v>Mobile Phones</v>
          </cell>
        </row>
        <row r="4581">
          <cell r="K4581">
            <v>-1224442.31</v>
          </cell>
          <cell r="P4581" t="str">
            <v>90111101-52121303</v>
          </cell>
          <cell r="S4581" t="str">
            <v>2026A-05</v>
          </cell>
          <cell r="T4581" t="str">
            <v>HMO</v>
          </cell>
        </row>
        <row r="4582">
          <cell r="K4582">
            <v>143750</v>
          </cell>
          <cell r="P4582" t="str">
            <v>80134102-61071001</v>
          </cell>
          <cell r="S4582" t="str">
            <v>2026A-05</v>
          </cell>
          <cell r="T4582" t="str">
            <v>PWC FS Audit</v>
          </cell>
        </row>
        <row r="4583">
          <cell r="K4583">
            <v>-143750</v>
          </cell>
          <cell r="P4583" t="str">
            <v>80134102-61071004</v>
          </cell>
          <cell r="S4583" t="str">
            <v>2026A-05</v>
          </cell>
          <cell r="T4583" t="str">
            <v>Zero</v>
          </cell>
        </row>
        <row r="4584">
          <cell r="K4584">
            <v>35000</v>
          </cell>
          <cell r="P4584" t="str">
            <v>80134102-61071004</v>
          </cell>
          <cell r="S4584" t="str">
            <v>2026A-05</v>
          </cell>
          <cell r="T4584" t="str">
            <v>Zero</v>
          </cell>
        </row>
        <row r="4585">
          <cell r="K4585">
            <v>43613</v>
          </cell>
          <cell r="P4585" t="str">
            <v>80134102-61071001</v>
          </cell>
          <cell r="S4585" t="str">
            <v>2026A-05</v>
          </cell>
          <cell r="T4585" t="str">
            <v>PWC FS Audit</v>
          </cell>
        </row>
        <row r="4586">
          <cell r="K4586">
            <v>140525</v>
          </cell>
          <cell r="P4586" t="str">
            <v>80134102-61071001</v>
          </cell>
          <cell r="S4586" t="str">
            <v>2026A-05</v>
          </cell>
          <cell r="T4586" t="str">
            <v>PWC FS Audit</v>
          </cell>
        </row>
        <row r="4587">
          <cell r="K4587">
            <v>22866.45</v>
          </cell>
          <cell r="P4587" t="str">
            <v>80134102-61091101</v>
          </cell>
          <cell r="S4587" t="str">
            <v>2026A-05</v>
          </cell>
          <cell r="T4587" t="str">
            <v>Zero</v>
          </cell>
        </row>
        <row r="4588">
          <cell r="K4588">
            <v>14052.5</v>
          </cell>
          <cell r="P4588" t="str">
            <v>80134102-61091101</v>
          </cell>
          <cell r="S4588" t="str">
            <v>2026A-05</v>
          </cell>
          <cell r="T4588" t="str">
            <v>Zero</v>
          </cell>
        </row>
        <row r="4589">
          <cell r="K4589">
            <v>350.02</v>
          </cell>
          <cell r="P4589" t="str">
            <v>90111101-61021403</v>
          </cell>
          <cell r="S4589" t="str">
            <v>2026A-05</v>
          </cell>
          <cell r="T4589" t="str">
            <v>Others</v>
          </cell>
        </row>
        <row r="4590">
          <cell r="K4590">
            <v>244.2</v>
          </cell>
          <cell r="P4590" t="str">
            <v>90111101-61021403</v>
          </cell>
          <cell r="S4590" t="str">
            <v>2026A-05</v>
          </cell>
          <cell r="T4590" t="str">
            <v>Others</v>
          </cell>
        </row>
        <row r="4591">
          <cell r="K4591">
            <v>218.4</v>
          </cell>
          <cell r="P4591" t="str">
            <v>90111101-61021403</v>
          </cell>
          <cell r="S4591" t="str">
            <v>2026A-05</v>
          </cell>
          <cell r="T4591" t="str">
            <v>Others</v>
          </cell>
        </row>
        <row r="4592">
          <cell r="K4592">
            <v>-87</v>
          </cell>
          <cell r="P4592" t="str">
            <v>90111101-61021403</v>
          </cell>
          <cell r="S4592" t="str">
            <v>2026A-05</v>
          </cell>
          <cell r="T4592" t="str">
            <v>Others</v>
          </cell>
        </row>
        <row r="4593">
          <cell r="K4593">
            <v>-37.5</v>
          </cell>
          <cell r="P4593" t="str">
            <v>90111101-61021403</v>
          </cell>
          <cell r="S4593" t="str">
            <v>2026A-05</v>
          </cell>
          <cell r="T4593" t="str">
            <v>Others</v>
          </cell>
        </row>
        <row r="4594">
          <cell r="K4594">
            <v>-40.200000000000003</v>
          </cell>
          <cell r="P4594" t="str">
            <v>90111101-61021403</v>
          </cell>
          <cell r="S4594" t="str">
            <v>2026A-05</v>
          </cell>
          <cell r="T4594" t="str">
            <v>Others</v>
          </cell>
        </row>
        <row r="4595">
          <cell r="K4595">
            <v>140</v>
          </cell>
          <cell r="P4595" t="str">
            <v>90111101-61021403</v>
          </cell>
          <cell r="S4595" t="str">
            <v>2026A-05</v>
          </cell>
          <cell r="T4595" t="str">
            <v>Others</v>
          </cell>
        </row>
        <row r="4596">
          <cell r="K4596">
            <v>-40</v>
          </cell>
          <cell r="P4596" t="str">
            <v>90111101-61021403</v>
          </cell>
          <cell r="S4596" t="str">
            <v>2026A-05</v>
          </cell>
          <cell r="T4596" t="str">
            <v>Others</v>
          </cell>
        </row>
        <row r="4597">
          <cell r="K4597">
            <v>-118.44</v>
          </cell>
          <cell r="P4597" t="str">
            <v>90111101-61021403</v>
          </cell>
          <cell r="S4597" t="str">
            <v>2026A-05</v>
          </cell>
          <cell r="T4597" t="str">
            <v>Others</v>
          </cell>
        </row>
        <row r="4598">
          <cell r="K4598">
            <v>8400</v>
          </cell>
          <cell r="P4598" t="str">
            <v>90111101-61021403</v>
          </cell>
          <cell r="S4598" t="str">
            <v>2026A-05</v>
          </cell>
          <cell r="T4598" t="str">
            <v>Others</v>
          </cell>
        </row>
        <row r="4599">
          <cell r="K4599">
            <v>59259.73</v>
          </cell>
          <cell r="P4599" t="str">
            <v>81319101-52041499</v>
          </cell>
          <cell r="S4599" t="str">
            <v>2026A-05</v>
          </cell>
          <cell r="T4599" t="str">
            <v>GH</v>
          </cell>
        </row>
        <row r="4600">
          <cell r="K4600">
            <v>30373.360000000001</v>
          </cell>
          <cell r="P4600" t="str">
            <v>81319101-52041405</v>
          </cell>
          <cell r="S4600" t="str">
            <v>2026A-05</v>
          </cell>
          <cell r="T4600" t="str">
            <v>ES</v>
          </cell>
        </row>
        <row r="4601">
          <cell r="K4601">
            <v>21753.4</v>
          </cell>
          <cell r="P4601" t="str">
            <v>81319101-52041499</v>
          </cell>
          <cell r="S4601" t="str">
            <v>2026A-05</v>
          </cell>
          <cell r="T4601" t="str">
            <v>GH</v>
          </cell>
        </row>
        <row r="4602">
          <cell r="K4602">
            <v>43498.720000000001</v>
          </cell>
          <cell r="P4602" t="str">
            <v>81319101-52041401</v>
          </cell>
          <cell r="S4602" t="str">
            <v>2026A-05</v>
          </cell>
          <cell r="T4602" t="str">
            <v>GH</v>
          </cell>
        </row>
        <row r="4603">
          <cell r="K4603">
            <v>89197.61</v>
          </cell>
          <cell r="P4603" t="str">
            <v>81319101-52041401</v>
          </cell>
          <cell r="S4603" t="str">
            <v>2026A-05</v>
          </cell>
          <cell r="T4603" t="str">
            <v>GH</v>
          </cell>
        </row>
        <row r="4604">
          <cell r="K4604">
            <v>8699.36</v>
          </cell>
          <cell r="P4604" t="str">
            <v>81319101-52041401</v>
          </cell>
          <cell r="S4604" t="str">
            <v>2026A-05</v>
          </cell>
          <cell r="T4604" t="str">
            <v>GH</v>
          </cell>
        </row>
        <row r="4605">
          <cell r="K4605">
            <v>17838.740000000002</v>
          </cell>
          <cell r="P4605" t="str">
            <v>81319101-52041401</v>
          </cell>
          <cell r="S4605" t="str">
            <v>2026A-05</v>
          </cell>
          <cell r="T4605" t="str">
            <v>GH</v>
          </cell>
        </row>
        <row r="4606">
          <cell r="K4606">
            <v>3804.01</v>
          </cell>
          <cell r="P4606" t="str">
            <v>81319101-52041405</v>
          </cell>
          <cell r="S4606" t="str">
            <v>2026A-05</v>
          </cell>
          <cell r="T4606" t="str">
            <v>ES</v>
          </cell>
        </row>
        <row r="4607">
          <cell r="K4607">
            <v>90887.039999999994</v>
          </cell>
          <cell r="P4607" t="str">
            <v>81319101-52041401</v>
          </cell>
          <cell r="S4607" t="str">
            <v>2026A-05</v>
          </cell>
          <cell r="T4607" t="str">
            <v>ES</v>
          </cell>
        </row>
        <row r="4608">
          <cell r="K4608">
            <v>18175.919999999998</v>
          </cell>
          <cell r="P4608" t="str">
            <v>81319101-52041401</v>
          </cell>
          <cell r="S4608" t="str">
            <v>2026A-05</v>
          </cell>
          <cell r="T4608" t="str">
            <v>ES</v>
          </cell>
        </row>
        <row r="4609">
          <cell r="K4609">
            <v>500</v>
          </cell>
          <cell r="P4609" t="str">
            <v>90123101-61071002</v>
          </cell>
          <cell r="S4609" t="str">
            <v>2026A-05</v>
          </cell>
          <cell r="T4609" t="str">
            <v>Notarial Fees</v>
          </cell>
        </row>
        <row r="4610">
          <cell r="K4610">
            <v>2000</v>
          </cell>
          <cell r="P4610" t="str">
            <v>81123101-52071102</v>
          </cell>
          <cell r="S4610" t="str">
            <v>2026A-05</v>
          </cell>
          <cell r="T4610" t="str">
            <v>Notarial Fees</v>
          </cell>
        </row>
        <row r="4611">
          <cell r="K4611">
            <v>188976</v>
          </cell>
          <cell r="P4611" t="str">
            <v>81134102-61071001</v>
          </cell>
          <cell r="S4611" t="str">
            <v>2026A-05</v>
          </cell>
          <cell r="T4611" t="str">
            <v>PWC FS Audit</v>
          </cell>
        </row>
        <row r="4612">
          <cell r="K4612">
            <v>34137.599999999999</v>
          </cell>
          <cell r="P4612" t="str">
            <v>81134102-61071006</v>
          </cell>
          <cell r="S4612" t="str">
            <v>2026A-05</v>
          </cell>
          <cell r="T4612" t="str">
            <v>PWC FS Audit</v>
          </cell>
        </row>
        <row r="4613">
          <cell r="K4613">
            <v>56700</v>
          </cell>
          <cell r="P4613" t="str">
            <v>90111101-52041495</v>
          </cell>
          <cell r="S4613" t="str">
            <v>2026A-05</v>
          </cell>
          <cell r="T4613" t="str">
            <v>BDO CMC</v>
          </cell>
        </row>
        <row r="4614">
          <cell r="K4614">
            <v>2011187.5</v>
          </cell>
          <cell r="P4614" t="str">
            <v>90122101-52071104</v>
          </cell>
          <cell r="S4614" t="str">
            <v>2026A-05</v>
          </cell>
          <cell r="T4614" t="str">
            <v>OLC INTCNSLTNT</v>
          </cell>
        </row>
        <row r="4615">
          <cell r="K4615">
            <v>20840.259999999998</v>
          </cell>
          <cell r="P4615" t="str">
            <v>81319101-52041499</v>
          </cell>
          <cell r="S4615" t="str">
            <v>2026A-05</v>
          </cell>
          <cell r="T4615" t="str">
            <v>GH</v>
          </cell>
        </row>
        <row r="4616">
          <cell r="K4616">
            <v>300</v>
          </cell>
          <cell r="P4616" t="str">
            <v>90111204-61091101</v>
          </cell>
          <cell r="S4616" t="str">
            <v>2026A-05</v>
          </cell>
          <cell r="T4616" t="str">
            <v>Meetings</v>
          </cell>
        </row>
        <row r="4617">
          <cell r="K4617">
            <v>380</v>
          </cell>
          <cell r="P4617" t="str">
            <v>90111204-61091102</v>
          </cell>
          <cell r="S4617" t="str">
            <v>2026A-05</v>
          </cell>
          <cell r="T4617" t="str">
            <v>Meetings</v>
          </cell>
        </row>
        <row r="4618">
          <cell r="K4618">
            <v>840</v>
          </cell>
          <cell r="P4618" t="str">
            <v>90111204-61091102</v>
          </cell>
          <cell r="S4618" t="str">
            <v>2026A-05</v>
          </cell>
          <cell r="T4618" t="str">
            <v>Meetings</v>
          </cell>
        </row>
        <row r="4619">
          <cell r="K4619">
            <v>-685714.29</v>
          </cell>
          <cell r="P4619" t="str">
            <v>80123102-61961302</v>
          </cell>
          <cell r="S4619" t="str">
            <v>2026A-05</v>
          </cell>
          <cell r="T4619" t="str">
            <v>MTS Recovery</v>
          </cell>
        </row>
        <row r="4620">
          <cell r="K4620">
            <v>4017.86</v>
          </cell>
          <cell r="P4620" t="str">
            <v>81123102-52061111</v>
          </cell>
          <cell r="S4620" t="str">
            <v>2026A-05</v>
          </cell>
          <cell r="T4620" t="str">
            <v>R&amp;M - Supplies</v>
          </cell>
        </row>
        <row r="4621">
          <cell r="K4621">
            <v>8750</v>
          </cell>
          <cell r="P4621" t="str">
            <v>81123102-52061105</v>
          </cell>
          <cell r="S4621" t="str">
            <v>2026A-05</v>
          </cell>
          <cell r="T4621" t="str">
            <v>R&amp;M Vehicle</v>
          </cell>
        </row>
        <row r="4622">
          <cell r="K4622">
            <v>20876.189999999999</v>
          </cell>
          <cell r="P4622" t="str">
            <v>81124101-52952103</v>
          </cell>
          <cell r="S4622" t="str">
            <v>2026A-05</v>
          </cell>
          <cell r="T4622" t="str">
            <v>M365 Extra Storage</v>
          </cell>
        </row>
        <row r="4623">
          <cell r="K4623">
            <v>20876.189999999999</v>
          </cell>
          <cell r="P4623" t="str">
            <v>81124101-52952103</v>
          </cell>
          <cell r="S4623" t="str">
            <v>2026A-05</v>
          </cell>
          <cell r="T4623" t="str">
            <v>M365 Extra Storage</v>
          </cell>
        </row>
        <row r="4624">
          <cell r="K4624">
            <v>20876.189999999999</v>
          </cell>
          <cell r="P4624" t="str">
            <v>81124101-52952103</v>
          </cell>
          <cell r="S4624" t="str">
            <v>2026A-05</v>
          </cell>
          <cell r="T4624" t="str">
            <v>M365 Extra Storage</v>
          </cell>
        </row>
        <row r="4625">
          <cell r="K4625">
            <v>62628.57</v>
          </cell>
          <cell r="P4625" t="str">
            <v>81124101-52952103</v>
          </cell>
          <cell r="S4625" t="str">
            <v>2026A-05</v>
          </cell>
          <cell r="T4625" t="str">
            <v>M365 Extra Storage</v>
          </cell>
        </row>
        <row r="4626">
          <cell r="K4626">
            <v>1385625</v>
          </cell>
          <cell r="P4626" t="str">
            <v>81122101-52121401</v>
          </cell>
          <cell r="S4626" t="str">
            <v>2026A-05</v>
          </cell>
          <cell r="T4626" t="str">
            <v>Company outing</v>
          </cell>
        </row>
        <row r="4627">
          <cell r="K4627">
            <v>739919.64</v>
          </cell>
          <cell r="P4627" t="str">
            <v>81122101-52121401</v>
          </cell>
          <cell r="S4627" t="str">
            <v>2026A-05</v>
          </cell>
          <cell r="T4627" t="str">
            <v>Company outing</v>
          </cell>
        </row>
        <row r="4628">
          <cell r="K4628">
            <v>70000</v>
          </cell>
          <cell r="P4628" t="str">
            <v>81122101-52121401</v>
          </cell>
          <cell r="S4628" t="str">
            <v>2026A-05</v>
          </cell>
          <cell r="T4628" t="str">
            <v>Company outing</v>
          </cell>
        </row>
        <row r="4629">
          <cell r="K4629">
            <v>70000</v>
          </cell>
          <cell r="P4629" t="str">
            <v>81122101-52121401</v>
          </cell>
          <cell r="S4629" t="str">
            <v>2026A-05</v>
          </cell>
          <cell r="T4629" t="str">
            <v>Company outing</v>
          </cell>
        </row>
        <row r="4630">
          <cell r="K4630">
            <v>24000</v>
          </cell>
          <cell r="P4630" t="str">
            <v>81122101-52121401</v>
          </cell>
          <cell r="S4630" t="str">
            <v>2026A-05</v>
          </cell>
          <cell r="T4630" t="str">
            <v>Company outing</v>
          </cell>
        </row>
        <row r="4631">
          <cell r="K4631">
            <v>8272.5</v>
          </cell>
          <cell r="P4631" t="str">
            <v>81111101-52121301</v>
          </cell>
          <cell r="S4631" t="str">
            <v>2026A-05</v>
          </cell>
          <cell r="T4631" t="str">
            <v>Life Insurance</v>
          </cell>
        </row>
        <row r="4632">
          <cell r="K4632">
            <v>19223.330000000002</v>
          </cell>
          <cell r="P4632" t="str">
            <v>81124101-52952103</v>
          </cell>
          <cell r="S4632" t="str">
            <v>2026A-05</v>
          </cell>
          <cell r="T4632" t="str">
            <v>SDWAN ES TS GH</v>
          </cell>
        </row>
        <row r="4633">
          <cell r="K4633">
            <v>73422.720000000001</v>
          </cell>
          <cell r="P4633" t="str">
            <v>81124101-52952103</v>
          </cell>
          <cell r="S4633" t="str">
            <v>2026A-05</v>
          </cell>
          <cell r="T4633" t="str">
            <v>WAF</v>
          </cell>
        </row>
        <row r="4634">
          <cell r="K4634">
            <v>48771.32</v>
          </cell>
          <cell r="P4634" t="str">
            <v>81124101-52952103</v>
          </cell>
          <cell r="S4634" t="str">
            <v>2026A-05</v>
          </cell>
          <cell r="T4634" t="str">
            <v>Palo Alto</v>
          </cell>
        </row>
        <row r="4635">
          <cell r="K4635">
            <v>39285.71</v>
          </cell>
          <cell r="P4635" t="str">
            <v>81124101-52952103</v>
          </cell>
          <cell r="S4635" t="str">
            <v>2026A-05</v>
          </cell>
          <cell r="T4635" t="str">
            <v>Datrium</v>
          </cell>
        </row>
        <row r="4636">
          <cell r="K4636">
            <v>20203.89</v>
          </cell>
          <cell r="P4636" t="str">
            <v>81124101-52952103</v>
          </cell>
          <cell r="S4636" t="str">
            <v>2026A-05</v>
          </cell>
          <cell r="T4636" t="str">
            <v>Aircuve</v>
          </cell>
        </row>
        <row r="4637">
          <cell r="K4637">
            <v>44642.86</v>
          </cell>
          <cell r="P4637" t="str">
            <v>81124101-52952103</v>
          </cell>
          <cell r="S4637" t="str">
            <v>2026A-05</v>
          </cell>
          <cell r="T4637" t="str">
            <v>Acronis</v>
          </cell>
        </row>
        <row r="4638">
          <cell r="K4638">
            <v>25660.71</v>
          </cell>
          <cell r="P4638" t="str">
            <v>81124101-52952103</v>
          </cell>
          <cell r="S4638" t="str">
            <v>2026A-05</v>
          </cell>
          <cell r="T4638" t="str">
            <v>SonicWall Firewall Security</v>
          </cell>
        </row>
        <row r="4639">
          <cell r="K4639">
            <v>15557.36</v>
          </cell>
          <cell r="P4639" t="str">
            <v>81124101-52952103</v>
          </cell>
          <cell r="S4639" t="str">
            <v>2026A-05</v>
          </cell>
          <cell r="T4639" t="str">
            <v>HPE Server Maintenance</v>
          </cell>
        </row>
        <row r="4640">
          <cell r="K4640">
            <v>8900.91</v>
          </cell>
          <cell r="P4640" t="str">
            <v>81124101-52952103</v>
          </cell>
          <cell r="S4640" t="str">
            <v>2026A-05</v>
          </cell>
          <cell r="T4640" t="str">
            <v>Web Hosting</v>
          </cell>
        </row>
        <row r="4641">
          <cell r="K4641">
            <v>8900.91</v>
          </cell>
          <cell r="P4641" t="str">
            <v>81124101-52952103</v>
          </cell>
          <cell r="S4641" t="str">
            <v>2026A-05</v>
          </cell>
          <cell r="T4641" t="str">
            <v>Web Hosting</v>
          </cell>
        </row>
        <row r="4642">
          <cell r="K4642">
            <v>8272.5</v>
          </cell>
          <cell r="P4642" t="str">
            <v>81111101-52121301</v>
          </cell>
          <cell r="S4642" t="str">
            <v>2026A-05</v>
          </cell>
          <cell r="T4642" t="str">
            <v>Life Insurance</v>
          </cell>
        </row>
        <row r="4643">
          <cell r="K4643">
            <v>-8272.5</v>
          </cell>
          <cell r="P4643" t="str">
            <v>81111101-52121301</v>
          </cell>
          <cell r="S4643" t="str">
            <v>2026A-05</v>
          </cell>
          <cell r="T4643" t="str">
            <v>Life Insurance</v>
          </cell>
        </row>
        <row r="4644">
          <cell r="K4644">
            <v>117682.35</v>
          </cell>
          <cell r="P4644" t="str">
            <v>81124101-52952103</v>
          </cell>
          <cell r="S4644" t="str">
            <v>2026A-05</v>
          </cell>
          <cell r="T4644" t="str">
            <v>M365</v>
          </cell>
        </row>
        <row r="4645">
          <cell r="K4645">
            <v>20876.189999999999</v>
          </cell>
          <cell r="P4645" t="str">
            <v>81124101-52952103</v>
          </cell>
          <cell r="S4645" t="str">
            <v>2026A-05</v>
          </cell>
          <cell r="T4645" t="str">
            <v>M365 Extra Storage</v>
          </cell>
        </row>
        <row r="4646">
          <cell r="K4646">
            <v>5745.54</v>
          </cell>
          <cell r="P4646" t="str">
            <v>81122101-52111101</v>
          </cell>
          <cell r="S4646" t="str">
            <v>2026A-05</v>
          </cell>
          <cell r="T4646" t="str">
            <v>Tissue</v>
          </cell>
        </row>
        <row r="4647">
          <cell r="K4647">
            <v>16071.43</v>
          </cell>
          <cell r="P4647" t="str">
            <v>81319101-52111101</v>
          </cell>
          <cell r="S4647" t="str">
            <v>2026A-05</v>
          </cell>
          <cell r="T4647" t="str">
            <v>Tissue</v>
          </cell>
        </row>
        <row r="4648">
          <cell r="K4648">
            <v>-16071.43</v>
          </cell>
          <cell r="P4648" t="str">
            <v>81221201-61111101</v>
          </cell>
          <cell r="S4648" t="str">
            <v>2026A-05</v>
          </cell>
          <cell r="T4648" t="str">
            <v>Tissue</v>
          </cell>
        </row>
        <row r="4649">
          <cell r="K4649">
            <v>5745.54</v>
          </cell>
          <cell r="P4649" t="str">
            <v>81122101-52111101</v>
          </cell>
          <cell r="S4649" t="str">
            <v>2026A-05</v>
          </cell>
          <cell r="T4649" t="str">
            <v>Tissue</v>
          </cell>
        </row>
        <row r="4650">
          <cell r="K4650">
            <v>30357.14</v>
          </cell>
          <cell r="P4650" t="str">
            <v>81123102-52111101</v>
          </cell>
          <cell r="S4650" t="str">
            <v>2026A-05</v>
          </cell>
          <cell r="T4650" t="str">
            <v>Toner/ink</v>
          </cell>
        </row>
        <row r="4651">
          <cell r="K4651">
            <v>7589.29</v>
          </cell>
          <cell r="P4651" t="str">
            <v>81123102-52111101</v>
          </cell>
          <cell r="S4651" t="str">
            <v>2026A-05</v>
          </cell>
          <cell r="T4651" t="str">
            <v>Toner/ink</v>
          </cell>
        </row>
        <row r="4652">
          <cell r="K4652">
            <v>20089.29</v>
          </cell>
          <cell r="P4652" t="str">
            <v>81123102-52111101</v>
          </cell>
          <cell r="S4652" t="str">
            <v>2026A-05</v>
          </cell>
          <cell r="T4652" t="str">
            <v>Office Supplies - Others</v>
          </cell>
        </row>
        <row r="4653">
          <cell r="K4653">
            <v>78231.520000000004</v>
          </cell>
          <cell r="P4653" t="str">
            <v>81319101-52041499</v>
          </cell>
          <cell r="S4653" t="str">
            <v>2026A-05</v>
          </cell>
          <cell r="T4653" t="str">
            <v>Office support GH</v>
          </cell>
        </row>
        <row r="4654">
          <cell r="K4654">
            <v>1745.93</v>
          </cell>
          <cell r="P4654" t="str">
            <v>80111101-52101101</v>
          </cell>
          <cell r="S4654" t="str">
            <v>2026A-05</v>
          </cell>
          <cell r="T4654" t="str">
            <v>PARI</v>
          </cell>
        </row>
        <row r="4655">
          <cell r="K4655">
            <v>4073.72</v>
          </cell>
          <cell r="P4655" t="str">
            <v>80111101-52101101</v>
          </cell>
          <cell r="S4655" t="str">
            <v>2026A-05</v>
          </cell>
          <cell r="T4655" t="str">
            <v>PARI</v>
          </cell>
        </row>
        <row r="4656">
          <cell r="K4656">
            <v>-3000</v>
          </cell>
          <cell r="P4656" t="str">
            <v>81123102-52951101</v>
          </cell>
          <cell r="S4656" t="str">
            <v>2026A-05</v>
          </cell>
          <cell r="T4656" t="str">
            <v>Mobile Phones</v>
          </cell>
        </row>
        <row r="4657">
          <cell r="K4657">
            <v>98214.29</v>
          </cell>
          <cell r="P4657" t="str">
            <v>81319101-52111101</v>
          </cell>
          <cell r="S4657" t="str">
            <v>2026A-05</v>
          </cell>
          <cell r="T4657" t="str">
            <v>OLC Logo</v>
          </cell>
        </row>
        <row r="4658">
          <cell r="K4658">
            <v>13392.86</v>
          </cell>
          <cell r="P4658" t="str">
            <v>81123102-52111101</v>
          </cell>
          <cell r="S4658" t="str">
            <v>2026A-05</v>
          </cell>
          <cell r="T4658" t="str">
            <v>Office Supplies - Others</v>
          </cell>
        </row>
        <row r="4659">
          <cell r="K4659">
            <v>5745.54</v>
          </cell>
          <cell r="P4659" t="str">
            <v>81122101-52111101</v>
          </cell>
          <cell r="S4659" t="str">
            <v>2026A-05</v>
          </cell>
          <cell r="T4659" t="str">
            <v>Tissue</v>
          </cell>
        </row>
        <row r="4660">
          <cell r="K4660">
            <v>372955.42</v>
          </cell>
          <cell r="P4660" t="str">
            <v>90111101-52031101</v>
          </cell>
          <cell r="S4660" t="str">
            <v>2026A-05</v>
          </cell>
          <cell r="T4660" t="str">
            <v>Other Taxes</v>
          </cell>
        </row>
        <row r="4661">
          <cell r="K4661">
            <v>1442.91</v>
          </cell>
          <cell r="P4661" t="str">
            <v>90111101-52031101</v>
          </cell>
          <cell r="S4661" t="str">
            <v>2026A-05</v>
          </cell>
          <cell r="T4661" t="str">
            <v>Other Taxes</v>
          </cell>
        </row>
        <row r="4662">
          <cell r="K4662">
            <v>16817.080000000002</v>
          </cell>
          <cell r="P4662" t="str">
            <v>90111101-52121301</v>
          </cell>
          <cell r="S4662" t="str">
            <v>2026A-05</v>
          </cell>
          <cell r="T4662" t="str">
            <v>Sun Life - MDIA</v>
          </cell>
        </row>
        <row r="4663">
          <cell r="K4663">
            <v>26077.5</v>
          </cell>
          <cell r="P4663" t="str">
            <v>90111101-52121301</v>
          </cell>
          <cell r="S4663" t="str">
            <v>2026A-05</v>
          </cell>
          <cell r="T4663" t="str">
            <v>Life Insurance</v>
          </cell>
        </row>
        <row r="4664">
          <cell r="K4664">
            <v>38124.080000000002</v>
          </cell>
          <cell r="P4664" t="str">
            <v>90111101-52121303</v>
          </cell>
          <cell r="S4664" t="str">
            <v>2026A-05</v>
          </cell>
          <cell r="T4664" t="str">
            <v>Pacific Cross Insurance Policy (USD) - MDIA</v>
          </cell>
        </row>
        <row r="4665">
          <cell r="K4665">
            <v>9898.6</v>
          </cell>
          <cell r="P4665" t="str">
            <v>90111101-61101106</v>
          </cell>
          <cell r="S4665" t="str">
            <v>2026A-05</v>
          </cell>
          <cell r="T4665" t="str">
            <v>Bond</v>
          </cell>
        </row>
        <row r="4666">
          <cell r="K4666">
            <v>1267.5</v>
          </cell>
          <cell r="P4666" t="str">
            <v>90111101-61101106</v>
          </cell>
          <cell r="S4666" t="str">
            <v>2026A-05</v>
          </cell>
          <cell r="T4666" t="str">
            <v>Bond</v>
          </cell>
        </row>
        <row r="4667">
          <cell r="K4667">
            <v>19.8</v>
          </cell>
          <cell r="P4667" t="str">
            <v>90111101-61101106</v>
          </cell>
          <cell r="S4667" t="str">
            <v>2026A-05</v>
          </cell>
          <cell r="T4667" t="str">
            <v>Bond</v>
          </cell>
        </row>
        <row r="4668">
          <cell r="K4668">
            <v>2100</v>
          </cell>
          <cell r="P4668" t="str">
            <v>90111101-61101106</v>
          </cell>
          <cell r="S4668" t="str">
            <v>2026A-05</v>
          </cell>
          <cell r="T4668" t="str">
            <v>Bond</v>
          </cell>
        </row>
        <row r="4669">
          <cell r="K4669">
            <v>36842.1</v>
          </cell>
          <cell r="P4669" t="str">
            <v>90122101-52071104</v>
          </cell>
          <cell r="S4669" t="str">
            <v>2026A-05</v>
          </cell>
          <cell r="T4669" t="str">
            <v>HRIS Tirso</v>
          </cell>
        </row>
        <row r="4670">
          <cell r="K4670">
            <v>30416.67</v>
          </cell>
          <cell r="P4670" t="str">
            <v>90111101-52101107</v>
          </cell>
          <cell r="S4670" t="str">
            <v>2026A-05</v>
          </cell>
          <cell r="T4670" t="str">
            <v>DOL</v>
          </cell>
        </row>
        <row r="4671">
          <cell r="K4671">
            <v>3802.08</v>
          </cell>
          <cell r="P4671" t="str">
            <v>90111101-52101107</v>
          </cell>
          <cell r="S4671" t="str">
            <v>2026A-05</v>
          </cell>
          <cell r="T4671" t="str">
            <v>DOL</v>
          </cell>
        </row>
        <row r="4672">
          <cell r="K4672">
            <v>60.83</v>
          </cell>
          <cell r="P4672" t="str">
            <v>90111101-52101107</v>
          </cell>
          <cell r="S4672" t="str">
            <v>2026A-05</v>
          </cell>
          <cell r="T4672" t="str">
            <v>DOL</v>
          </cell>
        </row>
        <row r="4673">
          <cell r="K4673">
            <v>1471788.15</v>
          </cell>
          <cell r="P4673" t="str">
            <v>90111101-52121303</v>
          </cell>
          <cell r="S4673" t="str">
            <v>2026A-05</v>
          </cell>
          <cell r="T4673" t="str">
            <v>HMO</v>
          </cell>
        </row>
        <row r="4674">
          <cell r="K4674">
            <v>83.31</v>
          </cell>
          <cell r="P4674" t="str">
            <v>90111101-52121303</v>
          </cell>
          <cell r="S4674" t="str">
            <v>2026A-05</v>
          </cell>
          <cell r="T4674" t="str">
            <v>HMO</v>
          </cell>
        </row>
        <row r="4675">
          <cell r="K4675">
            <v>29435.78</v>
          </cell>
          <cell r="P4675" t="str">
            <v>90111101-52121303</v>
          </cell>
          <cell r="S4675" t="str">
            <v>2026A-05</v>
          </cell>
          <cell r="T4675" t="str">
            <v>HMO</v>
          </cell>
        </row>
        <row r="4676">
          <cell r="K4676">
            <v>2943.54</v>
          </cell>
          <cell r="P4676" t="str">
            <v>90111101-52121303</v>
          </cell>
          <cell r="S4676" t="str">
            <v>2026A-05</v>
          </cell>
          <cell r="T4676" t="str">
            <v>HMO</v>
          </cell>
        </row>
        <row r="4677">
          <cell r="K4677">
            <v>46666.67</v>
          </cell>
          <cell r="P4677" t="str">
            <v>90122101-52121315</v>
          </cell>
          <cell r="S4677" t="str">
            <v>2026A-05</v>
          </cell>
          <cell r="T4677" t="str">
            <v>Jobstreet</v>
          </cell>
        </row>
        <row r="4678">
          <cell r="K4678">
            <v>1968.75</v>
          </cell>
          <cell r="P4678" t="str">
            <v>90122101-52121315</v>
          </cell>
          <cell r="S4678" t="str">
            <v>2026A-05</v>
          </cell>
          <cell r="T4678" t="str">
            <v>Jobstreet</v>
          </cell>
        </row>
        <row r="4679">
          <cell r="K4679">
            <v>54000</v>
          </cell>
          <cell r="P4679" t="str">
            <v>90122101-52121315</v>
          </cell>
          <cell r="S4679" t="str">
            <v>2026A-05</v>
          </cell>
          <cell r="T4679" t="str">
            <v>Salary survey report</v>
          </cell>
        </row>
        <row r="4680">
          <cell r="K4680">
            <v>4021.12</v>
          </cell>
          <cell r="P4680" t="str">
            <v>81111101-52031101</v>
          </cell>
          <cell r="S4680" t="str">
            <v>2026A-05</v>
          </cell>
          <cell r="T4680" t="str">
            <v>Other Taxes</v>
          </cell>
        </row>
        <row r="4681">
          <cell r="K4681">
            <v>10905.61</v>
          </cell>
          <cell r="P4681" t="str">
            <v>80124101-61711102</v>
          </cell>
          <cell r="S4681" t="str">
            <v>2026A-05</v>
          </cell>
          <cell r="T4681" t="str">
            <v>SDWAN Adaptiv CV</v>
          </cell>
        </row>
        <row r="4682">
          <cell r="K4682">
            <v>51945.15</v>
          </cell>
          <cell r="P4682" t="str">
            <v>80124101-61711102</v>
          </cell>
          <cell r="S4682" t="str">
            <v>2026A-05</v>
          </cell>
          <cell r="T4682" t="str">
            <v>SDWAN Cloud License</v>
          </cell>
        </row>
        <row r="4683">
          <cell r="K4683">
            <v>27479.27</v>
          </cell>
          <cell r="P4683" t="str">
            <v>80124101-61711102</v>
          </cell>
          <cell r="S4683" t="str">
            <v>2026A-05</v>
          </cell>
          <cell r="T4683" t="str">
            <v>SDWAN Device</v>
          </cell>
        </row>
        <row r="4684">
          <cell r="K4684">
            <v>59575.29</v>
          </cell>
          <cell r="P4684" t="str">
            <v>80124101-61711102</v>
          </cell>
          <cell r="S4684" t="str">
            <v>2026A-05</v>
          </cell>
          <cell r="T4684" t="str">
            <v>M365 Email Security</v>
          </cell>
        </row>
        <row r="4685">
          <cell r="K4685">
            <v>55803.57</v>
          </cell>
          <cell r="P4685" t="str">
            <v>80124101-61711102</v>
          </cell>
          <cell r="S4685" t="str">
            <v>2026A-05</v>
          </cell>
          <cell r="T4685" t="str">
            <v>Kaseya</v>
          </cell>
        </row>
        <row r="4686">
          <cell r="K4686">
            <v>117708.11</v>
          </cell>
          <cell r="P4686" t="str">
            <v>80124101-61711102</v>
          </cell>
          <cell r="S4686" t="str">
            <v>2026A-05</v>
          </cell>
          <cell r="T4686" t="str">
            <v>Menlo Cloud Internet</v>
          </cell>
        </row>
        <row r="4687">
          <cell r="K4687">
            <v>80512.86</v>
          </cell>
          <cell r="P4687" t="str">
            <v>80124101-61711102</v>
          </cell>
          <cell r="S4687" t="str">
            <v>2026A-05</v>
          </cell>
          <cell r="T4687" t="str">
            <v>Crowdstrike</v>
          </cell>
        </row>
        <row r="4688">
          <cell r="K4688">
            <v>381550.68</v>
          </cell>
          <cell r="P4688" t="str">
            <v>80124101-61711102</v>
          </cell>
          <cell r="S4688" t="str">
            <v>2026A-05</v>
          </cell>
          <cell r="T4688" t="str">
            <v>SAP</v>
          </cell>
        </row>
        <row r="4689">
          <cell r="K4689">
            <v>346041.67</v>
          </cell>
          <cell r="P4689" t="str">
            <v>80134102-61711101</v>
          </cell>
          <cell r="S4689" t="str">
            <v>2026A-05</v>
          </cell>
          <cell r="T4689" t="str">
            <v>Membership - Valle Verde</v>
          </cell>
        </row>
        <row r="4690">
          <cell r="K4690">
            <v>57589.29</v>
          </cell>
          <cell r="P4690" t="str">
            <v>80134102-61711101</v>
          </cell>
          <cell r="S4690" t="str">
            <v>2026A-05</v>
          </cell>
          <cell r="T4690" t="str">
            <v>Membership - Consumables</v>
          </cell>
        </row>
        <row r="4691">
          <cell r="K4691">
            <v>125625</v>
          </cell>
          <cell r="P4691" t="str">
            <v>80134102-61711101</v>
          </cell>
          <cell r="S4691" t="str">
            <v>2026A-05</v>
          </cell>
          <cell r="T4691" t="str">
            <v>Membership - OPE</v>
          </cell>
        </row>
        <row r="4692">
          <cell r="K4692">
            <v>4500</v>
          </cell>
          <cell r="P4692" t="str">
            <v>80123101-61711101</v>
          </cell>
          <cell r="S4692" t="str">
            <v>2026A-05</v>
          </cell>
          <cell r="T4692" t="str">
            <v>Dues and Fees - Legal</v>
          </cell>
        </row>
        <row r="4693">
          <cell r="K4693">
            <v>75392.75</v>
          </cell>
          <cell r="P4693" t="str">
            <v>80123102-61101104</v>
          </cell>
          <cell r="S4693" t="str">
            <v>2026A-05</v>
          </cell>
          <cell r="T4693" t="str">
            <v>Insurance Vehicle</v>
          </cell>
        </row>
        <row r="4694">
          <cell r="K4694">
            <v>5960.72</v>
          </cell>
          <cell r="P4694" t="str">
            <v>80123102-61101104</v>
          </cell>
          <cell r="S4694" t="str">
            <v>2026A-05</v>
          </cell>
          <cell r="T4694" t="str">
            <v>Insurance Vehicle</v>
          </cell>
        </row>
        <row r="4695">
          <cell r="K4695">
            <v>4552.5</v>
          </cell>
          <cell r="P4695" t="str">
            <v>80111101-61021301</v>
          </cell>
          <cell r="S4695" t="str">
            <v>2026A-05</v>
          </cell>
          <cell r="T4695" t="str">
            <v>Life Insurance</v>
          </cell>
        </row>
        <row r="4696">
          <cell r="K4696">
            <v>262.5</v>
          </cell>
          <cell r="P4696" t="str">
            <v>80111101-61021301</v>
          </cell>
          <cell r="S4696" t="str">
            <v>2026A-05</v>
          </cell>
          <cell r="T4696" t="str">
            <v>Life Insurance</v>
          </cell>
        </row>
        <row r="4697">
          <cell r="K4697">
            <v>67500</v>
          </cell>
          <cell r="P4697" t="str">
            <v>80314101-61731103</v>
          </cell>
          <cell r="S4697" t="str">
            <v>2026A-05</v>
          </cell>
          <cell r="T4697" t="str">
            <v>Media Monitoring Services</v>
          </cell>
        </row>
        <row r="4698">
          <cell r="K4698">
            <v>231789.67</v>
          </cell>
          <cell r="P4698" t="str">
            <v>80111101-61021304</v>
          </cell>
          <cell r="S4698" t="str">
            <v>2026A-05</v>
          </cell>
          <cell r="T4698" t="str">
            <v>Retirement</v>
          </cell>
        </row>
        <row r="4699">
          <cell r="K4699">
            <v>10000</v>
          </cell>
          <cell r="P4699" t="str">
            <v>80123101-61071005</v>
          </cell>
          <cell r="S4699" t="str">
            <v>2026A-05</v>
          </cell>
          <cell r="T4699" t="str">
            <v>Sycip</v>
          </cell>
        </row>
        <row r="4700">
          <cell r="K4700">
            <v>20000</v>
          </cell>
          <cell r="P4700" t="str">
            <v>80123101-61071005</v>
          </cell>
          <cell r="S4700" t="str">
            <v>2026A-05</v>
          </cell>
          <cell r="T4700" t="str">
            <v>Poblador</v>
          </cell>
        </row>
        <row r="4701">
          <cell r="K4701">
            <v>10000</v>
          </cell>
          <cell r="P4701" t="str">
            <v>80123101-61071005</v>
          </cell>
          <cell r="S4701" t="str">
            <v>2026A-05</v>
          </cell>
          <cell r="T4701" t="str">
            <v>Santiago</v>
          </cell>
        </row>
        <row r="4702">
          <cell r="K4702">
            <v>218750</v>
          </cell>
          <cell r="P4702" t="str">
            <v>80111101-61021201</v>
          </cell>
          <cell r="S4702" t="str">
            <v>2026A-05</v>
          </cell>
          <cell r="T4702" t="str">
            <v>Project Employee</v>
          </cell>
        </row>
        <row r="4703">
          <cell r="K4703">
            <v>-6288.63</v>
          </cell>
          <cell r="P4703" t="str">
            <v>80111101-61021201</v>
          </cell>
          <cell r="S4703" t="str">
            <v>2026A-05</v>
          </cell>
          <cell r="T4703" t="str">
            <v>Project Employee</v>
          </cell>
        </row>
        <row r="4704">
          <cell r="K4704">
            <v>-3925.24</v>
          </cell>
          <cell r="P4704" t="str">
            <v>80111101-61021201</v>
          </cell>
          <cell r="S4704" t="str">
            <v>2026A-05</v>
          </cell>
          <cell r="T4704" t="str">
            <v>Project Employee</v>
          </cell>
        </row>
        <row r="4705">
          <cell r="K4705">
            <v>-117.02</v>
          </cell>
          <cell r="P4705" t="str">
            <v>80111101-61021201</v>
          </cell>
          <cell r="S4705" t="str">
            <v>2026A-05</v>
          </cell>
          <cell r="T4705" t="str">
            <v>Project Employee</v>
          </cell>
        </row>
        <row r="4706">
          <cell r="K4706">
            <v>43830.86</v>
          </cell>
          <cell r="P4706" t="str">
            <v>80111101-61021202</v>
          </cell>
          <cell r="S4706" t="str">
            <v>2026A-05</v>
          </cell>
          <cell r="T4706" t="str">
            <v>Project Employee</v>
          </cell>
        </row>
        <row r="4707">
          <cell r="K4707">
            <v>24460</v>
          </cell>
          <cell r="P4707" t="str">
            <v>80111101-61021306</v>
          </cell>
          <cell r="S4707" t="str">
            <v>2026A-05</v>
          </cell>
          <cell r="T4707" t="str">
            <v>SSS</v>
          </cell>
        </row>
        <row r="4708">
          <cell r="K4708">
            <v>30800</v>
          </cell>
          <cell r="P4708" t="str">
            <v>80111101-61021102</v>
          </cell>
          <cell r="S4708" t="str">
            <v>2026A-05</v>
          </cell>
          <cell r="T4708" t="str">
            <v>Regular Employee</v>
          </cell>
        </row>
        <row r="4709">
          <cell r="K4709">
            <v>-152.41999999999999</v>
          </cell>
          <cell r="P4709" t="str">
            <v>80111101-61021102</v>
          </cell>
          <cell r="S4709" t="str">
            <v>2026A-05</v>
          </cell>
          <cell r="T4709" t="str">
            <v>Regular Employee</v>
          </cell>
        </row>
        <row r="4710">
          <cell r="K4710">
            <v>50500</v>
          </cell>
          <cell r="P4710" t="str">
            <v>80111101-61021102</v>
          </cell>
          <cell r="S4710" t="str">
            <v>2026A-05</v>
          </cell>
          <cell r="T4710" t="str">
            <v>Regular Employee</v>
          </cell>
        </row>
        <row r="4711">
          <cell r="K4711">
            <v>238150</v>
          </cell>
          <cell r="P4711" t="str">
            <v>80111101-61021102</v>
          </cell>
          <cell r="S4711" t="str">
            <v>2026A-05</v>
          </cell>
          <cell r="T4711" t="str">
            <v>Regular Employee</v>
          </cell>
        </row>
        <row r="4712">
          <cell r="K4712">
            <v>-3096.22</v>
          </cell>
          <cell r="P4712" t="str">
            <v>80111101-61021102</v>
          </cell>
          <cell r="S4712" t="str">
            <v>2026A-05</v>
          </cell>
          <cell r="T4712" t="str">
            <v>Regular Employee</v>
          </cell>
        </row>
        <row r="4713">
          <cell r="K4713">
            <v>-5.81</v>
          </cell>
          <cell r="P4713" t="str">
            <v>80111101-61021102</v>
          </cell>
          <cell r="S4713" t="str">
            <v>2026A-05</v>
          </cell>
          <cell r="T4713" t="str">
            <v>Regular Employee</v>
          </cell>
        </row>
        <row r="4714">
          <cell r="K4714">
            <v>737300</v>
          </cell>
          <cell r="P4714" t="str">
            <v>80111101-61021102</v>
          </cell>
          <cell r="S4714" t="str">
            <v>2026A-05</v>
          </cell>
          <cell r="T4714" t="str">
            <v>Regular Employee</v>
          </cell>
        </row>
        <row r="4715">
          <cell r="K4715">
            <v>-1616.81</v>
          </cell>
          <cell r="P4715" t="str">
            <v>80111101-61021102</v>
          </cell>
          <cell r="S4715" t="str">
            <v>2026A-05</v>
          </cell>
          <cell r="T4715" t="str">
            <v>Regular Employee</v>
          </cell>
        </row>
        <row r="4716">
          <cell r="K4716">
            <v>3263.4</v>
          </cell>
          <cell r="P4716" t="str">
            <v>80111101-61021102</v>
          </cell>
          <cell r="S4716" t="str">
            <v>2026A-05</v>
          </cell>
          <cell r="T4716" t="str">
            <v>Regular Employee</v>
          </cell>
        </row>
        <row r="4717">
          <cell r="K4717">
            <v>-1384.96</v>
          </cell>
          <cell r="P4717" t="str">
            <v>80111101-61021102</v>
          </cell>
          <cell r="S4717" t="str">
            <v>2026A-05</v>
          </cell>
          <cell r="T4717" t="str">
            <v>Regular Employee</v>
          </cell>
        </row>
        <row r="4718">
          <cell r="K4718">
            <v>-681.44</v>
          </cell>
          <cell r="P4718" t="str">
            <v>80111101-61021102</v>
          </cell>
          <cell r="S4718" t="str">
            <v>2026A-05</v>
          </cell>
          <cell r="T4718" t="str">
            <v>Regular Employee</v>
          </cell>
        </row>
        <row r="4719">
          <cell r="K4719">
            <v>12855.51</v>
          </cell>
          <cell r="P4719" t="str">
            <v>80111101-61021103</v>
          </cell>
          <cell r="S4719" t="str">
            <v>2026A-05</v>
          </cell>
          <cell r="T4719" t="str">
            <v>OT Pay</v>
          </cell>
        </row>
        <row r="4720">
          <cell r="K4720">
            <v>3050</v>
          </cell>
          <cell r="P4720" t="str">
            <v>80111101-61021306</v>
          </cell>
          <cell r="S4720" t="str">
            <v>2026A-05</v>
          </cell>
          <cell r="T4720" t="str">
            <v>SSS</v>
          </cell>
        </row>
        <row r="4721">
          <cell r="K4721">
            <v>9780</v>
          </cell>
          <cell r="P4721" t="str">
            <v>80111101-61021306</v>
          </cell>
          <cell r="S4721" t="str">
            <v>2026A-05</v>
          </cell>
          <cell r="T4721" t="str">
            <v>SSS</v>
          </cell>
        </row>
        <row r="4722">
          <cell r="K4722">
            <v>39750</v>
          </cell>
          <cell r="P4722" t="str">
            <v>80111101-61021306</v>
          </cell>
          <cell r="S4722" t="str">
            <v>2026A-05</v>
          </cell>
          <cell r="T4722" t="str">
            <v>SSS</v>
          </cell>
        </row>
        <row r="4723">
          <cell r="K4723">
            <v>5000</v>
          </cell>
          <cell r="P4723" t="str">
            <v>80111101-61021309</v>
          </cell>
          <cell r="S4723" t="str">
            <v>2026A-05</v>
          </cell>
          <cell r="T4723" t="str">
            <v>Gas Allowance</v>
          </cell>
        </row>
        <row r="4724">
          <cell r="K4724">
            <v>10000</v>
          </cell>
          <cell r="P4724" t="str">
            <v>80111101-61021309</v>
          </cell>
          <cell r="S4724" t="str">
            <v>2026A-05</v>
          </cell>
          <cell r="T4724" t="str">
            <v>Gas Allowance</v>
          </cell>
        </row>
        <row r="4725">
          <cell r="K4725">
            <v>20000</v>
          </cell>
          <cell r="P4725" t="str">
            <v>80111101-61021309</v>
          </cell>
          <cell r="S4725" t="str">
            <v>2026A-05</v>
          </cell>
          <cell r="T4725" t="str">
            <v>Gas Allowance</v>
          </cell>
        </row>
        <row r="4726">
          <cell r="K4726">
            <v>690746.92</v>
          </cell>
          <cell r="P4726" t="str">
            <v>80111101-61021303</v>
          </cell>
          <cell r="S4726" t="str">
            <v>2026A-05</v>
          </cell>
          <cell r="T4726" t="str">
            <v>HMO</v>
          </cell>
        </row>
        <row r="4727">
          <cell r="K4727">
            <v>39802.61</v>
          </cell>
          <cell r="P4727" t="str">
            <v>80123102-61721101</v>
          </cell>
          <cell r="S4727" t="str">
            <v>2026A-05</v>
          </cell>
          <cell r="T4727" t="str">
            <v>Mobile Phones</v>
          </cell>
        </row>
        <row r="4728">
          <cell r="K4728">
            <v>4462.5</v>
          </cell>
          <cell r="P4728" t="str">
            <v>80123102-61721101</v>
          </cell>
          <cell r="S4728" t="str">
            <v>2026A-05</v>
          </cell>
          <cell r="T4728" t="str">
            <v>Mobile Phones</v>
          </cell>
        </row>
        <row r="4729">
          <cell r="K4729">
            <v>311287.78000000003</v>
          </cell>
          <cell r="P4729" t="str">
            <v>80124101-61711102</v>
          </cell>
          <cell r="S4729" t="str">
            <v>2026A-05</v>
          </cell>
          <cell r="T4729" t="str">
            <v>MSOC</v>
          </cell>
        </row>
        <row r="4730">
          <cell r="K4730">
            <v>365145.17</v>
          </cell>
          <cell r="P4730" t="str">
            <v>80124101-61711102</v>
          </cell>
          <cell r="S4730" t="str">
            <v>2026A-05</v>
          </cell>
          <cell r="T4730" t="str">
            <v>M365 Email Security</v>
          </cell>
        </row>
        <row r="4731">
          <cell r="K4731">
            <v>110975.24</v>
          </cell>
          <cell r="P4731" t="str">
            <v>80123102-61111201</v>
          </cell>
          <cell r="S4731" t="str">
            <v>2026A-05</v>
          </cell>
          <cell r="T4731" t="str">
            <v>Shell</v>
          </cell>
        </row>
        <row r="4732">
          <cell r="K4732">
            <v>235666.05</v>
          </cell>
          <cell r="P4732" t="str">
            <v>80123102-61041101</v>
          </cell>
          <cell r="S4732" t="str">
            <v>2026A-05</v>
          </cell>
          <cell r="T4732" t="str">
            <v>Electricity &amp; Water</v>
          </cell>
        </row>
        <row r="4733">
          <cell r="K4733">
            <v>195050</v>
          </cell>
          <cell r="P4733" t="str">
            <v>81111101-52121101</v>
          </cell>
          <cell r="S4733" t="str">
            <v>2026A-05</v>
          </cell>
          <cell r="T4733" t="str">
            <v>Regular Employee</v>
          </cell>
        </row>
        <row r="4734">
          <cell r="K4734">
            <v>-2688.58</v>
          </cell>
          <cell r="P4734" t="str">
            <v>81111101-52121101</v>
          </cell>
          <cell r="S4734" t="str">
            <v>2026A-05</v>
          </cell>
          <cell r="T4734" t="str">
            <v>Regular Employee</v>
          </cell>
        </row>
        <row r="4735">
          <cell r="K4735">
            <v>-483.15</v>
          </cell>
          <cell r="P4735" t="str">
            <v>81111101-52121101</v>
          </cell>
          <cell r="S4735" t="str">
            <v>2026A-05</v>
          </cell>
          <cell r="T4735" t="str">
            <v>Regular Employee</v>
          </cell>
        </row>
        <row r="4736">
          <cell r="K4736">
            <v>-1710.83</v>
          </cell>
          <cell r="P4736" t="str">
            <v>81111101-52121101</v>
          </cell>
          <cell r="S4736" t="str">
            <v>2026A-05</v>
          </cell>
          <cell r="T4736" t="str">
            <v>Regular Employee</v>
          </cell>
        </row>
        <row r="4737">
          <cell r="K4737">
            <v>236950</v>
          </cell>
          <cell r="P4737" t="str">
            <v>81111101-52121101</v>
          </cell>
          <cell r="S4737" t="str">
            <v>2026A-05</v>
          </cell>
          <cell r="T4737" t="str">
            <v>Regular Employee</v>
          </cell>
        </row>
        <row r="4738">
          <cell r="K4738">
            <v>131.11000000000001</v>
          </cell>
          <cell r="P4738" t="str">
            <v>81111101-52121101</v>
          </cell>
          <cell r="S4738" t="str">
            <v>2026A-05</v>
          </cell>
          <cell r="T4738" t="str">
            <v>Regular Employee</v>
          </cell>
        </row>
        <row r="4739">
          <cell r="K4739">
            <v>-17784.96</v>
          </cell>
          <cell r="P4739" t="str">
            <v>81111101-52121101</v>
          </cell>
          <cell r="S4739" t="str">
            <v>2026A-05</v>
          </cell>
          <cell r="T4739" t="str">
            <v>Regular Employee</v>
          </cell>
        </row>
        <row r="4740">
          <cell r="K4740">
            <v>-47.07</v>
          </cell>
          <cell r="P4740" t="str">
            <v>81111101-52121101</v>
          </cell>
          <cell r="S4740" t="str">
            <v>2026A-05</v>
          </cell>
          <cell r="T4740" t="str">
            <v>Regular Employee</v>
          </cell>
        </row>
        <row r="4741">
          <cell r="K4741">
            <v>-1042.42</v>
          </cell>
          <cell r="P4741" t="str">
            <v>81111101-52121101</v>
          </cell>
          <cell r="S4741" t="str">
            <v>2026A-05</v>
          </cell>
          <cell r="T4741" t="str">
            <v>Regular Employee</v>
          </cell>
        </row>
        <row r="4742">
          <cell r="K4742">
            <v>110900</v>
          </cell>
          <cell r="P4742" t="str">
            <v>81111101-52121101</v>
          </cell>
          <cell r="S4742" t="str">
            <v>2026A-05</v>
          </cell>
          <cell r="T4742" t="str">
            <v>Regular Employee</v>
          </cell>
        </row>
        <row r="4743">
          <cell r="K4743">
            <v>-579.98</v>
          </cell>
          <cell r="P4743" t="str">
            <v>81111101-52121101</v>
          </cell>
          <cell r="S4743" t="str">
            <v>2026A-05</v>
          </cell>
          <cell r="T4743" t="str">
            <v>Regular Employee</v>
          </cell>
        </row>
        <row r="4744">
          <cell r="K4744">
            <v>-850.32</v>
          </cell>
          <cell r="P4744" t="str">
            <v>81111101-52121101</v>
          </cell>
          <cell r="S4744" t="str">
            <v>2026A-05</v>
          </cell>
          <cell r="T4744" t="str">
            <v>Regular Employee</v>
          </cell>
        </row>
        <row r="4745">
          <cell r="K4745">
            <v>1110100</v>
          </cell>
          <cell r="P4745" t="str">
            <v>81111101-52121101</v>
          </cell>
          <cell r="S4745" t="str">
            <v>2026A-05</v>
          </cell>
          <cell r="T4745" t="str">
            <v>Regular Employee</v>
          </cell>
        </row>
        <row r="4746">
          <cell r="K4746">
            <v>3917.23</v>
          </cell>
          <cell r="P4746" t="str">
            <v>81111101-52121101</v>
          </cell>
          <cell r="S4746" t="str">
            <v>2026A-05</v>
          </cell>
          <cell r="T4746" t="str">
            <v>Regular Employee</v>
          </cell>
        </row>
        <row r="4747">
          <cell r="K4747">
            <v>-32116.44</v>
          </cell>
          <cell r="P4747" t="str">
            <v>81111101-52121101</v>
          </cell>
          <cell r="S4747" t="str">
            <v>2026A-05</v>
          </cell>
          <cell r="T4747" t="str">
            <v>Regular Employee</v>
          </cell>
        </row>
        <row r="4748">
          <cell r="K4748">
            <v>-824.44</v>
          </cell>
          <cell r="P4748" t="str">
            <v>81111101-52121101</v>
          </cell>
          <cell r="S4748" t="str">
            <v>2026A-05</v>
          </cell>
          <cell r="T4748" t="str">
            <v>Regular Employee</v>
          </cell>
        </row>
        <row r="4749">
          <cell r="K4749">
            <v>-710.28</v>
          </cell>
          <cell r="P4749" t="str">
            <v>81111101-52121101</v>
          </cell>
          <cell r="S4749" t="str">
            <v>2026A-05</v>
          </cell>
          <cell r="T4749" t="str">
            <v>Regular Employee</v>
          </cell>
        </row>
        <row r="4750">
          <cell r="K4750">
            <v>-8038.91</v>
          </cell>
          <cell r="P4750" t="str">
            <v>81111101-52121101</v>
          </cell>
          <cell r="S4750" t="str">
            <v>2026A-05</v>
          </cell>
          <cell r="T4750" t="str">
            <v>Regular Employee</v>
          </cell>
        </row>
        <row r="4751">
          <cell r="K4751">
            <v>147650</v>
          </cell>
          <cell r="P4751" t="str">
            <v>81111101-52121101</v>
          </cell>
          <cell r="S4751" t="str">
            <v>2026A-05</v>
          </cell>
          <cell r="T4751" t="str">
            <v>Regular Employee</v>
          </cell>
        </row>
        <row r="4752">
          <cell r="K4752">
            <v>686.18</v>
          </cell>
          <cell r="P4752" t="str">
            <v>81111101-52121101</v>
          </cell>
          <cell r="S4752" t="str">
            <v>2026A-05</v>
          </cell>
          <cell r="T4752" t="str">
            <v>Regular Employee</v>
          </cell>
        </row>
        <row r="4753">
          <cell r="K4753">
            <v>-1684.49</v>
          </cell>
          <cell r="P4753" t="str">
            <v>81111101-52121101</v>
          </cell>
          <cell r="S4753" t="str">
            <v>2026A-05</v>
          </cell>
          <cell r="T4753" t="str">
            <v>Regular Employee</v>
          </cell>
        </row>
        <row r="4754">
          <cell r="K4754">
            <v>4786.74</v>
          </cell>
          <cell r="P4754" t="str">
            <v>81111101-52121102</v>
          </cell>
          <cell r="S4754" t="str">
            <v>2026A-05</v>
          </cell>
          <cell r="T4754" t="str">
            <v>OT Pay</v>
          </cell>
        </row>
        <row r="4755">
          <cell r="K4755">
            <v>7694.54</v>
          </cell>
          <cell r="P4755" t="str">
            <v>81111101-52121102</v>
          </cell>
          <cell r="S4755" t="str">
            <v>2026A-05</v>
          </cell>
          <cell r="T4755" t="str">
            <v>OT Pay</v>
          </cell>
        </row>
        <row r="4756">
          <cell r="K4756">
            <v>3077.32</v>
          </cell>
          <cell r="P4756" t="str">
            <v>81111101-52121102</v>
          </cell>
          <cell r="S4756" t="str">
            <v>2026A-05</v>
          </cell>
          <cell r="T4756" t="str">
            <v>OT Pay</v>
          </cell>
        </row>
        <row r="4757">
          <cell r="K4757">
            <v>17400</v>
          </cell>
          <cell r="P4757" t="str">
            <v>81111101-52121103</v>
          </cell>
          <cell r="S4757" t="str">
            <v>2026A-05</v>
          </cell>
          <cell r="T4757" t="str">
            <v>OT Pay</v>
          </cell>
        </row>
        <row r="4758">
          <cell r="K4758">
            <v>11230</v>
          </cell>
          <cell r="P4758" t="str">
            <v>81111101-52121305</v>
          </cell>
          <cell r="S4758" t="str">
            <v>2026A-05</v>
          </cell>
          <cell r="T4758" t="str">
            <v>SSS</v>
          </cell>
        </row>
        <row r="4759">
          <cell r="K4759">
            <v>21810</v>
          </cell>
          <cell r="P4759" t="str">
            <v>81111101-52121305</v>
          </cell>
          <cell r="S4759" t="str">
            <v>2026A-05</v>
          </cell>
          <cell r="T4759" t="str">
            <v>SSS</v>
          </cell>
        </row>
        <row r="4760">
          <cell r="K4760">
            <v>6070</v>
          </cell>
          <cell r="P4760" t="str">
            <v>81111101-52121305</v>
          </cell>
          <cell r="S4760" t="str">
            <v>2026A-05</v>
          </cell>
          <cell r="T4760" t="str">
            <v>SSS</v>
          </cell>
        </row>
        <row r="4761">
          <cell r="K4761">
            <v>600</v>
          </cell>
          <cell r="P4761" t="str">
            <v>81111101-52121305</v>
          </cell>
          <cell r="S4761" t="str">
            <v>2026A-05</v>
          </cell>
          <cell r="T4761" t="str">
            <v>Pag-ibig</v>
          </cell>
        </row>
        <row r="4762">
          <cell r="K4762">
            <v>54100</v>
          </cell>
          <cell r="P4762" t="str">
            <v>81111101-52121305</v>
          </cell>
          <cell r="S4762" t="str">
            <v>2026A-05</v>
          </cell>
          <cell r="T4762" t="str">
            <v>SSS</v>
          </cell>
        </row>
        <row r="4763">
          <cell r="K4763">
            <v>1375</v>
          </cell>
          <cell r="P4763" t="str">
            <v>81111101-52121305</v>
          </cell>
          <cell r="S4763" t="str">
            <v>2026A-05</v>
          </cell>
          <cell r="T4763" t="str">
            <v>Philhealth</v>
          </cell>
        </row>
        <row r="4764">
          <cell r="K4764">
            <v>7300</v>
          </cell>
          <cell r="P4764" t="str">
            <v>81111101-52121305</v>
          </cell>
          <cell r="S4764" t="str">
            <v>2026A-05</v>
          </cell>
          <cell r="T4764" t="str">
            <v>SSS</v>
          </cell>
        </row>
        <row r="4765">
          <cell r="K4765">
            <v>5000</v>
          </cell>
          <cell r="P4765" t="str">
            <v>81111101-52121308</v>
          </cell>
          <cell r="S4765" t="str">
            <v>2026A-05</v>
          </cell>
          <cell r="T4765" t="str">
            <v>Gas Allowance</v>
          </cell>
        </row>
        <row r="4766">
          <cell r="K4766">
            <v>30000</v>
          </cell>
          <cell r="P4766" t="str">
            <v>81111101-52121308</v>
          </cell>
          <cell r="S4766" t="str">
            <v>2026A-05</v>
          </cell>
          <cell r="T4766" t="str">
            <v>Gas Allowance</v>
          </cell>
        </row>
        <row r="4767">
          <cell r="K4767">
            <v>20610.689999999999</v>
          </cell>
          <cell r="P4767" t="str">
            <v>81122101-52071104</v>
          </cell>
          <cell r="S4767" t="str">
            <v>2026A-05</v>
          </cell>
          <cell r="T4767" t="str">
            <v>INTCNSLTNT</v>
          </cell>
        </row>
        <row r="4768">
          <cell r="K4768">
            <v>605000</v>
          </cell>
          <cell r="P4768" t="str">
            <v>81122101-52071104</v>
          </cell>
          <cell r="S4768" t="str">
            <v>2026A-05</v>
          </cell>
          <cell r="T4768" t="str">
            <v>INTCNSLTNT</v>
          </cell>
        </row>
        <row r="4769">
          <cell r="K4769">
            <v>18000</v>
          </cell>
          <cell r="P4769" t="str">
            <v>81122101-52071104</v>
          </cell>
          <cell r="S4769" t="str">
            <v>2026A-05</v>
          </cell>
          <cell r="T4769" t="str">
            <v>INTCNSLTNT</v>
          </cell>
        </row>
        <row r="4770">
          <cell r="K4770">
            <v>-16122.14</v>
          </cell>
          <cell r="P4770" t="str">
            <v>81122101-52071104</v>
          </cell>
          <cell r="S4770" t="str">
            <v>2026A-05</v>
          </cell>
          <cell r="T4770" t="str">
            <v>INTCNSLTNT</v>
          </cell>
        </row>
        <row r="4771">
          <cell r="K4771">
            <v>58100</v>
          </cell>
          <cell r="P4771" t="str">
            <v>81122101-52071104</v>
          </cell>
          <cell r="S4771" t="str">
            <v>2026A-05</v>
          </cell>
          <cell r="T4771" t="str">
            <v>INTCNSLTNT</v>
          </cell>
        </row>
        <row r="4772">
          <cell r="K4772">
            <v>303089.17</v>
          </cell>
          <cell r="P4772" t="str">
            <v>81111101-52121304</v>
          </cell>
          <cell r="S4772" t="str">
            <v>2026A-05</v>
          </cell>
          <cell r="T4772" t="str">
            <v>Retirement</v>
          </cell>
        </row>
        <row r="4773">
          <cell r="K4773">
            <v>1151.92</v>
          </cell>
          <cell r="P4773" t="str">
            <v>81111101-52101105</v>
          </cell>
          <cell r="S4773" t="str">
            <v>2026A-05</v>
          </cell>
          <cell r="T4773" t="str">
            <v>PTS</v>
          </cell>
        </row>
        <row r="4774">
          <cell r="K4774">
            <v>11398.76</v>
          </cell>
          <cell r="P4774" t="str">
            <v>81111101-52101101</v>
          </cell>
          <cell r="S4774" t="str">
            <v>2026A-05</v>
          </cell>
          <cell r="T4774" t="str">
            <v>PARI</v>
          </cell>
        </row>
        <row r="4775">
          <cell r="K4775">
            <v>21400</v>
          </cell>
          <cell r="P4775" t="str">
            <v>90111101-52081103</v>
          </cell>
          <cell r="S4775" t="str">
            <v>2026A-05</v>
          </cell>
          <cell r="T4775" t="str">
            <v>Meal Allowance</v>
          </cell>
        </row>
        <row r="4776">
          <cell r="K4776">
            <v>3575</v>
          </cell>
          <cell r="P4776" t="str">
            <v>90111101-52081103</v>
          </cell>
          <cell r="S4776" t="str">
            <v>2026A-05</v>
          </cell>
          <cell r="T4776" t="str">
            <v>Meal Allowance</v>
          </cell>
        </row>
        <row r="4777">
          <cell r="K4777">
            <v>3219450</v>
          </cell>
          <cell r="P4777" t="str">
            <v>90111101-52121101</v>
          </cell>
          <cell r="S4777" t="str">
            <v>2026A-05</v>
          </cell>
          <cell r="T4777" t="str">
            <v>Regular Employee</v>
          </cell>
        </row>
        <row r="4778">
          <cell r="K4778">
            <v>6018.39</v>
          </cell>
          <cell r="P4778" t="str">
            <v>90111101-52121101</v>
          </cell>
          <cell r="S4778" t="str">
            <v>2026A-05</v>
          </cell>
          <cell r="T4778" t="str">
            <v>Regular Employee</v>
          </cell>
        </row>
        <row r="4779">
          <cell r="K4779">
            <v>-1634.01</v>
          </cell>
          <cell r="P4779" t="str">
            <v>90111101-52121101</v>
          </cell>
          <cell r="S4779" t="str">
            <v>2026A-05</v>
          </cell>
          <cell r="T4779" t="str">
            <v>Regular Employee</v>
          </cell>
        </row>
        <row r="4780">
          <cell r="K4780">
            <v>-1497.7</v>
          </cell>
          <cell r="P4780" t="str">
            <v>90111101-52121101</v>
          </cell>
          <cell r="S4780" t="str">
            <v>2026A-05</v>
          </cell>
          <cell r="T4780" t="str">
            <v>Regular Employee</v>
          </cell>
        </row>
        <row r="4781">
          <cell r="K4781">
            <v>-16969.68</v>
          </cell>
          <cell r="P4781" t="str">
            <v>90111101-52121101</v>
          </cell>
          <cell r="S4781" t="str">
            <v>2026A-05</v>
          </cell>
          <cell r="T4781" t="str">
            <v>Regular Employee</v>
          </cell>
        </row>
        <row r="4782">
          <cell r="K4782">
            <v>734400</v>
          </cell>
          <cell r="P4782" t="str">
            <v>90111101-52121101</v>
          </cell>
          <cell r="S4782" t="str">
            <v>2026A-05</v>
          </cell>
          <cell r="T4782" t="str">
            <v>Regular Employee</v>
          </cell>
        </row>
        <row r="4783">
          <cell r="K4783">
            <v>-448.88</v>
          </cell>
          <cell r="P4783" t="str">
            <v>90111101-52121101</v>
          </cell>
          <cell r="S4783" t="str">
            <v>2026A-05</v>
          </cell>
          <cell r="T4783" t="str">
            <v>Regular Employee</v>
          </cell>
        </row>
        <row r="4784">
          <cell r="K4784">
            <v>2214700</v>
          </cell>
          <cell r="P4784" t="str">
            <v>90111101-52121101</v>
          </cell>
          <cell r="S4784" t="str">
            <v>2026A-05</v>
          </cell>
          <cell r="T4784" t="str">
            <v>Regular Employee</v>
          </cell>
        </row>
        <row r="4785">
          <cell r="K4785">
            <v>10916.94</v>
          </cell>
          <cell r="P4785" t="str">
            <v>90111101-52121101</v>
          </cell>
          <cell r="S4785" t="str">
            <v>2026A-05</v>
          </cell>
          <cell r="T4785" t="str">
            <v>Regular Employee</v>
          </cell>
        </row>
        <row r="4786">
          <cell r="K4786">
            <v>1420.67</v>
          </cell>
          <cell r="P4786" t="str">
            <v>90111101-52121101</v>
          </cell>
          <cell r="S4786" t="str">
            <v>2026A-05</v>
          </cell>
          <cell r="T4786" t="str">
            <v>Regular Employee</v>
          </cell>
        </row>
        <row r="4787">
          <cell r="K4787">
            <v>-3773.41</v>
          </cell>
          <cell r="P4787" t="str">
            <v>90111101-52121101</v>
          </cell>
          <cell r="S4787" t="str">
            <v>2026A-05</v>
          </cell>
          <cell r="T4787" t="str">
            <v>Regular Employee</v>
          </cell>
        </row>
        <row r="4788">
          <cell r="K4788">
            <v>-3041.29</v>
          </cell>
          <cell r="P4788" t="str">
            <v>90111101-52121101</v>
          </cell>
          <cell r="S4788" t="str">
            <v>2026A-05</v>
          </cell>
          <cell r="T4788" t="str">
            <v>Regular Employee</v>
          </cell>
        </row>
        <row r="4789">
          <cell r="K4789">
            <v>-13337.57</v>
          </cell>
          <cell r="P4789" t="str">
            <v>90111101-52121101</v>
          </cell>
          <cell r="S4789" t="str">
            <v>2026A-05</v>
          </cell>
          <cell r="T4789" t="str">
            <v>Regular Employee</v>
          </cell>
        </row>
        <row r="4790">
          <cell r="K4790">
            <v>-824.44</v>
          </cell>
          <cell r="P4790" t="str">
            <v>90111101-52121101</v>
          </cell>
          <cell r="S4790" t="str">
            <v>2026A-05</v>
          </cell>
          <cell r="T4790" t="str">
            <v>Regular Employee</v>
          </cell>
        </row>
        <row r="4791">
          <cell r="K4791">
            <v>1495925</v>
          </cell>
          <cell r="P4791" t="str">
            <v>90111101-52121101</v>
          </cell>
          <cell r="S4791" t="str">
            <v>2026A-05</v>
          </cell>
          <cell r="T4791" t="str">
            <v>Regular Employee</v>
          </cell>
        </row>
        <row r="4792">
          <cell r="K4792">
            <v>27950</v>
          </cell>
          <cell r="P4792" t="str">
            <v>90111101-52121101</v>
          </cell>
          <cell r="S4792" t="str">
            <v>2026A-05</v>
          </cell>
          <cell r="T4792" t="str">
            <v>Regular Employee</v>
          </cell>
        </row>
        <row r="4793">
          <cell r="K4793">
            <v>-169.61</v>
          </cell>
          <cell r="P4793" t="str">
            <v>90111101-52121101</v>
          </cell>
          <cell r="S4793" t="str">
            <v>2026A-05</v>
          </cell>
          <cell r="T4793" t="str">
            <v>Regular Employee</v>
          </cell>
        </row>
        <row r="4794">
          <cell r="K4794">
            <v>526250</v>
          </cell>
          <cell r="P4794" t="str">
            <v>90111101-52121101</v>
          </cell>
          <cell r="S4794" t="str">
            <v>2026A-05</v>
          </cell>
          <cell r="T4794" t="str">
            <v>Regular Employee</v>
          </cell>
        </row>
        <row r="4795">
          <cell r="K4795">
            <v>-3425.03</v>
          </cell>
          <cell r="P4795" t="str">
            <v>90111101-52121101</v>
          </cell>
          <cell r="S4795" t="str">
            <v>2026A-05</v>
          </cell>
          <cell r="T4795" t="str">
            <v>Regular Employee</v>
          </cell>
        </row>
        <row r="4796">
          <cell r="K4796">
            <v>-1120.94</v>
          </cell>
          <cell r="P4796" t="str">
            <v>90111101-52121101</v>
          </cell>
          <cell r="S4796" t="str">
            <v>2026A-05</v>
          </cell>
          <cell r="T4796" t="str">
            <v>Regular Employee</v>
          </cell>
        </row>
        <row r="4797">
          <cell r="K4797">
            <v>480700</v>
          </cell>
          <cell r="P4797" t="str">
            <v>90111101-52121101</v>
          </cell>
          <cell r="S4797" t="str">
            <v>2026A-05</v>
          </cell>
          <cell r="T4797" t="str">
            <v>Regular Employee</v>
          </cell>
        </row>
        <row r="4798">
          <cell r="K4798">
            <v>-251.17</v>
          </cell>
          <cell r="P4798" t="str">
            <v>90111101-52121101</v>
          </cell>
          <cell r="S4798" t="str">
            <v>2026A-05</v>
          </cell>
          <cell r="T4798" t="str">
            <v>Regular Employee</v>
          </cell>
        </row>
        <row r="4799">
          <cell r="K4799">
            <v>-441.35</v>
          </cell>
          <cell r="P4799" t="str">
            <v>90111101-52121101</v>
          </cell>
          <cell r="S4799" t="str">
            <v>2026A-05</v>
          </cell>
          <cell r="T4799" t="str">
            <v>Regular Employee</v>
          </cell>
        </row>
        <row r="4800">
          <cell r="K4800">
            <v>16999.52</v>
          </cell>
          <cell r="P4800" t="str">
            <v>90111101-52121102</v>
          </cell>
          <cell r="S4800" t="str">
            <v>2026A-05</v>
          </cell>
          <cell r="T4800" t="str">
            <v>OT Pay</v>
          </cell>
        </row>
        <row r="4801">
          <cell r="K4801">
            <v>13703.39</v>
          </cell>
          <cell r="P4801" t="str">
            <v>90111101-52121102</v>
          </cell>
          <cell r="S4801" t="str">
            <v>2026A-05</v>
          </cell>
          <cell r="T4801" t="str">
            <v>OT Pay</v>
          </cell>
        </row>
        <row r="4802">
          <cell r="K4802">
            <v>2510.75</v>
          </cell>
          <cell r="P4802" t="str">
            <v>90111101-52121102</v>
          </cell>
          <cell r="S4802" t="str">
            <v>2026A-05</v>
          </cell>
          <cell r="T4802" t="str">
            <v>OT Pay</v>
          </cell>
        </row>
        <row r="4803">
          <cell r="K4803">
            <v>200</v>
          </cell>
          <cell r="P4803" t="str">
            <v>90111101-52121305</v>
          </cell>
          <cell r="S4803" t="str">
            <v>2026A-05</v>
          </cell>
          <cell r="T4803" t="str">
            <v>Pag-ibig</v>
          </cell>
        </row>
        <row r="4804">
          <cell r="K4804">
            <v>700</v>
          </cell>
          <cell r="P4804" t="str">
            <v>90111101-52121305</v>
          </cell>
          <cell r="S4804" t="str">
            <v>2026A-05</v>
          </cell>
          <cell r="T4804" t="str">
            <v>Philhealth</v>
          </cell>
        </row>
        <row r="4805">
          <cell r="K4805">
            <v>58380</v>
          </cell>
          <cell r="P4805" t="str">
            <v>90111101-52121305</v>
          </cell>
          <cell r="S4805" t="str">
            <v>2026A-05</v>
          </cell>
          <cell r="T4805" t="str">
            <v>SSS</v>
          </cell>
        </row>
        <row r="4806">
          <cell r="K4806">
            <v>6000</v>
          </cell>
          <cell r="P4806" t="str">
            <v>90111101-52121305</v>
          </cell>
          <cell r="S4806" t="str">
            <v>2026A-05</v>
          </cell>
          <cell r="T4806" t="str">
            <v>SSS</v>
          </cell>
        </row>
        <row r="4807">
          <cell r="K4807">
            <v>600</v>
          </cell>
          <cell r="P4807" t="str">
            <v>90111101-52121305</v>
          </cell>
          <cell r="S4807" t="str">
            <v>2026A-05</v>
          </cell>
          <cell r="T4807" t="str">
            <v>Pag-ibig</v>
          </cell>
        </row>
        <row r="4808">
          <cell r="K4808">
            <v>1725</v>
          </cell>
          <cell r="P4808" t="str">
            <v>90111101-52121305</v>
          </cell>
          <cell r="S4808" t="str">
            <v>2026A-05</v>
          </cell>
          <cell r="T4808" t="str">
            <v>Philhealth</v>
          </cell>
        </row>
        <row r="4809">
          <cell r="K4809">
            <v>49290</v>
          </cell>
          <cell r="P4809" t="str">
            <v>90111101-52121305</v>
          </cell>
          <cell r="S4809" t="str">
            <v>2026A-05</v>
          </cell>
          <cell r="T4809" t="str">
            <v>SSS</v>
          </cell>
        </row>
        <row r="4810">
          <cell r="K4810">
            <v>500</v>
          </cell>
          <cell r="P4810" t="str">
            <v>90111101-52121305</v>
          </cell>
          <cell r="S4810" t="str">
            <v>2026A-05</v>
          </cell>
          <cell r="T4810" t="str">
            <v>SSS</v>
          </cell>
        </row>
        <row r="4811">
          <cell r="K4811">
            <v>750</v>
          </cell>
          <cell r="P4811" t="str">
            <v>90111101-52121305</v>
          </cell>
          <cell r="S4811" t="str">
            <v>2026A-05</v>
          </cell>
          <cell r="T4811" t="str">
            <v>SSS</v>
          </cell>
        </row>
        <row r="4812">
          <cell r="K4812">
            <v>5920</v>
          </cell>
          <cell r="P4812" t="str">
            <v>90111101-52121305</v>
          </cell>
          <cell r="S4812" t="str">
            <v>2026A-05</v>
          </cell>
          <cell r="T4812" t="str">
            <v>SSS</v>
          </cell>
        </row>
        <row r="4813">
          <cell r="K4813">
            <v>5090</v>
          </cell>
          <cell r="P4813" t="str">
            <v>90111101-52121305</v>
          </cell>
          <cell r="S4813" t="str">
            <v>2026A-05</v>
          </cell>
          <cell r="T4813" t="str">
            <v>SSS</v>
          </cell>
        </row>
        <row r="4814">
          <cell r="K4814">
            <v>230500</v>
          </cell>
          <cell r="P4814" t="str">
            <v>90111101-52121308</v>
          </cell>
          <cell r="S4814" t="str">
            <v>2026A-05</v>
          </cell>
          <cell r="T4814" t="str">
            <v>Gas Allowance</v>
          </cell>
        </row>
        <row r="4815">
          <cell r="K4815">
            <v>29000</v>
          </cell>
          <cell r="P4815" t="str">
            <v>90111101-52121308</v>
          </cell>
          <cell r="S4815" t="str">
            <v>2026A-05</v>
          </cell>
          <cell r="T4815" t="str">
            <v>Gas Allowance</v>
          </cell>
        </row>
        <row r="4816">
          <cell r="K4816">
            <v>188000</v>
          </cell>
          <cell r="P4816" t="str">
            <v>90111101-52121308</v>
          </cell>
          <cell r="S4816" t="str">
            <v>2026A-05</v>
          </cell>
          <cell r="T4816" t="str">
            <v>Gas Allowance</v>
          </cell>
        </row>
        <row r="4817">
          <cell r="K4817">
            <v>48000</v>
          </cell>
          <cell r="P4817" t="str">
            <v>90111101-52121308</v>
          </cell>
          <cell r="S4817" t="str">
            <v>2026A-05</v>
          </cell>
          <cell r="T4817" t="str">
            <v>Gas Allowance</v>
          </cell>
        </row>
        <row r="4818">
          <cell r="K4818">
            <v>53750</v>
          </cell>
          <cell r="P4818" t="str">
            <v>90111101-52121308</v>
          </cell>
          <cell r="S4818" t="str">
            <v>2026A-05</v>
          </cell>
          <cell r="T4818" t="str">
            <v>Gas Allowance</v>
          </cell>
        </row>
        <row r="4819">
          <cell r="K4819">
            <v>54250</v>
          </cell>
          <cell r="P4819" t="str">
            <v>90111101-52121308</v>
          </cell>
          <cell r="S4819" t="str">
            <v>2026A-05</v>
          </cell>
          <cell r="T4819" t="str">
            <v>Gas Allowance</v>
          </cell>
        </row>
        <row r="4820">
          <cell r="K4820">
            <v>-181571.17</v>
          </cell>
          <cell r="P4820" t="str">
            <v>81111101-52121303</v>
          </cell>
          <cell r="S4820" t="str">
            <v>2026A-05</v>
          </cell>
          <cell r="T4820" t="str">
            <v>HMO</v>
          </cell>
        </row>
        <row r="4821">
          <cell r="K4821">
            <v>-181571.17</v>
          </cell>
          <cell r="P4821" t="str">
            <v>81111101-52121303</v>
          </cell>
          <cell r="S4821" t="str">
            <v>2026A-05</v>
          </cell>
          <cell r="T4821" t="str">
            <v>HMO</v>
          </cell>
        </row>
        <row r="4822">
          <cell r="K4822">
            <v>-181571.17</v>
          </cell>
          <cell r="P4822" t="str">
            <v>81111101-52121303</v>
          </cell>
          <cell r="S4822" t="str">
            <v>2026A-05</v>
          </cell>
          <cell r="T4822" t="str">
            <v>HMO</v>
          </cell>
        </row>
        <row r="4823">
          <cell r="K4823">
            <v>-181571.17</v>
          </cell>
          <cell r="P4823" t="str">
            <v>81111101-52121303</v>
          </cell>
          <cell r="S4823" t="str">
            <v>2026A-05</v>
          </cell>
          <cell r="T4823" t="str">
            <v>HMO</v>
          </cell>
        </row>
        <row r="4824">
          <cell r="K4824">
            <v>-1051640.8500000001</v>
          </cell>
          <cell r="P4824" t="str">
            <v>90111101-52121313</v>
          </cell>
          <cell r="S4824" t="str">
            <v>2026A-05</v>
          </cell>
          <cell r="T4824" t="str">
            <v>FBT</v>
          </cell>
        </row>
        <row r="4825">
          <cell r="K4825">
            <v>-136398</v>
          </cell>
          <cell r="P4825" t="str">
            <v>90111101-52121313</v>
          </cell>
          <cell r="S4825" t="str">
            <v>2026A-05</v>
          </cell>
          <cell r="T4825" t="str">
            <v>FBT</v>
          </cell>
        </row>
        <row r="4826">
          <cell r="K4826">
            <v>-117682.35</v>
          </cell>
          <cell r="P4826" t="str">
            <v>81124101-52952103</v>
          </cell>
          <cell r="S4826" t="str">
            <v>2026A-05</v>
          </cell>
          <cell r="T4826" t="str">
            <v>M365</v>
          </cell>
        </row>
        <row r="4827">
          <cell r="K4827">
            <v>26302.06</v>
          </cell>
          <cell r="P4827" t="str">
            <v>90111101-52121303</v>
          </cell>
          <cell r="S4827" t="str">
            <v>2026A-05</v>
          </cell>
          <cell r="T4827" t="str">
            <v>HMO</v>
          </cell>
        </row>
        <row r="4828">
          <cell r="K4828">
            <v>3431675</v>
          </cell>
          <cell r="P4828" t="str">
            <v>90111101-52121304</v>
          </cell>
          <cell r="S4828" t="str">
            <v>2026A-05</v>
          </cell>
          <cell r="T4828" t="str">
            <v>Retirement</v>
          </cell>
        </row>
        <row r="4829">
          <cell r="K4829">
            <v>21816.77</v>
          </cell>
          <cell r="P4829" t="str">
            <v>81111101-52041405</v>
          </cell>
          <cell r="S4829" t="str">
            <v>2026A-05</v>
          </cell>
          <cell r="T4829" t="str">
            <v>Janitorial (H&amp;K)</v>
          </cell>
        </row>
        <row r="4830">
          <cell r="K4830">
            <v>6311.04</v>
          </cell>
          <cell r="P4830" t="str">
            <v>81111101-52041499</v>
          </cell>
          <cell r="S4830" t="str">
            <v>2026A-05</v>
          </cell>
          <cell r="T4830" t="str">
            <v>Admin Staff (H&amp;K)</v>
          </cell>
        </row>
        <row r="4831">
          <cell r="K4831">
            <v>1298.6400000000001</v>
          </cell>
          <cell r="P4831" t="str">
            <v>81111101-52041499</v>
          </cell>
          <cell r="S4831" t="str">
            <v>2026A-05</v>
          </cell>
          <cell r="T4831" t="str">
            <v>Admin Staff (H&amp;K)</v>
          </cell>
        </row>
        <row r="4832">
          <cell r="K4832">
            <v>14719.29</v>
          </cell>
          <cell r="P4832" t="str">
            <v>81111101-52041405</v>
          </cell>
          <cell r="S4832" t="str">
            <v>2026A-05</v>
          </cell>
          <cell r="T4832" t="str">
            <v>Janitorial (H&amp;K)</v>
          </cell>
        </row>
        <row r="4833">
          <cell r="K4833">
            <v>1926.02</v>
          </cell>
          <cell r="P4833" t="str">
            <v>81111101-52041499</v>
          </cell>
          <cell r="S4833" t="str">
            <v>2026A-05</v>
          </cell>
          <cell r="T4833" t="str">
            <v>Admin Staff (H&amp;K)</v>
          </cell>
        </row>
        <row r="4834">
          <cell r="K4834">
            <v>3129.39</v>
          </cell>
          <cell r="P4834" t="str">
            <v>81111101-52041499</v>
          </cell>
          <cell r="S4834" t="str">
            <v>2026A-05</v>
          </cell>
          <cell r="T4834" t="str">
            <v>Admin Staff (H&amp;K)</v>
          </cell>
        </row>
        <row r="4835">
          <cell r="K4835">
            <v>24581.99</v>
          </cell>
          <cell r="P4835" t="str">
            <v>81111101-52041405</v>
          </cell>
          <cell r="S4835" t="str">
            <v>2026A-05</v>
          </cell>
          <cell r="T4835" t="str">
            <v>Janitorial (H&amp;K)</v>
          </cell>
        </row>
        <row r="4836">
          <cell r="K4836">
            <v>24581.99</v>
          </cell>
          <cell r="P4836" t="str">
            <v>81111101-52041499</v>
          </cell>
          <cell r="S4836" t="str">
            <v>2026A-05</v>
          </cell>
          <cell r="T4836" t="str">
            <v>Admin Staff (H&amp;K)</v>
          </cell>
        </row>
        <row r="4837">
          <cell r="K4837">
            <v>20917.75</v>
          </cell>
          <cell r="P4837" t="str">
            <v>81111101-52041499</v>
          </cell>
          <cell r="S4837" t="str">
            <v>2026A-05</v>
          </cell>
          <cell r="T4837" t="str">
            <v>Admin Staff (H&amp;K)</v>
          </cell>
        </row>
        <row r="4838">
          <cell r="K4838">
            <v>24581.99</v>
          </cell>
          <cell r="P4838" t="str">
            <v>81111101-52041405</v>
          </cell>
          <cell r="S4838" t="str">
            <v>2026A-05</v>
          </cell>
          <cell r="T4838" t="str">
            <v>Janitorial (H&amp;K)</v>
          </cell>
        </row>
        <row r="4839">
          <cell r="K4839">
            <v>24581.99</v>
          </cell>
          <cell r="P4839" t="str">
            <v>81111101-52041499</v>
          </cell>
          <cell r="S4839" t="str">
            <v>2026A-05</v>
          </cell>
          <cell r="T4839" t="str">
            <v>Admin Staff (H&amp;K)</v>
          </cell>
        </row>
        <row r="4840">
          <cell r="K4840">
            <v>20917.75</v>
          </cell>
          <cell r="P4840" t="str">
            <v>81111101-52041499</v>
          </cell>
          <cell r="S4840" t="str">
            <v>2026A-05</v>
          </cell>
          <cell r="T4840" t="str">
            <v>Admin Staff (H&amp;K)</v>
          </cell>
        </row>
        <row r="4841">
          <cell r="K4841">
            <v>40118.629999999997</v>
          </cell>
          <cell r="P4841" t="str">
            <v>81111101-52041499</v>
          </cell>
          <cell r="S4841" t="str">
            <v>2026A-05</v>
          </cell>
          <cell r="T4841" t="str">
            <v>Admin Staff (TAHJ)</v>
          </cell>
        </row>
        <row r="4842">
          <cell r="K4842">
            <v>40063.339999999997</v>
          </cell>
          <cell r="P4842" t="str">
            <v>81111101-52041499</v>
          </cell>
          <cell r="S4842" t="str">
            <v>2026A-05</v>
          </cell>
          <cell r="T4842" t="str">
            <v>Admin Staff (TAHJ)</v>
          </cell>
        </row>
        <row r="4843">
          <cell r="K4843">
            <v>41064.94</v>
          </cell>
          <cell r="P4843" t="str">
            <v>81111101-52041499</v>
          </cell>
          <cell r="S4843" t="str">
            <v>2026A-05</v>
          </cell>
          <cell r="T4843" t="str">
            <v>Admin Staff (TAHJ)</v>
          </cell>
        </row>
        <row r="4844">
          <cell r="K4844">
            <v>50943.040000000001</v>
          </cell>
          <cell r="P4844" t="str">
            <v>81111101-52041499</v>
          </cell>
          <cell r="S4844" t="str">
            <v>2026A-05</v>
          </cell>
          <cell r="T4844" t="str">
            <v>Admin Staff (TAHJ)</v>
          </cell>
        </row>
        <row r="4845">
          <cell r="K4845">
            <v>65425.22</v>
          </cell>
          <cell r="P4845" t="str">
            <v>81111101-52041401</v>
          </cell>
          <cell r="S4845" t="str">
            <v>2026A-05</v>
          </cell>
          <cell r="T4845" t="str">
            <v>Security HQ</v>
          </cell>
        </row>
        <row r="4846">
          <cell r="K4846">
            <v>11682.13</v>
          </cell>
          <cell r="P4846" t="str">
            <v>81111101-52041401</v>
          </cell>
          <cell r="S4846" t="str">
            <v>2026A-05</v>
          </cell>
          <cell r="T4846" t="str">
            <v>Security HQ</v>
          </cell>
        </row>
        <row r="4847">
          <cell r="K4847">
            <v>24581.99</v>
          </cell>
          <cell r="P4847" t="str">
            <v>81111101-52041405</v>
          </cell>
          <cell r="S4847" t="str">
            <v>2026A-05</v>
          </cell>
          <cell r="T4847" t="str">
            <v>Janitorial (H&amp;K)</v>
          </cell>
        </row>
        <row r="4848">
          <cell r="K4848">
            <v>24581.99</v>
          </cell>
          <cell r="P4848" t="str">
            <v>81111101-52041499</v>
          </cell>
          <cell r="S4848" t="str">
            <v>2026A-05</v>
          </cell>
          <cell r="T4848" t="str">
            <v>Admin Staff (H&amp;K)</v>
          </cell>
        </row>
        <row r="4849">
          <cell r="K4849">
            <v>20917.75</v>
          </cell>
          <cell r="P4849" t="str">
            <v>81111101-52041499</v>
          </cell>
          <cell r="S4849" t="str">
            <v>2026A-05</v>
          </cell>
          <cell r="T4849" t="str">
            <v>Admin Staff (H&amp;K)</v>
          </cell>
        </row>
        <row r="4850">
          <cell r="K4850">
            <v>57308.44</v>
          </cell>
          <cell r="P4850" t="str">
            <v>81111101-52041405</v>
          </cell>
          <cell r="S4850" t="str">
            <v>2026A-05</v>
          </cell>
          <cell r="T4850" t="str">
            <v>Janitorial (S1)</v>
          </cell>
        </row>
        <row r="4851">
          <cell r="K4851">
            <v>-8713.75</v>
          </cell>
          <cell r="P4851" t="str">
            <v>81111101-52041405</v>
          </cell>
          <cell r="S4851" t="str">
            <v>2026A-05</v>
          </cell>
          <cell r="T4851" t="str">
            <v>Janitorial (S1)</v>
          </cell>
        </row>
        <row r="4852">
          <cell r="K4852">
            <v>-2047.15</v>
          </cell>
          <cell r="P4852" t="str">
            <v>81111101-52041405</v>
          </cell>
          <cell r="S4852" t="str">
            <v>2026A-05</v>
          </cell>
          <cell r="T4852" t="str">
            <v>Janitorial (S1)</v>
          </cell>
        </row>
        <row r="4853">
          <cell r="K4853">
            <v>-11754.33</v>
          </cell>
          <cell r="P4853" t="str">
            <v>81111101-52041405</v>
          </cell>
          <cell r="S4853" t="str">
            <v>2026A-05</v>
          </cell>
          <cell r="T4853" t="str">
            <v>Janitorial (S1)</v>
          </cell>
        </row>
        <row r="4854">
          <cell r="K4854">
            <v>42066.52</v>
          </cell>
          <cell r="P4854" t="str">
            <v>81111101-52041499</v>
          </cell>
          <cell r="S4854" t="str">
            <v>2026A-05</v>
          </cell>
          <cell r="T4854" t="str">
            <v>Admin Staff (TAHJ)</v>
          </cell>
        </row>
        <row r="4855">
          <cell r="K4855">
            <v>26526.54</v>
          </cell>
          <cell r="P4855" t="str">
            <v>81111101-52041495</v>
          </cell>
          <cell r="S4855" t="str">
            <v>2026A-05</v>
          </cell>
          <cell r="T4855" t="str">
            <v>BTs</v>
          </cell>
        </row>
        <row r="4856">
          <cell r="K4856">
            <v>24557.31</v>
          </cell>
          <cell r="P4856" t="str">
            <v>81111101-52041405</v>
          </cell>
          <cell r="S4856" t="str">
            <v>2026A-05</v>
          </cell>
          <cell r="T4856" t="str">
            <v>Janitorial (SFI)</v>
          </cell>
        </row>
        <row r="4857">
          <cell r="K4857">
            <v>305580.19</v>
          </cell>
          <cell r="P4857" t="str">
            <v>81111101-52041495</v>
          </cell>
          <cell r="S4857" t="str">
            <v>2026A-05</v>
          </cell>
          <cell r="T4857" t="str">
            <v>BTs</v>
          </cell>
        </row>
        <row r="4858">
          <cell r="K4858">
            <v>2155.5</v>
          </cell>
          <cell r="P4858" t="str">
            <v>81111101-52041405</v>
          </cell>
          <cell r="S4858" t="str">
            <v>2026A-05</v>
          </cell>
          <cell r="T4858" t="str">
            <v>Janitorial (SFI)</v>
          </cell>
        </row>
        <row r="4859">
          <cell r="K4859">
            <v>31328.63</v>
          </cell>
          <cell r="P4859" t="str">
            <v>81111101-52041495</v>
          </cell>
          <cell r="S4859" t="str">
            <v>2026A-05</v>
          </cell>
          <cell r="T4859" t="str">
            <v>BTs</v>
          </cell>
        </row>
        <row r="4860">
          <cell r="K4860">
            <v>45670.65</v>
          </cell>
          <cell r="P4860" t="str">
            <v>81111101-52041405</v>
          </cell>
          <cell r="S4860" t="str">
            <v>2026A-05</v>
          </cell>
          <cell r="T4860" t="str">
            <v>Janitorial (SFI)</v>
          </cell>
        </row>
        <row r="4861">
          <cell r="K4861">
            <v>8299.25</v>
          </cell>
          <cell r="P4861" t="str">
            <v>81111101-52041499</v>
          </cell>
          <cell r="S4861" t="str">
            <v>2026A-05</v>
          </cell>
          <cell r="T4861" t="str">
            <v>Admin Staff (SFI)</v>
          </cell>
        </row>
        <row r="4862">
          <cell r="K4862">
            <v>-40118.629999999997</v>
          </cell>
          <cell r="P4862" t="str">
            <v>81111101-52041499</v>
          </cell>
          <cell r="S4862" t="str">
            <v>2026A-05</v>
          </cell>
          <cell r="T4862" t="str">
            <v>Admin Staff (TAHJ)</v>
          </cell>
        </row>
        <row r="4863">
          <cell r="K4863">
            <v>-40063.339999999997</v>
          </cell>
          <cell r="P4863" t="str">
            <v>81111101-52041499</v>
          </cell>
          <cell r="S4863" t="str">
            <v>2026A-05</v>
          </cell>
          <cell r="T4863" t="str">
            <v>Admin Staff (TAHJ)</v>
          </cell>
        </row>
        <row r="4864">
          <cell r="K4864">
            <v>-41064.94</v>
          </cell>
          <cell r="P4864" t="str">
            <v>81111101-52041499</v>
          </cell>
          <cell r="S4864" t="str">
            <v>2026A-05</v>
          </cell>
          <cell r="T4864" t="str">
            <v>Admin Staff (TAHJ)</v>
          </cell>
        </row>
        <row r="4865">
          <cell r="K4865">
            <v>-50943.040000000001</v>
          </cell>
          <cell r="P4865" t="str">
            <v>81111101-52041499</v>
          </cell>
          <cell r="S4865" t="str">
            <v>2026A-05</v>
          </cell>
          <cell r="T4865" t="str">
            <v>Admin Staff (TAHJ)</v>
          </cell>
        </row>
        <row r="4866">
          <cell r="K4866">
            <v>254573.96</v>
          </cell>
          <cell r="P4866" t="str">
            <v>81111101-52121303</v>
          </cell>
          <cell r="S4866" t="str">
            <v>2026A-05</v>
          </cell>
          <cell r="T4866" t="str">
            <v>HMO</v>
          </cell>
        </row>
        <row r="4867">
          <cell r="K4867">
            <v>254573.96</v>
          </cell>
          <cell r="P4867" t="str">
            <v>81111101-52121303</v>
          </cell>
          <cell r="S4867" t="str">
            <v>2026A-05</v>
          </cell>
          <cell r="T4867" t="str">
            <v>HMO</v>
          </cell>
        </row>
        <row r="4868">
          <cell r="K4868">
            <v>254573.96</v>
          </cell>
          <cell r="P4868" t="str">
            <v>81111101-52121303</v>
          </cell>
          <cell r="S4868" t="str">
            <v>2026A-05</v>
          </cell>
          <cell r="T4868" t="str">
            <v>HMO</v>
          </cell>
        </row>
        <row r="4869">
          <cell r="K4869">
            <v>254573.96</v>
          </cell>
          <cell r="P4869" t="str">
            <v>81111101-52121303</v>
          </cell>
          <cell r="S4869" t="str">
            <v>2026A-05</v>
          </cell>
          <cell r="T4869" t="str">
            <v>HMO</v>
          </cell>
        </row>
        <row r="4870">
          <cell r="K4870">
            <v>254573.96</v>
          </cell>
          <cell r="P4870" t="str">
            <v>81111101-52121303</v>
          </cell>
          <cell r="S4870" t="str">
            <v>2026A-05</v>
          </cell>
          <cell r="T4870" t="str">
            <v>HMO</v>
          </cell>
        </row>
        <row r="4871">
          <cell r="K4871">
            <v>210233.58</v>
          </cell>
          <cell r="P4871" t="str">
            <v>81111101-52041405</v>
          </cell>
          <cell r="S4871" t="str">
            <v>2026A-05</v>
          </cell>
          <cell r="T4871" t="str">
            <v>Janitorial (SFI)</v>
          </cell>
        </row>
        <row r="4872">
          <cell r="K4872">
            <v>170204.62</v>
          </cell>
          <cell r="P4872" t="str">
            <v>81111101-52041499</v>
          </cell>
          <cell r="S4872" t="str">
            <v>2026A-05</v>
          </cell>
          <cell r="T4872" t="str">
            <v>Admin Staff (SFI)</v>
          </cell>
        </row>
        <row r="4873">
          <cell r="K4873">
            <v>300000</v>
          </cell>
          <cell r="P4873" t="str">
            <v>81111101-52041495</v>
          </cell>
          <cell r="S4873" t="str">
            <v>2026A-05</v>
          </cell>
          <cell r="T4873" t="str">
            <v>BTs</v>
          </cell>
        </row>
        <row r="4874">
          <cell r="K4874">
            <v>65000</v>
          </cell>
          <cell r="P4874" t="str">
            <v>81111101-52041401</v>
          </cell>
          <cell r="S4874" t="str">
            <v>2026A-05</v>
          </cell>
          <cell r="T4874" t="str">
            <v>Security HQ</v>
          </cell>
        </row>
        <row r="4875">
          <cell r="K4875">
            <v>10000</v>
          </cell>
          <cell r="P4875" t="str">
            <v>81111101-52041401</v>
          </cell>
          <cell r="S4875" t="str">
            <v>2026A-05</v>
          </cell>
          <cell r="T4875" t="str">
            <v>Security HQ</v>
          </cell>
        </row>
        <row r="4876">
          <cell r="K4876">
            <v>82000</v>
          </cell>
          <cell r="P4876" t="str">
            <v>81111101-52041401</v>
          </cell>
          <cell r="S4876" t="str">
            <v>2026A-05</v>
          </cell>
          <cell r="T4876" t="str">
            <v>Security HQ</v>
          </cell>
        </row>
        <row r="4877">
          <cell r="K4877">
            <v>16000</v>
          </cell>
          <cell r="P4877" t="str">
            <v>81111101-52041401</v>
          </cell>
          <cell r="S4877" t="str">
            <v>2026A-05</v>
          </cell>
          <cell r="T4877" t="str">
            <v>Security HQ</v>
          </cell>
        </row>
        <row r="4878">
          <cell r="K4878">
            <v>82000</v>
          </cell>
          <cell r="P4878" t="str">
            <v>81111101-52041401</v>
          </cell>
          <cell r="S4878" t="str">
            <v>2026A-05</v>
          </cell>
          <cell r="T4878" t="str">
            <v>Security HQ</v>
          </cell>
        </row>
        <row r="4879">
          <cell r="K4879">
            <v>16000</v>
          </cell>
          <cell r="P4879" t="str">
            <v>81111101-52041401</v>
          </cell>
          <cell r="S4879" t="str">
            <v>2026A-05</v>
          </cell>
          <cell r="T4879" t="str">
            <v>Security HQ</v>
          </cell>
        </row>
        <row r="4880">
          <cell r="K4880">
            <v>41000</v>
          </cell>
          <cell r="P4880" t="str">
            <v>81111101-52041401</v>
          </cell>
          <cell r="S4880" t="str">
            <v>2026A-05</v>
          </cell>
          <cell r="T4880" t="str">
            <v>Security HQ</v>
          </cell>
        </row>
        <row r="4881">
          <cell r="K4881">
            <v>8000</v>
          </cell>
          <cell r="P4881" t="str">
            <v>81111101-52041401</v>
          </cell>
          <cell r="S4881" t="str">
            <v>2026A-05</v>
          </cell>
          <cell r="T4881" t="str">
            <v>Security HQ</v>
          </cell>
        </row>
        <row r="4882">
          <cell r="K4882">
            <v>36842.11</v>
          </cell>
          <cell r="P4882" t="str">
            <v>90122101-52041499</v>
          </cell>
          <cell r="S4882" t="str">
            <v>2026A-05</v>
          </cell>
          <cell r="T4882" t="str">
            <v>HRIS Tirso</v>
          </cell>
        </row>
        <row r="4883">
          <cell r="K4883">
            <v>36842.1</v>
          </cell>
          <cell r="P4883" t="str">
            <v>90122101-52041499</v>
          </cell>
          <cell r="S4883" t="str">
            <v>2026A-05</v>
          </cell>
          <cell r="T4883" t="str">
            <v>HRIS Tirso</v>
          </cell>
        </row>
        <row r="4884">
          <cell r="K4884">
            <v>-36842.11</v>
          </cell>
          <cell r="P4884" t="str">
            <v>90122101-52071104</v>
          </cell>
          <cell r="S4884" t="str">
            <v>2026A-05</v>
          </cell>
          <cell r="T4884" t="str">
            <v>HRIS Tirso</v>
          </cell>
        </row>
        <row r="4885">
          <cell r="K4885">
            <v>-36842.1</v>
          </cell>
          <cell r="P4885" t="str">
            <v>90122101-52071104</v>
          </cell>
          <cell r="S4885" t="str">
            <v>2026A-05</v>
          </cell>
          <cell r="T4885" t="str">
            <v>HRIS Tirso</v>
          </cell>
        </row>
        <row r="4886">
          <cell r="K4886">
            <v>0.01</v>
          </cell>
          <cell r="P4886" t="str">
            <v>81123102-52061103</v>
          </cell>
          <cell r="S4886" t="str">
            <v>2026A-06</v>
          </cell>
          <cell r="T4886" t="str">
            <v>R&amp;M - F&amp;F</v>
          </cell>
        </row>
        <row r="4887">
          <cell r="K4887">
            <v>250000</v>
          </cell>
          <cell r="P4887" t="str">
            <v>81133102-52071104</v>
          </cell>
          <cell r="S4887" t="str">
            <v>2026A-06</v>
          </cell>
          <cell r="T4887" t="str">
            <v>RSG</v>
          </cell>
        </row>
        <row r="4888">
          <cell r="K4888">
            <v>6000</v>
          </cell>
          <cell r="P4888" t="str">
            <v>90111101-61021206</v>
          </cell>
          <cell r="S4888" t="str">
            <v>2026A-06</v>
          </cell>
          <cell r="T4888" t="str">
            <v>OJT</v>
          </cell>
        </row>
        <row r="4889">
          <cell r="K4889">
            <v>30</v>
          </cell>
          <cell r="P4889" t="str">
            <v>81111101-52031103</v>
          </cell>
          <cell r="S4889" t="str">
            <v>2026A-06</v>
          </cell>
          <cell r="T4889" t="str">
            <v>DST</v>
          </cell>
        </row>
        <row r="4890">
          <cell r="K4890">
            <v>23161.9</v>
          </cell>
          <cell r="P4890" t="str">
            <v>81111101-52031103</v>
          </cell>
          <cell r="S4890" t="str">
            <v>2026A-06</v>
          </cell>
          <cell r="T4890" t="str">
            <v>DST</v>
          </cell>
        </row>
        <row r="4891">
          <cell r="K4891">
            <v>112142.86</v>
          </cell>
          <cell r="P4891" t="str">
            <v>81124101-52952103</v>
          </cell>
          <cell r="S4891" t="str">
            <v>2026A-06</v>
          </cell>
          <cell r="T4891" t="str">
            <v>Adobe Photoshop</v>
          </cell>
        </row>
        <row r="4892">
          <cell r="K4892">
            <v>-23837.25</v>
          </cell>
          <cell r="P4892" t="str">
            <v>81111101-52041495</v>
          </cell>
          <cell r="S4892" t="str">
            <v>2026A-06</v>
          </cell>
          <cell r="T4892" t="str">
            <v>BTs</v>
          </cell>
        </row>
        <row r="4893">
          <cell r="K4893">
            <v>-40089.94</v>
          </cell>
          <cell r="P4893" t="str">
            <v>81319101-52041499</v>
          </cell>
          <cell r="S4893" t="str">
            <v>2026A-06</v>
          </cell>
          <cell r="T4893" t="str">
            <v>ES</v>
          </cell>
        </row>
        <row r="4894">
          <cell r="K4894">
            <v>10871.4</v>
          </cell>
          <cell r="P4894" t="str">
            <v>81319101-52041499</v>
          </cell>
          <cell r="S4894" t="str">
            <v>2026A-06</v>
          </cell>
          <cell r="T4894" t="str">
            <v>GH</v>
          </cell>
        </row>
        <row r="4895">
          <cell r="K4895">
            <v>59259.73</v>
          </cell>
          <cell r="P4895" t="str">
            <v>81319101-52041499</v>
          </cell>
          <cell r="S4895" t="str">
            <v>2026A-06</v>
          </cell>
          <cell r="T4895" t="str">
            <v>GH</v>
          </cell>
        </row>
        <row r="4896">
          <cell r="K4896">
            <v>5560</v>
          </cell>
          <cell r="P4896" t="str">
            <v>90111101-61021206</v>
          </cell>
          <cell r="S4896" t="str">
            <v>2026A-06</v>
          </cell>
          <cell r="T4896" t="str">
            <v>OJT</v>
          </cell>
        </row>
        <row r="4897">
          <cell r="K4897">
            <v>5648.13</v>
          </cell>
          <cell r="P4897" t="str">
            <v>90111101-61021206</v>
          </cell>
          <cell r="S4897" t="str">
            <v>2026A-06</v>
          </cell>
          <cell r="T4897" t="str">
            <v>OJT</v>
          </cell>
        </row>
        <row r="4898">
          <cell r="K4898">
            <v>250000</v>
          </cell>
          <cell r="P4898" t="str">
            <v>80133102-61071004</v>
          </cell>
          <cell r="S4898" t="str">
            <v>2026A-06</v>
          </cell>
          <cell r="T4898" t="str">
            <v>RSG</v>
          </cell>
        </row>
        <row r="4899">
          <cell r="K4899">
            <v>14732.14</v>
          </cell>
          <cell r="P4899" t="str">
            <v>80123102-61061104</v>
          </cell>
          <cell r="S4899" t="str">
            <v>2026A-06</v>
          </cell>
          <cell r="T4899" t="str">
            <v>R&amp;M Vehicle</v>
          </cell>
        </row>
        <row r="4900">
          <cell r="K4900">
            <v>97568.11</v>
          </cell>
          <cell r="P4900" t="str">
            <v>81111101-52121313</v>
          </cell>
          <cell r="S4900" t="str">
            <v>2026A-06</v>
          </cell>
          <cell r="T4900" t="str">
            <v>FBT</v>
          </cell>
        </row>
        <row r="4901">
          <cell r="K4901">
            <v>9622.73</v>
          </cell>
          <cell r="P4901" t="str">
            <v>81319101-52061105</v>
          </cell>
          <cell r="S4901" t="str">
            <v>2026A-06</v>
          </cell>
          <cell r="T4901" t="str">
            <v>R&amp;M - ES</v>
          </cell>
        </row>
        <row r="4902">
          <cell r="K4902">
            <v>10000</v>
          </cell>
          <cell r="P4902" t="str">
            <v>80123101-61071005</v>
          </cell>
          <cell r="S4902" t="str">
            <v>2026A-06</v>
          </cell>
          <cell r="T4902" t="str">
            <v>Sycip</v>
          </cell>
        </row>
        <row r="4903">
          <cell r="K4903">
            <v>3682.13</v>
          </cell>
          <cell r="P4903" t="str">
            <v>90111101-61021206</v>
          </cell>
          <cell r="S4903" t="str">
            <v>2026A-06</v>
          </cell>
          <cell r="T4903" t="str">
            <v>OJT</v>
          </cell>
        </row>
        <row r="4904">
          <cell r="K4904">
            <v>1462500</v>
          </cell>
          <cell r="P4904" t="str">
            <v>90111101-52121303</v>
          </cell>
          <cell r="S4904" t="str">
            <v>2026A-06</v>
          </cell>
          <cell r="T4904" t="str">
            <v>HMO</v>
          </cell>
        </row>
        <row r="4905">
          <cell r="K4905">
            <v>445312.5</v>
          </cell>
          <cell r="P4905" t="str">
            <v>90111101-52121303</v>
          </cell>
          <cell r="S4905" t="str">
            <v>2026A-06</v>
          </cell>
          <cell r="T4905" t="str">
            <v>HMO</v>
          </cell>
        </row>
        <row r="4906">
          <cell r="K4906">
            <v>-197.5</v>
          </cell>
          <cell r="P4906" t="str">
            <v>81123102-52951101</v>
          </cell>
          <cell r="S4906" t="str">
            <v>2026A-06</v>
          </cell>
          <cell r="T4906" t="str">
            <v>Mobile Phones</v>
          </cell>
        </row>
        <row r="4907">
          <cell r="K4907">
            <v>-1334.89</v>
          </cell>
          <cell r="P4907" t="str">
            <v>81123102-52951101</v>
          </cell>
          <cell r="S4907" t="str">
            <v>2026A-06</v>
          </cell>
          <cell r="T4907" t="str">
            <v>Mobile Phones</v>
          </cell>
        </row>
        <row r="4908">
          <cell r="K4908">
            <v>180770.87</v>
          </cell>
          <cell r="P4908" t="str">
            <v>81123102-52041405</v>
          </cell>
          <cell r="S4908" t="str">
            <v>2026A-06</v>
          </cell>
          <cell r="T4908" t="str">
            <v>Janitorial (SFI)</v>
          </cell>
        </row>
        <row r="4909">
          <cell r="K4909">
            <v>199667.33</v>
          </cell>
          <cell r="P4909" t="str">
            <v>81123102-52041499</v>
          </cell>
          <cell r="S4909" t="str">
            <v>2026A-06</v>
          </cell>
          <cell r="T4909" t="str">
            <v>Admin Staff (SFI)</v>
          </cell>
        </row>
        <row r="4910">
          <cell r="K4910">
            <v>210</v>
          </cell>
          <cell r="P4910" t="str">
            <v>81111101-52031103</v>
          </cell>
          <cell r="S4910" t="str">
            <v>2026A-06</v>
          </cell>
          <cell r="T4910" t="str">
            <v>DST</v>
          </cell>
        </row>
        <row r="4911">
          <cell r="K4911">
            <v>159672.9</v>
          </cell>
          <cell r="P4911" t="str">
            <v>81319101-52041405</v>
          </cell>
          <cell r="S4911" t="str">
            <v>2026A-06</v>
          </cell>
          <cell r="T4911" t="str">
            <v>GH</v>
          </cell>
        </row>
        <row r="4912">
          <cell r="K4912">
            <v>8802.23</v>
          </cell>
          <cell r="P4912" t="str">
            <v>81319101-52041405</v>
          </cell>
          <cell r="S4912" t="str">
            <v>2026A-06</v>
          </cell>
          <cell r="T4912" t="str">
            <v>TS</v>
          </cell>
        </row>
        <row r="4913">
          <cell r="K4913">
            <v>584640</v>
          </cell>
          <cell r="P4913" t="str">
            <v>80134102-61071001</v>
          </cell>
          <cell r="S4913" t="str">
            <v>2026A-06</v>
          </cell>
          <cell r="T4913" t="str">
            <v>PWC FS Audit</v>
          </cell>
        </row>
        <row r="4914">
          <cell r="K4914">
            <v>107184</v>
          </cell>
          <cell r="P4914" t="str">
            <v>80134102-61071006</v>
          </cell>
          <cell r="S4914" t="str">
            <v>2026A-06</v>
          </cell>
          <cell r="T4914" t="str">
            <v>PWC FS Audit - OPE</v>
          </cell>
        </row>
        <row r="4915">
          <cell r="K4915">
            <v>3421.74</v>
          </cell>
          <cell r="P4915" t="str">
            <v>81319101-52041499</v>
          </cell>
          <cell r="S4915" t="str">
            <v>2026A-06</v>
          </cell>
          <cell r="T4915" t="str">
            <v>GH</v>
          </cell>
        </row>
        <row r="4916">
          <cell r="K4916">
            <v>9553.17</v>
          </cell>
          <cell r="P4916" t="str">
            <v>80123102-61721101</v>
          </cell>
          <cell r="S4916" t="str">
            <v>2026A-06</v>
          </cell>
          <cell r="T4916" t="str">
            <v>Mobile Phones</v>
          </cell>
        </row>
        <row r="4917">
          <cell r="K4917">
            <v>2171.1</v>
          </cell>
          <cell r="P4917" t="str">
            <v>80123102-61721101</v>
          </cell>
          <cell r="S4917" t="str">
            <v>2026A-06</v>
          </cell>
          <cell r="T4917" t="str">
            <v>Mobile Phones</v>
          </cell>
        </row>
        <row r="4918">
          <cell r="K4918">
            <v>1736.98</v>
          </cell>
          <cell r="P4918" t="str">
            <v>80123102-61721101</v>
          </cell>
          <cell r="S4918" t="str">
            <v>2026A-06</v>
          </cell>
          <cell r="T4918" t="str">
            <v>Mobile Phones</v>
          </cell>
        </row>
        <row r="4919">
          <cell r="K4919">
            <v>1736.98</v>
          </cell>
          <cell r="P4919" t="str">
            <v>80123102-61721101</v>
          </cell>
          <cell r="S4919" t="str">
            <v>2026A-06</v>
          </cell>
          <cell r="T4919" t="str">
            <v>Mobile Phones</v>
          </cell>
        </row>
        <row r="4920">
          <cell r="K4920">
            <v>1736.98</v>
          </cell>
          <cell r="P4920" t="str">
            <v>80123102-61721101</v>
          </cell>
          <cell r="S4920" t="str">
            <v>2026A-06</v>
          </cell>
          <cell r="T4920" t="str">
            <v>Mobile Phones</v>
          </cell>
        </row>
        <row r="4921">
          <cell r="K4921">
            <v>1736.98</v>
          </cell>
          <cell r="P4921" t="str">
            <v>80123102-61721101</v>
          </cell>
          <cell r="S4921" t="str">
            <v>2026A-06</v>
          </cell>
          <cell r="T4921" t="str">
            <v>Mobile Phones</v>
          </cell>
        </row>
        <row r="4922">
          <cell r="K4922">
            <v>1736.98</v>
          </cell>
          <cell r="P4922" t="str">
            <v>80123102-61721101</v>
          </cell>
          <cell r="S4922" t="str">
            <v>2026A-06</v>
          </cell>
          <cell r="T4922" t="str">
            <v>Mobile Phones</v>
          </cell>
        </row>
        <row r="4923">
          <cell r="K4923">
            <v>1736.98</v>
          </cell>
          <cell r="P4923" t="str">
            <v>80123102-61721101</v>
          </cell>
          <cell r="S4923" t="str">
            <v>2026A-06</v>
          </cell>
          <cell r="T4923" t="str">
            <v>Mobile Phones</v>
          </cell>
        </row>
        <row r="4924">
          <cell r="K4924">
            <v>1259.06</v>
          </cell>
          <cell r="P4924" t="str">
            <v>80123102-61721101</v>
          </cell>
          <cell r="S4924" t="str">
            <v>2026A-06</v>
          </cell>
          <cell r="T4924" t="str">
            <v>Mobile Phones</v>
          </cell>
        </row>
        <row r="4925">
          <cell r="K4925">
            <v>1617.53</v>
          </cell>
          <cell r="P4925" t="str">
            <v>80123102-61721101</v>
          </cell>
          <cell r="S4925" t="str">
            <v>2026A-06</v>
          </cell>
          <cell r="T4925" t="str">
            <v>Mobile Phones</v>
          </cell>
        </row>
        <row r="4926">
          <cell r="K4926">
            <v>1259.06</v>
          </cell>
          <cell r="P4926" t="str">
            <v>80123102-61721101</v>
          </cell>
          <cell r="S4926" t="str">
            <v>2026A-06</v>
          </cell>
          <cell r="T4926" t="str">
            <v>Mobile Phones</v>
          </cell>
        </row>
        <row r="4927">
          <cell r="K4927">
            <v>1304.51</v>
          </cell>
          <cell r="P4927" t="str">
            <v>80123102-61721101</v>
          </cell>
          <cell r="S4927" t="str">
            <v>2026A-06</v>
          </cell>
          <cell r="T4927" t="str">
            <v>Mobile Phones</v>
          </cell>
        </row>
        <row r="4928">
          <cell r="K4928">
            <v>223.21</v>
          </cell>
          <cell r="P4928" t="str">
            <v>80123102-61721101</v>
          </cell>
          <cell r="S4928" t="str">
            <v>2026A-06</v>
          </cell>
          <cell r="T4928" t="str">
            <v>Mobile Phones</v>
          </cell>
        </row>
        <row r="4929">
          <cell r="K4929">
            <v>1536.38</v>
          </cell>
          <cell r="P4929" t="str">
            <v>80123102-61721101</v>
          </cell>
          <cell r="S4929" t="str">
            <v>2026A-06</v>
          </cell>
          <cell r="T4929" t="str">
            <v>Mobile Phones</v>
          </cell>
        </row>
        <row r="4930">
          <cell r="K4930">
            <v>1259.06</v>
          </cell>
          <cell r="P4930" t="str">
            <v>80123102-61721101</v>
          </cell>
          <cell r="S4930" t="str">
            <v>2026A-06</v>
          </cell>
          <cell r="T4930" t="str">
            <v>Mobile Phones</v>
          </cell>
        </row>
        <row r="4931">
          <cell r="K4931">
            <v>45.74</v>
          </cell>
          <cell r="P4931" t="str">
            <v>81123102-52061103</v>
          </cell>
          <cell r="S4931" t="str">
            <v>2026A-06</v>
          </cell>
          <cell r="T4931" t="str">
            <v>R&amp;M - F&amp;F</v>
          </cell>
        </row>
        <row r="4932">
          <cell r="K4932">
            <v>7.84</v>
          </cell>
          <cell r="P4932" t="str">
            <v>81123102-52061103</v>
          </cell>
          <cell r="S4932" t="str">
            <v>2026A-06</v>
          </cell>
          <cell r="T4932" t="str">
            <v>R&amp;M - F&amp;F</v>
          </cell>
        </row>
        <row r="4933">
          <cell r="K4933">
            <v>2231.25</v>
          </cell>
          <cell r="P4933" t="str">
            <v>80123102-61721101</v>
          </cell>
          <cell r="S4933" t="str">
            <v>2026A-06</v>
          </cell>
          <cell r="T4933" t="str">
            <v>Phone - JHJ</v>
          </cell>
        </row>
        <row r="4934">
          <cell r="K4934">
            <v>2231.25</v>
          </cell>
          <cell r="P4934" t="str">
            <v>80123102-61721101</v>
          </cell>
          <cell r="S4934" t="str">
            <v>2026A-06</v>
          </cell>
          <cell r="T4934" t="str">
            <v>Phone - MDIA</v>
          </cell>
        </row>
        <row r="4935">
          <cell r="K4935">
            <v>2263.39</v>
          </cell>
          <cell r="P4935" t="str">
            <v>80123102-61061104</v>
          </cell>
          <cell r="S4935" t="str">
            <v>2026A-06</v>
          </cell>
          <cell r="T4935" t="str">
            <v>R&amp;M - Starex</v>
          </cell>
        </row>
        <row r="4936">
          <cell r="K4936">
            <v>26615.79</v>
          </cell>
          <cell r="P4936" t="str">
            <v>80123102-61061104</v>
          </cell>
          <cell r="S4936" t="str">
            <v>2026A-06</v>
          </cell>
          <cell r="T4936" t="str">
            <v>R&amp;M Vehicle</v>
          </cell>
        </row>
        <row r="4937">
          <cell r="K4937">
            <v>1338.39</v>
          </cell>
          <cell r="P4937" t="str">
            <v>80123102-61721101</v>
          </cell>
          <cell r="S4937" t="str">
            <v>2026A-06</v>
          </cell>
          <cell r="T4937" t="str">
            <v>Mobile Phones</v>
          </cell>
        </row>
        <row r="4938">
          <cell r="K4938">
            <v>891.96</v>
          </cell>
          <cell r="P4938" t="str">
            <v>80123102-61721101</v>
          </cell>
          <cell r="S4938" t="str">
            <v>2026A-06</v>
          </cell>
          <cell r="T4938" t="str">
            <v>Mobile Phones</v>
          </cell>
        </row>
        <row r="4939">
          <cell r="K4939">
            <v>891.96</v>
          </cell>
          <cell r="P4939" t="str">
            <v>80123102-61721101</v>
          </cell>
          <cell r="S4939" t="str">
            <v>2026A-06</v>
          </cell>
          <cell r="T4939" t="str">
            <v>Mobile Phones</v>
          </cell>
        </row>
        <row r="4940">
          <cell r="K4940">
            <v>891.96</v>
          </cell>
          <cell r="P4940" t="str">
            <v>80123102-61721101</v>
          </cell>
          <cell r="S4940" t="str">
            <v>2026A-06</v>
          </cell>
          <cell r="T4940" t="str">
            <v>Mobile Phones</v>
          </cell>
        </row>
        <row r="4941">
          <cell r="K4941">
            <v>891.96</v>
          </cell>
          <cell r="P4941" t="str">
            <v>80123102-61721101</v>
          </cell>
          <cell r="S4941" t="str">
            <v>2026A-06</v>
          </cell>
          <cell r="T4941" t="str">
            <v>Mobile Phones</v>
          </cell>
        </row>
        <row r="4942">
          <cell r="K4942">
            <v>1338.39</v>
          </cell>
          <cell r="P4942" t="str">
            <v>80123102-61721101</v>
          </cell>
          <cell r="S4942" t="str">
            <v>2026A-06</v>
          </cell>
          <cell r="T4942" t="str">
            <v>Mobile Phones</v>
          </cell>
        </row>
        <row r="4943">
          <cell r="K4943">
            <v>1338.39</v>
          </cell>
          <cell r="P4943" t="str">
            <v>80123102-61721101</v>
          </cell>
          <cell r="S4943" t="str">
            <v>2026A-06</v>
          </cell>
          <cell r="T4943" t="str">
            <v>Mobile Phones</v>
          </cell>
        </row>
        <row r="4944">
          <cell r="K4944">
            <v>891.96</v>
          </cell>
          <cell r="P4944" t="str">
            <v>80123102-61721101</v>
          </cell>
          <cell r="S4944" t="str">
            <v>2026A-06</v>
          </cell>
          <cell r="T4944" t="str">
            <v>Mobile Phones</v>
          </cell>
        </row>
        <row r="4945">
          <cell r="K4945">
            <v>1338.39</v>
          </cell>
          <cell r="P4945" t="str">
            <v>80123102-61721101</v>
          </cell>
          <cell r="S4945" t="str">
            <v>2026A-06</v>
          </cell>
          <cell r="T4945" t="str">
            <v>Mobile Phones</v>
          </cell>
        </row>
        <row r="4946">
          <cell r="K4946">
            <v>53.54</v>
          </cell>
          <cell r="P4946" t="str">
            <v>80123102-61721101</v>
          </cell>
          <cell r="S4946" t="str">
            <v>2026A-06</v>
          </cell>
          <cell r="T4946" t="str">
            <v>Mobile Phones</v>
          </cell>
        </row>
        <row r="4947">
          <cell r="K4947">
            <v>891.96</v>
          </cell>
          <cell r="P4947" t="str">
            <v>80123102-61721101</v>
          </cell>
          <cell r="S4947" t="str">
            <v>2026A-06</v>
          </cell>
          <cell r="T4947" t="str">
            <v>Mobile Phones</v>
          </cell>
        </row>
        <row r="4948">
          <cell r="K4948">
            <v>1367.68</v>
          </cell>
          <cell r="P4948" t="str">
            <v>80123102-61721101</v>
          </cell>
          <cell r="S4948" t="str">
            <v>2026A-06</v>
          </cell>
          <cell r="T4948" t="str">
            <v>Mobile Phones</v>
          </cell>
        </row>
        <row r="4949">
          <cell r="K4949">
            <v>713.39</v>
          </cell>
          <cell r="P4949" t="str">
            <v>80123102-61721101</v>
          </cell>
          <cell r="S4949" t="str">
            <v>2026A-06</v>
          </cell>
          <cell r="T4949" t="str">
            <v>Mobile Phones</v>
          </cell>
        </row>
        <row r="4950">
          <cell r="K4950">
            <v>713.39</v>
          </cell>
          <cell r="P4950" t="str">
            <v>80123102-61721101</v>
          </cell>
          <cell r="S4950" t="str">
            <v>2026A-06</v>
          </cell>
          <cell r="T4950" t="str">
            <v>Mobile Phones</v>
          </cell>
        </row>
        <row r="4951">
          <cell r="K4951">
            <v>1022.35</v>
          </cell>
          <cell r="P4951" t="str">
            <v>80123102-61721101</v>
          </cell>
          <cell r="S4951" t="str">
            <v>2026A-06</v>
          </cell>
          <cell r="T4951" t="str">
            <v>Mobile Phones</v>
          </cell>
        </row>
        <row r="4952">
          <cell r="K4952">
            <v>891.96</v>
          </cell>
          <cell r="P4952" t="str">
            <v>80123102-61721101</v>
          </cell>
          <cell r="S4952" t="str">
            <v>2026A-06</v>
          </cell>
          <cell r="T4952" t="str">
            <v>Mobile Phones</v>
          </cell>
        </row>
        <row r="4953">
          <cell r="K4953">
            <v>891.96</v>
          </cell>
          <cell r="P4953" t="str">
            <v>80123102-61721101</v>
          </cell>
          <cell r="S4953" t="str">
            <v>2026A-06</v>
          </cell>
          <cell r="T4953" t="str">
            <v>Mobile Phones</v>
          </cell>
        </row>
        <row r="4954">
          <cell r="K4954">
            <v>1338.39</v>
          </cell>
          <cell r="P4954" t="str">
            <v>80123102-61721101</v>
          </cell>
          <cell r="S4954" t="str">
            <v>2026A-06</v>
          </cell>
          <cell r="T4954" t="str">
            <v>Mobile Phones</v>
          </cell>
        </row>
        <row r="4955">
          <cell r="K4955">
            <v>891.96</v>
          </cell>
          <cell r="P4955" t="str">
            <v>80123102-61721101</v>
          </cell>
          <cell r="S4955" t="str">
            <v>2026A-06</v>
          </cell>
          <cell r="T4955" t="str">
            <v>Mobile Phones</v>
          </cell>
        </row>
        <row r="4956">
          <cell r="K4956">
            <v>891.96</v>
          </cell>
          <cell r="P4956" t="str">
            <v>80123102-61721101</v>
          </cell>
          <cell r="S4956" t="str">
            <v>2026A-06</v>
          </cell>
          <cell r="T4956" t="str">
            <v>Mobile Phones</v>
          </cell>
        </row>
        <row r="4957">
          <cell r="K4957">
            <v>891.96</v>
          </cell>
          <cell r="P4957" t="str">
            <v>80123102-61721101</v>
          </cell>
          <cell r="S4957" t="str">
            <v>2026A-06</v>
          </cell>
          <cell r="T4957" t="str">
            <v>Mobile Phones</v>
          </cell>
        </row>
        <row r="4958">
          <cell r="K4958">
            <v>534.82000000000005</v>
          </cell>
          <cell r="P4958" t="str">
            <v>80123102-61721101</v>
          </cell>
          <cell r="S4958" t="str">
            <v>2026A-06</v>
          </cell>
          <cell r="T4958" t="str">
            <v>Mobile Phones</v>
          </cell>
        </row>
        <row r="4959">
          <cell r="K4959">
            <v>713.39</v>
          </cell>
          <cell r="P4959" t="str">
            <v>80123102-61721101</v>
          </cell>
          <cell r="S4959" t="str">
            <v>2026A-06</v>
          </cell>
          <cell r="T4959" t="str">
            <v>Mobile Phones</v>
          </cell>
        </row>
        <row r="4960">
          <cell r="K4960">
            <v>891.96</v>
          </cell>
          <cell r="P4960" t="str">
            <v>80123102-61721101</v>
          </cell>
          <cell r="S4960" t="str">
            <v>2026A-06</v>
          </cell>
          <cell r="T4960" t="str">
            <v>Mobile Phones</v>
          </cell>
        </row>
        <row r="4961">
          <cell r="K4961">
            <v>1338.39</v>
          </cell>
          <cell r="P4961" t="str">
            <v>80123102-61721101</v>
          </cell>
          <cell r="S4961" t="str">
            <v>2026A-06</v>
          </cell>
          <cell r="T4961" t="str">
            <v>Mobile Phones</v>
          </cell>
        </row>
        <row r="4962">
          <cell r="K4962">
            <v>891.96</v>
          </cell>
          <cell r="P4962" t="str">
            <v>80123102-61721101</v>
          </cell>
          <cell r="S4962" t="str">
            <v>2026A-06</v>
          </cell>
          <cell r="T4962" t="str">
            <v>Mobile Phones</v>
          </cell>
        </row>
        <row r="4963">
          <cell r="K4963">
            <v>891.96</v>
          </cell>
          <cell r="P4963" t="str">
            <v>80123102-61721101</v>
          </cell>
          <cell r="S4963" t="str">
            <v>2026A-06</v>
          </cell>
          <cell r="T4963" t="str">
            <v>Mobile Phones</v>
          </cell>
        </row>
        <row r="4964">
          <cell r="K4964">
            <v>891.96</v>
          </cell>
          <cell r="P4964" t="str">
            <v>80123102-61721101</v>
          </cell>
          <cell r="S4964" t="str">
            <v>2026A-06</v>
          </cell>
          <cell r="T4964" t="str">
            <v>Mobile Phones</v>
          </cell>
        </row>
        <row r="4965">
          <cell r="K4965">
            <v>1338.39</v>
          </cell>
          <cell r="P4965" t="str">
            <v>80123102-61721101</v>
          </cell>
          <cell r="S4965" t="str">
            <v>2026A-06</v>
          </cell>
          <cell r="T4965" t="str">
            <v>Mobile Phones</v>
          </cell>
        </row>
        <row r="4966">
          <cell r="K4966">
            <v>891.96</v>
          </cell>
          <cell r="P4966" t="str">
            <v>80123102-61721101</v>
          </cell>
          <cell r="S4966" t="str">
            <v>2026A-06</v>
          </cell>
          <cell r="T4966" t="str">
            <v>Mobile Phones</v>
          </cell>
        </row>
        <row r="4967">
          <cell r="K4967">
            <v>891.96</v>
          </cell>
          <cell r="P4967" t="str">
            <v>80123102-61721101</v>
          </cell>
          <cell r="S4967" t="str">
            <v>2026A-06</v>
          </cell>
          <cell r="T4967" t="str">
            <v>Mobile Phones</v>
          </cell>
        </row>
        <row r="4968">
          <cell r="K4968">
            <v>891.96</v>
          </cell>
          <cell r="P4968" t="str">
            <v>80123102-61721101</v>
          </cell>
          <cell r="S4968" t="str">
            <v>2026A-06</v>
          </cell>
          <cell r="T4968" t="str">
            <v>Mobile Phones</v>
          </cell>
        </row>
        <row r="4969">
          <cell r="K4969">
            <v>534.82000000000005</v>
          </cell>
          <cell r="P4969" t="str">
            <v>80123102-61721101</v>
          </cell>
          <cell r="S4969" t="str">
            <v>2026A-06</v>
          </cell>
          <cell r="T4969" t="str">
            <v>Mobile Phones</v>
          </cell>
        </row>
        <row r="4970">
          <cell r="K4970">
            <v>713.39</v>
          </cell>
          <cell r="P4970" t="str">
            <v>80123102-61721101</v>
          </cell>
          <cell r="S4970" t="str">
            <v>2026A-06</v>
          </cell>
          <cell r="T4970" t="str">
            <v>Mobile Phones</v>
          </cell>
        </row>
        <row r="4971">
          <cell r="K4971">
            <v>891.96</v>
          </cell>
          <cell r="P4971" t="str">
            <v>80123102-61721101</v>
          </cell>
          <cell r="S4971" t="str">
            <v>2026A-06</v>
          </cell>
          <cell r="T4971" t="str">
            <v>Mobile Phones</v>
          </cell>
        </row>
        <row r="4972">
          <cell r="K4972">
            <v>891.96</v>
          </cell>
          <cell r="P4972" t="str">
            <v>80123102-61721101</v>
          </cell>
          <cell r="S4972" t="str">
            <v>2026A-06</v>
          </cell>
          <cell r="T4972" t="str">
            <v>Mobile Phones</v>
          </cell>
        </row>
        <row r="4973">
          <cell r="K4973">
            <v>1338.39</v>
          </cell>
          <cell r="P4973" t="str">
            <v>80123102-61721101</v>
          </cell>
          <cell r="S4973" t="str">
            <v>2026A-06</v>
          </cell>
          <cell r="T4973" t="str">
            <v>Mobile Phones</v>
          </cell>
        </row>
        <row r="4974">
          <cell r="K4974">
            <v>891.96</v>
          </cell>
          <cell r="P4974" t="str">
            <v>80123102-61721101</v>
          </cell>
          <cell r="S4974" t="str">
            <v>2026A-06</v>
          </cell>
          <cell r="T4974" t="str">
            <v>Mobile Phones</v>
          </cell>
        </row>
        <row r="4975">
          <cell r="K4975">
            <v>534.82000000000005</v>
          </cell>
          <cell r="P4975" t="str">
            <v>80123102-61721101</v>
          </cell>
          <cell r="S4975" t="str">
            <v>2026A-06</v>
          </cell>
          <cell r="T4975" t="str">
            <v>Mobile Phones</v>
          </cell>
        </row>
        <row r="4976">
          <cell r="K4976">
            <v>2038.12</v>
          </cell>
          <cell r="P4976" t="str">
            <v>80123102-61721101</v>
          </cell>
          <cell r="S4976" t="str">
            <v>2026A-06</v>
          </cell>
          <cell r="T4976" t="str">
            <v>Mobile Phones</v>
          </cell>
        </row>
        <row r="4977">
          <cell r="K4977">
            <v>534.82000000000005</v>
          </cell>
          <cell r="P4977" t="str">
            <v>80123102-61721101</v>
          </cell>
          <cell r="S4977" t="str">
            <v>2026A-06</v>
          </cell>
          <cell r="T4977" t="str">
            <v>Mobile Phones</v>
          </cell>
        </row>
        <row r="4978">
          <cell r="K4978">
            <v>891.96</v>
          </cell>
          <cell r="P4978" t="str">
            <v>80123102-61721101</v>
          </cell>
          <cell r="S4978" t="str">
            <v>2026A-06</v>
          </cell>
          <cell r="T4978" t="str">
            <v>Mobile Phones</v>
          </cell>
        </row>
        <row r="4979">
          <cell r="K4979">
            <v>1726.52</v>
          </cell>
          <cell r="P4979" t="str">
            <v>81111204-52091102</v>
          </cell>
          <cell r="S4979" t="str">
            <v>2026A-06</v>
          </cell>
          <cell r="T4979" t="str">
            <v>Meetings</v>
          </cell>
        </row>
        <row r="4980">
          <cell r="K4980">
            <v>311287.78000000003</v>
          </cell>
          <cell r="P4980" t="str">
            <v>80124101-61711102</v>
          </cell>
          <cell r="S4980" t="str">
            <v>2026A-06</v>
          </cell>
          <cell r="T4980" t="str">
            <v>MSOC</v>
          </cell>
        </row>
        <row r="4981">
          <cell r="K4981">
            <v>5920</v>
          </cell>
          <cell r="P4981" t="str">
            <v>80123101-61071002</v>
          </cell>
          <cell r="S4981" t="str">
            <v>2026A-06</v>
          </cell>
          <cell r="T4981" t="str">
            <v>Open Cases</v>
          </cell>
        </row>
        <row r="4982">
          <cell r="K4982">
            <v>3458.57</v>
          </cell>
          <cell r="P4982" t="str">
            <v>80124101-61721105</v>
          </cell>
          <cell r="S4982" t="str">
            <v>2026A-06</v>
          </cell>
          <cell r="T4982" t="str">
            <v>SMS Blast</v>
          </cell>
        </row>
        <row r="4983">
          <cell r="K4983">
            <v>6694.45</v>
          </cell>
          <cell r="P4983" t="str">
            <v>80124101-61711102</v>
          </cell>
          <cell r="S4983" t="str">
            <v>2026A-06</v>
          </cell>
          <cell r="T4983" t="str">
            <v>AI Copilot</v>
          </cell>
        </row>
        <row r="4984">
          <cell r="K4984">
            <v>2226.0700000000002</v>
          </cell>
          <cell r="P4984" t="str">
            <v>80124101-61711102</v>
          </cell>
          <cell r="S4984" t="str">
            <v>2026A-06</v>
          </cell>
          <cell r="T4984" t="str">
            <v>Microsoft Planner</v>
          </cell>
        </row>
        <row r="4985">
          <cell r="K4985">
            <v>2745.57</v>
          </cell>
          <cell r="P4985" t="str">
            <v>80124101-61711102</v>
          </cell>
          <cell r="S4985" t="str">
            <v>2026A-06</v>
          </cell>
          <cell r="T4985" t="str">
            <v>Zoom</v>
          </cell>
        </row>
        <row r="4986">
          <cell r="K4986">
            <v>5590.66</v>
          </cell>
          <cell r="P4986" t="str">
            <v>80124101-61711102</v>
          </cell>
          <cell r="S4986" t="str">
            <v>2026A-06</v>
          </cell>
          <cell r="T4986" t="str">
            <v>Power Apps</v>
          </cell>
        </row>
        <row r="4987">
          <cell r="K4987">
            <v>139161.01999999999</v>
          </cell>
          <cell r="P4987" t="str">
            <v>80124101-61711102</v>
          </cell>
          <cell r="S4987" t="str">
            <v>2026A-06</v>
          </cell>
          <cell r="T4987" t="str">
            <v>AWS</v>
          </cell>
        </row>
        <row r="4988">
          <cell r="K4988">
            <v>2974.68</v>
          </cell>
          <cell r="P4988" t="str">
            <v>80124101-61711102</v>
          </cell>
          <cell r="S4988" t="str">
            <v>2026A-06</v>
          </cell>
          <cell r="T4988" t="str">
            <v>Power Apps</v>
          </cell>
        </row>
        <row r="4989">
          <cell r="K4989">
            <v>37183.58</v>
          </cell>
          <cell r="P4989" t="str">
            <v>80124101-61711102</v>
          </cell>
          <cell r="S4989" t="str">
            <v>2026A-06</v>
          </cell>
          <cell r="T4989" t="str">
            <v>AI Builder</v>
          </cell>
        </row>
        <row r="4990">
          <cell r="K4990">
            <v>1117.54</v>
          </cell>
          <cell r="P4990" t="str">
            <v>80124101-61711102</v>
          </cell>
          <cell r="S4990" t="str">
            <v>2026A-06</v>
          </cell>
          <cell r="T4990" t="str">
            <v>Power Apps</v>
          </cell>
        </row>
        <row r="4991">
          <cell r="K4991">
            <v>851.31</v>
          </cell>
          <cell r="P4991" t="str">
            <v>80124101-61711102</v>
          </cell>
          <cell r="S4991" t="str">
            <v>2026A-06</v>
          </cell>
          <cell r="T4991" t="str">
            <v>Github</v>
          </cell>
        </row>
        <row r="4992">
          <cell r="K4992">
            <v>2019.54</v>
          </cell>
          <cell r="P4992" t="str">
            <v>80123101-61091101</v>
          </cell>
          <cell r="S4992" t="str">
            <v>2026A-06</v>
          </cell>
          <cell r="T4992" t="str">
            <v>Meetings</v>
          </cell>
        </row>
        <row r="4993">
          <cell r="K4993">
            <v>3323.41</v>
          </cell>
          <cell r="P4993" t="str">
            <v>80123101-61091101</v>
          </cell>
          <cell r="S4993" t="str">
            <v>2026A-06</v>
          </cell>
          <cell r="T4993" t="str">
            <v>Meetings</v>
          </cell>
        </row>
        <row r="4994">
          <cell r="K4994">
            <v>4499</v>
          </cell>
          <cell r="P4994" t="str">
            <v>80111204-61091102</v>
          </cell>
          <cell r="S4994" t="str">
            <v>2026A-06</v>
          </cell>
          <cell r="T4994" t="str">
            <v>Meetings</v>
          </cell>
        </row>
        <row r="4995">
          <cell r="K4995">
            <v>2171.5</v>
          </cell>
          <cell r="P4995" t="str">
            <v>80314101-61731103</v>
          </cell>
          <cell r="S4995" t="str">
            <v>2026A-06</v>
          </cell>
          <cell r="T4995" t="str">
            <v>Capcut</v>
          </cell>
        </row>
        <row r="4996">
          <cell r="K4996">
            <v>1384.01</v>
          </cell>
          <cell r="P4996" t="str">
            <v>80314101-61731103</v>
          </cell>
          <cell r="S4996" t="str">
            <v>2026A-06</v>
          </cell>
          <cell r="T4996" t="str">
            <v>Meta</v>
          </cell>
        </row>
        <row r="4997">
          <cell r="K4997">
            <v>12769.73</v>
          </cell>
          <cell r="P4997" t="str">
            <v>81124101-52952103</v>
          </cell>
          <cell r="S4997" t="str">
            <v>2026A-06</v>
          </cell>
          <cell r="T4997" t="str">
            <v>Google Workspace</v>
          </cell>
        </row>
        <row r="4998">
          <cell r="K4998">
            <v>20961.259999999998</v>
          </cell>
          <cell r="P4998" t="str">
            <v>81124101-52952103</v>
          </cell>
          <cell r="S4998" t="str">
            <v>2026A-06</v>
          </cell>
          <cell r="T4998" t="str">
            <v>Domain</v>
          </cell>
        </row>
        <row r="4999">
          <cell r="K4999">
            <v>1420.47</v>
          </cell>
          <cell r="P4999" t="str">
            <v>81124101-52952103</v>
          </cell>
          <cell r="S4999" t="str">
            <v>2026A-06</v>
          </cell>
          <cell r="T4999" t="str">
            <v>AI Claude</v>
          </cell>
        </row>
        <row r="5000">
          <cell r="K5000">
            <v>5688.84</v>
          </cell>
          <cell r="P5000" t="str">
            <v>81124101-52952103</v>
          </cell>
          <cell r="S5000" t="str">
            <v>2026A-06</v>
          </cell>
          <cell r="T5000" t="str">
            <v>AI Claude</v>
          </cell>
        </row>
        <row r="5001">
          <cell r="K5001">
            <v>9485.2999999999993</v>
          </cell>
          <cell r="P5001" t="str">
            <v>81124101-52952103</v>
          </cell>
          <cell r="S5001" t="str">
            <v>2026A-06</v>
          </cell>
          <cell r="T5001" t="str">
            <v>AI Chatgpt</v>
          </cell>
        </row>
        <row r="5002">
          <cell r="K5002">
            <v>0.01</v>
          </cell>
          <cell r="P5002" t="str">
            <v>81319101-52111101</v>
          </cell>
          <cell r="S5002" t="str">
            <v>2026A-06</v>
          </cell>
          <cell r="T5002" t="str">
            <v>GH</v>
          </cell>
        </row>
        <row r="5003">
          <cell r="K5003">
            <v>0.01</v>
          </cell>
          <cell r="P5003" t="str">
            <v>81319101-52111101</v>
          </cell>
          <cell r="S5003" t="str">
            <v>2026A-06</v>
          </cell>
          <cell r="T5003" t="str">
            <v>GH</v>
          </cell>
        </row>
        <row r="5004">
          <cell r="K5004">
            <v>115000</v>
          </cell>
          <cell r="P5004" t="str">
            <v>80124101-61721105</v>
          </cell>
          <cell r="S5004" t="str">
            <v>2026A-06</v>
          </cell>
          <cell r="T5004" t="str">
            <v>Innove - HQ</v>
          </cell>
        </row>
        <row r="5005">
          <cell r="K5005">
            <v>41530</v>
          </cell>
          <cell r="P5005" t="str">
            <v>80124101-61721105</v>
          </cell>
          <cell r="S5005" t="str">
            <v>2026A-06</v>
          </cell>
          <cell r="T5005" t="str">
            <v>Innove - SC1</v>
          </cell>
        </row>
        <row r="5006">
          <cell r="K5006">
            <v>44039.31</v>
          </cell>
          <cell r="P5006" t="str">
            <v>80123102-61111201</v>
          </cell>
          <cell r="S5006" t="str">
            <v>2026A-06</v>
          </cell>
          <cell r="T5006" t="str">
            <v>Shell</v>
          </cell>
        </row>
        <row r="5007">
          <cell r="K5007">
            <v>5796.12</v>
          </cell>
          <cell r="P5007" t="str">
            <v>80123102-61111201</v>
          </cell>
          <cell r="S5007" t="str">
            <v>2026A-06</v>
          </cell>
          <cell r="T5007" t="str">
            <v>Shell</v>
          </cell>
        </row>
        <row r="5008">
          <cell r="K5008">
            <v>2195.64</v>
          </cell>
          <cell r="P5008" t="str">
            <v>80123102-61111201</v>
          </cell>
          <cell r="S5008" t="str">
            <v>2026A-06</v>
          </cell>
          <cell r="T5008" t="str">
            <v>Shell</v>
          </cell>
        </row>
        <row r="5009">
          <cell r="K5009">
            <v>10321.4</v>
          </cell>
          <cell r="P5009" t="str">
            <v>80123102-61111201</v>
          </cell>
          <cell r="S5009" t="str">
            <v>2026A-06</v>
          </cell>
          <cell r="T5009" t="str">
            <v>Shell</v>
          </cell>
        </row>
        <row r="5010">
          <cell r="K5010">
            <v>4464.29</v>
          </cell>
          <cell r="P5010" t="str">
            <v>80123102-61111201</v>
          </cell>
          <cell r="S5010" t="str">
            <v>2026A-06</v>
          </cell>
          <cell r="T5010" t="str">
            <v>Shell</v>
          </cell>
        </row>
        <row r="5011">
          <cell r="K5011">
            <v>133.93</v>
          </cell>
          <cell r="P5011" t="str">
            <v>80123102-61111201</v>
          </cell>
          <cell r="S5011" t="str">
            <v>2026A-06</v>
          </cell>
          <cell r="T5011" t="str">
            <v>Shell</v>
          </cell>
        </row>
        <row r="5012">
          <cell r="K5012">
            <v>15000</v>
          </cell>
          <cell r="P5012" t="str">
            <v>90122101-52121502</v>
          </cell>
          <cell r="S5012" t="str">
            <v>2026A-06</v>
          </cell>
          <cell r="T5012" t="str">
            <v>Trainings</v>
          </cell>
        </row>
        <row r="5013">
          <cell r="K5013">
            <v>50000</v>
          </cell>
          <cell r="P5013" t="str">
            <v>80124101-61721105</v>
          </cell>
          <cell r="S5013" t="str">
            <v>2026A-06</v>
          </cell>
          <cell r="T5013" t="str">
            <v>Fiber Internet - Mckinley</v>
          </cell>
        </row>
        <row r="5014">
          <cell r="K5014">
            <v>45000</v>
          </cell>
          <cell r="P5014" t="str">
            <v>80124101-61721105</v>
          </cell>
          <cell r="S5014" t="str">
            <v>2026A-06</v>
          </cell>
          <cell r="T5014" t="str">
            <v>Fiber Internet - ES</v>
          </cell>
        </row>
        <row r="5015">
          <cell r="K5015">
            <v>165000</v>
          </cell>
          <cell r="P5015" t="str">
            <v>80124101-61721105</v>
          </cell>
          <cell r="S5015" t="str">
            <v>2026A-06</v>
          </cell>
          <cell r="T5015" t="str">
            <v>Fiber Internet - HQ</v>
          </cell>
        </row>
        <row r="5016">
          <cell r="K5016">
            <v>10000</v>
          </cell>
          <cell r="P5016" t="str">
            <v>80123101-61071005</v>
          </cell>
          <cell r="S5016" t="str">
            <v>2026A-06</v>
          </cell>
          <cell r="T5016" t="str">
            <v>Sycip</v>
          </cell>
        </row>
        <row r="5017">
          <cell r="K5017">
            <v>53022</v>
          </cell>
          <cell r="P5017" t="str">
            <v>80124101-61721105</v>
          </cell>
          <cell r="S5017" t="str">
            <v>2026A-06</v>
          </cell>
          <cell r="T5017" t="str">
            <v>Fiber Internet - CV</v>
          </cell>
        </row>
        <row r="5018">
          <cell r="K5018">
            <v>24011.5</v>
          </cell>
          <cell r="P5018" t="str">
            <v>81319101-52041405</v>
          </cell>
          <cell r="S5018" t="str">
            <v>2026A-06</v>
          </cell>
          <cell r="T5018" t="str">
            <v>TS</v>
          </cell>
        </row>
        <row r="5019">
          <cell r="K5019">
            <v>43498.720000000001</v>
          </cell>
          <cell r="P5019" t="str">
            <v>81319101-52041401</v>
          </cell>
          <cell r="S5019" t="str">
            <v>2026A-06</v>
          </cell>
          <cell r="T5019" t="str">
            <v>GH</v>
          </cell>
        </row>
        <row r="5020">
          <cell r="K5020">
            <v>89197.61</v>
          </cell>
          <cell r="P5020" t="str">
            <v>81319101-52041401</v>
          </cell>
          <cell r="S5020" t="str">
            <v>2026A-06</v>
          </cell>
          <cell r="T5020" t="str">
            <v>GH</v>
          </cell>
        </row>
        <row r="5021">
          <cell r="K5021">
            <v>8699.36</v>
          </cell>
          <cell r="P5021" t="str">
            <v>81319101-52041401</v>
          </cell>
          <cell r="S5021" t="str">
            <v>2026A-06</v>
          </cell>
          <cell r="T5021" t="str">
            <v>GH</v>
          </cell>
        </row>
        <row r="5022">
          <cell r="K5022">
            <v>17838.740000000002</v>
          </cell>
          <cell r="P5022" t="str">
            <v>81319101-52041401</v>
          </cell>
          <cell r="S5022" t="str">
            <v>2026A-06</v>
          </cell>
          <cell r="T5022" t="str">
            <v>GH</v>
          </cell>
        </row>
        <row r="5023">
          <cell r="K5023">
            <v>22841.07</v>
          </cell>
          <cell r="P5023" t="str">
            <v>81319101-52041499</v>
          </cell>
          <cell r="S5023" t="str">
            <v>2026A-06</v>
          </cell>
          <cell r="T5023" t="str">
            <v>GH</v>
          </cell>
        </row>
        <row r="5024">
          <cell r="K5024">
            <v>29629.87</v>
          </cell>
          <cell r="P5024" t="str">
            <v>81319101-52041499</v>
          </cell>
          <cell r="S5024" t="str">
            <v>2026A-06</v>
          </cell>
          <cell r="T5024" t="str">
            <v>TS</v>
          </cell>
        </row>
        <row r="5025">
          <cell r="K5025">
            <v>-2.38</v>
          </cell>
          <cell r="P5025" t="str">
            <v>81319101-52041401</v>
          </cell>
          <cell r="S5025" t="str">
            <v>2026A-06</v>
          </cell>
          <cell r="T5025" t="str">
            <v>TS</v>
          </cell>
        </row>
        <row r="5026">
          <cell r="K5026">
            <v>-0.48</v>
          </cell>
          <cell r="P5026" t="str">
            <v>81319101-52041401</v>
          </cell>
          <cell r="S5026" t="str">
            <v>2026A-06</v>
          </cell>
          <cell r="T5026" t="str">
            <v>TS</v>
          </cell>
        </row>
        <row r="5027">
          <cell r="K5027">
            <v>-2859.63</v>
          </cell>
          <cell r="P5027" t="str">
            <v>81319101-52041401</v>
          </cell>
          <cell r="S5027" t="str">
            <v>2026A-06</v>
          </cell>
          <cell r="T5027" t="str">
            <v>TS</v>
          </cell>
        </row>
        <row r="5028">
          <cell r="K5028">
            <v>-571.87</v>
          </cell>
          <cell r="P5028" t="str">
            <v>81319101-52041401</v>
          </cell>
          <cell r="S5028" t="str">
            <v>2026A-06</v>
          </cell>
          <cell r="T5028" t="str">
            <v>TS</v>
          </cell>
        </row>
        <row r="5029">
          <cell r="K5029">
            <v>22877.01</v>
          </cell>
          <cell r="P5029" t="str">
            <v>81319101-52041401</v>
          </cell>
          <cell r="S5029" t="str">
            <v>2026A-06</v>
          </cell>
          <cell r="T5029" t="str">
            <v>TS</v>
          </cell>
        </row>
        <row r="5030">
          <cell r="K5030">
            <v>4574.96</v>
          </cell>
          <cell r="P5030" t="str">
            <v>81319101-52041401</v>
          </cell>
          <cell r="S5030" t="str">
            <v>2026A-06</v>
          </cell>
          <cell r="T5030" t="str">
            <v>TS</v>
          </cell>
        </row>
        <row r="5031">
          <cell r="K5031">
            <v>8400</v>
          </cell>
          <cell r="P5031" t="str">
            <v>81123102-52081101</v>
          </cell>
          <cell r="S5031" t="str">
            <v>2026A-06</v>
          </cell>
          <cell r="T5031" t="str">
            <v>Transpo</v>
          </cell>
        </row>
        <row r="5032">
          <cell r="K5032">
            <v>24336.13</v>
          </cell>
          <cell r="P5032" t="str">
            <v>80123102-61061104</v>
          </cell>
          <cell r="S5032" t="str">
            <v>2026A-06</v>
          </cell>
          <cell r="T5032" t="str">
            <v>R&amp;M - Hiace</v>
          </cell>
        </row>
        <row r="5033">
          <cell r="K5033">
            <v>10000</v>
          </cell>
          <cell r="P5033" t="str">
            <v>80123101-61071005</v>
          </cell>
          <cell r="S5033" t="str">
            <v>2026A-06</v>
          </cell>
          <cell r="T5033" t="str">
            <v>Santiago</v>
          </cell>
        </row>
        <row r="5034">
          <cell r="K5034">
            <v>19759.689999999999</v>
          </cell>
          <cell r="P5034" t="str">
            <v>81319101-52041499</v>
          </cell>
          <cell r="S5034" t="str">
            <v>2026A-06</v>
          </cell>
          <cell r="T5034" t="str">
            <v>GH</v>
          </cell>
        </row>
        <row r="5035">
          <cell r="K5035">
            <v>71.430000000000007</v>
          </cell>
          <cell r="P5035" t="str">
            <v>81123102-52111101</v>
          </cell>
          <cell r="S5035" t="str">
            <v>2026A-06</v>
          </cell>
          <cell r="T5035" t="str">
            <v>Office Supplies - Others</v>
          </cell>
        </row>
        <row r="5036">
          <cell r="K5036">
            <v>51.34</v>
          </cell>
          <cell r="P5036" t="str">
            <v>81123102-52111101</v>
          </cell>
          <cell r="S5036" t="str">
            <v>2026A-06</v>
          </cell>
          <cell r="T5036" t="str">
            <v>Office Supplies - Others</v>
          </cell>
        </row>
        <row r="5037">
          <cell r="K5037">
            <v>419.64</v>
          </cell>
          <cell r="P5037" t="str">
            <v>81123102-52111101</v>
          </cell>
          <cell r="S5037" t="str">
            <v>2026A-06</v>
          </cell>
          <cell r="T5037" t="str">
            <v>Office Supplies - Others</v>
          </cell>
        </row>
        <row r="5038">
          <cell r="K5038">
            <v>419.64</v>
          </cell>
          <cell r="P5038" t="str">
            <v>81123102-52111101</v>
          </cell>
          <cell r="S5038" t="str">
            <v>2026A-06</v>
          </cell>
          <cell r="T5038" t="str">
            <v>Office Supplies - Others</v>
          </cell>
        </row>
        <row r="5039">
          <cell r="K5039">
            <v>758.93</v>
          </cell>
          <cell r="P5039" t="str">
            <v>81123102-52111101</v>
          </cell>
          <cell r="S5039" t="str">
            <v>2026A-06</v>
          </cell>
          <cell r="T5039" t="str">
            <v>Office Supplies - Others</v>
          </cell>
        </row>
        <row r="5040">
          <cell r="K5040">
            <v>267.86</v>
          </cell>
          <cell r="P5040" t="str">
            <v>81123102-52111101</v>
          </cell>
          <cell r="S5040" t="str">
            <v>2026A-06</v>
          </cell>
          <cell r="T5040" t="str">
            <v>Office Supplies - Others</v>
          </cell>
        </row>
        <row r="5041">
          <cell r="K5041">
            <v>1196.43</v>
          </cell>
          <cell r="P5041" t="str">
            <v>81123102-52111101</v>
          </cell>
          <cell r="S5041" t="str">
            <v>2026A-06</v>
          </cell>
          <cell r="T5041" t="str">
            <v>Office Supplies - Others</v>
          </cell>
        </row>
        <row r="5042">
          <cell r="K5042">
            <v>78.569999999999993</v>
          </cell>
          <cell r="P5042" t="str">
            <v>81123102-52111101</v>
          </cell>
          <cell r="S5042" t="str">
            <v>2026A-06</v>
          </cell>
          <cell r="T5042" t="str">
            <v>Office Supplies - Others</v>
          </cell>
        </row>
        <row r="5043">
          <cell r="K5043">
            <v>78.569999999999993</v>
          </cell>
          <cell r="P5043" t="str">
            <v>81123102-52111101</v>
          </cell>
          <cell r="S5043" t="str">
            <v>2026A-06</v>
          </cell>
          <cell r="T5043" t="str">
            <v>Office Supplies - Others</v>
          </cell>
        </row>
        <row r="5044">
          <cell r="K5044">
            <v>78.569999999999993</v>
          </cell>
          <cell r="P5044" t="str">
            <v>81123102-52111101</v>
          </cell>
          <cell r="S5044" t="str">
            <v>2026A-06</v>
          </cell>
          <cell r="T5044" t="str">
            <v>Office Supplies - Others</v>
          </cell>
        </row>
        <row r="5045">
          <cell r="K5045">
            <v>160.71</v>
          </cell>
          <cell r="P5045" t="str">
            <v>81123102-52111101</v>
          </cell>
          <cell r="S5045" t="str">
            <v>2026A-06</v>
          </cell>
          <cell r="T5045" t="str">
            <v>Office Supplies - Others</v>
          </cell>
        </row>
        <row r="5046">
          <cell r="K5046">
            <v>2767.86</v>
          </cell>
          <cell r="P5046" t="str">
            <v>81123102-52111101</v>
          </cell>
          <cell r="S5046" t="str">
            <v>2026A-06</v>
          </cell>
          <cell r="T5046" t="str">
            <v>Office Supplies - Others</v>
          </cell>
        </row>
        <row r="5047">
          <cell r="K5047">
            <v>2767.86</v>
          </cell>
          <cell r="P5047" t="str">
            <v>81123102-52111101</v>
          </cell>
          <cell r="S5047" t="str">
            <v>2026A-06</v>
          </cell>
          <cell r="T5047" t="str">
            <v>Office Supplies - Others</v>
          </cell>
        </row>
        <row r="5048">
          <cell r="K5048">
            <v>2767.86</v>
          </cell>
          <cell r="P5048" t="str">
            <v>81123102-52111101</v>
          </cell>
          <cell r="S5048" t="str">
            <v>2026A-06</v>
          </cell>
          <cell r="T5048" t="str">
            <v>Office Supplies - Others</v>
          </cell>
        </row>
        <row r="5049">
          <cell r="K5049">
            <v>2767.86</v>
          </cell>
          <cell r="P5049" t="str">
            <v>81123102-52111101</v>
          </cell>
          <cell r="S5049" t="str">
            <v>2026A-06</v>
          </cell>
          <cell r="T5049" t="str">
            <v>Office Supplies - Others</v>
          </cell>
        </row>
        <row r="5050">
          <cell r="K5050">
            <v>4375</v>
          </cell>
          <cell r="P5050" t="str">
            <v>81123102-52111101</v>
          </cell>
          <cell r="S5050" t="str">
            <v>2026A-06</v>
          </cell>
          <cell r="T5050" t="str">
            <v>Office Supplies - Others</v>
          </cell>
        </row>
        <row r="5051">
          <cell r="K5051">
            <v>513.39</v>
          </cell>
          <cell r="P5051" t="str">
            <v>81123102-52111101</v>
          </cell>
          <cell r="S5051" t="str">
            <v>2026A-06</v>
          </cell>
          <cell r="T5051" t="str">
            <v>Office Supplies - Others</v>
          </cell>
        </row>
        <row r="5052">
          <cell r="K5052">
            <v>116.07</v>
          </cell>
          <cell r="P5052" t="str">
            <v>81123102-52111101</v>
          </cell>
          <cell r="S5052" t="str">
            <v>2026A-06</v>
          </cell>
          <cell r="T5052" t="str">
            <v>Office Supplies - Others</v>
          </cell>
        </row>
        <row r="5053">
          <cell r="K5053">
            <v>428.57</v>
          </cell>
          <cell r="P5053" t="str">
            <v>81123102-52111101</v>
          </cell>
          <cell r="S5053" t="str">
            <v>2026A-06</v>
          </cell>
          <cell r="T5053" t="str">
            <v>Office Supplies - Others</v>
          </cell>
        </row>
        <row r="5054">
          <cell r="K5054">
            <v>1285.71</v>
          </cell>
          <cell r="P5054" t="str">
            <v>81123102-52111101</v>
          </cell>
          <cell r="S5054" t="str">
            <v>2026A-06</v>
          </cell>
          <cell r="T5054" t="str">
            <v>Office Supplies - Others</v>
          </cell>
        </row>
        <row r="5055">
          <cell r="K5055">
            <v>375</v>
          </cell>
          <cell r="P5055" t="str">
            <v>81123102-52111101</v>
          </cell>
          <cell r="S5055" t="str">
            <v>2026A-06</v>
          </cell>
          <cell r="T5055" t="str">
            <v>Office Supplies - Others</v>
          </cell>
        </row>
        <row r="5056">
          <cell r="K5056">
            <v>928.57</v>
          </cell>
          <cell r="P5056" t="str">
            <v>81123102-52111101</v>
          </cell>
          <cell r="S5056" t="str">
            <v>2026A-06</v>
          </cell>
          <cell r="T5056" t="str">
            <v>Office Supplies - Others</v>
          </cell>
        </row>
        <row r="5057">
          <cell r="K5057">
            <v>339.29</v>
          </cell>
          <cell r="P5057" t="str">
            <v>81123102-52111101</v>
          </cell>
          <cell r="S5057" t="str">
            <v>2026A-06</v>
          </cell>
          <cell r="T5057" t="str">
            <v>Office Supplies - Others</v>
          </cell>
        </row>
        <row r="5058">
          <cell r="K5058">
            <v>1607.14</v>
          </cell>
          <cell r="P5058" t="str">
            <v>81123102-52111101</v>
          </cell>
          <cell r="S5058" t="str">
            <v>2026A-06</v>
          </cell>
          <cell r="T5058" t="str">
            <v>Office Supplies - Others</v>
          </cell>
        </row>
        <row r="5059">
          <cell r="K5059">
            <v>1392.86</v>
          </cell>
          <cell r="P5059" t="str">
            <v>81123102-52111101</v>
          </cell>
          <cell r="S5059" t="str">
            <v>2026A-06</v>
          </cell>
          <cell r="T5059" t="str">
            <v>Office Supplies - Others</v>
          </cell>
        </row>
        <row r="5060">
          <cell r="K5060">
            <v>3303.57</v>
          </cell>
          <cell r="P5060" t="str">
            <v>81123102-52111101</v>
          </cell>
          <cell r="S5060" t="str">
            <v>2026A-06</v>
          </cell>
          <cell r="T5060" t="str">
            <v>Office Supplies - Others</v>
          </cell>
        </row>
        <row r="5061">
          <cell r="K5061">
            <v>1741.07</v>
          </cell>
          <cell r="P5061" t="str">
            <v>81123102-52111101</v>
          </cell>
          <cell r="S5061" t="str">
            <v>2026A-06</v>
          </cell>
          <cell r="T5061" t="str">
            <v>Office Supplies - Others</v>
          </cell>
        </row>
        <row r="5062">
          <cell r="K5062">
            <v>58.93</v>
          </cell>
          <cell r="P5062" t="str">
            <v>81123102-52111101</v>
          </cell>
          <cell r="S5062" t="str">
            <v>2026A-06</v>
          </cell>
          <cell r="T5062" t="str">
            <v>Office Supplies - Others</v>
          </cell>
        </row>
        <row r="5063">
          <cell r="K5063">
            <v>78.569999999999993</v>
          </cell>
          <cell r="P5063" t="str">
            <v>81123102-52111101</v>
          </cell>
          <cell r="S5063" t="str">
            <v>2026A-06</v>
          </cell>
          <cell r="T5063" t="str">
            <v>Office Supplies - Others</v>
          </cell>
        </row>
        <row r="5064">
          <cell r="K5064">
            <v>196.43</v>
          </cell>
          <cell r="P5064" t="str">
            <v>81123102-52111101</v>
          </cell>
          <cell r="S5064" t="str">
            <v>2026A-06</v>
          </cell>
          <cell r="T5064" t="str">
            <v>Office Supplies - Others</v>
          </cell>
        </row>
        <row r="5065">
          <cell r="K5065">
            <v>647.32000000000005</v>
          </cell>
          <cell r="P5065" t="str">
            <v>81123102-52111101</v>
          </cell>
          <cell r="S5065" t="str">
            <v>2026A-06</v>
          </cell>
          <cell r="T5065" t="str">
            <v>Office Supplies - Others</v>
          </cell>
        </row>
        <row r="5066">
          <cell r="K5066">
            <v>330</v>
          </cell>
          <cell r="P5066" t="str">
            <v>81123102-52111101</v>
          </cell>
          <cell r="S5066" t="str">
            <v>2026A-06</v>
          </cell>
          <cell r="T5066" t="str">
            <v>Office Supplies - Others</v>
          </cell>
        </row>
        <row r="5067">
          <cell r="K5067">
            <v>80.36</v>
          </cell>
          <cell r="P5067" t="str">
            <v>81123102-52111101</v>
          </cell>
          <cell r="S5067" t="str">
            <v>2026A-06</v>
          </cell>
          <cell r="T5067" t="str">
            <v>Office Supplies - Others</v>
          </cell>
        </row>
        <row r="5068">
          <cell r="K5068">
            <v>17.41</v>
          </cell>
          <cell r="P5068" t="str">
            <v>81123102-52111101</v>
          </cell>
          <cell r="S5068" t="str">
            <v>2026A-06</v>
          </cell>
          <cell r="T5068" t="str">
            <v>Office Supplies - Others</v>
          </cell>
        </row>
        <row r="5069">
          <cell r="K5069">
            <v>160.71</v>
          </cell>
          <cell r="P5069" t="str">
            <v>81123102-52111101</v>
          </cell>
          <cell r="S5069" t="str">
            <v>2026A-06</v>
          </cell>
          <cell r="T5069" t="str">
            <v>Office Supplies - Others</v>
          </cell>
        </row>
        <row r="5070">
          <cell r="K5070">
            <v>1321.43</v>
          </cell>
          <cell r="P5070" t="str">
            <v>81123102-52111101</v>
          </cell>
          <cell r="S5070" t="str">
            <v>2026A-06</v>
          </cell>
          <cell r="T5070" t="str">
            <v>Office Supplies - Others</v>
          </cell>
        </row>
        <row r="5071">
          <cell r="K5071">
            <v>155.36000000000001</v>
          </cell>
          <cell r="P5071" t="str">
            <v>81123102-52111101</v>
          </cell>
          <cell r="S5071" t="str">
            <v>2026A-06</v>
          </cell>
          <cell r="T5071" t="str">
            <v>Office Supplies - Others</v>
          </cell>
        </row>
        <row r="5072">
          <cell r="K5072">
            <v>616.07000000000005</v>
          </cell>
          <cell r="P5072" t="str">
            <v>81123102-52111101</v>
          </cell>
          <cell r="S5072" t="str">
            <v>2026A-06</v>
          </cell>
          <cell r="T5072" t="str">
            <v>Office Supplies - Others</v>
          </cell>
        </row>
        <row r="5073">
          <cell r="K5073">
            <v>78.569999999999993</v>
          </cell>
          <cell r="P5073" t="str">
            <v>81123102-52111101</v>
          </cell>
          <cell r="S5073" t="str">
            <v>2026A-06</v>
          </cell>
          <cell r="T5073" t="str">
            <v>Office Supplies - Others</v>
          </cell>
        </row>
        <row r="5074">
          <cell r="K5074">
            <v>116.07</v>
          </cell>
          <cell r="P5074" t="str">
            <v>81123102-52111101</v>
          </cell>
          <cell r="S5074" t="str">
            <v>2026A-06</v>
          </cell>
          <cell r="T5074" t="str">
            <v>Office Supplies - Others</v>
          </cell>
        </row>
        <row r="5075">
          <cell r="K5075">
            <v>53.57</v>
          </cell>
          <cell r="P5075" t="str">
            <v>81123102-52111101</v>
          </cell>
          <cell r="S5075" t="str">
            <v>2026A-06</v>
          </cell>
          <cell r="T5075" t="str">
            <v>Office Supplies - Others</v>
          </cell>
        </row>
        <row r="5076">
          <cell r="K5076">
            <v>2714.29</v>
          </cell>
          <cell r="P5076" t="str">
            <v>81123102-52061111</v>
          </cell>
          <cell r="S5076" t="str">
            <v>2026A-06</v>
          </cell>
          <cell r="T5076" t="str">
            <v>R&amp;M - Supplies</v>
          </cell>
        </row>
        <row r="5077">
          <cell r="K5077">
            <v>7000</v>
          </cell>
          <cell r="P5077" t="str">
            <v>81123102-52061111</v>
          </cell>
          <cell r="S5077" t="str">
            <v>2026A-06</v>
          </cell>
          <cell r="T5077" t="str">
            <v>R&amp;M - Supplies</v>
          </cell>
        </row>
        <row r="5078">
          <cell r="K5078">
            <v>14319.64</v>
          </cell>
          <cell r="P5078" t="str">
            <v>81122101-52121401</v>
          </cell>
          <cell r="S5078" t="str">
            <v>2026A-06</v>
          </cell>
          <cell r="T5078" t="str">
            <v>Company outing</v>
          </cell>
        </row>
        <row r="5079">
          <cell r="K5079">
            <v>8290.18</v>
          </cell>
          <cell r="P5079" t="str">
            <v>81122101-52121401</v>
          </cell>
          <cell r="S5079" t="str">
            <v>2026A-06</v>
          </cell>
          <cell r="T5079" t="str">
            <v>Company outing</v>
          </cell>
        </row>
        <row r="5080">
          <cell r="K5080">
            <v>10133.93</v>
          </cell>
          <cell r="P5080" t="str">
            <v>81122101-52121401</v>
          </cell>
          <cell r="S5080" t="str">
            <v>2026A-06</v>
          </cell>
          <cell r="T5080" t="str">
            <v>Company outing</v>
          </cell>
        </row>
        <row r="5081">
          <cell r="K5081">
            <v>9330.36</v>
          </cell>
          <cell r="P5081" t="str">
            <v>81122101-52121401</v>
          </cell>
          <cell r="S5081" t="str">
            <v>2026A-06</v>
          </cell>
          <cell r="T5081" t="str">
            <v>Company outing</v>
          </cell>
        </row>
        <row r="5082">
          <cell r="K5082">
            <v>7947.32</v>
          </cell>
          <cell r="P5082" t="str">
            <v>80123102-61061104</v>
          </cell>
          <cell r="S5082" t="str">
            <v>2026A-06</v>
          </cell>
          <cell r="T5082" t="str">
            <v>R&amp;M - Starex</v>
          </cell>
        </row>
        <row r="5083">
          <cell r="K5083">
            <v>1885</v>
          </cell>
          <cell r="P5083" t="str">
            <v>81111204-52091102</v>
          </cell>
          <cell r="S5083" t="str">
            <v>2026A-06</v>
          </cell>
          <cell r="T5083" t="str">
            <v>Meetings</v>
          </cell>
        </row>
        <row r="5084">
          <cell r="K5084">
            <v>14285.71</v>
          </cell>
          <cell r="P5084" t="str">
            <v>81319101-52111101</v>
          </cell>
          <cell r="S5084" t="str">
            <v>2026A-06</v>
          </cell>
          <cell r="T5084" t="str">
            <v>GH</v>
          </cell>
        </row>
        <row r="5085">
          <cell r="K5085">
            <v>14285.71</v>
          </cell>
          <cell r="P5085" t="str">
            <v>81319101-52111101</v>
          </cell>
          <cell r="S5085" t="str">
            <v>2026A-06</v>
          </cell>
          <cell r="T5085" t="str">
            <v>GH</v>
          </cell>
        </row>
        <row r="5086">
          <cell r="K5086">
            <v>14285.71</v>
          </cell>
          <cell r="P5086" t="str">
            <v>81319101-52111101</v>
          </cell>
          <cell r="S5086" t="str">
            <v>2026A-06</v>
          </cell>
          <cell r="T5086" t="str">
            <v>GH</v>
          </cell>
        </row>
        <row r="5087">
          <cell r="K5087">
            <v>14285.71</v>
          </cell>
          <cell r="P5087" t="str">
            <v>81319101-52111101</v>
          </cell>
          <cell r="S5087" t="str">
            <v>2026A-06</v>
          </cell>
          <cell r="T5087" t="str">
            <v>GH</v>
          </cell>
        </row>
        <row r="5088">
          <cell r="K5088">
            <v>21447.200000000001</v>
          </cell>
          <cell r="P5088" t="str">
            <v>81319101-52041401</v>
          </cell>
          <cell r="S5088" t="str">
            <v>2026A-06</v>
          </cell>
          <cell r="T5088" t="str">
            <v>CV</v>
          </cell>
        </row>
        <row r="5089">
          <cell r="K5089">
            <v>4289.0200000000004</v>
          </cell>
          <cell r="P5089" t="str">
            <v>81319101-52041401</v>
          </cell>
          <cell r="S5089" t="str">
            <v>2026A-06</v>
          </cell>
          <cell r="T5089" t="str">
            <v>CV</v>
          </cell>
        </row>
        <row r="5090">
          <cell r="K5090">
            <v>21447.200000000001</v>
          </cell>
          <cell r="P5090" t="str">
            <v>81319101-52041401</v>
          </cell>
          <cell r="S5090" t="str">
            <v>2026A-06</v>
          </cell>
          <cell r="T5090" t="str">
            <v>TS</v>
          </cell>
        </row>
        <row r="5091">
          <cell r="K5091">
            <v>4289.0200000000004</v>
          </cell>
          <cell r="P5091" t="str">
            <v>81319101-52041401</v>
          </cell>
          <cell r="S5091" t="str">
            <v>2026A-06</v>
          </cell>
          <cell r="T5091" t="str">
            <v>TS</v>
          </cell>
        </row>
        <row r="5092">
          <cell r="K5092">
            <v>159672.9</v>
          </cell>
          <cell r="P5092" t="str">
            <v>81319101-52041405</v>
          </cell>
          <cell r="S5092" t="str">
            <v>2026A-06</v>
          </cell>
          <cell r="T5092" t="str">
            <v>GH</v>
          </cell>
        </row>
        <row r="5093">
          <cell r="K5093">
            <v>3790.47</v>
          </cell>
          <cell r="P5093" t="str">
            <v>81319101-52041405</v>
          </cell>
          <cell r="S5093" t="str">
            <v>2026A-06</v>
          </cell>
          <cell r="T5093" t="str">
            <v>ES</v>
          </cell>
        </row>
        <row r="5094">
          <cell r="K5094">
            <v>1137.24</v>
          </cell>
          <cell r="P5094" t="str">
            <v>81319101-52041499</v>
          </cell>
          <cell r="S5094" t="str">
            <v>2026A-06</v>
          </cell>
          <cell r="T5094" t="str">
            <v>GH</v>
          </cell>
        </row>
        <row r="5095">
          <cell r="K5095">
            <v>59259.73</v>
          </cell>
          <cell r="P5095" t="str">
            <v>81319101-52041499</v>
          </cell>
          <cell r="S5095" t="str">
            <v>2026A-06</v>
          </cell>
          <cell r="T5095" t="str">
            <v>GH</v>
          </cell>
        </row>
        <row r="5096">
          <cell r="K5096">
            <v>1377066.6</v>
          </cell>
          <cell r="P5096" t="str">
            <v>81221201-61959999</v>
          </cell>
          <cell r="S5096" t="str">
            <v>2026A-06</v>
          </cell>
          <cell r="T5096" t="str">
            <v>GH Redev Plan</v>
          </cell>
        </row>
        <row r="5097">
          <cell r="K5097">
            <v>-1377066.6</v>
          </cell>
          <cell r="P5097" t="str">
            <v>81221201-61959999</v>
          </cell>
          <cell r="S5097" t="str">
            <v>2026A-06</v>
          </cell>
          <cell r="T5097" t="str">
            <v>GH Redev Plan</v>
          </cell>
        </row>
        <row r="5098">
          <cell r="K5098">
            <v>688533.3</v>
          </cell>
          <cell r="P5098" t="str">
            <v>81221201-61959999</v>
          </cell>
          <cell r="S5098" t="str">
            <v>2026A-06</v>
          </cell>
          <cell r="T5098" t="str">
            <v>GH Redev Plan</v>
          </cell>
        </row>
        <row r="5099">
          <cell r="K5099">
            <v>26966.67</v>
          </cell>
          <cell r="P5099" t="str">
            <v>81111101-52041495</v>
          </cell>
          <cell r="S5099" t="str">
            <v>2026A-06</v>
          </cell>
          <cell r="T5099" t="str">
            <v>BTs</v>
          </cell>
        </row>
        <row r="5100">
          <cell r="K5100">
            <v>32598.73</v>
          </cell>
          <cell r="P5100" t="str">
            <v>81319101-52041499</v>
          </cell>
          <cell r="S5100" t="str">
            <v>2026A-06</v>
          </cell>
          <cell r="T5100" t="str">
            <v>ES</v>
          </cell>
        </row>
        <row r="5101">
          <cell r="K5101">
            <v>30534.43</v>
          </cell>
          <cell r="P5101" t="str">
            <v>81319101-52041499</v>
          </cell>
          <cell r="S5101" t="str">
            <v>2026A-06</v>
          </cell>
          <cell r="T5101" t="str">
            <v>ES</v>
          </cell>
        </row>
        <row r="5102">
          <cell r="K5102">
            <v>29393.57</v>
          </cell>
          <cell r="P5102" t="str">
            <v>81319101-52041405</v>
          </cell>
          <cell r="S5102" t="str">
            <v>2026A-06</v>
          </cell>
          <cell r="T5102" t="str">
            <v>ES</v>
          </cell>
        </row>
        <row r="5103">
          <cell r="K5103">
            <v>16964.28</v>
          </cell>
          <cell r="P5103" t="str">
            <v>81124101-52952103</v>
          </cell>
          <cell r="S5103" t="str">
            <v>2026A-06</v>
          </cell>
          <cell r="T5103" t="str">
            <v>SDWAN ES TS GH</v>
          </cell>
        </row>
        <row r="5104">
          <cell r="K5104">
            <v>5745.54</v>
          </cell>
          <cell r="P5104" t="str">
            <v>81122101-52111101</v>
          </cell>
          <cell r="S5104" t="str">
            <v>2026A-06</v>
          </cell>
          <cell r="T5104" t="str">
            <v>Tissue</v>
          </cell>
        </row>
        <row r="5105">
          <cell r="K5105">
            <v>8241.2800000000007</v>
          </cell>
          <cell r="P5105" t="str">
            <v>81319101-52041405</v>
          </cell>
          <cell r="S5105" t="str">
            <v>2026A-06</v>
          </cell>
          <cell r="T5105" t="str">
            <v>TS</v>
          </cell>
        </row>
        <row r="5106">
          <cell r="K5106">
            <v>747.77</v>
          </cell>
          <cell r="P5106" t="str">
            <v>81123102-52061103</v>
          </cell>
          <cell r="S5106" t="str">
            <v>2026A-06</v>
          </cell>
          <cell r="T5106" t="str">
            <v>R&amp;M - Building</v>
          </cell>
        </row>
        <row r="5107">
          <cell r="K5107">
            <v>7500</v>
          </cell>
          <cell r="P5107" t="str">
            <v>81123102-52061103</v>
          </cell>
          <cell r="S5107" t="str">
            <v>2026A-06</v>
          </cell>
          <cell r="T5107" t="str">
            <v>R&amp;M - F&amp;F</v>
          </cell>
        </row>
        <row r="5108">
          <cell r="K5108">
            <v>1285.71</v>
          </cell>
          <cell r="P5108" t="str">
            <v>81123102-52061103</v>
          </cell>
          <cell r="S5108" t="str">
            <v>2026A-06</v>
          </cell>
          <cell r="T5108" t="str">
            <v>R&amp;M - F&amp;F</v>
          </cell>
        </row>
        <row r="5109">
          <cell r="K5109">
            <v>660.71</v>
          </cell>
          <cell r="P5109" t="str">
            <v>81123102-52111101</v>
          </cell>
          <cell r="S5109" t="str">
            <v>2026A-06</v>
          </cell>
          <cell r="T5109" t="str">
            <v>Office Supplies - Others</v>
          </cell>
        </row>
        <row r="5110">
          <cell r="K5110">
            <v>466.07</v>
          </cell>
          <cell r="P5110" t="str">
            <v>81123102-52111101</v>
          </cell>
          <cell r="S5110" t="str">
            <v>2026A-06</v>
          </cell>
          <cell r="T5110" t="str">
            <v>Office Supplies - Others</v>
          </cell>
        </row>
        <row r="5111">
          <cell r="K5111">
            <v>138.38999999999999</v>
          </cell>
          <cell r="P5111" t="str">
            <v>81123102-52111101</v>
          </cell>
          <cell r="S5111" t="str">
            <v>2026A-06</v>
          </cell>
          <cell r="T5111" t="str">
            <v>Office Supplies - Others</v>
          </cell>
        </row>
        <row r="5112">
          <cell r="K5112">
            <v>3080.36</v>
          </cell>
          <cell r="P5112" t="str">
            <v>81123102-52111101</v>
          </cell>
          <cell r="S5112" t="str">
            <v>2026A-06</v>
          </cell>
          <cell r="T5112" t="str">
            <v>Office Supplies - Others</v>
          </cell>
        </row>
        <row r="5113">
          <cell r="K5113">
            <v>758.93</v>
          </cell>
          <cell r="P5113" t="str">
            <v>81123102-52111101</v>
          </cell>
          <cell r="S5113" t="str">
            <v>2026A-06</v>
          </cell>
          <cell r="T5113" t="str">
            <v>Office Supplies - Others</v>
          </cell>
        </row>
        <row r="5114">
          <cell r="K5114">
            <v>53.57</v>
          </cell>
          <cell r="P5114" t="str">
            <v>81123102-52111101</v>
          </cell>
          <cell r="S5114" t="str">
            <v>2026A-06</v>
          </cell>
          <cell r="T5114" t="str">
            <v>Office Supplies - Others</v>
          </cell>
        </row>
        <row r="5115">
          <cell r="K5115">
            <v>117.86</v>
          </cell>
          <cell r="P5115" t="str">
            <v>81123102-52111101</v>
          </cell>
          <cell r="S5115" t="str">
            <v>2026A-06</v>
          </cell>
          <cell r="T5115" t="str">
            <v>Office Supplies - Others</v>
          </cell>
        </row>
        <row r="5116">
          <cell r="K5116">
            <v>30.8</v>
          </cell>
          <cell r="P5116" t="str">
            <v>81123102-52111101</v>
          </cell>
          <cell r="S5116" t="str">
            <v>2026A-06</v>
          </cell>
          <cell r="T5116" t="str">
            <v>Office Supplies - Others</v>
          </cell>
        </row>
        <row r="5117">
          <cell r="K5117">
            <v>375</v>
          </cell>
          <cell r="P5117" t="str">
            <v>81123102-52111101</v>
          </cell>
          <cell r="S5117" t="str">
            <v>2026A-06</v>
          </cell>
          <cell r="T5117" t="str">
            <v>Office Supplies - Others</v>
          </cell>
        </row>
        <row r="5118">
          <cell r="K5118">
            <v>56.25</v>
          </cell>
          <cell r="P5118" t="str">
            <v>81123102-52111101</v>
          </cell>
          <cell r="S5118" t="str">
            <v>2026A-06</v>
          </cell>
          <cell r="T5118" t="str">
            <v>Office Supplies - Others</v>
          </cell>
        </row>
        <row r="5119">
          <cell r="K5119">
            <v>88.39</v>
          </cell>
          <cell r="P5119" t="str">
            <v>81123102-52111101</v>
          </cell>
          <cell r="S5119" t="str">
            <v>2026A-06</v>
          </cell>
          <cell r="T5119" t="str">
            <v>Office Supplies - Others</v>
          </cell>
        </row>
        <row r="5120">
          <cell r="K5120">
            <v>33.93</v>
          </cell>
          <cell r="P5120" t="str">
            <v>81123102-52111101</v>
          </cell>
          <cell r="S5120" t="str">
            <v>2026A-06</v>
          </cell>
          <cell r="T5120" t="str">
            <v>Office Supplies - Others</v>
          </cell>
        </row>
        <row r="5121">
          <cell r="K5121">
            <v>71.430000000000007</v>
          </cell>
          <cell r="P5121" t="str">
            <v>81123102-52111101</v>
          </cell>
          <cell r="S5121" t="str">
            <v>2026A-06</v>
          </cell>
          <cell r="T5121" t="str">
            <v>Office Supplies - Others</v>
          </cell>
        </row>
        <row r="5122">
          <cell r="K5122">
            <v>5745.54</v>
          </cell>
          <cell r="P5122" t="str">
            <v>81122101-52111101</v>
          </cell>
          <cell r="S5122" t="str">
            <v>2026A-06</v>
          </cell>
          <cell r="T5122" t="str">
            <v>Tissue</v>
          </cell>
        </row>
        <row r="5123">
          <cell r="K5123">
            <v>2150.4899999999998</v>
          </cell>
          <cell r="P5123" t="str">
            <v>81319101-52041499</v>
          </cell>
          <cell r="S5123" t="str">
            <v>2026A-06</v>
          </cell>
          <cell r="T5123" t="str">
            <v>GH</v>
          </cell>
        </row>
        <row r="5124">
          <cell r="K5124">
            <v>87955.199999999997</v>
          </cell>
          <cell r="P5124" t="str">
            <v>81319101-52041401</v>
          </cell>
          <cell r="S5124" t="str">
            <v>2026A-06</v>
          </cell>
          <cell r="T5124" t="str">
            <v>ES</v>
          </cell>
        </row>
        <row r="5125">
          <cell r="K5125">
            <v>17589.599999999999</v>
          </cell>
          <cell r="P5125" t="str">
            <v>81319101-52041401</v>
          </cell>
          <cell r="S5125" t="str">
            <v>2026A-06</v>
          </cell>
          <cell r="T5125" t="str">
            <v>ES</v>
          </cell>
        </row>
        <row r="5126">
          <cell r="K5126">
            <v>4017.86</v>
          </cell>
          <cell r="P5126" t="str">
            <v>81123102-61031201</v>
          </cell>
          <cell r="S5126" t="str">
            <v>2026A-06</v>
          </cell>
          <cell r="T5126" t="str">
            <v>R&amp;M - Supplies</v>
          </cell>
        </row>
        <row r="5127">
          <cell r="K5127">
            <v>860</v>
          </cell>
          <cell r="P5127" t="str">
            <v>81319101-52061105</v>
          </cell>
          <cell r="S5127" t="str">
            <v>2026A-06</v>
          </cell>
          <cell r="T5127" t="str">
            <v>R&amp;M - ES</v>
          </cell>
        </row>
        <row r="5128">
          <cell r="K5128">
            <v>30800</v>
          </cell>
          <cell r="P5128" t="str">
            <v>80111101-61021102</v>
          </cell>
          <cell r="S5128" t="str">
            <v>2026A-06</v>
          </cell>
          <cell r="T5128" t="str">
            <v>Regular Employee</v>
          </cell>
        </row>
        <row r="5129">
          <cell r="K5129">
            <v>-42.04</v>
          </cell>
          <cell r="P5129" t="str">
            <v>80111101-61021102</v>
          </cell>
          <cell r="S5129" t="str">
            <v>2026A-06</v>
          </cell>
          <cell r="T5129" t="str">
            <v>Regular Employee</v>
          </cell>
        </row>
        <row r="5130">
          <cell r="K5130">
            <v>50500</v>
          </cell>
          <cell r="P5130" t="str">
            <v>80111101-61021102</v>
          </cell>
          <cell r="S5130" t="str">
            <v>2026A-06</v>
          </cell>
          <cell r="T5130" t="str">
            <v>Regular Employee</v>
          </cell>
        </row>
        <row r="5131">
          <cell r="K5131">
            <v>238150</v>
          </cell>
          <cell r="P5131" t="str">
            <v>80111101-61021102</v>
          </cell>
          <cell r="S5131" t="str">
            <v>2026A-06</v>
          </cell>
          <cell r="T5131" t="str">
            <v>Regular Employee</v>
          </cell>
        </row>
        <row r="5132">
          <cell r="K5132">
            <v>-925.2</v>
          </cell>
          <cell r="P5132" t="str">
            <v>80111101-61021102</v>
          </cell>
          <cell r="S5132" t="str">
            <v>2026A-06</v>
          </cell>
          <cell r="T5132" t="str">
            <v>Regular Employee</v>
          </cell>
        </row>
        <row r="5133">
          <cell r="K5133">
            <v>-244.64</v>
          </cell>
          <cell r="P5133" t="str">
            <v>80111101-61021102</v>
          </cell>
          <cell r="S5133" t="str">
            <v>2026A-06</v>
          </cell>
          <cell r="T5133" t="str">
            <v>Regular Employee</v>
          </cell>
        </row>
        <row r="5134">
          <cell r="K5134">
            <v>737300</v>
          </cell>
          <cell r="P5134" t="str">
            <v>80111101-61021102</v>
          </cell>
          <cell r="S5134" t="str">
            <v>2026A-06</v>
          </cell>
          <cell r="T5134" t="str">
            <v>Regular Employee</v>
          </cell>
        </row>
        <row r="5135">
          <cell r="K5135">
            <v>-18909.419999999998</v>
          </cell>
          <cell r="P5135" t="str">
            <v>80111101-61021102</v>
          </cell>
          <cell r="S5135" t="str">
            <v>2026A-06</v>
          </cell>
          <cell r="T5135" t="str">
            <v>Regular Employee</v>
          </cell>
        </row>
        <row r="5136">
          <cell r="K5136">
            <v>-189.21</v>
          </cell>
          <cell r="P5136" t="str">
            <v>80111101-61021102</v>
          </cell>
          <cell r="S5136" t="str">
            <v>2026A-06</v>
          </cell>
          <cell r="T5136" t="str">
            <v>Regular Employee</v>
          </cell>
        </row>
        <row r="5137">
          <cell r="K5137">
            <v>-4283.8</v>
          </cell>
          <cell r="P5137" t="str">
            <v>80111101-61021102</v>
          </cell>
          <cell r="S5137" t="str">
            <v>2026A-06</v>
          </cell>
          <cell r="T5137" t="str">
            <v>Regular Employee</v>
          </cell>
        </row>
        <row r="5138">
          <cell r="K5138">
            <v>-478.18</v>
          </cell>
          <cell r="P5138" t="str">
            <v>80111101-61021102</v>
          </cell>
          <cell r="S5138" t="str">
            <v>2026A-06</v>
          </cell>
          <cell r="T5138" t="str">
            <v>Regular Employee</v>
          </cell>
        </row>
        <row r="5139">
          <cell r="K5139">
            <v>13517.44</v>
          </cell>
          <cell r="P5139" t="str">
            <v>80111101-61021103</v>
          </cell>
          <cell r="S5139" t="str">
            <v>2026A-06</v>
          </cell>
          <cell r="T5139" t="str">
            <v>OT Pay</v>
          </cell>
        </row>
        <row r="5140">
          <cell r="K5140">
            <v>6800</v>
          </cell>
          <cell r="P5140" t="str">
            <v>80111101-61021104</v>
          </cell>
          <cell r="S5140" t="str">
            <v>2026A-06</v>
          </cell>
          <cell r="T5140" t="str">
            <v>OT Pay</v>
          </cell>
        </row>
        <row r="5141">
          <cell r="K5141">
            <v>200</v>
          </cell>
          <cell r="P5141" t="str">
            <v>80111101-61021306</v>
          </cell>
          <cell r="S5141" t="str">
            <v>2026A-06</v>
          </cell>
          <cell r="T5141" t="str">
            <v>Pag-ibig</v>
          </cell>
        </row>
        <row r="5142">
          <cell r="K5142">
            <v>6800</v>
          </cell>
          <cell r="P5142" t="str">
            <v>80111101-61021306</v>
          </cell>
          <cell r="S5142" t="str">
            <v>2026A-06</v>
          </cell>
          <cell r="T5142" t="str">
            <v>Pag-ibig</v>
          </cell>
        </row>
        <row r="5143">
          <cell r="K5143">
            <v>2000</v>
          </cell>
          <cell r="P5143" t="str">
            <v>80111101-61021306</v>
          </cell>
          <cell r="S5143" t="str">
            <v>2026A-06</v>
          </cell>
          <cell r="T5143" t="str">
            <v>Pag-ibig</v>
          </cell>
        </row>
        <row r="5144">
          <cell r="K5144">
            <v>4110</v>
          </cell>
          <cell r="P5144" t="str">
            <v>80111101-61021306</v>
          </cell>
          <cell r="S5144" t="str">
            <v>2026A-06</v>
          </cell>
          <cell r="T5144" t="str">
            <v>SSS</v>
          </cell>
        </row>
        <row r="5145">
          <cell r="K5145">
            <v>3530</v>
          </cell>
          <cell r="P5145" t="str">
            <v>80111101-61021306</v>
          </cell>
          <cell r="S5145" t="str">
            <v>2026A-06</v>
          </cell>
          <cell r="T5145" t="str">
            <v>SSS</v>
          </cell>
        </row>
        <row r="5146">
          <cell r="K5146">
            <v>77480</v>
          </cell>
          <cell r="P5146" t="str">
            <v>80111101-61021306</v>
          </cell>
          <cell r="S5146" t="str">
            <v>2026A-06</v>
          </cell>
          <cell r="T5146" t="str">
            <v>SSS</v>
          </cell>
        </row>
        <row r="5147">
          <cell r="K5147">
            <v>22110</v>
          </cell>
          <cell r="P5147" t="str">
            <v>80111101-61021306</v>
          </cell>
          <cell r="S5147" t="str">
            <v>2026A-06</v>
          </cell>
          <cell r="T5147" t="str">
            <v>SSS</v>
          </cell>
        </row>
        <row r="5148">
          <cell r="K5148">
            <v>1540</v>
          </cell>
          <cell r="P5148" t="str">
            <v>80111101-61021306</v>
          </cell>
          <cell r="S5148" t="str">
            <v>2026A-06</v>
          </cell>
          <cell r="T5148" t="str">
            <v>Philhealth</v>
          </cell>
        </row>
        <row r="5149">
          <cell r="K5149">
            <v>2500</v>
          </cell>
          <cell r="P5149" t="str">
            <v>80111101-61021306</v>
          </cell>
          <cell r="S5149" t="str">
            <v>2026A-06</v>
          </cell>
          <cell r="T5149" t="str">
            <v>Philhealth</v>
          </cell>
        </row>
        <row r="5150">
          <cell r="K5150">
            <v>34335</v>
          </cell>
          <cell r="P5150" t="str">
            <v>80111101-61021306</v>
          </cell>
          <cell r="S5150" t="str">
            <v>2026A-06</v>
          </cell>
          <cell r="T5150" t="str">
            <v>Philhealth</v>
          </cell>
        </row>
        <row r="5151">
          <cell r="K5151">
            <v>10395</v>
          </cell>
          <cell r="P5151" t="str">
            <v>80111101-61021306</v>
          </cell>
          <cell r="S5151" t="str">
            <v>2026A-06</v>
          </cell>
          <cell r="T5151" t="str">
            <v>Philhealth</v>
          </cell>
        </row>
        <row r="5152">
          <cell r="K5152">
            <v>400</v>
          </cell>
          <cell r="P5152" t="str">
            <v>80111101-61021306</v>
          </cell>
          <cell r="S5152" t="str">
            <v>2026A-06</v>
          </cell>
          <cell r="T5152" t="str">
            <v>Pag-ibig</v>
          </cell>
        </row>
        <row r="5153">
          <cell r="K5153">
            <v>10000</v>
          </cell>
          <cell r="P5153" t="str">
            <v>80111101-61021307</v>
          </cell>
          <cell r="S5153" t="str">
            <v>2026A-06</v>
          </cell>
          <cell r="T5153" t="str">
            <v>Uniform</v>
          </cell>
        </row>
        <row r="5154">
          <cell r="K5154">
            <v>35000</v>
          </cell>
          <cell r="P5154" t="str">
            <v>80111101-61021307</v>
          </cell>
          <cell r="S5154" t="str">
            <v>2026A-06</v>
          </cell>
          <cell r="T5154" t="str">
            <v>Uniform</v>
          </cell>
        </row>
        <row r="5155">
          <cell r="K5155">
            <v>145000</v>
          </cell>
          <cell r="P5155" t="str">
            <v>80111101-61021307</v>
          </cell>
          <cell r="S5155" t="str">
            <v>2026A-06</v>
          </cell>
          <cell r="T5155" t="str">
            <v>Uniform</v>
          </cell>
        </row>
        <row r="5156">
          <cell r="K5156">
            <v>195050</v>
          </cell>
          <cell r="P5156" t="str">
            <v>81111101-52121101</v>
          </cell>
          <cell r="S5156" t="str">
            <v>2026A-06</v>
          </cell>
          <cell r="T5156" t="str">
            <v>Regular Employee</v>
          </cell>
        </row>
        <row r="5157">
          <cell r="K5157">
            <v>1355.74</v>
          </cell>
          <cell r="P5157" t="str">
            <v>81111101-52121101</v>
          </cell>
          <cell r="S5157" t="str">
            <v>2026A-06</v>
          </cell>
          <cell r="T5157" t="str">
            <v>Regular Employee</v>
          </cell>
        </row>
        <row r="5158">
          <cell r="K5158">
            <v>1618.08</v>
          </cell>
          <cell r="P5158" t="str">
            <v>81111101-52121101</v>
          </cell>
          <cell r="S5158" t="str">
            <v>2026A-06</v>
          </cell>
          <cell r="T5158" t="str">
            <v>Regular Employee</v>
          </cell>
        </row>
        <row r="5159">
          <cell r="K5159">
            <v>-551.5</v>
          </cell>
          <cell r="P5159" t="str">
            <v>81111101-52121101</v>
          </cell>
          <cell r="S5159" t="str">
            <v>2026A-06</v>
          </cell>
          <cell r="T5159" t="str">
            <v>Regular Employee</v>
          </cell>
        </row>
        <row r="5160">
          <cell r="K5160">
            <v>-1139.28</v>
          </cell>
          <cell r="P5160" t="str">
            <v>81111101-52121101</v>
          </cell>
          <cell r="S5160" t="str">
            <v>2026A-06</v>
          </cell>
          <cell r="T5160" t="str">
            <v>Regular Employee</v>
          </cell>
        </row>
        <row r="5161">
          <cell r="K5161">
            <v>236950</v>
          </cell>
          <cell r="P5161" t="str">
            <v>81111101-52121101</v>
          </cell>
          <cell r="S5161" t="str">
            <v>2026A-06</v>
          </cell>
          <cell r="T5161" t="str">
            <v>Regular Employee</v>
          </cell>
        </row>
        <row r="5162">
          <cell r="K5162">
            <v>10479.52</v>
          </cell>
          <cell r="P5162" t="str">
            <v>81111101-52121101</v>
          </cell>
          <cell r="S5162" t="str">
            <v>2026A-06</v>
          </cell>
          <cell r="T5162" t="str">
            <v>Regular Employee</v>
          </cell>
        </row>
        <row r="5163">
          <cell r="K5163">
            <v>-4303.68</v>
          </cell>
          <cell r="P5163" t="str">
            <v>81111101-52121101</v>
          </cell>
          <cell r="S5163" t="str">
            <v>2026A-06</v>
          </cell>
          <cell r="T5163" t="str">
            <v>Regular Employee</v>
          </cell>
        </row>
        <row r="5164">
          <cell r="K5164">
            <v>-906.61</v>
          </cell>
          <cell r="P5164" t="str">
            <v>81111101-52121101</v>
          </cell>
          <cell r="S5164" t="str">
            <v>2026A-06</v>
          </cell>
          <cell r="T5164" t="str">
            <v>Regular Employee</v>
          </cell>
        </row>
        <row r="5165">
          <cell r="K5165">
            <v>-2934.45</v>
          </cell>
          <cell r="P5165" t="str">
            <v>81111101-52121101</v>
          </cell>
          <cell r="S5165" t="str">
            <v>2026A-06</v>
          </cell>
          <cell r="T5165" t="str">
            <v>Regular Employee</v>
          </cell>
        </row>
        <row r="5166">
          <cell r="K5166">
            <v>110900</v>
          </cell>
          <cell r="P5166" t="str">
            <v>81111101-52121101</v>
          </cell>
          <cell r="S5166" t="str">
            <v>2026A-06</v>
          </cell>
          <cell r="T5166" t="str">
            <v>Regular Employee</v>
          </cell>
        </row>
        <row r="5167">
          <cell r="K5167">
            <v>-180.78</v>
          </cell>
          <cell r="P5167" t="str">
            <v>81111101-52121101</v>
          </cell>
          <cell r="S5167" t="str">
            <v>2026A-06</v>
          </cell>
          <cell r="T5167" t="str">
            <v>Regular Employee</v>
          </cell>
        </row>
        <row r="5168">
          <cell r="K5168">
            <v>-421.35</v>
          </cell>
          <cell r="P5168" t="str">
            <v>81111101-52121101</v>
          </cell>
          <cell r="S5168" t="str">
            <v>2026A-06</v>
          </cell>
          <cell r="T5168" t="str">
            <v>Regular Employee</v>
          </cell>
        </row>
        <row r="5169">
          <cell r="K5169">
            <v>1068100</v>
          </cell>
          <cell r="P5169" t="str">
            <v>81111101-52121101</v>
          </cell>
          <cell r="S5169" t="str">
            <v>2026A-06</v>
          </cell>
          <cell r="T5169" t="str">
            <v>Regular Employee</v>
          </cell>
        </row>
        <row r="5170">
          <cell r="K5170">
            <v>9494.7900000000009</v>
          </cell>
          <cell r="P5170" t="str">
            <v>81111101-52121101</v>
          </cell>
          <cell r="S5170" t="str">
            <v>2026A-06</v>
          </cell>
          <cell r="T5170" t="str">
            <v>Regular Employee</v>
          </cell>
        </row>
        <row r="5171">
          <cell r="K5171">
            <v>1940.39</v>
          </cell>
          <cell r="P5171" t="str">
            <v>81111101-52121101</v>
          </cell>
          <cell r="S5171" t="str">
            <v>2026A-06</v>
          </cell>
          <cell r="T5171" t="str">
            <v>Regular Employee</v>
          </cell>
        </row>
        <row r="5172">
          <cell r="K5172">
            <v>-31041.21</v>
          </cell>
          <cell r="P5172" t="str">
            <v>81111101-52121101</v>
          </cell>
          <cell r="S5172" t="str">
            <v>2026A-06</v>
          </cell>
          <cell r="T5172" t="str">
            <v>Regular Employee</v>
          </cell>
        </row>
        <row r="5173">
          <cell r="K5173">
            <v>-824.44</v>
          </cell>
          <cell r="P5173" t="str">
            <v>81111101-52121101</v>
          </cell>
          <cell r="S5173" t="str">
            <v>2026A-06</v>
          </cell>
          <cell r="T5173" t="str">
            <v>Regular Employee</v>
          </cell>
        </row>
        <row r="5174">
          <cell r="K5174">
            <v>-2793.82</v>
          </cell>
          <cell r="P5174" t="str">
            <v>81111101-52121101</v>
          </cell>
          <cell r="S5174" t="str">
            <v>2026A-06</v>
          </cell>
          <cell r="T5174" t="str">
            <v>Regular Employee</v>
          </cell>
        </row>
        <row r="5175">
          <cell r="K5175">
            <v>-10504.21</v>
          </cell>
          <cell r="P5175" t="str">
            <v>81111101-52121101</v>
          </cell>
          <cell r="S5175" t="str">
            <v>2026A-06</v>
          </cell>
          <cell r="T5175" t="str">
            <v>Regular Employee</v>
          </cell>
        </row>
        <row r="5176">
          <cell r="K5176">
            <v>147650</v>
          </cell>
          <cell r="P5176" t="str">
            <v>81111101-52121101</v>
          </cell>
          <cell r="S5176" t="str">
            <v>2026A-06</v>
          </cell>
          <cell r="T5176" t="str">
            <v>Regular Employee</v>
          </cell>
        </row>
        <row r="5177">
          <cell r="K5177">
            <v>5489.38</v>
          </cell>
          <cell r="P5177" t="str">
            <v>81111101-52121101</v>
          </cell>
          <cell r="S5177" t="str">
            <v>2026A-06</v>
          </cell>
          <cell r="T5177" t="str">
            <v>Regular Employee</v>
          </cell>
        </row>
        <row r="5178">
          <cell r="K5178">
            <v>-9903.85</v>
          </cell>
          <cell r="P5178" t="str">
            <v>81111101-52121101</v>
          </cell>
          <cell r="S5178" t="str">
            <v>2026A-06</v>
          </cell>
          <cell r="T5178" t="str">
            <v>Regular Employee</v>
          </cell>
        </row>
        <row r="5179">
          <cell r="K5179">
            <v>-85.16</v>
          </cell>
          <cell r="P5179" t="str">
            <v>81111101-52121101</v>
          </cell>
          <cell r="S5179" t="str">
            <v>2026A-06</v>
          </cell>
          <cell r="T5179" t="str">
            <v>Regular Employee</v>
          </cell>
        </row>
        <row r="5180">
          <cell r="K5180">
            <v>-1746.59</v>
          </cell>
          <cell r="P5180" t="str">
            <v>81111101-52121101</v>
          </cell>
          <cell r="S5180" t="str">
            <v>2026A-06</v>
          </cell>
          <cell r="T5180" t="str">
            <v>Regular Employee</v>
          </cell>
        </row>
        <row r="5181">
          <cell r="K5181">
            <v>20861.62</v>
          </cell>
          <cell r="P5181" t="str">
            <v>81111101-52121102</v>
          </cell>
          <cell r="S5181" t="str">
            <v>2026A-06</v>
          </cell>
          <cell r="T5181" t="str">
            <v>OT Pay</v>
          </cell>
        </row>
        <row r="5182">
          <cell r="K5182">
            <v>3862.34</v>
          </cell>
          <cell r="P5182" t="str">
            <v>81111101-52121102</v>
          </cell>
          <cell r="S5182" t="str">
            <v>2026A-06</v>
          </cell>
          <cell r="T5182" t="str">
            <v>OT Pay</v>
          </cell>
        </row>
        <row r="5183">
          <cell r="K5183">
            <v>21448.81</v>
          </cell>
          <cell r="P5183" t="str">
            <v>81111101-52121102</v>
          </cell>
          <cell r="S5183" t="str">
            <v>2026A-06</v>
          </cell>
          <cell r="T5183" t="str">
            <v>OT Pay</v>
          </cell>
        </row>
        <row r="5184">
          <cell r="K5184">
            <v>5600</v>
          </cell>
          <cell r="P5184" t="str">
            <v>81111101-52121103</v>
          </cell>
          <cell r="S5184" t="str">
            <v>2026A-06</v>
          </cell>
          <cell r="T5184" t="str">
            <v>OT Pay</v>
          </cell>
        </row>
        <row r="5185">
          <cell r="K5185">
            <v>1400</v>
          </cell>
          <cell r="P5185" t="str">
            <v>81111101-52121103</v>
          </cell>
          <cell r="S5185" t="str">
            <v>2026A-06</v>
          </cell>
          <cell r="T5185" t="str">
            <v>OT Pay</v>
          </cell>
        </row>
        <row r="5186">
          <cell r="K5186">
            <v>26200</v>
          </cell>
          <cell r="P5186" t="str">
            <v>81111101-52121103</v>
          </cell>
          <cell r="S5186" t="str">
            <v>2026A-06</v>
          </cell>
          <cell r="T5186" t="str">
            <v>OT Pay</v>
          </cell>
        </row>
        <row r="5187">
          <cell r="K5187">
            <v>1800</v>
          </cell>
          <cell r="P5187" t="str">
            <v>81111101-52121305</v>
          </cell>
          <cell r="S5187" t="str">
            <v>2026A-06</v>
          </cell>
          <cell r="T5187" t="str">
            <v>Pag-ibig</v>
          </cell>
        </row>
        <row r="5188">
          <cell r="K5188">
            <v>21570</v>
          </cell>
          <cell r="P5188" t="str">
            <v>81111101-52121305</v>
          </cell>
          <cell r="S5188" t="str">
            <v>2026A-06</v>
          </cell>
          <cell r="T5188" t="str">
            <v>SSS</v>
          </cell>
        </row>
        <row r="5189">
          <cell r="K5189">
            <v>8690</v>
          </cell>
          <cell r="P5189" t="str">
            <v>81111101-52121305</v>
          </cell>
          <cell r="S5189" t="str">
            <v>2026A-06</v>
          </cell>
          <cell r="T5189" t="str">
            <v>Philhealth</v>
          </cell>
        </row>
        <row r="5190">
          <cell r="K5190">
            <v>3200</v>
          </cell>
          <cell r="P5190" t="str">
            <v>81111101-52121305</v>
          </cell>
          <cell r="S5190" t="str">
            <v>2026A-06</v>
          </cell>
          <cell r="T5190" t="str">
            <v>Pag-ibig</v>
          </cell>
        </row>
        <row r="5191">
          <cell r="K5191">
            <v>31590</v>
          </cell>
          <cell r="P5191" t="str">
            <v>81111101-52121305</v>
          </cell>
          <cell r="S5191" t="str">
            <v>2026A-06</v>
          </cell>
          <cell r="T5191" t="str">
            <v>SSS</v>
          </cell>
        </row>
        <row r="5192">
          <cell r="K5192">
            <v>11847.5</v>
          </cell>
          <cell r="P5192" t="str">
            <v>81111101-52121305</v>
          </cell>
          <cell r="S5192" t="str">
            <v>2026A-06</v>
          </cell>
          <cell r="T5192" t="str">
            <v>Philhealth</v>
          </cell>
        </row>
        <row r="5193">
          <cell r="K5193">
            <v>1000</v>
          </cell>
          <cell r="P5193" t="str">
            <v>81111101-52121305</v>
          </cell>
          <cell r="S5193" t="str">
            <v>2026A-06</v>
          </cell>
          <cell r="T5193" t="str">
            <v>Pag-ibig</v>
          </cell>
        </row>
        <row r="5194">
          <cell r="K5194">
            <v>12650</v>
          </cell>
          <cell r="P5194" t="str">
            <v>81111101-52121305</v>
          </cell>
          <cell r="S5194" t="str">
            <v>2026A-06</v>
          </cell>
          <cell r="T5194" t="str">
            <v>SSS</v>
          </cell>
        </row>
        <row r="5195">
          <cell r="K5195">
            <v>5545</v>
          </cell>
          <cell r="P5195" t="str">
            <v>81111101-52121305</v>
          </cell>
          <cell r="S5195" t="str">
            <v>2026A-06</v>
          </cell>
          <cell r="T5195" t="str">
            <v>Philhealth</v>
          </cell>
        </row>
        <row r="5196">
          <cell r="K5196">
            <v>9800</v>
          </cell>
          <cell r="P5196" t="str">
            <v>81111101-52121305</v>
          </cell>
          <cell r="S5196" t="str">
            <v>2026A-06</v>
          </cell>
          <cell r="T5196" t="str">
            <v>Pag-ibig</v>
          </cell>
        </row>
        <row r="5197">
          <cell r="K5197">
            <v>109120</v>
          </cell>
          <cell r="P5197" t="str">
            <v>81111101-52121305</v>
          </cell>
          <cell r="S5197" t="str">
            <v>2026A-06</v>
          </cell>
          <cell r="T5197" t="str">
            <v>SSS</v>
          </cell>
        </row>
        <row r="5198">
          <cell r="K5198">
            <v>50757.5</v>
          </cell>
          <cell r="P5198" t="str">
            <v>81111101-52121305</v>
          </cell>
          <cell r="S5198" t="str">
            <v>2026A-06</v>
          </cell>
          <cell r="T5198" t="str">
            <v>Philhealth</v>
          </cell>
        </row>
        <row r="5199">
          <cell r="K5199">
            <v>1200</v>
          </cell>
          <cell r="P5199" t="str">
            <v>81111101-52121305</v>
          </cell>
          <cell r="S5199" t="str">
            <v>2026A-06</v>
          </cell>
          <cell r="T5199" t="str">
            <v>Pag-ibig</v>
          </cell>
        </row>
        <row r="5200">
          <cell r="K5200">
            <v>16930</v>
          </cell>
          <cell r="P5200" t="str">
            <v>81111101-52121305</v>
          </cell>
          <cell r="S5200" t="str">
            <v>2026A-06</v>
          </cell>
          <cell r="T5200" t="str">
            <v>SSS</v>
          </cell>
        </row>
        <row r="5201">
          <cell r="K5201">
            <v>7382.5</v>
          </cell>
          <cell r="P5201" t="str">
            <v>81111101-52121305</v>
          </cell>
          <cell r="S5201" t="str">
            <v>2026A-06</v>
          </cell>
          <cell r="T5201" t="str">
            <v>Philhealth</v>
          </cell>
        </row>
        <row r="5202">
          <cell r="K5202">
            <v>32320</v>
          </cell>
          <cell r="P5202" t="str">
            <v>81111101-52121306</v>
          </cell>
          <cell r="S5202" t="str">
            <v>2026A-06</v>
          </cell>
          <cell r="T5202" t="str">
            <v>Uniform</v>
          </cell>
        </row>
        <row r="5203">
          <cell r="K5203">
            <v>67560</v>
          </cell>
          <cell r="P5203" t="str">
            <v>81111101-52121306</v>
          </cell>
          <cell r="S5203" t="str">
            <v>2026A-06</v>
          </cell>
          <cell r="T5203" t="str">
            <v>Uniform</v>
          </cell>
        </row>
        <row r="5204">
          <cell r="K5204">
            <v>20000</v>
          </cell>
          <cell r="P5204" t="str">
            <v>81111101-52121306</v>
          </cell>
          <cell r="S5204" t="str">
            <v>2026A-06</v>
          </cell>
          <cell r="T5204" t="str">
            <v>Uniform</v>
          </cell>
        </row>
        <row r="5205">
          <cell r="K5205">
            <v>147500</v>
          </cell>
          <cell r="P5205" t="str">
            <v>81111101-52121306</v>
          </cell>
          <cell r="S5205" t="str">
            <v>2026A-06</v>
          </cell>
          <cell r="T5205" t="str">
            <v>Uniform</v>
          </cell>
        </row>
        <row r="5206">
          <cell r="K5206">
            <v>26160</v>
          </cell>
          <cell r="P5206" t="str">
            <v>81111101-52121306</v>
          </cell>
          <cell r="S5206" t="str">
            <v>2026A-06</v>
          </cell>
          <cell r="T5206" t="str">
            <v>Uniform</v>
          </cell>
        </row>
        <row r="5207">
          <cell r="K5207">
            <v>3600</v>
          </cell>
          <cell r="P5207" t="str">
            <v>90111101-52081103</v>
          </cell>
          <cell r="S5207" t="str">
            <v>2026A-06</v>
          </cell>
          <cell r="T5207" t="str">
            <v>Meal Allowance</v>
          </cell>
        </row>
        <row r="5208">
          <cell r="K5208">
            <v>1650</v>
          </cell>
          <cell r="P5208" t="str">
            <v>90111101-52081103</v>
          </cell>
          <cell r="S5208" t="str">
            <v>2026A-06</v>
          </cell>
          <cell r="T5208" t="str">
            <v>Meal Allowance</v>
          </cell>
        </row>
        <row r="5209">
          <cell r="K5209">
            <v>600</v>
          </cell>
          <cell r="P5209" t="str">
            <v>90111101-52081103</v>
          </cell>
          <cell r="S5209" t="str">
            <v>2026A-06</v>
          </cell>
          <cell r="T5209" t="str">
            <v>Meal Allowance</v>
          </cell>
        </row>
        <row r="5210">
          <cell r="K5210">
            <v>3212350</v>
          </cell>
          <cell r="P5210" t="str">
            <v>90111101-52121101</v>
          </cell>
          <cell r="S5210" t="str">
            <v>2026A-06</v>
          </cell>
          <cell r="T5210" t="str">
            <v>Regular Employee</v>
          </cell>
        </row>
        <row r="5211">
          <cell r="K5211">
            <v>11418.47</v>
          </cell>
          <cell r="P5211" t="str">
            <v>90111101-52121101</v>
          </cell>
          <cell r="S5211" t="str">
            <v>2026A-06</v>
          </cell>
          <cell r="T5211" t="str">
            <v>Regular Employee</v>
          </cell>
        </row>
        <row r="5212">
          <cell r="K5212">
            <v>-3916.18</v>
          </cell>
          <cell r="P5212" t="str">
            <v>90111101-52121101</v>
          </cell>
          <cell r="S5212" t="str">
            <v>2026A-06</v>
          </cell>
          <cell r="T5212" t="str">
            <v>Regular Employee</v>
          </cell>
        </row>
        <row r="5213">
          <cell r="K5213">
            <v>-1689.32</v>
          </cell>
          <cell r="P5213" t="str">
            <v>90111101-52121101</v>
          </cell>
          <cell r="S5213" t="str">
            <v>2026A-06</v>
          </cell>
          <cell r="T5213" t="str">
            <v>Regular Employee</v>
          </cell>
        </row>
        <row r="5214">
          <cell r="K5214">
            <v>-18655.189999999999</v>
          </cell>
          <cell r="P5214" t="str">
            <v>90111101-52121101</v>
          </cell>
          <cell r="S5214" t="str">
            <v>2026A-06</v>
          </cell>
          <cell r="T5214" t="str">
            <v>Regular Employee</v>
          </cell>
        </row>
        <row r="5215">
          <cell r="K5215">
            <v>734400</v>
          </cell>
          <cell r="P5215" t="str">
            <v>90111101-52121101</v>
          </cell>
          <cell r="S5215" t="str">
            <v>2026A-06</v>
          </cell>
          <cell r="T5215" t="str">
            <v>Regular Employee</v>
          </cell>
        </row>
        <row r="5216">
          <cell r="K5216">
            <v>-386.02</v>
          </cell>
          <cell r="P5216" t="str">
            <v>90111101-52121101</v>
          </cell>
          <cell r="S5216" t="str">
            <v>2026A-06</v>
          </cell>
          <cell r="T5216" t="str">
            <v>Regular Employee</v>
          </cell>
        </row>
        <row r="5217">
          <cell r="K5217">
            <v>2214700</v>
          </cell>
          <cell r="P5217" t="str">
            <v>90111101-52121101</v>
          </cell>
          <cell r="S5217" t="str">
            <v>2026A-06</v>
          </cell>
          <cell r="T5217" t="str">
            <v>Regular Employee</v>
          </cell>
        </row>
        <row r="5218">
          <cell r="K5218">
            <v>8510.0300000000007</v>
          </cell>
          <cell r="P5218" t="str">
            <v>90111101-52121101</v>
          </cell>
          <cell r="S5218" t="str">
            <v>2026A-06</v>
          </cell>
          <cell r="T5218" t="str">
            <v>Regular Employee</v>
          </cell>
        </row>
        <row r="5219">
          <cell r="K5219">
            <v>-5676.85</v>
          </cell>
          <cell r="P5219" t="str">
            <v>90111101-52121101</v>
          </cell>
          <cell r="S5219" t="str">
            <v>2026A-06</v>
          </cell>
          <cell r="T5219" t="str">
            <v>Regular Employee</v>
          </cell>
        </row>
        <row r="5220">
          <cell r="K5220">
            <v>-5695.88</v>
          </cell>
          <cell r="P5220" t="str">
            <v>90111101-52121101</v>
          </cell>
          <cell r="S5220" t="str">
            <v>2026A-06</v>
          </cell>
          <cell r="T5220" t="str">
            <v>Regular Employee</v>
          </cell>
        </row>
        <row r="5221">
          <cell r="K5221">
            <v>-30284.34</v>
          </cell>
          <cell r="P5221" t="str">
            <v>90111101-52121101</v>
          </cell>
          <cell r="S5221" t="str">
            <v>2026A-06</v>
          </cell>
          <cell r="T5221" t="str">
            <v>Regular Employee</v>
          </cell>
        </row>
        <row r="5222">
          <cell r="K5222">
            <v>-1648.88</v>
          </cell>
          <cell r="P5222" t="str">
            <v>90111101-52121101</v>
          </cell>
          <cell r="S5222" t="str">
            <v>2026A-06</v>
          </cell>
          <cell r="T5222" t="str">
            <v>Regular Employee</v>
          </cell>
        </row>
        <row r="5223">
          <cell r="K5223">
            <v>1495925</v>
          </cell>
          <cell r="P5223" t="str">
            <v>90111101-52121101</v>
          </cell>
          <cell r="S5223" t="str">
            <v>2026A-06</v>
          </cell>
          <cell r="T5223" t="str">
            <v>Regular Employee</v>
          </cell>
        </row>
        <row r="5224">
          <cell r="K5224">
            <v>27950</v>
          </cell>
          <cell r="P5224" t="str">
            <v>90111101-52121101</v>
          </cell>
          <cell r="S5224" t="str">
            <v>2026A-06</v>
          </cell>
          <cell r="T5224" t="str">
            <v>Regular Employee</v>
          </cell>
        </row>
        <row r="5225">
          <cell r="K5225">
            <v>-233.64</v>
          </cell>
          <cell r="P5225" t="str">
            <v>90111101-52121101</v>
          </cell>
          <cell r="S5225" t="str">
            <v>2026A-06</v>
          </cell>
          <cell r="T5225" t="str">
            <v>Regular Employee</v>
          </cell>
        </row>
        <row r="5226">
          <cell r="K5226">
            <v>526250</v>
          </cell>
          <cell r="P5226" t="str">
            <v>90111101-52121101</v>
          </cell>
          <cell r="S5226" t="str">
            <v>2026A-06</v>
          </cell>
          <cell r="T5226" t="str">
            <v>Regular Employee</v>
          </cell>
        </row>
        <row r="5227">
          <cell r="K5227">
            <v>-2474.69</v>
          </cell>
          <cell r="P5227" t="str">
            <v>90111101-52121101</v>
          </cell>
          <cell r="S5227" t="str">
            <v>2026A-06</v>
          </cell>
          <cell r="T5227" t="str">
            <v>Regular Employee</v>
          </cell>
        </row>
        <row r="5228">
          <cell r="K5228">
            <v>-7055.82</v>
          </cell>
          <cell r="P5228" t="str">
            <v>90111101-52121101</v>
          </cell>
          <cell r="S5228" t="str">
            <v>2026A-06</v>
          </cell>
          <cell r="T5228" t="str">
            <v>Regular Employee</v>
          </cell>
        </row>
        <row r="5229">
          <cell r="K5229">
            <v>480700</v>
          </cell>
          <cell r="P5229" t="str">
            <v>90111101-52121101</v>
          </cell>
          <cell r="S5229" t="str">
            <v>2026A-06</v>
          </cell>
          <cell r="T5229" t="str">
            <v>Regular Employee</v>
          </cell>
        </row>
        <row r="5230">
          <cell r="K5230">
            <v>-351</v>
          </cell>
          <cell r="P5230" t="str">
            <v>90111101-52121101</v>
          </cell>
          <cell r="S5230" t="str">
            <v>2026A-06</v>
          </cell>
          <cell r="T5230" t="str">
            <v>Regular Employee</v>
          </cell>
        </row>
        <row r="5231">
          <cell r="K5231">
            <v>-38.75</v>
          </cell>
          <cell r="P5231" t="str">
            <v>90111101-52121101</v>
          </cell>
          <cell r="S5231" t="str">
            <v>2026A-06</v>
          </cell>
          <cell r="T5231" t="str">
            <v>Regular Employee</v>
          </cell>
        </row>
        <row r="5232">
          <cell r="K5232">
            <v>12890.1</v>
          </cell>
          <cell r="P5232" t="str">
            <v>90111101-52121102</v>
          </cell>
          <cell r="S5232" t="str">
            <v>2026A-06</v>
          </cell>
          <cell r="T5232" t="str">
            <v>OT Pay</v>
          </cell>
        </row>
        <row r="5233">
          <cell r="K5233">
            <v>12915.81</v>
          </cell>
          <cell r="P5233" t="str">
            <v>90111101-52121102</v>
          </cell>
          <cell r="S5233" t="str">
            <v>2026A-06</v>
          </cell>
          <cell r="T5233" t="str">
            <v>OT Pay</v>
          </cell>
        </row>
        <row r="5234">
          <cell r="K5234">
            <v>4434.33</v>
          </cell>
          <cell r="P5234" t="str">
            <v>90111101-52121102</v>
          </cell>
          <cell r="S5234" t="str">
            <v>2026A-06</v>
          </cell>
          <cell r="T5234" t="str">
            <v>OT Pay</v>
          </cell>
        </row>
        <row r="5235">
          <cell r="K5235">
            <v>531.67999999999995</v>
          </cell>
          <cell r="P5235" t="str">
            <v>90111101-52121102</v>
          </cell>
          <cell r="S5235" t="str">
            <v>2026A-06</v>
          </cell>
          <cell r="T5235" t="str">
            <v>OT Pay</v>
          </cell>
        </row>
        <row r="5236">
          <cell r="K5236">
            <v>2000</v>
          </cell>
          <cell r="P5236" t="str">
            <v>90111101-52121103</v>
          </cell>
          <cell r="S5236" t="str">
            <v>2026A-06</v>
          </cell>
          <cell r="T5236" t="str">
            <v>OT Pay</v>
          </cell>
        </row>
        <row r="5237">
          <cell r="K5237">
            <v>14400</v>
          </cell>
          <cell r="P5237" t="str">
            <v>90111101-52121305</v>
          </cell>
          <cell r="S5237" t="str">
            <v>2026A-06</v>
          </cell>
          <cell r="T5237" t="str">
            <v>Pag-ibig</v>
          </cell>
        </row>
        <row r="5238">
          <cell r="K5238">
            <v>105827.5</v>
          </cell>
          <cell r="P5238" t="str">
            <v>90111101-52121305</v>
          </cell>
          <cell r="S5238" t="str">
            <v>2026A-06</v>
          </cell>
          <cell r="T5238" t="str">
            <v>Philhealth</v>
          </cell>
        </row>
        <row r="5239">
          <cell r="K5239">
            <v>203570</v>
          </cell>
          <cell r="P5239" t="str">
            <v>90111101-52121305</v>
          </cell>
          <cell r="S5239" t="str">
            <v>2026A-06</v>
          </cell>
          <cell r="T5239" t="str">
            <v>SSS</v>
          </cell>
        </row>
        <row r="5240">
          <cell r="K5240">
            <v>1800</v>
          </cell>
          <cell r="P5240" t="str">
            <v>90111101-52121305</v>
          </cell>
          <cell r="S5240" t="str">
            <v>2026A-06</v>
          </cell>
          <cell r="T5240" t="str">
            <v>Pag-ibig</v>
          </cell>
        </row>
        <row r="5241">
          <cell r="K5241">
            <v>14790</v>
          </cell>
          <cell r="P5241" t="str">
            <v>90111101-52121305</v>
          </cell>
          <cell r="S5241" t="str">
            <v>2026A-06</v>
          </cell>
          <cell r="T5241" t="str">
            <v>Philhealth</v>
          </cell>
        </row>
        <row r="5242">
          <cell r="K5242">
            <v>26920</v>
          </cell>
          <cell r="P5242" t="str">
            <v>90111101-52121305</v>
          </cell>
          <cell r="S5242" t="str">
            <v>2026A-06</v>
          </cell>
          <cell r="T5242" t="str">
            <v>SSS</v>
          </cell>
        </row>
        <row r="5243">
          <cell r="K5243">
            <v>12800</v>
          </cell>
          <cell r="P5243" t="str">
            <v>90111101-52121305</v>
          </cell>
          <cell r="S5243" t="str">
            <v>2026A-06</v>
          </cell>
          <cell r="T5243" t="str">
            <v>Pag-ibig</v>
          </cell>
        </row>
        <row r="5244">
          <cell r="K5244">
            <v>91325</v>
          </cell>
          <cell r="P5244" t="str">
            <v>90111101-52121305</v>
          </cell>
          <cell r="S5244" t="str">
            <v>2026A-06</v>
          </cell>
          <cell r="T5244" t="str">
            <v>Philhealth</v>
          </cell>
        </row>
        <row r="5245">
          <cell r="K5245">
            <v>186460</v>
          </cell>
          <cell r="P5245" t="str">
            <v>90111101-52121305</v>
          </cell>
          <cell r="S5245" t="str">
            <v>2026A-06</v>
          </cell>
          <cell r="T5245" t="str">
            <v>SSS</v>
          </cell>
        </row>
        <row r="5246">
          <cell r="K5246">
            <v>1200</v>
          </cell>
          <cell r="P5246" t="str">
            <v>90111101-52121305</v>
          </cell>
          <cell r="S5246" t="str">
            <v>2026A-06</v>
          </cell>
          <cell r="T5246" t="str">
            <v>Pag-ibig</v>
          </cell>
        </row>
        <row r="5247">
          <cell r="K5247">
            <v>14000</v>
          </cell>
          <cell r="P5247" t="str">
            <v>90111101-52121305</v>
          </cell>
          <cell r="S5247" t="str">
            <v>2026A-06</v>
          </cell>
          <cell r="T5247" t="str">
            <v>Philhealth</v>
          </cell>
        </row>
        <row r="5248">
          <cell r="K5248">
            <v>21180</v>
          </cell>
          <cell r="P5248" t="str">
            <v>90111101-52121305</v>
          </cell>
          <cell r="S5248" t="str">
            <v>2026A-06</v>
          </cell>
          <cell r="T5248" t="str">
            <v>SSS</v>
          </cell>
        </row>
        <row r="5249">
          <cell r="K5249">
            <v>200</v>
          </cell>
          <cell r="P5249" t="str">
            <v>90111101-52121305</v>
          </cell>
          <cell r="S5249" t="str">
            <v>2026A-06</v>
          </cell>
          <cell r="T5249" t="str">
            <v>Pag-ibig</v>
          </cell>
        </row>
        <row r="5250">
          <cell r="K5250">
            <v>1397.5</v>
          </cell>
          <cell r="P5250" t="str">
            <v>90111101-52121305</v>
          </cell>
          <cell r="S5250" t="str">
            <v>2026A-06</v>
          </cell>
          <cell r="T5250" t="str">
            <v>Philhealth</v>
          </cell>
        </row>
        <row r="5251">
          <cell r="K5251">
            <v>3280</v>
          </cell>
          <cell r="P5251" t="str">
            <v>90111101-52121305</v>
          </cell>
          <cell r="S5251" t="str">
            <v>2026A-06</v>
          </cell>
          <cell r="T5251" t="str">
            <v>SSS</v>
          </cell>
        </row>
        <row r="5252">
          <cell r="K5252">
            <v>2000</v>
          </cell>
          <cell r="P5252" t="str">
            <v>90111101-52121305</v>
          </cell>
          <cell r="S5252" t="str">
            <v>2026A-06</v>
          </cell>
          <cell r="T5252" t="str">
            <v>Pag-ibig</v>
          </cell>
        </row>
        <row r="5253">
          <cell r="K5253">
            <v>16972.5</v>
          </cell>
          <cell r="P5253" t="str">
            <v>90111101-52121305</v>
          </cell>
          <cell r="S5253" t="str">
            <v>2026A-06</v>
          </cell>
          <cell r="T5253" t="str">
            <v>Philhealth</v>
          </cell>
        </row>
        <row r="5254">
          <cell r="K5254">
            <v>31300</v>
          </cell>
          <cell r="P5254" t="str">
            <v>90111101-52121305</v>
          </cell>
          <cell r="S5254" t="str">
            <v>2026A-06</v>
          </cell>
          <cell r="T5254" t="str">
            <v>SSS</v>
          </cell>
        </row>
        <row r="5255">
          <cell r="K5255">
            <v>2400</v>
          </cell>
          <cell r="P5255" t="str">
            <v>90111101-52121305</v>
          </cell>
          <cell r="S5255" t="str">
            <v>2026A-06</v>
          </cell>
          <cell r="T5255" t="str">
            <v>Pag-ibig</v>
          </cell>
        </row>
        <row r="5256">
          <cell r="K5256">
            <v>19730</v>
          </cell>
          <cell r="P5256" t="str">
            <v>90111101-52121305</v>
          </cell>
          <cell r="S5256" t="str">
            <v>2026A-06</v>
          </cell>
          <cell r="T5256" t="str">
            <v>Philhealth</v>
          </cell>
        </row>
        <row r="5257">
          <cell r="K5257">
            <v>37610</v>
          </cell>
          <cell r="P5257" t="str">
            <v>90111101-52121305</v>
          </cell>
          <cell r="S5257" t="str">
            <v>2026A-06</v>
          </cell>
          <cell r="T5257" t="str">
            <v>SSS</v>
          </cell>
        </row>
        <row r="5258">
          <cell r="K5258">
            <v>270280</v>
          </cell>
          <cell r="P5258" t="str">
            <v>90111101-52121306</v>
          </cell>
          <cell r="S5258" t="str">
            <v>2026A-06</v>
          </cell>
          <cell r="T5258" t="str">
            <v>Uniform</v>
          </cell>
        </row>
        <row r="5259">
          <cell r="K5259">
            <v>33000</v>
          </cell>
          <cell r="P5259" t="str">
            <v>90111101-52121306</v>
          </cell>
          <cell r="S5259" t="str">
            <v>2026A-06</v>
          </cell>
          <cell r="T5259" t="str">
            <v>Uniform</v>
          </cell>
        </row>
        <row r="5260">
          <cell r="K5260">
            <v>289280</v>
          </cell>
          <cell r="P5260" t="str">
            <v>90111101-52121306</v>
          </cell>
          <cell r="S5260" t="str">
            <v>2026A-06</v>
          </cell>
          <cell r="T5260" t="str">
            <v>Uniform</v>
          </cell>
        </row>
        <row r="5261">
          <cell r="K5261">
            <v>24000</v>
          </cell>
          <cell r="P5261" t="str">
            <v>90111101-52121306</v>
          </cell>
          <cell r="S5261" t="str">
            <v>2026A-06</v>
          </cell>
          <cell r="T5261" t="str">
            <v>Uniform</v>
          </cell>
        </row>
        <row r="5262">
          <cell r="K5262">
            <v>5000</v>
          </cell>
          <cell r="P5262" t="str">
            <v>90111101-52121306</v>
          </cell>
          <cell r="S5262" t="str">
            <v>2026A-06</v>
          </cell>
          <cell r="T5262" t="str">
            <v>Uniform</v>
          </cell>
        </row>
        <row r="5263">
          <cell r="K5263">
            <v>48000</v>
          </cell>
          <cell r="P5263" t="str">
            <v>90111101-52121306</v>
          </cell>
          <cell r="S5263" t="str">
            <v>2026A-06</v>
          </cell>
          <cell r="T5263" t="str">
            <v>Uniform</v>
          </cell>
        </row>
        <row r="5264">
          <cell r="K5264">
            <v>47000</v>
          </cell>
          <cell r="P5264" t="str">
            <v>90111101-52121306</v>
          </cell>
          <cell r="S5264" t="str">
            <v>2026A-06</v>
          </cell>
          <cell r="T5264" t="str">
            <v>Uniform</v>
          </cell>
        </row>
        <row r="5265">
          <cell r="K5265">
            <v>7000</v>
          </cell>
          <cell r="P5265" t="str">
            <v>80123101-61071005</v>
          </cell>
          <cell r="S5265" t="str">
            <v>2026A-06</v>
          </cell>
          <cell r="T5265" t="str">
            <v>Corpuz</v>
          </cell>
        </row>
        <row r="5266">
          <cell r="K5266">
            <v>21920.83</v>
          </cell>
          <cell r="P5266" t="str">
            <v>81319101-52041499</v>
          </cell>
          <cell r="S5266" t="str">
            <v>2026A-06</v>
          </cell>
          <cell r="T5266" t="str">
            <v>GH</v>
          </cell>
        </row>
        <row r="5267">
          <cell r="K5267">
            <v>18642.86</v>
          </cell>
          <cell r="P5267" t="str">
            <v>81123102-52111101</v>
          </cell>
          <cell r="S5267" t="str">
            <v>2026A-06</v>
          </cell>
          <cell r="T5267" t="str">
            <v>Office Supplies - Others</v>
          </cell>
        </row>
        <row r="5268">
          <cell r="K5268">
            <v>12723.21</v>
          </cell>
          <cell r="P5268" t="str">
            <v>81123102-52111101</v>
          </cell>
          <cell r="S5268" t="str">
            <v>2026A-06</v>
          </cell>
          <cell r="T5268" t="str">
            <v>Office Supplies - Others</v>
          </cell>
        </row>
        <row r="5269">
          <cell r="K5269">
            <v>12723.21</v>
          </cell>
          <cell r="P5269" t="str">
            <v>81123102-52111101</v>
          </cell>
          <cell r="S5269" t="str">
            <v>2026A-06</v>
          </cell>
          <cell r="T5269" t="str">
            <v>Office Supplies - Others</v>
          </cell>
        </row>
        <row r="5270">
          <cell r="K5270">
            <v>5089.29</v>
          </cell>
          <cell r="P5270" t="str">
            <v>81123102-52111101</v>
          </cell>
          <cell r="S5270" t="str">
            <v>2026A-06</v>
          </cell>
          <cell r="T5270" t="str">
            <v>Office Supplies - Others</v>
          </cell>
        </row>
        <row r="5271">
          <cell r="K5271">
            <v>66.959999999999994</v>
          </cell>
          <cell r="P5271" t="str">
            <v>81123102-52111101</v>
          </cell>
          <cell r="S5271" t="str">
            <v>2026A-06</v>
          </cell>
          <cell r="T5271" t="str">
            <v>Office Supplies - Others</v>
          </cell>
        </row>
        <row r="5272">
          <cell r="K5272">
            <v>133.93</v>
          </cell>
          <cell r="P5272" t="str">
            <v>81123102-52111101</v>
          </cell>
          <cell r="S5272" t="str">
            <v>2026A-06</v>
          </cell>
          <cell r="T5272" t="str">
            <v>Office Supplies - Others</v>
          </cell>
        </row>
        <row r="5273">
          <cell r="K5273">
            <v>205.36</v>
          </cell>
          <cell r="P5273" t="str">
            <v>81123102-52111101</v>
          </cell>
          <cell r="S5273" t="str">
            <v>2026A-06</v>
          </cell>
          <cell r="T5273" t="str">
            <v>Office Supplies - Others</v>
          </cell>
        </row>
        <row r="5274">
          <cell r="K5274">
            <v>-8400</v>
          </cell>
          <cell r="P5274" t="str">
            <v>81123102-52081101</v>
          </cell>
          <cell r="S5274" t="str">
            <v>2026A-06</v>
          </cell>
          <cell r="T5274" t="str">
            <v>Transpo</v>
          </cell>
        </row>
        <row r="5275">
          <cell r="K5275">
            <v>19400</v>
          </cell>
          <cell r="P5275" t="str">
            <v>81111101-52121101</v>
          </cell>
          <cell r="S5275" t="str">
            <v>2026A-06</v>
          </cell>
          <cell r="T5275" t="str">
            <v>Regular Employee</v>
          </cell>
        </row>
        <row r="5276">
          <cell r="K5276">
            <v>9750</v>
          </cell>
          <cell r="P5276" t="str">
            <v>81111101-52121101</v>
          </cell>
          <cell r="S5276" t="str">
            <v>2026A-06</v>
          </cell>
          <cell r="T5276" t="str">
            <v>Regular Employee</v>
          </cell>
        </row>
        <row r="5277">
          <cell r="K5277">
            <v>7071.84</v>
          </cell>
          <cell r="P5277" t="str">
            <v>81111101-52121101</v>
          </cell>
          <cell r="S5277" t="str">
            <v>2026A-06</v>
          </cell>
          <cell r="T5277" t="str">
            <v>Regular Employee</v>
          </cell>
        </row>
        <row r="5278">
          <cell r="K5278">
            <v>-85.96</v>
          </cell>
          <cell r="P5278" t="str">
            <v>81111101-52121101</v>
          </cell>
          <cell r="S5278" t="str">
            <v>2026A-06</v>
          </cell>
          <cell r="T5278" t="str">
            <v>Regular Employee</v>
          </cell>
        </row>
        <row r="5279">
          <cell r="K5279">
            <v>-2.21</v>
          </cell>
          <cell r="P5279" t="str">
            <v>81111101-52121101</v>
          </cell>
          <cell r="S5279" t="str">
            <v>2026A-06</v>
          </cell>
          <cell r="T5279" t="str">
            <v>Regular Employee</v>
          </cell>
        </row>
        <row r="5280">
          <cell r="K5280">
            <v>-1086.6400000000001</v>
          </cell>
          <cell r="P5280" t="str">
            <v>81111101-52121101</v>
          </cell>
          <cell r="S5280" t="str">
            <v>2026A-06</v>
          </cell>
          <cell r="T5280" t="str">
            <v>Regular Employee</v>
          </cell>
        </row>
        <row r="5281">
          <cell r="K5281">
            <v>55850</v>
          </cell>
          <cell r="P5281" t="str">
            <v>81111101-52121101</v>
          </cell>
          <cell r="S5281" t="str">
            <v>2026A-06</v>
          </cell>
          <cell r="T5281" t="str">
            <v>Regular Employee</v>
          </cell>
        </row>
        <row r="5282">
          <cell r="K5282">
            <v>35904.269999999997</v>
          </cell>
          <cell r="P5282" t="str">
            <v>81111101-52121101</v>
          </cell>
          <cell r="S5282" t="str">
            <v>2026A-06</v>
          </cell>
          <cell r="T5282" t="str">
            <v>Regular Employee</v>
          </cell>
        </row>
        <row r="5283">
          <cell r="K5283">
            <v>-287.05</v>
          </cell>
          <cell r="P5283" t="str">
            <v>81111101-52121101</v>
          </cell>
          <cell r="S5283" t="str">
            <v>2026A-06</v>
          </cell>
          <cell r="T5283" t="str">
            <v>Regular Employee</v>
          </cell>
        </row>
        <row r="5284">
          <cell r="K5284">
            <v>-296.57</v>
          </cell>
          <cell r="P5284" t="str">
            <v>81111101-52121101</v>
          </cell>
          <cell r="S5284" t="str">
            <v>2026A-06</v>
          </cell>
          <cell r="T5284" t="str">
            <v>Regular Employee</v>
          </cell>
        </row>
        <row r="5285">
          <cell r="K5285">
            <v>1046.6500000000001</v>
          </cell>
          <cell r="P5285" t="str">
            <v>81111101-52121102</v>
          </cell>
          <cell r="S5285" t="str">
            <v>2026A-06</v>
          </cell>
          <cell r="T5285" t="str">
            <v>OT Pay</v>
          </cell>
        </row>
        <row r="5286">
          <cell r="K5286">
            <v>2537.44</v>
          </cell>
          <cell r="P5286" t="str">
            <v>81111101-52121102</v>
          </cell>
          <cell r="S5286" t="str">
            <v>2026A-06</v>
          </cell>
          <cell r="T5286" t="str">
            <v>OT Pay</v>
          </cell>
        </row>
        <row r="5287">
          <cell r="K5287">
            <v>8350</v>
          </cell>
          <cell r="P5287" t="str">
            <v>81111101-52121104</v>
          </cell>
          <cell r="S5287" t="str">
            <v>2026A-06</v>
          </cell>
          <cell r="T5287" t="str">
            <v>Guaranteed Bonus</v>
          </cell>
        </row>
        <row r="5288">
          <cell r="K5288">
            <v>3242</v>
          </cell>
          <cell r="P5288" t="str">
            <v>81111101-52121104</v>
          </cell>
          <cell r="S5288" t="str">
            <v>2026A-06</v>
          </cell>
          <cell r="T5288" t="str">
            <v>Guaranteed Bonus</v>
          </cell>
        </row>
        <row r="5289">
          <cell r="K5289">
            <v>42108</v>
          </cell>
          <cell r="P5289" t="str">
            <v>81111101-52121104</v>
          </cell>
          <cell r="S5289" t="str">
            <v>2026A-06</v>
          </cell>
          <cell r="T5289" t="str">
            <v>Guaranteed Bonus</v>
          </cell>
        </row>
        <row r="5290">
          <cell r="K5290">
            <v>4019.08</v>
          </cell>
          <cell r="P5290" t="str">
            <v>81111101-52121106</v>
          </cell>
          <cell r="S5290" t="str">
            <v>2026A-06</v>
          </cell>
          <cell r="T5290" t="str">
            <v>Leave Encashment</v>
          </cell>
        </row>
        <row r="5291">
          <cell r="K5291">
            <v>-1988.93</v>
          </cell>
          <cell r="P5291" t="str">
            <v>81111101-52121106</v>
          </cell>
          <cell r="S5291" t="str">
            <v>2026A-06</v>
          </cell>
          <cell r="T5291" t="str">
            <v>Leave Encashment</v>
          </cell>
        </row>
        <row r="5292">
          <cell r="K5292">
            <v>-12411.07</v>
          </cell>
          <cell r="P5292" t="str">
            <v>81111101-52121106</v>
          </cell>
          <cell r="S5292" t="str">
            <v>2026A-06</v>
          </cell>
          <cell r="T5292" t="str">
            <v>Leave Encashment</v>
          </cell>
        </row>
        <row r="5293">
          <cell r="K5293">
            <v>200</v>
          </cell>
          <cell r="P5293" t="str">
            <v>81111101-52121305</v>
          </cell>
          <cell r="S5293" t="str">
            <v>2026A-06</v>
          </cell>
          <cell r="T5293" t="str">
            <v>Pag-ibig</v>
          </cell>
        </row>
        <row r="5294">
          <cell r="K5294">
            <v>3480</v>
          </cell>
          <cell r="P5294" t="str">
            <v>81111101-52121305</v>
          </cell>
          <cell r="S5294" t="str">
            <v>2026A-06</v>
          </cell>
          <cell r="T5294" t="str">
            <v>SSS</v>
          </cell>
        </row>
        <row r="5295">
          <cell r="K5295">
            <v>487.5</v>
          </cell>
          <cell r="P5295" t="str">
            <v>81111101-52121305</v>
          </cell>
          <cell r="S5295" t="str">
            <v>2026A-06</v>
          </cell>
          <cell r="T5295" t="str">
            <v>Philhealth</v>
          </cell>
        </row>
        <row r="5296">
          <cell r="K5296">
            <v>200</v>
          </cell>
          <cell r="P5296" t="str">
            <v>81111101-52121305</v>
          </cell>
          <cell r="S5296" t="str">
            <v>2026A-06</v>
          </cell>
          <cell r="T5296" t="str">
            <v>Pag-ibig</v>
          </cell>
        </row>
        <row r="5297">
          <cell r="K5297">
            <v>3530</v>
          </cell>
          <cell r="P5297" t="str">
            <v>81111101-52121305</v>
          </cell>
          <cell r="S5297" t="str">
            <v>2026A-06</v>
          </cell>
          <cell r="T5297" t="str">
            <v>SSS</v>
          </cell>
        </row>
        <row r="5298">
          <cell r="K5298">
            <v>2100</v>
          </cell>
          <cell r="P5298" t="str">
            <v>81111101-52121305</v>
          </cell>
          <cell r="S5298" t="str">
            <v>2026A-06</v>
          </cell>
          <cell r="T5298" t="str">
            <v>Philhealth</v>
          </cell>
        </row>
        <row r="5299">
          <cell r="K5299">
            <v>250</v>
          </cell>
          <cell r="P5299" t="str">
            <v>81123102-52061105</v>
          </cell>
          <cell r="S5299" t="str">
            <v>2026A-06</v>
          </cell>
          <cell r="T5299" t="str">
            <v>R&amp;M Vehicle</v>
          </cell>
        </row>
        <row r="5300">
          <cell r="K5300">
            <v>150</v>
          </cell>
          <cell r="P5300" t="str">
            <v>81123102-52061105</v>
          </cell>
          <cell r="S5300" t="str">
            <v>2026A-06</v>
          </cell>
          <cell r="T5300" t="str">
            <v>R&amp;M Vehicle</v>
          </cell>
        </row>
        <row r="5301">
          <cell r="K5301">
            <v>144.19999999999999</v>
          </cell>
          <cell r="P5301" t="str">
            <v>81123102-52061111</v>
          </cell>
          <cell r="S5301" t="str">
            <v>2026A-06</v>
          </cell>
          <cell r="T5301" t="str">
            <v>R&amp;M - Supplies</v>
          </cell>
        </row>
        <row r="5302">
          <cell r="K5302">
            <v>144.19999999999999</v>
          </cell>
          <cell r="P5302" t="str">
            <v>81123102-52061111</v>
          </cell>
          <cell r="S5302" t="str">
            <v>2026A-06</v>
          </cell>
          <cell r="T5302" t="str">
            <v>R&amp;M - Supplies</v>
          </cell>
        </row>
        <row r="5303">
          <cell r="K5303">
            <v>144.19999999999999</v>
          </cell>
          <cell r="P5303" t="str">
            <v>81123102-52061111</v>
          </cell>
          <cell r="S5303" t="str">
            <v>2026A-06</v>
          </cell>
          <cell r="T5303" t="str">
            <v>R&amp;M - Supplies</v>
          </cell>
        </row>
        <row r="5304">
          <cell r="K5304">
            <v>839.75</v>
          </cell>
          <cell r="P5304" t="str">
            <v>81123102-52061111</v>
          </cell>
          <cell r="S5304" t="str">
            <v>2026A-06</v>
          </cell>
          <cell r="T5304" t="str">
            <v>R&amp;M - Supplies</v>
          </cell>
        </row>
        <row r="5305">
          <cell r="K5305">
            <v>178</v>
          </cell>
          <cell r="P5305" t="str">
            <v>81123102-52061111</v>
          </cell>
          <cell r="S5305" t="str">
            <v>2026A-06</v>
          </cell>
          <cell r="T5305" t="str">
            <v>R&amp;M - Supplies</v>
          </cell>
        </row>
        <row r="5306">
          <cell r="K5306">
            <v>120</v>
          </cell>
          <cell r="P5306" t="str">
            <v>81123102-52081101</v>
          </cell>
          <cell r="S5306" t="str">
            <v>2026A-06</v>
          </cell>
          <cell r="T5306" t="str">
            <v>Parking</v>
          </cell>
        </row>
        <row r="5307">
          <cell r="K5307">
            <v>60</v>
          </cell>
          <cell r="P5307" t="str">
            <v>81123102-52081101</v>
          </cell>
          <cell r="S5307" t="str">
            <v>2026A-06</v>
          </cell>
          <cell r="T5307" t="str">
            <v>Parking</v>
          </cell>
        </row>
        <row r="5308">
          <cell r="K5308">
            <v>50</v>
          </cell>
          <cell r="P5308" t="str">
            <v>81123102-52081101</v>
          </cell>
          <cell r="S5308" t="str">
            <v>2026A-06</v>
          </cell>
          <cell r="T5308" t="str">
            <v>Parking</v>
          </cell>
        </row>
        <row r="5309">
          <cell r="K5309">
            <v>60</v>
          </cell>
          <cell r="P5309" t="str">
            <v>81123102-52081101</v>
          </cell>
          <cell r="S5309" t="str">
            <v>2026A-06</v>
          </cell>
          <cell r="T5309" t="str">
            <v>Parking</v>
          </cell>
        </row>
        <row r="5310">
          <cell r="K5310">
            <v>90</v>
          </cell>
          <cell r="P5310" t="str">
            <v>81123102-52081101</v>
          </cell>
          <cell r="S5310" t="str">
            <v>2026A-06</v>
          </cell>
          <cell r="T5310" t="str">
            <v>Parking</v>
          </cell>
        </row>
        <row r="5311">
          <cell r="K5311">
            <v>25</v>
          </cell>
          <cell r="P5311" t="str">
            <v>81123102-52081101</v>
          </cell>
          <cell r="S5311" t="str">
            <v>2026A-06</v>
          </cell>
          <cell r="T5311" t="str">
            <v>Parking</v>
          </cell>
        </row>
        <row r="5312">
          <cell r="K5312">
            <v>40</v>
          </cell>
          <cell r="P5312" t="str">
            <v>81123102-52081101</v>
          </cell>
          <cell r="S5312" t="str">
            <v>2026A-06</v>
          </cell>
          <cell r="T5312" t="str">
            <v>Parking</v>
          </cell>
        </row>
        <row r="5313">
          <cell r="K5313">
            <v>105</v>
          </cell>
          <cell r="P5313" t="str">
            <v>81123102-52081101</v>
          </cell>
          <cell r="S5313" t="str">
            <v>2026A-06</v>
          </cell>
          <cell r="T5313" t="str">
            <v>Parking</v>
          </cell>
        </row>
        <row r="5314">
          <cell r="K5314">
            <v>50</v>
          </cell>
          <cell r="P5314" t="str">
            <v>81123102-52081101</v>
          </cell>
          <cell r="S5314" t="str">
            <v>2026A-06</v>
          </cell>
          <cell r="T5314" t="str">
            <v>Parking</v>
          </cell>
        </row>
        <row r="5315">
          <cell r="K5315">
            <v>2000</v>
          </cell>
          <cell r="P5315" t="str">
            <v>81123102-52081101</v>
          </cell>
          <cell r="S5315" t="str">
            <v>2026A-06</v>
          </cell>
          <cell r="T5315" t="str">
            <v>Toll</v>
          </cell>
        </row>
        <row r="5316">
          <cell r="K5316">
            <v>300</v>
          </cell>
          <cell r="P5316" t="str">
            <v>81123102-52081103</v>
          </cell>
          <cell r="S5316" t="str">
            <v>2026A-06</v>
          </cell>
          <cell r="T5316" t="str">
            <v>Meal Allowance</v>
          </cell>
        </row>
        <row r="5317">
          <cell r="K5317">
            <v>150</v>
          </cell>
          <cell r="P5317" t="str">
            <v>81123102-52081103</v>
          </cell>
          <cell r="S5317" t="str">
            <v>2026A-06</v>
          </cell>
          <cell r="T5317" t="str">
            <v>Meal Allowance</v>
          </cell>
        </row>
        <row r="5318">
          <cell r="K5318">
            <v>150</v>
          </cell>
          <cell r="P5318" t="str">
            <v>81123102-52081103</v>
          </cell>
          <cell r="S5318" t="str">
            <v>2026A-06</v>
          </cell>
          <cell r="T5318" t="str">
            <v>Meal Allowance</v>
          </cell>
        </row>
        <row r="5319">
          <cell r="K5319">
            <v>150</v>
          </cell>
          <cell r="P5319" t="str">
            <v>81123102-52081103</v>
          </cell>
          <cell r="S5319" t="str">
            <v>2026A-06</v>
          </cell>
          <cell r="T5319" t="str">
            <v>Meal Allowance</v>
          </cell>
        </row>
        <row r="5320">
          <cell r="K5320">
            <v>150</v>
          </cell>
          <cell r="P5320" t="str">
            <v>81123102-52081103</v>
          </cell>
          <cell r="S5320" t="str">
            <v>2026A-06</v>
          </cell>
          <cell r="T5320" t="str">
            <v>Meal Allowance</v>
          </cell>
        </row>
        <row r="5321">
          <cell r="K5321">
            <v>165</v>
          </cell>
          <cell r="P5321" t="str">
            <v>81123102-52111101</v>
          </cell>
          <cell r="S5321" t="str">
            <v>2026A-06</v>
          </cell>
          <cell r="T5321" t="str">
            <v>Office Supplies - Others</v>
          </cell>
        </row>
        <row r="5322">
          <cell r="K5322">
            <v>96</v>
          </cell>
          <cell r="P5322" t="str">
            <v>81123102-52111101</v>
          </cell>
          <cell r="S5322" t="str">
            <v>2026A-06</v>
          </cell>
          <cell r="T5322" t="str">
            <v>Office Supplies - Others</v>
          </cell>
        </row>
        <row r="5323">
          <cell r="K5323">
            <v>99</v>
          </cell>
          <cell r="P5323" t="str">
            <v>81123102-52119101</v>
          </cell>
          <cell r="S5323" t="str">
            <v>2026A-06</v>
          </cell>
          <cell r="T5323" t="str">
            <v>Gas/fuel</v>
          </cell>
        </row>
        <row r="5324">
          <cell r="K5324">
            <v>210</v>
          </cell>
          <cell r="P5324" t="str">
            <v>81123102-52119101</v>
          </cell>
          <cell r="S5324" t="str">
            <v>2026A-06</v>
          </cell>
          <cell r="T5324" t="str">
            <v>Gas/fuel</v>
          </cell>
        </row>
        <row r="5325">
          <cell r="K5325">
            <v>126</v>
          </cell>
          <cell r="P5325" t="str">
            <v>81123102-52119101</v>
          </cell>
          <cell r="S5325" t="str">
            <v>2026A-06</v>
          </cell>
          <cell r="T5325" t="str">
            <v>Gas/fuel</v>
          </cell>
        </row>
        <row r="5326">
          <cell r="K5326">
            <v>198</v>
          </cell>
          <cell r="P5326" t="str">
            <v>81123102-52119101</v>
          </cell>
          <cell r="S5326" t="str">
            <v>2026A-06</v>
          </cell>
          <cell r="T5326" t="str">
            <v>Gas/fuel</v>
          </cell>
        </row>
        <row r="5327">
          <cell r="K5327">
            <v>51</v>
          </cell>
          <cell r="P5327" t="str">
            <v>81123102-52119101</v>
          </cell>
          <cell r="S5327" t="str">
            <v>2026A-06</v>
          </cell>
          <cell r="T5327" t="str">
            <v>Gas/fuel</v>
          </cell>
        </row>
        <row r="5328">
          <cell r="K5328">
            <v>250</v>
          </cell>
          <cell r="P5328" t="str">
            <v>81123102-52119101</v>
          </cell>
          <cell r="S5328" t="str">
            <v>2026A-06</v>
          </cell>
          <cell r="T5328" t="str">
            <v>Gas/fuel</v>
          </cell>
        </row>
        <row r="5329">
          <cell r="K5329">
            <v>154</v>
          </cell>
          <cell r="P5329" t="str">
            <v>81123102-52119101</v>
          </cell>
          <cell r="S5329" t="str">
            <v>2026A-06</v>
          </cell>
          <cell r="T5329" t="str">
            <v>Gas/fuel</v>
          </cell>
        </row>
        <row r="5330">
          <cell r="K5330">
            <v>95</v>
          </cell>
          <cell r="P5330" t="str">
            <v>81123102-52119101</v>
          </cell>
          <cell r="S5330" t="str">
            <v>2026A-06</v>
          </cell>
          <cell r="T5330" t="str">
            <v>Gas/fuel</v>
          </cell>
        </row>
        <row r="5331">
          <cell r="K5331">
            <v>183</v>
          </cell>
          <cell r="P5331" t="str">
            <v>81123102-52119101</v>
          </cell>
          <cell r="S5331" t="str">
            <v>2026A-06</v>
          </cell>
          <cell r="T5331" t="str">
            <v>Gas/fuel</v>
          </cell>
        </row>
        <row r="5332">
          <cell r="K5332">
            <v>140</v>
          </cell>
          <cell r="P5332" t="str">
            <v>81123102-52119101</v>
          </cell>
          <cell r="S5332" t="str">
            <v>2026A-06</v>
          </cell>
          <cell r="T5332" t="str">
            <v>Gas/fuel</v>
          </cell>
        </row>
        <row r="5333">
          <cell r="K5333">
            <v>410</v>
          </cell>
          <cell r="P5333" t="str">
            <v>81123102-52119101</v>
          </cell>
          <cell r="S5333" t="str">
            <v>2026A-06</v>
          </cell>
          <cell r="T5333" t="str">
            <v>Gas/fuel</v>
          </cell>
        </row>
        <row r="5334">
          <cell r="K5334">
            <v>560</v>
          </cell>
          <cell r="P5334" t="str">
            <v>81123102-52119101</v>
          </cell>
          <cell r="S5334" t="str">
            <v>2026A-06</v>
          </cell>
          <cell r="T5334" t="str">
            <v>Gas/fuel</v>
          </cell>
        </row>
        <row r="5335">
          <cell r="K5335">
            <v>721</v>
          </cell>
          <cell r="P5335" t="str">
            <v>81123102-52119101</v>
          </cell>
          <cell r="S5335" t="str">
            <v>2026A-06</v>
          </cell>
          <cell r="T5335" t="str">
            <v>Gas/fuel</v>
          </cell>
        </row>
        <row r="5336">
          <cell r="K5336">
            <v>250</v>
          </cell>
          <cell r="P5336" t="str">
            <v>81123102-52119101</v>
          </cell>
          <cell r="S5336" t="str">
            <v>2026A-06</v>
          </cell>
          <cell r="T5336" t="str">
            <v>Gas/fuel</v>
          </cell>
        </row>
        <row r="5337">
          <cell r="K5337">
            <v>541</v>
          </cell>
          <cell r="P5337" t="str">
            <v>81123102-52119101</v>
          </cell>
          <cell r="S5337" t="str">
            <v>2026A-06</v>
          </cell>
          <cell r="T5337" t="str">
            <v>Gas/fuel</v>
          </cell>
        </row>
        <row r="5338">
          <cell r="K5338">
            <v>312</v>
          </cell>
          <cell r="P5338" t="str">
            <v>81123102-52119101</v>
          </cell>
          <cell r="S5338" t="str">
            <v>2026A-06</v>
          </cell>
          <cell r="T5338" t="str">
            <v>Gas/fuel</v>
          </cell>
        </row>
        <row r="5339">
          <cell r="K5339">
            <v>518</v>
          </cell>
          <cell r="P5339" t="str">
            <v>81123102-52119101</v>
          </cell>
          <cell r="S5339" t="str">
            <v>2026A-06</v>
          </cell>
          <cell r="T5339" t="str">
            <v>Gas/fuel</v>
          </cell>
        </row>
        <row r="5340">
          <cell r="K5340">
            <v>346</v>
          </cell>
          <cell r="P5340" t="str">
            <v>81123102-52119101</v>
          </cell>
          <cell r="S5340" t="str">
            <v>2026A-06</v>
          </cell>
          <cell r="T5340" t="str">
            <v>Gas/fuel</v>
          </cell>
        </row>
        <row r="5341">
          <cell r="K5341">
            <v>279</v>
          </cell>
          <cell r="P5341" t="str">
            <v>81123102-52119101</v>
          </cell>
          <cell r="S5341" t="str">
            <v>2026A-06</v>
          </cell>
          <cell r="T5341" t="str">
            <v>Gas/fuel</v>
          </cell>
        </row>
        <row r="5342">
          <cell r="K5342">
            <v>250</v>
          </cell>
          <cell r="P5342" t="str">
            <v>81123102-52119101</v>
          </cell>
          <cell r="S5342" t="str">
            <v>2026A-06</v>
          </cell>
          <cell r="T5342" t="str">
            <v>Gas/fuel</v>
          </cell>
        </row>
        <row r="5343">
          <cell r="K5343">
            <v>247</v>
          </cell>
          <cell r="P5343" t="str">
            <v>81123102-52119101</v>
          </cell>
          <cell r="S5343" t="str">
            <v>2026A-06</v>
          </cell>
          <cell r="T5343" t="str">
            <v>Gas/fuel</v>
          </cell>
        </row>
        <row r="5344">
          <cell r="K5344">
            <v>332</v>
          </cell>
          <cell r="P5344" t="str">
            <v>81123102-52119101</v>
          </cell>
          <cell r="S5344" t="str">
            <v>2026A-06</v>
          </cell>
          <cell r="T5344" t="str">
            <v>Gas/fuel</v>
          </cell>
        </row>
        <row r="5345">
          <cell r="K5345">
            <v>339</v>
          </cell>
          <cell r="P5345" t="str">
            <v>81123102-52119101</v>
          </cell>
          <cell r="S5345" t="str">
            <v>2026A-06</v>
          </cell>
          <cell r="T5345" t="str">
            <v>Gas/fuel</v>
          </cell>
        </row>
        <row r="5346">
          <cell r="K5346">
            <v>293</v>
          </cell>
          <cell r="P5346" t="str">
            <v>81123102-52119101</v>
          </cell>
          <cell r="S5346" t="str">
            <v>2026A-06</v>
          </cell>
          <cell r="T5346" t="str">
            <v>Gas/fuel</v>
          </cell>
        </row>
        <row r="5347">
          <cell r="K5347">
            <v>328</v>
          </cell>
          <cell r="P5347" t="str">
            <v>81123102-52119101</v>
          </cell>
          <cell r="S5347" t="str">
            <v>2026A-06</v>
          </cell>
          <cell r="T5347" t="str">
            <v>Gas/fuel</v>
          </cell>
        </row>
        <row r="5348">
          <cell r="K5348">
            <v>310</v>
          </cell>
          <cell r="P5348" t="str">
            <v>81123102-52119101</v>
          </cell>
          <cell r="S5348" t="str">
            <v>2026A-06</v>
          </cell>
          <cell r="T5348" t="str">
            <v>Gas/fuel</v>
          </cell>
        </row>
        <row r="5349">
          <cell r="K5349">
            <v>250</v>
          </cell>
          <cell r="P5349" t="str">
            <v>81123102-52119101</v>
          </cell>
          <cell r="S5349" t="str">
            <v>2026A-06</v>
          </cell>
          <cell r="T5349" t="str">
            <v>Gas/fuel</v>
          </cell>
        </row>
        <row r="5350">
          <cell r="K5350">
            <v>398</v>
          </cell>
          <cell r="P5350" t="str">
            <v>81123102-52119101</v>
          </cell>
          <cell r="S5350" t="str">
            <v>2026A-06</v>
          </cell>
          <cell r="T5350" t="str">
            <v>Gas/fuel</v>
          </cell>
        </row>
        <row r="5351">
          <cell r="K5351">
            <v>2678.57</v>
          </cell>
          <cell r="P5351" t="str">
            <v>81123102-52061111</v>
          </cell>
          <cell r="S5351" t="str">
            <v>2026A-06</v>
          </cell>
          <cell r="T5351" t="str">
            <v>R&amp;M - Supplies</v>
          </cell>
        </row>
        <row r="5352">
          <cell r="K5352">
            <v>5000</v>
          </cell>
          <cell r="P5352" t="str">
            <v>81123102-52111101</v>
          </cell>
          <cell r="S5352" t="str">
            <v>2026A-06</v>
          </cell>
          <cell r="T5352" t="str">
            <v>Toner/ink</v>
          </cell>
        </row>
        <row r="5353">
          <cell r="K5353">
            <v>20153.57</v>
          </cell>
          <cell r="P5353" t="str">
            <v>81319101-52061103</v>
          </cell>
          <cell r="S5353" t="str">
            <v>2026A-06</v>
          </cell>
          <cell r="T5353" t="str">
            <v>R&amp;M - Supplies</v>
          </cell>
        </row>
        <row r="5354">
          <cell r="K5354">
            <v>21700</v>
          </cell>
          <cell r="P5354" t="str">
            <v>90111101-52121101</v>
          </cell>
          <cell r="S5354" t="str">
            <v>2026A-06</v>
          </cell>
          <cell r="T5354" t="str">
            <v>Regular Employee</v>
          </cell>
        </row>
        <row r="5355">
          <cell r="K5355">
            <v>21700</v>
          </cell>
          <cell r="P5355" t="str">
            <v>90111101-52121101</v>
          </cell>
          <cell r="S5355" t="str">
            <v>2026A-06</v>
          </cell>
          <cell r="T5355" t="str">
            <v>Regular Employee</v>
          </cell>
        </row>
        <row r="5356">
          <cell r="K5356">
            <v>5963.43</v>
          </cell>
          <cell r="P5356" t="str">
            <v>90111101-52121101</v>
          </cell>
          <cell r="S5356" t="str">
            <v>2026A-06</v>
          </cell>
          <cell r="T5356" t="str">
            <v>Regular Employee</v>
          </cell>
        </row>
        <row r="5357">
          <cell r="K5357">
            <v>-2981.72</v>
          </cell>
          <cell r="P5357" t="str">
            <v>90111101-52121101</v>
          </cell>
          <cell r="S5357" t="str">
            <v>2026A-06</v>
          </cell>
          <cell r="T5357" t="str">
            <v>Regular Employee</v>
          </cell>
        </row>
        <row r="5358">
          <cell r="K5358">
            <v>5283</v>
          </cell>
          <cell r="P5358" t="str">
            <v>90111101-52121104</v>
          </cell>
          <cell r="S5358" t="str">
            <v>2026A-06</v>
          </cell>
          <cell r="T5358" t="str">
            <v>Guaranteed Bonus</v>
          </cell>
        </row>
        <row r="5359">
          <cell r="K5359">
            <v>-18387.02</v>
          </cell>
          <cell r="P5359" t="str">
            <v>90111101-52121106</v>
          </cell>
          <cell r="S5359" t="str">
            <v>2026A-06</v>
          </cell>
          <cell r="T5359" t="str">
            <v>SL conversion</v>
          </cell>
        </row>
        <row r="5360">
          <cell r="K5360">
            <v>-19380.919999999998</v>
          </cell>
          <cell r="P5360" t="str">
            <v>90111101-52121106</v>
          </cell>
          <cell r="S5360" t="str">
            <v>2026A-06</v>
          </cell>
          <cell r="T5360" t="str">
            <v>SL conversion</v>
          </cell>
        </row>
        <row r="5361">
          <cell r="K5361">
            <v>38000</v>
          </cell>
          <cell r="P5361" t="str">
            <v>81123102-52111101</v>
          </cell>
          <cell r="S5361" t="str">
            <v>2026A-06</v>
          </cell>
          <cell r="T5361" t="str">
            <v>Office Supplies - Others</v>
          </cell>
        </row>
        <row r="5362">
          <cell r="K5362">
            <v>37700</v>
          </cell>
          <cell r="P5362" t="str">
            <v>90111101-52121101</v>
          </cell>
          <cell r="S5362" t="str">
            <v>2026A-06</v>
          </cell>
          <cell r="T5362" t="str">
            <v>Regular Employee</v>
          </cell>
        </row>
        <row r="5363">
          <cell r="K5363">
            <v>16600</v>
          </cell>
          <cell r="P5363" t="str">
            <v>90111101-52121101</v>
          </cell>
          <cell r="S5363" t="str">
            <v>2026A-06</v>
          </cell>
          <cell r="T5363" t="str">
            <v>Regular Employee</v>
          </cell>
        </row>
        <row r="5364">
          <cell r="K5364">
            <v>9252.02</v>
          </cell>
          <cell r="P5364" t="str">
            <v>90111101-52121101</v>
          </cell>
          <cell r="S5364" t="str">
            <v>2026A-06</v>
          </cell>
          <cell r="T5364" t="str">
            <v>Regular Employee</v>
          </cell>
        </row>
        <row r="5365">
          <cell r="K5365">
            <v>-74.14</v>
          </cell>
          <cell r="P5365" t="str">
            <v>90111101-52121101</v>
          </cell>
          <cell r="S5365" t="str">
            <v>2026A-06</v>
          </cell>
          <cell r="T5365" t="str">
            <v>Regular Employee</v>
          </cell>
        </row>
        <row r="5366">
          <cell r="K5366">
            <v>15450</v>
          </cell>
          <cell r="P5366" t="str">
            <v>90111101-52121101</v>
          </cell>
          <cell r="S5366" t="str">
            <v>2026A-06</v>
          </cell>
          <cell r="T5366" t="str">
            <v>Regular Employee</v>
          </cell>
        </row>
        <row r="5367">
          <cell r="K5367">
            <v>8491.7099999999991</v>
          </cell>
          <cell r="P5367" t="str">
            <v>90111101-52121101</v>
          </cell>
          <cell r="S5367" t="str">
            <v>2026A-06</v>
          </cell>
          <cell r="T5367" t="str">
            <v>Regular Employee</v>
          </cell>
        </row>
        <row r="5368">
          <cell r="K5368">
            <v>-228.21</v>
          </cell>
          <cell r="P5368" t="str">
            <v>90111101-52121101</v>
          </cell>
          <cell r="S5368" t="str">
            <v>2026A-06</v>
          </cell>
          <cell r="T5368" t="str">
            <v>Regular Employee</v>
          </cell>
        </row>
        <row r="5369">
          <cell r="K5369">
            <v>-2830.57</v>
          </cell>
          <cell r="P5369" t="str">
            <v>90111101-52121101</v>
          </cell>
          <cell r="S5369" t="str">
            <v>2026A-06</v>
          </cell>
          <cell r="T5369" t="str">
            <v>Regular Employee</v>
          </cell>
        </row>
        <row r="5370">
          <cell r="K5370">
            <v>17816</v>
          </cell>
          <cell r="P5370" t="str">
            <v>90111101-52121104</v>
          </cell>
          <cell r="S5370" t="str">
            <v>2026A-06</v>
          </cell>
          <cell r="T5370" t="str">
            <v>Guaranteed Bonus</v>
          </cell>
        </row>
        <row r="5371">
          <cell r="K5371">
            <v>6017</v>
          </cell>
          <cell r="P5371" t="str">
            <v>90111101-52121104</v>
          </cell>
          <cell r="S5371" t="str">
            <v>2026A-06</v>
          </cell>
          <cell r="T5371" t="str">
            <v>Guaranteed Bonus</v>
          </cell>
        </row>
        <row r="5372">
          <cell r="K5372">
            <v>5908.39</v>
          </cell>
          <cell r="P5372" t="str">
            <v>90111101-52121106</v>
          </cell>
          <cell r="S5372" t="str">
            <v>2026A-06</v>
          </cell>
          <cell r="T5372" t="str">
            <v>SL conversion</v>
          </cell>
        </row>
        <row r="5373">
          <cell r="K5373">
            <v>9774.0400000000009</v>
          </cell>
          <cell r="P5373" t="str">
            <v>90111101-52121106</v>
          </cell>
          <cell r="S5373" t="str">
            <v>2026A-06</v>
          </cell>
          <cell r="T5373" t="str">
            <v>SL conversion</v>
          </cell>
        </row>
        <row r="5374">
          <cell r="K5374">
            <v>-8137.79</v>
          </cell>
          <cell r="P5374" t="str">
            <v>90111101-52121106</v>
          </cell>
          <cell r="S5374" t="str">
            <v>2026A-06</v>
          </cell>
          <cell r="T5374" t="str">
            <v>SL conversion</v>
          </cell>
        </row>
        <row r="5375">
          <cell r="K5375">
            <v>-8845.42</v>
          </cell>
          <cell r="P5375" t="str">
            <v>90111101-52121106</v>
          </cell>
          <cell r="S5375" t="str">
            <v>2026A-06</v>
          </cell>
          <cell r="T5375" t="str">
            <v>SL conversion</v>
          </cell>
        </row>
        <row r="5376">
          <cell r="K5376">
            <v>33500.71</v>
          </cell>
          <cell r="P5376" t="str">
            <v>81123102-52101112</v>
          </cell>
          <cell r="S5376" t="str">
            <v>2026A-06</v>
          </cell>
          <cell r="T5376" t="str">
            <v>Insurance - Vehicle</v>
          </cell>
        </row>
        <row r="5377">
          <cell r="K5377">
            <v>4188</v>
          </cell>
          <cell r="P5377" t="str">
            <v>81123102-52101112</v>
          </cell>
          <cell r="S5377" t="str">
            <v>2026A-06</v>
          </cell>
          <cell r="T5377" t="str">
            <v>Insurance - Vehicle</v>
          </cell>
        </row>
        <row r="5378">
          <cell r="K5378">
            <v>67</v>
          </cell>
          <cell r="P5378" t="str">
            <v>81123102-52101112</v>
          </cell>
          <cell r="S5378" t="str">
            <v>2026A-06</v>
          </cell>
          <cell r="T5378" t="str">
            <v>Insurance - Vehicle</v>
          </cell>
        </row>
        <row r="5379">
          <cell r="K5379">
            <v>-0.01</v>
          </cell>
          <cell r="P5379" t="str">
            <v>81123102-52111101</v>
          </cell>
          <cell r="S5379" t="str">
            <v>2026A-06</v>
          </cell>
          <cell r="T5379" t="str">
            <v>Office Supplies - Others</v>
          </cell>
        </row>
        <row r="5380">
          <cell r="K5380">
            <v>29990.74</v>
          </cell>
          <cell r="P5380" t="str">
            <v>81319101-52041499</v>
          </cell>
          <cell r="S5380" t="str">
            <v>2026A-06</v>
          </cell>
          <cell r="T5380" t="str">
            <v>TS</v>
          </cell>
        </row>
        <row r="5381">
          <cell r="K5381">
            <v>-0.01</v>
          </cell>
          <cell r="P5381" t="str">
            <v>81123102-52111101</v>
          </cell>
          <cell r="S5381" t="str">
            <v>2026A-06</v>
          </cell>
          <cell r="T5381" t="str">
            <v>Office Supplies - Others</v>
          </cell>
        </row>
        <row r="5382">
          <cell r="K5382">
            <v>20000</v>
          </cell>
          <cell r="P5382" t="str">
            <v>80123101-61071005</v>
          </cell>
          <cell r="S5382" t="str">
            <v>2026A-06</v>
          </cell>
          <cell r="T5382" t="str">
            <v>Poblador</v>
          </cell>
        </row>
        <row r="5383">
          <cell r="K5383">
            <v>22179.599999999999</v>
          </cell>
          <cell r="P5383" t="str">
            <v>80123101-61071002</v>
          </cell>
          <cell r="S5383" t="str">
            <v>2026A-06</v>
          </cell>
          <cell r="T5383" t="str">
            <v>Open Cases</v>
          </cell>
        </row>
        <row r="5384">
          <cell r="K5384">
            <v>20400</v>
          </cell>
          <cell r="P5384" t="str">
            <v>80123101-61071002</v>
          </cell>
          <cell r="S5384" t="str">
            <v>2026A-06</v>
          </cell>
          <cell r="T5384" t="str">
            <v>Open Cases</v>
          </cell>
        </row>
        <row r="5385">
          <cell r="K5385">
            <v>22179.599999999999</v>
          </cell>
          <cell r="P5385" t="str">
            <v>80123101-61071002</v>
          </cell>
          <cell r="S5385" t="str">
            <v>2026A-06</v>
          </cell>
          <cell r="T5385" t="str">
            <v>Open Cases</v>
          </cell>
        </row>
        <row r="5386">
          <cell r="K5386">
            <v>20400</v>
          </cell>
          <cell r="P5386" t="str">
            <v>80123101-61071002</v>
          </cell>
          <cell r="S5386" t="str">
            <v>2026A-06</v>
          </cell>
          <cell r="T5386" t="str">
            <v>Open Cases</v>
          </cell>
        </row>
        <row r="5387">
          <cell r="K5387">
            <v>22179.599999999999</v>
          </cell>
          <cell r="P5387" t="str">
            <v>80123101-61071002</v>
          </cell>
          <cell r="S5387" t="str">
            <v>2026A-06</v>
          </cell>
          <cell r="T5387" t="str">
            <v>Open Cases</v>
          </cell>
        </row>
        <row r="5388">
          <cell r="K5388">
            <v>20400</v>
          </cell>
          <cell r="P5388" t="str">
            <v>80123101-61071002</v>
          </cell>
          <cell r="S5388" t="str">
            <v>2026A-06</v>
          </cell>
          <cell r="T5388" t="str">
            <v>Open Cases</v>
          </cell>
        </row>
        <row r="5389">
          <cell r="K5389">
            <v>50</v>
          </cell>
          <cell r="P5389" t="str">
            <v>80123102-61111101</v>
          </cell>
          <cell r="S5389" t="str">
            <v>2026A-06</v>
          </cell>
          <cell r="T5389" t="str">
            <v>Office Supplies - Others</v>
          </cell>
        </row>
        <row r="5390">
          <cell r="K5390">
            <v>44</v>
          </cell>
          <cell r="P5390" t="str">
            <v>80123102-61111101</v>
          </cell>
          <cell r="S5390" t="str">
            <v>2026A-06</v>
          </cell>
          <cell r="T5390" t="str">
            <v>Office Supplies - Others</v>
          </cell>
        </row>
        <row r="5391">
          <cell r="K5391">
            <v>86</v>
          </cell>
          <cell r="P5391" t="str">
            <v>80123102-61111101</v>
          </cell>
          <cell r="S5391" t="str">
            <v>2026A-06</v>
          </cell>
          <cell r="T5391" t="str">
            <v>Office Supplies - Others</v>
          </cell>
        </row>
        <row r="5392">
          <cell r="K5392">
            <v>10.67</v>
          </cell>
          <cell r="P5392" t="str">
            <v>80123101-61711101</v>
          </cell>
          <cell r="S5392" t="str">
            <v>2026A-06</v>
          </cell>
          <cell r="T5392" t="str">
            <v>Dues and Fees - Legal</v>
          </cell>
        </row>
        <row r="5393">
          <cell r="K5393">
            <v>27.04</v>
          </cell>
          <cell r="P5393" t="str">
            <v>80123101-61711101</v>
          </cell>
          <cell r="S5393" t="str">
            <v>2026A-06</v>
          </cell>
          <cell r="T5393" t="str">
            <v>Dues and Fees - Legal</v>
          </cell>
        </row>
        <row r="5394">
          <cell r="K5394">
            <v>10.67</v>
          </cell>
          <cell r="P5394" t="str">
            <v>80123101-61711101</v>
          </cell>
          <cell r="S5394" t="str">
            <v>2026A-06</v>
          </cell>
          <cell r="T5394" t="str">
            <v>Dues and Fees - Legal</v>
          </cell>
        </row>
        <row r="5395">
          <cell r="K5395">
            <v>50</v>
          </cell>
          <cell r="P5395" t="str">
            <v>80123101-61711101</v>
          </cell>
          <cell r="S5395" t="str">
            <v>2026A-06</v>
          </cell>
          <cell r="T5395" t="str">
            <v>Dues and Fees - Legal</v>
          </cell>
        </row>
        <row r="5396">
          <cell r="K5396">
            <v>10.67</v>
          </cell>
          <cell r="P5396" t="str">
            <v>80123101-61711101</v>
          </cell>
          <cell r="S5396" t="str">
            <v>2026A-06</v>
          </cell>
          <cell r="T5396" t="str">
            <v>Dues and Fees - Legal</v>
          </cell>
        </row>
        <row r="5397">
          <cell r="K5397">
            <v>25</v>
          </cell>
          <cell r="P5397" t="str">
            <v>80123101-61711101</v>
          </cell>
          <cell r="S5397" t="str">
            <v>2026A-06</v>
          </cell>
          <cell r="T5397" t="str">
            <v>Dues and Fees - Legal</v>
          </cell>
        </row>
        <row r="5398">
          <cell r="K5398">
            <v>4426.71</v>
          </cell>
          <cell r="P5398" t="str">
            <v>81319101-52041405</v>
          </cell>
          <cell r="S5398" t="str">
            <v>2026A-06</v>
          </cell>
          <cell r="T5398" t="str">
            <v>ES</v>
          </cell>
        </row>
        <row r="5399">
          <cell r="K5399">
            <v>6315.85</v>
          </cell>
          <cell r="P5399" t="str">
            <v>80123102-61101104</v>
          </cell>
          <cell r="S5399" t="str">
            <v>2026A-06</v>
          </cell>
          <cell r="T5399" t="str">
            <v>Insurance Vehicle</v>
          </cell>
        </row>
        <row r="5400">
          <cell r="K5400">
            <v>789.48</v>
          </cell>
          <cell r="P5400" t="str">
            <v>80123102-61101104</v>
          </cell>
          <cell r="S5400" t="str">
            <v>2026A-06</v>
          </cell>
          <cell r="T5400" t="str">
            <v>Insurance Vehicle</v>
          </cell>
        </row>
        <row r="5401">
          <cell r="K5401">
            <v>12.63</v>
          </cell>
          <cell r="P5401" t="str">
            <v>80123102-61101104</v>
          </cell>
          <cell r="S5401" t="str">
            <v>2026A-06</v>
          </cell>
          <cell r="T5401" t="str">
            <v>Insurance Vehicle</v>
          </cell>
        </row>
        <row r="5402">
          <cell r="K5402">
            <v>400</v>
          </cell>
          <cell r="P5402" t="str">
            <v>90123101-61711101</v>
          </cell>
          <cell r="S5402" t="str">
            <v>2026A-06</v>
          </cell>
          <cell r="T5402" t="str">
            <v>Esecure SEC</v>
          </cell>
        </row>
        <row r="5403">
          <cell r="K5403">
            <v>46898</v>
          </cell>
          <cell r="P5403" t="str">
            <v>90122101-52041499</v>
          </cell>
          <cell r="S5403" t="str">
            <v>2026A-06</v>
          </cell>
          <cell r="T5403" t="str">
            <v>Doctor</v>
          </cell>
        </row>
        <row r="5404">
          <cell r="K5404">
            <v>30000</v>
          </cell>
          <cell r="P5404" t="str">
            <v>80123101-61071002</v>
          </cell>
          <cell r="S5404" t="str">
            <v>2026A-06</v>
          </cell>
          <cell r="T5404" t="str">
            <v>Open Cases</v>
          </cell>
        </row>
        <row r="5405">
          <cell r="K5405">
            <v>6000</v>
          </cell>
          <cell r="P5405" t="str">
            <v>80123101-61071002</v>
          </cell>
          <cell r="S5405" t="str">
            <v>2026A-06</v>
          </cell>
          <cell r="T5405" t="str">
            <v>Open Cases</v>
          </cell>
        </row>
        <row r="5406">
          <cell r="K5406">
            <v>230</v>
          </cell>
          <cell r="P5406" t="str">
            <v>80123101-61071002</v>
          </cell>
          <cell r="S5406" t="str">
            <v>2026A-06</v>
          </cell>
          <cell r="T5406" t="str">
            <v>Open Cases</v>
          </cell>
        </row>
        <row r="5407">
          <cell r="K5407">
            <v>102</v>
          </cell>
          <cell r="P5407" t="str">
            <v>80123101-61071002</v>
          </cell>
          <cell r="S5407" t="str">
            <v>2026A-06</v>
          </cell>
          <cell r="T5407" t="str">
            <v>Open Cases</v>
          </cell>
        </row>
        <row r="5408">
          <cell r="K5408">
            <v>500</v>
          </cell>
          <cell r="P5408" t="str">
            <v>80123101-61071002</v>
          </cell>
          <cell r="S5408" t="str">
            <v>2026A-06</v>
          </cell>
          <cell r="T5408" t="str">
            <v>Open Cases</v>
          </cell>
        </row>
        <row r="5409">
          <cell r="K5409">
            <v>2025</v>
          </cell>
          <cell r="P5409" t="str">
            <v>80123101-61071002</v>
          </cell>
          <cell r="S5409" t="str">
            <v>2026A-06</v>
          </cell>
          <cell r="T5409" t="str">
            <v>Open Cases</v>
          </cell>
        </row>
        <row r="5410">
          <cell r="K5410">
            <v>620</v>
          </cell>
          <cell r="P5410" t="str">
            <v>80123101-61071002</v>
          </cell>
          <cell r="S5410" t="str">
            <v>2026A-06</v>
          </cell>
          <cell r="T5410" t="str">
            <v>Open Cases</v>
          </cell>
        </row>
        <row r="5411">
          <cell r="K5411">
            <v>6000</v>
          </cell>
          <cell r="P5411" t="str">
            <v>80123101-61071002</v>
          </cell>
          <cell r="S5411" t="str">
            <v>2026A-06</v>
          </cell>
          <cell r="T5411" t="str">
            <v>Open Cases</v>
          </cell>
        </row>
        <row r="5412">
          <cell r="K5412">
            <v>1140</v>
          </cell>
          <cell r="P5412" t="str">
            <v>80123101-61071002</v>
          </cell>
          <cell r="S5412" t="str">
            <v>2026A-06</v>
          </cell>
          <cell r="T5412" t="str">
            <v>Open Cases</v>
          </cell>
        </row>
        <row r="5413">
          <cell r="K5413">
            <v>158</v>
          </cell>
          <cell r="P5413" t="str">
            <v>80123101-61071002</v>
          </cell>
          <cell r="S5413" t="str">
            <v>2026A-06</v>
          </cell>
          <cell r="T5413" t="str">
            <v>Open Cases</v>
          </cell>
        </row>
        <row r="5414">
          <cell r="K5414">
            <v>1800</v>
          </cell>
          <cell r="P5414" t="str">
            <v>80123101-61071002</v>
          </cell>
          <cell r="S5414" t="str">
            <v>2026A-06</v>
          </cell>
          <cell r="T5414" t="str">
            <v>Open Cases</v>
          </cell>
        </row>
        <row r="5415">
          <cell r="K5415">
            <v>2025</v>
          </cell>
          <cell r="P5415" t="str">
            <v>80123101-61071002</v>
          </cell>
          <cell r="S5415" t="str">
            <v>2026A-06</v>
          </cell>
          <cell r="T5415" t="str">
            <v>Open Cases</v>
          </cell>
        </row>
        <row r="5416">
          <cell r="K5416">
            <v>6000</v>
          </cell>
          <cell r="P5416" t="str">
            <v>80123101-61071002</v>
          </cell>
          <cell r="S5416" t="str">
            <v>2026A-06</v>
          </cell>
          <cell r="T5416" t="str">
            <v>Open Cases</v>
          </cell>
        </row>
        <row r="5417">
          <cell r="K5417">
            <v>6000</v>
          </cell>
          <cell r="P5417" t="str">
            <v>80123101-61071002</v>
          </cell>
          <cell r="S5417" t="str">
            <v>2026A-06</v>
          </cell>
          <cell r="T5417" t="str">
            <v>Open Cases</v>
          </cell>
        </row>
        <row r="5418">
          <cell r="K5418">
            <v>6600</v>
          </cell>
          <cell r="P5418" t="str">
            <v>80123101-61071002</v>
          </cell>
          <cell r="S5418" t="str">
            <v>2026A-06</v>
          </cell>
          <cell r="T5418" t="str">
            <v>Open Cases</v>
          </cell>
        </row>
        <row r="5419">
          <cell r="K5419">
            <v>7272</v>
          </cell>
          <cell r="P5419" t="str">
            <v>80123101-61071002</v>
          </cell>
          <cell r="S5419" t="str">
            <v>2026A-06</v>
          </cell>
          <cell r="T5419" t="str">
            <v>Open Cases</v>
          </cell>
        </row>
        <row r="5420">
          <cell r="K5420">
            <v>6600</v>
          </cell>
          <cell r="P5420" t="str">
            <v>80123101-61071002</v>
          </cell>
          <cell r="S5420" t="str">
            <v>2026A-06</v>
          </cell>
          <cell r="T5420" t="str">
            <v>Open Cases</v>
          </cell>
        </row>
        <row r="5421">
          <cell r="K5421">
            <v>2424</v>
          </cell>
          <cell r="P5421" t="str">
            <v>80123101-61071002</v>
          </cell>
          <cell r="S5421" t="str">
            <v>2026A-06</v>
          </cell>
          <cell r="T5421" t="str">
            <v>Open Cases</v>
          </cell>
        </row>
        <row r="5422">
          <cell r="K5422">
            <v>86</v>
          </cell>
          <cell r="P5422" t="str">
            <v>80123102-61111101</v>
          </cell>
          <cell r="S5422" t="str">
            <v>2026A-06</v>
          </cell>
          <cell r="T5422" t="str">
            <v>Office Supplies - Others</v>
          </cell>
        </row>
        <row r="5423">
          <cell r="K5423">
            <v>124</v>
          </cell>
          <cell r="P5423" t="str">
            <v>80123102-61111101</v>
          </cell>
          <cell r="S5423" t="str">
            <v>2026A-06</v>
          </cell>
          <cell r="T5423" t="str">
            <v>Office Supplies - Others</v>
          </cell>
        </row>
        <row r="5424">
          <cell r="K5424">
            <v>132</v>
          </cell>
          <cell r="P5424" t="str">
            <v>80123102-61111101</v>
          </cell>
          <cell r="S5424" t="str">
            <v>2026A-06</v>
          </cell>
          <cell r="T5424" t="str">
            <v>Office Supplies - Others</v>
          </cell>
        </row>
        <row r="5425">
          <cell r="K5425">
            <v>16</v>
          </cell>
          <cell r="P5425" t="str">
            <v>80123101-61711101</v>
          </cell>
          <cell r="S5425" t="str">
            <v>2026A-06</v>
          </cell>
          <cell r="T5425" t="str">
            <v>Dues and Fees - Legal</v>
          </cell>
        </row>
        <row r="5426">
          <cell r="K5426">
            <v>27.04</v>
          </cell>
          <cell r="P5426" t="str">
            <v>80123101-61711101</v>
          </cell>
          <cell r="S5426" t="str">
            <v>2026A-06</v>
          </cell>
          <cell r="T5426" t="str">
            <v>Dues and Fees - Legal</v>
          </cell>
        </row>
        <row r="5427">
          <cell r="K5427">
            <v>16</v>
          </cell>
          <cell r="P5427" t="str">
            <v>80123101-61711101</v>
          </cell>
          <cell r="S5427" t="str">
            <v>2026A-06</v>
          </cell>
          <cell r="T5427" t="str">
            <v>Dues and Fees - Legal</v>
          </cell>
        </row>
        <row r="5428">
          <cell r="K5428">
            <v>2771.78</v>
          </cell>
          <cell r="P5428" t="str">
            <v>81111101-52041495</v>
          </cell>
          <cell r="S5428" t="str">
            <v>2026A-06</v>
          </cell>
          <cell r="T5428" t="str">
            <v>BTs</v>
          </cell>
        </row>
        <row r="5429">
          <cell r="K5429">
            <v>31042.51</v>
          </cell>
          <cell r="P5429" t="str">
            <v>81319101-52041499</v>
          </cell>
          <cell r="S5429" t="str">
            <v>2026A-06</v>
          </cell>
          <cell r="T5429" t="str">
            <v>ES</v>
          </cell>
        </row>
        <row r="5430">
          <cell r="K5430">
            <v>30916.65</v>
          </cell>
          <cell r="P5430" t="str">
            <v>81319101-52041499</v>
          </cell>
          <cell r="S5430" t="str">
            <v>2026A-06</v>
          </cell>
          <cell r="T5430" t="str">
            <v>TS</v>
          </cell>
        </row>
        <row r="5431">
          <cell r="K5431">
            <v>534.82000000000005</v>
          </cell>
          <cell r="P5431" t="str">
            <v>81123102-52951101</v>
          </cell>
          <cell r="S5431" t="str">
            <v>2026A-06</v>
          </cell>
          <cell r="T5431" t="str">
            <v>Mobile Phones</v>
          </cell>
        </row>
        <row r="5432">
          <cell r="K5432">
            <v>891.96</v>
          </cell>
          <cell r="P5432" t="str">
            <v>81123102-52951101</v>
          </cell>
          <cell r="S5432" t="str">
            <v>2026A-06</v>
          </cell>
          <cell r="T5432" t="str">
            <v>Mobile Phones</v>
          </cell>
        </row>
        <row r="5433">
          <cell r="K5433">
            <v>534.82000000000005</v>
          </cell>
          <cell r="P5433" t="str">
            <v>81123102-52951101</v>
          </cell>
          <cell r="S5433" t="str">
            <v>2026A-06</v>
          </cell>
          <cell r="T5433" t="str">
            <v>Mobile Phones</v>
          </cell>
        </row>
        <row r="5434">
          <cell r="K5434">
            <v>891.96</v>
          </cell>
          <cell r="P5434" t="str">
            <v>81123102-52951101</v>
          </cell>
          <cell r="S5434" t="str">
            <v>2026A-06</v>
          </cell>
          <cell r="T5434" t="str">
            <v>Mobile Phones</v>
          </cell>
        </row>
        <row r="5435">
          <cell r="K5435">
            <v>713.39</v>
          </cell>
          <cell r="P5435" t="str">
            <v>81123102-52951101</v>
          </cell>
          <cell r="S5435" t="str">
            <v>2026A-06</v>
          </cell>
          <cell r="T5435" t="str">
            <v>Mobile Phones</v>
          </cell>
        </row>
        <row r="5436">
          <cell r="K5436">
            <v>534.82000000000005</v>
          </cell>
          <cell r="P5436" t="str">
            <v>81123102-52951101</v>
          </cell>
          <cell r="S5436" t="str">
            <v>2026A-06</v>
          </cell>
          <cell r="T5436" t="str">
            <v>Mobile Phones</v>
          </cell>
        </row>
        <row r="5437">
          <cell r="K5437">
            <v>713.39</v>
          </cell>
          <cell r="P5437" t="str">
            <v>81123102-52951101</v>
          </cell>
          <cell r="S5437" t="str">
            <v>2026A-06</v>
          </cell>
          <cell r="T5437" t="str">
            <v>Mobile Phones</v>
          </cell>
        </row>
        <row r="5438">
          <cell r="K5438">
            <v>891.96</v>
          </cell>
          <cell r="P5438" t="str">
            <v>81123102-52951101</v>
          </cell>
          <cell r="S5438" t="str">
            <v>2026A-06</v>
          </cell>
          <cell r="T5438" t="str">
            <v>Mobile Phones</v>
          </cell>
        </row>
        <row r="5439">
          <cell r="K5439">
            <v>713.39</v>
          </cell>
          <cell r="P5439" t="str">
            <v>81123102-52951101</v>
          </cell>
          <cell r="S5439" t="str">
            <v>2026A-06</v>
          </cell>
          <cell r="T5439" t="str">
            <v>Mobile Phones</v>
          </cell>
        </row>
        <row r="5440">
          <cell r="K5440">
            <v>713.39</v>
          </cell>
          <cell r="P5440" t="str">
            <v>81123102-52951101</v>
          </cell>
          <cell r="S5440" t="str">
            <v>2026A-06</v>
          </cell>
          <cell r="T5440" t="str">
            <v>Mobile Phones</v>
          </cell>
        </row>
        <row r="5441">
          <cell r="K5441">
            <v>1159.82</v>
          </cell>
          <cell r="P5441" t="str">
            <v>81123102-52951101</v>
          </cell>
          <cell r="S5441" t="str">
            <v>2026A-06</v>
          </cell>
          <cell r="T5441" t="str">
            <v>Mobile Phones</v>
          </cell>
        </row>
        <row r="5442">
          <cell r="K5442">
            <v>1159.82</v>
          </cell>
          <cell r="P5442" t="str">
            <v>81123102-52951101</v>
          </cell>
          <cell r="S5442" t="str">
            <v>2026A-06</v>
          </cell>
          <cell r="T5442" t="str">
            <v>Mobile Phones</v>
          </cell>
        </row>
        <row r="5443">
          <cell r="K5443">
            <v>891.96</v>
          </cell>
          <cell r="P5443" t="str">
            <v>81123102-52951101</v>
          </cell>
          <cell r="S5443" t="str">
            <v>2026A-06</v>
          </cell>
          <cell r="T5443" t="str">
            <v>Mobile Phones</v>
          </cell>
        </row>
        <row r="5444">
          <cell r="K5444">
            <v>569.38</v>
          </cell>
          <cell r="P5444" t="str">
            <v>81123102-52951101</v>
          </cell>
          <cell r="S5444" t="str">
            <v>2026A-06</v>
          </cell>
          <cell r="T5444" t="str">
            <v>Mobile Phones</v>
          </cell>
        </row>
        <row r="5445">
          <cell r="K5445">
            <v>572.02</v>
          </cell>
          <cell r="P5445" t="str">
            <v>81123102-52951101</v>
          </cell>
          <cell r="S5445" t="str">
            <v>2026A-06</v>
          </cell>
          <cell r="T5445" t="str">
            <v>Mobile Phones</v>
          </cell>
        </row>
        <row r="5446">
          <cell r="K5446">
            <v>891.96</v>
          </cell>
          <cell r="P5446" t="str">
            <v>81123102-52951101</v>
          </cell>
          <cell r="S5446" t="str">
            <v>2026A-06</v>
          </cell>
          <cell r="T5446" t="str">
            <v>Mobile Phones</v>
          </cell>
        </row>
        <row r="5447">
          <cell r="K5447">
            <v>891.96</v>
          </cell>
          <cell r="P5447" t="str">
            <v>81123102-52951101</v>
          </cell>
          <cell r="S5447" t="str">
            <v>2026A-06</v>
          </cell>
          <cell r="T5447" t="str">
            <v>Mobile Phones</v>
          </cell>
        </row>
        <row r="5448">
          <cell r="K5448">
            <v>1159.82</v>
          </cell>
          <cell r="P5448" t="str">
            <v>81123102-52951101</v>
          </cell>
          <cell r="S5448" t="str">
            <v>2026A-06</v>
          </cell>
          <cell r="T5448" t="str">
            <v>Mobile Phones</v>
          </cell>
        </row>
        <row r="5449">
          <cell r="K5449">
            <v>713.39</v>
          </cell>
          <cell r="P5449" t="str">
            <v>81123102-52951101</v>
          </cell>
          <cell r="S5449" t="str">
            <v>2026A-06</v>
          </cell>
          <cell r="T5449" t="str">
            <v>Mobile Phones</v>
          </cell>
        </row>
        <row r="5450">
          <cell r="K5450">
            <v>713.39</v>
          </cell>
          <cell r="P5450" t="str">
            <v>81123102-52951101</v>
          </cell>
          <cell r="S5450" t="str">
            <v>2026A-06</v>
          </cell>
          <cell r="T5450" t="str">
            <v>Mobile Phones</v>
          </cell>
        </row>
        <row r="5451">
          <cell r="K5451">
            <v>713.39</v>
          </cell>
          <cell r="P5451" t="str">
            <v>81123102-52951101</v>
          </cell>
          <cell r="S5451" t="str">
            <v>2026A-06</v>
          </cell>
          <cell r="T5451" t="str">
            <v>Mobile Phones</v>
          </cell>
        </row>
        <row r="5452">
          <cell r="K5452">
            <v>534.82000000000005</v>
          </cell>
          <cell r="P5452" t="str">
            <v>81123102-52951101</v>
          </cell>
          <cell r="S5452" t="str">
            <v>2026A-06</v>
          </cell>
          <cell r="T5452" t="str">
            <v>Mobile Phones</v>
          </cell>
        </row>
        <row r="5453">
          <cell r="K5453">
            <v>713.39</v>
          </cell>
          <cell r="P5453" t="str">
            <v>81123102-52951101</v>
          </cell>
          <cell r="S5453" t="str">
            <v>2026A-06</v>
          </cell>
          <cell r="T5453" t="str">
            <v>Mobile Phones</v>
          </cell>
        </row>
        <row r="5454">
          <cell r="K5454">
            <v>534.82000000000005</v>
          </cell>
          <cell r="P5454" t="str">
            <v>81123102-52951101</v>
          </cell>
          <cell r="S5454" t="str">
            <v>2026A-06</v>
          </cell>
          <cell r="T5454" t="str">
            <v>Mobile Phones</v>
          </cell>
        </row>
        <row r="5455">
          <cell r="K5455">
            <v>1159.82</v>
          </cell>
          <cell r="P5455" t="str">
            <v>81123102-52951101</v>
          </cell>
          <cell r="S5455" t="str">
            <v>2026A-06</v>
          </cell>
          <cell r="T5455" t="str">
            <v>Mobile Phones</v>
          </cell>
        </row>
        <row r="5456">
          <cell r="K5456">
            <v>1159.82</v>
          </cell>
          <cell r="P5456" t="str">
            <v>81123102-52951101</v>
          </cell>
          <cell r="S5456" t="str">
            <v>2026A-06</v>
          </cell>
          <cell r="T5456" t="str">
            <v>Mobile Phones</v>
          </cell>
        </row>
        <row r="5457">
          <cell r="K5457">
            <v>713.39</v>
          </cell>
          <cell r="P5457" t="str">
            <v>81123102-52951101</v>
          </cell>
          <cell r="S5457" t="str">
            <v>2026A-06</v>
          </cell>
          <cell r="T5457" t="str">
            <v>Mobile Phones</v>
          </cell>
        </row>
        <row r="5458">
          <cell r="K5458">
            <v>534.82000000000005</v>
          </cell>
          <cell r="P5458" t="str">
            <v>81123102-52951101</v>
          </cell>
          <cell r="S5458" t="str">
            <v>2026A-06</v>
          </cell>
          <cell r="T5458" t="str">
            <v>Mobile Phones</v>
          </cell>
        </row>
        <row r="5459">
          <cell r="K5459">
            <v>534.82000000000005</v>
          </cell>
          <cell r="P5459" t="str">
            <v>81123102-52951101</v>
          </cell>
          <cell r="S5459" t="str">
            <v>2026A-06</v>
          </cell>
          <cell r="T5459" t="str">
            <v>Mobile Phones</v>
          </cell>
        </row>
        <row r="5460">
          <cell r="K5460">
            <v>1606.25</v>
          </cell>
          <cell r="P5460" t="str">
            <v>81123102-52951101</v>
          </cell>
          <cell r="S5460" t="str">
            <v>2026A-06</v>
          </cell>
          <cell r="T5460" t="str">
            <v>Mobile Phones</v>
          </cell>
        </row>
        <row r="5461">
          <cell r="K5461">
            <v>534.82000000000005</v>
          </cell>
          <cell r="P5461" t="str">
            <v>81123102-52951101</v>
          </cell>
          <cell r="S5461" t="str">
            <v>2026A-06</v>
          </cell>
          <cell r="T5461" t="str">
            <v>Mobile Phones</v>
          </cell>
        </row>
        <row r="5462">
          <cell r="K5462">
            <v>891.96</v>
          </cell>
          <cell r="P5462" t="str">
            <v>81123102-52951101</v>
          </cell>
          <cell r="S5462" t="str">
            <v>2026A-06</v>
          </cell>
          <cell r="T5462" t="str">
            <v>Mobile Phones</v>
          </cell>
        </row>
        <row r="5463">
          <cell r="K5463">
            <v>572.02</v>
          </cell>
          <cell r="P5463" t="str">
            <v>81123102-52951101</v>
          </cell>
          <cell r="S5463" t="str">
            <v>2026A-06</v>
          </cell>
          <cell r="T5463" t="str">
            <v>Mobile Phones</v>
          </cell>
        </row>
        <row r="5464">
          <cell r="K5464">
            <v>713.39</v>
          </cell>
          <cell r="P5464" t="str">
            <v>81123102-52951101</v>
          </cell>
          <cell r="S5464" t="str">
            <v>2026A-06</v>
          </cell>
          <cell r="T5464" t="str">
            <v>Mobile Phones</v>
          </cell>
        </row>
        <row r="5465">
          <cell r="K5465">
            <v>891.96</v>
          </cell>
          <cell r="P5465" t="str">
            <v>81123102-52951101</v>
          </cell>
          <cell r="S5465" t="str">
            <v>2026A-06</v>
          </cell>
          <cell r="T5465" t="str">
            <v>Mobile Phones</v>
          </cell>
        </row>
        <row r="5466">
          <cell r="K5466">
            <v>1606.25</v>
          </cell>
          <cell r="P5466" t="str">
            <v>81123102-52951101</v>
          </cell>
          <cell r="S5466" t="str">
            <v>2026A-06</v>
          </cell>
          <cell r="T5466" t="str">
            <v>Mobile Phones</v>
          </cell>
        </row>
        <row r="5467">
          <cell r="K5467">
            <v>713.39</v>
          </cell>
          <cell r="P5467" t="str">
            <v>81123102-52951101</v>
          </cell>
          <cell r="S5467" t="str">
            <v>2026A-06</v>
          </cell>
          <cell r="T5467" t="str">
            <v>Mobile Phones</v>
          </cell>
        </row>
        <row r="5468">
          <cell r="K5468">
            <v>713.39</v>
          </cell>
          <cell r="P5468" t="str">
            <v>81123102-52951101</v>
          </cell>
          <cell r="S5468" t="str">
            <v>2026A-06</v>
          </cell>
          <cell r="T5468" t="str">
            <v>Mobile Phones</v>
          </cell>
        </row>
        <row r="5469">
          <cell r="K5469">
            <v>572.02</v>
          </cell>
          <cell r="P5469" t="str">
            <v>81123102-52951101</v>
          </cell>
          <cell r="S5469" t="str">
            <v>2026A-06</v>
          </cell>
          <cell r="T5469" t="str">
            <v>Mobile Phones</v>
          </cell>
        </row>
        <row r="5470">
          <cell r="K5470">
            <v>713.39</v>
          </cell>
          <cell r="P5470" t="str">
            <v>81123102-52951101</v>
          </cell>
          <cell r="S5470" t="str">
            <v>2026A-06</v>
          </cell>
          <cell r="T5470" t="str">
            <v>Mobile Phones</v>
          </cell>
        </row>
        <row r="5471">
          <cell r="K5471">
            <v>713.39</v>
          </cell>
          <cell r="P5471" t="str">
            <v>81123102-52951101</v>
          </cell>
          <cell r="S5471" t="str">
            <v>2026A-06</v>
          </cell>
          <cell r="T5471" t="str">
            <v>Mobile Phones</v>
          </cell>
        </row>
        <row r="5472">
          <cell r="K5472">
            <v>713.39</v>
          </cell>
          <cell r="P5472" t="str">
            <v>81123102-52951101</v>
          </cell>
          <cell r="S5472" t="str">
            <v>2026A-06</v>
          </cell>
          <cell r="T5472" t="str">
            <v>Mobile Phones</v>
          </cell>
        </row>
        <row r="5473">
          <cell r="K5473">
            <v>891.07</v>
          </cell>
          <cell r="P5473" t="str">
            <v>81123102-52951101</v>
          </cell>
          <cell r="S5473" t="str">
            <v>2026A-06</v>
          </cell>
          <cell r="T5473" t="str">
            <v>Mobile Phones</v>
          </cell>
        </row>
        <row r="5474">
          <cell r="K5474">
            <v>891.96</v>
          </cell>
          <cell r="P5474" t="str">
            <v>81123102-52951101</v>
          </cell>
          <cell r="S5474" t="str">
            <v>2026A-06</v>
          </cell>
          <cell r="T5474" t="str">
            <v>Mobile Phones</v>
          </cell>
        </row>
        <row r="5475">
          <cell r="K5475">
            <v>713.39</v>
          </cell>
          <cell r="P5475" t="str">
            <v>81123102-52951101</v>
          </cell>
          <cell r="S5475" t="str">
            <v>2026A-06</v>
          </cell>
          <cell r="T5475" t="str">
            <v>Mobile Phones</v>
          </cell>
        </row>
        <row r="5476">
          <cell r="K5476">
            <v>891.96</v>
          </cell>
          <cell r="P5476" t="str">
            <v>81123102-52951101</v>
          </cell>
          <cell r="S5476" t="str">
            <v>2026A-06</v>
          </cell>
          <cell r="T5476" t="str">
            <v>Mobile Phones</v>
          </cell>
        </row>
        <row r="5477">
          <cell r="K5477">
            <v>713.39</v>
          </cell>
          <cell r="P5477" t="str">
            <v>81123102-52951101</v>
          </cell>
          <cell r="S5477" t="str">
            <v>2026A-06</v>
          </cell>
          <cell r="T5477" t="str">
            <v>Mobile Phones</v>
          </cell>
        </row>
        <row r="5478">
          <cell r="K5478">
            <v>626.08000000000004</v>
          </cell>
          <cell r="P5478" t="str">
            <v>81123102-52951101</v>
          </cell>
          <cell r="S5478" t="str">
            <v>2026A-06</v>
          </cell>
          <cell r="T5478" t="str">
            <v>Mobile Phones</v>
          </cell>
        </row>
        <row r="5479">
          <cell r="K5479">
            <v>2048.29</v>
          </cell>
          <cell r="P5479" t="str">
            <v>81123102-52951101</v>
          </cell>
          <cell r="S5479" t="str">
            <v>2026A-06</v>
          </cell>
          <cell r="T5479" t="str">
            <v>Mobile Phones</v>
          </cell>
        </row>
        <row r="5480">
          <cell r="K5480">
            <v>891.96</v>
          </cell>
          <cell r="P5480" t="str">
            <v>81123102-52951101</v>
          </cell>
          <cell r="S5480" t="str">
            <v>2026A-06</v>
          </cell>
          <cell r="T5480" t="str">
            <v>Mobile Phones</v>
          </cell>
        </row>
        <row r="5481">
          <cell r="K5481">
            <v>713.39</v>
          </cell>
          <cell r="P5481" t="str">
            <v>81123102-52951101</v>
          </cell>
          <cell r="S5481" t="str">
            <v>2026A-06</v>
          </cell>
          <cell r="T5481" t="str">
            <v>Mobile Phones</v>
          </cell>
        </row>
        <row r="5482">
          <cell r="K5482">
            <v>713.39</v>
          </cell>
          <cell r="P5482" t="str">
            <v>81123102-52951101</v>
          </cell>
          <cell r="S5482" t="str">
            <v>2026A-06</v>
          </cell>
          <cell r="T5482" t="str">
            <v>Mobile Phones</v>
          </cell>
        </row>
        <row r="5483">
          <cell r="K5483">
            <v>891.96</v>
          </cell>
          <cell r="P5483" t="str">
            <v>81123102-52951101</v>
          </cell>
          <cell r="S5483" t="str">
            <v>2026A-06</v>
          </cell>
          <cell r="T5483" t="str">
            <v>Mobile Phones</v>
          </cell>
        </row>
        <row r="5484">
          <cell r="K5484">
            <v>572.02</v>
          </cell>
          <cell r="P5484" t="str">
            <v>81123102-52951101</v>
          </cell>
          <cell r="S5484" t="str">
            <v>2026A-06</v>
          </cell>
          <cell r="T5484" t="str">
            <v>Mobile Phones</v>
          </cell>
        </row>
        <row r="5485">
          <cell r="K5485">
            <v>4031.78</v>
          </cell>
          <cell r="P5485" t="str">
            <v>81123102-52951101</v>
          </cell>
          <cell r="S5485" t="str">
            <v>2026A-06</v>
          </cell>
          <cell r="T5485" t="str">
            <v>Mobile Phones</v>
          </cell>
        </row>
        <row r="5486">
          <cell r="K5486">
            <v>534.82000000000005</v>
          </cell>
          <cell r="P5486" t="str">
            <v>81123102-52951101</v>
          </cell>
          <cell r="S5486" t="str">
            <v>2026A-06</v>
          </cell>
          <cell r="T5486" t="str">
            <v>Mobile Phones</v>
          </cell>
        </row>
        <row r="5487">
          <cell r="K5487">
            <v>713.39</v>
          </cell>
          <cell r="P5487" t="str">
            <v>81123102-52951101</v>
          </cell>
          <cell r="S5487" t="str">
            <v>2026A-06</v>
          </cell>
          <cell r="T5487" t="str">
            <v>Mobile Phones</v>
          </cell>
        </row>
        <row r="5488">
          <cell r="K5488">
            <v>713.39</v>
          </cell>
          <cell r="P5488" t="str">
            <v>81123102-52951101</v>
          </cell>
          <cell r="S5488" t="str">
            <v>2026A-06</v>
          </cell>
          <cell r="T5488" t="str">
            <v>Mobile Phones</v>
          </cell>
        </row>
        <row r="5489">
          <cell r="K5489">
            <v>713.39</v>
          </cell>
          <cell r="P5489" t="str">
            <v>81123102-52951101</v>
          </cell>
          <cell r="S5489" t="str">
            <v>2026A-06</v>
          </cell>
          <cell r="T5489" t="str">
            <v>Mobile Phones</v>
          </cell>
        </row>
        <row r="5490">
          <cell r="K5490">
            <v>713.39</v>
          </cell>
          <cell r="P5490" t="str">
            <v>81123102-52951101</v>
          </cell>
          <cell r="S5490" t="str">
            <v>2026A-06</v>
          </cell>
          <cell r="T5490" t="str">
            <v>Mobile Phones</v>
          </cell>
        </row>
        <row r="5491">
          <cell r="K5491">
            <v>345.19</v>
          </cell>
          <cell r="P5491" t="str">
            <v>81123102-52951101</v>
          </cell>
          <cell r="S5491" t="str">
            <v>2026A-06</v>
          </cell>
          <cell r="T5491" t="str">
            <v>Mobile Phones</v>
          </cell>
        </row>
        <row r="5492">
          <cell r="K5492">
            <v>534.82000000000005</v>
          </cell>
          <cell r="P5492" t="str">
            <v>81123102-52951101</v>
          </cell>
          <cell r="S5492" t="str">
            <v>2026A-06</v>
          </cell>
          <cell r="T5492" t="str">
            <v>Mobile Phones</v>
          </cell>
        </row>
        <row r="5493">
          <cell r="K5493">
            <v>345.19</v>
          </cell>
          <cell r="P5493" t="str">
            <v>81123102-52951101</v>
          </cell>
          <cell r="S5493" t="str">
            <v>2026A-06</v>
          </cell>
          <cell r="T5493" t="str">
            <v>Mobile Phones</v>
          </cell>
        </row>
        <row r="5494">
          <cell r="K5494">
            <v>891.96</v>
          </cell>
          <cell r="P5494" t="str">
            <v>81123102-52951101</v>
          </cell>
          <cell r="S5494" t="str">
            <v>2026A-06</v>
          </cell>
          <cell r="T5494" t="str">
            <v>Mobile Phones</v>
          </cell>
        </row>
        <row r="5495">
          <cell r="K5495">
            <v>572.02</v>
          </cell>
          <cell r="P5495" t="str">
            <v>81123102-52951101</v>
          </cell>
          <cell r="S5495" t="str">
            <v>2026A-06</v>
          </cell>
          <cell r="T5495" t="str">
            <v>Mobile Phones</v>
          </cell>
        </row>
        <row r="5496">
          <cell r="K5496">
            <v>534.82000000000005</v>
          </cell>
          <cell r="P5496" t="str">
            <v>81123102-52951101</v>
          </cell>
          <cell r="S5496" t="str">
            <v>2026A-06</v>
          </cell>
          <cell r="T5496" t="str">
            <v>Mobile Phones</v>
          </cell>
        </row>
        <row r="5497">
          <cell r="K5497">
            <v>891.96</v>
          </cell>
          <cell r="P5497" t="str">
            <v>81123102-52951101</v>
          </cell>
          <cell r="S5497" t="str">
            <v>2026A-06</v>
          </cell>
          <cell r="T5497" t="str">
            <v>Mobile Phones</v>
          </cell>
        </row>
        <row r="5498">
          <cell r="K5498">
            <v>1159.82</v>
          </cell>
          <cell r="P5498" t="str">
            <v>81123102-52951101</v>
          </cell>
          <cell r="S5498" t="str">
            <v>2026A-06</v>
          </cell>
          <cell r="T5498" t="str">
            <v>Mobile Phones</v>
          </cell>
        </row>
        <row r="5499">
          <cell r="K5499">
            <v>1159.82</v>
          </cell>
          <cell r="P5499" t="str">
            <v>81123102-52951101</v>
          </cell>
          <cell r="S5499" t="str">
            <v>2026A-06</v>
          </cell>
          <cell r="T5499" t="str">
            <v>Mobile Phones</v>
          </cell>
        </row>
        <row r="5500">
          <cell r="K5500">
            <v>1159.82</v>
          </cell>
          <cell r="P5500" t="str">
            <v>81123102-52951101</v>
          </cell>
          <cell r="S5500" t="str">
            <v>2026A-06</v>
          </cell>
          <cell r="T5500" t="str">
            <v>Mobile Phones</v>
          </cell>
        </row>
        <row r="5501">
          <cell r="K5501">
            <v>713.39</v>
          </cell>
          <cell r="P5501" t="str">
            <v>81123102-52951101</v>
          </cell>
          <cell r="S5501" t="str">
            <v>2026A-06</v>
          </cell>
          <cell r="T5501" t="str">
            <v>Mobile Phones</v>
          </cell>
        </row>
        <row r="5502">
          <cell r="K5502">
            <v>713.39</v>
          </cell>
          <cell r="P5502" t="str">
            <v>81123102-52951101</v>
          </cell>
          <cell r="S5502" t="str">
            <v>2026A-06</v>
          </cell>
          <cell r="T5502" t="str">
            <v>Mobile Phones</v>
          </cell>
        </row>
        <row r="5503">
          <cell r="K5503">
            <v>891.96</v>
          </cell>
          <cell r="P5503" t="str">
            <v>81123102-52951101</v>
          </cell>
          <cell r="S5503" t="str">
            <v>2026A-06</v>
          </cell>
          <cell r="T5503" t="str">
            <v>Mobile Phones</v>
          </cell>
        </row>
        <row r="5504">
          <cell r="K5504">
            <v>713.39</v>
          </cell>
          <cell r="P5504" t="str">
            <v>81123102-52951101</v>
          </cell>
          <cell r="S5504" t="str">
            <v>2026A-06</v>
          </cell>
          <cell r="T5504" t="str">
            <v>Mobile Phones</v>
          </cell>
        </row>
        <row r="5505">
          <cell r="K5505">
            <v>1159.82</v>
          </cell>
          <cell r="P5505" t="str">
            <v>81123102-52951101</v>
          </cell>
          <cell r="S5505" t="str">
            <v>2026A-06</v>
          </cell>
          <cell r="T5505" t="str">
            <v>Mobile Phones</v>
          </cell>
        </row>
        <row r="5506">
          <cell r="K5506">
            <v>1025</v>
          </cell>
          <cell r="P5506" t="str">
            <v>81123102-52951101</v>
          </cell>
          <cell r="S5506" t="str">
            <v>2026A-06</v>
          </cell>
          <cell r="T5506" t="str">
            <v>Mobile Phones</v>
          </cell>
        </row>
        <row r="5507">
          <cell r="K5507">
            <v>534.82000000000005</v>
          </cell>
          <cell r="P5507" t="str">
            <v>81123102-52951101</v>
          </cell>
          <cell r="S5507" t="str">
            <v>2026A-06</v>
          </cell>
          <cell r="T5507" t="str">
            <v>Mobile Phones</v>
          </cell>
        </row>
        <row r="5508">
          <cell r="K5508">
            <v>713.39</v>
          </cell>
          <cell r="P5508" t="str">
            <v>81123102-52951101</v>
          </cell>
          <cell r="S5508" t="str">
            <v>2026A-06</v>
          </cell>
          <cell r="T5508" t="str">
            <v>Mobile Phones</v>
          </cell>
        </row>
        <row r="5509">
          <cell r="K5509">
            <v>1859.93</v>
          </cell>
          <cell r="P5509" t="str">
            <v>81123102-52951101</v>
          </cell>
          <cell r="S5509" t="str">
            <v>2026A-06</v>
          </cell>
          <cell r="T5509" t="str">
            <v>Mobile Phones</v>
          </cell>
        </row>
        <row r="5510">
          <cell r="K5510">
            <v>713.39</v>
          </cell>
          <cell r="P5510" t="str">
            <v>81123102-52951101</v>
          </cell>
          <cell r="S5510" t="str">
            <v>2026A-06</v>
          </cell>
          <cell r="T5510" t="str">
            <v>Mobile Phones</v>
          </cell>
        </row>
        <row r="5511">
          <cell r="K5511">
            <v>713.39</v>
          </cell>
          <cell r="P5511" t="str">
            <v>81123102-52951101</v>
          </cell>
          <cell r="S5511" t="str">
            <v>2026A-06</v>
          </cell>
          <cell r="T5511" t="str">
            <v>Mobile Phones</v>
          </cell>
        </row>
        <row r="5512">
          <cell r="K5512">
            <v>534.82000000000005</v>
          </cell>
          <cell r="P5512" t="str">
            <v>81123102-52951101</v>
          </cell>
          <cell r="S5512" t="str">
            <v>2026A-06</v>
          </cell>
          <cell r="T5512" t="str">
            <v>Mobile Phones</v>
          </cell>
        </row>
        <row r="5513">
          <cell r="K5513">
            <v>713.39</v>
          </cell>
          <cell r="P5513" t="str">
            <v>81123102-52951101</v>
          </cell>
          <cell r="S5513" t="str">
            <v>2026A-06</v>
          </cell>
          <cell r="T5513" t="str">
            <v>Mobile Phones</v>
          </cell>
        </row>
        <row r="5514">
          <cell r="K5514">
            <v>905.37</v>
          </cell>
          <cell r="P5514" t="str">
            <v>81123102-52951101</v>
          </cell>
          <cell r="S5514" t="str">
            <v>2026A-06</v>
          </cell>
          <cell r="T5514" t="str">
            <v>Mobile Phones</v>
          </cell>
        </row>
        <row r="5515">
          <cell r="K5515">
            <v>1159.82</v>
          </cell>
          <cell r="P5515" t="str">
            <v>81123102-52951101</v>
          </cell>
          <cell r="S5515" t="str">
            <v>2026A-06</v>
          </cell>
          <cell r="T5515" t="str">
            <v>Mobile Phones</v>
          </cell>
        </row>
        <row r="5516">
          <cell r="K5516">
            <v>891.96</v>
          </cell>
          <cell r="P5516" t="str">
            <v>81123102-52951101</v>
          </cell>
          <cell r="S5516" t="str">
            <v>2026A-06</v>
          </cell>
          <cell r="T5516" t="str">
            <v>Mobile Phones</v>
          </cell>
        </row>
        <row r="5517">
          <cell r="K5517">
            <v>1159.82</v>
          </cell>
          <cell r="P5517" t="str">
            <v>81123102-52951101</v>
          </cell>
          <cell r="S5517" t="str">
            <v>2026A-06</v>
          </cell>
          <cell r="T5517" t="str">
            <v>Mobile Phones</v>
          </cell>
        </row>
        <row r="5518">
          <cell r="K5518">
            <v>2499.11</v>
          </cell>
          <cell r="P5518" t="str">
            <v>81123102-52951101</v>
          </cell>
          <cell r="S5518" t="str">
            <v>2026A-06</v>
          </cell>
          <cell r="T5518" t="str">
            <v>Mobile Phones</v>
          </cell>
        </row>
        <row r="5519">
          <cell r="K5519">
            <v>1159.82</v>
          </cell>
          <cell r="P5519" t="str">
            <v>81123102-52951101</v>
          </cell>
          <cell r="S5519" t="str">
            <v>2026A-06</v>
          </cell>
          <cell r="T5519" t="str">
            <v>Mobile Phones</v>
          </cell>
        </row>
        <row r="5520">
          <cell r="K5520">
            <v>345.19</v>
          </cell>
          <cell r="P5520" t="str">
            <v>81123102-52951101</v>
          </cell>
          <cell r="S5520" t="str">
            <v>2026A-06</v>
          </cell>
          <cell r="T5520" t="str">
            <v>Mobile Phones</v>
          </cell>
        </row>
        <row r="5521">
          <cell r="K5521">
            <v>713.39</v>
          </cell>
          <cell r="P5521" t="str">
            <v>81123102-52951101</v>
          </cell>
          <cell r="S5521" t="str">
            <v>2026A-06</v>
          </cell>
          <cell r="T5521" t="str">
            <v>Mobile Phones</v>
          </cell>
        </row>
        <row r="5522">
          <cell r="K5522">
            <v>534.82000000000005</v>
          </cell>
          <cell r="P5522" t="str">
            <v>81123102-52951101</v>
          </cell>
          <cell r="S5522" t="str">
            <v>2026A-06</v>
          </cell>
          <cell r="T5522" t="str">
            <v>Mobile Phones</v>
          </cell>
        </row>
        <row r="5523">
          <cell r="K5523">
            <v>891.96</v>
          </cell>
          <cell r="P5523" t="str">
            <v>81123102-52951101</v>
          </cell>
          <cell r="S5523" t="str">
            <v>2026A-06</v>
          </cell>
          <cell r="T5523" t="str">
            <v>Mobile Phones</v>
          </cell>
        </row>
        <row r="5524">
          <cell r="K5524">
            <v>713.39</v>
          </cell>
          <cell r="P5524" t="str">
            <v>81123102-52951101</v>
          </cell>
          <cell r="S5524" t="str">
            <v>2026A-06</v>
          </cell>
          <cell r="T5524" t="str">
            <v>Mobile Phones</v>
          </cell>
        </row>
        <row r="5525">
          <cell r="K5525">
            <v>1159.82</v>
          </cell>
          <cell r="P5525" t="str">
            <v>81123102-52951101</v>
          </cell>
          <cell r="S5525" t="str">
            <v>2026A-06</v>
          </cell>
          <cell r="T5525" t="str">
            <v>Mobile Phones</v>
          </cell>
        </row>
        <row r="5526">
          <cell r="K5526">
            <v>1159.82</v>
          </cell>
          <cell r="P5526" t="str">
            <v>81123102-52951101</v>
          </cell>
          <cell r="S5526" t="str">
            <v>2026A-06</v>
          </cell>
          <cell r="T5526" t="str">
            <v>Mobile Phones</v>
          </cell>
        </row>
        <row r="5527">
          <cell r="K5527">
            <v>713.39</v>
          </cell>
          <cell r="P5527" t="str">
            <v>81123102-52951101</v>
          </cell>
          <cell r="S5527" t="str">
            <v>2026A-06</v>
          </cell>
          <cell r="T5527" t="str">
            <v>Mobile Phones</v>
          </cell>
        </row>
        <row r="5528">
          <cell r="K5528">
            <v>534.82000000000005</v>
          </cell>
          <cell r="P5528" t="str">
            <v>81123102-52951101</v>
          </cell>
          <cell r="S5528" t="str">
            <v>2026A-06</v>
          </cell>
          <cell r="T5528" t="str">
            <v>Mobile Phones</v>
          </cell>
        </row>
        <row r="5529">
          <cell r="K5529">
            <v>534.82000000000005</v>
          </cell>
          <cell r="P5529" t="str">
            <v>81123102-52951101</v>
          </cell>
          <cell r="S5529" t="str">
            <v>2026A-06</v>
          </cell>
          <cell r="T5529" t="str">
            <v>Mobile Phones</v>
          </cell>
        </row>
        <row r="5530">
          <cell r="K5530">
            <v>2231.25</v>
          </cell>
          <cell r="P5530" t="str">
            <v>81123102-52951101</v>
          </cell>
          <cell r="S5530" t="str">
            <v>2026A-06</v>
          </cell>
          <cell r="T5530" t="str">
            <v>Mobile Phones</v>
          </cell>
        </row>
        <row r="5531">
          <cell r="K5531">
            <v>713.39</v>
          </cell>
          <cell r="P5531" t="str">
            <v>81123102-52951101</v>
          </cell>
          <cell r="S5531" t="str">
            <v>2026A-06</v>
          </cell>
          <cell r="T5531" t="str">
            <v>Mobile Phones</v>
          </cell>
        </row>
        <row r="5532">
          <cell r="K5532">
            <v>1515.18</v>
          </cell>
          <cell r="P5532" t="str">
            <v>81123102-52951101</v>
          </cell>
          <cell r="S5532" t="str">
            <v>2026A-06</v>
          </cell>
          <cell r="T5532" t="str">
            <v>Mobile Phones</v>
          </cell>
        </row>
        <row r="5533">
          <cell r="K5533">
            <v>1159.82</v>
          </cell>
          <cell r="P5533" t="str">
            <v>81123102-52951101</v>
          </cell>
          <cell r="S5533" t="str">
            <v>2026A-06</v>
          </cell>
          <cell r="T5533" t="str">
            <v>Mobile Phones</v>
          </cell>
        </row>
        <row r="5534">
          <cell r="K5534">
            <v>534.82000000000005</v>
          </cell>
          <cell r="P5534" t="str">
            <v>81123102-52951101</v>
          </cell>
          <cell r="S5534" t="str">
            <v>2026A-06</v>
          </cell>
          <cell r="T5534" t="str">
            <v>Mobile Phones</v>
          </cell>
        </row>
        <row r="5535">
          <cell r="K5535">
            <v>534.82000000000005</v>
          </cell>
          <cell r="P5535" t="str">
            <v>81123102-52951101</v>
          </cell>
          <cell r="S5535" t="str">
            <v>2026A-06</v>
          </cell>
          <cell r="T5535" t="str">
            <v>Mobile Phones</v>
          </cell>
        </row>
        <row r="5536">
          <cell r="K5536">
            <v>713.39</v>
          </cell>
          <cell r="P5536" t="str">
            <v>81123102-52951101</v>
          </cell>
          <cell r="S5536" t="str">
            <v>2026A-06</v>
          </cell>
          <cell r="T5536" t="str">
            <v>Mobile Phones</v>
          </cell>
        </row>
        <row r="5537">
          <cell r="K5537">
            <v>2581.25</v>
          </cell>
          <cell r="P5537" t="str">
            <v>81123102-52951101</v>
          </cell>
          <cell r="S5537" t="str">
            <v>2026A-06</v>
          </cell>
          <cell r="T5537" t="str">
            <v>Mobile Phones</v>
          </cell>
        </row>
        <row r="5538">
          <cell r="K5538">
            <v>713.39</v>
          </cell>
          <cell r="P5538" t="str">
            <v>81123102-52951101</v>
          </cell>
          <cell r="S5538" t="str">
            <v>2026A-06</v>
          </cell>
          <cell r="T5538" t="str">
            <v>Mobile Phones</v>
          </cell>
        </row>
        <row r="5539">
          <cell r="K5539">
            <v>891.96</v>
          </cell>
          <cell r="P5539" t="str">
            <v>81123102-52951101</v>
          </cell>
          <cell r="S5539" t="str">
            <v>2026A-06</v>
          </cell>
          <cell r="T5539" t="str">
            <v>Mobile Phones</v>
          </cell>
        </row>
        <row r="5540">
          <cell r="K5540">
            <v>534.82000000000005</v>
          </cell>
          <cell r="P5540" t="str">
            <v>81123102-52951101</v>
          </cell>
          <cell r="S5540" t="str">
            <v>2026A-06</v>
          </cell>
          <cell r="T5540" t="str">
            <v>Mobile Phones</v>
          </cell>
        </row>
        <row r="5541">
          <cell r="K5541">
            <v>534.82000000000005</v>
          </cell>
          <cell r="P5541" t="str">
            <v>81123102-52951101</v>
          </cell>
          <cell r="S5541" t="str">
            <v>2026A-06</v>
          </cell>
          <cell r="T5541" t="str">
            <v>Mobile Phones</v>
          </cell>
        </row>
        <row r="5542">
          <cell r="K5542">
            <v>534.82000000000005</v>
          </cell>
          <cell r="P5542" t="str">
            <v>81123102-52951101</v>
          </cell>
          <cell r="S5542" t="str">
            <v>2026A-06</v>
          </cell>
          <cell r="T5542" t="str">
            <v>Mobile Phones</v>
          </cell>
        </row>
        <row r="5543">
          <cell r="K5543">
            <v>713.39</v>
          </cell>
          <cell r="P5543" t="str">
            <v>81123102-52951101</v>
          </cell>
          <cell r="S5543" t="str">
            <v>2026A-06</v>
          </cell>
          <cell r="T5543" t="str">
            <v>Mobile Phones</v>
          </cell>
        </row>
        <row r="5544">
          <cell r="K5544">
            <v>534.82000000000005</v>
          </cell>
          <cell r="P5544" t="str">
            <v>81123102-52951101</v>
          </cell>
          <cell r="S5544" t="str">
            <v>2026A-06</v>
          </cell>
          <cell r="T5544" t="str">
            <v>Mobile Phones</v>
          </cell>
        </row>
        <row r="5545">
          <cell r="K5545">
            <v>1068.75</v>
          </cell>
          <cell r="P5545" t="str">
            <v>81123102-52951101</v>
          </cell>
          <cell r="S5545" t="str">
            <v>2026A-06</v>
          </cell>
          <cell r="T5545" t="str">
            <v>Mobile Phones</v>
          </cell>
        </row>
        <row r="5546">
          <cell r="K5546">
            <v>587.5</v>
          </cell>
          <cell r="P5546" t="str">
            <v>81123102-52951101</v>
          </cell>
          <cell r="S5546" t="str">
            <v>2026A-06</v>
          </cell>
          <cell r="T5546" t="str">
            <v>Mobile Phones</v>
          </cell>
        </row>
        <row r="5547">
          <cell r="K5547">
            <v>713.39</v>
          </cell>
          <cell r="P5547" t="str">
            <v>81123102-52951101</v>
          </cell>
          <cell r="S5547" t="str">
            <v>2026A-06</v>
          </cell>
          <cell r="T5547" t="str">
            <v>Mobile Phones</v>
          </cell>
        </row>
        <row r="5548">
          <cell r="K5548">
            <v>668.74</v>
          </cell>
          <cell r="P5548" t="str">
            <v>81123102-52951101</v>
          </cell>
          <cell r="S5548" t="str">
            <v>2026A-06</v>
          </cell>
          <cell r="T5548" t="str">
            <v>Mobile Phones</v>
          </cell>
        </row>
        <row r="5549">
          <cell r="K5549">
            <v>534.82000000000005</v>
          </cell>
          <cell r="P5549" t="str">
            <v>81123102-52951101</v>
          </cell>
          <cell r="S5549" t="str">
            <v>2026A-06</v>
          </cell>
          <cell r="T5549" t="str">
            <v>Mobile Phones</v>
          </cell>
        </row>
        <row r="5550">
          <cell r="K5550">
            <v>534.82000000000005</v>
          </cell>
          <cell r="P5550" t="str">
            <v>81123102-52951101</v>
          </cell>
          <cell r="S5550" t="str">
            <v>2026A-06</v>
          </cell>
          <cell r="T5550" t="str">
            <v>Mobile Phones</v>
          </cell>
        </row>
        <row r="5551">
          <cell r="K5551">
            <v>2231.25</v>
          </cell>
          <cell r="P5551" t="str">
            <v>81123102-52951101</v>
          </cell>
          <cell r="S5551" t="str">
            <v>2026A-06</v>
          </cell>
          <cell r="T5551" t="str">
            <v>Mobile Phones</v>
          </cell>
        </row>
        <row r="5552">
          <cell r="K5552">
            <v>569.38</v>
          </cell>
          <cell r="P5552" t="str">
            <v>81123102-52951101</v>
          </cell>
          <cell r="S5552" t="str">
            <v>2026A-06</v>
          </cell>
          <cell r="T5552" t="str">
            <v>Mobile Phones</v>
          </cell>
        </row>
        <row r="5553">
          <cell r="K5553">
            <v>38322.17</v>
          </cell>
          <cell r="P5553" t="str">
            <v>81123102-52951101</v>
          </cell>
          <cell r="S5553" t="str">
            <v>2026A-06</v>
          </cell>
          <cell r="T5553" t="str">
            <v>Mobile Phones</v>
          </cell>
        </row>
        <row r="5554">
          <cell r="K5554">
            <v>3426.54</v>
          </cell>
          <cell r="P5554" t="str">
            <v>81123102-52951101</v>
          </cell>
          <cell r="S5554" t="str">
            <v>2026A-06</v>
          </cell>
          <cell r="T5554" t="str">
            <v>Mobile Phones</v>
          </cell>
        </row>
        <row r="5555">
          <cell r="K5555">
            <v>713.39</v>
          </cell>
          <cell r="P5555" t="str">
            <v>81123102-52951101</v>
          </cell>
          <cell r="S5555" t="str">
            <v>2026A-06</v>
          </cell>
          <cell r="T5555" t="str">
            <v>Mobile Phones</v>
          </cell>
        </row>
        <row r="5556">
          <cell r="K5556">
            <v>494.5</v>
          </cell>
          <cell r="P5556" t="str">
            <v>81123102-52951101</v>
          </cell>
          <cell r="S5556" t="str">
            <v>2026A-06</v>
          </cell>
          <cell r="T5556" t="str">
            <v>Mobile Phones</v>
          </cell>
        </row>
        <row r="5557">
          <cell r="K5557">
            <v>494.5</v>
          </cell>
          <cell r="P5557" t="str">
            <v>81123102-52951101</v>
          </cell>
          <cell r="S5557" t="str">
            <v>2026A-06</v>
          </cell>
          <cell r="T5557" t="str">
            <v>Mobile Phones</v>
          </cell>
        </row>
        <row r="5558">
          <cell r="K5558">
            <v>494.5</v>
          </cell>
          <cell r="P5558" t="str">
            <v>81123102-52951101</v>
          </cell>
          <cell r="S5558" t="str">
            <v>2026A-06</v>
          </cell>
          <cell r="T5558" t="str">
            <v>Mobile Phones</v>
          </cell>
        </row>
        <row r="5559">
          <cell r="K5559">
            <v>-8.34</v>
          </cell>
          <cell r="P5559" t="str">
            <v>81319101-52041401</v>
          </cell>
          <cell r="S5559" t="str">
            <v>2026A-06</v>
          </cell>
          <cell r="T5559" t="str">
            <v>TS</v>
          </cell>
        </row>
        <row r="5560">
          <cell r="K5560">
            <v>-1.67</v>
          </cell>
          <cell r="P5560" t="str">
            <v>81319101-52041401</v>
          </cell>
          <cell r="S5560" t="str">
            <v>2026A-06</v>
          </cell>
          <cell r="T5560" t="str">
            <v>TS</v>
          </cell>
        </row>
        <row r="5561">
          <cell r="K5561">
            <v>21447.200000000001</v>
          </cell>
          <cell r="P5561" t="str">
            <v>81319101-52041401</v>
          </cell>
          <cell r="S5561" t="str">
            <v>2026A-06</v>
          </cell>
          <cell r="T5561" t="str">
            <v>TS</v>
          </cell>
        </row>
        <row r="5562">
          <cell r="K5562">
            <v>4289.0200000000004</v>
          </cell>
          <cell r="P5562" t="str">
            <v>81319101-52041401</v>
          </cell>
          <cell r="S5562" t="str">
            <v>2026A-06</v>
          </cell>
          <cell r="T5562" t="str">
            <v>TS</v>
          </cell>
        </row>
        <row r="5563">
          <cell r="K5563">
            <v>50156.84</v>
          </cell>
          <cell r="P5563" t="str">
            <v>90111101-52041495</v>
          </cell>
          <cell r="S5563" t="str">
            <v>2026A-06</v>
          </cell>
          <cell r="T5563" t="str">
            <v>BDO CMC</v>
          </cell>
        </row>
        <row r="5564">
          <cell r="K5564">
            <v>21113.58</v>
          </cell>
          <cell r="P5564" t="str">
            <v>81319101-52041401</v>
          </cell>
          <cell r="S5564" t="str">
            <v>2026A-06</v>
          </cell>
          <cell r="T5564" t="str">
            <v>CV</v>
          </cell>
        </row>
        <row r="5565">
          <cell r="K5565">
            <v>4222.3</v>
          </cell>
          <cell r="P5565" t="str">
            <v>81319101-52041401</v>
          </cell>
          <cell r="S5565" t="str">
            <v>2026A-06</v>
          </cell>
          <cell r="T5565" t="str">
            <v>CV</v>
          </cell>
        </row>
        <row r="5566">
          <cell r="K5566">
            <v>218750</v>
          </cell>
          <cell r="P5566" t="str">
            <v>80111101-61021201</v>
          </cell>
          <cell r="S5566" t="str">
            <v>2026A-06</v>
          </cell>
          <cell r="T5566" t="str">
            <v>Project Employee</v>
          </cell>
        </row>
        <row r="5567">
          <cell r="K5567">
            <v>-6293.21</v>
          </cell>
          <cell r="P5567" t="str">
            <v>80111101-61021201</v>
          </cell>
          <cell r="S5567" t="str">
            <v>2026A-06</v>
          </cell>
          <cell r="T5567" t="str">
            <v>Project Employee</v>
          </cell>
        </row>
        <row r="5568">
          <cell r="K5568">
            <v>-5299.3</v>
          </cell>
          <cell r="P5568" t="str">
            <v>80111101-61021201</v>
          </cell>
          <cell r="S5568" t="str">
            <v>2026A-06</v>
          </cell>
          <cell r="T5568" t="str">
            <v>Project Employee</v>
          </cell>
        </row>
        <row r="5569">
          <cell r="K5569">
            <v>-410.27</v>
          </cell>
          <cell r="P5569" t="str">
            <v>80111101-61021201</v>
          </cell>
          <cell r="S5569" t="str">
            <v>2026A-06</v>
          </cell>
          <cell r="T5569" t="str">
            <v>Project Employee</v>
          </cell>
        </row>
        <row r="5570">
          <cell r="K5570">
            <v>-1797.26</v>
          </cell>
          <cell r="P5570" t="str">
            <v>80111101-61021201</v>
          </cell>
          <cell r="S5570" t="str">
            <v>2026A-06</v>
          </cell>
          <cell r="T5570" t="str">
            <v>Project Employee</v>
          </cell>
        </row>
        <row r="5571">
          <cell r="K5571">
            <v>23661.62</v>
          </cell>
          <cell r="P5571" t="str">
            <v>80111101-61021202</v>
          </cell>
          <cell r="S5571" t="str">
            <v>2026A-06</v>
          </cell>
          <cell r="T5571" t="str">
            <v>Project Employee</v>
          </cell>
        </row>
        <row r="5572">
          <cell r="K5572">
            <v>3200</v>
          </cell>
          <cell r="P5572" t="str">
            <v>80111101-61021306</v>
          </cell>
          <cell r="S5572" t="str">
            <v>2026A-06</v>
          </cell>
          <cell r="T5572" t="str">
            <v>Pag-ibig</v>
          </cell>
        </row>
        <row r="5573">
          <cell r="K5573">
            <v>23080</v>
          </cell>
          <cell r="P5573" t="str">
            <v>80111101-61021306</v>
          </cell>
          <cell r="S5573" t="str">
            <v>2026A-06</v>
          </cell>
          <cell r="T5573" t="str">
            <v>SSS</v>
          </cell>
        </row>
        <row r="5574">
          <cell r="K5574">
            <v>10937.5</v>
          </cell>
          <cell r="P5574" t="str">
            <v>80111101-61021306</v>
          </cell>
          <cell r="S5574" t="str">
            <v>2026A-06</v>
          </cell>
          <cell r="T5574" t="str">
            <v>Philhealth</v>
          </cell>
        </row>
        <row r="5575">
          <cell r="K5575">
            <v>3902.79</v>
          </cell>
          <cell r="P5575" t="str">
            <v>81319101-52041405</v>
          </cell>
          <cell r="S5575" t="str">
            <v>2026A-06</v>
          </cell>
          <cell r="T5575" t="str">
            <v>ES</v>
          </cell>
        </row>
        <row r="5576">
          <cell r="K5576">
            <v>16000</v>
          </cell>
          <cell r="P5576" t="str">
            <v>80111101-61021102</v>
          </cell>
          <cell r="S5576" t="str">
            <v>2026A-06</v>
          </cell>
          <cell r="T5576" t="str">
            <v>Regular Employee</v>
          </cell>
        </row>
        <row r="5577">
          <cell r="K5577">
            <v>14656.67</v>
          </cell>
          <cell r="P5577" t="str">
            <v>80111101-61021102</v>
          </cell>
          <cell r="S5577" t="str">
            <v>2026A-06</v>
          </cell>
          <cell r="T5577" t="str">
            <v>Regular Employee</v>
          </cell>
        </row>
        <row r="5578">
          <cell r="K5578">
            <v>-254.66</v>
          </cell>
          <cell r="P5578" t="str">
            <v>80111101-61021102</v>
          </cell>
          <cell r="S5578" t="str">
            <v>2026A-06</v>
          </cell>
          <cell r="T5578" t="str">
            <v>Regular Employee</v>
          </cell>
        </row>
        <row r="5579">
          <cell r="K5579">
            <v>2400</v>
          </cell>
          <cell r="P5579" t="str">
            <v>80111101-61021104</v>
          </cell>
          <cell r="S5579" t="str">
            <v>2026A-06</v>
          </cell>
          <cell r="T5579" t="str">
            <v>OT Pay</v>
          </cell>
        </row>
        <row r="5580">
          <cell r="K5580">
            <v>6666.67</v>
          </cell>
          <cell r="P5580" t="str">
            <v>80111101-61021105</v>
          </cell>
          <cell r="S5580" t="str">
            <v>2026A-06</v>
          </cell>
          <cell r="T5580" t="str">
            <v>Guaranteed Bonus</v>
          </cell>
        </row>
        <row r="5581">
          <cell r="K5581">
            <v>5159.79</v>
          </cell>
          <cell r="P5581" t="str">
            <v>81319101-52041499</v>
          </cell>
          <cell r="S5581" t="str">
            <v>2026A-06</v>
          </cell>
          <cell r="T5581" t="str">
            <v>ES</v>
          </cell>
        </row>
        <row r="5582">
          <cell r="K5582">
            <v>321.20999999999998</v>
          </cell>
          <cell r="P5582" t="str">
            <v>81319101-52041499</v>
          </cell>
          <cell r="S5582" t="str">
            <v>2026A-06</v>
          </cell>
          <cell r="T5582" t="str">
            <v>TS</v>
          </cell>
        </row>
        <row r="5583">
          <cell r="K5583">
            <v>-747.77</v>
          </cell>
          <cell r="P5583" t="str">
            <v>81123102-52061103</v>
          </cell>
          <cell r="S5583" t="str">
            <v>2026A-06</v>
          </cell>
          <cell r="T5583" t="str">
            <v>R&amp;M - Building</v>
          </cell>
        </row>
        <row r="5584">
          <cell r="K5584">
            <v>2243.3000000000002</v>
          </cell>
          <cell r="P5584" t="str">
            <v>81123102-52061103</v>
          </cell>
          <cell r="S5584" t="str">
            <v>2026A-06</v>
          </cell>
          <cell r="T5584" t="str">
            <v>R&amp;M - Building</v>
          </cell>
        </row>
        <row r="5585">
          <cell r="K5585">
            <v>8400</v>
          </cell>
          <cell r="P5585" t="str">
            <v>80123102-61081101</v>
          </cell>
          <cell r="S5585" t="str">
            <v>2026A-06</v>
          </cell>
          <cell r="T5585" t="str">
            <v>Transpo</v>
          </cell>
        </row>
        <row r="5586">
          <cell r="K5586">
            <v>22254.46</v>
          </cell>
          <cell r="P5586" t="str">
            <v>81123102-52111101</v>
          </cell>
          <cell r="S5586" t="str">
            <v>2026A-06</v>
          </cell>
          <cell r="T5586" t="str">
            <v>Office Supplies - Others</v>
          </cell>
        </row>
        <row r="5587">
          <cell r="K5587">
            <v>892857.14</v>
          </cell>
          <cell r="P5587" t="str">
            <v>81349101-52959901</v>
          </cell>
          <cell r="S5587" t="str">
            <v>2026A-06</v>
          </cell>
          <cell r="T5587" t="str">
            <v>OS2</v>
          </cell>
        </row>
        <row r="5588">
          <cell r="K5588">
            <v>2700</v>
          </cell>
          <cell r="P5588" t="str">
            <v>90111101-52081103</v>
          </cell>
          <cell r="S5588" t="str">
            <v>2026A-06</v>
          </cell>
          <cell r="T5588" t="str">
            <v>Meal Allowance</v>
          </cell>
        </row>
        <row r="5589">
          <cell r="K5589">
            <v>3239850</v>
          </cell>
          <cell r="P5589" t="str">
            <v>90111101-52121101</v>
          </cell>
          <cell r="S5589" t="str">
            <v>2026A-06</v>
          </cell>
          <cell r="T5589" t="str">
            <v>Regular Employee</v>
          </cell>
        </row>
        <row r="5590">
          <cell r="K5590">
            <v>9517.67</v>
          </cell>
          <cell r="P5590" t="str">
            <v>90111101-52121101</v>
          </cell>
          <cell r="S5590" t="str">
            <v>2026A-06</v>
          </cell>
          <cell r="T5590" t="str">
            <v>Regular Employee</v>
          </cell>
        </row>
        <row r="5591">
          <cell r="K5591">
            <v>-2147.7800000000002</v>
          </cell>
          <cell r="P5591" t="str">
            <v>90111101-52121101</v>
          </cell>
          <cell r="S5591" t="str">
            <v>2026A-06</v>
          </cell>
          <cell r="T5591" t="str">
            <v>Regular Employee</v>
          </cell>
        </row>
        <row r="5592">
          <cell r="K5592">
            <v>-452.64</v>
          </cell>
          <cell r="P5592" t="str">
            <v>90111101-52121101</v>
          </cell>
          <cell r="S5592" t="str">
            <v>2026A-06</v>
          </cell>
          <cell r="T5592" t="str">
            <v>Regular Employee</v>
          </cell>
        </row>
        <row r="5593">
          <cell r="K5593">
            <v>-24978.17</v>
          </cell>
          <cell r="P5593" t="str">
            <v>90111101-52121101</v>
          </cell>
          <cell r="S5593" t="str">
            <v>2026A-06</v>
          </cell>
          <cell r="T5593" t="str">
            <v>Regular Employee</v>
          </cell>
        </row>
        <row r="5594">
          <cell r="K5594">
            <v>-10076.48</v>
          </cell>
          <cell r="P5594" t="str">
            <v>90111101-52121101</v>
          </cell>
          <cell r="S5594" t="str">
            <v>2026A-06</v>
          </cell>
          <cell r="T5594" t="str">
            <v>Regular Employee</v>
          </cell>
        </row>
        <row r="5595">
          <cell r="K5595">
            <v>734400</v>
          </cell>
          <cell r="P5595" t="str">
            <v>90111101-52121101</v>
          </cell>
          <cell r="S5595" t="str">
            <v>2026A-06</v>
          </cell>
          <cell r="T5595" t="str">
            <v>Regular Employee</v>
          </cell>
        </row>
        <row r="5596">
          <cell r="K5596">
            <v>-570.04</v>
          </cell>
          <cell r="P5596" t="str">
            <v>90111101-52121101</v>
          </cell>
          <cell r="S5596" t="str">
            <v>2026A-06</v>
          </cell>
          <cell r="T5596" t="str">
            <v>Regular Employee</v>
          </cell>
        </row>
        <row r="5597">
          <cell r="K5597">
            <v>-4410.74</v>
          </cell>
          <cell r="P5597" t="str">
            <v>90111101-52121101</v>
          </cell>
          <cell r="S5597" t="str">
            <v>2026A-06</v>
          </cell>
          <cell r="T5597" t="str">
            <v>Regular Employee</v>
          </cell>
        </row>
        <row r="5598">
          <cell r="K5598">
            <v>2214700</v>
          </cell>
          <cell r="P5598" t="str">
            <v>90111101-52121101</v>
          </cell>
          <cell r="S5598" t="str">
            <v>2026A-06</v>
          </cell>
          <cell r="T5598" t="str">
            <v>Regular Employee</v>
          </cell>
        </row>
        <row r="5599">
          <cell r="K5599">
            <v>20306.349999999999</v>
          </cell>
          <cell r="P5599" t="str">
            <v>90111101-52121101</v>
          </cell>
          <cell r="S5599" t="str">
            <v>2026A-06</v>
          </cell>
          <cell r="T5599" t="str">
            <v>Regular Employee</v>
          </cell>
        </row>
        <row r="5600">
          <cell r="K5600">
            <v>2362.88</v>
          </cell>
          <cell r="P5600" t="str">
            <v>90111101-52121101</v>
          </cell>
          <cell r="S5600" t="str">
            <v>2026A-06</v>
          </cell>
          <cell r="T5600" t="str">
            <v>Regular Employee</v>
          </cell>
        </row>
        <row r="5601">
          <cell r="K5601">
            <v>-6334.08</v>
          </cell>
          <cell r="P5601" t="str">
            <v>90111101-52121101</v>
          </cell>
          <cell r="S5601" t="str">
            <v>2026A-06</v>
          </cell>
          <cell r="T5601" t="str">
            <v>Regular Employee</v>
          </cell>
        </row>
        <row r="5602">
          <cell r="K5602">
            <v>-3783.09</v>
          </cell>
          <cell r="P5602" t="str">
            <v>90111101-52121101</v>
          </cell>
          <cell r="S5602" t="str">
            <v>2026A-06</v>
          </cell>
          <cell r="T5602" t="str">
            <v>Regular Employee</v>
          </cell>
        </row>
        <row r="5603">
          <cell r="K5603">
            <v>-14056.65</v>
          </cell>
          <cell r="P5603" t="str">
            <v>90111101-52121101</v>
          </cell>
          <cell r="S5603" t="str">
            <v>2026A-06</v>
          </cell>
          <cell r="T5603" t="str">
            <v>Regular Employee</v>
          </cell>
        </row>
        <row r="5604">
          <cell r="K5604">
            <v>1495925</v>
          </cell>
          <cell r="P5604" t="str">
            <v>90111101-52121101</v>
          </cell>
          <cell r="S5604" t="str">
            <v>2026A-06</v>
          </cell>
          <cell r="T5604" t="str">
            <v>Regular Employee</v>
          </cell>
        </row>
        <row r="5605">
          <cell r="K5605">
            <v>27950</v>
          </cell>
          <cell r="P5605" t="str">
            <v>90111101-52121101</v>
          </cell>
          <cell r="S5605" t="str">
            <v>2026A-06</v>
          </cell>
          <cell r="T5605" t="str">
            <v>Regular Employee</v>
          </cell>
        </row>
        <row r="5606">
          <cell r="K5606">
            <v>-224.03</v>
          </cell>
          <cell r="P5606" t="str">
            <v>90111101-52121101</v>
          </cell>
          <cell r="S5606" t="str">
            <v>2026A-06</v>
          </cell>
          <cell r="T5606" t="str">
            <v>Regular Employee</v>
          </cell>
        </row>
        <row r="5607">
          <cell r="K5607">
            <v>526250</v>
          </cell>
          <cell r="P5607" t="str">
            <v>90111101-52121101</v>
          </cell>
          <cell r="S5607" t="str">
            <v>2026A-06</v>
          </cell>
          <cell r="T5607" t="str">
            <v>Regular Employee</v>
          </cell>
        </row>
        <row r="5608">
          <cell r="K5608">
            <v>4536.7</v>
          </cell>
          <cell r="P5608" t="str">
            <v>90111101-52121101</v>
          </cell>
          <cell r="S5608" t="str">
            <v>2026A-06</v>
          </cell>
          <cell r="T5608" t="str">
            <v>Regular Employee</v>
          </cell>
        </row>
        <row r="5609">
          <cell r="K5609">
            <v>-275.42</v>
          </cell>
          <cell r="P5609" t="str">
            <v>90111101-52121101</v>
          </cell>
          <cell r="S5609" t="str">
            <v>2026A-06</v>
          </cell>
          <cell r="T5609" t="str">
            <v>Regular Employee</v>
          </cell>
        </row>
        <row r="5610">
          <cell r="K5610">
            <v>480700</v>
          </cell>
          <cell r="P5610" t="str">
            <v>90111101-52121101</v>
          </cell>
          <cell r="S5610" t="str">
            <v>2026A-06</v>
          </cell>
          <cell r="T5610" t="str">
            <v>Regular Employee</v>
          </cell>
        </row>
        <row r="5611">
          <cell r="K5611">
            <v>-272.04000000000002</v>
          </cell>
          <cell r="P5611" t="str">
            <v>90111101-52121101</v>
          </cell>
          <cell r="S5611" t="str">
            <v>2026A-06</v>
          </cell>
          <cell r="T5611" t="str">
            <v>Regular Employee</v>
          </cell>
        </row>
        <row r="5612">
          <cell r="K5612">
            <v>-330.98</v>
          </cell>
          <cell r="P5612" t="str">
            <v>90111101-52121101</v>
          </cell>
          <cell r="S5612" t="str">
            <v>2026A-06</v>
          </cell>
          <cell r="T5612" t="str">
            <v>Regular Employee</v>
          </cell>
        </row>
        <row r="5613">
          <cell r="K5613">
            <v>-1854.99</v>
          </cell>
          <cell r="P5613" t="str">
            <v>90111101-52121101</v>
          </cell>
          <cell r="S5613" t="str">
            <v>2026A-06</v>
          </cell>
          <cell r="T5613" t="str">
            <v>Regular Employee</v>
          </cell>
        </row>
        <row r="5614">
          <cell r="K5614">
            <v>16873.900000000001</v>
          </cell>
          <cell r="P5614" t="str">
            <v>90111101-52121102</v>
          </cell>
          <cell r="S5614" t="str">
            <v>2026A-06</v>
          </cell>
          <cell r="T5614" t="str">
            <v>OT Pay</v>
          </cell>
        </row>
        <row r="5615">
          <cell r="K5615">
            <v>16726.38</v>
          </cell>
          <cell r="P5615" t="str">
            <v>90111101-52121102</v>
          </cell>
          <cell r="S5615" t="str">
            <v>2026A-06</v>
          </cell>
          <cell r="T5615" t="str">
            <v>OT Pay</v>
          </cell>
        </row>
        <row r="5616">
          <cell r="K5616">
            <v>16606.82</v>
          </cell>
          <cell r="P5616" t="str">
            <v>90111101-52121102</v>
          </cell>
          <cell r="S5616" t="str">
            <v>2026A-06</v>
          </cell>
          <cell r="T5616" t="str">
            <v>OT Pay</v>
          </cell>
        </row>
        <row r="5617">
          <cell r="K5617">
            <v>2254.04</v>
          </cell>
          <cell r="P5617" t="str">
            <v>90111101-52121102</v>
          </cell>
          <cell r="S5617" t="str">
            <v>2026A-06</v>
          </cell>
          <cell r="T5617" t="str">
            <v>OT Pay</v>
          </cell>
        </row>
        <row r="5618">
          <cell r="K5618">
            <v>13200</v>
          </cell>
          <cell r="P5618" t="str">
            <v>90111101-52121103</v>
          </cell>
          <cell r="S5618" t="str">
            <v>2026A-06</v>
          </cell>
          <cell r="T5618" t="str">
            <v>OT Pay</v>
          </cell>
        </row>
        <row r="5619">
          <cell r="K5619">
            <v>200</v>
          </cell>
          <cell r="P5619" t="str">
            <v>90111101-52121305</v>
          </cell>
          <cell r="S5619" t="str">
            <v>2026A-06</v>
          </cell>
          <cell r="T5619" t="str">
            <v>Pag-ibig</v>
          </cell>
        </row>
        <row r="5620">
          <cell r="K5620">
            <v>1375</v>
          </cell>
          <cell r="P5620" t="str">
            <v>90111101-52121305</v>
          </cell>
          <cell r="S5620" t="str">
            <v>2026A-06</v>
          </cell>
          <cell r="T5620" t="str">
            <v>Philhealth</v>
          </cell>
        </row>
        <row r="5621">
          <cell r="K5621">
            <v>43070</v>
          </cell>
          <cell r="P5621" t="str">
            <v>90111101-52121305</v>
          </cell>
          <cell r="S5621" t="str">
            <v>2026A-06</v>
          </cell>
          <cell r="T5621" t="str">
            <v>SSS</v>
          </cell>
        </row>
        <row r="5622">
          <cell r="K5622">
            <v>4850</v>
          </cell>
          <cell r="P5622" t="str">
            <v>90111101-52121305</v>
          </cell>
          <cell r="S5622" t="str">
            <v>2026A-06</v>
          </cell>
          <cell r="T5622" t="str">
            <v>SSS</v>
          </cell>
        </row>
        <row r="5623">
          <cell r="K5623">
            <v>32460</v>
          </cell>
          <cell r="P5623" t="str">
            <v>90111101-52121305</v>
          </cell>
          <cell r="S5623" t="str">
            <v>2026A-06</v>
          </cell>
          <cell r="T5623" t="str">
            <v>SSS</v>
          </cell>
        </row>
        <row r="5624">
          <cell r="K5624">
            <v>250</v>
          </cell>
          <cell r="P5624" t="str">
            <v>90111101-52121305</v>
          </cell>
          <cell r="S5624" t="str">
            <v>2026A-06</v>
          </cell>
          <cell r="T5624" t="str">
            <v>SSS</v>
          </cell>
        </row>
        <row r="5625">
          <cell r="K5625">
            <v>3650</v>
          </cell>
          <cell r="P5625" t="str">
            <v>90111101-52121305</v>
          </cell>
          <cell r="S5625" t="str">
            <v>2026A-06</v>
          </cell>
          <cell r="T5625" t="str">
            <v>SSS</v>
          </cell>
        </row>
        <row r="5626">
          <cell r="K5626">
            <v>3750</v>
          </cell>
          <cell r="P5626" t="str">
            <v>90111101-52121305</v>
          </cell>
          <cell r="S5626" t="str">
            <v>2026A-06</v>
          </cell>
          <cell r="T5626" t="str">
            <v>SSS</v>
          </cell>
        </row>
        <row r="5627">
          <cell r="K5627">
            <v>230500</v>
          </cell>
          <cell r="P5627" t="str">
            <v>90111101-52121308</v>
          </cell>
          <cell r="S5627" t="str">
            <v>2026A-06</v>
          </cell>
          <cell r="T5627" t="str">
            <v>Gas Allowance</v>
          </cell>
        </row>
        <row r="5628">
          <cell r="K5628">
            <v>29000</v>
          </cell>
          <cell r="P5628" t="str">
            <v>90111101-52121308</v>
          </cell>
          <cell r="S5628" t="str">
            <v>2026A-06</v>
          </cell>
          <cell r="T5628" t="str">
            <v>Gas Allowance</v>
          </cell>
        </row>
        <row r="5629">
          <cell r="K5629">
            <v>179250</v>
          </cell>
          <cell r="P5629" t="str">
            <v>90111101-52121308</v>
          </cell>
          <cell r="S5629" t="str">
            <v>2026A-06</v>
          </cell>
          <cell r="T5629" t="str">
            <v>Gas Allowance</v>
          </cell>
        </row>
        <row r="5630">
          <cell r="K5630">
            <v>48000</v>
          </cell>
          <cell r="P5630" t="str">
            <v>90111101-52121308</v>
          </cell>
          <cell r="S5630" t="str">
            <v>2026A-06</v>
          </cell>
          <cell r="T5630" t="str">
            <v>Gas Allowance</v>
          </cell>
        </row>
        <row r="5631">
          <cell r="K5631">
            <v>53750</v>
          </cell>
          <cell r="P5631" t="str">
            <v>90111101-52121308</v>
          </cell>
          <cell r="S5631" t="str">
            <v>2026A-06</v>
          </cell>
          <cell r="T5631" t="str">
            <v>Gas Allowance</v>
          </cell>
        </row>
        <row r="5632">
          <cell r="K5632">
            <v>54250</v>
          </cell>
          <cell r="P5632" t="str">
            <v>90111101-52121308</v>
          </cell>
          <cell r="S5632" t="str">
            <v>2026A-06</v>
          </cell>
          <cell r="T5632" t="str">
            <v>Gas Allowance</v>
          </cell>
        </row>
        <row r="5633">
          <cell r="K5633">
            <v>300879.45</v>
          </cell>
          <cell r="P5633" t="str">
            <v>80123102-61041101</v>
          </cell>
          <cell r="S5633" t="str">
            <v>2026A-06</v>
          </cell>
          <cell r="T5633" t="str">
            <v>Electricity &amp; Water</v>
          </cell>
        </row>
        <row r="5634">
          <cell r="K5634">
            <v>195050</v>
          </cell>
          <cell r="P5634" t="str">
            <v>81111101-52121101</v>
          </cell>
          <cell r="S5634" t="str">
            <v>2026A-06</v>
          </cell>
          <cell r="T5634" t="str">
            <v>Regular Employee</v>
          </cell>
        </row>
        <row r="5635">
          <cell r="K5635">
            <v>-2965.68</v>
          </cell>
          <cell r="P5635" t="str">
            <v>81111101-52121101</v>
          </cell>
          <cell r="S5635" t="str">
            <v>2026A-06</v>
          </cell>
          <cell r="T5635" t="str">
            <v>Regular Employee</v>
          </cell>
        </row>
        <row r="5636">
          <cell r="K5636">
            <v>-227.19</v>
          </cell>
          <cell r="P5636" t="str">
            <v>81111101-52121101</v>
          </cell>
          <cell r="S5636" t="str">
            <v>2026A-06</v>
          </cell>
          <cell r="T5636" t="str">
            <v>Regular Employee</v>
          </cell>
        </row>
        <row r="5637">
          <cell r="K5637">
            <v>-752.14</v>
          </cell>
          <cell r="P5637" t="str">
            <v>81111101-52121101</v>
          </cell>
          <cell r="S5637" t="str">
            <v>2026A-06</v>
          </cell>
          <cell r="T5637" t="str">
            <v>Regular Employee</v>
          </cell>
        </row>
        <row r="5638">
          <cell r="K5638">
            <v>225100</v>
          </cell>
          <cell r="P5638" t="str">
            <v>81111101-52121101</v>
          </cell>
          <cell r="S5638" t="str">
            <v>2026A-06</v>
          </cell>
          <cell r="T5638" t="str">
            <v>Regular Employee</v>
          </cell>
        </row>
        <row r="5639">
          <cell r="K5639">
            <v>-1516.05</v>
          </cell>
          <cell r="P5639" t="str">
            <v>81111101-52121101</v>
          </cell>
          <cell r="S5639" t="str">
            <v>2026A-06</v>
          </cell>
          <cell r="T5639" t="str">
            <v>Regular Employee</v>
          </cell>
        </row>
        <row r="5640">
          <cell r="K5640">
            <v>-489.84</v>
          </cell>
          <cell r="P5640" t="str">
            <v>81111101-52121101</v>
          </cell>
          <cell r="S5640" t="str">
            <v>2026A-06</v>
          </cell>
          <cell r="T5640" t="str">
            <v>Regular Employee</v>
          </cell>
        </row>
        <row r="5641">
          <cell r="K5641">
            <v>-1111.48</v>
          </cell>
          <cell r="P5641" t="str">
            <v>81111101-52121101</v>
          </cell>
          <cell r="S5641" t="str">
            <v>2026A-06</v>
          </cell>
          <cell r="T5641" t="str">
            <v>Regular Employee</v>
          </cell>
        </row>
        <row r="5642">
          <cell r="K5642">
            <v>7400</v>
          </cell>
          <cell r="P5642" t="str">
            <v>81111101-52121101</v>
          </cell>
          <cell r="S5642" t="str">
            <v>2026A-06</v>
          </cell>
          <cell r="T5642" t="str">
            <v>Regular Employee</v>
          </cell>
        </row>
        <row r="5643">
          <cell r="K5643">
            <v>110900</v>
          </cell>
          <cell r="P5643" t="str">
            <v>81111101-52121101</v>
          </cell>
          <cell r="S5643" t="str">
            <v>2026A-06</v>
          </cell>
          <cell r="T5643" t="str">
            <v>Regular Employee</v>
          </cell>
        </row>
        <row r="5644">
          <cell r="K5644">
            <v>-479.86</v>
          </cell>
          <cell r="P5644" t="str">
            <v>81111101-52121101</v>
          </cell>
          <cell r="S5644" t="str">
            <v>2026A-06</v>
          </cell>
          <cell r="T5644" t="str">
            <v>Regular Employee</v>
          </cell>
        </row>
        <row r="5645">
          <cell r="K5645">
            <v>-589.74</v>
          </cell>
          <cell r="P5645" t="str">
            <v>81111101-52121101</v>
          </cell>
          <cell r="S5645" t="str">
            <v>2026A-06</v>
          </cell>
          <cell r="T5645" t="str">
            <v>Regular Employee</v>
          </cell>
        </row>
        <row r="5646">
          <cell r="K5646">
            <v>1068100</v>
          </cell>
          <cell r="P5646" t="str">
            <v>81111101-52121101</v>
          </cell>
          <cell r="S5646" t="str">
            <v>2026A-06</v>
          </cell>
          <cell r="T5646" t="str">
            <v>Regular Employee</v>
          </cell>
        </row>
        <row r="5647">
          <cell r="K5647">
            <v>13681.07</v>
          </cell>
          <cell r="P5647" t="str">
            <v>81111101-52121101</v>
          </cell>
          <cell r="S5647" t="str">
            <v>2026A-06</v>
          </cell>
          <cell r="T5647" t="str">
            <v>Regular Employee</v>
          </cell>
        </row>
        <row r="5648">
          <cell r="K5648">
            <v>625.05999999999995</v>
          </cell>
          <cell r="P5648" t="str">
            <v>81111101-52121101</v>
          </cell>
          <cell r="S5648" t="str">
            <v>2026A-06</v>
          </cell>
          <cell r="T5648" t="str">
            <v>Regular Employee</v>
          </cell>
        </row>
        <row r="5649">
          <cell r="K5649">
            <v>-12984.89</v>
          </cell>
          <cell r="P5649" t="str">
            <v>81111101-52121101</v>
          </cell>
          <cell r="S5649" t="str">
            <v>2026A-06</v>
          </cell>
          <cell r="T5649" t="str">
            <v>Regular Employee</v>
          </cell>
        </row>
        <row r="5650">
          <cell r="K5650">
            <v>-331.01</v>
          </cell>
          <cell r="P5650" t="str">
            <v>81111101-52121101</v>
          </cell>
          <cell r="S5650" t="str">
            <v>2026A-06</v>
          </cell>
          <cell r="T5650" t="str">
            <v>Regular Employee</v>
          </cell>
        </row>
        <row r="5651">
          <cell r="K5651">
            <v>-6490.67</v>
          </cell>
          <cell r="P5651" t="str">
            <v>81111101-52121101</v>
          </cell>
          <cell r="S5651" t="str">
            <v>2026A-06</v>
          </cell>
          <cell r="T5651" t="str">
            <v>Regular Employee</v>
          </cell>
        </row>
        <row r="5652">
          <cell r="K5652">
            <v>147650</v>
          </cell>
          <cell r="P5652" t="str">
            <v>81111101-52121101</v>
          </cell>
          <cell r="S5652" t="str">
            <v>2026A-06</v>
          </cell>
          <cell r="T5652" t="str">
            <v>Regular Employee</v>
          </cell>
        </row>
        <row r="5653">
          <cell r="K5653">
            <v>9217.67</v>
          </cell>
          <cell r="P5653" t="str">
            <v>81111101-52121101</v>
          </cell>
          <cell r="S5653" t="str">
            <v>2026A-06</v>
          </cell>
          <cell r="T5653" t="str">
            <v>Regular Employee</v>
          </cell>
        </row>
        <row r="5654">
          <cell r="K5654">
            <v>-2029.03</v>
          </cell>
          <cell r="P5654" t="str">
            <v>81111101-52121101</v>
          </cell>
          <cell r="S5654" t="str">
            <v>2026A-06</v>
          </cell>
          <cell r="T5654" t="str">
            <v>Regular Employee</v>
          </cell>
        </row>
        <row r="5655">
          <cell r="K5655">
            <v>-49.38</v>
          </cell>
          <cell r="P5655" t="str">
            <v>81111101-52121101</v>
          </cell>
          <cell r="S5655" t="str">
            <v>2026A-06</v>
          </cell>
          <cell r="T5655" t="str">
            <v>Regular Employee</v>
          </cell>
        </row>
        <row r="5656">
          <cell r="K5656">
            <v>-3295.11</v>
          </cell>
          <cell r="P5656" t="str">
            <v>81111101-52121101</v>
          </cell>
          <cell r="S5656" t="str">
            <v>2026A-06</v>
          </cell>
          <cell r="T5656" t="str">
            <v>Regular Employee</v>
          </cell>
        </row>
        <row r="5657">
          <cell r="K5657">
            <v>23027.68</v>
          </cell>
          <cell r="P5657" t="str">
            <v>81111101-52121102</v>
          </cell>
          <cell r="S5657" t="str">
            <v>2026A-06</v>
          </cell>
          <cell r="T5657" t="str">
            <v>OT Pay</v>
          </cell>
        </row>
        <row r="5658">
          <cell r="K5658">
            <v>7528.02</v>
          </cell>
          <cell r="P5658" t="str">
            <v>81111101-52121102</v>
          </cell>
          <cell r="S5658" t="str">
            <v>2026A-06</v>
          </cell>
          <cell r="T5658" t="str">
            <v>OT Pay</v>
          </cell>
        </row>
        <row r="5659">
          <cell r="K5659">
            <v>12644.89</v>
          </cell>
          <cell r="P5659" t="str">
            <v>81111101-52121102</v>
          </cell>
          <cell r="S5659" t="str">
            <v>2026A-06</v>
          </cell>
          <cell r="T5659" t="str">
            <v>OT Pay</v>
          </cell>
        </row>
        <row r="5660">
          <cell r="K5660">
            <v>6000</v>
          </cell>
          <cell r="P5660" t="str">
            <v>81111101-52121103</v>
          </cell>
          <cell r="S5660" t="str">
            <v>2026A-06</v>
          </cell>
          <cell r="T5660" t="str">
            <v>OT Pay</v>
          </cell>
        </row>
        <row r="5661">
          <cell r="K5661">
            <v>600</v>
          </cell>
          <cell r="P5661" t="str">
            <v>81111101-52121103</v>
          </cell>
          <cell r="S5661" t="str">
            <v>2026A-06</v>
          </cell>
          <cell r="T5661" t="str">
            <v>OT Pay</v>
          </cell>
        </row>
        <row r="5662">
          <cell r="K5662">
            <v>2200</v>
          </cell>
          <cell r="P5662" t="str">
            <v>81111101-52121103</v>
          </cell>
          <cell r="S5662" t="str">
            <v>2026A-06</v>
          </cell>
          <cell r="T5662" t="str">
            <v>OT Pay</v>
          </cell>
        </row>
        <row r="5663">
          <cell r="K5663">
            <v>15400</v>
          </cell>
          <cell r="P5663" t="str">
            <v>81111101-52121103</v>
          </cell>
          <cell r="S5663" t="str">
            <v>2026A-06</v>
          </cell>
          <cell r="T5663" t="str">
            <v>OT Pay</v>
          </cell>
        </row>
        <row r="5664">
          <cell r="K5664">
            <v>9550</v>
          </cell>
          <cell r="P5664" t="str">
            <v>81111101-52121305</v>
          </cell>
          <cell r="S5664" t="str">
            <v>2026A-06</v>
          </cell>
          <cell r="T5664" t="str">
            <v>SSS</v>
          </cell>
        </row>
        <row r="5665">
          <cell r="K5665">
            <v>20490</v>
          </cell>
          <cell r="P5665" t="str">
            <v>81111101-52121305</v>
          </cell>
          <cell r="S5665" t="str">
            <v>2026A-06</v>
          </cell>
          <cell r="T5665" t="str">
            <v>SSS</v>
          </cell>
        </row>
        <row r="5666">
          <cell r="K5666">
            <v>4900</v>
          </cell>
          <cell r="P5666" t="str">
            <v>81111101-52121305</v>
          </cell>
          <cell r="S5666" t="str">
            <v>2026A-06</v>
          </cell>
          <cell r="T5666" t="str">
            <v>SSS</v>
          </cell>
        </row>
        <row r="5667">
          <cell r="K5667">
            <v>49050</v>
          </cell>
          <cell r="P5667" t="str">
            <v>81111101-52121305</v>
          </cell>
          <cell r="S5667" t="str">
            <v>2026A-06</v>
          </cell>
          <cell r="T5667" t="str">
            <v>SSS</v>
          </cell>
        </row>
        <row r="5668">
          <cell r="K5668">
            <v>4250</v>
          </cell>
          <cell r="P5668" t="str">
            <v>81111101-52121305</v>
          </cell>
          <cell r="S5668" t="str">
            <v>2026A-06</v>
          </cell>
          <cell r="T5668" t="str">
            <v>SSS</v>
          </cell>
        </row>
        <row r="5669">
          <cell r="K5669">
            <v>5000</v>
          </cell>
          <cell r="P5669" t="str">
            <v>81111101-52121308</v>
          </cell>
          <cell r="S5669" t="str">
            <v>2026A-06</v>
          </cell>
          <cell r="T5669" t="str">
            <v>Gas Allowance</v>
          </cell>
        </row>
        <row r="5670">
          <cell r="K5670">
            <v>30000</v>
          </cell>
          <cell r="P5670" t="str">
            <v>81111101-52121308</v>
          </cell>
          <cell r="S5670" t="str">
            <v>2026A-06</v>
          </cell>
          <cell r="T5670" t="str">
            <v>Gas Allowance</v>
          </cell>
        </row>
        <row r="5671">
          <cell r="K5671">
            <v>605000</v>
          </cell>
          <cell r="P5671" t="str">
            <v>81122101-52071104</v>
          </cell>
          <cell r="S5671" t="str">
            <v>2026A-06</v>
          </cell>
          <cell r="T5671" t="str">
            <v>INTCNSLTNT</v>
          </cell>
        </row>
        <row r="5672">
          <cell r="K5672">
            <v>9000</v>
          </cell>
          <cell r="P5672" t="str">
            <v>81122101-52071104</v>
          </cell>
          <cell r="S5672" t="str">
            <v>2026A-06</v>
          </cell>
          <cell r="T5672" t="str">
            <v>INTCNSLTNT</v>
          </cell>
        </row>
        <row r="5673">
          <cell r="K5673">
            <v>-12091.6</v>
          </cell>
          <cell r="P5673" t="str">
            <v>81122101-52071104</v>
          </cell>
          <cell r="S5673" t="str">
            <v>2026A-06</v>
          </cell>
          <cell r="T5673" t="str">
            <v>INTCNSLTNT</v>
          </cell>
        </row>
        <row r="5674">
          <cell r="K5674">
            <v>58100</v>
          </cell>
          <cell r="P5674" t="str">
            <v>81122101-52071104</v>
          </cell>
          <cell r="S5674" t="str">
            <v>2026A-06</v>
          </cell>
          <cell r="T5674" t="str">
            <v>INTCNSLTNT</v>
          </cell>
        </row>
        <row r="5675">
          <cell r="K5675">
            <v>-2661.08</v>
          </cell>
          <cell r="P5675" t="str">
            <v>81122101-52071104</v>
          </cell>
          <cell r="S5675" t="str">
            <v>2026A-06</v>
          </cell>
          <cell r="T5675" t="str">
            <v>INTCNSLTNT</v>
          </cell>
        </row>
        <row r="5676">
          <cell r="K5676">
            <v>303089.17</v>
          </cell>
          <cell r="P5676" t="str">
            <v>81111101-52121304</v>
          </cell>
          <cell r="S5676" t="str">
            <v>2026A-06</v>
          </cell>
          <cell r="T5676" t="str">
            <v>Retirement</v>
          </cell>
        </row>
        <row r="5677">
          <cell r="K5677">
            <v>125</v>
          </cell>
          <cell r="P5677" t="str">
            <v>81122101-52121315</v>
          </cell>
          <cell r="S5677" t="str">
            <v>2026A-06</v>
          </cell>
          <cell r="T5677" t="str">
            <v>Pre-Employment Medical Exams</v>
          </cell>
        </row>
        <row r="5678">
          <cell r="K5678">
            <v>1615</v>
          </cell>
          <cell r="P5678" t="str">
            <v>81122101-52121315</v>
          </cell>
          <cell r="S5678" t="str">
            <v>2026A-06</v>
          </cell>
          <cell r="T5678" t="str">
            <v>Pre-Employment Medical Exams</v>
          </cell>
        </row>
        <row r="5679">
          <cell r="K5679">
            <v>3500</v>
          </cell>
          <cell r="P5679" t="str">
            <v>81123101-52071102</v>
          </cell>
          <cell r="S5679" t="str">
            <v>2026A-06</v>
          </cell>
          <cell r="T5679" t="str">
            <v>Open Cases</v>
          </cell>
        </row>
        <row r="5680">
          <cell r="K5680">
            <v>3495</v>
          </cell>
          <cell r="P5680" t="str">
            <v>81123101-52071102</v>
          </cell>
          <cell r="S5680" t="str">
            <v>2026A-06</v>
          </cell>
          <cell r="T5680" t="str">
            <v>Open Cases</v>
          </cell>
        </row>
        <row r="5681">
          <cell r="K5681">
            <v>1000</v>
          </cell>
          <cell r="P5681" t="str">
            <v>90123101-61071002</v>
          </cell>
          <cell r="S5681" t="str">
            <v>2026A-06</v>
          </cell>
          <cell r="T5681" t="str">
            <v>Notarial Fees</v>
          </cell>
        </row>
        <row r="5682">
          <cell r="K5682">
            <v>17863.95</v>
          </cell>
          <cell r="P5682" t="str">
            <v>80123102-61061104</v>
          </cell>
          <cell r="S5682" t="str">
            <v>2026A-06</v>
          </cell>
          <cell r="T5682" t="str">
            <v>R&amp;M - JJB</v>
          </cell>
        </row>
        <row r="5683">
          <cell r="K5683">
            <v>1615</v>
          </cell>
          <cell r="P5683" t="str">
            <v>90122101-52121315</v>
          </cell>
          <cell r="S5683" t="str">
            <v>2026A-06</v>
          </cell>
          <cell r="T5683" t="str">
            <v>Pre-Employment Medical Exams</v>
          </cell>
        </row>
        <row r="5684">
          <cell r="K5684">
            <v>125</v>
          </cell>
          <cell r="P5684" t="str">
            <v>90122101-52121315</v>
          </cell>
          <cell r="S5684" t="str">
            <v>2026A-06</v>
          </cell>
          <cell r="T5684" t="str">
            <v>Pre-Employment Medical Exams</v>
          </cell>
        </row>
        <row r="5685">
          <cell r="K5685">
            <v>4086.58</v>
          </cell>
          <cell r="P5685" t="str">
            <v>80123102-61101104</v>
          </cell>
          <cell r="S5685" t="str">
            <v>2026A-06</v>
          </cell>
          <cell r="T5685" t="str">
            <v>Insurance Vehicle - Howard Garcia</v>
          </cell>
        </row>
        <row r="5686">
          <cell r="K5686">
            <v>7482.76</v>
          </cell>
          <cell r="P5686" t="str">
            <v>80123102-61101104</v>
          </cell>
          <cell r="S5686" t="str">
            <v>2026A-06</v>
          </cell>
          <cell r="T5686" t="str">
            <v>Insurance Vehicle - Howard Garcia</v>
          </cell>
        </row>
        <row r="5687">
          <cell r="K5687">
            <v>510.82</v>
          </cell>
          <cell r="P5687" t="str">
            <v>80123102-61101104</v>
          </cell>
          <cell r="S5687" t="str">
            <v>2026A-06</v>
          </cell>
          <cell r="T5687" t="str">
            <v>Insurance Vehicle - Howard Garcia</v>
          </cell>
        </row>
        <row r="5688">
          <cell r="K5688">
            <v>8.17</v>
          </cell>
          <cell r="P5688" t="str">
            <v>80123102-61101104</v>
          </cell>
          <cell r="S5688" t="str">
            <v>2026A-06</v>
          </cell>
          <cell r="T5688" t="str">
            <v>Insurance Vehicle - Howard Garcia</v>
          </cell>
        </row>
        <row r="5689">
          <cell r="K5689">
            <v>935.35</v>
          </cell>
          <cell r="P5689" t="str">
            <v>80123102-61101104</v>
          </cell>
          <cell r="S5689" t="str">
            <v>2026A-06</v>
          </cell>
          <cell r="T5689" t="str">
            <v>Insurance Vehicle - Howard Garcia</v>
          </cell>
        </row>
        <row r="5690">
          <cell r="K5690">
            <v>14.97</v>
          </cell>
          <cell r="P5690" t="str">
            <v>80123102-61101104</v>
          </cell>
          <cell r="S5690" t="str">
            <v>2026A-06</v>
          </cell>
          <cell r="T5690" t="str">
            <v>Insurance Vehicle - Howard Garcia</v>
          </cell>
        </row>
        <row r="5691">
          <cell r="K5691">
            <v>44419.64</v>
          </cell>
          <cell r="P5691" t="str">
            <v>80122101-61021403</v>
          </cell>
          <cell r="S5691" t="str">
            <v>2026A-06</v>
          </cell>
          <cell r="T5691" t="str">
            <v>Vaccine</v>
          </cell>
        </row>
        <row r="5692">
          <cell r="K5692">
            <v>18656.25</v>
          </cell>
          <cell r="P5692" t="str">
            <v>80122101-61021403</v>
          </cell>
          <cell r="S5692" t="str">
            <v>2026A-06</v>
          </cell>
          <cell r="T5692" t="str">
            <v>Vaccine</v>
          </cell>
        </row>
        <row r="5693">
          <cell r="K5693">
            <v>142142.85999999999</v>
          </cell>
          <cell r="P5693" t="str">
            <v>90122101-52121402</v>
          </cell>
          <cell r="S5693" t="str">
            <v>2026A-06</v>
          </cell>
          <cell r="T5693" t="str">
            <v>Vaccine</v>
          </cell>
        </row>
        <row r="5694">
          <cell r="K5694">
            <v>121709.82</v>
          </cell>
          <cell r="P5694" t="str">
            <v>90122101-52121402</v>
          </cell>
          <cell r="S5694" t="str">
            <v>2026A-06</v>
          </cell>
          <cell r="T5694" t="str">
            <v>Vaccine</v>
          </cell>
        </row>
        <row r="5695">
          <cell r="K5695">
            <v>-137310</v>
          </cell>
          <cell r="P5695" t="str">
            <v>90122101-52121402</v>
          </cell>
          <cell r="S5695" t="str">
            <v>2026A-06</v>
          </cell>
          <cell r="T5695" t="str">
            <v>Vaccine</v>
          </cell>
        </row>
        <row r="5696">
          <cell r="K5696">
            <v>-690746.92</v>
          </cell>
          <cell r="P5696" t="str">
            <v>80111101-61021303</v>
          </cell>
          <cell r="S5696" t="str">
            <v>2026A-06</v>
          </cell>
          <cell r="T5696" t="str">
            <v>HMO</v>
          </cell>
        </row>
        <row r="5697">
          <cell r="K5697">
            <v>-10000</v>
          </cell>
          <cell r="P5697" t="str">
            <v>80123101-61071005</v>
          </cell>
          <cell r="S5697" t="str">
            <v>2026A-06</v>
          </cell>
          <cell r="T5697" t="str">
            <v>Sycip</v>
          </cell>
        </row>
        <row r="5698">
          <cell r="K5698">
            <v>-20000</v>
          </cell>
          <cell r="P5698" t="str">
            <v>80123101-61071005</v>
          </cell>
          <cell r="S5698" t="str">
            <v>2026A-06</v>
          </cell>
          <cell r="T5698" t="str">
            <v>Poblador</v>
          </cell>
        </row>
        <row r="5699">
          <cell r="K5699">
            <v>-10000</v>
          </cell>
          <cell r="P5699" t="str">
            <v>80123101-61071005</v>
          </cell>
          <cell r="S5699" t="str">
            <v>2026A-06</v>
          </cell>
          <cell r="T5699" t="str">
            <v>Santiago</v>
          </cell>
        </row>
        <row r="5700">
          <cell r="K5700">
            <v>-311287.78000000003</v>
          </cell>
          <cell r="P5700" t="str">
            <v>80124101-61711102</v>
          </cell>
          <cell r="S5700" t="str">
            <v>2026A-06</v>
          </cell>
          <cell r="T5700" t="str">
            <v>MSOC</v>
          </cell>
        </row>
        <row r="5701">
          <cell r="K5701">
            <v>-365145.17</v>
          </cell>
          <cell r="P5701" t="str">
            <v>80124101-61711102</v>
          </cell>
          <cell r="S5701" t="str">
            <v>2026A-06</v>
          </cell>
          <cell r="T5701" t="str">
            <v>M365 Email Security</v>
          </cell>
        </row>
        <row r="5702">
          <cell r="K5702">
            <v>-4462.5</v>
          </cell>
          <cell r="P5702" t="str">
            <v>80123102-61721101</v>
          </cell>
          <cell r="S5702" t="str">
            <v>2026A-06</v>
          </cell>
          <cell r="T5702" t="str">
            <v>Zero</v>
          </cell>
        </row>
        <row r="5703">
          <cell r="K5703">
            <v>-65425.22</v>
          </cell>
          <cell r="P5703" t="str">
            <v>81111101-52041401</v>
          </cell>
          <cell r="S5703" t="str">
            <v>2026A-06</v>
          </cell>
          <cell r="T5703" t="str">
            <v>Security HQ</v>
          </cell>
        </row>
        <row r="5704">
          <cell r="K5704">
            <v>-11682.13</v>
          </cell>
          <cell r="P5704" t="str">
            <v>81111101-52041401</v>
          </cell>
          <cell r="S5704" t="str">
            <v>2026A-06</v>
          </cell>
          <cell r="T5704" t="str">
            <v>Security HQ</v>
          </cell>
        </row>
        <row r="5705">
          <cell r="K5705">
            <v>-65000</v>
          </cell>
          <cell r="P5705" t="str">
            <v>81111101-52041401</v>
          </cell>
          <cell r="S5705" t="str">
            <v>2026A-06</v>
          </cell>
          <cell r="T5705" t="str">
            <v>Security HQ</v>
          </cell>
        </row>
        <row r="5706">
          <cell r="K5706">
            <v>-10000</v>
          </cell>
          <cell r="P5706" t="str">
            <v>81111101-52041401</v>
          </cell>
          <cell r="S5706" t="str">
            <v>2026A-06</v>
          </cell>
          <cell r="T5706" t="str">
            <v>Security HQ</v>
          </cell>
        </row>
        <row r="5707">
          <cell r="K5707">
            <v>-300000</v>
          </cell>
          <cell r="P5707" t="str">
            <v>81111101-52041495</v>
          </cell>
          <cell r="S5707" t="str">
            <v>2026A-06</v>
          </cell>
          <cell r="T5707" t="str">
            <v>BTs</v>
          </cell>
        </row>
        <row r="5708">
          <cell r="K5708">
            <v>-210233.58</v>
          </cell>
          <cell r="P5708" t="str">
            <v>81111101-52041405</v>
          </cell>
          <cell r="S5708" t="str">
            <v>2026A-06</v>
          </cell>
          <cell r="T5708" t="str">
            <v>Janitorial (SFI)</v>
          </cell>
        </row>
        <row r="5709">
          <cell r="K5709">
            <v>-170204.62</v>
          </cell>
          <cell r="P5709" t="str">
            <v>81111101-52041499</v>
          </cell>
          <cell r="S5709" t="str">
            <v>2026A-06</v>
          </cell>
          <cell r="T5709" t="str">
            <v>Admin Staff (SFI)</v>
          </cell>
        </row>
        <row r="5710">
          <cell r="K5710">
            <v>12000</v>
          </cell>
          <cell r="P5710" t="str">
            <v>90122101-52071104</v>
          </cell>
          <cell r="S5710" t="str">
            <v>2026A-06</v>
          </cell>
          <cell r="T5710" t="str">
            <v>PSPI</v>
          </cell>
        </row>
        <row r="5711">
          <cell r="K5711">
            <v>3335</v>
          </cell>
          <cell r="P5711" t="str">
            <v>90111204-61091102</v>
          </cell>
          <cell r="S5711" t="str">
            <v>2026A-06</v>
          </cell>
          <cell r="T5711" t="str">
            <v>Meetings</v>
          </cell>
        </row>
        <row r="5712">
          <cell r="K5712">
            <v>120</v>
          </cell>
          <cell r="P5712" t="str">
            <v>90111101-61031101</v>
          </cell>
          <cell r="S5712" t="str">
            <v>2026A-06</v>
          </cell>
          <cell r="T5712" t="str">
            <v>DST</v>
          </cell>
        </row>
        <row r="5713">
          <cell r="K5713">
            <v>708</v>
          </cell>
          <cell r="P5713" t="str">
            <v>80123102-61721103</v>
          </cell>
          <cell r="S5713" t="str">
            <v>2026A-06</v>
          </cell>
          <cell r="T5713" t="str">
            <v>Postal</v>
          </cell>
        </row>
        <row r="5714">
          <cell r="K5714">
            <v>2011187.5</v>
          </cell>
          <cell r="P5714" t="str">
            <v>90122101-52071104</v>
          </cell>
          <cell r="S5714" t="str">
            <v>2026A-06</v>
          </cell>
          <cell r="T5714" t="str">
            <v>OLC INTCNSLTNT</v>
          </cell>
        </row>
        <row r="5715">
          <cell r="K5715">
            <v>500</v>
          </cell>
          <cell r="P5715" t="str">
            <v>90123101-61071002</v>
          </cell>
          <cell r="S5715" t="str">
            <v>2026A-06</v>
          </cell>
          <cell r="T5715" t="str">
            <v>Notarial Fees</v>
          </cell>
        </row>
        <row r="5716">
          <cell r="K5716">
            <v>311287.78000000003</v>
          </cell>
          <cell r="P5716" t="str">
            <v>80124101-61711102</v>
          </cell>
          <cell r="S5716" t="str">
            <v>2026A-06</v>
          </cell>
          <cell r="T5716" t="str">
            <v>MSOC</v>
          </cell>
        </row>
        <row r="5717">
          <cell r="K5717">
            <v>73600</v>
          </cell>
          <cell r="P5717" t="str">
            <v>80123101-61071002</v>
          </cell>
          <cell r="S5717" t="str">
            <v>2026A-06</v>
          </cell>
          <cell r="T5717" t="str">
            <v>Open Cases</v>
          </cell>
        </row>
        <row r="5718">
          <cell r="K5718">
            <v>8600</v>
          </cell>
          <cell r="P5718" t="str">
            <v>80123101-61071002</v>
          </cell>
          <cell r="S5718" t="str">
            <v>2026A-06</v>
          </cell>
          <cell r="T5718" t="str">
            <v>Open Cases</v>
          </cell>
        </row>
        <row r="5719">
          <cell r="K5719">
            <v>1700</v>
          </cell>
          <cell r="P5719" t="str">
            <v>80123101-61071002</v>
          </cell>
          <cell r="S5719" t="str">
            <v>2026A-06</v>
          </cell>
          <cell r="T5719" t="str">
            <v>Open Cases</v>
          </cell>
        </row>
        <row r="5720">
          <cell r="K5720">
            <v>4000</v>
          </cell>
          <cell r="P5720" t="str">
            <v>80123101-61071002</v>
          </cell>
          <cell r="S5720" t="str">
            <v>2026A-06</v>
          </cell>
          <cell r="T5720" t="str">
            <v>Open Cases</v>
          </cell>
        </row>
        <row r="5721">
          <cell r="K5721">
            <v>1615</v>
          </cell>
          <cell r="P5721" t="str">
            <v>90122101-52121315</v>
          </cell>
          <cell r="S5721" t="str">
            <v>2026A-06</v>
          </cell>
          <cell r="T5721" t="str">
            <v>Pre-Employment Medical Exams</v>
          </cell>
        </row>
        <row r="5722">
          <cell r="K5722">
            <v>125</v>
          </cell>
          <cell r="P5722" t="str">
            <v>90122101-52121315</v>
          </cell>
          <cell r="S5722" t="str">
            <v>2026A-06</v>
          </cell>
          <cell r="T5722" t="str">
            <v>Pre-Employment Medical Exams</v>
          </cell>
        </row>
        <row r="5723">
          <cell r="K5723">
            <v>200000</v>
          </cell>
          <cell r="P5723" t="str">
            <v>90123101-61071002</v>
          </cell>
          <cell r="S5723" t="str">
            <v>2026A-06</v>
          </cell>
          <cell r="T5723" t="str">
            <v>Open Cases</v>
          </cell>
        </row>
        <row r="5724">
          <cell r="K5724">
            <v>2231.25</v>
          </cell>
          <cell r="P5724" t="str">
            <v>80123102-61721101</v>
          </cell>
          <cell r="S5724" t="str">
            <v>2026A-06</v>
          </cell>
          <cell r="T5724" t="str">
            <v>Zero</v>
          </cell>
        </row>
        <row r="5725">
          <cell r="K5725">
            <v>2231.25</v>
          </cell>
          <cell r="P5725" t="str">
            <v>80123102-61721101</v>
          </cell>
          <cell r="S5725" t="str">
            <v>2026A-06</v>
          </cell>
          <cell r="T5725" t="str">
            <v>Zero</v>
          </cell>
        </row>
        <row r="5726">
          <cell r="K5726">
            <v>23278.92</v>
          </cell>
          <cell r="P5726" t="str">
            <v>80123102-61061104</v>
          </cell>
          <cell r="S5726" t="str">
            <v>2026A-06</v>
          </cell>
          <cell r="T5726" t="str">
            <v>R&amp;M - Grandia</v>
          </cell>
        </row>
        <row r="5727">
          <cell r="K5727">
            <v>2200</v>
          </cell>
          <cell r="P5727" t="str">
            <v>90122101-61711101</v>
          </cell>
          <cell r="S5727" t="str">
            <v>2026A-06</v>
          </cell>
          <cell r="T5727" t="str">
            <v>PRC</v>
          </cell>
        </row>
        <row r="5728">
          <cell r="K5728">
            <v>3811.79</v>
          </cell>
          <cell r="P5728" t="str">
            <v>80124101-61721105</v>
          </cell>
          <cell r="S5728" t="str">
            <v>2026A-06</v>
          </cell>
          <cell r="T5728" t="str">
            <v>SMS Blast</v>
          </cell>
        </row>
        <row r="5729">
          <cell r="K5729">
            <v>372955.42</v>
          </cell>
          <cell r="P5729" t="str">
            <v>90111101-52031101</v>
          </cell>
          <cell r="S5729" t="str">
            <v>2026A-06</v>
          </cell>
          <cell r="T5729" t="str">
            <v>Other Taxes</v>
          </cell>
        </row>
        <row r="5730">
          <cell r="K5730">
            <v>1442.91</v>
          </cell>
          <cell r="P5730" t="str">
            <v>90111101-52031101</v>
          </cell>
          <cell r="S5730" t="str">
            <v>2026A-06</v>
          </cell>
          <cell r="T5730" t="str">
            <v>Other Taxes</v>
          </cell>
        </row>
        <row r="5731">
          <cell r="K5731">
            <v>372955.42</v>
          </cell>
          <cell r="P5731" t="str">
            <v>90111101-52031101</v>
          </cell>
          <cell r="S5731" t="str">
            <v>2026A-06</v>
          </cell>
          <cell r="T5731" t="str">
            <v>Other Taxes</v>
          </cell>
        </row>
        <row r="5732">
          <cell r="K5732">
            <v>1442.91</v>
          </cell>
          <cell r="P5732" t="str">
            <v>90111101-52031101</v>
          </cell>
          <cell r="S5732" t="str">
            <v>2026A-06</v>
          </cell>
          <cell r="T5732" t="str">
            <v>Other Taxes</v>
          </cell>
        </row>
        <row r="5733">
          <cell r="K5733">
            <v>16817.080000000002</v>
          </cell>
          <cell r="P5733" t="str">
            <v>90111101-52121301</v>
          </cell>
          <cell r="S5733" t="str">
            <v>2026A-06</v>
          </cell>
          <cell r="T5733" t="str">
            <v>Sun Life - MDIA</v>
          </cell>
        </row>
        <row r="5734">
          <cell r="K5734">
            <v>26077.5</v>
          </cell>
          <cell r="P5734" t="str">
            <v>90111101-52121301</v>
          </cell>
          <cell r="S5734" t="str">
            <v>2026A-06</v>
          </cell>
          <cell r="T5734" t="str">
            <v>Life Insurance</v>
          </cell>
        </row>
        <row r="5735">
          <cell r="K5735">
            <v>38124.080000000002</v>
          </cell>
          <cell r="P5735" t="str">
            <v>90111101-52121303</v>
          </cell>
          <cell r="S5735" t="str">
            <v>2026A-06</v>
          </cell>
          <cell r="T5735" t="str">
            <v>Pacific Cross Insurance Policy (USD) - MDIA</v>
          </cell>
        </row>
        <row r="5736">
          <cell r="K5736">
            <v>36842.1</v>
          </cell>
          <cell r="P5736" t="str">
            <v>90122101-52071104</v>
          </cell>
          <cell r="S5736" t="str">
            <v>2026A-06</v>
          </cell>
          <cell r="T5736" t="str">
            <v>HRIS Tirso</v>
          </cell>
        </row>
        <row r="5737">
          <cell r="K5737">
            <v>30416.67</v>
          </cell>
          <cell r="P5737" t="str">
            <v>90111101-52101107</v>
          </cell>
          <cell r="S5737" t="str">
            <v>2026A-06</v>
          </cell>
          <cell r="T5737" t="str">
            <v>DOL</v>
          </cell>
        </row>
        <row r="5738">
          <cell r="K5738">
            <v>3802.08</v>
          </cell>
          <cell r="P5738" t="str">
            <v>90111101-52101107</v>
          </cell>
          <cell r="S5738" t="str">
            <v>2026A-06</v>
          </cell>
          <cell r="T5738" t="str">
            <v>DOL</v>
          </cell>
        </row>
        <row r="5739">
          <cell r="K5739">
            <v>60.83</v>
          </cell>
          <cell r="P5739" t="str">
            <v>90111101-52101107</v>
          </cell>
          <cell r="S5739" t="str">
            <v>2026A-06</v>
          </cell>
          <cell r="T5739" t="str">
            <v>DOL</v>
          </cell>
        </row>
        <row r="5740">
          <cell r="K5740">
            <v>294357.62</v>
          </cell>
          <cell r="P5740" t="str">
            <v>90111101-52121303</v>
          </cell>
          <cell r="S5740" t="str">
            <v>2026A-06</v>
          </cell>
          <cell r="T5740" t="str">
            <v>HMO</v>
          </cell>
        </row>
        <row r="5741">
          <cell r="K5741">
            <v>16.670000000000002</v>
          </cell>
          <cell r="P5741" t="str">
            <v>90111101-52121303</v>
          </cell>
          <cell r="S5741" t="str">
            <v>2026A-06</v>
          </cell>
          <cell r="T5741" t="str">
            <v>HMO</v>
          </cell>
        </row>
        <row r="5742">
          <cell r="K5742">
            <v>5887.15</v>
          </cell>
          <cell r="P5742" t="str">
            <v>90111101-52121303</v>
          </cell>
          <cell r="S5742" t="str">
            <v>2026A-06</v>
          </cell>
          <cell r="T5742" t="str">
            <v>HMO</v>
          </cell>
        </row>
        <row r="5743">
          <cell r="K5743">
            <v>588.72</v>
          </cell>
          <cell r="P5743" t="str">
            <v>90111101-52121303</v>
          </cell>
          <cell r="S5743" t="str">
            <v>2026A-06</v>
          </cell>
          <cell r="T5743" t="str">
            <v>HMO</v>
          </cell>
        </row>
        <row r="5744">
          <cell r="K5744">
            <v>5260.42</v>
          </cell>
          <cell r="P5744" t="str">
            <v>90111101-52121303</v>
          </cell>
          <cell r="S5744" t="str">
            <v>2026A-06</v>
          </cell>
          <cell r="T5744" t="str">
            <v>HMO</v>
          </cell>
        </row>
        <row r="5745">
          <cell r="K5745">
            <v>46666.67</v>
          </cell>
          <cell r="P5745" t="str">
            <v>90122101-52121315</v>
          </cell>
          <cell r="S5745" t="str">
            <v>2026A-06</v>
          </cell>
          <cell r="T5745" t="str">
            <v>Jobstreet</v>
          </cell>
        </row>
        <row r="5746">
          <cell r="K5746">
            <v>1968.75</v>
          </cell>
          <cell r="P5746" t="str">
            <v>90122101-52121315</v>
          </cell>
          <cell r="S5746" t="str">
            <v>2026A-06</v>
          </cell>
          <cell r="T5746" t="str">
            <v>Jobstreet</v>
          </cell>
        </row>
        <row r="5747">
          <cell r="K5747">
            <v>22265.62</v>
          </cell>
          <cell r="P5747" t="str">
            <v>90111101-52071199</v>
          </cell>
          <cell r="S5747" t="str">
            <v>2026A-06</v>
          </cell>
          <cell r="T5747" t="str">
            <v>Lacson</v>
          </cell>
        </row>
        <row r="5748">
          <cell r="K5748">
            <v>162500</v>
          </cell>
          <cell r="P5748" t="str">
            <v>90111101-52071199</v>
          </cell>
          <cell r="S5748" t="str">
            <v>2026A-06</v>
          </cell>
          <cell r="T5748" t="str">
            <v>Lacson</v>
          </cell>
        </row>
        <row r="5749">
          <cell r="K5749">
            <v>4029.9</v>
          </cell>
          <cell r="P5749" t="str">
            <v>90124101-52952103</v>
          </cell>
          <cell r="S5749" t="str">
            <v>2026A-06</v>
          </cell>
          <cell r="T5749" t="str">
            <v>Canva</v>
          </cell>
        </row>
        <row r="5750">
          <cell r="K5750">
            <v>13000</v>
          </cell>
          <cell r="P5750" t="str">
            <v>90122101-61711101</v>
          </cell>
          <cell r="S5750" t="str">
            <v>2026A-06</v>
          </cell>
          <cell r="T5750" t="str">
            <v>PMAP</v>
          </cell>
        </row>
        <row r="5751">
          <cell r="K5751">
            <v>3431675</v>
          </cell>
          <cell r="P5751" t="str">
            <v>90111101-52121304</v>
          </cell>
          <cell r="S5751" t="str">
            <v>2026A-06</v>
          </cell>
          <cell r="T5751" t="str">
            <v>Retirement</v>
          </cell>
        </row>
        <row r="5752">
          <cell r="K5752">
            <v>-372955.42</v>
          </cell>
          <cell r="P5752" t="str">
            <v>90111101-52031101</v>
          </cell>
          <cell r="S5752" t="str">
            <v>2026A-06</v>
          </cell>
          <cell r="T5752" t="str">
            <v>Other Taxes</v>
          </cell>
        </row>
        <row r="5753">
          <cell r="K5753">
            <v>-1442.91</v>
          </cell>
          <cell r="P5753" t="str">
            <v>90111101-52031101</v>
          </cell>
          <cell r="S5753" t="str">
            <v>2026A-06</v>
          </cell>
          <cell r="T5753" t="str">
            <v>Other Taxes</v>
          </cell>
        </row>
        <row r="5754">
          <cell r="K5754">
            <v>1051640.8500000001</v>
          </cell>
          <cell r="P5754" t="str">
            <v>90111101-52121313</v>
          </cell>
          <cell r="S5754" t="str">
            <v>2026A-06</v>
          </cell>
          <cell r="T5754" t="str">
            <v>FBT</v>
          </cell>
        </row>
        <row r="5755">
          <cell r="K5755">
            <v>218750</v>
          </cell>
          <cell r="P5755" t="str">
            <v>80111101-61021201</v>
          </cell>
          <cell r="S5755" t="str">
            <v>2026A-06</v>
          </cell>
          <cell r="T5755" t="str">
            <v>Project Employee</v>
          </cell>
        </row>
        <row r="5756">
          <cell r="K5756">
            <v>-3586.3</v>
          </cell>
          <cell r="P5756" t="str">
            <v>80111101-61021201</v>
          </cell>
          <cell r="S5756" t="str">
            <v>2026A-06</v>
          </cell>
          <cell r="T5756" t="str">
            <v>Project Employee</v>
          </cell>
        </row>
        <row r="5757">
          <cell r="K5757">
            <v>-2629.04</v>
          </cell>
          <cell r="P5757" t="str">
            <v>80111101-61021201</v>
          </cell>
          <cell r="S5757" t="str">
            <v>2026A-06</v>
          </cell>
          <cell r="T5757" t="str">
            <v>Project Employee</v>
          </cell>
        </row>
        <row r="5758">
          <cell r="K5758">
            <v>-1220.9100000000001</v>
          </cell>
          <cell r="P5758" t="str">
            <v>80111101-61021201</v>
          </cell>
          <cell r="S5758" t="str">
            <v>2026A-06</v>
          </cell>
          <cell r="T5758" t="str">
            <v>Project Employee</v>
          </cell>
        </row>
        <row r="5759">
          <cell r="K5759">
            <v>-271.94</v>
          </cell>
          <cell r="P5759" t="str">
            <v>80111101-61021201</v>
          </cell>
          <cell r="S5759" t="str">
            <v>2026A-06</v>
          </cell>
          <cell r="T5759" t="str">
            <v>Project Employee</v>
          </cell>
        </row>
        <row r="5760">
          <cell r="K5760">
            <v>1328.26</v>
          </cell>
          <cell r="P5760" t="str">
            <v>80111101-61021201</v>
          </cell>
          <cell r="S5760" t="str">
            <v>2026A-06</v>
          </cell>
          <cell r="T5760" t="str">
            <v>Project Employee</v>
          </cell>
        </row>
        <row r="5761">
          <cell r="K5761">
            <v>68531.539999999994</v>
          </cell>
          <cell r="P5761" t="str">
            <v>80111101-61021202</v>
          </cell>
          <cell r="S5761" t="str">
            <v>2026A-06</v>
          </cell>
          <cell r="T5761" t="str">
            <v>Project Employee</v>
          </cell>
        </row>
        <row r="5762">
          <cell r="K5762">
            <v>26250</v>
          </cell>
          <cell r="P5762" t="str">
            <v>80111101-61021306</v>
          </cell>
          <cell r="S5762" t="str">
            <v>2026A-06</v>
          </cell>
          <cell r="T5762" t="str">
            <v>SSS</v>
          </cell>
        </row>
        <row r="5763">
          <cell r="K5763">
            <v>30800</v>
          </cell>
          <cell r="P5763" t="str">
            <v>80111101-61021102</v>
          </cell>
          <cell r="S5763" t="str">
            <v>2026A-06</v>
          </cell>
          <cell r="T5763" t="str">
            <v>Regular Employee</v>
          </cell>
        </row>
        <row r="5764">
          <cell r="K5764">
            <v>50500</v>
          </cell>
          <cell r="P5764" t="str">
            <v>80111101-61021102</v>
          </cell>
          <cell r="S5764" t="str">
            <v>2026A-06</v>
          </cell>
          <cell r="T5764" t="str">
            <v>Regular Employee</v>
          </cell>
        </row>
        <row r="5765">
          <cell r="K5765">
            <v>238150</v>
          </cell>
          <cell r="P5765" t="str">
            <v>80111101-61021102</v>
          </cell>
          <cell r="S5765" t="str">
            <v>2026A-06</v>
          </cell>
          <cell r="T5765" t="str">
            <v>Regular Employee</v>
          </cell>
        </row>
        <row r="5766">
          <cell r="K5766">
            <v>737300</v>
          </cell>
          <cell r="P5766" t="str">
            <v>80111101-61021102</v>
          </cell>
          <cell r="S5766" t="str">
            <v>2026A-06</v>
          </cell>
          <cell r="T5766" t="str">
            <v>Regular Employee</v>
          </cell>
        </row>
        <row r="5767">
          <cell r="K5767">
            <v>-1935.14</v>
          </cell>
          <cell r="P5767" t="str">
            <v>80111101-61021102</v>
          </cell>
          <cell r="S5767" t="str">
            <v>2026A-06</v>
          </cell>
          <cell r="T5767" t="str">
            <v>Regular Employee</v>
          </cell>
        </row>
        <row r="5768">
          <cell r="K5768">
            <v>18909.419999999998</v>
          </cell>
          <cell r="P5768" t="str">
            <v>80111101-61021102</v>
          </cell>
          <cell r="S5768" t="str">
            <v>2026A-06</v>
          </cell>
          <cell r="T5768" t="str">
            <v>Regular Employee</v>
          </cell>
        </row>
        <row r="5769">
          <cell r="K5769">
            <v>2306.66</v>
          </cell>
          <cell r="P5769" t="str">
            <v>80111101-61021102</v>
          </cell>
          <cell r="S5769" t="str">
            <v>2026A-06</v>
          </cell>
          <cell r="T5769" t="str">
            <v>Regular Employee</v>
          </cell>
        </row>
        <row r="5770">
          <cell r="K5770">
            <v>-434.56</v>
          </cell>
          <cell r="P5770" t="str">
            <v>80111101-61021102</v>
          </cell>
          <cell r="S5770" t="str">
            <v>2026A-06</v>
          </cell>
          <cell r="T5770" t="str">
            <v>Regular Employee</v>
          </cell>
        </row>
        <row r="5771">
          <cell r="K5771">
            <v>-469.6</v>
          </cell>
          <cell r="P5771" t="str">
            <v>80111101-61021102</v>
          </cell>
          <cell r="S5771" t="str">
            <v>2026A-06</v>
          </cell>
          <cell r="T5771" t="str">
            <v>Regular Employee</v>
          </cell>
        </row>
        <row r="5772">
          <cell r="K5772">
            <v>14660.84</v>
          </cell>
          <cell r="P5772" t="str">
            <v>80111101-61021103</v>
          </cell>
          <cell r="S5772" t="str">
            <v>2026A-06</v>
          </cell>
          <cell r="T5772" t="str">
            <v>OT Pay</v>
          </cell>
        </row>
        <row r="5773">
          <cell r="K5773">
            <v>2400</v>
          </cell>
          <cell r="P5773" t="str">
            <v>80111101-61021104</v>
          </cell>
          <cell r="S5773" t="str">
            <v>2026A-06</v>
          </cell>
          <cell r="T5773" t="str">
            <v>OT Pay</v>
          </cell>
        </row>
        <row r="5774">
          <cell r="K5774">
            <v>1600</v>
          </cell>
          <cell r="P5774" t="str">
            <v>80111101-61021104</v>
          </cell>
          <cell r="S5774" t="str">
            <v>2026A-06</v>
          </cell>
          <cell r="T5774" t="str">
            <v>OT Pay</v>
          </cell>
        </row>
        <row r="5775">
          <cell r="K5775">
            <v>2950</v>
          </cell>
          <cell r="P5775" t="str">
            <v>80111101-61021306</v>
          </cell>
          <cell r="S5775" t="str">
            <v>2026A-06</v>
          </cell>
          <cell r="T5775" t="str">
            <v>SSS</v>
          </cell>
        </row>
        <row r="5776">
          <cell r="K5776">
            <v>8740</v>
          </cell>
          <cell r="P5776" t="str">
            <v>80111101-61021306</v>
          </cell>
          <cell r="S5776" t="str">
            <v>2026A-06</v>
          </cell>
          <cell r="T5776" t="str">
            <v>SSS</v>
          </cell>
        </row>
        <row r="5777">
          <cell r="K5777">
            <v>35790</v>
          </cell>
          <cell r="P5777" t="str">
            <v>80111101-61021306</v>
          </cell>
          <cell r="S5777" t="str">
            <v>2026A-06</v>
          </cell>
          <cell r="T5777" t="str">
            <v>SSS</v>
          </cell>
        </row>
        <row r="5778">
          <cell r="K5778">
            <v>5000</v>
          </cell>
          <cell r="P5778" t="str">
            <v>80111101-61021309</v>
          </cell>
          <cell r="S5778" t="str">
            <v>2026A-06</v>
          </cell>
          <cell r="T5778" t="str">
            <v>Gas Allowance</v>
          </cell>
        </row>
        <row r="5779">
          <cell r="K5779">
            <v>10000</v>
          </cell>
          <cell r="P5779" t="str">
            <v>80111101-61021309</v>
          </cell>
          <cell r="S5779" t="str">
            <v>2026A-06</v>
          </cell>
          <cell r="T5779" t="str">
            <v>Gas Allowance</v>
          </cell>
        </row>
        <row r="5780">
          <cell r="K5780">
            <v>20000</v>
          </cell>
          <cell r="P5780" t="str">
            <v>80111101-61021309</v>
          </cell>
          <cell r="S5780" t="str">
            <v>2026A-06</v>
          </cell>
          <cell r="T5780" t="str">
            <v>Gas Allowance</v>
          </cell>
        </row>
        <row r="5781">
          <cell r="K5781">
            <v>1973.9</v>
          </cell>
          <cell r="P5781" t="str">
            <v>80111101-52101105</v>
          </cell>
          <cell r="S5781" t="str">
            <v>2026A-06</v>
          </cell>
          <cell r="T5781" t="str">
            <v>PTS</v>
          </cell>
        </row>
        <row r="5782">
          <cell r="K5782">
            <v>1973.9</v>
          </cell>
          <cell r="P5782" t="str">
            <v>80111101-52101105</v>
          </cell>
          <cell r="S5782" t="str">
            <v>2026A-06</v>
          </cell>
          <cell r="T5782" t="str">
            <v>PTS</v>
          </cell>
        </row>
        <row r="5783">
          <cell r="K5783">
            <v>55803.57</v>
          </cell>
          <cell r="P5783" t="str">
            <v>80124101-61711102</v>
          </cell>
          <cell r="S5783" t="str">
            <v>2026A-06</v>
          </cell>
          <cell r="T5783" t="str">
            <v>Kaseya</v>
          </cell>
        </row>
        <row r="5784">
          <cell r="K5784">
            <v>98090.09</v>
          </cell>
          <cell r="P5784" t="str">
            <v>80124101-61711102</v>
          </cell>
          <cell r="S5784" t="str">
            <v>2026A-06</v>
          </cell>
          <cell r="T5784" t="str">
            <v>Menlo Cloud Internet</v>
          </cell>
        </row>
        <row r="5785">
          <cell r="K5785">
            <v>80512.86</v>
          </cell>
          <cell r="P5785" t="str">
            <v>80124101-61711102</v>
          </cell>
          <cell r="S5785" t="str">
            <v>2026A-06</v>
          </cell>
          <cell r="T5785" t="str">
            <v>Crowdstrike</v>
          </cell>
        </row>
        <row r="5786">
          <cell r="K5786">
            <v>381550.68</v>
          </cell>
          <cell r="P5786" t="str">
            <v>80124101-61711102</v>
          </cell>
          <cell r="S5786" t="str">
            <v>2026A-06</v>
          </cell>
          <cell r="T5786" t="str">
            <v>SAP</v>
          </cell>
        </row>
        <row r="5787">
          <cell r="K5787">
            <v>91032.05</v>
          </cell>
          <cell r="P5787" t="str">
            <v>80124101-61711102</v>
          </cell>
          <cell r="S5787" t="str">
            <v>2026A-06</v>
          </cell>
          <cell r="T5787" t="str">
            <v>M365 Email Security</v>
          </cell>
        </row>
        <row r="5788">
          <cell r="K5788">
            <v>346041.67</v>
          </cell>
          <cell r="P5788" t="str">
            <v>80134102-61711101</v>
          </cell>
          <cell r="S5788" t="str">
            <v>2026A-06</v>
          </cell>
          <cell r="T5788" t="str">
            <v>Membership - Valle Verde</v>
          </cell>
        </row>
        <row r="5789">
          <cell r="K5789">
            <v>57589.29</v>
          </cell>
          <cell r="P5789" t="str">
            <v>80134102-61711101</v>
          </cell>
          <cell r="S5789" t="str">
            <v>2026A-06</v>
          </cell>
          <cell r="T5789" t="str">
            <v>Membership - Consumables</v>
          </cell>
        </row>
        <row r="5790">
          <cell r="K5790">
            <v>125625</v>
          </cell>
          <cell r="P5790" t="str">
            <v>80134102-61711101</v>
          </cell>
          <cell r="S5790" t="str">
            <v>2026A-06</v>
          </cell>
          <cell r="T5790" t="str">
            <v>Membership - OPE</v>
          </cell>
        </row>
        <row r="5791">
          <cell r="K5791">
            <v>20000</v>
          </cell>
          <cell r="P5791" t="str">
            <v>80123101-61071005</v>
          </cell>
          <cell r="S5791" t="str">
            <v>2026A-06</v>
          </cell>
          <cell r="T5791" t="str">
            <v>Angara</v>
          </cell>
        </row>
        <row r="5792">
          <cell r="K5792">
            <v>4500</v>
          </cell>
          <cell r="P5792" t="str">
            <v>80123101-61711101</v>
          </cell>
          <cell r="S5792" t="str">
            <v>2026A-06</v>
          </cell>
          <cell r="T5792" t="str">
            <v>Dues and Fees - Legal</v>
          </cell>
        </row>
        <row r="5793">
          <cell r="K5793">
            <v>75392.75</v>
          </cell>
          <cell r="P5793" t="str">
            <v>80123102-61101104</v>
          </cell>
          <cell r="S5793" t="str">
            <v>2026A-06</v>
          </cell>
          <cell r="T5793" t="str">
            <v>Insurance Vehicle</v>
          </cell>
        </row>
        <row r="5794">
          <cell r="K5794">
            <v>5960.72</v>
          </cell>
          <cell r="P5794" t="str">
            <v>80123102-61101104</v>
          </cell>
          <cell r="S5794" t="str">
            <v>2026A-06</v>
          </cell>
          <cell r="T5794" t="str">
            <v>Insurance Vehicle</v>
          </cell>
        </row>
        <row r="5795">
          <cell r="K5795">
            <v>4552.5</v>
          </cell>
          <cell r="P5795" t="str">
            <v>80111101-61021301</v>
          </cell>
          <cell r="S5795" t="str">
            <v>2026A-06</v>
          </cell>
          <cell r="T5795" t="str">
            <v>Life Insurance</v>
          </cell>
        </row>
        <row r="5796">
          <cell r="K5796">
            <v>262.5</v>
          </cell>
          <cell r="P5796" t="str">
            <v>80111101-61021301</v>
          </cell>
          <cell r="S5796" t="str">
            <v>2026A-06</v>
          </cell>
          <cell r="T5796" t="str">
            <v>Life Insurance</v>
          </cell>
        </row>
        <row r="5797">
          <cell r="K5797">
            <v>813740.07</v>
          </cell>
          <cell r="P5797" t="str">
            <v>80111101-61021303</v>
          </cell>
          <cell r="S5797" t="str">
            <v>2026A-06</v>
          </cell>
          <cell r="T5797" t="str">
            <v>HMO</v>
          </cell>
        </row>
        <row r="5798">
          <cell r="K5798">
            <v>15156.26</v>
          </cell>
          <cell r="P5798" t="str">
            <v>80111101-61021303</v>
          </cell>
          <cell r="S5798" t="str">
            <v>2026A-06</v>
          </cell>
          <cell r="T5798" t="str">
            <v>HMO</v>
          </cell>
        </row>
        <row r="5799">
          <cell r="K5799">
            <v>231789.67</v>
          </cell>
          <cell r="P5799" t="str">
            <v>80111101-61021304</v>
          </cell>
          <cell r="S5799" t="str">
            <v>2026A-06</v>
          </cell>
          <cell r="T5799" t="str">
            <v>Retirement</v>
          </cell>
        </row>
        <row r="5800">
          <cell r="K5800">
            <v>1768.38</v>
          </cell>
          <cell r="P5800" t="str">
            <v>80111101-52101101</v>
          </cell>
          <cell r="S5800" t="str">
            <v>2026A-06</v>
          </cell>
          <cell r="T5800" t="str">
            <v>PARI</v>
          </cell>
        </row>
        <row r="5801">
          <cell r="K5801">
            <v>1718.62</v>
          </cell>
          <cell r="P5801" t="str">
            <v>80111101-52101101</v>
          </cell>
          <cell r="S5801" t="str">
            <v>2026A-06</v>
          </cell>
          <cell r="T5801" t="str">
            <v>PARI</v>
          </cell>
        </row>
        <row r="5802">
          <cell r="K5802">
            <v>2300</v>
          </cell>
          <cell r="P5802" t="str">
            <v>80111101-52031101</v>
          </cell>
          <cell r="S5802" t="str">
            <v>2026A-06</v>
          </cell>
          <cell r="T5802" t="str">
            <v>Other Taxes</v>
          </cell>
        </row>
        <row r="5803">
          <cell r="K5803">
            <v>530</v>
          </cell>
          <cell r="P5803" t="str">
            <v>80122101-61711101</v>
          </cell>
          <cell r="S5803" t="str">
            <v>2026A-06</v>
          </cell>
          <cell r="T5803" t="str">
            <v>PRC</v>
          </cell>
        </row>
        <row r="5804">
          <cell r="K5804">
            <v>-20895</v>
          </cell>
          <cell r="P5804" t="str">
            <v>80122101-61021403</v>
          </cell>
          <cell r="S5804" t="str">
            <v>2026A-06</v>
          </cell>
          <cell r="T5804" t="str">
            <v>Vaccine</v>
          </cell>
        </row>
        <row r="5805">
          <cell r="K5805">
            <v>1606577.7</v>
          </cell>
          <cell r="P5805" t="str">
            <v>81349101-52959901</v>
          </cell>
          <cell r="S5805" t="str">
            <v>2026A-06</v>
          </cell>
          <cell r="T5805" t="str">
            <v>GH Redev Plan</v>
          </cell>
        </row>
        <row r="5806">
          <cell r="K5806">
            <v>-1606577.7</v>
          </cell>
          <cell r="P5806" t="str">
            <v>81221201-61959999</v>
          </cell>
          <cell r="S5806" t="str">
            <v>2026A-06</v>
          </cell>
          <cell r="T5806" t="str">
            <v>GH Redev Plan</v>
          </cell>
        </row>
        <row r="5807">
          <cell r="K5807">
            <v>898918.48</v>
          </cell>
          <cell r="P5807" t="str">
            <v>81349101-52959901</v>
          </cell>
          <cell r="S5807" t="str">
            <v>2026A-06</v>
          </cell>
          <cell r="T5807" t="str">
            <v>OE Redev Plan</v>
          </cell>
        </row>
        <row r="5808">
          <cell r="K5808">
            <v>4790.82</v>
          </cell>
          <cell r="P5808" t="str">
            <v>81319101-52041499</v>
          </cell>
          <cell r="S5808" t="str">
            <v>2026A-06</v>
          </cell>
          <cell r="T5808" t="str">
            <v>Office support GH</v>
          </cell>
        </row>
        <row r="5809">
          <cell r="K5809">
            <v>78231.520000000004</v>
          </cell>
          <cell r="P5809" t="str">
            <v>81319101-52041499</v>
          </cell>
          <cell r="S5809" t="str">
            <v>2026A-06</v>
          </cell>
          <cell r="T5809" t="str">
            <v>Office support GH</v>
          </cell>
        </row>
        <row r="5810">
          <cell r="K5810">
            <v>30687.19</v>
          </cell>
          <cell r="P5810" t="str">
            <v>81319101-52041499</v>
          </cell>
          <cell r="S5810" t="str">
            <v>2026A-06</v>
          </cell>
          <cell r="T5810" t="str">
            <v>Office support GH</v>
          </cell>
        </row>
        <row r="5811">
          <cell r="K5811">
            <v>78231.520000000004</v>
          </cell>
          <cell r="P5811" t="str">
            <v>81319101-52041499</v>
          </cell>
          <cell r="S5811" t="str">
            <v>2026A-06</v>
          </cell>
          <cell r="T5811" t="str">
            <v>Office support GH</v>
          </cell>
        </row>
        <row r="5812">
          <cell r="K5812">
            <v>447507.21</v>
          </cell>
          <cell r="P5812" t="str">
            <v>81124101-52952103</v>
          </cell>
          <cell r="S5812" t="str">
            <v>2026A-06</v>
          </cell>
          <cell r="T5812" t="str">
            <v>M365</v>
          </cell>
        </row>
        <row r="5813">
          <cell r="K5813">
            <v>447507.21</v>
          </cell>
          <cell r="P5813" t="str">
            <v>81124101-52952103</v>
          </cell>
          <cell r="S5813" t="str">
            <v>2026A-06</v>
          </cell>
          <cell r="T5813" t="str">
            <v>M365</v>
          </cell>
        </row>
        <row r="5814">
          <cell r="K5814">
            <v>254573.96</v>
          </cell>
          <cell r="P5814" t="str">
            <v>81111101-52121303</v>
          </cell>
          <cell r="S5814" t="str">
            <v>2026A-06</v>
          </cell>
          <cell r="T5814" t="str">
            <v>HMO</v>
          </cell>
        </row>
        <row r="5815">
          <cell r="K5815">
            <v>62628.57</v>
          </cell>
          <cell r="P5815" t="str">
            <v>81124101-52952103</v>
          </cell>
          <cell r="S5815" t="str">
            <v>2026A-06</v>
          </cell>
          <cell r="T5815" t="str">
            <v>M365 Extra Storage</v>
          </cell>
        </row>
        <row r="5816">
          <cell r="K5816">
            <v>73422.720000000001</v>
          </cell>
          <cell r="P5816" t="str">
            <v>81124101-52952103</v>
          </cell>
          <cell r="S5816" t="str">
            <v>2026A-06</v>
          </cell>
          <cell r="T5816" t="str">
            <v>WAF</v>
          </cell>
        </row>
        <row r="5817">
          <cell r="K5817">
            <v>39285.71</v>
          </cell>
          <cell r="P5817" t="str">
            <v>81124101-52952103</v>
          </cell>
          <cell r="S5817" t="str">
            <v>2026A-06</v>
          </cell>
          <cell r="T5817" t="str">
            <v>Datrium</v>
          </cell>
        </row>
        <row r="5818">
          <cell r="K5818">
            <v>25660.71</v>
          </cell>
          <cell r="P5818" t="str">
            <v>81124101-52952103</v>
          </cell>
          <cell r="S5818" t="str">
            <v>2026A-06</v>
          </cell>
          <cell r="T5818" t="str">
            <v>SonicWall Firewall Security</v>
          </cell>
        </row>
        <row r="5819">
          <cell r="K5819">
            <v>48771.32</v>
          </cell>
          <cell r="P5819" t="str">
            <v>81124101-52952103</v>
          </cell>
          <cell r="S5819" t="str">
            <v>2026A-06</v>
          </cell>
          <cell r="T5819" t="str">
            <v>Palo Alto</v>
          </cell>
        </row>
        <row r="5820">
          <cell r="K5820">
            <v>20876.189999999999</v>
          </cell>
          <cell r="P5820" t="str">
            <v>81124101-52952103</v>
          </cell>
          <cell r="S5820" t="str">
            <v>2026A-06</v>
          </cell>
          <cell r="T5820" t="str">
            <v>M365 Extra Storage</v>
          </cell>
        </row>
        <row r="5821">
          <cell r="K5821">
            <v>19223.330000000002</v>
          </cell>
          <cell r="P5821" t="str">
            <v>81124101-52952103</v>
          </cell>
          <cell r="S5821" t="str">
            <v>2026A-06</v>
          </cell>
          <cell r="T5821" t="str">
            <v>SDWAN ES TS GH</v>
          </cell>
        </row>
        <row r="5822">
          <cell r="K5822">
            <v>15557.36</v>
          </cell>
          <cell r="P5822" t="str">
            <v>81124101-52952103</v>
          </cell>
          <cell r="S5822" t="str">
            <v>2026A-06</v>
          </cell>
          <cell r="T5822" t="str">
            <v>HPE Server Maintenance</v>
          </cell>
        </row>
        <row r="5823">
          <cell r="K5823">
            <v>44642.86</v>
          </cell>
          <cell r="P5823" t="str">
            <v>81124101-52952103</v>
          </cell>
          <cell r="S5823" t="str">
            <v>2026A-06</v>
          </cell>
          <cell r="T5823" t="str">
            <v>Acronis</v>
          </cell>
        </row>
        <row r="5824">
          <cell r="K5824">
            <v>8900.91</v>
          </cell>
          <cell r="P5824" t="str">
            <v>81124101-52952103</v>
          </cell>
          <cell r="S5824" t="str">
            <v>2026A-06</v>
          </cell>
          <cell r="T5824" t="str">
            <v>Web Hosting</v>
          </cell>
        </row>
        <row r="5825">
          <cell r="K5825">
            <v>8272.5</v>
          </cell>
          <cell r="P5825" t="str">
            <v>81111101-52121301</v>
          </cell>
          <cell r="S5825" t="str">
            <v>2026A-06</v>
          </cell>
          <cell r="T5825" t="str">
            <v>Life Insurance</v>
          </cell>
        </row>
        <row r="5826">
          <cell r="K5826">
            <v>20203.89</v>
          </cell>
          <cell r="P5826" t="str">
            <v>81124101-52952103</v>
          </cell>
          <cell r="S5826" t="str">
            <v>2026A-06</v>
          </cell>
          <cell r="T5826" t="str">
            <v>Aircuve</v>
          </cell>
        </row>
        <row r="5827">
          <cell r="K5827">
            <v>4635.42</v>
          </cell>
          <cell r="P5827" t="str">
            <v>81111101-52121303</v>
          </cell>
          <cell r="S5827" t="str">
            <v>2026A-06</v>
          </cell>
          <cell r="T5827" t="str">
            <v>HMO</v>
          </cell>
        </row>
        <row r="5828">
          <cell r="K5828">
            <v>4635.42</v>
          </cell>
          <cell r="P5828" t="str">
            <v>81111101-52121303</v>
          </cell>
          <cell r="S5828" t="str">
            <v>2026A-06</v>
          </cell>
          <cell r="T5828" t="str">
            <v>HMO</v>
          </cell>
        </row>
        <row r="5829">
          <cell r="K5829">
            <v>4635.42</v>
          </cell>
          <cell r="P5829" t="str">
            <v>81111101-52121303</v>
          </cell>
          <cell r="S5829" t="str">
            <v>2026A-06</v>
          </cell>
          <cell r="T5829" t="str">
            <v>HMO</v>
          </cell>
        </row>
        <row r="5830">
          <cell r="K5830">
            <v>4635.42</v>
          </cell>
          <cell r="P5830" t="str">
            <v>81111101-52121303</v>
          </cell>
          <cell r="S5830" t="str">
            <v>2026A-06</v>
          </cell>
          <cell r="T5830" t="str">
            <v>HMO</v>
          </cell>
        </row>
        <row r="5831">
          <cell r="K5831">
            <v>4635.42</v>
          </cell>
          <cell r="P5831" t="str">
            <v>81111101-52121303</v>
          </cell>
          <cell r="S5831" t="str">
            <v>2026A-06</v>
          </cell>
          <cell r="T5831" t="str">
            <v>HMO</v>
          </cell>
        </row>
        <row r="5832">
          <cell r="K5832">
            <v>4635.42</v>
          </cell>
          <cell r="P5832" t="str">
            <v>81111101-52121303</v>
          </cell>
          <cell r="S5832" t="str">
            <v>2026A-06</v>
          </cell>
          <cell r="T5832" t="str">
            <v>HMO</v>
          </cell>
        </row>
        <row r="5833">
          <cell r="K5833">
            <v>4021.12</v>
          </cell>
          <cell r="P5833" t="str">
            <v>81111101-52031101</v>
          </cell>
          <cell r="S5833" t="str">
            <v>2026A-06</v>
          </cell>
          <cell r="T5833" t="str">
            <v>Other Taxes</v>
          </cell>
        </row>
        <row r="5834">
          <cell r="K5834">
            <v>1151.92</v>
          </cell>
          <cell r="P5834" t="str">
            <v>81111101-52101105</v>
          </cell>
          <cell r="S5834" t="str">
            <v>2026A-06</v>
          </cell>
          <cell r="T5834" t="str">
            <v>PTS</v>
          </cell>
        </row>
        <row r="5835">
          <cell r="K5835">
            <v>11078.05</v>
          </cell>
          <cell r="P5835" t="str">
            <v>81111101-52101101</v>
          </cell>
          <cell r="S5835" t="str">
            <v>2026A-06</v>
          </cell>
          <cell r="T5835" t="str">
            <v>PARI</v>
          </cell>
        </row>
        <row r="5836">
          <cell r="K5836">
            <v>65425.22</v>
          </cell>
          <cell r="P5836" t="str">
            <v>81111101-52041401</v>
          </cell>
          <cell r="S5836" t="str">
            <v>2026A-06</v>
          </cell>
          <cell r="T5836" t="str">
            <v>Security HQ</v>
          </cell>
        </row>
        <row r="5837">
          <cell r="K5837">
            <v>13083.99</v>
          </cell>
          <cell r="P5837" t="str">
            <v>81111101-52041401</v>
          </cell>
          <cell r="S5837" t="str">
            <v>2026A-06</v>
          </cell>
          <cell r="T5837" t="str">
            <v>Security HQ</v>
          </cell>
        </row>
        <row r="5838">
          <cell r="K5838">
            <v>52629.14</v>
          </cell>
          <cell r="P5838" t="str">
            <v>81111101-52041401</v>
          </cell>
          <cell r="S5838" t="str">
            <v>2026A-06</v>
          </cell>
          <cell r="T5838" t="str">
            <v>Security HQ</v>
          </cell>
        </row>
        <row r="5839">
          <cell r="K5839">
            <v>10525.04</v>
          </cell>
          <cell r="P5839" t="str">
            <v>81111101-52041401</v>
          </cell>
          <cell r="S5839" t="str">
            <v>2026A-06</v>
          </cell>
          <cell r="T5839" t="str">
            <v>Security HQ</v>
          </cell>
        </row>
        <row r="5840">
          <cell r="K5840">
            <v>65425.22</v>
          </cell>
          <cell r="P5840" t="str">
            <v>81111101-52041401</v>
          </cell>
          <cell r="S5840" t="str">
            <v>2026A-06</v>
          </cell>
          <cell r="T5840" t="str">
            <v>Security HQ</v>
          </cell>
        </row>
        <row r="5841">
          <cell r="K5841">
            <v>13083.99</v>
          </cell>
          <cell r="P5841" t="str">
            <v>81111101-52041401</v>
          </cell>
          <cell r="S5841" t="str">
            <v>2026A-06</v>
          </cell>
          <cell r="T5841" t="str">
            <v>Security HQ</v>
          </cell>
        </row>
        <row r="5842">
          <cell r="K5842">
            <v>52556.9</v>
          </cell>
          <cell r="P5842" t="str">
            <v>81111101-52041401</v>
          </cell>
          <cell r="S5842" t="str">
            <v>2026A-06</v>
          </cell>
          <cell r="T5842" t="str">
            <v>Security HQ</v>
          </cell>
        </row>
        <row r="5843">
          <cell r="K5843">
            <v>10510.58</v>
          </cell>
          <cell r="P5843" t="str">
            <v>81111101-52041401</v>
          </cell>
          <cell r="S5843" t="str">
            <v>2026A-06</v>
          </cell>
          <cell r="T5843" t="str">
            <v>Security HQ</v>
          </cell>
        </row>
        <row r="5844">
          <cell r="K5844">
            <v>24344.49</v>
          </cell>
          <cell r="P5844" t="str">
            <v>81111101-52041405</v>
          </cell>
          <cell r="S5844" t="str">
            <v>2026A-06</v>
          </cell>
          <cell r="T5844" t="str">
            <v>Janitorial (H&amp;K)</v>
          </cell>
        </row>
        <row r="5845">
          <cell r="K5845">
            <v>2142.09</v>
          </cell>
          <cell r="P5845" t="str">
            <v>81111101-52041499</v>
          </cell>
          <cell r="S5845" t="str">
            <v>2026A-06</v>
          </cell>
          <cell r="T5845" t="str">
            <v>Admin Staff (H&amp;K)</v>
          </cell>
        </row>
        <row r="5846">
          <cell r="K5846">
            <v>1466.29</v>
          </cell>
          <cell r="P5846" t="str">
            <v>81111101-52041499</v>
          </cell>
          <cell r="S5846" t="str">
            <v>2026A-06</v>
          </cell>
          <cell r="T5846" t="str">
            <v>Admin Staff (H&amp;K)</v>
          </cell>
        </row>
        <row r="5847">
          <cell r="K5847">
            <v>24798.07</v>
          </cell>
          <cell r="P5847" t="str">
            <v>81111101-52041405</v>
          </cell>
          <cell r="S5847" t="str">
            <v>2026A-06</v>
          </cell>
          <cell r="T5847" t="str">
            <v>Janitorial (H&amp;K)</v>
          </cell>
        </row>
        <row r="5848">
          <cell r="K5848">
            <v>6946.44</v>
          </cell>
          <cell r="P5848" t="str">
            <v>81111101-52041499</v>
          </cell>
          <cell r="S5848" t="str">
            <v>2026A-06</v>
          </cell>
          <cell r="T5848" t="str">
            <v>Admin Staff (H&amp;K)</v>
          </cell>
        </row>
        <row r="5849">
          <cell r="K5849">
            <v>2217.38</v>
          </cell>
          <cell r="P5849" t="str">
            <v>81111101-52041499</v>
          </cell>
          <cell r="S5849" t="str">
            <v>2026A-06</v>
          </cell>
          <cell r="T5849" t="str">
            <v>Admin Staff (H&amp;K)</v>
          </cell>
        </row>
        <row r="5850">
          <cell r="K5850">
            <v>24581.99</v>
          </cell>
          <cell r="P5850" t="str">
            <v>81111101-52041405</v>
          </cell>
          <cell r="S5850" t="str">
            <v>2026A-06</v>
          </cell>
          <cell r="T5850" t="str">
            <v>Janitorial (H&amp;K)</v>
          </cell>
        </row>
        <row r="5851">
          <cell r="K5851">
            <v>24581.99</v>
          </cell>
          <cell r="P5851" t="str">
            <v>81111101-52041499</v>
          </cell>
          <cell r="S5851" t="str">
            <v>2026A-06</v>
          </cell>
          <cell r="T5851" t="str">
            <v>Admin Staff (H&amp;K)</v>
          </cell>
        </row>
        <row r="5852">
          <cell r="K5852">
            <v>20917.75</v>
          </cell>
          <cell r="P5852" t="str">
            <v>81111101-52041499</v>
          </cell>
          <cell r="S5852" t="str">
            <v>2026A-06</v>
          </cell>
          <cell r="T5852" t="str">
            <v>Admin Staff (H&amp;K)</v>
          </cell>
        </row>
        <row r="5853">
          <cell r="K5853">
            <v>57308.44</v>
          </cell>
          <cell r="P5853" t="str">
            <v>81111101-52041405</v>
          </cell>
          <cell r="S5853" t="str">
            <v>2026A-06</v>
          </cell>
          <cell r="T5853" t="str">
            <v>Janitorial (S1)</v>
          </cell>
        </row>
        <row r="5854">
          <cell r="K5854">
            <v>82000</v>
          </cell>
          <cell r="P5854" t="str">
            <v>81111101-52041401</v>
          </cell>
          <cell r="S5854" t="str">
            <v>2026A-06</v>
          </cell>
          <cell r="T5854" t="str">
            <v>Security HQ</v>
          </cell>
        </row>
        <row r="5855">
          <cell r="K5855">
            <v>16000</v>
          </cell>
          <cell r="P5855" t="str">
            <v>81111101-52041401</v>
          </cell>
          <cell r="S5855" t="str">
            <v>2026A-06</v>
          </cell>
          <cell r="T5855" t="str">
            <v>Security HQ</v>
          </cell>
        </row>
        <row r="5856">
          <cell r="K5856">
            <v>26526.54</v>
          </cell>
          <cell r="P5856" t="str">
            <v>81111101-52041495</v>
          </cell>
          <cell r="S5856" t="str">
            <v>2026A-06</v>
          </cell>
          <cell r="T5856" t="str">
            <v>BTs</v>
          </cell>
        </row>
        <row r="5857">
          <cell r="K5857">
            <v>46072.84</v>
          </cell>
          <cell r="P5857" t="str">
            <v>81111101-52041499</v>
          </cell>
          <cell r="S5857" t="str">
            <v>2026A-06</v>
          </cell>
          <cell r="T5857" t="str">
            <v>Admin Staff (TAHJ)</v>
          </cell>
        </row>
        <row r="5858">
          <cell r="K5858">
            <v>185132.86</v>
          </cell>
          <cell r="P5858" t="str">
            <v>81111101-52041405</v>
          </cell>
          <cell r="S5858" t="str">
            <v>2026A-06</v>
          </cell>
          <cell r="T5858" t="str">
            <v>Janitorial (SFI)</v>
          </cell>
        </row>
        <row r="5859">
          <cell r="K5859">
            <v>170204.62</v>
          </cell>
          <cell r="P5859" t="str">
            <v>81111101-52041499</v>
          </cell>
          <cell r="S5859" t="str">
            <v>2026A-06</v>
          </cell>
          <cell r="T5859" t="str">
            <v>Admin Staff (SFI)</v>
          </cell>
        </row>
        <row r="5860">
          <cell r="K5860">
            <v>146000</v>
          </cell>
          <cell r="P5860" t="str">
            <v>81111101-52041495</v>
          </cell>
          <cell r="S5860" t="str">
            <v>2026A-06</v>
          </cell>
          <cell r="T5860" t="str">
            <v>BTs</v>
          </cell>
        </row>
        <row r="5861">
          <cell r="K5861">
            <v>146000</v>
          </cell>
          <cell r="P5861" t="str">
            <v>81111101-52041495</v>
          </cell>
          <cell r="S5861" t="str">
            <v>2026A-06</v>
          </cell>
          <cell r="T5861" t="str">
            <v>BTs</v>
          </cell>
        </row>
        <row r="5862">
          <cell r="K5862">
            <v>146000</v>
          </cell>
          <cell r="P5862" t="str">
            <v>81111101-52041495</v>
          </cell>
          <cell r="S5862" t="str">
            <v>2026A-06</v>
          </cell>
          <cell r="T5862" t="str">
            <v>BTs</v>
          </cell>
        </row>
        <row r="5863">
          <cell r="K5863">
            <v>24000</v>
          </cell>
          <cell r="P5863" t="str">
            <v>81111101-52041405</v>
          </cell>
          <cell r="S5863" t="str">
            <v>2026A-06</v>
          </cell>
          <cell r="T5863" t="str">
            <v>Janitorial (SFI)</v>
          </cell>
        </row>
        <row r="5864">
          <cell r="K5864">
            <v>305000</v>
          </cell>
          <cell r="P5864" t="str">
            <v>81111101-52041495</v>
          </cell>
          <cell r="S5864" t="str">
            <v>2026A-06</v>
          </cell>
          <cell r="T5864" t="str">
            <v>BTs</v>
          </cell>
        </row>
        <row r="5865">
          <cell r="K5865">
            <v>24000</v>
          </cell>
          <cell r="P5865" t="str">
            <v>81111101-52041405</v>
          </cell>
          <cell r="S5865" t="str">
            <v>2026A-06</v>
          </cell>
          <cell r="T5865" t="str">
            <v>Janitorial (SFI)</v>
          </cell>
        </row>
        <row r="5866">
          <cell r="K5866">
            <v>305000</v>
          </cell>
          <cell r="P5866" t="str">
            <v>81111101-52041495</v>
          </cell>
          <cell r="S5866" t="str">
            <v>2026A-06</v>
          </cell>
          <cell r="T5866" t="str">
            <v>BTs</v>
          </cell>
        </row>
        <row r="5867">
          <cell r="K5867">
            <v>5300</v>
          </cell>
          <cell r="P5867" t="str">
            <v>81111101-52031101</v>
          </cell>
          <cell r="S5867" t="str">
            <v>2026A-06</v>
          </cell>
          <cell r="T5867" t="str">
            <v>Other Taxes</v>
          </cell>
        </row>
        <row r="5868">
          <cell r="K5868">
            <v>60</v>
          </cell>
          <cell r="P5868" t="str">
            <v>90111101-61031101</v>
          </cell>
          <cell r="S5868" t="str">
            <v>2026A-07</v>
          </cell>
          <cell r="T5868" t="str">
            <v>DST</v>
          </cell>
        </row>
        <row r="5869">
          <cell r="K5869">
            <v>2473.21</v>
          </cell>
          <cell r="P5869" t="str">
            <v>80123102-61061104</v>
          </cell>
          <cell r="S5869" t="str">
            <v>2026A-07</v>
          </cell>
          <cell r="T5869" t="str">
            <v>R&amp;M Vehicle</v>
          </cell>
        </row>
        <row r="5870">
          <cell r="K5870">
            <v>1615</v>
          </cell>
          <cell r="P5870" t="str">
            <v>80122101-61021316</v>
          </cell>
          <cell r="S5870" t="str">
            <v>2026A-07</v>
          </cell>
          <cell r="T5870" t="str">
            <v>Pre-Employment Medical Exams</v>
          </cell>
        </row>
        <row r="5871">
          <cell r="K5871">
            <v>125</v>
          </cell>
          <cell r="P5871" t="str">
            <v>80122101-61021316</v>
          </cell>
          <cell r="S5871" t="str">
            <v>2026A-07</v>
          </cell>
          <cell r="T5871" t="str">
            <v>Pre-Employment Medical Exams</v>
          </cell>
        </row>
        <row r="5872">
          <cell r="K5872">
            <v>8679.3799999999992</v>
          </cell>
          <cell r="P5872" t="str">
            <v>90111101-61021206</v>
          </cell>
          <cell r="S5872" t="str">
            <v>2026A-07</v>
          </cell>
          <cell r="T5872" t="str">
            <v>OJT</v>
          </cell>
        </row>
        <row r="5873">
          <cell r="K5873">
            <v>9554.3799999999992</v>
          </cell>
          <cell r="P5873" t="str">
            <v>90111101-61021206</v>
          </cell>
          <cell r="S5873" t="str">
            <v>2026A-07</v>
          </cell>
          <cell r="T5873" t="str">
            <v>OJT</v>
          </cell>
        </row>
        <row r="5874">
          <cell r="K5874">
            <v>1615</v>
          </cell>
          <cell r="P5874" t="str">
            <v>80122101-61021316</v>
          </cell>
          <cell r="S5874" t="str">
            <v>2026A-07</v>
          </cell>
          <cell r="T5874" t="str">
            <v>Pre-Employment Medical Exams</v>
          </cell>
        </row>
        <row r="5875">
          <cell r="K5875">
            <v>125</v>
          </cell>
          <cell r="P5875" t="str">
            <v>80122101-61021316</v>
          </cell>
          <cell r="S5875" t="str">
            <v>2026A-07</v>
          </cell>
          <cell r="T5875" t="str">
            <v>Pre-Employment Medical Exams</v>
          </cell>
        </row>
        <row r="5876">
          <cell r="K5876">
            <v>1615</v>
          </cell>
          <cell r="P5876" t="str">
            <v>80122101-61021316</v>
          </cell>
          <cell r="S5876" t="str">
            <v>2026A-07</v>
          </cell>
          <cell r="T5876" t="str">
            <v>Pre-Employment Medical Exams</v>
          </cell>
        </row>
        <row r="5877">
          <cell r="K5877">
            <v>125</v>
          </cell>
          <cell r="P5877" t="str">
            <v>80122101-61021316</v>
          </cell>
          <cell r="S5877" t="str">
            <v>2026A-07</v>
          </cell>
          <cell r="T5877" t="str">
            <v>Pre-Employment Medical Exams</v>
          </cell>
        </row>
        <row r="5878">
          <cell r="K5878">
            <v>5250</v>
          </cell>
          <cell r="P5878" t="str">
            <v>81319101-52061105</v>
          </cell>
          <cell r="S5878" t="str">
            <v>2026A-07</v>
          </cell>
          <cell r="T5878" t="str">
            <v>R&amp;M - GH</v>
          </cell>
        </row>
        <row r="5879">
          <cell r="K5879">
            <v>-21737.82</v>
          </cell>
          <cell r="P5879" t="str">
            <v>81111101-52041495</v>
          </cell>
          <cell r="S5879" t="str">
            <v>2026A-07</v>
          </cell>
          <cell r="T5879" t="str">
            <v>BTs</v>
          </cell>
        </row>
        <row r="5880">
          <cell r="K5880">
            <v>55568.160000000003</v>
          </cell>
          <cell r="P5880" t="str">
            <v>81111101-52041495</v>
          </cell>
          <cell r="S5880" t="str">
            <v>2026A-07</v>
          </cell>
          <cell r="T5880" t="str">
            <v>BTs</v>
          </cell>
        </row>
        <row r="5881">
          <cell r="K5881">
            <v>-2501.71</v>
          </cell>
          <cell r="P5881" t="str">
            <v>81111101-52041495</v>
          </cell>
          <cell r="S5881" t="str">
            <v>2026A-07</v>
          </cell>
          <cell r="T5881" t="str">
            <v>BTs</v>
          </cell>
        </row>
        <row r="5882">
          <cell r="K5882">
            <v>305580.19</v>
          </cell>
          <cell r="P5882" t="str">
            <v>81111101-52041495</v>
          </cell>
          <cell r="S5882" t="str">
            <v>2026A-07</v>
          </cell>
          <cell r="T5882" t="str">
            <v>BTs</v>
          </cell>
        </row>
        <row r="5883">
          <cell r="K5883">
            <v>25003.8</v>
          </cell>
          <cell r="P5883" t="str">
            <v>81111101-52041495</v>
          </cell>
          <cell r="S5883" t="str">
            <v>2026A-07</v>
          </cell>
          <cell r="T5883" t="str">
            <v>BTs</v>
          </cell>
        </row>
        <row r="5884">
          <cell r="K5884">
            <v>2155.5</v>
          </cell>
          <cell r="P5884" t="str">
            <v>81111101-52041495</v>
          </cell>
          <cell r="S5884" t="str">
            <v>2026A-07</v>
          </cell>
          <cell r="T5884" t="str">
            <v>BTs</v>
          </cell>
        </row>
        <row r="5885">
          <cell r="K5885">
            <v>13083.99</v>
          </cell>
          <cell r="P5885" t="str">
            <v>81123102-52041401</v>
          </cell>
          <cell r="S5885" t="str">
            <v>2026A-07</v>
          </cell>
          <cell r="T5885" t="str">
            <v>Security HQ</v>
          </cell>
        </row>
        <row r="5886">
          <cell r="K5886">
            <v>65425.22</v>
          </cell>
          <cell r="P5886" t="str">
            <v>81123102-52041401</v>
          </cell>
          <cell r="S5886" t="str">
            <v>2026A-07</v>
          </cell>
          <cell r="T5886" t="str">
            <v>Security HQ</v>
          </cell>
        </row>
        <row r="5887">
          <cell r="K5887">
            <v>6000</v>
          </cell>
          <cell r="P5887" t="str">
            <v>81123101-52071102</v>
          </cell>
          <cell r="S5887" t="str">
            <v>2026A-07</v>
          </cell>
          <cell r="T5887" t="str">
            <v>Open Cases</v>
          </cell>
        </row>
        <row r="5888">
          <cell r="K5888">
            <v>1350</v>
          </cell>
          <cell r="P5888" t="str">
            <v>81123101-52071102</v>
          </cell>
          <cell r="S5888" t="str">
            <v>2026A-07</v>
          </cell>
          <cell r="T5888" t="str">
            <v>Open Cases</v>
          </cell>
        </row>
        <row r="5889">
          <cell r="K5889">
            <v>3600</v>
          </cell>
          <cell r="P5889" t="str">
            <v>81122101-52121402</v>
          </cell>
          <cell r="S5889" t="str">
            <v>2026A-07</v>
          </cell>
          <cell r="T5889" t="str">
            <v>Drinking Water</v>
          </cell>
        </row>
        <row r="5890">
          <cell r="K5890">
            <v>3320</v>
          </cell>
          <cell r="P5890" t="str">
            <v>81122101-52121402</v>
          </cell>
          <cell r="S5890" t="str">
            <v>2026A-07</v>
          </cell>
          <cell r="T5890" t="str">
            <v>Drinking Water</v>
          </cell>
        </row>
        <row r="5891">
          <cell r="K5891">
            <v>3600</v>
          </cell>
          <cell r="P5891" t="str">
            <v>81122101-52121402</v>
          </cell>
          <cell r="S5891" t="str">
            <v>2026A-07</v>
          </cell>
          <cell r="T5891" t="str">
            <v>Drinking Water</v>
          </cell>
        </row>
        <row r="5892">
          <cell r="K5892">
            <v>4720</v>
          </cell>
          <cell r="P5892" t="str">
            <v>81122101-52121402</v>
          </cell>
          <cell r="S5892" t="str">
            <v>2026A-07</v>
          </cell>
          <cell r="T5892" t="str">
            <v>Drinking Water</v>
          </cell>
        </row>
        <row r="5893">
          <cell r="K5893">
            <v>3800</v>
          </cell>
          <cell r="P5893" t="str">
            <v>81122101-52121402</v>
          </cell>
          <cell r="S5893" t="str">
            <v>2026A-07</v>
          </cell>
          <cell r="T5893" t="str">
            <v>Drinking Water</v>
          </cell>
        </row>
        <row r="5894">
          <cell r="K5894">
            <v>206</v>
          </cell>
          <cell r="P5894" t="str">
            <v>81319101-52111101</v>
          </cell>
          <cell r="S5894" t="str">
            <v>2026A-07</v>
          </cell>
          <cell r="T5894" t="str">
            <v>ES</v>
          </cell>
        </row>
        <row r="5895">
          <cell r="K5895">
            <v>2250</v>
          </cell>
          <cell r="P5895" t="str">
            <v>81123101-52071102</v>
          </cell>
          <cell r="S5895" t="str">
            <v>2026A-07</v>
          </cell>
          <cell r="T5895" t="str">
            <v>Open Cases</v>
          </cell>
        </row>
        <row r="5896">
          <cell r="K5896">
            <v>-39802.61</v>
          </cell>
          <cell r="P5896" t="str">
            <v>80123102-61721101</v>
          </cell>
          <cell r="S5896" t="str">
            <v>2026A-07</v>
          </cell>
          <cell r="T5896" t="str">
            <v>Mobile Phones</v>
          </cell>
        </row>
        <row r="5897">
          <cell r="K5897">
            <v>-21816.77</v>
          </cell>
          <cell r="P5897" t="str">
            <v>81111101-52041405</v>
          </cell>
          <cell r="S5897" t="str">
            <v>2026A-07</v>
          </cell>
          <cell r="T5897" t="str">
            <v>Janitorial (H&amp;K)</v>
          </cell>
        </row>
        <row r="5898">
          <cell r="K5898">
            <v>-6311.04</v>
          </cell>
          <cell r="P5898" t="str">
            <v>81111101-52041499</v>
          </cell>
          <cell r="S5898" t="str">
            <v>2026A-07</v>
          </cell>
          <cell r="T5898" t="str">
            <v>Admin Staff (H&amp;K)</v>
          </cell>
        </row>
        <row r="5899">
          <cell r="K5899">
            <v>-1298.6400000000001</v>
          </cell>
          <cell r="P5899" t="str">
            <v>81111101-52041499</v>
          </cell>
          <cell r="S5899" t="str">
            <v>2026A-07</v>
          </cell>
          <cell r="T5899" t="str">
            <v>Admin Staff (H&amp;K)</v>
          </cell>
        </row>
        <row r="5900">
          <cell r="K5900">
            <v>-2155.5</v>
          </cell>
          <cell r="P5900" t="str">
            <v>81111101-52041405</v>
          </cell>
          <cell r="S5900" t="str">
            <v>2026A-07</v>
          </cell>
          <cell r="T5900" t="str">
            <v>Janitorial (SFI)</v>
          </cell>
        </row>
        <row r="5901">
          <cell r="K5901">
            <v>-31328.63</v>
          </cell>
          <cell r="P5901" t="str">
            <v>81111101-52041495</v>
          </cell>
          <cell r="S5901" t="str">
            <v>2026A-07</v>
          </cell>
          <cell r="T5901" t="str">
            <v>BTs</v>
          </cell>
        </row>
        <row r="5902">
          <cell r="K5902">
            <v>-42066.52</v>
          </cell>
          <cell r="P5902" t="str">
            <v>81111101-52041499</v>
          </cell>
          <cell r="S5902" t="str">
            <v>2026A-07</v>
          </cell>
          <cell r="T5902" t="str">
            <v>Admin Staff (TAHJ)</v>
          </cell>
        </row>
        <row r="5903">
          <cell r="K5903">
            <v>-26526.54</v>
          </cell>
          <cell r="P5903" t="str">
            <v>81111101-52041495</v>
          </cell>
          <cell r="S5903" t="str">
            <v>2026A-07</v>
          </cell>
          <cell r="T5903" t="str">
            <v>BTs</v>
          </cell>
        </row>
        <row r="5904">
          <cell r="K5904">
            <v>-24581.99</v>
          </cell>
          <cell r="P5904" t="str">
            <v>81111101-52041405</v>
          </cell>
          <cell r="S5904" t="str">
            <v>2026A-07</v>
          </cell>
          <cell r="T5904" t="str">
            <v>Janitorial (H&amp;K)</v>
          </cell>
        </row>
        <row r="5905">
          <cell r="K5905">
            <v>-24581.99</v>
          </cell>
          <cell r="P5905" t="str">
            <v>81111101-52041499</v>
          </cell>
          <cell r="S5905" t="str">
            <v>2026A-07</v>
          </cell>
          <cell r="T5905" t="str">
            <v>Admin Staff (H&amp;K)</v>
          </cell>
        </row>
        <row r="5906">
          <cell r="K5906">
            <v>-20917.75</v>
          </cell>
          <cell r="P5906" t="str">
            <v>81111101-52041499</v>
          </cell>
          <cell r="S5906" t="str">
            <v>2026A-07</v>
          </cell>
          <cell r="T5906" t="str">
            <v>Admin Staff (H&amp;K)</v>
          </cell>
        </row>
        <row r="5907">
          <cell r="K5907">
            <v>-24581.99</v>
          </cell>
          <cell r="P5907" t="str">
            <v>81111101-52041405</v>
          </cell>
          <cell r="S5907" t="str">
            <v>2026A-07</v>
          </cell>
          <cell r="T5907" t="str">
            <v>Janitorial (H&amp;K)</v>
          </cell>
        </row>
        <row r="5908">
          <cell r="K5908">
            <v>-24581.99</v>
          </cell>
          <cell r="P5908" t="str">
            <v>81111101-52041499</v>
          </cell>
          <cell r="S5908" t="str">
            <v>2026A-07</v>
          </cell>
          <cell r="T5908" t="str">
            <v>Admin Staff (H&amp;K)</v>
          </cell>
        </row>
        <row r="5909">
          <cell r="K5909">
            <v>-20917.75</v>
          </cell>
          <cell r="P5909" t="str">
            <v>81111101-52041499</v>
          </cell>
          <cell r="S5909" t="str">
            <v>2026A-07</v>
          </cell>
          <cell r="T5909" t="str">
            <v>Admin Staff (H&amp;K)</v>
          </cell>
        </row>
        <row r="5910">
          <cell r="K5910">
            <v>-14719.29</v>
          </cell>
          <cell r="P5910" t="str">
            <v>81111101-52041405</v>
          </cell>
          <cell r="S5910" t="str">
            <v>2026A-07</v>
          </cell>
          <cell r="T5910" t="str">
            <v>Janitorial (H&amp;K)</v>
          </cell>
        </row>
        <row r="5911">
          <cell r="K5911">
            <v>-1926.02</v>
          </cell>
          <cell r="P5911" t="str">
            <v>81111101-52041499</v>
          </cell>
          <cell r="S5911" t="str">
            <v>2026A-07</v>
          </cell>
          <cell r="T5911" t="str">
            <v>Admin Staff (H&amp;K)</v>
          </cell>
        </row>
        <row r="5912">
          <cell r="K5912">
            <v>-3129.39</v>
          </cell>
          <cell r="P5912" t="str">
            <v>81111101-52041499</v>
          </cell>
          <cell r="S5912" t="str">
            <v>2026A-07</v>
          </cell>
          <cell r="T5912" t="str">
            <v>Admin Staff (H&amp;K)</v>
          </cell>
        </row>
        <row r="5913">
          <cell r="K5913">
            <v>-24581.99</v>
          </cell>
          <cell r="P5913" t="str">
            <v>81111101-52041405</v>
          </cell>
          <cell r="S5913" t="str">
            <v>2026A-07</v>
          </cell>
          <cell r="T5913" t="str">
            <v>Janitorial (H&amp;K)</v>
          </cell>
        </row>
        <row r="5914">
          <cell r="K5914">
            <v>-24581.99</v>
          </cell>
          <cell r="P5914" t="str">
            <v>81111101-52041499</v>
          </cell>
          <cell r="S5914" t="str">
            <v>2026A-07</v>
          </cell>
          <cell r="T5914" t="str">
            <v>Admin Staff (H&amp;K)</v>
          </cell>
        </row>
        <row r="5915">
          <cell r="K5915">
            <v>-20917.75</v>
          </cell>
          <cell r="P5915" t="str">
            <v>81111101-52041499</v>
          </cell>
          <cell r="S5915" t="str">
            <v>2026A-07</v>
          </cell>
          <cell r="T5915" t="str">
            <v>Admin Staff (H&amp;K)</v>
          </cell>
        </row>
        <row r="5916">
          <cell r="K5916">
            <v>-24557.31</v>
          </cell>
          <cell r="P5916" t="str">
            <v>81111101-52041405</v>
          </cell>
          <cell r="S5916" t="str">
            <v>2026A-07</v>
          </cell>
          <cell r="T5916" t="str">
            <v>Janitorial (SFI)</v>
          </cell>
        </row>
        <row r="5917">
          <cell r="K5917">
            <v>-305580.19</v>
          </cell>
          <cell r="P5917" t="str">
            <v>81111101-52041495</v>
          </cell>
          <cell r="S5917" t="str">
            <v>2026A-07</v>
          </cell>
          <cell r="T5917" t="str">
            <v>BTs</v>
          </cell>
        </row>
        <row r="5918">
          <cell r="K5918">
            <v>-45670.65</v>
          </cell>
          <cell r="P5918" t="str">
            <v>81111101-52041405</v>
          </cell>
          <cell r="S5918" t="str">
            <v>2026A-07</v>
          </cell>
          <cell r="T5918" t="str">
            <v>Janitorial (SFI)</v>
          </cell>
        </row>
        <row r="5919">
          <cell r="K5919">
            <v>-8299.25</v>
          </cell>
          <cell r="P5919" t="str">
            <v>81111101-52041499</v>
          </cell>
          <cell r="S5919" t="str">
            <v>2026A-07</v>
          </cell>
          <cell r="T5919" t="str">
            <v>Admin Staff (SFI)</v>
          </cell>
        </row>
        <row r="5920">
          <cell r="K5920">
            <v>-11398.76</v>
          </cell>
          <cell r="P5920" t="str">
            <v>81111101-52101101</v>
          </cell>
          <cell r="S5920" t="str">
            <v>2026A-07</v>
          </cell>
          <cell r="T5920" t="str">
            <v>PARI</v>
          </cell>
        </row>
        <row r="5921">
          <cell r="K5921">
            <v>65425.22</v>
          </cell>
          <cell r="P5921" t="str">
            <v>81123102-52041401</v>
          </cell>
          <cell r="S5921" t="str">
            <v>2026A-07</v>
          </cell>
          <cell r="T5921" t="str">
            <v>Security HQ</v>
          </cell>
        </row>
        <row r="5922">
          <cell r="K5922">
            <v>10525.05</v>
          </cell>
          <cell r="P5922" t="str">
            <v>81123102-52041401</v>
          </cell>
          <cell r="S5922" t="str">
            <v>2026A-07</v>
          </cell>
          <cell r="T5922" t="str">
            <v>Security HQ</v>
          </cell>
        </row>
        <row r="5923">
          <cell r="K5923">
            <v>52629.14</v>
          </cell>
          <cell r="P5923" t="str">
            <v>81123102-52041401</v>
          </cell>
          <cell r="S5923" t="str">
            <v>2026A-07</v>
          </cell>
          <cell r="T5923" t="str">
            <v>Security HQ</v>
          </cell>
        </row>
        <row r="5924">
          <cell r="K5924">
            <v>96819.16</v>
          </cell>
          <cell r="P5924" t="str">
            <v>81111101-52041495</v>
          </cell>
          <cell r="S5924" t="str">
            <v>2026A-07</v>
          </cell>
          <cell r="T5924" t="str">
            <v>BTs</v>
          </cell>
        </row>
        <row r="5925">
          <cell r="K5925">
            <v>230568.75</v>
          </cell>
          <cell r="P5925" t="str">
            <v>81111101-52041495</v>
          </cell>
          <cell r="S5925" t="str">
            <v>2026A-07</v>
          </cell>
          <cell r="T5925" t="str">
            <v>BTs</v>
          </cell>
        </row>
        <row r="5926">
          <cell r="K5926">
            <v>-26904.2</v>
          </cell>
          <cell r="P5926" t="str">
            <v>81111101-52041495</v>
          </cell>
          <cell r="S5926" t="str">
            <v>2026A-07</v>
          </cell>
          <cell r="T5926" t="str">
            <v>BTs</v>
          </cell>
        </row>
        <row r="5927">
          <cell r="K5927">
            <v>4348.21</v>
          </cell>
          <cell r="P5927" t="str">
            <v>81111101-52041495</v>
          </cell>
          <cell r="S5927" t="str">
            <v>2026A-07</v>
          </cell>
          <cell r="T5927" t="str">
            <v>BTs</v>
          </cell>
        </row>
        <row r="5928">
          <cell r="K5928">
            <v>-2361.8000000000002</v>
          </cell>
          <cell r="P5928" t="str">
            <v>81111101-52041495</v>
          </cell>
          <cell r="S5928" t="str">
            <v>2026A-07</v>
          </cell>
          <cell r="T5928" t="str">
            <v>BTs</v>
          </cell>
        </row>
        <row r="5929">
          <cell r="K5929">
            <v>25003.81</v>
          </cell>
          <cell r="P5929" t="str">
            <v>81111101-52041495</v>
          </cell>
          <cell r="S5929" t="str">
            <v>2026A-07</v>
          </cell>
          <cell r="T5929" t="str">
            <v>BTs</v>
          </cell>
        </row>
        <row r="5930">
          <cell r="K5930">
            <v>7069.32</v>
          </cell>
          <cell r="P5930" t="str">
            <v>81111101-52041495</v>
          </cell>
          <cell r="S5930" t="str">
            <v>2026A-07</v>
          </cell>
          <cell r="T5930" t="str">
            <v>BTs</v>
          </cell>
        </row>
        <row r="5931">
          <cell r="K5931">
            <v>13083.99</v>
          </cell>
          <cell r="P5931" t="str">
            <v>81123102-52041401</v>
          </cell>
          <cell r="S5931" t="str">
            <v>2026A-07</v>
          </cell>
          <cell r="T5931" t="str">
            <v>Security HQ</v>
          </cell>
        </row>
        <row r="5932">
          <cell r="K5932">
            <v>57308.44</v>
          </cell>
          <cell r="P5932" t="str">
            <v>81123102-52041405</v>
          </cell>
          <cell r="S5932" t="str">
            <v>2026A-07</v>
          </cell>
          <cell r="T5932" t="str">
            <v>Janitorial (S1)</v>
          </cell>
        </row>
        <row r="5933">
          <cell r="K5933">
            <v>46072.84</v>
          </cell>
          <cell r="P5933" t="str">
            <v>81123102-52041499</v>
          </cell>
          <cell r="S5933" t="str">
            <v>2026A-07</v>
          </cell>
          <cell r="T5933" t="str">
            <v>Admin Staff (TAHJ)</v>
          </cell>
        </row>
        <row r="5934">
          <cell r="K5934">
            <v>24581.99</v>
          </cell>
          <cell r="P5934" t="str">
            <v>81123102-52041405</v>
          </cell>
          <cell r="S5934" t="str">
            <v>2026A-07</v>
          </cell>
          <cell r="T5934" t="str">
            <v>Janitorial (H&amp;K)</v>
          </cell>
        </row>
        <row r="5935">
          <cell r="K5935">
            <v>24581.99</v>
          </cell>
          <cell r="P5935" t="str">
            <v>81123102-52041499</v>
          </cell>
          <cell r="S5935" t="str">
            <v>2026A-07</v>
          </cell>
          <cell r="T5935" t="str">
            <v>Admin Staff (H&amp;K)</v>
          </cell>
        </row>
        <row r="5936">
          <cell r="K5936">
            <v>20917.75</v>
          </cell>
          <cell r="P5936" t="str">
            <v>81123102-52041499</v>
          </cell>
          <cell r="S5936" t="str">
            <v>2026A-07</v>
          </cell>
          <cell r="T5936" t="str">
            <v>Admin Staff (H&amp;K)</v>
          </cell>
        </row>
        <row r="5937">
          <cell r="K5937">
            <v>24798.07</v>
          </cell>
          <cell r="P5937" t="str">
            <v>81123102-52041405</v>
          </cell>
          <cell r="S5937" t="str">
            <v>2026A-07</v>
          </cell>
          <cell r="T5937" t="str">
            <v>Janitorial (H&amp;K)</v>
          </cell>
        </row>
        <row r="5938">
          <cell r="K5938">
            <v>6946.44</v>
          </cell>
          <cell r="P5938" t="str">
            <v>81123102-52041499</v>
          </cell>
          <cell r="S5938" t="str">
            <v>2026A-07</v>
          </cell>
          <cell r="T5938" t="str">
            <v>Admin Staff (H&amp;K)</v>
          </cell>
        </row>
        <row r="5939">
          <cell r="K5939">
            <v>2217.37</v>
          </cell>
          <cell r="P5939" t="str">
            <v>81123102-52041499</v>
          </cell>
          <cell r="S5939" t="str">
            <v>2026A-07</v>
          </cell>
          <cell r="T5939" t="str">
            <v>Admin Staff (H&amp;K)</v>
          </cell>
        </row>
        <row r="5940">
          <cell r="K5940">
            <v>-10510.58</v>
          </cell>
          <cell r="P5940" t="str">
            <v>81123102-52041401</v>
          </cell>
          <cell r="S5940" t="str">
            <v>2026A-07</v>
          </cell>
          <cell r="T5940" t="str">
            <v>Security HQ</v>
          </cell>
        </row>
        <row r="5941">
          <cell r="K5941">
            <v>52556.9</v>
          </cell>
          <cell r="P5941" t="str">
            <v>81123102-52041401</v>
          </cell>
          <cell r="S5941" t="str">
            <v>2026A-07</v>
          </cell>
          <cell r="T5941" t="str">
            <v>Security HQ</v>
          </cell>
        </row>
        <row r="5942">
          <cell r="K5942">
            <v>10510.58</v>
          </cell>
          <cell r="P5942" t="str">
            <v>81123102-52041401</v>
          </cell>
          <cell r="S5942" t="str">
            <v>2026A-07</v>
          </cell>
          <cell r="T5942" t="str">
            <v>Security HQ</v>
          </cell>
        </row>
        <row r="5943">
          <cell r="K5943">
            <v>106</v>
          </cell>
          <cell r="P5943" t="str">
            <v>81122101-52121402</v>
          </cell>
          <cell r="S5943" t="str">
            <v>2026A-07</v>
          </cell>
          <cell r="T5943" t="str">
            <v>Clinic Supplies</v>
          </cell>
        </row>
        <row r="5944">
          <cell r="K5944">
            <v>10510.58</v>
          </cell>
          <cell r="P5944" t="str">
            <v>81123102-52041401</v>
          </cell>
          <cell r="S5944" t="str">
            <v>2026A-07</v>
          </cell>
          <cell r="T5944" t="str">
            <v>Security HQ</v>
          </cell>
        </row>
        <row r="5945">
          <cell r="K5945">
            <v>245535.71</v>
          </cell>
          <cell r="P5945" t="str">
            <v>81124101-52952103</v>
          </cell>
          <cell r="S5945" t="str">
            <v>2026A-07</v>
          </cell>
          <cell r="T5945" t="str">
            <v>SDWAN ES TS GH</v>
          </cell>
        </row>
        <row r="5946">
          <cell r="K5946">
            <v>-24021.919999999998</v>
          </cell>
          <cell r="P5946" t="str">
            <v>81123102-52041405</v>
          </cell>
          <cell r="S5946" t="str">
            <v>2026A-07</v>
          </cell>
          <cell r="T5946" t="str">
            <v>Janitorial (SFI)</v>
          </cell>
        </row>
        <row r="5947">
          <cell r="K5947">
            <v>39567.5</v>
          </cell>
          <cell r="P5947" t="str">
            <v>81123102-52041405</v>
          </cell>
          <cell r="S5947" t="str">
            <v>2026A-07</v>
          </cell>
          <cell r="T5947" t="str">
            <v>Janitorial (SFI)</v>
          </cell>
        </row>
        <row r="5948">
          <cell r="K5948">
            <v>-2510.1</v>
          </cell>
          <cell r="P5948" t="str">
            <v>81123102-52041405</v>
          </cell>
          <cell r="S5948" t="str">
            <v>2026A-07</v>
          </cell>
          <cell r="T5948" t="str">
            <v>Janitorial (SFI)</v>
          </cell>
        </row>
        <row r="5949">
          <cell r="K5949">
            <v>-18123.55</v>
          </cell>
          <cell r="P5949" t="str">
            <v>81123102-52041499</v>
          </cell>
          <cell r="S5949" t="str">
            <v>2026A-07</v>
          </cell>
          <cell r="T5949" t="str">
            <v>Admin Staff (SFI)</v>
          </cell>
        </row>
        <row r="5950">
          <cell r="K5950">
            <v>32680.48</v>
          </cell>
          <cell r="P5950" t="str">
            <v>81123102-52041499</v>
          </cell>
          <cell r="S5950" t="str">
            <v>2026A-07</v>
          </cell>
          <cell r="T5950" t="str">
            <v>Admin Staff (SFI)</v>
          </cell>
        </row>
        <row r="5951">
          <cell r="K5951">
            <v>-1735.79</v>
          </cell>
          <cell r="P5951" t="str">
            <v>81123102-52041499</v>
          </cell>
          <cell r="S5951" t="str">
            <v>2026A-07</v>
          </cell>
          <cell r="T5951" t="str">
            <v>Admin Staff (SFI)</v>
          </cell>
        </row>
        <row r="5952">
          <cell r="K5952">
            <v>431</v>
          </cell>
          <cell r="P5952" t="str">
            <v>81123102-52111101</v>
          </cell>
          <cell r="S5952" t="str">
            <v>2026A-07</v>
          </cell>
          <cell r="T5952" t="str">
            <v>Office Supplies - Others</v>
          </cell>
        </row>
        <row r="5953">
          <cell r="K5953">
            <v>1000</v>
          </cell>
          <cell r="P5953" t="str">
            <v>81123101-52071102</v>
          </cell>
          <cell r="S5953" t="str">
            <v>2026A-07</v>
          </cell>
          <cell r="T5953" t="str">
            <v>Open Cases</v>
          </cell>
        </row>
        <row r="5954">
          <cell r="K5954">
            <v>250</v>
          </cell>
          <cell r="P5954" t="str">
            <v>90123101-61071002</v>
          </cell>
          <cell r="S5954" t="str">
            <v>2026A-07</v>
          </cell>
          <cell r="T5954" t="str">
            <v>Notarial Fees</v>
          </cell>
        </row>
        <row r="5955">
          <cell r="K5955">
            <v>3125</v>
          </cell>
          <cell r="P5955" t="str">
            <v>80123102-61111101</v>
          </cell>
          <cell r="S5955" t="str">
            <v>2026A-07</v>
          </cell>
          <cell r="T5955" t="str">
            <v>Office Supplies - Others</v>
          </cell>
        </row>
        <row r="5956">
          <cell r="K5956">
            <v>1615</v>
          </cell>
          <cell r="P5956" t="str">
            <v>80122101-61021316</v>
          </cell>
          <cell r="S5956" t="str">
            <v>2026A-07</v>
          </cell>
          <cell r="T5956" t="str">
            <v>Pre-Employment Medical Exams</v>
          </cell>
        </row>
        <row r="5957">
          <cell r="K5957">
            <v>125</v>
          </cell>
          <cell r="P5957" t="str">
            <v>80122101-61021316</v>
          </cell>
          <cell r="S5957" t="str">
            <v>2026A-07</v>
          </cell>
          <cell r="T5957" t="str">
            <v>Pre-Employment Medical Exams</v>
          </cell>
        </row>
        <row r="5958">
          <cell r="K5958">
            <v>115000</v>
          </cell>
          <cell r="P5958" t="str">
            <v>90134102-52091103</v>
          </cell>
          <cell r="S5958" t="str">
            <v>2026A-07</v>
          </cell>
          <cell r="T5958" t="str">
            <v>BOD Meeting</v>
          </cell>
        </row>
        <row r="5959">
          <cell r="K5959">
            <v>71428.570000000007</v>
          </cell>
          <cell r="P5959" t="str">
            <v>90134102-52091103</v>
          </cell>
          <cell r="S5959" t="str">
            <v>2026A-07</v>
          </cell>
          <cell r="T5959" t="str">
            <v>BOD Meeting</v>
          </cell>
        </row>
        <row r="5960">
          <cell r="K5960">
            <v>71428.570000000007</v>
          </cell>
          <cell r="P5960" t="str">
            <v>90134102-52091103</v>
          </cell>
          <cell r="S5960" t="str">
            <v>2026A-07</v>
          </cell>
          <cell r="T5960" t="str">
            <v>BOD Meeting</v>
          </cell>
        </row>
        <row r="5961">
          <cell r="K5961">
            <v>80000</v>
          </cell>
          <cell r="P5961" t="str">
            <v>90134102-52091103</v>
          </cell>
          <cell r="S5961" t="str">
            <v>2026A-07</v>
          </cell>
          <cell r="T5961" t="str">
            <v>BOD Meeting</v>
          </cell>
        </row>
        <row r="5962">
          <cell r="K5962">
            <v>80000</v>
          </cell>
          <cell r="P5962" t="str">
            <v>90134102-52091103</v>
          </cell>
          <cell r="S5962" t="str">
            <v>2026A-07</v>
          </cell>
          <cell r="T5962" t="str">
            <v>BOD Meeting</v>
          </cell>
        </row>
        <row r="5963">
          <cell r="K5963">
            <v>80000</v>
          </cell>
          <cell r="P5963" t="str">
            <v>90134102-52091103</v>
          </cell>
          <cell r="S5963" t="str">
            <v>2026A-07</v>
          </cell>
          <cell r="T5963" t="str">
            <v>BOD Meeting</v>
          </cell>
        </row>
        <row r="5964">
          <cell r="K5964">
            <v>80000</v>
          </cell>
          <cell r="P5964" t="str">
            <v>90134102-52091103</v>
          </cell>
          <cell r="S5964" t="str">
            <v>2026A-07</v>
          </cell>
          <cell r="T5964" t="str">
            <v>BOD Meeting</v>
          </cell>
        </row>
        <row r="5965">
          <cell r="K5965">
            <v>80000</v>
          </cell>
          <cell r="P5965" t="str">
            <v>90134102-52091103</v>
          </cell>
          <cell r="S5965" t="str">
            <v>2026A-07</v>
          </cell>
          <cell r="T5965" t="str">
            <v>BOD Meeting</v>
          </cell>
        </row>
        <row r="5966">
          <cell r="K5966">
            <v>300000</v>
          </cell>
          <cell r="P5966" t="str">
            <v>90134102-52071103</v>
          </cell>
          <cell r="S5966" t="str">
            <v>2026A-07</v>
          </cell>
          <cell r="T5966" t="str">
            <v>BOD</v>
          </cell>
        </row>
        <row r="5967">
          <cell r="K5967">
            <v>189732.14</v>
          </cell>
          <cell r="P5967" t="str">
            <v>90134102-52071103</v>
          </cell>
          <cell r="S5967" t="str">
            <v>2026A-07</v>
          </cell>
          <cell r="T5967" t="str">
            <v>BOD</v>
          </cell>
        </row>
        <row r="5968">
          <cell r="K5968">
            <v>189732.14</v>
          </cell>
          <cell r="P5968" t="str">
            <v>90134102-52071103</v>
          </cell>
          <cell r="S5968" t="str">
            <v>2026A-07</v>
          </cell>
          <cell r="T5968" t="str">
            <v>BOD</v>
          </cell>
        </row>
        <row r="5969">
          <cell r="K5969">
            <v>212500</v>
          </cell>
          <cell r="P5969" t="str">
            <v>90134102-52071103</v>
          </cell>
          <cell r="S5969" t="str">
            <v>2026A-07</v>
          </cell>
          <cell r="T5969" t="str">
            <v>BOD</v>
          </cell>
        </row>
        <row r="5970">
          <cell r="K5970">
            <v>212500</v>
          </cell>
          <cell r="P5970" t="str">
            <v>90134102-52071103</v>
          </cell>
          <cell r="S5970" t="str">
            <v>2026A-07</v>
          </cell>
          <cell r="T5970" t="str">
            <v>BOD</v>
          </cell>
        </row>
        <row r="5971">
          <cell r="K5971">
            <v>212500</v>
          </cell>
          <cell r="P5971" t="str">
            <v>90134102-52071103</v>
          </cell>
          <cell r="S5971" t="str">
            <v>2026A-07</v>
          </cell>
          <cell r="T5971" t="str">
            <v>BOD</v>
          </cell>
        </row>
        <row r="5972">
          <cell r="K5972">
            <v>212500</v>
          </cell>
          <cell r="P5972" t="str">
            <v>90134102-52071103</v>
          </cell>
          <cell r="S5972" t="str">
            <v>2026A-07</v>
          </cell>
          <cell r="T5972" t="str">
            <v>BOD</v>
          </cell>
        </row>
        <row r="5973">
          <cell r="K5973">
            <v>212500</v>
          </cell>
          <cell r="P5973" t="str">
            <v>90134102-52071103</v>
          </cell>
          <cell r="S5973" t="str">
            <v>2026A-07</v>
          </cell>
          <cell r="T5973" t="str">
            <v>BOD</v>
          </cell>
        </row>
        <row r="5974">
          <cell r="K5974">
            <v>212500</v>
          </cell>
          <cell r="P5974" t="str">
            <v>90134102-52071103</v>
          </cell>
          <cell r="S5974" t="str">
            <v>2026A-07</v>
          </cell>
          <cell r="T5974" t="str">
            <v>BOD</v>
          </cell>
        </row>
        <row r="5975">
          <cell r="K5975">
            <v>80000</v>
          </cell>
          <cell r="P5975" t="str">
            <v>90134102-52091103</v>
          </cell>
          <cell r="S5975" t="str">
            <v>2026A-07</v>
          </cell>
          <cell r="T5975" t="str">
            <v>BOD Meeting</v>
          </cell>
        </row>
        <row r="5976">
          <cell r="K5976">
            <v>13220.98</v>
          </cell>
          <cell r="P5976" t="str">
            <v>81122101-52121402</v>
          </cell>
          <cell r="S5976" t="str">
            <v>2026A-07</v>
          </cell>
          <cell r="T5976" t="str">
            <v>Clinic Supplies</v>
          </cell>
        </row>
        <row r="5977">
          <cell r="K5977">
            <v>986.85</v>
          </cell>
          <cell r="P5977" t="str">
            <v>81122101-52121402</v>
          </cell>
          <cell r="S5977" t="str">
            <v>2026A-07</v>
          </cell>
          <cell r="T5977" t="str">
            <v>Flowers and Fruits</v>
          </cell>
        </row>
        <row r="5978">
          <cell r="K5978">
            <v>1615</v>
          </cell>
          <cell r="P5978" t="str">
            <v>80122101-61021316</v>
          </cell>
          <cell r="S5978" t="str">
            <v>2026A-07</v>
          </cell>
          <cell r="T5978" t="str">
            <v>Pre-Employment Medical Exams</v>
          </cell>
        </row>
        <row r="5979">
          <cell r="K5979">
            <v>125</v>
          </cell>
          <cell r="P5979" t="str">
            <v>80122101-61021316</v>
          </cell>
          <cell r="S5979" t="str">
            <v>2026A-07</v>
          </cell>
          <cell r="T5979" t="str">
            <v>Pre-Employment Medical Exams</v>
          </cell>
        </row>
        <row r="5980">
          <cell r="K5980">
            <v>20000</v>
          </cell>
          <cell r="P5980" t="str">
            <v>80123101-61071005</v>
          </cell>
          <cell r="S5980" t="str">
            <v>2026A-07</v>
          </cell>
          <cell r="T5980" t="str">
            <v>Poblador</v>
          </cell>
        </row>
        <row r="5981">
          <cell r="K5981">
            <v>1338.39</v>
          </cell>
          <cell r="P5981" t="str">
            <v>80123102-61721101</v>
          </cell>
          <cell r="S5981" t="str">
            <v>2026A-07</v>
          </cell>
          <cell r="T5981" t="str">
            <v>Mobile Phones</v>
          </cell>
        </row>
        <row r="5982">
          <cell r="K5982">
            <v>891.96</v>
          </cell>
          <cell r="P5982" t="str">
            <v>80123102-61721101</v>
          </cell>
          <cell r="S5982" t="str">
            <v>2026A-07</v>
          </cell>
          <cell r="T5982" t="str">
            <v>Mobile Phones</v>
          </cell>
        </row>
        <row r="5983">
          <cell r="K5983">
            <v>891.96</v>
          </cell>
          <cell r="P5983" t="str">
            <v>80123102-61721101</v>
          </cell>
          <cell r="S5983" t="str">
            <v>2026A-07</v>
          </cell>
          <cell r="T5983" t="str">
            <v>Mobile Phones</v>
          </cell>
        </row>
        <row r="5984">
          <cell r="K5984">
            <v>891.96</v>
          </cell>
          <cell r="P5984" t="str">
            <v>80123102-61721101</v>
          </cell>
          <cell r="S5984" t="str">
            <v>2026A-07</v>
          </cell>
          <cell r="T5984" t="str">
            <v>Mobile Phones</v>
          </cell>
        </row>
        <row r="5985">
          <cell r="K5985">
            <v>891.96</v>
          </cell>
          <cell r="P5985" t="str">
            <v>80123102-61721101</v>
          </cell>
          <cell r="S5985" t="str">
            <v>2026A-07</v>
          </cell>
          <cell r="T5985" t="str">
            <v>Mobile Phones</v>
          </cell>
        </row>
        <row r="5986">
          <cell r="K5986">
            <v>1338.39</v>
          </cell>
          <cell r="P5986" t="str">
            <v>80123102-61721101</v>
          </cell>
          <cell r="S5986" t="str">
            <v>2026A-07</v>
          </cell>
          <cell r="T5986" t="str">
            <v>Mobile Phones</v>
          </cell>
        </row>
        <row r="5987">
          <cell r="K5987">
            <v>1338.39</v>
          </cell>
          <cell r="P5987" t="str">
            <v>80123102-61721101</v>
          </cell>
          <cell r="S5987" t="str">
            <v>2026A-07</v>
          </cell>
          <cell r="T5987" t="str">
            <v>Mobile Phones</v>
          </cell>
        </row>
        <row r="5988">
          <cell r="K5988">
            <v>2231.39</v>
          </cell>
          <cell r="P5988" t="str">
            <v>80123102-61721101</v>
          </cell>
          <cell r="S5988" t="str">
            <v>2026A-07</v>
          </cell>
          <cell r="T5988" t="str">
            <v>Mobile Phones</v>
          </cell>
        </row>
        <row r="5989">
          <cell r="K5989">
            <v>1338.39</v>
          </cell>
          <cell r="P5989" t="str">
            <v>80123102-61721101</v>
          </cell>
          <cell r="S5989" t="str">
            <v>2026A-07</v>
          </cell>
          <cell r="T5989" t="str">
            <v>Mobile Phones</v>
          </cell>
        </row>
        <row r="5990">
          <cell r="K5990">
            <v>891.96</v>
          </cell>
          <cell r="P5990" t="str">
            <v>80123102-61721101</v>
          </cell>
          <cell r="S5990" t="str">
            <v>2026A-07</v>
          </cell>
          <cell r="T5990" t="str">
            <v>Mobile Phones</v>
          </cell>
        </row>
        <row r="5991">
          <cell r="K5991">
            <v>891.96</v>
          </cell>
          <cell r="P5991" t="str">
            <v>80123102-61721101</v>
          </cell>
          <cell r="S5991" t="str">
            <v>2026A-07</v>
          </cell>
          <cell r="T5991" t="str">
            <v>Mobile Phones</v>
          </cell>
        </row>
        <row r="5992">
          <cell r="K5992">
            <v>713.39</v>
          </cell>
          <cell r="P5992" t="str">
            <v>80123102-61721101</v>
          </cell>
          <cell r="S5992" t="str">
            <v>2026A-07</v>
          </cell>
          <cell r="T5992" t="str">
            <v>Mobile Phones</v>
          </cell>
        </row>
        <row r="5993">
          <cell r="K5993">
            <v>713.39</v>
          </cell>
          <cell r="P5993" t="str">
            <v>80123102-61721101</v>
          </cell>
          <cell r="S5993" t="str">
            <v>2026A-07</v>
          </cell>
          <cell r="T5993" t="str">
            <v>Mobile Phones</v>
          </cell>
        </row>
        <row r="5994">
          <cell r="K5994">
            <v>891.96</v>
          </cell>
          <cell r="P5994" t="str">
            <v>80123102-61721101</v>
          </cell>
          <cell r="S5994" t="str">
            <v>2026A-07</v>
          </cell>
          <cell r="T5994" t="str">
            <v>Mobile Phones</v>
          </cell>
        </row>
        <row r="5995">
          <cell r="K5995">
            <v>891.96</v>
          </cell>
          <cell r="P5995" t="str">
            <v>80123102-61721101</v>
          </cell>
          <cell r="S5995" t="str">
            <v>2026A-07</v>
          </cell>
          <cell r="T5995" t="str">
            <v>Mobile Phones</v>
          </cell>
        </row>
        <row r="5996">
          <cell r="K5996">
            <v>891.96</v>
          </cell>
          <cell r="P5996" t="str">
            <v>80123102-61721101</v>
          </cell>
          <cell r="S5996" t="str">
            <v>2026A-07</v>
          </cell>
          <cell r="T5996" t="str">
            <v>Mobile Phones</v>
          </cell>
        </row>
        <row r="5997">
          <cell r="K5997">
            <v>1338.39</v>
          </cell>
          <cell r="P5997" t="str">
            <v>80123102-61721101</v>
          </cell>
          <cell r="S5997" t="str">
            <v>2026A-07</v>
          </cell>
          <cell r="T5997" t="str">
            <v>Mobile Phones</v>
          </cell>
        </row>
        <row r="5998">
          <cell r="K5998">
            <v>748.11</v>
          </cell>
          <cell r="P5998" t="str">
            <v>80123102-61721101</v>
          </cell>
          <cell r="S5998" t="str">
            <v>2026A-07</v>
          </cell>
          <cell r="T5998" t="str">
            <v>Mobile Phones</v>
          </cell>
        </row>
        <row r="5999">
          <cell r="K5999">
            <v>891.96</v>
          </cell>
          <cell r="P5999" t="str">
            <v>80123102-61721101</v>
          </cell>
          <cell r="S5999" t="str">
            <v>2026A-07</v>
          </cell>
          <cell r="T5999" t="str">
            <v>Mobile Phones</v>
          </cell>
        </row>
        <row r="6000">
          <cell r="K6000">
            <v>891.96</v>
          </cell>
          <cell r="P6000" t="str">
            <v>80123102-61721101</v>
          </cell>
          <cell r="S6000" t="str">
            <v>2026A-07</v>
          </cell>
          <cell r="T6000" t="str">
            <v>Mobile Phones</v>
          </cell>
        </row>
        <row r="6001">
          <cell r="K6001">
            <v>534.82000000000005</v>
          </cell>
          <cell r="P6001" t="str">
            <v>80123102-61721101</v>
          </cell>
          <cell r="S6001" t="str">
            <v>2026A-07</v>
          </cell>
          <cell r="T6001" t="str">
            <v>Mobile Phones</v>
          </cell>
        </row>
        <row r="6002">
          <cell r="K6002">
            <v>713.39</v>
          </cell>
          <cell r="P6002" t="str">
            <v>80123102-61721101</v>
          </cell>
          <cell r="S6002" t="str">
            <v>2026A-07</v>
          </cell>
          <cell r="T6002" t="str">
            <v>Mobile Phones</v>
          </cell>
        </row>
        <row r="6003">
          <cell r="K6003">
            <v>891.96</v>
          </cell>
          <cell r="P6003" t="str">
            <v>80123102-61721101</v>
          </cell>
          <cell r="S6003" t="str">
            <v>2026A-07</v>
          </cell>
          <cell r="T6003" t="str">
            <v>Mobile Phones</v>
          </cell>
        </row>
        <row r="6004">
          <cell r="K6004">
            <v>1338.39</v>
          </cell>
          <cell r="P6004" t="str">
            <v>80123102-61721101</v>
          </cell>
          <cell r="S6004" t="str">
            <v>2026A-07</v>
          </cell>
          <cell r="T6004" t="str">
            <v>Mobile Phones</v>
          </cell>
        </row>
        <row r="6005">
          <cell r="K6005">
            <v>891.96</v>
          </cell>
          <cell r="P6005" t="str">
            <v>80123102-61721101</v>
          </cell>
          <cell r="S6005" t="str">
            <v>2026A-07</v>
          </cell>
          <cell r="T6005" t="str">
            <v>Mobile Phones</v>
          </cell>
        </row>
        <row r="6006">
          <cell r="K6006">
            <v>891.96</v>
          </cell>
          <cell r="P6006" t="str">
            <v>80123102-61721101</v>
          </cell>
          <cell r="S6006" t="str">
            <v>2026A-07</v>
          </cell>
          <cell r="T6006" t="str">
            <v>Mobile Phones</v>
          </cell>
        </row>
        <row r="6007">
          <cell r="K6007">
            <v>891.96</v>
          </cell>
          <cell r="P6007" t="str">
            <v>80123102-61721101</v>
          </cell>
          <cell r="S6007" t="str">
            <v>2026A-07</v>
          </cell>
          <cell r="T6007" t="str">
            <v>Mobile Phones</v>
          </cell>
        </row>
        <row r="6008">
          <cell r="K6008">
            <v>1338.39</v>
          </cell>
          <cell r="P6008" t="str">
            <v>80123102-61721101</v>
          </cell>
          <cell r="S6008" t="str">
            <v>2026A-07</v>
          </cell>
          <cell r="T6008" t="str">
            <v>Mobile Phones</v>
          </cell>
        </row>
        <row r="6009">
          <cell r="K6009">
            <v>891.96</v>
          </cell>
          <cell r="P6009" t="str">
            <v>80123102-61721101</v>
          </cell>
          <cell r="S6009" t="str">
            <v>2026A-07</v>
          </cell>
          <cell r="T6009" t="str">
            <v>Mobile Phones</v>
          </cell>
        </row>
        <row r="6010">
          <cell r="K6010">
            <v>891.96</v>
          </cell>
          <cell r="P6010" t="str">
            <v>80123102-61721101</v>
          </cell>
          <cell r="S6010" t="str">
            <v>2026A-07</v>
          </cell>
          <cell r="T6010" t="str">
            <v>Mobile Phones</v>
          </cell>
        </row>
        <row r="6011">
          <cell r="K6011">
            <v>891.96</v>
          </cell>
          <cell r="P6011" t="str">
            <v>80123102-61721101</v>
          </cell>
          <cell r="S6011" t="str">
            <v>2026A-07</v>
          </cell>
          <cell r="T6011" t="str">
            <v>Mobile Phones</v>
          </cell>
        </row>
        <row r="6012">
          <cell r="K6012">
            <v>534.82000000000005</v>
          </cell>
          <cell r="P6012" t="str">
            <v>80123102-61721101</v>
          </cell>
          <cell r="S6012" t="str">
            <v>2026A-07</v>
          </cell>
          <cell r="T6012" t="str">
            <v>Mobile Phones</v>
          </cell>
        </row>
        <row r="6013">
          <cell r="K6013">
            <v>713.39</v>
          </cell>
          <cell r="P6013" t="str">
            <v>80123102-61721101</v>
          </cell>
          <cell r="S6013" t="str">
            <v>2026A-07</v>
          </cell>
          <cell r="T6013" t="str">
            <v>Mobile Phones</v>
          </cell>
        </row>
        <row r="6014">
          <cell r="K6014">
            <v>891.96</v>
          </cell>
          <cell r="P6014" t="str">
            <v>80123102-61721101</v>
          </cell>
          <cell r="S6014" t="str">
            <v>2026A-07</v>
          </cell>
          <cell r="T6014" t="str">
            <v>Mobile Phones</v>
          </cell>
        </row>
        <row r="6015">
          <cell r="K6015">
            <v>891.96</v>
          </cell>
          <cell r="P6015" t="str">
            <v>80123102-61721101</v>
          </cell>
          <cell r="S6015" t="str">
            <v>2026A-07</v>
          </cell>
          <cell r="T6015" t="str">
            <v>Mobile Phones</v>
          </cell>
        </row>
        <row r="6016">
          <cell r="K6016">
            <v>1338.39</v>
          </cell>
          <cell r="P6016" t="str">
            <v>80123102-61721101</v>
          </cell>
          <cell r="S6016" t="str">
            <v>2026A-07</v>
          </cell>
          <cell r="T6016" t="str">
            <v>Mobile Phones</v>
          </cell>
        </row>
        <row r="6017">
          <cell r="K6017">
            <v>891.96</v>
          </cell>
          <cell r="P6017" t="str">
            <v>80123102-61721101</v>
          </cell>
          <cell r="S6017" t="str">
            <v>2026A-07</v>
          </cell>
          <cell r="T6017" t="str">
            <v>Mobile Phones</v>
          </cell>
        </row>
        <row r="6018">
          <cell r="K6018">
            <v>534.82000000000005</v>
          </cell>
          <cell r="P6018" t="str">
            <v>80123102-61721101</v>
          </cell>
          <cell r="S6018" t="str">
            <v>2026A-07</v>
          </cell>
          <cell r="T6018" t="str">
            <v>Mobile Phones</v>
          </cell>
        </row>
        <row r="6019">
          <cell r="K6019">
            <v>891.96</v>
          </cell>
          <cell r="P6019" t="str">
            <v>80123102-61721101</v>
          </cell>
          <cell r="S6019" t="str">
            <v>2026A-07</v>
          </cell>
          <cell r="T6019" t="str">
            <v>Mobile Phones</v>
          </cell>
        </row>
        <row r="6020">
          <cell r="K6020">
            <v>534.82000000000005</v>
          </cell>
          <cell r="P6020" t="str">
            <v>80123102-61721101</v>
          </cell>
          <cell r="S6020" t="str">
            <v>2026A-07</v>
          </cell>
          <cell r="T6020" t="str">
            <v>Mobile Phones</v>
          </cell>
        </row>
        <row r="6021">
          <cell r="K6021">
            <v>891.96</v>
          </cell>
          <cell r="P6021" t="str">
            <v>80123102-61721101</v>
          </cell>
          <cell r="S6021" t="str">
            <v>2026A-07</v>
          </cell>
          <cell r="T6021" t="str">
            <v>Mobile Phones</v>
          </cell>
        </row>
        <row r="6022">
          <cell r="K6022">
            <v>6964.28</v>
          </cell>
          <cell r="P6022" t="str">
            <v>80123102-61061104</v>
          </cell>
          <cell r="S6022" t="str">
            <v>2026A-07</v>
          </cell>
          <cell r="T6022" t="str">
            <v>R&amp;M Vehicle</v>
          </cell>
        </row>
        <row r="6023">
          <cell r="K6023">
            <v>-178.57</v>
          </cell>
          <cell r="P6023" t="str">
            <v>80123102-61061104</v>
          </cell>
          <cell r="S6023" t="str">
            <v>2026A-07</v>
          </cell>
          <cell r="T6023" t="str">
            <v>R&amp;M Vehicle</v>
          </cell>
        </row>
        <row r="6024">
          <cell r="K6024">
            <v>2962.88</v>
          </cell>
          <cell r="P6024" t="str">
            <v>80123101-61091101</v>
          </cell>
          <cell r="S6024" t="str">
            <v>2026A-07</v>
          </cell>
          <cell r="T6024" t="str">
            <v>Meetings</v>
          </cell>
        </row>
        <row r="6025">
          <cell r="K6025">
            <v>1384.01</v>
          </cell>
          <cell r="P6025" t="str">
            <v>80314101-61731103</v>
          </cell>
          <cell r="S6025" t="str">
            <v>2026A-07</v>
          </cell>
          <cell r="T6025" t="str">
            <v>Meta</v>
          </cell>
        </row>
        <row r="6026">
          <cell r="K6026">
            <v>768.41</v>
          </cell>
          <cell r="P6026" t="str">
            <v>80124101-61711102</v>
          </cell>
          <cell r="S6026" t="str">
            <v>2026A-07</v>
          </cell>
          <cell r="T6026" t="str">
            <v>Domain</v>
          </cell>
        </row>
        <row r="6027">
          <cell r="K6027">
            <v>6703.03</v>
          </cell>
          <cell r="P6027" t="str">
            <v>80124101-61711102</v>
          </cell>
          <cell r="S6027" t="str">
            <v>2026A-07</v>
          </cell>
          <cell r="T6027" t="str">
            <v>AI Copilot</v>
          </cell>
        </row>
        <row r="6028">
          <cell r="K6028">
            <v>2239.37</v>
          </cell>
          <cell r="P6028" t="str">
            <v>80124101-61711102</v>
          </cell>
          <cell r="S6028" t="str">
            <v>2026A-07</v>
          </cell>
          <cell r="T6028" t="str">
            <v>Microsoft Planner</v>
          </cell>
        </row>
        <row r="6029">
          <cell r="K6029">
            <v>2782.58</v>
          </cell>
          <cell r="P6029" t="str">
            <v>80124101-61711102</v>
          </cell>
          <cell r="S6029" t="str">
            <v>2026A-07</v>
          </cell>
          <cell r="T6029" t="str">
            <v>Zoom</v>
          </cell>
        </row>
        <row r="6030">
          <cell r="K6030">
            <v>5675.25</v>
          </cell>
          <cell r="P6030" t="str">
            <v>80124101-61711102</v>
          </cell>
          <cell r="S6030" t="str">
            <v>2026A-07</v>
          </cell>
          <cell r="T6030" t="str">
            <v>Power Apps</v>
          </cell>
        </row>
        <row r="6031">
          <cell r="K6031">
            <v>45.32</v>
          </cell>
          <cell r="P6031" t="str">
            <v>80124101-61711102</v>
          </cell>
          <cell r="S6031" t="str">
            <v>2026A-07</v>
          </cell>
          <cell r="T6031" t="str">
            <v>Github</v>
          </cell>
        </row>
        <row r="6032">
          <cell r="K6032">
            <v>2961.18</v>
          </cell>
          <cell r="P6032" t="str">
            <v>80124101-61711102</v>
          </cell>
          <cell r="S6032" t="str">
            <v>2026A-07</v>
          </cell>
          <cell r="T6032" t="str">
            <v>Power Apps</v>
          </cell>
        </row>
        <row r="6033">
          <cell r="K6033">
            <v>1098.2</v>
          </cell>
          <cell r="P6033" t="str">
            <v>80124101-61711102</v>
          </cell>
          <cell r="S6033" t="str">
            <v>2026A-07</v>
          </cell>
          <cell r="T6033" t="str">
            <v>Power Apps</v>
          </cell>
        </row>
        <row r="6034">
          <cell r="K6034">
            <v>1114.44</v>
          </cell>
          <cell r="P6034" t="str">
            <v>80124101-61711102</v>
          </cell>
          <cell r="S6034" t="str">
            <v>2026A-07</v>
          </cell>
          <cell r="T6034" t="str">
            <v>Github</v>
          </cell>
        </row>
        <row r="6035">
          <cell r="K6035">
            <v>36661.629999999997</v>
          </cell>
          <cell r="P6035" t="str">
            <v>80124101-61711102</v>
          </cell>
          <cell r="S6035" t="str">
            <v>2026A-07</v>
          </cell>
          <cell r="T6035" t="str">
            <v>AI Builder</v>
          </cell>
        </row>
        <row r="6036">
          <cell r="K6036">
            <v>121207.87</v>
          </cell>
          <cell r="P6036" t="str">
            <v>80124101-61711102</v>
          </cell>
          <cell r="S6036" t="str">
            <v>2026A-07</v>
          </cell>
          <cell r="T6036" t="str">
            <v>AWS</v>
          </cell>
        </row>
        <row r="6037">
          <cell r="K6037">
            <v>502.23</v>
          </cell>
          <cell r="P6037" t="str">
            <v>80124101-61711102</v>
          </cell>
          <cell r="S6037" t="str">
            <v>2026A-07</v>
          </cell>
          <cell r="T6037" t="str">
            <v>Entra ID</v>
          </cell>
        </row>
        <row r="6038">
          <cell r="K6038">
            <v>286.63</v>
          </cell>
          <cell r="P6038" t="str">
            <v>80124101-61711102</v>
          </cell>
          <cell r="S6038" t="str">
            <v>2026A-07</v>
          </cell>
          <cell r="T6038" t="str">
            <v>AI Copilot</v>
          </cell>
        </row>
        <row r="6039">
          <cell r="K6039">
            <v>9444.1</v>
          </cell>
          <cell r="P6039" t="str">
            <v>81124101-52952103</v>
          </cell>
          <cell r="S6039" t="str">
            <v>2026A-07</v>
          </cell>
          <cell r="T6039" t="str">
            <v>AI Chatgpt</v>
          </cell>
        </row>
        <row r="6040">
          <cell r="K6040">
            <v>10948.15</v>
          </cell>
          <cell r="P6040" t="str">
            <v>81124101-52952103</v>
          </cell>
          <cell r="S6040" t="str">
            <v>2026A-07</v>
          </cell>
          <cell r="T6040" t="str">
            <v>Google Workspace</v>
          </cell>
        </row>
        <row r="6041">
          <cell r="K6041">
            <v>7112.32</v>
          </cell>
          <cell r="P6041" t="str">
            <v>81124101-52952103</v>
          </cell>
          <cell r="S6041" t="str">
            <v>2026A-07</v>
          </cell>
          <cell r="T6041" t="str">
            <v>AI Claude</v>
          </cell>
        </row>
        <row r="6042">
          <cell r="K6042">
            <v>7086.14</v>
          </cell>
          <cell r="P6042" t="str">
            <v>81124101-52952103</v>
          </cell>
          <cell r="S6042" t="str">
            <v>2026A-07</v>
          </cell>
          <cell r="T6042" t="str">
            <v>AI Claude</v>
          </cell>
        </row>
        <row r="6043">
          <cell r="K6043">
            <v>2692.74</v>
          </cell>
          <cell r="P6043" t="str">
            <v>81124101-52952103</v>
          </cell>
          <cell r="S6043" t="str">
            <v>2026A-07</v>
          </cell>
          <cell r="T6043" t="str">
            <v>Domain</v>
          </cell>
        </row>
        <row r="6044">
          <cell r="K6044">
            <v>1389.04</v>
          </cell>
          <cell r="P6044" t="str">
            <v>81124101-52952103</v>
          </cell>
          <cell r="S6044" t="str">
            <v>2026A-07</v>
          </cell>
          <cell r="T6044" t="str">
            <v>AI Claude</v>
          </cell>
        </row>
        <row r="6045">
          <cell r="K6045">
            <v>1410.32</v>
          </cell>
          <cell r="P6045" t="str">
            <v>81124101-52952103</v>
          </cell>
          <cell r="S6045" t="str">
            <v>2026A-07</v>
          </cell>
          <cell r="T6045" t="str">
            <v>AI Claude</v>
          </cell>
        </row>
        <row r="6046">
          <cell r="K6046">
            <v>4800</v>
          </cell>
          <cell r="P6046" t="str">
            <v>81319101-52111101</v>
          </cell>
          <cell r="S6046" t="str">
            <v>2026A-07</v>
          </cell>
          <cell r="T6046" t="str">
            <v>ES</v>
          </cell>
        </row>
        <row r="6047">
          <cell r="K6047">
            <v>5600</v>
          </cell>
          <cell r="P6047" t="str">
            <v>81319101-52111101</v>
          </cell>
          <cell r="S6047" t="str">
            <v>2026A-07</v>
          </cell>
          <cell r="T6047" t="str">
            <v>ES</v>
          </cell>
        </row>
        <row r="6048">
          <cell r="K6048">
            <v>5600</v>
          </cell>
          <cell r="P6048" t="str">
            <v>81319101-52111101</v>
          </cell>
          <cell r="S6048" t="str">
            <v>2026A-07</v>
          </cell>
          <cell r="T6048" t="str">
            <v>ES</v>
          </cell>
        </row>
        <row r="6049">
          <cell r="K6049">
            <v>-1768.38</v>
          </cell>
          <cell r="P6049" t="str">
            <v>80111101-52101101</v>
          </cell>
          <cell r="S6049" t="str">
            <v>2026A-07</v>
          </cell>
          <cell r="T6049" t="str">
            <v>PARI</v>
          </cell>
        </row>
        <row r="6050">
          <cell r="K6050">
            <v>-1718.62</v>
          </cell>
          <cell r="P6050" t="str">
            <v>80111101-52101101</v>
          </cell>
          <cell r="S6050" t="str">
            <v>2026A-07</v>
          </cell>
          <cell r="T6050" t="str">
            <v>PARI</v>
          </cell>
        </row>
        <row r="6051">
          <cell r="K6051">
            <v>-65425.22</v>
          </cell>
          <cell r="P6051" t="str">
            <v>81111101-52041401</v>
          </cell>
          <cell r="S6051" t="str">
            <v>2026A-07</v>
          </cell>
          <cell r="T6051" t="str">
            <v>Security HQ</v>
          </cell>
        </row>
        <row r="6052">
          <cell r="K6052">
            <v>-13083.99</v>
          </cell>
          <cell r="P6052" t="str">
            <v>81111101-52041401</v>
          </cell>
          <cell r="S6052" t="str">
            <v>2026A-07</v>
          </cell>
          <cell r="T6052" t="str">
            <v>Security HQ</v>
          </cell>
        </row>
        <row r="6053">
          <cell r="K6053">
            <v>-52629.14</v>
          </cell>
          <cell r="P6053" t="str">
            <v>81111101-52041401</v>
          </cell>
          <cell r="S6053" t="str">
            <v>2026A-07</v>
          </cell>
          <cell r="T6053" t="str">
            <v>Security HQ</v>
          </cell>
        </row>
        <row r="6054">
          <cell r="K6054">
            <v>-10525.04</v>
          </cell>
          <cell r="P6054" t="str">
            <v>81111101-52041401</v>
          </cell>
          <cell r="S6054" t="str">
            <v>2026A-07</v>
          </cell>
          <cell r="T6054" t="str">
            <v>Security HQ</v>
          </cell>
        </row>
        <row r="6055">
          <cell r="K6055">
            <v>-65425.22</v>
          </cell>
          <cell r="P6055" t="str">
            <v>81111101-52041401</v>
          </cell>
          <cell r="S6055" t="str">
            <v>2026A-07</v>
          </cell>
          <cell r="T6055" t="str">
            <v>Security HQ</v>
          </cell>
        </row>
        <row r="6056">
          <cell r="K6056">
            <v>-13083.99</v>
          </cell>
          <cell r="P6056" t="str">
            <v>81111101-52041401</v>
          </cell>
          <cell r="S6056" t="str">
            <v>2026A-07</v>
          </cell>
          <cell r="T6056" t="str">
            <v>Security HQ</v>
          </cell>
        </row>
        <row r="6057">
          <cell r="K6057">
            <v>-52556.9</v>
          </cell>
          <cell r="P6057" t="str">
            <v>81111101-52041401</v>
          </cell>
          <cell r="S6057" t="str">
            <v>2026A-07</v>
          </cell>
          <cell r="T6057" t="str">
            <v>Security HQ</v>
          </cell>
        </row>
        <row r="6058">
          <cell r="K6058">
            <v>-10510.58</v>
          </cell>
          <cell r="P6058" t="str">
            <v>81111101-52041401</v>
          </cell>
          <cell r="S6058" t="str">
            <v>2026A-07</v>
          </cell>
          <cell r="T6058" t="str">
            <v>Security HQ</v>
          </cell>
        </row>
        <row r="6059">
          <cell r="K6059">
            <v>-24581.99</v>
          </cell>
          <cell r="P6059" t="str">
            <v>81111101-52041405</v>
          </cell>
          <cell r="S6059" t="str">
            <v>2026A-07</v>
          </cell>
          <cell r="T6059" t="str">
            <v>Janitorial (H&amp;K)</v>
          </cell>
        </row>
        <row r="6060">
          <cell r="K6060">
            <v>-24581.99</v>
          </cell>
          <cell r="P6060" t="str">
            <v>81111101-52041499</v>
          </cell>
          <cell r="S6060" t="str">
            <v>2026A-07</v>
          </cell>
          <cell r="T6060" t="str">
            <v>Admin Staff (H&amp;K)</v>
          </cell>
        </row>
        <row r="6061">
          <cell r="K6061">
            <v>-20917.75</v>
          </cell>
          <cell r="P6061" t="str">
            <v>81111101-52041499</v>
          </cell>
          <cell r="S6061" t="str">
            <v>2026A-07</v>
          </cell>
          <cell r="T6061" t="str">
            <v>Admin Staff (H&amp;K)</v>
          </cell>
        </row>
        <row r="6062">
          <cell r="K6062">
            <v>-24798.07</v>
          </cell>
          <cell r="P6062" t="str">
            <v>81111101-52041405</v>
          </cell>
          <cell r="S6062" t="str">
            <v>2026A-07</v>
          </cell>
          <cell r="T6062" t="str">
            <v>Janitorial (H&amp;K)</v>
          </cell>
        </row>
        <row r="6063">
          <cell r="K6063">
            <v>-6946.44</v>
          </cell>
          <cell r="P6063" t="str">
            <v>81111101-52041499</v>
          </cell>
          <cell r="S6063" t="str">
            <v>2026A-07</v>
          </cell>
          <cell r="T6063" t="str">
            <v>Admin Staff (H&amp;K)</v>
          </cell>
        </row>
        <row r="6064">
          <cell r="K6064">
            <v>-2217.38</v>
          </cell>
          <cell r="P6064" t="str">
            <v>81111101-52041499</v>
          </cell>
          <cell r="S6064" t="str">
            <v>2026A-07</v>
          </cell>
          <cell r="T6064" t="str">
            <v>Admin Staff (H&amp;K)</v>
          </cell>
        </row>
        <row r="6065">
          <cell r="K6065">
            <v>-57308.44</v>
          </cell>
          <cell r="P6065" t="str">
            <v>81111101-52041405</v>
          </cell>
          <cell r="S6065" t="str">
            <v>2026A-07</v>
          </cell>
          <cell r="T6065" t="str">
            <v>Janitorial (S1)</v>
          </cell>
        </row>
        <row r="6066">
          <cell r="K6066">
            <v>-146000</v>
          </cell>
          <cell r="P6066" t="str">
            <v>81111101-52041495</v>
          </cell>
          <cell r="S6066" t="str">
            <v>2026A-07</v>
          </cell>
          <cell r="T6066" t="str">
            <v>BTs</v>
          </cell>
        </row>
        <row r="6067">
          <cell r="K6067">
            <v>-24000</v>
          </cell>
          <cell r="P6067" t="str">
            <v>81111101-52041405</v>
          </cell>
          <cell r="S6067" t="str">
            <v>2026A-07</v>
          </cell>
          <cell r="T6067" t="str">
            <v>Janitorial (SFI)</v>
          </cell>
        </row>
        <row r="6068">
          <cell r="K6068">
            <v>-305000</v>
          </cell>
          <cell r="P6068" t="str">
            <v>81111101-52041495</v>
          </cell>
          <cell r="S6068" t="str">
            <v>2026A-07</v>
          </cell>
          <cell r="T6068" t="str">
            <v>BTs</v>
          </cell>
        </row>
        <row r="6069">
          <cell r="K6069">
            <v>-146000</v>
          </cell>
          <cell r="P6069" t="str">
            <v>81111101-52041495</v>
          </cell>
          <cell r="S6069" t="str">
            <v>2026A-07</v>
          </cell>
          <cell r="T6069" t="str">
            <v>BTs</v>
          </cell>
        </row>
        <row r="6070">
          <cell r="K6070">
            <v>-24000</v>
          </cell>
          <cell r="P6070" t="str">
            <v>81111101-52041405</v>
          </cell>
          <cell r="S6070" t="str">
            <v>2026A-07</v>
          </cell>
          <cell r="T6070" t="str">
            <v>Janitorial (SFI)</v>
          </cell>
        </row>
        <row r="6071">
          <cell r="K6071">
            <v>-305000</v>
          </cell>
          <cell r="P6071" t="str">
            <v>81111101-52041495</v>
          </cell>
          <cell r="S6071" t="str">
            <v>2026A-07</v>
          </cell>
          <cell r="T6071" t="str">
            <v>BTs</v>
          </cell>
        </row>
        <row r="6072">
          <cell r="K6072">
            <v>-26526.54</v>
          </cell>
          <cell r="P6072" t="str">
            <v>81111101-52041495</v>
          </cell>
          <cell r="S6072" t="str">
            <v>2026A-07</v>
          </cell>
          <cell r="T6072" t="str">
            <v>BTs</v>
          </cell>
        </row>
        <row r="6073">
          <cell r="K6073">
            <v>-46072.84</v>
          </cell>
          <cell r="P6073" t="str">
            <v>81111101-52041499</v>
          </cell>
          <cell r="S6073" t="str">
            <v>2026A-07</v>
          </cell>
          <cell r="T6073" t="str">
            <v>Admin Staff (TAHJ)</v>
          </cell>
        </row>
        <row r="6074">
          <cell r="K6074">
            <v>-24344.49</v>
          </cell>
          <cell r="P6074" t="str">
            <v>81111101-52041405</v>
          </cell>
          <cell r="S6074" t="str">
            <v>2026A-07</v>
          </cell>
          <cell r="T6074" t="str">
            <v>Janitorial (H&amp;K)</v>
          </cell>
        </row>
        <row r="6075">
          <cell r="K6075">
            <v>-2142.09</v>
          </cell>
          <cell r="P6075" t="str">
            <v>81111101-52041499</v>
          </cell>
          <cell r="S6075" t="str">
            <v>2026A-07</v>
          </cell>
          <cell r="T6075" t="str">
            <v>Admin Staff (H&amp;K)</v>
          </cell>
        </row>
        <row r="6076">
          <cell r="K6076">
            <v>-1466.29</v>
          </cell>
          <cell r="P6076" t="str">
            <v>81111101-52041499</v>
          </cell>
          <cell r="S6076" t="str">
            <v>2026A-07</v>
          </cell>
          <cell r="T6076" t="str">
            <v>Admin Staff (H&amp;K)</v>
          </cell>
        </row>
        <row r="6077">
          <cell r="K6077">
            <v>-185132.86</v>
          </cell>
          <cell r="P6077" t="str">
            <v>81111101-52041405</v>
          </cell>
          <cell r="S6077" t="str">
            <v>2026A-07</v>
          </cell>
          <cell r="T6077" t="str">
            <v>Janitorial (SFI)</v>
          </cell>
        </row>
        <row r="6078">
          <cell r="K6078">
            <v>-170204.62</v>
          </cell>
          <cell r="P6078" t="str">
            <v>81111101-52041499</v>
          </cell>
          <cell r="S6078" t="str">
            <v>2026A-07</v>
          </cell>
          <cell r="T6078" t="str">
            <v>Admin Staff (SFI)</v>
          </cell>
        </row>
        <row r="6079">
          <cell r="K6079">
            <v>-146000</v>
          </cell>
          <cell r="P6079" t="str">
            <v>81111101-52041495</v>
          </cell>
          <cell r="S6079" t="str">
            <v>2026A-07</v>
          </cell>
          <cell r="T6079" t="str">
            <v>BTs</v>
          </cell>
        </row>
        <row r="6080">
          <cell r="K6080">
            <v>-11078.05</v>
          </cell>
          <cell r="P6080" t="str">
            <v>81111101-52101101</v>
          </cell>
          <cell r="S6080" t="str">
            <v>2026A-07</v>
          </cell>
          <cell r="T6080" t="str">
            <v>PARI</v>
          </cell>
        </row>
        <row r="6081">
          <cell r="K6081">
            <v>530</v>
          </cell>
          <cell r="P6081" t="str">
            <v>81122101-52952101</v>
          </cell>
          <cell r="S6081" t="str">
            <v>2026A-07</v>
          </cell>
          <cell r="T6081" t="str">
            <v>DPO</v>
          </cell>
        </row>
        <row r="6082">
          <cell r="K6082">
            <v>41530</v>
          </cell>
          <cell r="P6082" t="str">
            <v>80124101-61721105</v>
          </cell>
          <cell r="S6082" t="str">
            <v>2026A-07</v>
          </cell>
          <cell r="T6082" t="str">
            <v>Innove - SC1</v>
          </cell>
        </row>
        <row r="6083">
          <cell r="K6083">
            <v>115000</v>
          </cell>
          <cell r="P6083" t="str">
            <v>80124101-61721105</v>
          </cell>
          <cell r="S6083" t="str">
            <v>2026A-07</v>
          </cell>
          <cell r="T6083" t="str">
            <v>Innove - HQ</v>
          </cell>
        </row>
        <row r="6084">
          <cell r="K6084">
            <v>45991.44</v>
          </cell>
          <cell r="P6084" t="str">
            <v>80123102-61111201</v>
          </cell>
          <cell r="S6084" t="str">
            <v>2026A-07</v>
          </cell>
          <cell r="T6084" t="str">
            <v>Shell</v>
          </cell>
        </row>
        <row r="6085">
          <cell r="K6085">
            <v>11402.55</v>
          </cell>
          <cell r="P6085" t="str">
            <v>80123102-61111201</v>
          </cell>
          <cell r="S6085" t="str">
            <v>2026A-07</v>
          </cell>
          <cell r="T6085" t="str">
            <v>Shell</v>
          </cell>
        </row>
        <row r="6086">
          <cell r="K6086">
            <v>3165.05</v>
          </cell>
          <cell r="P6086" t="str">
            <v>80123102-61111201</v>
          </cell>
          <cell r="S6086" t="str">
            <v>2026A-07</v>
          </cell>
          <cell r="T6086" t="str">
            <v>Shell</v>
          </cell>
        </row>
        <row r="6087">
          <cell r="K6087">
            <v>17544.93</v>
          </cell>
          <cell r="P6087" t="str">
            <v>80123102-61111201</v>
          </cell>
          <cell r="S6087" t="str">
            <v>2026A-07</v>
          </cell>
          <cell r="T6087" t="str">
            <v>Shell</v>
          </cell>
        </row>
        <row r="6088">
          <cell r="K6088">
            <v>5256.25</v>
          </cell>
          <cell r="P6088" t="str">
            <v>80123102-61111201</v>
          </cell>
          <cell r="S6088" t="str">
            <v>2026A-07</v>
          </cell>
          <cell r="T6088" t="str">
            <v>Shell</v>
          </cell>
        </row>
        <row r="6089">
          <cell r="K6089">
            <v>133.93</v>
          </cell>
          <cell r="P6089" t="str">
            <v>80123102-61111201</v>
          </cell>
          <cell r="S6089" t="str">
            <v>2026A-07</v>
          </cell>
          <cell r="T6089" t="str">
            <v>Shell</v>
          </cell>
        </row>
        <row r="6090">
          <cell r="K6090">
            <v>165000</v>
          </cell>
          <cell r="P6090" t="str">
            <v>80124101-61721105</v>
          </cell>
          <cell r="S6090" t="str">
            <v>2026A-07</v>
          </cell>
          <cell r="T6090" t="str">
            <v>Fiber Internet - HQ</v>
          </cell>
        </row>
        <row r="6091">
          <cell r="K6091">
            <v>45000</v>
          </cell>
          <cell r="P6091" t="str">
            <v>80124101-61721105</v>
          </cell>
          <cell r="S6091" t="str">
            <v>2026A-07</v>
          </cell>
          <cell r="T6091" t="str">
            <v>Fiber Internet - ES</v>
          </cell>
        </row>
        <row r="6092">
          <cell r="K6092">
            <v>50000</v>
          </cell>
          <cell r="P6092" t="str">
            <v>80124101-61721105</v>
          </cell>
          <cell r="S6092" t="str">
            <v>2026A-07</v>
          </cell>
          <cell r="T6092" t="str">
            <v>Fiber Internet - Mckinley</v>
          </cell>
        </row>
        <row r="6093">
          <cell r="K6093">
            <v>22841.07</v>
          </cell>
          <cell r="P6093" t="str">
            <v>81319101-52041499</v>
          </cell>
          <cell r="S6093" t="str">
            <v>2026A-07</v>
          </cell>
          <cell r="T6093" t="str">
            <v>GH</v>
          </cell>
        </row>
        <row r="6094">
          <cell r="K6094">
            <v>21447.200000000001</v>
          </cell>
          <cell r="P6094" t="str">
            <v>81319101-52041401</v>
          </cell>
          <cell r="S6094" t="str">
            <v>2026A-07</v>
          </cell>
          <cell r="T6094" t="str">
            <v>CV</v>
          </cell>
        </row>
        <row r="6095">
          <cell r="K6095">
            <v>4289.0200000000004</v>
          </cell>
          <cell r="P6095" t="str">
            <v>81319101-52041401</v>
          </cell>
          <cell r="S6095" t="str">
            <v>2026A-07</v>
          </cell>
          <cell r="T6095" t="str">
            <v>CV</v>
          </cell>
        </row>
        <row r="6096">
          <cell r="K6096">
            <v>-130.58000000000001</v>
          </cell>
          <cell r="P6096" t="str">
            <v>81319101-52041499</v>
          </cell>
          <cell r="S6096" t="str">
            <v>2026A-07</v>
          </cell>
          <cell r="T6096" t="str">
            <v>GH</v>
          </cell>
        </row>
        <row r="6097">
          <cell r="K6097">
            <v>59259.73</v>
          </cell>
          <cell r="P6097" t="str">
            <v>81319101-52041499</v>
          </cell>
          <cell r="S6097" t="str">
            <v>2026A-07</v>
          </cell>
          <cell r="T6097" t="str">
            <v>GH</v>
          </cell>
        </row>
        <row r="6098">
          <cell r="K6098">
            <v>30373.360000000001</v>
          </cell>
          <cell r="P6098" t="str">
            <v>81319101-52041405</v>
          </cell>
          <cell r="S6098" t="str">
            <v>2026A-07</v>
          </cell>
          <cell r="T6098" t="str">
            <v>ES</v>
          </cell>
        </row>
        <row r="6099">
          <cell r="K6099">
            <v>21447.200000000001</v>
          </cell>
          <cell r="P6099" t="str">
            <v>81319101-52041401</v>
          </cell>
          <cell r="S6099" t="str">
            <v>2026A-07</v>
          </cell>
          <cell r="T6099" t="str">
            <v>TS</v>
          </cell>
        </row>
        <row r="6100">
          <cell r="K6100">
            <v>4289.0200000000004</v>
          </cell>
          <cell r="P6100" t="str">
            <v>81319101-52041401</v>
          </cell>
          <cell r="S6100" t="str">
            <v>2026A-07</v>
          </cell>
          <cell r="T6100" t="str">
            <v>TS</v>
          </cell>
        </row>
        <row r="6101">
          <cell r="K6101">
            <v>13083.99</v>
          </cell>
          <cell r="P6101" t="str">
            <v>81123102-52041401</v>
          </cell>
          <cell r="S6101" t="str">
            <v>2026A-07</v>
          </cell>
          <cell r="T6101" t="str">
            <v>Security HQ</v>
          </cell>
        </row>
        <row r="6102">
          <cell r="K6102">
            <v>65425.22</v>
          </cell>
          <cell r="P6102" t="str">
            <v>81123102-52041401</v>
          </cell>
          <cell r="S6102" t="str">
            <v>2026A-07</v>
          </cell>
          <cell r="T6102" t="str">
            <v>Security HQ</v>
          </cell>
        </row>
        <row r="6103">
          <cell r="K6103">
            <v>24011.5</v>
          </cell>
          <cell r="P6103" t="str">
            <v>81319101-52041405</v>
          </cell>
          <cell r="S6103" t="str">
            <v>2026A-07</v>
          </cell>
          <cell r="T6103" t="str">
            <v>TS</v>
          </cell>
        </row>
        <row r="6104">
          <cell r="K6104">
            <v>42066.52</v>
          </cell>
          <cell r="P6104" t="str">
            <v>81123102-52041499</v>
          </cell>
          <cell r="S6104" t="str">
            <v>2026A-07</v>
          </cell>
          <cell r="T6104" t="str">
            <v>Admin Staff (TAHJ)</v>
          </cell>
        </row>
        <row r="6105">
          <cell r="K6105">
            <v>53022</v>
          </cell>
          <cell r="P6105" t="str">
            <v>80124101-61721105</v>
          </cell>
          <cell r="S6105" t="str">
            <v>2026A-07</v>
          </cell>
          <cell r="T6105" t="str">
            <v>Fiber Internet - CV</v>
          </cell>
        </row>
        <row r="6106">
          <cell r="K6106">
            <v>10000</v>
          </cell>
          <cell r="P6106" t="str">
            <v>80123101-61071005</v>
          </cell>
          <cell r="S6106" t="str">
            <v>2026A-07</v>
          </cell>
          <cell r="T6106" t="str">
            <v>Sycip</v>
          </cell>
        </row>
        <row r="6107">
          <cell r="K6107">
            <v>216.75</v>
          </cell>
          <cell r="P6107" t="str">
            <v>81319101-52111101</v>
          </cell>
          <cell r="S6107" t="str">
            <v>2026A-07</v>
          </cell>
          <cell r="T6107" t="str">
            <v>ES</v>
          </cell>
        </row>
        <row r="6108">
          <cell r="K6108">
            <v>36085.29</v>
          </cell>
          <cell r="P6108" t="str">
            <v>81319101-52041499</v>
          </cell>
          <cell r="S6108" t="str">
            <v>2026A-07</v>
          </cell>
          <cell r="T6108" t="str">
            <v>ES</v>
          </cell>
        </row>
        <row r="6109">
          <cell r="K6109">
            <v>31386.69</v>
          </cell>
          <cell r="P6109" t="str">
            <v>81319101-52041499</v>
          </cell>
          <cell r="S6109" t="str">
            <v>2026A-07</v>
          </cell>
          <cell r="T6109" t="str">
            <v>ES</v>
          </cell>
        </row>
        <row r="6110">
          <cell r="K6110">
            <v>3418.83</v>
          </cell>
          <cell r="P6110" t="str">
            <v>81319101-52041499</v>
          </cell>
          <cell r="S6110" t="str">
            <v>2026A-07</v>
          </cell>
          <cell r="T6110" t="str">
            <v>TS</v>
          </cell>
        </row>
        <row r="6111">
          <cell r="K6111">
            <v>29629.87</v>
          </cell>
          <cell r="P6111" t="str">
            <v>81319101-52041499</v>
          </cell>
          <cell r="S6111" t="str">
            <v>2026A-07</v>
          </cell>
          <cell r="T6111" t="str">
            <v>TS</v>
          </cell>
        </row>
        <row r="6112">
          <cell r="K6112">
            <v>20000</v>
          </cell>
          <cell r="P6112" t="str">
            <v>80123101-61071005</v>
          </cell>
          <cell r="S6112" t="str">
            <v>2026A-07</v>
          </cell>
          <cell r="T6112" t="str">
            <v>Angara</v>
          </cell>
        </row>
        <row r="6113">
          <cell r="K6113">
            <v>-3456.05</v>
          </cell>
          <cell r="P6113" t="str">
            <v>81319101-52041401</v>
          </cell>
          <cell r="S6113" t="str">
            <v>2026A-07</v>
          </cell>
          <cell r="T6113" t="str">
            <v>GH</v>
          </cell>
        </row>
        <row r="6114">
          <cell r="K6114">
            <v>-7086.68</v>
          </cell>
          <cell r="P6114" t="str">
            <v>81319101-52041401</v>
          </cell>
          <cell r="S6114" t="str">
            <v>2026A-07</v>
          </cell>
          <cell r="T6114" t="str">
            <v>GH</v>
          </cell>
        </row>
        <row r="6115">
          <cell r="K6115">
            <v>-691.2</v>
          </cell>
          <cell r="P6115" t="str">
            <v>81319101-52041401</v>
          </cell>
          <cell r="S6115" t="str">
            <v>2026A-07</v>
          </cell>
          <cell r="T6115" t="str">
            <v>GH</v>
          </cell>
        </row>
        <row r="6116">
          <cell r="K6116">
            <v>-1417.55</v>
          </cell>
          <cell r="P6116" t="str">
            <v>81319101-52041401</v>
          </cell>
          <cell r="S6116" t="str">
            <v>2026A-07</v>
          </cell>
          <cell r="T6116" t="str">
            <v>GH</v>
          </cell>
        </row>
        <row r="6117">
          <cell r="K6117">
            <v>43498.7</v>
          </cell>
          <cell r="P6117" t="str">
            <v>81319101-52041401</v>
          </cell>
          <cell r="S6117" t="str">
            <v>2026A-07</v>
          </cell>
          <cell r="T6117" t="str">
            <v>GH</v>
          </cell>
        </row>
        <row r="6118">
          <cell r="K6118">
            <v>89197.35</v>
          </cell>
          <cell r="P6118" t="str">
            <v>81319101-52041401</v>
          </cell>
          <cell r="S6118" t="str">
            <v>2026A-07</v>
          </cell>
          <cell r="T6118" t="str">
            <v>GH</v>
          </cell>
        </row>
        <row r="6119">
          <cell r="K6119">
            <v>8699.3799999999992</v>
          </cell>
          <cell r="P6119" t="str">
            <v>81319101-52041401</v>
          </cell>
          <cell r="S6119" t="str">
            <v>2026A-07</v>
          </cell>
          <cell r="T6119" t="str">
            <v>GH</v>
          </cell>
        </row>
        <row r="6120">
          <cell r="K6120">
            <v>17838.97</v>
          </cell>
          <cell r="P6120" t="str">
            <v>81319101-52041401</v>
          </cell>
          <cell r="S6120" t="str">
            <v>2026A-07</v>
          </cell>
          <cell r="T6120" t="str">
            <v>GH</v>
          </cell>
        </row>
        <row r="6121">
          <cell r="K6121">
            <v>2142.86</v>
          </cell>
          <cell r="P6121" t="str">
            <v>81319101-52111101</v>
          </cell>
          <cell r="S6121" t="str">
            <v>2026A-07</v>
          </cell>
          <cell r="T6121" t="str">
            <v>GH</v>
          </cell>
        </row>
        <row r="6122">
          <cell r="K6122">
            <v>20530.830000000002</v>
          </cell>
          <cell r="P6122" t="str">
            <v>81319101-52041499</v>
          </cell>
          <cell r="S6122" t="str">
            <v>2026A-07</v>
          </cell>
          <cell r="T6122" t="str">
            <v>GH</v>
          </cell>
        </row>
        <row r="6123">
          <cell r="K6123">
            <v>90887.039999999994</v>
          </cell>
          <cell r="P6123" t="str">
            <v>81319101-52041401</v>
          </cell>
          <cell r="S6123" t="str">
            <v>2026A-07</v>
          </cell>
          <cell r="T6123" t="str">
            <v>ES</v>
          </cell>
        </row>
        <row r="6124">
          <cell r="K6124">
            <v>18175.919999999998</v>
          </cell>
          <cell r="P6124" t="str">
            <v>81319101-52041401</v>
          </cell>
          <cell r="S6124" t="str">
            <v>2026A-07</v>
          </cell>
          <cell r="T6124" t="str">
            <v>ES</v>
          </cell>
        </row>
        <row r="6125">
          <cell r="K6125">
            <v>13392.86</v>
          </cell>
          <cell r="P6125" t="str">
            <v>81123102-52061103</v>
          </cell>
          <cell r="S6125" t="str">
            <v>2026A-07</v>
          </cell>
          <cell r="T6125" t="str">
            <v>R&amp;M - F&amp;F</v>
          </cell>
        </row>
        <row r="6126">
          <cell r="K6126">
            <v>6250</v>
          </cell>
          <cell r="P6126" t="str">
            <v>81123102-52111101</v>
          </cell>
          <cell r="S6126" t="str">
            <v>2026A-07</v>
          </cell>
          <cell r="T6126" t="str">
            <v>Toner/ink</v>
          </cell>
        </row>
        <row r="6127">
          <cell r="K6127">
            <v>6250</v>
          </cell>
          <cell r="P6127" t="str">
            <v>81123102-52111101</v>
          </cell>
          <cell r="S6127" t="str">
            <v>2026A-07</v>
          </cell>
          <cell r="T6127" t="str">
            <v>Toner/ink</v>
          </cell>
        </row>
        <row r="6128">
          <cell r="K6128">
            <v>6250</v>
          </cell>
          <cell r="P6128" t="str">
            <v>81123102-52111101</v>
          </cell>
          <cell r="S6128" t="str">
            <v>2026A-07</v>
          </cell>
          <cell r="T6128" t="str">
            <v>Toner/ink</v>
          </cell>
        </row>
        <row r="6129">
          <cell r="K6129">
            <v>6250</v>
          </cell>
          <cell r="P6129" t="str">
            <v>81123102-52111101</v>
          </cell>
          <cell r="S6129" t="str">
            <v>2026A-07</v>
          </cell>
          <cell r="T6129" t="str">
            <v>Toner/ink</v>
          </cell>
        </row>
        <row r="6130">
          <cell r="K6130">
            <v>3921.43</v>
          </cell>
          <cell r="P6130" t="str">
            <v>81319101-52111101</v>
          </cell>
          <cell r="S6130" t="str">
            <v>2026A-07</v>
          </cell>
          <cell r="T6130" t="str">
            <v>ES</v>
          </cell>
        </row>
        <row r="6131">
          <cell r="K6131">
            <v>12000</v>
          </cell>
          <cell r="P6131" t="str">
            <v>90122101-52071104</v>
          </cell>
          <cell r="S6131" t="str">
            <v>2026A-07</v>
          </cell>
          <cell r="T6131" t="str">
            <v>PSPI</v>
          </cell>
        </row>
        <row r="6132">
          <cell r="K6132">
            <v>90</v>
          </cell>
          <cell r="P6132" t="str">
            <v>90111101-61031101</v>
          </cell>
          <cell r="S6132" t="str">
            <v>2026A-07</v>
          </cell>
          <cell r="T6132" t="str">
            <v>DST</v>
          </cell>
        </row>
        <row r="6133">
          <cell r="K6133">
            <v>3847.68</v>
          </cell>
          <cell r="P6133" t="str">
            <v>81319101-52041405</v>
          </cell>
          <cell r="S6133" t="str">
            <v>2026A-07</v>
          </cell>
          <cell r="T6133" t="str">
            <v>ES</v>
          </cell>
        </row>
        <row r="6134">
          <cell r="K6134">
            <v>534.82000000000005</v>
          </cell>
          <cell r="P6134" t="str">
            <v>81123102-52951101</v>
          </cell>
          <cell r="S6134" t="str">
            <v>2026A-07</v>
          </cell>
          <cell r="T6134" t="str">
            <v>Mobile Phones</v>
          </cell>
        </row>
        <row r="6135">
          <cell r="K6135">
            <v>891.96</v>
          </cell>
          <cell r="P6135" t="str">
            <v>81123102-52951101</v>
          </cell>
          <cell r="S6135" t="str">
            <v>2026A-07</v>
          </cell>
          <cell r="T6135" t="str">
            <v>Mobile Phones</v>
          </cell>
        </row>
        <row r="6136">
          <cell r="K6136">
            <v>534.82000000000005</v>
          </cell>
          <cell r="P6136" t="str">
            <v>81123102-52951101</v>
          </cell>
          <cell r="S6136" t="str">
            <v>2026A-07</v>
          </cell>
          <cell r="T6136" t="str">
            <v>Mobile Phones</v>
          </cell>
        </row>
        <row r="6137">
          <cell r="K6137">
            <v>891.96</v>
          </cell>
          <cell r="P6137" t="str">
            <v>81123102-52951101</v>
          </cell>
          <cell r="S6137" t="str">
            <v>2026A-07</v>
          </cell>
          <cell r="T6137" t="str">
            <v>Mobile Phones</v>
          </cell>
        </row>
        <row r="6138">
          <cell r="K6138">
            <v>713.39</v>
          </cell>
          <cell r="P6138" t="str">
            <v>81123102-52951101</v>
          </cell>
          <cell r="S6138" t="str">
            <v>2026A-07</v>
          </cell>
          <cell r="T6138" t="str">
            <v>Mobile Phones</v>
          </cell>
        </row>
        <row r="6139">
          <cell r="K6139">
            <v>534.82000000000005</v>
          </cell>
          <cell r="P6139" t="str">
            <v>81123102-52951101</v>
          </cell>
          <cell r="S6139" t="str">
            <v>2026A-07</v>
          </cell>
          <cell r="T6139" t="str">
            <v>Mobile Phones</v>
          </cell>
        </row>
        <row r="6140">
          <cell r="K6140">
            <v>713.39</v>
          </cell>
          <cell r="P6140" t="str">
            <v>81123102-52951101</v>
          </cell>
          <cell r="S6140" t="str">
            <v>2026A-07</v>
          </cell>
          <cell r="T6140" t="str">
            <v>Mobile Phones</v>
          </cell>
        </row>
        <row r="6141">
          <cell r="K6141">
            <v>891.96</v>
          </cell>
          <cell r="P6141" t="str">
            <v>81123102-52951101</v>
          </cell>
          <cell r="S6141" t="str">
            <v>2026A-07</v>
          </cell>
          <cell r="T6141" t="str">
            <v>Mobile Phones</v>
          </cell>
        </row>
        <row r="6142">
          <cell r="K6142">
            <v>713.39</v>
          </cell>
          <cell r="P6142" t="str">
            <v>81123102-52951101</v>
          </cell>
          <cell r="S6142" t="str">
            <v>2026A-07</v>
          </cell>
          <cell r="T6142" t="str">
            <v>Mobile Phones</v>
          </cell>
        </row>
        <row r="6143">
          <cell r="K6143">
            <v>713.39</v>
          </cell>
          <cell r="P6143" t="str">
            <v>81123102-52951101</v>
          </cell>
          <cell r="S6143" t="str">
            <v>2026A-07</v>
          </cell>
          <cell r="T6143" t="str">
            <v>Mobile Phones</v>
          </cell>
        </row>
        <row r="6144">
          <cell r="K6144">
            <v>1159.82</v>
          </cell>
          <cell r="P6144" t="str">
            <v>81123102-52951101</v>
          </cell>
          <cell r="S6144" t="str">
            <v>2026A-07</v>
          </cell>
          <cell r="T6144" t="str">
            <v>Mobile Phones</v>
          </cell>
        </row>
        <row r="6145">
          <cell r="K6145">
            <v>1159.82</v>
          </cell>
          <cell r="P6145" t="str">
            <v>81123102-52951101</v>
          </cell>
          <cell r="S6145" t="str">
            <v>2026A-07</v>
          </cell>
          <cell r="T6145" t="str">
            <v>Mobile Phones</v>
          </cell>
        </row>
        <row r="6146">
          <cell r="K6146">
            <v>891.96</v>
          </cell>
          <cell r="P6146" t="str">
            <v>81123102-52951101</v>
          </cell>
          <cell r="S6146" t="str">
            <v>2026A-07</v>
          </cell>
          <cell r="T6146" t="str">
            <v>Mobile Phones</v>
          </cell>
        </row>
        <row r="6147">
          <cell r="K6147">
            <v>713.39</v>
          </cell>
          <cell r="P6147" t="str">
            <v>81123102-52951101</v>
          </cell>
          <cell r="S6147" t="str">
            <v>2026A-07</v>
          </cell>
          <cell r="T6147" t="str">
            <v>Mobile Phones</v>
          </cell>
        </row>
        <row r="6148">
          <cell r="K6148">
            <v>572.02</v>
          </cell>
          <cell r="P6148" t="str">
            <v>81123102-52951101</v>
          </cell>
          <cell r="S6148" t="str">
            <v>2026A-07</v>
          </cell>
          <cell r="T6148" t="str">
            <v>Mobile Phones</v>
          </cell>
        </row>
        <row r="6149">
          <cell r="K6149">
            <v>891.96</v>
          </cell>
          <cell r="P6149" t="str">
            <v>81123102-52951101</v>
          </cell>
          <cell r="S6149" t="str">
            <v>2026A-07</v>
          </cell>
          <cell r="T6149" t="str">
            <v>Mobile Phones</v>
          </cell>
        </row>
        <row r="6150">
          <cell r="K6150">
            <v>891.96</v>
          </cell>
          <cell r="P6150" t="str">
            <v>81123102-52951101</v>
          </cell>
          <cell r="S6150" t="str">
            <v>2026A-07</v>
          </cell>
          <cell r="T6150" t="str">
            <v>Mobile Phones</v>
          </cell>
        </row>
        <row r="6151">
          <cell r="K6151">
            <v>1159.82</v>
          </cell>
          <cell r="P6151" t="str">
            <v>81123102-52951101</v>
          </cell>
          <cell r="S6151" t="str">
            <v>2026A-07</v>
          </cell>
          <cell r="T6151" t="str">
            <v>Mobile Phones</v>
          </cell>
        </row>
        <row r="6152">
          <cell r="K6152">
            <v>979.46</v>
          </cell>
          <cell r="P6152" t="str">
            <v>81123102-52951101</v>
          </cell>
          <cell r="S6152" t="str">
            <v>2026A-07</v>
          </cell>
          <cell r="T6152" t="str">
            <v>Mobile Phones</v>
          </cell>
        </row>
        <row r="6153">
          <cell r="K6153">
            <v>713.39</v>
          </cell>
          <cell r="P6153" t="str">
            <v>81123102-52951101</v>
          </cell>
          <cell r="S6153" t="str">
            <v>2026A-07</v>
          </cell>
          <cell r="T6153" t="str">
            <v>Mobile Phones</v>
          </cell>
        </row>
        <row r="6154">
          <cell r="K6154">
            <v>713.39</v>
          </cell>
          <cell r="P6154" t="str">
            <v>81123102-52951101</v>
          </cell>
          <cell r="S6154" t="str">
            <v>2026A-07</v>
          </cell>
          <cell r="T6154" t="str">
            <v>Mobile Phones</v>
          </cell>
        </row>
        <row r="6155">
          <cell r="K6155">
            <v>534.82000000000005</v>
          </cell>
          <cell r="P6155" t="str">
            <v>81123102-52951101</v>
          </cell>
          <cell r="S6155" t="str">
            <v>2026A-07</v>
          </cell>
          <cell r="T6155" t="str">
            <v>Mobile Phones</v>
          </cell>
        </row>
        <row r="6156">
          <cell r="K6156">
            <v>713.39</v>
          </cell>
          <cell r="P6156" t="str">
            <v>81123102-52951101</v>
          </cell>
          <cell r="S6156" t="str">
            <v>2026A-07</v>
          </cell>
          <cell r="T6156" t="str">
            <v>Mobile Phones</v>
          </cell>
        </row>
        <row r="6157">
          <cell r="K6157">
            <v>534.82000000000005</v>
          </cell>
          <cell r="P6157" t="str">
            <v>81123102-52951101</v>
          </cell>
          <cell r="S6157" t="str">
            <v>2026A-07</v>
          </cell>
          <cell r="T6157" t="str">
            <v>Mobile Phones</v>
          </cell>
        </row>
        <row r="6158">
          <cell r="K6158">
            <v>1159.82</v>
          </cell>
          <cell r="P6158" t="str">
            <v>81123102-52951101</v>
          </cell>
          <cell r="S6158" t="str">
            <v>2026A-07</v>
          </cell>
          <cell r="T6158" t="str">
            <v>Mobile Phones</v>
          </cell>
        </row>
        <row r="6159">
          <cell r="K6159">
            <v>1159.82</v>
          </cell>
          <cell r="P6159" t="str">
            <v>81123102-52951101</v>
          </cell>
          <cell r="S6159" t="str">
            <v>2026A-07</v>
          </cell>
          <cell r="T6159" t="str">
            <v>Mobile Phones</v>
          </cell>
        </row>
        <row r="6160">
          <cell r="K6160">
            <v>713.39</v>
          </cell>
          <cell r="P6160" t="str">
            <v>81123102-52951101</v>
          </cell>
          <cell r="S6160" t="str">
            <v>2026A-07</v>
          </cell>
          <cell r="T6160" t="str">
            <v>Mobile Phones</v>
          </cell>
        </row>
        <row r="6161">
          <cell r="K6161">
            <v>534.82000000000005</v>
          </cell>
          <cell r="P6161" t="str">
            <v>81123102-52951101</v>
          </cell>
          <cell r="S6161" t="str">
            <v>2026A-07</v>
          </cell>
          <cell r="T6161" t="str">
            <v>Mobile Phones</v>
          </cell>
        </row>
        <row r="6162">
          <cell r="K6162">
            <v>534.82000000000005</v>
          </cell>
          <cell r="P6162" t="str">
            <v>81123102-52951101</v>
          </cell>
          <cell r="S6162" t="str">
            <v>2026A-07</v>
          </cell>
          <cell r="T6162" t="str">
            <v>Mobile Phones</v>
          </cell>
        </row>
        <row r="6163">
          <cell r="K6163">
            <v>1606.25</v>
          </cell>
          <cell r="P6163" t="str">
            <v>81123102-52951101</v>
          </cell>
          <cell r="S6163" t="str">
            <v>2026A-07</v>
          </cell>
          <cell r="T6163" t="str">
            <v>Mobile Phones</v>
          </cell>
        </row>
        <row r="6164">
          <cell r="K6164">
            <v>534.82000000000005</v>
          </cell>
          <cell r="P6164" t="str">
            <v>81123102-52951101</v>
          </cell>
          <cell r="S6164" t="str">
            <v>2026A-07</v>
          </cell>
          <cell r="T6164" t="str">
            <v>Mobile Phones</v>
          </cell>
        </row>
        <row r="6165">
          <cell r="K6165">
            <v>891.96</v>
          </cell>
          <cell r="P6165" t="str">
            <v>81123102-52951101</v>
          </cell>
          <cell r="S6165" t="str">
            <v>2026A-07</v>
          </cell>
          <cell r="T6165" t="str">
            <v>Mobile Phones</v>
          </cell>
        </row>
        <row r="6166">
          <cell r="K6166">
            <v>572.02</v>
          </cell>
          <cell r="P6166" t="str">
            <v>81123102-52951101</v>
          </cell>
          <cell r="S6166" t="str">
            <v>2026A-07</v>
          </cell>
          <cell r="T6166" t="str">
            <v>Mobile Phones</v>
          </cell>
        </row>
        <row r="6167">
          <cell r="K6167">
            <v>713.39</v>
          </cell>
          <cell r="P6167" t="str">
            <v>81123102-52951101</v>
          </cell>
          <cell r="S6167" t="str">
            <v>2026A-07</v>
          </cell>
          <cell r="T6167" t="str">
            <v>Mobile Phones</v>
          </cell>
        </row>
        <row r="6168">
          <cell r="K6168">
            <v>891.96</v>
          </cell>
          <cell r="P6168" t="str">
            <v>81123102-52951101</v>
          </cell>
          <cell r="S6168" t="str">
            <v>2026A-07</v>
          </cell>
          <cell r="T6168" t="str">
            <v>Mobile Phones</v>
          </cell>
        </row>
        <row r="6169">
          <cell r="K6169">
            <v>1641.96</v>
          </cell>
          <cell r="P6169" t="str">
            <v>81123102-52951101</v>
          </cell>
          <cell r="S6169" t="str">
            <v>2026A-07</v>
          </cell>
          <cell r="T6169" t="str">
            <v>Mobile Phones</v>
          </cell>
        </row>
        <row r="6170">
          <cell r="K6170">
            <v>713.39</v>
          </cell>
          <cell r="P6170" t="str">
            <v>81123102-52951101</v>
          </cell>
          <cell r="S6170" t="str">
            <v>2026A-07</v>
          </cell>
          <cell r="T6170" t="str">
            <v>Mobile Phones</v>
          </cell>
        </row>
        <row r="6171">
          <cell r="K6171">
            <v>713.39</v>
          </cell>
          <cell r="P6171" t="str">
            <v>81123102-52951101</v>
          </cell>
          <cell r="S6171" t="str">
            <v>2026A-07</v>
          </cell>
          <cell r="T6171" t="str">
            <v>Mobile Phones</v>
          </cell>
        </row>
        <row r="6172">
          <cell r="K6172">
            <v>572.02</v>
          </cell>
          <cell r="P6172" t="str">
            <v>81123102-52951101</v>
          </cell>
          <cell r="S6172" t="str">
            <v>2026A-07</v>
          </cell>
          <cell r="T6172" t="str">
            <v>Mobile Phones</v>
          </cell>
        </row>
        <row r="6173">
          <cell r="K6173">
            <v>713.39</v>
          </cell>
          <cell r="P6173" t="str">
            <v>81123102-52951101</v>
          </cell>
          <cell r="S6173" t="str">
            <v>2026A-07</v>
          </cell>
          <cell r="T6173" t="str">
            <v>Mobile Phones</v>
          </cell>
        </row>
        <row r="6174">
          <cell r="K6174">
            <v>713.39</v>
          </cell>
          <cell r="P6174" t="str">
            <v>81123102-52951101</v>
          </cell>
          <cell r="S6174" t="str">
            <v>2026A-07</v>
          </cell>
          <cell r="T6174" t="str">
            <v>Mobile Phones</v>
          </cell>
        </row>
        <row r="6175">
          <cell r="K6175">
            <v>713.39</v>
          </cell>
          <cell r="P6175" t="str">
            <v>81123102-52951101</v>
          </cell>
          <cell r="S6175" t="str">
            <v>2026A-07</v>
          </cell>
          <cell r="T6175" t="str">
            <v>Mobile Phones</v>
          </cell>
        </row>
        <row r="6176">
          <cell r="K6176">
            <v>818.75</v>
          </cell>
          <cell r="P6176" t="str">
            <v>81123102-52951101</v>
          </cell>
          <cell r="S6176" t="str">
            <v>2026A-07</v>
          </cell>
          <cell r="T6176" t="str">
            <v>Mobile Phones</v>
          </cell>
        </row>
        <row r="6177">
          <cell r="K6177">
            <v>891.96</v>
          </cell>
          <cell r="P6177" t="str">
            <v>81123102-52951101</v>
          </cell>
          <cell r="S6177" t="str">
            <v>2026A-07</v>
          </cell>
          <cell r="T6177" t="str">
            <v>Mobile Phones</v>
          </cell>
        </row>
        <row r="6178">
          <cell r="K6178">
            <v>713.39</v>
          </cell>
          <cell r="P6178" t="str">
            <v>81123102-52951101</v>
          </cell>
          <cell r="S6178" t="str">
            <v>2026A-07</v>
          </cell>
          <cell r="T6178" t="str">
            <v>Mobile Phones</v>
          </cell>
        </row>
        <row r="6179">
          <cell r="K6179">
            <v>891.96</v>
          </cell>
          <cell r="P6179" t="str">
            <v>81123102-52951101</v>
          </cell>
          <cell r="S6179" t="str">
            <v>2026A-07</v>
          </cell>
          <cell r="T6179" t="str">
            <v>Mobile Phones</v>
          </cell>
        </row>
        <row r="6180">
          <cell r="K6180">
            <v>713.39</v>
          </cell>
          <cell r="P6180" t="str">
            <v>81123102-52951101</v>
          </cell>
          <cell r="S6180" t="str">
            <v>2026A-07</v>
          </cell>
          <cell r="T6180" t="str">
            <v>Mobile Phones</v>
          </cell>
        </row>
        <row r="6181">
          <cell r="K6181">
            <v>1319.91</v>
          </cell>
          <cell r="P6181" t="str">
            <v>81123102-52951101</v>
          </cell>
          <cell r="S6181" t="str">
            <v>2026A-07</v>
          </cell>
          <cell r="T6181" t="str">
            <v>Mobile Phones</v>
          </cell>
        </row>
        <row r="6182">
          <cell r="K6182">
            <v>713.39</v>
          </cell>
          <cell r="P6182" t="str">
            <v>81123102-52951101</v>
          </cell>
          <cell r="S6182" t="str">
            <v>2026A-07</v>
          </cell>
          <cell r="T6182" t="str">
            <v>Mobile Phones</v>
          </cell>
        </row>
        <row r="6183">
          <cell r="K6183">
            <v>891.96</v>
          </cell>
          <cell r="P6183" t="str">
            <v>81123102-52951101</v>
          </cell>
          <cell r="S6183" t="str">
            <v>2026A-07</v>
          </cell>
          <cell r="T6183" t="str">
            <v>Mobile Phones</v>
          </cell>
        </row>
        <row r="6184">
          <cell r="K6184">
            <v>713.39</v>
          </cell>
          <cell r="P6184" t="str">
            <v>81123102-52951101</v>
          </cell>
          <cell r="S6184" t="str">
            <v>2026A-07</v>
          </cell>
          <cell r="T6184" t="str">
            <v>Mobile Phones</v>
          </cell>
        </row>
        <row r="6185">
          <cell r="K6185">
            <v>713.39</v>
          </cell>
          <cell r="P6185" t="str">
            <v>81123102-52951101</v>
          </cell>
          <cell r="S6185" t="str">
            <v>2026A-07</v>
          </cell>
          <cell r="T6185" t="str">
            <v>Mobile Phones</v>
          </cell>
        </row>
        <row r="6186">
          <cell r="K6186">
            <v>891.96</v>
          </cell>
          <cell r="P6186" t="str">
            <v>81123102-52951101</v>
          </cell>
          <cell r="S6186" t="str">
            <v>2026A-07</v>
          </cell>
          <cell r="T6186" t="str">
            <v>Mobile Phones</v>
          </cell>
        </row>
        <row r="6187">
          <cell r="K6187">
            <v>572.02</v>
          </cell>
          <cell r="P6187" t="str">
            <v>81123102-52951101</v>
          </cell>
          <cell r="S6187" t="str">
            <v>2026A-07</v>
          </cell>
          <cell r="T6187" t="str">
            <v>Mobile Phones</v>
          </cell>
        </row>
        <row r="6188">
          <cell r="K6188">
            <v>1338.39</v>
          </cell>
          <cell r="P6188" t="str">
            <v>81123102-52951101</v>
          </cell>
          <cell r="S6188" t="str">
            <v>2026A-07</v>
          </cell>
          <cell r="T6188" t="str">
            <v>Mobile Phones</v>
          </cell>
        </row>
        <row r="6189">
          <cell r="K6189">
            <v>534.82000000000005</v>
          </cell>
          <cell r="P6189" t="str">
            <v>81123102-52951101</v>
          </cell>
          <cell r="S6189" t="str">
            <v>2026A-07</v>
          </cell>
          <cell r="T6189" t="str">
            <v>Mobile Phones</v>
          </cell>
        </row>
        <row r="6190">
          <cell r="K6190">
            <v>713.39</v>
          </cell>
          <cell r="P6190" t="str">
            <v>81123102-52951101</v>
          </cell>
          <cell r="S6190" t="str">
            <v>2026A-07</v>
          </cell>
          <cell r="T6190" t="str">
            <v>Mobile Phones</v>
          </cell>
        </row>
        <row r="6191">
          <cell r="K6191">
            <v>713.39</v>
          </cell>
          <cell r="P6191" t="str">
            <v>81123102-52951101</v>
          </cell>
          <cell r="S6191" t="str">
            <v>2026A-07</v>
          </cell>
          <cell r="T6191" t="str">
            <v>Mobile Phones</v>
          </cell>
        </row>
        <row r="6192">
          <cell r="K6192">
            <v>803.22</v>
          </cell>
          <cell r="P6192" t="str">
            <v>81123102-52951101</v>
          </cell>
          <cell r="S6192" t="str">
            <v>2026A-07</v>
          </cell>
          <cell r="T6192" t="str">
            <v>Mobile Phones</v>
          </cell>
        </row>
        <row r="6193">
          <cell r="K6193">
            <v>713.39</v>
          </cell>
          <cell r="P6193" t="str">
            <v>81123102-52951101</v>
          </cell>
          <cell r="S6193" t="str">
            <v>2026A-07</v>
          </cell>
          <cell r="T6193" t="str">
            <v>Mobile Phones</v>
          </cell>
        </row>
        <row r="6194">
          <cell r="K6194">
            <v>1093.8599999999999</v>
          </cell>
          <cell r="P6194" t="str">
            <v>81123102-52951101</v>
          </cell>
          <cell r="S6194" t="str">
            <v>2026A-07</v>
          </cell>
          <cell r="T6194" t="str">
            <v>Mobile Phones</v>
          </cell>
        </row>
        <row r="6195">
          <cell r="K6195">
            <v>534.82000000000005</v>
          </cell>
          <cell r="P6195" t="str">
            <v>81123102-52951101</v>
          </cell>
          <cell r="S6195" t="str">
            <v>2026A-07</v>
          </cell>
          <cell r="T6195" t="str">
            <v>Mobile Phones</v>
          </cell>
        </row>
        <row r="6196">
          <cell r="K6196">
            <v>1093.8599999999999</v>
          </cell>
          <cell r="P6196" t="str">
            <v>81123102-52951101</v>
          </cell>
          <cell r="S6196" t="str">
            <v>2026A-07</v>
          </cell>
          <cell r="T6196" t="str">
            <v>Mobile Phones</v>
          </cell>
        </row>
        <row r="6197">
          <cell r="K6197">
            <v>891.96</v>
          </cell>
          <cell r="P6197" t="str">
            <v>81123102-52951101</v>
          </cell>
          <cell r="S6197" t="str">
            <v>2026A-07</v>
          </cell>
          <cell r="T6197" t="str">
            <v>Mobile Phones</v>
          </cell>
        </row>
        <row r="6198">
          <cell r="K6198">
            <v>572.02</v>
          </cell>
          <cell r="P6198" t="str">
            <v>81123102-52951101</v>
          </cell>
          <cell r="S6198" t="str">
            <v>2026A-07</v>
          </cell>
          <cell r="T6198" t="str">
            <v>Mobile Phones</v>
          </cell>
        </row>
        <row r="6199">
          <cell r="K6199">
            <v>534.82000000000005</v>
          </cell>
          <cell r="P6199" t="str">
            <v>81123102-52951101</v>
          </cell>
          <cell r="S6199" t="str">
            <v>2026A-07</v>
          </cell>
          <cell r="T6199" t="str">
            <v>Mobile Phones</v>
          </cell>
        </row>
        <row r="6200">
          <cell r="K6200">
            <v>891.96</v>
          </cell>
          <cell r="P6200" t="str">
            <v>81123102-52951101</v>
          </cell>
          <cell r="S6200" t="str">
            <v>2026A-07</v>
          </cell>
          <cell r="T6200" t="str">
            <v>Mobile Phones</v>
          </cell>
        </row>
        <row r="6201">
          <cell r="K6201">
            <v>1159.82</v>
          </cell>
          <cell r="P6201" t="str">
            <v>81123102-52951101</v>
          </cell>
          <cell r="S6201" t="str">
            <v>2026A-07</v>
          </cell>
          <cell r="T6201" t="str">
            <v>Mobile Phones</v>
          </cell>
        </row>
        <row r="6202">
          <cell r="K6202">
            <v>1159.82</v>
          </cell>
          <cell r="P6202" t="str">
            <v>81123102-52951101</v>
          </cell>
          <cell r="S6202" t="str">
            <v>2026A-07</v>
          </cell>
          <cell r="T6202" t="str">
            <v>Mobile Phones</v>
          </cell>
        </row>
        <row r="6203">
          <cell r="K6203">
            <v>1159.82</v>
          </cell>
          <cell r="P6203" t="str">
            <v>81123102-52951101</v>
          </cell>
          <cell r="S6203" t="str">
            <v>2026A-07</v>
          </cell>
          <cell r="T6203" t="str">
            <v>Mobile Phones</v>
          </cell>
        </row>
        <row r="6204">
          <cell r="K6204">
            <v>713.39</v>
          </cell>
          <cell r="P6204" t="str">
            <v>81123102-52951101</v>
          </cell>
          <cell r="S6204" t="str">
            <v>2026A-07</v>
          </cell>
          <cell r="T6204" t="str">
            <v>Mobile Phones</v>
          </cell>
        </row>
        <row r="6205">
          <cell r="K6205">
            <v>713.39</v>
          </cell>
          <cell r="P6205" t="str">
            <v>81123102-52951101</v>
          </cell>
          <cell r="S6205" t="str">
            <v>2026A-07</v>
          </cell>
          <cell r="T6205" t="str">
            <v>Mobile Phones</v>
          </cell>
        </row>
        <row r="6206">
          <cell r="K6206">
            <v>891.96</v>
          </cell>
          <cell r="P6206" t="str">
            <v>81123102-52951101</v>
          </cell>
          <cell r="S6206" t="str">
            <v>2026A-07</v>
          </cell>
          <cell r="T6206" t="str">
            <v>Mobile Phones</v>
          </cell>
        </row>
        <row r="6207">
          <cell r="K6207">
            <v>713.39</v>
          </cell>
          <cell r="P6207" t="str">
            <v>81123102-52951101</v>
          </cell>
          <cell r="S6207" t="str">
            <v>2026A-07</v>
          </cell>
          <cell r="T6207" t="str">
            <v>Mobile Phones</v>
          </cell>
        </row>
        <row r="6208">
          <cell r="K6208">
            <v>1159.82</v>
          </cell>
          <cell r="P6208" t="str">
            <v>81123102-52951101</v>
          </cell>
          <cell r="S6208" t="str">
            <v>2026A-07</v>
          </cell>
          <cell r="T6208" t="str">
            <v>Mobile Phones</v>
          </cell>
        </row>
        <row r="6209">
          <cell r="K6209">
            <v>891.96</v>
          </cell>
          <cell r="P6209" t="str">
            <v>81123102-52951101</v>
          </cell>
          <cell r="S6209" t="str">
            <v>2026A-07</v>
          </cell>
          <cell r="T6209" t="str">
            <v>Mobile Phones</v>
          </cell>
        </row>
        <row r="6210">
          <cell r="K6210">
            <v>534.82000000000005</v>
          </cell>
          <cell r="P6210" t="str">
            <v>81123102-52951101</v>
          </cell>
          <cell r="S6210" t="str">
            <v>2026A-07</v>
          </cell>
          <cell r="T6210" t="str">
            <v>Mobile Phones</v>
          </cell>
        </row>
        <row r="6211">
          <cell r="K6211">
            <v>713.39</v>
          </cell>
          <cell r="P6211" t="str">
            <v>81123102-52951101</v>
          </cell>
          <cell r="S6211" t="str">
            <v>2026A-07</v>
          </cell>
          <cell r="T6211" t="str">
            <v>Mobile Phones</v>
          </cell>
        </row>
        <row r="6212">
          <cell r="K6212">
            <v>534.82000000000005</v>
          </cell>
          <cell r="P6212" t="str">
            <v>81123102-52951101</v>
          </cell>
          <cell r="S6212" t="str">
            <v>2026A-07</v>
          </cell>
          <cell r="T6212" t="str">
            <v>Mobile Phones</v>
          </cell>
        </row>
        <row r="6213">
          <cell r="K6213">
            <v>713.39</v>
          </cell>
          <cell r="P6213" t="str">
            <v>81123102-52951101</v>
          </cell>
          <cell r="S6213" t="str">
            <v>2026A-07</v>
          </cell>
          <cell r="T6213" t="str">
            <v>Mobile Phones</v>
          </cell>
        </row>
        <row r="6214">
          <cell r="K6214">
            <v>713.39</v>
          </cell>
          <cell r="P6214" t="str">
            <v>81123102-52951101</v>
          </cell>
          <cell r="S6214" t="str">
            <v>2026A-07</v>
          </cell>
          <cell r="T6214" t="str">
            <v>Mobile Phones</v>
          </cell>
        </row>
        <row r="6215">
          <cell r="K6215">
            <v>534.82000000000005</v>
          </cell>
          <cell r="P6215" t="str">
            <v>81123102-52951101</v>
          </cell>
          <cell r="S6215" t="str">
            <v>2026A-07</v>
          </cell>
          <cell r="T6215" t="str">
            <v>Mobile Phones</v>
          </cell>
        </row>
        <row r="6216">
          <cell r="K6216">
            <v>713.39</v>
          </cell>
          <cell r="P6216" t="str">
            <v>81123102-52951101</v>
          </cell>
          <cell r="S6216" t="str">
            <v>2026A-07</v>
          </cell>
          <cell r="T6216" t="str">
            <v>Mobile Phones</v>
          </cell>
        </row>
        <row r="6217">
          <cell r="K6217">
            <v>891.96</v>
          </cell>
          <cell r="P6217" t="str">
            <v>81123102-52951101</v>
          </cell>
          <cell r="S6217" t="str">
            <v>2026A-07</v>
          </cell>
          <cell r="T6217" t="str">
            <v>Mobile Phones</v>
          </cell>
        </row>
        <row r="6218">
          <cell r="K6218">
            <v>1159.82</v>
          </cell>
          <cell r="P6218" t="str">
            <v>81123102-52951101</v>
          </cell>
          <cell r="S6218" t="str">
            <v>2026A-07</v>
          </cell>
          <cell r="T6218" t="str">
            <v>Mobile Phones</v>
          </cell>
        </row>
        <row r="6219">
          <cell r="K6219">
            <v>891.96</v>
          </cell>
          <cell r="P6219" t="str">
            <v>81123102-52951101</v>
          </cell>
          <cell r="S6219" t="str">
            <v>2026A-07</v>
          </cell>
          <cell r="T6219" t="str">
            <v>Mobile Phones</v>
          </cell>
        </row>
        <row r="6220">
          <cell r="K6220">
            <v>1159.82</v>
          </cell>
          <cell r="P6220" t="str">
            <v>81123102-52951101</v>
          </cell>
          <cell r="S6220" t="str">
            <v>2026A-07</v>
          </cell>
          <cell r="T6220" t="str">
            <v>Mobile Phones</v>
          </cell>
        </row>
        <row r="6221">
          <cell r="K6221">
            <v>1337.5</v>
          </cell>
          <cell r="P6221" t="str">
            <v>81123102-52951101</v>
          </cell>
          <cell r="S6221" t="str">
            <v>2026A-07</v>
          </cell>
          <cell r="T6221" t="str">
            <v>Mobile Phones</v>
          </cell>
        </row>
        <row r="6222">
          <cell r="K6222">
            <v>1159.82</v>
          </cell>
          <cell r="P6222" t="str">
            <v>81123102-52951101</v>
          </cell>
          <cell r="S6222" t="str">
            <v>2026A-07</v>
          </cell>
          <cell r="T6222" t="str">
            <v>Mobile Phones</v>
          </cell>
        </row>
        <row r="6223">
          <cell r="K6223">
            <v>1093.8599999999999</v>
          </cell>
          <cell r="P6223" t="str">
            <v>81123102-52951101</v>
          </cell>
          <cell r="S6223" t="str">
            <v>2026A-07</v>
          </cell>
          <cell r="T6223" t="str">
            <v>Mobile Phones</v>
          </cell>
        </row>
        <row r="6224">
          <cell r="K6224">
            <v>713.39</v>
          </cell>
          <cell r="P6224" t="str">
            <v>81123102-52951101</v>
          </cell>
          <cell r="S6224" t="str">
            <v>2026A-07</v>
          </cell>
          <cell r="T6224" t="str">
            <v>Mobile Phones</v>
          </cell>
        </row>
        <row r="6225">
          <cell r="K6225">
            <v>534.82000000000005</v>
          </cell>
          <cell r="P6225" t="str">
            <v>81123102-52951101</v>
          </cell>
          <cell r="S6225" t="str">
            <v>2026A-07</v>
          </cell>
          <cell r="T6225" t="str">
            <v>Mobile Phones</v>
          </cell>
        </row>
        <row r="6226">
          <cell r="K6226">
            <v>891.96</v>
          </cell>
          <cell r="P6226" t="str">
            <v>81123102-52951101</v>
          </cell>
          <cell r="S6226" t="str">
            <v>2026A-07</v>
          </cell>
          <cell r="T6226" t="str">
            <v>Mobile Phones</v>
          </cell>
        </row>
        <row r="6227">
          <cell r="K6227">
            <v>713.39</v>
          </cell>
          <cell r="P6227" t="str">
            <v>81123102-52951101</v>
          </cell>
          <cell r="S6227" t="str">
            <v>2026A-07</v>
          </cell>
          <cell r="T6227" t="str">
            <v>Mobile Phones</v>
          </cell>
        </row>
        <row r="6228">
          <cell r="K6228">
            <v>1159.82</v>
          </cell>
          <cell r="P6228" t="str">
            <v>81123102-52951101</v>
          </cell>
          <cell r="S6228" t="str">
            <v>2026A-07</v>
          </cell>
          <cell r="T6228" t="str">
            <v>Mobile Phones</v>
          </cell>
        </row>
        <row r="6229">
          <cell r="K6229">
            <v>1159.82</v>
          </cell>
          <cell r="P6229" t="str">
            <v>81123102-52951101</v>
          </cell>
          <cell r="S6229" t="str">
            <v>2026A-07</v>
          </cell>
          <cell r="T6229" t="str">
            <v>Mobile Phones</v>
          </cell>
        </row>
        <row r="6230">
          <cell r="K6230">
            <v>2047.04</v>
          </cell>
          <cell r="P6230" t="str">
            <v>81123102-52951101</v>
          </cell>
          <cell r="S6230" t="str">
            <v>2026A-07</v>
          </cell>
          <cell r="T6230" t="str">
            <v>Mobile Phones</v>
          </cell>
        </row>
        <row r="6231">
          <cell r="K6231">
            <v>1093.8599999999999</v>
          </cell>
          <cell r="P6231" t="str">
            <v>81123102-52951101</v>
          </cell>
          <cell r="S6231" t="str">
            <v>2026A-07</v>
          </cell>
          <cell r="T6231" t="str">
            <v>Mobile Phones</v>
          </cell>
        </row>
        <row r="6232">
          <cell r="K6232">
            <v>534.82000000000005</v>
          </cell>
          <cell r="P6232" t="str">
            <v>81123102-52951101</v>
          </cell>
          <cell r="S6232" t="str">
            <v>2026A-07</v>
          </cell>
          <cell r="T6232" t="str">
            <v>Mobile Phones</v>
          </cell>
        </row>
        <row r="6233">
          <cell r="K6233">
            <v>534.82000000000005</v>
          </cell>
          <cell r="P6233" t="str">
            <v>81123102-52951101</v>
          </cell>
          <cell r="S6233" t="str">
            <v>2026A-07</v>
          </cell>
          <cell r="T6233" t="str">
            <v>Mobile Phones</v>
          </cell>
        </row>
        <row r="6234">
          <cell r="K6234">
            <v>2231.25</v>
          </cell>
          <cell r="P6234" t="str">
            <v>81123102-52951101</v>
          </cell>
          <cell r="S6234" t="str">
            <v>2026A-07</v>
          </cell>
          <cell r="T6234" t="str">
            <v>Mobile Phones</v>
          </cell>
        </row>
        <row r="6235">
          <cell r="K6235">
            <v>713.39</v>
          </cell>
          <cell r="P6235" t="str">
            <v>81123102-52951101</v>
          </cell>
          <cell r="S6235" t="str">
            <v>2026A-07</v>
          </cell>
          <cell r="T6235" t="str">
            <v>Mobile Phones</v>
          </cell>
        </row>
        <row r="6236">
          <cell r="K6236">
            <v>1515.18</v>
          </cell>
          <cell r="P6236" t="str">
            <v>81123102-52951101</v>
          </cell>
          <cell r="S6236" t="str">
            <v>2026A-07</v>
          </cell>
          <cell r="T6236" t="str">
            <v>Mobile Phones</v>
          </cell>
        </row>
        <row r="6237">
          <cell r="K6237">
            <v>1159.82</v>
          </cell>
          <cell r="P6237" t="str">
            <v>81123102-52951101</v>
          </cell>
          <cell r="S6237" t="str">
            <v>2026A-07</v>
          </cell>
          <cell r="T6237" t="str">
            <v>Mobile Phones</v>
          </cell>
        </row>
        <row r="6238">
          <cell r="K6238">
            <v>534.82000000000005</v>
          </cell>
          <cell r="P6238" t="str">
            <v>81123102-52951101</v>
          </cell>
          <cell r="S6238" t="str">
            <v>2026A-07</v>
          </cell>
          <cell r="T6238" t="str">
            <v>Mobile Phones</v>
          </cell>
        </row>
        <row r="6239">
          <cell r="K6239">
            <v>534.82000000000005</v>
          </cell>
          <cell r="P6239" t="str">
            <v>81123102-52951101</v>
          </cell>
          <cell r="S6239" t="str">
            <v>2026A-07</v>
          </cell>
          <cell r="T6239" t="str">
            <v>Mobile Phones</v>
          </cell>
        </row>
        <row r="6240">
          <cell r="K6240">
            <v>713.39</v>
          </cell>
          <cell r="P6240" t="str">
            <v>81123102-52951101</v>
          </cell>
          <cell r="S6240" t="str">
            <v>2026A-07</v>
          </cell>
          <cell r="T6240" t="str">
            <v>Mobile Phones</v>
          </cell>
        </row>
        <row r="6241">
          <cell r="K6241">
            <v>5293.1</v>
          </cell>
          <cell r="P6241" t="str">
            <v>81123102-52951101</v>
          </cell>
          <cell r="S6241" t="str">
            <v>2026A-07</v>
          </cell>
          <cell r="T6241" t="str">
            <v>Mobile Phones</v>
          </cell>
        </row>
        <row r="6242">
          <cell r="K6242">
            <v>713.39</v>
          </cell>
          <cell r="P6242" t="str">
            <v>81123102-52951101</v>
          </cell>
          <cell r="S6242" t="str">
            <v>2026A-07</v>
          </cell>
          <cell r="T6242" t="str">
            <v>Mobile Phones</v>
          </cell>
        </row>
        <row r="6243">
          <cell r="K6243">
            <v>891.96</v>
          </cell>
          <cell r="P6243" t="str">
            <v>81123102-52951101</v>
          </cell>
          <cell r="S6243" t="str">
            <v>2026A-07</v>
          </cell>
          <cell r="T6243" t="str">
            <v>Mobile Phones</v>
          </cell>
        </row>
        <row r="6244">
          <cell r="K6244">
            <v>534.82000000000005</v>
          </cell>
          <cell r="P6244" t="str">
            <v>81123102-52951101</v>
          </cell>
          <cell r="S6244" t="str">
            <v>2026A-07</v>
          </cell>
          <cell r="T6244" t="str">
            <v>Mobile Phones</v>
          </cell>
        </row>
        <row r="6245">
          <cell r="K6245">
            <v>534.82000000000005</v>
          </cell>
          <cell r="P6245" t="str">
            <v>81123102-52951101</v>
          </cell>
          <cell r="S6245" t="str">
            <v>2026A-07</v>
          </cell>
          <cell r="T6245" t="str">
            <v>Mobile Phones</v>
          </cell>
        </row>
        <row r="6246">
          <cell r="K6246">
            <v>534.82000000000005</v>
          </cell>
          <cell r="P6246" t="str">
            <v>81123102-52951101</v>
          </cell>
          <cell r="S6246" t="str">
            <v>2026A-07</v>
          </cell>
          <cell r="T6246" t="str">
            <v>Mobile Phones</v>
          </cell>
        </row>
        <row r="6247">
          <cell r="K6247">
            <v>713.39</v>
          </cell>
          <cell r="P6247" t="str">
            <v>81123102-52951101</v>
          </cell>
          <cell r="S6247" t="str">
            <v>2026A-07</v>
          </cell>
          <cell r="T6247" t="str">
            <v>Mobile Phones</v>
          </cell>
        </row>
        <row r="6248">
          <cell r="K6248">
            <v>534.82000000000005</v>
          </cell>
          <cell r="P6248" t="str">
            <v>81123102-52951101</v>
          </cell>
          <cell r="S6248" t="str">
            <v>2026A-07</v>
          </cell>
          <cell r="T6248" t="str">
            <v>Mobile Phones</v>
          </cell>
        </row>
        <row r="6249">
          <cell r="K6249">
            <v>534.82000000000005</v>
          </cell>
          <cell r="P6249" t="str">
            <v>81123102-52951101</v>
          </cell>
          <cell r="S6249" t="str">
            <v>2026A-07</v>
          </cell>
          <cell r="T6249" t="str">
            <v>Mobile Phones</v>
          </cell>
        </row>
        <row r="6250">
          <cell r="K6250">
            <v>534.82000000000005</v>
          </cell>
          <cell r="P6250" t="str">
            <v>81123102-52951101</v>
          </cell>
          <cell r="S6250" t="str">
            <v>2026A-07</v>
          </cell>
          <cell r="T6250" t="str">
            <v>Mobile Phones</v>
          </cell>
        </row>
        <row r="6251">
          <cell r="K6251">
            <v>758.04</v>
          </cell>
          <cell r="P6251" t="str">
            <v>81123102-52951101</v>
          </cell>
          <cell r="S6251" t="str">
            <v>2026A-07</v>
          </cell>
          <cell r="T6251" t="str">
            <v>Mobile Phones</v>
          </cell>
        </row>
        <row r="6252">
          <cell r="K6252">
            <v>534.82000000000005</v>
          </cell>
          <cell r="P6252" t="str">
            <v>81123102-52951101</v>
          </cell>
          <cell r="S6252" t="str">
            <v>2026A-07</v>
          </cell>
          <cell r="T6252" t="str">
            <v>Mobile Phones</v>
          </cell>
        </row>
        <row r="6253">
          <cell r="K6253">
            <v>534.82000000000005</v>
          </cell>
          <cell r="P6253" t="str">
            <v>81123102-52951101</v>
          </cell>
          <cell r="S6253" t="str">
            <v>2026A-07</v>
          </cell>
          <cell r="T6253" t="str">
            <v>Mobile Phones</v>
          </cell>
        </row>
        <row r="6254">
          <cell r="K6254">
            <v>534.82000000000005</v>
          </cell>
          <cell r="P6254" t="str">
            <v>81123102-52951101</v>
          </cell>
          <cell r="S6254" t="str">
            <v>2026A-07</v>
          </cell>
          <cell r="T6254" t="str">
            <v>Mobile Phones</v>
          </cell>
        </row>
        <row r="6255">
          <cell r="K6255">
            <v>2231.25</v>
          </cell>
          <cell r="P6255" t="str">
            <v>81123102-52951101</v>
          </cell>
          <cell r="S6255" t="str">
            <v>2026A-07</v>
          </cell>
          <cell r="T6255" t="str">
            <v>Mobile Phones</v>
          </cell>
        </row>
        <row r="6256">
          <cell r="K6256">
            <v>713.39</v>
          </cell>
          <cell r="P6256" t="str">
            <v>81123102-52951101</v>
          </cell>
          <cell r="S6256" t="str">
            <v>2026A-07</v>
          </cell>
          <cell r="T6256" t="str">
            <v>Mobile Phones</v>
          </cell>
        </row>
        <row r="6257">
          <cell r="K6257">
            <v>1338.39</v>
          </cell>
          <cell r="P6257" t="str">
            <v>81123102-52951101</v>
          </cell>
          <cell r="S6257" t="str">
            <v>2026A-07</v>
          </cell>
          <cell r="T6257" t="str">
            <v>Mobile Phones</v>
          </cell>
        </row>
        <row r="6258">
          <cell r="K6258">
            <v>534.82000000000005</v>
          </cell>
          <cell r="P6258" t="str">
            <v>81123102-52951101</v>
          </cell>
          <cell r="S6258" t="str">
            <v>2026A-07</v>
          </cell>
          <cell r="T6258" t="str">
            <v>Mobile Phones</v>
          </cell>
        </row>
        <row r="6259">
          <cell r="K6259">
            <v>713.39</v>
          </cell>
          <cell r="P6259" t="str">
            <v>81123102-52951101</v>
          </cell>
          <cell r="S6259" t="str">
            <v>2026A-07</v>
          </cell>
          <cell r="T6259" t="str">
            <v>Mobile Phones</v>
          </cell>
        </row>
        <row r="6260">
          <cell r="K6260">
            <v>534.82000000000005</v>
          </cell>
          <cell r="P6260" t="str">
            <v>81123102-52951101</v>
          </cell>
          <cell r="S6260" t="str">
            <v>2026A-07</v>
          </cell>
          <cell r="T6260" t="str">
            <v>Mobile Phones</v>
          </cell>
        </row>
        <row r="6261">
          <cell r="K6261">
            <v>1093.8599999999999</v>
          </cell>
          <cell r="P6261" t="str">
            <v>81123102-52951101</v>
          </cell>
          <cell r="S6261" t="str">
            <v>2026A-07</v>
          </cell>
          <cell r="T6261" t="str">
            <v>Mobile Phones</v>
          </cell>
        </row>
        <row r="6262">
          <cell r="K6262">
            <v>534.82000000000005</v>
          </cell>
          <cell r="P6262" t="str">
            <v>81123102-52951101</v>
          </cell>
          <cell r="S6262" t="str">
            <v>2026A-07</v>
          </cell>
          <cell r="T6262" t="str">
            <v>Mobile Phones</v>
          </cell>
        </row>
        <row r="6263">
          <cell r="K6263">
            <v>534.82000000000005</v>
          </cell>
          <cell r="P6263" t="str">
            <v>81123102-52951101</v>
          </cell>
          <cell r="S6263" t="str">
            <v>2026A-07</v>
          </cell>
          <cell r="T6263" t="str">
            <v>Mobile Phones</v>
          </cell>
        </row>
        <row r="6264">
          <cell r="K6264">
            <v>1278.48</v>
          </cell>
          <cell r="P6264" t="str">
            <v>81123102-52951101</v>
          </cell>
          <cell r="S6264" t="str">
            <v>2026A-07</v>
          </cell>
          <cell r="T6264" t="str">
            <v>Mobile Phones</v>
          </cell>
        </row>
        <row r="6265">
          <cell r="K6265">
            <v>1918.36</v>
          </cell>
          <cell r="P6265" t="str">
            <v>81123102-52951101</v>
          </cell>
          <cell r="S6265" t="str">
            <v>2026A-07</v>
          </cell>
          <cell r="T6265" t="str">
            <v>Mobile Phones</v>
          </cell>
        </row>
        <row r="6266">
          <cell r="K6266">
            <v>1328.31</v>
          </cell>
          <cell r="P6266" t="str">
            <v>81123102-52951101</v>
          </cell>
          <cell r="S6266" t="str">
            <v>2026A-07</v>
          </cell>
          <cell r="T6266" t="str">
            <v>Mobile Phones</v>
          </cell>
        </row>
        <row r="6267">
          <cell r="K6267">
            <v>1918.36</v>
          </cell>
          <cell r="P6267" t="str">
            <v>81123102-52951101</v>
          </cell>
          <cell r="S6267" t="str">
            <v>2026A-07</v>
          </cell>
          <cell r="T6267" t="str">
            <v>Mobile Phones</v>
          </cell>
        </row>
        <row r="6268">
          <cell r="K6268">
            <v>1283.83</v>
          </cell>
          <cell r="P6268" t="str">
            <v>81123102-52951101</v>
          </cell>
          <cell r="S6268" t="str">
            <v>2026A-07</v>
          </cell>
          <cell r="T6268" t="str">
            <v>Mobile Phones</v>
          </cell>
        </row>
        <row r="6269">
          <cell r="K6269">
            <v>1918.36</v>
          </cell>
          <cell r="P6269" t="str">
            <v>81123102-52951101</v>
          </cell>
          <cell r="S6269" t="str">
            <v>2026A-07</v>
          </cell>
          <cell r="T6269" t="str">
            <v>Mobile Phones</v>
          </cell>
        </row>
        <row r="6270">
          <cell r="K6270">
            <v>1918.36</v>
          </cell>
          <cell r="P6270" t="str">
            <v>81123102-52951101</v>
          </cell>
          <cell r="S6270" t="str">
            <v>2026A-07</v>
          </cell>
          <cell r="T6270" t="str">
            <v>Mobile Phones</v>
          </cell>
        </row>
        <row r="6271">
          <cell r="K6271">
            <v>1287.26</v>
          </cell>
          <cell r="P6271" t="str">
            <v>81123102-52951101</v>
          </cell>
          <cell r="S6271" t="str">
            <v>2026A-07</v>
          </cell>
          <cell r="T6271" t="str">
            <v>Mobile Phones</v>
          </cell>
        </row>
        <row r="6272">
          <cell r="K6272">
            <v>1769.82</v>
          </cell>
          <cell r="P6272" t="str">
            <v>81123102-52951101</v>
          </cell>
          <cell r="S6272" t="str">
            <v>2026A-07</v>
          </cell>
          <cell r="T6272" t="str">
            <v>Mobile Phones</v>
          </cell>
        </row>
        <row r="6273">
          <cell r="K6273">
            <v>1022.53</v>
          </cell>
          <cell r="P6273" t="str">
            <v>81123102-52951101</v>
          </cell>
          <cell r="S6273" t="str">
            <v>2026A-07</v>
          </cell>
          <cell r="T6273" t="str">
            <v>Mobile Phones</v>
          </cell>
        </row>
        <row r="6274">
          <cell r="K6274">
            <v>1022.53</v>
          </cell>
          <cell r="P6274" t="str">
            <v>81123102-52951101</v>
          </cell>
          <cell r="S6274" t="str">
            <v>2026A-07</v>
          </cell>
          <cell r="T6274" t="str">
            <v>Mobile Phones</v>
          </cell>
        </row>
        <row r="6275">
          <cell r="K6275">
            <v>1918.36</v>
          </cell>
          <cell r="P6275" t="str">
            <v>81123102-52951101</v>
          </cell>
          <cell r="S6275" t="str">
            <v>2026A-07</v>
          </cell>
          <cell r="T6275" t="str">
            <v>Mobile Phones</v>
          </cell>
        </row>
        <row r="6276">
          <cell r="K6276">
            <v>1278.48</v>
          </cell>
          <cell r="P6276" t="str">
            <v>81123102-52951101</v>
          </cell>
          <cell r="S6276" t="str">
            <v>2026A-07</v>
          </cell>
          <cell r="T6276" t="str">
            <v>Mobile Phones</v>
          </cell>
        </row>
        <row r="6277">
          <cell r="K6277">
            <v>6357.14</v>
          </cell>
          <cell r="P6277" t="str">
            <v>81123102-52061111</v>
          </cell>
          <cell r="S6277" t="str">
            <v>2026A-07</v>
          </cell>
          <cell r="T6277" t="str">
            <v>R&amp;M - Supplies</v>
          </cell>
        </row>
        <row r="6278">
          <cell r="K6278">
            <v>7187.95</v>
          </cell>
          <cell r="P6278" t="str">
            <v>81123102-52061111</v>
          </cell>
          <cell r="S6278" t="str">
            <v>2026A-07</v>
          </cell>
          <cell r="T6278" t="str">
            <v>R&amp;M - Supplies</v>
          </cell>
        </row>
        <row r="6279">
          <cell r="K6279">
            <v>9025.4500000000007</v>
          </cell>
          <cell r="P6279" t="str">
            <v>81123102-52061111</v>
          </cell>
          <cell r="S6279" t="str">
            <v>2026A-07</v>
          </cell>
          <cell r="T6279" t="str">
            <v>R&amp;M - Supplies</v>
          </cell>
        </row>
        <row r="6280">
          <cell r="K6280">
            <v>9750</v>
          </cell>
          <cell r="P6280" t="str">
            <v>81123102-52061111</v>
          </cell>
          <cell r="S6280" t="str">
            <v>2026A-07</v>
          </cell>
          <cell r="T6280" t="str">
            <v>R&amp;M - Supplies</v>
          </cell>
        </row>
        <row r="6281">
          <cell r="K6281">
            <v>3991.07</v>
          </cell>
          <cell r="P6281" t="str">
            <v>81123102-52061111</v>
          </cell>
          <cell r="S6281" t="str">
            <v>2026A-07</v>
          </cell>
          <cell r="T6281" t="str">
            <v>R&amp;M - Supplies</v>
          </cell>
        </row>
        <row r="6282">
          <cell r="K6282">
            <v>15776.77</v>
          </cell>
          <cell r="P6282" t="str">
            <v>81123102-52061111</v>
          </cell>
          <cell r="S6282" t="str">
            <v>2026A-07</v>
          </cell>
          <cell r="T6282" t="str">
            <v>R&amp;M - Supplies</v>
          </cell>
        </row>
        <row r="6283">
          <cell r="K6283">
            <v>1339.29</v>
          </cell>
          <cell r="P6283" t="str">
            <v>81123102-52061111</v>
          </cell>
          <cell r="S6283" t="str">
            <v>2026A-07</v>
          </cell>
          <cell r="T6283" t="str">
            <v>R&amp;M - Supplies</v>
          </cell>
        </row>
        <row r="6284">
          <cell r="K6284">
            <v>1083.75</v>
          </cell>
          <cell r="P6284" t="str">
            <v>81123102-52061111</v>
          </cell>
          <cell r="S6284" t="str">
            <v>2026A-07</v>
          </cell>
          <cell r="T6284" t="str">
            <v>R&amp;M - Supplies</v>
          </cell>
        </row>
        <row r="6285">
          <cell r="K6285">
            <v>1378.81</v>
          </cell>
          <cell r="P6285" t="str">
            <v>81123102-52061111</v>
          </cell>
          <cell r="S6285" t="str">
            <v>2026A-07</v>
          </cell>
          <cell r="T6285" t="str">
            <v>R&amp;M - Supplies</v>
          </cell>
        </row>
        <row r="6286">
          <cell r="K6286">
            <v>1004.64</v>
          </cell>
          <cell r="P6286" t="str">
            <v>81123102-52061111</v>
          </cell>
          <cell r="S6286" t="str">
            <v>2026A-07</v>
          </cell>
          <cell r="T6286" t="str">
            <v>R&amp;M - Supplies</v>
          </cell>
        </row>
        <row r="6287">
          <cell r="K6287">
            <v>4218.75</v>
          </cell>
          <cell r="P6287" t="str">
            <v>81123102-52061111</v>
          </cell>
          <cell r="S6287" t="str">
            <v>2026A-07</v>
          </cell>
          <cell r="T6287" t="str">
            <v>R&amp;M - Supplies</v>
          </cell>
        </row>
        <row r="6288">
          <cell r="K6288">
            <v>33750</v>
          </cell>
          <cell r="P6288" t="str">
            <v>81123102-52111101</v>
          </cell>
          <cell r="S6288" t="str">
            <v>2026A-07</v>
          </cell>
          <cell r="T6288" t="str">
            <v>Office Supplies - Others</v>
          </cell>
        </row>
        <row r="6289">
          <cell r="K6289">
            <v>5745.54</v>
          </cell>
          <cell r="P6289" t="str">
            <v>81122101-52111101</v>
          </cell>
          <cell r="S6289" t="str">
            <v>2026A-07</v>
          </cell>
          <cell r="T6289" t="str">
            <v>Tissue</v>
          </cell>
        </row>
        <row r="6290">
          <cell r="K6290">
            <v>4000</v>
          </cell>
          <cell r="P6290" t="str">
            <v>81122101-52121402</v>
          </cell>
          <cell r="S6290" t="str">
            <v>2026A-07</v>
          </cell>
          <cell r="T6290" t="str">
            <v>Bereavement Assistance</v>
          </cell>
        </row>
        <row r="6291">
          <cell r="K6291">
            <v>2000</v>
          </cell>
          <cell r="P6291" t="str">
            <v>81122101-52121402</v>
          </cell>
          <cell r="S6291" t="str">
            <v>2026A-07</v>
          </cell>
          <cell r="T6291" t="str">
            <v>Bereavement Assistance</v>
          </cell>
        </row>
        <row r="6292">
          <cell r="K6292">
            <v>270</v>
          </cell>
          <cell r="P6292" t="str">
            <v>81111101-52031103</v>
          </cell>
          <cell r="S6292" t="str">
            <v>2026A-07</v>
          </cell>
          <cell r="T6292" t="str">
            <v>DST</v>
          </cell>
        </row>
        <row r="6293">
          <cell r="K6293">
            <v>10000</v>
          </cell>
          <cell r="P6293" t="str">
            <v>90122101-52121402</v>
          </cell>
          <cell r="S6293" t="str">
            <v>2026A-07</v>
          </cell>
          <cell r="T6293" t="str">
            <v>Bereavement Assistance</v>
          </cell>
        </row>
        <row r="6294">
          <cell r="K6294">
            <v>5535.71</v>
          </cell>
          <cell r="P6294" t="str">
            <v>80123102-61061104</v>
          </cell>
          <cell r="S6294" t="str">
            <v>2026A-07</v>
          </cell>
          <cell r="T6294" t="str">
            <v>R&amp;M Vehicle</v>
          </cell>
        </row>
        <row r="6295">
          <cell r="K6295">
            <v>223214.29</v>
          </cell>
          <cell r="P6295" t="str">
            <v>80349101-61959994</v>
          </cell>
          <cell r="S6295" t="str">
            <v>2026A-07</v>
          </cell>
          <cell r="T6295" t="str">
            <v>CV Village</v>
          </cell>
        </row>
        <row r="6296">
          <cell r="K6296">
            <v>6064.73</v>
          </cell>
          <cell r="P6296" t="str">
            <v>81122101-52111101</v>
          </cell>
          <cell r="S6296" t="str">
            <v>2026A-07</v>
          </cell>
          <cell r="T6296" t="str">
            <v>Tissue</v>
          </cell>
        </row>
        <row r="6297">
          <cell r="K6297">
            <v>12142.86</v>
          </cell>
          <cell r="P6297" t="str">
            <v>81123102-52111101</v>
          </cell>
          <cell r="S6297" t="str">
            <v>2026A-07</v>
          </cell>
          <cell r="T6297" t="str">
            <v>Toner/ink</v>
          </cell>
        </row>
        <row r="6298">
          <cell r="K6298">
            <v>9910.7099999999991</v>
          </cell>
          <cell r="P6298" t="str">
            <v>81123102-52061101</v>
          </cell>
          <cell r="S6298" t="str">
            <v>2026A-07</v>
          </cell>
          <cell r="T6298" t="str">
            <v>R&amp;M - F&amp;F</v>
          </cell>
        </row>
        <row r="6299">
          <cell r="K6299">
            <v>19173.21</v>
          </cell>
          <cell r="P6299" t="str">
            <v>81123102-52061111</v>
          </cell>
          <cell r="S6299" t="str">
            <v>2026A-07</v>
          </cell>
          <cell r="T6299" t="str">
            <v>R&amp;M - Supplies</v>
          </cell>
        </row>
        <row r="6300">
          <cell r="K6300">
            <v>3583.93</v>
          </cell>
          <cell r="P6300" t="str">
            <v>81123102-52061111</v>
          </cell>
          <cell r="S6300" t="str">
            <v>2026A-07</v>
          </cell>
          <cell r="T6300" t="str">
            <v>R&amp;M - Supplies</v>
          </cell>
        </row>
        <row r="6301">
          <cell r="K6301">
            <v>892.86</v>
          </cell>
          <cell r="P6301" t="str">
            <v>81123102-52061111</v>
          </cell>
          <cell r="S6301" t="str">
            <v>2026A-07</v>
          </cell>
          <cell r="T6301" t="str">
            <v>R&amp;M - Supplies</v>
          </cell>
        </row>
        <row r="6302">
          <cell r="K6302">
            <v>-1369.64</v>
          </cell>
          <cell r="P6302" t="str">
            <v>81221201-61111101</v>
          </cell>
          <cell r="S6302" t="str">
            <v>2026A-07</v>
          </cell>
          <cell r="T6302" t="str">
            <v>Others</v>
          </cell>
        </row>
        <row r="6303">
          <cell r="K6303">
            <v>-1350</v>
          </cell>
          <cell r="P6303" t="str">
            <v>81221201-61111101</v>
          </cell>
          <cell r="S6303" t="str">
            <v>2026A-07</v>
          </cell>
          <cell r="T6303" t="str">
            <v>Others</v>
          </cell>
        </row>
        <row r="6304">
          <cell r="K6304">
            <v>-2057.14</v>
          </cell>
          <cell r="P6304" t="str">
            <v>81221201-61111101</v>
          </cell>
          <cell r="S6304" t="str">
            <v>2026A-07</v>
          </cell>
          <cell r="T6304" t="str">
            <v>Others</v>
          </cell>
        </row>
        <row r="6305">
          <cell r="K6305">
            <v>-1850</v>
          </cell>
          <cell r="P6305" t="str">
            <v>81221201-61111101</v>
          </cell>
          <cell r="S6305" t="str">
            <v>2026A-07</v>
          </cell>
          <cell r="T6305" t="str">
            <v>Others</v>
          </cell>
        </row>
        <row r="6306">
          <cell r="K6306">
            <v>-175.22</v>
          </cell>
          <cell r="P6306" t="str">
            <v>81221201-61111101</v>
          </cell>
          <cell r="S6306" t="str">
            <v>2026A-07</v>
          </cell>
          <cell r="T6306" t="str">
            <v>Others</v>
          </cell>
        </row>
        <row r="6307">
          <cell r="K6307">
            <v>-1989.29</v>
          </cell>
          <cell r="P6307" t="str">
            <v>81221201-61111101</v>
          </cell>
          <cell r="S6307" t="str">
            <v>2026A-07</v>
          </cell>
          <cell r="T6307" t="str">
            <v>Others</v>
          </cell>
        </row>
        <row r="6308">
          <cell r="K6308">
            <v>-1024.6400000000001</v>
          </cell>
          <cell r="P6308" t="str">
            <v>81221201-61111101</v>
          </cell>
          <cell r="S6308" t="str">
            <v>2026A-07</v>
          </cell>
          <cell r="T6308" t="str">
            <v>Others</v>
          </cell>
        </row>
        <row r="6309">
          <cell r="K6309">
            <v>-1169.42</v>
          </cell>
          <cell r="P6309" t="str">
            <v>81221201-61111101</v>
          </cell>
          <cell r="S6309" t="str">
            <v>2026A-07</v>
          </cell>
          <cell r="T6309" t="str">
            <v>Others</v>
          </cell>
        </row>
        <row r="6310">
          <cell r="K6310">
            <v>-920.09</v>
          </cell>
          <cell r="P6310" t="str">
            <v>81221201-61111101</v>
          </cell>
          <cell r="S6310" t="str">
            <v>2026A-07</v>
          </cell>
          <cell r="T6310" t="str">
            <v>Others</v>
          </cell>
        </row>
        <row r="6311">
          <cell r="K6311">
            <v>-1504.24</v>
          </cell>
          <cell r="P6311" t="str">
            <v>81221201-61111101</v>
          </cell>
          <cell r="S6311" t="str">
            <v>2026A-07</v>
          </cell>
          <cell r="T6311" t="str">
            <v>Others</v>
          </cell>
        </row>
        <row r="6312">
          <cell r="K6312">
            <v>-1502.01</v>
          </cell>
          <cell r="P6312" t="str">
            <v>81221201-61111101</v>
          </cell>
          <cell r="S6312" t="str">
            <v>2026A-07</v>
          </cell>
          <cell r="T6312" t="str">
            <v>Others</v>
          </cell>
        </row>
        <row r="6313">
          <cell r="K6313">
            <v>1369.64</v>
          </cell>
          <cell r="P6313" t="str">
            <v>81221201-61111101</v>
          </cell>
          <cell r="S6313" t="str">
            <v>2026A-07</v>
          </cell>
          <cell r="T6313" t="str">
            <v>Others</v>
          </cell>
        </row>
        <row r="6314">
          <cell r="K6314">
            <v>1350</v>
          </cell>
          <cell r="P6314" t="str">
            <v>81221201-61111101</v>
          </cell>
          <cell r="S6314" t="str">
            <v>2026A-07</v>
          </cell>
          <cell r="T6314" t="str">
            <v>Others</v>
          </cell>
        </row>
        <row r="6315">
          <cell r="K6315">
            <v>1914.29</v>
          </cell>
          <cell r="P6315" t="str">
            <v>81221201-61111101</v>
          </cell>
          <cell r="S6315" t="str">
            <v>2026A-07</v>
          </cell>
          <cell r="T6315" t="str">
            <v>Others</v>
          </cell>
        </row>
        <row r="6316">
          <cell r="K6316">
            <v>1850</v>
          </cell>
          <cell r="P6316" t="str">
            <v>81221201-61111101</v>
          </cell>
          <cell r="S6316" t="str">
            <v>2026A-07</v>
          </cell>
          <cell r="T6316" t="str">
            <v>Others</v>
          </cell>
        </row>
        <row r="6317">
          <cell r="K6317">
            <v>175.22</v>
          </cell>
          <cell r="P6317" t="str">
            <v>81221201-61111101</v>
          </cell>
          <cell r="S6317" t="str">
            <v>2026A-07</v>
          </cell>
          <cell r="T6317" t="str">
            <v>Others</v>
          </cell>
        </row>
        <row r="6318">
          <cell r="K6318">
            <v>1989.29</v>
          </cell>
          <cell r="P6318" t="str">
            <v>81221201-61111101</v>
          </cell>
          <cell r="S6318" t="str">
            <v>2026A-07</v>
          </cell>
          <cell r="T6318" t="str">
            <v>Others</v>
          </cell>
        </row>
        <row r="6319">
          <cell r="K6319">
            <v>1169.42</v>
          </cell>
          <cell r="P6319" t="str">
            <v>81221201-61111101</v>
          </cell>
          <cell r="S6319" t="str">
            <v>2026A-07</v>
          </cell>
          <cell r="T6319" t="str">
            <v>Others</v>
          </cell>
        </row>
        <row r="6320">
          <cell r="K6320">
            <v>920.09</v>
          </cell>
          <cell r="P6320" t="str">
            <v>81221201-61111101</v>
          </cell>
          <cell r="S6320" t="str">
            <v>2026A-07</v>
          </cell>
          <cell r="T6320" t="str">
            <v>Others</v>
          </cell>
        </row>
        <row r="6321">
          <cell r="K6321">
            <v>1504.24</v>
          </cell>
          <cell r="P6321" t="str">
            <v>81221201-61111101</v>
          </cell>
          <cell r="S6321" t="str">
            <v>2026A-07</v>
          </cell>
          <cell r="T6321" t="str">
            <v>Others</v>
          </cell>
        </row>
        <row r="6322">
          <cell r="K6322">
            <v>1502.01</v>
          </cell>
          <cell r="P6322" t="str">
            <v>81221201-61111101</v>
          </cell>
          <cell r="S6322" t="str">
            <v>2026A-07</v>
          </cell>
          <cell r="T6322" t="str">
            <v>Others</v>
          </cell>
        </row>
        <row r="6323">
          <cell r="K6323">
            <v>601.34</v>
          </cell>
          <cell r="P6323" t="str">
            <v>81221201-61111101</v>
          </cell>
          <cell r="S6323" t="str">
            <v>2026A-07</v>
          </cell>
          <cell r="T6323" t="str">
            <v>Others</v>
          </cell>
        </row>
        <row r="6324">
          <cell r="K6324">
            <v>300</v>
          </cell>
          <cell r="P6324" t="str">
            <v>90111204-61091101</v>
          </cell>
          <cell r="S6324" t="str">
            <v>2026A-07</v>
          </cell>
          <cell r="T6324" t="str">
            <v>Meetings</v>
          </cell>
        </row>
        <row r="6325">
          <cell r="K6325">
            <v>1305.8</v>
          </cell>
          <cell r="P6325" t="str">
            <v>90111204-61091101</v>
          </cell>
          <cell r="S6325" t="str">
            <v>2026A-07</v>
          </cell>
          <cell r="T6325" t="str">
            <v>Meetings</v>
          </cell>
        </row>
        <row r="6326">
          <cell r="K6326">
            <v>151.19999999999999</v>
          </cell>
          <cell r="P6326" t="str">
            <v>90111204-61091102</v>
          </cell>
          <cell r="S6326" t="str">
            <v>2026A-07</v>
          </cell>
          <cell r="T6326" t="str">
            <v>Meetings</v>
          </cell>
        </row>
        <row r="6327">
          <cell r="K6327">
            <v>233.65</v>
          </cell>
          <cell r="P6327" t="str">
            <v>90111204-61091102</v>
          </cell>
          <cell r="S6327" t="str">
            <v>2026A-07</v>
          </cell>
          <cell r="T6327" t="str">
            <v>Meetings</v>
          </cell>
        </row>
        <row r="6328">
          <cell r="K6328">
            <v>4125</v>
          </cell>
          <cell r="P6328" t="str">
            <v>90111204-61091102</v>
          </cell>
          <cell r="S6328" t="str">
            <v>2026A-07</v>
          </cell>
          <cell r="T6328" t="str">
            <v>Meetings</v>
          </cell>
        </row>
        <row r="6329">
          <cell r="K6329">
            <v>483.6</v>
          </cell>
          <cell r="P6329" t="str">
            <v>90111204-61091102</v>
          </cell>
          <cell r="S6329" t="str">
            <v>2026A-07</v>
          </cell>
          <cell r="T6329" t="str">
            <v>Meetings</v>
          </cell>
        </row>
        <row r="6330">
          <cell r="K6330">
            <v>283.60000000000002</v>
          </cell>
          <cell r="P6330" t="str">
            <v>90111204-61091102</v>
          </cell>
          <cell r="S6330" t="str">
            <v>2026A-07</v>
          </cell>
          <cell r="T6330" t="str">
            <v>Meetings</v>
          </cell>
        </row>
        <row r="6331">
          <cell r="K6331">
            <v>96819.16</v>
          </cell>
          <cell r="P6331" t="str">
            <v>81111101-52041495</v>
          </cell>
          <cell r="S6331" t="str">
            <v>2026A-07</v>
          </cell>
          <cell r="T6331" t="str">
            <v>BTs</v>
          </cell>
        </row>
        <row r="6332">
          <cell r="K6332">
            <v>206011.44</v>
          </cell>
          <cell r="P6332" t="str">
            <v>81111101-52041495</v>
          </cell>
          <cell r="S6332" t="str">
            <v>2026A-07</v>
          </cell>
          <cell r="T6332" t="str">
            <v>BTs</v>
          </cell>
        </row>
        <row r="6333">
          <cell r="K6333">
            <v>180770.87</v>
          </cell>
          <cell r="P6333" t="str">
            <v>81123102-52041405</v>
          </cell>
          <cell r="S6333" t="str">
            <v>2026A-07</v>
          </cell>
          <cell r="T6333" t="str">
            <v>Janitorial (SFI)</v>
          </cell>
        </row>
        <row r="6334">
          <cell r="K6334">
            <v>199667.33</v>
          </cell>
          <cell r="P6334" t="str">
            <v>81123102-52041499</v>
          </cell>
          <cell r="S6334" t="str">
            <v>2026A-07</v>
          </cell>
          <cell r="T6334" t="str">
            <v>Admin Staff (SFI)</v>
          </cell>
        </row>
        <row r="6335">
          <cell r="K6335">
            <v>-505.23</v>
          </cell>
          <cell r="P6335" t="str">
            <v>81111101-52041495</v>
          </cell>
          <cell r="S6335" t="str">
            <v>2026A-07</v>
          </cell>
          <cell r="T6335" t="str">
            <v>BTs</v>
          </cell>
        </row>
        <row r="6336">
          <cell r="K6336">
            <v>-24577.39</v>
          </cell>
          <cell r="P6336" t="str">
            <v>81111101-52041495</v>
          </cell>
          <cell r="S6336" t="str">
            <v>2026A-07</v>
          </cell>
          <cell r="T6336" t="str">
            <v>BTs</v>
          </cell>
        </row>
        <row r="6337">
          <cell r="K6337">
            <v>39797.480000000003</v>
          </cell>
          <cell r="P6337" t="str">
            <v>81111101-52041495</v>
          </cell>
          <cell r="S6337" t="str">
            <v>2026A-07</v>
          </cell>
          <cell r="T6337" t="str">
            <v>BTs</v>
          </cell>
        </row>
        <row r="6338">
          <cell r="K6338">
            <v>25003.8</v>
          </cell>
          <cell r="P6338" t="str">
            <v>81111101-52041495</v>
          </cell>
          <cell r="S6338" t="str">
            <v>2026A-07</v>
          </cell>
          <cell r="T6338" t="str">
            <v>BTs</v>
          </cell>
        </row>
        <row r="6339">
          <cell r="K6339">
            <v>-1149.5999999999999</v>
          </cell>
          <cell r="P6339" t="str">
            <v>81111101-52041495</v>
          </cell>
          <cell r="S6339" t="str">
            <v>2026A-07</v>
          </cell>
          <cell r="T6339" t="str">
            <v>BTs</v>
          </cell>
        </row>
        <row r="6340">
          <cell r="K6340">
            <v>6825.75</v>
          </cell>
          <cell r="P6340" t="str">
            <v>81111101-52041495</v>
          </cell>
          <cell r="S6340" t="str">
            <v>2026A-07</v>
          </cell>
          <cell r="T6340" t="str">
            <v>BTs</v>
          </cell>
        </row>
        <row r="6341">
          <cell r="K6341">
            <v>418425</v>
          </cell>
          <cell r="P6341" t="str">
            <v>80349101-61959994</v>
          </cell>
          <cell r="S6341" t="str">
            <v>2026A-07</v>
          </cell>
          <cell r="T6341" t="str">
            <v>CV Village</v>
          </cell>
        </row>
        <row r="6342">
          <cell r="K6342">
            <v>12500</v>
          </cell>
          <cell r="P6342" t="str">
            <v>81319101-52061103</v>
          </cell>
          <cell r="S6342" t="str">
            <v>2026A-07</v>
          </cell>
          <cell r="T6342" t="str">
            <v>R&amp;M - Supplies</v>
          </cell>
        </row>
        <row r="6343">
          <cell r="K6343">
            <v>1097.04</v>
          </cell>
          <cell r="P6343" t="str">
            <v>81319101-52041499</v>
          </cell>
          <cell r="S6343" t="str">
            <v>2026A-07</v>
          </cell>
          <cell r="T6343" t="str">
            <v>GH</v>
          </cell>
        </row>
        <row r="6344">
          <cell r="K6344">
            <v>6195.39</v>
          </cell>
          <cell r="P6344" t="str">
            <v>81319101-52041405</v>
          </cell>
          <cell r="S6344" t="str">
            <v>2026A-07</v>
          </cell>
          <cell r="T6344" t="str">
            <v>TS</v>
          </cell>
        </row>
        <row r="6345">
          <cell r="K6345">
            <v>-4500</v>
          </cell>
          <cell r="P6345" t="str">
            <v>81123102-52951101</v>
          </cell>
          <cell r="S6345" t="str">
            <v>2026A-07</v>
          </cell>
          <cell r="T6345" t="str">
            <v>Mobile Phones</v>
          </cell>
        </row>
        <row r="6346">
          <cell r="K6346">
            <v>-89285.72</v>
          </cell>
          <cell r="P6346" t="str">
            <v>81123102-52951101</v>
          </cell>
          <cell r="S6346" t="str">
            <v>2026A-07</v>
          </cell>
          <cell r="T6346" t="str">
            <v>Mobile Phones</v>
          </cell>
        </row>
        <row r="6347">
          <cell r="K6347">
            <v>-3035.71</v>
          </cell>
          <cell r="P6347" t="str">
            <v>81123102-52951101</v>
          </cell>
          <cell r="S6347" t="str">
            <v>2026A-07</v>
          </cell>
          <cell r="T6347" t="str">
            <v>Mobile Phones</v>
          </cell>
        </row>
        <row r="6348">
          <cell r="K6348">
            <v>10000</v>
          </cell>
          <cell r="P6348" t="str">
            <v>80123101-61071005</v>
          </cell>
          <cell r="S6348" t="str">
            <v>2026A-07</v>
          </cell>
          <cell r="T6348" t="str">
            <v>Santiago</v>
          </cell>
        </row>
        <row r="6349">
          <cell r="K6349">
            <v>51490.01</v>
          </cell>
          <cell r="P6349" t="str">
            <v>90111101-52041495</v>
          </cell>
          <cell r="S6349" t="str">
            <v>2026A-07</v>
          </cell>
          <cell r="T6349" t="str">
            <v>BDO CMC</v>
          </cell>
        </row>
        <row r="6350">
          <cell r="K6350">
            <v>-10588.31</v>
          </cell>
          <cell r="P6350" t="str">
            <v>81123102-52041405</v>
          </cell>
          <cell r="S6350" t="str">
            <v>2026A-07</v>
          </cell>
          <cell r="T6350" t="str">
            <v>Janitorial (SFI)</v>
          </cell>
        </row>
        <row r="6351">
          <cell r="K6351">
            <v>62903.16</v>
          </cell>
          <cell r="P6351" t="str">
            <v>81123102-52041405</v>
          </cell>
          <cell r="S6351" t="str">
            <v>2026A-07</v>
          </cell>
          <cell r="T6351" t="str">
            <v>Janitorial (SFI)</v>
          </cell>
        </row>
        <row r="6352">
          <cell r="K6352">
            <v>-2072.48</v>
          </cell>
          <cell r="P6352" t="str">
            <v>81123102-52041405</v>
          </cell>
          <cell r="S6352" t="str">
            <v>2026A-07</v>
          </cell>
          <cell r="T6352" t="str">
            <v>Janitorial (SFI)</v>
          </cell>
        </row>
        <row r="6353">
          <cell r="K6353">
            <v>-9005.2800000000007</v>
          </cell>
          <cell r="P6353" t="str">
            <v>81123102-52041499</v>
          </cell>
          <cell r="S6353" t="str">
            <v>2026A-07</v>
          </cell>
          <cell r="T6353" t="str">
            <v>Admin Staff (SFI)</v>
          </cell>
        </row>
        <row r="6354">
          <cell r="K6354">
            <v>24416.31</v>
          </cell>
          <cell r="P6354" t="str">
            <v>81123102-52041499</v>
          </cell>
          <cell r="S6354" t="str">
            <v>2026A-07</v>
          </cell>
          <cell r="T6354" t="str">
            <v>Admin Staff (SFI)</v>
          </cell>
        </row>
        <row r="6355">
          <cell r="K6355">
            <v>-1707.21</v>
          </cell>
          <cell r="P6355" t="str">
            <v>81123102-52041499</v>
          </cell>
          <cell r="S6355" t="str">
            <v>2026A-07</v>
          </cell>
          <cell r="T6355" t="str">
            <v>Admin Staff (SFI)</v>
          </cell>
        </row>
        <row r="6356">
          <cell r="K6356">
            <v>25003.8</v>
          </cell>
          <cell r="P6356" t="str">
            <v>81111101-52041495</v>
          </cell>
          <cell r="S6356" t="str">
            <v>2026A-07</v>
          </cell>
          <cell r="T6356" t="str">
            <v>BTs</v>
          </cell>
        </row>
        <row r="6357">
          <cell r="K6357">
            <v>12501.9</v>
          </cell>
          <cell r="P6357" t="str">
            <v>81111101-52041495</v>
          </cell>
          <cell r="S6357" t="str">
            <v>2026A-07</v>
          </cell>
          <cell r="T6357" t="str">
            <v>BTs</v>
          </cell>
        </row>
        <row r="6358">
          <cell r="K6358">
            <v>-1149.5999999999999</v>
          </cell>
          <cell r="P6358" t="str">
            <v>81111101-52041495</v>
          </cell>
          <cell r="S6358" t="str">
            <v>2026A-07</v>
          </cell>
          <cell r="T6358" t="str">
            <v>BTs</v>
          </cell>
        </row>
        <row r="6359">
          <cell r="K6359">
            <v>1615</v>
          </cell>
          <cell r="P6359" t="str">
            <v>80122101-61021316</v>
          </cell>
          <cell r="S6359" t="str">
            <v>2026A-07</v>
          </cell>
          <cell r="T6359" t="str">
            <v>Pre-Employment Medical Exams</v>
          </cell>
        </row>
        <row r="6360">
          <cell r="K6360">
            <v>125</v>
          </cell>
          <cell r="P6360" t="str">
            <v>80122101-61021316</v>
          </cell>
          <cell r="S6360" t="str">
            <v>2026A-07</v>
          </cell>
          <cell r="T6360" t="str">
            <v>Pre-Employment Medical Exams</v>
          </cell>
        </row>
        <row r="6361">
          <cell r="K6361">
            <v>30964.29</v>
          </cell>
          <cell r="P6361" t="str">
            <v>81122101-52111101</v>
          </cell>
          <cell r="S6361" t="str">
            <v>2026A-07</v>
          </cell>
          <cell r="T6361" t="str">
            <v>Alcohol</v>
          </cell>
        </row>
        <row r="6362">
          <cell r="K6362">
            <v>13392.86</v>
          </cell>
          <cell r="P6362" t="str">
            <v>81123102-52111101</v>
          </cell>
          <cell r="S6362" t="str">
            <v>2026A-07</v>
          </cell>
          <cell r="T6362" t="str">
            <v>Office Supplies - Others</v>
          </cell>
        </row>
        <row r="6363">
          <cell r="K6363">
            <v>2850</v>
          </cell>
          <cell r="P6363" t="str">
            <v>90111101-52081103</v>
          </cell>
          <cell r="S6363" t="str">
            <v>2026A-07</v>
          </cell>
          <cell r="T6363" t="str">
            <v>Meal Allowance</v>
          </cell>
        </row>
        <row r="6364">
          <cell r="K6364">
            <v>3239850</v>
          </cell>
          <cell r="P6364" t="str">
            <v>90111101-52121101</v>
          </cell>
          <cell r="S6364" t="str">
            <v>2026A-07</v>
          </cell>
          <cell r="T6364" t="str">
            <v>Regular Employee</v>
          </cell>
        </row>
        <row r="6365">
          <cell r="K6365">
            <v>526250</v>
          </cell>
          <cell r="P6365" t="str">
            <v>90111101-52121101</v>
          </cell>
          <cell r="S6365" t="str">
            <v>2026A-07</v>
          </cell>
          <cell r="T6365" t="str">
            <v>Regular Employee</v>
          </cell>
        </row>
        <row r="6366">
          <cell r="K6366">
            <v>503400</v>
          </cell>
          <cell r="P6366" t="str">
            <v>90111101-52121101</v>
          </cell>
          <cell r="S6366" t="str">
            <v>2026A-07</v>
          </cell>
          <cell r="T6366" t="str">
            <v>Regular Employee</v>
          </cell>
        </row>
        <row r="6367">
          <cell r="K6367">
            <v>2225700</v>
          </cell>
          <cell r="P6367" t="str">
            <v>90111101-52121101</v>
          </cell>
          <cell r="S6367" t="str">
            <v>2026A-07</v>
          </cell>
          <cell r="T6367" t="str">
            <v>Regular Employee</v>
          </cell>
        </row>
        <row r="6368">
          <cell r="K6368">
            <v>1495925</v>
          </cell>
          <cell r="P6368" t="str">
            <v>90111101-52121101</v>
          </cell>
          <cell r="S6368" t="str">
            <v>2026A-07</v>
          </cell>
          <cell r="T6368" t="str">
            <v>Regular Employee</v>
          </cell>
        </row>
        <row r="6369">
          <cell r="K6369">
            <v>491700</v>
          </cell>
          <cell r="P6369" t="str">
            <v>90111101-52121101</v>
          </cell>
          <cell r="S6369" t="str">
            <v>2026A-07</v>
          </cell>
          <cell r="T6369" t="str">
            <v>Regular Employee</v>
          </cell>
        </row>
        <row r="6370">
          <cell r="K6370">
            <v>2782.47</v>
          </cell>
          <cell r="P6370" t="str">
            <v>90111101-52121101</v>
          </cell>
          <cell r="S6370" t="str">
            <v>2026A-07</v>
          </cell>
          <cell r="T6370" t="str">
            <v>Regular Employee</v>
          </cell>
        </row>
        <row r="6371">
          <cell r="K6371">
            <v>-3272.99</v>
          </cell>
          <cell r="P6371" t="str">
            <v>90111101-52121101</v>
          </cell>
          <cell r="S6371" t="str">
            <v>2026A-07</v>
          </cell>
          <cell r="T6371" t="str">
            <v>Regular Employee</v>
          </cell>
        </row>
        <row r="6372">
          <cell r="K6372">
            <v>11848.99</v>
          </cell>
          <cell r="P6372" t="str">
            <v>90111101-52121101</v>
          </cell>
          <cell r="S6372" t="str">
            <v>2026A-07</v>
          </cell>
          <cell r="T6372" t="str">
            <v>Regular Employee</v>
          </cell>
        </row>
        <row r="6373">
          <cell r="K6373">
            <v>568.67999999999995</v>
          </cell>
          <cell r="P6373" t="str">
            <v>90111101-52121101</v>
          </cell>
          <cell r="S6373" t="str">
            <v>2026A-07</v>
          </cell>
          <cell r="T6373" t="str">
            <v>Regular Employee</v>
          </cell>
        </row>
        <row r="6374">
          <cell r="K6374">
            <v>27950</v>
          </cell>
          <cell r="P6374" t="str">
            <v>90111101-52121101</v>
          </cell>
          <cell r="S6374" t="str">
            <v>2026A-07</v>
          </cell>
          <cell r="T6374" t="str">
            <v>Regular Employee</v>
          </cell>
        </row>
        <row r="6375">
          <cell r="K6375">
            <v>-1404.15</v>
          </cell>
          <cell r="P6375" t="str">
            <v>90111101-52121101</v>
          </cell>
          <cell r="S6375" t="str">
            <v>2026A-07</v>
          </cell>
          <cell r="T6375" t="str">
            <v>Regular Employee</v>
          </cell>
        </row>
        <row r="6376">
          <cell r="K6376">
            <v>1854.99</v>
          </cell>
          <cell r="P6376" t="str">
            <v>90111101-52121101</v>
          </cell>
          <cell r="S6376" t="str">
            <v>2026A-07</v>
          </cell>
          <cell r="T6376" t="str">
            <v>Regular Employee</v>
          </cell>
        </row>
        <row r="6377">
          <cell r="K6377">
            <v>-505.38</v>
          </cell>
          <cell r="P6377" t="str">
            <v>90111101-52121101</v>
          </cell>
          <cell r="S6377" t="str">
            <v>2026A-07</v>
          </cell>
          <cell r="T6377" t="str">
            <v>Regular Employee</v>
          </cell>
        </row>
        <row r="6378">
          <cell r="K6378">
            <v>-583.47</v>
          </cell>
          <cell r="P6378" t="str">
            <v>90111101-52121101</v>
          </cell>
          <cell r="S6378" t="str">
            <v>2026A-07</v>
          </cell>
          <cell r="T6378" t="str">
            <v>Regular Employee</v>
          </cell>
        </row>
        <row r="6379">
          <cell r="K6379">
            <v>-23503.35</v>
          </cell>
          <cell r="P6379" t="str">
            <v>90111101-52121101</v>
          </cell>
          <cell r="S6379" t="str">
            <v>2026A-07</v>
          </cell>
          <cell r="T6379" t="str">
            <v>Regular Employee</v>
          </cell>
        </row>
        <row r="6380">
          <cell r="K6380">
            <v>-6032.14</v>
          </cell>
          <cell r="P6380" t="str">
            <v>90111101-52121101</v>
          </cell>
          <cell r="S6380" t="str">
            <v>2026A-07</v>
          </cell>
          <cell r="T6380" t="str">
            <v>Regular Employee</v>
          </cell>
        </row>
        <row r="6381">
          <cell r="K6381">
            <v>-1032.3800000000001</v>
          </cell>
          <cell r="P6381" t="str">
            <v>90111101-52121101</v>
          </cell>
          <cell r="S6381" t="str">
            <v>2026A-07</v>
          </cell>
          <cell r="T6381" t="str">
            <v>Regular Employee</v>
          </cell>
        </row>
        <row r="6382">
          <cell r="K6382">
            <v>-17642.96</v>
          </cell>
          <cell r="P6382" t="str">
            <v>90111101-52121101</v>
          </cell>
          <cell r="S6382" t="str">
            <v>2026A-07</v>
          </cell>
          <cell r="T6382" t="str">
            <v>Regular Employee</v>
          </cell>
        </row>
        <row r="6383">
          <cell r="K6383">
            <v>-4738.22</v>
          </cell>
          <cell r="P6383" t="str">
            <v>90111101-52121101</v>
          </cell>
          <cell r="S6383" t="str">
            <v>2026A-07</v>
          </cell>
          <cell r="T6383" t="str">
            <v>Regular Employee</v>
          </cell>
        </row>
        <row r="6384">
          <cell r="K6384">
            <v>-2210.54</v>
          </cell>
          <cell r="P6384" t="str">
            <v>90111101-52121101</v>
          </cell>
          <cell r="S6384" t="str">
            <v>2026A-07</v>
          </cell>
          <cell r="T6384" t="str">
            <v>Regular Employee</v>
          </cell>
        </row>
        <row r="6385">
          <cell r="K6385">
            <v>-26526.27</v>
          </cell>
          <cell r="P6385" t="str">
            <v>90111101-52121101</v>
          </cell>
          <cell r="S6385" t="str">
            <v>2026A-07</v>
          </cell>
          <cell r="T6385" t="str">
            <v>Regular Employee</v>
          </cell>
        </row>
        <row r="6386">
          <cell r="K6386">
            <v>-274.81</v>
          </cell>
          <cell r="P6386" t="str">
            <v>90111101-52121101</v>
          </cell>
          <cell r="S6386" t="str">
            <v>2026A-07</v>
          </cell>
          <cell r="T6386" t="str">
            <v>Regular Employee</v>
          </cell>
        </row>
        <row r="6387">
          <cell r="K6387">
            <v>-310.45</v>
          </cell>
          <cell r="P6387" t="str">
            <v>90111101-52121101</v>
          </cell>
          <cell r="S6387" t="str">
            <v>2026A-07</v>
          </cell>
          <cell r="T6387" t="str">
            <v>Regular Employee</v>
          </cell>
        </row>
        <row r="6388">
          <cell r="K6388">
            <v>-3778.68</v>
          </cell>
          <cell r="P6388" t="str">
            <v>90111101-52121101</v>
          </cell>
          <cell r="S6388" t="str">
            <v>2026A-07</v>
          </cell>
          <cell r="T6388" t="str">
            <v>Regular Employee</v>
          </cell>
        </row>
        <row r="6389">
          <cell r="K6389">
            <v>-192.13</v>
          </cell>
          <cell r="P6389" t="str">
            <v>90111101-52121101</v>
          </cell>
          <cell r="S6389" t="str">
            <v>2026A-07</v>
          </cell>
          <cell r="T6389" t="str">
            <v>Regular Employee</v>
          </cell>
        </row>
        <row r="6390">
          <cell r="K6390">
            <v>-6045.88</v>
          </cell>
          <cell r="P6390" t="str">
            <v>90111101-52121101</v>
          </cell>
          <cell r="S6390" t="str">
            <v>2026A-07</v>
          </cell>
          <cell r="T6390" t="str">
            <v>Regular Employee</v>
          </cell>
        </row>
        <row r="6391">
          <cell r="K6391">
            <v>19183.53</v>
          </cell>
          <cell r="P6391" t="str">
            <v>90111101-52121102</v>
          </cell>
          <cell r="S6391" t="str">
            <v>2026A-07</v>
          </cell>
          <cell r="T6391" t="str">
            <v>OT Pay</v>
          </cell>
        </row>
        <row r="6392">
          <cell r="K6392">
            <v>7352.95</v>
          </cell>
          <cell r="P6392" t="str">
            <v>90111101-52121102</v>
          </cell>
          <cell r="S6392" t="str">
            <v>2026A-07</v>
          </cell>
          <cell r="T6392" t="str">
            <v>OT Pay</v>
          </cell>
        </row>
        <row r="6393">
          <cell r="K6393">
            <v>18418.3</v>
          </cell>
          <cell r="P6393" t="str">
            <v>90111101-52121102</v>
          </cell>
          <cell r="S6393" t="str">
            <v>2026A-07</v>
          </cell>
          <cell r="T6393" t="str">
            <v>OT Pay</v>
          </cell>
        </row>
        <row r="6394">
          <cell r="K6394">
            <v>800</v>
          </cell>
          <cell r="P6394" t="str">
            <v>90111101-52121103</v>
          </cell>
          <cell r="S6394" t="str">
            <v>2026A-07</v>
          </cell>
          <cell r="T6394" t="str">
            <v>OT Pay</v>
          </cell>
        </row>
        <row r="6395">
          <cell r="K6395">
            <v>7600</v>
          </cell>
          <cell r="P6395" t="str">
            <v>90111101-52121103</v>
          </cell>
          <cell r="S6395" t="str">
            <v>2026A-07</v>
          </cell>
          <cell r="T6395" t="str">
            <v>OT Pay</v>
          </cell>
        </row>
        <row r="6396">
          <cell r="K6396">
            <v>14600</v>
          </cell>
          <cell r="P6396" t="str">
            <v>90111101-52121305</v>
          </cell>
          <cell r="S6396" t="str">
            <v>2026A-07</v>
          </cell>
          <cell r="T6396" t="str">
            <v>Pag-ibig</v>
          </cell>
        </row>
        <row r="6397">
          <cell r="K6397">
            <v>2000</v>
          </cell>
          <cell r="P6397" t="str">
            <v>90111101-52121305</v>
          </cell>
          <cell r="S6397" t="str">
            <v>2026A-07</v>
          </cell>
          <cell r="T6397" t="str">
            <v>Pag-ibig</v>
          </cell>
        </row>
        <row r="6398">
          <cell r="K6398">
            <v>1600</v>
          </cell>
          <cell r="P6398" t="str">
            <v>90111101-52121305</v>
          </cell>
          <cell r="S6398" t="str">
            <v>2026A-07</v>
          </cell>
          <cell r="T6398" t="str">
            <v>Pag-ibig</v>
          </cell>
        </row>
        <row r="6399">
          <cell r="K6399">
            <v>13000</v>
          </cell>
          <cell r="P6399" t="str">
            <v>90111101-52121305</v>
          </cell>
          <cell r="S6399" t="str">
            <v>2026A-07</v>
          </cell>
          <cell r="T6399" t="str">
            <v>Pag-ibig</v>
          </cell>
        </row>
        <row r="6400">
          <cell r="K6400">
            <v>1200</v>
          </cell>
          <cell r="P6400" t="str">
            <v>90111101-52121305</v>
          </cell>
          <cell r="S6400" t="str">
            <v>2026A-07</v>
          </cell>
          <cell r="T6400" t="str">
            <v>Pag-ibig</v>
          </cell>
        </row>
        <row r="6401">
          <cell r="K6401">
            <v>2600</v>
          </cell>
          <cell r="P6401" t="str">
            <v>90111101-52121305</v>
          </cell>
          <cell r="S6401" t="str">
            <v>2026A-07</v>
          </cell>
          <cell r="T6401" t="str">
            <v>Pag-ibig</v>
          </cell>
        </row>
        <row r="6402">
          <cell r="K6402">
            <v>107202.5</v>
          </cell>
          <cell r="P6402" t="str">
            <v>90111101-52121305</v>
          </cell>
          <cell r="S6402" t="str">
            <v>2026A-07</v>
          </cell>
          <cell r="T6402" t="str">
            <v>Philhealth</v>
          </cell>
        </row>
        <row r="6403">
          <cell r="K6403">
            <v>12290</v>
          </cell>
          <cell r="P6403" t="str">
            <v>90111101-52121305</v>
          </cell>
          <cell r="S6403" t="str">
            <v>2026A-07</v>
          </cell>
          <cell r="T6403" t="str">
            <v>Philhealth</v>
          </cell>
        </row>
        <row r="6404">
          <cell r="K6404">
            <v>91875</v>
          </cell>
          <cell r="P6404" t="str">
            <v>90111101-52121305</v>
          </cell>
          <cell r="S6404" t="str">
            <v>2026A-07</v>
          </cell>
          <cell r="T6404" t="str">
            <v>Philhealth</v>
          </cell>
        </row>
        <row r="6405">
          <cell r="K6405">
            <v>14000</v>
          </cell>
          <cell r="P6405" t="str">
            <v>90111101-52121305</v>
          </cell>
          <cell r="S6405" t="str">
            <v>2026A-07</v>
          </cell>
          <cell r="T6405" t="str">
            <v>Philhealth</v>
          </cell>
        </row>
        <row r="6406">
          <cell r="K6406">
            <v>200</v>
          </cell>
          <cell r="P6406" t="str">
            <v>90111101-52121305</v>
          </cell>
          <cell r="S6406" t="str">
            <v>2026A-07</v>
          </cell>
          <cell r="T6406" t="str">
            <v>Pag-ibig</v>
          </cell>
        </row>
        <row r="6407">
          <cell r="K6407">
            <v>1397.5</v>
          </cell>
          <cell r="P6407" t="str">
            <v>90111101-52121305</v>
          </cell>
          <cell r="S6407" t="str">
            <v>2026A-07</v>
          </cell>
          <cell r="T6407" t="str">
            <v>Philhealth</v>
          </cell>
        </row>
        <row r="6408">
          <cell r="K6408">
            <v>16972.5</v>
          </cell>
          <cell r="P6408" t="str">
            <v>90111101-52121305</v>
          </cell>
          <cell r="S6408" t="str">
            <v>2026A-07</v>
          </cell>
          <cell r="T6408" t="str">
            <v>Philhealth</v>
          </cell>
        </row>
        <row r="6409">
          <cell r="K6409">
            <v>20280</v>
          </cell>
          <cell r="P6409" t="str">
            <v>90111101-52121305</v>
          </cell>
          <cell r="S6409" t="str">
            <v>2026A-07</v>
          </cell>
          <cell r="T6409" t="str">
            <v>Philhealth</v>
          </cell>
        </row>
        <row r="6410">
          <cell r="K6410">
            <v>183900</v>
          </cell>
          <cell r="P6410" t="str">
            <v>90111101-52121305</v>
          </cell>
          <cell r="S6410" t="str">
            <v>2026A-07</v>
          </cell>
          <cell r="T6410" t="str">
            <v>SSS</v>
          </cell>
        </row>
        <row r="6411">
          <cell r="K6411">
            <v>21490</v>
          </cell>
          <cell r="P6411" t="str">
            <v>90111101-52121305</v>
          </cell>
          <cell r="S6411" t="str">
            <v>2026A-07</v>
          </cell>
          <cell r="T6411" t="str">
            <v>SSS</v>
          </cell>
        </row>
        <row r="6412">
          <cell r="K6412">
            <v>165300</v>
          </cell>
          <cell r="P6412" t="str">
            <v>90111101-52121305</v>
          </cell>
          <cell r="S6412" t="str">
            <v>2026A-07</v>
          </cell>
          <cell r="T6412" t="str">
            <v>SSS</v>
          </cell>
        </row>
        <row r="6413">
          <cell r="K6413">
            <v>20630</v>
          </cell>
          <cell r="P6413" t="str">
            <v>90111101-52121305</v>
          </cell>
          <cell r="S6413" t="str">
            <v>2026A-07</v>
          </cell>
          <cell r="T6413" t="str">
            <v>SSS</v>
          </cell>
        </row>
        <row r="6414">
          <cell r="K6414">
            <v>2780</v>
          </cell>
          <cell r="P6414" t="str">
            <v>90111101-52121305</v>
          </cell>
          <cell r="S6414" t="str">
            <v>2026A-07</v>
          </cell>
          <cell r="T6414" t="str">
            <v>SSS</v>
          </cell>
        </row>
        <row r="6415">
          <cell r="K6415">
            <v>28580</v>
          </cell>
          <cell r="P6415" t="str">
            <v>90111101-52121305</v>
          </cell>
          <cell r="S6415" t="str">
            <v>2026A-07</v>
          </cell>
          <cell r="T6415" t="str">
            <v>SSS</v>
          </cell>
        </row>
        <row r="6416">
          <cell r="K6416">
            <v>35850</v>
          </cell>
          <cell r="P6416" t="str">
            <v>90111101-52121305</v>
          </cell>
          <cell r="S6416" t="str">
            <v>2026A-07</v>
          </cell>
          <cell r="T6416" t="str">
            <v>SSS</v>
          </cell>
        </row>
        <row r="6417">
          <cell r="K6417">
            <v>4598.22</v>
          </cell>
          <cell r="P6417" t="str">
            <v>80123102-61061104</v>
          </cell>
          <cell r="S6417" t="str">
            <v>2026A-07</v>
          </cell>
          <cell r="T6417" t="str">
            <v>R&amp;M - Raize</v>
          </cell>
        </row>
        <row r="6418">
          <cell r="K6418">
            <v>-133.93</v>
          </cell>
          <cell r="P6418" t="str">
            <v>80123102-61061104</v>
          </cell>
          <cell r="S6418" t="str">
            <v>2026A-07</v>
          </cell>
          <cell r="T6418" t="str">
            <v>R&amp;M - Raize</v>
          </cell>
        </row>
        <row r="6419">
          <cell r="K6419">
            <v>250.71</v>
          </cell>
          <cell r="P6419" t="str">
            <v>90111204-61091102</v>
          </cell>
          <cell r="S6419" t="str">
            <v>2026A-07</v>
          </cell>
          <cell r="T6419" t="str">
            <v>Meetings</v>
          </cell>
        </row>
        <row r="6420">
          <cell r="K6420">
            <v>35.5</v>
          </cell>
          <cell r="P6420" t="str">
            <v>90111204-61091102</v>
          </cell>
          <cell r="S6420" t="str">
            <v>2026A-07</v>
          </cell>
          <cell r="T6420" t="str">
            <v>Meetings</v>
          </cell>
        </row>
        <row r="6421">
          <cell r="K6421">
            <v>430</v>
          </cell>
          <cell r="P6421" t="str">
            <v>90111204-61091102</v>
          </cell>
          <cell r="S6421" t="str">
            <v>2026A-07</v>
          </cell>
          <cell r="T6421" t="str">
            <v>Meetings</v>
          </cell>
        </row>
        <row r="6422">
          <cell r="K6422">
            <v>218750</v>
          </cell>
          <cell r="P6422" t="str">
            <v>80111101-61021201</v>
          </cell>
          <cell r="S6422" t="str">
            <v>2026A-07</v>
          </cell>
          <cell r="T6422" t="str">
            <v>Project Employee</v>
          </cell>
        </row>
        <row r="6423">
          <cell r="K6423">
            <v>-10674.18</v>
          </cell>
          <cell r="P6423" t="str">
            <v>80111101-61021201</v>
          </cell>
          <cell r="S6423" t="str">
            <v>2026A-07</v>
          </cell>
          <cell r="T6423" t="str">
            <v>Project Employee</v>
          </cell>
        </row>
        <row r="6424">
          <cell r="K6424">
            <v>-953.79</v>
          </cell>
          <cell r="P6424" t="str">
            <v>80111101-61021201</v>
          </cell>
          <cell r="S6424" t="str">
            <v>2026A-07</v>
          </cell>
          <cell r="T6424" t="str">
            <v>Project Employee</v>
          </cell>
        </row>
        <row r="6425">
          <cell r="K6425">
            <v>-1253.0899999999999</v>
          </cell>
          <cell r="P6425" t="str">
            <v>80111101-61021201</v>
          </cell>
          <cell r="S6425" t="str">
            <v>2026A-07</v>
          </cell>
          <cell r="T6425" t="str">
            <v>Project Employee</v>
          </cell>
        </row>
        <row r="6426">
          <cell r="K6426">
            <v>35102.47</v>
          </cell>
          <cell r="P6426" t="str">
            <v>80111101-61021202</v>
          </cell>
          <cell r="S6426" t="str">
            <v>2026A-07</v>
          </cell>
          <cell r="T6426" t="str">
            <v>Project Employee</v>
          </cell>
        </row>
        <row r="6427">
          <cell r="K6427">
            <v>3200</v>
          </cell>
          <cell r="P6427" t="str">
            <v>80111101-61021306</v>
          </cell>
          <cell r="S6427" t="str">
            <v>2026A-07</v>
          </cell>
          <cell r="T6427" t="str">
            <v>Pag-ibig</v>
          </cell>
        </row>
        <row r="6428">
          <cell r="K6428">
            <v>24410</v>
          </cell>
          <cell r="P6428" t="str">
            <v>80111101-61021306</v>
          </cell>
          <cell r="S6428" t="str">
            <v>2026A-07</v>
          </cell>
          <cell r="T6428" t="str">
            <v>SSS</v>
          </cell>
        </row>
        <row r="6429">
          <cell r="K6429">
            <v>10937.5</v>
          </cell>
          <cell r="P6429" t="str">
            <v>80111101-61021306</v>
          </cell>
          <cell r="S6429" t="str">
            <v>2026A-07</v>
          </cell>
          <cell r="T6429" t="str">
            <v>Philhealth</v>
          </cell>
        </row>
        <row r="6430">
          <cell r="K6430">
            <v>30800</v>
          </cell>
          <cell r="P6430" t="str">
            <v>80111101-61021102</v>
          </cell>
          <cell r="S6430" t="str">
            <v>2026A-07</v>
          </cell>
          <cell r="T6430" t="str">
            <v>Regular Employee</v>
          </cell>
        </row>
        <row r="6431">
          <cell r="K6431">
            <v>50500</v>
          </cell>
          <cell r="P6431" t="str">
            <v>80111101-61021102</v>
          </cell>
          <cell r="S6431" t="str">
            <v>2026A-07</v>
          </cell>
          <cell r="T6431" t="str">
            <v>Regular Employee</v>
          </cell>
        </row>
        <row r="6432">
          <cell r="K6432">
            <v>238150</v>
          </cell>
          <cell r="P6432" t="str">
            <v>80111101-61021102</v>
          </cell>
          <cell r="S6432" t="str">
            <v>2026A-07</v>
          </cell>
          <cell r="T6432" t="str">
            <v>Regular Employee</v>
          </cell>
        </row>
        <row r="6433">
          <cell r="K6433">
            <v>-9966.52</v>
          </cell>
          <cell r="P6433" t="str">
            <v>80111101-61021102</v>
          </cell>
          <cell r="S6433" t="str">
            <v>2026A-07</v>
          </cell>
          <cell r="T6433" t="str">
            <v>Regular Employee</v>
          </cell>
        </row>
        <row r="6434">
          <cell r="K6434">
            <v>737300</v>
          </cell>
          <cell r="P6434" t="str">
            <v>80111101-61021102</v>
          </cell>
          <cell r="S6434" t="str">
            <v>2026A-07</v>
          </cell>
          <cell r="T6434" t="str">
            <v>Regular Employee</v>
          </cell>
        </row>
        <row r="6435">
          <cell r="K6435">
            <v>-4298.5200000000004</v>
          </cell>
          <cell r="P6435" t="str">
            <v>80111101-61021102</v>
          </cell>
          <cell r="S6435" t="str">
            <v>2026A-07</v>
          </cell>
          <cell r="T6435" t="str">
            <v>Regular Employee</v>
          </cell>
        </row>
        <row r="6436">
          <cell r="K6436">
            <v>-245.27</v>
          </cell>
          <cell r="P6436" t="str">
            <v>80111101-61021102</v>
          </cell>
          <cell r="S6436" t="str">
            <v>2026A-07</v>
          </cell>
          <cell r="T6436" t="str">
            <v>Regular Employee</v>
          </cell>
        </row>
        <row r="6437">
          <cell r="K6437">
            <v>-242.76</v>
          </cell>
          <cell r="P6437" t="str">
            <v>80111101-61021102</v>
          </cell>
          <cell r="S6437" t="str">
            <v>2026A-07</v>
          </cell>
          <cell r="T6437" t="str">
            <v>Regular Employee</v>
          </cell>
        </row>
        <row r="6438">
          <cell r="K6438">
            <v>652.67999999999995</v>
          </cell>
          <cell r="P6438" t="str">
            <v>80111101-61021102</v>
          </cell>
          <cell r="S6438" t="str">
            <v>2026A-07</v>
          </cell>
          <cell r="T6438" t="str">
            <v>Regular Employee</v>
          </cell>
        </row>
        <row r="6439">
          <cell r="K6439">
            <v>-1192.3800000000001</v>
          </cell>
          <cell r="P6439" t="str">
            <v>80111101-61021102</v>
          </cell>
          <cell r="S6439" t="str">
            <v>2026A-07</v>
          </cell>
          <cell r="T6439" t="str">
            <v>Regular Employee</v>
          </cell>
        </row>
        <row r="6440">
          <cell r="K6440">
            <v>-695.53</v>
          </cell>
          <cell r="P6440" t="str">
            <v>80111101-61021102</v>
          </cell>
          <cell r="S6440" t="str">
            <v>2026A-07</v>
          </cell>
          <cell r="T6440" t="str">
            <v>Regular Employee</v>
          </cell>
        </row>
        <row r="6441">
          <cell r="K6441">
            <v>15990.16</v>
          </cell>
          <cell r="P6441" t="str">
            <v>80111101-61021103</v>
          </cell>
          <cell r="S6441" t="str">
            <v>2026A-07</v>
          </cell>
          <cell r="T6441" t="str">
            <v>OT Pay</v>
          </cell>
        </row>
        <row r="6442">
          <cell r="K6442">
            <v>800</v>
          </cell>
          <cell r="P6442" t="str">
            <v>80111101-61021104</v>
          </cell>
          <cell r="S6442" t="str">
            <v>2026A-07</v>
          </cell>
          <cell r="T6442" t="str">
            <v>OT Pay</v>
          </cell>
        </row>
        <row r="6443">
          <cell r="K6443">
            <v>5600</v>
          </cell>
          <cell r="P6443" t="str">
            <v>80111101-61021104</v>
          </cell>
          <cell r="S6443" t="str">
            <v>2026A-07</v>
          </cell>
          <cell r="T6443" t="str">
            <v>OT Pay</v>
          </cell>
        </row>
        <row r="6444">
          <cell r="K6444">
            <v>400</v>
          </cell>
          <cell r="P6444" t="str">
            <v>80111101-61021306</v>
          </cell>
          <cell r="S6444" t="str">
            <v>2026A-07</v>
          </cell>
          <cell r="T6444" t="str">
            <v>Pag-ibig</v>
          </cell>
        </row>
        <row r="6445">
          <cell r="K6445">
            <v>200</v>
          </cell>
          <cell r="P6445" t="str">
            <v>80111101-61021306</v>
          </cell>
          <cell r="S6445" t="str">
            <v>2026A-07</v>
          </cell>
          <cell r="T6445" t="str">
            <v>Pag-ibig</v>
          </cell>
        </row>
        <row r="6446">
          <cell r="K6446">
            <v>6800</v>
          </cell>
          <cell r="P6446" t="str">
            <v>80111101-61021306</v>
          </cell>
          <cell r="S6446" t="str">
            <v>2026A-07</v>
          </cell>
          <cell r="T6446" t="str">
            <v>Pag-ibig</v>
          </cell>
        </row>
        <row r="6447">
          <cell r="K6447">
            <v>3160</v>
          </cell>
          <cell r="P6447" t="str">
            <v>80111101-61021306</v>
          </cell>
          <cell r="S6447" t="str">
            <v>2026A-07</v>
          </cell>
          <cell r="T6447" t="str">
            <v>SSS</v>
          </cell>
        </row>
        <row r="6448">
          <cell r="K6448">
            <v>1540</v>
          </cell>
          <cell r="P6448" t="str">
            <v>80111101-61021306</v>
          </cell>
          <cell r="S6448" t="str">
            <v>2026A-07</v>
          </cell>
          <cell r="T6448" t="str">
            <v>Philhealth</v>
          </cell>
        </row>
        <row r="6449">
          <cell r="K6449">
            <v>3530</v>
          </cell>
          <cell r="P6449" t="str">
            <v>80111101-61021306</v>
          </cell>
          <cell r="S6449" t="str">
            <v>2026A-07</v>
          </cell>
          <cell r="T6449" t="str">
            <v>SSS</v>
          </cell>
        </row>
        <row r="6450">
          <cell r="K6450">
            <v>2500</v>
          </cell>
          <cell r="P6450" t="str">
            <v>80111101-61021306</v>
          </cell>
          <cell r="S6450" t="str">
            <v>2026A-07</v>
          </cell>
          <cell r="T6450" t="str">
            <v>Philhealth</v>
          </cell>
        </row>
        <row r="6451">
          <cell r="K6451">
            <v>2000</v>
          </cell>
          <cell r="P6451" t="str">
            <v>80111101-61021306</v>
          </cell>
          <cell r="S6451" t="str">
            <v>2026A-07</v>
          </cell>
          <cell r="T6451" t="str">
            <v>Pag-ibig</v>
          </cell>
        </row>
        <row r="6452">
          <cell r="K6452">
            <v>17850</v>
          </cell>
          <cell r="P6452" t="str">
            <v>80111101-61021306</v>
          </cell>
          <cell r="S6452" t="str">
            <v>2026A-07</v>
          </cell>
          <cell r="T6452" t="str">
            <v>SSS</v>
          </cell>
        </row>
        <row r="6453">
          <cell r="K6453">
            <v>64910</v>
          </cell>
          <cell r="P6453" t="str">
            <v>80111101-61021306</v>
          </cell>
          <cell r="S6453" t="str">
            <v>2026A-07</v>
          </cell>
          <cell r="T6453" t="str">
            <v>SSS</v>
          </cell>
        </row>
        <row r="6454">
          <cell r="K6454">
            <v>34335</v>
          </cell>
          <cell r="P6454" t="str">
            <v>80111101-61021306</v>
          </cell>
          <cell r="S6454" t="str">
            <v>2026A-07</v>
          </cell>
          <cell r="T6454" t="str">
            <v>Philhealth</v>
          </cell>
        </row>
        <row r="6455">
          <cell r="K6455">
            <v>10395</v>
          </cell>
          <cell r="P6455" t="str">
            <v>80111101-61021306</v>
          </cell>
          <cell r="S6455" t="str">
            <v>2026A-07</v>
          </cell>
          <cell r="T6455" t="str">
            <v>Philhealth</v>
          </cell>
        </row>
        <row r="6456">
          <cell r="K6456">
            <v>195050</v>
          </cell>
          <cell r="P6456" t="str">
            <v>81111101-52121101</v>
          </cell>
          <cell r="S6456" t="str">
            <v>2026A-07</v>
          </cell>
          <cell r="T6456" t="str">
            <v>Regular Employee</v>
          </cell>
        </row>
        <row r="6457">
          <cell r="K6457">
            <v>1027750</v>
          </cell>
          <cell r="P6457" t="str">
            <v>81111101-52121101</v>
          </cell>
          <cell r="S6457" t="str">
            <v>2026A-07</v>
          </cell>
          <cell r="T6457" t="str">
            <v>Regular Employee</v>
          </cell>
        </row>
        <row r="6458">
          <cell r="K6458">
            <v>2235.14</v>
          </cell>
          <cell r="P6458" t="str">
            <v>81111101-52121101</v>
          </cell>
          <cell r="S6458" t="str">
            <v>2026A-07</v>
          </cell>
          <cell r="T6458" t="str">
            <v>Regular Employee</v>
          </cell>
        </row>
        <row r="6459">
          <cell r="K6459">
            <v>225100</v>
          </cell>
          <cell r="P6459" t="str">
            <v>81111101-52121101</v>
          </cell>
          <cell r="S6459" t="str">
            <v>2026A-07</v>
          </cell>
          <cell r="T6459" t="str">
            <v>Regular Employee</v>
          </cell>
        </row>
        <row r="6460">
          <cell r="K6460">
            <v>120900</v>
          </cell>
          <cell r="P6460" t="str">
            <v>81111101-52121101</v>
          </cell>
          <cell r="S6460" t="str">
            <v>2026A-07</v>
          </cell>
          <cell r="T6460" t="str">
            <v>Regular Employee</v>
          </cell>
        </row>
        <row r="6461">
          <cell r="K6461">
            <v>147650</v>
          </cell>
          <cell r="P6461" t="str">
            <v>81111101-52121101</v>
          </cell>
          <cell r="S6461" t="str">
            <v>2026A-07</v>
          </cell>
          <cell r="T6461" t="str">
            <v>Regular Employee</v>
          </cell>
        </row>
        <row r="6462">
          <cell r="K6462">
            <v>-2138.96</v>
          </cell>
          <cell r="P6462" t="str">
            <v>81111101-52121101</v>
          </cell>
          <cell r="S6462" t="str">
            <v>2026A-07</v>
          </cell>
          <cell r="T6462" t="str">
            <v>Regular Employee</v>
          </cell>
        </row>
        <row r="6463">
          <cell r="K6463">
            <v>-5322.21</v>
          </cell>
          <cell r="P6463" t="str">
            <v>81111101-52121101</v>
          </cell>
          <cell r="S6463" t="str">
            <v>2026A-07</v>
          </cell>
          <cell r="T6463" t="str">
            <v>Regular Employee</v>
          </cell>
        </row>
        <row r="6464">
          <cell r="K6464">
            <v>-7433.68</v>
          </cell>
          <cell r="P6464" t="str">
            <v>81111101-52121101</v>
          </cell>
          <cell r="S6464" t="str">
            <v>2026A-07</v>
          </cell>
          <cell r="T6464" t="str">
            <v>Regular Employee</v>
          </cell>
        </row>
        <row r="6465">
          <cell r="K6465">
            <v>5290.14</v>
          </cell>
          <cell r="P6465" t="str">
            <v>81111101-52121101</v>
          </cell>
          <cell r="S6465" t="str">
            <v>2026A-07</v>
          </cell>
          <cell r="T6465" t="str">
            <v>Regular Employee</v>
          </cell>
        </row>
        <row r="6466">
          <cell r="K6466">
            <v>1014.52</v>
          </cell>
          <cell r="P6466" t="str">
            <v>81111101-52121101</v>
          </cell>
          <cell r="S6466" t="str">
            <v>2026A-07</v>
          </cell>
          <cell r="T6466" t="str">
            <v>Regular Employee</v>
          </cell>
        </row>
        <row r="6467">
          <cell r="K6467">
            <v>-16738.38</v>
          </cell>
          <cell r="P6467" t="str">
            <v>81111101-52121101</v>
          </cell>
          <cell r="S6467" t="str">
            <v>2026A-07</v>
          </cell>
          <cell r="T6467" t="str">
            <v>Regular Employee</v>
          </cell>
        </row>
        <row r="6468">
          <cell r="K6468">
            <v>2029.03</v>
          </cell>
          <cell r="P6468" t="str">
            <v>81111101-52121101</v>
          </cell>
          <cell r="S6468" t="str">
            <v>2026A-07</v>
          </cell>
          <cell r="T6468" t="str">
            <v>Regular Employee</v>
          </cell>
        </row>
        <row r="6469">
          <cell r="K6469">
            <v>-4871.05</v>
          </cell>
          <cell r="P6469" t="str">
            <v>81111101-52121101</v>
          </cell>
          <cell r="S6469" t="str">
            <v>2026A-07</v>
          </cell>
          <cell r="T6469" t="str">
            <v>Regular Employee</v>
          </cell>
        </row>
        <row r="6470">
          <cell r="K6470">
            <v>-138.28</v>
          </cell>
          <cell r="P6470" t="str">
            <v>81111101-52121101</v>
          </cell>
          <cell r="S6470" t="str">
            <v>2026A-07</v>
          </cell>
          <cell r="T6470" t="str">
            <v>Regular Employee</v>
          </cell>
        </row>
        <row r="6471">
          <cell r="K6471">
            <v>-1435.03</v>
          </cell>
          <cell r="P6471" t="str">
            <v>81111101-52121101</v>
          </cell>
          <cell r="S6471" t="str">
            <v>2026A-07</v>
          </cell>
          <cell r="T6471" t="str">
            <v>Regular Employee</v>
          </cell>
        </row>
        <row r="6472">
          <cell r="K6472">
            <v>-10644.41</v>
          </cell>
          <cell r="P6472" t="str">
            <v>81111101-52121101</v>
          </cell>
          <cell r="S6472" t="str">
            <v>2026A-07</v>
          </cell>
          <cell r="T6472" t="str">
            <v>Regular Employee</v>
          </cell>
        </row>
        <row r="6473">
          <cell r="K6473">
            <v>-1003.47</v>
          </cell>
          <cell r="P6473" t="str">
            <v>81111101-52121101</v>
          </cell>
          <cell r="S6473" t="str">
            <v>2026A-07</v>
          </cell>
          <cell r="T6473" t="str">
            <v>Regular Employee</v>
          </cell>
        </row>
        <row r="6474">
          <cell r="K6474">
            <v>-2764.62</v>
          </cell>
          <cell r="P6474" t="str">
            <v>81111101-52121101</v>
          </cell>
          <cell r="S6474" t="str">
            <v>2026A-07</v>
          </cell>
          <cell r="T6474" t="str">
            <v>Regular Employee</v>
          </cell>
        </row>
        <row r="6475">
          <cell r="K6475">
            <v>-442.5</v>
          </cell>
          <cell r="P6475" t="str">
            <v>81111101-52121101</v>
          </cell>
          <cell r="S6475" t="str">
            <v>2026A-07</v>
          </cell>
          <cell r="T6475" t="str">
            <v>Regular Employee</v>
          </cell>
        </row>
        <row r="6476">
          <cell r="K6476">
            <v>-1056.3499999999999</v>
          </cell>
          <cell r="P6476" t="str">
            <v>81111101-52121101</v>
          </cell>
          <cell r="S6476" t="str">
            <v>2026A-07</v>
          </cell>
          <cell r="T6476" t="str">
            <v>Regular Employee</v>
          </cell>
        </row>
        <row r="6477">
          <cell r="K6477">
            <v>-838.06</v>
          </cell>
          <cell r="P6477" t="str">
            <v>81111101-52121101</v>
          </cell>
          <cell r="S6477" t="str">
            <v>2026A-07</v>
          </cell>
          <cell r="T6477" t="str">
            <v>Regular Employee</v>
          </cell>
        </row>
        <row r="6478">
          <cell r="K6478">
            <v>-11412.73</v>
          </cell>
          <cell r="P6478" t="str">
            <v>81111101-52121101</v>
          </cell>
          <cell r="S6478" t="str">
            <v>2026A-07</v>
          </cell>
          <cell r="T6478" t="str">
            <v>Regular Employee</v>
          </cell>
        </row>
        <row r="6479">
          <cell r="K6479">
            <v>-3615.23</v>
          </cell>
          <cell r="P6479" t="str">
            <v>81111101-52121101</v>
          </cell>
          <cell r="S6479" t="str">
            <v>2026A-07</v>
          </cell>
          <cell r="T6479" t="str">
            <v>Regular Employee</v>
          </cell>
        </row>
        <row r="6480">
          <cell r="K6480">
            <v>5931.51</v>
          </cell>
          <cell r="P6480" t="str">
            <v>81111101-52121102</v>
          </cell>
          <cell r="S6480" t="str">
            <v>2026A-07</v>
          </cell>
          <cell r="T6480" t="str">
            <v>OT Pay</v>
          </cell>
        </row>
        <row r="6481">
          <cell r="K6481">
            <v>22973.64</v>
          </cell>
          <cell r="P6481" t="str">
            <v>81111101-52121102</v>
          </cell>
          <cell r="S6481" t="str">
            <v>2026A-07</v>
          </cell>
          <cell r="T6481" t="str">
            <v>OT Pay</v>
          </cell>
        </row>
        <row r="6482">
          <cell r="K6482">
            <v>3765.17</v>
          </cell>
          <cell r="P6482" t="str">
            <v>81111101-52121102</v>
          </cell>
          <cell r="S6482" t="str">
            <v>2026A-07</v>
          </cell>
          <cell r="T6482" t="str">
            <v>OT Pay</v>
          </cell>
        </row>
        <row r="6483">
          <cell r="K6483">
            <v>15200</v>
          </cell>
          <cell r="P6483" t="str">
            <v>81111101-52121103</v>
          </cell>
          <cell r="S6483" t="str">
            <v>2026A-07</v>
          </cell>
          <cell r="T6483" t="str">
            <v>OT Pay</v>
          </cell>
        </row>
        <row r="6484">
          <cell r="K6484">
            <v>3000</v>
          </cell>
          <cell r="P6484" t="str">
            <v>81111101-52121103</v>
          </cell>
          <cell r="S6484" t="str">
            <v>2026A-07</v>
          </cell>
          <cell r="T6484" t="str">
            <v>OT Pay</v>
          </cell>
        </row>
        <row r="6485">
          <cell r="K6485">
            <v>1400</v>
          </cell>
          <cell r="P6485" t="str">
            <v>81111101-52121103</v>
          </cell>
          <cell r="S6485" t="str">
            <v>2026A-07</v>
          </cell>
          <cell r="T6485" t="str">
            <v>OT Pay</v>
          </cell>
        </row>
        <row r="6486">
          <cell r="K6486">
            <v>1800</v>
          </cell>
          <cell r="P6486" t="str">
            <v>81111101-52121305</v>
          </cell>
          <cell r="S6486" t="str">
            <v>2026A-07</v>
          </cell>
          <cell r="T6486" t="str">
            <v>Pag-ibig</v>
          </cell>
        </row>
        <row r="6487">
          <cell r="K6487">
            <v>9600</v>
          </cell>
          <cell r="P6487" t="str">
            <v>81111101-52121305</v>
          </cell>
          <cell r="S6487" t="str">
            <v>2026A-07</v>
          </cell>
          <cell r="T6487" t="str">
            <v>Pag-ibig</v>
          </cell>
        </row>
        <row r="6488">
          <cell r="K6488">
            <v>16440</v>
          </cell>
          <cell r="P6488" t="str">
            <v>81111101-52121305</v>
          </cell>
          <cell r="S6488" t="str">
            <v>2026A-07</v>
          </cell>
          <cell r="T6488" t="str">
            <v>SSS</v>
          </cell>
        </row>
        <row r="6489">
          <cell r="K6489">
            <v>3200</v>
          </cell>
          <cell r="P6489" t="str">
            <v>81111101-52121305</v>
          </cell>
          <cell r="S6489" t="str">
            <v>2026A-07</v>
          </cell>
          <cell r="T6489" t="str">
            <v>Pag-ibig</v>
          </cell>
        </row>
        <row r="6490">
          <cell r="K6490">
            <v>1200</v>
          </cell>
          <cell r="P6490" t="str">
            <v>81111101-52121305</v>
          </cell>
          <cell r="S6490" t="str">
            <v>2026A-07</v>
          </cell>
          <cell r="T6490" t="str">
            <v>Pag-ibig</v>
          </cell>
        </row>
        <row r="6491">
          <cell r="K6491">
            <v>1200</v>
          </cell>
          <cell r="P6491" t="str">
            <v>81111101-52121305</v>
          </cell>
          <cell r="S6491" t="str">
            <v>2026A-07</v>
          </cell>
          <cell r="T6491" t="str">
            <v>Pag-ibig</v>
          </cell>
        </row>
        <row r="6492">
          <cell r="K6492">
            <v>8690</v>
          </cell>
          <cell r="P6492" t="str">
            <v>81111101-52121305</v>
          </cell>
          <cell r="S6492" t="str">
            <v>2026A-07</v>
          </cell>
          <cell r="T6492" t="str">
            <v>Philhealth</v>
          </cell>
        </row>
        <row r="6493">
          <cell r="K6493">
            <v>23570</v>
          </cell>
          <cell r="P6493" t="str">
            <v>81111101-52121305</v>
          </cell>
          <cell r="S6493" t="str">
            <v>2026A-07</v>
          </cell>
          <cell r="T6493" t="str">
            <v>SSS</v>
          </cell>
        </row>
        <row r="6494">
          <cell r="K6494">
            <v>10840</v>
          </cell>
          <cell r="P6494" t="str">
            <v>81111101-52121305</v>
          </cell>
          <cell r="S6494" t="str">
            <v>2026A-07</v>
          </cell>
          <cell r="T6494" t="str">
            <v>SSS</v>
          </cell>
        </row>
        <row r="6495">
          <cell r="K6495">
            <v>6045</v>
          </cell>
          <cell r="P6495" t="str">
            <v>81111101-52121305</v>
          </cell>
          <cell r="S6495" t="str">
            <v>2026A-07</v>
          </cell>
          <cell r="T6495" t="str">
            <v>Philhealth</v>
          </cell>
        </row>
        <row r="6496">
          <cell r="K6496">
            <v>91680</v>
          </cell>
          <cell r="P6496" t="str">
            <v>81111101-52121305</v>
          </cell>
          <cell r="S6496" t="str">
            <v>2026A-07</v>
          </cell>
          <cell r="T6496" t="str">
            <v>SSS</v>
          </cell>
        </row>
        <row r="6497">
          <cell r="K6497">
            <v>48740</v>
          </cell>
          <cell r="P6497" t="str">
            <v>81111101-52121305</v>
          </cell>
          <cell r="S6497" t="str">
            <v>2026A-07</v>
          </cell>
          <cell r="T6497" t="str">
            <v>Philhealth</v>
          </cell>
        </row>
        <row r="6498">
          <cell r="K6498">
            <v>14280</v>
          </cell>
          <cell r="P6498" t="str">
            <v>81111101-52121305</v>
          </cell>
          <cell r="S6498" t="str">
            <v>2026A-07</v>
          </cell>
          <cell r="T6498" t="str">
            <v>SSS</v>
          </cell>
        </row>
        <row r="6499">
          <cell r="K6499">
            <v>7382.5</v>
          </cell>
          <cell r="P6499" t="str">
            <v>81111101-52121305</v>
          </cell>
          <cell r="S6499" t="str">
            <v>2026A-07</v>
          </cell>
          <cell r="T6499" t="str">
            <v>Philhealth</v>
          </cell>
        </row>
        <row r="6500">
          <cell r="K6500">
            <v>11847.5</v>
          </cell>
          <cell r="P6500" t="str">
            <v>81111101-52121305</v>
          </cell>
          <cell r="S6500" t="str">
            <v>2026A-07</v>
          </cell>
          <cell r="T6500" t="str">
            <v>Philhealth</v>
          </cell>
        </row>
        <row r="6501">
          <cell r="K6501">
            <v>4486.6099999999997</v>
          </cell>
          <cell r="P6501" t="str">
            <v>81123102-52061103</v>
          </cell>
          <cell r="S6501" t="str">
            <v>2026A-07</v>
          </cell>
          <cell r="T6501" t="str">
            <v>R&amp;M - Building</v>
          </cell>
        </row>
        <row r="6502">
          <cell r="K6502">
            <v>30357.14</v>
          </cell>
          <cell r="P6502" t="str">
            <v>81123102-52111101</v>
          </cell>
          <cell r="S6502" t="str">
            <v>2026A-07</v>
          </cell>
          <cell r="T6502" t="str">
            <v>Toner/ink</v>
          </cell>
        </row>
        <row r="6503">
          <cell r="K6503">
            <v>10625</v>
          </cell>
          <cell r="P6503" t="str">
            <v>81123102-52111101</v>
          </cell>
          <cell r="S6503" t="str">
            <v>2026A-07</v>
          </cell>
          <cell r="T6503" t="str">
            <v>Toner/ink</v>
          </cell>
        </row>
        <row r="6504">
          <cell r="K6504">
            <v>10714.29</v>
          </cell>
          <cell r="P6504" t="str">
            <v>81123102-52111101</v>
          </cell>
          <cell r="S6504" t="str">
            <v>2026A-07</v>
          </cell>
          <cell r="T6504" t="str">
            <v>Toner/ink</v>
          </cell>
        </row>
        <row r="6505">
          <cell r="K6505">
            <v>7142.86</v>
          </cell>
          <cell r="P6505" t="str">
            <v>81123102-52111101</v>
          </cell>
          <cell r="S6505" t="str">
            <v>2026A-07</v>
          </cell>
          <cell r="T6505" t="str">
            <v>Toner/ink</v>
          </cell>
        </row>
        <row r="6506">
          <cell r="K6506">
            <v>7142.86</v>
          </cell>
          <cell r="P6506" t="str">
            <v>81123102-52111101</v>
          </cell>
          <cell r="S6506" t="str">
            <v>2026A-07</v>
          </cell>
          <cell r="T6506" t="str">
            <v>Toner/ink</v>
          </cell>
        </row>
        <row r="6507">
          <cell r="K6507">
            <v>7142.86</v>
          </cell>
          <cell r="P6507" t="str">
            <v>81123102-52111101</v>
          </cell>
          <cell r="S6507" t="str">
            <v>2026A-07</v>
          </cell>
          <cell r="T6507" t="str">
            <v>Toner/ink</v>
          </cell>
        </row>
        <row r="6508">
          <cell r="K6508">
            <v>6000</v>
          </cell>
          <cell r="P6508" t="str">
            <v>80123101-61071002</v>
          </cell>
          <cell r="S6508" t="str">
            <v>2026A-07</v>
          </cell>
          <cell r="T6508" t="str">
            <v>Open Cases</v>
          </cell>
        </row>
        <row r="6509">
          <cell r="K6509">
            <v>6000</v>
          </cell>
          <cell r="P6509" t="str">
            <v>80123101-61071002</v>
          </cell>
          <cell r="S6509" t="str">
            <v>2026A-07</v>
          </cell>
          <cell r="T6509" t="str">
            <v>Open Cases</v>
          </cell>
        </row>
        <row r="6510">
          <cell r="K6510">
            <v>2868.75</v>
          </cell>
          <cell r="P6510" t="str">
            <v>80123101-61071002</v>
          </cell>
          <cell r="S6510" t="str">
            <v>2026A-07</v>
          </cell>
          <cell r="T6510" t="str">
            <v>Open Cases</v>
          </cell>
        </row>
        <row r="6511">
          <cell r="K6511">
            <v>7000</v>
          </cell>
          <cell r="P6511" t="str">
            <v>80123101-61071005</v>
          </cell>
          <cell r="S6511" t="str">
            <v>2026A-07</v>
          </cell>
          <cell r="T6511" t="str">
            <v>Corpuz</v>
          </cell>
        </row>
        <row r="6512">
          <cell r="K6512">
            <v>708</v>
          </cell>
          <cell r="P6512" t="str">
            <v>80123102-61721103</v>
          </cell>
          <cell r="S6512" t="str">
            <v>2026A-07</v>
          </cell>
          <cell r="T6512" t="str">
            <v>Postal</v>
          </cell>
        </row>
        <row r="6513">
          <cell r="K6513">
            <v>2011187.5</v>
          </cell>
          <cell r="P6513" t="str">
            <v>90122101-52071104</v>
          </cell>
          <cell r="S6513" t="str">
            <v>2026A-07</v>
          </cell>
          <cell r="T6513" t="str">
            <v>OLC INTCNSLTNT</v>
          </cell>
        </row>
        <row r="6514">
          <cell r="K6514">
            <v>-898918.48</v>
          </cell>
          <cell r="P6514" t="str">
            <v>81349101-52959901</v>
          </cell>
          <cell r="S6514" t="str">
            <v>2026A-07</v>
          </cell>
          <cell r="T6514" t="str">
            <v>OE Redev Plan</v>
          </cell>
        </row>
        <row r="6515">
          <cell r="K6515">
            <v>898918.48</v>
          </cell>
          <cell r="P6515" t="str">
            <v>81222101-61959994</v>
          </cell>
          <cell r="S6515" t="str">
            <v>2026A-07</v>
          </cell>
          <cell r="T6515" t="str">
            <v>OE Redev Plan</v>
          </cell>
        </row>
        <row r="6516">
          <cell r="K6516">
            <v>6071.43</v>
          </cell>
          <cell r="P6516" t="str">
            <v>81123102-52061103</v>
          </cell>
          <cell r="S6516" t="str">
            <v>2026A-07</v>
          </cell>
          <cell r="T6516" t="str">
            <v>R&amp;M - F&amp;F</v>
          </cell>
        </row>
        <row r="6517">
          <cell r="K6517">
            <v>77.14</v>
          </cell>
          <cell r="P6517" t="str">
            <v>81123102-52061111</v>
          </cell>
          <cell r="S6517" t="str">
            <v>2026A-07</v>
          </cell>
          <cell r="T6517" t="str">
            <v>R&amp;M - Supplies</v>
          </cell>
        </row>
        <row r="6518">
          <cell r="K6518">
            <v>2232.14</v>
          </cell>
          <cell r="P6518" t="str">
            <v>81123102-52061111</v>
          </cell>
          <cell r="S6518" t="str">
            <v>2026A-07</v>
          </cell>
          <cell r="T6518" t="str">
            <v>R&amp;M - Supplies</v>
          </cell>
        </row>
        <row r="6519">
          <cell r="K6519">
            <v>21428.57</v>
          </cell>
          <cell r="P6519" t="str">
            <v>81123102-52111101</v>
          </cell>
          <cell r="S6519" t="str">
            <v>2026A-07</v>
          </cell>
          <cell r="T6519" t="str">
            <v>Toner/ink</v>
          </cell>
        </row>
        <row r="6520">
          <cell r="K6520">
            <v>22691.97</v>
          </cell>
          <cell r="P6520" t="str">
            <v>81319101-52041499</v>
          </cell>
          <cell r="S6520" t="str">
            <v>2026A-07</v>
          </cell>
          <cell r="T6520" t="str">
            <v>GH</v>
          </cell>
        </row>
        <row r="6521">
          <cell r="K6521">
            <v>106448.6</v>
          </cell>
          <cell r="P6521" t="str">
            <v>81319101-52041405</v>
          </cell>
          <cell r="S6521" t="str">
            <v>2026A-07</v>
          </cell>
          <cell r="T6521" t="str">
            <v>GH</v>
          </cell>
        </row>
        <row r="6522">
          <cell r="K6522">
            <v>-60714.29</v>
          </cell>
          <cell r="P6522" t="str">
            <v>81123102-52041502</v>
          </cell>
          <cell r="S6522" t="str">
            <v>2026A-07</v>
          </cell>
          <cell r="T6522" t="str">
            <v>MTS Recovery</v>
          </cell>
        </row>
        <row r="6523">
          <cell r="K6523">
            <v>-258928.57</v>
          </cell>
          <cell r="P6523" t="str">
            <v>81123102-52041502</v>
          </cell>
          <cell r="S6523" t="str">
            <v>2026A-07</v>
          </cell>
          <cell r="T6523" t="str">
            <v>MTS Recovery</v>
          </cell>
        </row>
        <row r="6524">
          <cell r="K6524">
            <v>2455.36</v>
          </cell>
          <cell r="P6524" t="str">
            <v>81123102-52061101</v>
          </cell>
          <cell r="S6524" t="str">
            <v>2026A-07</v>
          </cell>
          <cell r="T6524" t="str">
            <v>R&amp;M - F&amp;F</v>
          </cell>
        </row>
        <row r="6525">
          <cell r="K6525">
            <v>60</v>
          </cell>
          <cell r="P6525" t="str">
            <v>81123102-52081101</v>
          </cell>
          <cell r="S6525" t="str">
            <v>2026A-07</v>
          </cell>
          <cell r="T6525" t="str">
            <v>Parking</v>
          </cell>
        </row>
        <row r="6526">
          <cell r="K6526">
            <v>10</v>
          </cell>
          <cell r="P6526" t="str">
            <v>81123102-52081101</v>
          </cell>
          <cell r="S6526" t="str">
            <v>2026A-07</v>
          </cell>
          <cell r="T6526" t="str">
            <v>Parking</v>
          </cell>
        </row>
        <row r="6527">
          <cell r="K6527">
            <v>170</v>
          </cell>
          <cell r="P6527" t="str">
            <v>81123102-52081101</v>
          </cell>
          <cell r="S6527" t="str">
            <v>2026A-07</v>
          </cell>
          <cell r="T6527" t="str">
            <v>Parking</v>
          </cell>
        </row>
        <row r="6528">
          <cell r="K6528">
            <v>60</v>
          </cell>
          <cell r="P6528" t="str">
            <v>81123102-52081101</v>
          </cell>
          <cell r="S6528" t="str">
            <v>2026A-07</v>
          </cell>
          <cell r="T6528" t="str">
            <v>Parking</v>
          </cell>
        </row>
        <row r="6529">
          <cell r="K6529">
            <v>270</v>
          </cell>
          <cell r="P6529" t="str">
            <v>81123102-52081101</v>
          </cell>
          <cell r="S6529" t="str">
            <v>2026A-07</v>
          </cell>
          <cell r="T6529" t="str">
            <v>Parking</v>
          </cell>
        </row>
        <row r="6530">
          <cell r="K6530">
            <v>170</v>
          </cell>
          <cell r="P6530" t="str">
            <v>81123102-52081101</v>
          </cell>
          <cell r="S6530" t="str">
            <v>2026A-07</v>
          </cell>
          <cell r="T6530" t="str">
            <v>Parking</v>
          </cell>
        </row>
        <row r="6531">
          <cell r="K6531">
            <v>50</v>
          </cell>
          <cell r="P6531" t="str">
            <v>81123102-52081101</v>
          </cell>
          <cell r="S6531" t="str">
            <v>2026A-07</v>
          </cell>
          <cell r="T6531" t="str">
            <v>Parking</v>
          </cell>
        </row>
        <row r="6532">
          <cell r="K6532">
            <v>45</v>
          </cell>
          <cell r="P6532" t="str">
            <v>81123102-52081101</v>
          </cell>
          <cell r="S6532" t="str">
            <v>2026A-07</v>
          </cell>
          <cell r="T6532" t="str">
            <v>Parking</v>
          </cell>
        </row>
        <row r="6533">
          <cell r="K6533">
            <v>105</v>
          </cell>
          <cell r="P6533" t="str">
            <v>81123102-52081101</v>
          </cell>
          <cell r="S6533" t="str">
            <v>2026A-07</v>
          </cell>
          <cell r="T6533" t="str">
            <v>Parking</v>
          </cell>
        </row>
        <row r="6534">
          <cell r="K6534">
            <v>165</v>
          </cell>
          <cell r="P6534" t="str">
            <v>81123102-52081101</v>
          </cell>
          <cell r="S6534" t="str">
            <v>2026A-07</v>
          </cell>
          <cell r="T6534" t="str">
            <v>Parking</v>
          </cell>
        </row>
        <row r="6535">
          <cell r="K6535">
            <v>50</v>
          </cell>
          <cell r="P6535" t="str">
            <v>81123102-52081101</v>
          </cell>
          <cell r="S6535" t="str">
            <v>2026A-07</v>
          </cell>
          <cell r="T6535" t="str">
            <v>Parking</v>
          </cell>
        </row>
        <row r="6536">
          <cell r="K6536">
            <v>70</v>
          </cell>
          <cell r="P6536" t="str">
            <v>81123102-52081101</v>
          </cell>
          <cell r="S6536" t="str">
            <v>2026A-07</v>
          </cell>
          <cell r="T6536" t="str">
            <v>Parking</v>
          </cell>
        </row>
        <row r="6537">
          <cell r="K6537">
            <v>150</v>
          </cell>
          <cell r="P6537" t="str">
            <v>81123102-52081103</v>
          </cell>
          <cell r="S6537" t="str">
            <v>2026A-07</v>
          </cell>
          <cell r="T6537" t="str">
            <v>Meal Allowance</v>
          </cell>
        </row>
        <row r="6538">
          <cell r="K6538">
            <v>150</v>
          </cell>
          <cell r="P6538" t="str">
            <v>81123102-52081103</v>
          </cell>
          <cell r="S6538" t="str">
            <v>2026A-07</v>
          </cell>
          <cell r="T6538" t="str">
            <v>Meal Allowance</v>
          </cell>
        </row>
        <row r="6539">
          <cell r="K6539">
            <v>150</v>
          </cell>
          <cell r="P6539" t="str">
            <v>81123102-52081103</v>
          </cell>
          <cell r="S6539" t="str">
            <v>2026A-07</v>
          </cell>
          <cell r="T6539" t="str">
            <v>Meal Allowance</v>
          </cell>
        </row>
        <row r="6540">
          <cell r="K6540">
            <v>360</v>
          </cell>
          <cell r="P6540" t="str">
            <v>81123102-52111101</v>
          </cell>
          <cell r="S6540" t="str">
            <v>2026A-07</v>
          </cell>
          <cell r="T6540" t="str">
            <v>Office Supplies - Others</v>
          </cell>
        </row>
        <row r="6541">
          <cell r="K6541">
            <v>169</v>
          </cell>
          <cell r="P6541" t="str">
            <v>81123102-52119101</v>
          </cell>
          <cell r="S6541" t="str">
            <v>2026A-07</v>
          </cell>
          <cell r="T6541" t="str">
            <v>Gas/fuel</v>
          </cell>
        </row>
        <row r="6542">
          <cell r="K6542">
            <v>59</v>
          </cell>
          <cell r="P6542" t="str">
            <v>81123102-52119101</v>
          </cell>
          <cell r="S6542" t="str">
            <v>2026A-07</v>
          </cell>
          <cell r="T6542" t="str">
            <v>Gas/fuel</v>
          </cell>
        </row>
        <row r="6543">
          <cell r="K6543">
            <v>178</v>
          </cell>
          <cell r="P6543" t="str">
            <v>81123102-52119101</v>
          </cell>
          <cell r="S6543" t="str">
            <v>2026A-07</v>
          </cell>
          <cell r="T6543" t="str">
            <v>Gas/fuel</v>
          </cell>
        </row>
        <row r="6544">
          <cell r="K6544">
            <v>114</v>
          </cell>
          <cell r="P6544" t="str">
            <v>81123102-52119101</v>
          </cell>
          <cell r="S6544" t="str">
            <v>2026A-07</v>
          </cell>
          <cell r="T6544" t="str">
            <v>Gas/fuel</v>
          </cell>
        </row>
        <row r="6545">
          <cell r="K6545">
            <v>175</v>
          </cell>
          <cell r="P6545" t="str">
            <v>81123102-52119101</v>
          </cell>
          <cell r="S6545" t="str">
            <v>2026A-07</v>
          </cell>
          <cell r="T6545" t="str">
            <v>Gas/fuel</v>
          </cell>
        </row>
        <row r="6546">
          <cell r="K6546">
            <v>250</v>
          </cell>
          <cell r="P6546" t="str">
            <v>81123102-52119101</v>
          </cell>
          <cell r="S6546" t="str">
            <v>2026A-07</v>
          </cell>
          <cell r="T6546" t="str">
            <v>Gas/fuel</v>
          </cell>
        </row>
        <row r="6547">
          <cell r="K6547">
            <v>211</v>
          </cell>
          <cell r="P6547" t="str">
            <v>81123102-52119101</v>
          </cell>
          <cell r="S6547" t="str">
            <v>2026A-07</v>
          </cell>
          <cell r="T6547" t="str">
            <v>Gas/fuel</v>
          </cell>
        </row>
        <row r="6548">
          <cell r="K6548">
            <v>266</v>
          </cell>
          <cell r="P6548" t="str">
            <v>81123102-52119101</v>
          </cell>
          <cell r="S6548" t="str">
            <v>2026A-07</v>
          </cell>
          <cell r="T6548" t="str">
            <v>Gas/fuel</v>
          </cell>
        </row>
        <row r="6549">
          <cell r="K6549">
            <v>222</v>
          </cell>
          <cell r="P6549" t="str">
            <v>81123102-52119101</v>
          </cell>
          <cell r="S6549" t="str">
            <v>2026A-07</v>
          </cell>
          <cell r="T6549" t="str">
            <v>Gas/fuel</v>
          </cell>
        </row>
        <row r="6550">
          <cell r="K6550">
            <v>419</v>
          </cell>
          <cell r="P6550" t="str">
            <v>81123102-52119101</v>
          </cell>
          <cell r="S6550" t="str">
            <v>2026A-07</v>
          </cell>
          <cell r="T6550" t="str">
            <v>Gas/fuel</v>
          </cell>
        </row>
        <row r="6551">
          <cell r="K6551">
            <v>552</v>
          </cell>
          <cell r="P6551" t="str">
            <v>81123102-52119101</v>
          </cell>
          <cell r="S6551" t="str">
            <v>2026A-07</v>
          </cell>
          <cell r="T6551" t="str">
            <v>Gas/fuel</v>
          </cell>
        </row>
        <row r="6552">
          <cell r="K6552">
            <v>390</v>
          </cell>
          <cell r="P6552" t="str">
            <v>81123102-52119101</v>
          </cell>
          <cell r="S6552" t="str">
            <v>2026A-07</v>
          </cell>
          <cell r="T6552" t="str">
            <v>Gas/fuel</v>
          </cell>
        </row>
        <row r="6553">
          <cell r="K6553">
            <v>475</v>
          </cell>
          <cell r="P6553" t="str">
            <v>81123102-52119101</v>
          </cell>
          <cell r="S6553" t="str">
            <v>2026A-07</v>
          </cell>
          <cell r="T6553" t="str">
            <v>Gas/fuel</v>
          </cell>
        </row>
        <row r="6554">
          <cell r="K6554">
            <v>250</v>
          </cell>
          <cell r="P6554" t="str">
            <v>81123102-52119101</v>
          </cell>
          <cell r="S6554" t="str">
            <v>2026A-07</v>
          </cell>
          <cell r="T6554" t="str">
            <v>Gas/fuel</v>
          </cell>
        </row>
        <row r="6555">
          <cell r="K6555">
            <v>312</v>
          </cell>
          <cell r="P6555" t="str">
            <v>81123102-52119101</v>
          </cell>
          <cell r="S6555" t="str">
            <v>2026A-07</v>
          </cell>
          <cell r="T6555" t="str">
            <v>Gas/fuel</v>
          </cell>
        </row>
        <row r="6556">
          <cell r="K6556">
            <v>376</v>
          </cell>
          <cell r="P6556" t="str">
            <v>81123102-52119101</v>
          </cell>
          <cell r="S6556" t="str">
            <v>2026A-07</v>
          </cell>
          <cell r="T6556" t="str">
            <v>Gas/fuel</v>
          </cell>
        </row>
        <row r="6557">
          <cell r="K6557">
            <v>336</v>
          </cell>
          <cell r="P6557" t="str">
            <v>81123102-52119101</v>
          </cell>
          <cell r="S6557" t="str">
            <v>2026A-07</v>
          </cell>
          <cell r="T6557" t="str">
            <v>Gas/fuel</v>
          </cell>
        </row>
        <row r="6558">
          <cell r="K6558">
            <v>260</v>
          </cell>
          <cell r="P6558" t="str">
            <v>81123102-52119101</v>
          </cell>
          <cell r="S6558" t="str">
            <v>2026A-07</v>
          </cell>
          <cell r="T6558" t="str">
            <v>Gas/fuel</v>
          </cell>
        </row>
        <row r="6559">
          <cell r="K6559">
            <v>250</v>
          </cell>
          <cell r="P6559" t="str">
            <v>81123102-52119101</v>
          </cell>
          <cell r="S6559" t="str">
            <v>2026A-07</v>
          </cell>
          <cell r="T6559" t="str">
            <v>Gas/fuel</v>
          </cell>
        </row>
        <row r="6560">
          <cell r="K6560">
            <v>406</v>
          </cell>
          <cell r="P6560" t="str">
            <v>81123102-52119101</v>
          </cell>
          <cell r="S6560" t="str">
            <v>2026A-07</v>
          </cell>
          <cell r="T6560" t="str">
            <v>Gas/fuel</v>
          </cell>
        </row>
        <row r="6561">
          <cell r="K6561">
            <v>277</v>
          </cell>
          <cell r="P6561" t="str">
            <v>81123102-52119101</v>
          </cell>
          <cell r="S6561" t="str">
            <v>2026A-07</v>
          </cell>
          <cell r="T6561" t="str">
            <v>Gas/fuel</v>
          </cell>
        </row>
        <row r="6562">
          <cell r="K6562">
            <v>303</v>
          </cell>
          <cell r="P6562" t="str">
            <v>81123102-52119101</v>
          </cell>
          <cell r="S6562" t="str">
            <v>2026A-07</v>
          </cell>
          <cell r="T6562" t="str">
            <v>Gas/fuel</v>
          </cell>
        </row>
        <row r="6563">
          <cell r="K6563">
            <v>305</v>
          </cell>
          <cell r="P6563" t="str">
            <v>81123102-52119101</v>
          </cell>
          <cell r="S6563" t="str">
            <v>2026A-07</v>
          </cell>
          <cell r="T6563" t="str">
            <v>Gas/fuel</v>
          </cell>
        </row>
        <row r="6564">
          <cell r="K6564">
            <v>378</v>
          </cell>
          <cell r="P6564" t="str">
            <v>81123102-52119101</v>
          </cell>
          <cell r="S6564" t="str">
            <v>2026A-07</v>
          </cell>
          <cell r="T6564" t="str">
            <v>Gas/fuel</v>
          </cell>
        </row>
        <row r="6565">
          <cell r="K6565">
            <v>343</v>
          </cell>
          <cell r="P6565" t="str">
            <v>81123102-52119101</v>
          </cell>
          <cell r="S6565" t="str">
            <v>2026A-07</v>
          </cell>
          <cell r="T6565" t="str">
            <v>Gas/fuel</v>
          </cell>
        </row>
        <row r="6566">
          <cell r="K6566">
            <v>250</v>
          </cell>
          <cell r="P6566" t="str">
            <v>81123102-52119101</v>
          </cell>
          <cell r="S6566" t="str">
            <v>2026A-07</v>
          </cell>
          <cell r="T6566" t="str">
            <v>Gas/fuel</v>
          </cell>
        </row>
        <row r="6567">
          <cell r="K6567">
            <v>354</v>
          </cell>
          <cell r="P6567" t="str">
            <v>81123102-52119101</v>
          </cell>
          <cell r="S6567" t="str">
            <v>2026A-07</v>
          </cell>
          <cell r="T6567" t="str">
            <v>Gas/fuel</v>
          </cell>
        </row>
        <row r="6568">
          <cell r="K6568">
            <v>248</v>
          </cell>
          <cell r="P6568" t="str">
            <v>81123102-52119101</v>
          </cell>
          <cell r="S6568" t="str">
            <v>2026A-07</v>
          </cell>
          <cell r="T6568" t="str">
            <v>Gas/fuel</v>
          </cell>
        </row>
        <row r="6569">
          <cell r="K6569">
            <v>379</v>
          </cell>
          <cell r="P6569" t="str">
            <v>81123102-52119101</v>
          </cell>
          <cell r="S6569" t="str">
            <v>2026A-07</v>
          </cell>
          <cell r="T6569" t="str">
            <v>Gas/fuel</v>
          </cell>
        </row>
        <row r="6570">
          <cell r="K6570">
            <v>250</v>
          </cell>
          <cell r="P6570" t="str">
            <v>81123102-52119101</v>
          </cell>
          <cell r="S6570" t="str">
            <v>2026A-07</v>
          </cell>
          <cell r="T6570" t="str">
            <v>Gas/fuel</v>
          </cell>
        </row>
        <row r="6571">
          <cell r="K6571">
            <v>304</v>
          </cell>
          <cell r="P6571" t="str">
            <v>81123102-52119101</v>
          </cell>
          <cell r="S6571" t="str">
            <v>2026A-07</v>
          </cell>
          <cell r="T6571" t="str">
            <v>Gas/fuel</v>
          </cell>
        </row>
        <row r="6572">
          <cell r="K6572">
            <v>490</v>
          </cell>
          <cell r="P6572" t="str">
            <v>81123102-52119101</v>
          </cell>
          <cell r="S6572" t="str">
            <v>2026A-07</v>
          </cell>
          <cell r="T6572" t="str">
            <v>Gas/fuel</v>
          </cell>
        </row>
        <row r="6573">
          <cell r="K6573">
            <v>380</v>
          </cell>
          <cell r="P6573" t="str">
            <v>81123102-52119101</v>
          </cell>
          <cell r="S6573" t="str">
            <v>2026A-07</v>
          </cell>
          <cell r="T6573" t="str">
            <v>Gas/fuel</v>
          </cell>
        </row>
        <row r="6574">
          <cell r="K6574">
            <v>250</v>
          </cell>
          <cell r="P6574" t="str">
            <v>81123102-52119101</v>
          </cell>
          <cell r="S6574" t="str">
            <v>2026A-07</v>
          </cell>
          <cell r="T6574" t="str">
            <v>Gas/fuel</v>
          </cell>
        </row>
        <row r="6575">
          <cell r="K6575">
            <v>4017.86</v>
          </cell>
          <cell r="P6575" t="str">
            <v>81319101-52111101</v>
          </cell>
          <cell r="S6575" t="str">
            <v>2026A-07</v>
          </cell>
          <cell r="T6575" t="str">
            <v>ES</v>
          </cell>
        </row>
        <row r="6576">
          <cell r="K6576">
            <v>2231.25</v>
          </cell>
          <cell r="P6576" t="str">
            <v>80123102-61721101</v>
          </cell>
          <cell r="S6576" t="str">
            <v>2026A-07</v>
          </cell>
          <cell r="T6576" t="str">
            <v>Mobile Phones</v>
          </cell>
        </row>
        <row r="6577">
          <cell r="K6577">
            <v>2231.25</v>
          </cell>
          <cell r="P6577" t="str">
            <v>80123102-61721101</v>
          </cell>
          <cell r="S6577" t="str">
            <v>2026A-07</v>
          </cell>
          <cell r="T6577" t="str">
            <v>Mobile Phones</v>
          </cell>
        </row>
        <row r="6578">
          <cell r="K6578">
            <v>1601</v>
          </cell>
          <cell r="P6578" t="str">
            <v>81123102-52111101</v>
          </cell>
          <cell r="S6578" t="str">
            <v>2026A-07</v>
          </cell>
          <cell r="T6578" t="str">
            <v>Office Supplies - Others</v>
          </cell>
        </row>
        <row r="6579">
          <cell r="K6579">
            <v>6696.43</v>
          </cell>
          <cell r="P6579" t="str">
            <v>81319101-52111101</v>
          </cell>
          <cell r="S6579" t="str">
            <v>2026A-07</v>
          </cell>
          <cell r="T6579" t="str">
            <v>GH</v>
          </cell>
        </row>
        <row r="6580">
          <cell r="K6580">
            <v>1500</v>
          </cell>
          <cell r="P6580" t="str">
            <v>80122101-61711101</v>
          </cell>
          <cell r="S6580" t="str">
            <v>2026A-07</v>
          </cell>
          <cell r="T6580" t="str">
            <v>PRC</v>
          </cell>
        </row>
        <row r="6581">
          <cell r="K6581">
            <v>-3115</v>
          </cell>
          <cell r="P6581" t="str">
            <v>80133102-61051199</v>
          </cell>
          <cell r="S6581" t="str">
            <v>2026A-07</v>
          </cell>
          <cell r="T6581" t="str">
            <v>Easy Tax Bill</v>
          </cell>
        </row>
        <row r="6582">
          <cell r="K6582">
            <v>-48405</v>
          </cell>
          <cell r="P6582" t="str">
            <v>80133102-61051199</v>
          </cell>
          <cell r="S6582" t="str">
            <v>2026A-07</v>
          </cell>
          <cell r="T6582" t="str">
            <v>Easy Tax Bill</v>
          </cell>
        </row>
        <row r="6583">
          <cell r="K6583">
            <v>3115</v>
          </cell>
          <cell r="P6583" t="str">
            <v>80133102-61051199</v>
          </cell>
          <cell r="S6583" t="str">
            <v>2026A-07</v>
          </cell>
          <cell r="T6583" t="str">
            <v>Easy Tax Bill</v>
          </cell>
        </row>
        <row r="6584">
          <cell r="K6584">
            <v>48405</v>
          </cell>
          <cell r="P6584" t="str">
            <v>80133102-61051199</v>
          </cell>
          <cell r="S6584" t="str">
            <v>2026A-07</v>
          </cell>
          <cell r="T6584" t="str">
            <v>Easy Tax Bill</v>
          </cell>
        </row>
        <row r="6585">
          <cell r="K6585">
            <v>3115</v>
          </cell>
          <cell r="P6585" t="str">
            <v>80133102-61051199</v>
          </cell>
          <cell r="S6585" t="str">
            <v>2026A-07</v>
          </cell>
          <cell r="T6585" t="str">
            <v>Easy Tax Bill</v>
          </cell>
        </row>
        <row r="6586">
          <cell r="K6586">
            <v>48405</v>
          </cell>
          <cell r="P6586" t="str">
            <v>80133102-61051199</v>
          </cell>
          <cell r="S6586" t="str">
            <v>2026A-07</v>
          </cell>
          <cell r="T6586" t="str">
            <v>Easy Tax Bill</v>
          </cell>
        </row>
        <row r="6587">
          <cell r="K6587">
            <v>-624.65</v>
          </cell>
          <cell r="P6587" t="str">
            <v>81123102-52951101</v>
          </cell>
          <cell r="S6587" t="str">
            <v>2026A-07</v>
          </cell>
          <cell r="T6587" t="str">
            <v>Mobile Phones</v>
          </cell>
        </row>
        <row r="6588">
          <cell r="K6588">
            <v>-637.39</v>
          </cell>
          <cell r="P6588" t="str">
            <v>81123102-52951101</v>
          </cell>
          <cell r="S6588" t="str">
            <v>2026A-07</v>
          </cell>
          <cell r="T6588" t="str">
            <v>Mobile Phones</v>
          </cell>
        </row>
        <row r="6589">
          <cell r="K6589">
            <v>1500</v>
          </cell>
          <cell r="P6589" t="str">
            <v>90122101-61711101</v>
          </cell>
          <cell r="S6589" t="str">
            <v>2026A-07</v>
          </cell>
          <cell r="T6589" t="str">
            <v>ANC</v>
          </cell>
        </row>
        <row r="6590">
          <cell r="K6590">
            <v>4419.6400000000003</v>
          </cell>
          <cell r="P6590" t="str">
            <v>81319101-52111101</v>
          </cell>
          <cell r="S6590" t="str">
            <v>2026A-07</v>
          </cell>
          <cell r="T6590" t="str">
            <v>ES</v>
          </cell>
        </row>
        <row r="6591">
          <cell r="K6591">
            <v>1464.29</v>
          </cell>
          <cell r="P6591" t="str">
            <v>81319101-52111101</v>
          </cell>
          <cell r="S6591" t="str">
            <v>2026A-07</v>
          </cell>
          <cell r="T6591" t="str">
            <v>ES</v>
          </cell>
        </row>
        <row r="6592">
          <cell r="K6592">
            <v>42.86</v>
          </cell>
          <cell r="P6592" t="str">
            <v>81319101-52111101</v>
          </cell>
          <cell r="S6592" t="str">
            <v>2026A-07</v>
          </cell>
          <cell r="T6592" t="str">
            <v>ES</v>
          </cell>
        </row>
        <row r="6593">
          <cell r="K6593">
            <v>803.57</v>
          </cell>
          <cell r="P6593" t="str">
            <v>81319101-52111101</v>
          </cell>
          <cell r="S6593" t="str">
            <v>2026A-07</v>
          </cell>
          <cell r="T6593" t="str">
            <v>ES</v>
          </cell>
        </row>
        <row r="6594">
          <cell r="K6594">
            <v>696.43</v>
          </cell>
          <cell r="P6594" t="str">
            <v>81319101-52111101</v>
          </cell>
          <cell r="S6594" t="str">
            <v>2026A-07</v>
          </cell>
          <cell r="T6594" t="str">
            <v>ES</v>
          </cell>
        </row>
        <row r="6595">
          <cell r="K6595">
            <v>785.71</v>
          </cell>
          <cell r="P6595" t="str">
            <v>81319101-52111101</v>
          </cell>
          <cell r="S6595" t="str">
            <v>2026A-07</v>
          </cell>
          <cell r="T6595" t="str">
            <v>ES</v>
          </cell>
        </row>
        <row r="6596">
          <cell r="K6596">
            <v>142.86000000000001</v>
          </cell>
          <cell r="P6596" t="str">
            <v>81319101-52111101</v>
          </cell>
          <cell r="S6596" t="str">
            <v>2026A-07</v>
          </cell>
          <cell r="T6596" t="str">
            <v>ES</v>
          </cell>
        </row>
        <row r="6597">
          <cell r="K6597">
            <v>964.29</v>
          </cell>
          <cell r="P6597" t="str">
            <v>81319101-52111101</v>
          </cell>
          <cell r="S6597" t="str">
            <v>2026A-07</v>
          </cell>
          <cell r="T6597" t="str">
            <v>ES</v>
          </cell>
        </row>
        <row r="6598">
          <cell r="K6598">
            <v>1517.86</v>
          </cell>
          <cell r="P6598" t="str">
            <v>81319101-52111101</v>
          </cell>
          <cell r="S6598" t="str">
            <v>2026A-07</v>
          </cell>
          <cell r="T6598" t="str">
            <v>ES</v>
          </cell>
        </row>
        <row r="6599">
          <cell r="K6599">
            <v>214.29</v>
          </cell>
          <cell r="P6599" t="str">
            <v>81319101-52111101</v>
          </cell>
          <cell r="S6599" t="str">
            <v>2026A-07</v>
          </cell>
          <cell r="T6599" t="str">
            <v>ES</v>
          </cell>
        </row>
        <row r="6600">
          <cell r="K6600">
            <v>107.14</v>
          </cell>
          <cell r="P6600" t="str">
            <v>81319101-52111101</v>
          </cell>
          <cell r="S6600" t="str">
            <v>2026A-07</v>
          </cell>
          <cell r="T6600" t="str">
            <v>ES</v>
          </cell>
        </row>
        <row r="6601">
          <cell r="K6601">
            <v>107.14</v>
          </cell>
          <cell r="P6601" t="str">
            <v>81319101-52111101</v>
          </cell>
          <cell r="S6601" t="str">
            <v>2026A-07</v>
          </cell>
          <cell r="T6601" t="str">
            <v>ES</v>
          </cell>
        </row>
        <row r="6602">
          <cell r="K6602">
            <v>107.14</v>
          </cell>
          <cell r="P6602" t="str">
            <v>81319101-52111101</v>
          </cell>
          <cell r="S6602" t="str">
            <v>2026A-07</v>
          </cell>
          <cell r="T6602" t="str">
            <v>ES</v>
          </cell>
        </row>
        <row r="6603">
          <cell r="K6603">
            <v>1562.5</v>
          </cell>
          <cell r="P6603" t="str">
            <v>81319101-52111101</v>
          </cell>
          <cell r="S6603" t="str">
            <v>2026A-07</v>
          </cell>
          <cell r="T6603" t="str">
            <v>ES</v>
          </cell>
        </row>
        <row r="6604">
          <cell r="K6604">
            <v>1221.43</v>
          </cell>
          <cell r="P6604" t="str">
            <v>81319101-52111101</v>
          </cell>
          <cell r="S6604" t="str">
            <v>2026A-07</v>
          </cell>
          <cell r="T6604" t="str">
            <v>ES</v>
          </cell>
        </row>
        <row r="6605">
          <cell r="K6605">
            <v>1545</v>
          </cell>
          <cell r="P6605" t="str">
            <v>81319101-52111101</v>
          </cell>
          <cell r="S6605" t="str">
            <v>2026A-07</v>
          </cell>
          <cell r="T6605" t="str">
            <v>ES</v>
          </cell>
        </row>
        <row r="6606">
          <cell r="K6606">
            <v>1580.36</v>
          </cell>
          <cell r="P6606" t="str">
            <v>81319101-52111101</v>
          </cell>
          <cell r="S6606" t="str">
            <v>2026A-07</v>
          </cell>
          <cell r="T6606" t="str">
            <v>ES</v>
          </cell>
        </row>
        <row r="6607">
          <cell r="K6607">
            <v>1316.96</v>
          </cell>
          <cell r="P6607" t="str">
            <v>81319101-52111101</v>
          </cell>
          <cell r="S6607" t="str">
            <v>2026A-07</v>
          </cell>
          <cell r="T6607" t="str">
            <v>ES</v>
          </cell>
        </row>
        <row r="6608">
          <cell r="K6608">
            <v>5258.93</v>
          </cell>
          <cell r="P6608" t="str">
            <v>81319101-52111101</v>
          </cell>
          <cell r="S6608" t="str">
            <v>2026A-07</v>
          </cell>
          <cell r="T6608" t="str">
            <v>ES</v>
          </cell>
        </row>
        <row r="6609">
          <cell r="K6609">
            <v>185.49</v>
          </cell>
          <cell r="P6609" t="str">
            <v>81319101-52111101</v>
          </cell>
          <cell r="S6609" t="str">
            <v>2026A-07</v>
          </cell>
          <cell r="T6609" t="str">
            <v>ES</v>
          </cell>
        </row>
        <row r="6610">
          <cell r="K6610">
            <v>2796.88</v>
          </cell>
          <cell r="P6610" t="str">
            <v>81319101-52111101</v>
          </cell>
          <cell r="S6610" t="str">
            <v>2026A-07</v>
          </cell>
          <cell r="T6610" t="str">
            <v>ES</v>
          </cell>
        </row>
        <row r="6611">
          <cell r="K6611">
            <v>1647.32</v>
          </cell>
          <cell r="P6611" t="str">
            <v>81319101-52111101</v>
          </cell>
          <cell r="S6611" t="str">
            <v>2026A-07</v>
          </cell>
          <cell r="T6611" t="str">
            <v>ES</v>
          </cell>
        </row>
        <row r="6612">
          <cell r="K6612">
            <v>441.96</v>
          </cell>
          <cell r="P6612" t="str">
            <v>81319101-52111101</v>
          </cell>
          <cell r="S6612" t="str">
            <v>2026A-07</v>
          </cell>
          <cell r="T6612" t="str">
            <v>ES</v>
          </cell>
        </row>
        <row r="6613">
          <cell r="K6613">
            <v>3779.66</v>
          </cell>
          <cell r="P6613" t="str">
            <v>81111101-52101101</v>
          </cell>
          <cell r="S6613" t="str">
            <v>2026A-07</v>
          </cell>
          <cell r="T6613" t="str">
            <v>PARI</v>
          </cell>
        </row>
        <row r="6614">
          <cell r="K6614">
            <v>447507.21</v>
          </cell>
          <cell r="P6614" t="str">
            <v>81124101-52952103</v>
          </cell>
          <cell r="S6614" t="str">
            <v>2026A-07</v>
          </cell>
          <cell r="T6614" t="str">
            <v>M365</v>
          </cell>
        </row>
        <row r="6615">
          <cell r="K6615">
            <v>254573.96</v>
          </cell>
          <cell r="P6615" t="str">
            <v>81111101-52121303</v>
          </cell>
          <cell r="S6615" t="str">
            <v>2026A-07</v>
          </cell>
          <cell r="T6615" t="str">
            <v>HMO</v>
          </cell>
        </row>
        <row r="6616">
          <cell r="K6616">
            <v>62628.57</v>
          </cell>
          <cell r="P6616" t="str">
            <v>81124101-52952103</v>
          </cell>
          <cell r="S6616" t="str">
            <v>2026A-07</v>
          </cell>
          <cell r="T6616" t="str">
            <v>M365 Extra Storage</v>
          </cell>
        </row>
        <row r="6617">
          <cell r="K6617">
            <v>73422.720000000001</v>
          </cell>
          <cell r="P6617" t="str">
            <v>81124101-52952103</v>
          </cell>
          <cell r="S6617" t="str">
            <v>2026A-07</v>
          </cell>
          <cell r="T6617" t="str">
            <v>WAF</v>
          </cell>
        </row>
        <row r="6618">
          <cell r="K6618">
            <v>39285.71</v>
          </cell>
          <cell r="P6618" t="str">
            <v>81124101-52952103</v>
          </cell>
          <cell r="S6618" t="str">
            <v>2026A-07</v>
          </cell>
          <cell r="T6618" t="str">
            <v>Datrium</v>
          </cell>
        </row>
        <row r="6619">
          <cell r="K6619">
            <v>25660.71</v>
          </cell>
          <cell r="P6619" t="str">
            <v>81124101-52952103</v>
          </cell>
          <cell r="S6619" t="str">
            <v>2026A-07</v>
          </cell>
          <cell r="T6619" t="str">
            <v>SonicWall Firewall Security</v>
          </cell>
        </row>
        <row r="6620">
          <cell r="K6620">
            <v>20876.189999999999</v>
          </cell>
          <cell r="P6620" t="str">
            <v>81124101-52952103</v>
          </cell>
          <cell r="S6620" t="str">
            <v>2026A-07</v>
          </cell>
          <cell r="T6620" t="str">
            <v>M365 Extra Storage</v>
          </cell>
        </row>
        <row r="6621">
          <cell r="K6621">
            <v>48771.32</v>
          </cell>
          <cell r="P6621" t="str">
            <v>81124101-52952103</v>
          </cell>
          <cell r="S6621" t="str">
            <v>2026A-07</v>
          </cell>
          <cell r="T6621" t="str">
            <v>Palo Alto</v>
          </cell>
        </row>
        <row r="6622">
          <cell r="K6622">
            <v>6949.97</v>
          </cell>
          <cell r="P6622" t="str">
            <v>80111101-52101101</v>
          </cell>
          <cell r="S6622" t="str">
            <v>2026A-07</v>
          </cell>
          <cell r="T6622" t="str">
            <v>PARI</v>
          </cell>
        </row>
        <row r="6623">
          <cell r="K6623">
            <v>1735.1</v>
          </cell>
          <cell r="P6623" t="str">
            <v>80111101-52101101</v>
          </cell>
          <cell r="S6623" t="str">
            <v>2026A-07</v>
          </cell>
          <cell r="T6623" t="str">
            <v>PARI</v>
          </cell>
        </row>
        <row r="6624">
          <cell r="K6624">
            <v>1735.1</v>
          </cell>
          <cell r="P6624" t="str">
            <v>80111101-52101101</v>
          </cell>
          <cell r="S6624" t="str">
            <v>2026A-07</v>
          </cell>
          <cell r="T6624" t="str">
            <v>PARI</v>
          </cell>
        </row>
        <row r="6625">
          <cell r="K6625">
            <v>1735.1</v>
          </cell>
          <cell r="P6625" t="str">
            <v>80111101-52101101</v>
          </cell>
          <cell r="S6625" t="str">
            <v>2026A-07</v>
          </cell>
          <cell r="T6625" t="str">
            <v>PARI</v>
          </cell>
        </row>
        <row r="6626">
          <cell r="K6626">
            <v>1973.9</v>
          </cell>
          <cell r="P6626" t="str">
            <v>80111101-52101105</v>
          </cell>
          <cell r="S6626" t="str">
            <v>2026A-07</v>
          </cell>
          <cell r="T6626" t="str">
            <v>PTS</v>
          </cell>
        </row>
        <row r="6627">
          <cell r="K6627">
            <v>11184.27</v>
          </cell>
          <cell r="P6627" t="str">
            <v>81111101-52101101</v>
          </cell>
          <cell r="S6627" t="str">
            <v>2026A-07</v>
          </cell>
          <cell r="T6627" t="str">
            <v>PARI</v>
          </cell>
        </row>
        <row r="6628">
          <cell r="K6628">
            <v>11184.27</v>
          </cell>
          <cell r="P6628" t="str">
            <v>81111101-52101101</v>
          </cell>
          <cell r="S6628" t="str">
            <v>2026A-07</v>
          </cell>
          <cell r="T6628" t="str">
            <v>PARI</v>
          </cell>
        </row>
        <row r="6629">
          <cell r="K6629">
            <v>11184.27</v>
          </cell>
          <cell r="P6629" t="str">
            <v>81111101-52101101</v>
          </cell>
          <cell r="S6629" t="str">
            <v>2026A-07</v>
          </cell>
          <cell r="T6629" t="str">
            <v>PARI</v>
          </cell>
        </row>
        <row r="6630">
          <cell r="K6630">
            <v>1151.92</v>
          </cell>
          <cell r="P6630" t="str">
            <v>81111101-52101105</v>
          </cell>
          <cell r="S6630" t="str">
            <v>2026A-07</v>
          </cell>
          <cell r="T6630" t="str">
            <v>PTS</v>
          </cell>
        </row>
        <row r="6631">
          <cell r="K6631">
            <v>19223.330000000002</v>
          </cell>
          <cell r="P6631" t="str">
            <v>81124101-52952103</v>
          </cell>
          <cell r="S6631" t="str">
            <v>2026A-07</v>
          </cell>
          <cell r="T6631" t="str">
            <v>SDWAN ES TS GH</v>
          </cell>
        </row>
        <row r="6632">
          <cell r="K6632">
            <v>15557.36</v>
          </cell>
          <cell r="P6632" t="str">
            <v>81124101-52952103</v>
          </cell>
          <cell r="S6632" t="str">
            <v>2026A-07</v>
          </cell>
          <cell r="T6632" t="str">
            <v>HPE Server Maintenance</v>
          </cell>
        </row>
        <row r="6633">
          <cell r="K6633">
            <v>8900.91</v>
          </cell>
          <cell r="P6633" t="str">
            <v>81124101-52952103</v>
          </cell>
          <cell r="S6633" t="str">
            <v>2026A-07</v>
          </cell>
          <cell r="T6633" t="str">
            <v>Web Hosting</v>
          </cell>
        </row>
        <row r="6634">
          <cell r="K6634">
            <v>8272.5</v>
          </cell>
          <cell r="P6634" t="str">
            <v>81111101-52121301</v>
          </cell>
          <cell r="S6634" t="str">
            <v>2026A-07</v>
          </cell>
          <cell r="T6634" t="str">
            <v>Life Insurance</v>
          </cell>
        </row>
        <row r="6635">
          <cell r="K6635">
            <v>44642.86</v>
          </cell>
          <cell r="P6635" t="str">
            <v>81124101-52952103</v>
          </cell>
          <cell r="S6635" t="str">
            <v>2026A-07</v>
          </cell>
          <cell r="T6635" t="str">
            <v>Acronis</v>
          </cell>
        </row>
        <row r="6636">
          <cell r="K6636">
            <v>4635.42</v>
          </cell>
          <cell r="P6636" t="str">
            <v>81111101-52121303</v>
          </cell>
          <cell r="S6636" t="str">
            <v>2026A-07</v>
          </cell>
          <cell r="T6636" t="str">
            <v>HMO</v>
          </cell>
        </row>
        <row r="6637">
          <cell r="K6637">
            <v>20203.89</v>
          </cell>
          <cell r="P6637" t="str">
            <v>81124101-52952103</v>
          </cell>
          <cell r="S6637" t="str">
            <v>2026A-07</v>
          </cell>
          <cell r="T6637" t="str">
            <v>Aircuve</v>
          </cell>
        </row>
        <row r="6638">
          <cell r="K6638">
            <v>19866.400000000001</v>
          </cell>
          <cell r="P6638" t="str">
            <v>81124101-52952103</v>
          </cell>
          <cell r="S6638" t="str">
            <v>2026A-07</v>
          </cell>
          <cell r="T6638" t="str">
            <v>Aruba</v>
          </cell>
        </row>
        <row r="6639">
          <cell r="K6639">
            <v>19866.400000000001</v>
          </cell>
          <cell r="P6639" t="str">
            <v>81124101-52952103</v>
          </cell>
          <cell r="S6639" t="str">
            <v>2026A-07</v>
          </cell>
          <cell r="T6639" t="str">
            <v>Aruba</v>
          </cell>
        </row>
        <row r="6640">
          <cell r="K6640">
            <v>19866.400000000001</v>
          </cell>
          <cell r="P6640" t="str">
            <v>81124101-52952103</v>
          </cell>
          <cell r="S6640" t="str">
            <v>2026A-07</v>
          </cell>
          <cell r="T6640" t="str">
            <v>Aruba</v>
          </cell>
        </row>
        <row r="6641">
          <cell r="K6641">
            <v>5654.76</v>
          </cell>
          <cell r="P6641" t="str">
            <v>81124101-52952103</v>
          </cell>
          <cell r="S6641" t="str">
            <v>2026A-07</v>
          </cell>
          <cell r="T6641" t="str">
            <v>SDWAN ES TS GH</v>
          </cell>
        </row>
        <row r="6642">
          <cell r="K6642">
            <v>5654.76</v>
          </cell>
          <cell r="P6642" t="str">
            <v>81124101-52952103</v>
          </cell>
          <cell r="S6642" t="str">
            <v>2026A-07</v>
          </cell>
          <cell r="T6642" t="str">
            <v>SDWAN ES TS GH</v>
          </cell>
        </row>
        <row r="6643">
          <cell r="K6643">
            <v>26526.55</v>
          </cell>
          <cell r="P6643" t="str">
            <v>81111101-52041495</v>
          </cell>
          <cell r="S6643" t="str">
            <v>2026A-07</v>
          </cell>
          <cell r="T6643" t="str">
            <v>BTs</v>
          </cell>
        </row>
        <row r="6644">
          <cell r="K6644">
            <v>42066.52</v>
          </cell>
          <cell r="P6644" t="str">
            <v>81111101-52041499</v>
          </cell>
          <cell r="S6644" t="str">
            <v>2026A-07</v>
          </cell>
          <cell r="T6644" t="str">
            <v>Admin Staff (SFI)</v>
          </cell>
        </row>
        <row r="6645">
          <cell r="K6645">
            <v>3600</v>
          </cell>
          <cell r="P6645" t="str">
            <v>90111101-52081103</v>
          </cell>
          <cell r="S6645" t="str">
            <v>2026A-07</v>
          </cell>
          <cell r="T6645" t="str">
            <v>Meal Allowance</v>
          </cell>
        </row>
        <row r="6646">
          <cell r="K6646">
            <v>3229350</v>
          </cell>
          <cell r="P6646" t="str">
            <v>90111101-52121101</v>
          </cell>
          <cell r="S6646" t="str">
            <v>2026A-07</v>
          </cell>
          <cell r="T6646" t="str">
            <v>Regular Employee</v>
          </cell>
        </row>
        <row r="6647">
          <cell r="K6647">
            <v>526250</v>
          </cell>
          <cell r="P6647" t="str">
            <v>90111101-52121101</v>
          </cell>
          <cell r="S6647" t="str">
            <v>2026A-07</v>
          </cell>
          <cell r="T6647" t="str">
            <v>Regular Employee</v>
          </cell>
        </row>
        <row r="6648">
          <cell r="K6648">
            <v>491700</v>
          </cell>
          <cell r="P6648" t="str">
            <v>90111101-52121101</v>
          </cell>
          <cell r="S6648" t="str">
            <v>2026A-07</v>
          </cell>
          <cell r="T6648" t="str">
            <v>Regular Employee</v>
          </cell>
        </row>
        <row r="6649">
          <cell r="K6649">
            <v>15371.19</v>
          </cell>
          <cell r="P6649" t="str">
            <v>90111101-52121101</v>
          </cell>
          <cell r="S6649" t="str">
            <v>2026A-07</v>
          </cell>
          <cell r="T6649" t="str">
            <v>Regular Employee</v>
          </cell>
        </row>
        <row r="6650">
          <cell r="K6650">
            <v>57.68</v>
          </cell>
          <cell r="P6650" t="str">
            <v>90111101-52121101</v>
          </cell>
          <cell r="S6650" t="str">
            <v>2026A-07</v>
          </cell>
          <cell r="T6650" t="str">
            <v>Regular Employee</v>
          </cell>
        </row>
        <row r="6651">
          <cell r="K6651">
            <v>-5048.5600000000004</v>
          </cell>
          <cell r="P6651" t="str">
            <v>90111101-52121101</v>
          </cell>
          <cell r="S6651" t="str">
            <v>2026A-07</v>
          </cell>
          <cell r="T6651" t="str">
            <v>Regular Employee</v>
          </cell>
        </row>
        <row r="6652">
          <cell r="K6652">
            <v>-2922.88</v>
          </cell>
          <cell r="P6652" t="str">
            <v>90111101-52121101</v>
          </cell>
          <cell r="S6652" t="str">
            <v>2026A-07</v>
          </cell>
          <cell r="T6652" t="str">
            <v>Regular Employee</v>
          </cell>
        </row>
        <row r="6653">
          <cell r="K6653">
            <v>-16736.080000000002</v>
          </cell>
          <cell r="P6653" t="str">
            <v>90111101-52121101</v>
          </cell>
          <cell r="S6653" t="str">
            <v>2026A-07</v>
          </cell>
          <cell r="T6653" t="str">
            <v>Regular Employee</v>
          </cell>
        </row>
        <row r="6654">
          <cell r="K6654">
            <v>-8839.82</v>
          </cell>
          <cell r="P6654" t="str">
            <v>90111101-52121101</v>
          </cell>
          <cell r="S6654" t="str">
            <v>2026A-07</v>
          </cell>
          <cell r="T6654" t="str">
            <v>Regular Employee</v>
          </cell>
        </row>
        <row r="6655">
          <cell r="K6655">
            <v>503400</v>
          </cell>
          <cell r="P6655" t="str">
            <v>90111101-52121101</v>
          </cell>
          <cell r="S6655" t="str">
            <v>2026A-07</v>
          </cell>
          <cell r="T6655" t="str">
            <v>Regular Employee</v>
          </cell>
        </row>
        <row r="6656">
          <cell r="K6656">
            <v>53.86</v>
          </cell>
          <cell r="P6656" t="str">
            <v>90111101-52121101</v>
          </cell>
          <cell r="S6656" t="str">
            <v>2026A-07</v>
          </cell>
          <cell r="T6656" t="str">
            <v>Regular Employee</v>
          </cell>
        </row>
        <row r="6657">
          <cell r="K6657">
            <v>-27.57</v>
          </cell>
          <cell r="P6657" t="str">
            <v>90111101-52121101</v>
          </cell>
          <cell r="S6657" t="str">
            <v>2026A-07</v>
          </cell>
          <cell r="T6657" t="str">
            <v>Regular Employee</v>
          </cell>
        </row>
        <row r="6658">
          <cell r="K6658">
            <v>-448.85</v>
          </cell>
          <cell r="P6658" t="str">
            <v>90111101-52121101</v>
          </cell>
          <cell r="S6658" t="str">
            <v>2026A-07</v>
          </cell>
          <cell r="T6658" t="str">
            <v>Regular Employee</v>
          </cell>
        </row>
        <row r="6659">
          <cell r="K6659">
            <v>2225700</v>
          </cell>
          <cell r="P6659" t="str">
            <v>90111101-52121101</v>
          </cell>
          <cell r="S6659" t="str">
            <v>2026A-07</v>
          </cell>
          <cell r="T6659" t="str">
            <v>Regular Employee</v>
          </cell>
        </row>
        <row r="6660">
          <cell r="K6660">
            <v>14750.56</v>
          </cell>
          <cell r="P6660" t="str">
            <v>90111101-52121101</v>
          </cell>
          <cell r="S6660" t="str">
            <v>2026A-07</v>
          </cell>
          <cell r="T6660" t="str">
            <v>Regular Employee</v>
          </cell>
        </row>
        <row r="6661">
          <cell r="K6661">
            <v>1637.03</v>
          </cell>
          <cell r="P6661" t="str">
            <v>90111101-52121101</v>
          </cell>
          <cell r="S6661" t="str">
            <v>2026A-07</v>
          </cell>
          <cell r="T6661" t="str">
            <v>Regular Employee</v>
          </cell>
        </row>
        <row r="6662">
          <cell r="K6662">
            <v>-8185.9</v>
          </cell>
          <cell r="P6662" t="str">
            <v>90111101-52121101</v>
          </cell>
          <cell r="S6662" t="str">
            <v>2026A-07</v>
          </cell>
          <cell r="T6662" t="str">
            <v>Regular Employee</v>
          </cell>
        </row>
        <row r="6663">
          <cell r="K6663">
            <v>-4168.63</v>
          </cell>
          <cell r="P6663" t="str">
            <v>90111101-52121101</v>
          </cell>
          <cell r="S6663" t="str">
            <v>2026A-07</v>
          </cell>
          <cell r="T6663" t="str">
            <v>Regular Employee</v>
          </cell>
        </row>
        <row r="6664">
          <cell r="K6664">
            <v>-11778</v>
          </cell>
          <cell r="P6664" t="str">
            <v>90111101-52121101</v>
          </cell>
          <cell r="S6664" t="str">
            <v>2026A-07</v>
          </cell>
          <cell r="T6664" t="str">
            <v>Regular Employee</v>
          </cell>
        </row>
        <row r="6665">
          <cell r="K6665">
            <v>-2267.1999999999998</v>
          </cell>
          <cell r="P6665" t="str">
            <v>90111101-52121101</v>
          </cell>
          <cell r="S6665" t="str">
            <v>2026A-07</v>
          </cell>
          <cell r="T6665" t="str">
            <v>Regular Employee</v>
          </cell>
        </row>
        <row r="6666">
          <cell r="K6666">
            <v>1495925</v>
          </cell>
          <cell r="P6666" t="str">
            <v>90111101-52121101</v>
          </cell>
          <cell r="S6666" t="str">
            <v>2026A-07</v>
          </cell>
          <cell r="T6666" t="str">
            <v>Regular Employee</v>
          </cell>
        </row>
        <row r="6667">
          <cell r="K6667">
            <v>274.81</v>
          </cell>
          <cell r="P6667" t="str">
            <v>90111101-52121101</v>
          </cell>
          <cell r="S6667" t="str">
            <v>2026A-07</v>
          </cell>
          <cell r="T6667" t="str">
            <v>Regular Employee</v>
          </cell>
        </row>
        <row r="6668">
          <cell r="K6668">
            <v>27950</v>
          </cell>
          <cell r="P6668" t="str">
            <v>90111101-52121101</v>
          </cell>
          <cell r="S6668" t="str">
            <v>2026A-07</v>
          </cell>
          <cell r="T6668" t="str">
            <v>Regular Employee</v>
          </cell>
        </row>
        <row r="6669">
          <cell r="K6669">
            <v>48.01</v>
          </cell>
          <cell r="P6669" t="str">
            <v>90111101-52121101</v>
          </cell>
          <cell r="S6669" t="str">
            <v>2026A-07</v>
          </cell>
          <cell r="T6669" t="str">
            <v>Regular Employee</v>
          </cell>
        </row>
        <row r="6670">
          <cell r="K6670">
            <v>-662.49</v>
          </cell>
          <cell r="P6670" t="str">
            <v>90111101-52121101</v>
          </cell>
          <cell r="S6670" t="str">
            <v>2026A-07</v>
          </cell>
          <cell r="T6670" t="str">
            <v>Regular Employee</v>
          </cell>
        </row>
        <row r="6671">
          <cell r="K6671">
            <v>3778.68</v>
          </cell>
          <cell r="P6671" t="str">
            <v>90111101-52121101</v>
          </cell>
          <cell r="S6671" t="str">
            <v>2026A-07</v>
          </cell>
          <cell r="T6671" t="str">
            <v>Regular Employee</v>
          </cell>
        </row>
        <row r="6672">
          <cell r="K6672">
            <v>846.2</v>
          </cell>
          <cell r="P6672" t="str">
            <v>90111101-52121101</v>
          </cell>
          <cell r="S6672" t="str">
            <v>2026A-07</v>
          </cell>
          <cell r="T6672" t="str">
            <v>Regular Employee</v>
          </cell>
        </row>
        <row r="6673">
          <cell r="K6673">
            <v>-1547.96</v>
          </cell>
          <cell r="P6673" t="str">
            <v>90111101-52121101</v>
          </cell>
          <cell r="S6673" t="str">
            <v>2026A-07</v>
          </cell>
          <cell r="T6673" t="str">
            <v>Regular Employee</v>
          </cell>
        </row>
        <row r="6674">
          <cell r="K6674">
            <v>-2858.05</v>
          </cell>
          <cell r="P6674" t="str">
            <v>90111101-52121101</v>
          </cell>
          <cell r="S6674" t="str">
            <v>2026A-07</v>
          </cell>
          <cell r="T6674" t="str">
            <v>Regular Employee</v>
          </cell>
        </row>
        <row r="6675">
          <cell r="K6675">
            <v>177.71</v>
          </cell>
          <cell r="P6675" t="str">
            <v>90111101-52121101</v>
          </cell>
          <cell r="S6675" t="str">
            <v>2026A-07</v>
          </cell>
          <cell r="T6675" t="str">
            <v>Regular Employee</v>
          </cell>
        </row>
        <row r="6676">
          <cell r="K6676">
            <v>-720.64</v>
          </cell>
          <cell r="P6676" t="str">
            <v>90111101-52121101</v>
          </cell>
          <cell r="S6676" t="str">
            <v>2026A-07</v>
          </cell>
          <cell r="T6676" t="str">
            <v>Regular Employee</v>
          </cell>
        </row>
        <row r="6677">
          <cell r="K6677">
            <v>-3.23</v>
          </cell>
          <cell r="P6677" t="str">
            <v>90111101-52121101</v>
          </cell>
          <cell r="S6677" t="str">
            <v>2026A-07</v>
          </cell>
          <cell r="T6677" t="str">
            <v>Regular Employee</v>
          </cell>
        </row>
        <row r="6678">
          <cell r="K6678">
            <v>16628.77</v>
          </cell>
          <cell r="P6678" t="str">
            <v>90111101-52121102</v>
          </cell>
          <cell r="S6678" t="str">
            <v>2026A-07</v>
          </cell>
          <cell r="T6678" t="str">
            <v>OT Pay</v>
          </cell>
        </row>
        <row r="6679">
          <cell r="K6679">
            <v>4390.8</v>
          </cell>
          <cell r="P6679" t="str">
            <v>90111101-52121102</v>
          </cell>
          <cell r="S6679" t="str">
            <v>2026A-07</v>
          </cell>
          <cell r="T6679" t="str">
            <v>OT Pay</v>
          </cell>
        </row>
        <row r="6680">
          <cell r="K6680">
            <v>2423.98</v>
          </cell>
          <cell r="P6680" t="str">
            <v>90111101-52121102</v>
          </cell>
          <cell r="S6680" t="str">
            <v>2026A-07</v>
          </cell>
          <cell r="T6680" t="str">
            <v>OT Pay</v>
          </cell>
        </row>
        <row r="6681">
          <cell r="K6681">
            <v>14748.24</v>
          </cell>
          <cell r="P6681" t="str">
            <v>90111101-52121102</v>
          </cell>
          <cell r="S6681" t="str">
            <v>2026A-07</v>
          </cell>
          <cell r="T6681" t="str">
            <v>OT Pay</v>
          </cell>
        </row>
        <row r="6682">
          <cell r="K6682">
            <v>7200</v>
          </cell>
          <cell r="P6682" t="str">
            <v>90111101-52121103</v>
          </cell>
          <cell r="S6682" t="str">
            <v>2026A-07</v>
          </cell>
          <cell r="T6682" t="str">
            <v>OT Pay</v>
          </cell>
        </row>
        <row r="6683">
          <cell r="K6683">
            <v>56070</v>
          </cell>
          <cell r="P6683" t="str">
            <v>90111101-52121305</v>
          </cell>
          <cell r="S6683" t="str">
            <v>2026A-07</v>
          </cell>
          <cell r="T6683" t="str">
            <v>SSS</v>
          </cell>
        </row>
        <row r="6684">
          <cell r="K6684">
            <v>6500</v>
          </cell>
          <cell r="P6684" t="str">
            <v>90111101-52121305</v>
          </cell>
          <cell r="S6684" t="str">
            <v>2026A-07</v>
          </cell>
          <cell r="T6684" t="str">
            <v>SSS</v>
          </cell>
        </row>
        <row r="6685">
          <cell r="K6685">
            <v>50680</v>
          </cell>
          <cell r="P6685" t="str">
            <v>90111101-52121305</v>
          </cell>
          <cell r="S6685" t="str">
            <v>2026A-07</v>
          </cell>
          <cell r="T6685" t="str">
            <v>SSS</v>
          </cell>
        </row>
        <row r="6686">
          <cell r="K6686">
            <v>550</v>
          </cell>
          <cell r="P6686" t="str">
            <v>90111101-52121305</v>
          </cell>
          <cell r="S6686" t="str">
            <v>2026A-07</v>
          </cell>
          <cell r="T6686" t="str">
            <v>SSS</v>
          </cell>
        </row>
        <row r="6687">
          <cell r="K6687">
            <v>750</v>
          </cell>
          <cell r="P6687" t="str">
            <v>90111101-52121305</v>
          </cell>
          <cell r="S6687" t="str">
            <v>2026A-07</v>
          </cell>
          <cell r="T6687" t="str">
            <v>SSS</v>
          </cell>
        </row>
        <row r="6688">
          <cell r="K6688">
            <v>5770</v>
          </cell>
          <cell r="P6688" t="str">
            <v>90111101-52121305</v>
          </cell>
          <cell r="S6688" t="str">
            <v>2026A-07</v>
          </cell>
          <cell r="T6688" t="str">
            <v>SSS</v>
          </cell>
        </row>
        <row r="6689">
          <cell r="K6689">
            <v>6440</v>
          </cell>
          <cell r="P6689" t="str">
            <v>90111101-52121305</v>
          </cell>
          <cell r="S6689" t="str">
            <v>2026A-07</v>
          </cell>
          <cell r="T6689" t="str">
            <v>SSS</v>
          </cell>
        </row>
        <row r="6690">
          <cell r="K6690">
            <v>230500</v>
          </cell>
          <cell r="P6690" t="str">
            <v>90111101-52121308</v>
          </cell>
          <cell r="S6690" t="str">
            <v>2026A-07</v>
          </cell>
          <cell r="T6690" t="str">
            <v>Gas Allowance</v>
          </cell>
        </row>
        <row r="6691">
          <cell r="K6691">
            <v>53750</v>
          </cell>
          <cell r="P6691" t="str">
            <v>90111101-52121308</v>
          </cell>
          <cell r="S6691" t="str">
            <v>2026A-07</v>
          </cell>
          <cell r="T6691" t="str">
            <v>Gas Allowance</v>
          </cell>
        </row>
        <row r="6692">
          <cell r="K6692">
            <v>21000</v>
          </cell>
          <cell r="P6692" t="str">
            <v>90111101-52121308</v>
          </cell>
          <cell r="S6692" t="str">
            <v>2026A-07</v>
          </cell>
          <cell r="T6692" t="str">
            <v>Gas Allowance</v>
          </cell>
        </row>
        <row r="6693">
          <cell r="K6693">
            <v>179250</v>
          </cell>
          <cell r="P6693" t="str">
            <v>90111101-52121308</v>
          </cell>
          <cell r="S6693" t="str">
            <v>2026A-07</v>
          </cell>
          <cell r="T6693" t="str">
            <v>Gas Allowance</v>
          </cell>
        </row>
        <row r="6694">
          <cell r="K6694">
            <v>48000</v>
          </cell>
          <cell r="P6694" t="str">
            <v>90111101-52121308</v>
          </cell>
          <cell r="S6694" t="str">
            <v>2026A-07</v>
          </cell>
          <cell r="T6694" t="str">
            <v>Gas Allowance</v>
          </cell>
        </row>
        <row r="6695">
          <cell r="K6695">
            <v>54250</v>
          </cell>
          <cell r="P6695" t="str">
            <v>90111101-52121308</v>
          </cell>
          <cell r="S6695" t="str">
            <v>2026A-07</v>
          </cell>
          <cell r="T6695" t="str">
            <v>Gas Allowance</v>
          </cell>
        </row>
        <row r="6696">
          <cell r="K6696">
            <v>372955.42</v>
          </cell>
          <cell r="P6696" t="str">
            <v>90111101-52031101</v>
          </cell>
          <cell r="S6696" t="str">
            <v>2026A-07</v>
          </cell>
          <cell r="T6696" t="str">
            <v>Other Taxes</v>
          </cell>
        </row>
        <row r="6697">
          <cell r="K6697">
            <v>1442.91</v>
          </cell>
          <cell r="P6697" t="str">
            <v>90111101-52031101</v>
          </cell>
          <cell r="S6697" t="str">
            <v>2026A-07</v>
          </cell>
          <cell r="T6697" t="str">
            <v>Other Taxes</v>
          </cell>
        </row>
        <row r="6698">
          <cell r="K6698">
            <v>16817.080000000002</v>
          </cell>
          <cell r="P6698" t="str">
            <v>90111101-52121301</v>
          </cell>
          <cell r="S6698" t="str">
            <v>2026A-07</v>
          </cell>
          <cell r="T6698" t="str">
            <v>Sun Life - MDIA</v>
          </cell>
        </row>
        <row r="6699">
          <cell r="K6699">
            <v>26077.5</v>
          </cell>
          <cell r="P6699" t="str">
            <v>90111101-52121301</v>
          </cell>
          <cell r="S6699" t="str">
            <v>2026A-07</v>
          </cell>
          <cell r="T6699" t="str">
            <v>Life Insurance</v>
          </cell>
        </row>
        <row r="6700">
          <cell r="K6700">
            <v>38124.080000000002</v>
          </cell>
          <cell r="P6700" t="str">
            <v>90111101-52121303</v>
          </cell>
          <cell r="S6700" t="str">
            <v>2026A-07</v>
          </cell>
          <cell r="T6700" t="str">
            <v>Pacific Cross Insurance Policy (USD) - MDIA</v>
          </cell>
        </row>
        <row r="6701">
          <cell r="K6701">
            <v>30416.67</v>
          </cell>
          <cell r="P6701" t="str">
            <v>90111101-52101107</v>
          </cell>
          <cell r="S6701" t="str">
            <v>2026A-07</v>
          </cell>
          <cell r="T6701" t="str">
            <v>DOL</v>
          </cell>
        </row>
        <row r="6702">
          <cell r="K6702">
            <v>3802.08</v>
          </cell>
          <cell r="P6702" t="str">
            <v>90111101-52101107</v>
          </cell>
          <cell r="S6702" t="str">
            <v>2026A-07</v>
          </cell>
          <cell r="T6702" t="str">
            <v>DOL</v>
          </cell>
        </row>
        <row r="6703">
          <cell r="K6703">
            <v>60.83</v>
          </cell>
          <cell r="P6703" t="str">
            <v>90111101-52101107</v>
          </cell>
          <cell r="S6703" t="str">
            <v>2026A-07</v>
          </cell>
          <cell r="T6703" t="str">
            <v>DOL</v>
          </cell>
        </row>
        <row r="6704">
          <cell r="K6704">
            <v>294357.62</v>
          </cell>
          <cell r="P6704" t="str">
            <v>90111101-52121303</v>
          </cell>
          <cell r="S6704" t="str">
            <v>2026A-07</v>
          </cell>
          <cell r="T6704" t="str">
            <v>HMO</v>
          </cell>
        </row>
        <row r="6705">
          <cell r="K6705">
            <v>16.670000000000002</v>
          </cell>
          <cell r="P6705" t="str">
            <v>90111101-52121303</v>
          </cell>
          <cell r="S6705" t="str">
            <v>2026A-07</v>
          </cell>
          <cell r="T6705" t="str">
            <v>HMO</v>
          </cell>
        </row>
        <row r="6706">
          <cell r="K6706">
            <v>5887.15</v>
          </cell>
          <cell r="P6706" t="str">
            <v>90111101-52121303</v>
          </cell>
          <cell r="S6706" t="str">
            <v>2026A-07</v>
          </cell>
          <cell r="T6706" t="str">
            <v>HMO</v>
          </cell>
        </row>
        <row r="6707">
          <cell r="K6707">
            <v>588.72</v>
          </cell>
          <cell r="P6707" t="str">
            <v>90111101-52121303</v>
          </cell>
          <cell r="S6707" t="str">
            <v>2026A-07</v>
          </cell>
          <cell r="T6707" t="str">
            <v>HMO</v>
          </cell>
        </row>
        <row r="6708">
          <cell r="K6708">
            <v>5260.42</v>
          </cell>
          <cell r="P6708" t="str">
            <v>90111101-52121303</v>
          </cell>
          <cell r="S6708" t="str">
            <v>2026A-07</v>
          </cell>
          <cell r="T6708" t="str">
            <v>HMO</v>
          </cell>
        </row>
        <row r="6709">
          <cell r="K6709">
            <v>46666.67</v>
          </cell>
          <cell r="P6709" t="str">
            <v>90122101-52121315</v>
          </cell>
          <cell r="S6709" t="str">
            <v>2026A-07</v>
          </cell>
          <cell r="T6709" t="str">
            <v>Jobstreet</v>
          </cell>
        </row>
        <row r="6710">
          <cell r="K6710">
            <v>1968.75</v>
          </cell>
          <cell r="P6710" t="str">
            <v>90122101-52121315</v>
          </cell>
          <cell r="S6710" t="str">
            <v>2026A-07</v>
          </cell>
          <cell r="T6710" t="str">
            <v>Jobstreet</v>
          </cell>
        </row>
        <row r="6711">
          <cell r="K6711">
            <v>15625</v>
          </cell>
          <cell r="P6711" t="str">
            <v>90122101-61711101</v>
          </cell>
          <cell r="S6711" t="str">
            <v>2026A-07</v>
          </cell>
          <cell r="T6711" t="str">
            <v>ANC</v>
          </cell>
        </row>
        <row r="6712">
          <cell r="K6712">
            <v>4464.29</v>
          </cell>
          <cell r="P6712" t="str">
            <v>90122101-61711101</v>
          </cell>
          <cell r="S6712" t="str">
            <v>2026A-07</v>
          </cell>
          <cell r="T6712" t="str">
            <v>ANC</v>
          </cell>
        </row>
        <row r="6713">
          <cell r="K6713">
            <v>3431675</v>
          </cell>
          <cell r="P6713" t="str">
            <v>90111101-52121304</v>
          </cell>
          <cell r="S6713" t="str">
            <v>2026A-07</v>
          </cell>
          <cell r="T6713" t="str">
            <v>Retirement</v>
          </cell>
        </row>
        <row r="6714">
          <cell r="K6714">
            <v>162500</v>
          </cell>
          <cell r="P6714" t="str">
            <v>90111101-52071199</v>
          </cell>
          <cell r="S6714" t="str">
            <v>2026A-07</v>
          </cell>
          <cell r="T6714" t="str">
            <v>Lacson</v>
          </cell>
        </row>
        <row r="6715">
          <cell r="K6715">
            <v>22265.62</v>
          </cell>
          <cell r="P6715" t="str">
            <v>90111101-52071199</v>
          </cell>
          <cell r="S6715" t="str">
            <v>2026A-07</v>
          </cell>
          <cell r="T6715" t="str">
            <v>Lacson</v>
          </cell>
        </row>
        <row r="6716">
          <cell r="K6716">
            <v>1462500</v>
          </cell>
          <cell r="P6716" t="str">
            <v>90111101-52121303</v>
          </cell>
          <cell r="S6716" t="str">
            <v>2026A-07</v>
          </cell>
          <cell r="T6716" t="str">
            <v>HMO</v>
          </cell>
        </row>
        <row r="6717">
          <cell r="K6717">
            <v>445312.5</v>
          </cell>
          <cell r="P6717" t="str">
            <v>90111101-52121303</v>
          </cell>
          <cell r="S6717" t="str">
            <v>2026A-07</v>
          </cell>
          <cell r="T6717" t="str">
            <v>HMO</v>
          </cell>
        </row>
        <row r="6718">
          <cell r="K6718">
            <v>54166.67</v>
          </cell>
          <cell r="P6718" t="str">
            <v>90111101-52071199</v>
          </cell>
          <cell r="S6718" t="str">
            <v>2026A-07</v>
          </cell>
          <cell r="T6718" t="str">
            <v>Lacson</v>
          </cell>
        </row>
        <row r="6719">
          <cell r="K6719">
            <v>7421.87</v>
          </cell>
          <cell r="P6719" t="str">
            <v>90111101-52071199</v>
          </cell>
          <cell r="S6719" t="str">
            <v>2026A-07</v>
          </cell>
          <cell r="T6719" t="str">
            <v>Lacson</v>
          </cell>
        </row>
        <row r="6720">
          <cell r="K6720">
            <v>487500</v>
          </cell>
          <cell r="P6720" t="str">
            <v>90111101-52121303</v>
          </cell>
          <cell r="S6720" t="str">
            <v>2026A-07</v>
          </cell>
          <cell r="T6720" t="str">
            <v>HMO</v>
          </cell>
        </row>
        <row r="6721">
          <cell r="K6721">
            <v>148437.5</v>
          </cell>
          <cell r="P6721" t="str">
            <v>90111101-52121303</v>
          </cell>
          <cell r="S6721" t="str">
            <v>2026A-07</v>
          </cell>
          <cell r="T6721" t="str">
            <v>HMO</v>
          </cell>
        </row>
        <row r="6722">
          <cell r="K6722">
            <v>46898</v>
          </cell>
          <cell r="P6722" t="str">
            <v>90122101-52041499</v>
          </cell>
          <cell r="S6722" t="str">
            <v>2026A-07</v>
          </cell>
          <cell r="T6722" t="str">
            <v>Doctor</v>
          </cell>
        </row>
        <row r="6723">
          <cell r="K6723">
            <v>65425.22</v>
          </cell>
          <cell r="P6723" t="str">
            <v>81111101-52041401</v>
          </cell>
          <cell r="S6723" t="str">
            <v>2026A-07</v>
          </cell>
          <cell r="T6723" t="str">
            <v>Security HQ</v>
          </cell>
        </row>
        <row r="6724">
          <cell r="K6724">
            <v>13083.99</v>
          </cell>
          <cell r="P6724" t="str">
            <v>81111101-52041401</v>
          </cell>
          <cell r="S6724" t="str">
            <v>2026A-07</v>
          </cell>
          <cell r="T6724" t="str">
            <v>Security HQ</v>
          </cell>
        </row>
        <row r="6725">
          <cell r="K6725">
            <v>52629.14</v>
          </cell>
          <cell r="P6725" t="str">
            <v>81111101-52041401</v>
          </cell>
          <cell r="S6725" t="str">
            <v>2026A-07</v>
          </cell>
          <cell r="T6725" t="str">
            <v>Security HQ</v>
          </cell>
        </row>
        <row r="6726">
          <cell r="K6726">
            <v>10525.05</v>
          </cell>
          <cell r="P6726" t="str">
            <v>81111101-52041401</v>
          </cell>
          <cell r="S6726" t="str">
            <v>2026A-07</v>
          </cell>
          <cell r="T6726" t="str">
            <v>Security HQ</v>
          </cell>
        </row>
        <row r="6727">
          <cell r="K6727">
            <v>24581.99</v>
          </cell>
          <cell r="P6727" t="str">
            <v>81111101-52041405</v>
          </cell>
          <cell r="S6727" t="str">
            <v>2026A-07</v>
          </cell>
          <cell r="T6727" t="str">
            <v>Janitorial (H&amp;K)</v>
          </cell>
        </row>
        <row r="6728">
          <cell r="K6728">
            <v>24581.99</v>
          </cell>
          <cell r="P6728" t="str">
            <v>81111101-52041499</v>
          </cell>
          <cell r="S6728" t="str">
            <v>2026A-07</v>
          </cell>
          <cell r="T6728" t="str">
            <v>Admin Staff (H&amp;K)</v>
          </cell>
        </row>
        <row r="6729">
          <cell r="K6729">
            <v>20917.75</v>
          </cell>
          <cell r="P6729" t="str">
            <v>81111101-52041499</v>
          </cell>
          <cell r="S6729" t="str">
            <v>2026A-07</v>
          </cell>
          <cell r="T6729" t="str">
            <v>Admin Staff (H&amp;K)</v>
          </cell>
        </row>
        <row r="6730">
          <cell r="K6730">
            <v>4979.1499999999996</v>
          </cell>
          <cell r="P6730" t="str">
            <v>81111101-52041405</v>
          </cell>
          <cell r="S6730" t="str">
            <v>2026A-07</v>
          </cell>
          <cell r="T6730" t="str">
            <v>Janitorial (H&amp;K)</v>
          </cell>
        </row>
        <row r="6731">
          <cell r="K6731">
            <v>3944.22</v>
          </cell>
          <cell r="P6731" t="str">
            <v>81111101-52041499</v>
          </cell>
          <cell r="S6731" t="str">
            <v>2026A-07</v>
          </cell>
          <cell r="T6731" t="str">
            <v>Admin Staff (H&amp;K)</v>
          </cell>
        </row>
        <row r="6732">
          <cell r="K6732">
            <v>-12046.34</v>
          </cell>
          <cell r="P6732" t="str">
            <v>81111101-52041499</v>
          </cell>
          <cell r="S6732" t="str">
            <v>2026A-07</v>
          </cell>
          <cell r="T6732" t="str">
            <v>Admin Staff (H&amp;K)</v>
          </cell>
        </row>
        <row r="6733">
          <cell r="K6733">
            <v>24581.99</v>
          </cell>
          <cell r="P6733" t="str">
            <v>81111101-52041405</v>
          </cell>
          <cell r="S6733" t="str">
            <v>2026A-07</v>
          </cell>
          <cell r="T6733" t="str">
            <v>Janitorial (H&amp;K)</v>
          </cell>
        </row>
        <row r="6734">
          <cell r="K6734">
            <v>24581.99</v>
          </cell>
          <cell r="P6734" t="str">
            <v>81111101-52041499</v>
          </cell>
          <cell r="S6734" t="str">
            <v>2026A-07</v>
          </cell>
          <cell r="T6734" t="str">
            <v>Admin Staff (H&amp;K)</v>
          </cell>
        </row>
        <row r="6735">
          <cell r="K6735">
            <v>20917.75</v>
          </cell>
          <cell r="P6735" t="str">
            <v>81111101-52041499</v>
          </cell>
          <cell r="S6735" t="str">
            <v>2026A-07</v>
          </cell>
          <cell r="T6735" t="str">
            <v>Admin Staff (H&amp;K)</v>
          </cell>
        </row>
        <row r="6736">
          <cell r="K6736">
            <v>82000</v>
          </cell>
          <cell r="P6736" t="str">
            <v>81111101-52041401</v>
          </cell>
          <cell r="S6736" t="str">
            <v>2026A-07</v>
          </cell>
          <cell r="T6736" t="str">
            <v>Security HQ</v>
          </cell>
        </row>
        <row r="6737">
          <cell r="K6737">
            <v>16000</v>
          </cell>
          <cell r="P6737" t="str">
            <v>81111101-52041401</v>
          </cell>
          <cell r="S6737" t="str">
            <v>2026A-07</v>
          </cell>
          <cell r="T6737" t="str">
            <v>Security HQ</v>
          </cell>
        </row>
        <row r="6738">
          <cell r="K6738">
            <v>42066.52</v>
          </cell>
          <cell r="P6738" t="str">
            <v>81111101-52041499</v>
          </cell>
          <cell r="S6738" t="str">
            <v>2026A-07</v>
          </cell>
          <cell r="T6738" t="str">
            <v>Admin Staff (TAHJ)</v>
          </cell>
        </row>
        <row r="6739">
          <cell r="K6739">
            <v>25320.79</v>
          </cell>
          <cell r="P6739" t="str">
            <v>81111101-52041495</v>
          </cell>
          <cell r="S6739" t="str">
            <v>2026A-07</v>
          </cell>
          <cell r="T6739" t="str">
            <v>BTs</v>
          </cell>
        </row>
        <row r="6740">
          <cell r="K6740">
            <v>57308.44</v>
          </cell>
          <cell r="P6740" t="str">
            <v>81111101-52041405</v>
          </cell>
          <cell r="S6740" t="str">
            <v>2026A-07</v>
          </cell>
          <cell r="T6740" t="str">
            <v>Janitorial (S1)</v>
          </cell>
        </row>
        <row r="6741">
          <cell r="K6741">
            <v>-42066.52</v>
          </cell>
          <cell r="P6741" t="str">
            <v>81111101-52041499</v>
          </cell>
          <cell r="S6741" t="str">
            <v>2026A-07</v>
          </cell>
          <cell r="T6741" t="str">
            <v>Admin Staff (TAHJ)</v>
          </cell>
        </row>
        <row r="6742">
          <cell r="K6742">
            <v>248637.03</v>
          </cell>
          <cell r="P6742" t="str">
            <v>81222101-61959994</v>
          </cell>
          <cell r="S6742" t="str">
            <v>2026A-07</v>
          </cell>
          <cell r="T6742" t="str">
            <v>OE Redev Plan</v>
          </cell>
        </row>
        <row r="6743">
          <cell r="K6743">
            <v>3125</v>
          </cell>
          <cell r="P6743" t="str">
            <v>81123102-52111101</v>
          </cell>
          <cell r="S6743" t="str">
            <v>2026A-07</v>
          </cell>
          <cell r="T6743" t="str">
            <v>Toner/ink</v>
          </cell>
        </row>
        <row r="6744">
          <cell r="K6744">
            <v>3125</v>
          </cell>
          <cell r="P6744" t="str">
            <v>81123102-52111101</v>
          </cell>
          <cell r="S6744" t="str">
            <v>2026A-07</v>
          </cell>
          <cell r="T6744" t="str">
            <v>Toner/ink</v>
          </cell>
        </row>
        <row r="6745">
          <cell r="K6745">
            <v>3125</v>
          </cell>
          <cell r="P6745" t="str">
            <v>81123102-52111101</v>
          </cell>
          <cell r="S6745" t="str">
            <v>2026A-07</v>
          </cell>
          <cell r="T6745" t="str">
            <v>Toner/ink</v>
          </cell>
        </row>
        <row r="6746">
          <cell r="K6746">
            <v>3125</v>
          </cell>
          <cell r="P6746" t="str">
            <v>81123102-52111101</v>
          </cell>
          <cell r="S6746" t="str">
            <v>2026A-07</v>
          </cell>
          <cell r="T6746" t="str">
            <v>Toner/ink</v>
          </cell>
        </row>
        <row r="6747">
          <cell r="K6747">
            <v>3035.71</v>
          </cell>
          <cell r="P6747" t="str">
            <v>81123102-52111101</v>
          </cell>
          <cell r="S6747" t="str">
            <v>2026A-07</v>
          </cell>
          <cell r="T6747" t="str">
            <v>Toner/ink</v>
          </cell>
        </row>
        <row r="6748">
          <cell r="K6748">
            <v>195050</v>
          </cell>
          <cell r="P6748" t="str">
            <v>81111101-52121101</v>
          </cell>
          <cell r="S6748" t="str">
            <v>2026A-07</v>
          </cell>
          <cell r="T6748" t="str">
            <v>Regular Employee</v>
          </cell>
        </row>
        <row r="6749">
          <cell r="K6749">
            <v>2138.96</v>
          </cell>
          <cell r="P6749" t="str">
            <v>81111101-52121101</v>
          </cell>
          <cell r="S6749" t="str">
            <v>2026A-07</v>
          </cell>
          <cell r="T6749" t="str">
            <v>Regular Employee</v>
          </cell>
        </row>
        <row r="6750">
          <cell r="K6750">
            <v>225100</v>
          </cell>
          <cell r="P6750" t="str">
            <v>81111101-52121101</v>
          </cell>
          <cell r="S6750" t="str">
            <v>2026A-07</v>
          </cell>
          <cell r="T6750" t="str">
            <v>Regular Employee</v>
          </cell>
        </row>
        <row r="6751">
          <cell r="K6751">
            <v>120900</v>
          </cell>
          <cell r="P6751" t="str">
            <v>81111101-52121101</v>
          </cell>
          <cell r="S6751" t="str">
            <v>2026A-07</v>
          </cell>
          <cell r="T6751" t="str">
            <v>Regular Employee</v>
          </cell>
        </row>
        <row r="6752">
          <cell r="K6752">
            <v>1027750</v>
          </cell>
          <cell r="P6752" t="str">
            <v>81111101-52121101</v>
          </cell>
          <cell r="S6752" t="str">
            <v>2026A-07</v>
          </cell>
          <cell r="T6752" t="str">
            <v>Regular Employee</v>
          </cell>
        </row>
        <row r="6753">
          <cell r="K6753">
            <v>126100</v>
          </cell>
          <cell r="P6753" t="str">
            <v>81111101-52121101</v>
          </cell>
          <cell r="S6753" t="str">
            <v>2026A-07</v>
          </cell>
          <cell r="T6753" t="str">
            <v>Regular Employee</v>
          </cell>
        </row>
        <row r="6754">
          <cell r="K6754">
            <v>26.34</v>
          </cell>
          <cell r="P6754" t="str">
            <v>81111101-52121101</v>
          </cell>
          <cell r="S6754" t="str">
            <v>2026A-07</v>
          </cell>
          <cell r="T6754" t="str">
            <v>Regular Employee</v>
          </cell>
        </row>
        <row r="6755">
          <cell r="K6755">
            <v>-730.54</v>
          </cell>
          <cell r="P6755" t="str">
            <v>81111101-52121101</v>
          </cell>
          <cell r="S6755" t="str">
            <v>2026A-07</v>
          </cell>
          <cell r="T6755" t="str">
            <v>Regular Employee</v>
          </cell>
        </row>
        <row r="6756">
          <cell r="K6756">
            <v>-647.37</v>
          </cell>
          <cell r="P6756" t="str">
            <v>81111101-52121101</v>
          </cell>
          <cell r="S6756" t="str">
            <v>2026A-07</v>
          </cell>
          <cell r="T6756" t="str">
            <v>Regular Employee</v>
          </cell>
        </row>
        <row r="6757">
          <cell r="K6757">
            <v>-1732.69</v>
          </cell>
          <cell r="P6757" t="str">
            <v>81111101-52121101</v>
          </cell>
          <cell r="S6757" t="str">
            <v>2026A-07</v>
          </cell>
          <cell r="T6757" t="str">
            <v>Regular Employee</v>
          </cell>
        </row>
        <row r="6758">
          <cell r="K6758">
            <v>1516.05</v>
          </cell>
          <cell r="P6758" t="str">
            <v>81111101-52121101</v>
          </cell>
          <cell r="S6758" t="str">
            <v>2026A-07</v>
          </cell>
          <cell r="T6758" t="str">
            <v>Regular Employee</v>
          </cell>
        </row>
        <row r="6759">
          <cell r="K6759">
            <v>886.9</v>
          </cell>
          <cell r="P6759" t="str">
            <v>81111101-52121101</v>
          </cell>
          <cell r="S6759" t="str">
            <v>2026A-07</v>
          </cell>
          <cell r="T6759" t="str">
            <v>Regular Employee</v>
          </cell>
        </row>
        <row r="6760">
          <cell r="K6760">
            <v>-5322.21</v>
          </cell>
          <cell r="P6760" t="str">
            <v>81111101-52121101</v>
          </cell>
          <cell r="S6760" t="str">
            <v>2026A-07</v>
          </cell>
          <cell r="T6760" t="str">
            <v>Regular Employee</v>
          </cell>
        </row>
        <row r="6761">
          <cell r="K6761">
            <v>-2594.02</v>
          </cell>
          <cell r="P6761" t="str">
            <v>81111101-52121101</v>
          </cell>
          <cell r="S6761" t="str">
            <v>2026A-07</v>
          </cell>
          <cell r="T6761" t="str">
            <v>Regular Employee</v>
          </cell>
        </row>
        <row r="6762">
          <cell r="K6762">
            <v>1937.43</v>
          </cell>
          <cell r="P6762" t="str">
            <v>81111101-52121101</v>
          </cell>
          <cell r="S6762" t="str">
            <v>2026A-07</v>
          </cell>
          <cell r="T6762" t="str">
            <v>Regular Employee</v>
          </cell>
        </row>
        <row r="6763">
          <cell r="K6763">
            <v>469.24</v>
          </cell>
          <cell r="P6763" t="str">
            <v>81111101-52121101</v>
          </cell>
          <cell r="S6763" t="str">
            <v>2026A-07</v>
          </cell>
          <cell r="T6763" t="str">
            <v>Regular Employee</v>
          </cell>
        </row>
        <row r="6764">
          <cell r="K6764">
            <v>-71.790000000000006</v>
          </cell>
          <cell r="P6764" t="str">
            <v>81111101-52121101</v>
          </cell>
          <cell r="S6764" t="str">
            <v>2026A-07</v>
          </cell>
          <cell r="T6764" t="str">
            <v>Regular Employee</v>
          </cell>
        </row>
        <row r="6765">
          <cell r="K6765">
            <v>-697.86</v>
          </cell>
          <cell r="P6765" t="str">
            <v>81111101-52121101</v>
          </cell>
          <cell r="S6765" t="str">
            <v>2026A-07</v>
          </cell>
          <cell r="T6765" t="str">
            <v>Regular Employee</v>
          </cell>
        </row>
        <row r="6766">
          <cell r="K6766">
            <v>4598.54</v>
          </cell>
          <cell r="P6766" t="str">
            <v>81111101-52121101</v>
          </cell>
          <cell r="S6766" t="str">
            <v>2026A-07</v>
          </cell>
          <cell r="T6766" t="str">
            <v>Regular Employee</v>
          </cell>
        </row>
        <row r="6767">
          <cell r="K6767">
            <v>3991.5</v>
          </cell>
          <cell r="P6767" t="str">
            <v>81111101-52121101</v>
          </cell>
          <cell r="S6767" t="str">
            <v>2026A-07</v>
          </cell>
          <cell r="T6767" t="str">
            <v>Regular Employee</v>
          </cell>
        </row>
        <row r="6768">
          <cell r="K6768">
            <v>-6817.64</v>
          </cell>
          <cell r="P6768" t="str">
            <v>81111101-52121101</v>
          </cell>
          <cell r="S6768" t="str">
            <v>2026A-07</v>
          </cell>
          <cell r="T6768" t="str">
            <v>Regular Employee</v>
          </cell>
        </row>
        <row r="6769">
          <cell r="K6769">
            <v>-870.24</v>
          </cell>
          <cell r="P6769" t="str">
            <v>81111101-52121101</v>
          </cell>
          <cell r="S6769" t="str">
            <v>2026A-07</v>
          </cell>
          <cell r="T6769" t="str">
            <v>Regular Employee</v>
          </cell>
        </row>
        <row r="6770">
          <cell r="K6770">
            <v>-334.07</v>
          </cell>
          <cell r="P6770" t="str">
            <v>81111101-52121101</v>
          </cell>
          <cell r="S6770" t="str">
            <v>2026A-07</v>
          </cell>
          <cell r="T6770" t="str">
            <v>Regular Employee</v>
          </cell>
        </row>
        <row r="6771">
          <cell r="K6771">
            <v>-7402.03</v>
          </cell>
          <cell r="P6771" t="str">
            <v>81111101-52121101</v>
          </cell>
          <cell r="S6771" t="str">
            <v>2026A-07</v>
          </cell>
          <cell r="T6771" t="str">
            <v>Regular Employee</v>
          </cell>
        </row>
        <row r="6772">
          <cell r="K6772">
            <v>820.04</v>
          </cell>
          <cell r="P6772" t="str">
            <v>81111101-52121101</v>
          </cell>
          <cell r="S6772" t="str">
            <v>2026A-07</v>
          </cell>
          <cell r="T6772" t="str">
            <v>Regular Employee</v>
          </cell>
        </row>
        <row r="6773">
          <cell r="K6773">
            <v>-6712.29</v>
          </cell>
          <cell r="P6773" t="str">
            <v>81111101-52121101</v>
          </cell>
          <cell r="S6773" t="str">
            <v>2026A-07</v>
          </cell>
          <cell r="T6773" t="str">
            <v>Regular Employee</v>
          </cell>
        </row>
        <row r="6774">
          <cell r="K6774">
            <v>-7.61</v>
          </cell>
          <cell r="P6774" t="str">
            <v>81111101-52121101</v>
          </cell>
          <cell r="S6774" t="str">
            <v>2026A-07</v>
          </cell>
          <cell r="T6774" t="str">
            <v>Regular Employee</v>
          </cell>
        </row>
        <row r="6775">
          <cell r="K6775">
            <v>-1268.3900000000001</v>
          </cell>
          <cell r="P6775" t="str">
            <v>81111101-52121101</v>
          </cell>
          <cell r="S6775" t="str">
            <v>2026A-07</v>
          </cell>
          <cell r="T6775" t="str">
            <v>Regular Employee</v>
          </cell>
        </row>
        <row r="6776">
          <cell r="K6776">
            <v>7597.85</v>
          </cell>
          <cell r="P6776" t="str">
            <v>81111101-52121102</v>
          </cell>
          <cell r="S6776" t="str">
            <v>2026A-07</v>
          </cell>
          <cell r="T6776" t="str">
            <v>OT Pay</v>
          </cell>
        </row>
        <row r="6777">
          <cell r="K6777">
            <v>5213.12</v>
          </cell>
          <cell r="P6777" t="str">
            <v>81111101-52121102</v>
          </cell>
          <cell r="S6777" t="str">
            <v>2026A-07</v>
          </cell>
          <cell r="T6777" t="str">
            <v>OT Pay</v>
          </cell>
        </row>
        <row r="6778">
          <cell r="K6778">
            <v>4000</v>
          </cell>
          <cell r="P6778" t="str">
            <v>81111101-52121103</v>
          </cell>
          <cell r="S6778" t="str">
            <v>2026A-07</v>
          </cell>
          <cell r="T6778" t="str">
            <v>OT Pay</v>
          </cell>
        </row>
        <row r="6779">
          <cell r="K6779">
            <v>24200</v>
          </cell>
          <cell r="P6779" t="str">
            <v>81111101-52121103</v>
          </cell>
          <cell r="S6779" t="str">
            <v>2026A-07</v>
          </cell>
          <cell r="T6779" t="str">
            <v>OT Pay</v>
          </cell>
        </row>
        <row r="6780">
          <cell r="K6780">
            <v>16200</v>
          </cell>
          <cell r="P6780" t="str">
            <v>81111101-52121103</v>
          </cell>
          <cell r="S6780" t="str">
            <v>2026A-07</v>
          </cell>
          <cell r="T6780" t="str">
            <v>OT Pay</v>
          </cell>
        </row>
        <row r="6781">
          <cell r="K6781">
            <v>1800</v>
          </cell>
          <cell r="P6781" t="str">
            <v>81111101-52121103</v>
          </cell>
          <cell r="S6781" t="str">
            <v>2026A-07</v>
          </cell>
          <cell r="T6781" t="str">
            <v>OT Pay</v>
          </cell>
        </row>
        <row r="6782">
          <cell r="K6782">
            <v>12030</v>
          </cell>
          <cell r="P6782" t="str">
            <v>81111101-52121305</v>
          </cell>
          <cell r="S6782" t="str">
            <v>2026A-07</v>
          </cell>
          <cell r="T6782" t="str">
            <v>SSS</v>
          </cell>
        </row>
        <row r="6783">
          <cell r="K6783">
            <v>21610</v>
          </cell>
          <cell r="P6783" t="str">
            <v>81111101-52121305</v>
          </cell>
          <cell r="S6783" t="str">
            <v>2026A-07</v>
          </cell>
          <cell r="T6783" t="str">
            <v>SSS</v>
          </cell>
        </row>
        <row r="6784">
          <cell r="K6784">
            <v>7370</v>
          </cell>
          <cell r="P6784" t="str">
            <v>81111101-52121305</v>
          </cell>
          <cell r="S6784" t="str">
            <v>2026A-07</v>
          </cell>
          <cell r="T6784" t="str">
            <v>SSS</v>
          </cell>
        </row>
        <row r="6785">
          <cell r="K6785">
            <v>54960</v>
          </cell>
          <cell r="P6785" t="str">
            <v>81111101-52121305</v>
          </cell>
          <cell r="S6785" t="str">
            <v>2026A-07</v>
          </cell>
          <cell r="T6785" t="str">
            <v>SSS</v>
          </cell>
        </row>
        <row r="6786">
          <cell r="K6786">
            <v>5550</v>
          </cell>
          <cell r="P6786" t="str">
            <v>81111101-52121305</v>
          </cell>
          <cell r="S6786" t="str">
            <v>2026A-07</v>
          </cell>
          <cell r="T6786" t="str">
            <v>SSS</v>
          </cell>
        </row>
        <row r="6787">
          <cell r="K6787">
            <v>30000</v>
          </cell>
          <cell r="P6787" t="str">
            <v>81111101-52121308</v>
          </cell>
          <cell r="S6787" t="str">
            <v>2026A-07</v>
          </cell>
          <cell r="T6787" t="str">
            <v>Gas Allowance</v>
          </cell>
        </row>
        <row r="6788">
          <cell r="K6788">
            <v>5000</v>
          </cell>
          <cell r="P6788" t="str">
            <v>81111101-52121308</v>
          </cell>
          <cell r="S6788" t="str">
            <v>2026A-07</v>
          </cell>
          <cell r="T6788" t="str">
            <v>Gas Allowance</v>
          </cell>
        </row>
        <row r="6789">
          <cell r="K6789">
            <v>218750</v>
          </cell>
          <cell r="P6789" t="str">
            <v>80111101-61021201</v>
          </cell>
          <cell r="S6789" t="str">
            <v>2026A-07</v>
          </cell>
          <cell r="T6789" t="str">
            <v>Project Employee</v>
          </cell>
        </row>
        <row r="6790">
          <cell r="K6790">
            <v>-5816.85</v>
          </cell>
          <cell r="P6790" t="str">
            <v>80111101-61021201</v>
          </cell>
          <cell r="S6790" t="str">
            <v>2026A-07</v>
          </cell>
          <cell r="T6790" t="str">
            <v>Project Employee</v>
          </cell>
        </row>
        <row r="6791">
          <cell r="K6791">
            <v>-12920.77</v>
          </cell>
          <cell r="P6791" t="str">
            <v>80111101-61021201</v>
          </cell>
          <cell r="S6791" t="str">
            <v>2026A-07</v>
          </cell>
          <cell r="T6791" t="str">
            <v>Project Employee</v>
          </cell>
        </row>
        <row r="6792">
          <cell r="K6792">
            <v>-1231.51</v>
          </cell>
          <cell r="P6792" t="str">
            <v>80111101-61021201</v>
          </cell>
          <cell r="S6792" t="str">
            <v>2026A-07</v>
          </cell>
          <cell r="T6792" t="str">
            <v>Project Employee</v>
          </cell>
        </row>
        <row r="6793">
          <cell r="K6793">
            <v>-1455.1</v>
          </cell>
          <cell r="P6793" t="str">
            <v>80111101-61021201</v>
          </cell>
          <cell r="S6793" t="str">
            <v>2026A-07</v>
          </cell>
          <cell r="T6793" t="str">
            <v>Project Employee</v>
          </cell>
        </row>
        <row r="6794">
          <cell r="K6794">
            <v>588.55999999999995</v>
          </cell>
          <cell r="P6794" t="str">
            <v>80111101-61021201</v>
          </cell>
          <cell r="S6794" t="str">
            <v>2026A-07</v>
          </cell>
          <cell r="T6794" t="str">
            <v>Project Employee</v>
          </cell>
        </row>
        <row r="6795">
          <cell r="K6795">
            <v>50547.23</v>
          </cell>
          <cell r="P6795" t="str">
            <v>80111101-61021202</v>
          </cell>
          <cell r="S6795" t="str">
            <v>2026A-07</v>
          </cell>
          <cell r="T6795" t="str">
            <v>Project Employee</v>
          </cell>
        </row>
        <row r="6796">
          <cell r="K6796">
            <v>23030</v>
          </cell>
          <cell r="P6796" t="str">
            <v>80111101-61021306</v>
          </cell>
          <cell r="S6796" t="str">
            <v>2026A-07</v>
          </cell>
          <cell r="T6796" t="str">
            <v>SSS</v>
          </cell>
        </row>
        <row r="6797">
          <cell r="K6797">
            <v>700</v>
          </cell>
          <cell r="P6797" t="str">
            <v>80111101-61021306</v>
          </cell>
          <cell r="S6797" t="str">
            <v>2026A-07</v>
          </cell>
          <cell r="T6797" t="str">
            <v>Philhealth</v>
          </cell>
        </row>
        <row r="6798">
          <cell r="K6798">
            <v>200</v>
          </cell>
          <cell r="P6798" t="str">
            <v>80111101-61021306</v>
          </cell>
          <cell r="S6798" t="str">
            <v>2026A-07</v>
          </cell>
          <cell r="T6798" t="str">
            <v>Pag-ibig</v>
          </cell>
        </row>
        <row r="6799">
          <cell r="K6799">
            <v>30800</v>
          </cell>
          <cell r="P6799" t="str">
            <v>80111101-61021102</v>
          </cell>
          <cell r="S6799" t="str">
            <v>2026A-07</v>
          </cell>
          <cell r="T6799" t="str">
            <v>Regular Employee</v>
          </cell>
        </row>
        <row r="6800">
          <cell r="K6800">
            <v>50500</v>
          </cell>
          <cell r="P6800" t="str">
            <v>80111101-61021102</v>
          </cell>
          <cell r="S6800" t="str">
            <v>2026A-07</v>
          </cell>
          <cell r="T6800" t="str">
            <v>Regular Employee</v>
          </cell>
        </row>
        <row r="6801">
          <cell r="K6801">
            <v>713700</v>
          </cell>
          <cell r="P6801" t="str">
            <v>80111101-61021102</v>
          </cell>
          <cell r="S6801" t="str">
            <v>2026A-07</v>
          </cell>
          <cell r="T6801" t="str">
            <v>Regular Employee</v>
          </cell>
        </row>
        <row r="6802">
          <cell r="K6802">
            <v>-57.81</v>
          </cell>
          <cell r="P6802" t="str">
            <v>80111101-61021102</v>
          </cell>
          <cell r="S6802" t="str">
            <v>2026A-07</v>
          </cell>
          <cell r="T6802" t="str">
            <v>Regular Employee</v>
          </cell>
        </row>
        <row r="6803">
          <cell r="K6803">
            <v>238150</v>
          </cell>
          <cell r="P6803" t="str">
            <v>80111101-61021102</v>
          </cell>
          <cell r="S6803" t="str">
            <v>2026A-07</v>
          </cell>
          <cell r="T6803" t="str">
            <v>Regular Employee</v>
          </cell>
        </row>
        <row r="6804">
          <cell r="K6804">
            <v>-412.22</v>
          </cell>
          <cell r="P6804" t="str">
            <v>80111101-61021102</v>
          </cell>
          <cell r="S6804" t="str">
            <v>2026A-07</v>
          </cell>
          <cell r="T6804" t="str">
            <v>Regular Employee</v>
          </cell>
        </row>
        <row r="6805">
          <cell r="K6805">
            <v>-57.38</v>
          </cell>
          <cell r="P6805" t="str">
            <v>80111101-61021102</v>
          </cell>
          <cell r="S6805" t="str">
            <v>2026A-07</v>
          </cell>
          <cell r="T6805" t="str">
            <v>Regular Employee</v>
          </cell>
        </row>
        <row r="6806">
          <cell r="K6806">
            <v>-11301.68</v>
          </cell>
          <cell r="P6806" t="str">
            <v>80111101-61021102</v>
          </cell>
          <cell r="S6806" t="str">
            <v>2026A-07</v>
          </cell>
          <cell r="T6806" t="str">
            <v>Regular Employee</v>
          </cell>
        </row>
        <row r="6807">
          <cell r="K6807">
            <v>-733.78</v>
          </cell>
          <cell r="P6807" t="str">
            <v>80111101-61021102</v>
          </cell>
          <cell r="S6807" t="str">
            <v>2026A-07</v>
          </cell>
          <cell r="T6807" t="str">
            <v>Regular Employee</v>
          </cell>
        </row>
        <row r="6808">
          <cell r="K6808">
            <v>-315.33</v>
          </cell>
          <cell r="P6808" t="str">
            <v>80111101-61021102</v>
          </cell>
          <cell r="S6808" t="str">
            <v>2026A-07</v>
          </cell>
          <cell r="T6808" t="str">
            <v>Regular Employee</v>
          </cell>
        </row>
        <row r="6809">
          <cell r="K6809">
            <v>21084.33</v>
          </cell>
          <cell r="P6809" t="str">
            <v>80111101-61021103</v>
          </cell>
          <cell r="S6809" t="str">
            <v>2026A-07</v>
          </cell>
          <cell r="T6809" t="str">
            <v>OT Pay</v>
          </cell>
        </row>
        <row r="6810">
          <cell r="K6810">
            <v>5000</v>
          </cell>
          <cell r="P6810" t="str">
            <v>80111101-61021104</v>
          </cell>
          <cell r="S6810" t="str">
            <v>2026A-07</v>
          </cell>
          <cell r="T6810" t="str">
            <v>OT Pay</v>
          </cell>
        </row>
        <row r="6811">
          <cell r="K6811">
            <v>12000</v>
          </cell>
          <cell r="P6811" t="str">
            <v>80111101-61021104</v>
          </cell>
          <cell r="S6811" t="str">
            <v>2026A-07</v>
          </cell>
          <cell r="T6811" t="str">
            <v>OT Pay</v>
          </cell>
        </row>
        <row r="6812">
          <cell r="K6812">
            <v>3050</v>
          </cell>
          <cell r="P6812" t="str">
            <v>80111101-61021306</v>
          </cell>
          <cell r="S6812" t="str">
            <v>2026A-07</v>
          </cell>
          <cell r="T6812" t="str">
            <v>SSS</v>
          </cell>
        </row>
        <row r="6813">
          <cell r="K6813">
            <v>9930</v>
          </cell>
          <cell r="P6813" t="str">
            <v>80111101-61021306</v>
          </cell>
          <cell r="S6813" t="str">
            <v>2026A-07</v>
          </cell>
          <cell r="T6813" t="str">
            <v>SSS</v>
          </cell>
        </row>
        <row r="6814">
          <cell r="K6814">
            <v>38320</v>
          </cell>
          <cell r="P6814" t="str">
            <v>80111101-61021306</v>
          </cell>
          <cell r="S6814" t="str">
            <v>2026A-07</v>
          </cell>
          <cell r="T6814" t="str">
            <v>SSS</v>
          </cell>
        </row>
        <row r="6815">
          <cell r="K6815">
            <v>5000</v>
          </cell>
          <cell r="P6815" t="str">
            <v>80111101-61021309</v>
          </cell>
          <cell r="S6815" t="str">
            <v>2026A-07</v>
          </cell>
          <cell r="T6815" t="str">
            <v>Gas Allowance</v>
          </cell>
        </row>
        <row r="6816">
          <cell r="K6816">
            <v>20000</v>
          </cell>
          <cell r="P6816" t="str">
            <v>80111101-61021309</v>
          </cell>
          <cell r="S6816" t="str">
            <v>2026A-07</v>
          </cell>
          <cell r="T6816" t="str">
            <v>Gas Allowance</v>
          </cell>
        </row>
        <row r="6817">
          <cell r="K6817">
            <v>10000</v>
          </cell>
          <cell r="P6817" t="str">
            <v>80111101-61021309</v>
          </cell>
          <cell r="S6817" t="str">
            <v>2026A-07</v>
          </cell>
          <cell r="T6817" t="str">
            <v>Gas Allowance</v>
          </cell>
        </row>
        <row r="6818">
          <cell r="K6818">
            <v>231789.67</v>
          </cell>
          <cell r="P6818" t="str">
            <v>80111101-61021304</v>
          </cell>
          <cell r="S6818" t="str">
            <v>2026A-07</v>
          </cell>
          <cell r="T6818" t="str">
            <v>Retirement</v>
          </cell>
        </row>
        <row r="6819">
          <cell r="K6819">
            <v>55803.59</v>
          </cell>
          <cell r="P6819" t="str">
            <v>80124101-61711102</v>
          </cell>
          <cell r="S6819" t="str">
            <v>2026A-07</v>
          </cell>
          <cell r="T6819" t="str">
            <v>Kaseya</v>
          </cell>
        </row>
        <row r="6820">
          <cell r="K6820">
            <v>64929.72</v>
          </cell>
          <cell r="P6820" t="str">
            <v>80124101-61711102</v>
          </cell>
          <cell r="S6820" t="str">
            <v>2026A-07</v>
          </cell>
          <cell r="T6820" t="str">
            <v>Crowdstrike</v>
          </cell>
        </row>
        <row r="6821">
          <cell r="K6821">
            <v>381550.68</v>
          </cell>
          <cell r="P6821" t="str">
            <v>80124101-61711102</v>
          </cell>
          <cell r="S6821" t="str">
            <v>2026A-07</v>
          </cell>
          <cell r="T6821" t="str">
            <v>SAP</v>
          </cell>
        </row>
        <row r="6822">
          <cell r="K6822">
            <v>91032.05</v>
          </cell>
          <cell r="P6822" t="str">
            <v>80124101-61711102</v>
          </cell>
          <cell r="S6822" t="str">
            <v>2026A-07</v>
          </cell>
          <cell r="T6822" t="str">
            <v>M365 Email Security</v>
          </cell>
        </row>
        <row r="6823">
          <cell r="K6823">
            <v>122908.59</v>
          </cell>
          <cell r="P6823" t="str">
            <v>80124101-61711102</v>
          </cell>
          <cell r="S6823" t="str">
            <v>2026A-07</v>
          </cell>
          <cell r="T6823" t="str">
            <v>Menlo Cloud Internet</v>
          </cell>
        </row>
        <row r="6824">
          <cell r="K6824">
            <v>346041.67</v>
          </cell>
          <cell r="P6824" t="str">
            <v>80134102-61711101</v>
          </cell>
          <cell r="S6824" t="str">
            <v>2026A-07</v>
          </cell>
          <cell r="T6824" t="str">
            <v>Membership - Valle Verde</v>
          </cell>
        </row>
        <row r="6825">
          <cell r="K6825">
            <v>57589.29</v>
          </cell>
          <cell r="P6825" t="str">
            <v>80134102-61711101</v>
          </cell>
          <cell r="S6825" t="str">
            <v>2026A-07</v>
          </cell>
          <cell r="T6825" t="str">
            <v>Membership - Consumables</v>
          </cell>
        </row>
        <row r="6826">
          <cell r="K6826">
            <v>125625</v>
          </cell>
          <cell r="P6826" t="str">
            <v>80134102-61711101</v>
          </cell>
          <cell r="S6826" t="str">
            <v>2026A-07</v>
          </cell>
          <cell r="T6826" t="str">
            <v>Membership - OPE</v>
          </cell>
        </row>
        <row r="6827">
          <cell r="K6827">
            <v>4500</v>
          </cell>
          <cell r="P6827" t="str">
            <v>80123101-61711101</v>
          </cell>
          <cell r="S6827" t="str">
            <v>2026A-07</v>
          </cell>
          <cell r="T6827" t="str">
            <v>Dues and Fees - Legal</v>
          </cell>
        </row>
        <row r="6828">
          <cell r="K6828">
            <v>75392.75</v>
          </cell>
          <cell r="P6828" t="str">
            <v>80123102-61101104</v>
          </cell>
          <cell r="S6828" t="str">
            <v>2026A-07</v>
          </cell>
          <cell r="T6828" t="str">
            <v>Insurance Vehicle</v>
          </cell>
        </row>
        <row r="6829">
          <cell r="K6829">
            <v>5960.72</v>
          </cell>
          <cell r="P6829" t="str">
            <v>80123102-61101104</v>
          </cell>
          <cell r="S6829" t="str">
            <v>2026A-07</v>
          </cell>
          <cell r="T6829" t="str">
            <v>Insurance Vehicle</v>
          </cell>
        </row>
        <row r="6830">
          <cell r="K6830">
            <v>4552.5</v>
          </cell>
          <cell r="P6830" t="str">
            <v>80111101-61021301</v>
          </cell>
          <cell r="S6830" t="str">
            <v>2026A-07</v>
          </cell>
          <cell r="T6830" t="str">
            <v>Life Insurance</v>
          </cell>
        </row>
        <row r="6831">
          <cell r="K6831">
            <v>262.5</v>
          </cell>
          <cell r="P6831" t="str">
            <v>80111101-61021301</v>
          </cell>
          <cell r="S6831" t="str">
            <v>2026A-07</v>
          </cell>
          <cell r="T6831" t="str">
            <v>Life Insurance</v>
          </cell>
        </row>
        <row r="6832">
          <cell r="K6832">
            <v>135623.34</v>
          </cell>
          <cell r="P6832" t="str">
            <v>80111101-61021303</v>
          </cell>
          <cell r="S6832" t="str">
            <v>2026A-07</v>
          </cell>
          <cell r="T6832" t="str">
            <v>HMO</v>
          </cell>
        </row>
        <row r="6833">
          <cell r="K6833">
            <v>2526.04</v>
          </cell>
          <cell r="P6833" t="str">
            <v>80111101-61021303</v>
          </cell>
          <cell r="S6833" t="str">
            <v>2026A-07</v>
          </cell>
          <cell r="T6833" t="str">
            <v>HMO</v>
          </cell>
        </row>
        <row r="6834">
          <cell r="K6834">
            <v>917000</v>
          </cell>
          <cell r="P6834" t="str">
            <v>81122101-52071104</v>
          </cell>
          <cell r="S6834" t="str">
            <v>2026A-07</v>
          </cell>
          <cell r="T6834" t="str">
            <v>INTCNSLTNT</v>
          </cell>
        </row>
        <row r="6835">
          <cell r="K6835">
            <v>11000</v>
          </cell>
          <cell r="P6835" t="str">
            <v>81122101-52071104</v>
          </cell>
          <cell r="S6835" t="str">
            <v>2026A-07</v>
          </cell>
          <cell r="T6835" t="str">
            <v>INTCNSLTNT</v>
          </cell>
        </row>
        <row r="6836">
          <cell r="K6836">
            <v>-12091.6</v>
          </cell>
          <cell r="P6836" t="str">
            <v>81122101-52071104</v>
          </cell>
          <cell r="S6836" t="str">
            <v>2026A-07</v>
          </cell>
          <cell r="T6836" t="str">
            <v>INTCNSLTNT</v>
          </cell>
        </row>
        <row r="6837">
          <cell r="K6837">
            <v>208100</v>
          </cell>
          <cell r="P6837" t="str">
            <v>81122101-52071104</v>
          </cell>
          <cell r="S6837" t="str">
            <v>2026A-07</v>
          </cell>
          <cell r="T6837" t="str">
            <v>INTCNSLTNT</v>
          </cell>
        </row>
        <row r="6838">
          <cell r="K6838">
            <v>-2661.07</v>
          </cell>
          <cell r="P6838" t="str">
            <v>81122101-52071104</v>
          </cell>
          <cell r="S6838" t="str">
            <v>2026A-07</v>
          </cell>
          <cell r="T6838" t="str">
            <v>INTCNSLTNT</v>
          </cell>
        </row>
        <row r="6839">
          <cell r="K6839">
            <v>303089.17</v>
          </cell>
          <cell r="P6839" t="str">
            <v>81111101-52121304</v>
          </cell>
          <cell r="S6839" t="str">
            <v>2026A-07</v>
          </cell>
          <cell r="T6839" t="str">
            <v>Retirement</v>
          </cell>
        </row>
        <row r="6840">
          <cell r="K6840">
            <v>20000</v>
          </cell>
          <cell r="P6840" t="str">
            <v>80123101-61071005</v>
          </cell>
          <cell r="S6840" t="str">
            <v>2026A-07</v>
          </cell>
          <cell r="T6840" t="str">
            <v>Poblador</v>
          </cell>
        </row>
        <row r="6841">
          <cell r="K6841">
            <v>10000</v>
          </cell>
          <cell r="P6841" t="str">
            <v>80123101-61071005</v>
          </cell>
          <cell r="S6841" t="str">
            <v>2026A-07</v>
          </cell>
          <cell r="T6841" t="str">
            <v>Santiago</v>
          </cell>
        </row>
        <row r="6842">
          <cell r="K6842">
            <v>281486.09999999998</v>
          </cell>
          <cell r="P6842" t="str">
            <v>80123102-61041101</v>
          </cell>
          <cell r="S6842" t="str">
            <v>2026A-07</v>
          </cell>
          <cell r="T6842" t="str">
            <v>Electricity &amp; Water</v>
          </cell>
        </row>
        <row r="6843">
          <cell r="K6843">
            <v>24528.47</v>
          </cell>
          <cell r="P6843" t="str">
            <v>80123102-61721101</v>
          </cell>
          <cell r="S6843" t="str">
            <v>2026A-07</v>
          </cell>
          <cell r="T6843" t="str">
            <v>Mobile Phones</v>
          </cell>
        </row>
        <row r="6844">
          <cell r="K6844">
            <v>4017.86</v>
          </cell>
          <cell r="P6844" t="str">
            <v>81123102-52061111</v>
          </cell>
          <cell r="S6844" t="str">
            <v>2026A-07</v>
          </cell>
          <cell r="T6844" t="str">
            <v>R&amp;M - Supplies</v>
          </cell>
        </row>
        <row r="6845">
          <cell r="K6845">
            <v>573777.75</v>
          </cell>
          <cell r="P6845" t="str">
            <v>81222101-61959994</v>
          </cell>
          <cell r="S6845" t="str">
            <v>2026A-07</v>
          </cell>
          <cell r="T6845" t="str">
            <v>OE Redev Plan</v>
          </cell>
        </row>
        <row r="6846">
          <cell r="K6846">
            <v>1165</v>
          </cell>
          <cell r="P6846" t="str">
            <v>81111204-52091101</v>
          </cell>
          <cell r="S6846" t="str">
            <v>2026A-08</v>
          </cell>
          <cell r="T6846" t="str">
            <v>Others</v>
          </cell>
        </row>
        <row r="6847">
          <cell r="K6847">
            <v>53022</v>
          </cell>
          <cell r="P6847" t="str">
            <v>80124101-61721105</v>
          </cell>
          <cell r="S6847" t="str">
            <v>2026A-08</v>
          </cell>
          <cell r="T6847" t="str">
            <v>Fiber Internet - CV</v>
          </cell>
        </row>
        <row r="6848">
          <cell r="K6848">
            <v>-53022</v>
          </cell>
          <cell r="P6848" t="str">
            <v>80123102-61721105</v>
          </cell>
          <cell r="S6848" t="str">
            <v>2026A-08</v>
          </cell>
          <cell r="T6848" t="str">
            <v>Fiber Internet - CV</v>
          </cell>
        </row>
        <row r="6849">
          <cell r="K6849">
            <v>23150</v>
          </cell>
          <cell r="P6849" t="str">
            <v>81123102-52951101</v>
          </cell>
          <cell r="S6849" t="str">
            <v>2026A-08</v>
          </cell>
          <cell r="T6849" t="str">
            <v>Mobile Phones</v>
          </cell>
        </row>
        <row r="6850">
          <cell r="K6850">
            <v>18286</v>
          </cell>
          <cell r="P6850" t="str">
            <v>81122101-52121401</v>
          </cell>
          <cell r="S6850" t="str">
            <v>2026A-08</v>
          </cell>
          <cell r="T6850" t="str">
            <v>Birthday Bash</v>
          </cell>
        </row>
        <row r="6851">
          <cell r="K6851">
            <v>18503.150000000001</v>
          </cell>
          <cell r="P6851" t="str">
            <v>81122101-52121401</v>
          </cell>
          <cell r="S6851" t="str">
            <v>2026A-08</v>
          </cell>
          <cell r="T6851" t="str">
            <v>Birthday Bash</v>
          </cell>
        </row>
        <row r="6852">
          <cell r="K6852">
            <v>23600</v>
          </cell>
          <cell r="P6852" t="str">
            <v>81123102-52951101</v>
          </cell>
          <cell r="S6852" t="str">
            <v>2026A-08</v>
          </cell>
          <cell r="T6852" t="str">
            <v>Mobile Phones</v>
          </cell>
        </row>
        <row r="6853">
          <cell r="K6853">
            <v>250000</v>
          </cell>
          <cell r="P6853" t="str">
            <v>81133102-52071104</v>
          </cell>
          <cell r="S6853" t="str">
            <v>2026A-08</v>
          </cell>
          <cell r="T6853" t="str">
            <v>RSG</v>
          </cell>
        </row>
        <row r="6854">
          <cell r="K6854">
            <v>30000</v>
          </cell>
          <cell r="P6854" t="str">
            <v>81123102-52081101</v>
          </cell>
          <cell r="S6854" t="str">
            <v>2026A-08</v>
          </cell>
          <cell r="T6854" t="str">
            <v>Toll</v>
          </cell>
        </row>
        <row r="6855">
          <cell r="K6855">
            <v>30741.75</v>
          </cell>
          <cell r="P6855" t="str">
            <v>81122101-52121401</v>
          </cell>
          <cell r="S6855" t="str">
            <v>2026A-08</v>
          </cell>
          <cell r="T6855" t="str">
            <v>Birthday Bash</v>
          </cell>
        </row>
        <row r="6856">
          <cell r="K6856">
            <v>18754.02</v>
          </cell>
          <cell r="P6856" t="str">
            <v>81122101-52121401</v>
          </cell>
          <cell r="S6856" t="str">
            <v>2026A-08</v>
          </cell>
          <cell r="T6856" t="str">
            <v>Birthday Bash</v>
          </cell>
        </row>
        <row r="6857">
          <cell r="K6857">
            <v>25200</v>
          </cell>
          <cell r="P6857" t="str">
            <v>81123102-52951101</v>
          </cell>
          <cell r="S6857" t="str">
            <v>2026A-08</v>
          </cell>
          <cell r="T6857" t="str">
            <v>Mobile Phones</v>
          </cell>
        </row>
        <row r="6858">
          <cell r="K6858">
            <v>16850</v>
          </cell>
          <cell r="P6858" t="str">
            <v>81122101-52121401</v>
          </cell>
          <cell r="S6858" t="str">
            <v>2026A-08</v>
          </cell>
          <cell r="T6858" t="str">
            <v>Birthday Bash</v>
          </cell>
        </row>
        <row r="6859">
          <cell r="K6859">
            <v>3775</v>
          </cell>
          <cell r="P6859" t="str">
            <v>81122101-52121401</v>
          </cell>
          <cell r="S6859" t="str">
            <v>2026A-08</v>
          </cell>
          <cell r="T6859" t="str">
            <v>Birthday Bash</v>
          </cell>
        </row>
        <row r="6860">
          <cell r="K6860">
            <v>25500</v>
          </cell>
          <cell r="P6860" t="str">
            <v>81123102-52951101</v>
          </cell>
          <cell r="S6860" t="str">
            <v>2026A-08</v>
          </cell>
          <cell r="T6860" t="str">
            <v>Mobile Phones</v>
          </cell>
        </row>
        <row r="6861">
          <cell r="K6861">
            <v>399</v>
          </cell>
          <cell r="P6861" t="str">
            <v>81319101-52111101</v>
          </cell>
          <cell r="S6861" t="str">
            <v>2026A-08</v>
          </cell>
          <cell r="T6861" t="str">
            <v>GH</v>
          </cell>
        </row>
        <row r="6862">
          <cell r="K6862">
            <v>449</v>
          </cell>
          <cell r="P6862" t="str">
            <v>81319101-52111101</v>
          </cell>
          <cell r="S6862" t="str">
            <v>2026A-08</v>
          </cell>
          <cell r="T6862" t="str">
            <v>GH</v>
          </cell>
        </row>
        <row r="6863">
          <cell r="K6863">
            <v>62187.5</v>
          </cell>
          <cell r="P6863" t="str">
            <v>81122101-52121402</v>
          </cell>
          <cell r="S6863" t="str">
            <v>2026A-08</v>
          </cell>
          <cell r="T6863" t="str">
            <v>Vaccine</v>
          </cell>
        </row>
        <row r="6864">
          <cell r="K6864">
            <v>26700</v>
          </cell>
          <cell r="P6864" t="str">
            <v>81123102-52951101</v>
          </cell>
          <cell r="S6864" t="str">
            <v>2026A-08</v>
          </cell>
          <cell r="T6864" t="str">
            <v>Mobile Phones</v>
          </cell>
        </row>
        <row r="6865">
          <cell r="K6865">
            <v>3900</v>
          </cell>
          <cell r="P6865" t="str">
            <v>90122101-52121402</v>
          </cell>
          <cell r="S6865" t="str">
            <v>2026A-08</v>
          </cell>
          <cell r="T6865" t="str">
            <v>Bereavement Assistance</v>
          </cell>
        </row>
        <row r="6866">
          <cell r="K6866">
            <v>6300</v>
          </cell>
          <cell r="P6866" t="str">
            <v>81319101-52061105</v>
          </cell>
          <cell r="S6866" t="str">
            <v>2026A-08</v>
          </cell>
          <cell r="T6866" t="str">
            <v>R&amp;M - GH</v>
          </cell>
        </row>
        <row r="6867">
          <cell r="K6867">
            <v>3480.27</v>
          </cell>
          <cell r="P6867" t="str">
            <v>80125101-61091101</v>
          </cell>
          <cell r="S6867" t="str">
            <v>2026A-08</v>
          </cell>
          <cell r="T6867" t="str">
            <v>Meetings</v>
          </cell>
        </row>
        <row r="6868">
          <cell r="K6868">
            <v>2961</v>
          </cell>
          <cell r="P6868" t="str">
            <v>80125101-61091101</v>
          </cell>
          <cell r="S6868" t="str">
            <v>2026A-08</v>
          </cell>
          <cell r="T6868" t="str">
            <v>Meetings</v>
          </cell>
        </row>
        <row r="6869">
          <cell r="K6869">
            <v>9553.17</v>
          </cell>
          <cell r="P6869" t="str">
            <v>80123102-61721101</v>
          </cell>
          <cell r="S6869" t="str">
            <v>2026A-08</v>
          </cell>
          <cell r="T6869" t="str">
            <v>Mobile Phones</v>
          </cell>
        </row>
        <row r="6870">
          <cell r="K6870">
            <v>2171.1</v>
          </cell>
          <cell r="P6870" t="str">
            <v>80123102-61721101</v>
          </cell>
          <cell r="S6870" t="str">
            <v>2026A-08</v>
          </cell>
          <cell r="T6870" t="str">
            <v>Mobile Phones</v>
          </cell>
        </row>
        <row r="6871">
          <cell r="K6871">
            <v>1736.98</v>
          </cell>
          <cell r="P6871" t="str">
            <v>80123102-61721101</v>
          </cell>
          <cell r="S6871" t="str">
            <v>2026A-08</v>
          </cell>
          <cell r="T6871" t="str">
            <v>Mobile Phones</v>
          </cell>
        </row>
        <row r="6872">
          <cell r="K6872">
            <v>1736.98</v>
          </cell>
          <cell r="P6872" t="str">
            <v>80123102-61721101</v>
          </cell>
          <cell r="S6872" t="str">
            <v>2026A-08</v>
          </cell>
          <cell r="T6872" t="str">
            <v>Mobile Phones</v>
          </cell>
        </row>
        <row r="6873">
          <cell r="K6873">
            <v>1736.98</v>
          </cell>
          <cell r="P6873" t="str">
            <v>80123102-61721101</v>
          </cell>
          <cell r="S6873" t="str">
            <v>2026A-08</v>
          </cell>
          <cell r="T6873" t="str">
            <v>Mobile Phones</v>
          </cell>
        </row>
        <row r="6874">
          <cell r="K6874">
            <v>1736.98</v>
          </cell>
          <cell r="P6874" t="str">
            <v>80123102-61721101</v>
          </cell>
          <cell r="S6874" t="str">
            <v>2026A-08</v>
          </cell>
          <cell r="T6874" t="str">
            <v>Mobile Phones</v>
          </cell>
        </row>
        <row r="6875">
          <cell r="K6875">
            <v>1736.98</v>
          </cell>
          <cell r="P6875" t="str">
            <v>80123102-61721101</v>
          </cell>
          <cell r="S6875" t="str">
            <v>2026A-08</v>
          </cell>
          <cell r="T6875" t="str">
            <v>Mobile Phones</v>
          </cell>
        </row>
        <row r="6876">
          <cell r="K6876">
            <v>1736.98</v>
          </cell>
          <cell r="P6876" t="str">
            <v>80123102-61721101</v>
          </cell>
          <cell r="S6876" t="str">
            <v>2026A-08</v>
          </cell>
          <cell r="T6876" t="str">
            <v>Mobile Phones</v>
          </cell>
        </row>
        <row r="6877">
          <cell r="K6877">
            <v>1259.06</v>
          </cell>
          <cell r="P6877" t="str">
            <v>80123102-61721101</v>
          </cell>
          <cell r="S6877" t="str">
            <v>2026A-08</v>
          </cell>
          <cell r="T6877" t="str">
            <v>Mobile Phones</v>
          </cell>
        </row>
        <row r="6878">
          <cell r="K6878">
            <v>1594.78</v>
          </cell>
          <cell r="P6878" t="str">
            <v>80123102-61721101</v>
          </cell>
          <cell r="S6878" t="str">
            <v>2026A-08</v>
          </cell>
          <cell r="T6878" t="str">
            <v>Mobile Phones</v>
          </cell>
        </row>
        <row r="6879">
          <cell r="K6879">
            <v>1259.06</v>
          </cell>
          <cell r="P6879" t="str">
            <v>80123102-61721101</v>
          </cell>
          <cell r="S6879" t="str">
            <v>2026A-08</v>
          </cell>
          <cell r="T6879" t="str">
            <v>Mobile Phones</v>
          </cell>
        </row>
        <row r="6880">
          <cell r="K6880">
            <v>1304.51</v>
          </cell>
          <cell r="P6880" t="str">
            <v>80123102-61721101</v>
          </cell>
          <cell r="S6880" t="str">
            <v>2026A-08</v>
          </cell>
          <cell r="T6880" t="str">
            <v>Mobile Phones</v>
          </cell>
        </row>
        <row r="6881">
          <cell r="K6881">
            <v>223.21</v>
          </cell>
          <cell r="P6881" t="str">
            <v>80123102-61721101</v>
          </cell>
          <cell r="S6881" t="str">
            <v>2026A-08</v>
          </cell>
          <cell r="T6881" t="str">
            <v>Mobile Phones</v>
          </cell>
        </row>
        <row r="6882">
          <cell r="K6882">
            <v>1536.38</v>
          </cell>
          <cell r="P6882" t="str">
            <v>80123102-61721101</v>
          </cell>
          <cell r="S6882" t="str">
            <v>2026A-08</v>
          </cell>
          <cell r="T6882" t="str">
            <v>Mobile Phones</v>
          </cell>
        </row>
        <row r="6883">
          <cell r="K6883">
            <v>1259.06</v>
          </cell>
          <cell r="P6883" t="str">
            <v>80123102-61721101</v>
          </cell>
          <cell r="S6883" t="str">
            <v>2026A-08</v>
          </cell>
          <cell r="T6883" t="str">
            <v>Mobile Phones</v>
          </cell>
        </row>
        <row r="6884">
          <cell r="K6884">
            <v>6360</v>
          </cell>
          <cell r="P6884" t="str">
            <v>90111101-61021206</v>
          </cell>
          <cell r="S6884" t="str">
            <v>2026A-08</v>
          </cell>
          <cell r="T6884" t="str">
            <v>OJT</v>
          </cell>
        </row>
        <row r="6885">
          <cell r="K6885">
            <v>6451.5</v>
          </cell>
          <cell r="P6885" t="str">
            <v>90111101-61021206</v>
          </cell>
          <cell r="S6885" t="str">
            <v>2026A-08</v>
          </cell>
          <cell r="T6885" t="str">
            <v>OJT</v>
          </cell>
        </row>
        <row r="6886">
          <cell r="K6886">
            <v>26650</v>
          </cell>
          <cell r="P6886" t="str">
            <v>81123102-52951101</v>
          </cell>
          <cell r="S6886" t="str">
            <v>2026A-08</v>
          </cell>
          <cell r="T6886" t="str">
            <v>Mobile Phones</v>
          </cell>
        </row>
        <row r="6887">
          <cell r="K6887">
            <v>3230</v>
          </cell>
          <cell r="P6887" t="str">
            <v>90122101-52121315</v>
          </cell>
          <cell r="S6887" t="str">
            <v>2026A-08</v>
          </cell>
          <cell r="T6887" t="str">
            <v>Pre-Employment Medical Exams</v>
          </cell>
        </row>
        <row r="6888">
          <cell r="K6888">
            <v>250</v>
          </cell>
          <cell r="P6888" t="str">
            <v>90122101-52121315</v>
          </cell>
          <cell r="S6888" t="str">
            <v>2026A-08</v>
          </cell>
          <cell r="T6888" t="str">
            <v>Pre-Employment Medical Exams</v>
          </cell>
        </row>
        <row r="6889">
          <cell r="K6889">
            <v>-1051640.8500000001</v>
          </cell>
          <cell r="P6889" t="str">
            <v>90111101-52121313</v>
          </cell>
          <cell r="S6889" t="str">
            <v>2026A-08</v>
          </cell>
          <cell r="T6889" t="str">
            <v>FBT</v>
          </cell>
        </row>
        <row r="6890">
          <cell r="K6890">
            <v>7200</v>
          </cell>
          <cell r="P6890" t="str">
            <v>81319101-52061105</v>
          </cell>
          <cell r="S6890" t="str">
            <v>2026A-08</v>
          </cell>
          <cell r="T6890" t="str">
            <v>R&amp;M - GH</v>
          </cell>
        </row>
        <row r="6891">
          <cell r="K6891">
            <v>990</v>
          </cell>
          <cell r="P6891" t="str">
            <v>80111101-52031103</v>
          </cell>
          <cell r="S6891" t="str">
            <v>2026A-08</v>
          </cell>
          <cell r="T6891" t="str">
            <v>DST</v>
          </cell>
        </row>
        <row r="6892">
          <cell r="K6892">
            <v>2145.1999999999998</v>
          </cell>
          <cell r="P6892" t="str">
            <v>80111101-52031103</v>
          </cell>
          <cell r="S6892" t="str">
            <v>2026A-08</v>
          </cell>
          <cell r="T6892" t="str">
            <v>DST</v>
          </cell>
        </row>
        <row r="6893">
          <cell r="K6893">
            <v>1080</v>
          </cell>
          <cell r="P6893" t="str">
            <v>81319101-52111101</v>
          </cell>
          <cell r="S6893" t="str">
            <v>2026A-08</v>
          </cell>
          <cell r="T6893" t="str">
            <v>GH</v>
          </cell>
        </row>
        <row r="6894">
          <cell r="K6894">
            <v>2053.5100000000002</v>
          </cell>
          <cell r="P6894" t="str">
            <v>81319101-52041405</v>
          </cell>
          <cell r="S6894" t="str">
            <v>2026A-08</v>
          </cell>
          <cell r="T6894" t="str">
            <v>ES</v>
          </cell>
        </row>
        <row r="6895">
          <cell r="K6895">
            <v>6600</v>
          </cell>
          <cell r="P6895" t="str">
            <v>80123101-61071002</v>
          </cell>
          <cell r="S6895" t="str">
            <v>2026A-08</v>
          </cell>
          <cell r="T6895" t="str">
            <v>Open Cases</v>
          </cell>
        </row>
        <row r="6896">
          <cell r="K6896">
            <v>2424</v>
          </cell>
          <cell r="P6896" t="str">
            <v>80123101-61071002</v>
          </cell>
          <cell r="S6896" t="str">
            <v>2026A-08</v>
          </cell>
          <cell r="T6896" t="str">
            <v>Open Cases</v>
          </cell>
        </row>
        <row r="6897">
          <cell r="K6897">
            <v>6600</v>
          </cell>
          <cell r="P6897" t="str">
            <v>80123101-61071002</v>
          </cell>
          <cell r="S6897" t="str">
            <v>2026A-08</v>
          </cell>
          <cell r="T6897" t="str">
            <v>Open Cases</v>
          </cell>
        </row>
        <row r="6898">
          <cell r="K6898">
            <v>2424</v>
          </cell>
          <cell r="P6898" t="str">
            <v>80123101-61071002</v>
          </cell>
          <cell r="S6898" t="str">
            <v>2026A-08</v>
          </cell>
          <cell r="T6898" t="str">
            <v>Open Cases</v>
          </cell>
        </row>
        <row r="6899">
          <cell r="K6899">
            <v>6600</v>
          </cell>
          <cell r="P6899" t="str">
            <v>80123101-61071002</v>
          </cell>
          <cell r="S6899" t="str">
            <v>2026A-08</v>
          </cell>
          <cell r="T6899" t="str">
            <v>Open Cases</v>
          </cell>
        </row>
        <row r="6900">
          <cell r="K6900">
            <v>2424</v>
          </cell>
          <cell r="P6900" t="str">
            <v>80123101-61071002</v>
          </cell>
          <cell r="S6900" t="str">
            <v>2026A-08</v>
          </cell>
          <cell r="T6900" t="str">
            <v>Open Cases</v>
          </cell>
        </row>
        <row r="6901">
          <cell r="K6901">
            <v>6600</v>
          </cell>
          <cell r="P6901" t="str">
            <v>80123101-61071002</v>
          </cell>
          <cell r="S6901" t="str">
            <v>2026A-08</v>
          </cell>
          <cell r="T6901" t="str">
            <v>Open Cases</v>
          </cell>
        </row>
        <row r="6902">
          <cell r="K6902">
            <v>2424</v>
          </cell>
          <cell r="P6902" t="str">
            <v>80123101-61071002</v>
          </cell>
          <cell r="S6902" t="str">
            <v>2026A-08</v>
          </cell>
          <cell r="T6902" t="str">
            <v>Open Cases</v>
          </cell>
        </row>
        <row r="6903">
          <cell r="K6903">
            <v>36</v>
          </cell>
          <cell r="P6903" t="str">
            <v>80123102-61111101</v>
          </cell>
          <cell r="S6903" t="str">
            <v>2026A-08</v>
          </cell>
          <cell r="T6903" t="str">
            <v>Office Supplies - Others</v>
          </cell>
        </row>
        <row r="6904">
          <cell r="K6904">
            <v>40</v>
          </cell>
          <cell r="P6904" t="str">
            <v>80123102-61111101</v>
          </cell>
          <cell r="S6904" t="str">
            <v>2026A-08</v>
          </cell>
          <cell r="T6904" t="str">
            <v>Office Supplies - Others</v>
          </cell>
        </row>
        <row r="6905">
          <cell r="K6905">
            <v>42</v>
          </cell>
          <cell r="P6905" t="str">
            <v>80123102-61111101</v>
          </cell>
          <cell r="S6905" t="str">
            <v>2026A-08</v>
          </cell>
          <cell r="T6905" t="str">
            <v>Office Supplies - Others</v>
          </cell>
        </row>
        <row r="6906">
          <cell r="K6906">
            <v>44</v>
          </cell>
          <cell r="P6906" t="str">
            <v>80123102-61111101</v>
          </cell>
          <cell r="S6906" t="str">
            <v>2026A-08</v>
          </cell>
          <cell r="T6906" t="str">
            <v>Office Supplies - Others</v>
          </cell>
        </row>
        <row r="6907">
          <cell r="K6907">
            <v>17.5</v>
          </cell>
          <cell r="P6907" t="str">
            <v>80123101-61711101</v>
          </cell>
          <cell r="S6907" t="str">
            <v>2026A-08</v>
          </cell>
          <cell r="T6907" t="str">
            <v>Dues and Fees - Legal</v>
          </cell>
        </row>
        <row r="6908">
          <cell r="K6908">
            <v>50</v>
          </cell>
          <cell r="P6908" t="str">
            <v>80123101-61711101</v>
          </cell>
          <cell r="S6908" t="str">
            <v>2026A-08</v>
          </cell>
          <cell r="T6908" t="str">
            <v>Dues and Fees - Legal</v>
          </cell>
        </row>
        <row r="6909">
          <cell r="K6909">
            <v>17.5</v>
          </cell>
          <cell r="P6909" t="str">
            <v>80123101-61711101</v>
          </cell>
          <cell r="S6909" t="str">
            <v>2026A-08</v>
          </cell>
          <cell r="T6909" t="str">
            <v>Dues and Fees - Legal</v>
          </cell>
        </row>
        <row r="6910">
          <cell r="K6910">
            <v>50</v>
          </cell>
          <cell r="P6910" t="str">
            <v>80123101-61711101</v>
          </cell>
          <cell r="S6910" t="str">
            <v>2026A-08</v>
          </cell>
          <cell r="T6910" t="str">
            <v>Dues and Fees - Legal</v>
          </cell>
        </row>
        <row r="6911">
          <cell r="K6911">
            <v>17.5</v>
          </cell>
          <cell r="P6911" t="str">
            <v>80123101-61711101</v>
          </cell>
          <cell r="S6911" t="str">
            <v>2026A-08</v>
          </cell>
          <cell r="T6911" t="str">
            <v>Dues and Fees - Legal</v>
          </cell>
        </row>
        <row r="6912">
          <cell r="K6912">
            <v>50</v>
          </cell>
          <cell r="P6912" t="str">
            <v>80123101-61711101</v>
          </cell>
          <cell r="S6912" t="str">
            <v>2026A-08</v>
          </cell>
          <cell r="T6912" t="str">
            <v>Dues and Fees - Legal</v>
          </cell>
        </row>
        <row r="6913">
          <cell r="K6913">
            <v>17.5</v>
          </cell>
          <cell r="P6913" t="str">
            <v>80123101-61711101</v>
          </cell>
          <cell r="S6913" t="str">
            <v>2026A-08</v>
          </cell>
          <cell r="T6913" t="str">
            <v>Dues and Fees - Legal</v>
          </cell>
        </row>
        <row r="6914">
          <cell r="K6914">
            <v>40</v>
          </cell>
          <cell r="P6914" t="str">
            <v>80123101-61711101</v>
          </cell>
          <cell r="S6914" t="str">
            <v>2026A-08</v>
          </cell>
          <cell r="T6914" t="str">
            <v>Dues and Fees - Legal</v>
          </cell>
        </row>
        <row r="6915">
          <cell r="K6915">
            <v>20000</v>
          </cell>
          <cell r="P6915" t="str">
            <v>80123101-61071005</v>
          </cell>
          <cell r="S6915" t="str">
            <v>2026A-08</v>
          </cell>
          <cell r="T6915" t="str">
            <v>Poblador</v>
          </cell>
        </row>
        <row r="6916">
          <cell r="K6916">
            <v>898918.48</v>
          </cell>
          <cell r="P6916" t="str">
            <v>81349101-52959901</v>
          </cell>
          <cell r="S6916" t="str">
            <v>2026A-08</v>
          </cell>
          <cell r="T6916" t="str">
            <v>OE Redev Plan</v>
          </cell>
        </row>
        <row r="6917">
          <cell r="K6917">
            <v>-898918.48</v>
          </cell>
          <cell r="P6917" t="str">
            <v>81222101-61959994</v>
          </cell>
          <cell r="S6917" t="str">
            <v>2026A-08</v>
          </cell>
          <cell r="T6917" t="str">
            <v>OE Redev Plan</v>
          </cell>
        </row>
        <row r="6918">
          <cell r="K6918">
            <v>500</v>
          </cell>
          <cell r="P6918" t="str">
            <v>80111204-61091102</v>
          </cell>
          <cell r="S6918" t="str">
            <v>2026A-08</v>
          </cell>
          <cell r="T6918" t="str">
            <v>Meetings</v>
          </cell>
        </row>
        <row r="6919">
          <cell r="K6919">
            <v>30000</v>
          </cell>
          <cell r="P6919" t="str">
            <v>81123102-52081101</v>
          </cell>
          <cell r="S6919" t="str">
            <v>2026A-08</v>
          </cell>
          <cell r="T6919" t="str">
            <v>Toll</v>
          </cell>
        </row>
        <row r="6920">
          <cell r="K6920">
            <v>9553.17</v>
          </cell>
          <cell r="P6920" t="str">
            <v>80123102-61721101</v>
          </cell>
          <cell r="S6920" t="str">
            <v>2026A-08</v>
          </cell>
          <cell r="T6920" t="str">
            <v>Mobile Phones</v>
          </cell>
        </row>
        <row r="6921">
          <cell r="K6921">
            <v>2171.1</v>
          </cell>
          <cell r="P6921" t="str">
            <v>80123102-61721101</v>
          </cell>
          <cell r="S6921" t="str">
            <v>2026A-08</v>
          </cell>
          <cell r="T6921" t="str">
            <v>Mobile Phones</v>
          </cell>
        </row>
        <row r="6922">
          <cell r="K6922">
            <v>1736.98</v>
          </cell>
          <cell r="P6922" t="str">
            <v>80123102-61721101</v>
          </cell>
          <cell r="S6922" t="str">
            <v>2026A-08</v>
          </cell>
          <cell r="T6922" t="str">
            <v>Mobile Phones</v>
          </cell>
        </row>
        <row r="6923">
          <cell r="K6923">
            <v>1736.98</v>
          </cell>
          <cell r="P6923" t="str">
            <v>80123102-61721101</v>
          </cell>
          <cell r="S6923" t="str">
            <v>2026A-08</v>
          </cell>
          <cell r="T6923" t="str">
            <v>Mobile Phones</v>
          </cell>
        </row>
        <row r="6924">
          <cell r="K6924">
            <v>1736.98</v>
          </cell>
          <cell r="P6924" t="str">
            <v>80123102-61721101</v>
          </cell>
          <cell r="S6924" t="str">
            <v>2026A-08</v>
          </cell>
          <cell r="T6924" t="str">
            <v>Mobile Phones</v>
          </cell>
        </row>
        <row r="6925">
          <cell r="K6925">
            <v>1736.98</v>
          </cell>
          <cell r="P6925" t="str">
            <v>80123102-61721101</v>
          </cell>
          <cell r="S6925" t="str">
            <v>2026A-08</v>
          </cell>
          <cell r="T6925" t="str">
            <v>Mobile Phones</v>
          </cell>
        </row>
        <row r="6926">
          <cell r="K6926">
            <v>1736.98</v>
          </cell>
          <cell r="P6926" t="str">
            <v>80123102-61721101</v>
          </cell>
          <cell r="S6926" t="str">
            <v>2026A-08</v>
          </cell>
          <cell r="T6926" t="str">
            <v>Mobile Phones</v>
          </cell>
        </row>
        <row r="6927">
          <cell r="K6927">
            <v>1736.98</v>
          </cell>
          <cell r="P6927" t="str">
            <v>80123102-61721101</v>
          </cell>
          <cell r="S6927" t="str">
            <v>2026A-08</v>
          </cell>
          <cell r="T6927" t="str">
            <v>Mobile Phones</v>
          </cell>
        </row>
        <row r="6928">
          <cell r="K6928">
            <v>1259.06</v>
          </cell>
          <cell r="P6928" t="str">
            <v>80123102-61721101</v>
          </cell>
          <cell r="S6928" t="str">
            <v>2026A-08</v>
          </cell>
          <cell r="T6928" t="str">
            <v>Mobile Phones</v>
          </cell>
        </row>
        <row r="6929">
          <cell r="K6929">
            <v>1919.78</v>
          </cell>
          <cell r="P6929" t="str">
            <v>80123102-61721101</v>
          </cell>
          <cell r="S6929" t="str">
            <v>2026A-08</v>
          </cell>
          <cell r="T6929" t="str">
            <v>Mobile Phones</v>
          </cell>
        </row>
        <row r="6930">
          <cell r="K6930">
            <v>1259.06</v>
          </cell>
          <cell r="P6930" t="str">
            <v>80123102-61721101</v>
          </cell>
          <cell r="S6930" t="str">
            <v>2026A-08</v>
          </cell>
          <cell r="T6930" t="str">
            <v>Mobile Phones</v>
          </cell>
        </row>
        <row r="6931">
          <cell r="K6931">
            <v>1304.51</v>
          </cell>
          <cell r="P6931" t="str">
            <v>80123102-61721101</v>
          </cell>
          <cell r="S6931" t="str">
            <v>2026A-08</v>
          </cell>
          <cell r="T6931" t="str">
            <v>Mobile Phones</v>
          </cell>
        </row>
        <row r="6932">
          <cell r="K6932">
            <v>223.21</v>
          </cell>
          <cell r="P6932" t="str">
            <v>80123102-61721101</v>
          </cell>
          <cell r="S6932" t="str">
            <v>2026A-08</v>
          </cell>
          <cell r="T6932" t="str">
            <v>Mobile Phones</v>
          </cell>
        </row>
        <row r="6933">
          <cell r="K6933">
            <v>1536.38</v>
          </cell>
          <cell r="P6933" t="str">
            <v>80123102-61721101</v>
          </cell>
          <cell r="S6933" t="str">
            <v>2026A-08</v>
          </cell>
          <cell r="T6933" t="str">
            <v>Mobile Phones</v>
          </cell>
        </row>
        <row r="6934">
          <cell r="K6934">
            <v>1259.06</v>
          </cell>
          <cell r="P6934" t="str">
            <v>80123102-61721101</v>
          </cell>
          <cell r="S6934" t="str">
            <v>2026A-08</v>
          </cell>
          <cell r="T6934" t="str">
            <v>Mobile Phones</v>
          </cell>
        </row>
        <row r="6935">
          <cell r="K6935">
            <v>580</v>
          </cell>
          <cell r="P6935" t="str">
            <v>90111204-61091101</v>
          </cell>
          <cell r="S6935" t="str">
            <v>2026A-08</v>
          </cell>
          <cell r="T6935" t="str">
            <v>Meetings</v>
          </cell>
        </row>
        <row r="6936">
          <cell r="K6936">
            <v>2000</v>
          </cell>
          <cell r="P6936" t="str">
            <v>90111204-61091102</v>
          </cell>
          <cell r="S6936" t="str">
            <v>2026A-08</v>
          </cell>
          <cell r="T6936" t="str">
            <v>Meetings</v>
          </cell>
        </row>
        <row r="6937">
          <cell r="K6937">
            <v>1338.49</v>
          </cell>
          <cell r="P6937" t="str">
            <v>80123102-61721101</v>
          </cell>
          <cell r="S6937" t="str">
            <v>2026A-08</v>
          </cell>
          <cell r="T6937" t="str">
            <v>Mobile Phones</v>
          </cell>
        </row>
        <row r="6938">
          <cell r="K6938">
            <v>891.96</v>
          </cell>
          <cell r="P6938" t="str">
            <v>80123102-61721101</v>
          </cell>
          <cell r="S6938" t="str">
            <v>2026A-08</v>
          </cell>
          <cell r="T6938" t="str">
            <v>Mobile Phones</v>
          </cell>
        </row>
        <row r="6939">
          <cell r="K6939">
            <v>891.96</v>
          </cell>
          <cell r="P6939" t="str">
            <v>80123102-61721101</v>
          </cell>
          <cell r="S6939" t="str">
            <v>2026A-08</v>
          </cell>
          <cell r="T6939" t="str">
            <v>Mobile Phones</v>
          </cell>
        </row>
        <row r="6940">
          <cell r="K6940">
            <v>1338.39</v>
          </cell>
          <cell r="P6940" t="str">
            <v>80123102-61721101</v>
          </cell>
          <cell r="S6940" t="str">
            <v>2026A-08</v>
          </cell>
          <cell r="T6940" t="str">
            <v>Mobile Phones</v>
          </cell>
        </row>
        <row r="6941">
          <cell r="K6941">
            <v>891.96</v>
          </cell>
          <cell r="P6941" t="str">
            <v>80123102-61721101</v>
          </cell>
          <cell r="S6941" t="str">
            <v>2026A-08</v>
          </cell>
          <cell r="T6941" t="str">
            <v>Mobile Phones</v>
          </cell>
        </row>
        <row r="6942">
          <cell r="K6942">
            <v>713.39</v>
          </cell>
          <cell r="P6942" t="str">
            <v>80123102-61721101</v>
          </cell>
          <cell r="S6942" t="str">
            <v>2026A-08</v>
          </cell>
          <cell r="T6942" t="str">
            <v>Mobile Phones</v>
          </cell>
        </row>
        <row r="6943">
          <cell r="K6943">
            <v>891.96</v>
          </cell>
          <cell r="P6943" t="str">
            <v>80123102-61721101</v>
          </cell>
          <cell r="S6943" t="str">
            <v>2026A-08</v>
          </cell>
          <cell r="T6943" t="str">
            <v>Mobile Phones</v>
          </cell>
        </row>
        <row r="6944">
          <cell r="K6944">
            <v>891.96</v>
          </cell>
          <cell r="P6944" t="str">
            <v>80123102-61721101</v>
          </cell>
          <cell r="S6944" t="str">
            <v>2026A-08</v>
          </cell>
          <cell r="T6944" t="str">
            <v>Mobile Phones</v>
          </cell>
        </row>
        <row r="6945">
          <cell r="K6945">
            <v>891.96</v>
          </cell>
          <cell r="P6945" t="str">
            <v>80123102-61721101</v>
          </cell>
          <cell r="S6945" t="str">
            <v>2026A-08</v>
          </cell>
          <cell r="T6945" t="str">
            <v>Mobile Phones</v>
          </cell>
        </row>
        <row r="6946">
          <cell r="K6946">
            <v>891.96</v>
          </cell>
          <cell r="P6946" t="str">
            <v>80123102-61721101</v>
          </cell>
          <cell r="S6946" t="str">
            <v>2026A-08</v>
          </cell>
          <cell r="T6946" t="str">
            <v>Mobile Phones</v>
          </cell>
        </row>
        <row r="6947">
          <cell r="K6947">
            <v>891.96</v>
          </cell>
          <cell r="P6947" t="str">
            <v>80123102-61721101</v>
          </cell>
          <cell r="S6947" t="str">
            <v>2026A-08</v>
          </cell>
          <cell r="T6947" t="str">
            <v>Mobile Phones</v>
          </cell>
        </row>
        <row r="6948">
          <cell r="K6948">
            <v>891.96</v>
          </cell>
          <cell r="P6948" t="str">
            <v>80123102-61721101</v>
          </cell>
          <cell r="S6948" t="str">
            <v>2026A-08</v>
          </cell>
          <cell r="T6948" t="str">
            <v>Mobile Phones</v>
          </cell>
        </row>
        <row r="6949">
          <cell r="K6949">
            <v>534.82000000000005</v>
          </cell>
          <cell r="P6949" t="str">
            <v>80123102-61721101</v>
          </cell>
          <cell r="S6949" t="str">
            <v>2026A-08</v>
          </cell>
          <cell r="T6949" t="str">
            <v>Mobile Phones</v>
          </cell>
        </row>
        <row r="6950">
          <cell r="K6950">
            <v>891.96</v>
          </cell>
          <cell r="P6950" t="str">
            <v>80123102-61721101</v>
          </cell>
          <cell r="S6950" t="str">
            <v>2026A-08</v>
          </cell>
          <cell r="T6950" t="str">
            <v>Mobile Phones</v>
          </cell>
        </row>
        <row r="6951">
          <cell r="K6951">
            <v>891.96</v>
          </cell>
          <cell r="P6951" t="str">
            <v>80123102-61721101</v>
          </cell>
          <cell r="S6951" t="str">
            <v>2026A-08</v>
          </cell>
          <cell r="T6951" t="str">
            <v>Mobile Phones</v>
          </cell>
        </row>
        <row r="6952">
          <cell r="K6952">
            <v>891.96</v>
          </cell>
          <cell r="P6952" t="str">
            <v>80123102-61721101</v>
          </cell>
          <cell r="S6952" t="str">
            <v>2026A-08</v>
          </cell>
          <cell r="T6952" t="str">
            <v>Mobile Phones</v>
          </cell>
        </row>
        <row r="6953">
          <cell r="K6953">
            <v>891.96</v>
          </cell>
          <cell r="P6953" t="str">
            <v>80123102-61721101</v>
          </cell>
          <cell r="S6953" t="str">
            <v>2026A-08</v>
          </cell>
          <cell r="T6953" t="str">
            <v>Mobile Phones</v>
          </cell>
        </row>
        <row r="6954">
          <cell r="K6954">
            <v>891.96</v>
          </cell>
          <cell r="P6954" t="str">
            <v>80123102-61721101</v>
          </cell>
          <cell r="S6954" t="str">
            <v>2026A-08</v>
          </cell>
          <cell r="T6954" t="str">
            <v>Mobile Phones</v>
          </cell>
        </row>
        <row r="6955">
          <cell r="K6955">
            <v>891.96</v>
          </cell>
          <cell r="P6955" t="str">
            <v>80123102-61721101</v>
          </cell>
          <cell r="S6955" t="str">
            <v>2026A-08</v>
          </cell>
          <cell r="T6955" t="str">
            <v>Mobile Phones</v>
          </cell>
        </row>
        <row r="6956">
          <cell r="K6956">
            <v>534.82000000000005</v>
          </cell>
          <cell r="P6956" t="str">
            <v>80123102-61721101</v>
          </cell>
          <cell r="S6956" t="str">
            <v>2026A-08</v>
          </cell>
          <cell r="T6956" t="str">
            <v>Mobile Phones</v>
          </cell>
        </row>
        <row r="6957">
          <cell r="K6957">
            <v>713.39</v>
          </cell>
          <cell r="P6957" t="str">
            <v>80123102-61721101</v>
          </cell>
          <cell r="S6957" t="str">
            <v>2026A-08</v>
          </cell>
          <cell r="T6957" t="str">
            <v>Mobile Phones</v>
          </cell>
        </row>
        <row r="6958">
          <cell r="K6958">
            <v>891.96</v>
          </cell>
          <cell r="P6958" t="str">
            <v>80123102-61721101</v>
          </cell>
          <cell r="S6958" t="str">
            <v>2026A-08</v>
          </cell>
          <cell r="T6958" t="str">
            <v>Mobile Phones</v>
          </cell>
        </row>
        <row r="6959">
          <cell r="K6959">
            <v>891.96</v>
          </cell>
          <cell r="P6959" t="str">
            <v>80123102-61721101</v>
          </cell>
          <cell r="S6959" t="str">
            <v>2026A-08</v>
          </cell>
          <cell r="T6959" t="str">
            <v>Mobile Phones</v>
          </cell>
        </row>
        <row r="6960">
          <cell r="K6960">
            <v>1338.39</v>
          </cell>
          <cell r="P6960" t="str">
            <v>80123102-61721101</v>
          </cell>
          <cell r="S6960" t="str">
            <v>2026A-08</v>
          </cell>
          <cell r="T6960" t="str">
            <v>Mobile Phones</v>
          </cell>
        </row>
        <row r="6961">
          <cell r="K6961">
            <v>891.96</v>
          </cell>
          <cell r="P6961" t="str">
            <v>80123102-61721101</v>
          </cell>
          <cell r="S6961" t="str">
            <v>2026A-08</v>
          </cell>
          <cell r="T6961" t="str">
            <v>Mobile Phones</v>
          </cell>
        </row>
        <row r="6962">
          <cell r="K6962">
            <v>534.82000000000005</v>
          </cell>
          <cell r="P6962" t="str">
            <v>80123102-61721101</v>
          </cell>
          <cell r="S6962" t="str">
            <v>2026A-08</v>
          </cell>
          <cell r="T6962" t="str">
            <v>Mobile Phones</v>
          </cell>
        </row>
        <row r="6963">
          <cell r="K6963">
            <v>891.96</v>
          </cell>
          <cell r="P6963" t="str">
            <v>80123102-61721101</v>
          </cell>
          <cell r="S6963" t="str">
            <v>2026A-08</v>
          </cell>
          <cell r="T6963" t="str">
            <v>Mobile Phones</v>
          </cell>
        </row>
        <row r="6964">
          <cell r="K6964">
            <v>534.82000000000005</v>
          </cell>
          <cell r="P6964" t="str">
            <v>80123102-61721101</v>
          </cell>
          <cell r="S6964" t="str">
            <v>2026A-08</v>
          </cell>
          <cell r="T6964" t="str">
            <v>Mobile Phones</v>
          </cell>
        </row>
        <row r="6965">
          <cell r="K6965">
            <v>-0.01</v>
          </cell>
          <cell r="P6965" t="str">
            <v>81319101-52111101</v>
          </cell>
          <cell r="S6965" t="str">
            <v>2026A-08</v>
          </cell>
          <cell r="T6965" t="str">
            <v>ES</v>
          </cell>
        </row>
        <row r="6966">
          <cell r="K6966">
            <v>5057.1000000000004</v>
          </cell>
          <cell r="P6966" t="str">
            <v>81123102-52111101</v>
          </cell>
          <cell r="S6966" t="str">
            <v>2026A-08</v>
          </cell>
          <cell r="T6966" t="str">
            <v>Office Supplies - Others</v>
          </cell>
        </row>
        <row r="6967">
          <cell r="K6967">
            <v>197</v>
          </cell>
          <cell r="P6967" t="str">
            <v>81319101-52111101</v>
          </cell>
          <cell r="S6967" t="str">
            <v>2026A-08</v>
          </cell>
          <cell r="T6967" t="str">
            <v>GH</v>
          </cell>
        </row>
        <row r="6968">
          <cell r="K6968">
            <v>-16465.09</v>
          </cell>
          <cell r="P6968" t="str">
            <v>80123102-61061104</v>
          </cell>
          <cell r="S6968" t="str">
            <v>2026A-08</v>
          </cell>
          <cell r="T6968" t="str">
            <v>R&amp;M Vehicle</v>
          </cell>
        </row>
        <row r="6969">
          <cell r="K6969">
            <v>16465.09</v>
          </cell>
          <cell r="P6969" t="str">
            <v>80123102-61061104</v>
          </cell>
          <cell r="S6969" t="str">
            <v>2026A-08</v>
          </cell>
          <cell r="T6969" t="str">
            <v>R&amp;M Vehicle</v>
          </cell>
        </row>
        <row r="6970">
          <cell r="K6970">
            <v>16465.09</v>
          </cell>
          <cell r="P6970" t="str">
            <v>80123102-61061104</v>
          </cell>
          <cell r="S6970" t="str">
            <v>2026A-08</v>
          </cell>
          <cell r="T6970" t="str">
            <v>R&amp;M Vehicle</v>
          </cell>
        </row>
        <row r="6971">
          <cell r="K6971">
            <v>3000</v>
          </cell>
          <cell r="P6971" t="str">
            <v>80123101-61071002</v>
          </cell>
          <cell r="S6971" t="str">
            <v>2026A-08</v>
          </cell>
          <cell r="T6971" t="str">
            <v>Open Cases</v>
          </cell>
        </row>
        <row r="6972">
          <cell r="K6972">
            <v>2181.6</v>
          </cell>
          <cell r="P6972" t="str">
            <v>80123101-61071002</v>
          </cell>
          <cell r="S6972" t="str">
            <v>2026A-08</v>
          </cell>
          <cell r="T6972" t="str">
            <v>Open Cases</v>
          </cell>
        </row>
        <row r="6973">
          <cell r="K6973">
            <v>32</v>
          </cell>
          <cell r="P6973" t="str">
            <v>80123101-61711101</v>
          </cell>
          <cell r="S6973" t="str">
            <v>2026A-08</v>
          </cell>
          <cell r="T6973" t="str">
            <v>Dues and Fees - Legal</v>
          </cell>
        </row>
        <row r="6974">
          <cell r="K6974">
            <v>1250</v>
          </cell>
          <cell r="P6974" t="str">
            <v>90123101-61071002</v>
          </cell>
          <cell r="S6974" t="str">
            <v>2026A-08</v>
          </cell>
          <cell r="T6974" t="str">
            <v>Notarial Fees</v>
          </cell>
        </row>
        <row r="6975">
          <cell r="K6975">
            <v>5626.79</v>
          </cell>
          <cell r="P6975" t="str">
            <v>80124101-61721105</v>
          </cell>
          <cell r="S6975" t="str">
            <v>2026A-08</v>
          </cell>
          <cell r="T6975" t="str">
            <v>SMS Blast</v>
          </cell>
        </row>
        <row r="6976">
          <cell r="K6976">
            <v>10258.93</v>
          </cell>
          <cell r="P6976" t="str">
            <v>80111204-61091102</v>
          </cell>
          <cell r="S6976" t="str">
            <v>2026A-08</v>
          </cell>
          <cell r="T6976" t="str">
            <v>Meetings</v>
          </cell>
        </row>
        <row r="6977">
          <cell r="K6977">
            <v>1025.8900000000001</v>
          </cell>
          <cell r="P6977" t="str">
            <v>80111204-61091102</v>
          </cell>
          <cell r="S6977" t="str">
            <v>2026A-08</v>
          </cell>
          <cell r="T6977" t="str">
            <v>Meetings</v>
          </cell>
        </row>
        <row r="6978">
          <cell r="K6978">
            <v>780</v>
          </cell>
          <cell r="P6978" t="str">
            <v>80123101-61091101</v>
          </cell>
          <cell r="S6978" t="str">
            <v>2026A-08</v>
          </cell>
          <cell r="T6978" t="str">
            <v>Meetings</v>
          </cell>
        </row>
        <row r="6979">
          <cell r="K6979">
            <v>1042</v>
          </cell>
          <cell r="P6979" t="str">
            <v>80111204-61091102</v>
          </cell>
          <cell r="S6979" t="str">
            <v>2026A-08</v>
          </cell>
          <cell r="T6979" t="str">
            <v>Meetings</v>
          </cell>
        </row>
        <row r="6980">
          <cell r="K6980">
            <v>2244.62</v>
          </cell>
          <cell r="P6980" t="str">
            <v>80124101-61711102</v>
          </cell>
          <cell r="S6980" t="str">
            <v>2026A-08</v>
          </cell>
          <cell r="T6980" t="str">
            <v>Domain</v>
          </cell>
        </row>
        <row r="6981">
          <cell r="K6981">
            <v>1384.01</v>
          </cell>
          <cell r="P6981" t="str">
            <v>80314101-61731103</v>
          </cell>
          <cell r="S6981" t="str">
            <v>2026A-08</v>
          </cell>
          <cell r="T6981" t="str">
            <v>Meta</v>
          </cell>
        </row>
        <row r="6982">
          <cell r="K6982">
            <v>8876.0400000000009</v>
          </cell>
          <cell r="P6982" t="str">
            <v>80124101-61711102</v>
          </cell>
          <cell r="S6982" t="str">
            <v>2026A-08</v>
          </cell>
          <cell r="T6982" t="str">
            <v>AI Copilot</v>
          </cell>
        </row>
        <row r="6983">
          <cell r="K6983">
            <v>2231.23</v>
          </cell>
          <cell r="P6983" t="str">
            <v>80124101-61711102</v>
          </cell>
          <cell r="S6983" t="str">
            <v>2026A-08</v>
          </cell>
          <cell r="T6983" t="str">
            <v>Microsoft Planner</v>
          </cell>
        </row>
        <row r="6984">
          <cell r="K6984">
            <v>20014.02</v>
          </cell>
          <cell r="P6984" t="str">
            <v>80124101-61711102</v>
          </cell>
          <cell r="S6984" t="str">
            <v>2026A-08</v>
          </cell>
          <cell r="T6984" t="str">
            <v>AWS</v>
          </cell>
        </row>
        <row r="6985">
          <cell r="K6985">
            <v>7067.09</v>
          </cell>
          <cell r="P6985" t="str">
            <v>80124101-61711102</v>
          </cell>
          <cell r="S6985" t="str">
            <v>2026A-08</v>
          </cell>
          <cell r="T6985" t="str">
            <v>AI Claude</v>
          </cell>
        </row>
        <row r="6986">
          <cell r="K6986">
            <v>2775.09</v>
          </cell>
          <cell r="P6986" t="str">
            <v>80124101-61711102</v>
          </cell>
          <cell r="S6986" t="str">
            <v>2026A-08</v>
          </cell>
          <cell r="T6986" t="str">
            <v>Zoom</v>
          </cell>
        </row>
        <row r="6987">
          <cell r="K6987">
            <v>5661.47</v>
          </cell>
          <cell r="P6987" t="str">
            <v>80124101-61711102</v>
          </cell>
          <cell r="S6987" t="str">
            <v>2026A-08</v>
          </cell>
          <cell r="T6987" t="str">
            <v>Power Apps</v>
          </cell>
        </row>
        <row r="6988">
          <cell r="K6988">
            <v>2977.58</v>
          </cell>
          <cell r="P6988" t="str">
            <v>80124101-61711102</v>
          </cell>
          <cell r="S6988" t="str">
            <v>2026A-08</v>
          </cell>
          <cell r="T6988" t="str">
            <v>Power Apps</v>
          </cell>
        </row>
        <row r="6989">
          <cell r="K6989">
            <v>1116.6400000000001</v>
          </cell>
          <cell r="P6989" t="str">
            <v>80124101-61711102</v>
          </cell>
          <cell r="S6989" t="str">
            <v>2026A-08</v>
          </cell>
          <cell r="T6989" t="str">
            <v>Power Apps</v>
          </cell>
        </row>
        <row r="6990">
          <cell r="K6990">
            <v>1133.03</v>
          </cell>
          <cell r="P6990" t="str">
            <v>80124101-61711102</v>
          </cell>
          <cell r="S6990" t="str">
            <v>2026A-08</v>
          </cell>
          <cell r="T6990" t="str">
            <v>Github</v>
          </cell>
        </row>
        <row r="6991">
          <cell r="K6991">
            <v>120244.37</v>
          </cell>
          <cell r="P6991" t="str">
            <v>80124101-61711102</v>
          </cell>
          <cell r="S6991" t="str">
            <v>2026A-08</v>
          </cell>
          <cell r="T6991" t="str">
            <v>AWS</v>
          </cell>
        </row>
        <row r="6992">
          <cell r="K6992">
            <v>2696.32</v>
          </cell>
          <cell r="P6992" t="str">
            <v>80124101-61711102</v>
          </cell>
          <cell r="S6992" t="str">
            <v>2026A-08</v>
          </cell>
          <cell r="T6992" t="str">
            <v>Domain</v>
          </cell>
        </row>
        <row r="6993">
          <cell r="K6993">
            <v>596.15</v>
          </cell>
          <cell r="P6993" t="str">
            <v>80124101-61711102</v>
          </cell>
          <cell r="S6993" t="str">
            <v>2026A-08</v>
          </cell>
          <cell r="T6993" t="str">
            <v>Entra ID</v>
          </cell>
        </row>
        <row r="6994">
          <cell r="K6994">
            <v>7095.44</v>
          </cell>
          <cell r="P6994" t="str">
            <v>80124101-61711102</v>
          </cell>
          <cell r="S6994" t="str">
            <v>2026A-08</v>
          </cell>
          <cell r="T6994" t="str">
            <v>AI Claude</v>
          </cell>
        </row>
        <row r="6995">
          <cell r="K6995">
            <v>37307.74</v>
          </cell>
          <cell r="P6995" t="str">
            <v>80124101-61711102</v>
          </cell>
          <cell r="S6995" t="str">
            <v>2026A-08</v>
          </cell>
          <cell r="T6995" t="str">
            <v>AI Builder</v>
          </cell>
        </row>
        <row r="6996">
          <cell r="K6996">
            <v>9805.7099999999991</v>
          </cell>
          <cell r="P6996" t="str">
            <v>81124101-52952103</v>
          </cell>
          <cell r="S6996" t="str">
            <v>2026A-08</v>
          </cell>
          <cell r="T6996" t="str">
            <v>Google Workspace</v>
          </cell>
        </row>
        <row r="6997">
          <cell r="K6997">
            <v>7070.53</v>
          </cell>
          <cell r="P6997" t="str">
            <v>81124101-52952103</v>
          </cell>
          <cell r="S6997" t="str">
            <v>2026A-08</v>
          </cell>
          <cell r="T6997" t="str">
            <v>AI Claude</v>
          </cell>
        </row>
        <row r="6998">
          <cell r="K6998">
            <v>6273.12</v>
          </cell>
          <cell r="P6998" t="str">
            <v>81124101-52952103</v>
          </cell>
          <cell r="S6998" t="str">
            <v>2026A-08</v>
          </cell>
          <cell r="T6998" t="str">
            <v>AI Claude</v>
          </cell>
        </row>
        <row r="6999">
          <cell r="K6999">
            <v>6588.16</v>
          </cell>
          <cell r="P6999" t="str">
            <v>81124101-52952103</v>
          </cell>
          <cell r="S6999" t="str">
            <v>2026A-08</v>
          </cell>
          <cell r="T6999" t="str">
            <v>AI Claude</v>
          </cell>
        </row>
        <row r="7000">
          <cell r="K7000">
            <v>4038.99</v>
          </cell>
          <cell r="P7000" t="str">
            <v>81124101-52952103</v>
          </cell>
          <cell r="S7000" t="str">
            <v>2026A-08</v>
          </cell>
          <cell r="T7000" t="str">
            <v>Domain</v>
          </cell>
        </row>
        <row r="7001">
          <cell r="K7001">
            <v>1419.12</v>
          </cell>
          <cell r="P7001" t="str">
            <v>81124101-52952103</v>
          </cell>
          <cell r="S7001" t="str">
            <v>2026A-08</v>
          </cell>
          <cell r="T7001" t="str">
            <v>AI Claude</v>
          </cell>
        </row>
        <row r="7002">
          <cell r="K7002">
            <v>1419.09</v>
          </cell>
          <cell r="P7002" t="str">
            <v>81124101-52952103</v>
          </cell>
          <cell r="S7002" t="str">
            <v>2026A-08</v>
          </cell>
          <cell r="T7002" t="str">
            <v>AI Claude</v>
          </cell>
        </row>
        <row r="7003">
          <cell r="K7003">
            <v>1421.13</v>
          </cell>
          <cell r="P7003" t="str">
            <v>81124101-52952103</v>
          </cell>
          <cell r="S7003" t="str">
            <v>2026A-08</v>
          </cell>
          <cell r="T7003" t="str">
            <v>AI Claude</v>
          </cell>
        </row>
        <row r="7004">
          <cell r="K7004">
            <v>18178.990000000002</v>
          </cell>
          <cell r="P7004" t="str">
            <v>81124101-52952103</v>
          </cell>
          <cell r="S7004" t="str">
            <v>2026A-08</v>
          </cell>
          <cell r="T7004" t="str">
            <v>Domain</v>
          </cell>
        </row>
        <row r="7005">
          <cell r="K7005">
            <v>6344.34</v>
          </cell>
          <cell r="P7005" t="str">
            <v>81124101-52952103</v>
          </cell>
          <cell r="S7005" t="str">
            <v>2026A-08</v>
          </cell>
          <cell r="T7005" t="str">
            <v>AI Chatgpt</v>
          </cell>
        </row>
        <row r="7006">
          <cell r="K7006">
            <v>44553.1</v>
          </cell>
          <cell r="P7006" t="str">
            <v>90122101-52041499</v>
          </cell>
          <cell r="S7006" t="str">
            <v>2026A-08</v>
          </cell>
          <cell r="T7006" t="str">
            <v>Doctor</v>
          </cell>
        </row>
        <row r="7007">
          <cell r="K7007">
            <v>42208.2</v>
          </cell>
          <cell r="P7007" t="str">
            <v>90122101-52041499</v>
          </cell>
          <cell r="S7007" t="str">
            <v>2026A-08</v>
          </cell>
          <cell r="T7007" t="str">
            <v>Doctor</v>
          </cell>
        </row>
        <row r="7008">
          <cell r="K7008">
            <v>21177.87</v>
          </cell>
          <cell r="P7008" t="str">
            <v>81111204-52091102</v>
          </cell>
          <cell r="S7008" t="str">
            <v>2026A-08</v>
          </cell>
          <cell r="T7008" t="str">
            <v>Meetings</v>
          </cell>
        </row>
        <row r="7009">
          <cell r="K7009">
            <v>68006.720000000001</v>
          </cell>
          <cell r="P7009" t="str">
            <v>80111101-61021314</v>
          </cell>
          <cell r="S7009" t="str">
            <v>2026A-08</v>
          </cell>
          <cell r="T7009" t="str">
            <v>FBT</v>
          </cell>
        </row>
        <row r="7010">
          <cell r="K7010">
            <v>-65425.22</v>
          </cell>
          <cell r="P7010" t="str">
            <v>81111101-52041401</v>
          </cell>
          <cell r="S7010" t="str">
            <v>2026A-08</v>
          </cell>
          <cell r="T7010" t="str">
            <v>Security HQ</v>
          </cell>
        </row>
        <row r="7011">
          <cell r="K7011">
            <v>-13083.99</v>
          </cell>
          <cell r="P7011" t="str">
            <v>81111101-52041401</v>
          </cell>
          <cell r="S7011" t="str">
            <v>2026A-08</v>
          </cell>
          <cell r="T7011" t="str">
            <v>Security HQ</v>
          </cell>
        </row>
        <row r="7012">
          <cell r="K7012">
            <v>-52629.14</v>
          </cell>
          <cell r="P7012" t="str">
            <v>81111101-52041401</v>
          </cell>
          <cell r="S7012" t="str">
            <v>2026A-08</v>
          </cell>
          <cell r="T7012" t="str">
            <v>Security HQ</v>
          </cell>
        </row>
        <row r="7013">
          <cell r="K7013">
            <v>-10525.05</v>
          </cell>
          <cell r="P7013" t="str">
            <v>81111101-52041401</v>
          </cell>
          <cell r="S7013" t="str">
            <v>2026A-08</v>
          </cell>
          <cell r="T7013" t="str">
            <v>Security HQ</v>
          </cell>
        </row>
        <row r="7014">
          <cell r="K7014">
            <v>-24581.99</v>
          </cell>
          <cell r="P7014" t="str">
            <v>81111101-52041405</v>
          </cell>
          <cell r="S7014" t="str">
            <v>2026A-08</v>
          </cell>
          <cell r="T7014" t="str">
            <v>Janitorial (H&amp;K)</v>
          </cell>
        </row>
        <row r="7015">
          <cell r="K7015">
            <v>-24581.99</v>
          </cell>
          <cell r="P7015" t="str">
            <v>81111101-52041499</v>
          </cell>
          <cell r="S7015" t="str">
            <v>2026A-08</v>
          </cell>
          <cell r="T7015" t="str">
            <v>Admin Staff (H&amp;K)</v>
          </cell>
        </row>
        <row r="7016">
          <cell r="K7016">
            <v>-20917.75</v>
          </cell>
          <cell r="P7016" t="str">
            <v>81111101-52041499</v>
          </cell>
          <cell r="S7016" t="str">
            <v>2026A-08</v>
          </cell>
          <cell r="T7016" t="str">
            <v>Admin Staff (H&amp;K)</v>
          </cell>
        </row>
        <row r="7017">
          <cell r="K7017">
            <v>7500</v>
          </cell>
          <cell r="P7017" t="str">
            <v>81122101-52121402</v>
          </cell>
          <cell r="S7017" t="str">
            <v>2026A-08</v>
          </cell>
          <cell r="T7017" t="str">
            <v>Bereavement Assistance</v>
          </cell>
        </row>
        <row r="7018">
          <cell r="K7018">
            <v>112274.64</v>
          </cell>
          <cell r="P7018" t="str">
            <v>81111101-52121313</v>
          </cell>
          <cell r="S7018" t="str">
            <v>2026A-08</v>
          </cell>
          <cell r="T7018" t="str">
            <v>FBT</v>
          </cell>
        </row>
        <row r="7019">
          <cell r="K7019">
            <v>-20000</v>
          </cell>
          <cell r="P7019" t="str">
            <v>80123101-61071005</v>
          </cell>
          <cell r="S7019" t="str">
            <v>2026A-08</v>
          </cell>
          <cell r="T7019" t="str">
            <v>Angara</v>
          </cell>
        </row>
        <row r="7020">
          <cell r="K7020">
            <v>-10000</v>
          </cell>
          <cell r="P7020" t="str">
            <v>80123101-61071005</v>
          </cell>
          <cell r="S7020" t="str">
            <v>2026A-08</v>
          </cell>
          <cell r="T7020" t="str">
            <v>Sycip</v>
          </cell>
        </row>
        <row r="7021">
          <cell r="K7021">
            <v>115000</v>
          </cell>
          <cell r="P7021" t="str">
            <v>80124101-61721105</v>
          </cell>
          <cell r="S7021" t="str">
            <v>2026A-08</v>
          </cell>
          <cell r="T7021" t="str">
            <v>Innove - HQ</v>
          </cell>
        </row>
        <row r="7022">
          <cell r="K7022">
            <v>41530</v>
          </cell>
          <cell r="P7022" t="str">
            <v>80124101-61721105</v>
          </cell>
          <cell r="S7022" t="str">
            <v>2026A-08</v>
          </cell>
          <cell r="T7022" t="str">
            <v>Innove - SC1</v>
          </cell>
        </row>
        <row r="7023">
          <cell r="K7023">
            <v>48897.66</v>
          </cell>
          <cell r="P7023" t="str">
            <v>80123102-61111201</v>
          </cell>
          <cell r="S7023" t="str">
            <v>2026A-08</v>
          </cell>
          <cell r="T7023" t="str">
            <v>Shell</v>
          </cell>
        </row>
        <row r="7024">
          <cell r="K7024">
            <v>8700.07</v>
          </cell>
          <cell r="P7024" t="str">
            <v>80123102-61111201</v>
          </cell>
          <cell r="S7024" t="str">
            <v>2026A-08</v>
          </cell>
          <cell r="T7024" t="str">
            <v>Shell</v>
          </cell>
        </row>
        <row r="7025">
          <cell r="K7025">
            <v>10029.41</v>
          </cell>
          <cell r="P7025" t="str">
            <v>80123102-61111201</v>
          </cell>
          <cell r="S7025" t="str">
            <v>2026A-08</v>
          </cell>
          <cell r="T7025" t="str">
            <v>Shell</v>
          </cell>
        </row>
        <row r="7026">
          <cell r="K7026">
            <v>13106.95</v>
          </cell>
          <cell r="P7026" t="str">
            <v>80123102-61111201</v>
          </cell>
          <cell r="S7026" t="str">
            <v>2026A-08</v>
          </cell>
          <cell r="T7026" t="str">
            <v>Shell</v>
          </cell>
        </row>
        <row r="7027">
          <cell r="K7027">
            <v>133.93</v>
          </cell>
          <cell r="P7027" t="str">
            <v>80123102-61111201</v>
          </cell>
          <cell r="S7027" t="str">
            <v>2026A-08</v>
          </cell>
          <cell r="T7027" t="str">
            <v>Shell</v>
          </cell>
        </row>
        <row r="7028">
          <cell r="K7028">
            <v>-5.96</v>
          </cell>
          <cell r="P7028" t="str">
            <v>81319101-52041401</v>
          </cell>
          <cell r="S7028" t="str">
            <v>2026A-08</v>
          </cell>
          <cell r="T7028" t="str">
            <v>TS</v>
          </cell>
        </row>
        <row r="7029">
          <cell r="K7029">
            <v>-1.19</v>
          </cell>
          <cell r="P7029" t="str">
            <v>81319101-52041401</v>
          </cell>
          <cell r="S7029" t="str">
            <v>2026A-08</v>
          </cell>
          <cell r="T7029" t="str">
            <v>TS</v>
          </cell>
        </row>
        <row r="7030">
          <cell r="K7030">
            <v>22877.01</v>
          </cell>
          <cell r="P7030" t="str">
            <v>81319101-52041401</v>
          </cell>
          <cell r="S7030" t="str">
            <v>2026A-08</v>
          </cell>
          <cell r="T7030" t="str">
            <v>TS</v>
          </cell>
        </row>
        <row r="7031">
          <cell r="K7031">
            <v>4574.96</v>
          </cell>
          <cell r="P7031" t="str">
            <v>81319101-52041401</v>
          </cell>
          <cell r="S7031" t="str">
            <v>2026A-08</v>
          </cell>
          <cell r="T7031" t="str">
            <v>TS</v>
          </cell>
        </row>
        <row r="7032">
          <cell r="K7032">
            <v>1218322.4099999999</v>
          </cell>
          <cell r="P7032" t="str">
            <v>90111101-52121313</v>
          </cell>
          <cell r="S7032" t="str">
            <v>2026A-08</v>
          </cell>
          <cell r="T7032" t="str">
            <v>FBT</v>
          </cell>
        </row>
        <row r="7033">
          <cell r="K7033">
            <v>21123.1</v>
          </cell>
          <cell r="P7033" t="str">
            <v>81319101-52041401</v>
          </cell>
          <cell r="S7033" t="str">
            <v>2026A-08</v>
          </cell>
          <cell r="T7033" t="str">
            <v>CV</v>
          </cell>
        </row>
        <row r="7034">
          <cell r="K7034">
            <v>4224.22</v>
          </cell>
          <cell r="P7034" t="str">
            <v>81319101-52041401</v>
          </cell>
          <cell r="S7034" t="str">
            <v>2026A-08</v>
          </cell>
          <cell r="T7034" t="str">
            <v>CV</v>
          </cell>
        </row>
        <row r="7035">
          <cell r="K7035">
            <v>12000</v>
          </cell>
          <cell r="P7035" t="str">
            <v>90122101-52071104</v>
          </cell>
          <cell r="S7035" t="str">
            <v>2026A-08</v>
          </cell>
          <cell r="T7035" t="str">
            <v>PSPI</v>
          </cell>
        </row>
        <row r="7036">
          <cell r="K7036">
            <v>45000</v>
          </cell>
          <cell r="P7036" t="str">
            <v>80124101-61721105</v>
          </cell>
          <cell r="S7036" t="str">
            <v>2026A-08</v>
          </cell>
          <cell r="T7036" t="str">
            <v>Fiber Internet - ES</v>
          </cell>
        </row>
        <row r="7037">
          <cell r="K7037">
            <v>165000</v>
          </cell>
          <cell r="P7037" t="str">
            <v>80124101-61721105</v>
          </cell>
          <cell r="S7037" t="str">
            <v>2026A-08</v>
          </cell>
          <cell r="T7037" t="str">
            <v>Fiber Internet - HQ</v>
          </cell>
        </row>
        <row r="7038">
          <cell r="K7038">
            <v>50000</v>
          </cell>
          <cell r="P7038" t="str">
            <v>80124101-61721105</v>
          </cell>
          <cell r="S7038" t="str">
            <v>2026A-08</v>
          </cell>
          <cell r="T7038" t="str">
            <v>Fiber Internet - Mckinley</v>
          </cell>
        </row>
        <row r="7039">
          <cell r="K7039">
            <v>21447.200000000001</v>
          </cell>
          <cell r="P7039" t="str">
            <v>81319101-52041401</v>
          </cell>
          <cell r="S7039" t="str">
            <v>2026A-08</v>
          </cell>
          <cell r="T7039" t="str">
            <v>TS</v>
          </cell>
        </row>
        <row r="7040">
          <cell r="K7040">
            <v>4289.0200000000004</v>
          </cell>
          <cell r="P7040" t="str">
            <v>81319101-52041401</v>
          </cell>
          <cell r="S7040" t="str">
            <v>2026A-08</v>
          </cell>
          <cell r="T7040" t="str">
            <v>TS</v>
          </cell>
        </row>
        <row r="7041">
          <cell r="K7041">
            <v>21447.200000000001</v>
          </cell>
          <cell r="P7041" t="str">
            <v>81319101-52041401</v>
          </cell>
          <cell r="S7041" t="str">
            <v>2026A-08</v>
          </cell>
          <cell r="T7041" t="str">
            <v>CV</v>
          </cell>
        </row>
        <row r="7042">
          <cell r="K7042">
            <v>4289.0200000000004</v>
          </cell>
          <cell r="P7042" t="str">
            <v>81319101-52041401</v>
          </cell>
          <cell r="S7042" t="str">
            <v>2026A-08</v>
          </cell>
          <cell r="T7042" t="str">
            <v>CV</v>
          </cell>
        </row>
        <row r="7043">
          <cell r="K7043">
            <v>53022</v>
          </cell>
          <cell r="P7043" t="str">
            <v>80124101-61721105</v>
          </cell>
          <cell r="S7043" t="str">
            <v>2026A-08</v>
          </cell>
          <cell r="T7043" t="str">
            <v>Fiber Internet - CV</v>
          </cell>
        </row>
        <row r="7044">
          <cell r="K7044">
            <v>4000</v>
          </cell>
          <cell r="P7044" t="str">
            <v>81319101-52111101</v>
          </cell>
          <cell r="S7044" t="str">
            <v>2026A-08</v>
          </cell>
          <cell r="T7044" t="str">
            <v>ES</v>
          </cell>
        </row>
        <row r="7045">
          <cell r="K7045">
            <v>90887.039999999994</v>
          </cell>
          <cell r="P7045" t="str">
            <v>81319101-52041401</v>
          </cell>
          <cell r="S7045" t="str">
            <v>2026A-08</v>
          </cell>
          <cell r="T7045" t="str">
            <v>ES</v>
          </cell>
        </row>
        <row r="7046">
          <cell r="K7046">
            <v>18175.919999999998</v>
          </cell>
          <cell r="P7046" t="str">
            <v>81319101-52041401</v>
          </cell>
          <cell r="S7046" t="str">
            <v>2026A-08</v>
          </cell>
          <cell r="T7046" t="str">
            <v>ES</v>
          </cell>
        </row>
        <row r="7047">
          <cell r="K7047">
            <v>23051.040000000001</v>
          </cell>
          <cell r="P7047" t="str">
            <v>81319101-52041405</v>
          </cell>
          <cell r="S7047" t="str">
            <v>2026A-08</v>
          </cell>
          <cell r="T7047" t="str">
            <v>TS</v>
          </cell>
        </row>
        <row r="7048">
          <cell r="K7048">
            <v>24853.11</v>
          </cell>
          <cell r="P7048" t="str">
            <v>81319101-52041499</v>
          </cell>
          <cell r="S7048" t="str">
            <v>2026A-08</v>
          </cell>
          <cell r="T7048" t="str">
            <v>GH</v>
          </cell>
        </row>
        <row r="7049">
          <cell r="K7049">
            <v>150</v>
          </cell>
          <cell r="P7049" t="str">
            <v>90111101-61031101</v>
          </cell>
          <cell r="S7049" t="str">
            <v>2026A-08</v>
          </cell>
          <cell r="T7049" t="str">
            <v>DST</v>
          </cell>
        </row>
        <row r="7050">
          <cell r="K7050">
            <v>25450</v>
          </cell>
          <cell r="P7050" t="str">
            <v>81123102-52951101</v>
          </cell>
          <cell r="S7050" t="str">
            <v>2026A-08</v>
          </cell>
          <cell r="T7050" t="str">
            <v>Mobile Phones</v>
          </cell>
        </row>
        <row r="7051">
          <cell r="K7051">
            <v>30373.360000000001</v>
          </cell>
          <cell r="P7051" t="str">
            <v>81319101-52041405</v>
          </cell>
          <cell r="S7051" t="str">
            <v>2026A-08</v>
          </cell>
          <cell r="T7051" t="str">
            <v>ES</v>
          </cell>
        </row>
        <row r="7052">
          <cell r="K7052">
            <v>2812.74</v>
          </cell>
          <cell r="P7052" t="str">
            <v>81319101-52041405</v>
          </cell>
          <cell r="S7052" t="str">
            <v>2026A-08</v>
          </cell>
          <cell r="T7052" t="str">
            <v>ES</v>
          </cell>
        </row>
        <row r="7053">
          <cell r="K7053">
            <v>961.54</v>
          </cell>
          <cell r="P7053" t="str">
            <v>81319101-52041499</v>
          </cell>
          <cell r="S7053" t="str">
            <v>2026A-08</v>
          </cell>
          <cell r="T7053" t="str">
            <v>GH</v>
          </cell>
        </row>
        <row r="7054">
          <cell r="K7054">
            <v>59259.73</v>
          </cell>
          <cell r="P7054" t="str">
            <v>81319101-52041499</v>
          </cell>
          <cell r="S7054" t="str">
            <v>2026A-08</v>
          </cell>
          <cell r="T7054" t="str">
            <v>GH</v>
          </cell>
        </row>
        <row r="7055">
          <cell r="K7055">
            <v>534.82000000000005</v>
          </cell>
          <cell r="P7055" t="str">
            <v>81123102-52951101</v>
          </cell>
          <cell r="S7055" t="str">
            <v>2026A-08</v>
          </cell>
          <cell r="T7055" t="str">
            <v>Mobile Phones</v>
          </cell>
        </row>
        <row r="7056">
          <cell r="K7056">
            <v>891.96</v>
          </cell>
          <cell r="P7056" t="str">
            <v>81123102-52951101</v>
          </cell>
          <cell r="S7056" t="str">
            <v>2026A-08</v>
          </cell>
          <cell r="T7056" t="str">
            <v>Mobile Phones</v>
          </cell>
        </row>
        <row r="7057">
          <cell r="K7057">
            <v>534.82000000000005</v>
          </cell>
          <cell r="P7057" t="str">
            <v>81123102-52951101</v>
          </cell>
          <cell r="S7057" t="str">
            <v>2026A-08</v>
          </cell>
          <cell r="T7057" t="str">
            <v>Mobile Phones</v>
          </cell>
        </row>
        <row r="7058">
          <cell r="K7058">
            <v>891.96</v>
          </cell>
          <cell r="P7058" t="str">
            <v>81123102-52951101</v>
          </cell>
          <cell r="S7058" t="str">
            <v>2026A-08</v>
          </cell>
          <cell r="T7058" t="str">
            <v>Mobile Phones</v>
          </cell>
        </row>
        <row r="7059">
          <cell r="K7059">
            <v>713.39</v>
          </cell>
          <cell r="P7059" t="str">
            <v>81123102-52951101</v>
          </cell>
          <cell r="S7059" t="str">
            <v>2026A-08</v>
          </cell>
          <cell r="T7059" t="str">
            <v>Mobile Phones</v>
          </cell>
        </row>
        <row r="7060">
          <cell r="K7060">
            <v>534.82000000000005</v>
          </cell>
          <cell r="P7060" t="str">
            <v>81123102-52951101</v>
          </cell>
          <cell r="S7060" t="str">
            <v>2026A-08</v>
          </cell>
          <cell r="T7060" t="str">
            <v>Mobile Phones</v>
          </cell>
        </row>
        <row r="7061">
          <cell r="K7061">
            <v>1306.79</v>
          </cell>
          <cell r="P7061" t="str">
            <v>81123102-52951101</v>
          </cell>
          <cell r="S7061" t="str">
            <v>2026A-08</v>
          </cell>
          <cell r="T7061" t="str">
            <v>Mobile Phones</v>
          </cell>
        </row>
        <row r="7062">
          <cell r="K7062">
            <v>1069.6400000000001</v>
          </cell>
          <cell r="P7062" t="str">
            <v>81123102-52951101</v>
          </cell>
          <cell r="S7062" t="str">
            <v>2026A-08</v>
          </cell>
          <cell r="T7062" t="str">
            <v>Mobile Phones</v>
          </cell>
        </row>
        <row r="7063">
          <cell r="K7063">
            <v>713.39</v>
          </cell>
          <cell r="P7063" t="str">
            <v>81123102-52951101</v>
          </cell>
          <cell r="S7063" t="str">
            <v>2026A-08</v>
          </cell>
          <cell r="T7063" t="str">
            <v>Mobile Phones</v>
          </cell>
        </row>
        <row r="7064">
          <cell r="K7064">
            <v>713.39</v>
          </cell>
          <cell r="P7064" t="str">
            <v>81123102-52951101</v>
          </cell>
          <cell r="S7064" t="str">
            <v>2026A-08</v>
          </cell>
          <cell r="T7064" t="str">
            <v>Mobile Phones</v>
          </cell>
        </row>
        <row r="7065">
          <cell r="K7065">
            <v>1159.82</v>
          </cell>
          <cell r="P7065" t="str">
            <v>81123102-52951101</v>
          </cell>
          <cell r="S7065" t="str">
            <v>2026A-08</v>
          </cell>
          <cell r="T7065" t="str">
            <v>Mobile Phones</v>
          </cell>
        </row>
        <row r="7066">
          <cell r="K7066">
            <v>1159.82</v>
          </cell>
          <cell r="P7066" t="str">
            <v>81123102-52951101</v>
          </cell>
          <cell r="S7066" t="str">
            <v>2026A-08</v>
          </cell>
          <cell r="T7066" t="str">
            <v>Mobile Phones</v>
          </cell>
        </row>
        <row r="7067">
          <cell r="K7067">
            <v>891.96</v>
          </cell>
          <cell r="P7067" t="str">
            <v>81123102-52951101</v>
          </cell>
          <cell r="S7067" t="str">
            <v>2026A-08</v>
          </cell>
          <cell r="T7067" t="str">
            <v>Mobile Phones</v>
          </cell>
        </row>
        <row r="7068">
          <cell r="K7068">
            <v>713.39</v>
          </cell>
          <cell r="P7068" t="str">
            <v>81123102-52951101</v>
          </cell>
          <cell r="S7068" t="str">
            <v>2026A-08</v>
          </cell>
          <cell r="T7068" t="str">
            <v>Mobile Phones</v>
          </cell>
        </row>
        <row r="7069">
          <cell r="K7069">
            <v>572.02</v>
          </cell>
          <cell r="P7069" t="str">
            <v>81123102-52951101</v>
          </cell>
          <cell r="S7069" t="str">
            <v>2026A-08</v>
          </cell>
          <cell r="T7069" t="str">
            <v>Mobile Phones</v>
          </cell>
        </row>
        <row r="7070">
          <cell r="K7070">
            <v>891.96</v>
          </cell>
          <cell r="P7070" t="str">
            <v>81123102-52951101</v>
          </cell>
          <cell r="S7070" t="str">
            <v>2026A-08</v>
          </cell>
          <cell r="T7070" t="str">
            <v>Mobile Phones</v>
          </cell>
        </row>
        <row r="7071">
          <cell r="K7071">
            <v>891.96</v>
          </cell>
          <cell r="P7071" t="str">
            <v>81123102-52951101</v>
          </cell>
          <cell r="S7071" t="str">
            <v>2026A-08</v>
          </cell>
          <cell r="T7071" t="str">
            <v>Mobile Phones</v>
          </cell>
        </row>
        <row r="7072">
          <cell r="K7072">
            <v>1159.82</v>
          </cell>
          <cell r="P7072" t="str">
            <v>81123102-52951101</v>
          </cell>
          <cell r="S7072" t="str">
            <v>2026A-08</v>
          </cell>
          <cell r="T7072" t="str">
            <v>Mobile Phones</v>
          </cell>
        </row>
        <row r="7073">
          <cell r="K7073">
            <v>722.32</v>
          </cell>
          <cell r="P7073" t="str">
            <v>81123102-52951101</v>
          </cell>
          <cell r="S7073" t="str">
            <v>2026A-08</v>
          </cell>
          <cell r="T7073" t="str">
            <v>Mobile Phones</v>
          </cell>
        </row>
        <row r="7074">
          <cell r="K7074">
            <v>713.39</v>
          </cell>
          <cell r="P7074" t="str">
            <v>81123102-52951101</v>
          </cell>
          <cell r="S7074" t="str">
            <v>2026A-08</v>
          </cell>
          <cell r="T7074" t="str">
            <v>Mobile Phones</v>
          </cell>
        </row>
        <row r="7075">
          <cell r="K7075">
            <v>713.39</v>
          </cell>
          <cell r="P7075" t="str">
            <v>81123102-52951101</v>
          </cell>
          <cell r="S7075" t="str">
            <v>2026A-08</v>
          </cell>
          <cell r="T7075" t="str">
            <v>Mobile Phones</v>
          </cell>
        </row>
        <row r="7076">
          <cell r="K7076">
            <v>534.82000000000005</v>
          </cell>
          <cell r="P7076" t="str">
            <v>81123102-52951101</v>
          </cell>
          <cell r="S7076" t="str">
            <v>2026A-08</v>
          </cell>
          <cell r="T7076" t="str">
            <v>Mobile Phones</v>
          </cell>
        </row>
        <row r="7077">
          <cell r="K7077">
            <v>713.39</v>
          </cell>
          <cell r="P7077" t="str">
            <v>81123102-52951101</v>
          </cell>
          <cell r="S7077" t="str">
            <v>2026A-08</v>
          </cell>
          <cell r="T7077" t="str">
            <v>Mobile Phones</v>
          </cell>
        </row>
        <row r="7078">
          <cell r="K7078">
            <v>534.82000000000005</v>
          </cell>
          <cell r="P7078" t="str">
            <v>81123102-52951101</v>
          </cell>
          <cell r="S7078" t="str">
            <v>2026A-08</v>
          </cell>
          <cell r="T7078" t="str">
            <v>Mobile Phones</v>
          </cell>
        </row>
        <row r="7079">
          <cell r="K7079">
            <v>1159.82</v>
          </cell>
          <cell r="P7079" t="str">
            <v>81123102-52951101</v>
          </cell>
          <cell r="S7079" t="str">
            <v>2026A-08</v>
          </cell>
          <cell r="T7079" t="str">
            <v>Mobile Phones</v>
          </cell>
        </row>
        <row r="7080">
          <cell r="K7080">
            <v>1159.82</v>
          </cell>
          <cell r="P7080" t="str">
            <v>81123102-52951101</v>
          </cell>
          <cell r="S7080" t="str">
            <v>2026A-08</v>
          </cell>
          <cell r="T7080" t="str">
            <v>Mobile Phones</v>
          </cell>
        </row>
        <row r="7081">
          <cell r="K7081">
            <v>713.39</v>
          </cell>
          <cell r="P7081" t="str">
            <v>81123102-52951101</v>
          </cell>
          <cell r="S7081" t="str">
            <v>2026A-08</v>
          </cell>
          <cell r="T7081" t="str">
            <v>Mobile Phones</v>
          </cell>
        </row>
        <row r="7082">
          <cell r="K7082">
            <v>534.82000000000005</v>
          </cell>
          <cell r="P7082" t="str">
            <v>81123102-52951101</v>
          </cell>
          <cell r="S7082" t="str">
            <v>2026A-08</v>
          </cell>
          <cell r="T7082" t="str">
            <v>Mobile Phones</v>
          </cell>
        </row>
        <row r="7083">
          <cell r="K7083">
            <v>534.82000000000005</v>
          </cell>
          <cell r="P7083" t="str">
            <v>81123102-52951101</v>
          </cell>
          <cell r="S7083" t="str">
            <v>2026A-08</v>
          </cell>
          <cell r="T7083" t="str">
            <v>Mobile Phones</v>
          </cell>
        </row>
        <row r="7084">
          <cell r="K7084">
            <v>1606.25</v>
          </cell>
          <cell r="P7084" t="str">
            <v>81123102-52951101</v>
          </cell>
          <cell r="S7084" t="str">
            <v>2026A-08</v>
          </cell>
          <cell r="T7084" t="str">
            <v>Mobile Phones</v>
          </cell>
        </row>
        <row r="7085">
          <cell r="K7085">
            <v>534.82000000000005</v>
          </cell>
          <cell r="P7085" t="str">
            <v>81123102-52951101</v>
          </cell>
          <cell r="S7085" t="str">
            <v>2026A-08</v>
          </cell>
          <cell r="T7085" t="str">
            <v>Mobile Phones</v>
          </cell>
        </row>
        <row r="7086">
          <cell r="K7086">
            <v>891.96</v>
          </cell>
          <cell r="P7086" t="str">
            <v>81123102-52951101</v>
          </cell>
          <cell r="S7086" t="str">
            <v>2026A-08</v>
          </cell>
          <cell r="T7086" t="str">
            <v>Mobile Phones</v>
          </cell>
        </row>
        <row r="7087">
          <cell r="K7087">
            <v>572.02</v>
          </cell>
          <cell r="P7087" t="str">
            <v>81123102-52951101</v>
          </cell>
          <cell r="S7087" t="str">
            <v>2026A-08</v>
          </cell>
          <cell r="T7087" t="str">
            <v>Mobile Phones</v>
          </cell>
        </row>
        <row r="7088">
          <cell r="K7088">
            <v>713.39</v>
          </cell>
          <cell r="P7088" t="str">
            <v>81123102-52951101</v>
          </cell>
          <cell r="S7088" t="str">
            <v>2026A-08</v>
          </cell>
          <cell r="T7088" t="str">
            <v>Mobile Phones</v>
          </cell>
        </row>
        <row r="7089">
          <cell r="K7089">
            <v>891.96</v>
          </cell>
          <cell r="P7089" t="str">
            <v>81123102-52951101</v>
          </cell>
          <cell r="S7089" t="str">
            <v>2026A-08</v>
          </cell>
          <cell r="T7089" t="str">
            <v>Mobile Phones</v>
          </cell>
        </row>
        <row r="7090">
          <cell r="K7090">
            <v>1640.79</v>
          </cell>
          <cell r="P7090" t="str">
            <v>81123102-52951101</v>
          </cell>
          <cell r="S7090" t="str">
            <v>2026A-08</v>
          </cell>
          <cell r="T7090" t="str">
            <v>Mobile Phones</v>
          </cell>
        </row>
        <row r="7091">
          <cell r="K7091">
            <v>713.39</v>
          </cell>
          <cell r="P7091" t="str">
            <v>81123102-52951101</v>
          </cell>
          <cell r="S7091" t="str">
            <v>2026A-08</v>
          </cell>
          <cell r="T7091" t="str">
            <v>Mobile Phones</v>
          </cell>
        </row>
        <row r="7092">
          <cell r="K7092">
            <v>713.39</v>
          </cell>
          <cell r="P7092" t="str">
            <v>81123102-52951101</v>
          </cell>
          <cell r="S7092" t="str">
            <v>2026A-08</v>
          </cell>
          <cell r="T7092" t="str">
            <v>Mobile Phones</v>
          </cell>
        </row>
        <row r="7093">
          <cell r="K7093">
            <v>572.02</v>
          </cell>
          <cell r="P7093" t="str">
            <v>81123102-52951101</v>
          </cell>
          <cell r="S7093" t="str">
            <v>2026A-08</v>
          </cell>
          <cell r="T7093" t="str">
            <v>Mobile Phones</v>
          </cell>
        </row>
        <row r="7094">
          <cell r="K7094">
            <v>713.39</v>
          </cell>
          <cell r="P7094" t="str">
            <v>81123102-52951101</v>
          </cell>
          <cell r="S7094" t="str">
            <v>2026A-08</v>
          </cell>
          <cell r="T7094" t="str">
            <v>Mobile Phones</v>
          </cell>
        </row>
        <row r="7095">
          <cell r="K7095">
            <v>713.39</v>
          </cell>
          <cell r="P7095" t="str">
            <v>81123102-52951101</v>
          </cell>
          <cell r="S7095" t="str">
            <v>2026A-08</v>
          </cell>
          <cell r="T7095" t="str">
            <v>Mobile Phones</v>
          </cell>
        </row>
        <row r="7096">
          <cell r="K7096">
            <v>713.39</v>
          </cell>
          <cell r="P7096" t="str">
            <v>81123102-52951101</v>
          </cell>
          <cell r="S7096" t="str">
            <v>2026A-08</v>
          </cell>
          <cell r="T7096" t="str">
            <v>Mobile Phones</v>
          </cell>
        </row>
        <row r="7097">
          <cell r="K7097">
            <v>871.43</v>
          </cell>
          <cell r="P7097" t="str">
            <v>81123102-52951101</v>
          </cell>
          <cell r="S7097" t="str">
            <v>2026A-08</v>
          </cell>
          <cell r="T7097" t="str">
            <v>Mobile Phones</v>
          </cell>
        </row>
        <row r="7098">
          <cell r="K7098">
            <v>566.79</v>
          </cell>
          <cell r="P7098" t="str">
            <v>81123102-52951101</v>
          </cell>
          <cell r="S7098" t="str">
            <v>2026A-08</v>
          </cell>
          <cell r="T7098" t="str">
            <v>Mobile Phones</v>
          </cell>
        </row>
        <row r="7099">
          <cell r="K7099">
            <v>713.39</v>
          </cell>
          <cell r="P7099" t="str">
            <v>81123102-52951101</v>
          </cell>
          <cell r="S7099" t="str">
            <v>2026A-08</v>
          </cell>
          <cell r="T7099" t="str">
            <v>Mobile Phones</v>
          </cell>
        </row>
        <row r="7100">
          <cell r="K7100">
            <v>891.96</v>
          </cell>
          <cell r="P7100" t="str">
            <v>81123102-52951101</v>
          </cell>
          <cell r="S7100" t="str">
            <v>2026A-08</v>
          </cell>
          <cell r="T7100" t="str">
            <v>Mobile Phones</v>
          </cell>
        </row>
        <row r="7101">
          <cell r="K7101">
            <v>713.39</v>
          </cell>
          <cell r="P7101" t="str">
            <v>81123102-52951101</v>
          </cell>
          <cell r="S7101" t="str">
            <v>2026A-08</v>
          </cell>
          <cell r="T7101" t="str">
            <v>Mobile Phones</v>
          </cell>
        </row>
        <row r="7102">
          <cell r="K7102">
            <v>534.82000000000005</v>
          </cell>
          <cell r="P7102" t="str">
            <v>81123102-52951101</v>
          </cell>
          <cell r="S7102" t="str">
            <v>2026A-08</v>
          </cell>
          <cell r="T7102" t="str">
            <v>Mobile Phones</v>
          </cell>
        </row>
        <row r="7103">
          <cell r="K7103">
            <v>713.39</v>
          </cell>
          <cell r="P7103" t="str">
            <v>81123102-52951101</v>
          </cell>
          <cell r="S7103" t="str">
            <v>2026A-08</v>
          </cell>
          <cell r="T7103" t="str">
            <v>Mobile Phones</v>
          </cell>
        </row>
        <row r="7104">
          <cell r="K7104">
            <v>891.96</v>
          </cell>
          <cell r="P7104" t="str">
            <v>81123102-52951101</v>
          </cell>
          <cell r="S7104" t="str">
            <v>2026A-08</v>
          </cell>
          <cell r="T7104" t="str">
            <v>Mobile Phones</v>
          </cell>
        </row>
        <row r="7105">
          <cell r="K7105">
            <v>713.39</v>
          </cell>
          <cell r="P7105" t="str">
            <v>81123102-52951101</v>
          </cell>
          <cell r="S7105" t="str">
            <v>2026A-08</v>
          </cell>
          <cell r="T7105" t="str">
            <v>Mobile Phones</v>
          </cell>
        </row>
        <row r="7106">
          <cell r="K7106">
            <v>713.39</v>
          </cell>
          <cell r="P7106" t="str">
            <v>81123102-52951101</v>
          </cell>
          <cell r="S7106" t="str">
            <v>2026A-08</v>
          </cell>
          <cell r="T7106" t="str">
            <v>Mobile Phones</v>
          </cell>
        </row>
        <row r="7107">
          <cell r="K7107">
            <v>891.96</v>
          </cell>
          <cell r="P7107" t="str">
            <v>81123102-52951101</v>
          </cell>
          <cell r="S7107" t="str">
            <v>2026A-08</v>
          </cell>
          <cell r="T7107" t="str">
            <v>Mobile Phones</v>
          </cell>
        </row>
        <row r="7108">
          <cell r="K7108">
            <v>572.02</v>
          </cell>
          <cell r="P7108" t="str">
            <v>81123102-52951101</v>
          </cell>
          <cell r="S7108" t="str">
            <v>2026A-08</v>
          </cell>
          <cell r="T7108" t="str">
            <v>Mobile Phones</v>
          </cell>
        </row>
        <row r="7109">
          <cell r="K7109">
            <v>1338.39</v>
          </cell>
          <cell r="P7109" t="str">
            <v>81123102-52951101</v>
          </cell>
          <cell r="S7109" t="str">
            <v>2026A-08</v>
          </cell>
          <cell r="T7109" t="str">
            <v>Mobile Phones</v>
          </cell>
        </row>
        <row r="7110">
          <cell r="K7110">
            <v>534.82000000000005</v>
          </cell>
          <cell r="P7110" t="str">
            <v>81123102-52951101</v>
          </cell>
          <cell r="S7110" t="str">
            <v>2026A-08</v>
          </cell>
          <cell r="T7110" t="str">
            <v>Mobile Phones</v>
          </cell>
        </row>
        <row r="7111">
          <cell r="K7111">
            <v>713.39</v>
          </cell>
          <cell r="P7111" t="str">
            <v>81123102-52951101</v>
          </cell>
          <cell r="S7111" t="str">
            <v>2026A-08</v>
          </cell>
          <cell r="T7111" t="str">
            <v>Mobile Phones</v>
          </cell>
        </row>
        <row r="7112">
          <cell r="K7112">
            <v>713.39</v>
          </cell>
          <cell r="P7112" t="str">
            <v>81123102-52951101</v>
          </cell>
          <cell r="S7112" t="str">
            <v>2026A-08</v>
          </cell>
          <cell r="T7112" t="str">
            <v>Mobile Phones</v>
          </cell>
        </row>
        <row r="7113">
          <cell r="K7113">
            <v>713.39</v>
          </cell>
          <cell r="P7113" t="str">
            <v>81123102-52951101</v>
          </cell>
          <cell r="S7113" t="str">
            <v>2026A-08</v>
          </cell>
          <cell r="T7113" t="str">
            <v>Mobile Phones</v>
          </cell>
        </row>
        <row r="7114">
          <cell r="K7114">
            <v>713.39</v>
          </cell>
          <cell r="P7114" t="str">
            <v>81123102-52951101</v>
          </cell>
          <cell r="S7114" t="str">
            <v>2026A-08</v>
          </cell>
          <cell r="T7114" t="str">
            <v>Mobile Phones</v>
          </cell>
        </row>
        <row r="7115">
          <cell r="K7115">
            <v>713.39</v>
          </cell>
          <cell r="P7115" t="str">
            <v>81123102-52951101</v>
          </cell>
          <cell r="S7115" t="str">
            <v>2026A-08</v>
          </cell>
          <cell r="T7115" t="str">
            <v>Mobile Phones</v>
          </cell>
        </row>
        <row r="7116">
          <cell r="K7116">
            <v>534.82000000000005</v>
          </cell>
          <cell r="P7116" t="str">
            <v>81123102-52951101</v>
          </cell>
          <cell r="S7116" t="str">
            <v>2026A-08</v>
          </cell>
          <cell r="T7116" t="str">
            <v>Mobile Phones</v>
          </cell>
        </row>
        <row r="7117">
          <cell r="K7117">
            <v>713.39</v>
          </cell>
          <cell r="P7117" t="str">
            <v>81123102-52951101</v>
          </cell>
          <cell r="S7117" t="str">
            <v>2026A-08</v>
          </cell>
          <cell r="T7117" t="str">
            <v>Mobile Phones</v>
          </cell>
        </row>
        <row r="7118">
          <cell r="K7118">
            <v>891.96</v>
          </cell>
          <cell r="P7118" t="str">
            <v>81123102-52951101</v>
          </cell>
          <cell r="S7118" t="str">
            <v>2026A-08</v>
          </cell>
          <cell r="T7118" t="str">
            <v>Mobile Phones</v>
          </cell>
        </row>
        <row r="7119">
          <cell r="K7119">
            <v>572.02</v>
          </cell>
          <cell r="P7119" t="str">
            <v>81123102-52951101</v>
          </cell>
          <cell r="S7119" t="str">
            <v>2026A-08</v>
          </cell>
          <cell r="T7119" t="str">
            <v>Mobile Phones</v>
          </cell>
        </row>
        <row r="7120">
          <cell r="K7120">
            <v>534.82000000000005</v>
          </cell>
          <cell r="P7120" t="str">
            <v>81123102-52951101</v>
          </cell>
          <cell r="S7120" t="str">
            <v>2026A-08</v>
          </cell>
          <cell r="T7120" t="str">
            <v>Mobile Phones</v>
          </cell>
        </row>
        <row r="7121">
          <cell r="K7121">
            <v>891.96</v>
          </cell>
          <cell r="P7121" t="str">
            <v>81123102-52951101</v>
          </cell>
          <cell r="S7121" t="str">
            <v>2026A-08</v>
          </cell>
          <cell r="T7121" t="str">
            <v>Mobile Phones</v>
          </cell>
        </row>
        <row r="7122">
          <cell r="K7122">
            <v>2492.14</v>
          </cell>
          <cell r="P7122" t="str">
            <v>81123102-52951101</v>
          </cell>
          <cell r="S7122" t="str">
            <v>2026A-08</v>
          </cell>
          <cell r="T7122" t="str">
            <v>Mobile Phones</v>
          </cell>
        </row>
        <row r="7123">
          <cell r="K7123">
            <v>1159.82</v>
          </cell>
          <cell r="P7123" t="str">
            <v>81123102-52951101</v>
          </cell>
          <cell r="S7123" t="str">
            <v>2026A-08</v>
          </cell>
          <cell r="T7123" t="str">
            <v>Mobile Phones</v>
          </cell>
        </row>
        <row r="7124">
          <cell r="K7124">
            <v>1159.82</v>
          </cell>
          <cell r="P7124" t="str">
            <v>81123102-52951101</v>
          </cell>
          <cell r="S7124" t="str">
            <v>2026A-08</v>
          </cell>
          <cell r="T7124" t="str">
            <v>Mobile Phones</v>
          </cell>
        </row>
        <row r="7125">
          <cell r="K7125">
            <v>713.39</v>
          </cell>
          <cell r="P7125" t="str">
            <v>81123102-52951101</v>
          </cell>
          <cell r="S7125" t="str">
            <v>2026A-08</v>
          </cell>
          <cell r="T7125" t="str">
            <v>Mobile Phones</v>
          </cell>
        </row>
        <row r="7126">
          <cell r="K7126">
            <v>713.39</v>
          </cell>
          <cell r="P7126" t="str">
            <v>81123102-52951101</v>
          </cell>
          <cell r="S7126" t="str">
            <v>2026A-08</v>
          </cell>
          <cell r="T7126" t="str">
            <v>Mobile Phones</v>
          </cell>
        </row>
        <row r="7127">
          <cell r="K7127">
            <v>891.96</v>
          </cell>
          <cell r="P7127" t="str">
            <v>81123102-52951101</v>
          </cell>
          <cell r="S7127" t="str">
            <v>2026A-08</v>
          </cell>
          <cell r="T7127" t="str">
            <v>Mobile Phones</v>
          </cell>
        </row>
        <row r="7128">
          <cell r="K7128">
            <v>713.39</v>
          </cell>
          <cell r="P7128" t="str">
            <v>81123102-52951101</v>
          </cell>
          <cell r="S7128" t="str">
            <v>2026A-08</v>
          </cell>
          <cell r="T7128" t="str">
            <v>Mobile Phones</v>
          </cell>
        </row>
        <row r="7129">
          <cell r="K7129">
            <v>1159.82</v>
          </cell>
          <cell r="P7129" t="str">
            <v>81123102-52951101</v>
          </cell>
          <cell r="S7129" t="str">
            <v>2026A-08</v>
          </cell>
          <cell r="T7129" t="str">
            <v>Mobile Phones</v>
          </cell>
        </row>
        <row r="7130">
          <cell r="K7130">
            <v>891.96</v>
          </cell>
          <cell r="P7130" t="str">
            <v>81123102-52951101</v>
          </cell>
          <cell r="S7130" t="str">
            <v>2026A-08</v>
          </cell>
          <cell r="T7130" t="str">
            <v>Mobile Phones</v>
          </cell>
        </row>
        <row r="7131">
          <cell r="K7131">
            <v>551.52</v>
          </cell>
          <cell r="P7131" t="str">
            <v>81123102-52951101</v>
          </cell>
          <cell r="S7131" t="str">
            <v>2026A-08</v>
          </cell>
          <cell r="T7131" t="str">
            <v>Mobile Phones</v>
          </cell>
        </row>
        <row r="7132">
          <cell r="K7132">
            <v>713.39</v>
          </cell>
          <cell r="P7132" t="str">
            <v>81123102-52951101</v>
          </cell>
          <cell r="S7132" t="str">
            <v>2026A-08</v>
          </cell>
          <cell r="T7132" t="str">
            <v>Mobile Phones</v>
          </cell>
        </row>
        <row r="7133">
          <cell r="K7133">
            <v>534.82000000000005</v>
          </cell>
          <cell r="P7133" t="str">
            <v>81123102-52951101</v>
          </cell>
          <cell r="S7133" t="str">
            <v>2026A-08</v>
          </cell>
          <cell r="T7133" t="str">
            <v>Mobile Phones</v>
          </cell>
        </row>
        <row r="7134">
          <cell r="K7134">
            <v>713.39</v>
          </cell>
          <cell r="P7134" t="str">
            <v>81123102-52951101</v>
          </cell>
          <cell r="S7134" t="str">
            <v>2026A-08</v>
          </cell>
          <cell r="T7134" t="str">
            <v>Mobile Phones</v>
          </cell>
        </row>
        <row r="7135">
          <cell r="K7135">
            <v>713.39</v>
          </cell>
          <cell r="P7135" t="str">
            <v>81123102-52951101</v>
          </cell>
          <cell r="S7135" t="str">
            <v>2026A-08</v>
          </cell>
          <cell r="T7135" t="str">
            <v>Mobile Phones</v>
          </cell>
        </row>
        <row r="7136">
          <cell r="K7136">
            <v>534.82000000000005</v>
          </cell>
          <cell r="P7136" t="str">
            <v>81123102-52951101</v>
          </cell>
          <cell r="S7136" t="str">
            <v>2026A-08</v>
          </cell>
          <cell r="T7136" t="str">
            <v>Mobile Phones</v>
          </cell>
        </row>
        <row r="7137">
          <cell r="K7137">
            <v>713.39</v>
          </cell>
          <cell r="P7137" t="str">
            <v>81123102-52951101</v>
          </cell>
          <cell r="S7137" t="str">
            <v>2026A-08</v>
          </cell>
          <cell r="T7137" t="str">
            <v>Mobile Phones</v>
          </cell>
        </row>
        <row r="7138">
          <cell r="K7138">
            <v>891.96</v>
          </cell>
          <cell r="P7138" t="str">
            <v>81123102-52951101</v>
          </cell>
          <cell r="S7138" t="str">
            <v>2026A-08</v>
          </cell>
          <cell r="T7138" t="str">
            <v>Mobile Phones</v>
          </cell>
        </row>
        <row r="7139">
          <cell r="K7139">
            <v>1159.82</v>
          </cell>
          <cell r="P7139" t="str">
            <v>81123102-52951101</v>
          </cell>
          <cell r="S7139" t="str">
            <v>2026A-08</v>
          </cell>
          <cell r="T7139" t="str">
            <v>Mobile Phones</v>
          </cell>
        </row>
        <row r="7140">
          <cell r="K7140">
            <v>891.96</v>
          </cell>
          <cell r="P7140" t="str">
            <v>81123102-52951101</v>
          </cell>
          <cell r="S7140" t="str">
            <v>2026A-08</v>
          </cell>
          <cell r="T7140" t="str">
            <v>Mobile Phones</v>
          </cell>
        </row>
        <row r="7141">
          <cell r="K7141">
            <v>1159.82</v>
          </cell>
          <cell r="P7141" t="str">
            <v>81123102-52951101</v>
          </cell>
          <cell r="S7141" t="str">
            <v>2026A-08</v>
          </cell>
          <cell r="T7141" t="str">
            <v>Mobile Phones</v>
          </cell>
        </row>
        <row r="7142">
          <cell r="K7142">
            <v>1515.18</v>
          </cell>
          <cell r="P7142" t="str">
            <v>81123102-52951101</v>
          </cell>
          <cell r="S7142" t="str">
            <v>2026A-08</v>
          </cell>
          <cell r="T7142" t="str">
            <v>Mobile Phones</v>
          </cell>
        </row>
        <row r="7143">
          <cell r="K7143">
            <v>1159.82</v>
          </cell>
          <cell r="P7143" t="str">
            <v>81123102-52951101</v>
          </cell>
          <cell r="S7143" t="str">
            <v>2026A-08</v>
          </cell>
          <cell r="T7143" t="str">
            <v>Mobile Phones</v>
          </cell>
        </row>
        <row r="7144">
          <cell r="K7144">
            <v>713.39</v>
          </cell>
          <cell r="P7144" t="str">
            <v>81123102-52951101</v>
          </cell>
          <cell r="S7144" t="str">
            <v>2026A-08</v>
          </cell>
          <cell r="T7144" t="str">
            <v>Mobile Phones</v>
          </cell>
        </row>
        <row r="7145">
          <cell r="K7145">
            <v>713.39</v>
          </cell>
          <cell r="P7145" t="str">
            <v>81123102-52951101</v>
          </cell>
          <cell r="S7145" t="str">
            <v>2026A-08</v>
          </cell>
          <cell r="T7145" t="str">
            <v>Mobile Phones</v>
          </cell>
        </row>
        <row r="7146">
          <cell r="K7146">
            <v>534.82000000000005</v>
          </cell>
          <cell r="P7146" t="str">
            <v>81123102-52951101</v>
          </cell>
          <cell r="S7146" t="str">
            <v>2026A-08</v>
          </cell>
          <cell r="T7146" t="str">
            <v>Mobile Phones</v>
          </cell>
        </row>
        <row r="7147">
          <cell r="K7147">
            <v>891.96</v>
          </cell>
          <cell r="P7147" t="str">
            <v>81123102-52951101</v>
          </cell>
          <cell r="S7147" t="str">
            <v>2026A-08</v>
          </cell>
          <cell r="T7147" t="str">
            <v>Mobile Phones</v>
          </cell>
        </row>
        <row r="7148">
          <cell r="K7148">
            <v>713.39</v>
          </cell>
          <cell r="P7148" t="str">
            <v>81123102-52951101</v>
          </cell>
          <cell r="S7148" t="str">
            <v>2026A-08</v>
          </cell>
          <cell r="T7148" t="str">
            <v>Mobile Phones</v>
          </cell>
        </row>
        <row r="7149">
          <cell r="K7149">
            <v>1159.82</v>
          </cell>
          <cell r="P7149" t="str">
            <v>81123102-52951101</v>
          </cell>
          <cell r="S7149" t="str">
            <v>2026A-08</v>
          </cell>
          <cell r="T7149" t="str">
            <v>Mobile Phones</v>
          </cell>
        </row>
        <row r="7150">
          <cell r="K7150">
            <v>1159.82</v>
          </cell>
          <cell r="P7150" t="str">
            <v>81123102-52951101</v>
          </cell>
          <cell r="S7150" t="str">
            <v>2026A-08</v>
          </cell>
          <cell r="T7150" t="str">
            <v>Mobile Phones</v>
          </cell>
        </row>
        <row r="7151">
          <cell r="K7151">
            <v>713.39</v>
          </cell>
          <cell r="P7151" t="str">
            <v>81123102-52951101</v>
          </cell>
          <cell r="S7151" t="str">
            <v>2026A-08</v>
          </cell>
          <cell r="T7151" t="str">
            <v>Mobile Phones</v>
          </cell>
        </row>
        <row r="7152">
          <cell r="K7152">
            <v>713.39</v>
          </cell>
          <cell r="P7152" t="str">
            <v>81123102-52951101</v>
          </cell>
          <cell r="S7152" t="str">
            <v>2026A-08</v>
          </cell>
          <cell r="T7152" t="str">
            <v>Mobile Phones</v>
          </cell>
        </row>
        <row r="7153">
          <cell r="K7153">
            <v>534.82000000000005</v>
          </cell>
          <cell r="P7153" t="str">
            <v>81123102-52951101</v>
          </cell>
          <cell r="S7153" t="str">
            <v>2026A-08</v>
          </cell>
          <cell r="T7153" t="str">
            <v>Mobile Phones</v>
          </cell>
        </row>
        <row r="7154">
          <cell r="K7154">
            <v>819.59</v>
          </cell>
          <cell r="P7154" t="str">
            <v>81123102-52951101</v>
          </cell>
          <cell r="S7154" t="str">
            <v>2026A-08</v>
          </cell>
          <cell r="T7154" t="str">
            <v>Mobile Phones</v>
          </cell>
        </row>
        <row r="7155">
          <cell r="K7155">
            <v>2231.25</v>
          </cell>
          <cell r="P7155" t="str">
            <v>81123102-52951101</v>
          </cell>
          <cell r="S7155" t="str">
            <v>2026A-08</v>
          </cell>
          <cell r="T7155" t="str">
            <v>Mobile Phones</v>
          </cell>
        </row>
        <row r="7156">
          <cell r="K7156">
            <v>713.39</v>
          </cell>
          <cell r="P7156" t="str">
            <v>81123102-52951101</v>
          </cell>
          <cell r="S7156" t="str">
            <v>2026A-08</v>
          </cell>
          <cell r="T7156" t="str">
            <v>Mobile Phones</v>
          </cell>
        </row>
        <row r="7157">
          <cell r="K7157">
            <v>1515.18</v>
          </cell>
          <cell r="P7157" t="str">
            <v>81123102-52951101</v>
          </cell>
          <cell r="S7157" t="str">
            <v>2026A-08</v>
          </cell>
          <cell r="T7157" t="str">
            <v>Mobile Phones</v>
          </cell>
        </row>
        <row r="7158">
          <cell r="K7158">
            <v>1159.82</v>
          </cell>
          <cell r="P7158" t="str">
            <v>81123102-52951101</v>
          </cell>
          <cell r="S7158" t="str">
            <v>2026A-08</v>
          </cell>
          <cell r="T7158" t="str">
            <v>Mobile Phones</v>
          </cell>
        </row>
        <row r="7159">
          <cell r="K7159">
            <v>534.82000000000005</v>
          </cell>
          <cell r="P7159" t="str">
            <v>81123102-52951101</v>
          </cell>
          <cell r="S7159" t="str">
            <v>2026A-08</v>
          </cell>
          <cell r="T7159" t="str">
            <v>Mobile Phones</v>
          </cell>
        </row>
        <row r="7160">
          <cell r="K7160">
            <v>534.82000000000005</v>
          </cell>
          <cell r="P7160" t="str">
            <v>81123102-52951101</v>
          </cell>
          <cell r="S7160" t="str">
            <v>2026A-08</v>
          </cell>
          <cell r="T7160" t="str">
            <v>Mobile Phones</v>
          </cell>
        </row>
        <row r="7161">
          <cell r="K7161">
            <v>713.39</v>
          </cell>
          <cell r="P7161" t="str">
            <v>81123102-52951101</v>
          </cell>
          <cell r="S7161" t="str">
            <v>2026A-08</v>
          </cell>
          <cell r="T7161" t="str">
            <v>Mobile Phones</v>
          </cell>
        </row>
        <row r="7162">
          <cell r="K7162">
            <v>1528.58</v>
          </cell>
          <cell r="P7162" t="str">
            <v>81123102-52951101</v>
          </cell>
          <cell r="S7162" t="str">
            <v>2026A-08</v>
          </cell>
          <cell r="T7162" t="str">
            <v>Mobile Phones</v>
          </cell>
        </row>
        <row r="7163">
          <cell r="K7163">
            <v>713.39</v>
          </cell>
          <cell r="P7163" t="str">
            <v>81123102-52951101</v>
          </cell>
          <cell r="S7163" t="str">
            <v>2026A-08</v>
          </cell>
          <cell r="T7163" t="str">
            <v>Mobile Phones</v>
          </cell>
        </row>
        <row r="7164">
          <cell r="K7164">
            <v>891.96</v>
          </cell>
          <cell r="P7164" t="str">
            <v>81123102-52951101</v>
          </cell>
          <cell r="S7164" t="str">
            <v>2026A-08</v>
          </cell>
          <cell r="T7164" t="str">
            <v>Mobile Phones</v>
          </cell>
        </row>
        <row r="7165">
          <cell r="K7165">
            <v>534.82000000000005</v>
          </cell>
          <cell r="P7165" t="str">
            <v>81123102-52951101</v>
          </cell>
          <cell r="S7165" t="str">
            <v>2026A-08</v>
          </cell>
          <cell r="T7165" t="str">
            <v>Mobile Phones</v>
          </cell>
        </row>
        <row r="7166">
          <cell r="K7166">
            <v>534.82000000000005</v>
          </cell>
          <cell r="P7166" t="str">
            <v>81123102-52951101</v>
          </cell>
          <cell r="S7166" t="str">
            <v>2026A-08</v>
          </cell>
          <cell r="T7166" t="str">
            <v>Mobile Phones</v>
          </cell>
        </row>
        <row r="7167">
          <cell r="K7167">
            <v>534.82000000000005</v>
          </cell>
          <cell r="P7167" t="str">
            <v>81123102-52951101</v>
          </cell>
          <cell r="S7167" t="str">
            <v>2026A-08</v>
          </cell>
          <cell r="T7167" t="str">
            <v>Mobile Phones</v>
          </cell>
        </row>
        <row r="7168">
          <cell r="K7168">
            <v>713.39</v>
          </cell>
          <cell r="P7168" t="str">
            <v>81123102-52951101</v>
          </cell>
          <cell r="S7168" t="str">
            <v>2026A-08</v>
          </cell>
          <cell r="T7168" t="str">
            <v>Mobile Phones</v>
          </cell>
        </row>
        <row r="7169">
          <cell r="K7169">
            <v>534.82000000000005</v>
          </cell>
          <cell r="P7169" t="str">
            <v>81123102-52951101</v>
          </cell>
          <cell r="S7169" t="str">
            <v>2026A-08</v>
          </cell>
          <cell r="T7169" t="str">
            <v>Mobile Phones</v>
          </cell>
        </row>
        <row r="7170">
          <cell r="K7170">
            <v>1516.07</v>
          </cell>
          <cell r="P7170" t="str">
            <v>81123102-52951101</v>
          </cell>
          <cell r="S7170" t="str">
            <v>2026A-08</v>
          </cell>
          <cell r="T7170" t="str">
            <v>Mobile Phones</v>
          </cell>
        </row>
        <row r="7171">
          <cell r="K7171">
            <v>712.5</v>
          </cell>
          <cell r="P7171" t="str">
            <v>81123102-52951101</v>
          </cell>
          <cell r="S7171" t="str">
            <v>2026A-08</v>
          </cell>
          <cell r="T7171" t="str">
            <v>Mobile Phones</v>
          </cell>
        </row>
        <row r="7172">
          <cell r="K7172">
            <v>713.39</v>
          </cell>
          <cell r="P7172" t="str">
            <v>81123102-52951101</v>
          </cell>
          <cell r="S7172" t="str">
            <v>2026A-08</v>
          </cell>
          <cell r="T7172" t="str">
            <v>Mobile Phones</v>
          </cell>
        </row>
        <row r="7173">
          <cell r="K7173">
            <v>534.82000000000005</v>
          </cell>
          <cell r="P7173" t="str">
            <v>81123102-52951101</v>
          </cell>
          <cell r="S7173" t="str">
            <v>2026A-08</v>
          </cell>
          <cell r="T7173" t="str">
            <v>Mobile Phones</v>
          </cell>
        </row>
        <row r="7174">
          <cell r="K7174">
            <v>534.82000000000005</v>
          </cell>
          <cell r="P7174" t="str">
            <v>81123102-52951101</v>
          </cell>
          <cell r="S7174" t="str">
            <v>2026A-08</v>
          </cell>
          <cell r="T7174" t="str">
            <v>Mobile Phones</v>
          </cell>
        </row>
        <row r="7175">
          <cell r="K7175">
            <v>534.82000000000005</v>
          </cell>
          <cell r="P7175" t="str">
            <v>81123102-52951101</v>
          </cell>
          <cell r="S7175" t="str">
            <v>2026A-08</v>
          </cell>
          <cell r="T7175" t="str">
            <v>Mobile Phones</v>
          </cell>
        </row>
        <row r="7176">
          <cell r="K7176">
            <v>2235.8000000000002</v>
          </cell>
          <cell r="P7176" t="str">
            <v>81123102-52951101</v>
          </cell>
          <cell r="S7176" t="str">
            <v>2026A-08</v>
          </cell>
          <cell r="T7176" t="str">
            <v>Mobile Phones</v>
          </cell>
        </row>
        <row r="7177">
          <cell r="K7177">
            <v>713.39</v>
          </cell>
          <cell r="P7177" t="str">
            <v>81123102-52951101</v>
          </cell>
          <cell r="S7177" t="str">
            <v>2026A-08</v>
          </cell>
          <cell r="T7177" t="str">
            <v>Mobile Phones</v>
          </cell>
        </row>
        <row r="7178">
          <cell r="K7178">
            <v>1338.39</v>
          </cell>
          <cell r="P7178" t="str">
            <v>81123102-52951101</v>
          </cell>
          <cell r="S7178" t="str">
            <v>2026A-08</v>
          </cell>
          <cell r="T7178" t="str">
            <v>Mobile Phones</v>
          </cell>
        </row>
        <row r="7179">
          <cell r="K7179">
            <v>534.82000000000005</v>
          </cell>
          <cell r="P7179" t="str">
            <v>81123102-52951101</v>
          </cell>
          <cell r="S7179" t="str">
            <v>2026A-08</v>
          </cell>
          <cell r="T7179" t="str">
            <v>Mobile Phones</v>
          </cell>
        </row>
        <row r="7180">
          <cell r="K7180">
            <v>713.39</v>
          </cell>
          <cell r="P7180" t="str">
            <v>81123102-52951101</v>
          </cell>
          <cell r="S7180" t="str">
            <v>2026A-08</v>
          </cell>
          <cell r="T7180" t="str">
            <v>Mobile Phones</v>
          </cell>
        </row>
        <row r="7181">
          <cell r="K7181">
            <v>534.82000000000005</v>
          </cell>
          <cell r="P7181" t="str">
            <v>81123102-52951101</v>
          </cell>
          <cell r="S7181" t="str">
            <v>2026A-08</v>
          </cell>
          <cell r="T7181" t="str">
            <v>Mobile Phones</v>
          </cell>
        </row>
        <row r="7182">
          <cell r="K7182">
            <v>713.39</v>
          </cell>
          <cell r="P7182" t="str">
            <v>81123102-52951101</v>
          </cell>
          <cell r="S7182" t="str">
            <v>2026A-08</v>
          </cell>
          <cell r="T7182" t="str">
            <v>Mobile Phones</v>
          </cell>
        </row>
        <row r="7183">
          <cell r="K7183">
            <v>534.82000000000005</v>
          </cell>
          <cell r="P7183" t="str">
            <v>81123102-52951101</v>
          </cell>
          <cell r="S7183" t="str">
            <v>2026A-08</v>
          </cell>
          <cell r="T7183" t="str">
            <v>Mobile Phones</v>
          </cell>
        </row>
        <row r="7184">
          <cell r="K7184">
            <v>534.82000000000005</v>
          </cell>
          <cell r="P7184" t="str">
            <v>81123102-52951101</v>
          </cell>
          <cell r="S7184" t="str">
            <v>2026A-08</v>
          </cell>
          <cell r="T7184" t="str">
            <v>Mobile Phones</v>
          </cell>
        </row>
        <row r="7185">
          <cell r="K7185">
            <v>1885.62</v>
          </cell>
          <cell r="P7185" t="str">
            <v>81123102-52951101</v>
          </cell>
          <cell r="S7185" t="str">
            <v>2026A-08</v>
          </cell>
          <cell r="T7185" t="str">
            <v>Mobile Phones</v>
          </cell>
        </row>
        <row r="7186">
          <cell r="K7186">
            <v>1004.3</v>
          </cell>
          <cell r="P7186" t="str">
            <v>81123102-52951101</v>
          </cell>
          <cell r="S7186" t="str">
            <v>2026A-08</v>
          </cell>
          <cell r="T7186" t="str">
            <v>Mobile Phones</v>
          </cell>
        </row>
        <row r="7187">
          <cell r="K7187">
            <v>41618.019999999997</v>
          </cell>
          <cell r="P7187" t="str">
            <v>81123102-52951101</v>
          </cell>
          <cell r="S7187" t="str">
            <v>2026A-08</v>
          </cell>
          <cell r="T7187" t="str">
            <v>Mobile Phones</v>
          </cell>
        </row>
        <row r="7188">
          <cell r="K7188">
            <v>1004.3</v>
          </cell>
          <cell r="P7188" t="str">
            <v>81123102-52951101</v>
          </cell>
          <cell r="S7188" t="str">
            <v>2026A-08</v>
          </cell>
          <cell r="T7188" t="str">
            <v>Mobile Phones</v>
          </cell>
        </row>
        <row r="7189">
          <cell r="K7189">
            <v>546.34</v>
          </cell>
          <cell r="P7189" t="str">
            <v>81123102-52951101</v>
          </cell>
          <cell r="S7189" t="str">
            <v>2026A-08</v>
          </cell>
          <cell r="T7189" t="str">
            <v>Mobile Phones</v>
          </cell>
        </row>
        <row r="7190">
          <cell r="K7190">
            <v>4921.34</v>
          </cell>
          <cell r="P7190" t="str">
            <v>81123102-52951101</v>
          </cell>
          <cell r="S7190" t="str">
            <v>2026A-08</v>
          </cell>
          <cell r="T7190" t="str">
            <v>Mobile Phones</v>
          </cell>
        </row>
        <row r="7191">
          <cell r="K7191">
            <v>992.77</v>
          </cell>
          <cell r="P7191" t="str">
            <v>81123102-52951101</v>
          </cell>
          <cell r="S7191" t="str">
            <v>2026A-08</v>
          </cell>
          <cell r="T7191" t="str">
            <v>Mobile Phones</v>
          </cell>
        </row>
        <row r="7192">
          <cell r="K7192">
            <v>546.34</v>
          </cell>
          <cell r="P7192" t="str">
            <v>81123102-52951101</v>
          </cell>
          <cell r="S7192" t="str">
            <v>2026A-08</v>
          </cell>
          <cell r="T7192" t="str">
            <v>Mobile Phones</v>
          </cell>
        </row>
        <row r="7193">
          <cell r="K7193">
            <v>891.96</v>
          </cell>
          <cell r="P7193" t="str">
            <v>81123102-52951101</v>
          </cell>
          <cell r="S7193" t="str">
            <v>2026A-08</v>
          </cell>
          <cell r="T7193" t="str">
            <v>Mobile Phones</v>
          </cell>
        </row>
        <row r="7194">
          <cell r="K7194">
            <v>713.39</v>
          </cell>
          <cell r="P7194" t="str">
            <v>81123102-52951101</v>
          </cell>
          <cell r="S7194" t="str">
            <v>2026A-08</v>
          </cell>
          <cell r="T7194" t="str">
            <v>Mobile Phones</v>
          </cell>
        </row>
        <row r="7195">
          <cell r="K7195">
            <v>13319.96</v>
          </cell>
          <cell r="P7195" t="str">
            <v>81123102-52951101</v>
          </cell>
          <cell r="S7195" t="str">
            <v>2026A-08</v>
          </cell>
          <cell r="T7195" t="str">
            <v>Mobile Phones</v>
          </cell>
        </row>
        <row r="7196">
          <cell r="K7196">
            <v>992.77</v>
          </cell>
          <cell r="P7196" t="str">
            <v>81123102-52951101</v>
          </cell>
          <cell r="S7196" t="str">
            <v>2026A-08</v>
          </cell>
          <cell r="T7196" t="str">
            <v>Mobile Phones</v>
          </cell>
        </row>
        <row r="7197">
          <cell r="K7197">
            <v>3682.86</v>
          </cell>
          <cell r="P7197" t="str">
            <v>81123102-52951101</v>
          </cell>
          <cell r="S7197" t="str">
            <v>2026A-08</v>
          </cell>
          <cell r="T7197" t="str">
            <v>Mobile Phones</v>
          </cell>
        </row>
        <row r="7198">
          <cell r="K7198">
            <v>1194.18</v>
          </cell>
          <cell r="P7198" t="str">
            <v>81123102-52951101</v>
          </cell>
          <cell r="S7198" t="str">
            <v>2026A-08</v>
          </cell>
          <cell r="T7198" t="str">
            <v>Mobile Phones</v>
          </cell>
        </row>
        <row r="7199">
          <cell r="K7199">
            <v>1093.3699999999999</v>
          </cell>
          <cell r="P7199" t="str">
            <v>81123102-52951101</v>
          </cell>
          <cell r="S7199" t="str">
            <v>2026A-08</v>
          </cell>
          <cell r="T7199" t="str">
            <v>Mobile Phones</v>
          </cell>
        </row>
        <row r="7200">
          <cell r="K7200">
            <v>1093.3699999999999</v>
          </cell>
          <cell r="P7200" t="str">
            <v>81123102-52951101</v>
          </cell>
          <cell r="S7200" t="str">
            <v>2026A-08</v>
          </cell>
          <cell r="T7200" t="str">
            <v>Mobile Phones</v>
          </cell>
        </row>
        <row r="7201">
          <cell r="K7201">
            <v>1093.3699999999999</v>
          </cell>
          <cell r="P7201" t="str">
            <v>81123102-52951101</v>
          </cell>
          <cell r="S7201" t="str">
            <v>2026A-08</v>
          </cell>
          <cell r="T7201" t="str">
            <v>Mobile Phones</v>
          </cell>
        </row>
        <row r="7202">
          <cell r="K7202">
            <v>22561.9</v>
          </cell>
          <cell r="P7202" t="str">
            <v>81319101-52041499</v>
          </cell>
          <cell r="S7202" t="str">
            <v>2026A-08</v>
          </cell>
          <cell r="T7202" t="str">
            <v>TS</v>
          </cell>
        </row>
        <row r="7203">
          <cell r="K7203">
            <v>6801</v>
          </cell>
          <cell r="P7203" t="str">
            <v>80111101-61021105</v>
          </cell>
          <cell r="S7203" t="str">
            <v>2026A-08</v>
          </cell>
          <cell r="T7203" t="str">
            <v>Guaranteed Bonus</v>
          </cell>
        </row>
        <row r="7204">
          <cell r="K7204">
            <v>38001</v>
          </cell>
          <cell r="P7204" t="str">
            <v>80111101-61021105</v>
          </cell>
          <cell r="S7204" t="str">
            <v>2026A-08</v>
          </cell>
          <cell r="T7204" t="str">
            <v>Guaranteed Bonus</v>
          </cell>
        </row>
        <row r="7205">
          <cell r="K7205">
            <v>132270</v>
          </cell>
          <cell r="P7205" t="str">
            <v>80111101-61021105</v>
          </cell>
          <cell r="S7205" t="str">
            <v>2026A-08</v>
          </cell>
          <cell r="T7205" t="str">
            <v>Guaranteed Bonus</v>
          </cell>
        </row>
        <row r="7206">
          <cell r="K7206">
            <v>35107.5</v>
          </cell>
          <cell r="P7206" t="str">
            <v>80111101-61021105</v>
          </cell>
          <cell r="S7206" t="str">
            <v>2026A-08</v>
          </cell>
          <cell r="T7206" t="str">
            <v>Guaranteed Bonus</v>
          </cell>
        </row>
        <row r="7207">
          <cell r="K7207">
            <v>355059</v>
          </cell>
          <cell r="P7207" t="str">
            <v>80111101-61021105</v>
          </cell>
          <cell r="S7207" t="str">
            <v>2026A-08</v>
          </cell>
          <cell r="T7207" t="str">
            <v>Guaranteed Bonus</v>
          </cell>
        </row>
        <row r="7208">
          <cell r="K7208">
            <v>123599.89</v>
          </cell>
          <cell r="P7208" t="str">
            <v>80111101-61021105</v>
          </cell>
          <cell r="S7208" t="str">
            <v>2026A-08</v>
          </cell>
          <cell r="T7208" t="str">
            <v>Guaranteed Bonus</v>
          </cell>
        </row>
        <row r="7209">
          <cell r="K7209">
            <v>40000</v>
          </cell>
          <cell r="P7209" t="str">
            <v>80111101-61021105</v>
          </cell>
          <cell r="S7209" t="str">
            <v>2026A-08</v>
          </cell>
          <cell r="T7209" t="str">
            <v>Guaranteed Bonus</v>
          </cell>
        </row>
        <row r="7210">
          <cell r="K7210">
            <v>30000</v>
          </cell>
          <cell r="P7210" t="str">
            <v>80111101-61021105</v>
          </cell>
          <cell r="S7210" t="str">
            <v>2026A-08</v>
          </cell>
          <cell r="T7210" t="str">
            <v>Guaranteed Bonus</v>
          </cell>
        </row>
        <row r="7211">
          <cell r="K7211">
            <v>160000</v>
          </cell>
          <cell r="P7211" t="str">
            <v>80111101-61021105</v>
          </cell>
          <cell r="S7211" t="str">
            <v>2026A-08</v>
          </cell>
          <cell r="T7211" t="str">
            <v>Guaranteed Bonus</v>
          </cell>
        </row>
        <row r="7212">
          <cell r="K7212">
            <v>540000</v>
          </cell>
          <cell r="P7212" t="str">
            <v>80111101-61021105</v>
          </cell>
          <cell r="S7212" t="str">
            <v>2026A-08</v>
          </cell>
          <cell r="T7212" t="str">
            <v>Guaranteed Bonus</v>
          </cell>
        </row>
        <row r="7213">
          <cell r="K7213">
            <v>132653</v>
          </cell>
          <cell r="P7213" t="str">
            <v>81111101-52121104</v>
          </cell>
          <cell r="S7213" t="str">
            <v>2026A-08</v>
          </cell>
          <cell r="T7213" t="str">
            <v>Guaranteed Bonus</v>
          </cell>
        </row>
        <row r="7214">
          <cell r="K7214">
            <v>450325</v>
          </cell>
          <cell r="P7214" t="str">
            <v>81111101-52121104</v>
          </cell>
          <cell r="S7214" t="str">
            <v>2026A-08</v>
          </cell>
          <cell r="T7214" t="str">
            <v>Guaranteed Bonus</v>
          </cell>
        </row>
        <row r="7215">
          <cell r="K7215">
            <v>39770</v>
          </cell>
          <cell r="P7215" t="str">
            <v>81111101-52121104</v>
          </cell>
          <cell r="S7215" t="str">
            <v>2026A-08</v>
          </cell>
          <cell r="T7215" t="str">
            <v>Guaranteed Bonus</v>
          </cell>
        </row>
        <row r="7216">
          <cell r="K7216">
            <v>66685</v>
          </cell>
          <cell r="P7216" t="str">
            <v>81111101-52121104</v>
          </cell>
          <cell r="S7216" t="str">
            <v>2026A-08</v>
          </cell>
          <cell r="T7216" t="str">
            <v>Guaranteed Bonus</v>
          </cell>
        </row>
        <row r="7217">
          <cell r="K7217">
            <v>34601</v>
          </cell>
          <cell r="P7217" t="str">
            <v>81111101-52121104</v>
          </cell>
          <cell r="S7217" t="str">
            <v>2026A-08</v>
          </cell>
          <cell r="T7217" t="str">
            <v>Guaranteed Bonus</v>
          </cell>
        </row>
        <row r="7218">
          <cell r="K7218">
            <v>80670</v>
          </cell>
          <cell r="P7218" t="str">
            <v>81111101-52121104</v>
          </cell>
          <cell r="S7218" t="str">
            <v>2026A-08</v>
          </cell>
          <cell r="T7218" t="str">
            <v>Guaranteed Bonus</v>
          </cell>
        </row>
        <row r="7219">
          <cell r="K7219">
            <v>120000</v>
          </cell>
          <cell r="P7219" t="str">
            <v>81111101-52121104</v>
          </cell>
          <cell r="S7219" t="str">
            <v>2026A-08</v>
          </cell>
          <cell r="T7219" t="str">
            <v>Guaranteed Bonus</v>
          </cell>
        </row>
        <row r="7220">
          <cell r="K7220">
            <v>34262</v>
          </cell>
          <cell r="P7220" t="str">
            <v>81111101-52121104</v>
          </cell>
          <cell r="S7220" t="str">
            <v>2026A-08</v>
          </cell>
          <cell r="T7220" t="str">
            <v>Guaranteed Bonus</v>
          </cell>
        </row>
        <row r="7221">
          <cell r="K7221">
            <v>240000</v>
          </cell>
          <cell r="P7221" t="str">
            <v>81111101-52121104</v>
          </cell>
          <cell r="S7221" t="str">
            <v>2026A-08</v>
          </cell>
          <cell r="T7221" t="str">
            <v>Guaranteed Bonus</v>
          </cell>
        </row>
        <row r="7222">
          <cell r="K7222">
            <v>14712.33</v>
          </cell>
          <cell r="P7222" t="str">
            <v>81111101-52121104</v>
          </cell>
          <cell r="S7222" t="str">
            <v>2026A-08</v>
          </cell>
          <cell r="T7222" t="str">
            <v>Guaranteed Bonus</v>
          </cell>
        </row>
        <row r="7223">
          <cell r="K7223">
            <v>110000</v>
          </cell>
          <cell r="P7223" t="str">
            <v>81111101-52121104</v>
          </cell>
          <cell r="S7223" t="str">
            <v>2026A-08</v>
          </cell>
          <cell r="T7223" t="str">
            <v>Guaranteed Bonus</v>
          </cell>
        </row>
        <row r="7224">
          <cell r="K7224">
            <v>250604.17</v>
          </cell>
          <cell r="P7224" t="str">
            <v>81111101-52121104</v>
          </cell>
          <cell r="S7224" t="str">
            <v>2026A-08</v>
          </cell>
          <cell r="T7224" t="str">
            <v>Guaranteed Bonus</v>
          </cell>
        </row>
        <row r="7225">
          <cell r="K7225">
            <v>730000</v>
          </cell>
          <cell r="P7225" t="str">
            <v>81111101-52121104</v>
          </cell>
          <cell r="S7225" t="str">
            <v>2026A-08</v>
          </cell>
          <cell r="T7225" t="str">
            <v>Guaranteed Bonus</v>
          </cell>
        </row>
        <row r="7226">
          <cell r="K7226">
            <v>100000</v>
          </cell>
          <cell r="P7226" t="str">
            <v>81111101-52121104</v>
          </cell>
          <cell r="S7226" t="str">
            <v>2026A-08</v>
          </cell>
          <cell r="T7226" t="str">
            <v>Guaranteed Bonus</v>
          </cell>
        </row>
        <row r="7227">
          <cell r="K7227">
            <v>19578.060000000001</v>
          </cell>
          <cell r="P7227" t="str">
            <v>81319101-52041499</v>
          </cell>
          <cell r="S7227" t="str">
            <v>2026A-08</v>
          </cell>
          <cell r="T7227" t="str">
            <v>GH</v>
          </cell>
        </row>
        <row r="7228">
          <cell r="K7228">
            <v>6591.09</v>
          </cell>
          <cell r="P7228" t="str">
            <v>80124101-61711102</v>
          </cell>
          <cell r="S7228" t="str">
            <v>2026A-08</v>
          </cell>
          <cell r="T7228" t="str">
            <v>AI Claude</v>
          </cell>
        </row>
        <row r="7229">
          <cell r="K7229">
            <v>4089083</v>
          </cell>
          <cell r="P7229" t="str">
            <v>90111101-52121104</v>
          </cell>
          <cell r="S7229" t="str">
            <v>2026A-08</v>
          </cell>
          <cell r="T7229" t="str">
            <v>Guaranteed Bonus</v>
          </cell>
        </row>
        <row r="7230">
          <cell r="K7230">
            <v>545901</v>
          </cell>
          <cell r="P7230" t="str">
            <v>90111101-52121104</v>
          </cell>
          <cell r="S7230" t="str">
            <v>2026A-08</v>
          </cell>
          <cell r="T7230" t="str">
            <v>Guaranteed Bonus</v>
          </cell>
        </row>
        <row r="7231">
          <cell r="K7231">
            <v>2472279</v>
          </cell>
          <cell r="P7231" t="str">
            <v>90111101-52121104</v>
          </cell>
          <cell r="S7231" t="str">
            <v>2026A-08</v>
          </cell>
          <cell r="T7231" t="str">
            <v>Guaranteed Bonus</v>
          </cell>
        </row>
        <row r="7232">
          <cell r="K7232">
            <v>2745396</v>
          </cell>
          <cell r="P7232" t="str">
            <v>90111101-52121104</v>
          </cell>
          <cell r="S7232" t="str">
            <v>2026A-08</v>
          </cell>
          <cell r="T7232" t="str">
            <v>Guaranteed Bonus</v>
          </cell>
        </row>
        <row r="7233">
          <cell r="K7233">
            <v>18467</v>
          </cell>
          <cell r="P7233" t="str">
            <v>90111101-52121104</v>
          </cell>
          <cell r="S7233" t="str">
            <v>2026A-08</v>
          </cell>
          <cell r="T7233" t="str">
            <v>Guaranteed Bonus</v>
          </cell>
        </row>
        <row r="7234">
          <cell r="K7234">
            <v>876200</v>
          </cell>
          <cell r="P7234" t="str">
            <v>90111101-52121104</v>
          </cell>
          <cell r="S7234" t="str">
            <v>2026A-08</v>
          </cell>
          <cell r="T7234" t="str">
            <v>Guaranteed Bonus</v>
          </cell>
        </row>
        <row r="7235">
          <cell r="K7235">
            <v>213053.36</v>
          </cell>
          <cell r="P7235" t="str">
            <v>90111101-52121104</v>
          </cell>
          <cell r="S7235" t="str">
            <v>2026A-08</v>
          </cell>
          <cell r="T7235" t="str">
            <v>Guaranteed Bonus</v>
          </cell>
        </row>
        <row r="7236">
          <cell r="K7236">
            <v>24070</v>
          </cell>
          <cell r="P7236" t="str">
            <v>90111101-52121104</v>
          </cell>
          <cell r="S7236" t="str">
            <v>2026A-08</v>
          </cell>
          <cell r="T7236" t="str">
            <v>Guaranteed Bonus</v>
          </cell>
        </row>
        <row r="7237">
          <cell r="K7237">
            <v>79720.17</v>
          </cell>
          <cell r="P7237" t="str">
            <v>90111101-52121104</v>
          </cell>
          <cell r="S7237" t="str">
            <v>2026A-08</v>
          </cell>
          <cell r="T7237" t="str">
            <v>Guaranteed Bonus</v>
          </cell>
        </row>
        <row r="7238">
          <cell r="K7238">
            <v>10268</v>
          </cell>
          <cell r="P7238" t="str">
            <v>90111101-52121104</v>
          </cell>
          <cell r="S7238" t="str">
            <v>2026A-08</v>
          </cell>
          <cell r="T7238" t="str">
            <v>Guaranteed Bonus</v>
          </cell>
        </row>
        <row r="7239">
          <cell r="K7239">
            <v>619170</v>
          </cell>
          <cell r="P7239" t="str">
            <v>90111101-52121104</v>
          </cell>
          <cell r="S7239" t="str">
            <v>2026A-08</v>
          </cell>
          <cell r="T7239" t="str">
            <v>Guaranteed Bonus</v>
          </cell>
        </row>
        <row r="7240">
          <cell r="K7240">
            <v>20179.169999999998</v>
          </cell>
          <cell r="P7240" t="str">
            <v>90111101-52121104</v>
          </cell>
          <cell r="S7240" t="str">
            <v>2026A-08</v>
          </cell>
          <cell r="T7240" t="str">
            <v>Guaranteed Bonus</v>
          </cell>
        </row>
        <row r="7241">
          <cell r="K7241">
            <v>1380000</v>
          </cell>
          <cell r="P7241" t="str">
            <v>90111101-52121309</v>
          </cell>
          <cell r="S7241" t="str">
            <v>2026A-08</v>
          </cell>
          <cell r="T7241" t="str">
            <v>Uniform</v>
          </cell>
        </row>
        <row r="7242">
          <cell r="K7242">
            <v>150000</v>
          </cell>
          <cell r="P7242" t="str">
            <v>90111101-52121309</v>
          </cell>
          <cell r="S7242" t="str">
            <v>2026A-08</v>
          </cell>
          <cell r="T7242" t="str">
            <v>Uniform</v>
          </cell>
        </row>
        <row r="7243">
          <cell r="K7243">
            <v>1260000</v>
          </cell>
          <cell r="P7243" t="str">
            <v>90111101-52121309</v>
          </cell>
          <cell r="S7243" t="str">
            <v>2026A-08</v>
          </cell>
          <cell r="T7243" t="str">
            <v>Uniform</v>
          </cell>
        </row>
        <row r="7244">
          <cell r="K7244">
            <v>150000</v>
          </cell>
          <cell r="P7244" t="str">
            <v>90111101-52121309</v>
          </cell>
          <cell r="S7244" t="str">
            <v>2026A-08</v>
          </cell>
          <cell r="T7244" t="str">
            <v>Uniform</v>
          </cell>
        </row>
        <row r="7245">
          <cell r="K7245">
            <v>20000</v>
          </cell>
          <cell r="P7245" t="str">
            <v>90111101-52121309</v>
          </cell>
          <cell r="S7245" t="str">
            <v>2026A-08</v>
          </cell>
          <cell r="T7245" t="str">
            <v>Uniform</v>
          </cell>
        </row>
        <row r="7246">
          <cell r="K7246">
            <v>220000</v>
          </cell>
          <cell r="P7246" t="str">
            <v>90111101-52121309</v>
          </cell>
          <cell r="S7246" t="str">
            <v>2026A-08</v>
          </cell>
          <cell r="T7246" t="str">
            <v>Uniform</v>
          </cell>
        </row>
        <row r="7247">
          <cell r="K7247">
            <v>260000</v>
          </cell>
          <cell r="P7247" t="str">
            <v>90111101-52121309</v>
          </cell>
          <cell r="S7247" t="str">
            <v>2026A-08</v>
          </cell>
          <cell r="T7247" t="str">
            <v>Uniform</v>
          </cell>
        </row>
        <row r="7248">
          <cell r="K7248">
            <v>10000</v>
          </cell>
          <cell r="P7248" t="str">
            <v>80123101-61071005</v>
          </cell>
          <cell r="S7248" t="str">
            <v>2026A-08</v>
          </cell>
          <cell r="T7248" t="str">
            <v>Santiago</v>
          </cell>
        </row>
        <row r="7249">
          <cell r="K7249">
            <v>-40000</v>
          </cell>
          <cell r="P7249" t="str">
            <v>80111101-61021105</v>
          </cell>
          <cell r="S7249" t="str">
            <v>2026A-08</v>
          </cell>
          <cell r="T7249" t="str">
            <v>Guaranteed Bonus</v>
          </cell>
        </row>
        <row r="7250">
          <cell r="K7250">
            <v>-30000</v>
          </cell>
          <cell r="P7250" t="str">
            <v>80111101-61021105</v>
          </cell>
          <cell r="S7250" t="str">
            <v>2026A-08</v>
          </cell>
          <cell r="T7250" t="str">
            <v>Guaranteed Bonus</v>
          </cell>
        </row>
        <row r="7251">
          <cell r="K7251">
            <v>-160000</v>
          </cell>
          <cell r="P7251" t="str">
            <v>80111101-61021105</v>
          </cell>
          <cell r="S7251" t="str">
            <v>2026A-08</v>
          </cell>
          <cell r="T7251" t="str">
            <v>Guaranteed Bonus</v>
          </cell>
        </row>
        <row r="7252">
          <cell r="K7252">
            <v>-540000</v>
          </cell>
          <cell r="P7252" t="str">
            <v>80111101-61021105</v>
          </cell>
          <cell r="S7252" t="str">
            <v>2026A-08</v>
          </cell>
          <cell r="T7252" t="str">
            <v>Guaranteed Bonus</v>
          </cell>
        </row>
        <row r="7253">
          <cell r="K7253">
            <v>40000</v>
          </cell>
          <cell r="P7253" t="str">
            <v>80111101-61021310</v>
          </cell>
          <cell r="S7253" t="str">
            <v>2026A-08</v>
          </cell>
          <cell r="T7253" t="str">
            <v>Uniform</v>
          </cell>
        </row>
        <row r="7254">
          <cell r="K7254">
            <v>30000</v>
          </cell>
          <cell r="P7254" t="str">
            <v>80111101-61021310</v>
          </cell>
          <cell r="S7254" t="str">
            <v>2026A-08</v>
          </cell>
          <cell r="T7254" t="str">
            <v>Uniform</v>
          </cell>
        </row>
        <row r="7255">
          <cell r="K7255">
            <v>160000</v>
          </cell>
          <cell r="P7255" t="str">
            <v>80111101-61021310</v>
          </cell>
          <cell r="S7255" t="str">
            <v>2026A-08</v>
          </cell>
          <cell r="T7255" t="str">
            <v>Uniform</v>
          </cell>
        </row>
        <row r="7256">
          <cell r="K7256">
            <v>540000</v>
          </cell>
          <cell r="P7256" t="str">
            <v>80111101-61021310</v>
          </cell>
          <cell r="S7256" t="str">
            <v>2026A-08</v>
          </cell>
          <cell r="T7256" t="str">
            <v>Uniform</v>
          </cell>
        </row>
        <row r="7257">
          <cell r="K7257">
            <v>-120000</v>
          </cell>
          <cell r="P7257" t="str">
            <v>81111101-52121104</v>
          </cell>
          <cell r="S7257" t="str">
            <v>2026A-08</v>
          </cell>
          <cell r="T7257" t="str">
            <v>Guaranteed Bonus</v>
          </cell>
        </row>
        <row r="7258">
          <cell r="K7258">
            <v>-240000</v>
          </cell>
          <cell r="P7258" t="str">
            <v>81111101-52121104</v>
          </cell>
          <cell r="S7258" t="str">
            <v>2026A-08</v>
          </cell>
          <cell r="T7258" t="str">
            <v>Guaranteed Bonus</v>
          </cell>
        </row>
        <row r="7259">
          <cell r="K7259">
            <v>-110000</v>
          </cell>
          <cell r="P7259" t="str">
            <v>81111101-52121104</v>
          </cell>
          <cell r="S7259" t="str">
            <v>2026A-08</v>
          </cell>
          <cell r="T7259" t="str">
            <v>Guaranteed Bonus</v>
          </cell>
        </row>
        <row r="7260">
          <cell r="K7260">
            <v>-730000</v>
          </cell>
          <cell r="P7260" t="str">
            <v>81111101-52121104</v>
          </cell>
          <cell r="S7260" t="str">
            <v>2026A-08</v>
          </cell>
          <cell r="T7260" t="str">
            <v>Guaranteed Bonus</v>
          </cell>
        </row>
        <row r="7261">
          <cell r="K7261">
            <v>-100000</v>
          </cell>
          <cell r="P7261" t="str">
            <v>81111101-52121104</v>
          </cell>
          <cell r="S7261" t="str">
            <v>2026A-08</v>
          </cell>
          <cell r="T7261" t="str">
            <v>Guaranteed Bonus</v>
          </cell>
        </row>
        <row r="7262">
          <cell r="K7262">
            <v>120000</v>
          </cell>
          <cell r="P7262" t="str">
            <v>81111101-52121309</v>
          </cell>
          <cell r="S7262" t="str">
            <v>2026A-08</v>
          </cell>
          <cell r="T7262" t="str">
            <v>Uniform</v>
          </cell>
        </row>
        <row r="7263">
          <cell r="K7263">
            <v>240000</v>
          </cell>
          <cell r="P7263" t="str">
            <v>81111101-52121309</v>
          </cell>
          <cell r="S7263" t="str">
            <v>2026A-08</v>
          </cell>
          <cell r="T7263" t="str">
            <v>Uniform</v>
          </cell>
        </row>
        <row r="7264">
          <cell r="K7264">
            <v>110000</v>
          </cell>
          <cell r="P7264" t="str">
            <v>81111101-52121309</v>
          </cell>
          <cell r="S7264" t="str">
            <v>2026A-08</v>
          </cell>
          <cell r="T7264" t="str">
            <v>Uniform</v>
          </cell>
        </row>
        <row r="7265">
          <cell r="K7265">
            <v>730000</v>
          </cell>
          <cell r="P7265" t="str">
            <v>81111101-52121309</v>
          </cell>
          <cell r="S7265" t="str">
            <v>2026A-08</v>
          </cell>
          <cell r="T7265" t="str">
            <v>Uniform</v>
          </cell>
        </row>
        <row r="7266">
          <cell r="K7266">
            <v>100000</v>
          </cell>
          <cell r="P7266" t="str">
            <v>81111101-52121309</v>
          </cell>
          <cell r="S7266" t="str">
            <v>2026A-08</v>
          </cell>
          <cell r="T7266" t="str">
            <v>Uniform</v>
          </cell>
        </row>
        <row r="7267">
          <cell r="K7267">
            <v>73684.22</v>
          </cell>
          <cell r="P7267" t="str">
            <v>90122101-52071104</v>
          </cell>
          <cell r="S7267" t="str">
            <v>2026A-08</v>
          </cell>
          <cell r="T7267" t="str">
            <v>OLC INTCNSLTNT</v>
          </cell>
        </row>
        <row r="7268">
          <cell r="K7268">
            <v>300</v>
          </cell>
          <cell r="P7268" t="str">
            <v>90111204-61091101</v>
          </cell>
          <cell r="S7268" t="str">
            <v>2026A-08</v>
          </cell>
          <cell r="T7268" t="str">
            <v>Meetings</v>
          </cell>
        </row>
        <row r="7269">
          <cell r="K7269">
            <v>2229.0500000000002</v>
          </cell>
          <cell r="P7269" t="str">
            <v>90111204-61091102</v>
          </cell>
          <cell r="S7269" t="str">
            <v>2026A-08</v>
          </cell>
          <cell r="T7269" t="str">
            <v>Meetings</v>
          </cell>
        </row>
        <row r="7270">
          <cell r="K7270">
            <v>5570.67</v>
          </cell>
          <cell r="P7270" t="str">
            <v>81319101-52041405</v>
          </cell>
          <cell r="S7270" t="str">
            <v>2026A-08</v>
          </cell>
          <cell r="T7270" t="str">
            <v>TS</v>
          </cell>
        </row>
        <row r="7271">
          <cell r="K7271">
            <v>52554.78</v>
          </cell>
          <cell r="P7271" t="str">
            <v>90111101-52041495</v>
          </cell>
          <cell r="S7271" t="str">
            <v>2026A-08</v>
          </cell>
          <cell r="T7271" t="str">
            <v>BDO CMC</v>
          </cell>
        </row>
        <row r="7272">
          <cell r="K7272">
            <v>-62410.720000000001</v>
          </cell>
          <cell r="P7272" t="str">
            <v>81123102-52951101</v>
          </cell>
          <cell r="S7272" t="str">
            <v>2026A-08</v>
          </cell>
          <cell r="T7272" t="str">
            <v>Mobile Phones</v>
          </cell>
        </row>
        <row r="7273">
          <cell r="K7273">
            <v>10000</v>
          </cell>
          <cell r="P7273" t="str">
            <v>90122101-52121402</v>
          </cell>
          <cell r="S7273" t="str">
            <v>2026A-08</v>
          </cell>
          <cell r="T7273" t="str">
            <v>Bereavement Assistance</v>
          </cell>
        </row>
        <row r="7274">
          <cell r="K7274">
            <v>5950</v>
          </cell>
          <cell r="P7274" t="str">
            <v>81122101-52121402</v>
          </cell>
          <cell r="S7274" t="str">
            <v>2026A-08</v>
          </cell>
          <cell r="T7274" t="str">
            <v>Bereavement Assistance</v>
          </cell>
        </row>
        <row r="7275">
          <cell r="K7275">
            <v>250</v>
          </cell>
          <cell r="P7275" t="str">
            <v>81123102-52061105</v>
          </cell>
          <cell r="S7275" t="str">
            <v>2026A-08</v>
          </cell>
          <cell r="T7275" t="str">
            <v>R&amp;M Vehicle</v>
          </cell>
        </row>
        <row r="7276">
          <cell r="K7276">
            <v>1883</v>
          </cell>
          <cell r="P7276" t="str">
            <v>81123102-52061105</v>
          </cell>
          <cell r="S7276" t="str">
            <v>2026A-08</v>
          </cell>
          <cell r="T7276" t="str">
            <v>R&amp;M Vehicle</v>
          </cell>
        </row>
        <row r="7277">
          <cell r="K7277">
            <v>2359</v>
          </cell>
          <cell r="P7277" t="str">
            <v>81123102-52061105</v>
          </cell>
          <cell r="S7277" t="str">
            <v>2026A-08</v>
          </cell>
          <cell r="T7277" t="str">
            <v>R&amp;M Vehicle</v>
          </cell>
        </row>
        <row r="7278">
          <cell r="K7278">
            <v>100</v>
          </cell>
          <cell r="P7278" t="str">
            <v>81123102-52081101</v>
          </cell>
          <cell r="S7278" t="str">
            <v>2026A-08</v>
          </cell>
          <cell r="T7278" t="str">
            <v>Parking</v>
          </cell>
        </row>
        <row r="7279">
          <cell r="K7279">
            <v>10</v>
          </cell>
          <cell r="P7279" t="str">
            <v>81123102-52081101</v>
          </cell>
          <cell r="S7279" t="str">
            <v>2026A-08</v>
          </cell>
          <cell r="T7279" t="str">
            <v>Parking</v>
          </cell>
        </row>
        <row r="7280">
          <cell r="K7280">
            <v>90</v>
          </cell>
          <cell r="P7280" t="str">
            <v>81123102-52081101</v>
          </cell>
          <cell r="S7280" t="str">
            <v>2026A-08</v>
          </cell>
          <cell r="T7280" t="str">
            <v>Parking</v>
          </cell>
        </row>
        <row r="7281">
          <cell r="K7281">
            <v>135</v>
          </cell>
          <cell r="P7281" t="str">
            <v>81123102-52081101</v>
          </cell>
          <cell r="S7281" t="str">
            <v>2026A-08</v>
          </cell>
          <cell r="T7281" t="str">
            <v>Parking</v>
          </cell>
        </row>
        <row r="7282">
          <cell r="K7282">
            <v>60</v>
          </cell>
          <cell r="P7282" t="str">
            <v>81123102-52081101</v>
          </cell>
          <cell r="S7282" t="str">
            <v>2026A-08</v>
          </cell>
          <cell r="T7282" t="str">
            <v>Parking</v>
          </cell>
        </row>
        <row r="7283">
          <cell r="K7283">
            <v>25</v>
          </cell>
          <cell r="P7283" t="str">
            <v>81123102-52081101</v>
          </cell>
          <cell r="S7283" t="str">
            <v>2026A-08</v>
          </cell>
          <cell r="T7283" t="str">
            <v>Parking</v>
          </cell>
        </row>
        <row r="7284">
          <cell r="K7284">
            <v>60</v>
          </cell>
          <cell r="P7284" t="str">
            <v>81123102-52081101</v>
          </cell>
          <cell r="S7284" t="str">
            <v>2026A-08</v>
          </cell>
          <cell r="T7284" t="str">
            <v>Parking</v>
          </cell>
        </row>
        <row r="7285">
          <cell r="K7285">
            <v>60</v>
          </cell>
          <cell r="P7285" t="str">
            <v>81123102-52081101</v>
          </cell>
          <cell r="S7285" t="str">
            <v>2026A-08</v>
          </cell>
          <cell r="T7285" t="str">
            <v>Parking</v>
          </cell>
        </row>
        <row r="7286">
          <cell r="K7286">
            <v>50</v>
          </cell>
          <cell r="P7286" t="str">
            <v>81123102-52081101</v>
          </cell>
          <cell r="S7286" t="str">
            <v>2026A-08</v>
          </cell>
          <cell r="T7286" t="str">
            <v>Parking</v>
          </cell>
        </row>
        <row r="7287">
          <cell r="K7287">
            <v>150</v>
          </cell>
          <cell r="P7287" t="str">
            <v>81123102-52081103</v>
          </cell>
          <cell r="S7287" t="str">
            <v>2026A-08</v>
          </cell>
          <cell r="T7287" t="str">
            <v>Meal Allowance</v>
          </cell>
        </row>
        <row r="7288">
          <cell r="K7288">
            <v>150</v>
          </cell>
          <cell r="P7288" t="str">
            <v>81123102-52081103</v>
          </cell>
          <cell r="S7288" t="str">
            <v>2026A-08</v>
          </cell>
          <cell r="T7288" t="str">
            <v>Meal Allowance</v>
          </cell>
        </row>
        <row r="7289">
          <cell r="K7289">
            <v>150</v>
          </cell>
          <cell r="P7289" t="str">
            <v>81123102-52081103</v>
          </cell>
          <cell r="S7289" t="str">
            <v>2026A-08</v>
          </cell>
          <cell r="T7289" t="str">
            <v>Meal Allowance</v>
          </cell>
        </row>
        <row r="7290">
          <cell r="K7290">
            <v>150</v>
          </cell>
          <cell r="P7290" t="str">
            <v>81123102-52081103</v>
          </cell>
          <cell r="S7290" t="str">
            <v>2026A-08</v>
          </cell>
          <cell r="T7290" t="str">
            <v>Meal Allowance</v>
          </cell>
        </row>
        <row r="7291">
          <cell r="K7291">
            <v>150</v>
          </cell>
          <cell r="P7291" t="str">
            <v>81123102-52081103</v>
          </cell>
          <cell r="S7291" t="str">
            <v>2026A-08</v>
          </cell>
          <cell r="T7291" t="str">
            <v>Meal Allowance</v>
          </cell>
        </row>
        <row r="7292">
          <cell r="K7292">
            <v>150</v>
          </cell>
          <cell r="P7292" t="str">
            <v>81123102-52081103</v>
          </cell>
          <cell r="S7292" t="str">
            <v>2026A-08</v>
          </cell>
          <cell r="T7292" t="str">
            <v>Meal Allowance</v>
          </cell>
        </row>
        <row r="7293">
          <cell r="K7293">
            <v>150</v>
          </cell>
          <cell r="P7293" t="str">
            <v>81123102-52081103</v>
          </cell>
          <cell r="S7293" t="str">
            <v>2026A-08</v>
          </cell>
          <cell r="T7293" t="str">
            <v>Meal Allowance</v>
          </cell>
        </row>
        <row r="7294">
          <cell r="K7294">
            <v>882</v>
          </cell>
          <cell r="P7294" t="str">
            <v>81111204-52091102</v>
          </cell>
          <cell r="S7294" t="str">
            <v>2026A-08</v>
          </cell>
          <cell r="T7294" t="str">
            <v>Meetings</v>
          </cell>
        </row>
        <row r="7295">
          <cell r="K7295">
            <v>73.5</v>
          </cell>
          <cell r="P7295" t="str">
            <v>81111204-52091102</v>
          </cell>
          <cell r="S7295" t="str">
            <v>2026A-08</v>
          </cell>
          <cell r="T7295" t="str">
            <v>Meetings</v>
          </cell>
        </row>
        <row r="7296">
          <cell r="K7296">
            <v>600</v>
          </cell>
          <cell r="P7296" t="str">
            <v>81123102-52111101</v>
          </cell>
          <cell r="S7296" t="str">
            <v>2026A-08</v>
          </cell>
          <cell r="T7296" t="str">
            <v>Office Supplies - Others</v>
          </cell>
        </row>
        <row r="7297">
          <cell r="K7297">
            <v>201</v>
          </cell>
          <cell r="P7297" t="str">
            <v>81123102-52119101</v>
          </cell>
          <cell r="S7297" t="str">
            <v>2026A-08</v>
          </cell>
          <cell r="T7297" t="str">
            <v>Gas/fuel</v>
          </cell>
        </row>
        <row r="7298">
          <cell r="K7298">
            <v>250</v>
          </cell>
          <cell r="P7298" t="str">
            <v>81123102-52119101</v>
          </cell>
          <cell r="S7298" t="str">
            <v>2026A-08</v>
          </cell>
          <cell r="T7298" t="str">
            <v>Gas/fuel</v>
          </cell>
        </row>
        <row r="7299">
          <cell r="K7299">
            <v>269</v>
          </cell>
          <cell r="P7299" t="str">
            <v>81123102-52119101</v>
          </cell>
          <cell r="S7299" t="str">
            <v>2026A-08</v>
          </cell>
          <cell r="T7299" t="str">
            <v>Gas/fuel</v>
          </cell>
        </row>
        <row r="7300">
          <cell r="K7300">
            <v>237</v>
          </cell>
          <cell r="P7300" t="str">
            <v>81123102-52119101</v>
          </cell>
          <cell r="S7300" t="str">
            <v>2026A-08</v>
          </cell>
          <cell r="T7300" t="str">
            <v>Gas/fuel</v>
          </cell>
        </row>
        <row r="7301">
          <cell r="K7301">
            <v>153</v>
          </cell>
          <cell r="P7301" t="str">
            <v>81123102-52119101</v>
          </cell>
          <cell r="S7301" t="str">
            <v>2026A-08</v>
          </cell>
          <cell r="T7301" t="str">
            <v>Gas/fuel</v>
          </cell>
        </row>
        <row r="7302">
          <cell r="K7302">
            <v>274</v>
          </cell>
          <cell r="P7302" t="str">
            <v>81123102-52119101</v>
          </cell>
          <cell r="S7302" t="str">
            <v>2026A-08</v>
          </cell>
          <cell r="T7302" t="str">
            <v>Gas/fuel</v>
          </cell>
        </row>
        <row r="7303">
          <cell r="K7303">
            <v>291</v>
          </cell>
          <cell r="P7303" t="str">
            <v>81123102-52119101</v>
          </cell>
          <cell r="S7303" t="str">
            <v>2026A-08</v>
          </cell>
          <cell r="T7303" t="str">
            <v>Gas/fuel</v>
          </cell>
        </row>
        <row r="7304">
          <cell r="K7304">
            <v>293</v>
          </cell>
          <cell r="P7304" t="str">
            <v>81123102-52119101</v>
          </cell>
          <cell r="S7304" t="str">
            <v>2026A-08</v>
          </cell>
          <cell r="T7304" t="str">
            <v>Gas/fuel</v>
          </cell>
        </row>
        <row r="7305">
          <cell r="K7305">
            <v>428</v>
          </cell>
          <cell r="P7305" t="str">
            <v>81123102-52119101</v>
          </cell>
          <cell r="S7305" t="str">
            <v>2026A-08</v>
          </cell>
          <cell r="T7305" t="str">
            <v>Gas/fuel</v>
          </cell>
        </row>
        <row r="7306">
          <cell r="K7306">
            <v>460</v>
          </cell>
          <cell r="P7306" t="str">
            <v>81123102-52119101</v>
          </cell>
          <cell r="S7306" t="str">
            <v>2026A-08</v>
          </cell>
          <cell r="T7306" t="str">
            <v>Gas/fuel</v>
          </cell>
        </row>
        <row r="7307">
          <cell r="K7307">
            <v>443</v>
          </cell>
          <cell r="P7307" t="str">
            <v>81123102-52119101</v>
          </cell>
          <cell r="S7307" t="str">
            <v>2026A-08</v>
          </cell>
          <cell r="T7307" t="str">
            <v>Gas/fuel</v>
          </cell>
        </row>
        <row r="7308">
          <cell r="K7308">
            <v>250</v>
          </cell>
          <cell r="P7308" t="str">
            <v>81123102-52119101</v>
          </cell>
          <cell r="S7308" t="str">
            <v>2026A-08</v>
          </cell>
          <cell r="T7308" t="str">
            <v>Gas/fuel</v>
          </cell>
        </row>
        <row r="7309">
          <cell r="K7309">
            <v>315</v>
          </cell>
          <cell r="P7309" t="str">
            <v>81123102-52119101</v>
          </cell>
          <cell r="S7309" t="str">
            <v>2026A-08</v>
          </cell>
          <cell r="T7309" t="str">
            <v>Gas/fuel</v>
          </cell>
        </row>
        <row r="7310">
          <cell r="K7310">
            <v>323</v>
          </cell>
          <cell r="P7310" t="str">
            <v>81123102-52119101</v>
          </cell>
          <cell r="S7310" t="str">
            <v>2026A-08</v>
          </cell>
          <cell r="T7310" t="str">
            <v>Gas/fuel</v>
          </cell>
        </row>
        <row r="7311">
          <cell r="K7311">
            <v>254</v>
          </cell>
          <cell r="P7311" t="str">
            <v>81123102-52119101</v>
          </cell>
          <cell r="S7311" t="str">
            <v>2026A-08</v>
          </cell>
          <cell r="T7311" t="str">
            <v>Gas/fuel</v>
          </cell>
        </row>
        <row r="7312">
          <cell r="K7312">
            <v>383</v>
          </cell>
          <cell r="P7312" t="str">
            <v>81123102-52119101</v>
          </cell>
          <cell r="S7312" t="str">
            <v>2026A-08</v>
          </cell>
          <cell r="T7312" t="str">
            <v>Gas/fuel</v>
          </cell>
        </row>
        <row r="7313">
          <cell r="K7313">
            <v>317</v>
          </cell>
          <cell r="P7313" t="str">
            <v>81123102-52119101</v>
          </cell>
          <cell r="S7313" t="str">
            <v>2026A-08</v>
          </cell>
          <cell r="T7313" t="str">
            <v>Gas/fuel</v>
          </cell>
        </row>
        <row r="7314">
          <cell r="K7314">
            <v>304</v>
          </cell>
          <cell r="P7314" t="str">
            <v>81123102-52119101</v>
          </cell>
          <cell r="S7314" t="str">
            <v>2026A-08</v>
          </cell>
          <cell r="T7314" t="str">
            <v>Gas/fuel</v>
          </cell>
        </row>
        <row r="7315">
          <cell r="K7315">
            <v>378</v>
          </cell>
          <cell r="P7315" t="str">
            <v>81123102-52119101</v>
          </cell>
          <cell r="S7315" t="str">
            <v>2026A-08</v>
          </cell>
          <cell r="T7315" t="str">
            <v>Gas/fuel</v>
          </cell>
        </row>
        <row r="7316">
          <cell r="K7316">
            <v>1042.5</v>
          </cell>
          <cell r="P7316" t="str">
            <v>81123102-52951101</v>
          </cell>
          <cell r="S7316" t="str">
            <v>2026A-08</v>
          </cell>
          <cell r="T7316" t="str">
            <v>Mobile Phones</v>
          </cell>
        </row>
        <row r="7317">
          <cell r="K7317">
            <v>747.77</v>
          </cell>
          <cell r="P7317" t="str">
            <v>81123102-52061103</v>
          </cell>
          <cell r="S7317" t="str">
            <v>2026A-08</v>
          </cell>
          <cell r="T7317" t="str">
            <v>R&amp;M - Building</v>
          </cell>
        </row>
        <row r="7318">
          <cell r="K7318">
            <v>34.82</v>
          </cell>
          <cell r="P7318" t="str">
            <v>81123102-52111101</v>
          </cell>
          <cell r="S7318" t="str">
            <v>2026A-08</v>
          </cell>
          <cell r="T7318" t="str">
            <v>Office Supplies - Others</v>
          </cell>
        </row>
        <row r="7319">
          <cell r="K7319">
            <v>267.86</v>
          </cell>
          <cell r="P7319" t="str">
            <v>81123102-52111101</v>
          </cell>
          <cell r="S7319" t="str">
            <v>2026A-08</v>
          </cell>
          <cell r="T7319" t="str">
            <v>Office Supplies - Others</v>
          </cell>
        </row>
        <row r="7320">
          <cell r="K7320">
            <v>642.86</v>
          </cell>
          <cell r="P7320" t="str">
            <v>81123102-52111101</v>
          </cell>
          <cell r="S7320" t="str">
            <v>2026A-08</v>
          </cell>
          <cell r="T7320" t="str">
            <v>Office Supplies - Others</v>
          </cell>
        </row>
        <row r="7321">
          <cell r="K7321">
            <v>133.93</v>
          </cell>
          <cell r="P7321" t="str">
            <v>81123102-52111101</v>
          </cell>
          <cell r="S7321" t="str">
            <v>2026A-08</v>
          </cell>
          <cell r="T7321" t="str">
            <v>Office Supplies - Others</v>
          </cell>
        </row>
        <row r="7322">
          <cell r="K7322">
            <v>357.14</v>
          </cell>
          <cell r="P7322" t="str">
            <v>81123102-52111101</v>
          </cell>
          <cell r="S7322" t="str">
            <v>2026A-08</v>
          </cell>
          <cell r="T7322" t="str">
            <v>Office Supplies - Others</v>
          </cell>
        </row>
        <row r="7323">
          <cell r="K7323">
            <v>160.71</v>
          </cell>
          <cell r="P7323" t="str">
            <v>81123102-52111101</v>
          </cell>
          <cell r="S7323" t="str">
            <v>2026A-08</v>
          </cell>
          <cell r="T7323" t="str">
            <v>Office Supplies - Others</v>
          </cell>
        </row>
        <row r="7324">
          <cell r="K7324">
            <v>1321.43</v>
          </cell>
          <cell r="P7324" t="str">
            <v>81123102-52111101</v>
          </cell>
          <cell r="S7324" t="str">
            <v>2026A-08</v>
          </cell>
          <cell r="T7324" t="str">
            <v>Office Supplies - Others</v>
          </cell>
        </row>
        <row r="7325">
          <cell r="K7325">
            <v>2767.86</v>
          </cell>
          <cell r="P7325" t="str">
            <v>81123102-52111101</v>
          </cell>
          <cell r="S7325" t="str">
            <v>2026A-08</v>
          </cell>
          <cell r="T7325" t="str">
            <v>Office Supplies - Others</v>
          </cell>
        </row>
        <row r="7326">
          <cell r="K7326">
            <v>736.61</v>
          </cell>
          <cell r="P7326" t="str">
            <v>81123102-52111101</v>
          </cell>
          <cell r="S7326" t="str">
            <v>2026A-08</v>
          </cell>
          <cell r="T7326" t="str">
            <v>Office Supplies - Others</v>
          </cell>
        </row>
        <row r="7327">
          <cell r="K7327">
            <v>64.290000000000006</v>
          </cell>
          <cell r="P7327" t="str">
            <v>81123102-52111101</v>
          </cell>
          <cell r="S7327" t="str">
            <v>2026A-08</v>
          </cell>
          <cell r="T7327" t="str">
            <v>Office Supplies - Others</v>
          </cell>
        </row>
        <row r="7328">
          <cell r="K7328">
            <v>1964.29</v>
          </cell>
          <cell r="P7328" t="str">
            <v>81123102-52111101</v>
          </cell>
          <cell r="S7328" t="str">
            <v>2026A-08</v>
          </cell>
          <cell r="T7328" t="str">
            <v>Office Supplies - Others</v>
          </cell>
        </row>
        <row r="7329">
          <cell r="K7329">
            <v>35.71</v>
          </cell>
          <cell r="P7329" t="str">
            <v>81123102-52111101</v>
          </cell>
          <cell r="S7329" t="str">
            <v>2026A-08</v>
          </cell>
          <cell r="T7329" t="str">
            <v>Office Supplies - Others</v>
          </cell>
        </row>
        <row r="7330">
          <cell r="K7330">
            <v>366.07</v>
          </cell>
          <cell r="P7330" t="str">
            <v>81123102-52111101</v>
          </cell>
          <cell r="S7330" t="str">
            <v>2026A-08</v>
          </cell>
          <cell r="T7330" t="str">
            <v>Office Supplies - Others</v>
          </cell>
        </row>
        <row r="7331">
          <cell r="K7331">
            <v>98.21</v>
          </cell>
          <cell r="P7331" t="str">
            <v>81123102-52111101</v>
          </cell>
          <cell r="S7331" t="str">
            <v>2026A-08</v>
          </cell>
          <cell r="T7331" t="str">
            <v>Office Supplies - Others</v>
          </cell>
        </row>
        <row r="7332">
          <cell r="K7332">
            <v>500</v>
          </cell>
          <cell r="P7332" t="str">
            <v>81123102-52111101</v>
          </cell>
          <cell r="S7332" t="str">
            <v>2026A-08</v>
          </cell>
          <cell r="T7332" t="str">
            <v>Office Supplies - Others</v>
          </cell>
        </row>
        <row r="7333">
          <cell r="K7333">
            <v>96.43</v>
          </cell>
          <cell r="P7333" t="str">
            <v>81123102-52111101</v>
          </cell>
          <cell r="S7333" t="str">
            <v>2026A-08</v>
          </cell>
          <cell r="T7333" t="str">
            <v>Office Supplies - Others</v>
          </cell>
        </row>
        <row r="7334">
          <cell r="K7334">
            <v>102.68</v>
          </cell>
          <cell r="P7334" t="str">
            <v>81123102-52111101</v>
          </cell>
          <cell r="S7334" t="str">
            <v>2026A-08</v>
          </cell>
          <cell r="T7334" t="str">
            <v>Office Supplies - Others</v>
          </cell>
        </row>
        <row r="7335">
          <cell r="K7335">
            <v>794.64</v>
          </cell>
          <cell r="P7335" t="str">
            <v>81123102-52111101</v>
          </cell>
          <cell r="S7335" t="str">
            <v>2026A-08</v>
          </cell>
          <cell r="T7335" t="str">
            <v>Office Supplies - Others</v>
          </cell>
        </row>
        <row r="7336">
          <cell r="K7336">
            <v>58.93</v>
          </cell>
          <cell r="P7336" t="str">
            <v>81123102-52111101</v>
          </cell>
          <cell r="S7336" t="str">
            <v>2026A-08</v>
          </cell>
          <cell r="T7336" t="str">
            <v>Office Supplies - Others</v>
          </cell>
        </row>
        <row r="7337">
          <cell r="K7337">
            <v>17.86</v>
          </cell>
          <cell r="P7337" t="str">
            <v>81123102-52111101</v>
          </cell>
          <cell r="S7337" t="str">
            <v>2026A-08</v>
          </cell>
          <cell r="T7337" t="str">
            <v>Office Supplies - Others</v>
          </cell>
        </row>
        <row r="7338">
          <cell r="K7338">
            <v>169.64</v>
          </cell>
          <cell r="P7338" t="str">
            <v>81123102-52111101</v>
          </cell>
          <cell r="S7338" t="str">
            <v>2026A-08</v>
          </cell>
          <cell r="T7338" t="str">
            <v>Office Supplies - Others</v>
          </cell>
        </row>
        <row r="7339">
          <cell r="K7339">
            <v>825.89</v>
          </cell>
          <cell r="P7339" t="str">
            <v>81123102-52111101</v>
          </cell>
          <cell r="S7339" t="str">
            <v>2026A-08</v>
          </cell>
          <cell r="T7339" t="str">
            <v>Office Supplies - Others</v>
          </cell>
        </row>
        <row r="7340">
          <cell r="K7340">
            <v>96.43</v>
          </cell>
          <cell r="P7340" t="str">
            <v>81123102-52111101</v>
          </cell>
          <cell r="S7340" t="str">
            <v>2026A-08</v>
          </cell>
          <cell r="T7340" t="str">
            <v>Office Supplies - Others</v>
          </cell>
        </row>
        <row r="7341">
          <cell r="K7341">
            <v>34.82</v>
          </cell>
          <cell r="P7341" t="str">
            <v>81123102-52111101</v>
          </cell>
          <cell r="S7341" t="str">
            <v>2026A-08</v>
          </cell>
          <cell r="T7341" t="str">
            <v>Office Supplies - Others</v>
          </cell>
        </row>
        <row r="7342">
          <cell r="K7342">
            <v>66.959999999999994</v>
          </cell>
          <cell r="P7342" t="str">
            <v>81123102-52111101</v>
          </cell>
          <cell r="S7342" t="str">
            <v>2026A-08</v>
          </cell>
          <cell r="T7342" t="str">
            <v>Office Supplies - Others</v>
          </cell>
        </row>
        <row r="7343">
          <cell r="K7343">
            <v>92.14</v>
          </cell>
          <cell r="P7343" t="str">
            <v>81123102-52111101</v>
          </cell>
          <cell r="S7343" t="str">
            <v>2026A-08</v>
          </cell>
          <cell r="T7343" t="str">
            <v>Office Supplies - Others</v>
          </cell>
        </row>
        <row r="7344">
          <cell r="K7344">
            <v>49.55</v>
          </cell>
          <cell r="P7344" t="str">
            <v>81123102-52111101</v>
          </cell>
          <cell r="S7344" t="str">
            <v>2026A-08</v>
          </cell>
          <cell r="T7344" t="str">
            <v>Office Supplies - Others</v>
          </cell>
        </row>
        <row r="7345">
          <cell r="K7345">
            <v>71.430000000000007</v>
          </cell>
          <cell r="P7345" t="str">
            <v>81123102-52111101</v>
          </cell>
          <cell r="S7345" t="str">
            <v>2026A-08</v>
          </cell>
          <cell r="T7345" t="str">
            <v>Office Supplies - Others</v>
          </cell>
        </row>
        <row r="7346">
          <cell r="K7346">
            <v>214.29</v>
          </cell>
          <cell r="P7346" t="str">
            <v>81123102-52111101</v>
          </cell>
          <cell r="S7346" t="str">
            <v>2026A-08</v>
          </cell>
          <cell r="T7346" t="str">
            <v>Office Supplies - Others</v>
          </cell>
        </row>
        <row r="7347">
          <cell r="K7347">
            <v>142.86000000000001</v>
          </cell>
          <cell r="P7347" t="str">
            <v>81123102-52111101</v>
          </cell>
          <cell r="S7347" t="str">
            <v>2026A-08</v>
          </cell>
          <cell r="T7347" t="str">
            <v>Office Supplies - Others</v>
          </cell>
        </row>
        <row r="7348">
          <cell r="K7348">
            <v>57.14</v>
          </cell>
          <cell r="P7348" t="str">
            <v>81123102-52111101</v>
          </cell>
          <cell r="S7348" t="str">
            <v>2026A-08</v>
          </cell>
          <cell r="T7348" t="str">
            <v>Office Supplies - Others</v>
          </cell>
        </row>
        <row r="7349">
          <cell r="K7349">
            <v>25</v>
          </cell>
          <cell r="P7349" t="str">
            <v>81123102-52111101</v>
          </cell>
          <cell r="S7349" t="str">
            <v>2026A-08</v>
          </cell>
          <cell r="T7349" t="str">
            <v>Office Supplies - Others</v>
          </cell>
        </row>
        <row r="7350">
          <cell r="K7350">
            <v>33.93</v>
          </cell>
          <cell r="P7350" t="str">
            <v>81123102-52111101</v>
          </cell>
          <cell r="S7350" t="str">
            <v>2026A-08</v>
          </cell>
          <cell r="T7350" t="str">
            <v>Office Supplies - Others</v>
          </cell>
        </row>
        <row r="7351">
          <cell r="K7351">
            <v>30.8</v>
          </cell>
          <cell r="P7351" t="str">
            <v>81123102-52111101</v>
          </cell>
          <cell r="S7351" t="str">
            <v>2026A-08</v>
          </cell>
          <cell r="T7351" t="str">
            <v>Office Supplies - Others</v>
          </cell>
        </row>
        <row r="7352">
          <cell r="K7352">
            <v>64.290000000000006</v>
          </cell>
          <cell r="P7352" t="str">
            <v>81123102-52111101</v>
          </cell>
          <cell r="S7352" t="str">
            <v>2026A-08</v>
          </cell>
          <cell r="T7352" t="str">
            <v>Office Supplies - Others</v>
          </cell>
        </row>
        <row r="7353">
          <cell r="K7353">
            <v>72.319999999999993</v>
          </cell>
          <cell r="P7353" t="str">
            <v>81123102-52111101</v>
          </cell>
          <cell r="S7353" t="str">
            <v>2026A-08</v>
          </cell>
          <cell r="T7353" t="str">
            <v>Office Supplies - Others</v>
          </cell>
        </row>
        <row r="7354">
          <cell r="K7354">
            <v>375</v>
          </cell>
          <cell r="P7354" t="str">
            <v>81123102-52111101</v>
          </cell>
          <cell r="S7354" t="str">
            <v>2026A-08</v>
          </cell>
          <cell r="T7354" t="str">
            <v>Office Supplies - Others</v>
          </cell>
        </row>
        <row r="7355">
          <cell r="K7355">
            <v>107.14</v>
          </cell>
          <cell r="P7355" t="str">
            <v>81123102-52111101</v>
          </cell>
          <cell r="S7355" t="str">
            <v>2026A-08</v>
          </cell>
          <cell r="T7355" t="str">
            <v>Office Supplies - Others</v>
          </cell>
        </row>
        <row r="7356">
          <cell r="K7356">
            <v>107.14</v>
          </cell>
          <cell r="P7356" t="str">
            <v>81123102-52111101</v>
          </cell>
          <cell r="S7356" t="str">
            <v>2026A-08</v>
          </cell>
          <cell r="T7356" t="str">
            <v>Office Supplies - Others</v>
          </cell>
        </row>
        <row r="7357">
          <cell r="K7357">
            <v>107.14</v>
          </cell>
          <cell r="P7357" t="str">
            <v>81123102-52111101</v>
          </cell>
          <cell r="S7357" t="str">
            <v>2026A-08</v>
          </cell>
          <cell r="T7357" t="str">
            <v>Office Supplies - Others</v>
          </cell>
        </row>
        <row r="7358">
          <cell r="K7358">
            <v>107.14</v>
          </cell>
          <cell r="P7358" t="str">
            <v>81123102-52111101</v>
          </cell>
          <cell r="S7358" t="str">
            <v>2026A-08</v>
          </cell>
          <cell r="T7358" t="str">
            <v>Office Supplies - Others</v>
          </cell>
        </row>
        <row r="7359">
          <cell r="K7359">
            <v>62.5</v>
          </cell>
          <cell r="P7359" t="str">
            <v>81123102-52111101</v>
          </cell>
          <cell r="S7359" t="str">
            <v>2026A-08</v>
          </cell>
          <cell r="T7359" t="str">
            <v>Office Supplies - Others</v>
          </cell>
        </row>
        <row r="7360">
          <cell r="K7360">
            <v>335.71</v>
          </cell>
          <cell r="P7360" t="str">
            <v>81123102-52111101</v>
          </cell>
          <cell r="S7360" t="str">
            <v>2026A-08</v>
          </cell>
          <cell r="T7360" t="str">
            <v>Office Supplies - Others</v>
          </cell>
        </row>
        <row r="7361">
          <cell r="K7361">
            <v>1285.71</v>
          </cell>
          <cell r="P7361" t="str">
            <v>81123102-52111101</v>
          </cell>
          <cell r="S7361" t="str">
            <v>2026A-08</v>
          </cell>
          <cell r="T7361" t="str">
            <v>Office Supplies - Others</v>
          </cell>
        </row>
        <row r="7362">
          <cell r="K7362">
            <v>1114.29</v>
          </cell>
          <cell r="P7362" t="str">
            <v>81123102-52111101</v>
          </cell>
          <cell r="S7362" t="str">
            <v>2026A-08</v>
          </cell>
          <cell r="T7362" t="str">
            <v>Office Supplies - Others</v>
          </cell>
        </row>
        <row r="7363">
          <cell r="K7363">
            <v>82.14</v>
          </cell>
          <cell r="P7363" t="str">
            <v>81123102-52111101</v>
          </cell>
          <cell r="S7363" t="str">
            <v>2026A-08</v>
          </cell>
          <cell r="T7363" t="str">
            <v>Office Supplies - Others</v>
          </cell>
        </row>
        <row r="7364">
          <cell r="K7364">
            <v>214.29</v>
          </cell>
          <cell r="P7364" t="str">
            <v>81123102-52111101</v>
          </cell>
          <cell r="S7364" t="str">
            <v>2026A-08</v>
          </cell>
          <cell r="T7364" t="str">
            <v>Office Supplies - Others</v>
          </cell>
        </row>
        <row r="7365">
          <cell r="K7365">
            <v>428.57</v>
          </cell>
          <cell r="P7365" t="str">
            <v>81123102-52111101</v>
          </cell>
          <cell r="S7365" t="str">
            <v>2026A-08</v>
          </cell>
          <cell r="T7365" t="str">
            <v>Office Supplies - Others</v>
          </cell>
        </row>
        <row r="7366">
          <cell r="K7366">
            <v>68.75</v>
          </cell>
          <cell r="P7366" t="str">
            <v>81123102-52111101</v>
          </cell>
          <cell r="S7366" t="str">
            <v>2026A-08</v>
          </cell>
          <cell r="T7366" t="str">
            <v>Office Supplies - Others</v>
          </cell>
        </row>
        <row r="7367">
          <cell r="K7367">
            <v>196.43</v>
          </cell>
          <cell r="P7367" t="str">
            <v>81123102-52111101</v>
          </cell>
          <cell r="S7367" t="str">
            <v>2026A-08</v>
          </cell>
          <cell r="T7367" t="str">
            <v>Office Supplies - Others</v>
          </cell>
        </row>
        <row r="7368">
          <cell r="K7368">
            <v>194.64</v>
          </cell>
          <cell r="P7368" t="str">
            <v>81123102-52111101</v>
          </cell>
          <cell r="S7368" t="str">
            <v>2026A-08</v>
          </cell>
          <cell r="T7368" t="str">
            <v>Office Supplies - Others</v>
          </cell>
        </row>
        <row r="7369">
          <cell r="K7369">
            <v>385.71</v>
          </cell>
          <cell r="P7369" t="str">
            <v>81123102-52111101</v>
          </cell>
          <cell r="S7369" t="str">
            <v>2026A-08</v>
          </cell>
          <cell r="T7369" t="str">
            <v>Office Supplies - Others</v>
          </cell>
        </row>
        <row r="7370">
          <cell r="K7370">
            <v>245.54</v>
          </cell>
          <cell r="P7370" t="str">
            <v>81123102-52111101</v>
          </cell>
          <cell r="S7370" t="str">
            <v>2026A-08</v>
          </cell>
          <cell r="T7370" t="str">
            <v>Office Supplies - Others</v>
          </cell>
        </row>
        <row r="7371">
          <cell r="K7371">
            <v>232.14</v>
          </cell>
          <cell r="P7371" t="str">
            <v>81123102-52111101</v>
          </cell>
          <cell r="S7371" t="str">
            <v>2026A-08</v>
          </cell>
          <cell r="T7371" t="str">
            <v>Office Supplies - Others</v>
          </cell>
        </row>
        <row r="7372">
          <cell r="K7372">
            <v>147.32</v>
          </cell>
          <cell r="P7372" t="str">
            <v>81123102-52111101</v>
          </cell>
          <cell r="S7372" t="str">
            <v>2026A-08</v>
          </cell>
          <cell r="T7372" t="str">
            <v>Office Supplies - Others</v>
          </cell>
        </row>
        <row r="7373">
          <cell r="K7373">
            <v>166.25</v>
          </cell>
          <cell r="P7373" t="str">
            <v>81123102-52111101</v>
          </cell>
          <cell r="S7373" t="str">
            <v>2026A-08</v>
          </cell>
          <cell r="T7373" t="str">
            <v>Office Supplies - Others</v>
          </cell>
        </row>
        <row r="7374">
          <cell r="K7374">
            <v>166.25</v>
          </cell>
          <cell r="P7374" t="str">
            <v>81123102-52111101</v>
          </cell>
          <cell r="S7374" t="str">
            <v>2026A-08</v>
          </cell>
          <cell r="T7374" t="str">
            <v>Office Supplies - Others</v>
          </cell>
        </row>
        <row r="7375">
          <cell r="K7375">
            <v>166.25</v>
          </cell>
          <cell r="P7375" t="str">
            <v>81123102-52111101</v>
          </cell>
          <cell r="S7375" t="str">
            <v>2026A-08</v>
          </cell>
          <cell r="T7375" t="str">
            <v>Office Supplies - Others</v>
          </cell>
        </row>
        <row r="7376">
          <cell r="K7376">
            <v>419.64</v>
          </cell>
          <cell r="P7376" t="str">
            <v>81123102-52111101</v>
          </cell>
          <cell r="S7376" t="str">
            <v>2026A-08</v>
          </cell>
          <cell r="T7376" t="str">
            <v>Office Supplies - Others</v>
          </cell>
        </row>
        <row r="7377">
          <cell r="K7377">
            <v>419.64</v>
          </cell>
          <cell r="P7377" t="str">
            <v>81123102-52111101</v>
          </cell>
          <cell r="S7377" t="str">
            <v>2026A-08</v>
          </cell>
          <cell r="T7377" t="str">
            <v>Office Supplies - Others</v>
          </cell>
        </row>
        <row r="7378">
          <cell r="K7378">
            <v>419.64</v>
          </cell>
          <cell r="P7378" t="str">
            <v>81123102-52111101</v>
          </cell>
          <cell r="S7378" t="str">
            <v>2026A-08</v>
          </cell>
          <cell r="T7378" t="str">
            <v>Office Supplies - Others</v>
          </cell>
        </row>
        <row r="7379">
          <cell r="K7379">
            <v>660.71</v>
          </cell>
          <cell r="P7379" t="str">
            <v>81123102-52111101</v>
          </cell>
          <cell r="S7379" t="str">
            <v>2026A-08</v>
          </cell>
          <cell r="T7379" t="str">
            <v>Office Supplies - Others</v>
          </cell>
        </row>
        <row r="7380">
          <cell r="K7380">
            <v>776.79</v>
          </cell>
          <cell r="P7380" t="str">
            <v>81123102-52111101</v>
          </cell>
          <cell r="S7380" t="str">
            <v>2026A-08</v>
          </cell>
          <cell r="T7380" t="str">
            <v>Office Supplies - Others</v>
          </cell>
        </row>
        <row r="7381">
          <cell r="K7381">
            <v>691.96</v>
          </cell>
          <cell r="P7381" t="str">
            <v>81123102-52111101</v>
          </cell>
          <cell r="S7381" t="str">
            <v>2026A-08</v>
          </cell>
          <cell r="T7381" t="str">
            <v>Office Supplies - Others</v>
          </cell>
        </row>
        <row r="7382">
          <cell r="K7382">
            <v>107.14</v>
          </cell>
          <cell r="P7382" t="str">
            <v>81123102-52111101</v>
          </cell>
          <cell r="S7382" t="str">
            <v>2026A-08</v>
          </cell>
          <cell r="T7382" t="str">
            <v>Office Supplies - Others</v>
          </cell>
        </row>
        <row r="7383">
          <cell r="K7383">
            <v>53.57</v>
          </cell>
          <cell r="P7383" t="str">
            <v>81123102-52111101</v>
          </cell>
          <cell r="S7383" t="str">
            <v>2026A-08</v>
          </cell>
          <cell r="T7383" t="str">
            <v>Office Supplies - Others</v>
          </cell>
        </row>
        <row r="7384">
          <cell r="K7384">
            <v>30800</v>
          </cell>
          <cell r="P7384" t="str">
            <v>80111101-61021102</v>
          </cell>
          <cell r="S7384" t="str">
            <v>2026A-08</v>
          </cell>
          <cell r="T7384" t="str">
            <v>Regular Employee</v>
          </cell>
        </row>
        <row r="7385">
          <cell r="K7385">
            <v>50500</v>
          </cell>
          <cell r="P7385" t="str">
            <v>80111101-61021102</v>
          </cell>
          <cell r="S7385" t="str">
            <v>2026A-08</v>
          </cell>
          <cell r="T7385" t="str">
            <v>Regular Employee</v>
          </cell>
        </row>
        <row r="7386">
          <cell r="K7386">
            <v>728200</v>
          </cell>
          <cell r="P7386" t="str">
            <v>80111101-61021102</v>
          </cell>
          <cell r="S7386" t="str">
            <v>2026A-08</v>
          </cell>
          <cell r="T7386" t="str">
            <v>Regular Employee</v>
          </cell>
        </row>
        <row r="7387">
          <cell r="K7387">
            <v>-299.58</v>
          </cell>
          <cell r="P7387" t="str">
            <v>80111101-61021102</v>
          </cell>
          <cell r="S7387" t="str">
            <v>2026A-08</v>
          </cell>
          <cell r="T7387" t="str">
            <v>Regular Employee</v>
          </cell>
        </row>
        <row r="7388">
          <cell r="K7388">
            <v>238150</v>
          </cell>
          <cell r="P7388" t="str">
            <v>80111101-61021102</v>
          </cell>
          <cell r="S7388" t="str">
            <v>2026A-08</v>
          </cell>
          <cell r="T7388" t="str">
            <v>Regular Employee</v>
          </cell>
        </row>
        <row r="7389">
          <cell r="K7389">
            <v>-159.87</v>
          </cell>
          <cell r="P7389" t="str">
            <v>80111101-61021102</v>
          </cell>
          <cell r="S7389" t="str">
            <v>2026A-08</v>
          </cell>
          <cell r="T7389" t="str">
            <v>Regular Employee</v>
          </cell>
        </row>
        <row r="7390">
          <cell r="K7390">
            <v>-15813.2</v>
          </cell>
          <cell r="P7390" t="str">
            <v>80111101-61021102</v>
          </cell>
          <cell r="S7390" t="str">
            <v>2026A-08</v>
          </cell>
          <cell r="T7390" t="str">
            <v>Regular Employee</v>
          </cell>
        </row>
        <row r="7391">
          <cell r="K7391">
            <v>-2381.6999999999998</v>
          </cell>
          <cell r="P7391" t="str">
            <v>80111101-61021102</v>
          </cell>
          <cell r="S7391" t="str">
            <v>2026A-08</v>
          </cell>
          <cell r="T7391" t="str">
            <v>Regular Employee</v>
          </cell>
        </row>
        <row r="7392">
          <cell r="K7392">
            <v>11301.68</v>
          </cell>
          <cell r="P7392" t="str">
            <v>80111101-61021102</v>
          </cell>
          <cell r="S7392" t="str">
            <v>2026A-08</v>
          </cell>
          <cell r="T7392" t="str">
            <v>Regular Employee</v>
          </cell>
        </row>
        <row r="7393">
          <cell r="K7393">
            <v>-1143.8599999999999</v>
          </cell>
          <cell r="P7393" t="str">
            <v>80111101-61021102</v>
          </cell>
          <cell r="S7393" t="str">
            <v>2026A-08</v>
          </cell>
          <cell r="T7393" t="str">
            <v>Regular Employee</v>
          </cell>
        </row>
        <row r="7394">
          <cell r="K7394">
            <v>-3519.49</v>
          </cell>
          <cell r="P7394" t="str">
            <v>80111101-61021102</v>
          </cell>
          <cell r="S7394" t="str">
            <v>2026A-08</v>
          </cell>
          <cell r="T7394" t="str">
            <v>Regular Employee</v>
          </cell>
        </row>
        <row r="7395">
          <cell r="K7395">
            <v>11660.99</v>
          </cell>
          <cell r="P7395" t="str">
            <v>80111101-61021103</v>
          </cell>
          <cell r="S7395" t="str">
            <v>2026A-08</v>
          </cell>
          <cell r="T7395" t="str">
            <v>OT Pay</v>
          </cell>
        </row>
        <row r="7396">
          <cell r="K7396">
            <v>5200</v>
          </cell>
          <cell r="P7396" t="str">
            <v>80111101-61021104</v>
          </cell>
          <cell r="S7396" t="str">
            <v>2026A-08</v>
          </cell>
          <cell r="T7396" t="str">
            <v>OT Pay</v>
          </cell>
        </row>
        <row r="7397">
          <cell r="K7397">
            <v>5200</v>
          </cell>
          <cell r="P7397" t="str">
            <v>80111101-61021104</v>
          </cell>
          <cell r="S7397" t="str">
            <v>2026A-08</v>
          </cell>
          <cell r="T7397" t="str">
            <v>OT Pay</v>
          </cell>
        </row>
        <row r="7398">
          <cell r="K7398">
            <v>400</v>
          </cell>
          <cell r="P7398" t="str">
            <v>80111101-61021306</v>
          </cell>
          <cell r="S7398" t="str">
            <v>2026A-08</v>
          </cell>
          <cell r="T7398" t="str">
            <v>Pag-ibig</v>
          </cell>
        </row>
        <row r="7399">
          <cell r="K7399">
            <v>200</v>
          </cell>
          <cell r="P7399" t="str">
            <v>80111101-61021306</v>
          </cell>
          <cell r="S7399" t="str">
            <v>2026A-08</v>
          </cell>
          <cell r="T7399" t="str">
            <v>Pag-ibig</v>
          </cell>
        </row>
        <row r="7400">
          <cell r="K7400">
            <v>7060</v>
          </cell>
          <cell r="P7400" t="str">
            <v>80111101-61021306</v>
          </cell>
          <cell r="S7400" t="str">
            <v>2026A-08</v>
          </cell>
          <cell r="T7400" t="str">
            <v>SSS</v>
          </cell>
        </row>
        <row r="7401">
          <cell r="K7401">
            <v>3530</v>
          </cell>
          <cell r="P7401" t="str">
            <v>80111101-61021306</v>
          </cell>
          <cell r="S7401" t="str">
            <v>2026A-08</v>
          </cell>
          <cell r="T7401" t="str">
            <v>SSS</v>
          </cell>
        </row>
        <row r="7402">
          <cell r="K7402">
            <v>2000</v>
          </cell>
          <cell r="P7402" t="str">
            <v>80111101-61021306</v>
          </cell>
          <cell r="S7402" t="str">
            <v>2026A-08</v>
          </cell>
          <cell r="T7402" t="str">
            <v>Pag-ibig</v>
          </cell>
        </row>
        <row r="7403">
          <cell r="K7403">
            <v>6600</v>
          </cell>
          <cell r="P7403" t="str">
            <v>80111101-61021306</v>
          </cell>
          <cell r="S7403" t="str">
            <v>2026A-08</v>
          </cell>
          <cell r="T7403" t="str">
            <v>Pag-ibig</v>
          </cell>
        </row>
        <row r="7404">
          <cell r="K7404">
            <v>1540</v>
          </cell>
          <cell r="P7404" t="str">
            <v>80111101-61021306</v>
          </cell>
          <cell r="S7404" t="str">
            <v>2026A-08</v>
          </cell>
          <cell r="T7404" t="str">
            <v>Philhealth</v>
          </cell>
        </row>
        <row r="7405">
          <cell r="K7405">
            <v>2500</v>
          </cell>
          <cell r="P7405" t="str">
            <v>80111101-61021306</v>
          </cell>
          <cell r="S7405" t="str">
            <v>2026A-08</v>
          </cell>
          <cell r="T7405" t="str">
            <v>Philhealth</v>
          </cell>
        </row>
        <row r="7406">
          <cell r="K7406">
            <v>30950</v>
          </cell>
          <cell r="P7406" t="str">
            <v>80111101-61021306</v>
          </cell>
          <cell r="S7406" t="str">
            <v>2026A-08</v>
          </cell>
          <cell r="T7406" t="str">
            <v>SSS</v>
          </cell>
        </row>
        <row r="7407">
          <cell r="K7407">
            <v>10395</v>
          </cell>
          <cell r="P7407" t="str">
            <v>80111101-61021306</v>
          </cell>
          <cell r="S7407" t="str">
            <v>2026A-08</v>
          </cell>
          <cell r="T7407" t="str">
            <v>Philhealth</v>
          </cell>
        </row>
        <row r="7408">
          <cell r="K7408">
            <v>108390</v>
          </cell>
          <cell r="P7408" t="str">
            <v>80111101-61021306</v>
          </cell>
          <cell r="S7408" t="str">
            <v>2026A-08</v>
          </cell>
          <cell r="T7408" t="str">
            <v>SSS</v>
          </cell>
        </row>
        <row r="7409">
          <cell r="K7409">
            <v>33880</v>
          </cell>
          <cell r="P7409" t="str">
            <v>80111101-61021306</v>
          </cell>
          <cell r="S7409" t="str">
            <v>2026A-08</v>
          </cell>
          <cell r="T7409" t="str">
            <v>Philhealth</v>
          </cell>
        </row>
        <row r="7410">
          <cell r="K7410">
            <v>204250</v>
          </cell>
          <cell r="P7410" t="str">
            <v>80111101-61021201</v>
          </cell>
          <cell r="S7410" t="str">
            <v>2026A-08</v>
          </cell>
          <cell r="T7410" t="str">
            <v>Project Employee</v>
          </cell>
        </row>
        <row r="7411">
          <cell r="K7411">
            <v>-5945.1</v>
          </cell>
          <cell r="P7411" t="str">
            <v>80111101-61021201</v>
          </cell>
          <cell r="S7411" t="str">
            <v>2026A-08</v>
          </cell>
          <cell r="T7411" t="str">
            <v>Project Employee</v>
          </cell>
        </row>
        <row r="7412">
          <cell r="K7412">
            <v>-13403.99</v>
          </cell>
          <cell r="P7412" t="str">
            <v>80111101-61021201</v>
          </cell>
          <cell r="S7412" t="str">
            <v>2026A-08</v>
          </cell>
          <cell r="T7412" t="str">
            <v>Project Employee</v>
          </cell>
        </row>
        <row r="7413">
          <cell r="K7413">
            <v>-2766.87</v>
          </cell>
          <cell r="P7413" t="str">
            <v>80111101-61021201</v>
          </cell>
          <cell r="S7413" t="str">
            <v>2026A-08</v>
          </cell>
          <cell r="T7413" t="str">
            <v>Project Employee</v>
          </cell>
        </row>
        <row r="7414">
          <cell r="K7414">
            <v>-784.4</v>
          </cell>
          <cell r="P7414" t="str">
            <v>80111101-61021201</v>
          </cell>
          <cell r="S7414" t="str">
            <v>2026A-08</v>
          </cell>
          <cell r="T7414" t="str">
            <v>Project Employee</v>
          </cell>
        </row>
        <row r="7415">
          <cell r="K7415">
            <v>2629.04</v>
          </cell>
          <cell r="P7415" t="str">
            <v>80111101-61021201</v>
          </cell>
          <cell r="S7415" t="str">
            <v>2026A-08</v>
          </cell>
          <cell r="T7415" t="str">
            <v>Project Employee</v>
          </cell>
        </row>
        <row r="7416">
          <cell r="K7416">
            <v>42739.49</v>
          </cell>
          <cell r="P7416" t="str">
            <v>80111101-61021202</v>
          </cell>
          <cell r="S7416" t="str">
            <v>2026A-08</v>
          </cell>
          <cell r="T7416" t="str">
            <v>Project Employee</v>
          </cell>
        </row>
        <row r="7417">
          <cell r="K7417">
            <v>3000</v>
          </cell>
          <cell r="P7417" t="str">
            <v>80111101-61021306</v>
          </cell>
          <cell r="S7417" t="str">
            <v>2026A-08</v>
          </cell>
          <cell r="T7417" t="str">
            <v>Pag-ibig</v>
          </cell>
        </row>
        <row r="7418">
          <cell r="K7418">
            <v>23010</v>
          </cell>
          <cell r="P7418" t="str">
            <v>80111101-61021306</v>
          </cell>
          <cell r="S7418" t="str">
            <v>2026A-08</v>
          </cell>
          <cell r="T7418" t="str">
            <v>SSS</v>
          </cell>
        </row>
        <row r="7419">
          <cell r="K7419">
            <v>10212.5</v>
          </cell>
          <cell r="P7419" t="str">
            <v>80111101-61021306</v>
          </cell>
          <cell r="S7419" t="str">
            <v>2026A-08</v>
          </cell>
          <cell r="T7419" t="str">
            <v>Philhealth</v>
          </cell>
        </row>
        <row r="7420">
          <cell r="K7420">
            <v>195050</v>
          </cell>
          <cell r="P7420" t="str">
            <v>81111101-52121101</v>
          </cell>
          <cell r="S7420" t="str">
            <v>2026A-08</v>
          </cell>
          <cell r="T7420" t="str">
            <v>Regular Employee</v>
          </cell>
        </row>
        <row r="7421">
          <cell r="K7421">
            <v>1027750</v>
          </cell>
          <cell r="P7421" t="str">
            <v>81111101-52121101</v>
          </cell>
          <cell r="S7421" t="str">
            <v>2026A-08</v>
          </cell>
          <cell r="T7421" t="str">
            <v>Regular Employee</v>
          </cell>
        </row>
        <row r="7422">
          <cell r="K7422">
            <v>225100</v>
          </cell>
          <cell r="P7422" t="str">
            <v>81111101-52121101</v>
          </cell>
          <cell r="S7422" t="str">
            <v>2026A-08</v>
          </cell>
          <cell r="T7422" t="str">
            <v>Regular Employee</v>
          </cell>
        </row>
        <row r="7423">
          <cell r="K7423">
            <v>120900</v>
          </cell>
          <cell r="P7423" t="str">
            <v>81111101-52121101</v>
          </cell>
          <cell r="S7423" t="str">
            <v>2026A-08</v>
          </cell>
          <cell r="T7423" t="str">
            <v>Regular Employee</v>
          </cell>
        </row>
        <row r="7424">
          <cell r="K7424">
            <v>126100</v>
          </cell>
          <cell r="P7424" t="str">
            <v>81111101-52121101</v>
          </cell>
          <cell r="S7424" t="str">
            <v>2026A-08</v>
          </cell>
          <cell r="T7424" t="str">
            <v>Regular Employee</v>
          </cell>
        </row>
        <row r="7425">
          <cell r="K7425">
            <v>4871.05</v>
          </cell>
          <cell r="P7425" t="str">
            <v>81111101-52121101</v>
          </cell>
          <cell r="S7425" t="str">
            <v>2026A-08</v>
          </cell>
          <cell r="T7425" t="str">
            <v>Regular Employee</v>
          </cell>
        </row>
        <row r="7426">
          <cell r="K7426">
            <v>-423.67</v>
          </cell>
          <cell r="P7426" t="str">
            <v>81111101-52121101</v>
          </cell>
          <cell r="S7426" t="str">
            <v>2026A-08</v>
          </cell>
          <cell r="T7426" t="str">
            <v>Regular Employee</v>
          </cell>
        </row>
        <row r="7427">
          <cell r="K7427">
            <v>10644.41</v>
          </cell>
          <cell r="P7427" t="str">
            <v>81111101-52121101</v>
          </cell>
          <cell r="S7427" t="str">
            <v>2026A-08</v>
          </cell>
          <cell r="T7427" t="str">
            <v>Regular Employee</v>
          </cell>
        </row>
        <row r="7428">
          <cell r="K7428">
            <v>-5697.78</v>
          </cell>
          <cell r="P7428" t="str">
            <v>81111101-52121101</v>
          </cell>
          <cell r="S7428" t="str">
            <v>2026A-08</v>
          </cell>
          <cell r="T7428" t="str">
            <v>Regular Employee</v>
          </cell>
        </row>
        <row r="7429">
          <cell r="K7429">
            <v>-1465.67</v>
          </cell>
          <cell r="P7429" t="str">
            <v>81111101-52121101</v>
          </cell>
          <cell r="S7429" t="str">
            <v>2026A-08</v>
          </cell>
          <cell r="T7429" t="str">
            <v>Regular Employee</v>
          </cell>
        </row>
        <row r="7430">
          <cell r="K7430">
            <v>-18355.18</v>
          </cell>
          <cell r="P7430" t="str">
            <v>81111101-52121101</v>
          </cell>
          <cell r="S7430" t="str">
            <v>2026A-08</v>
          </cell>
          <cell r="T7430" t="str">
            <v>Regular Employee</v>
          </cell>
        </row>
        <row r="7431">
          <cell r="K7431">
            <v>-478.21</v>
          </cell>
          <cell r="P7431" t="str">
            <v>81111101-52121101</v>
          </cell>
          <cell r="S7431" t="str">
            <v>2026A-08</v>
          </cell>
          <cell r="T7431" t="str">
            <v>Regular Employee</v>
          </cell>
        </row>
        <row r="7432">
          <cell r="K7432">
            <v>-920.62</v>
          </cell>
          <cell r="P7432" t="str">
            <v>81111101-52121101</v>
          </cell>
          <cell r="S7432" t="str">
            <v>2026A-08</v>
          </cell>
          <cell r="T7432" t="str">
            <v>Regular Employee</v>
          </cell>
        </row>
        <row r="7433">
          <cell r="K7433">
            <v>-91.2</v>
          </cell>
          <cell r="P7433" t="str">
            <v>81111101-52121101</v>
          </cell>
          <cell r="S7433" t="str">
            <v>2026A-08</v>
          </cell>
          <cell r="T7433" t="str">
            <v>Regular Employee</v>
          </cell>
        </row>
        <row r="7434">
          <cell r="K7434">
            <v>-858.9</v>
          </cell>
          <cell r="P7434" t="str">
            <v>81111101-52121101</v>
          </cell>
          <cell r="S7434" t="str">
            <v>2026A-08</v>
          </cell>
          <cell r="T7434" t="str">
            <v>Regular Employee</v>
          </cell>
        </row>
        <row r="7435">
          <cell r="K7435">
            <v>-712.3</v>
          </cell>
          <cell r="P7435" t="str">
            <v>81111101-52121101</v>
          </cell>
          <cell r="S7435" t="str">
            <v>2026A-08</v>
          </cell>
          <cell r="T7435" t="str">
            <v>Regular Employee</v>
          </cell>
        </row>
        <row r="7436">
          <cell r="K7436">
            <v>-2628.2</v>
          </cell>
          <cell r="P7436" t="str">
            <v>81111101-52121101</v>
          </cell>
          <cell r="S7436" t="str">
            <v>2026A-08</v>
          </cell>
          <cell r="T7436" t="str">
            <v>Regular Employee</v>
          </cell>
        </row>
        <row r="7437">
          <cell r="K7437">
            <v>-72.650000000000006</v>
          </cell>
          <cell r="P7437" t="str">
            <v>81111101-52121101</v>
          </cell>
          <cell r="S7437" t="str">
            <v>2026A-08</v>
          </cell>
          <cell r="T7437" t="str">
            <v>Regular Employee</v>
          </cell>
        </row>
        <row r="7438">
          <cell r="K7438">
            <v>-892.66</v>
          </cell>
          <cell r="P7438" t="str">
            <v>81111101-52121101</v>
          </cell>
          <cell r="S7438" t="str">
            <v>2026A-08</v>
          </cell>
          <cell r="T7438" t="str">
            <v>Regular Employee</v>
          </cell>
        </row>
        <row r="7439">
          <cell r="K7439">
            <v>-13702.48</v>
          </cell>
          <cell r="P7439" t="str">
            <v>81111101-52121101</v>
          </cell>
          <cell r="S7439" t="str">
            <v>2026A-08</v>
          </cell>
          <cell r="T7439" t="str">
            <v>Regular Employee</v>
          </cell>
        </row>
        <row r="7440">
          <cell r="K7440">
            <v>-3115.6</v>
          </cell>
          <cell r="P7440" t="str">
            <v>81111101-52121101</v>
          </cell>
          <cell r="S7440" t="str">
            <v>2026A-08</v>
          </cell>
          <cell r="T7440" t="str">
            <v>Regular Employee</v>
          </cell>
        </row>
        <row r="7441">
          <cell r="K7441">
            <v>3678.81</v>
          </cell>
          <cell r="P7441" t="str">
            <v>81111101-52121102</v>
          </cell>
          <cell r="S7441" t="str">
            <v>2026A-08</v>
          </cell>
          <cell r="T7441" t="str">
            <v>OT Pay</v>
          </cell>
        </row>
        <row r="7442">
          <cell r="K7442">
            <v>4251.62</v>
          </cell>
          <cell r="P7442" t="str">
            <v>81111101-52121102</v>
          </cell>
          <cell r="S7442" t="str">
            <v>2026A-08</v>
          </cell>
          <cell r="T7442" t="str">
            <v>OT Pay</v>
          </cell>
        </row>
        <row r="7443">
          <cell r="K7443">
            <v>14400</v>
          </cell>
          <cell r="P7443" t="str">
            <v>81111101-52121103</v>
          </cell>
          <cell r="S7443" t="str">
            <v>2026A-08</v>
          </cell>
          <cell r="T7443" t="str">
            <v>OT Pay</v>
          </cell>
        </row>
        <row r="7444">
          <cell r="K7444">
            <v>11400</v>
          </cell>
          <cell r="P7444" t="str">
            <v>81111101-52121103</v>
          </cell>
          <cell r="S7444" t="str">
            <v>2026A-08</v>
          </cell>
          <cell r="T7444" t="str">
            <v>OT Pay</v>
          </cell>
        </row>
        <row r="7445">
          <cell r="K7445">
            <v>2800</v>
          </cell>
          <cell r="P7445" t="str">
            <v>81111101-52121103</v>
          </cell>
          <cell r="S7445" t="str">
            <v>2026A-08</v>
          </cell>
          <cell r="T7445" t="str">
            <v>OT Pay</v>
          </cell>
        </row>
        <row r="7446">
          <cell r="K7446">
            <v>1800</v>
          </cell>
          <cell r="P7446" t="str">
            <v>81111101-52121305</v>
          </cell>
          <cell r="S7446" t="str">
            <v>2026A-08</v>
          </cell>
          <cell r="T7446" t="str">
            <v>Pag-ibig</v>
          </cell>
        </row>
        <row r="7447">
          <cell r="K7447">
            <v>9600</v>
          </cell>
          <cell r="P7447" t="str">
            <v>81111101-52121305</v>
          </cell>
          <cell r="S7447" t="str">
            <v>2026A-08</v>
          </cell>
          <cell r="T7447" t="str">
            <v>Pag-ibig</v>
          </cell>
        </row>
        <row r="7448">
          <cell r="K7448">
            <v>30720</v>
          </cell>
          <cell r="P7448" t="str">
            <v>81111101-52121305</v>
          </cell>
          <cell r="S7448" t="str">
            <v>2026A-08</v>
          </cell>
          <cell r="T7448" t="str">
            <v>SSS</v>
          </cell>
        </row>
        <row r="7449">
          <cell r="K7449">
            <v>3200</v>
          </cell>
          <cell r="P7449" t="str">
            <v>81111101-52121305</v>
          </cell>
          <cell r="S7449" t="str">
            <v>2026A-08</v>
          </cell>
          <cell r="T7449" t="str">
            <v>Pag-ibig</v>
          </cell>
        </row>
        <row r="7450">
          <cell r="K7450">
            <v>1200</v>
          </cell>
          <cell r="P7450" t="str">
            <v>81111101-52121305</v>
          </cell>
          <cell r="S7450" t="str">
            <v>2026A-08</v>
          </cell>
          <cell r="T7450" t="str">
            <v>Pag-ibig</v>
          </cell>
        </row>
        <row r="7451">
          <cell r="K7451">
            <v>1000</v>
          </cell>
          <cell r="P7451" t="str">
            <v>81111101-52121305</v>
          </cell>
          <cell r="S7451" t="str">
            <v>2026A-08</v>
          </cell>
          <cell r="T7451" t="str">
            <v>Pag-ibig</v>
          </cell>
        </row>
        <row r="7452">
          <cell r="K7452">
            <v>8690</v>
          </cell>
          <cell r="P7452" t="str">
            <v>81111101-52121305</v>
          </cell>
          <cell r="S7452" t="str">
            <v>2026A-08</v>
          </cell>
          <cell r="T7452" t="str">
            <v>Philhealth</v>
          </cell>
        </row>
        <row r="7453">
          <cell r="K7453">
            <v>51480</v>
          </cell>
          <cell r="P7453" t="str">
            <v>81111101-52121305</v>
          </cell>
          <cell r="S7453" t="str">
            <v>2026A-08</v>
          </cell>
          <cell r="T7453" t="str">
            <v>SSS</v>
          </cell>
        </row>
        <row r="7454">
          <cell r="K7454">
            <v>18860</v>
          </cell>
          <cell r="P7454" t="str">
            <v>81111101-52121305</v>
          </cell>
          <cell r="S7454" t="str">
            <v>2026A-08</v>
          </cell>
          <cell r="T7454" t="str">
            <v>SSS</v>
          </cell>
        </row>
        <row r="7455">
          <cell r="K7455">
            <v>6045</v>
          </cell>
          <cell r="P7455" t="str">
            <v>81111101-52121305</v>
          </cell>
          <cell r="S7455" t="str">
            <v>2026A-08</v>
          </cell>
          <cell r="T7455" t="str">
            <v>Philhealth</v>
          </cell>
        </row>
        <row r="7456">
          <cell r="K7456">
            <v>152920</v>
          </cell>
          <cell r="P7456" t="str">
            <v>81111101-52121305</v>
          </cell>
          <cell r="S7456" t="str">
            <v>2026A-08</v>
          </cell>
          <cell r="T7456" t="str">
            <v>SSS</v>
          </cell>
        </row>
        <row r="7457">
          <cell r="K7457">
            <v>48740</v>
          </cell>
          <cell r="P7457" t="str">
            <v>81111101-52121305</v>
          </cell>
          <cell r="S7457" t="str">
            <v>2026A-08</v>
          </cell>
          <cell r="T7457" t="str">
            <v>Philhealth</v>
          </cell>
        </row>
        <row r="7458">
          <cell r="K7458">
            <v>17650</v>
          </cell>
          <cell r="P7458" t="str">
            <v>81111101-52121305</v>
          </cell>
          <cell r="S7458" t="str">
            <v>2026A-08</v>
          </cell>
          <cell r="T7458" t="str">
            <v>SSS</v>
          </cell>
        </row>
        <row r="7459">
          <cell r="K7459">
            <v>6305</v>
          </cell>
          <cell r="P7459" t="str">
            <v>81111101-52121305</v>
          </cell>
          <cell r="S7459" t="str">
            <v>2026A-08</v>
          </cell>
          <cell r="T7459" t="str">
            <v>Philhealth</v>
          </cell>
        </row>
        <row r="7460">
          <cell r="K7460">
            <v>11847.5</v>
          </cell>
          <cell r="P7460" t="str">
            <v>81111101-52121305</v>
          </cell>
          <cell r="S7460" t="str">
            <v>2026A-08</v>
          </cell>
          <cell r="T7460" t="str">
            <v>Philhealth</v>
          </cell>
        </row>
        <row r="7461">
          <cell r="K7461">
            <v>4500</v>
          </cell>
          <cell r="P7461" t="str">
            <v>90111101-52081103</v>
          </cell>
          <cell r="S7461" t="str">
            <v>2026A-08</v>
          </cell>
          <cell r="T7461" t="str">
            <v>Meal Allowance</v>
          </cell>
        </row>
        <row r="7462">
          <cell r="K7462">
            <v>450</v>
          </cell>
          <cell r="P7462" t="str">
            <v>90111101-52081103</v>
          </cell>
          <cell r="S7462" t="str">
            <v>2026A-08</v>
          </cell>
          <cell r="T7462" t="str">
            <v>Meal Allowance</v>
          </cell>
        </row>
        <row r="7463">
          <cell r="K7463">
            <v>3229350</v>
          </cell>
          <cell r="P7463" t="str">
            <v>90111101-52121101</v>
          </cell>
          <cell r="S7463" t="str">
            <v>2026A-08</v>
          </cell>
          <cell r="T7463" t="str">
            <v>Regular Employee</v>
          </cell>
        </row>
        <row r="7464">
          <cell r="K7464">
            <v>526250</v>
          </cell>
          <cell r="P7464" t="str">
            <v>90111101-52121101</v>
          </cell>
          <cell r="S7464" t="str">
            <v>2026A-08</v>
          </cell>
          <cell r="T7464" t="str">
            <v>Regular Employee</v>
          </cell>
        </row>
        <row r="7465">
          <cell r="K7465">
            <v>503400</v>
          </cell>
          <cell r="P7465" t="str">
            <v>90111101-52121101</v>
          </cell>
          <cell r="S7465" t="str">
            <v>2026A-08</v>
          </cell>
          <cell r="T7465" t="str">
            <v>Regular Employee</v>
          </cell>
        </row>
        <row r="7466">
          <cell r="K7466">
            <v>2225700</v>
          </cell>
          <cell r="P7466" t="str">
            <v>90111101-52121101</v>
          </cell>
          <cell r="S7466" t="str">
            <v>2026A-08</v>
          </cell>
          <cell r="T7466" t="str">
            <v>Regular Employee</v>
          </cell>
        </row>
        <row r="7467">
          <cell r="K7467">
            <v>1495925</v>
          </cell>
          <cell r="P7467" t="str">
            <v>90111101-52121101</v>
          </cell>
          <cell r="S7467" t="str">
            <v>2026A-08</v>
          </cell>
          <cell r="T7467" t="str">
            <v>Regular Employee</v>
          </cell>
        </row>
        <row r="7468">
          <cell r="K7468">
            <v>491700</v>
          </cell>
          <cell r="P7468" t="str">
            <v>90111101-52121101</v>
          </cell>
          <cell r="S7468" t="str">
            <v>2026A-08</v>
          </cell>
          <cell r="T7468" t="str">
            <v>Regular Employee</v>
          </cell>
        </row>
        <row r="7469">
          <cell r="K7469">
            <v>9975.69</v>
          </cell>
          <cell r="P7469" t="str">
            <v>90111101-52121101</v>
          </cell>
          <cell r="S7469" t="str">
            <v>2026A-08</v>
          </cell>
          <cell r="T7469" t="str">
            <v>Regular Employee</v>
          </cell>
        </row>
        <row r="7470">
          <cell r="K7470">
            <v>-5489.79</v>
          </cell>
          <cell r="P7470" t="str">
            <v>90111101-52121101</v>
          </cell>
          <cell r="S7470" t="str">
            <v>2026A-08</v>
          </cell>
          <cell r="T7470" t="str">
            <v>Regular Employee</v>
          </cell>
        </row>
        <row r="7471">
          <cell r="K7471">
            <v>2480.1799999999998</v>
          </cell>
          <cell r="P7471" t="str">
            <v>90111101-52121101</v>
          </cell>
          <cell r="S7471" t="str">
            <v>2026A-08</v>
          </cell>
          <cell r="T7471" t="str">
            <v>Regular Employee</v>
          </cell>
        </row>
        <row r="7472">
          <cell r="K7472">
            <v>-11444.8</v>
          </cell>
          <cell r="P7472" t="str">
            <v>90111101-52121101</v>
          </cell>
          <cell r="S7472" t="str">
            <v>2026A-08</v>
          </cell>
          <cell r="T7472" t="str">
            <v>Regular Employee</v>
          </cell>
        </row>
        <row r="7473">
          <cell r="K7473">
            <v>27950</v>
          </cell>
          <cell r="P7473" t="str">
            <v>90111101-52121101</v>
          </cell>
          <cell r="S7473" t="str">
            <v>2026A-08</v>
          </cell>
          <cell r="T7473" t="str">
            <v>Regular Employee</v>
          </cell>
        </row>
        <row r="7474">
          <cell r="K7474">
            <v>2858.05</v>
          </cell>
          <cell r="P7474" t="str">
            <v>90111101-52121101</v>
          </cell>
          <cell r="S7474" t="str">
            <v>2026A-08</v>
          </cell>
          <cell r="T7474" t="str">
            <v>Regular Employee</v>
          </cell>
        </row>
        <row r="7475">
          <cell r="K7475">
            <v>-2281.85</v>
          </cell>
          <cell r="P7475" t="str">
            <v>90111101-52121101</v>
          </cell>
          <cell r="S7475" t="str">
            <v>2026A-08</v>
          </cell>
          <cell r="T7475" t="str">
            <v>Regular Employee</v>
          </cell>
        </row>
        <row r="7476">
          <cell r="K7476">
            <v>-1435.9</v>
          </cell>
          <cell r="P7476" t="str">
            <v>90111101-52121101</v>
          </cell>
          <cell r="S7476" t="str">
            <v>2026A-08</v>
          </cell>
          <cell r="T7476" t="str">
            <v>Regular Employee</v>
          </cell>
        </row>
        <row r="7477">
          <cell r="K7477">
            <v>-3097.16</v>
          </cell>
          <cell r="P7477" t="str">
            <v>90111101-52121101</v>
          </cell>
          <cell r="S7477" t="str">
            <v>2026A-08</v>
          </cell>
          <cell r="T7477" t="str">
            <v>Regular Employee</v>
          </cell>
        </row>
        <row r="7478">
          <cell r="K7478">
            <v>-10278</v>
          </cell>
          <cell r="P7478" t="str">
            <v>90111101-52121101</v>
          </cell>
          <cell r="S7478" t="str">
            <v>2026A-08</v>
          </cell>
          <cell r="T7478" t="str">
            <v>Regular Employee</v>
          </cell>
        </row>
        <row r="7479">
          <cell r="K7479">
            <v>-7506.97</v>
          </cell>
          <cell r="P7479" t="str">
            <v>90111101-52121101</v>
          </cell>
          <cell r="S7479" t="str">
            <v>2026A-08</v>
          </cell>
          <cell r="T7479" t="str">
            <v>Regular Employee</v>
          </cell>
        </row>
        <row r="7480">
          <cell r="K7480">
            <v>-2.94</v>
          </cell>
          <cell r="P7480" t="str">
            <v>90111101-52121101</v>
          </cell>
          <cell r="S7480" t="str">
            <v>2026A-08</v>
          </cell>
          <cell r="T7480" t="str">
            <v>Regular Employee</v>
          </cell>
        </row>
        <row r="7481">
          <cell r="K7481">
            <v>-332.01</v>
          </cell>
          <cell r="P7481" t="str">
            <v>90111101-52121101</v>
          </cell>
          <cell r="S7481" t="str">
            <v>2026A-08</v>
          </cell>
          <cell r="T7481" t="str">
            <v>Regular Employee</v>
          </cell>
        </row>
        <row r="7482">
          <cell r="K7482">
            <v>-1795.44</v>
          </cell>
          <cell r="P7482" t="str">
            <v>90111101-52121101</v>
          </cell>
          <cell r="S7482" t="str">
            <v>2026A-08</v>
          </cell>
          <cell r="T7482" t="str">
            <v>Regular Employee</v>
          </cell>
        </row>
        <row r="7483">
          <cell r="K7483">
            <v>-2205.37</v>
          </cell>
          <cell r="P7483" t="str">
            <v>90111101-52121101</v>
          </cell>
          <cell r="S7483" t="str">
            <v>2026A-08</v>
          </cell>
          <cell r="T7483" t="str">
            <v>Regular Employee</v>
          </cell>
        </row>
        <row r="7484">
          <cell r="K7484">
            <v>-3713.97</v>
          </cell>
          <cell r="P7484" t="str">
            <v>90111101-52121101</v>
          </cell>
          <cell r="S7484" t="str">
            <v>2026A-08</v>
          </cell>
          <cell r="T7484" t="str">
            <v>Regular Employee</v>
          </cell>
        </row>
        <row r="7485">
          <cell r="K7485">
            <v>-11175.71</v>
          </cell>
          <cell r="P7485" t="str">
            <v>90111101-52121101</v>
          </cell>
          <cell r="S7485" t="str">
            <v>2026A-08</v>
          </cell>
          <cell r="T7485" t="str">
            <v>Regular Employee</v>
          </cell>
        </row>
        <row r="7486">
          <cell r="K7486">
            <v>-2015.29</v>
          </cell>
          <cell r="P7486" t="str">
            <v>90111101-52121101</v>
          </cell>
          <cell r="S7486" t="str">
            <v>2026A-08</v>
          </cell>
          <cell r="T7486" t="str">
            <v>Regular Employee</v>
          </cell>
        </row>
        <row r="7487">
          <cell r="K7487">
            <v>-675.28</v>
          </cell>
          <cell r="P7487" t="str">
            <v>90111101-52121101</v>
          </cell>
          <cell r="S7487" t="str">
            <v>2026A-08</v>
          </cell>
          <cell r="T7487" t="str">
            <v>Regular Employee</v>
          </cell>
        </row>
        <row r="7488">
          <cell r="K7488">
            <v>-162</v>
          </cell>
          <cell r="P7488" t="str">
            <v>90111101-52121101</v>
          </cell>
          <cell r="S7488" t="str">
            <v>2026A-08</v>
          </cell>
          <cell r="T7488" t="str">
            <v>Regular Employee</v>
          </cell>
        </row>
        <row r="7489">
          <cell r="K7489">
            <v>-3419.13</v>
          </cell>
          <cell r="P7489" t="str">
            <v>90111101-52121101</v>
          </cell>
          <cell r="S7489" t="str">
            <v>2026A-08</v>
          </cell>
          <cell r="T7489" t="str">
            <v>Regular Employee</v>
          </cell>
        </row>
        <row r="7490">
          <cell r="K7490">
            <v>-56.78</v>
          </cell>
          <cell r="P7490" t="str">
            <v>90111101-52121101</v>
          </cell>
          <cell r="S7490" t="str">
            <v>2026A-08</v>
          </cell>
          <cell r="T7490" t="str">
            <v>Regular Employee</v>
          </cell>
        </row>
        <row r="7491">
          <cell r="K7491">
            <v>-3522.19</v>
          </cell>
          <cell r="P7491" t="str">
            <v>90111101-52121101</v>
          </cell>
          <cell r="S7491" t="str">
            <v>2026A-08</v>
          </cell>
          <cell r="T7491" t="str">
            <v>Regular Employee</v>
          </cell>
        </row>
        <row r="7492">
          <cell r="K7492">
            <v>10545.08</v>
          </cell>
          <cell r="P7492" t="str">
            <v>90111101-52121102</v>
          </cell>
          <cell r="S7492" t="str">
            <v>2026A-08</v>
          </cell>
          <cell r="T7492" t="str">
            <v>OT Pay</v>
          </cell>
        </row>
        <row r="7493">
          <cell r="K7493">
            <v>4596.0200000000004</v>
          </cell>
          <cell r="P7493" t="str">
            <v>90111101-52121102</v>
          </cell>
          <cell r="S7493" t="str">
            <v>2026A-08</v>
          </cell>
          <cell r="T7493" t="str">
            <v>OT Pay</v>
          </cell>
        </row>
        <row r="7494">
          <cell r="K7494">
            <v>16930.490000000002</v>
          </cell>
          <cell r="P7494" t="str">
            <v>90111101-52121102</v>
          </cell>
          <cell r="S7494" t="str">
            <v>2026A-08</v>
          </cell>
          <cell r="T7494" t="str">
            <v>OT Pay</v>
          </cell>
        </row>
        <row r="7495">
          <cell r="K7495">
            <v>4338.1499999999996</v>
          </cell>
          <cell r="P7495" t="str">
            <v>90111101-52121102</v>
          </cell>
          <cell r="S7495" t="str">
            <v>2026A-08</v>
          </cell>
          <cell r="T7495" t="str">
            <v>OT Pay</v>
          </cell>
        </row>
        <row r="7496">
          <cell r="K7496">
            <v>27000</v>
          </cell>
          <cell r="P7496" t="str">
            <v>90111101-52121103</v>
          </cell>
          <cell r="S7496" t="str">
            <v>2026A-08</v>
          </cell>
          <cell r="T7496" t="str">
            <v>OT Pay</v>
          </cell>
        </row>
        <row r="7497">
          <cell r="K7497">
            <v>800</v>
          </cell>
          <cell r="P7497" t="str">
            <v>90111101-52121103</v>
          </cell>
          <cell r="S7497" t="str">
            <v>2026A-08</v>
          </cell>
          <cell r="T7497" t="str">
            <v>OT Pay</v>
          </cell>
        </row>
        <row r="7498">
          <cell r="K7498">
            <v>14400</v>
          </cell>
          <cell r="P7498" t="str">
            <v>90111101-52121305</v>
          </cell>
          <cell r="S7498" t="str">
            <v>2026A-08</v>
          </cell>
          <cell r="T7498" t="str">
            <v>Pag-ibig</v>
          </cell>
        </row>
        <row r="7499">
          <cell r="K7499">
            <v>2000</v>
          </cell>
          <cell r="P7499" t="str">
            <v>90111101-52121305</v>
          </cell>
          <cell r="S7499" t="str">
            <v>2026A-08</v>
          </cell>
          <cell r="T7499" t="str">
            <v>Pag-ibig</v>
          </cell>
        </row>
        <row r="7500">
          <cell r="K7500">
            <v>1600</v>
          </cell>
          <cell r="P7500" t="str">
            <v>90111101-52121305</v>
          </cell>
          <cell r="S7500" t="str">
            <v>2026A-08</v>
          </cell>
          <cell r="T7500" t="str">
            <v>Pag-ibig</v>
          </cell>
        </row>
        <row r="7501">
          <cell r="K7501">
            <v>13000</v>
          </cell>
          <cell r="P7501" t="str">
            <v>90111101-52121305</v>
          </cell>
          <cell r="S7501" t="str">
            <v>2026A-08</v>
          </cell>
          <cell r="T7501" t="str">
            <v>Pag-ibig</v>
          </cell>
        </row>
        <row r="7502">
          <cell r="K7502">
            <v>1200</v>
          </cell>
          <cell r="P7502" t="str">
            <v>90111101-52121305</v>
          </cell>
          <cell r="S7502" t="str">
            <v>2026A-08</v>
          </cell>
          <cell r="T7502" t="str">
            <v>Pag-ibig</v>
          </cell>
        </row>
        <row r="7503">
          <cell r="K7503">
            <v>2600</v>
          </cell>
          <cell r="P7503" t="str">
            <v>90111101-52121305</v>
          </cell>
          <cell r="S7503" t="str">
            <v>2026A-08</v>
          </cell>
          <cell r="T7503" t="str">
            <v>Pag-ibig</v>
          </cell>
        </row>
        <row r="7504">
          <cell r="K7504">
            <v>106677.5</v>
          </cell>
          <cell r="P7504" t="str">
            <v>90111101-52121305</v>
          </cell>
          <cell r="S7504" t="str">
            <v>2026A-08</v>
          </cell>
          <cell r="T7504" t="str">
            <v>Philhealth</v>
          </cell>
        </row>
        <row r="7505">
          <cell r="K7505">
            <v>12290</v>
          </cell>
          <cell r="P7505" t="str">
            <v>90111101-52121305</v>
          </cell>
          <cell r="S7505" t="str">
            <v>2026A-08</v>
          </cell>
          <cell r="T7505" t="str">
            <v>Philhealth</v>
          </cell>
        </row>
        <row r="7506">
          <cell r="K7506">
            <v>91875</v>
          </cell>
          <cell r="P7506" t="str">
            <v>90111101-52121305</v>
          </cell>
          <cell r="S7506" t="str">
            <v>2026A-08</v>
          </cell>
          <cell r="T7506" t="str">
            <v>Philhealth</v>
          </cell>
        </row>
        <row r="7507">
          <cell r="K7507">
            <v>14000</v>
          </cell>
          <cell r="P7507" t="str">
            <v>90111101-52121305</v>
          </cell>
          <cell r="S7507" t="str">
            <v>2026A-08</v>
          </cell>
          <cell r="T7507" t="str">
            <v>Philhealth</v>
          </cell>
        </row>
        <row r="7508">
          <cell r="K7508">
            <v>200</v>
          </cell>
          <cell r="P7508" t="str">
            <v>90111101-52121305</v>
          </cell>
          <cell r="S7508" t="str">
            <v>2026A-08</v>
          </cell>
          <cell r="T7508" t="str">
            <v>Pag-ibig</v>
          </cell>
        </row>
        <row r="7509">
          <cell r="K7509">
            <v>1397.5</v>
          </cell>
          <cell r="P7509" t="str">
            <v>90111101-52121305</v>
          </cell>
          <cell r="S7509" t="str">
            <v>2026A-08</v>
          </cell>
          <cell r="T7509" t="str">
            <v>Philhealth</v>
          </cell>
        </row>
        <row r="7510">
          <cell r="K7510">
            <v>16972.5</v>
          </cell>
          <cell r="P7510" t="str">
            <v>90111101-52121305</v>
          </cell>
          <cell r="S7510" t="str">
            <v>2026A-08</v>
          </cell>
          <cell r="T7510" t="str">
            <v>Philhealth</v>
          </cell>
        </row>
        <row r="7511">
          <cell r="K7511">
            <v>20280</v>
          </cell>
          <cell r="P7511" t="str">
            <v>90111101-52121305</v>
          </cell>
          <cell r="S7511" t="str">
            <v>2026A-08</v>
          </cell>
          <cell r="T7511" t="str">
            <v>Philhealth</v>
          </cell>
        </row>
        <row r="7512">
          <cell r="K7512">
            <v>244560</v>
          </cell>
          <cell r="P7512" t="str">
            <v>90111101-52121305</v>
          </cell>
          <cell r="S7512" t="str">
            <v>2026A-08</v>
          </cell>
          <cell r="T7512" t="str">
            <v>SSS</v>
          </cell>
        </row>
        <row r="7513">
          <cell r="K7513">
            <v>27990</v>
          </cell>
          <cell r="P7513" t="str">
            <v>90111101-52121305</v>
          </cell>
          <cell r="S7513" t="str">
            <v>2026A-08</v>
          </cell>
          <cell r="T7513" t="str">
            <v>SSS</v>
          </cell>
        </row>
        <row r="7514">
          <cell r="K7514">
            <v>216390</v>
          </cell>
          <cell r="P7514" t="str">
            <v>90111101-52121305</v>
          </cell>
          <cell r="S7514" t="str">
            <v>2026A-08</v>
          </cell>
          <cell r="T7514" t="str">
            <v>SSS</v>
          </cell>
        </row>
        <row r="7515">
          <cell r="K7515">
            <v>21180</v>
          </cell>
          <cell r="P7515" t="str">
            <v>90111101-52121305</v>
          </cell>
          <cell r="S7515" t="str">
            <v>2026A-08</v>
          </cell>
          <cell r="T7515" t="str">
            <v>SSS</v>
          </cell>
        </row>
        <row r="7516">
          <cell r="K7516">
            <v>3530</v>
          </cell>
          <cell r="P7516" t="str">
            <v>90111101-52121305</v>
          </cell>
          <cell r="S7516" t="str">
            <v>2026A-08</v>
          </cell>
          <cell r="T7516" t="str">
            <v>SSS</v>
          </cell>
        </row>
        <row r="7517">
          <cell r="K7517">
            <v>35300</v>
          </cell>
          <cell r="P7517" t="str">
            <v>90111101-52121305</v>
          </cell>
          <cell r="S7517" t="str">
            <v>2026A-08</v>
          </cell>
          <cell r="T7517" t="str">
            <v>SSS</v>
          </cell>
        </row>
        <row r="7518">
          <cell r="K7518">
            <v>42770</v>
          </cell>
          <cell r="P7518" t="str">
            <v>90111101-52121305</v>
          </cell>
          <cell r="S7518" t="str">
            <v>2026A-08</v>
          </cell>
          <cell r="T7518" t="str">
            <v>SSS</v>
          </cell>
        </row>
        <row r="7519">
          <cell r="K7519">
            <v>2011187.5</v>
          </cell>
          <cell r="P7519" t="str">
            <v>90122101-52071104</v>
          </cell>
          <cell r="S7519" t="str">
            <v>2026A-08</v>
          </cell>
          <cell r="T7519" t="str">
            <v>OLC INTCNSLTNT</v>
          </cell>
        </row>
        <row r="7520">
          <cell r="K7520">
            <v>4017.86</v>
          </cell>
          <cell r="P7520" t="str">
            <v>81123102-61031201</v>
          </cell>
          <cell r="S7520" t="str">
            <v>2026A-08</v>
          </cell>
          <cell r="T7520" t="str">
            <v>R&amp;M - Supplies</v>
          </cell>
        </row>
        <row r="7521">
          <cell r="K7521">
            <v>19450.259999999998</v>
          </cell>
          <cell r="P7521" t="str">
            <v>81319101-52041499</v>
          </cell>
          <cell r="S7521" t="str">
            <v>2026A-08</v>
          </cell>
          <cell r="T7521" t="str">
            <v>GH</v>
          </cell>
        </row>
        <row r="7522">
          <cell r="K7522">
            <v>7000</v>
          </cell>
          <cell r="P7522" t="str">
            <v>81123102-52111101</v>
          </cell>
          <cell r="S7522" t="str">
            <v>2026A-08</v>
          </cell>
          <cell r="T7522" t="str">
            <v>Office Supplies - Others</v>
          </cell>
        </row>
        <row r="7523">
          <cell r="K7523">
            <v>7000</v>
          </cell>
          <cell r="P7523" t="str">
            <v>81123102-52111101</v>
          </cell>
          <cell r="S7523" t="str">
            <v>2026A-08</v>
          </cell>
          <cell r="T7523" t="str">
            <v>Office Supplies - Others</v>
          </cell>
        </row>
        <row r="7524">
          <cell r="K7524">
            <v>26785.71</v>
          </cell>
          <cell r="P7524" t="str">
            <v>81123102-52111101</v>
          </cell>
          <cell r="S7524" t="str">
            <v>2026A-08</v>
          </cell>
          <cell r="T7524" t="str">
            <v>Toner/ink</v>
          </cell>
        </row>
        <row r="7525">
          <cell r="K7525">
            <v>5839.29</v>
          </cell>
          <cell r="P7525" t="str">
            <v>81319101-52111101</v>
          </cell>
          <cell r="S7525" t="str">
            <v>2026A-08</v>
          </cell>
          <cell r="T7525" t="str">
            <v>GH</v>
          </cell>
        </row>
        <row r="7526">
          <cell r="K7526">
            <v>3683.04</v>
          </cell>
          <cell r="P7526" t="str">
            <v>81319101-52111101</v>
          </cell>
          <cell r="S7526" t="str">
            <v>2026A-08</v>
          </cell>
          <cell r="T7526" t="str">
            <v>GH</v>
          </cell>
        </row>
        <row r="7527">
          <cell r="K7527">
            <v>3325.89</v>
          </cell>
          <cell r="P7527" t="str">
            <v>81319101-52111101</v>
          </cell>
          <cell r="S7527" t="str">
            <v>2026A-08</v>
          </cell>
          <cell r="T7527" t="str">
            <v>GH</v>
          </cell>
        </row>
        <row r="7528">
          <cell r="K7528">
            <v>3125</v>
          </cell>
          <cell r="P7528" t="str">
            <v>81319101-52111101</v>
          </cell>
          <cell r="S7528" t="str">
            <v>2026A-08</v>
          </cell>
          <cell r="T7528" t="str">
            <v>GH</v>
          </cell>
        </row>
        <row r="7529">
          <cell r="K7529">
            <v>58.93</v>
          </cell>
          <cell r="P7529" t="str">
            <v>81319101-52111101</v>
          </cell>
          <cell r="S7529" t="str">
            <v>2026A-08</v>
          </cell>
          <cell r="T7529" t="str">
            <v>GH</v>
          </cell>
        </row>
        <row r="7530">
          <cell r="K7530">
            <v>1026.79</v>
          </cell>
          <cell r="P7530" t="str">
            <v>81319101-52111101</v>
          </cell>
          <cell r="S7530" t="str">
            <v>2026A-08</v>
          </cell>
          <cell r="T7530" t="str">
            <v>GH</v>
          </cell>
        </row>
        <row r="7531">
          <cell r="K7531">
            <v>5285.71</v>
          </cell>
          <cell r="P7531" t="str">
            <v>81319101-52111101</v>
          </cell>
          <cell r="S7531" t="str">
            <v>2026A-08</v>
          </cell>
          <cell r="T7531" t="str">
            <v>GH</v>
          </cell>
        </row>
        <row r="7532">
          <cell r="K7532">
            <v>1383.93</v>
          </cell>
          <cell r="P7532" t="str">
            <v>81319101-52111101</v>
          </cell>
          <cell r="S7532" t="str">
            <v>2026A-08</v>
          </cell>
          <cell r="T7532" t="str">
            <v>GH</v>
          </cell>
        </row>
        <row r="7533">
          <cell r="K7533">
            <v>1553.57</v>
          </cell>
          <cell r="P7533" t="str">
            <v>81319101-52111101</v>
          </cell>
          <cell r="S7533" t="str">
            <v>2026A-08</v>
          </cell>
          <cell r="T7533" t="str">
            <v>GH</v>
          </cell>
        </row>
        <row r="7534">
          <cell r="K7534">
            <v>495.54</v>
          </cell>
          <cell r="P7534" t="str">
            <v>81319101-52111101</v>
          </cell>
          <cell r="S7534" t="str">
            <v>2026A-08</v>
          </cell>
          <cell r="T7534" t="str">
            <v>GH</v>
          </cell>
        </row>
        <row r="7535">
          <cell r="K7535">
            <v>468.75</v>
          </cell>
          <cell r="P7535" t="str">
            <v>81319101-52111101</v>
          </cell>
          <cell r="S7535" t="str">
            <v>2026A-08</v>
          </cell>
          <cell r="T7535" t="str">
            <v>GH</v>
          </cell>
        </row>
        <row r="7536">
          <cell r="K7536">
            <v>71.430000000000007</v>
          </cell>
          <cell r="P7536" t="str">
            <v>81319101-52111101</v>
          </cell>
          <cell r="S7536" t="str">
            <v>2026A-08</v>
          </cell>
          <cell r="T7536" t="str">
            <v>GH</v>
          </cell>
        </row>
        <row r="7537">
          <cell r="K7537">
            <v>53.57</v>
          </cell>
          <cell r="P7537" t="str">
            <v>81319101-52111101</v>
          </cell>
          <cell r="S7537" t="str">
            <v>2026A-08</v>
          </cell>
          <cell r="T7537" t="str">
            <v>GH</v>
          </cell>
        </row>
        <row r="7538">
          <cell r="K7538">
            <v>1221.43</v>
          </cell>
          <cell r="P7538" t="str">
            <v>81319101-52111101</v>
          </cell>
          <cell r="S7538" t="str">
            <v>2026A-08</v>
          </cell>
          <cell r="T7538" t="str">
            <v>GH</v>
          </cell>
        </row>
        <row r="7539">
          <cell r="K7539">
            <v>160.71</v>
          </cell>
          <cell r="P7539" t="str">
            <v>81319101-52111101</v>
          </cell>
          <cell r="S7539" t="str">
            <v>2026A-08</v>
          </cell>
          <cell r="T7539" t="str">
            <v>GH</v>
          </cell>
        </row>
        <row r="7540">
          <cell r="K7540">
            <v>51.34</v>
          </cell>
          <cell r="P7540" t="str">
            <v>81319101-52111101</v>
          </cell>
          <cell r="S7540" t="str">
            <v>2026A-08</v>
          </cell>
          <cell r="T7540" t="str">
            <v>GH</v>
          </cell>
        </row>
        <row r="7541">
          <cell r="K7541">
            <v>44.64</v>
          </cell>
          <cell r="P7541" t="str">
            <v>81319101-52111101</v>
          </cell>
          <cell r="S7541" t="str">
            <v>2026A-08</v>
          </cell>
          <cell r="T7541" t="str">
            <v>GH</v>
          </cell>
        </row>
        <row r="7542">
          <cell r="K7542">
            <v>232.14</v>
          </cell>
          <cell r="P7542" t="str">
            <v>81319101-52111101</v>
          </cell>
          <cell r="S7542" t="str">
            <v>2026A-08</v>
          </cell>
          <cell r="T7542" t="str">
            <v>GH</v>
          </cell>
        </row>
        <row r="7543">
          <cell r="K7543">
            <v>93.75</v>
          </cell>
          <cell r="P7543" t="str">
            <v>81319101-52111101</v>
          </cell>
          <cell r="S7543" t="str">
            <v>2026A-08</v>
          </cell>
          <cell r="T7543" t="str">
            <v>GH</v>
          </cell>
        </row>
        <row r="7544">
          <cell r="K7544">
            <v>500</v>
          </cell>
          <cell r="P7544" t="str">
            <v>81319101-52111101</v>
          </cell>
          <cell r="S7544" t="str">
            <v>2026A-08</v>
          </cell>
          <cell r="T7544" t="str">
            <v>GH</v>
          </cell>
        </row>
        <row r="7545">
          <cell r="K7545">
            <v>758.93</v>
          </cell>
          <cell r="P7545" t="str">
            <v>81319101-52111101</v>
          </cell>
          <cell r="S7545" t="str">
            <v>2026A-08</v>
          </cell>
          <cell r="T7545" t="str">
            <v>GH</v>
          </cell>
        </row>
        <row r="7546">
          <cell r="K7546">
            <v>482.14</v>
          </cell>
          <cell r="P7546" t="str">
            <v>81319101-52111101</v>
          </cell>
          <cell r="S7546" t="str">
            <v>2026A-08</v>
          </cell>
          <cell r="T7546" t="str">
            <v>GH</v>
          </cell>
        </row>
        <row r="7547">
          <cell r="K7547">
            <v>89.29</v>
          </cell>
          <cell r="P7547" t="str">
            <v>81319101-52111101</v>
          </cell>
          <cell r="S7547" t="str">
            <v>2026A-08</v>
          </cell>
          <cell r="T7547" t="str">
            <v>GH</v>
          </cell>
        </row>
        <row r="7548">
          <cell r="K7548">
            <v>71.430000000000007</v>
          </cell>
          <cell r="P7548" t="str">
            <v>81319101-52111101</v>
          </cell>
          <cell r="S7548" t="str">
            <v>2026A-08</v>
          </cell>
          <cell r="T7548" t="str">
            <v>GH</v>
          </cell>
        </row>
        <row r="7549">
          <cell r="K7549">
            <v>66.069999999999993</v>
          </cell>
          <cell r="P7549" t="str">
            <v>81319101-52111101</v>
          </cell>
          <cell r="S7549" t="str">
            <v>2026A-08</v>
          </cell>
          <cell r="T7549" t="str">
            <v>GH</v>
          </cell>
        </row>
        <row r="7550">
          <cell r="K7550">
            <v>66.069999999999993</v>
          </cell>
          <cell r="P7550" t="str">
            <v>81319101-52111101</v>
          </cell>
          <cell r="S7550" t="str">
            <v>2026A-08</v>
          </cell>
          <cell r="T7550" t="str">
            <v>GH</v>
          </cell>
        </row>
        <row r="7551">
          <cell r="K7551">
            <v>66.069999999999993</v>
          </cell>
          <cell r="P7551" t="str">
            <v>81319101-52111101</v>
          </cell>
          <cell r="S7551" t="str">
            <v>2026A-08</v>
          </cell>
          <cell r="T7551" t="str">
            <v>GH</v>
          </cell>
        </row>
        <row r="7552">
          <cell r="K7552">
            <v>308.04000000000002</v>
          </cell>
          <cell r="P7552" t="str">
            <v>81319101-52111101</v>
          </cell>
          <cell r="S7552" t="str">
            <v>2026A-08</v>
          </cell>
          <cell r="T7552" t="str">
            <v>GH</v>
          </cell>
        </row>
        <row r="7553">
          <cell r="K7553">
            <v>294.64</v>
          </cell>
          <cell r="P7553" t="str">
            <v>81319101-52111101</v>
          </cell>
          <cell r="S7553" t="str">
            <v>2026A-08</v>
          </cell>
          <cell r="T7553" t="str">
            <v>GH</v>
          </cell>
        </row>
        <row r="7554">
          <cell r="K7554">
            <v>196.43</v>
          </cell>
          <cell r="P7554" t="str">
            <v>81319101-52111101</v>
          </cell>
          <cell r="S7554" t="str">
            <v>2026A-08</v>
          </cell>
          <cell r="T7554" t="str">
            <v>GH</v>
          </cell>
        </row>
        <row r="7555">
          <cell r="K7555">
            <v>165.18</v>
          </cell>
          <cell r="P7555" t="str">
            <v>81319101-52111101</v>
          </cell>
          <cell r="S7555" t="str">
            <v>2026A-08</v>
          </cell>
          <cell r="T7555" t="str">
            <v>GH</v>
          </cell>
        </row>
        <row r="7556">
          <cell r="K7556">
            <v>165.18</v>
          </cell>
          <cell r="P7556" t="str">
            <v>81319101-52111101</v>
          </cell>
          <cell r="S7556" t="str">
            <v>2026A-08</v>
          </cell>
          <cell r="T7556" t="str">
            <v>GH</v>
          </cell>
        </row>
        <row r="7557">
          <cell r="K7557">
            <v>7000</v>
          </cell>
          <cell r="P7557" t="str">
            <v>80123101-61071005</v>
          </cell>
          <cell r="S7557" t="str">
            <v>2026A-08</v>
          </cell>
          <cell r="T7557" t="str">
            <v>Corpuz</v>
          </cell>
        </row>
        <row r="7558">
          <cell r="K7558">
            <v>2231.25</v>
          </cell>
          <cell r="P7558" t="str">
            <v>80123102-61721101</v>
          </cell>
          <cell r="S7558" t="str">
            <v>2026A-08</v>
          </cell>
          <cell r="T7558" t="str">
            <v>Phone - JHJ</v>
          </cell>
        </row>
        <row r="7559">
          <cell r="K7559">
            <v>2231.25</v>
          </cell>
          <cell r="P7559" t="str">
            <v>80123102-61721101</v>
          </cell>
          <cell r="S7559" t="str">
            <v>2026A-08</v>
          </cell>
          <cell r="T7559" t="str">
            <v>Phone - MDIA</v>
          </cell>
        </row>
        <row r="7560">
          <cell r="K7560">
            <v>23600</v>
          </cell>
          <cell r="P7560" t="str">
            <v>80111101-61021102</v>
          </cell>
          <cell r="S7560" t="str">
            <v>2026A-08</v>
          </cell>
          <cell r="T7560" t="str">
            <v>Regular Employee</v>
          </cell>
        </row>
        <row r="7561">
          <cell r="K7561">
            <v>9929.89</v>
          </cell>
          <cell r="P7561" t="str">
            <v>80111101-61021102</v>
          </cell>
          <cell r="S7561" t="str">
            <v>2026A-08</v>
          </cell>
          <cell r="T7561" t="str">
            <v>Regular Employee</v>
          </cell>
        </row>
        <row r="7562">
          <cell r="K7562">
            <v>-284.14999999999998</v>
          </cell>
          <cell r="P7562" t="str">
            <v>80111101-61021102</v>
          </cell>
          <cell r="S7562" t="str">
            <v>2026A-08</v>
          </cell>
          <cell r="T7562" t="str">
            <v>Regular Employee</v>
          </cell>
        </row>
        <row r="7563">
          <cell r="K7563">
            <v>3635.82</v>
          </cell>
          <cell r="P7563" t="str">
            <v>80111101-61021103</v>
          </cell>
          <cell r="S7563" t="str">
            <v>2026A-08</v>
          </cell>
          <cell r="T7563" t="str">
            <v>OT Pay</v>
          </cell>
        </row>
        <row r="7564">
          <cell r="K7564">
            <v>25199.66</v>
          </cell>
          <cell r="P7564" t="str">
            <v>80111101-61021105</v>
          </cell>
          <cell r="S7564" t="str">
            <v>2026A-08</v>
          </cell>
          <cell r="T7564" t="str">
            <v>Guaranteed Bonus</v>
          </cell>
        </row>
        <row r="7565">
          <cell r="K7565">
            <v>-6714.51</v>
          </cell>
          <cell r="P7565" t="str">
            <v>80111101-61021107</v>
          </cell>
          <cell r="S7565" t="str">
            <v>2026A-08</v>
          </cell>
          <cell r="T7565" t="str">
            <v>Leave Encashment</v>
          </cell>
        </row>
        <row r="7566">
          <cell r="K7566">
            <v>6164.89</v>
          </cell>
          <cell r="P7566" t="str">
            <v>80111101-61021107</v>
          </cell>
          <cell r="S7566" t="str">
            <v>2026A-08</v>
          </cell>
          <cell r="T7566" t="str">
            <v>Leave Encashment</v>
          </cell>
        </row>
        <row r="7567">
          <cell r="K7567">
            <v>14000</v>
          </cell>
          <cell r="P7567" t="str">
            <v>80111101-61021201</v>
          </cell>
          <cell r="S7567" t="str">
            <v>2026A-08</v>
          </cell>
          <cell r="T7567" t="str">
            <v>Project Employee</v>
          </cell>
        </row>
        <row r="7568">
          <cell r="K7568">
            <v>-1282.46</v>
          </cell>
          <cell r="P7568" t="str">
            <v>80111101-61021201</v>
          </cell>
          <cell r="S7568" t="str">
            <v>2026A-08</v>
          </cell>
          <cell r="T7568" t="str">
            <v>Project Employee</v>
          </cell>
        </row>
        <row r="7569">
          <cell r="K7569">
            <v>-272.52</v>
          </cell>
          <cell r="P7569" t="str">
            <v>80111101-61021201</v>
          </cell>
          <cell r="S7569" t="str">
            <v>2026A-08</v>
          </cell>
          <cell r="T7569" t="str">
            <v>Project Employee</v>
          </cell>
        </row>
        <row r="7570">
          <cell r="K7570">
            <v>16671.97</v>
          </cell>
          <cell r="P7570" t="str">
            <v>80111101-61021201</v>
          </cell>
          <cell r="S7570" t="str">
            <v>2026A-08</v>
          </cell>
          <cell r="T7570" t="str">
            <v>Project Employee</v>
          </cell>
        </row>
        <row r="7571">
          <cell r="K7571">
            <v>7037.5</v>
          </cell>
          <cell r="P7571" t="str">
            <v>80111101-61021202</v>
          </cell>
          <cell r="S7571" t="str">
            <v>2026A-08</v>
          </cell>
          <cell r="T7571" t="str">
            <v>Project Employee</v>
          </cell>
        </row>
        <row r="7572">
          <cell r="K7572">
            <v>31500</v>
          </cell>
          <cell r="P7572" t="str">
            <v>80111101-61021203</v>
          </cell>
          <cell r="S7572" t="str">
            <v>2026A-08</v>
          </cell>
          <cell r="T7572" t="str">
            <v>Project Employee</v>
          </cell>
        </row>
        <row r="7573">
          <cell r="K7573">
            <v>16071.43</v>
          </cell>
          <cell r="P7573" t="str">
            <v>80123102-61061104</v>
          </cell>
          <cell r="S7573" t="str">
            <v>2026A-08</v>
          </cell>
          <cell r="T7573" t="str">
            <v>R&amp;M Vehicle</v>
          </cell>
        </row>
        <row r="7574">
          <cell r="K7574">
            <v>12589.29</v>
          </cell>
          <cell r="P7574" t="str">
            <v>80123102-61061104</v>
          </cell>
          <cell r="S7574" t="str">
            <v>2026A-08</v>
          </cell>
          <cell r="T7574" t="str">
            <v>R&amp;M Vehicle</v>
          </cell>
        </row>
        <row r="7575">
          <cell r="K7575">
            <v>10267.86</v>
          </cell>
          <cell r="P7575" t="str">
            <v>80123102-61061104</v>
          </cell>
          <cell r="S7575" t="str">
            <v>2026A-08</v>
          </cell>
          <cell r="T7575" t="str">
            <v>R&amp;M Vehicle</v>
          </cell>
        </row>
        <row r="7576">
          <cell r="K7576">
            <v>60267.86</v>
          </cell>
          <cell r="P7576" t="str">
            <v>81123102-52111101</v>
          </cell>
          <cell r="S7576" t="str">
            <v>2026A-08</v>
          </cell>
          <cell r="T7576" t="str">
            <v>Office Supplies - Others</v>
          </cell>
        </row>
        <row r="7577">
          <cell r="K7577">
            <v>88.39</v>
          </cell>
          <cell r="P7577" t="str">
            <v>81123102-52111101</v>
          </cell>
          <cell r="S7577" t="str">
            <v>2026A-08</v>
          </cell>
          <cell r="T7577" t="str">
            <v>Office Supplies - Others</v>
          </cell>
        </row>
        <row r="7578">
          <cell r="K7578">
            <v>964.29</v>
          </cell>
          <cell r="P7578" t="str">
            <v>81123102-52111101</v>
          </cell>
          <cell r="S7578" t="str">
            <v>2026A-08</v>
          </cell>
          <cell r="T7578" t="str">
            <v>Office Supplies - Others</v>
          </cell>
        </row>
        <row r="7579">
          <cell r="K7579">
            <v>285.70999999999998</v>
          </cell>
          <cell r="P7579" t="str">
            <v>81123102-52111101</v>
          </cell>
          <cell r="S7579" t="str">
            <v>2026A-08</v>
          </cell>
          <cell r="T7579" t="str">
            <v>Office Supplies - Others</v>
          </cell>
        </row>
        <row r="7580">
          <cell r="K7580">
            <v>48.21</v>
          </cell>
          <cell r="P7580" t="str">
            <v>81123102-52111101</v>
          </cell>
          <cell r="S7580" t="str">
            <v>2026A-08</v>
          </cell>
          <cell r="T7580" t="str">
            <v>Office Supplies - Others</v>
          </cell>
        </row>
        <row r="7581">
          <cell r="K7581">
            <v>375</v>
          </cell>
          <cell r="P7581" t="str">
            <v>81123102-52111101</v>
          </cell>
          <cell r="S7581" t="str">
            <v>2026A-08</v>
          </cell>
          <cell r="T7581" t="str">
            <v>Office Supplies - Others</v>
          </cell>
        </row>
        <row r="7582">
          <cell r="K7582">
            <v>7133.93</v>
          </cell>
          <cell r="P7582" t="str">
            <v>81123102-52111101</v>
          </cell>
          <cell r="S7582" t="str">
            <v>2026A-08</v>
          </cell>
          <cell r="T7582" t="str">
            <v>Office Supplies - Others</v>
          </cell>
        </row>
        <row r="7583">
          <cell r="K7583">
            <v>43498.7</v>
          </cell>
          <cell r="P7583" t="str">
            <v>81319101-52041401</v>
          </cell>
          <cell r="S7583" t="str">
            <v>2026A-08</v>
          </cell>
          <cell r="T7583" t="str">
            <v>GH</v>
          </cell>
        </row>
        <row r="7584">
          <cell r="K7584">
            <v>89197.35</v>
          </cell>
          <cell r="P7584" t="str">
            <v>81319101-52041401</v>
          </cell>
          <cell r="S7584" t="str">
            <v>2026A-08</v>
          </cell>
          <cell r="T7584" t="str">
            <v>GH</v>
          </cell>
        </row>
        <row r="7585">
          <cell r="K7585">
            <v>8699.3799999999992</v>
          </cell>
          <cell r="P7585" t="str">
            <v>81319101-52041401</v>
          </cell>
          <cell r="S7585" t="str">
            <v>2026A-08</v>
          </cell>
          <cell r="T7585" t="str">
            <v>GH</v>
          </cell>
        </row>
        <row r="7586">
          <cell r="K7586">
            <v>17838.97</v>
          </cell>
          <cell r="P7586" t="str">
            <v>81319101-52041401</v>
          </cell>
          <cell r="S7586" t="str">
            <v>2026A-08</v>
          </cell>
          <cell r="T7586" t="str">
            <v>GH</v>
          </cell>
        </row>
        <row r="7587">
          <cell r="K7587">
            <v>-25870</v>
          </cell>
          <cell r="P7587" t="str">
            <v>81122101-52121402</v>
          </cell>
          <cell r="S7587" t="str">
            <v>2026A-08</v>
          </cell>
          <cell r="T7587" t="str">
            <v>Vaccine</v>
          </cell>
        </row>
        <row r="7588">
          <cell r="K7588">
            <v>5996.43</v>
          </cell>
          <cell r="P7588" t="str">
            <v>81319101-52061101</v>
          </cell>
          <cell r="S7588" t="str">
            <v>2026A-08</v>
          </cell>
          <cell r="T7588" t="str">
            <v>R&amp;M - ES</v>
          </cell>
        </row>
        <row r="7589">
          <cell r="K7589">
            <v>-14000</v>
          </cell>
          <cell r="P7589" t="str">
            <v>80111101-61021201</v>
          </cell>
          <cell r="S7589" t="str">
            <v>2026A-08</v>
          </cell>
          <cell r="T7589" t="str">
            <v>Project Employee</v>
          </cell>
        </row>
        <row r="7590">
          <cell r="K7590">
            <v>22793.61</v>
          </cell>
          <cell r="P7590" t="str">
            <v>81319101-52041401</v>
          </cell>
          <cell r="S7590" t="str">
            <v>2026A-08</v>
          </cell>
          <cell r="T7590" t="str">
            <v>CV</v>
          </cell>
        </row>
        <row r="7591">
          <cell r="K7591">
            <v>4558.29</v>
          </cell>
          <cell r="P7591" t="str">
            <v>81319101-52041401</v>
          </cell>
          <cell r="S7591" t="str">
            <v>2026A-08</v>
          </cell>
          <cell r="T7591" t="str">
            <v>CV</v>
          </cell>
        </row>
        <row r="7592">
          <cell r="K7592">
            <v>22701.85</v>
          </cell>
          <cell r="P7592" t="str">
            <v>81319101-52041401</v>
          </cell>
          <cell r="S7592" t="str">
            <v>2026A-08</v>
          </cell>
          <cell r="T7592" t="str">
            <v>CV</v>
          </cell>
        </row>
        <row r="7593">
          <cell r="K7593">
            <v>4539.93</v>
          </cell>
          <cell r="P7593" t="str">
            <v>81319101-52041401</v>
          </cell>
          <cell r="S7593" t="str">
            <v>2026A-08</v>
          </cell>
          <cell r="T7593" t="str">
            <v>CV</v>
          </cell>
        </row>
        <row r="7594">
          <cell r="K7594">
            <v>372955.42</v>
          </cell>
          <cell r="P7594" t="str">
            <v>90111101-52031101</v>
          </cell>
          <cell r="S7594" t="str">
            <v>2026A-08</v>
          </cell>
          <cell r="T7594" t="str">
            <v>Other Taxes</v>
          </cell>
        </row>
        <row r="7595">
          <cell r="K7595">
            <v>1442.91</v>
          </cell>
          <cell r="P7595" t="str">
            <v>90111101-52031101</v>
          </cell>
          <cell r="S7595" t="str">
            <v>2026A-08</v>
          </cell>
          <cell r="T7595" t="str">
            <v>Other Taxes</v>
          </cell>
        </row>
        <row r="7596">
          <cell r="K7596">
            <v>16817.12</v>
          </cell>
          <cell r="P7596" t="str">
            <v>90111101-52121301</v>
          </cell>
          <cell r="S7596" t="str">
            <v>2026A-08</v>
          </cell>
          <cell r="T7596" t="str">
            <v>Sun Life - MDIA</v>
          </cell>
        </row>
        <row r="7597">
          <cell r="K7597">
            <v>26077.5</v>
          </cell>
          <cell r="P7597" t="str">
            <v>90111101-52121301</v>
          </cell>
          <cell r="S7597" t="str">
            <v>2026A-08</v>
          </cell>
          <cell r="T7597" t="str">
            <v>Life Insurance</v>
          </cell>
        </row>
        <row r="7598">
          <cell r="K7598">
            <v>38124.080000000002</v>
          </cell>
          <cell r="P7598" t="str">
            <v>90111101-52121303</v>
          </cell>
          <cell r="S7598" t="str">
            <v>2026A-08</v>
          </cell>
          <cell r="T7598" t="str">
            <v>Pacific Cross Insurance Policy (USD) - MDIA</v>
          </cell>
        </row>
        <row r="7599">
          <cell r="K7599">
            <v>36842.11</v>
          </cell>
          <cell r="P7599" t="str">
            <v>90122101-52071104</v>
          </cell>
          <cell r="S7599" t="str">
            <v>2026A-08</v>
          </cell>
          <cell r="T7599" t="str">
            <v>OLC INTCNSLTNT</v>
          </cell>
        </row>
        <row r="7600">
          <cell r="K7600">
            <v>30416.67</v>
          </cell>
          <cell r="P7600" t="str">
            <v>90111101-52101107</v>
          </cell>
          <cell r="S7600" t="str">
            <v>2026A-08</v>
          </cell>
          <cell r="T7600" t="str">
            <v>DOL</v>
          </cell>
        </row>
        <row r="7601">
          <cell r="K7601">
            <v>3802.08</v>
          </cell>
          <cell r="P7601" t="str">
            <v>90111101-52101107</v>
          </cell>
          <cell r="S7601" t="str">
            <v>2026A-08</v>
          </cell>
          <cell r="T7601" t="str">
            <v>DOL</v>
          </cell>
        </row>
        <row r="7602">
          <cell r="K7602">
            <v>60.83</v>
          </cell>
          <cell r="P7602" t="str">
            <v>90111101-52101107</v>
          </cell>
          <cell r="S7602" t="str">
            <v>2026A-08</v>
          </cell>
          <cell r="T7602" t="str">
            <v>DOL</v>
          </cell>
        </row>
        <row r="7603">
          <cell r="K7603">
            <v>294357.62</v>
          </cell>
          <cell r="P7603" t="str">
            <v>90111101-52121303</v>
          </cell>
          <cell r="S7603" t="str">
            <v>2026A-08</v>
          </cell>
          <cell r="T7603" t="str">
            <v>HMO</v>
          </cell>
        </row>
        <row r="7604">
          <cell r="K7604">
            <v>16.670000000000002</v>
          </cell>
          <cell r="P7604" t="str">
            <v>90111101-52121303</v>
          </cell>
          <cell r="S7604" t="str">
            <v>2026A-08</v>
          </cell>
          <cell r="T7604" t="str">
            <v>HMO</v>
          </cell>
        </row>
        <row r="7605">
          <cell r="K7605">
            <v>5887.15</v>
          </cell>
          <cell r="P7605" t="str">
            <v>90111101-52121303</v>
          </cell>
          <cell r="S7605" t="str">
            <v>2026A-08</v>
          </cell>
          <cell r="T7605" t="str">
            <v>HMO</v>
          </cell>
        </row>
        <row r="7606">
          <cell r="K7606">
            <v>588.72</v>
          </cell>
          <cell r="P7606" t="str">
            <v>90111101-52121303</v>
          </cell>
          <cell r="S7606" t="str">
            <v>2026A-08</v>
          </cell>
          <cell r="T7606" t="str">
            <v>HMO</v>
          </cell>
        </row>
        <row r="7607">
          <cell r="K7607">
            <v>5260.42</v>
          </cell>
          <cell r="P7607" t="str">
            <v>90111101-52121303</v>
          </cell>
          <cell r="S7607" t="str">
            <v>2026A-08</v>
          </cell>
          <cell r="T7607" t="str">
            <v>HMO</v>
          </cell>
        </row>
        <row r="7608">
          <cell r="K7608">
            <v>46666.67</v>
          </cell>
          <cell r="P7608" t="str">
            <v>90122101-52121315</v>
          </cell>
          <cell r="S7608" t="str">
            <v>2026A-08</v>
          </cell>
          <cell r="T7608" t="str">
            <v>Jobstreet</v>
          </cell>
        </row>
        <row r="7609">
          <cell r="K7609">
            <v>1968.75</v>
          </cell>
          <cell r="P7609" t="str">
            <v>90122101-52121315</v>
          </cell>
          <cell r="S7609" t="str">
            <v>2026A-08</v>
          </cell>
          <cell r="T7609" t="str">
            <v>Jobstreet</v>
          </cell>
        </row>
        <row r="7610">
          <cell r="K7610">
            <v>-36842.11</v>
          </cell>
          <cell r="P7610" t="str">
            <v>90122101-52071104</v>
          </cell>
          <cell r="S7610" t="str">
            <v>2026A-08</v>
          </cell>
          <cell r="T7610" t="str">
            <v>OLC INTCNSLTNT</v>
          </cell>
        </row>
        <row r="7611">
          <cell r="K7611">
            <v>3431675</v>
          </cell>
          <cell r="P7611" t="str">
            <v>90111101-52121304</v>
          </cell>
          <cell r="S7611" t="str">
            <v>2026A-08</v>
          </cell>
          <cell r="T7611" t="str">
            <v>Retirement</v>
          </cell>
        </row>
        <row r="7612">
          <cell r="K7612">
            <v>54166.67</v>
          </cell>
          <cell r="P7612" t="str">
            <v>90111101-52071199</v>
          </cell>
          <cell r="S7612" t="str">
            <v>2026A-08</v>
          </cell>
          <cell r="T7612" t="str">
            <v>Lacson</v>
          </cell>
        </row>
        <row r="7613">
          <cell r="K7613">
            <v>7421.87</v>
          </cell>
          <cell r="P7613" t="str">
            <v>90111101-52071199</v>
          </cell>
          <cell r="S7613" t="str">
            <v>2026A-08</v>
          </cell>
          <cell r="T7613" t="str">
            <v>Lacson</v>
          </cell>
        </row>
        <row r="7614">
          <cell r="K7614">
            <v>487500</v>
          </cell>
          <cell r="P7614" t="str">
            <v>90111101-52121303</v>
          </cell>
          <cell r="S7614" t="str">
            <v>2026A-08</v>
          </cell>
          <cell r="T7614" t="str">
            <v>HMO</v>
          </cell>
        </row>
        <row r="7615">
          <cell r="K7615">
            <v>148437.5</v>
          </cell>
          <cell r="P7615" t="str">
            <v>90111101-52121303</v>
          </cell>
          <cell r="S7615" t="str">
            <v>2026A-08</v>
          </cell>
          <cell r="T7615" t="str">
            <v>HMO</v>
          </cell>
        </row>
        <row r="7616">
          <cell r="K7616">
            <v>30800</v>
          </cell>
          <cell r="P7616" t="str">
            <v>80111101-61021102</v>
          </cell>
          <cell r="S7616" t="str">
            <v>2026A-08</v>
          </cell>
          <cell r="T7616" t="str">
            <v>Regular Employee</v>
          </cell>
        </row>
        <row r="7617">
          <cell r="K7617">
            <v>-66.56</v>
          </cell>
          <cell r="P7617" t="str">
            <v>80111101-61021102</v>
          </cell>
          <cell r="S7617" t="str">
            <v>2026A-08</v>
          </cell>
          <cell r="T7617" t="str">
            <v>Regular Employee</v>
          </cell>
        </row>
        <row r="7618">
          <cell r="K7618">
            <v>50500</v>
          </cell>
          <cell r="P7618" t="str">
            <v>80111101-61021102</v>
          </cell>
          <cell r="S7618" t="str">
            <v>2026A-08</v>
          </cell>
          <cell r="T7618" t="str">
            <v>Regular Employee</v>
          </cell>
        </row>
        <row r="7619">
          <cell r="K7619">
            <v>238150</v>
          </cell>
          <cell r="P7619" t="str">
            <v>80111101-61021102</v>
          </cell>
          <cell r="S7619" t="str">
            <v>2026A-08</v>
          </cell>
          <cell r="T7619" t="str">
            <v>Regular Employee</v>
          </cell>
        </row>
        <row r="7620">
          <cell r="K7620">
            <v>-925.2</v>
          </cell>
          <cell r="P7620" t="str">
            <v>80111101-61021102</v>
          </cell>
          <cell r="S7620" t="str">
            <v>2026A-08</v>
          </cell>
          <cell r="T7620" t="str">
            <v>Regular Employee</v>
          </cell>
        </row>
        <row r="7621">
          <cell r="K7621">
            <v>-25.66</v>
          </cell>
          <cell r="P7621" t="str">
            <v>80111101-61021102</v>
          </cell>
          <cell r="S7621" t="str">
            <v>2026A-08</v>
          </cell>
          <cell r="T7621" t="str">
            <v>Regular Employee</v>
          </cell>
        </row>
        <row r="7622">
          <cell r="K7622">
            <v>-584.27</v>
          </cell>
          <cell r="P7622" t="str">
            <v>80111101-61021102</v>
          </cell>
          <cell r="S7622" t="str">
            <v>2026A-08</v>
          </cell>
          <cell r="T7622" t="str">
            <v>Regular Employee</v>
          </cell>
        </row>
        <row r="7623">
          <cell r="K7623">
            <v>728200</v>
          </cell>
          <cell r="P7623" t="str">
            <v>80111101-61021102</v>
          </cell>
          <cell r="S7623" t="str">
            <v>2026A-08</v>
          </cell>
          <cell r="T7623" t="str">
            <v>Regular Employee</v>
          </cell>
        </row>
        <row r="7624">
          <cell r="K7624">
            <v>-10594.04</v>
          </cell>
          <cell r="P7624" t="str">
            <v>80111101-61021102</v>
          </cell>
          <cell r="S7624" t="str">
            <v>2026A-08</v>
          </cell>
          <cell r="T7624" t="str">
            <v>Regular Employee</v>
          </cell>
        </row>
        <row r="7625">
          <cell r="K7625">
            <v>-3101.69</v>
          </cell>
          <cell r="P7625" t="str">
            <v>80111101-61021102</v>
          </cell>
          <cell r="S7625" t="str">
            <v>2026A-08</v>
          </cell>
          <cell r="T7625" t="str">
            <v>Regular Employee</v>
          </cell>
        </row>
        <row r="7626">
          <cell r="K7626">
            <v>-1498.17</v>
          </cell>
          <cell r="P7626" t="str">
            <v>80111101-61021102</v>
          </cell>
          <cell r="S7626" t="str">
            <v>2026A-08</v>
          </cell>
          <cell r="T7626" t="str">
            <v>Regular Employee</v>
          </cell>
        </row>
        <row r="7627">
          <cell r="K7627">
            <v>14653.01</v>
          </cell>
          <cell r="P7627" t="str">
            <v>80111101-61021103</v>
          </cell>
          <cell r="S7627" t="str">
            <v>2026A-08</v>
          </cell>
          <cell r="T7627" t="str">
            <v>OT Pay</v>
          </cell>
        </row>
        <row r="7628">
          <cell r="K7628">
            <v>1600</v>
          </cell>
          <cell r="P7628" t="str">
            <v>80111101-61021104</v>
          </cell>
          <cell r="S7628" t="str">
            <v>2026A-08</v>
          </cell>
          <cell r="T7628" t="str">
            <v>OT Pay</v>
          </cell>
        </row>
        <row r="7629">
          <cell r="K7629">
            <v>3600</v>
          </cell>
          <cell r="P7629" t="str">
            <v>80111101-61021104</v>
          </cell>
          <cell r="S7629" t="str">
            <v>2026A-08</v>
          </cell>
          <cell r="T7629" t="str">
            <v>OT Pay</v>
          </cell>
        </row>
        <row r="7630">
          <cell r="K7630">
            <v>3150</v>
          </cell>
          <cell r="P7630" t="str">
            <v>80111101-61021306</v>
          </cell>
          <cell r="S7630" t="str">
            <v>2026A-08</v>
          </cell>
          <cell r="T7630" t="str">
            <v>SSS</v>
          </cell>
        </row>
        <row r="7631">
          <cell r="K7631">
            <v>8050</v>
          </cell>
          <cell r="P7631" t="str">
            <v>80111101-61021306</v>
          </cell>
          <cell r="S7631" t="str">
            <v>2026A-08</v>
          </cell>
          <cell r="T7631" t="str">
            <v>SSS</v>
          </cell>
        </row>
        <row r="7632">
          <cell r="K7632">
            <v>5000</v>
          </cell>
          <cell r="P7632" t="str">
            <v>80111101-61021309</v>
          </cell>
          <cell r="S7632" t="str">
            <v>2026A-08</v>
          </cell>
          <cell r="T7632" t="str">
            <v>Gas Allowance</v>
          </cell>
        </row>
        <row r="7633">
          <cell r="K7633">
            <v>20000</v>
          </cell>
          <cell r="P7633" t="str">
            <v>80111101-61021309</v>
          </cell>
          <cell r="S7633" t="str">
            <v>2026A-08</v>
          </cell>
          <cell r="T7633" t="str">
            <v>Gas Allowance</v>
          </cell>
        </row>
        <row r="7634">
          <cell r="K7634">
            <v>10000</v>
          </cell>
          <cell r="P7634" t="str">
            <v>80111101-61021309</v>
          </cell>
          <cell r="S7634" t="str">
            <v>2026A-08</v>
          </cell>
          <cell r="T7634" t="str">
            <v>Gas Allowance</v>
          </cell>
        </row>
        <row r="7635">
          <cell r="K7635">
            <v>204250</v>
          </cell>
          <cell r="P7635" t="str">
            <v>80111101-61021201</v>
          </cell>
          <cell r="S7635" t="str">
            <v>2026A-08</v>
          </cell>
          <cell r="T7635" t="str">
            <v>Project Employee</v>
          </cell>
        </row>
        <row r="7636">
          <cell r="K7636">
            <v>-13978.8</v>
          </cell>
          <cell r="P7636" t="str">
            <v>80111101-61021201</v>
          </cell>
          <cell r="S7636" t="str">
            <v>2026A-08</v>
          </cell>
          <cell r="T7636" t="str">
            <v>Project Employee</v>
          </cell>
        </row>
        <row r="7637">
          <cell r="K7637">
            <v>-6916.12</v>
          </cell>
          <cell r="P7637" t="str">
            <v>80111101-61021201</v>
          </cell>
          <cell r="S7637" t="str">
            <v>2026A-08</v>
          </cell>
          <cell r="T7637" t="str">
            <v>Project Employee</v>
          </cell>
        </row>
        <row r="7638">
          <cell r="K7638">
            <v>-971.34</v>
          </cell>
          <cell r="P7638" t="str">
            <v>80111101-61021201</v>
          </cell>
          <cell r="S7638" t="str">
            <v>2026A-08</v>
          </cell>
          <cell r="T7638" t="str">
            <v>Project Employee</v>
          </cell>
        </row>
        <row r="7639">
          <cell r="K7639">
            <v>-806.43</v>
          </cell>
          <cell r="P7639" t="str">
            <v>80111101-61021201</v>
          </cell>
          <cell r="S7639" t="str">
            <v>2026A-08</v>
          </cell>
          <cell r="T7639" t="str">
            <v>Project Employee</v>
          </cell>
        </row>
        <row r="7640">
          <cell r="K7640">
            <v>44611.360000000001</v>
          </cell>
          <cell r="P7640" t="str">
            <v>80111101-61021202</v>
          </cell>
          <cell r="S7640" t="str">
            <v>2026A-08</v>
          </cell>
          <cell r="T7640" t="str">
            <v>Project Employee</v>
          </cell>
        </row>
        <row r="7641">
          <cell r="K7641">
            <v>20490</v>
          </cell>
          <cell r="P7641" t="str">
            <v>80111101-61021306</v>
          </cell>
          <cell r="S7641" t="str">
            <v>2026A-08</v>
          </cell>
          <cell r="T7641" t="str">
            <v>SSS</v>
          </cell>
        </row>
        <row r="7642">
          <cell r="K7642">
            <v>195050</v>
          </cell>
          <cell r="P7642" t="str">
            <v>81111101-52121101</v>
          </cell>
          <cell r="S7642" t="str">
            <v>2026A-08</v>
          </cell>
          <cell r="T7642" t="str">
            <v>Regular Employee</v>
          </cell>
        </row>
        <row r="7643">
          <cell r="K7643">
            <v>225100</v>
          </cell>
          <cell r="P7643" t="str">
            <v>81111101-52121101</v>
          </cell>
          <cell r="S7643" t="str">
            <v>2026A-08</v>
          </cell>
          <cell r="T7643" t="str">
            <v>Regular Employee</v>
          </cell>
        </row>
        <row r="7644">
          <cell r="K7644">
            <v>3256.53</v>
          </cell>
          <cell r="P7644" t="str">
            <v>81111101-52121101</v>
          </cell>
          <cell r="S7644" t="str">
            <v>2026A-08</v>
          </cell>
          <cell r="T7644" t="str">
            <v>Regular Employee</v>
          </cell>
        </row>
        <row r="7645">
          <cell r="K7645">
            <v>120900</v>
          </cell>
          <cell r="P7645" t="str">
            <v>81111101-52121101</v>
          </cell>
          <cell r="S7645" t="str">
            <v>2026A-08</v>
          </cell>
          <cell r="T7645" t="str">
            <v>Regular Employee</v>
          </cell>
        </row>
        <row r="7646">
          <cell r="K7646">
            <v>1465.67</v>
          </cell>
          <cell r="P7646" t="str">
            <v>81111101-52121101</v>
          </cell>
          <cell r="S7646" t="str">
            <v>2026A-08</v>
          </cell>
          <cell r="T7646" t="str">
            <v>Regular Employee</v>
          </cell>
        </row>
        <row r="7647">
          <cell r="K7647">
            <v>1026750</v>
          </cell>
          <cell r="P7647" t="str">
            <v>81111101-52121101</v>
          </cell>
          <cell r="S7647" t="str">
            <v>2026A-08</v>
          </cell>
          <cell r="T7647" t="str">
            <v>Regular Employee</v>
          </cell>
        </row>
        <row r="7648">
          <cell r="K7648">
            <v>3817.61</v>
          </cell>
          <cell r="P7648" t="str">
            <v>81111101-52121101</v>
          </cell>
          <cell r="S7648" t="str">
            <v>2026A-08</v>
          </cell>
          <cell r="T7648" t="str">
            <v>Regular Employee</v>
          </cell>
        </row>
        <row r="7649">
          <cell r="K7649">
            <v>126100</v>
          </cell>
          <cell r="P7649" t="str">
            <v>81111101-52121101</v>
          </cell>
          <cell r="S7649" t="str">
            <v>2026A-08</v>
          </cell>
          <cell r="T7649" t="str">
            <v>Regular Employee</v>
          </cell>
        </row>
        <row r="7650">
          <cell r="K7650">
            <v>920.62</v>
          </cell>
          <cell r="P7650" t="str">
            <v>81111101-52121101</v>
          </cell>
          <cell r="S7650" t="str">
            <v>2026A-08</v>
          </cell>
          <cell r="T7650" t="str">
            <v>Regular Employee</v>
          </cell>
        </row>
        <row r="7651">
          <cell r="K7651">
            <v>-2816.83</v>
          </cell>
          <cell r="P7651" t="str">
            <v>81111101-52121101</v>
          </cell>
          <cell r="S7651" t="str">
            <v>2026A-08</v>
          </cell>
          <cell r="T7651" t="str">
            <v>Regular Employee</v>
          </cell>
        </row>
        <row r="7652">
          <cell r="K7652">
            <v>-136.61000000000001</v>
          </cell>
          <cell r="P7652" t="str">
            <v>81111101-52121101</v>
          </cell>
          <cell r="S7652" t="str">
            <v>2026A-08</v>
          </cell>
          <cell r="T7652" t="str">
            <v>Regular Employee</v>
          </cell>
        </row>
        <row r="7653">
          <cell r="K7653">
            <v>-2633.86</v>
          </cell>
          <cell r="P7653" t="str">
            <v>81111101-52121101</v>
          </cell>
          <cell r="S7653" t="str">
            <v>2026A-08</v>
          </cell>
          <cell r="T7653" t="str">
            <v>Regular Employee</v>
          </cell>
        </row>
        <row r="7654">
          <cell r="K7654">
            <v>-13603.22</v>
          </cell>
          <cell r="P7654" t="str">
            <v>81111101-52121101</v>
          </cell>
          <cell r="S7654" t="str">
            <v>2026A-08</v>
          </cell>
          <cell r="T7654" t="str">
            <v>Regular Employee</v>
          </cell>
        </row>
        <row r="7655">
          <cell r="K7655">
            <v>-711.2</v>
          </cell>
          <cell r="P7655" t="str">
            <v>81111101-52121101</v>
          </cell>
          <cell r="S7655" t="str">
            <v>2026A-08</v>
          </cell>
          <cell r="T7655" t="str">
            <v>Regular Employee</v>
          </cell>
        </row>
        <row r="7656">
          <cell r="K7656">
            <v>-3493.84</v>
          </cell>
          <cell r="P7656" t="str">
            <v>81111101-52121101</v>
          </cell>
          <cell r="S7656" t="str">
            <v>2026A-08</v>
          </cell>
          <cell r="T7656" t="str">
            <v>Regular Employee</v>
          </cell>
        </row>
        <row r="7657">
          <cell r="K7657">
            <v>-2290.1</v>
          </cell>
          <cell r="P7657" t="str">
            <v>81111101-52121101</v>
          </cell>
          <cell r="S7657" t="str">
            <v>2026A-08</v>
          </cell>
          <cell r="T7657" t="str">
            <v>Regular Employee</v>
          </cell>
        </row>
        <row r="7658">
          <cell r="K7658">
            <v>-836</v>
          </cell>
          <cell r="P7658" t="str">
            <v>81111101-52121101</v>
          </cell>
          <cell r="S7658" t="str">
            <v>2026A-08</v>
          </cell>
          <cell r="T7658" t="str">
            <v>Regular Employee</v>
          </cell>
        </row>
        <row r="7659">
          <cell r="K7659">
            <v>-21300.27</v>
          </cell>
          <cell r="P7659" t="str">
            <v>81111101-52121101</v>
          </cell>
          <cell r="S7659" t="str">
            <v>2026A-08</v>
          </cell>
          <cell r="T7659" t="str">
            <v>Regular Employee</v>
          </cell>
        </row>
        <row r="7660">
          <cell r="K7660">
            <v>-1740.48</v>
          </cell>
          <cell r="P7660" t="str">
            <v>81111101-52121101</v>
          </cell>
          <cell r="S7660" t="str">
            <v>2026A-08</v>
          </cell>
          <cell r="T7660" t="str">
            <v>Regular Employee</v>
          </cell>
        </row>
        <row r="7661">
          <cell r="K7661">
            <v>-2372.0300000000002</v>
          </cell>
          <cell r="P7661" t="str">
            <v>81111101-52121101</v>
          </cell>
          <cell r="S7661" t="str">
            <v>2026A-08</v>
          </cell>
          <cell r="T7661" t="str">
            <v>Regular Employee</v>
          </cell>
        </row>
        <row r="7662">
          <cell r="K7662">
            <v>-10889.45</v>
          </cell>
          <cell r="P7662" t="str">
            <v>81111101-52121101</v>
          </cell>
          <cell r="S7662" t="str">
            <v>2026A-08</v>
          </cell>
          <cell r="T7662" t="str">
            <v>Regular Employee</v>
          </cell>
        </row>
        <row r="7663">
          <cell r="K7663">
            <v>-7598.57</v>
          </cell>
          <cell r="P7663" t="str">
            <v>81111101-52121101</v>
          </cell>
          <cell r="S7663" t="str">
            <v>2026A-08</v>
          </cell>
          <cell r="T7663" t="str">
            <v>Regular Employee</v>
          </cell>
        </row>
        <row r="7664">
          <cell r="K7664">
            <v>-3770.17</v>
          </cell>
          <cell r="P7664" t="str">
            <v>81111101-52121101</v>
          </cell>
          <cell r="S7664" t="str">
            <v>2026A-08</v>
          </cell>
          <cell r="T7664" t="str">
            <v>Regular Employee</v>
          </cell>
        </row>
        <row r="7665">
          <cell r="K7665">
            <v>11512.64</v>
          </cell>
          <cell r="P7665" t="str">
            <v>81111101-52121102</v>
          </cell>
          <cell r="S7665" t="str">
            <v>2026A-08</v>
          </cell>
          <cell r="T7665" t="str">
            <v>OT Pay</v>
          </cell>
        </row>
        <row r="7666">
          <cell r="K7666">
            <v>4086.49</v>
          </cell>
          <cell r="P7666" t="str">
            <v>81111101-52121102</v>
          </cell>
          <cell r="S7666" t="str">
            <v>2026A-08</v>
          </cell>
          <cell r="T7666" t="str">
            <v>OT Pay</v>
          </cell>
        </row>
        <row r="7667">
          <cell r="K7667">
            <v>1025.25</v>
          </cell>
          <cell r="P7667" t="str">
            <v>81111101-52121102</v>
          </cell>
          <cell r="S7667" t="str">
            <v>2026A-08</v>
          </cell>
          <cell r="T7667" t="str">
            <v>OT Pay</v>
          </cell>
        </row>
        <row r="7668">
          <cell r="K7668">
            <v>4600</v>
          </cell>
          <cell r="P7668" t="str">
            <v>81111101-52121103</v>
          </cell>
          <cell r="S7668" t="str">
            <v>2026A-08</v>
          </cell>
          <cell r="T7668" t="str">
            <v>OT Pay</v>
          </cell>
        </row>
        <row r="7669">
          <cell r="K7669">
            <v>2200</v>
          </cell>
          <cell r="P7669" t="str">
            <v>81111101-52121103</v>
          </cell>
          <cell r="S7669" t="str">
            <v>2026A-08</v>
          </cell>
          <cell r="T7669" t="str">
            <v>OT Pay</v>
          </cell>
        </row>
        <row r="7670">
          <cell r="K7670">
            <v>7200</v>
          </cell>
          <cell r="P7670" t="str">
            <v>81111101-52121103</v>
          </cell>
          <cell r="S7670" t="str">
            <v>2026A-08</v>
          </cell>
          <cell r="T7670" t="str">
            <v>OT Pay</v>
          </cell>
        </row>
        <row r="7671">
          <cell r="K7671">
            <v>1050</v>
          </cell>
          <cell r="P7671" t="str">
            <v>81111101-52121305</v>
          </cell>
          <cell r="S7671" t="str">
            <v>2026A-08</v>
          </cell>
          <cell r="T7671" t="str">
            <v>SSS</v>
          </cell>
        </row>
        <row r="7672">
          <cell r="K7672">
            <v>3350</v>
          </cell>
          <cell r="P7672" t="str">
            <v>81111101-52121305</v>
          </cell>
          <cell r="S7672" t="str">
            <v>2026A-08</v>
          </cell>
          <cell r="T7672" t="str">
            <v>SSS</v>
          </cell>
        </row>
        <row r="7673">
          <cell r="K7673">
            <v>820</v>
          </cell>
          <cell r="P7673" t="str">
            <v>81111101-52121305</v>
          </cell>
          <cell r="S7673" t="str">
            <v>2026A-08</v>
          </cell>
          <cell r="T7673" t="str">
            <v>SSS</v>
          </cell>
        </row>
        <row r="7674">
          <cell r="K7674">
            <v>200</v>
          </cell>
          <cell r="P7674" t="str">
            <v>81111101-52121305</v>
          </cell>
          <cell r="S7674" t="str">
            <v>2026A-08</v>
          </cell>
          <cell r="T7674" t="str">
            <v>Pag-ibig</v>
          </cell>
        </row>
        <row r="7675">
          <cell r="K7675">
            <v>11530</v>
          </cell>
          <cell r="P7675" t="str">
            <v>81111101-52121305</v>
          </cell>
          <cell r="S7675" t="str">
            <v>2026A-08</v>
          </cell>
          <cell r="T7675" t="str">
            <v>SSS</v>
          </cell>
        </row>
        <row r="7676">
          <cell r="K7676">
            <v>875</v>
          </cell>
          <cell r="P7676" t="str">
            <v>81111101-52121305</v>
          </cell>
          <cell r="S7676" t="str">
            <v>2026A-08</v>
          </cell>
          <cell r="T7676" t="str">
            <v>Philhealth</v>
          </cell>
        </row>
        <row r="7677">
          <cell r="K7677">
            <v>30000</v>
          </cell>
          <cell r="P7677" t="str">
            <v>81111101-52121308</v>
          </cell>
          <cell r="S7677" t="str">
            <v>2026A-08</v>
          </cell>
          <cell r="T7677" t="str">
            <v>Gas Allowance</v>
          </cell>
        </row>
        <row r="7678">
          <cell r="K7678">
            <v>5000</v>
          </cell>
          <cell r="P7678" t="str">
            <v>81111101-52121308</v>
          </cell>
          <cell r="S7678" t="str">
            <v>2026A-08</v>
          </cell>
          <cell r="T7678" t="str">
            <v>Gas Allowance</v>
          </cell>
        </row>
        <row r="7679">
          <cell r="K7679">
            <v>869500</v>
          </cell>
          <cell r="P7679" t="str">
            <v>81122101-52071104</v>
          </cell>
          <cell r="S7679" t="str">
            <v>2026A-08</v>
          </cell>
          <cell r="T7679" t="str">
            <v>INTCNSLTNT</v>
          </cell>
        </row>
        <row r="7680">
          <cell r="K7680">
            <v>208100</v>
          </cell>
          <cell r="P7680" t="str">
            <v>81122101-52071104</v>
          </cell>
          <cell r="S7680" t="str">
            <v>2026A-08</v>
          </cell>
          <cell r="T7680" t="str">
            <v>INTCNSLTNT</v>
          </cell>
        </row>
        <row r="7681">
          <cell r="K7681">
            <v>8000</v>
          </cell>
          <cell r="P7681" t="str">
            <v>81122101-52071104</v>
          </cell>
          <cell r="S7681" t="str">
            <v>2026A-08</v>
          </cell>
          <cell r="T7681" t="str">
            <v>INTCNSLTNT</v>
          </cell>
        </row>
        <row r="7682">
          <cell r="K7682">
            <v>-8061.07</v>
          </cell>
          <cell r="P7682" t="str">
            <v>81122101-52071104</v>
          </cell>
          <cell r="S7682" t="str">
            <v>2026A-08</v>
          </cell>
          <cell r="T7682" t="str">
            <v>INTCNSLTNT</v>
          </cell>
        </row>
        <row r="7683">
          <cell r="K7683">
            <v>4200</v>
          </cell>
          <cell r="P7683" t="str">
            <v>90111101-52081103</v>
          </cell>
          <cell r="S7683" t="str">
            <v>2026A-08</v>
          </cell>
          <cell r="T7683" t="str">
            <v>Meal Allowance</v>
          </cell>
        </row>
        <row r="7684">
          <cell r="K7684">
            <v>3143350</v>
          </cell>
          <cell r="P7684" t="str">
            <v>90111101-52121101</v>
          </cell>
          <cell r="S7684" t="str">
            <v>2026A-08</v>
          </cell>
          <cell r="T7684" t="str">
            <v>Regular Employee</v>
          </cell>
        </row>
        <row r="7685">
          <cell r="K7685">
            <v>8033.68</v>
          </cell>
          <cell r="P7685" t="str">
            <v>90111101-52121101</v>
          </cell>
          <cell r="S7685" t="str">
            <v>2026A-08</v>
          </cell>
          <cell r="T7685" t="str">
            <v>Regular Employee</v>
          </cell>
        </row>
        <row r="7686">
          <cell r="K7686">
            <v>3613.79</v>
          </cell>
          <cell r="P7686" t="str">
            <v>90111101-52121101</v>
          </cell>
          <cell r="S7686" t="str">
            <v>2026A-08</v>
          </cell>
          <cell r="T7686" t="str">
            <v>Regular Employee</v>
          </cell>
        </row>
        <row r="7687">
          <cell r="K7687">
            <v>-6851.18</v>
          </cell>
          <cell r="P7687" t="str">
            <v>90111101-52121101</v>
          </cell>
          <cell r="S7687" t="str">
            <v>2026A-08</v>
          </cell>
          <cell r="T7687" t="str">
            <v>Regular Employee</v>
          </cell>
        </row>
        <row r="7688">
          <cell r="K7688">
            <v>-831.26</v>
          </cell>
          <cell r="P7688" t="str">
            <v>90111101-52121101</v>
          </cell>
          <cell r="S7688" t="str">
            <v>2026A-08</v>
          </cell>
          <cell r="T7688" t="str">
            <v>Regular Employee</v>
          </cell>
        </row>
        <row r="7689">
          <cell r="K7689">
            <v>-19296.419999999998</v>
          </cell>
          <cell r="P7689" t="str">
            <v>90111101-52121101</v>
          </cell>
          <cell r="S7689" t="str">
            <v>2026A-08</v>
          </cell>
          <cell r="T7689" t="str">
            <v>Regular Employee</v>
          </cell>
        </row>
        <row r="7690">
          <cell r="K7690">
            <v>-1761.09</v>
          </cell>
          <cell r="P7690" t="str">
            <v>90111101-52121101</v>
          </cell>
          <cell r="S7690" t="str">
            <v>2026A-08</v>
          </cell>
          <cell r="T7690" t="str">
            <v>Regular Employee</v>
          </cell>
        </row>
        <row r="7691">
          <cell r="K7691">
            <v>-1795.44</v>
          </cell>
          <cell r="P7691" t="str">
            <v>90111101-52121101</v>
          </cell>
          <cell r="S7691" t="str">
            <v>2026A-08</v>
          </cell>
          <cell r="T7691" t="str">
            <v>Regular Employee</v>
          </cell>
        </row>
        <row r="7692">
          <cell r="K7692">
            <v>503400</v>
          </cell>
          <cell r="P7692" t="str">
            <v>90111101-52121101</v>
          </cell>
          <cell r="S7692" t="str">
            <v>2026A-08</v>
          </cell>
          <cell r="T7692" t="str">
            <v>Regular Employee</v>
          </cell>
        </row>
        <row r="7693">
          <cell r="K7693">
            <v>-3546.27</v>
          </cell>
          <cell r="P7693" t="str">
            <v>90111101-52121101</v>
          </cell>
          <cell r="S7693" t="str">
            <v>2026A-08</v>
          </cell>
          <cell r="T7693" t="str">
            <v>Regular Employee</v>
          </cell>
        </row>
        <row r="7694">
          <cell r="K7694">
            <v>-40.5</v>
          </cell>
          <cell r="P7694" t="str">
            <v>90111101-52121101</v>
          </cell>
          <cell r="S7694" t="str">
            <v>2026A-08</v>
          </cell>
          <cell r="T7694" t="str">
            <v>Regular Employee</v>
          </cell>
        </row>
        <row r="7695">
          <cell r="K7695">
            <v>-614.95000000000005</v>
          </cell>
          <cell r="P7695" t="str">
            <v>90111101-52121101</v>
          </cell>
          <cell r="S7695" t="str">
            <v>2026A-08</v>
          </cell>
          <cell r="T7695" t="str">
            <v>Regular Employee</v>
          </cell>
        </row>
        <row r="7696">
          <cell r="K7696">
            <v>-3357.29</v>
          </cell>
          <cell r="P7696" t="str">
            <v>90111101-52121101</v>
          </cell>
          <cell r="S7696" t="str">
            <v>2026A-08</v>
          </cell>
          <cell r="T7696" t="str">
            <v>Regular Employee</v>
          </cell>
        </row>
        <row r="7697">
          <cell r="K7697">
            <v>2210700</v>
          </cell>
          <cell r="P7697" t="str">
            <v>90111101-52121101</v>
          </cell>
          <cell r="S7697" t="str">
            <v>2026A-08</v>
          </cell>
          <cell r="T7697" t="str">
            <v>Regular Employee</v>
          </cell>
        </row>
        <row r="7698">
          <cell r="K7698">
            <v>1506.89</v>
          </cell>
          <cell r="P7698" t="str">
            <v>90111101-52121101</v>
          </cell>
          <cell r="S7698" t="str">
            <v>2026A-08</v>
          </cell>
          <cell r="T7698" t="str">
            <v>Regular Employee</v>
          </cell>
        </row>
        <row r="7699">
          <cell r="K7699">
            <v>3419.38</v>
          </cell>
          <cell r="P7699" t="str">
            <v>90111101-52121101</v>
          </cell>
          <cell r="S7699" t="str">
            <v>2026A-08</v>
          </cell>
          <cell r="T7699" t="str">
            <v>Regular Employee</v>
          </cell>
        </row>
        <row r="7700">
          <cell r="K7700">
            <v>-7906.05</v>
          </cell>
          <cell r="P7700" t="str">
            <v>90111101-52121101</v>
          </cell>
          <cell r="S7700" t="str">
            <v>2026A-08</v>
          </cell>
          <cell r="T7700" t="str">
            <v>Regular Employee</v>
          </cell>
        </row>
        <row r="7701">
          <cell r="K7701">
            <v>-2825.97</v>
          </cell>
          <cell r="P7701" t="str">
            <v>90111101-52121101</v>
          </cell>
          <cell r="S7701" t="str">
            <v>2026A-08</v>
          </cell>
          <cell r="T7701" t="str">
            <v>Regular Employee</v>
          </cell>
        </row>
        <row r="7702">
          <cell r="K7702">
            <v>-2123.5300000000002</v>
          </cell>
          <cell r="P7702" t="str">
            <v>90111101-52121101</v>
          </cell>
          <cell r="S7702" t="str">
            <v>2026A-08</v>
          </cell>
          <cell r="T7702" t="str">
            <v>Regular Employee</v>
          </cell>
        </row>
        <row r="7703">
          <cell r="K7703">
            <v>-10378.75</v>
          </cell>
          <cell r="P7703" t="str">
            <v>90111101-52121101</v>
          </cell>
          <cell r="S7703" t="str">
            <v>2026A-08</v>
          </cell>
          <cell r="T7703" t="str">
            <v>Regular Employee</v>
          </cell>
        </row>
        <row r="7704">
          <cell r="K7704">
            <v>1495925</v>
          </cell>
          <cell r="P7704" t="str">
            <v>90111101-52121101</v>
          </cell>
          <cell r="S7704" t="str">
            <v>2026A-08</v>
          </cell>
          <cell r="T7704" t="str">
            <v>Regular Employee</v>
          </cell>
        </row>
        <row r="7705">
          <cell r="K7705">
            <v>-4410.74</v>
          </cell>
          <cell r="P7705" t="str">
            <v>90111101-52121101</v>
          </cell>
          <cell r="S7705" t="str">
            <v>2026A-08</v>
          </cell>
          <cell r="T7705" t="str">
            <v>Regular Employee</v>
          </cell>
        </row>
        <row r="7706">
          <cell r="K7706">
            <v>210900</v>
          </cell>
          <cell r="P7706" t="str">
            <v>90111101-52121101</v>
          </cell>
          <cell r="S7706" t="str">
            <v>2026A-08</v>
          </cell>
          <cell r="T7706" t="str">
            <v>Regular Employee</v>
          </cell>
        </row>
        <row r="7707">
          <cell r="K7707">
            <v>27950</v>
          </cell>
          <cell r="P7707" t="str">
            <v>90111101-52121101</v>
          </cell>
          <cell r="S7707" t="str">
            <v>2026A-08</v>
          </cell>
          <cell r="T7707" t="str">
            <v>Regular Employee</v>
          </cell>
        </row>
        <row r="7708">
          <cell r="K7708">
            <v>526250</v>
          </cell>
          <cell r="P7708" t="str">
            <v>90111101-52121101</v>
          </cell>
          <cell r="S7708" t="str">
            <v>2026A-08</v>
          </cell>
          <cell r="T7708" t="str">
            <v>Regular Employee</v>
          </cell>
        </row>
        <row r="7709">
          <cell r="K7709">
            <v>900.01</v>
          </cell>
          <cell r="P7709" t="str">
            <v>90111101-52121101</v>
          </cell>
          <cell r="S7709" t="str">
            <v>2026A-08</v>
          </cell>
          <cell r="T7709" t="str">
            <v>Regular Employee</v>
          </cell>
        </row>
        <row r="7710">
          <cell r="K7710">
            <v>1795.44</v>
          </cell>
          <cell r="P7710" t="str">
            <v>90111101-52121101</v>
          </cell>
          <cell r="S7710" t="str">
            <v>2026A-08</v>
          </cell>
          <cell r="T7710" t="str">
            <v>Regular Employee</v>
          </cell>
        </row>
        <row r="7711">
          <cell r="K7711">
            <v>-176.43</v>
          </cell>
          <cell r="P7711" t="str">
            <v>90111101-52121101</v>
          </cell>
          <cell r="S7711" t="str">
            <v>2026A-08</v>
          </cell>
          <cell r="T7711" t="str">
            <v>Regular Employee</v>
          </cell>
        </row>
        <row r="7712">
          <cell r="K7712">
            <v>-12595.6</v>
          </cell>
          <cell r="P7712" t="str">
            <v>90111101-52121101</v>
          </cell>
          <cell r="S7712" t="str">
            <v>2026A-08</v>
          </cell>
          <cell r="T7712" t="str">
            <v>Regular Employee</v>
          </cell>
        </row>
        <row r="7713">
          <cell r="K7713">
            <v>491700</v>
          </cell>
          <cell r="P7713" t="str">
            <v>90111101-52121101</v>
          </cell>
          <cell r="S7713" t="str">
            <v>2026A-08</v>
          </cell>
          <cell r="T7713" t="str">
            <v>Regular Employee</v>
          </cell>
        </row>
        <row r="7714">
          <cell r="K7714">
            <v>-2387.31</v>
          </cell>
          <cell r="P7714" t="str">
            <v>90111101-52121101</v>
          </cell>
          <cell r="S7714" t="str">
            <v>2026A-08</v>
          </cell>
          <cell r="T7714" t="str">
            <v>Regular Employee</v>
          </cell>
        </row>
        <row r="7715">
          <cell r="K7715">
            <v>-480.06</v>
          </cell>
          <cell r="P7715" t="str">
            <v>90111101-52121101</v>
          </cell>
          <cell r="S7715" t="str">
            <v>2026A-08</v>
          </cell>
          <cell r="T7715" t="str">
            <v>Regular Employee</v>
          </cell>
        </row>
        <row r="7716">
          <cell r="K7716">
            <v>-1648.88</v>
          </cell>
          <cell r="P7716" t="str">
            <v>90111101-52121101</v>
          </cell>
          <cell r="S7716" t="str">
            <v>2026A-08</v>
          </cell>
          <cell r="T7716" t="str">
            <v>Regular Employee</v>
          </cell>
        </row>
        <row r="7717">
          <cell r="K7717">
            <v>4655.5</v>
          </cell>
          <cell r="P7717" t="str">
            <v>90111101-52121102</v>
          </cell>
          <cell r="S7717" t="str">
            <v>2026A-08</v>
          </cell>
          <cell r="T7717" t="str">
            <v>OT Pay</v>
          </cell>
        </row>
        <row r="7718">
          <cell r="K7718">
            <v>19186.150000000001</v>
          </cell>
          <cell r="P7718" t="str">
            <v>90111101-52121102</v>
          </cell>
          <cell r="S7718" t="str">
            <v>2026A-08</v>
          </cell>
          <cell r="T7718" t="str">
            <v>OT Pay</v>
          </cell>
        </row>
        <row r="7719">
          <cell r="K7719">
            <v>14500.38</v>
          </cell>
          <cell r="P7719" t="str">
            <v>90111101-52121102</v>
          </cell>
          <cell r="S7719" t="str">
            <v>2026A-08</v>
          </cell>
          <cell r="T7719" t="str">
            <v>OT Pay</v>
          </cell>
        </row>
        <row r="7720">
          <cell r="K7720">
            <v>4600</v>
          </cell>
          <cell r="P7720" t="str">
            <v>90111101-52121103</v>
          </cell>
          <cell r="S7720" t="str">
            <v>2026A-08</v>
          </cell>
          <cell r="T7720" t="str">
            <v>OT Pay</v>
          </cell>
        </row>
        <row r="7721">
          <cell r="K7721">
            <v>1370</v>
          </cell>
          <cell r="P7721" t="str">
            <v>90111101-52121305</v>
          </cell>
          <cell r="S7721" t="str">
            <v>2026A-08</v>
          </cell>
          <cell r="T7721" t="str">
            <v>SSS</v>
          </cell>
        </row>
        <row r="7722">
          <cell r="K7722">
            <v>8900</v>
          </cell>
          <cell r="P7722" t="str">
            <v>90111101-52121305</v>
          </cell>
          <cell r="S7722" t="str">
            <v>2026A-08</v>
          </cell>
          <cell r="T7722" t="str">
            <v>SSS</v>
          </cell>
        </row>
        <row r="7723">
          <cell r="K7723">
            <v>6440</v>
          </cell>
          <cell r="P7723" t="str">
            <v>90111101-52121305</v>
          </cell>
          <cell r="S7723" t="str">
            <v>2026A-08</v>
          </cell>
          <cell r="T7723" t="str">
            <v>SSS</v>
          </cell>
        </row>
        <row r="7724">
          <cell r="K7724">
            <v>250</v>
          </cell>
          <cell r="P7724" t="str">
            <v>90111101-52121305</v>
          </cell>
          <cell r="S7724" t="str">
            <v>2026A-08</v>
          </cell>
          <cell r="T7724" t="str">
            <v>SSS</v>
          </cell>
        </row>
        <row r="7725">
          <cell r="K7725">
            <v>230500</v>
          </cell>
          <cell r="P7725" t="str">
            <v>90111101-52121308</v>
          </cell>
          <cell r="S7725" t="str">
            <v>2026A-08</v>
          </cell>
          <cell r="T7725" t="str">
            <v>Gas Allowance</v>
          </cell>
        </row>
        <row r="7726">
          <cell r="K7726">
            <v>53750</v>
          </cell>
          <cell r="P7726" t="str">
            <v>90111101-52121308</v>
          </cell>
          <cell r="S7726" t="str">
            <v>2026A-08</v>
          </cell>
          <cell r="T7726" t="str">
            <v>Gas Allowance</v>
          </cell>
        </row>
        <row r="7727">
          <cell r="K7727">
            <v>21000</v>
          </cell>
          <cell r="P7727" t="str">
            <v>90111101-52121308</v>
          </cell>
          <cell r="S7727" t="str">
            <v>2026A-08</v>
          </cell>
          <cell r="T7727" t="str">
            <v>Gas Allowance</v>
          </cell>
        </row>
        <row r="7728">
          <cell r="K7728">
            <v>179250</v>
          </cell>
          <cell r="P7728" t="str">
            <v>90111101-52121308</v>
          </cell>
          <cell r="S7728" t="str">
            <v>2026A-08</v>
          </cell>
          <cell r="T7728" t="str">
            <v>Gas Allowance</v>
          </cell>
        </row>
        <row r="7729">
          <cell r="K7729">
            <v>54250</v>
          </cell>
          <cell r="P7729" t="str">
            <v>90111101-52121308</v>
          </cell>
          <cell r="S7729" t="str">
            <v>2026A-08</v>
          </cell>
          <cell r="T7729" t="str">
            <v>Gas Allowance</v>
          </cell>
        </row>
        <row r="7730">
          <cell r="K7730">
            <v>48000</v>
          </cell>
          <cell r="P7730" t="str">
            <v>90111101-52121308</v>
          </cell>
          <cell r="S7730" t="str">
            <v>2026A-08</v>
          </cell>
          <cell r="T7730" t="str">
            <v>Gas Allowance</v>
          </cell>
        </row>
        <row r="7731">
          <cell r="K7731">
            <v>231789.67</v>
          </cell>
          <cell r="P7731" t="str">
            <v>80111101-61021304</v>
          </cell>
          <cell r="S7731" t="str">
            <v>2026A-08</v>
          </cell>
          <cell r="T7731" t="str">
            <v>Retirement</v>
          </cell>
        </row>
        <row r="7732">
          <cell r="K7732">
            <v>303089.17</v>
          </cell>
          <cell r="P7732" t="str">
            <v>81111101-52121304</v>
          </cell>
          <cell r="S7732" t="str">
            <v>2026A-08</v>
          </cell>
          <cell r="T7732" t="str">
            <v>Retirement</v>
          </cell>
        </row>
        <row r="7733">
          <cell r="K7733">
            <v>249940.55</v>
          </cell>
          <cell r="P7733" t="str">
            <v>80123102-61041101</v>
          </cell>
          <cell r="S7733" t="str">
            <v>2026A-08</v>
          </cell>
          <cell r="T7733" t="str">
            <v>Electricity &amp; Water</v>
          </cell>
        </row>
        <row r="7734">
          <cell r="K7734">
            <v>381550.68</v>
          </cell>
          <cell r="P7734" t="str">
            <v>80124101-61711102</v>
          </cell>
          <cell r="S7734" t="str">
            <v>2026A-08</v>
          </cell>
          <cell r="T7734" t="str">
            <v>SAP</v>
          </cell>
        </row>
        <row r="7735">
          <cell r="K7735">
            <v>91032.05</v>
          </cell>
          <cell r="P7735" t="str">
            <v>80124101-61711102</v>
          </cell>
          <cell r="S7735" t="str">
            <v>2026A-08</v>
          </cell>
          <cell r="T7735" t="str">
            <v>M365 Email Security</v>
          </cell>
        </row>
        <row r="7736">
          <cell r="K7736">
            <v>122908.59</v>
          </cell>
          <cell r="P7736" t="str">
            <v>80124101-61711102</v>
          </cell>
          <cell r="S7736" t="str">
            <v>2026A-08</v>
          </cell>
          <cell r="T7736" t="str">
            <v>Menlo Cloud Internet</v>
          </cell>
        </row>
        <row r="7737">
          <cell r="K7737">
            <v>84070.01</v>
          </cell>
          <cell r="P7737" t="str">
            <v>80124101-61711102</v>
          </cell>
          <cell r="S7737" t="str">
            <v>2026A-08</v>
          </cell>
          <cell r="T7737" t="str">
            <v>Crowdstrike</v>
          </cell>
        </row>
        <row r="7738">
          <cell r="K7738">
            <v>41447.79</v>
          </cell>
          <cell r="P7738" t="str">
            <v>80124101-61711102</v>
          </cell>
          <cell r="S7738" t="str">
            <v>2026A-08</v>
          </cell>
          <cell r="T7738" t="str">
            <v>Kaseya</v>
          </cell>
        </row>
        <row r="7739">
          <cell r="K7739">
            <v>6540.28</v>
          </cell>
          <cell r="P7739" t="str">
            <v>80124101-61711102</v>
          </cell>
          <cell r="S7739" t="str">
            <v>2026A-08</v>
          </cell>
          <cell r="T7739" t="str">
            <v>NMI Support Pack</v>
          </cell>
        </row>
        <row r="7740">
          <cell r="K7740">
            <v>7815.5</v>
          </cell>
          <cell r="P7740" t="str">
            <v>80124101-61711102</v>
          </cell>
          <cell r="S7740" t="str">
            <v>2026A-08</v>
          </cell>
          <cell r="T7740" t="str">
            <v>Ransomware Detective</v>
          </cell>
        </row>
        <row r="7741">
          <cell r="K7741">
            <v>346041.67</v>
          </cell>
          <cell r="P7741" t="str">
            <v>80134102-61711101</v>
          </cell>
          <cell r="S7741" t="str">
            <v>2026A-08</v>
          </cell>
          <cell r="T7741" t="str">
            <v>Membership - Valle Verde</v>
          </cell>
        </row>
        <row r="7742">
          <cell r="K7742">
            <v>57589.29</v>
          </cell>
          <cell r="P7742" t="str">
            <v>80134102-61711101</v>
          </cell>
          <cell r="S7742" t="str">
            <v>2026A-08</v>
          </cell>
          <cell r="T7742" t="str">
            <v>Membership - Consumables</v>
          </cell>
        </row>
        <row r="7743">
          <cell r="K7743">
            <v>125625</v>
          </cell>
          <cell r="P7743" t="str">
            <v>80134102-61711101</v>
          </cell>
          <cell r="S7743" t="str">
            <v>2026A-08</v>
          </cell>
          <cell r="T7743" t="str">
            <v>Membership - OPE</v>
          </cell>
        </row>
        <row r="7744">
          <cell r="K7744">
            <v>20000</v>
          </cell>
          <cell r="P7744" t="str">
            <v>80123101-61071005</v>
          </cell>
          <cell r="S7744" t="str">
            <v>2026A-08</v>
          </cell>
          <cell r="T7744" t="str">
            <v>Angara</v>
          </cell>
        </row>
        <row r="7745">
          <cell r="K7745">
            <v>4500</v>
          </cell>
          <cell r="P7745" t="str">
            <v>80123101-61711101</v>
          </cell>
          <cell r="S7745" t="str">
            <v>2026A-08</v>
          </cell>
          <cell r="T7745" t="str">
            <v>Dues and Fees - Legal</v>
          </cell>
        </row>
        <row r="7746">
          <cell r="K7746">
            <v>75392.75</v>
          </cell>
          <cell r="P7746" t="str">
            <v>80123102-61101104</v>
          </cell>
          <cell r="S7746" t="str">
            <v>2026A-08</v>
          </cell>
          <cell r="T7746" t="str">
            <v>Insurance Vehicle</v>
          </cell>
        </row>
        <row r="7747">
          <cell r="K7747">
            <v>5960.72</v>
          </cell>
          <cell r="P7747" t="str">
            <v>80123102-61101104</v>
          </cell>
          <cell r="S7747" t="str">
            <v>2026A-08</v>
          </cell>
          <cell r="T7747" t="str">
            <v>Insurance Vehicle</v>
          </cell>
        </row>
        <row r="7748">
          <cell r="K7748">
            <v>4552.5</v>
          </cell>
          <cell r="P7748" t="str">
            <v>80111101-61021301</v>
          </cell>
          <cell r="S7748" t="str">
            <v>2026A-08</v>
          </cell>
          <cell r="T7748" t="str">
            <v>Life Insurance</v>
          </cell>
        </row>
        <row r="7749">
          <cell r="K7749">
            <v>262.5</v>
          </cell>
          <cell r="P7749" t="str">
            <v>80111101-61021301</v>
          </cell>
          <cell r="S7749" t="str">
            <v>2026A-08</v>
          </cell>
          <cell r="T7749" t="str">
            <v>Life Insurance</v>
          </cell>
        </row>
        <row r="7750">
          <cell r="K7750">
            <v>135623.34</v>
          </cell>
          <cell r="P7750" t="str">
            <v>80111101-61021303</v>
          </cell>
          <cell r="S7750" t="str">
            <v>2026A-08</v>
          </cell>
          <cell r="T7750" t="str">
            <v>HMO</v>
          </cell>
        </row>
        <row r="7751">
          <cell r="K7751">
            <v>2526.04</v>
          </cell>
          <cell r="P7751" t="str">
            <v>80111101-61021303</v>
          </cell>
          <cell r="S7751" t="str">
            <v>2026A-08</v>
          </cell>
          <cell r="T7751" t="str">
            <v>HMO</v>
          </cell>
        </row>
        <row r="7752">
          <cell r="K7752">
            <v>10000</v>
          </cell>
          <cell r="P7752" t="str">
            <v>80123101-61071005</v>
          </cell>
          <cell r="S7752" t="str">
            <v>2026A-08</v>
          </cell>
          <cell r="T7752" t="str">
            <v>Sycip</v>
          </cell>
        </row>
        <row r="7753">
          <cell r="K7753">
            <v>20000</v>
          </cell>
          <cell r="P7753" t="str">
            <v>80123101-61071005</v>
          </cell>
          <cell r="S7753" t="str">
            <v>2026A-08</v>
          </cell>
          <cell r="T7753" t="str">
            <v>Angara</v>
          </cell>
        </row>
        <row r="7754">
          <cell r="K7754">
            <v>10000</v>
          </cell>
          <cell r="P7754" t="str">
            <v>80123101-61071005</v>
          </cell>
          <cell r="S7754" t="str">
            <v>2026A-08</v>
          </cell>
          <cell r="T7754" t="str">
            <v>Sycip</v>
          </cell>
        </row>
        <row r="7755">
          <cell r="K7755">
            <v>4021.12</v>
          </cell>
          <cell r="P7755" t="str">
            <v>81111101-52031101</v>
          </cell>
          <cell r="S7755" t="str">
            <v>2026A-08</v>
          </cell>
          <cell r="T7755" t="str">
            <v>Other Taxes</v>
          </cell>
        </row>
        <row r="7756">
          <cell r="K7756">
            <v>4021.12</v>
          </cell>
          <cell r="P7756" t="str">
            <v>81111101-52031101</v>
          </cell>
          <cell r="S7756" t="str">
            <v>2026A-08</v>
          </cell>
          <cell r="T7756" t="str">
            <v>Other Taxes</v>
          </cell>
        </row>
        <row r="7757">
          <cell r="K7757">
            <v>8272.5</v>
          </cell>
          <cell r="P7757" t="str">
            <v>81111101-52121301</v>
          </cell>
          <cell r="S7757" t="str">
            <v>2026A-08</v>
          </cell>
          <cell r="T7757" t="str">
            <v>Life Insurance</v>
          </cell>
        </row>
        <row r="7758">
          <cell r="K7758">
            <v>5654.76</v>
          </cell>
          <cell r="P7758" t="str">
            <v>81124101-52952103</v>
          </cell>
          <cell r="S7758" t="str">
            <v>2026A-08</v>
          </cell>
          <cell r="T7758" t="str">
            <v>SDWAN ES TS GH</v>
          </cell>
        </row>
        <row r="7759">
          <cell r="K7759">
            <v>19223.330000000002</v>
          </cell>
          <cell r="P7759" t="str">
            <v>81124101-52952103</v>
          </cell>
          <cell r="S7759" t="str">
            <v>2026A-08</v>
          </cell>
          <cell r="T7759" t="str">
            <v>SDWAN ES TS GH</v>
          </cell>
        </row>
        <row r="7760">
          <cell r="K7760">
            <v>73422.720000000001</v>
          </cell>
          <cell r="P7760" t="str">
            <v>81124101-52952103</v>
          </cell>
          <cell r="S7760" t="str">
            <v>2026A-08</v>
          </cell>
          <cell r="T7760" t="str">
            <v>WAF</v>
          </cell>
        </row>
        <row r="7761">
          <cell r="K7761">
            <v>4635.42</v>
          </cell>
          <cell r="P7761" t="str">
            <v>81111101-52121303</v>
          </cell>
          <cell r="S7761" t="str">
            <v>2026A-08</v>
          </cell>
          <cell r="T7761" t="str">
            <v>HMO</v>
          </cell>
        </row>
        <row r="7762">
          <cell r="K7762">
            <v>254573.96</v>
          </cell>
          <cell r="P7762" t="str">
            <v>81111101-52121303</v>
          </cell>
          <cell r="S7762" t="str">
            <v>2026A-08</v>
          </cell>
          <cell r="T7762" t="str">
            <v>HMO</v>
          </cell>
        </row>
        <row r="7763">
          <cell r="K7763">
            <v>19866.400000000001</v>
          </cell>
          <cell r="P7763" t="str">
            <v>81124101-52952103</v>
          </cell>
          <cell r="S7763" t="str">
            <v>2026A-08</v>
          </cell>
          <cell r="T7763" t="str">
            <v>Aruba</v>
          </cell>
        </row>
        <row r="7764">
          <cell r="K7764">
            <v>48771.32</v>
          </cell>
          <cell r="P7764" t="str">
            <v>81124101-52952103</v>
          </cell>
          <cell r="S7764" t="str">
            <v>2026A-08</v>
          </cell>
          <cell r="T7764" t="str">
            <v>Palo Alto</v>
          </cell>
        </row>
        <row r="7765">
          <cell r="K7765">
            <v>39285.71</v>
          </cell>
          <cell r="P7765" t="str">
            <v>81124101-52952103</v>
          </cell>
          <cell r="S7765" t="str">
            <v>2026A-08</v>
          </cell>
          <cell r="T7765" t="str">
            <v>Datrium</v>
          </cell>
        </row>
        <row r="7766">
          <cell r="K7766">
            <v>447507.21</v>
          </cell>
          <cell r="P7766" t="str">
            <v>81124101-52952103</v>
          </cell>
          <cell r="S7766" t="str">
            <v>2026A-08</v>
          </cell>
          <cell r="T7766" t="str">
            <v>M365</v>
          </cell>
        </row>
        <row r="7767">
          <cell r="K7767">
            <v>20876.189999999999</v>
          </cell>
          <cell r="P7767" t="str">
            <v>81124101-52952103</v>
          </cell>
          <cell r="S7767" t="str">
            <v>2026A-08</v>
          </cell>
          <cell r="T7767" t="str">
            <v>M365 Extra Storage</v>
          </cell>
        </row>
        <row r="7768">
          <cell r="K7768">
            <v>62628.57</v>
          </cell>
          <cell r="P7768" t="str">
            <v>81124101-52952103</v>
          </cell>
          <cell r="S7768" t="str">
            <v>2026A-08</v>
          </cell>
          <cell r="T7768" t="str">
            <v>M365 Extra Storage</v>
          </cell>
        </row>
        <row r="7769">
          <cell r="K7769">
            <v>25660.71</v>
          </cell>
          <cell r="P7769" t="str">
            <v>81124101-52952103</v>
          </cell>
          <cell r="S7769" t="str">
            <v>2026A-08</v>
          </cell>
          <cell r="T7769" t="str">
            <v>SonicWall Firewall Security</v>
          </cell>
        </row>
        <row r="7770">
          <cell r="K7770">
            <v>15557.36</v>
          </cell>
          <cell r="P7770" t="str">
            <v>81124101-52952103</v>
          </cell>
          <cell r="S7770" t="str">
            <v>2026A-08</v>
          </cell>
          <cell r="T7770" t="str">
            <v>HPE Server Maintenance</v>
          </cell>
        </row>
        <row r="7771">
          <cell r="K7771">
            <v>8900.91</v>
          </cell>
          <cell r="P7771" t="str">
            <v>81124101-52952103</v>
          </cell>
          <cell r="S7771" t="str">
            <v>2026A-08</v>
          </cell>
          <cell r="T7771" t="str">
            <v>Web Hosting</v>
          </cell>
        </row>
        <row r="7772">
          <cell r="K7772">
            <v>65425.22</v>
          </cell>
          <cell r="P7772" t="str">
            <v>81111101-52041401</v>
          </cell>
          <cell r="S7772" t="str">
            <v>2026A-08</v>
          </cell>
          <cell r="T7772" t="str">
            <v>Security HQ</v>
          </cell>
        </row>
        <row r="7773">
          <cell r="K7773">
            <v>13083.99</v>
          </cell>
          <cell r="P7773" t="str">
            <v>81111101-52041401</v>
          </cell>
          <cell r="S7773" t="str">
            <v>2026A-08</v>
          </cell>
          <cell r="T7773" t="str">
            <v>Security HQ</v>
          </cell>
        </row>
        <row r="7774">
          <cell r="K7774">
            <v>51199.33</v>
          </cell>
          <cell r="P7774" t="str">
            <v>81111101-52041401</v>
          </cell>
          <cell r="S7774" t="str">
            <v>2026A-08</v>
          </cell>
          <cell r="T7774" t="str">
            <v>Security HQ</v>
          </cell>
        </row>
        <row r="7775">
          <cell r="K7775">
            <v>10239.11</v>
          </cell>
          <cell r="P7775" t="str">
            <v>81111101-52041401</v>
          </cell>
          <cell r="S7775" t="str">
            <v>2026A-08</v>
          </cell>
          <cell r="T7775" t="str">
            <v>Security HQ</v>
          </cell>
        </row>
        <row r="7776">
          <cell r="K7776">
            <v>52629.14</v>
          </cell>
          <cell r="P7776" t="str">
            <v>81111101-52041401</v>
          </cell>
          <cell r="S7776" t="str">
            <v>2026A-08</v>
          </cell>
          <cell r="T7776" t="str">
            <v>Security HQ</v>
          </cell>
        </row>
        <row r="7777">
          <cell r="K7777">
            <v>10525.05</v>
          </cell>
          <cell r="P7777" t="str">
            <v>81111101-52041401</v>
          </cell>
          <cell r="S7777" t="str">
            <v>2026A-08</v>
          </cell>
          <cell r="T7777" t="str">
            <v>Security HQ</v>
          </cell>
        </row>
        <row r="7778">
          <cell r="K7778">
            <v>11184.27</v>
          </cell>
          <cell r="P7778" t="str">
            <v>81111101-52101101</v>
          </cell>
          <cell r="S7778" t="str">
            <v>2026A-08</v>
          </cell>
          <cell r="T7778" t="str">
            <v>PARI</v>
          </cell>
        </row>
        <row r="7779">
          <cell r="K7779">
            <v>1151.92</v>
          </cell>
          <cell r="P7779" t="str">
            <v>81111101-52101105</v>
          </cell>
          <cell r="S7779" t="str">
            <v>2026A-08</v>
          </cell>
          <cell r="T7779" t="str">
            <v>PTS</v>
          </cell>
        </row>
        <row r="7780">
          <cell r="K7780">
            <v>24581.99</v>
          </cell>
          <cell r="P7780" t="str">
            <v>81111101-52041405</v>
          </cell>
          <cell r="S7780" t="str">
            <v>2026A-08</v>
          </cell>
          <cell r="T7780" t="str">
            <v>Janitorial (H&amp;K)</v>
          </cell>
        </row>
        <row r="7781">
          <cell r="K7781">
            <v>24581.99</v>
          </cell>
          <cell r="P7781" t="str">
            <v>81111101-52041499</v>
          </cell>
          <cell r="S7781" t="str">
            <v>2026A-08</v>
          </cell>
          <cell r="T7781" t="str">
            <v>Admin Staff (H&amp;K)</v>
          </cell>
        </row>
        <row r="7782">
          <cell r="K7782">
            <v>20917.75</v>
          </cell>
          <cell r="P7782" t="str">
            <v>81111101-52041499</v>
          </cell>
          <cell r="S7782" t="str">
            <v>2026A-08</v>
          </cell>
          <cell r="T7782" t="str">
            <v>Admin Staff (H&amp;K)</v>
          </cell>
        </row>
        <row r="7783">
          <cell r="K7783">
            <v>24581.99</v>
          </cell>
          <cell r="P7783" t="str">
            <v>81111101-52041405</v>
          </cell>
          <cell r="S7783" t="str">
            <v>2026A-08</v>
          </cell>
          <cell r="T7783" t="str">
            <v>Janitorial (H&amp;K)</v>
          </cell>
        </row>
        <row r="7784">
          <cell r="K7784">
            <v>24581.99</v>
          </cell>
          <cell r="P7784" t="str">
            <v>81111101-52041499</v>
          </cell>
          <cell r="S7784" t="str">
            <v>2026A-08</v>
          </cell>
          <cell r="T7784" t="str">
            <v>Admin Staff (H&amp;K)</v>
          </cell>
        </row>
        <row r="7785">
          <cell r="K7785">
            <v>20917.75</v>
          </cell>
          <cell r="P7785" t="str">
            <v>81111101-52041499</v>
          </cell>
          <cell r="S7785" t="str">
            <v>2026A-08</v>
          </cell>
          <cell r="T7785" t="str">
            <v>Admin Staff (H&amp;K)</v>
          </cell>
        </row>
        <row r="7786">
          <cell r="K7786">
            <v>57308.44</v>
          </cell>
          <cell r="P7786" t="str">
            <v>81111101-52041405</v>
          </cell>
          <cell r="S7786" t="str">
            <v>2026A-08</v>
          </cell>
          <cell r="T7786" t="str">
            <v>Janitorial (S1)</v>
          </cell>
        </row>
        <row r="7787">
          <cell r="K7787">
            <v>82000</v>
          </cell>
          <cell r="P7787" t="str">
            <v>81111101-52041401</v>
          </cell>
          <cell r="S7787" t="str">
            <v>2026A-08</v>
          </cell>
          <cell r="T7787" t="str">
            <v>Security HQ</v>
          </cell>
        </row>
        <row r="7788">
          <cell r="K7788">
            <v>16000</v>
          </cell>
          <cell r="P7788" t="str">
            <v>81111101-52041401</v>
          </cell>
          <cell r="S7788" t="str">
            <v>2026A-08</v>
          </cell>
          <cell r="T7788" t="str">
            <v>Security HQ</v>
          </cell>
        </row>
        <row r="7789">
          <cell r="K7789">
            <v>25320.79</v>
          </cell>
          <cell r="P7789" t="str">
            <v>81111101-52041495</v>
          </cell>
          <cell r="S7789" t="str">
            <v>2026A-08</v>
          </cell>
          <cell r="T7789" t="str">
            <v>BTs</v>
          </cell>
        </row>
        <row r="7790">
          <cell r="K7790">
            <v>42066.52</v>
          </cell>
          <cell r="P7790" t="str">
            <v>81111101-52041499</v>
          </cell>
          <cell r="S7790" t="str">
            <v>2026A-08</v>
          </cell>
          <cell r="T7790" t="str">
            <v>Admin Staff (TAHJ)</v>
          </cell>
        </row>
        <row r="7791">
          <cell r="K7791">
            <v>25320.79</v>
          </cell>
          <cell r="P7791" t="str">
            <v>81111101-52041495</v>
          </cell>
          <cell r="S7791" t="str">
            <v>2026A-08</v>
          </cell>
          <cell r="T7791" t="str">
            <v>BTs</v>
          </cell>
        </row>
        <row r="7792">
          <cell r="K7792">
            <v>195000</v>
          </cell>
          <cell r="P7792" t="str">
            <v>81111101-52041405</v>
          </cell>
          <cell r="S7792" t="str">
            <v>2026A-08</v>
          </cell>
          <cell r="T7792" t="str">
            <v>Janitorial (SFI)</v>
          </cell>
        </row>
        <row r="7793">
          <cell r="K7793">
            <v>180000</v>
          </cell>
          <cell r="P7793" t="str">
            <v>81111101-52041499</v>
          </cell>
          <cell r="S7793" t="str">
            <v>2026A-08</v>
          </cell>
          <cell r="T7793" t="str">
            <v>Admin Staff (SFI)</v>
          </cell>
        </row>
        <row r="7794">
          <cell r="K7794">
            <v>146000</v>
          </cell>
          <cell r="P7794" t="str">
            <v>81111101-52041495</v>
          </cell>
          <cell r="S7794" t="str">
            <v>2026A-08</v>
          </cell>
          <cell r="T7794" t="str">
            <v>BTs</v>
          </cell>
        </row>
        <row r="7795">
          <cell r="K7795">
            <v>24000</v>
          </cell>
          <cell r="P7795" t="str">
            <v>81111101-52041405</v>
          </cell>
          <cell r="S7795" t="str">
            <v>2026A-08</v>
          </cell>
          <cell r="T7795" t="str">
            <v>Janitorial (SFI)</v>
          </cell>
        </row>
        <row r="7796">
          <cell r="K7796">
            <v>305000</v>
          </cell>
          <cell r="P7796" t="str">
            <v>81111101-52041495</v>
          </cell>
          <cell r="S7796" t="str">
            <v>2026A-08</v>
          </cell>
          <cell r="T7796" t="str">
            <v>BTs</v>
          </cell>
        </row>
        <row r="7797">
          <cell r="K7797">
            <v>-24581.99</v>
          </cell>
          <cell r="P7797" t="str">
            <v>81111101-52041405</v>
          </cell>
          <cell r="S7797" t="str">
            <v>2026A-08</v>
          </cell>
          <cell r="T7797" t="str">
            <v>Janitorial (H&amp;K)</v>
          </cell>
        </row>
        <row r="7798">
          <cell r="K7798">
            <v>-24581.99</v>
          </cell>
          <cell r="P7798" t="str">
            <v>81111101-52041499</v>
          </cell>
          <cell r="S7798" t="str">
            <v>2026A-08</v>
          </cell>
          <cell r="T7798" t="str">
            <v>Admin Staff (H&amp;K)</v>
          </cell>
        </row>
        <row r="7799">
          <cell r="K7799">
            <v>-20917.75</v>
          </cell>
          <cell r="P7799" t="str">
            <v>81111101-52041499</v>
          </cell>
          <cell r="S7799" t="str">
            <v>2026A-08</v>
          </cell>
          <cell r="T7799" t="str">
            <v>Admin Staff (H&amp;K)</v>
          </cell>
        </row>
        <row r="7800">
          <cell r="K7800">
            <v>-25320.79</v>
          </cell>
          <cell r="P7800" t="str">
            <v>81111101-52041495</v>
          </cell>
          <cell r="S7800" t="str">
            <v>2026A-08</v>
          </cell>
          <cell r="T7800" t="str">
            <v>BTs</v>
          </cell>
        </row>
        <row r="7801">
          <cell r="K7801">
            <v>-24000</v>
          </cell>
          <cell r="P7801" t="str">
            <v>81111101-52041405</v>
          </cell>
          <cell r="S7801" t="str">
            <v>2026A-08</v>
          </cell>
          <cell r="T7801" t="str">
            <v>Janitorial (SFI)</v>
          </cell>
        </row>
        <row r="7802">
          <cell r="K7802">
            <v>-305000</v>
          </cell>
          <cell r="P7802" t="str">
            <v>81111101-52041495</v>
          </cell>
          <cell r="S7802" t="str">
            <v>2026A-08</v>
          </cell>
          <cell r="T7802" t="str">
            <v>BTs</v>
          </cell>
        </row>
        <row r="7803">
          <cell r="K7803">
            <v>25000</v>
          </cell>
          <cell r="P7803" t="str">
            <v>81111101-52041405</v>
          </cell>
          <cell r="S7803" t="str">
            <v>2026A-08</v>
          </cell>
          <cell r="T7803" t="str">
            <v>Janitorial (SFI)</v>
          </cell>
        </row>
        <row r="7804">
          <cell r="K7804">
            <v>205000</v>
          </cell>
          <cell r="P7804" t="str">
            <v>81111101-52041495</v>
          </cell>
          <cell r="S7804" t="str">
            <v>2026A-08</v>
          </cell>
          <cell r="T7804" t="str">
            <v>BTs</v>
          </cell>
        </row>
        <row r="7805">
          <cell r="K7805">
            <v>25000</v>
          </cell>
          <cell r="P7805" t="str">
            <v>81111101-52041405</v>
          </cell>
          <cell r="S7805" t="str">
            <v>2026A-08</v>
          </cell>
          <cell r="T7805" t="str">
            <v>Janitorial (SFI)</v>
          </cell>
        </row>
        <row r="7806">
          <cell r="K7806">
            <v>205000</v>
          </cell>
          <cell r="P7806" t="str">
            <v>81111101-52041495</v>
          </cell>
          <cell r="S7806" t="str">
            <v>2026A-08</v>
          </cell>
          <cell r="T7806" t="str">
            <v>BTs</v>
          </cell>
        </row>
        <row r="7807">
          <cell r="K7807">
            <v>4017.86</v>
          </cell>
          <cell r="P7807" t="str">
            <v>81123102-52061111</v>
          </cell>
          <cell r="S7807" t="str">
            <v>2026A-08</v>
          </cell>
          <cell r="T7807" t="str">
            <v>R&amp;M - Supplies</v>
          </cell>
        </row>
        <row r="7808">
          <cell r="K7808">
            <v>1500</v>
          </cell>
          <cell r="P7808" t="str">
            <v>81122101-52121315</v>
          </cell>
          <cell r="S7808" t="str">
            <v>2026A-09</v>
          </cell>
          <cell r="T7808" t="str">
            <v>Employee Referral Incentive</v>
          </cell>
        </row>
        <row r="7809">
          <cell r="K7809">
            <v>9853.66</v>
          </cell>
          <cell r="P7809" t="str">
            <v>80123102-61061104</v>
          </cell>
          <cell r="S7809" t="str">
            <v>2026A-09</v>
          </cell>
          <cell r="T7809" t="str">
            <v>R&amp;M Vehicle</v>
          </cell>
        </row>
        <row r="7810">
          <cell r="K7810">
            <v>0.01</v>
          </cell>
          <cell r="P7810" t="str">
            <v>81319101-52111101</v>
          </cell>
          <cell r="S7810" t="str">
            <v>2026A-09</v>
          </cell>
          <cell r="T7810" t="str">
            <v>Zero</v>
          </cell>
        </row>
        <row r="7811">
          <cell r="K7811">
            <v>1500</v>
          </cell>
          <cell r="P7811" t="str">
            <v>81122101-52121315</v>
          </cell>
          <cell r="S7811" t="str">
            <v>2026A-09</v>
          </cell>
          <cell r="T7811" t="str">
            <v>Employee Referral Incentive</v>
          </cell>
        </row>
        <row r="7812">
          <cell r="K7812">
            <v>-0.01</v>
          </cell>
          <cell r="P7812" t="str">
            <v>81122101-52111101</v>
          </cell>
          <cell r="S7812" t="str">
            <v>2026A-09</v>
          </cell>
          <cell r="T7812" t="str">
            <v>Zero</v>
          </cell>
        </row>
        <row r="7813">
          <cell r="K7813">
            <v>-0.01</v>
          </cell>
          <cell r="P7813" t="str">
            <v>81123102-52111101</v>
          </cell>
          <cell r="S7813" t="str">
            <v>2026A-09</v>
          </cell>
          <cell r="T7813" t="str">
            <v>Office Supplies - Others</v>
          </cell>
        </row>
        <row r="7814">
          <cell r="K7814">
            <v>-0.01</v>
          </cell>
          <cell r="P7814" t="str">
            <v>81123102-52111101</v>
          </cell>
          <cell r="S7814" t="str">
            <v>2026A-09</v>
          </cell>
          <cell r="T7814" t="str">
            <v>Office Supplies - Others</v>
          </cell>
        </row>
        <row r="7815">
          <cell r="K7815">
            <v>3230</v>
          </cell>
          <cell r="P7815" t="str">
            <v>81122101-52121315</v>
          </cell>
          <cell r="S7815" t="str">
            <v>2026A-09</v>
          </cell>
          <cell r="T7815" t="str">
            <v>Pre-Employment Medical Exams</v>
          </cell>
        </row>
        <row r="7816">
          <cell r="K7816">
            <v>250</v>
          </cell>
          <cell r="P7816" t="str">
            <v>81122101-52121315</v>
          </cell>
          <cell r="S7816" t="str">
            <v>2026A-09</v>
          </cell>
          <cell r="T7816" t="str">
            <v>Pre-Employment Medical Exams</v>
          </cell>
        </row>
        <row r="7817">
          <cell r="K7817">
            <v>19329.64</v>
          </cell>
          <cell r="P7817" t="str">
            <v>81123102-52101112</v>
          </cell>
          <cell r="S7817" t="str">
            <v>2026A-09</v>
          </cell>
          <cell r="T7817" t="str">
            <v>Insurance - Vehicle</v>
          </cell>
        </row>
        <row r="7818">
          <cell r="K7818">
            <v>2416.21</v>
          </cell>
          <cell r="P7818" t="str">
            <v>81123102-52101112</v>
          </cell>
          <cell r="S7818" t="str">
            <v>2026A-09</v>
          </cell>
          <cell r="T7818" t="str">
            <v>Insurance - Vehicle</v>
          </cell>
        </row>
        <row r="7819">
          <cell r="K7819">
            <v>38.659999999999997</v>
          </cell>
          <cell r="P7819" t="str">
            <v>81123102-52101112</v>
          </cell>
          <cell r="S7819" t="str">
            <v>2026A-09</v>
          </cell>
          <cell r="T7819" t="str">
            <v>Insurance - Vehicle</v>
          </cell>
        </row>
        <row r="7820">
          <cell r="K7820">
            <v>121822.96</v>
          </cell>
          <cell r="P7820" t="str">
            <v>81111101-52041495</v>
          </cell>
          <cell r="S7820" t="str">
            <v>2026A-09</v>
          </cell>
          <cell r="T7820" t="str">
            <v>BTs</v>
          </cell>
        </row>
        <row r="7821">
          <cell r="K7821">
            <v>14338.11</v>
          </cell>
          <cell r="P7821" t="str">
            <v>81123102-52101112</v>
          </cell>
          <cell r="S7821" t="str">
            <v>2026A-09</v>
          </cell>
          <cell r="T7821" t="str">
            <v>Insurance - Vehicle</v>
          </cell>
        </row>
        <row r="7822">
          <cell r="K7822">
            <v>1792.26</v>
          </cell>
          <cell r="P7822" t="str">
            <v>81123102-52101112</v>
          </cell>
          <cell r="S7822" t="str">
            <v>2026A-09</v>
          </cell>
          <cell r="T7822" t="str">
            <v>Insurance - Vehicle</v>
          </cell>
        </row>
        <row r="7823">
          <cell r="K7823">
            <v>28.68</v>
          </cell>
          <cell r="P7823" t="str">
            <v>81123102-52101112</v>
          </cell>
          <cell r="S7823" t="str">
            <v>2026A-09</v>
          </cell>
          <cell r="T7823" t="str">
            <v>Insurance - Vehicle</v>
          </cell>
        </row>
        <row r="7824">
          <cell r="K7824">
            <v>1615</v>
          </cell>
          <cell r="P7824" t="str">
            <v>81122101-52121315</v>
          </cell>
          <cell r="S7824" t="str">
            <v>2026A-09</v>
          </cell>
          <cell r="T7824" t="str">
            <v>Pre-Employment Medical Exams</v>
          </cell>
        </row>
        <row r="7825">
          <cell r="K7825">
            <v>125</v>
          </cell>
          <cell r="P7825" t="str">
            <v>81122101-52121315</v>
          </cell>
          <cell r="S7825" t="str">
            <v>2026A-09</v>
          </cell>
          <cell r="T7825" t="str">
            <v>Pre-Employment Medical Exams</v>
          </cell>
        </row>
        <row r="7826">
          <cell r="K7826">
            <v>-0.01</v>
          </cell>
          <cell r="P7826" t="str">
            <v>81122101-52111101</v>
          </cell>
          <cell r="S7826" t="str">
            <v>2026A-09</v>
          </cell>
          <cell r="T7826" t="str">
            <v>Zero</v>
          </cell>
        </row>
        <row r="7827">
          <cell r="K7827">
            <v>23986.61</v>
          </cell>
          <cell r="P7827" t="str">
            <v>81122101-52121402</v>
          </cell>
          <cell r="S7827" t="str">
            <v>2026A-09</v>
          </cell>
          <cell r="T7827" t="str">
            <v>Vaccine</v>
          </cell>
        </row>
        <row r="7828">
          <cell r="K7828">
            <v>-110975.24</v>
          </cell>
          <cell r="P7828" t="str">
            <v>80123102-61111201</v>
          </cell>
          <cell r="S7828" t="str">
            <v>2026A-09</v>
          </cell>
          <cell r="T7828" t="str">
            <v>Shell</v>
          </cell>
        </row>
        <row r="7829">
          <cell r="K7829">
            <v>6578</v>
          </cell>
          <cell r="P7829" t="str">
            <v>81123101-52071102</v>
          </cell>
          <cell r="S7829" t="str">
            <v>2026A-09</v>
          </cell>
          <cell r="T7829" t="str">
            <v>Open Cases</v>
          </cell>
        </row>
        <row r="7830">
          <cell r="K7830">
            <v>2800</v>
          </cell>
          <cell r="P7830" t="str">
            <v>81122101-52121402</v>
          </cell>
          <cell r="S7830" t="str">
            <v>2026A-09</v>
          </cell>
          <cell r="T7830" t="str">
            <v>Drinking Water</v>
          </cell>
        </row>
        <row r="7831">
          <cell r="K7831">
            <v>2200</v>
          </cell>
          <cell r="P7831" t="str">
            <v>81122101-52121402</v>
          </cell>
          <cell r="S7831" t="str">
            <v>2026A-09</v>
          </cell>
          <cell r="T7831" t="str">
            <v>Drinking Water</v>
          </cell>
        </row>
        <row r="7832">
          <cell r="K7832">
            <v>4440</v>
          </cell>
          <cell r="P7832" t="str">
            <v>81122101-52121402</v>
          </cell>
          <cell r="S7832" t="str">
            <v>2026A-09</v>
          </cell>
          <cell r="T7832" t="str">
            <v>Drinking Water</v>
          </cell>
        </row>
        <row r="7833">
          <cell r="K7833">
            <v>3600</v>
          </cell>
          <cell r="P7833" t="str">
            <v>81122101-52121402</v>
          </cell>
          <cell r="S7833" t="str">
            <v>2026A-09</v>
          </cell>
          <cell r="T7833" t="str">
            <v>Drinking Water</v>
          </cell>
        </row>
        <row r="7834">
          <cell r="K7834">
            <v>-1137.24</v>
          </cell>
          <cell r="P7834" t="str">
            <v>81319101-52041499</v>
          </cell>
          <cell r="S7834" t="str">
            <v>2026A-09</v>
          </cell>
          <cell r="T7834" t="str">
            <v>GH</v>
          </cell>
        </row>
        <row r="7835">
          <cell r="K7835">
            <v>-59259.73</v>
          </cell>
          <cell r="P7835" t="str">
            <v>81319101-52041499</v>
          </cell>
          <cell r="S7835" t="str">
            <v>2026A-09</v>
          </cell>
          <cell r="T7835" t="str">
            <v>GH</v>
          </cell>
        </row>
        <row r="7836">
          <cell r="K7836">
            <v>1137.24</v>
          </cell>
          <cell r="P7836" t="str">
            <v>81319101-52041499</v>
          </cell>
          <cell r="S7836" t="str">
            <v>2026A-09</v>
          </cell>
          <cell r="T7836" t="str">
            <v>GH</v>
          </cell>
        </row>
        <row r="7837">
          <cell r="K7837">
            <v>59259.73</v>
          </cell>
          <cell r="P7837" t="str">
            <v>81319101-52041499</v>
          </cell>
          <cell r="S7837" t="str">
            <v>2026A-09</v>
          </cell>
          <cell r="T7837" t="str">
            <v>GH</v>
          </cell>
        </row>
        <row r="7838">
          <cell r="K7838">
            <v>6000</v>
          </cell>
          <cell r="P7838" t="str">
            <v>81123101-52071102</v>
          </cell>
          <cell r="S7838" t="str">
            <v>2026A-09</v>
          </cell>
          <cell r="T7838" t="str">
            <v>Open Cases</v>
          </cell>
        </row>
        <row r="7839">
          <cell r="K7839">
            <v>1350</v>
          </cell>
          <cell r="P7839" t="str">
            <v>81123101-52071102</v>
          </cell>
          <cell r="S7839" t="str">
            <v>2026A-09</v>
          </cell>
          <cell r="T7839" t="str">
            <v>Open Cases</v>
          </cell>
        </row>
        <row r="7840">
          <cell r="K7840">
            <v>67857.14</v>
          </cell>
          <cell r="P7840" t="str">
            <v>81124101-52952103</v>
          </cell>
          <cell r="S7840" t="str">
            <v>2026A-09</v>
          </cell>
          <cell r="T7840" t="str">
            <v>SDWAN Adaptiv CV</v>
          </cell>
        </row>
        <row r="7841">
          <cell r="K7841">
            <v>67857.14</v>
          </cell>
          <cell r="P7841" t="str">
            <v>81124101-52952103</v>
          </cell>
          <cell r="S7841" t="str">
            <v>2026A-09</v>
          </cell>
          <cell r="T7841" t="str">
            <v>SDWAN Adaptiv HQ SC</v>
          </cell>
        </row>
        <row r="7842">
          <cell r="K7842">
            <v>77.39</v>
          </cell>
          <cell r="P7842" t="str">
            <v>81123102-52061111</v>
          </cell>
          <cell r="S7842" t="str">
            <v>2026A-09</v>
          </cell>
          <cell r="T7842" t="str">
            <v>R&amp;M - Supplies</v>
          </cell>
        </row>
        <row r="7843">
          <cell r="K7843">
            <v>87.5</v>
          </cell>
          <cell r="P7843" t="str">
            <v>81123102-52061111</v>
          </cell>
          <cell r="S7843" t="str">
            <v>2026A-09</v>
          </cell>
          <cell r="T7843" t="str">
            <v>R&amp;M - Supplies</v>
          </cell>
        </row>
        <row r="7844">
          <cell r="K7844">
            <v>109.87</v>
          </cell>
          <cell r="P7844" t="str">
            <v>81123102-52061111</v>
          </cell>
          <cell r="S7844" t="str">
            <v>2026A-09</v>
          </cell>
          <cell r="T7844" t="str">
            <v>R&amp;M - Supplies</v>
          </cell>
        </row>
        <row r="7845">
          <cell r="K7845">
            <v>118.69</v>
          </cell>
          <cell r="P7845" t="str">
            <v>81123102-52061111</v>
          </cell>
          <cell r="S7845" t="str">
            <v>2026A-09</v>
          </cell>
          <cell r="T7845" t="str">
            <v>R&amp;M - Supplies</v>
          </cell>
        </row>
        <row r="7846">
          <cell r="K7846">
            <v>48.59</v>
          </cell>
          <cell r="P7846" t="str">
            <v>81123102-52061111</v>
          </cell>
          <cell r="S7846" t="str">
            <v>2026A-09</v>
          </cell>
          <cell r="T7846" t="str">
            <v>R&amp;M - Supplies</v>
          </cell>
        </row>
        <row r="7847">
          <cell r="K7847">
            <v>192.07</v>
          </cell>
          <cell r="P7847" t="str">
            <v>81123102-52061111</v>
          </cell>
          <cell r="S7847" t="str">
            <v>2026A-09</v>
          </cell>
          <cell r="T7847" t="str">
            <v>R&amp;M - Supplies</v>
          </cell>
        </row>
        <row r="7848">
          <cell r="K7848">
            <v>16.3</v>
          </cell>
          <cell r="P7848" t="str">
            <v>81123102-52061111</v>
          </cell>
          <cell r="S7848" t="str">
            <v>2026A-09</v>
          </cell>
          <cell r="T7848" t="str">
            <v>R&amp;M - Supplies</v>
          </cell>
        </row>
        <row r="7849">
          <cell r="K7849">
            <v>13.19</v>
          </cell>
          <cell r="P7849" t="str">
            <v>81123102-52061111</v>
          </cell>
          <cell r="S7849" t="str">
            <v>2026A-09</v>
          </cell>
          <cell r="T7849" t="str">
            <v>R&amp;M - Supplies</v>
          </cell>
        </row>
        <row r="7850">
          <cell r="K7850">
            <v>16.77</v>
          </cell>
          <cell r="P7850" t="str">
            <v>81123102-52061111</v>
          </cell>
          <cell r="S7850" t="str">
            <v>2026A-09</v>
          </cell>
          <cell r="T7850" t="str">
            <v>R&amp;M - Supplies</v>
          </cell>
        </row>
        <row r="7851">
          <cell r="K7851">
            <v>12.23</v>
          </cell>
          <cell r="P7851" t="str">
            <v>81123102-52061111</v>
          </cell>
          <cell r="S7851" t="str">
            <v>2026A-09</v>
          </cell>
          <cell r="T7851" t="str">
            <v>R&amp;M - Supplies</v>
          </cell>
        </row>
        <row r="7852">
          <cell r="K7852">
            <v>51.37</v>
          </cell>
          <cell r="P7852" t="str">
            <v>81123102-52061111</v>
          </cell>
          <cell r="S7852" t="str">
            <v>2026A-09</v>
          </cell>
          <cell r="T7852" t="str">
            <v>R&amp;M - Supplies</v>
          </cell>
        </row>
        <row r="7853">
          <cell r="K7853">
            <v>-77.39</v>
          </cell>
          <cell r="P7853" t="str">
            <v>81123102-52061111</v>
          </cell>
          <cell r="S7853" t="str">
            <v>2026A-09</v>
          </cell>
          <cell r="T7853" t="str">
            <v>R&amp;M - Supplies</v>
          </cell>
        </row>
        <row r="7854">
          <cell r="K7854">
            <v>-87.5</v>
          </cell>
          <cell r="P7854" t="str">
            <v>81123102-52061111</v>
          </cell>
          <cell r="S7854" t="str">
            <v>2026A-09</v>
          </cell>
          <cell r="T7854" t="str">
            <v>R&amp;M - Supplies</v>
          </cell>
        </row>
        <row r="7855">
          <cell r="K7855">
            <v>-109.87</v>
          </cell>
          <cell r="P7855" t="str">
            <v>81123102-52061111</v>
          </cell>
          <cell r="S7855" t="str">
            <v>2026A-09</v>
          </cell>
          <cell r="T7855" t="str">
            <v>R&amp;M - Supplies</v>
          </cell>
        </row>
        <row r="7856">
          <cell r="K7856">
            <v>-118.69</v>
          </cell>
          <cell r="P7856" t="str">
            <v>81123102-52061111</v>
          </cell>
          <cell r="S7856" t="str">
            <v>2026A-09</v>
          </cell>
          <cell r="T7856" t="str">
            <v>R&amp;M - Supplies</v>
          </cell>
        </row>
        <row r="7857">
          <cell r="K7857">
            <v>-48.59</v>
          </cell>
          <cell r="P7857" t="str">
            <v>81123102-52061111</v>
          </cell>
          <cell r="S7857" t="str">
            <v>2026A-09</v>
          </cell>
          <cell r="T7857" t="str">
            <v>R&amp;M - Supplies</v>
          </cell>
        </row>
        <row r="7858">
          <cell r="K7858">
            <v>-192.07</v>
          </cell>
          <cell r="P7858" t="str">
            <v>81123102-52061111</v>
          </cell>
          <cell r="S7858" t="str">
            <v>2026A-09</v>
          </cell>
          <cell r="T7858" t="str">
            <v>R&amp;M - Supplies</v>
          </cell>
        </row>
        <row r="7859">
          <cell r="K7859">
            <v>-16.3</v>
          </cell>
          <cell r="P7859" t="str">
            <v>81123102-52061111</v>
          </cell>
          <cell r="S7859" t="str">
            <v>2026A-09</v>
          </cell>
          <cell r="T7859" t="str">
            <v>R&amp;M - Supplies</v>
          </cell>
        </row>
        <row r="7860">
          <cell r="K7860">
            <v>-13.19</v>
          </cell>
          <cell r="P7860" t="str">
            <v>81123102-52061111</v>
          </cell>
          <cell r="S7860" t="str">
            <v>2026A-09</v>
          </cell>
          <cell r="T7860" t="str">
            <v>R&amp;M - Supplies</v>
          </cell>
        </row>
        <row r="7861">
          <cell r="K7861">
            <v>-16.77</v>
          </cell>
          <cell r="P7861" t="str">
            <v>81123102-52061111</v>
          </cell>
          <cell r="S7861" t="str">
            <v>2026A-09</v>
          </cell>
          <cell r="T7861" t="str">
            <v>R&amp;M - Supplies</v>
          </cell>
        </row>
        <row r="7862">
          <cell r="K7862">
            <v>-12.23</v>
          </cell>
          <cell r="P7862" t="str">
            <v>81123102-52061111</v>
          </cell>
          <cell r="S7862" t="str">
            <v>2026A-09</v>
          </cell>
          <cell r="T7862" t="str">
            <v>R&amp;M - Supplies</v>
          </cell>
        </row>
        <row r="7863">
          <cell r="K7863">
            <v>-51.37</v>
          </cell>
          <cell r="P7863" t="str">
            <v>81123102-52061111</v>
          </cell>
          <cell r="S7863" t="str">
            <v>2026A-09</v>
          </cell>
          <cell r="T7863" t="str">
            <v>R&amp;M - Supplies</v>
          </cell>
        </row>
        <row r="7864">
          <cell r="K7864">
            <v>18000</v>
          </cell>
          <cell r="P7864" t="str">
            <v>81123101-52071102</v>
          </cell>
          <cell r="S7864" t="str">
            <v>2026A-09</v>
          </cell>
          <cell r="T7864" t="str">
            <v>Open Cases</v>
          </cell>
        </row>
        <row r="7865">
          <cell r="K7865">
            <v>4050</v>
          </cell>
          <cell r="P7865" t="str">
            <v>81123101-52071102</v>
          </cell>
          <cell r="S7865" t="str">
            <v>2026A-09</v>
          </cell>
          <cell r="T7865" t="str">
            <v>Open Cases</v>
          </cell>
        </row>
        <row r="7866">
          <cell r="K7866">
            <v>28989.09</v>
          </cell>
          <cell r="P7866" t="str">
            <v>81123102-52101112</v>
          </cell>
          <cell r="S7866" t="str">
            <v>2026A-09</v>
          </cell>
          <cell r="T7866" t="str">
            <v>Insurance - Vehicle</v>
          </cell>
        </row>
        <row r="7867">
          <cell r="K7867">
            <v>3623.62</v>
          </cell>
          <cell r="P7867" t="str">
            <v>81123102-52101112</v>
          </cell>
          <cell r="S7867" t="str">
            <v>2026A-09</v>
          </cell>
          <cell r="T7867" t="str">
            <v>Insurance - Vehicle</v>
          </cell>
        </row>
        <row r="7868">
          <cell r="K7868">
            <v>57.98</v>
          </cell>
          <cell r="P7868" t="str">
            <v>81123102-52101112</v>
          </cell>
          <cell r="S7868" t="str">
            <v>2026A-09</v>
          </cell>
          <cell r="T7868" t="str">
            <v>Insurance - Vehicle</v>
          </cell>
        </row>
        <row r="7869">
          <cell r="K7869">
            <v>12173.1</v>
          </cell>
          <cell r="P7869" t="str">
            <v>81123102-52101112</v>
          </cell>
          <cell r="S7869" t="str">
            <v>2026A-09</v>
          </cell>
          <cell r="T7869" t="str">
            <v>Insurance - Vehicle</v>
          </cell>
        </row>
        <row r="7870">
          <cell r="K7870">
            <v>1521.64</v>
          </cell>
          <cell r="P7870" t="str">
            <v>81123102-52101112</v>
          </cell>
          <cell r="S7870" t="str">
            <v>2026A-09</v>
          </cell>
          <cell r="T7870" t="str">
            <v>Insurance - Vehicle</v>
          </cell>
        </row>
        <row r="7871">
          <cell r="K7871">
            <v>24.35</v>
          </cell>
          <cell r="P7871" t="str">
            <v>81123102-52101112</v>
          </cell>
          <cell r="S7871" t="str">
            <v>2026A-09</v>
          </cell>
          <cell r="T7871" t="str">
            <v>Insurance - Vehicle</v>
          </cell>
        </row>
        <row r="7872">
          <cell r="K7872">
            <v>6250</v>
          </cell>
          <cell r="P7872" t="str">
            <v>81123101-52071102</v>
          </cell>
          <cell r="S7872" t="str">
            <v>2026A-09</v>
          </cell>
          <cell r="T7872" t="str">
            <v>Open Cases</v>
          </cell>
        </row>
        <row r="7873">
          <cell r="K7873">
            <v>1750</v>
          </cell>
          <cell r="P7873" t="str">
            <v>80123101-61071002</v>
          </cell>
          <cell r="S7873" t="str">
            <v>2026A-09</v>
          </cell>
          <cell r="T7873" t="str">
            <v>Open Cases</v>
          </cell>
        </row>
        <row r="7874">
          <cell r="K7874">
            <v>750</v>
          </cell>
          <cell r="P7874" t="str">
            <v>81123101-52071102</v>
          </cell>
          <cell r="S7874" t="str">
            <v>2026A-09</v>
          </cell>
          <cell r="T7874" t="str">
            <v>Open Cases</v>
          </cell>
        </row>
        <row r="7875">
          <cell r="K7875">
            <v>31116.07</v>
          </cell>
          <cell r="P7875" t="str">
            <v>81124101-52952103</v>
          </cell>
          <cell r="S7875" t="str">
            <v>2026A-09</v>
          </cell>
          <cell r="T7875" t="str">
            <v>Autocad</v>
          </cell>
        </row>
        <row r="7876">
          <cell r="K7876">
            <v>4720</v>
          </cell>
          <cell r="P7876" t="str">
            <v>81122101-52121402</v>
          </cell>
          <cell r="S7876" t="str">
            <v>2026A-09</v>
          </cell>
          <cell r="T7876" t="str">
            <v>Drinking Water</v>
          </cell>
        </row>
        <row r="7877">
          <cell r="K7877">
            <v>3120</v>
          </cell>
          <cell r="P7877" t="str">
            <v>81122101-52121402</v>
          </cell>
          <cell r="S7877" t="str">
            <v>2026A-09</v>
          </cell>
          <cell r="T7877" t="str">
            <v>Drinking Water</v>
          </cell>
        </row>
        <row r="7878">
          <cell r="K7878">
            <v>3400</v>
          </cell>
          <cell r="P7878" t="str">
            <v>81122101-52121402</v>
          </cell>
          <cell r="S7878" t="str">
            <v>2026A-09</v>
          </cell>
          <cell r="T7878" t="str">
            <v>Drinking Water</v>
          </cell>
        </row>
        <row r="7879">
          <cell r="K7879">
            <v>2760</v>
          </cell>
          <cell r="P7879" t="str">
            <v>81122101-52121402</v>
          </cell>
          <cell r="S7879" t="str">
            <v>2026A-09</v>
          </cell>
          <cell r="T7879" t="str">
            <v>Drinking Water</v>
          </cell>
        </row>
        <row r="7880">
          <cell r="K7880">
            <v>-96819.16</v>
          </cell>
          <cell r="P7880" t="str">
            <v>81111101-52041495</v>
          </cell>
          <cell r="S7880" t="str">
            <v>2026A-09</v>
          </cell>
          <cell r="T7880" t="str">
            <v>BTs</v>
          </cell>
        </row>
        <row r="7881">
          <cell r="K7881">
            <v>-0.01</v>
          </cell>
          <cell r="P7881" t="str">
            <v>81123102-52111101</v>
          </cell>
          <cell r="S7881" t="str">
            <v>2026A-09</v>
          </cell>
          <cell r="T7881" t="str">
            <v>Toner/ink</v>
          </cell>
        </row>
        <row r="7882">
          <cell r="K7882">
            <v>31116.07</v>
          </cell>
          <cell r="P7882" t="str">
            <v>81124101-52952103</v>
          </cell>
          <cell r="S7882" t="str">
            <v>2026A-09</v>
          </cell>
          <cell r="T7882" t="str">
            <v>Autocad</v>
          </cell>
        </row>
        <row r="7883">
          <cell r="K7883">
            <v>0.01</v>
          </cell>
          <cell r="P7883" t="str">
            <v>81123102-52061111</v>
          </cell>
          <cell r="S7883" t="str">
            <v>2026A-09</v>
          </cell>
          <cell r="T7883" t="str">
            <v>R&amp;M - Supplies</v>
          </cell>
        </row>
        <row r="7884">
          <cell r="K7884">
            <v>311287.78000000003</v>
          </cell>
          <cell r="P7884" t="str">
            <v>80124101-61711102</v>
          </cell>
          <cell r="S7884" t="str">
            <v>2026A-09</v>
          </cell>
          <cell r="T7884" t="str">
            <v>MSOC</v>
          </cell>
        </row>
        <row r="7885">
          <cell r="K7885">
            <v>4500</v>
          </cell>
          <cell r="P7885" t="str">
            <v>81122101-52121502</v>
          </cell>
          <cell r="S7885" t="str">
            <v>2026A-09</v>
          </cell>
          <cell r="T7885" t="str">
            <v>Trainings</v>
          </cell>
        </row>
        <row r="7886">
          <cell r="K7886">
            <v>9678.57</v>
          </cell>
          <cell r="P7886" t="str">
            <v>81124101-52952103</v>
          </cell>
          <cell r="S7886" t="str">
            <v>2026A-09</v>
          </cell>
          <cell r="T7886" t="str">
            <v>MS Visio</v>
          </cell>
        </row>
        <row r="7887">
          <cell r="K7887">
            <v>-1780.71</v>
          </cell>
          <cell r="P7887" t="str">
            <v>81123102-52101112</v>
          </cell>
          <cell r="S7887" t="str">
            <v>2026A-09</v>
          </cell>
          <cell r="T7887" t="str">
            <v>Insurance - Vehicle</v>
          </cell>
        </row>
        <row r="7888">
          <cell r="K7888">
            <v>-28.49</v>
          </cell>
          <cell r="P7888" t="str">
            <v>81123102-52101112</v>
          </cell>
          <cell r="S7888" t="str">
            <v>2026A-09</v>
          </cell>
          <cell r="T7888" t="str">
            <v>Insurance - Vehicle</v>
          </cell>
        </row>
        <row r="7889">
          <cell r="K7889">
            <v>14245.68</v>
          </cell>
          <cell r="P7889" t="str">
            <v>81123102-52101112</v>
          </cell>
          <cell r="S7889" t="str">
            <v>2026A-09</v>
          </cell>
          <cell r="T7889" t="str">
            <v>Insurance - Vehicle</v>
          </cell>
        </row>
        <row r="7890">
          <cell r="K7890">
            <v>1780.71</v>
          </cell>
          <cell r="P7890" t="str">
            <v>81123102-52101112</v>
          </cell>
          <cell r="S7890" t="str">
            <v>2026A-09</v>
          </cell>
          <cell r="T7890" t="str">
            <v>Insurance - Vehicle</v>
          </cell>
        </row>
        <row r="7891">
          <cell r="K7891">
            <v>28.49</v>
          </cell>
          <cell r="P7891" t="str">
            <v>81123102-52101112</v>
          </cell>
          <cell r="S7891" t="str">
            <v>2026A-09</v>
          </cell>
          <cell r="T7891" t="str">
            <v>Insurance - Vehicle</v>
          </cell>
        </row>
        <row r="7892">
          <cell r="K7892">
            <v>1780.71</v>
          </cell>
          <cell r="P7892" t="str">
            <v>81123102-52101112</v>
          </cell>
          <cell r="S7892" t="str">
            <v>2026A-09</v>
          </cell>
          <cell r="T7892" t="str">
            <v>Insurance - Vehicle</v>
          </cell>
        </row>
        <row r="7893">
          <cell r="K7893">
            <v>28.49</v>
          </cell>
          <cell r="P7893" t="str">
            <v>81123102-52101112</v>
          </cell>
          <cell r="S7893" t="str">
            <v>2026A-09</v>
          </cell>
          <cell r="T7893" t="str">
            <v>Insurance - Vehicle</v>
          </cell>
        </row>
        <row r="7894">
          <cell r="K7894">
            <v>52629.14</v>
          </cell>
          <cell r="P7894" t="str">
            <v>81123102-52041401</v>
          </cell>
          <cell r="S7894" t="str">
            <v>2026A-09</v>
          </cell>
          <cell r="T7894" t="str">
            <v>Security HQ</v>
          </cell>
        </row>
        <row r="7895">
          <cell r="K7895">
            <v>10525.05</v>
          </cell>
          <cell r="P7895" t="str">
            <v>81123102-52041401</v>
          </cell>
          <cell r="S7895" t="str">
            <v>2026A-09</v>
          </cell>
          <cell r="T7895" t="str">
            <v>Security HQ</v>
          </cell>
        </row>
        <row r="7896">
          <cell r="K7896">
            <v>26339.29</v>
          </cell>
          <cell r="P7896" t="str">
            <v>81124101-52952103</v>
          </cell>
          <cell r="S7896" t="str">
            <v>2026A-09</v>
          </cell>
          <cell r="T7896" t="str">
            <v>Sketchup</v>
          </cell>
        </row>
        <row r="7897">
          <cell r="K7897">
            <v>6498.75</v>
          </cell>
          <cell r="P7897" t="str">
            <v>90111101-61021206</v>
          </cell>
          <cell r="S7897" t="str">
            <v>2026A-09</v>
          </cell>
          <cell r="T7897" t="str">
            <v>OJT</v>
          </cell>
        </row>
        <row r="7898">
          <cell r="K7898">
            <v>6472.5</v>
          </cell>
          <cell r="P7898" t="str">
            <v>90111101-61021206</v>
          </cell>
          <cell r="S7898" t="str">
            <v>2026A-09</v>
          </cell>
          <cell r="T7898" t="str">
            <v>OJT</v>
          </cell>
        </row>
        <row r="7899">
          <cell r="K7899">
            <v>24107.14</v>
          </cell>
          <cell r="P7899" t="str">
            <v>81124101-52952103</v>
          </cell>
          <cell r="S7899" t="str">
            <v>2026A-09</v>
          </cell>
          <cell r="T7899" t="str">
            <v>Bluebeam</v>
          </cell>
        </row>
        <row r="7900">
          <cell r="K7900">
            <v>14312.8</v>
          </cell>
          <cell r="P7900" t="str">
            <v>81123102-52101112</v>
          </cell>
          <cell r="S7900" t="str">
            <v>2026A-09</v>
          </cell>
          <cell r="T7900" t="str">
            <v>Insurance - Vehicle</v>
          </cell>
        </row>
        <row r="7901">
          <cell r="K7901">
            <v>1789.1</v>
          </cell>
          <cell r="P7901" t="str">
            <v>81123102-52101112</v>
          </cell>
          <cell r="S7901" t="str">
            <v>2026A-09</v>
          </cell>
          <cell r="T7901" t="str">
            <v>Insurance - Vehicle</v>
          </cell>
        </row>
        <row r="7902">
          <cell r="K7902">
            <v>28.63</v>
          </cell>
          <cell r="P7902" t="str">
            <v>81123102-52101112</v>
          </cell>
          <cell r="S7902" t="str">
            <v>2026A-09</v>
          </cell>
          <cell r="T7902" t="str">
            <v>Insurance - Vehicle</v>
          </cell>
        </row>
        <row r="7903">
          <cell r="K7903">
            <v>-13786.8</v>
          </cell>
          <cell r="P7903" t="str">
            <v>81111101-52041495</v>
          </cell>
          <cell r="S7903" t="str">
            <v>2026A-09</v>
          </cell>
          <cell r="T7903" t="str">
            <v>BTs</v>
          </cell>
        </row>
        <row r="7904">
          <cell r="K7904">
            <v>71815.350000000006</v>
          </cell>
          <cell r="P7904" t="str">
            <v>81111101-52041495</v>
          </cell>
          <cell r="S7904" t="str">
            <v>2026A-09</v>
          </cell>
          <cell r="T7904" t="str">
            <v>BTs</v>
          </cell>
        </row>
        <row r="7905">
          <cell r="K7905">
            <v>208073.62</v>
          </cell>
          <cell r="P7905" t="str">
            <v>81111101-52041495</v>
          </cell>
          <cell r="S7905" t="str">
            <v>2026A-09</v>
          </cell>
          <cell r="T7905" t="str">
            <v>BTs</v>
          </cell>
        </row>
        <row r="7906">
          <cell r="K7906">
            <v>-16200.13</v>
          </cell>
          <cell r="P7906" t="str">
            <v>81111101-52041495</v>
          </cell>
          <cell r="S7906" t="str">
            <v>2026A-09</v>
          </cell>
          <cell r="T7906" t="str">
            <v>BTs</v>
          </cell>
        </row>
        <row r="7907">
          <cell r="K7907">
            <v>33131.870000000003</v>
          </cell>
          <cell r="P7907" t="str">
            <v>81111101-52041495</v>
          </cell>
          <cell r="S7907" t="str">
            <v>2026A-09</v>
          </cell>
          <cell r="T7907" t="str">
            <v>BTs</v>
          </cell>
        </row>
        <row r="7908">
          <cell r="K7908">
            <v>-2407.5</v>
          </cell>
          <cell r="P7908" t="str">
            <v>81111101-52041495</v>
          </cell>
          <cell r="S7908" t="str">
            <v>2026A-09</v>
          </cell>
          <cell r="T7908" t="str">
            <v>BTs</v>
          </cell>
        </row>
        <row r="7909">
          <cell r="K7909">
            <v>-24528.47</v>
          </cell>
          <cell r="P7909" t="str">
            <v>80123102-61721101</v>
          </cell>
          <cell r="S7909" t="str">
            <v>2026A-09</v>
          </cell>
          <cell r="T7909" t="str">
            <v>Mobile Phones</v>
          </cell>
        </row>
        <row r="7910">
          <cell r="K7910">
            <v>1630</v>
          </cell>
          <cell r="P7910" t="str">
            <v>80125101-61091101</v>
          </cell>
          <cell r="S7910" t="str">
            <v>2026A-09</v>
          </cell>
          <cell r="T7910" t="str">
            <v>Meetings</v>
          </cell>
        </row>
        <row r="7911">
          <cell r="K7911">
            <v>1125</v>
          </cell>
          <cell r="P7911" t="str">
            <v>80125101-61091101</v>
          </cell>
          <cell r="S7911" t="str">
            <v>2026A-09</v>
          </cell>
          <cell r="T7911" t="str">
            <v>Meetings</v>
          </cell>
        </row>
        <row r="7912">
          <cell r="K7912">
            <v>2393.9299999999998</v>
          </cell>
          <cell r="P7912" t="str">
            <v>80111204-61091101</v>
          </cell>
          <cell r="S7912" t="str">
            <v>2026A-09</v>
          </cell>
          <cell r="T7912" t="str">
            <v>Meetings</v>
          </cell>
        </row>
        <row r="7913">
          <cell r="K7913">
            <v>65425.22</v>
          </cell>
          <cell r="P7913" t="str">
            <v>81123102-52041401</v>
          </cell>
          <cell r="S7913" t="str">
            <v>2026A-09</v>
          </cell>
          <cell r="T7913" t="str">
            <v>Security HQ</v>
          </cell>
        </row>
        <row r="7914">
          <cell r="K7914">
            <v>13083.99</v>
          </cell>
          <cell r="P7914" t="str">
            <v>81123102-52041401</v>
          </cell>
          <cell r="S7914" t="str">
            <v>2026A-09</v>
          </cell>
          <cell r="T7914" t="str">
            <v>Security HQ</v>
          </cell>
        </row>
        <row r="7915">
          <cell r="K7915">
            <v>30803.57</v>
          </cell>
          <cell r="P7915" t="str">
            <v>81124101-52952103</v>
          </cell>
          <cell r="S7915" t="str">
            <v>2026A-09</v>
          </cell>
          <cell r="T7915" t="str">
            <v>Autocad</v>
          </cell>
        </row>
        <row r="7916">
          <cell r="K7916">
            <v>7500</v>
          </cell>
          <cell r="P7916" t="str">
            <v>80111204-61091101</v>
          </cell>
          <cell r="S7916" t="str">
            <v>2026A-09</v>
          </cell>
          <cell r="T7916" t="str">
            <v>Meetings</v>
          </cell>
        </row>
        <row r="7917">
          <cell r="K7917">
            <v>29415.18</v>
          </cell>
          <cell r="P7917" t="str">
            <v>81124101-52952103</v>
          </cell>
          <cell r="S7917" t="str">
            <v>2026A-09</v>
          </cell>
          <cell r="T7917" t="str">
            <v>Adobe Photoshop</v>
          </cell>
        </row>
        <row r="7918">
          <cell r="K7918">
            <v>10000</v>
          </cell>
          <cell r="P7918" t="str">
            <v>80123101-61071005</v>
          </cell>
          <cell r="S7918" t="str">
            <v>2026A-09</v>
          </cell>
          <cell r="T7918" t="str">
            <v>Sycip</v>
          </cell>
        </row>
        <row r="7919">
          <cell r="K7919">
            <v>537</v>
          </cell>
          <cell r="P7919" t="str">
            <v>80123102-61721103</v>
          </cell>
          <cell r="S7919" t="str">
            <v>2026A-09</v>
          </cell>
          <cell r="T7919" t="str">
            <v>Postal</v>
          </cell>
        </row>
        <row r="7920">
          <cell r="K7920">
            <v>3900</v>
          </cell>
          <cell r="P7920" t="str">
            <v>80123101-61071002</v>
          </cell>
          <cell r="S7920" t="str">
            <v>2026A-09</v>
          </cell>
          <cell r="T7920" t="str">
            <v>Open Cases</v>
          </cell>
        </row>
        <row r="7921">
          <cell r="K7921">
            <v>92410.71</v>
          </cell>
          <cell r="P7921" t="str">
            <v>81124101-52952103</v>
          </cell>
          <cell r="S7921" t="str">
            <v>2026A-09</v>
          </cell>
          <cell r="T7921" t="str">
            <v>Autocad</v>
          </cell>
        </row>
        <row r="7922">
          <cell r="K7922">
            <v>150000</v>
          </cell>
          <cell r="P7922" t="str">
            <v>80123102-61071099</v>
          </cell>
          <cell r="S7922" t="str">
            <v>2026A-09</v>
          </cell>
          <cell r="T7922" t="str">
            <v>Property Valuation</v>
          </cell>
        </row>
        <row r="7923">
          <cell r="K7923">
            <v>500</v>
          </cell>
          <cell r="P7923" t="str">
            <v>80111204-61091102</v>
          </cell>
          <cell r="S7923" t="str">
            <v>2026A-09</v>
          </cell>
          <cell r="T7923" t="str">
            <v>Meetings</v>
          </cell>
        </row>
        <row r="7924">
          <cell r="K7924">
            <v>1260</v>
          </cell>
          <cell r="P7924" t="str">
            <v>80123102-61721103</v>
          </cell>
          <cell r="S7924" t="str">
            <v>2026A-09</v>
          </cell>
          <cell r="T7924" t="str">
            <v>Postal</v>
          </cell>
        </row>
        <row r="7925">
          <cell r="K7925">
            <v>3000</v>
          </cell>
          <cell r="P7925" t="str">
            <v>80123101-61071002</v>
          </cell>
          <cell r="S7925" t="str">
            <v>2026A-09</v>
          </cell>
          <cell r="T7925" t="str">
            <v>Open Cases</v>
          </cell>
        </row>
        <row r="7926">
          <cell r="K7926">
            <v>2232.15</v>
          </cell>
          <cell r="P7926" t="str">
            <v>80123102-61061104</v>
          </cell>
          <cell r="S7926" t="str">
            <v>2026A-09</v>
          </cell>
          <cell r="T7926" t="str">
            <v>R&amp;M Vehicle</v>
          </cell>
        </row>
        <row r="7927">
          <cell r="K7927">
            <v>9247.69</v>
          </cell>
          <cell r="P7927" t="str">
            <v>80123102-61061104</v>
          </cell>
          <cell r="S7927" t="str">
            <v>2026A-09</v>
          </cell>
          <cell r="T7927" t="str">
            <v>R&amp;M Vehicle</v>
          </cell>
        </row>
        <row r="7928">
          <cell r="K7928">
            <v>580.36</v>
          </cell>
          <cell r="P7928" t="str">
            <v>80123102-61061104</v>
          </cell>
          <cell r="S7928" t="str">
            <v>2026A-09</v>
          </cell>
          <cell r="T7928" t="str">
            <v>R&amp;M Vehicle</v>
          </cell>
        </row>
        <row r="7929">
          <cell r="K7929">
            <v>205871.59</v>
          </cell>
          <cell r="P7929" t="str">
            <v>81123102-52041405</v>
          </cell>
          <cell r="S7929" t="str">
            <v>2026A-09</v>
          </cell>
          <cell r="T7929" t="str">
            <v>Janitorial (SFI)</v>
          </cell>
        </row>
        <row r="7930">
          <cell r="K7930">
            <v>199667.33</v>
          </cell>
          <cell r="P7930" t="str">
            <v>81123102-52041499</v>
          </cell>
          <cell r="S7930" t="str">
            <v>2026A-09</v>
          </cell>
          <cell r="T7930" t="str">
            <v>Admin Staff (SFI)</v>
          </cell>
        </row>
        <row r="7931">
          <cell r="K7931">
            <v>-1862.37</v>
          </cell>
          <cell r="P7931" t="str">
            <v>81123102-52041405</v>
          </cell>
          <cell r="S7931" t="str">
            <v>2026A-09</v>
          </cell>
          <cell r="T7931" t="str">
            <v>Janitorial (SFI)</v>
          </cell>
        </row>
        <row r="7932">
          <cell r="K7932">
            <v>-12341.49</v>
          </cell>
          <cell r="P7932" t="str">
            <v>81123102-52041405</v>
          </cell>
          <cell r="S7932" t="str">
            <v>2026A-09</v>
          </cell>
          <cell r="T7932" t="str">
            <v>Janitorial (SFI)</v>
          </cell>
        </row>
        <row r="7933">
          <cell r="K7933">
            <v>65122.99</v>
          </cell>
          <cell r="P7933" t="str">
            <v>81123102-52041405</v>
          </cell>
          <cell r="S7933" t="str">
            <v>2026A-09</v>
          </cell>
          <cell r="T7933" t="str">
            <v>Janitorial (SFI)</v>
          </cell>
        </row>
        <row r="7934">
          <cell r="K7934">
            <v>-2557.81</v>
          </cell>
          <cell r="P7934" t="str">
            <v>81123102-52041499</v>
          </cell>
          <cell r="S7934" t="str">
            <v>2026A-09</v>
          </cell>
          <cell r="T7934" t="str">
            <v>Admin Staff (SFI)</v>
          </cell>
        </row>
        <row r="7935">
          <cell r="K7935">
            <v>-13606</v>
          </cell>
          <cell r="P7935" t="str">
            <v>81123102-52041499</v>
          </cell>
          <cell r="S7935" t="str">
            <v>2026A-09</v>
          </cell>
          <cell r="T7935" t="str">
            <v>Admin Staff (SFI)</v>
          </cell>
        </row>
        <row r="7936">
          <cell r="K7936">
            <v>42894.85</v>
          </cell>
          <cell r="P7936" t="str">
            <v>81123102-52041499</v>
          </cell>
          <cell r="S7936" t="str">
            <v>2026A-09</v>
          </cell>
          <cell r="T7936" t="str">
            <v>Admin Staff (SFI)</v>
          </cell>
        </row>
        <row r="7937">
          <cell r="K7937">
            <v>50000</v>
          </cell>
          <cell r="P7937" t="str">
            <v>90133102-52071104</v>
          </cell>
          <cell r="S7937" t="str">
            <v>2026A-09</v>
          </cell>
          <cell r="T7937" t="str">
            <v>RSG</v>
          </cell>
        </row>
        <row r="7938">
          <cell r="K7938">
            <v>7500</v>
          </cell>
          <cell r="P7938" t="str">
            <v>90133102-52071104</v>
          </cell>
          <cell r="S7938" t="str">
            <v>2026A-09</v>
          </cell>
          <cell r="T7938" t="str">
            <v>RSG</v>
          </cell>
        </row>
        <row r="7939">
          <cell r="K7939">
            <v>14626.13</v>
          </cell>
          <cell r="P7939" t="str">
            <v>80123102-61061104</v>
          </cell>
          <cell r="S7939" t="str">
            <v>2026A-09</v>
          </cell>
          <cell r="T7939" t="str">
            <v>R&amp;M Vehicle</v>
          </cell>
        </row>
        <row r="7940">
          <cell r="K7940">
            <v>300</v>
          </cell>
          <cell r="P7940" t="str">
            <v>90111204-61091101</v>
          </cell>
          <cell r="S7940" t="str">
            <v>2026A-09</v>
          </cell>
          <cell r="T7940" t="str">
            <v>Meetings</v>
          </cell>
        </row>
        <row r="7941">
          <cell r="K7941">
            <v>258</v>
          </cell>
          <cell r="P7941" t="str">
            <v>90111204-61091101</v>
          </cell>
          <cell r="S7941" t="str">
            <v>2026A-09</v>
          </cell>
          <cell r="T7941" t="str">
            <v>Meetings</v>
          </cell>
        </row>
        <row r="7942">
          <cell r="K7942">
            <v>325</v>
          </cell>
          <cell r="P7942" t="str">
            <v>90111204-61091102</v>
          </cell>
          <cell r="S7942" t="str">
            <v>2026A-09</v>
          </cell>
          <cell r="T7942" t="str">
            <v>Meetings</v>
          </cell>
        </row>
        <row r="7943">
          <cell r="K7943">
            <v>223</v>
          </cell>
          <cell r="P7943" t="str">
            <v>90111204-61091102</v>
          </cell>
          <cell r="S7943" t="str">
            <v>2026A-09</v>
          </cell>
          <cell r="T7943" t="str">
            <v>Meetings</v>
          </cell>
        </row>
        <row r="7944">
          <cell r="K7944">
            <v>278</v>
          </cell>
          <cell r="P7944" t="str">
            <v>90111204-61091102</v>
          </cell>
          <cell r="S7944" t="str">
            <v>2026A-09</v>
          </cell>
          <cell r="T7944" t="str">
            <v>Meetings</v>
          </cell>
        </row>
        <row r="7945">
          <cell r="K7945">
            <v>20000</v>
          </cell>
          <cell r="P7945" t="str">
            <v>80123101-61071005</v>
          </cell>
          <cell r="S7945" t="str">
            <v>2026A-09</v>
          </cell>
          <cell r="T7945" t="str">
            <v>Poblador</v>
          </cell>
        </row>
        <row r="7946">
          <cell r="K7946">
            <v>51199.33</v>
          </cell>
          <cell r="P7946" t="str">
            <v>81123102-52041401</v>
          </cell>
          <cell r="S7946" t="str">
            <v>2026A-09</v>
          </cell>
          <cell r="T7946" t="str">
            <v>Security HQ</v>
          </cell>
        </row>
        <row r="7947">
          <cell r="K7947">
            <v>10239.11</v>
          </cell>
          <cell r="P7947" t="str">
            <v>81123102-52041401</v>
          </cell>
          <cell r="S7947" t="str">
            <v>2026A-09</v>
          </cell>
          <cell r="T7947" t="str">
            <v>Security HQ</v>
          </cell>
        </row>
        <row r="7948">
          <cell r="K7948">
            <v>119.15</v>
          </cell>
          <cell r="P7948" t="str">
            <v>81319101-52041401</v>
          </cell>
          <cell r="S7948" t="str">
            <v>2026A-09</v>
          </cell>
          <cell r="T7948" t="str">
            <v>TS</v>
          </cell>
        </row>
        <row r="7949">
          <cell r="K7949">
            <v>23.83</v>
          </cell>
          <cell r="P7949" t="str">
            <v>81319101-52041401</v>
          </cell>
          <cell r="S7949" t="str">
            <v>2026A-09</v>
          </cell>
          <cell r="T7949" t="str">
            <v>TS</v>
          </cell>
        </row>
        <row r="7950">
          <cell r="K7950">
            <v>2.38</v>
          </cell>
          <cell r="P7950" t="str">
            <v>81319101-52041401</v>
          </cell>
          <cell r="S7950" t="str">
            <v>2026A-09</v>
          </cell>
          <cell r="T7950" t="str">
            <v>TS</v>
          </cell>
        </row>
        <row r="7951">
          <cell r="K7951">
            <v>0.48</v>
          </cell>
          <cell r="P7951" t="str">
            <v>81319101-52041401</v>
          </cell>
          <cell r="S7951" t="str">
            <v>2026A-09</v>
          </cell>
          <cell r="T7951" t="str">
            <v>TS</v>
          </cell>
        </row>
        <row r="7952">
          <cell r="K7952">
            <v>-22755.48</v>
          </cell>
          <cell r="P7952" t="str">
            <v>81319101-52041401</v>
          </cell>
          <cell r="S7952" t="str">
            <v>2026A-09</v>
          </cell>
          <cell r="T7952" t="str">
            <v>TS</v>
          </cell>
        </row>
        <row r="7953">
          <cell r="K7953">
            <v>-4683.47</v>
          </cell>
          <cell r="P7953" t="str">
            <v>81319101-52041401</v>
          </cell>
          <cell r="S7953" t="str">
            <v>2026A-09</v>
          </cell>
          <cell r="T7953" t="str">
            <v>TS</v>
          </cell>
        </row>
        <row r="7954">
          <cell r="K7954">
            <v>-119.15</v>
          </cell>
          <cell r="P7954" t="str">
            <v>81319101-52041401</v>
          </cell>
          <cell r="S7954" t="str">
            <v>2026A-09</v>
          </cell>
          <cell r="T7954" t="str">
            <v>TS</v>
          </cell>
        </row>
        <row r="7955">
          <cell r="K7955">
            <v>-23.83</v>
          </cell>
          <cell r="P7955" t="str">
            <v>81319101-52041401</v>
          </cell>
          <cell r="S7955" t="str">
            <v>2026A-09</v>
          </cell>
          <cell r="T7955" t="str">
            <v>TS</v>
          </cell>
        </row>
        <row r="7956">
          <cell r="K7956">
            <v>-2.38</v>
          </cell>
          <cell r="P7956" t="str">
            <v>81319101-52041401</v>
          </cell>
          <cell r="S7956" t="str">
            <v>2026A-09</v>
          </cell>
          <cell r="T7956" t="str">
            <v>TS</v>
          </cell>
        </row>
        <row r="7957">
          <cell r="K7957">
            <v>-0.48</v>
          </cell>
          <cell r="P7957" t="str">
            <v>81319101-52041401</v>
          </cell>
          <cell r="S7957" t="str">
            <v>2026A-09</v>
          </cell>
          <cell r="T7957" t="str">
            <v>TS</v>
          </cell>
        </row>
        <row r="7958">
          <cell r="K7958">
            <v>22755.48</v>
          </cell>
          <cell r="P7958" t="str">
            <v>81319101-52041401</v>
          </cell>
          <cell r="S7958" t="str">
            <v>2026A-09</v>
          </cell>
          <cell r="T7958" t="str">
            <v>TS</v>
          </cell>
        </row>
        <row r="7959">
          <cell r="K7959">
            <v>4683.47</v>
          </cell>
          <cell r="P7959" t="str">
            <v>81319101-52041401</v>
          </cell>
          <cell r="S7959" t="str">
            <v>2026A-09</v>
          </cell>
          <cell r="T7959" t="str">
            <v>TS</v>
          </cell>
        </row>
        <row r="7960">
          <cell r="K7960">
            <v>-0.01</v>
          </cell>
          <cell r="P7960" t="str">
            <v>81319101-52111101</v>
          </cell>
          <cell r="S7960" t="str">
            <v>2026A-09</v>
          </cell>
          <cell r="T7960" t="str">
            <v>Zero</v>
          </cell>
        </row>
        <row r="7961">
          <cell r="K7961">
            <v>891.96</v>
          </cell>
          <cell r="P7961" t="str">
            <v>80123102-61721101</v>
          </cell>
          <cell r="S7961" t="str">
            <v>2026A-09</v>
          </cell>
          <cell r="T7961" t="str">
            <v>Mobile Phones</v>
          </cell>
        </row>
        <row r="7962">
          <cell r="K7962">
            <v>1338.47</v>
          </cell>
          <cell r="P7962" t="str">
            <v>80123102-61721101</v>
          </cell>
          <cell r="S7962" t="str">
            <v>2026A-09</v>
          </cell>
          <cell r="T7962" t="str">
            <v>Mobile Phones</v>
          </cell>
        </row>
        <row r="7963">
          <cell r="K7963">
            <v>713.39</v>
          </cell>
          <cell r="P7963" t="str">
            <v>80123102-61721101</v>
          </cell>
          <cell r="S7963" t="str">
            <v>2026A-09</v>
          </cell>
          <cell r="T7963" t="str">
            <v>Mobile Phones</v>
          </cell>
        </row>
        <row r="7964">
          <cell r="K7964">
            <v>891.96</v>
          </cell>
          <cell r="P7964" t="str">
            <v>80123102-61721101</v>
          </cell>
          <cell r="S7964" t="str">
            <v>2026A-09</v>
          </cell>
          <cell r="T7964" t="str">
            <v>Mobile Phones</v>
          </cell>
        </row>
        <row r="7965">
          <cell r="K7965">
            <v>891.96</v>
          </cell>
          <cell r="P7965" t="str">
            <v>80123102-61721101</v>
          </cell>
          <cell r="S7965" t="str">
            <v>2026A-09</v>
          </cell>
          <cell r="T7965" t="str">
            <v>Mobile Phones</v>
          </cell>
        </row>
        <row r="7966">
          <cell r="K7966">
            <v>891.96</v>
          </cell>
          <cell r="P7966" t="str">
            <v>80123102-61721101</v>
          </cell>
          <cell r="S7966" t="str">
            <v>2026A-09</v>
          </cell>
          <cell r="T7966" t="str">
            <v>Mobile Phones</v>
          </cell>
        </row>
        <row r="7967">
          <cell r="K7967">
            <v>891.96</v>
          </cell>
          <cell r="P7967" t="str">
            <v>80123102-61721101</v>
          </cell>
          <cell r="S7967" t="str">
            <v>2026A-09</v>
          </cell>
          <cell r="T7967" t="str">
            <v>Mobile Phones</v>
          </cell>
        </row>
        <row r="7968">
          <cell r="K7968">
            <v>891.96</v>
          </cell>
          <cell r="P7968" t="str">
            <v>80123102-61721101</v>
          </cell>
          <cell r="S7968" t="str">
            <v>2026A-09</v>
          </cell>
          <cell r="T7968" t="str">
            <v>Mobile Phones</v>
          </cell>
        </row>
        <row r="7969">
          <cell r="K7969">
            <v>891.96</v>
          </cell>
          <cell r="P7969" t="str">
            <v>80123102-61721101</v>
          </cell>
          <cell r="S7969" t="str">
            <v>2026A-09</v>
          </cell>
          <cell r="T7969" t="str">
            <v>Mobile Phones</v>
          </cell>
        </row>
        <row r="7970">
          <cell r="K7970">
            <v>534.82000000000005</v>
          </cell>
          <cell r="P7970" t="str">
            <v>80123102-61721101</v>
          </cell>
          <cell r="S7970" t="str">
            <v>2026A-09</v>
          </cell>
          <cell r="T7970" t="str">
            <v>Mobile Phones</v>
          </cell>
        </row>
        <row r="7971">
          <cell r="K7971">
            <v>891.96</v>
          </cell>
          <cell r="P7971" t="str">
            <v>80123102-61721101</v>
          </cell>
          <cell r="S7971" t="str">
            <v>2026A-09</v>
          </cell>
          <cell r="T7971" t="str">
            <v>Mobile Phones</v>
          </cell>
        </row>
        <row r="7972">
          <cell r="K7972">
            <v>891.96</v>
          </cell>
          <cell r="P7972" t="str">
            <v>80123102-61721101</v>
          </cell>
          <cell r="S7972" t="str">
            <v>2026A-09</v>
          </cell>
          <cell r="T7972" t="str">
            <v>Mobile Phones</v>
          </cell>
        </row>
        <row r="7973">
          <cell r="K7973">
            <v>891.96</v>
          </cell>
          <cell r="P7973" t="str">
            <v>80123102-61721101</v>
          </cell>
          <cell r="S7973" t="str">
            <v>2026A-09</v>
          </cell>
          <cell r="T7973" t="str">
            <v>Mobile Phones</v>
          </cell>
        </row>
        <row r="7974">
          <cell r="K7974">
            <v>891.96</v>
          </cell>
          <cell r="P7974" t="str">
            <v>80123102-61721101</v>
          </cell>
          <cell r="S7974" t="str">
            <v>2026A-09</v>
          </cell>
          <cell r="T7974" t="str">
            <v>Mobile Phones</v>
          </cell>
        </row>
        <row r="7975">
          <cell r="K7975">
            <v>891.96</v>
          </cell>
          <cell r="P7975" t="str">
            <v>80123102-61721101</v>
          </cell>
          <cell r="S7975" t="str">
            <v>2026A-09</v>
          </cell>
          <cell r="T7975" t="str">
            <v>Mobile Phones</v>
          </cell>
        </row>
        <row r="7976">
          <cell r="K7976">
            <v>534.82000000000005</v>
          </cell>
          <cell r="P7976" t="str">
            <v>80123102-61721101</v>
          </cell>
          <cell r="S7976" t="str">
            <v>2026A-09</v>
          </cell>
          <cell r="T7976" t="str">
            <v>Mobile Phones</v>
          </cell>
        </row>
        <row r="7977">
          <cell r="K7977">
            <v>713.39</v>
          </cell>
          <cell r="P7977" t="str">
            <v>80123102-61721101</v>
          </cell>
          <cell r="S7977" t="str">
            <v>2026A-09</v>
          </cell>
          <cell r="T7977" t="str">
            <v>Mobile Phones</v>
          </cell>
        </row>
        <row r="7978">
          <cell r="K7978">
            <v>891.96</v>
          </cell>
          <cell r="P7978" t="str">
            <v>80123102-61721101</v>
          </cell>
          <cell r="S7978" t="str">
            <v>2026A-09</v>
          </cell>
          <cell r="T7978" t="str">
            <v>Mobile Phones</v>
          </cell>
        </row>
        <row r="7979">
          <cell r="K7979">
            <v>891.96</v>
          </cell>
          <cell r="P7979" t="str">
            <v>80123102-61721101</v>
          </cell>
          <cell r="S7979" t="str">
            <v>2026A-09</v>
          </cell>
          <cell r="T7979" t="str">
            <v>Mobile Phones</v>
          </cell>
        </row>
        <row r="7980">
          <cell r="K7980">
            <v>1338.39</v>
          </cell>
          <cell r="P7980" t="str">
            <v>80123102-61721101</v>
          </cell>
          <cell r="S7980" t="str">
            <v>2026A-09</v>
          </cell>
          <cell r="T7980" t="str">
            <v>Mobile Phones</v>
          </cell>
        </row>
        <row r="7981">
          <cell r="K7981">
            <v>534.82000000000005</v>
          </cell>
          <cell r="P7981" t="str">
            <v>80123102-61721101</v>
          </cell>
          <cell r="S7981" t="str">
            <v>2026A-09</v>
          </cell>
          <cell r="T7981" t="str">
            <v>Mobile Phones</v>
          </cell>
        </row>
        <row r="7982">
          <cell r="K7982">
            <v>891.96</v>
          </cell>
          <cell r="P7982" t="str">
            <v>80123102-61721101</v>
          </cell>
          <cell r="S7982" t="str">
            <v>2026A-09</v>
          </cell>
          <cell r="T7982" t="str">
            <v>Mobile Phones</v>
          </cell>
        </row>
        <row r="7983">
          <cell r="K7983">
            <v>534.82000000000005</v>
          </cell>
          <cell r="P7983" t="str">
            <v>80123102-61721101</v>
          </cell>
          <cell r="S7983" t="str">
            <v>2026A-09</v>
          </cell>
          <cell r="T7983" t="str">
            <v>Mobile Phones</v>
          </cell>
        </row>
        <row r="7984">
          <cell r="K7984">
            <v>30000</v>
          </cell>
          <cell r="P7984" t="str">
            <v>90122101-52121402</v>
          </cell>
          <cell r="S7984" t="str">
            <v>2026A-09</v>
          </cell>
          <cell r="T7984" t="str">
            <v>Bereavement Assistance</v>
          </cell>
        </row>
        <row r="7985">
          <cell r="K7985">
            <v>3230</v>
          </cell>
          <cell r="P7985" t="str">
            <v>81122101-52121315</v>
          </cell>
          <cell r="S7985" t="str">
            <v>2026A-09</v>
          </cell>
          <cell r="T7985" t="str">
            <v>Pre-Employment Medical Exams</v>
          </cell>
        </row>
        <row r="7986">
          <cell r="K7986">
            <v>250</v>
          </cell>
          <cell r="P7986" t="str">
            <v>81122101-52121315</v>
          </cell>
          <cell r="S7986" t="str">
            <v>2026A-09</v>
          </cell>
          <cell r="T7986" t="str">
            <v>Pre-Employment Medical Exams</v>
          </cell>
        </row>
        <row r="7987">
          <cell r="K7987">
            <v>1615</v>
          </cell>
          <cell r="P7987" t="str">
            <v>90122101-52121315</v>
          </cell>
          <cell r="S7987" t="str">
            <v>2026A-09</v>
          </cell>
          <cell r="T7987" t="str">
            <v>Pre-Employment Medical Exams</v>
          </cell>
        </row>
        <row r="7988">
          <cell r="K7988">
            <v>125</v>
          </cell>
          <cell r="P7988" t="str">
            <v>90122101-52121315</v>
          </cell>
          <cell r="S7988" t="str">
            <v>2026A-09</v>
          </cell>
          <cell r="T7988" t="str">
            <v>Pre-Employment Medical Exams</v>
          </cell>
        </row>
        <row r="7989">
          <cell r="K7989">
            <v>6311.07</v>
          </cell>
          <cell r="P7989" t="str">
            <v>80124101-61721105</v>
          </cell>
          <cell r="S7989" t="str">
            <v>2026A-09</v>
          </cell>
          <cell r="T7989" t="str">
            <v>SMS Blast</v>
          </cell>
        </row>
        <row r="7990">
          <cell r="K7990">
            <v>6785.72</v>
          </cell>
          <cell r="P7990" t="str">
            <v>81122101-52121402</v>
          </cell>
          <cell r="S7990" t="str">
            <v>2026A-09</v>
          </cell>
          <cell r="T7990" t="str">
            <v>Bereavement Assistance</v>
          </cell>
        </row>
        <row r="7991">
          <cell r="K7991">
            <v>-4614.53</v>
          </cell>
          <cell r="P7991" t="str">
            <v>81111101-52041495</v>
          </cell>
          <cell r="S7991" t="str">
            <v>2026A-09</v>
          </cell>
          <cell r="T7991" t="str">
            <v>BTs</v>
          </cell>
        </row>
        <row r="7992">
          <cell r="K7992">
            <v>71815.350000000006</v>
          </cell>
          <cell r="P7992" t="str">
            <v>81111101-52041495</v>
          </cell>
          <cell r="S7992" t="str">
            <v>2026A-09</v>
          </cell>
          <cell r="T7992" t="str">
            <v>BTs</v>
          </cell>
        </row>
        <row r="7993">
          <cell r="K7993">
            <v>4500</v>
          </cell>
          <cell r="P7993" t="str">
            <v>90111101-61021206</v>
          </cell>
          <cell r="S7993" t="str">
            <v>2026A-09</v>
          </cell>
          <cell r="T7993" t="str">
            <v>OJT</v>
          </cell>
        </row>
        <row r="7994">
          <cell r="K7994">
            <v>4500</v>
          </cell>
          <cell r="P7994" t="str">
            <v>90111101-61021206</v>
          </cell>
          <cell r="S7994" t="str">
            <v>2026A-09</v>
          </cell>
          <cell r="T7994" t="str">
            <v>OJT</v>
          </cell>
        </row>
        <row r="7995">
          <cell r="K7995">
            <v>54540</v>
          </cell>
          <cell r="P7995" t="str">
            <v>80123102-61061104</v>
          </cell>
          <cell r="S7995" t="str">
            <v>2026A-09</v>
          </cell>
          <cell r="T7995" t="str">
            <v>R&amp;M Vehicle</v>
          </cell>
        </row>
        <row r="7996">
          <cell r="K7996">
            <v>26084.82</v>
          </cell>
          <cell r="P7996" t="str">
            <v>80111204-61091102</v>
          </cell>
          <cell r="S7996" t="str">
            <v>2026A-09</v>
          </cell>
          <cell r="T7996" t="str">
            <v>Meetings</v>
          </cell>
        </row>
        <row r="7997">
          <cell r="K7997">
            <v>2603.2199999999998</v>
          </cell>
          <cell r="P7997" t="str">
            <v>80111204-61091102</v>
          </cell>
          <cell r="S7997" t="str">
            <v>2026A-09</v>
          </cell>
          <cell r="T7997" t="str">
            <v>Meetings</v>
          </cell>
        </row>
        <row r="7998">
          <cell r="K7998">
            <v>2516.2600000000002</v>
          </cell>
          <cell r="P7998" t="str">
            <v>80123101-61091101</v>
          </cell>
          <cell r="S7998" t="str">
            <v>2026A-09</v>
          </cell>
          <cell r="T7998" t="str">
            <v>Meetings</v>
          </cell>
        </row>
        <row r="7999">
          <cell r="K7999">
            <v>2570.71</v>
          </cell>
          <cell r="P7999" t="str">
            <v>80123101-61091101</v>
          </cell>
          <cell r="S7999" t="str">
            <v>2026A-09</v>
          </cell>
          <cell r="T7999" t="str">
            <v>Meetings</v>
          </cell>
        </row>
        <row r="8000">
          <cell r="K8000">
            <v>3747.14</v>
          </cell>
          <cell r="P8000" t="str">
            <v>80123101-61091101</v>
          </cell>
          <cell r="S8000" t="str">
            <v>2026A-09</v>
          </cell>
          <cell r="T8000" t="str">
            <v>Meetings</v>
          </cell>
        </row>
        <row r="8001">
          <cell r="K8001">
            <v>440</v>
          </cell>
          <cell r="P8001" t="str">
            <v>80111204-61091102</v>
          </cell>
          <cell r="S8001" t="str">
            <v>2026A-09</v>
          </cell>
          <cell r="T8001" t="str">
            <v>Meetings</v>
          </cell>
        </row>
        <row r="8002">
          <cell r="K8002">
            <v>3284.21</v>
          </cell>
          <cell r="P8002" t="str">
            <v>80111204-61091102</v>
          </cell>
          <cell r="S8002" t="str">
            <v>2026A-09</v>
          </cell>
          <cell r="T8002" t="str">
            <v>Meetings</v>
          </cell>
        </row>
        <row r="8003">
          <cell r="K8003">
            <v>892.13</v>
          </cell>
          <cell r="P8003" t="str">
            <v>80111204-61091102</v>
          </cell>
          <cell r="S8003" t="str">
            <v>2026A-09</v>
          </cell>
          <cell r="T8003" t="str">
            <v>Meetings</v>
          </cell>
        </row>
        <row r="8004">
          <cell r="K8004">
            <v>4800.47</v>
          </cell>
          <cell r="P8004" t="str">
            <v>80111204-61091102</v>
          </cell>
          <cell r="S8004" t="str">
            <v>2026A-09</v>
          </cell>
          <cell r="T8004" t="str">
            <v>Meetings</v>
          </cell>
        </row>
        <row r="8005">
          <cell r="K8005">
            <v>3823.39</v>
          </cell>
          <cell r="P8005" t="str">
            <v>80111204-61091102</v>
          </cell>
          <cell r="S8005" t="str">
            <v>2026A-09</v>
          </cell>
          <cell r="T8005" t="str">
            <v>Meetings</v>
          </cell>
        </row>
        <row r="8006">
          <cell r="K8006">
            <v>2333.3000000000002</v>
          </cell>
          <cell r="P8006" t="str">
            <v>80123101-61711102</v>
          </cell>
          <cell r="S8006" t="str">
            <v>2026A-09</v>
          </cell>
          <cell r="T8006" t="str">
            <v>Domain</v>
          </cell>
        </row>
        <row r="8007">
          <cell r="K8007">
            <v>1384.01</v>
          </cell>
          <cell r="P8007" t="str">
            <v>80314101-61731103</v>
          </cell>
          <cell r="S8007" t="str">
            <v>2026A-09</v>
          </cell>
          <cell r="T8007" t="str">
            <v>Meta</v>
          </cell>
        </row>
        <row r="8008">
          <cell r="K8008">
            <v>8918.85</v>
          </cell>
          <cell r="P8008" t="str">
            <v>80124101-61711102</v>
          </cell>
          <cell r="S8008" t="str">
            <v>2026A-09</v>
          </cell>
          <cell r="T8008" t="str">
            <v>AI Copilot</v>
          </cell>
        </row>
        <row r="8009">
          <cell r="K8009">
            <v>2227.58</v>
          </cell>
          <cell r="P8009" t="str">
            <v>80124101-61711102</v>
          </cell>
          <cell r="S8009" t="str">
            <v>2026A-09</v>
          </cell>
          <cell r="T8009" t="str">
            <v>Microsoft Planner</v>
          </cell>
        </row>
        <row r="8010">
          <cell r="K8010">
            <v>2753.05</v>
          </cell>
          <cell r="P8010" t="str">
            <v>80124101-61711102</v>
          </cell>
          <cell r="S8010" t="str">
            <v>2026A-09</v>
          </cell>
          <cell r="T8010" t="str">
            <v>Zoom</v>
          </cell>
        </row>
        <row r="8011">
          <cell r="K8011">
            <v>12689.55</v>
          </cell>
          <cell r="P8011" t="str">
            <v>80124101-61711102</v>
          </cell>
          <cell r="S8011" t="str">
            <v>2026A-09</v>
          </cell>
          <cell r="T8011" t="str">
            <v>Power Apps</v>
          </cell>
        </row>
        <row r="8012">
          <cell r="K8012">
            <v>142669.09</v>
          </cell>
          <cell r="P8012" t="str">
            <v>80124101-61711102</v>
          </cell>
          <cell r="S8012" t="str">
            <v>2026A-09</v>
          </cell>
          <cell r="T8012" t="str">
            <v>AWS</v>
          </cell>
        </row>
        <row r="8013">
          <cell r="K8013">
            <v>37060.019999999997</v>
          </cell>
          <cell r="P8013" t="str">
            <v>80124101-61711102</v>
          </cell>
          <cell r="S8013" t="str">
            <v>2026A-09</v>
          </cell>
          <cell r="T8013" t="str">
            <v>AI Builder</v>
          </cell>
        </row>
        <row r="8014">
          <cell r="K8014">
            <v>2964.8</v>
          </cell>
          <cell r="P8014" t="str">
            <v>80124101-61711102</v>
          </cell>
          <cell r="S8014" t="str">
            <v>2026A-09</v>
          </cell>
          <cell r="T8014" t="str">
            <v>Power Apps</v>
          </cell>
        </row>
        <row r="8015">
          <cell r="K8015">
            <v>5647.24</v>
          </cell>
          <cell r="P8015" t="str">
            <v>80124101-61711102</v>
          </cell>
          <cell r="S8015" t="str">
            <v>2026A-09</v>
          </cell>
          <cell r="T8015" t="str">
            <v>Power Apps</v>
          </cell>
        </row>
        <row r="8016">
          <cell r="K8016">
            <v>1111.8</v>
          </cell>
          <cell r="P8016" t="str">
            <v>80124101-61711102</v>
          </cell>
          <cell r="S8016" t="str">
            <v>2026A-09</v>
          </cell>
          <cell r="T8016" t="str">
            <v>Power Apps</v>
          </cell>
        </row>
        <row r="8017">
          <cell r="K8017">
            <v>1135.8399999999999</v>
          </cell>
          <cell r="P8017" t="str">
            <v>80124101-61711102</v>
          </cell>
          <cell r="S8017" t="str">
            <v>2026A-09</v>
          </cell>
          <cell r="T8017" t="str">
            <v>Github</v>
          </cell>
        </row>
        <row r="8018">
          <cell r="K8018">
            <v>595.76</v>
          </cell>
          <cell r="P8018" t="str">
            <v>80124101-61711102</v>
          </cell>
          <cell r="S8018" t="str">
            <v>2026A-09</v>
          </cell>
          <cell r="T8018" t="str">
            <v>Entra ID</v>
          </cell>
        </row>
        <row r="8019">
          <cell r="K8019">
            <v>7090.85</v>
          </cell>
          <cell r="P8019" t="str">
            <v>80124101-61711102</v>
          </cell>
          <cell r="S8019" t="str">
            <v>2026A-09</v>
          </cell>
          <cell r="T8019" t="str">
            <v>AI Claude</v>
          </cell>
        </row>
        <row r="8020">
          <cell r="K8020">
            <v>7014.28</v>
          </cell>
          <cell r="P8020" t="str">
            <v>81124101-52952103</v>
          </cell>
          <cell r="S8020" t="str">
            <v>2026A-09</v>
          </cell>
          <cell r="T8020" t="str">
            <v>AI Claude</v>
          </cell>
        </row>
        <row r="8021">
          <cell r="K8021">
            <v>7049.76</v>
          </cell>
          <cell r="P8021" t="str">
            <v>81124101-52952103</v>
          </cell>
          <cell r="S8021" t="str">
            <v>2026A-09</v>
          </cell>
          <cell r="T8021" t="str">
            <v>AI Claude</v>
          </cell>
        </row>
        <row r="8022">
          <cell r="K8022">
            <v>15284.77</v>
          </cell>
          <cell r="P8022" t="str">
            <v>81124101-52952103</v>
          </cell>
          <cell r="S8022" t="str">
            <v>2026A-09</v>
          </cell>
          <cell r="T8022" t="str">
            <v>Acrobat Pro</v>
          </cell>
        </row>
        <row r="8023">
          <cell r="K8023">
            <v>7054.34</v>
          </cell>
          <cell r="P8023" t="str">
            <v>81124101-52952103</v>
          </cell>
          <cell r="S8023" t="str">
            <v>2026A-09</v>
          </cell>
          <cell r="T8023" t="str">
            <v>AI Claude</v>
          </cell>
        </row>
        <row r="8024">
          <cell r="K8024">
            <v>15284.77</v>
          </cell>
          <cell r="P8024" t="str">
            <v>81124101-52952103</v>
          </cell>
          <cell r="S8024" t="str">
            <v>2026A-09</v>
          </cell>
          <cell r="T8024" t="str">
            <v>Acrobat Pro</v>
          </cell>
        </row>
        <row r="8025">
          <cell r="K8025">
            <v>9136.16</v>
          </cell>
          <cell r="P8025" t="str">
            <v>81124101-52952103</v>
          </cell>
          <cell r="S8025" t="str">
            <v>2026A-09</v>
          </cell>
          <cell r="T8025" t="str">
            <v>Google Workspace</v>
          </cell>
        </row>
        <row r="8026">
          <cell r="K8026">
            <v>2699.06</v>
          </cell>
          <cell r="P8026" t="str">
            <v>81124101-52952103</v>
          </cell>
          <cell r="S8026" t="str">
            <v>2026A-09</v>
          </cell>
          <cell r="T8026" t="str">
            <v>Domain</v>
          </cell>
        </row>
        <row r="8027">
          <cell r="K8027">
            <v>1418.17</v>
          </cell>
          <cell r="P8027" t="str">
            <v>81124101-52952103</v>
          </cell>
          <cell r="S8027" t="str">
            <v>2026A-09</v>
          </cell>
          <cell r="T8027" t="str">
            <v>AI Claude</v>
          </cell>
        </row>
        <row r="8028">
          <cell r="K8028">
            <v>1418.17</v>
          </cell>
          <cell r="P8028" t="str">
            <v>81124101-52952103</v>
          </cell>
          <cell r="S8028" t="str">
            <v>2026A-09</v>
          </cell>
          <cell r="T8028" t="str">
            <v>AI Claude</v>
          </cell>
        </row>
        <row r="8029">
          <cell r="K8029">
            <v>1418.17</v>
          </cell>
          <cell r="P8029" t="str">
            <v>81124101-52952103</v>
          </cell>
          <cell r="S8029" t="str">
            <v>2026A-09</v>
          </cell>
          <cell r="T8029" t="str">
            <v>AI Claude</v>
          </cell>
        </row>
        <row r="8030">
          <cell r="K8030">
            <v>15743.38</v>
          </cell>
          <cell r="P8030" t="str">
            <v>81124101-52952103</v>
          </cell>
          <cell r="S8030" t="str">
            <v>2026A-09</v>
          </cell>
          <cell r="T8030" t="str">
            <v>AI Claude</v>
          </cell>
        </row>
        <row r="8031">
          <cell r="K8031">
            <v>1714.62</v>
          </cell>
          <cell r="P8031" t="str">
            <v>81124101-52952103</v>
          </cell>
          <cell r="S8031" t="str">
            <v>2026A-09</v>
          </cell>
          <cell r="T8031" t="str">
            <v>AI Claude</v>
          </cell>
        </row>
        <row r="8032">
          <cell r="K8032">
            <v>3165.56</v>
          </cell>
          <cell r="P8032" t="str">
            <v>81124101-52952103</v>
          </cell>
          <cell r="S8032" t="str">
            <v>2026A-09</v>
          </cell>
          <cell r="T8032" t="str">
            <v>AI Chatgpt</v>
          </cell>
        </row>
        <row r="8033">
          <cell r="K8033">
            <v>-5843.57</v>
          </cell>
          <cell r="P8033" t="str">
            <v>80123102-61061104</v>
          </cell>
          <cell r="S8033" t="str">
            <v>2026A-09</v>
          </cell>
          <cell r="T8033" t="str">
            <v>R&amp;M Vehicle</v>
          </cell>
        </row>
        <row r="8034">
          <cell r="K8034">
            <v>59375</v>
          </cell>
          <cell r="P8034" t="str">
            <v>81319101-52952101</v>
          </cell>
          <cell r="S8034" t="str">
            <v>2026A-09</v>
          </cell>
          <cell r="T8034" t="str">
            <v>GH Admin License</v>
          </cell>
        </row>
        <row r="8035">
          <cell r="K8035">
            <v>1615</v>
          </cell>
          <cell r="P8035" t="str">
            <v>81122101-52121315</v>
          </cell>
          <cell r="S8035" t="str">
            <v>2026A-09</v>
          </cell>
          <cell r="T8035" t="str">
            <v>Pre-Employment Medical Exams</v>
          </cell>
        </row>
        <row r="8036">
          <cell r="K8036">
            <v>125</v>
          </cell>
          <cell r="P8036" t="str">
            <v>81122101-52121315</v>
          </cell>
          <cell r="S8036" t="str">
            <v>2026A-09</v>
          </cell>
          <cell r="T8036" t="str">
            <v>Pre-Employment Medical Exams</v>
          </cell>
        </row>
        <row r="8037">
          <cell r="K8037">
            <v>1615</v>
          </cell>
          <cell r="P8037" t="str">
            <v>90122101-52121315</v>
          </cell>
          <cell r="S8037" t="str">
            <v>2026A-09</v>
          </cell>
          <cell r="T8037" t="str">
            <v>Pre-Employment Medical Exams</v>
          </cell>
        </row>
        <row r="8038">
          <cell r="K8038">
            <v>125</v>
          </cell>
          <cell r="P8038" t="str">
            <v>90122101-52121315</v>
          </cell>
          <cell r="S8038" t="str">
            <v>2026A-09</v>
          </cell>
          <cell r="T8038" t="str">
            <v>Pre-Employment Medical Exams</v>
          </cell>
        </row>
        <row r="8039">
          <cell r="K8039">
            <v>206011.43</v>
          </cell>
          <cell r="P8039" t="str">
            <v>81111101-52041495</v>
          </cell>
          <cell r="S8039" t="str">
            <v>2026A-09</v>
          </cell>
          <cell r="T8039" t="str">
            <v>BTs</v>
          </cell>
        </row>
        <row r="8040">
          <cell r="K8040">
            <v>-27000.69</v>
          </cell>
          <cell r="P8040" t="str">
            <v>81111101-52041495</v>
          </cell>
          <cell r="S8040" t="str">
            <v>2026A-09</v>
          </cell>
          <cell r="T8040" t="str">
            <v>BTs</v>
          </cell>
        </row>
        <row r="8041">
          <cell r="K8041">
            <v>-1047.1099999999999</v>
          </cell>
          <cell r="P8041" t="str">
            <v>81111101-52041495</v>
          </cell>
          <cell r="S8041" t="str">
            <v>2026A-09</v>
          </cell>
          <cell r="T8041" t="str">
            <v>BTs</v>
          </cell>
        </row>
        <row r="8042">
          <cell r="K8042">
            <v>34249.51</v>
          </cell>
          <cell r="P8042" t="str">
            <v>81111101-52041495</v>
          </cell>
          <cell r="S8042" t="str">
            <v>2026A-09</v>
          </cell>
          <cell r="T8042" t="str">
            <v>BTs</v>
          </cell>
        </row>
        <row r="8043">
          <cell r="K8043">
            <v>25003.8</v>
          </cell>
          <cell r="P8043" t="str">
            <v>81111101-52041495</v>
          </cell>
          <cell r="S8043" t="str">
            <v>2026A-09</v>
          </cell>
          <cell r="T8043" t="str">
            <v>BTs</v>
          </cell>
        </row>
        <row r="8044">
          <cell r="K8044">
            <v>-431.1</v>
          </cell>
          <cell r="P8044" t="str">
            <v>81111101-52041495</v>
          </cell>
          <cell r="S8044" t="str">
            <v>2026A-09</v>
          </cell>
          <cell r="T8044" t="str">
            <v>BTs</v>
          </cell>
        </row>
        <row r="8045">
          <cell r="K8045">
            <v>-1149.5999999999999</v>
          </cell>
          <cell r="P8045" t="str">
            <v>81111101-52041495</v>
          </cell>
          <cell r="S8045" t="str">
            <v>2026A-09</v>
          </cell>
          <cell r="T8045" t="str">
            <v>BTs</v>
          </cell>
        </row>
        <row r="8046">
          <cell r="K8046">
            <v>17315.849999999999</v>
          </cell>
          <cell r="P8046" t="str">
            <v>81111101-52041495</v>
          </cell>
          <cell r="S8046" t="str">
            <v>2026A-09</v>
          </cell>
          <cell r="T8046" t="str">
            <v>BTs</v>
          </cell>
        </row>
        <row r="8047">
          <cell r="K8047">
            <v>3200</v>
          </cell>
          <cell r="P8047" t="str">
            <v>81319101-52111101</v>
          </cell>
          <cell r="S8047" t="str">
            <v>2026A-09</v>
          </cell>
          <cell r="T8047" t="str">
            <v>ES</v>
          </cell>
        </row>
        <row r="8048">
          <cell r="K8048">
            <v>-20000</v>
          </cell>
          <cell r="P8048" t="str">
            <v>80123101-61071005</v>
          </cell>
          <cell r="S8048" t="str">
            <v>2026A-09</v>
          </cell>
          <cell r="T8048" t="str">
            <v>Angara</v>
          </cell>
        </row>
        <row r="8049">
          <cell r="K8049">
            <v>-10000</v>
          </cell>
          <cell r="P8049" t="str">
            <v>80123101-61071005</v>
          </cell>
          <cell r="S8049" t="str">
            <v>2026A-09</v>
          </cell>
          <cell r="T8049" t="str">
            <v>Santiago</v>
          </cell>
        </row>
        <row r="8050">
          <cell r="K8050">
            <v>-10000</v>
          </cell>
          <cell r="P8050" t="str">
            <v>80123101-61071005</v>
          </cell>
          <cell r="S8050" t="str">
            <v>2026A-09</v>
          </cell>
          <cell r="T8050" t="str">
            <v>Sycip</v>
          </cell>
        </row>
        <row r="8051">
          <cell r="K8051">
            <v>-52629.14</v>
          </cell>
          <cell r="P8051" t="str">
            <v>81111101-52041401</v>
          </cell>
          <cell r="S8051" t="str">
            <v>2026A-09</v>
          </cell>
          <cell r="T8051" t="str">
            <v>Security HQ</v>
          </cell>
        </row>
        <row r="8052">
          <cell r="K8052">
            <v>-10525.05</v>
          </cell>
          <cell r="P8052" t="str">
            <v>81111101-52041401</v>
          </cell>
          <cell r="S8052" t="str">
            <v>2026A-09</v>
          </cell>
          <cell r="T8052" t="str">
            <v>Security HQ</v>
          </cell>
        </row>
        <row r="8053">
          <cell r="K8053">
            <v>-25000</v>
          </cell>
          <cell r="P8053" t="str">
            <v>81111101-52041405</v>
          </cell>
          <cell r="S8053" t="str">
            <v>2026A-09</v>
          </cell>
          <cell r="T8053" t="str">
            <v>Janitorial (SFI)</v>
          </cell>
        </row>
        <row r="8054">
          <cell r="K8054">
            <v>-205000</v>
          </cell>
          <cell r="P8054" t="str">
            <v>81111101-52041495</v>
          </cell>
          <cell r="S8054" t="str">
            <v>2026A-09</v>
          </cell>
          <cell r="T8054" t="str">
            <v>BTs</v>
          </cell>
        </row>
        <row r="8055">
          <cell r="K8055">
            <v>-146000</v>
          </cell>
          <cell r="P8055" t="str">
            <v>81111101-52041495</v>
          </cell>
          <cell r="S8055" t="str">
            <v>2026A-09</v>
          </cell>
          <cell r="T8055" t="str">
            <v>BTs</v>
          </cell>
        </row>
        <row r="8056">
          <cell r="K8056">
            <v>-25000</v>
          </cell>
          <cell r="P8056" t="str">
            <v>81111101-52041405</v>
          </cell>
          <cell r="S8056" t="str">
            <v>2026A-09</v>
          </cell>
          <cell r="T8056" t="str">
            <v>Janitorial (SFI)</v>
          </cell>
        </row>
        <row r="8057">
          <cell r="K8057">
            <v>-205000</v>
          </cell>
          <cell r="P8057" t="str">
            <v>81111101-52041495</v>
          </cell>
          <cell r="S8057" t="str">
            <v>2026A-09</v>
          </cell>
          <cell r="T8057" t="str">
            <v>BTs</v>
          </cell>
        </row>
        <row r="8058">
          <cell r="K8058">
            <v>-195000</v>
          </cell>
          <cell r="P8058" t="str">
            <v>81111101-52041405</v>
          </cell>
          <cell r="S8058" t="str">
            <v>2026A-09</v>
          </cell>
          <cell r="T8058" t="str">
            <v>Janitorial (SFI)</v>
          </cell>
        </row>
        <row r="8059">
          <cell r="K8059">
            <v>-180000</v>
          </cell>
          <cell r="P8059" t="str">
            <v>81111101-52041499</v>
          </cell>
          <cell r="S8059" t="str">
            <v>2026A-09</v>
          </cell>
          <cell r="T8059" t="str">
            <v>Admin Staff (SFI)</v>
          </cell>
        </row>
        <row r="8060">
          <cell r="K8060">
            <v>-51199.33</v>
          </cell>
          <cell r="P8060" t="str">
            <v>81111101-52041401</v>
          </cell>
          <cell r="S8060" t="str">
            <v>2026A-09</v>
          </cell>
          <cell r="T8060" t="str">
            <v>Security HQ</v>
          </cell>
        </row>
        <row r="8061">
          <cell r="K8061">
            <v>-10239.11</v>
          </cell>
          <cell r="P8061" t="str">
            <v>81111101-52041401</v>
          </cell>
          <cell r="S8061" t="str">
            <v>2026A-09</v>
          </cell>
          <cell r="T8061" t="str">
            <v>Security HQ</v>
          </cell>
        </row>
        <row r="8062">
          <cell r="K8062">
            <v>-65425.22</v>
          </cell>
          <cell r="P8062" t="str">
            <v>81111101-52041401</v>
          </cell>
          <cell r="S8062" t="str">
            <v>2026A-09</v>
          </cell>
          <cell r="T8062" t="str">
            <v>Security HQ</v>
          </cell>
        </row>
        <row r="8063">
          <cell r="K8063">
            <v>-13083.99</v>
          </cell>
          <cell r="P8063" t="str">
            <v>81111101-52041401</v>
          </cell>
          <cell r="S8063" t="str">
            <v>2026A-09</v>
          </cell>
          <cell r="T8063" t="str">
            <v>Security HQ</v>
          </cell>
        </row>
        <row r="8064">
          <cell r="K8064">
            <v>17855.45</v>
          </cell>
          <cell r="P8064" t="str">
            <v>80123102-61111201</v>
          </cell>
          <cell r="S8064" t="str">
            <v>2026A-09</v>
          </cell>
          <cell r="T8064" t="str">
            <v>Shell</v>
          </cell>
        </row>
        <row r="8065">
          <cell r="K8065">
            <v>13590.69</v>
          </cell>
          <cell r="P8065" t="str">
            <v>80123102-61111201</v>
          </cell>
          <cell r="S8065" t="str">
            <v>2026A-09</v>
          </cell>
          <cell r="T8065" t="str">
            <v>Shell</v>
          </cell>
        </row>
        <row r="8066">
          <cell r="K8066">
            <v>7346.51</v>
          </cell>
          <cell r="P8066" t="str">
            <v>80123102-61111201</v>
          </cell>
          <cell r="S8066" t="str">
            <v>2026A-09</v>
          </cell>
          <cell r="T8066" t="str">
            <v>Shell</v>
          </cell>
        </row>
        <row r="8067">
          <cell r="K8067">
            <v>3571.43</v>
          </cell>
          <cell r="P8067" t="str">
            <v>80123102-61111201</v>
          </cell>
          <cell r="S8067" t="str">
            <v>2026A-09</v>
          </cell>
          <cell r="T8067" t="str">
            <v>Shell</v>
          </cell>
        </row>
        <row r="8068">
          <cell r="K8068">
            <v>6345.51</v>
          </cell>
          <cell r="P8068" t="str">
            <v>80123102-61111201</v>
          </cell>
          <cell r="S8068" t="str">
            <v>2026A-09</v>
          </cell>
          <cell r="T8068" t="str">
            <v>Shell</v>
          </cell>
        </row>
        <row r="8069">
          <cell r="K8069">
            <v>11258.85</v>
          </cell>
          <cell r="P8069" t="str">
            <v>80123102-61111201</v>
          </cell>
          <cell r="S8069" t="str">
            <v>2026A-09</v>
          </cell>
          <cell r="T8069" t="str">
            <v>Shell</v>
          </cell>
        </row>
        <row r="8070">
          <cell r="K8070">
            <v>3876.29</v>
          </cell>
          <cell r="P8070" t="str">
            <v>80123102-61111201</v>
          </cell>
          <cell r="S8070" t="str">
            <v>2026A-09</v>
          </cell>
          <cell r="T8070" t="str">
            <v>Shell</v>
          </cell>
        </row>
        <row r="8071">
          <cell r="K8071">
            <v>2858.18</v>
          </cell>
          <cell r="P8071" t="str">
            <v>80123102-61111201</v>
          </cell>
          <cell r="S8071" t="str">
            <v>2026A-09</v>
          </cell>
          <cell r="T8071" t="str">
            <v>Shell</v>
          </cell>
        </row>
        <row r="8072">
          <cell r="K8072">
            <v>3571.43</v>
          </cell>
          <cell r="P8072" t="str">
            <v>80123102-61111201</v>
          </cell>
          <cell r="S8072" t="str">
            <v>2026A-09</v>
          </cell>
          <cell r="T8072" t="str">
            <v>Shell</v>
          </cell>
        </row>
        <row r="8073">
          <cell r="K8073">
            <v>3341.23</v>
          </cell>
          <cell r="P8073" t="str">
            <v>80123102-61111201</v>
          </cell>
          <cell r="S8073" t="str">
            <v>2026A-09</v>
          </cell>
          <cell r="T8073" t="str">
            <v>Shell</v>
          </cell>
        </row>
        <row r="8074">
          <cell r="K8074">
            <v>250</v>
          </cell>
          <cell r="P8074" t="str">
            <v>80123102-61111201</v>
          </cell>
          <cell r="S8074" t="str">
            <v>2026A-09</v>
          </cell>
          <cell r="T8074" t="str">
            <v>Shell</v>
          </cell>
        </row>
        <row r="8075">
          <cell r="K8075">
            <v>115000</v>
          </cell>
          <cell r="P8075" t="str">
            <v>80124101-61721105</v>
          </cell>
          <cell r="S8075" t="str">
            <v>2026A-09</v>
          </cell>
          <cell r="T8075" t="str">
            <v>Innove - HQ</v>
          </cell>
        </row>
        <row r="8076">
          <cell r="K8076">
            <v>41530</v>
          </cell>
          <cell r="P8076" t="str">
            <v>80124101-61721105</v>
          </cell>
          <cell r="S8076" t="str">
            <v>2026A-09</v>
          </cell>
          <cell r="T8076" t="str">
            <v>Innove - SC1</v>
          </cell>
        </row>
        <row r="8077">
          <cell r="K8077">
            <v>107053.57</v>
          </cell>
          <cell r="P8077" t="str">
            <v>81123102-52061103</v>
          </cell>
          <cell r="S8077" t="str">
            <v>2026A-09</v>
          </cell>
          <cell r="T8077" t="str">
            <v>R&amp;M - Building</v>
          </cell>
        </row>
        <row r="8078">
          <cell r="K8078">
            <v>107053.57</v>
          </cell>
          <cell r="P8078" t="str">
            <v>81123102-52061103</v>
          </cell>
          <cell r="S8078" t="str">
            <v>2026A-09</v>
          </cell>
          <cell r="T8078" t="str">
            <v>R&amp;M - Building</v>
          </cell>
        </row>
        <row r="8079">
          <cell r="K8079">
            <v>107053.57</v>
          </cell>
          <cell r="P8079" t="str">
            <v>81123102-52061103</v>
          </cell>
          <cell r="S8079" t="str">
            <v>2026A-09</v>
          </cell>
          <cell r="T8079" t="str">
            <v>R&amp;M - Building</v>
          </cell>
        </row>
        <row r="8080">
          <cell r="K8080">
            <v>107053.57</v>
          </cell>
          <cell r="P8080" t="str">
            <v>81123102-52061103</v>
          </cell>
          <cell r="S8080" t="str">
            <v>2026A-09</v>
          </cell>
          <cell r="T8080" t="str">
            <v>R&amp;M - Building</v>
          </cell>
        </row>
        <row r="8081">
          <cell r="K8081">
            <v>18679.12</v>
          </cell>
          <cell r="P8081" t="str">
            <v>81319101-52041499</v>
          </cell>
          <cell r="S8081" t="str">
            <v>2026A-09</v>
          </cell>
          <cell r="T8081" t="str">
            <v>GH</v>
          </cell>
        </row>
        <row r="8082">
          <cell r="K8082">
            <v>43498.71</v>
          </cell>
          <cell r="P8082" t="str">
            <v>81319101-52041401</v>
          </cell>
          <cell r="S8082" t="str">
            <v>2026A-09</v>
          </cell>
          <cell r="T8082" t="str">
            <v>GH</v>
          </cell>
        </row>
        <row r="8083">
          <cell r="K8083">
            <v>89197.62</v>
          </cell>
          <cell r="P8083" t="str">
            <v>81319101-52041401</v>
          </cell>
          <cell r="S8083" t="str">
            <v>2026A-09</v>
          </cell>
          <cell r="T8083" t="str">
            <v>GH</v>
          </cell>
        </row>
        <row r="8084">
          <cell r="K8084">
            <v>8699.3700000000008</v>
          </cell>
          <cell r="P8084" t="str">
            <v>81319101-52041401</v>
          </cell>
          <cell r="S8084" t="str">
            <v>2026A-09</v>
          </cell>
          <cell r="T8084" t="str">
            <v>GH</v>
          </cell>
        </row>
        <row r="8085">
          <cell r="K8085">
            <v>17838.73</v>
          </cell>
          <cell r="P8085" t="str">
            <v>81319101-52041401</v>
          </cell>
          <cell r="S8085" t="str">
            <v>2026A-09</v>
          </cell>
          <cell r="T8085" t="str">
            <v>GH</v>
          </cell>
        </row>
        <row r="8086">
          <cell r="K8086">
            <v>29393.57</v>
          </cell>
          <cell r="P8086" t="str">
            <v>81319101-52041405</v>
          </cell>
          <cell r="S8086" t="str">
            <v>2026A-09</v>
          </cell>
          <cell r="T8086" t="str">
            <v>ES</v>
          </cell>
        </row>
        <row r="8087">
          <cell r="K8087">
            <v>23051.040000000001</v>
          </cell>
          <cell r="P8087" t="str">
            <v>81319101-52041405</v>
          </cell>
          <cell r="S8087" t="str">
            <v>2026A-09</v>
          </cell>
          <cell r="T8087" t="str">
            <v>TS</v>
          </cell>
        </row>
        <row r="8088">
          <cell r="K8088">
            <v>21753.4</v>
          </cell>
          <cell r="P8088" t="str">
            <v>81319101-52041499</v>
          </cell>
          <cell r="S8088" t="str">
            <v>2026A-09</v>
          </cell>
          <cell r="T8088" t="str">
            <v>GH</v>
          </cell>
        </row>
        <row r="8089">
          <cell r="K8089">
            <v>45000</v>
          </cell>
          <cell r="P8089" t="str">
            <v>80124101-61721105</v>
          </cell>
          <cell r="S8089" t="str">
            <v>2026A-09</v>
          </cell>
          <cell r="T8089" t="str">
            <v>Fiber Internet - ES</v>
          </cell>
        </row>
        <row r="8090">
          <cell r="K8090">
            <v>50000</v>
          </cell>
          <cell r="P8090" t="str">
            <v>80124101-61721105</v>
          </cell>
          <cell r="S8090" t="str">
            <v>2026A-09</v>
          </cell>
          <cell r="T8090" t="str">
            <v>Fiber Internet - Mckinley</v>
          </cell>
        </row>
        <row r="8091">
          <cell r="K8091">
            <v>165000</v>
          </cell>
          <cell r="P8091" t="str">
            <v>80124101-61721105</v>
          </cell>
          <cell r="S8091" t="str">
            <v>2026A-09</v>
          </cell>
          <cell r="T8091" t="str">
            <v>Fiber Internet - HQ</v>
          </cell>
        </row>
        <row r="8092">
          <cell r="K8092">
            <v>53022</v>
          </cell>
          <cell r="P8092" t="str">
            <v>80124101-61721105</v>
          </cell>
          <cell r="S8092" t="str">
            <v>2026A-09</v>
          </cell>
          <cell r="T8092" t="str">
            <v>Fiber Internet - CV</v>
          </cell>
        </row>
        <row r="8093">
          <cell r="K8093">
            <v>10000</v>
          </cell>
          <cell r="P8093" t="str">
            <v>80123101-61071005</v>
          </cell>
          <cell r="S8093" t="str">
            <v>2026A-09</v>
          </cell>
          <cell r="T8093" t="str">
            <v>Santiago</v>
          </cell>
        </row>
        <row r="8094">
          <cell r="K8094">
            <v>450</v>
          </cell>
          <cell r="P8094" t="str">
            <v>80123102-61111101</v>
          </cell>
          <cell r="S8094" t="str">
            <v>2026A-09</v>
          </cell>
          <cell r="T8094" t="str">
            <v>Office Supplies - Others</v>
          </cell>
        </row>
        <row r="8095">
          <cell r="K8095">
            <v>168.75</v>
          </cell>
          <cell r="P8095" t="str">
            <v>80123102-61111101</v>
          </cell>
          <cell r="S8095" t="str">
            <v>2026A-09</v>
          </cell>
          <cell r="T8095" t="str">
            <v>Office Supplies - Others</v>
          </cell>
        </row>
        <row r="8096">
          <cell r="K8096">
            <v>71.430000000000007</v>
          </cell>
          <cell r="P8096" t="str">
            <v>80123102-61111101</v>
          </cell>
          <cell r="S8096" t="str">
            <v>2026A-09</v>
          </cell>
          <cell r="T8096" t="str">
            <v>Office Supplies - Others</v>
          </cell>
        </row>
        <row r="8097">
          <cell r="K8097">
            <v>48.21</v>
          </cell>
          <cell r="P8097" t="str">
            <v>80123102-61111101</v>
          </cell>
          <cell r="S8097" t="str">
            <v>2026A-09</v>
          </cell>
          <cell r="T8097" t="str">
            <v>Office Supplies - Others</v>
          </cell>
        </row>
        <row r="8098">
          <cell r="K8098">
            <v>124.55</v>
          </cell>
          <cell r="P8098" t="str">
            <v>80123102-61111101</v>
          </cell>
          <cell r="S8098" t="str">
            <v>2026A-09</v>
          </cell>
          <cell r="T8098" t="str">
            <v>Office Supplies - Others</v>
          </cell>
        </row>
        <row r="8099">
          <cell r="K8099">
            <v>71.430000000000007</v>
          </cell>
          <cell r="P8099" t="str">
            <v>80123102-61111101</v>
          </cell>
          <cell r="S8099" t="str">
            <v>2026A-09</v>
          </cell>
          <cell r="T8099" t="str">
            <v>Office Supplies - Others</v>
          </cell>
        </row>
        <row r="8100">
          <cell r="K8100">
            <v>176.79</v>
          </cell>
          <cell r="P8100" t="str">
            <v>80123102-61111101</v>
          </cell>
          <cell r="S8100" t="str">
            <v>2026A-09</v>
          </cell>
          <cell r="T8100" t="str">
            <v>Office Supplies - Others</v>
          </cell>
        </row>
        <row r="8101">
          <cell r="K8101">
            <v>2155.7600000000002</v>
          </cell>
          <cell r="P8101" t="str">
            <v>81319101-52041499</v>
          </cell>
          <cell r="S8101" t="str">
            <v>2026A-09</v>
          </cell>
          <cell r="T8101" t="str">
            <v>GH</v>
          </cell>
        </row>
        <row r="8102">
          <cell r="K8102">
            <v>59259.73</v>
          </cell>
          <cell r="P8102" t="str">
            <v>81319101-52041499</v>
          </cell>
          <cell r="S8102" t="str">
            <v>2026A-09</v>
          </cell>
          <cell r="T8102" t="str">
            <v>GH</v>
          </cell>
        </row>
        <row r="8103">
          <cell r="K8103">
            <v>2979.61</v>
          </cell>
          <cell r="P8103" t="str">
            <v>81319101-52041499</v>
          </cell>
          <cell r="S8103" t="str">
            <v>2026A-09</v>
          </cell>
          <cell r="T8103" t="str">
            <v>ES</v>
          </cell>
        </row>
        <row r="8104">
          <cell r="K8104">
            <v>29629.87</v>
          </cell>
          <cell r="P8104" t="str">
            <v>81319101-52041499</v>
          </cell>
          <cell r="S8104" t="str">
            <v>2026A-09</v>
          </cell>
          <cell r="T8104" t="str">
            <v>ES</v>
          </cell>
        </row>
        <row r="8105">
          <cell r="K8105">
            <v>-3076.95</v>
          </cell>
          <cell r="P8105" t="str">
            <v>81319101-52041499</v>
          </cell>
          <cell r="S8105" t="str">
            <v>2026A-09</v>
          </cell>
          <cell r="T8105" t="str">
            <v>TS</v>
          </cell>
        </row>
        <row r="8106">
          <cell r="K8106">
            <v>25071.43</v>
          </cell>
          <cell r="P8106" t="str">
            <v>81319101-52041499</v>
          </cell>
          <cell r="S8106" t="str">
            <v>2026A-09</v>
          </cell>
          <cell r="T8106" t="str">
            <v>TS</v>
          </cell>
        </row>
        <row r="8107">
          <cell r="K8107">
            <v>12000</v>
          </cell>
          <cell r="P8107" t="str">
            <v>90122101-52071104</v>
          </cell>
          <cell r="S8107" t="str">
            <v>2026A-09</v>
          </cell>
          <cell r="T8107" t="str">
            <v>PSPI</v>
          </cell>
        </row>
        <row r="8108">
          <cell r="K8108">
            <v>159333</v>
          </cell>
          <cell r="P8108" t="str">
            <v>90111101-52121104</v>
          </cell>
          <cell r="S8108" t="str">
            <v>2026A-09</v>
          </cell>
          <cell r="T8108" t="str">
            <v>Guaranteed Bonus</v>
          </cell>
        </row>
        <row r="8109">
          <cell r="K8109">
            <v>190442.75</v>
          </cell>
          <cell r="P8109" t="str">
            <v>90111101-52121106</v>
          </cell>
          <cell r="S8109" t="str">
            <v>2026A-09</v>
          </cell>
          <cell r="T8109" t="str">
            <v>SL conversion</v>
          </cell>
        </row>
        <row r="8110">
          <cell r="K8110">
            <v>190442.75</v>
          </cell>
          <cell r="P8110" t="str">
            <v>90111101-52121106</v>
          </cell>
          <cell r="S8110" t="str">
            <v>2026A-09</v>
          </cell>
          <cell r="T8110" t="str">
            <v>SL conversion</v>
          </cell>
        </row>
        <row r="8111">
          <cell r="K8111">
            <v>2253.88</v>
          </cell>
          <cell r="P8111" t="str">
            <v>80111204-61091101</v>
          </cell>
          <cell r="S8111" t="str">
            <v>2026A-09</v>
          </cell>
          <cell r="T8111" t="str">
            <v>Meetings</v>
          </cell>
        </row>
        <row r="8112">
          <cell r="K8112">
            <v>2799.11</v>
          </cell>
          <cell r="P8112" t="str">
            <v>81123102-52111102</v>
          </cell>
          <cell r="S8112" t="str">
            <v>2026A-09</v>
          </cell>
          <cell r="T8112" t="str">
            <v>LVA</v>
          </cell>
        </row>
        <row r="8113">
          <cell r="K8113">
            <v>792</v>
          </cell>
          <cell r="P8113" t="str">
            <v>81123102-52111101</v>
          </cell>
          <cell r="S8113" t="str">
            <v>2026A-09</v>
          </cell>
          <cell r="T8113" t="str">
            <v>Office Supplies - Others</v>
          </cell>
        </row>
        <row r="8114">
          <cell r="K8114">
            <v>21447.200000000001</v>
          </cell>
          <cell r="P8114" t="str">
            <v>81319101-52041401</v>
          </cell>
          <cell r="S8114" t="str">
            <v>2026A-09</v>
          </cell>
          <cell r="T8114" t="str">
            <v>CV</v>
          </cell>
        </row>
        <row r="8115">
          <cell r="K8115">
            <v>4289.0200000000004</v>
          </cell>
          <cell r="P8115" t="str">
            <v>81319101-52041401</v>
          </cell>
          <cell r="S8115" t="str">
            <v>2026A-09</v>
          </cell>
          <cell r="T8115" t="str">
            <v>CV</v>
          </cell>
        </row>
        <row r="8116">
          <cell r="K8116">
            <v>21447.200000000001</v>
          </cell>
          <cell r="P8116" t="str">
            <v>81319101-52041401</v>
          </cell>
          <cell r="S8116" t="str">
            <v>2026A-09</v>
          </cell>
          <cell r="T8116" t="str">
            <v>TS</v>
          </cell>
        </row>
        <row r="8117">
          <cell r="K8117">
            <v>4289.0200000000004</v>
          </cell>
          <cell r="P8117" t="str">
            <v>81319101-52041401</v>
          </cell>
          <cell r="S8117" t="str">
            <v>2026A-09</v>
          </cell>
          <cell r="T8117" t="str">
            <v>TS</v>
          </cell>
        </row>
        <row r="8118">
          <cell r="K8118">
            <v>65425.22</v>
          </cell>
          <cell r="P8118" t="str">
            <v>81123102-52041401</v>
          </cell>
          <cell r="S8118" t="str">
            <v>2026A-09</v>
          </cell>
          <cell r="T8118" t="str">
            <v>Security HQ</v>
          </cell>
        </row>
        <row r="8119">
          <cell r="K8119">
            <v>13083.99</v>
          </cell>
          <cell r="P8119" t="str">
            <v>81123102-52041401</v>
          </cell>
          <cell r="S8119" t="str">
            <v>2026A-09</v>
          </cell>
          <cell r="T8119" t="str">
            <v>Security HQ</v>
          </cell>
        </row>
        <row r="8120">
          <cell r="K8120">
            <v>-4486.6099999999997</v>
          </cell>
          <cell r="P8120" t="str">
            <v>81123102-52061103</v>
          </cell>
          <cell r="S8120" t="str">
            <v>2026A-09</v>
          </cell>
          <cell r="T8120" t="str">
            <v>R&amp;M - Building</v>
          </cell>
        </row>
        <row r="8121">
          <cell r="K8121">
            <v>747.77</v>
          </cell>
          <cell r="P8121" t="str">
            <v>81123102-52061103</v>
          </cell>
          <cell r="S8121" t="str">
            <v>2026A-09</v>
          </cell>
          <cell r="T8121" t="str">
            <v>R&amp;M - Building</v>
          </cell>
        </row>
        <row r="8122">
          <cell r="K8122">
            <v>747.77</v>
          </cell>
          <cell r="P8122" t="str">
            <v>81123102-52061103</v>
          </cell>
          <cell r="S8122" t="str">
            <v>2026A-09</v>
          </cell>
          <cell r="T8122" t="str">
            <v>R&amp;M - Building</v>
          </cell>
        </row>
        <row r="8123">
          <cell r="K8123">
            <v>534.82000000000005</v>
          </cell>
          <cell r="P8123" t="str">
            <v>81123102-52951101</v>
          </cell>
          <cell r="S8123" t="str">
            <v>2026A-09</v>
          </cell>
          <cell r="T8123" t="str">
            <v>Mobile Phones</v>
          </cell>
        </row>
        <row r="8124">
          <cell r="K8124">
            <v>891.96</v>
          </cell>
          <cell r="P8124" t="str">
            <v>81123102-52951101</v>
          </cell>
          <cell r="S8124" t="str">
            <v>2026A-09</v>
          </cell>
          <cell r="T8124" t="str">
            <v>Mobile Phones</v>
          </cell>
        </row>
        <row r="8125">
          <cell r="K8125">
            <v>534.82000000000005</v>
          </cell>
          <cell r="P8125" t="str">
            <v>81123102-52951101</v>
          </cell>
          <cell r="S8125" t="str">
            <v>2026A-09</v>
          </cell>
          <cell r="T8125" t="str">
            <v>Mobile Phones</v>
          </cell>
        </row>
        <row r="8126">
          <cell r="K8126">
            <v>737.88</v>
          </cell>
          <cell r="P8126" t="str">
            <v>81123102-52951101</v>
          </cell>
          <cell r="S8126" t="str">
            <v>2026A-09</v>
          </cell>
          <cell r="T8126" t="str">
            <v>Mobile Phones</v>
          </cell>
        </row>
        <row r="8127">
          <cell r="K8127">
            <v>713.39</v>
          </cell>
          <cell r="P8127" t="str">
            <v>81123102-52951101</v>
          </cell>
          <cell r="S8127" t="str">
            <v>2026A-09</v>
          </cell>
          <cell r="T8127" t="str">
            <v>Mobile Phones</v>
          </cell>
        </row>
        <row r="8128">
          <cell r="K8128">
            <v>534.82000000000005</v>
          </cell>
          <cell r="P8128" t="str">
            <v>81123102-52951101</v>
          </cell>
          <cell r="S8128" t="str">
            <v>2026A-09</v>
          </cell>
          <cell r="T8128" t="str">
            <v>Mobile Phones</v>
          </cell>
        </row>
        <row r="8129">
          <cell r="K8129">
            <v>713.39</v>
          </cell>
          <cell r="P8129" t="str">
            <v>81123102-52951101</v>
          </cell>
          <cell r="S8129" t="str">
            <v>2026A-09</v>
          </cell>
          <cell r="T8129" t="str">
            <v>Mobile Phones</v>
          </cell>
        </row>
        <row r="8130">
          <cell r="K8130">
            <v>1425</v>
          </cell>
          <cell r="P8130" t="str">
            <v>81123102-52951101</v>
          </cell>
          <cell r="S8130" t="str">
            <v>2026A-09</v>
          </cell>
          <cell r="T8130" t="str">
            <v>Mobile Phones</v>
          </cell>
        </row>
        <row r="8131">
          <cell r="K8131">
            <v>713.39</v>
          </cell>
          <cell r="P8131" t="str">
            <v>81123102-52951101</v>
          </cell>
          <cell r="S8131" t="str">
            <v>2026A-09</v>
          </cell>
          <cell r="T8131" t="str">
            <v>Mobile Phones</v>
          </cell>
        </row>
        <row r="8132">
          <cell r="K8132">
            <v>713.39</v>
          </cell>
          <cell r="P8132" t="str">
            <v>81123102-52951101</v>
          </cell>
          <cell r="S8132" t="str">
            <v>2026A-09</v>
          </cell>
          <cell r="T8132" t="str">
            <v>Mobile Phones</v>
          </cell>
        </row>
        <row r="8133">
          <cell r="K8133">
            <v>1159.82</v>
          </cell>
          <cell r="P8133" t="str">
            <v>81123102-52951101</v>
          </cell>
          <cell r="S8133" t="str">
            <v>2026A-09</v>
          </cell>
          <cell r="T8133" t="str">
            <v>Mobile Phones</v>
          </cell>
        </row>
        <row r="8134">
          <cell r="K8134">
            <v>1159.82</v>
          </cell>
          <cell r="P8134" t="str">
            <v>81123102-52951101</v>
          </cell>
          <cell r="S8134" t="str">
            <v>2026A-09</v>
          </cell>
          <cell r="T8134" t="str">
            <v>Mobile Phones</v>
          </cell>
        </row>
        <row r="8135">
          <cell r="K8135">
            <v>891.96</v>
          </cell>
          <cell r="P8135" t="str">
            <v>81123102-52951101</v>
          </cell>
          <cell r="S8135" t="str">
            <v>2026A-09</v>
          </cell>
          <cell r="T8135" t="str">
            <v>Mobile Phones</v>
          </cell>
        </row>
        <row r="8136">
          <cell r="K8136">
            <v>713.39</v>
          </cell>
          <cell r="P8136" t="str">
            <v>81123102-52951101</v>
          </cell>
          <cell r="S8136" t="str">
            <v>2026A-09</v>
          </cell>
          <cell r="T8136" t="str">
            <v>Mobile Phones</v>
          </cell>
        </row>
        <row r="8137">
          <cell r="K8137">
            <v>2.7</v>
          </cell>
          <cell r="P8137" t="str">
            <v>81123102-52951101</v>
          </cell>
          <cell r="S8137" t="str">
            <v>2026A-09</v>
          </cell>
          <cell r="T8137" t="str">
            <v>Mobile Phones</v>
          </cell>
        </row>
        <row r="8138">
          <cell r="K8138">
            <v>891.96</v>
          </cell>
          <cell r="P8138" t="str">
            <v>81123102-52951101</v>
          </cell>
          <cell r="S8138" t="str">
            <v>2026A-09</v>
          </cell>
          <cell r="T8138" t="str">
            <v>Mobile Phones</v>
          </cell>
        </row>
        <row r="8139">
          <cell r="K8139">
            <v>891.96</v>
          </cell>
          <cell r="P8139" t="str">
            <v>81123102-52951101</v>
          </cell>
          <cell r="S8139" t="str">
            <v>2026A-09</v>
          </cell>
          <cell r="T8139" t="str">
            <v>Mobile Phones</v>
          </cell>
        </row>
        <row r="8140">
          <cell r="K8140">
            <v>1159.82</v>
          </cell>
          <cell r="P8140" t="str">
            <v>81123102-52951101</v>
          </cell>
          <cell r="S8140" t="str">
            <v>2026A-09</v>
          </cell>
          <cell r="T8140" t="str">
            <v>Mobile Phones</v>
          </cell>
        </row>
        <row r="8141">
          <cell r="K8141">
            <v>713.39</v>
          </cell>
          <cell r="P8141" t="str">
            <v>81123102-52951101</v>
          </cell>
          <cell r="S8141" t="str">
            <v>2026A-09</v>
          </cell>
          <cell r="T8141" t="str">
            <v>Mobile Phones</v>
          </cell>
        </row>
        <row r="8142">
          <cell r="K8142">
            <v>713.39</v>
          </cell>
          <cell r="P8142" t="str">
            <v>81123102-52951101</v>
          </cell>
          <cell r="S8142" t="str">
            <v>2026A-09</v>
          </cell>
          <cell r="T8142" t="str">
            <v>Mobile Phones</v>
          </cell>
        </row>
        <row r="8143">
          <cell r="K8143">
            <v>713.39</v>
          </cell>
          <cell r="P8143" t="str">
            <v>81123102-52951101</v>
          </cell>
          <cell r="S8143" t="str">
            <v>2026A-09</v>
          </cell>
          <cell r="T8143" t="str">
            <v>Mobile Phones</v>
          </cell>
        </row>
        <row r="8144">
          <cell r="K8144">
            <v>534.82000000000005</v>
          </cell>
          <cell r="P8144" t="str">
            <v>81123102-52951101</v>
          </cell>
          <cell r="S8144" t="str">
            <v>2026A-09</v>
          </cell>
          <cell r="T8144" t="str">
            <v>Mobile Phones</v>
          </cell>
        </row>
        <row r="8145">
          <cell r="K8145">
            <v>713.39</v>
          </cell>
          <cell r="P8145" t="str">
            <v>81123102-52951101</v>
          </cell>
          <cell r="S8145" t="str">
            <v>2026A-09</v>
          </cell>
          <cell r="T8145" t="str">
            <v>Mobile Phones</v>
          </cell>
        </row>
        <row r="8146">
          <cell r="K8146">
            <v>534.82000000000005</v>
          </cell>
          <cell r="P8146" t="str">
            <v>81123102-52951101</v>
          </cell>
          <cell r="S8146" t="str">
            <v>2026A-09</v>
          </cell>
          <cell r="T8146" t="str">
            <v>Mobile Phones</v>
          </cell>
        </row>
        <row r="8147">
          <cell r="K8147">
            <v>1159.82</v>
          </cell>
          <cell r="P8147" t="str">
            <v>81123102-52951101</v>
          </cell>
          <cell r="S8147" t="str">
            <v>2026A-09</v>
          </cell>
          <cell r="T8147" t="str">
            <v>Mobile Phones</v>
          </cell>
        </row>
        <row r="8148">
          <cell r="K8148">
            <v>1159.82</v>
          </cell>
          <cell r="P8148" t="str">
            <v>81123102-52951101</v>
          </cell>
          <cell r="S8148" t="str">
            <v>2026A-09</v>
          </cell>
          <cell r="T8148" t="str">
            <v>Mobile Phones</v>
          </cell>
        </row>
        <row r="8149">
          <cell r="K8149">
            <v>713.39</v>
          </cell>
          <cell r="P8149" t="str">
            <v>81123102-52951101</v>
          </cell>
          <cell r="S8149" t="str">
            <v>2026A-09</v>
          </cell>
          <cell r="T8149" t="str">
            <v>Mobile Phones</v>
          </cell>
        </row>
        <row r="8150">
          <cell r="K8150">
            <v>534.82000000000005</v>
          </cell>
          <cell r="P8150" t="str">
            <v>81123102-52951101</v>
          </cell>
          <cell r="S8150" t="str">
            <v>2026A-09</v>
          </cell>
          <cell r="T8150" t="str">
            <v>Mobile Phones</v>
          </cell>
        </row>
        <row r="8151">
          <cell r="K8151">
            <v>534.82000000000005</v>
          </cell>
          <cell r="P8151" t="str">
            <v>81123102-52951101</v>
          </cell>
          <cell r="S8151" t="str">
            <v>2026A-09</v>
          </cell>
          <cell r="T8151" t="str">
            <v>Mobile Phones</v>
          </cell>
        </row>
        <row r="8152">
          <cell r="K8152">
            <v>1606.25</v>
          </cell>
          <cell r="P8152" t="str">
            <v>81123102-52951101</v>
          </cell>
          <cell r="S8152" t="str">
            <v>2026A-09</v>
          </cell>
          <cell r="T8152" t="str">
            <v>Mobile Phones</v>
          </cell>
        </row>
        <row r="8153">
          <cell r="K8153">
            <v>534.82000000000005</v>
          </cell>
          <cell r="P8153" t="str">
            <v>81123102-52951101</v>
          </cell>
          <cell r="S8153" t="str">
            <v>2026A-09</v>
          </cell>
          <cell r="T8153" t="str">
            <v>Mobile Phones</v>
          </cell>
        </row>
        <row r="8154">
          <cell r="K8154">
            <v>891.96</v>
          </cell>
          <cell r="P8154" t="str">
            <v>81123102-52951101</v>
          </cell>
          <cell r="S8154" t="str">
            <v>2026A-09</v>
          </cell>
          <cell r="T8154" t="str">
            <v>Mobile Phones</v>
          </cell>
        </row>
        <row r="8155">
          <cell r="K8155">
            <v>572.02</v>
          </cell>
          <cell r="P8155" t="str">
            <v>81123102-52951101</v>
          </cell>
          <cell r="S8155" t="str">
            <v>2026A-09</v>
          </cell>
          <cell r="T8155" t="str">
            <v>Mobile Phones</v>
          </cell>
        </row>
        <row r="8156">
          <cell r="K8156">
            <v>2051.7800000000002</v>
          </cell>
          <cell r="P8156" t="str">
            <v>81123102-52951101</v>
          </cell>
          <cell r="S8156" t="str">
            <v>2026A-09</v>
          </cell>
          <cell r="T8156" t="str">
            <v>Mobile Phones</v>
          </cell>
        </row>
        <row r="8157">
          <cell r="K8157">
            <v>891.96</v>
          </cell>
          <cell r="P8157" t="str">
            <v>81123102-52951101</v>
          </cell>
          <cell r="S8157" t="str">
            <v>2026A-09</v>
          </cell>
          <cell r="T8157" t="str">
            <v>Mobile Phones</v>
          </cell>
        </row>
        <row r="8158">
          <cell r="K8158">
            <v>1338.39</v>
          </cell>
          <cell r="P8158" t="str">
            <v>81123102-52951101</v>
          </cell>
          <cell r="S8158" t="str">
            <v>2026A-09</v>
          </cell>
          <cell r="T8158" t="str">
            <v>Mobile Phones</v>
          </cell>
        </row>
        <row r="8159">
          <cell r="K8159">
            <v>713.39</v>
          </cell>
          <cell r="P8159" t="str">
            <v>81123102-52951101</v>
          </cell>
          <cell r="S8159" t="str">
            <v>2026A-09</v>
          </cell>
          <cell r="T8159" t="str">
            <v>Mobile Phones</v>
          </cell>
        </row>
        <row r="8160">
          <cell r="K8160">
            <v>713.39</v>
          </cell>
          <cell r="P8160" t="str">
            <v>81123102-52951101</v>
          </cell>
          <cell r="S8160" t="str">
            <v>2026A-09</v>
          </cell>
          <cell r="T8160" t="str">
            <v>Mobile Phones</v>
          </cell>
        </row>
        <row r="8161">
          <cell r="K8161">
            <v>572.02</v>
          </cell>
          <cell r="P8161" t="str">
            <v>81123102-52951101</v>
          </cell>
          <cell r="S8161" t="str">
            <v>2026A-09</v>
          </cell>
          <cell r="T8161" t="str">
            <v>Mobile Phones</v>
          </cell>
        </row>
        <row r="8162">
          <cell r="K8162">
            <v>713.39</v>
          </cell>
          <cell r="P8162" t="str">
            <v>81123102-52951101</v>
          </cell>
          <cell r="S8162" t="str">
            <v>2026A-09</v>
          </cell>
          <cell r="T8162" t="str">
            <v>Mobile Phones</v>
          </cell>
        </row>
        <row r="8163">
          <cell r="K8163">
            <v>713.39</v>
          </cell>
          <cell r="P8163" t="str">
            <v>81123102-52951101</v>
          </cell>
          <cell r="S8163" t="str">
            <v>2026A-09</v>
          </cell>
          <cell r="T8163" t="str">
            <v>Mobile Phones</v>
          </cell>
        </row>
        <row r="8164">
          <cell r="K8164">
            <v>713.39</v>
          </cell>
          <cell r="P8164" t="str">
            <v>81123102-52951101</v>
          </cell>
          <cell r="S8164" t="str">
            <v>2026A-09</v>
          </cell>
          <cell r="T8164" t="str">
            <v>Mobile Phones</v>
          </cell>
        </row>
        <row r="8165">
          <cell r="K8165">
            <v>818.75</v>
          </cell>
          <cell r="P8165" t="str">
            <v>81123102-52951101</v>
          </cell>
          <cell r="S8165" t="str">
            <v>2026A-09</v>
          </cell>
          <cell r="T8165" t="str">
            <v>Mobile Phones</v>
          </cell>
        </row>
        <row r="8166">
          <cell r="K8166">
            <v>861.07</v>
          </cell>
          <cell r="P8166" t="str">
            <v>81123102-52951101</v>
          </cell>
          <cell r="S8166" t="str">
            <v>2026A-09</v>
          </cell>
          <cell r="T8166" t="str">
            <v>Mobile Phones</v>
          </cell>
        </row>
        <row r="8167">
          <cell r="K8167">
            <v>713.39</v>
          </cell>
          <cell r="P8167" t="str">
            <v>81123102-52951101</v>
          </cell>
          <cell r="S8167" t="str">
            <v>2026A-09</v>
          </cell>
          <cell r="T8167" t="str">
            <v>Mobile Phones</v>
          </cell>
        </row>
        <row r="8168">
          <cell r="K8168">
            <v>891.96</v>
          </cell>
          <cell r="P8168" t="str">
            <v>81123102-52951101</v>
          </cell>
          <cell r="S8168" t="str">
            <v>2026A-09</v>
          </cell>
          <cell r="T8168" t="str">
            <v>Mobile Phones</v>
          </cell>
        </row>
        <row r="8169">
          <cell r="K8169">
            <v>713.39</v>
          </cell>
          <cell r="P8169" t="str">
            <v>81123102-52951101</v>
          </cell>
          <cell r="S8169" t="str">
            <v>2026A-09</v>
          </cell>
          <cell r="T8169" t="str">
            <v>Mobile Phones</v>
          </cell>
        </row>
        <row r="8170">
          <cell r="K8170">
            <v>1872.22</v>
          </cell>
          <cell r="P8170" t="str">
            <v>81123102-52951101</v>
          </cell>
          <cell r="S8170" t="str">
            <v>2026A-09</v>
          </cell>
          <cell r="T8170" t="str">
            <v>Mobile Phones</v>
          </cell>
        </row>
        <row r="8171">
          <cell r="K8171">
            <v>891.96</v>
          </cell>
          <cell r="P8171" t="str">
            <v>81123102-52951101</v>
          </cell>
          <cell r="S8171" t="str">
            <v>2026A-09</v>
          </cell>
          <cell r="T8171" t="str">
            <v>Mobile Phones</v>
          </cell>
        </row>
        <row r="8172">
          <cell r="K8172">
            <v>713.39</v>
          </cell>
          <cell r="P8172" t="str">
            <v>81123102-52951101</v>
          </cell>
          <cell r="S8172" t="str">
            <v>2026A-09</v>
          </cell>
          <cell r="T8172" t="str">
            <v>Mobile Phones</v>
          </cell>
        </row>
        <row r="8173">
          <cell r="K8173">
            <v>713.39</v>
          </cell>
          <cell r="P8173" t="str">
            <v>81123102-52951101</v>
          </cell>
          <cell r="S8173" t="str">
            <v>2026A-09</v>
          </cell>
          <cell r="T8173" t="str">
            <v>Mobile Phones</v>
          </cell>
        </row>
        <row r="8174">
          <cell r="K8174">
            <v>891.96</v>
          </cell>
          <cell r="P8174" t="str">
            <v>81123102-52951101</v>
          </cell>
          <cell r="S8174" t="str">
            <v>2026A-09</v>
          </cell>
          <cell r="T8174" t="str">
            <v>Mobile Phones</v>
          </cell>
        </row>
        <row r="8175">
          <cell r="K8175">
            <v>572.02</v>
          </cell>
          <cell r="P8175" t="str">
            <v>81123102-52951101</v>
          </cell>
          <cell r="S8175" t="str">
            <v>2026A-09</v>
          </cell>
          <cell r="T8175" t="str">
            <v>Mobile Phones</v>
          </cell>
        </row>
        <row r="8176">
          <cell r="K8176">
            <v>1338.39</v>
          </cell>
          <cell r="P8176" t="str">
            <v>81123102-52951101</v>
          </cell>
          <cell r="S8176" t="str">
            <v>2026A-09</v>
          </cell>
          <cell r="T8176" t="str">
            <v>Mobile Phones</v>
          </cell>
        </row>
        <row r="8177">
          <cell r="K8177">
            <v>534.82000000000005</v>
          </cell>
          <cell r="P8177" t="str">
            <v>81123102-52951101</v>
          </cell>
          <cell r="S8177" t="str">
            <v>2026A-09</v>
          </cell>
          <cell r="T8177" t="str">
            <v>Mobile Phones</v>
          </cell>
        </row>
        <row r="8178">
          <cell r="K8178">
            <v>713.39</v>
          </cell>
          <cell r="P8178" t="str">
            <v>81123102-52951101</v>
          </cell>
          <cell r="S8178" t="str">
            <v>2026A-09</v>
          </cell>
          <cell r="T8178" t="str">
            <v>Mobile Phones</v>
          </cell>
        </row>
        <row r="8179">
          <cell r="K8179">
            <v>690.37</v>
          </cell>
          <cell r="P8179" t="str">
            <v>81123102-52951101</v>
          </cell>
          <cell r="S8179" t="str">
            <v>2026A-09</v>
          </cell>
          <cell r="T8179" t="str">
            <v>Mobile Phones</v>
          </cell>
        </row>
        <row r="8180">
          <cell r="K8180">
            <v>534.82000000000005</v>
          </cell>
          <cell r="P8180" t="str">
            <v>81123102-52951101</v>
          </cell>
          <cell r="S8180" t="str">
            <v>2026A-09</v>
          </cell>
          <cell r="T8180" t="str">
            <v>Mobile Phones</v>
          </cell>
        </row>
        <row r="8181">
          <cell r="K8181">
            <v>713.39</v>
          </cell>
          <cell r="P8181" t="str">
            <v>81123102-52951101</v>
          </cell>
          <cell r="S8181" t="str">
            <v>2026A-09</v>
          </cell>
          <cell r="T8181" t="str">
            <v>Mobile Phones</v>
          </cell>
        </row>
        <row r="8182">
          <cell r="K8182">
            <v>891.96</v>
          </cell>
          <cell r="P8182" t="str">
            <v>81123102-52951101</v>
          </cell>
          <cell r="S8182" t="str">
            <v>2026A-09</v>
          </cell>
          <cell r="T8182" t="str">
            <v>Mobile Phones</v>
          </cell>
        </row>
        <row r="8183">
          <cell r="K8183">
            <v>572.02</v>
          </cell>
          <cell r="P8183" t="str">
            <v>81123102-52951101</v>
          </cell>
          <cell r="S8183" t="str">
            <v>2026A-09</v>
          </cell>
          <cell r="T8183" t="str">
            <v>Mobile Phones</v>
          </cell>
        </row>
        <row r="8184">
          <cell r="K8184">
            <v>534.82000000000005</v>
          </cell>
          <cell r="P8184" t="str">
            <v>81123102-52951101</v>
          </cell>
          <cell r="S8184" t="str">
            <v>2026A-09</v>
          </cell>
          <cell r="T8184" t="str">
            <v>Mobile Phones</v>
          </cell>
        </row>
        <row r="8185">
          <cell r="K8185">
            <v>891.96</v>
          </cell>
          <cell r="P8185" t="str">
            <v>81123102-52951101</v>
          </cell>
          <cell r="S8185" t="str">
            <v>2026A-09</v>
          </cell>
          <cell r="T8185" t="str">
            <v>Mobile Phones</v>
          </cell>
        </row>
        <row r="8186">
          <cell r="K8186">
            <v>2227.7399999999998</v>
          </cell>
          <cell r="P8186" t="str">
            <v>81123102-52951101</v>
          </cell>
          <cell r="S8186" t="str">
            <v>2026A-09</v>
          </cell>
          <cell r="T8186" t="str">
            <v>Mobile Phones</v>
          </cell>
        </row>
        <row r="8187">
          <cell r="K8187">
            <v>1159.82</v>
          </cell>
          <cell r="P8187" t="str">
            <v>81123102-52951101</v>
          </cell>
          <cell r="S8187" t="str">
            <v>2026A-09</v>
          </cell>
          <cell r="T8187" t="str">
            <v>Mobile Phones</v>
          </cell>
        </row>
        <row r="8188">
          <cell r="K8188">
            <v>1159.82</v>
          </cell>
          <cell r="P8188" t="str">
            <v>81123102-52951101</v>
          </cell>
          <cell r="S8188" t="str">
            <v>2026A-09</v>
          </cell>
          <cell r="T8188" t="str">
            <v>Mobile Phones</v>
          </cell>
        </row>
        <row r="8189">
          <cell r="K8189">
            <v>713.39</v>
          </cell>
          <cell r="P8189" t="str">
            <v>81123102-52951101</v>
          </cell>
          <cell r="S8189" t="str">
            <v>2026A-09</v>
          </cell>
          <cell r="T8189" t="str">
            <v>Mobile Phones</v>
          </cell>
        </row>
        <row r="8190">
          <cell r="K8190">
            <v>713.39</v>
          </cell>
          <cell r="P8190" t="str">
            <v>81123102-52951101</v>
          </cell>
          <cell r="S8190" t="str">
            <v>2026A-09</v>
          </cell>
          <cell r="T8190" t="str">
            <v>Mobile Phones</v>
          </cell>
        </row>
        <row r="8191">
          <cell r="K8191">
            <v>891.96</v>
          </cell>
          <cell r="P8191" t="str">
            <v>81123102-52951101</v>
          </cell>
          <cell r="S8191" t="str">
            <v>2026A-09</v>
          </cell>
          <cell r="T8191" t="str">
            <v>Mobile Phones</v>
          </cell>
        </row>
        <row r="8192">
          <cell r="K8192">
            <v>713.39</v>
          </cell>
          <cell r="P8192" t="str">
            <v>81123102-52951101</v>
          </cell>
          <cell r="S8192" t="str">
            <v>2026A-09</v>
          </cell>
          <cell r="T8192" t="str">
            <v>Mobile Phones</v>
          </cell>
        </row>
        <row r="8193">
          <cell r="K8193">
            <v>1159.82</v>
          </cell>
          <cell r="P8193" t="str">
            <v>81123102-52951101</v>
          </cell>
          <cell r="S8193" t="str">
            <v>2026A-09</v>
          </cell>
          <cell r="T8193" t="str">
            <v>Mobile Phones</v>
          </cell>
        </row>
        <row r="8194">
          <cell r="K8194">
            <v>891.96</v>
          </cell>
          <cell r="P8194" t="str">
            <v>81123102-52951101</v>
          </cell>
          <cell r="S8194" t="str">
            <v>2026A-09</v>
          </cell>
          <cell r="T8194" t="str">
            <v>Mobile Phones</v>
          </cell>
        </row>
        <row r="8195">
          <cell r="K8195">
            <v>534.82000000000005</v>
          </cell>
          <cell r="P8195" t="str">
            <v>81123102-52951101</v>
          </cell>
          <cell r="S8195" t="str">
            <v>2026A-09</v>
          </cell>
          <cell r="T8195" t="str">
            <v>Mobile Phones</v>
          </cell>
        </row>
        <row r="8196">
          <cell r="K8196">
            <v>713.39</v>
          </cell>
          <cell r="P8196" t="str">
            <v>81123102-52951101</v>
          </cell>
          <cell r="S8196" t="str">
            <v>2026A-09</v>
          </cell>
          <cell r="T8196" t="str">
            <v>Mobile Phones</v>
          </cell>
        </row>
        <row r="8197">
          <cell r="K8197">
            <v>534.82000000000005</v>
          </cell>
          <cell r="P8197" t="str">
            <v>81123102-52951101</v>
          </cell>
          <cell r="S8197" t="str">
            <v>2026A-09</v>
          </cell>
          <cell r="T8197" t="str">
            <v>Mobile Phones</v>
          </cell>
        </row>
        <row r="8198">
          <cell r="K8198">
            <v>713.39</v>
          </cell>
          <cell r="P8198" t="str">
            <v>81123102-52951101</v>
          </cell>
          <cell r="S8198" t="str">
            <v>2026A-09</v>
          </cell>
          <cell r="T8198" t="str">
            <v>Mobile Phones</v>
          </cell>
        </row>
        <row r="8199">
          <cell r="K8199">
            <v>713.39</v>
          </cell>
          <cell r="P8199" t="str">
            <v>81123102-52951101</v>
          </cell>
          <cell r="S8199" t="str">
            <v>2026A-09</v>
          </cell>
          <cell r="T8199" t="str">
            <v>Mobile Phones</v>
          </cell>
        </row>
        <row r="8200">
          <cell r="K8200">
            <v>534.82000000000005</v>
          </cell>
          <cell r="P8200" t="str">
            <v>81123102-52951101</v>
          </cell>
          <cell r="S8200" t="str">
            <v>2026A-09</v>
          </cell>
          <cell r="T8200" t="str">
            <v>Mobile Phones</v>
          </cell>
        </row>
        <row r="8201">
          <cell r="K8201">
            <v>713.39</v>
          </cell>
          <cell r="P8201" t="str">
            <v>81123102-52951101</v>
          </cell>
          <cell r="S8201" t="str">
            <v>2026A-09</v>
          </cell>
          <cell r="T8201" t="str">
            <v>Mobile Phones</v>
          </cell>
        </row>
        <row r="8202">
          <cell r="K8202">
            <v>891.96</v>
          </cell>
          <cell r="P8202" t="str">
            <v>81123102-52951101</v>
          </cell>
          <cell r="S8202" t="str">
            <v>2026A-09</v>
          </cell>
          <cell r="T8202" t="str">
            <v>Mobile Phones</v>
          </cell>
        </row>
        <row r="8203">
          <cell r="K8203">
            <v>1159.82</v>
          </cell>
          <cell r="P8203" t="str">
            <v>81123102-52951101</v>
          </cell>
          <cell r="S8203" t="str">
            <v>2026A-09</v>
          </cell>
          <cell r="T8203" t="str">
            <v>Mobile Phones</v>
          </cell>
        </row>
        <row r="8204">
          <cell r="K8204">
            <v>891.96</v>
          </cell>
          <cell r="P8204" t="str">
            <v>81123102-52951101</v>
          </cell>
          <cell r="S8204" t="str">
            <v>2026A-09</v>
          </cell>
          <cell r="T8204" t="str">
            <v>Mobile Phones</v>
          </cell>
        </row>
        <row r="8205">
          <cell r="K8205">
            <v>1159.82</v>
          </cell>
          <cell r="P8205" t="str">
            <v>81123102-52951101</v>
          </cell>
          <cell r="S8205" t="str">
            <v>2026A-09</v>
          </cell>
          <cell r="T8205" t="str">
            <v>Mobile Phones</v>
          </cell>
        </row>
        <row r="8206">
          <cell r="K8206">
            <v>1692.86</v>
          </cell>
          <cell r="P8206" t="str">
            <v>81123102-52951101</v>
          </cell>
          <cell r="S8206" t="str">
            <v>2026A-09</v>
          </cell>
          <cell r="T8206" t="str">
            <v>Mobile Phones</v>
          </cell>
        </row>
        <row r="8207">
          <cell r="K8207">
            <v>1159.82</v>
          </cell>
          <cell r="P8207" t="str">
            <v>81123102-52951101</v>
          </cell>
          <cell r="S8207" t="str">
            <v>2026A-09</v>
          </cell>
          <cell r="T8207" t="str">
            <v>Mobile Phones</v>
          </cell>
        </row>
        <row r="8208">
          <cell r="K8208">
            <v>713.39</v>
          </cell>
          <cell r="P8208" t="str">
            <v>81123102-52951101</v>
          </cell>
          <cell r="S8208" t="str">
            <v>2026A-09</v>
          </cell>
          <cell r="T8208" t="str">
            <v>Mobile Phones</v>
          </cell>
        </row>
        <row r="8209">
          <cell r="K8209">
            <v>713.39</v>
          </cell>
          <cell r="P8209" t="str">
            <v>81123102-52951101</v>
          </cell>
          <cell r="S8209" t="str">
            <v>2026A-09</v>
          </cell>
          <cell r="T8209" t="str">
            <v>Mobile Phones</v>
          </cell>
        </row>
        <row r="8210">
          <cell r="K8210">
            <v>534.82000000000005</v>
          </cell>
          <cell r="P8210" t="str">
            <v>81123102-52951101</v>
          </cell>
          <cell r="S8210" t="str">
            <v>2026A-09</v>
          </cell>
          <cell r="T8210" t="str">
            <v>Mobile Phones</v>
          </cell>
        </row>
        <row r="8211">
          <cell r="K8211">
            <v>517.91999999999996</v>
          </cell>
          <cell r="P8211" t="str">
            <v>81123102-52951101</v>
          </cell>
          <cell r="S8211" t="str">
            <v>2026A-09</v>
          </cell>
          <cell r="T8211" t="str">
            <v>Mobile Phones</v>
          </cell>
        </row>
        <row r="8212">
          <cell r="K8212">
            <v>713.39</v>
          </cell>
          <cell r="P8212" t="str">
            <v>81123102-52951101</v>
          </cell>
          <cell r="S8212" t="str">
            <v>2026A-09</v>
          </cell>
          <cell r="T8212" t="str">
            <v>Mobile Phones</v>
          </cell>
        </row>
        <row r="8213">
          <cell r="K8213">
            <v>1159.82</v>
          </cell>
          <cell r="P8213" t="str">
            <v>81123102-52951101</v>
          </cell>
          <cell r="S8213" t="str">
            <v>2026A-09</v>
          </cell>
          <cell r="T8213" t="str">
            <v>Mobile Phones</v>
          </cell>
        </row>
        <row r="8214">
          <cell r="K8214">
            <v>1159.82</v>
          </cell>
          <cell r="P8214" t="str">
            <v>81123102-52951101</v>
          </cell>
          <cell r="S8214" t="str">
            <v>2026A-09</v>
          </cell>
          <cell r="T8214" t="str">
            <v>Mobile Phones</v>
          </cell>
        </row>
        <row r="8215">
          <cell r="K8215">
            <v>713.39</v>
          </cell>
          <cell r="P8215" t="str">
            <v>81123102-52951101</v>
          </cell>
          <cell r="S8215" t="str">
            <v>2026A-09</v>
          </cell>
          <cell r="T8215" t="str">
            <v>Mobile Phones</v>
          </cell>
        </row>
        <row r="8216">
          <cell r="K8216">
            <v>713.39</v>
          </cell>
          <cell r="P8216" t="str">
            <v>81123102-52951101</v>
          </cell>
          <cell r="S8216" t="str">
            <v>2026A-09</v>
          </cell>
          <cell r="T8216" t="str">
            <v>Mobile Phones</v>
          </cell>
        </row>
        <row r="8217">
          <cell r="K8217">
            <v>534.82000000000005</v>
          </cell>
          <cell r="P8217" t="str">
            <v>81123102-52951101</v>
          </cell>
          <cell r="S8217" t="str">
            <v>2026A-09</v>
          </cell>
          <cell r="T8217" t="str">
            <v>Mobile Phones</v>
          </cell>
        </row>
        <row r="8218">
          <cell r="K8218">
            <v>534.82000000000005</v>
          </cell>
          <cell r="P8218" t="str">
            <v>81123102-52951101</v>
          </cell>
          <cell r="S8218" t="str">
            <v>2026A-09</v>
          </cell>
          <cell r="T8218" t="str">
            <v>Mobile Phones</v>
          </cell>
        </row>
        <row r="8219">
          <cell r="K8219">
            <v>2231.25</v>
          </cell>
          <cell r="P8219" t="str">
            <v>81123102-52951101</v>
          </cell>
          <cell r="S8219" t="str">
            <v>2026A-09</v>
          </cell>
          <cell r="T8219" t="str">
            <v>Mobile Phones</v>
          </cell>
        </row>
        <row r="8220">
          <cell r="K8220">
            <v>713.39</v>
          </cell>
          <cell r="P8220" t="str">
            <v>81123102-52951101</v>
          </cell>
          <cell r="S8220" t="str">
            <v>2026A-09</v>
          </cell>
          <cell r="T8220" t="str">
            <v>Mobile Phones</v>
          </cell>
        </row>
        <row r="8221">
          <cell r="K8221">
            <v>1337.5</v>
          </cell>
          <cell r="P8221" t="str">
            <v>81123102-52951101</v>
          </cell>
          <cell r="S8221" t="str">
            <v>2026A-09</v>
          </cell>
          <cell r="T8221" t="str">
            <v>Mobile Phones</v>
          </cell>
        </row>
        <row r="8222">
          <cell r="K8222">
            <v>1159.82</v>
          </cell>
          <cell r="P8222" t="str">
            <v>81123102-52951101</v>
          </cell>
          <cell r="S8222" t="str">
            <v>2026A-09</v>
          </cell>
          <cell r="T8222" t="str">
            <v>Mobile Phones</v>
          </cell>
        </row>
        <row r="8223">
          <cell r="K8223">
            <v>534.82000000000005</v>
          </cell>
          <cell r="P8223" t="str">
            <v>81123102-52951101</v>
          </cell>
          <cell r="S8223" t="str">
            <v>2026A-09</v>
          </cell>
          <cell r="T8223" t="str">
            <v>Mobile Phones</v>
          </cell>
        </row>
        <row r="8224">
          <cell r="K8224">
            <v>534.82000000000005</v>
          </cell>
          <cell r="P8224" t="str">
            <v>81123102-52951101</v>
          </cell>
          <cell r="S8224" t="str">
            <v>2026A-09</v>
          </cell>
          <cell r="T8224" t="str">
            <v>Mobile Phones</v>
          </cell>
        </row>
        <row r="8225">
          <cell r="K8225">
            <v>713.39</v>
          </cell>
          <cell r="P8225" t="str">
            <v>81123102-52951101</v>
          </cell>
          <cell r="S8225" t="str">
            <v>2026A-09</v>
          </cell>
          <cell r="T8225" t="str">
            <v>Mobile Phones</v>
          </cell>
        </row>
        <row r="8226">
          <cell r="K8226">
            <v>1212.5</v>
          </cell>
          <cell r="P8226" t="str">
            <v>81123102-52951101</v>
          </cell>
          <cell r="S8226" t="str">
            <v>2026A-09</v>
          </cell>
          <cell r="T8226" t="str">
            <v>Mobile Phones</v>
          </cell>
        </row>
        <row r="8227">
          <cell r="K8227">
            <v>713.39</v>
          </cell>
          <cell r="P8227" t="str">
            <v>81123102-52951101</v>
          </cell>
          <cell r="S8227" t="str">
            <v>2026A-09</v>
          </cell>
          <cell r="T8227" t="str">
            <v>Mobile Phones</v>
          </cell>
        </row>
        <row r="8228">
          <cell r="K8228">
            <v>891.96</v>
          </cell>
          <cell r="P8228" t="str">
            <v>81123102-52951101</v>
          </cell>
          <cell r="S8228" t="str">
            <v>2026A-09</v>
          </cell>
          <cell r="T8228" t="str">
            <v>Mobile Phones</v>
          </cell>
        </row>
        <row r="8229">
          <cell r="K8229">
            <v>534.82000000000005</v>
          </cell>
          <cell r="P8229" t="str">
            <v>81123102-52951101</v>
          </cell>
          <cell r="S8229" t="str">
            <v>2026A-09</v>
          </cell>
          <cell r="T8229" t="str">
            <v>Mobile Phones</v>
          </cell>
        </row>
        <row r="8230">
          <cell r="K8230">
            <v>534.82000000000005</v>
          </cell>
          <cell r="P8230" t="str">
            <v>81123102-52951101</v>
          </cell>
          <cell r="S8230" t="str">
            <v>2026A-09</v>
          </cell>
          <cell r="T8230" t="str">
            <v>Mobile Phones</v>
          </cell>
        </row>
        <row r="8231">
          <cell r="K8231">
            <v>534.82000000000005</v>
          </cell>
          <cell r="P8231" t="str">
            <v>81123102-52951101</v>
          </cell>
          <cell r="S8231" t="str">
            <v>2026A-09</v>
          </cell>
          <cell r="T8231" t="str">
            <v>Mobile Phones</v>
          </cell>
        </row>
        <row r="8232">
          <cell r="K8232">
            <v>713.39</v>
          </cell>
          <cell r="P8232" t="str">
            <v>81123102-52951101</v>
          </cell>
          <cell r="S8232" t="str">
            <v>2026A-09</v>
          </cell>
          <cell r="T8232" t="str">
            <v>Mobile Phones</v>
          </cell>
        </row>
        <row r="8233">
          <cell r="K8233">
            <v>534.82000000000005</v>
          </cell>
          <cell r="P8233" t="str">
            <v>81123102-52951101</v>
          </cell>
          <cell r="S8233" t="str">
            <v>2026A-09</v>
          </cell>
          <cell r="T8233" t="str">
            <v>Mobile Phones</v>
          </cell>
        </row>
        <row r="8234">
          <cell r="K8234">
            <v>891.07</v>
          </cell>
          <cell r="P8234" t="str">
            <v>81123102-52951101</v>
          </cell>
          <cell r="S8234" t="str">
            <v>2026A-09</v>
          </cell>
          <cell r="T8234" t="str">
            <v>Mobile Phones</v>
          </cell>
        </row>
        <row r="8235">
          <cell r="K8235">
            <v>534.82000000000005</v>
          </cell>
          <cell r="P8235" t="str">
            <v>81123102-52951101</v>
          </cell>
          <cell r="S8235" t="str">
            <v>2026A-09</v>
          </cell>
          <cell r="T8235" t="str">
            <v>Mobile Phones</v>
          </cell>
        </row>
        <row r="8236">
          <cell r="K8236">
            <v>713.39</v>
          </cell>
          <cell r="P8236" t="str">
            <v>81123102-52951101</v>
          </cell>
          <cell r="S8236" t="str">
            <v>2026A-09</v>
          </cell>
          <cell r="T8236" t="str">
            <v>Mobile Phones</v>
          </cell>
        </row>
        <row r="8237">
          <cell r="K8237">
            <v>552.67999999999995</v>
          </cell>
          <cell r="P8237" t="str">
            <v>81123102-52951101</v>
          </cell>
          <cell r="S8237" t="str">
            <v>2026A-09</v>
          </cell>
          <cell r="T8237" t="str">
            <v>Mobile Phones</v>
          </cell>
        </row>
        <row r="8238">
          <cell r="K8238">
            <v>534.82000000000005</v>
          </cell>
          <cell r="P8238" t="str">
            <v>81123102-52951101</v>
          </cell>
          <cell r="S8238" t="str">
            <v>2026A-09</v>
          </cell>
          <cell r="T8238" t="str">
            <v>Mobile Phones</v>
          </cell>
        </row>
        <row r="8239">
          <cell r="K8239">
            <v>534.82000000000005</v>
          </cell>
          <cell r="P8239" t="str">
            <v>81123102-52951101</v>
          </cell>
          <cell r="S8239" t="str">
            <v>2026A-09</v>
          </cell>
          <cell r="T8239" t="str">
            <v>Mobile Phones</v>
          </cell>
        </row>
        <row r="8240">
          <cell r="K8240">
            <v>2231.25</v>
          </cell>
          <cell r="P8240" t="str">
            <v>81123102-52951101</v>
          </cell>
          <cell r="S8240" t="str">
            <v>2026A-09</v>
          </cell>
          <cell r="T8240" t="str">
            <v>Mobile Phones</v>
          </cell>
        </row>
        <row r="8241">
          <cell r="K8241">
            <v>713.39</v>
          </cell>
          <cell r="P8241" t="str">
            <v>81123102-52951101</v>
          </cell>
          <cell r="S8241" t="str">
            <v>2026A-09</v>
          </cell>
          <cell r="T8241" t="str">
            <v>Mobile Phones</v>
          </cell>
        </row>
        <row r="8242">
          <cell r="K8242">
            <v>1338.39</v>
          </cell>
          <cell r="P8242" t="str">
            <v>81123102-52951101</v>
          </cell>
          <cell r="S8242" t="str">
            <v>2026A-09</v>
          </cell>
          <cell r="T8242" t="str">
            <v>Mobile Phones</v>
          </cell>
        </row>
        <row r="8243">
          <cell r="K8243">
            <v>534.82000000000005</v>
          </cell>
          <cell r="P8243" t="str">
            <v>81123102-52951101</v>
          </cell>
          <cell r="S8243" t="str">
            <v>2026A-09</v>
          </cell>
          <cell r="T8243" t="str">
            <v>Mobile Phones</v>
          </cell>
        </row>
        <row r="8244">
          <cell r="K8244">
            <v>713.39</v>
          </cell>
          <cell r="P8244" t="str">
            <v>81123102-52951101</v>
          </cell>
          <cell r="S8244" t="str">
            <v>2026A-09</v>
          </cell>
          <cell r="T8244" t="str">
            <v>Mobile Phones</v>
          </cell>
        </row>
        <row r="8245">
          <cell r="K8245">
            <v>534.82000000000005</v>
          </cell>
          <cell r="P8245" t="str">
            <v>81123102-52951101</v>
          </cell>
          <cell r="S8245" t="str">
            <v>2026A-09</v>
          </cell>
          <cell r="T8245" t="str">
            <v>Mobile Phones</v>
          </cell>
        </row>
        <row r="8246">
          <cell r="K8246">
            <v>390.82</v>
          </cell>
          <cell r="P8246" t="str">
            <v>81123102-52951101</v>
          </cell>
          <cell r="S8246" t="str">
            <v>2026A-09</v>
          </cell>
          <cell r="T8246" t="str">
            <v>Mobile Phones</v>
          </cell>
        </row>
        <row r="8247">
          <cell r="K8247">
            <v>534.82000000000005</v>
          </cell>
          <cell r="P8247" t="str">
            <v>81123102-52951101</v>
          </cell>
          <cell r="S8247" t="str">
            <v>2026A-09</v>
          </cell>
          <cell r="T8247" t="str">
            <v>Mobile Phones</v>
          </cell>
        </row>
        <row r="8248">
          <cell r="K8248">
            <v>534.82000000000005</v>
          </cell>
          <cell r="P8248" t="str">
            <v>81123102-52951101</v>
          </cell>
          <cell r="S8248" t="str">
            <v>2026A-09</v>
          </cell>
          <cell r="T8248" t="str">
            <v>Mobile Phones</v>
          </cell>
        </row>
        <row r="8249">
          <cell r="K8249">
            <v>713.39</v>
          </cell>
          <cell r="P8249" t="str">
            <v>81123102-52951101</v>
          </cell>
          <cell r="S8249" t="str">
            <v>2026A-09</v>
          </cell>
          <cell r="T8249" t="str">
            <v>Mobile Phones</v>
          </cell>
        </row>
        <row r="8250">
          <cell r="K8250">
            <v>1159.82</v>
          </cell>
          <cell r="P8250" t="str">
            <v>81123102-52951101</v>
          </cell>
          <cell r="S8250" t="str">
            <v>2026A-09</v>
          </cell>
          <cell r="T8250" t="str">
            <v>Mobile Phones</v>
          </cell>
        </row>
        <row r="8251">
          <cell r="K8251">
            <v>713.39</v>
          </cell>
          <cell r="P8251" t="str">
            <v>81123102-52951101</v>
          </cell>
          <cell r="S8251" t="str">
            <v>2026A-09</v>
          </cell>
          <cell r="T8251" t="str">
            <v>Mobile Phones</v>
          </cell>
        </row>
        <row r="8252">
          <cell r="K8252">
            <v>1159.82</v>
          </cell>
          <cell r="P8252" t="str">
            <v>81123102-52951101</v>
          </cell>
          <cell r="S8252" t="str">
            <v>2026A-09</v>
          </cell>
          <cell r="T8252" t="str">
            <v>Mobile Phones</v>
          </cell>
        </row>
        <row r="8253">
          <cell r="K8253">
            <v>713.39</v>
          </cell>
          <cell r="P8253" t="str">
            <v>81123102-52951101</v>
          </cell>
          <cell r="S8253" t="str">
            <v>2026A-09</v>
          </cell>
          <cell r="T8253" t="str">
            <v>Mobile Phones</v>
          </cell>
        </row>
        <row r="8254">
          <cell r="K8254">
            <v>1159.82</v>
          </cell>
          <cell r="P8254" t="str">
            <v>81123102-52951101</v>
          </cell>
          <cell r="S8254" t="str">
            <v>2026A-09</v>
          </cell>
          <cell r="T8254" t="str">
            <v>Mobile Phones</v>
          </cell>
        </row>
        <row r="8255">
          <cell r="K8255">
            <v>1159.82</v>
          </cell>
          <cell r="P8255" t="str">
            <v>81123102-52951101</v>
          </cell>
          <cell r="S8255" t="str">
            <v>2026A-09</v>
          </cell>
          <cell r="T8255" t="str">
            <v>Mobile Phones</v>
          </cell>
        </row>
        <row r="8256">
          <cell r="K8256">
            <v>713.39</v>
          </cell>
          <cell r="P8256" t="str">
            <v>81123102-52951101</v>
          </cell>
          <cell r="S8256" t="str">
            <v>2026A-09</v>
          </cell>
          <cell r="T8256" t="str">
            <v>Mobile Phones</v>
          </cell>
        </row>
        <row r="8257">
          <cell r="K8257">
            <v>891.96</v>
          </cell>
          <cell r="P8257" t="str">
            <v>81123102-52951101</v>
          </cell>
          <cell r="S8257" t="str">
            <v>2026A-09</v>
          </cell>
          <cell r="T8257" t="str">
            <v>Mobile Phones</v>
          </cell>
        </row>
        <row r="8258">
          <cell r="K8258">
            <v>713.39</v>
          </cell>
          <cell r="P8258" t="str">
            <v>81123102-52951101</v>
          </cell>
          <cell r="S8258" t="str">
            <v>2026A-09</v>
          </cell>
          <cell r="T8258" t="str">
            <v>Mobile Phones</v>
          </cell>
        </row>
        <row r="8259">
          <cell r="K8259">
            <v>534.82000000000005</v>
          </cell>
          <cell r="P8259" t="str">
            <v>81123102-52951101</v>
          </cell>
          <cell r="S8259" t="str">
            <v>2026A-09</v>
          </cell>
          <cell r="T8259" t="str">
            <v>Mobile Phones</v>
          </cell>
        </row>
        <row r="8260">
          <cell r="K8260">
            <v>1159.82</v>
          </cell>
          <cell r="P8260" t="str">
            <v>81123102-52951101</v>
          </cell>
          <cell r="S8260" t="str">
            <v>2026A-09</v>
          </cell>
          <cell r="T8260" t="str">
            <v>Mobile Phones</v>
          </cell>
        </row>
        <row r="8261">
          <cell r="K8261">
            <v>713.39</v>
          </cell>
          <cell r="P8261" t="str">
            <v>81123102-52951101</v>
          </cell>
          <cell r="S8261" t="str">
            <v>2026A-09</v>
          </cell>
          <cell r="T8261" t="str">
            <v>Mobile Phones</v>
          </cell>
        </row>
        <row r="8262">
          <cell r="K8262">
            <v>891.96</v>
          </cell>
          <cell r="P8262" t="str">
            <v>81123102-52951101</v>
          </cell>
          <cell r="S8262" t="str">
            <v>2026A-09</v>
          </cell>
          <cell r="T8262" t="str">
            <v>Mobile Phones</v>
          </cell>
        </row>
        <row r="8263">
          <cell r="K8263">
            <v>7623.24</v>
          </cell>
          <cell r="P8263" t="str">
            <v>81123102-52951101</v>
          </cell>
          <cell r="S8263" t="str">
            <v>2026A-09</v>
          </cell>
          <cell r="T8263" t="str">
            <v>Mobile Phones</v>
          </cell>
        </row>
        <row r="8264">
          <cell r="K8264">
            <v>569.38</v>
          </cell>
          <cell r="P8264" t="str">
            <v>81123102-52951101</v>
          </cell>
          <cell r="S8264" t="str">
            <v>2026A-09</v>
          </cell>
          <cell r="T8264" t="str">
            <v>Mobile Phones</v>
          </cell>
        </row>
        <row r="8265">
          <cell r="K8265">
            <v>569.38</v>
          </cell>
          <cell r="P8265" t="str">
            <v>81123102-52951101</v>
          </cell>
          <cell r="S8265" t="str">
            <v>2026A-09</v>
          </cell>
          <cell r="T8265" t="str">
            <v>Mobile Phones</v>
          </cell>
        </row>
        <row r="8266">
          <cell r="K8266">
            <v>600</v>
          </cell>
          <cell r="P8266" t="str">
            <v>90122101-61711101</v>
          </cell>
          <cell r="S8266" t="str">
            <v>2026A-09</v>
          </cell>
          <cell r="T8266" t="str">
            <v>PRC</v>
          </cell>
        </row>
        <row r="8267">
          <cell r="K8267">
            <v>800</v>
          </cell>
          <cell r="P8267" t="str">
            <v>90122101-61711101</v>
          </cell>
          <cell r="S8267" t="str">
            <v>2026A-09</v>
          </cell>
          <cell r="T8267" t="str">
            <v>PRC</v>
          </cell>
        </row>
        <row r="8268">
          <cell r="K8268">
            <v>1104522.17</v>
          </cell>
          <cell r="P8268" t="str">
            <v>80349101-61959994</v>
          </cell>
          <cell r="S8268" t="str">
            <v>2026A-09</v>
          </cell>
          <cell r="T8268" t="str">
            <v>GH Resi Block</v>
          </cell>
        </row>
        <row r="8269">
          <cell r="K8269">
            <v>-1500</v>
          </cell>
          <cell r="P8269" t="str">
            <v>81123102-52951101</v>
          </cell>
          <cell r="S8269" t="str">
            <v>2026A-09</v>
          </cell>
          <cell r="T8269" t="str">
            <v>Mobile Phones</v>
          </cell>
        </row>
        <row r="8270">
          <cell r="K8270">
            <v>10000</v>
          </cell>
          <cell r="P8270" t="str">
            <v>80123101-61071005</v>
          </cell>
          <cell r="S8270" t="str">
            <v>2026A-09</v>
          </cell>
          <cell r="T8270" t="str">
            <v>Sycip</v>
          </cell>
        </row>
        <row r="8271">
          <cell r="K8271">
            <v>16071.43</v>
          </cell>
          <cell r="P8271" t="str">
            <v>81319101-52111101</v>
          </cell>
          <cell r="S8271" t="str">
            <v>2026A-09</v>
          </cell>
          <cell r="T8271" t="str">
            <v>Tissue</v>
          </cell>
        </row>
        <row r="8272">
          <cell r="K8272">
            <v>2625</v>
          </cell>
          <cell r="P8272" t="str">
            <v>81124101-52061109</v>
          </cell>
          <cell r="S8272" t="str">
            <v>2026A-09</v>
          </cell>
          <cell r="T8272" t="str">
            <v>UPS Maintenance</v>
          </cell>
        </row>
        <row r="8273">
          <cell r="K8273">
            <v>13392.86</v>
          </cell>
          <cell r="P8273" t="str">
            <v>81123102-52111101</v>
          </cell>
          <cell r="S8273" t="str">
            <v>2026A-09</v>
          </cell>
          <cell r="T8273" t="str">
            <v>Office Supplies - Others</v>
          </cell>
        </row>
        <row r="8274">
          <cell r="K8274">
            <v>-0.01</v>
          </cell>
          <cell r="P8274" t="str">
            <v>81124101-52061109</v>
          </cell>
          <cell r="S8274" t="str">
            <v>2026A-09</v>
          </cell>
          <cell r="T8274" t="str">
            <v>Laptop Repair</v>
          </cell>
        </row>
        <row r="8275">
          <cell r="K8275">
            <v>3000</v>
          </cell>
          <cell r="P8275" t="str">
            <v>81319101-52111101</v>
          </cell>
          <cell r="S8275" t="str">
            <v>2026A-09</v>
          </cell>
          <cell r="T8275" t="str">
            <v>GH</v>
          </cell>
        </row>
        <row r="8276">
          <cell r="K8276">
            <v>102.68</v>
          </cell>
          <cell r="P8276" t="str">
            <v>81319101-52111101</v>
          </cell>
          <cell r="S8276" t="str">
            <v>2026A-09</v>
          </cell>
          <cell r="T8276" t="str">
            <v>GH</v>
          </cell>
        </row>
        <row r="8277">
          <cell r="K8277">
            <v>16.07</v>
          </cell>
          <cell r="P8277" t="str">
            <v>81319101-52111101</v>
          </cell>
          <cell r="S8277" t="str">
            <v>2026A-09</v>
          </cell>
          <cell r="T8277" t="str">
            <v>GH</v>
          </cell>
        </row>
        <row r="8278">
          <cell r="K8278">
            <v>174.11</v>
          </cell>
          <cell r="P8278" t="str">
            <v>81319101-52111101</v>
          </cell>
          <cell r="S8278" t="str">
            <v>2026A-09</v>
          </cell>
          <cell r="T8278" t="str">
            <v>GH</v>
          </cell>
        </row>
        <row r="8279">
          <cell r="K8279">
            <v>33.93</v>
          </cell>
          <cell r="P8279" t="str">
            <v>81319101-52111101</v>
          </cell>
          <cell r="S8279" t="str">
            <v>2026A-09</v>
          </cell>
          <cell r="T8279" t="str">
            <v>GH</v>
          </cell>
        </row>
        <row r="8280">
          <cell r="K8280">
            <v>8001.17</v>
          </cell>
          <cell r="P8280" t="str">
            <v>81319101-52041405</v>
          </cell>
          <cell r="S8280" t="str">
            <v>2026A-09</v>
          </cell>
          <cell r="T8280" t="str">
            <v>TS</v>
          </cell>
        </row>
        <row r="8281">
          <cell r="K8281">
            <v>7589.29</v>
          </cell>
          <cell r="P8281" t="str">
            <v>81124101-52061109</v>
          </cell>
          <cell r="S8281" t="str">
            <v>2026A-09</v>
          </cell>
          <cell r="T8281" t="str">
            <v>Laptop Repair</v>
          </cell>
        </row>
        <row r="8282">
          <cell r="K8282">
            <v>1339.29</v>
          </cell>
          <cell r="P8282" t="str">
            <v>81124101-52061109</v>
          </cell>
          <cell r="S8282" t="str">
            <v>2026A-09</v>
          </cell>
          <cell r="T8282" t="str">
            <v>Laptop Repair</v>
          </cell>
        </row>
        <row r="8283">
          <cell r="K8283">
            <v>-758.93</v>
          </cell>
          <cell r="P8283" t="str">
            <v>81319101-52111101</v>
          </cell>
          <cell r="S8283" t="str">
            <v>2026A-09</v>
          </cell>
          <cell r="T8283" t="str">
            <v>Zero</v>
          </cell>
        </row>
        <row r="8284">
          <cell r="K8284">
            <v>-89.29</v>
          </cell>
          <cell r="P8284" t="str">
            <v>81319101-52111101</v>
          </cell>
          <cell r="S8284" t="str">
            <v>2026A-09</v>
          </cell>
          <cell r="T8284" t="str">
            <v>GH</v>
          </cell>
        </row>
        <row r="8285">
          <cell r="K8285">
            <v>205871.59</v>
          </cell>
          <cell r="P8285" t="str">
            <v>81123102-52041405</v>
          </cell>
          <cell r="S8285" t="str">
            <v>2026A-09</v>
          </cell>
          <cell r="T8285" t="str">
            <v>Janitorial (SFI)</v>
          </cell>
        </row>
        <row r="8286">
          <cell r="K8286">
            <v>199667.33</v>
          </cell>
          <cell r="P8286" t="str">
            <v>81123102-52041499</v>
          </cell>
          <cell r="S8286" t="str">
            <v>2026A-09</v>
          </cell>
          <cell r="T8286" t="str">
            <v>Admin Staff (SFI)</v>
          </cell>
        </row>
        <row r="8287">
          <cell r="K8287">
            <v>-4754.93</v>
          </cell>
          <cell r="P8287" t="str">
            <v>81123102-52041405</v>
          </cell>
          <cell r="S8287" t="str">
            <v>2026A-09</v>
          </cell>
          <cell r="T8287" t="str">
            <v>Janitorial (SFI)</v>
          </cell>
        </row>
        <row r="8288">
          <cell r="K8288">
            <v>51009.41</v>
          </cell>
          <cell r="P8288" t="str">
            <v>81123102-52041405</v>
          </cell>
          <cell r="S8288" t="str">
            <v>2026A-09</v>
          </cell>
          <cell r="T8288" t="str">
            <v>Janitorial (SFI)</v>
          </cell>
        </row>
        <row r="8289">
          <cell r="K8289">
            <v>-2265.67</v>
          </cell>
          <cell r="P8289" t="str">
            <v>81123102-52041405</v>
          </cell>
          <cell r="S8289" t="str">
            <v>2026A-09</v>
          </cell>
          <cell r="T8289" t="str">
            <v>Janitorial (SFI)</v>
          </cell>
        </row>
        <row r="8290">
          <cell r="K8290">
            <v>-11739.9</v>
          </cell>
          <cell r="P8290" t="str">
            <v>81123102-52041499</v>
          </cell>
          <cell r="S8290" t="str">
            <v>2026A-09</v>
          </cell>
          <cell r="T8290" t="str">
            <v>Admin Staff (SFI)</v>
          </cell>
        </row>
        <row r="8291">
          <cell r="K8291">
            <v>28298.07</v>
          </cell>
          <cell r="P8291" t="str">
            <v>81123102-52041499</v>
          </cell>
          <cell r="S8291" t="str">
            <v>2026A-09</v>
          </cell>
          <cell r="T8291" t="str">
            <v>Admin Staff (SFI)</v>
          </cell>
        </row>
        <row r="8292">
          <cell r="K8292">
            <v>-1989.66</v>
          </cell>
          <cell r="P8292" t="str">
            <v>81123102-52041499</v>
          </cell>
          <cell r="S8292" t="str">
            <v>2026A-09</v>
          </cell>
          <cell r="T8292" t="str">
            <v>Admin Staff (SFI)</v>
          </cell>
        </row>
        <row r="8293">
          <cell r="K8293">
            <v>758.93</v>
          </cell>
          <cell r="P8293" t="str">
            <v>81319101-52111101</v>
          </cell>
          <cell r="S8293" t="str">
            <v>2026A-09</v>
          </cell>
          <cell r="T8293" t="str">
            <v>Zero</v>
          </cell>
        </row>
        <row r="8294">
          <cell r="K8294">
            <v>1377066.6</v>
          </cell>
          <cell r="P8294" t="str">
            <v>81221201-61959999</v>
          </cell>
          <cell r="S8294" t="str">
            <v>2026A-09</v>
          </cell>
          <cell r="T8294" t="str">
            <v>GH Redev Plan</v>
          </cell>
        </row>
        <row r="8295">
          <cell r="K8295">
            <v>1950</v>
          </cell>
          <cell r="P8295" t="str">
            <v>81319101-52111101</v>
          </cell>
          <cell r="S8295" t="str">
            <v>2026A-09</v>
          </cell>
          <cell r="T8295" t="str">
            <v>GH</v>
          </cell>
        </row>
        <row r="8296">
          <cell r="K8296">
            <v>87955.199999999997</v>
          </cell>
          <cell r="P8296" t="str">
            <v>81319101-52041401</v>
          </cell>
          <cell r="S8296" t="str">
            <v>2026A-09</v>
          </cell>
          <cell r="T8296" t="str">
            <v>ES</v>
          </cell>
        </row>
        <row r="8297">
          <cell r="K8297">
            <v>17589.599999999999</v>
          </cell>
          <cell r="P8297" t="str">
            <v>81319101-52041401</v>
          </cell>
          <cell r="S8297" t="str">
            <v>2026A-09</v>
          </cell>
          <cell r="T8297" t="str">
            <v>ES</v>
          </cell>
        </row>
        <row r="8298">
          <cell r="K8298">
            <v>0.01</v>
          </cell>
          <cell r="P8298" t="str">
            <v>81123102-52111101</v>
          </cell>
          <cell r="S8298" t="str">
            <v>2026A-09</v>
          </cell>
          <cell r="T8298" t="str">
            <v>Office Supplies - Others</v>
          </cell>
        </row>
        <row r="8299">
          <cell r="K8299">
            <v>204250</v>
          </cell>
          <cell r="P8299" t="str">
            <v>80111101-61021201</v>
          </cell>
          <cell r="S8299" t="str">
            <v>2026A-09</v>
          </cell>
          <cell r="T8299" t="str">
            <v>Project Employee</v>
          </cell>
        </row>
        <row r="8300">
          <cell r="K8300">
            <v>-4717.6099999999997</v>
          </cell>
          <cell r="P8300" t="str">
            <v>80111101-61021201</v>
          </cell>
          <cell r="S8300" t="str">
            <v>2026A-09</v>
          </cell>
          <cell r="T8300" t="str">
            <v>Project Employee</v>
          </cell>
        </row>
        <row r="8301">
          <cell r="K8301">
            <v>-6311.53</v>
          </cell>
          <cell r="P8301" t="str">
            <v>80111101-61021201</v>
          </cell>
          <cell r="S8301" t="str">
            <v>2026A-09</v>
          </cell>
          <cell r="T8301" t="str">
            <v>Project Employee</v>
          </cell>
        </row>
        <row r="8302">
          <cell r="K8302">
            <v>-1430.76</v>
          </cell>
          <cell r="P8302" t="str">
            <v>80111101-61021201</v>
          </cell>
          <cell r="S8302" t="str">
            <v>2026A-09</v>
          </cell>
          <cell r="T8302" t="str">
            <v>Project Employee</v>
          </cell>
        </row>
        <row r="8303">
          <cell r="K8303">
            <v>-527.61</v>
          </cell>
          <cell r="P8303" t="str">
            <v>80111101-61021201</v>
          </cell>
          <cell r="S8303" t="str">
            <v>2026A-09</v>
          </cell>
          <cell r="T8303" t="str">
            <v>Project Employee</v>
          </cell>
        </row>
        <row r="8304">
          <cell r="K8304">
            <v>37904.089999999997</v>
          </cell>
          <cell r="P8304" t="str">
            <v>80111101-61021202</v>
          </cell>
          <cell r="S8304" t="str">
            <v>2026A-09</v>
          </cell>
          <cell r="T8304" t="str">
            <v>Project Employee</v>
          </cell>
        </row>
        <row r="8305">
          <cell r="K8305">
            <v>3000</v>
          </cell>
          <cell r="P8305" t="str">
            <v>80111101-61021306</v>
          </cell>
          <cell r="S8305" t="str">
            <v>2026A-09</v>
          </cell>
          <cell r="T8305" t="str">
            <v>Pag-ibig</v>
          </cell>
        </row>
        <row r="8306">
          <cell r="K8306">
            <v>23260</v>
          </cell>
          <cell r="P8306" t="str">
            <v>80111101-61021306</v>
          </cell>
          <cell r="S8306" t="str">
            <v>2026A-09</v>
          </cell>
          <cell r="T8306" t="str">
            <v>SSS</v>
          </cell>
        </row>
        <row r="8307">
          <cell r="K8307">
            <v>10212.5</v>
          </cell>
          <cell r="P8307" t="str">
            <v>80111101-61021306</v>
          </cell>
          <cell r="S8307" t="str">
            <v>2026A-09</v>
          </cell>
          <cell r="T8307" t="str">
            <v>Philhealth</v>
          </cell>
        </row>
        <row r="8308">
          <cell r="K8308">
            <v>30800</v>
          </cell>
          <cell r="P8308" t="str">
            <v>80111101-61021102</v>
          </cell>
          <cell r="S8308" t="str">
            <v>2026A-09</v>
          </cell>
          <cell r="T8308" t="str">
            <v>Regular Employee</v>
          </cell>
        </row>
        <row r="8309">
          <cell r="K8309">
            <v>50500</v>
          </cell>
          <cell r="P8309" t="str">
            <v>80111101-61021102</v>
          </cell>
          <cell r="S8309" t="str">
            <v>2026A-09</v>
          </cell>
          <cell r="T8309" t="str">
            <v>Regular Employee</v>
          </cell>
        </row>
        <row r="8310">
          <cell r="K8310">
            <v>238150</v>
          </cell>
          <cell r="P8310" t="str">
            <v>80111101-61021102</v>
          </cell>
          <cell r="S8310" t="str">
            <v>2026A-09</v>
          </cell>
          <cell r="T8310" t="str">
            <v>Regular Employee</v>
          </cell>
        </row>
        <row r="8311">
          <cell r="K8311">
            <v>728200</v>
          </cell>
          <cell r="P8311" t="str">
            <v>80111101-61021102</v>
          </cell>
          <cell r="S8311" t="str">
            <v>2026A-09</v>
          </cell>
          <cell r="T8311" t="str">
            <v>Regular Employee</v>
          </cell>
        </row>
        <row r="8312">
          <cell r="K8312">
            <v>-7506.97</v>
          </cell>
          <cell r="P8312" t="str">
            <v>80111101-61021102</v>
          </cell>
          <cell r="S8312" t="str">
            <v>2026A-09</v>
          </cell>
          <cell r="T8312" t="str">
            <v>Regular Employee</v>
          </cell>
        </row>
        <row r="8313">
          <cell r="K8313">
            <v>-1190.8599999999999</v>
          </cell>
          <cell r="P8313" t="str">
            <v>80111101-61021102</v>
          </cell>
          <cell r="S8313" t="str">
            <v>2026A-09</v>
          </cell>
          <cell r="T8313" t="str">
            <v>Regular Employee</v>
          </cell>
        </row>
        <row r="8314">
          <cell r="K8314">
            <v>-310.48</v>
          </cell>
          <cell r="P8314" t="str">
            <v>80111101-61021102</v>
          </cell>
          <cell r="S8314" t="str">
            <v>2026A-09</v>
          </cell>
          <cell r="T8314" t="str">
            <v>Regular Employee</v>
          </cell>
        </row>
        <row r="8315">
          <cell r="K8315">
            <v>-824.44</v>
          </cell>
          <cell r="P8315" t="str">
            <v>80111101-61021102</v>
          </cell>
          <cell r="S8315" t="str">
            <v>2026A-09</v>
          </cell>
          <cell r="T8315" t="str">
            <v>Regular Employee</v>
          </cell>
        </row>
        <row r="8316">
          <cell r="K8316">
            <v>-87.85</v>
          </cell>
          <cell r="P8316" t="str">
            <v>80111101-61021102</v>
          </cell>
          <cell r="S8316" t="str">
            <v>2026A-09</v>
          </cell>
          <cell r="T8316" t="str">
            <v>Regular Employee</v>
          </cell>
        </row>
        <row r="8317">
          <cell r="K8317">
            <v>2088.58</v>
          </cell>
          <cell r="P8317" t="str">
            <v>80111101-61021102</v>
          </cell>
          <cell r="S8317" t="str">
            <v>2026A-09</v>
          </cell>
          <cell r="T8317" t="str">
            <v>Regular Employee</v>
          </cell>
        </row>
        <row r="8318">
          <cell r="K8318">
            <v>-113.77</v>
          </cell>
          <cell r="P8318" t="str">
            <v>80111101-61021102</v>
          </cell>
          <cell r="S8318" t="str">
            <v>2026A-09</v>
          </cell>
          <cell r="T8318" t="str">
            <v>Regular Employee</v>
          </cell>
        </row>
        <row r="8319">
          <cell r="K8319">
            <v>-1511.57</v>
          </cell>
          <cell r="P8319" t="str">
            <v>80111101-61021102</v>
          </cell>
          <cell r="S8319" t="str">
            <v>2026A-09</v>
          </cell>
          <cell r="T8319" t="str">
            <v>Regular Employee</v>
          </cell>
        </row>
        <row r="8320">
          <cell r="K8320">
            <v>5380.99</v>
          </cell>
          <cell r="P8320" t="str">
            <v>80111101-61021103</v>
          </cell>
          <cell r="S8320" t="str">
            <v>2026A-09</v>
          </cell>
          <cell r="T8320" t="str">
            <v>OT Pay</v>
          </cell>
        </row>
        <row r="8321">
          <cell r="K8321">
            <v>3600</v>
          </cell>
          <cell r="P8321" t="str">
            <v>80111101-61021104</v>
          </cell>
          <cell r="S8321" t="str">
            <v>2026A-09</v>
          </cell>
          <cell r="T8321" t="str">
            <v>OT Pay</v>
          </cell>
        </row>
        <row r="8322">
          <cell r="K8322">
            <v>7800</v>
          </cell>
          <cell r="P8322" t="str">
            <v>80111101-61021104</v>
          </cell>
          <cell r="S8322" t="str">
            <v>2026A-09</v>
          </cell>
          <cell r="T8322" t="str">
            <v>OT Pay</v>
          </cell>
        </row>
        <row r="8323">
          <cell r="K8323">
            <v>10000</v>
          </cell>
          <cell r="P8323" t="str">
            <v>80111101-61021302</v>
          </cell>
          <cell r="S8323" t="str">
            <v>2026A-09</v>
          </cell>
          <cell r="T8323" t="str">
            <v>Medical Allowance</v>
          </cell>
        </row>
        <row r="8324">
          <cell r="K8324">
            <v>5000</v>
          </cell>
          <cell r="P8324" t="str">
            <v>80111101-61021302</v>
          </cell>
          <cell r="S8324" t="str">
            <v>2026A-09</v>
          </cell>
          <cell r="T8324" t="str">
            <v>Medical Allowance</v>
          </cell>
        </row>
        <row r="8325">
          <cell r="K8325">
            <v>45000</v>
          </cell>
          <cell r="P8325" t="str">
            <v>80111101-61021302</v>
          </cell>
          <cell r="S8325" t="str">
            <v>2026A-09</v>
          </cell>
          <cell r="T8325" t="str">
            <v>Medical Allowance</v>
          </cell>
        </row>
        <row r="8326">
          <cell r="K8326">
            <v>165000</v>
          </cell>
          <cell r="P8326" t="str">
            <v>80111101-61021302</v>
          </cell>
          <cell r="S8326" t="str">
            <v>2026A-09</v>
          </cell>
          <cell r="T8326" t="str">
            <v>Medical Allowance</v>
          </cell>
        </row>
        <row r="8327">
          <cell r="K8327">
            <v>400</v>
          </cell>
          <cell r="P8327" t="str">
            <v>80111101-61021306</v>
          </cell>
          <cell r="S8327" t="str">
            <v>2026A-09</v>
          </cell>
          <cell r="T8327" t="str">
            <v>Pag-ibig</v>
          </cell>
        </row>
        <row r="8328">
          <cell r="K8328">
            <v>200</v>
          </cell>
          <cell r="P8328" t="str">
            <v>80111101-61021306</v>
          </cell>
          <cell r="S8328" t="str">
            <v>2026A-09</v>
          </cell>
          <cell r="T8328" t="str">
            <v>Pag-ibig</v>
          </cell>
        </row>
        <row r="8329">
          <cell r="K8329">
            <v>6600</v>
          </cell>
          <cell r="P8329" t="str">
            <v>80111101-61021306</v>
          </cell>
          <cell r="S8329" t="str">
            <v>2026A-09</v>
          </cell>
          <cell r="T8329" t="str">
            <v>Pag-ibig</v>
          </cell>
        </row>
        <row r="8330">
          <cell r="K8330">
            <v>4110</v>
          </cell>
          <cell r="P8330" t="str">
            <v>80111101-61021306</v>
          </cell>
          <cell r="S8330" t="str">
            <v>2026A-09</v>
          </cell>
          <cell r="T8330" t="str">
            <v>SSS</v>
          </cell>
        </row>
        <row r="8331">
          <cell r="K8331">
            <v>1540</v>
          </cell>
          <cell r="P8331" t="str">
            <v>80111101-61021306</v>
          </cell>
          <cell r="S8331" t="str">
            <v>2026A-09</v>
          </cell>
          <cell r="T8331" t="str">
            <v>Philhealth</v>
          </cell>
        </row>
        <row r="8332">
          <cell r="K8332">
            <v>3530</v>
          </cell>
          <cell r="P8332" t="str">
            <v>80111101-61021306</v>
          </cell>
          <cell r="S8332" t="str">
            <v>2026A-09</v>
          </cell>
          <cell r="T8332" t="str">
            <v>SSS</v>
          </cell>
        </row>
        <row r="8333">
          <cell r="K8333">
            <v>2500</v>
          </cell>
          <cell r="P8333" t="str">
            <v>80111101-61021306</v>
          </cell>
          <cell r="S8333" t="str">
            <v>2026A-09</v>
          </cell>
          <cell r="T8333" t="str">
            <v>Philhealth</v>
          </cell>
        </row>
        <row r="8334">
          <cell r="K8334">
            <v>2000</v>
          </cell>
          <cell r="P8334" t="str">
            <v>80111101-61021306</v>
          </cell>
          <cell r="S8334" t="str">
            <v>2026A-09</v>
          </cell>
          <cell r="T8334" t="str">
            <v>Pag-ibig</v>
          </cell>
        </row>
        <row r="8335">
          <cell r="K8335">
            <v>22130</v>
          </cell>
          <cell r="P8335" t="str">
            <v>80111101-61021306</v>
          </cell>
          <cell r="S8335" t="str">
            <v>2026A-09</v>
          </cell>
          <cell r="T8335" t="str">
            <v>SSS</v>
          </cell>
        </row>
        <row r="8336">
          <cell r="K8336">
            <v>77290</v>
          </cell>
          <cell r="P8336" t="str">
            <v>80111101-61021306</v>
          </cell>
          <cell r="S8336" t="str">
            <v>2026A-09</v>
          </cell>
          <cell r="T8336" t="str">
            <v>SSS</v>
          </cell>
        </row>
        <row r="8337">
          <cell r="K8337">
            <v>33880</v>
          </cell>
          <cell r="P8337" t="str">
            <v>80111101-61021306</v>
          </cell>
          <cell r="S8337" t="str">
            <v>2026A-09</v>
          </cell>
          <cell r="T8337" t="str">
            <v>Philhealth</v>
          </cell>
        </row>
        <row r="8338">
          <cell r="K8338">
            <v>10395</v>
          </cell>
          <cell r="P8338" t="str">
            <v>80111101-61021306</v>
          </cell>
          <cell r="S8338" t="str">
            <v>2026A-09</v>
          </cell>
          <cell r="T8338" t="str">
            <v>Philhealth</v>
          </cell>
        </row>
        <row r="8339">
          <cell r="K8339">
            <v>195050</v>
          </cell>
          <cell r="P8339" t="str">
            <v>81111101-52121101</v>
          </cell>
          <cell r="S8339" t="str">
            <v>2026A-09</v>
          </cell>
          <cell r="T8339" t="str">
            <v>Regular Employee</v>
          </cell>
        </row>
        <row r="8340">
          <cell r="K8340">
            <v>1024150</v>
          </cell>
          <cell r="P8340" t="str">
            <v>81111101-52121101</v>
          </cell>
          <cell r="S8340" t="str">
            <v>2026A-09</v>
          </cell>
          <cell r="T8340" t="str">
            <v>Regular Employee</v>
          </cell>
        </row>
        <row r="8341">
          <cell r="K8341">
            <v>246450</v>
          </cell>
          <cell r="P8341" t="str">
            <v>81111101-52121101</v>
          </cell>
          <cell r="S8341" t="str">
            <v>2026A-09</v>
          </cell>
          <cell r="T8341" t="str">
            <v>Regular Employee</v>
          </cell>
        </row>
        <row r="8342">
          <cell r="K8342">
            <v>120900</v>
          </cell>
          <cell r="P8342" t="str">
            <v>81111101-52121101</v>
          </cell>
          <cell r="S8342" t="str">
            <v>2026A-09</v>
          </cell>
          <cell r="T8342" t="str">
            <v>Regular Employee</v>
          </cell>
        </row>
        <row r="8343">
          <cell r="K8343">
            <v>14956.68</v>
          </cell>
          <cell r="P8343" t="str">
            <v>81111101-52121101</v>
          </cell>
          <cell r="S8343" t="str">
            <v>2026A-09</v>
          </cell>
          <cell r="T8343" t="str">
            <v>Regular Employee</v>
          </cell>
        </row>
        <row r="8344">
          <cell r="K8344">
            <v>126100</v>
          </cell>
          <cell r="P8344" t="str">
            <v>81111101-52121101</v>
          </cell>
          <cell r="S8344" t="str">
            <v>2026A-09</v>
          </cell>
          <cell r="T8344" t="str">
            <v>Regular Employee</v>
          </cell>
        </row>
        <row r="8345">
          <cell r="K8345">
            <v>1422.15</v>
          </cell>
          <cell r="P8345" t="str">
            <v>81111101-52121101</v>
          </cell>
          <cell r="S8345" t="str">
            <v>2026A-09</v>
          </cell>
          <cell r="T8345" t="str">
            <v>Regular Employee</v>
          </cell>
        </row>
        <row r="8346">
          <cell r="K8346">
            <v>-5322.21</v>
          </cell>
          <cell r="P8346" t="str">
            <v>81111101-52121101</v>
          </cell>
          <cell r="S8346" t="str">
            <v>2026A-09</v>
          </cell>
          <cell r="T8346" t="str">
            <v>Regular Employee</v>
          </cell>
        </row>
        <row r="8347">
          <cell r="K8347">
            <v>916.04</v>
          </cell>
          <cell r="P8347" t="str">
            <v>81111101-52121101</v>
          </cell>
          <cell r="S8347" t="str">
            <v>2026A-09</v>
          </cell>
          <cell r="T8347" t="str">
            <v>Regular Employee</v>
          </cell>
        </row>
        <row r="8348">
          <cell r="K8348">
            <v>-968.71</v>
          </cell>
          <cell r="P8348" t="str">
            <v>81111101-52121101</v>
          </cell>
          <cell r="S8348" t="str">
            <v>2026A-09</v>
          </cell>
          <cell r="T8348" t="str">
            <v>Regular Employee</v>
          </cell>
        </row>
        <row r="8349">
          <cell r="K8349">
            <v>1341.99</v>
          </cell>
          <cell r="P8349" t="str">
            <v>81111101-52121101</v>
          </cell>
          <cell r="S8349" t="str">
            <v>2026A-09</v>
          </cell>
          <cell r="T8349" t="str">
            <v>Regular Employee</v>
          </cell>
        </row>
        <row r="8350">
          <cell r="K8350">
            <v>-2024.45</v>
          </cell>
          <cell r="P8350" t="str">
            <v>81111101-52121101</v>
          </cell>
          <cell r="S8350" t="str">
            <v>2026A-09</v>
          </cell>
          <cell r="T8350" t="str">
            <v>Regular Employee</v>
          </cell>
        </row>
        <row r="8351">
          <cell r="K8351">
            <v>-3251.95</v>
          </cell>
          <cell r="P8351" t="str">
            <v>81111101-52121101</v>
          </cell>
          <cell r="S8351" t="str">
            <v>2026A-09</v>
          </cell>
          <cell r="T8351" t="str">
            <v>Regular Employee</v>
          </cell>
        </row>
        <row r="8352">
          <cell r="K8352">
            <v>7598.57</v>
          </cell>
          <cell r="P8352" t="str">
            <v>81111101-52121101</v>
          </cell>
          <cell r="S8352" t="str">
            <v>2026A-09</v>
          </cell>
          <cell r="T8352" t="str">
            <v>Regular Employee</v>
          </cell>
        </row>
        <row r="8353">
          <cell r="K8353">
            <v>-1832.4</v>
          </cell>
          <cell r="P8353" t="str">
            <v>81111101-52121101</v>
          </cell>
          <cell r="S8353" t="str">
            <v>2026A-09</v>
          </cell>
          <cell r="T8353" t="str">
            <v>Regular Employee</v>
          </cell>
        </row>
        <row r="8354">
          <cell r="K8354">
            <v>-1845.31</v>
          </cell>
          <cell r="P8354" t="str">
            <v>81111101-52121101</v>
          </cell>
          <cell r="S8354" t="str">
            <v>2026A-09</v>
          </cell>
          <cell r="T8354" t="str">
            <v>Regular Employee</v>
          </cell>
        </row>
        <row r="8355">
          <cell r="K8355">
            <v>-183.94</v>
          </cell>
          <cell r="P8355" t="str">
            <v>81111101-52121101</v>
          </cell>
          <cell r="S8355" t="str">
            <v>2026A-09</v>
          </cell>
          <cell r="T8355" t="str">
            <v>Regular Employee</v>
          </cell>
        </row>
        <row r="8356">
          <cell r="K8356">
            <v>-2959.35</v>
          </cell>
          <cell r="P8356" t="str">
            <v>81111101-52121101</v>
          </cell>
          <cell r="S8356" t="str">
            <v>2026A-09</v>
          </cell>
          <cell r="T8356" t="str">
            <v>Regular Employee</v>
          </cell>
        </row>
        <row r="8357">
          <cell r="K8357">
            <v>-916.04</v>
          </cell>
          <cell r="P8357" t="str">
            <v>81111101-52121101</v>
          </cell>
          <cell r="S8357" t="str">
            <v>2026A-09</v>
          </cell>
          <cell r="T8357" t="str">
            <v>Regular Employee</v>
          </cell>
        </row>
        <row r="8358">
          <cell r="K8358">
            <v>-213.22</v>
          </cell>
          <cell r="P8358" t="str">
            <v>81111101-52121101</v>
          </cell>
          <cell r="S8358" t="str">
            <v>2026A-09</v>
          </cell>
          <cell r="T8358" t="str">
            <v>Regular Employee</v>
          </cell>
        </row>
        <row r="8359">
          <cell r="K8359">
            <v>-813.49</v>
          </cell>
          <cell r="P8359" t="str">
            <v>81111101-52121101</v>
          </cell>
          <cell r="S8359" t="str">
            <v>2026A-09</v>
          </cell>
          <cell r="T8359" t="str">
            <v>Regular Employee</v>
          </cell>
        </row>
        <row r="8360">
          <cell r="K8360">
            <v>-821.76</v>
          </cell>
          <cell r="P8360" t="str">
            <v>81111101-52121101</v>
          </cell>
          <cell r="S8360" t="str">
            <v>2026A-09</v>
          </cell>
          <cell r="T8360" t="str">
            <v>Regular Employee</v>
          </cell>
        </row>
        <row r="8361">
          <cell r="K8361">
            <v>-7990.99</v>
          </cell>
          <cell r="P8361" t="str">
            <v>81111101-52121101</v>
          </cell>
          <cell r="S8361" t="str">
            <v>2026A-09</v>
          </cell>
          <cell r="T8361" t="str">
            <v>Regular Employee</v>
          </cell>
        </row>
        <row r="8362">
          <cell r="K8362">
            <v>-2841.63</v>
          </cell>
          <cell r="P8362" t="str">
            <v>81111101-52121101</v>
          </cell>
          <cell r="S8362" t="str">
            <v>2026A-09</v>
          </cell>
          <cell r="T8362" t="str">
            <v>Regular Employee</v>
          </cell>
        </row>
        <row r="8363">
          <cell r="K8363">
            <v>8885.11</v>
          </cell>
          <cell r="P8363" t="str">
            <v>81111101-52121102</v>
          </cell>
          <cell r="S8363" t="str">
            <v>2026A-09</v>
          </cell>
          <cell r="T8363" t="str">
            <v>OT Pay</v>
          </cell>
        </row>
        <row r="8364">
          <cell r="K8364">
            <v>15788.2</v>
          </cell>
          <cell r="P8364" t="str">
            <v>81111101-52121102</v>
          </cell>
          <cell r="S8364" t="str">
            <v>2026A-09</v>
          </cell>
          <cell r="T8364" t="str">
            <v>OT Pay</v>
          </cell>
        </row>
        <row r="8365">
          <cell r="K8365">
            <v>11670.35</v>
          </cell>
          <cell r="P8365" t="str">
            <v>81111101-52121102</v>
          </cell>
          <cell r="S8365" t="str">
            <v>2026A-09</v>
          </cell>
          <cell r="T8365" t="str">
            <v>OT Pay</v>
          </cell>
        </row>
        <row r="8366">
          <cell r="K8366">
            <v>3200</v>
          </cell>
          <cell r="P8366" t="str">
            <v>81111101-52121103</v>
          </cell>
          <cell r="S8366" t="str">
            <v>2026A-09</v>
          </cell>
          <cell r="T8366" t="str">
            <v>OT Pay</v>
          </cell>
        </row>
        <row r="8367">
          <cell r="K8367">
            <v>7600</v>
          </cell>
          <cell r="P8367" t="str">
            <v>81111101-52121103</v>
          </cell>
          <cell r="S8367" t="str">
            <v>2026A-09</v>
          </cell>
          <cell r="T8367" t="str">
            <v>OT Pay</v>
          </cell>
        </row>
        <row r="8368">
          <cell r="K8368">
            <v>4200</v>
          </cell>
          <cell r="P8368" t="str">
            <v>81111101-52121103</v>
          </cell>
          <cell r="S8368" t="str">
            <v>2026A-09</v>
          </cell>
          <cell r="T8368" t="str">
            <v>OT Pay</v>
          </cell>
        </row>
        <row r="8369">
          <cell r="K8369">
            <v>7600</v>
          </cell>
          <cell r="P8369" t="str">
            <v>81111101-52121103</v>
          </cell>
          <cell r="S8369" t="str">
            <v>2026A-09</v>
          </cell>
          <cell r="T8369" t="str">
            <v>OT Pay</v>
          </cell>
        </row>
        <row r="8370">
          <cell r="K8370">
            <v>14000</v>
          </cell>
          <cell r="P8370" t="str">
            <v>81111101-52121103</v>
          </cell>
          <cell r="S8370" t="str">
            <v>2026A-09</v>
          </cell>
          <cell r="T8370" t="str">
            <v>OT Pay</v>
          </cell>
        </row>
        <row r="8371">
          <cell r="K8371">
            <v>45000</v>
          </cell>
          <cell r="P8371" t="str">
            <v>81111101-52121302</v>
          </cell>
          <cell r="S8371" t="str">
            <v>2026A-09</v>
          </cell>
          <cell r="T8371" t="str">
            <v>Medical Allowance</v>
          </cell>
        </row>
        <row r="8372">
          <cell r="K8372">
            <v>210000</v>
          </cell>
          <cell r="P8372" t="str">
            <v>81111101-52121302</v>
          </cell>
          <cell r="S8372" t="str">
            <v>2026A-09</v>
          </cell>
          <cell r="T8372" t="str">
            <v>Medical Allowance</v>
          </cell>
        </row>
        <row r="8373">
          <cell r="K8373">
            <v>80000</v>
          </cell>
          <cell r="P8373" t="str">
            <v>81111101-52121302</v>
          </cell>
          <cell r="S8373" t="str">
            <v>2026A-09</v>
          </cell>
          <cell r="T8373" t="str">
            <v>Medical Allowance</v>
          </cell>
        </row>
        <row r="8374">
          <cell r="K8374">
            <v>25000</v>
          </cell>
          <cell r="P8374" t="str">
            <v>81111101-52121302</v>
          </cell>
          <cell r="S8374" t="str">
            <v>2026A-09</v>
          </cell>
          <cell r="T8374" t="str">
            <v>Medical Allowance</v>
          </cell>
        </row>
        <row r="8375">
          <cell r="K8375">
            <v>25000</v>
          </cell>
          <cell r="P8375" t="str">
            <v>81111101-52121302</v>
          </cell>
          <cell r="S8375" t="str">
            <v>2026A-09</v>
          </cell>
          <cell r="T8375" t="str">
            <v>Medical Allowance</v>
          </cell>
        </row>
        <row r="8376">
          <cell r="K8376">
            <v>1800</v>
          </cell>
          <cell r="P8376" t="str">
            <v>81111101-52121305</v>
          </cell>
          <cell r="S8376" t="str">
            <v>2026A-09</v>
          </cell>
          <cell r="T8376" t="str">
            <v>Pag-ibig</v>
          </cell>
        </row>
        <row r="8377">
          <cell r="K8377">
            <v>9600</v>
          </cell>
          <cell r="P8377" t="str">
            <v>81111101-52121305</v>
          </cell>
          <cell r="S8377" t="str">
            <v>2026A-09</v>
          </cell>
          <cell r="T8377" t="str">
            <v>Pag-ibig</v>
          </cell>
        </row>
        <row r="8378">
          <cell r="K8378">
            <v>20770</v>
          </cell>
          <cell r="P8378" t="str">
            <v>81111101-52121305</v>
          </cell>
          <cell r="S8378" t="str">
            <v>2026A-09</v>
          </cell>
          <cell r="T8378" t="str">
            <v>SSS</v>
          </cell>
        </row>
        <row r="8379">
          <cell r="K8379">
            <v>3400</v>
          </cell>
          <cell r="P8379" t="str">
            <v>81111101-52121305</v>
          </cell>
          <cell r="S8379" t="str">
            <v>2026A-09</v>
          </cell>
          <cell r="T8379" t="str">
            <v>Pag-ibig</v>
          </cell>
        </row>
        <row r="8380">
          <cell r="K8380">
            <v>1200</v>
          </cell>
          <cell r="P8380" t="str">
            <v>81111101-52121305</v>
          </cell>
          <cell r="S8380" t="str">
            <v>2026A-09</v>
          </cell>
          <cell r="T8380" t="str">
            <v>Pag-ibig</v>
          </cell>
        </row>
        <row r="8381">
          <cell r="K8381">
            <v>1000</v>
          </cell>
          <cell r="P8381" t="str">
            <v>81111101-52121305</v>
          </cell>
          <cell r="S8381" t="str">
            <v>2026A-09</v>
          </cell>
          <cell r="T8381" t="str">
            <v>Pag-ibig</v>
          </cell>
        </row>
        <row r="8382">
          <cell r="K8382">
            <v>8690</v>
          </cell>
          <cell r="P8382" t="str">
            <v>81111101-52121305</v>
          </cell>
          <cell r="S8382" t="str">
            <v>2026A-09</v>
          </cell>
          <cell r="T8382" t="str">
            <v>Philhealth</v>
          </cell>
        </row>
        <row r="8383">
          <cell r="K8383">
            <v>33670</v>
          </cell>
          <cell r="P8383" t="str">
            <v>81111101-52121305</v>
          </cell>
          <cell r="S8383" t="str">
            <v>2026A-09</v>
          </cell>
          <cell r="T8383" t="str">
            <v>SSS</v>
          </cell>
        </row>
        <row r="8384">
          <cell r="K8384">
            <v>13560</v>
          </cell>
          <cell r="P8384" t="str">
            <v>81111101-52121305</v>
          </cell>
          <cell r="S8384" t="str">
            <v>2026A-09</v>
          </cell>
          <cell r="T8384" t="str">
            <v>SSS</v>
          </cell>
        </row>
        <row r="8385">
          <cell r="K8385">
            <v>6045</v>
          </cell>
          <cell r="P8385" t="str">
            <v>81111101-52121305</v>
          </cell>
          <cell r="S8385" t="str">
            <v>2026A-09</v>
          </cell>
          <cell r="T8385" t="str">
            <v>Philhealth</v>
          </cell>
        </row>
        <row r="8386">
          <cell r="K8386">
            <v>110940</v>
          </cell>
          <cell r="P8386" t="str">
            <v>81111101-52121305</v>
          </cell>
          <cell r="S8386" t="str">
            <v>2026A-09</v>
          </cell>
          <cell r="T8386" t="str">
            <v>SSS</v>
          </cell>
        </row>
        <row r="8387">
          <cell r="K8387">
            <v>48560</v>
          </cell>
          <cell r="P8387" t="str">
            <v>81111101-52121305</v>
          </cell>
          <cell r="S8387" t="str">
            <v>2026A-09</v>
          </cell>
          <cell r="T8387" t="str">
            <v>Philhealth</v>
          </cell>
        </row>
        <row r="8388">
          <cell r="K8388">
            <v>15300</v>
          </cell>
          <cell r="P8388" t="str">
            <v>81111101-52121305</v>
          </cell>
          <cell r="S8388" t="str">
            <v>2026A-09</v>
          </cell>
          <cell r="T8388" t="str">
            <v>SSS</v>
          </cell>
        </row>
        <row r="8389">
          <cell r="K8389">
            <v>6305</v>
          </cell>
          <cell r="P8389" t="str">
            <v>81111101-52121305</v>
          </cell>
          <cell r="S8389" t="str">
            <v>2026A-09</v>
          </cell>
          <cell r="T8389" t="str">
            <v>Philhealth</v>
          </cell>
        </row>
        <row r="8390">
          <cell r="K8390">
            <v>12322.5</v>
          </cell>
          <cell r="P8390" t="str">
            <v>81111101-52121305</v>
          </cell>
          <cell r="S8390" t="str">
            <v>2026A-09</v>
          </cell>
          <cell r="T8390" t="str">
            <v>Philhealth</v>
          </cell>
        </row>
        <row r="8391">
          <cell r="K8391">
            <v>3600</v>
          </cell>
          <cell r="P8391" t="str">
            <v>90111101-52081103</v>
          </cell>
          <cell r="S8391" t="str">
            <v>2026A-09</v>
          </cell>
          <cell r="T8391" t="str">
            <v>Meal Allowance</v>
          </cell>
        </row>
        <row r="8392">
          <cell r="K8392">
            <v>3143350</v>
          </cell>
          <cell r="P8392" t="str">
            <v>90111101-52121101</v>
          </cell>
          <cell r="S8392" t="str">
            <v>2026A-09</v>
          </cell>
          <cell r="T8392" t="str">
            <v>Regular Employee</v>
          </cell>
        </row>
        <row r="8393">
          <cell r="K8393">
            <v>14610.86</v>
          </cell>
          <cell r="P8393" t="str">
            <v>90111101-52121101</v>
          </cell>
          <cell r="S8393" t="str">
            <v>2026A-09</v>
          </cell>
          <cell r="T8393" t="str">
            <v>Regular Employee</v>
          </cell>
        </row>
        <row r="8394">
          <cell r="K8394">
            <v>-3224.02</v>
          </cell>
          <cell r="P8394" t="str">
            <v>90111101-52121101</v>
          </cell>
          <cell r="S8394" t="str">
            <v>2026A-09</v>
          </cell>
          <cell r="T8394" t="str">
            <v>Regular Employee</v>
          </cell>
        </row>
        <row r="8395">
          <cell r="K8395">
            <v>-389.84</v>
          </cell>
          <cell r="P8395" t="str">
            <v>90111101-52121101</v>
          </cell>
          <cell r="S8395" t="str">
            <v>2026A-09</v>
          </cell>
          <cell r="T8395" t="str">
            <v>Regular Employee</v>
          </cell>
        </row>
        <row r="8396">
          <cell r="K8396">
            <v>-8729.89</v>
          </cell>
          <cell r="P8396" t="str">
            <v>90111101-52121101</v>
          </cell>
          <cell r="S8396" t="str">
            <v>2026A-09</v>
          </cell>
          <cell r="T8396" t="str">
            <v>Regular Employee</v>
          </cell>
        </row>
        <row r="8397">
          <cell r="K8397">
            <v>-3728.29</v>
          </cell>
          <cell r="P8397" t="str">
            <v>90111101-52121101</v>
          </cell>
          <cell r="S8397" t="str">
            <v>2026A-09</v>
          </cell>
          <cell r="T8397" t="str">
            <v>Regular Employee</v>
          </cell>
        </row>
        <row r="8398">
          <cell r="K8398">
            <v>30000</v>
          </cell>
          <cell r="P8398" t="str">
            <v>90111101-52121101</v>
          </cell>
          <cell r="S8398" t="str">
            <v>2026A-09</v>
          </cell>
          <cell r="T8398" t="str">
            <v>Regular Employee</v>
          </cell>
        </row>
        <row r="8399">
          <cell r="K8399">
            <v>503400</v>
          </cell>
          <cell r="P8399" t="str">
            <v>90111101-52121101</v>
          </cell>
          <cell r="S8399" t="str">
            <v>2026A-09</v>
          </cell>
          <cell r="T8399" t="str">
            <v>Regular Employee</v>
          </cell>
        </row>
        <row r="8400">
          <cell r="K8400">
            <v>2224700</v>
          </cell>
          <cell r="P8400" t="str">
            <v>90111101-52121101</v>
          </cell>
          <cell r="S8400" t="str">
            <v>2026A-09</v>
          </cell>
          <cell r="T8400" t="str">
            <v>Regular Employee</v>
          </cell>
        </row>
        <row r="8401">
          <cell r="K8401">
            <v>4735.9399999999996</v>
          </cell>
          <cell r="P8401" t="str">
            <v>90111101-52121101</v>
          </cell>
          <cell r="S8401" t="str">
            <v>2026A-09</v>
          </cell>
          <cell r="T8401" t="str">
            <v>Regular Employee</v>
          </cell>
        </row>
        <row r="8402">
          <cell r="K8402">
            <v>-8639.02</v>
          </cell>
          <cell r="P8402" t="str">
            <v>90111101-52121101</v>
          </cell>
          <cell r="S8402" t="str">
            <v>2026A-09</v>
          </cell>
          <cell r="T8402" t="str">
            <v>Regular Employee</v>
          </cell>
        </row>
        <row r="8403">
          <cell r="K8403">
            <v>-1878.12</v>
          </cell>
          <cell r="P8403" t="str">
            <v>90111101-52121101</v>
          </cell>
          <cell r="S8403" t="str">
            <v>2026A-09</v>
          </cell>
          <cell r="T8403" t="str">
            <v>Regular Employee</v>
          </cell>
        </row>
        <row r="8404">
          <cell r="K8404">
            <v>-43759.33</v>
          </cell>
          <cell r="P8404" t="str">
            <v>90111101-52121101</v>
          </cell>
          <cell r="S8404" t="str">
            <v>2026A-09</v>
          </cell>
          <cell r="T8404" t="str">
            <v>Regular Employee</v>
          </cell>
        </row>
        <row r="8405">
          <cell r="K8405">
            <v>-10181.81</v>
          </cell>
          <cell r="P8405" t="str">
            <v>90111101-52121101</v>
          </cell>
          <cell r="S8405" t="str">
            <v>2026A-09</v>
          </cell>
          <cell r="T8405" t="str">
            <v>Regular Employee</v>
          </cell>
        </row>
        <row r="8406">
          <cell r="K8406">
            <v>1495925</v>
          </cell>
          <cell r="P8406" t="str">
            <v>90111101-52121101</v>
          </cell>
          <cell r="S8406" t="str">
            <v>2026A-09</v>
          </cell>
          <cell r="T8406" t="str">
            <v>Regular Employee</v>
          </cell>
        </row>
        <row r="8407">
          <cell r="K8407">
            <v>37950</v>
          </cell>
          <cell r="P8407" t="str">
            <v>90111101-52121101</v>
          </cell>
          <cell r="S8407" t="str">
            <v>2026A-09</v>
          </cell>
          <cell r="T8407" t="str">
            <v>Regular Employee</v>
          </cell>
        </row>
        <row r="8408">
          <cell r="K8408">
            <v>-432.06</v>
          </cell>
          <cell r="P8408" t="str">
            <v>90111101-52121101</v>
          </cell>
          <cell r="S8408" t="str">
            <v>2026A-09</v>
          </cell>
          <cell r="T8408" t="str">
            <v>Regular Employee</v>
          </cell>
        </row>
        <row r="8409">
          <cell r="K8409">
            <v>526250</v>
          </cell>
          <cell r="P8409" t="str">
            <v>90111101-52121101</v>
          </cell>
          <cell r="S8409" t="str">
            <v>2026A-09</v>
          </cell>
          <cell r="T8409" t="str">
            <v>Regular Employee</v>
          </cell>
        </row>
        <row r="8410">
          <cell r="K8410">
            <v>3357.29</v>
          </cell>
          <cell r="P8410" t="str">
            <v>90111101-52121101</v>
          </cell>
          <cell r="S8410" t="str">
            <v>2026A-09</v>
          </cell>
          <cell r="T8410" t="str">
            <v>Regular Employee</v>
          </cell>
        </row>
        <row r="8411">
          <cell r="K8411">
            <v>-7271.58</v>
          </cell>
          <cell r="P8411" t="str">
            <v>90111101-52121101</v>
          </cell>
          <cell r="S8411" t="str">
            <v>2026A-09</v>
          </cell>
          <cell r="T8411" t="str">
            <v>Regular Employee</v>
          </cell>
        </row>
        <row r="8412">
          <cell r="K8412">
            <v>-60.75</v>
          </cell>
          <cell r="P8412" t="str">
            <v>90111101-52121101</v>
          </cell>
          <cell r="S8412" t="str">
            <v>2026A-09</v>
          </cell>
          <cell r="T8412" t="str">
            <v>Regular Employee</v>
          </cell>
        </row>
        <row r="8413">
          <cell r="K8413">
            <v>-2519.12</v>
          </cell>
          <cell r="P8413" t="str">
            <v>90111101-52121101</v>
          </cell>
          <cell r="S8413" t="str">
            <v>2026A-09</v>
          </cell>
          <cell r="T8413" t="str">
            <v>Regular Employee</v>
          </cell>
        </row>
        <row r="8414">
          <cell r="K8414">
            <v>508600</v>
          </cell>
          <cell r="P8414" t="str">
            <v>90111101-52121101</v>
          </cell>
          <cell r="S8414" t="str">
            <v>2026A-09</v>
          </cell>
          <cell r="T8414" t="str">
            <v>Regular Employee</v>
          </cell>
        </row>
        <row r="8415">
          <cell r="K8415">
            <v>6945.88</v>
          </cell>
          <cell r="P8415" t="str">
            <v>90111101-52121101</v>
          </cell>
          <cell r="S8415" t="str">
            <v>2026A-09</v>
          </cell>
          <cell r="T8415" t="str">
            <v>Regular Employee</v>
          </cell>
        </row>
        <row r="8416">
          <cell r="K8416">
            <v>-1984.68</v>
          </cell>
          <cell r="P8416" t="str">
            <v>90111101-52121101</v>
          </cell>
          <cell r="S8416" t="str">
            <v>2026A-09</v>
          </cell>
          <cell r="T8416" t="str">
            <v>Regular Employee</v>
          </cell>
        </row>
        <row r="8417">
          <cell r="K8417">
            <v>-1291.6199999999999</v>
          </cell>
          <cell r="P8417" t="str">
            <v>90111101-52121101</v>
          </cell>
          <cell r="S8417" t="str">
            <v>2026A-09</v>
          </cell>
          <cell r="T8417" t="str">
            <v>Regular Employee</v>
          </cell>
        </row>
        <row r="8418">
          <cell r="K8418">
            <v>22449.91</v>
          </cell>
          <cell r="P8418" t="str">
            <v>90111101-52121102</v>
          </cell>
          <cell r="S8418" t="str">
            <v>2026A-09</v>
          </cell>
          <cell r="T8418" t="str">
            <v>OT Pay</v>
          </cell>
        </row>
        <row r="8419">
          <cell r="K8419">
            <v>20549.66</v>
          </cell>
          <cell r="P8419" t="str">
            <v>90111101-52121102</v>
          </cell>
          <cell r="S8419" t="str">
            <v>2026A-09</v>
          </cell>
          <cell r="T8419" t="str">
            <v>OT Pay</v>
          </cell>
        </row>
        <row r="8420">
          <cell r="K8420">
            <v>11673.72</v>
          </cell>
          <cell r="P8420" t="str">
            <v>90111101-52121102</v>
          </cell>
          <cell r="S8420" t="str">
            <v>2026A-09</v>
          </cell>
          <cell r="T8420" t="str">
            <v>OT Pay</v>
          </cell>
        </row>
        <row r="8421">
          <cell r="K8421">
            <v>1178.95</v>
          </cell>
          <cell r="P8421" t="str">
            <v>90111101-52121102</v>
          </cell>
          <cell r="S8421" t="str">
            <v>2026A-09</v>
          </cell>
          <cell r="T8421" t="str">
            <v>OT Pay</v>
          </cell>
        </row>
        <row r="8422">
          <cell r="K8422">
            <v>2800</v>
          </cell>
          <cell r="P8422" t="str">
            <v>90111101-52121103</v>
          </cell>
          <cell r="S8422" t="str">
            <v>2026A-09</v>
          </cell>
          <cell r="T8422" t="str">
            <v>OT Pay</v>
          </cell>
        </row>
        <row r="8423">
          <cell r="K8423">
            <v>470000</v>
          </cell>
          <cell r="P8423" t="str">
            <v>90111101-52121302</v>
          </cell>
          <cell r="S8423" t="str">
            <v>2026A-09</v>
          </cell>
          <cell r="T8423" t="str">
            <v>Medical Allowance</v>
          </cell>
        </row>
        <row r="8424">
          <cell r="K8424">
            <v>95000</v>
          </cell>
          <cell r="P8424" t="str">
            <v>90111101-52121302</v>
          </cell>
          <cell r="S8424" t="str">
            <v>2026A-09</v>
          </cell>
          <cell r="T8424" t="str">
            <v>Medical Allowance</v>
          </cell>
        </row>
        <row r="8425">
          <cell r="K8425">
            <v>45000</v>
          </cell>
          <cell r="P8425" t="str">
            <v>90111101-52121302</v>
          </cell>
          <cell r="S8425" t="str">
            <v>2026A-09</v>
          </cell>
          <cell r="T8425" t="str">
            <v>Medical Allowance</v>
          </cell>
        </row>
        <row r="8426">
          <cell r="K8426">
            <v>437500</v>
          </cell>
          <cell r="P8426" t="str">
            <v>90111101-52121302</v>
          </cell>
          <cell r="S8426" t="str">
            <v>2026A-09</v>
          </cell>
          <cell r="T8426" t="str">
            <v>Medical Allowance</v>
          </cell>
        </row>
        <row r="8427">
          <cell r="K8427">
            <v>55000</v>
          </cell>
          <cell r="P8427" t="str">
            <v>90111101-52121302</v>
          </cell>
          <cell r="S8427" t="str">
            <v>2026A-09</v>
          </cell>
          <cell r="T8427" t="str">
            <v>Medical Allowance</v>
          </cell>
        </row>
        <row r="8428">
          <cell r="K8428">
            <v>95000</v>
          </cell>
          <cell r="P8428" t="str">
            <v>90111101-52121302</v>
          </cell>
          <cell r="S8428" t="str">
            <v>2026A-09</v>
          </cell>
          <cell r="T8428" t="str">
            <v>Medical Allowance</v>
          </cell>
        </row>
        <row r="8429">
          <cell r="K8429">
            <v>5000</v>
          </cell>
          <cell r="P8429" t="str">
            <v>90111101-52121302</v>
          </cell>
          <cell r="S8429" t="str">
            <v>2026A-09</v>
          </cell>
          <cell r="T8429" t="str">
            <v>Medical Allowance</v>
          </cell>
        </row>
        <row r="8430">
          <cell r="K8430">
            <v>14200</v>
          </cell>
          <cell r="P8430" t="str">
            <v>90111101-52121305</v>
          </cell>
          <cell r="S8430" t="str">
            <v>2026A-09</v>
          </cell>
          <cell r="T8430" t="str">
            <v>Pag-ibig</v>
          </cell>
        </row>
        <row r="8431">
          <cell r="K8431">
            <v>105670</v>
          </cell>
          <cell r="P8431" t="str">
            <v>90111101-52121305</v>
          </cell>
          <cell r="S8431" t="str">
            <v>2026A-09</v>
          </cell>
          <cell r="T8431" t="str">
            <v>Philhealth</v>
          </cell>
        </row>
        <row r="8432">
          <cell r="K8432">
            <v>1600</v>
          </cell>
          <cell r="P8432" t="str">
            <v>90111101-52121305</v>
          </cell>
          <cell r="S8432" t="str">
            <v>2026A-09</v>
          </cell>
          <cell r="T8432" t="str">
            <v>Pag-ibig</v>
          </cell>
        </row>
        <row r="8433">
          <cell r="K8433">
            <v>13000</v>
          </cell>
          <cell r="P8433" t="str">
            <v>90111101-52121305</v>
          </cell>
          <cell r="S8433" t="str">
            <v>2026A-09</v>
          </cell>
          <cell r="T8433" t="str">
            <v>Pag-ibig</v>
          </cell>
        </row>
        <row r="8434">
          <cell r="K8434">
            <v>1200</v>
          </cell>
          <cell r="P8434" t="str">
            <v>90111101-52121305</v>
          </cell>
          <cell r="S8434" t="str">
            <v>2026A-09</v>
          </cell>
          <cell r="T8434" t="str">
            <v>Pag-ibig</v>
          </cell>
        </row>
        <row r="8435">
          <cell r="K8435">
            <v>400</v>
          </cell>
          <cell r="P8435" t="str">
            <v>90111101-52121305</v>
          </cell>
          <cell r="S8435" t="str">
            <v>2026A-09</v>
          </cell>
          <cell r="T8435" t="str">
            <v>Pag-ibig</v>
          </cell>
        </row>
        <row r="8436">
          <cell r="K8436">
            <v>2000</v>
          </cell>
          <cell r="P8436" t="str">
            <v>90111101-52121305</v>
          </cell>
          <cell r="S8436" t="str">
            <v>2026A-09</v>
          </cell>
          <cell r="T8436" t="str">
            <v>Pag-ibig</v>
          </cell>
        </row>
        <row r="8437">
          <cell r="K8437">
            <v>2600</v>
          </cell>
          <cell r="P8437" t="str">
            <v>90111101-52121305</v>
          </cell>
          <cell r="S8437" t="str">
            <v>2026A-09</v>
          </cell>
          <cell r="T8437" t="str">
            <v>Pag-ibig</v>
          </cell>
        </row>
        <row r="8438">
          <cell r="K8438">
            <v>207360</v>
          </cell>
          <cell r="P8438" t="str">
            <v>90111101-52121305</v>
          </cell>
          <cell r="S8438" t="str">
            <v>2026A-09</v>
          </cell>
          <cell r="T8438" t="str">
            <v>SSS</v>
          </cell>
        </row>
        <row r="8439">
          <cell r="K8439">
            <v>12290</v>
          </cell>
          <cell r="P8439" t="str">
            <v>90111101-52121305</v>
          </cell>
          <cell r="S8439" t="str">
            <v>2026A-09</v>
          </cell>
          <cell r="T8439" t="str">
            <v>Philhealth</v>
          </cell>
        </row>
        <row r="8440">
          <cell r="K8440">
            <v>24090</v>
          </cell>
          <cell r="P8440" t="str">
            <v>90111101-52121305</v>
          </cell>
          <cell r="S8440" t="str">
            <v>2026A-09</v>
          </cell>
          <cell r="T8440" t="str">
            <v>SSS</v>
          </cell>
        </row>
        <row r="8441">
          <cell r="K8441">
            <v>91825</v>
          </cell>
          <cell r="P8441" t="str">
            <v>90111101-52121305</v>
          </cell>
          <cell r="S8441" t="str">
            <v>2026A-09</v>
          </cell>
          <cell r="T8441" t="str">
            <v>Philhealth</v>
          </cell>
        </row>
        <row r="8442">
          <cell r="K8442">
            <v>188200</v>
          </cell>
          <cell r="P8442" t="str">
            <v>90111101-52121305</v>
          </cell>
          <cell r="S8442" t="str">
            <v>2026A-09</v>
          </cell>
          <cell r="T8442" t="str">
            <v>SSS</v>
          </cell>
        </row>
        <row r="8443">
          <cell r="K8443">
            <v>14000</v>
          </cell>
          <cell r="P8443" t="str">
            <v>90111101-52121305</v>
          </cell>
          <cell r="S8443" t="str">
            <v>2026A-09</v>
          </cell>
          <cell r="T8443" t="str">
            <v>Philhealth</v>
          </cell>
        </row>
        <row r="8444">
          <cell r="K8444">
            <v>21180</v>
          </cell>
          <cell r="P8444" t="str">
            <v>90111101-52121305</v>
          </cell>
          <cell r="S8444" t="str">
            <v>2026A-09</v>
          </cell>
          <cell r="T8444" t="str">
            <v>SSS</v>
          </cell>
        </row>
        <row r="8445">
          <cell r="K8445">
            <v>1897.5</v>
          </cell>
          <cell r="P8445" t="str">
            <v>90111101-52121305</v>
          </cell>
          <cell r="S8445" t="str">
            <v>2026A-09</v>
          </cell>
          <cell r="T8445" t="str">
            <v>Philhealth</v>
          </cell>
        </row>
        <row r="8446">
          <cell r="K8446">
            <v>4290</v>
          </cell>
          <cell r="P8446" t="str">
            <v>90111101-52121305</v>
          </cell>
          <cell r="S8446" t="str">
            <v>2026A-09</v>
          </cell>
          <cell r="T8446" t="str">
            <v>SSS</v>
          </cell>
        </row>
        <row r="8447">
          <cell r="K8447">
            <v>16972.5</v>
          </cell>
          <cell r="P8447" t="str">
            <v>90111101-52121305</v>
          </cell>
          <cell r="S8447" t="str">
            <v>2026A-09</v>
          </cell>
          <cell r="T8447" t="str">
            <v>Philhealth</v>
          </cell>
        </row>
        <row r="8448">
          <cell r="K8448">
            <v>31850</v>
          </cell>
          <cell r="P8448" t="str">
            <v>90111101-52121305</v>
          </cell>
          <cell r="S8448" t="str">
            <v>2026A-09</v>
          </cell>
          <cell r="T8448" t="str">
            <v>SSS</v>
          </cell>
        </row>
        <row r="8449">
          <cell r="K8449">
            <v>20280</v>
          </cell>
          <cell r="P8449" t="str">
            <v>90111101-52121305</v>
          </cell>
          <cell r="S8449" t="str">
            <v>2026A-09</v>
          </cell>
          <cell r="T8449" t="str">
            <v>Philhealth</v>
          </cell>
        </row>
        <row r="8450">
          <cell r="K8450">
            <v>38520</v>
          </cell>
          <cell r="P8450" t="str">
            <v>90111101-52121305</v>
          </cell>
          <cell r="S8450" t="str">
            <v>2026A-09</v>
          </cell>
          <cell r="T8450" t="str">
            <v>SSS</v>
          </cell>
        </row>
        <row r="8451">
          <cell r="K8451">
            <v>117.86</v>
          </cell>
          <cell r="P8451" t="str">
            <v>81123102-52111101</v>
          </cell>
          <cell r="S8451" t="str">
            <v>2026A-09</v>
          </cell>
          <cell r="T8451" t="str">
            <v>Office Supplies - Others</v>
          </cell>
        </row>
        <row r="8452">
          <cell r="K8452">
            <v>147.32</v>
          </cell>
          <cell r="P8452" t="str">
            <v>81123102-52111101</v>
          </cell>
          <cell r="S8452" t="str">
            <v>2026A-09</v>
          </cell>
          <cell r="T8452" t="str">
            <v>Office Supplies - Others</v>
          </cell>
        </row>
        <row r="8453">
          <cell r="K8453">
            <v>62.5</v>
          </cell>
          <cell r="P8453" t="str">
            <v>81123102-52111101</v>
          </cell>
          <cell r="S8453" t="str">
            <v>2026A-09</v>
          </cell>
          <cell r="T8453" t="str">
            <v>Office Supplies - Others</v>
          </cell>
        </row>
        <row r="8454">
          <cell r="K8454">
            <v>51.56</v>
          </cell>
          <cell r="P8454" t="str">
            <v>81123102-52111101</v>
          </cell>
          <cell r="S8454" t="str">
            <v>2026A-09</v>
          </cell>
          <cell r="T8454" t="str">
            <v>Office Supplies - Others</v>
          </cell>
        </row>
        <row r="8455">
          <cell r="K8455">
            <v>50</v>
          </cell>
          <cell r="P8455" t="str">
            <v>81123102-52111101</v>
          </cell>
          <cell r="S8455" t="str">
            <v>2026A-09</v>
          </cell>
          <cell r="T8455" t="str">
            <v>Office Supplies - Others</v>
          </cell>
        </row>
        <row r="8456">
          <cell r="K8456">
            <v>43.75</v>
          </cell>
          <cell r="P8456" t="str">
            <v>81123102-52111101</v>
          </cell>
          <cell r="S8456" t="str">
            <v>2026A-09</v>
          </cell>
          <cell r="T8456" t="str">
            <v>Office Supplies - Others</v>
          </cell>
        </row>
        <row r="8457">
          <cell r="K8457">
            <v>160.71</v>
          </cell>
          <cell r="P8457" t="str">
            <v>81123102-52111101</v>
          </cell>
          <cell r="S8457" t="str">
            <v>2026A-09</v>
          </cell>
          <cell r="T8457" t="str">
            <v>Office Supplies - Others</v>
          </cell>
        </row>
        <row r="8458">
          <cell r="K8458">
            <v>35.71</v>
          </cell>
          <cell r="P8458" t="str">
            <v>81123102-52111101</v>
          </cell>
          <cell r="S8458" t="str">
            <v>2026A-09</v>
          </cell>
          <cell r="T8458" t="str">
            <v>Office Supplies - Others</v>
          </cell>
        </row>
        <row r="8459">
          <cell r="K8459">
            <v>257.14</v>
          </cell>
          <cell r="P8459" t="str">
            <v>81123102-52111101</v>
          </cell>
          <cell r="S8459" t="str">
            <v>2026A-09</v>
          </cell>
          <cell r="T8459" t="str">
            <v>Office Supplies - Others</v>
          </cell>
        </row>
        <row r="8460">
          <cell r="K8460">
            <v>691.96</v>
          </cell>
          <cell r="P8460" t="str">
            <v>81123102-52111101</v>
          </cell>
          <cell r="S8460" t="str">
            <v>2026A-09</v>
          </cell>
          <cell r="T8460" t="str">
            <v>Office Supplies - Others</v>
          </cell>
        </row>
        <row r="8461">
          <cell r="K8461">
            <v>156.25</v>
          </cell>
          <cell r="P8461" t="str">
            <v>81123102-52111101</v>
          </cell>
          <cell r="S8461" t="str">
            <v>2026A-09</v>
          </cell>
          <cell r="T8461" t="str">
            <v>Office Supplies - Others</v>
          </cell>
        </row>
        <row r="8462">
          <cell r="K8462">
            <v>81.430000000000007</v>
          </cell>
          <cell r="P8462" t="str">
            <v>81123102-52111101</v>
          </cell>
          <cell r="S8462" t="str">
            <v>2026A-09</v>
          </cell>
          <cell r="T8462" t="str">
            <v>Office Supplies - Others</v>
          </cell>
        </row>
        <row r="8463">
          <cell r="K8463">
            <v>337.5</v>
          </cell>
          <cell r="P8463" t="str">
            <v>81123102-52111101</v>
          </cell>
          <cell r="S8463" t="str">
            <v>2026A-09</v>
          </cell>
          <cell r="T8463" t="str">
            <v>Office Supplies - Others</v>
          </cell>
        </row>
        <row r="8464">
          <cell r="K8464">
            <v>696.43</v>
          </cell>
          <cell r="P8464" t="str">
            <v>81123102-52111101</v>
          </cell>
          <cell r="S8464" t="str">
            <v>2026A-09</v>
          </cell>
          <cell r="T8464" t="str">
            <v>Office Supplies - Others</v>
          </cell>
        </row>
        <row r="8465">
          <cell r="K8465">
            <v>803.57</v>
          </cell>
          <cell r="P8465" t="str">
            <v>81123102-52111101</v>
          </cell>
          <cell r="S8465" t="str">
            <v>2026A-09</v>
          </cell>
          <cell r="T8465" t="str">
            <v>Office Supplies - Others</v>
          </cell>
        </row>
        <row r="8466">
          <cell r="K8466">
            <v>174.11</v>
          </cell>
          <cell r="P8466" t="str">
            <v>81123102-52111101</v>
          </cell>
          <cell r="S8466" t="str">
            <v>2026A-09</v>
          </cell>
          <cell r="T8466" t="str">
            <v>Office Supplies - Others</v>
          </cell>
        </row>
        <row r="8467">
          <cell r="K8467">
            <v>643</v>
          </cell>
          <cell r="P8467" t="str">
            <v>81122101-52952101</v>
          </cell>
          <cell r="S8467" t="str">
            <v>2026A-09</v>
          </cell>
          <cell r="T8467" t="str">
            <v>PRC</v>
          </cell>
        </row>
        <row r="8468">
          <cell r="K8468">
            <v>2011187.5</v>
          </cell>
          <cell r="P8468" t="str">
            <v>90122101-52071104</v>
          </cell>
          <cell r="S8468" t="str">
            <v>2026A-09</v>
          </cell>
          <cell r="T8468" t="str">
            <v>OLC INTCNSLTNT</v>
          </cell>
        </row>
        <row r="8469">
          <cell r="K8469">
            <v>7589.29</v>
          </cell>
          <cell r="P8469" t="str">
            <v>81124101-52061109</v>
          </cell>
          <cell r="S8469" t="str">
            <v>2026A-09</v>
          </cell>
          <cell r="T8469" t="str">
            <v>Laptop Repair</v>
          </cell>
        </row>
        <row r="8470">
          <cell r="K8470">
            <v>1339.29</v>
          </cell>
          <cell r="P8470" t="str">
            <v>81124101-52061109</v>
          </cell>
          <cell r="S8470" t="str">
            <v>2026A-09</v>
          </cell>
          <cell r="T8470" t="str">
            <v>Laptop Repair</v>
          </cell>
        </row>
        <row r="8471">
          <cell r="K8471">
            <v>-1498.06</v>
          </cell>
          <cell r="P8471" t="str">
            <v>81123102-52951101</v>
          </cell>
          <cell r="S8471" t="str">
            <v>2026A-09</v>
          </cell>
          <cell r="T8471" t="str">
            <v>Mobile Phones</v>
          </cell>
        </row>
        <row r="8472">
          <cell r="K8472">
            <v>-655.94</v>
          </cell>
          <cell r="P8472" t="str">
            <v>81123102-52951101</v>
          </cell>
          <cell r="S8472" t="str">
            <v>2026A-09</v>
          </cell>
          <cell r="T8472" t="str">
            <v>Mobile Phones</v>
          </cell>
        </row>
        <row r="8473">
          <cell r="K8473">
            <v>-689.43</v>
          </cell>
          <cell r="P8473" t="str">
            <v>81123102-52951101</v>
          </cell>
          <cell r="S8473" t="str">
            <v>2026A-09</v>
          </cell>
          <cell r="T8473" t="str">
            <v>Mobile Phones</v>
          </cell>
        </row>
        <row r="8474">
          <cell r="K8474">
            <v>-1534.06</v>
          </cell>
          <cell r="P8474" t="str">
            <v>81123102-52951101</v>
          </cell>
          <cell r="S8474" t="str">
            <v>2026A-09</v>
          </cell>
          <cell r="T8474" t="str">
            <v>Mobile Phones</v>
          </cell>
        </row>
        <row r="8475">
          <cell r="K8475">
            <v>1498.06</v>
          </cell>
          <cell r="P8475" t="str">
            <v>81123102-52951101</v>
          </cell>
          <cell r="S8475" t="str">
            <v>2026A-09</v>
          </cell>
          <cell r="T8475" t="str">
            <v>Mobile Phones</v>
          </cell>
        </row>
        <row r="8476">
          <cell r="K8476">
            <v>655.94</v>
          </cell>
          <cell r="P8476" t="str">
            <v>81123102-52951101</v>
          </cell>
          <cell r="S8476" t="str">
            <v>2026A-09</v>
          </cell>
          <cell r="T8476" t="str">
            <v>Mobile Phones</v>
          </cell>
        </row>
        <row r="8477">
          <cell r="K8477">
            <v>689.43</v>
          </cell>
          <cell r="P8477" t="str">
            <v>81123102-52951101</v>
          </cell>
          <cell r="S8477" t="str">
            <v>2026A-09</v>
          </cell>
          <cell r="T8477" t="str">
            <v>Mobile Phones</v>
          </cell>
        </row>
        <row r="8478">
          <cell r="K8478">
            <v>1534.06</v>
          </cell>
          <cell r="P8478" t="str">
            <v>81123102-52951101</v>
          </cell>
          <cell r="S8478" t="str">
            <v>2026A-09</v>
          </cell>
          <cell r="T8478" t="str">
            <v>Mobile Phones</v>
          </cell>
        </row>
        <row r="8479">
          <cell r="K8479">
            <v>-55.81</v>
          </cell>
          <cell r="P8479" t="str">
            <v>81123102-52951101</v>
          </cell>
          <cell r="S8479" t="str">
            <v>2026A-09</v>
          </cell>
          <cell r="T8479" t="str">
            <v>Mobile Phones</v>
          </cell>
        </row>
        <row r="8480">
          <cell r="K8480">
            <v>-200</v>
          </cell>
          <cell r="P8480" t="str">
            <v>81123102-52951101</v>
          </cell>
          <cell r="S8480" t="str">
            <v>2026A-09</v>
          </cell>
          <cell r="T8480" t="str">
            <v>Mobile Phones</v>
          </cell>
        </row>
        <row r="8481">
          <cell r="K8481">
            <v>-198</v>
          </cell>
          <cell r="P8481" t="str">
            <v>81123102-52951101</v>
          </cell>
          <cell r="S8481" t="str">
            <v>2026A-09</v>
          </cell>
          <cell r="T8481" t="str">
            <v>Mobile Phones</v>
          </cell>
        </row>
        <row r="8482">
          <cell r="K8482">
            <v>-100.61</v>
          </cell>
          <cell r="P8482" t="str">
            <v>81123102-52951101</v>
          </cell>
          <cell r="S8482" t="str">
            <v>2026A-09</v>
          </cell>
          <cell r="T8482" t="str">
            <v>Mobile Phones</v>
          </cell>
        </row>
        <row r="8483">
          <cell r="K8483">
            <v>-879.3</v>
          </cell>
          <cell r="P8483" t="str">
            <v>81123102-52951101</v>
          </cell>
          <cell r="S8483" t="str">
            <v>2026A-09</v>
          </cell>
          <cell r="T8483" t="str">
            <v>Mobile Phones</v>
          </cell>
        </row>
        <row r="8484">
          <cell r="K8484">
            <v>-98</v>
          </cell>
          <cell r="P8484" t="str">
            <v>81123102-52951101</v>
          </cell>
          <cell r="S8484" t="str">
            <v>2026A-09</v>
          </cell>
          <cell r="T8484" t="str">
            <v>Mobile Phones</v>
          </cell>
        </row>
        <row r="8485">
          <cell r="K8485">
            <v>-1500</v>
          </cell>
          <cell r="P8485" t="str">
            <v>81123102-52951101</v>
          </cell>
          <cell r="S8485" t="str">
            <v>2026A-09</v>
          </cell>
          <cell r="T8485" t="str">
            <v>Mobile Phones</v>
          </cell>
        </row>
        <row r="8486">
          <cell r="K8486">
            <v>-1392</v>
          </cell>
          <cell r="P8486" t="str">
            <v>81123102-52951101</v>
          </cell>
          <cell r="S8486" t="str">
            <v>2026A-09</v>
          </cell>
          <cell r="T8486" t="str">
            <v>Mobile Phones</v>
          </cell>
        </row>
        <row r="8487">
          <cell r="K8487">
            <v>-1500</v>
          </cell>
          <cell r="P8487" t="str">
            <v>81123102-52951101</v>
          </cell>
          <cell r="S8487" t="str">
            <v>2026A-09</v>
          </cell>
          <cell r="T8487" t="str">
            <v>Mobile Phones</v>
          </cell>
        </row>
        <row r="8488">
          <cell r="K8488">
            <v>-102.21</v>
          </cell>
          <cell r="P8488" t="str">
            <v>81123102-52951101</v>
          </cell>
          <cell r="S8488" t="str">
            <v>2026A-09</v>
          </cell>
          <cell r="T8488" t="str">
            <v>Mobile Phones</v>
          </cell>
        </row>
        <row r="8489">
          <cell r="K8489">
            <v>-198</v>
          </cell>
          <cell r="P8489" t="str">
            <v>81123102-52951101</v>
          </cell>
          <cell r="S8489" t="str">
            <v>2026A-09</v>
          </cell>
          <cell r="T8489" t="str">
            <v>Mobile Phones</v>
          </cell>
        </row>
        <row r="8490">
          <cell r="K8490">
            <v>-399</v>
          </cell>
          <cell r="P8490" t="str">
            <v>81123102-52951101</v>
          </cell>
          <cell r="S8490" t="str">
            <v>2026A-09</v>
          </cell>
          <cell r="T8490" t="str">
            <v>Mobile Phones</v>
          </cell>
        </row>
        <row r="8491">
          <cell r="K8491">
            <v>-1498.06</v>
          </cell>
          <cell r="P8491" t="str">
            <v>81123102-52951101</v>
          </cell>
          <cell r="S8491" t="str">
            <v>2026A-09</v>
          </cell>
          <cell r="T8491" t="str">
            <v>Mobile Phones</v>
          </cell>
        </row>
        <row r="8492">
          <cell r="K8492">
            <v>-655.94</v>
          </cell>
          <cell r="P8492" t="str">
            <v>81123102-52951101</v>
          </cell>
          <cell r="S8492" t="str">
            <v>2026A-09</v>
          </cell>
          <cell r="T8492" t="str">
            <v>Mobile Phones</v>
          </cell>
        </row>
        <row r="8493">
          <cell r="K8493">
            <v>-689.43</v>
          </cell>
          <cell r="P8493" t="str">
            <v>81123102-52951101</v>
          </cell>
          <cell r="S8493" t="str">
            <v>2026A-09</v>
          </cell>
          <cell r="T8493" t="str">
            <v>Mobile Phones</v>
          </cell>
        </row>
        <row r="8494">
          <cell r="K8494">
            <v>-1534.06</v>
          </cell>
          <cell r="P8494" t="str">
            <v>81123102-52951101</v>
          </cell>
          <cell r="S8494" t="str">
            <v>2026A-09</v>
          </cell>
          <cell r="T8494" t="str">
            <v>Mobile Phones</v>
          </cell>
        </row>
        <row r="8495">
          <cell r="K8495">
            <v>32142.86</v>
          </cell>
          <cell r="P8495" t="str">
            <v>81123102-52061103</v>
          </cell>
          <cell r="S8495" t="str">
            <v>2026A-09</v>
          </cell>
          <cell r="T8495" t="str">
            <v>R&amp;M - F&amp;F</v>
          </cell>
        </row>
        <row r="8496">
          <cell r="K8496">
            <v>15178.57</v>
          </cell>
          <cell r="P8496" t="str">
            <v>81123102-52111101</v>
          </cell>
          <cell r="S8496" t="str">
            <v>2026A-09</v>
          </cell>
          <cell r="T8496" t="str">
            <v>Toner/ink</v>
          </cell>
        </row>
        <row r="8497">
          <cell r="K8497">
            <v>2642.86</v>
          </cell>
          <cell r="P8497" t="str">
            <v>81123102-52111101</v>
          </cell>
          <cell r="S8497" t="str">
            <v>2026A-09</v>
          </cell>
          <cell r="T8497" t="str">
            <v>Office Supplies - Others</v>
          </cell>
        </row>
        <row r="8498">
          <cell r="K8498">
            <v>553.57000000000005</v>
          </cell>
          <cell r="P8498" t="str">
            <v>81123102-52111101</v>
          </cell>
          <cell r="S8498" t="str">
            <v>2026A-09</v>
          </cell>
          <cell r="T8498" t="str">
            <v>Office Supplies - Others</v>
          </cell>
        </row>
        <row r="8499">
          <cell r="K8499">
            <v>33482.14</v>
          </cell>
          <cell r="P8499" t="str">
            <v>81123102-52111101</v>
          </cell>
          <cell r="S8499" t="str">
            <v>2026A-09</v>
          </cell>
          <cell r="T8499" t="str">
            <v>Office Supplies - Others</v>
          </cell>
        </row>
        <row r="8500">
          <cell r="K8500">
            <v>7000</v>
          </cell>
          <cell r="P8500" t="str">
            <v>80123101-61071005</v>
          </cell>
          <cell r="S8500" t="str">
            <v>2026A-09</v>
          </cell>
          <cell r="T8500" t="str">
            <v>Corpuz</v>
          </cell>
        </row>
        <row r="8501">
          <cell r="K8501">
            <v>2231.25</v>
          </cell>
          <cell r="P8501" t="str">
            <v>80123102-61721101</v>
          </cell>
          <cell r="S8501" t="str">
            <v>2026A-09</v>
          </cell>
          <cell r="T8501" t="str">
            <v>Phone - MDIA</v>
          </cell>
        </row>
        <row r="8502">
          <cell r="K8502">
            <v>2231.25</v>
          </cell>
          <cell r="P8502" t="str">
            <v>80123102-61721101</v>
          </cell>
          <cell r="S8502" t="str">
            <v>2026A-09</v>
          </cell>
          <cell r="T8502" t="str">
            <v>Phone - JHJ</v>
          </cell>
        </row>
        <row r="8503">
          <cell r="K8503">
            <v>-213</v>
          </cell>
          <cell r="P8503" t="str">
            <v>81123102-52951101</v>
          </cell>
          <cell r="S8503" t="str">
            <v>2026A-09</v>
          </cell>
          <cell r="T8503" t="str">
            <v>Mobile Phones</v>
          </cell>
        </row>
        <row r="8504">
          <cell r="K8504">
            <v>-664.6</v>
          </cell>
          <cell r="P8504" t="str">
            <v>81123102-52951101</v>
          </cell>
          <cell r="S8504" t="str">
            <v>2026A-09</v>
          </cell>
          <cell r="T8504" t="str">
            <v>Mobile Phones</v>
          </cell>
        </row>
        <row r="8505">
          <cell r="K8505">
            <v>-1492.2</v>
          </cell>
          <cell r="P8505" t="str">
            <v>81123102-52951101</v>
          </cell>
          <cell r="S8505" t="str">
            <v>2026A-09</v>
          </cell>
          <cell r="T8505" t="str">
            <v>Mobile Phones</v>
          </cell>
        </row>
        <row r="8506">
          <cell r="K8506">
            <v>-318.94</v>
          </cell>
          <cell r="P8506" t="str">
            <v>81123102-52951101</v>
          </cell>
          <cell r="S8506" t="str">
            <v>2026A-09</v>
          </cell>
          <cell r="T8506" t="str">
            <v>Mobile Phones</v>
          </cell>
        </row>
        <row r="8507">
          <cell r="K8507">
            <v>-597</v>
          </cell>
          <cell r="P8507" t="str">
            <v>81123102-52951101</v>
          </cell>
          <cell r="S8507" t="str">
            <v>2026A-09</v>
          </cell>
          <cell r="T8507" t="str">
            <v>Mobile Phones</v>
          </cell>
        </row>
        <row r="8508">
          <cell r="K8508">
            <v>-597</v>
          </cell>
          <cell r="P8508" t="str">
            <v>81123102-52951101</v>
          </cell>
          <cell r="S8508" t="str">
            <v>2026A-09</v>
          </cell>
          <cell r="T8508" t="str">
            <v>Mobile Phones</v>
          </cell>
        </row>
        <row r="8509">
          <cell r="K8509">
            <v>-1498.99</v>
          </cell>
          <cell r="P8509" t="str">
            <v>81123102-52951101</v>
          </cell>
          <cell r="S8509" t="str">
            <v>2026A-09</v>
          </cell>
          <cell r="T8509" t="str">
            <v>Mobile Phones</v>
          </cell>
        </row>
        <row r="8510">
          <cell r="K8510">
            <v>-1497.89</v>
          </cell>
          <cell r="P8510" t="str">
            <v>81123102-52951101</v>
          </cell>
          <cell r="S8510" t="str">
            <v>2026A-09</v>
          </cell>
          <cell r="T8510" t="str">
            <v>Mobile Phones</v>
          </cell>
        </row>
        <row r="8511">
          <cell r="K8511">
            <v>-1196.07</v>
          </cell>
          <cell r="P8511" t="str">
            <v>81123102-52951101</v>
          </cell>
          <cell r="S8511" t="str">
            <v>2026A-09</v>
          </cell>
          <cell r="T8511" t="str">
            <v>Mobile Phones</v>
          </cell>
        </row>
        <row r="8512">
          <cell r="K8512">
            <v>1285.71</v>
          </cell>
          <cell r="P8512" t="str">
            <v>81319101-52111101</v>
          </cell>
          <cell r="S8512" t="str">
            <v>2026A-09</v>
          </cell>
          <cell r="T8512" t="str">
            <v>GH</v>
          </cell>
        </row>
        <row r="8513">
          <cell r="K8513">
            <v>3125</v>
          </cell>
          <cell r="P8513" t="str">
            <v>81319101-52111101</v>
          </cell>
          <cell r="S8513" t="str">
            <v>2026A-09</v>
          </cell>
          <cell r="T8513" t="str">
            <v>GH</v>
          </cell>
        </row>
        <row r="8514">
          <cell r="K8514">
            <v>2142.86</v>
          </cell>
          <cell r="P8514" t="str">
            <v>81319101-52111101</v>
          </cell>
          <cell r="S8514" t="str">
            <v>2026A-09</v>
          </cell>
          <cell r="T8514" t="str">
            <v>GH</v>
          </cell>
        </row>
        <row r="8515">
          <cell r="K8515">
            <v>22321.43</v>
          </cell>
          <cell r="P8515" t="str">
            <v>81319101-52111101</v>
          </cell>
          <cell r="S8515" t="str">
            <v>2026A-09</v>
          </cell>
          <cell r="T8515" t="str">
            <v>GH</v>
          </cell>
        </row>
        <row r="8516">
          <cell r="K8516">
            <v>14317.74</v>
          </cell>
          <cell r="P8516" t="str">
            <v>81111101-52121101</v>
          </cell>
          <cell r="S8516" t="str">
            <v>2026A-09</v>
          </cell>
          <cell r="T8516" t="str">
            <v>Regular Employee</v>
          </cell>
        </row>
        <row r="8517">
          <cell r="K8517">
            <v>-1729.03</v>
          </cell>
          <cell r="P8517" t="str">
            <v>81111101-52121101</v>
          </cell>
          <cell r="S8517" t="str">
            <v>2026A-09</v>
          </cell>
          <cell r="T8517" t="str">
            <v>Regular Employee</v>
          </cell>
        </row>
        <row r="8518">
          <cell r="K8518">
            <v>-1935.77</v>
          </cell>
          <cell r="P8518" t="str">
            <v>81111101-52121101</v>
          </cell>
          <cell r="S8518" t="str">
            <v>2026A-09</v>
          </cell>
          <cell r="T8518" t="str">
            <v>Regular Employee</v>
          </cell>
        </row>
        <row r="8519">
          <cell r="K8519">
            <v>21550</v>
          </cell>
          <cell r="P8519" t="str">
            <v>81111101-52121101</v>
          </cell>
          <cell r="S8519" t="str">
            <v>2026A-09</v>
          </cell>
          <cell r="T8519" t="str">
            <v>Regular Employee</v>
          </cell>
        </row>
        <row r="8520">
          <cell r="K8520">
            <v>17766.63</v>
          </cell>
          <cell r="P8520" t="str">
            <v>81111101-52121101</v>
          </cell>
          <cell r="S8520" t="str">
            <v>2026A-09</v>
          </cell>
          <cell r="T8520" t="str">
            <v>Regular Employee</v>
          </cell>
        </row>
        <row r="8521">
          <cell r="K8521">
            <v>-16779.599999999999</v>
          </cell>
          <cell r="P8521" t="str">
            <v>81111101-52121101</v>
          </cell>
          <cell r="S8521" t="str">
            <v>2026A-09</v>
          </cell>
          <cell r="T8521" t="str">
            <v>Regular Employee</v>
          </cell>
        </row>
        <row r="8522">
          <cell r="K8522">
            <v>14196.18</v>
          </cell>
          <cell r="P8522" t="str">
            <v>81111101-52121101</v>
          </cell>
          <cell r="S8522" t="str">
            <v>2026A-09</v>
          </cell>
          <cell r="T8522" t="str">
            <v>Regular Employee</v>
          </cell>
        </row>
        <row r="8523">
          <cell r="K8523">
            <v>-562.61</v>
          </cell>
          <cell r="P8523" t="str">
            <v>81111101-52121101</v>
          </cell>
          <cell r="S8523" t="str">
            <v>2026A-09</v>
          </cell>
          <cell r="T8523" t="str">
            <v>Regular Employee</v>
          </cell>
        </row>
        <row r="8524">
          <cell r="K8524">
            <v>-5034.67</v>
          </cell>
          <cell r="P8524" t="str">
            <v>81111101-52121104</v>
          </cell>
          <cell r="S8524" t="str">
            <v>2026A-09</v>
          </cell>
          <cell r="T8524" t="str">
            <v>Guaranteed Bonus</v>
          </cell>
        </row>
        <row r="8525">
          <cell r="K8525">
            <v>18167</v>
          </cell>
          <cell r="P8525" t="str">
            <v>81111101-52121104</v>
          </cell>
          <cell r="S8525" t="str">
            <v>2026A-09</v>
          </cell>
          <cell r="T8525" t="str">
            <v>Guaranteed Bonus</v>
          </cell>
        </row>
        <row r="8526">
          <cell r="K8526">
            <v>21166.67</v>
          </cell>
          <cell r="P8526" t="str">
            <v>81111101-52121104</v>
          </cell>
          <cell r="S8526" t="str">
            <v>2026A-09</v>
          </cell>
          <cell r="T8526" t="str">
            <v>Guaranteed Bonus</v>
          </cell>
        </row>
        <row r="8527">
          <cell r="K8527">
            <v>3383.33</v>
          </cell>
          <cell r="P8527" t="str">
            <v>81111101-52121104</v>
          </cell>
          <cell r="S8527" t="str">
            <v>2026A-09</v>
          </cell>
          <cell r="T8527" t="str">
            <v>Guaranteed Bonus</v>
          </cell>
        </row>
        <row r="8528">
          <cell r="K8528">
            <v>7625.95</v>
          </cell>
          <cell r="P8528" t="str">
            <v>81111101-52121106</v>
          </cell>
          <cell r="S8528" t="str">
            <v>2026A-09</v>
          </cell>
          <cell r="T8528" t="str">
            <v>Leave Encashment</v>
          </cell>
        </row>
        <row r="8529">
          <cell r="K8529">
            <v>2916.67</v>
          </cell>
          <cell r="P8529" t="str">
            <v>81111101-52121302</v>
          </cell>
          <cell r="S8529" t="str">
            <v>2026A-09</v>
          </cell>
          <cell r="T8529" t="str">
            <v>Medical Allowance</v>
          </cell>
        </row>
        <row r="8530">
          <cell r="K8530">
            <v>3398.81</v>
          </cell>
          <cell r="P8530" t="str">
            <v>90111204-61091101</v>
          </cell>
          <cell r="S8530" t="str">
            <v>2026A-09</v>
          </cell>
          <cell r="T8530" t="str">
            <v>Meetings</v>
          </cell>
        </row>
        <row r="8531">
          <cell r="K8531">
            <v>1699.4</v>
          </cell>
          <cell r="P8531" t="str">
            <v>90111204-61091101</v>
          </cell>
          <cell r="S8531" t="str">
            <v>2026A-09</v>
          </cell>
          <cell r="T8531" t="str">
            <v>Meetings</v>
          </cell>
        </row>
        <row r="8532">
          <cell r="K8532">
            <v>475.83</v>
          </cell>
          <cell r="P8532" t="str">
            <v>90111204-61091101</v>
          </cell>
          <cell r="S8532" t="str">
            <v>2026A-09</v>
          </cell>
          <cell r="T8532" t="str">
            <v>Meetings</v>
          </cell>
        </row>
        <row r="8533">
          <cell r="K8533">
            <v>-339.88</v>
          </cell>
          <cell r="P8533" t="str">
            <v>90111204-61091101</v>
          </cell>
          <cell r="S8533" t="str">
            <v>2026A-09</v>
          </cell>
          <cell r="T8533" t="str">
            <v>Meetings</v>
          </cell>
        </row>
        <row r="8534">
          <cell r="K8534">
            <v>40178.57</v>
          </cell>
          <cell r="P8534" t="str">
            <v>81123102-52061103</v>
          </cell>
          <cell r="S8534" t="str">
            <v>2026A-09</v>
          </cell>
          <cell r="T8534" t="str">
            <v>R&amp;M - F&amp;F</v>
          </cell>
        </row>
        <row r="8535">
          <cell r="K8535">
            <v>4155.3599999999997</v>
          </cell>
          <cell r="P8535" t="str">
            <v>80124101-61721105</v>
          </cell>
          <cell r="S8535" t="str">
            <v>2026A-09</v>
          </cell>
          <cell r="T8535" t="str">
            <v>SMS Blast</v>
          </cell>
        </row>
        <row r="8536">
          <cell r="K8536">
            <v>-119.15</v>
          </cell>
          <cell r="P8536" t="str">
            <v>81319101-52041401</v>
          </cell>
          <cell r="S8536" t="str">
            <v>2026A-09</v>
          </cell>
          <cell r="T8536" t="str">
            <v>TS</v>
          </cell>
        </row>
        <row r="8537">
          <cell r="K8537">
            <v>-23.83</v>
          </cell>
          <cell r="P8537" t="str">
            <v>81319101-52041401</v>
          </cell>
          <cell r="S8537" t="str">
            <v>2026A-09</v>
          </cell>
          <cell r="T8537" t="str">
            <v>TS</v>
          </cell>
        </row>
        <row r="8538">
          <cell r="K8538">
            <v>-2.38</v>
          </cell>
          <cell r="P8538" t="str">
            <v>81319101-52041401</v>
          </cell>
          <cell r="S8538" t="str">
            <v>2026A-09</v>
          </cell>
          <cell r="T8538" t="str">
            <v>TS</v>
          </cell>
        </row>
        <row r="8539">
          <cell r="K8539">
            <v>-0.48</v>
          </cell>
          <cell r="P8539" t="str">
            <v>81319101-52041401</v>
          </cell>
          <cell r="S8539" t="str">
            <v>2026A-09</v>
          </cell>
          <cell r="T8539" t="str">
            <v>TS</v>
          </cell>
        </row>
        <row r="8540">
          <cell r="K8540">
            <v>22877.01</v>
          </cell>
          <cell r="P8540" t="str">
            <v>81319101-52041401</v>
          </cell>
          <cell r="S8540" t="str">
            <v>2026A-09</v>
          </cell>
          <cell r="T8540" t="str">
            <v>TS</v>
          </cell>
        </row>
        <row r="8541">
          <cell r="K8541">
            <v>4574.96</v>
          </cell>
          <cell r="P8541" t="str">
            <v>81319101-52041401</v>
          </cell>
          <cell r="S8541" t="str">
            <v>2026A-09</v>
          </cell>
          <cell r="T8541" t="str">
            <v>TS</v>
          </cell>
        </row>
        <row r="8542">
          <cell r="K8542">
            <v>-3500</v>
          </cell>
          <cell r="P8542" t="str">
            <v>90122101-61711101</v>
          </cell>
          <cell r="S8542" t="str">
            <v>2026A-09</v>
          </cell>
          <cell r="T8542" t="str">
            <v>ANC</v>
          </cell>
        </row>
        <row r="8543">
          <cell r="K8543">
            <v>4021.12</v>
          </cell>
          <cell r="P8543" t="str">
            <v>81111101-52031101</v>
          </cell>
          <cell r="S8543" t="str">
            <v>2026A-09</v>
          </cell>
          <cell r="T8543" t="str">
            <v>Other Taxes</v>
          </cell>
        </row>
        <row r="8544">
          <cell r="K8544">
            <v>2529.6</v>
          </cell>
          <cell r="P8544" t="str">
            <v>81123102-52061105</v>
          </cell>
          <cell r="S8544" t="str">
            <v>2026A-09</v>
          </cell>
          <cell r="T8544" t="str">
            <v>R&amp;M Vehicle</v>
          </cell>
        </row>
        <row r="8545">
          <cell r="K8545">
            <v>675</v>
          </cell>
          <cell r="P8545" t="str">
            <v>81123102-52061111</v>
          </cell>
          <cell r="S8545" t="str">
            <v>2026A-09</v>
          </cell>
          <cell r="T8545" t="str">
            <v>R&amp;M - Supplies</v>
          </cell>
        </row>
        <row r="8546">
          <cell r="K8546">
            <v>45</v>
          </cell>
          <cell r="P8546" t="str">
            <v>81123102-52061111</v>
          </cell>
          <cell r="S8546" t="str">
            <v>2026A-09</v>
          </cell>
          <cell r="T8546" t="str">
            <v>R&amp;M - Supplies</v>
          </cell>
        </row>
        <row r="8547">
          <cell r="K8547">
            <v>1600</v>
          </cell>
          <cell r="P8547" t="str">
            <v>81123102-52061111</v>
          </cell>
          <cell r="S8547" t="str">
            <v>2026A-09</v>
          </cell>
          <cell r="T8547" t="str">
            <v>R&amp;M - Supplies</v>
          </cell>
        </row>
        <row r="8548">
          <cell r="K8548">
            <v>40</v>
          </cell>
          <cell r="P8548" t="str">
            <v>81123102-52081101</v>
          </cell>
          <cell r="S8548" t="str">
            <v>2026A-09</v>
          </cell>
          <cell r="T8548" t="str">
            <v>Parking</v>
          </cell>
        </row>
        <row r="8549">
          <cell r="K8549">
            <v>115</v>
          </cell>
          <cell r="P8549" t="str">
            <v>81123102-52081101</v>
          </cell>
          <cell r="S8549" t="str">
            <v>2026A-09</v>
          </cell>
          <cell r="T8549" t="str">
            <v>Parking</v>
          </cell>
        </row>
        <row r="8550">
          <cell r="K8550">
            <v>110</v>
          </cell>
          <cell r="P8550" t="str">
            <v>81123102-52081101</v>
          </cell>
          <cell r="S8550" t="str">
            <v>2026A-09</v>
          </cell>
          <cell r="T8550" t="str">
            <v>Parking</v>
          </cell>
        </row>
        <row r="8551">
          <cell r="K8551">
            <v>50</v>
          </cell>
          <cell r="P8551" t="str">
            <v>81123102-52081101</v>
          </cell>
          <cell r="S8551" t="str">
            <v>2026A-09</v>
          </cell>
          <cell r="T8551" t="str">
            <v>Parking</v>
          </cell>
        </row>
        <row r="8552">
          <cell r="K8552">
            <v>70</v>
          </cell>
          <cell r="P8552" t="str">
            <v>81123102-52081101</v>
          </cell>
          <cell r="S8552" t="str">
            <v>2026A-09</v>
          </cell>
          <cell r="T8552" t="str">
            <v>Parking</v>
          </cell>
        </row>
        <row r="8553">
          <cell r="K8553">
            <v>70</v>
          </cell>
          <cell r="P8553" t="str">
            <v>81123102-52081101</v>
          </cell>
          <cell r="S8553" t="str">
            <v>2026A-09</v>
          </cell>
          <cell r="T8553" t="str">
            <v>Parking</v>
          </cell>
        </row>
        <row r="8554">
          <cell r="K8554">
            <v>40</v>
          </cell>
          <cell r="P8554" t="str">
            <v>81123102-52081101</v>
          </cell>
          <cell r="S8554" t="str">
            <v>2026A-09</v>
          </cell>
          <cell r="T8554" t="str">
            <v>Parking</v>
          </cell>
        </row>
        <row r="8555">
          <cell r="K8555">
            <v>80</v>
          </cell>
          <cell r="P8555" t="str">
            <v>81123102-52081101</v>
          </cell>
          <cell r="S8555" t="str">
            <v>2026A-09</v>
          </cell>
          <cell r="T8555" t="str">
            <v>Parking</v>
          </cell>
        </row>
        <row r="8556">
          <cell r="K8556">
            <v>45</v>
          </cell>
          <cell r="P8556" t="str">
            <v>81123102-52081101</v>
          </cell>
          <cell r="S8556" t="str">
            <v>2026A-09</v>
          </cell>
          <cell r="T8556" t="str">
            <v>Parking</v>
          </cell>
        </row>
        <row r="8557">
          <cell r="K8557">
            <v>60</v>
          </cell>
          <cell r="P8557" t="str">
            <v>81123102-52081101</v>
          </cell>
          <cell r="S8557" t="str">
            <v>2026A-09</v>
          </cell>
          <cell r="T8557" t="str">
            <v>Parking</v>
          </cell>
        </row>
        <row r="8558">
          <cell r="K8558">
            <v>60</v>
          </cell>
          <cell r="P8558" t="str">
            <v>81123102-52081101</v>
          </cell>
          <cell r="S8558" t="str">
            <v>2026A-09</v>
          </cell>
          <cell r="T8558" t="str">
            <v>Parking</v>
          </cell>
        </row>
        <row r="8559">
          <cell r="K8559">
            <v>80</v>
          </cell>
          <cell r="P8559" t="str">
            <v>81123102-52081101</v>
          </cell>
          <cell r="S8559" t="str">
            <v>2026A-09</v>
          </cell>
          <cell r="T8559" t="str">
            <v>Parking</v>
          </cell>
        </row>
        <row r="8560">
          <cell r="K8560">
            <v>56</v>
          </cell>
          <cell r="P8560" t="str">
            <v>81123102-52081101</v>
          </cell>
          <cell r="S8560" t="str">
            <v>2026A-09</v>
          </cell>
          <cell r="T8560" t="str">
            <v>Parking</v>
          </cell>
        </row>
        <row r="8561">
          <cell r="K8561">
            <v>50</v>
          </cell>
          <cell r="P8561" t="str">
            <v>81123102-52081101</v>
          </cell>
          <cell r="S8561" t="str">
            <v>2026A-09</v>
          </cell>
          <cell r="T8561" t="str">
            <v>Parking</v>
          </cell>
        </row>
        <row r="8562">
          <cell r="K8562">
            <v>150</v>
          </cell>
          <cell r="P8562" t="str">
            <v>81123102-52081103</v>
          </cell>
          <cell r="S8562" t="str">
            <v>2026A-09</v>
          </cell>
          <cell r="T8562" t="str">
            <v>Meal Allowance</v>
          </cell>
        </row>
        <row r="8563">
          <cell r="K8563">
            <v>150</v>
          </cell>
          <cell r="P8563" t="str">
            <v>81123102-52081103</v>
          </cell>
          <cell r="S8563" t="str">
            <v>2026A-09</v>
          </cell>
          <cell r="T8563" t="str">
            <v>Meal Allowance</v>
          </cell>
        </row>
        <row r="8564">
          <cell r="K8564">
            <v>150</v>
          </cell>
          <cell r="P8564" t="str">
            <v>81123102-52081103</v>
          </cell>
          <cell r="S8564" t="str">
            <v>2026A-09</v>
          </cell>
          <cell r="T8564" t="str">
            <v>Meal Allowance</v>
          </cell>
        </row>
        <row r="8565">
          <cell r="K8565">
            <v>150</v>
          </cell>
          <cell r="P8565" t="str">
            <v>81123102-52081103</v>
          </cell>
          <cell r="S8565" t="str">
            <v>2026A-09</v>
          </cell>
          <cell r="T8565" t="str">
            <v>Meal Allowance</v>
          </cell>
        </row>
        <row r="8566">
          <cell r="K8566">
            <v>150</v>
          </cell>
          <cell r="P8566" t="str">
            <v>81123102-52081103</v>
          </cell>
          <cell r="S8566" t="str">
            <v>2026A-09</v>
          </cell>
          <cell r="T8566" t="str">
            <v>Meal Allowance</v>
          </cell>
        </row>
        <row r="8567">
          <cell r="K8567">
            <v>203</v>
          </cell>
          <cell r="P8567" t="str">
            <v>81123102-52119101</v>
          </cell>
          <cell r="S8567" t="str">
            <v>2026A-09</v>
          </cell>
          <cell r="T8567" t="str">
            <v>Gas/fuel</v>
          </cell>
        </row>
        <row r="8568">
          <cell r="K8568">
            <v>188</v>
          </cell>
          <cell r="P8568" t="str">
            <v>81123102-52119101</v>
          </cell>
          <cell r="S8568" t="str">
            <v>2026A-09</v>
          </cell>
          <cell r="T8568" t="str">
            <v>Gas/fuel</v>
          </cell>
        </row>
        <row r="8569">
          <cell r="K8569">
            <v>142</v>
          </cell>
          <cell r="P8569" t="str">
            <v>81123102-52119101</v>
          </cell>
          <cell r="S8569" t="str">
            <v>2026A-09</v>
          </cell>
          <cell r="T8569" t="str">
            <v>Gas/fuel</v>
          </cell>
        </row>
        <row r="8570">
          <cell r="K8570">
            <v>250</v>
          </cell>
          <cell r="P8570" t="str">
            <v>81123102-52119101</v>
          </cell>
          <cell r="S8570" t="str">
            <v>2026A-09</v>
          </cell>
          <cell r="T8570" t="str">
            <v>Gas/fuel</v>
          </cell>
        </row>
        <row r="8571">
          <cell r="K8571">
            <v>183</v>
          </cell>
          <cell r="P8571" t="str">
            <v>81123102-52119101</v>
          </cell>
          <cell r="S8571" t="str">
            <v>2026A-09</v>
          </cell>
          <cell r="T8571" t="str">
            <v>Gas/fuel</v>
          </cell>
        </row>
        <row r="8572">
          <cell r="K8572">
            <v>248</v>
          </cell>
          <cell r="P8572" t="str">
            <v>81123102-52119101</v>
          </cell>
          <cell r="S8572" t="str">
            <v>2026A-09</v>
          </cell>
          <cell r="T8572" t="str">
            <v>Gas/fuel</v>
          </cell>
        </row>
        <row r="8573">
          <cell r="K8573">
            <v>250</v>
          </cell>
          <cell r="P8573" t="str">
            <v>81123102-52119101</v>
          </cell>
          <cell r="S8573" t="str">
            <v>2026A-09</v>
          </cell>
          <cell r="T8573" t="str">
            <v>Gas/fuel</v>
          </cell>
        </row>
        <row r="8574">
          <cell r="K8574">
            <v>250</v>
          </cell>
          <cell r="P8574" t="str">
            <v>81123102-52119101</v>
          </cell>
          <cell r="S8574" t="str">
            <v>2026A-09</v>
          </cell>
          <cell r="T8574" t="str">
            <v>Gas/fuel</v>
          </cell>
        </row>
        <row r="8575">
          <cell r="K8575">
            <v>88</v>
          </cell>
          <cell r="P8575" t="str">
            <v>81123102-52119101</v>
          </cell>
          <cell r="S8575" t="str">
            <v>2026A-09</v>
          </cell>
          <cell r="T8575" t="str">
            <v>Gas/fuel</v>
          </cell>
        </row>
        <row r="8576">
          <cell r="K8576">
            <v>239</v>
          </cell>
          <cell r="P8576" t="str">
            <v>81123102-52119101</v>
          </cell>
          <cell r="S8576" t="str">
            <v>2026A-09</v>
          </cell>
          <cell r="T8576" t="str">
            <v>Gas/fuel</v>
          </cell>
        </row>
        <row r="8577">
          <cell r="K8577">
            <v>438</v>
          </cell>
          <cell r="P8577" t="str">
            <v>81123102-52119101</v>
          </cell>
          <cell r="S8577" t="str">
            <v>2026A-09</v>
          </cell>
          <cell r="T8577" t="str">
            <v>Gas/fuel</v>
          </cell>
        </row>
        <row r="8578">
          <cell r="K8578">
            <v>536</v>
          </cell>
          <cell r="P8578" t="str">
            <v>81123102-52119101</v>
          </cell>
          <cell r="S8578" t="str">
            <v>2026A-09</v>
          </cell>
          <cell r="T8578" t="str">
            <v>Gas/fuel</v>
          </cell>
        </row>
        <row r="8579">
          <cell r="K8579">
            <v>450</v>
          </cell>
          <cell r="P8579" t="str">
            <v>81123102-52119101</v>
          </cell>
          <cell r="S8579" t="str">
            <v>2026A-09</v>
          </cell>
          <cell r="T8579" t="str">
            <v>Gas/fuel</v>
          </cell>
        </row>
        <row r="8580">
          <cell r="K8580">
            <v>430</v>
          </cell>
          <cell r="P8580" t="str">
            <v>81123102-52119101</v>
          </cell>
          <cell r="S8580" t="str">
            <v>2026A-09</v>
          </cell>
          <cell r="T8580" t="str">
            <v>Gas/fuel</v>
          </cell>
        </row>
        <row r="8581">
          <cell r="K8581">
            <v>349</v>
          </cell>
          <cell r="P8581" t="str">
            <v>81123102-52119101</v>
          </cell>
          <cell r="S8581" t="str">
            <v>2026A-09</v>
          </cell>
          <cell r="T8581" t="str">
            <v>Gas/fuel</v>
          </cell>
        </row>
        <row r="8582">
          <cell r="K8582">
            <v>240</v>
          </cell>
          <cell r="P8582" t="str">
            <v>81123102-52119101</v>
          </cell>
          <cell r="S8582" t="str">
            <v>2026A-09</v>
          </cell>
          <cell r="T8582" t="str">
            <v>Gas/fuel</v>
          </cell>
        </row>
        <row r="8583">
          <cell r="K8583">
            <v>337</v>
          </cell>
          <cell r="P8583" t="str">
            <v>81123102-52119101</v>
          </cell>
          <cell r="S8583" t="str">
            <v>2026A-09</v>
          </cell>
          <cell r="T8583" t="str">
            <v>Gas/fuel</v>
          </cell>
        </row>
        <row r="8584">
          <cell r="K8584">
            <v>482</v>
          </cell>
          <cell r="P8584" t="str">
            <v>81123102-52119101</v>
          </cell>
          <cell r="S8584" t="str">
            <v>2026A-09</v>
          </cell>
          <cell r="T8584" t="str">
            <v>Gas/fuel</v>
          </cell>
        </row>
        <row r="8585">
          <cell r="K8585">
            <v>323</v>
          </cell>
          <cell r="P8585" t="str">
            <v>81123102-52119101</v>
          </cell>
          <cell r="S8585" t="str">
            <v>2026A-09</v>
          </cell>
          <cell r="T8585" t="str">
            <v>Gas/fuel</v>
          </cell>
        </row>
        <row r="8586">
          <cell r="K8586">
            <v>248</v>
          </cell>
          <cell r="P8586" t="str">
            <v>81123102-52119101</v>
          </cell>
          <cell r="S8586" t="str">
            <v>2026A-09</v>
          </cell>
          <cell r="T8586" t="str">
            <v>Gas/fuel</v>
          </cell>
        </row>
        <row r="8587">
          <cell r="K8587">
            <v>293</v>
          </cell>
          <cell r="P8587" t="str">
            <v>81123102-52119101</v>
          </cell>
          <cell r="S8587" t="str">
            <v>2026A-09</v>
          </cell>
          <cell r="T8587" t="str">
            <v>Gas/fuel</v>
          </cell>
        </row>
        <row r="8588">
          <cell r="K8588">
            <v>513</v>
          </cell>
          <cell r="P8588" t="str">
            <v>81123102-52119101</v>
          </cell>
          <cell r="S8588" t="str">
            <v>2026A-09</v>
          </cell>
          <cell r="T8588" t="str">
            <v>Gas/fuel</v>
          </cell>
        </row>
        <row r="8589">
          <cell r="K8589">
            <v>250</v>
          </cell>
          <cell r="P8589" t="str">
            <v>81123102-52119101</v>
          </cell>
          <cell r="S8589" t="str">
            <v>2026A-09</v>
          </cell>
          <cell r="T8589" t="str">
            <v>Gas/fuel</v>
          </cell>
        </row>
        <row r="8590">
          <cell r="K8590">
            <v>291</v>
          </cell>
          <cell r="P8590" t="str">
            <v>81123102-52119101</v>
          </cell>
          <cell r="S8590" t="str">
            <v>2026A-09</v>
          </cell>
          <cell r="T8590" t="str">
            <v>Gas/fuel</v>
          </cell>
        </row>
        <row r="8591">
          <cell r="K8591">
            <v>297</v>
          </cell>
          <cell r="P8591" t="str">
            <v>81123102-52119101</v>
          </cell>
          <cell r="S8591" t="str">
            <v>2026A-09</v>
          </cell>
          <cell r="T8591" t="str">
            <v>Gas/fuel</v>
          </cell>
        </row>
        <row r="8592">
          <cell r="K8592">
            <v>20089.29</v>
          </cell>
          <cell r="P8592" t="str">
            <v>81123102-52111101</v>
          </cell>
          <cell r="S8592" t="str">
            <v>2026A-09</v>
          </cell>
          <cell r="T8592" t="str">
            <v>Office Supplies - Others</v>
          </cell>
        </row>
        <row r="8593">
          <cell r="K8593">
            <v>18642.86</v>
          </cell>
          <cell r="P8593" t="str">
            <v>81123102-52111101</v>
          </cell>
          <cell r="S8593" t="str">
            <v>2026A-09</v>
          </cell>
          <cell r="T8593" t="str">
            <v>Office Supplies - Others</v>
          </cell>
        </row>
        <row r="8594">
          <cell r="K8594">
            <v>6607.14</v>
          </cell>
          <cell r="P8594" t="str">
            <v>81123102-52111101</v>
          </cell>
          <cell r="S8594" t="str">
            <v>2026A-09</v>
          </cell>
          <cell r="T8594" t="str">
            <v>Office Supplies - Others</v>
          </cell>
        </row>
        <row r="8595">
          <cell r="K8595">
            <v>308.04000000000002</v>
          </cell>
          <cell r="P8595" t="str">
            <v>81123102-52111101</v>
          </cell>
          <cell r="S8595" t="str">
            <v>2026A-09</v>
          </cell>
          <cell r="T8595" t="str">
            <v>Office Supplies - Others</v>
          </cell>
        </row>
        <row r="8596">
          <cell r="K8596">
            <v>1964.29</v>
          </cell>
          <cell r="P8596" t="str">
            <v>81123102-52111101</v>
          </cell>
          <cell r="S8596" t="str">
            <v>2026A-09</v>
          </cell>
          <cell r="T8596" t="str">
            <v>Office Supplies - Others</v>
          </cell>
        </row>
        <row r="8597">
          <cell r="K8597">
            <v>580.36</v>
          </cell>
          <cell r="P8597" t="str">
            <v>81123102-52111101</v>
          </cell>
          <cell r="S8597" t="str">
            <v>2026A-09</v>
          </cell>
          <cell r="T8597" t="str">
            <v>Office Supplies - Others</v>
          </cell>
        </row>
        <row r="8598">
          <cell r="K8598">
            <v>98.21</v>
          </cell>
          <cell r="P8598" t="str">
            <v>81123102-52111101</v>
          </cell>
          <cell r="S8598" t="str">
            <v>2026A-09</v>
          </cell>
          <cell r="T8598" t="str">
            <v>Office Supplies - Others</v>
          </cell>
        </row>
        <row r="8599">
          <cell r="K8599">
            <v>142.86000000000001</v>
          </cell>
          <cell r="P8599" t="str">
            <v>81123102-52111101</v>
          </cell>
          <cell r="S8599" t="str">
            <v>2026A-09</v>
          </cell>
          <cell r="T8599" t="str">
            <v>Office Supplies - Others</v>
          </cell>
        </row>
        <row r="8600">
          <cell r="K8600">
            <v>1735.1</v>
          </cell>
          <cell r="P8600" t="str">
            <v>80111101-52101101</v>
          </cell>
          <cell r="S8600" t="str">
            <v>2026A-09</v>
          </cell>
          <cell r="T8600" t="str">
            <v>PARI</v>
          </cell>
        </row>
        <row r="8601">
          <cell r="K8601">
            <v>1735.1</v>
          </cell>
          <cell r="P8601" t="str">
            <v>80111101-52101101</v>
          </cell>
          <cell r="S8601" t="str">
            <v>2026A-09</v>
          </cell>
          <cell r="T8601" t="str">
            <v>PARI</v>
          </cell>
        </row>
        <row r="8602">
          <cell r="K8602">
            <v>372955.42</v>
          </cell>
          <cell r="P8602" t="str">
            <v>90111101-52031101</v>
          </cell>
          <cell r="S8602" t="str">
            <v>2026A-09</v>
          </cell>
          <cell r="T8602" t="str">
            <v>Other Taxes</v>
          </cell>
        </row>
        <row r="8603">
          <cell r="K8603">
            <v>1442.91</v>
          </cell>
          <cell r="P8603" t="str">
            <v>90111101-52031101</v>
          </cell>
          <cell r="S8603" t="str">
            <v>2026A-09</v>
          </cell>
          <cell r="T8603" t="str">
            <v>Other Taxes</v>
          </cell>
        </row>
        <row r="8604">
          <cell r="K8604">
            <v>16817.080000000002</v>
          </cell>
          <cell r="P8604" t="str">
            <v>90111101-52121301</v>
          </cell>
          <cell r="S8604" t="str">
            <v>2026A-09</v>
          </cell>
          <cell r="T8604" t="str">
            <v>Sun Life - MDIA</v>
          </cell>
        </row>
        <row r="8605">
          <cell r="K8605">
            <v>26077.5</v>
          </cell>
          <cell r="P8605" t="str">
            <v>90111101-52121301</v>
          </cell>
          <cell r="S8605" t="str">
            <v>2026A-09</v>
          </cell>
          <cell r="T8605" t="str">
            <v>Life Insurance</v>
          </cell>
        </row>
        <row r="8606">
          <cell r="K8606">
            <v>38124.080000000002</v>
          </cell>
          <cell r="P8606" t="str">
            <v>90111101-52121303</v>
          </cell>
          <cell r="S8606" t="str">
            <v>2026A-09</v>
          </cell>
          <cell r="T8606" t="str">
            <v>Pacific Cross Insurance Policy (USD) - MDIA</v>
          </cell>
        </row>
        <row r="8607">
          <cell r="K8607">
            <v>36842.11</v>
          </cell>
          <cell r="P8607" t="str">
            <v>90122101-52071104</v>
          </cell>
          <cell r="S8607" t="str">
            <v>2026A-09</v>
          </cell>
          <cell r="T8607" t="str">
            <v>HRIS Tirso</v>
          </cell>
        </row>
        <row r="8608">
          <cell r="K8608">
            <v>30416.67</v>
          </cell>
          <cell r="P8608" t="str">
            <v>90111101-52101107</v>
          </cell>
          <cell r="S8608" t="str">
            <v>2026A-09</v>
          </cell>
          <cell r="T8608" t="str">
            <v>DOL</v>
          </cell>
        </row>
        <row r="8609">
          <cell r="K8609">
            <v>3802.08</v>
          </cell>
          <cell r="P8609" t="str">
            <v>90111101-52101107</v>
          </cell>
          <cell r="S8609" t="str">
            <v>2026A-09</v>
          </cell>
          <cell r="T8609" t="str">
            <v>DOL</v>
          </cell>
        </row>
        <row r="8610">
          <cell r="K8610">
            <v>60.83</v>
          </cell>
          <cell r="P8610" t="str">
            <v>90111101-52101107</v>
          </cell>
          <cell r="S8610" t="str">
            <v>2026A-09</v>
          </cell>
          <cell r="T8610" t="str">
            <v>DOL</v>
          </cell>
        </row>
        <row r="8611">
          <cell r="K8611">
            <v>294357.62</v>
          </cell>
          <cell r="P8611" t="str">
            <v>90111101-52121303</v>
          </cell>
          <cell r="S8611" t="str">
            <v>2026A-09</v>
          </cell>
          <cell r="T8611" t="str">
            <v>HMO</v>
          </cell>
        </row>
        <row r="8612">
          <cell r="K8612">
            <v>16.670000000000002</v>
          </cell>
          <cell r="P8612" t="str">
            <v>90111101-52121303</v>
          </cell>
          <cell r="S8612" t="str">
            <v>2026A-09</v>
          </cell>
          <cell r="T8612" t="str">
            <v>HMO</v>
          </cell>
        </row>
        <row r="8613">
          <cell r="K8613">
            <v>5887.15</v>
          </cell>
          <cell r="P8613" t="str">
            <v>90111101-52121303</v>
          </cell>
          <cell r="S8613" t="str">
            <v>2026A-09</v>
          </cell>
          <cell r="T8613" t="str">
            <v>HMO</v>
          </cell>
        </row>
        <row r="8614">
          <cell r="K8614">
            <v>588.72</v>
          </cell>
          <cell r="P8614" t="str">
            <v>90111101-52121303</v>
          </cell>
          <cell r="S8614" t="str">
            <v>2026A-09</v>
          </cell>
          <cell r="T8614" t="str">
            <v>HMO</v>
          </cell>
        </row>
        <row r="8615">
          <cell r="K8615">
            <v>5260.42</v>
          </cell>
          <cell r="P8615" t="str">
            <v>90111101-52121303</v>
          </cell>
          <cell r="S8615" t="str">
            <v>2026A-09</v>
          </cell>
          <cell r="T8615" t="str">
            <v>HMO</v>
          </cell>
        </row>
        <row r="8616">
          <cell r="K8616">
            <v>46666.67</v>
          </cell>
          <cell r="P8616" t="str">
            <v>90122101-52121315</v>
          </cell>
          <cell r="S8616" t="str">
            <v>2026A-09</v>
          </cell>
          <cell r="T8616" t="str">
            <v>Jobstreet</v>
          </cell>
        </row>
        <row r="8617">
          <cell r="K8617">
            <v>1968.75</v>
          </cell>
          <cell r="P8617" t="str">
            <v>90122101-52121315</v>
          </cell>
          <cell r="S8617" t="str">
            <v>2026A-09</v>
          </cell>
          <cell r="T8617" t="str">
            <v>Jobstreet</v>
          </cell>
        </row>
        <row r="8618">
          <cell r="K8618">
            <v>3431675</v>
          </cell>
          <cell r="P8618" t="str">
            <v>90111101-52121304</v>
          </cell>
          <cell r="S8618" t="str">
            <v>2026A-09</v>
          </cell>
          <cell r="T8618" t="str">
            <v>Retirement</v>
          </cell>
        </row>
        <row r="8619">
          <cell r="K8619">
            <v>54166.67</v>
          </cell>
          <cell r="P8619" t="str">
            <v>90111101-52071199</v>
          </cell>
          <cell r="S8619" t="str">
            <v>2026A-09</v>
          </cell>
          <cell r="T8619" t="str">
            <v>Lacson</v>
          </cell>
        </row>
        <row r="8620">
          <cell r="K8620">
            <v>7421.87</v>
          </cell>
          <cell r="P8620" t="str">
            <v>90111101-52071199</v>
          </cell>
          <cell r="S8620" t="str">
            <v>2026A-09</v>
          </cell>
          <cell r="T8620" t="str">
            <v>Lacson</v>
          </cell>
        </row>
        <row r="8621">
          <cell r="K8621">
            <v>487500</v>
          </cell>
          <cell r="P8621" t="str">
            <v>90111101-52121303</v>
          </cell>
          <cell r="S8621" t="str">
            <v>2026A-09</v>
          </cell>
          <cell r="T8621" t="str">
            <v>HMO</v>
          </cell>
        </row>
        <row r="8622">
          <cell r="K8622">
            <v>148437.5</v>
          </cell>
          <cell r="P8622" t="str">
            <v>90111101-52121303</v>
          </cell>
          <cell r="S8622" t="str">
            <v>2026A-09</v>
          </cell>
          <cell r="T8622" t="str">
            <v>HMO</v>
          </cell>
        </row>
        <row r="8623">
          <cell r="K8623">
            <v>55580.92</v>
          </cell>
          <cell r="P8623" t="str">
            <v>90111101-52041495</v>
          </cell>
          <cell r="S8623" t="str">
            <v>2026A-09</v>
          </cell>
          <cell r="T8623" t="str">
            <v>BDO CMC</v>
          </cell>
        </row>
        <row r="8624">
          <cell r="K8624">
            <v>190250</v>
          </cell>
          <cell r="P8624" t="str">
            <v>80111101-61021201</v>
          </cell>
          <cell r="S8624" t="str">
            <v>2026A-09</v>
          </cell>
          <cell r="T8624" t="str">
            <v>Project Employee</v>
          </cell>
        </row>
        <row r="8625">
          <cell r="K8625">
            <v>-1282.46</v>
          </cell>
          <cell r="P8625" t="str">
            <v>80111101-61021201</v>
          </cell>
          <cell r="S8625" t="str">
            <v>2026A-09</v>
          </cell>
          <cell r="T8625" t="str">
            <v>Project Employee</v>
          </cell>
        </row>
        <row r="8626">
          <cell r="K8626">
            <v>-7829.87</v>
          </cell>
          <cell r="P8626" t="str">
            <v>80111101-61021201</v>
          </cell>
          <cell r="S8626" t="str">
            <v>2026A-09</v>
          </cell>
          <cell r="T8626" t="str">
            <v>Project Employee</v>
          </cell>
        </row>
        <row r="8627">
          <cell r="K8627">
            <v>-1064.56</v>
          </cell>
          <cell r="P8627" t="str">
            <v>80111101-61021201</v>
          </cell>
          <cell r="S8627" t="str">
            <v>2026A-09</v>
          </cell>
          <cell r="T8627" t="str">
            <v>Project Employee</v>
          </cell>
        </row>
        <row r="8628">
          <cell r="K8628">
            <v>-397.57</v>
          </cell>
          <cell r="P8628" t="str">
            <v>80111101-61021201</v>
          </cell>
          <cell r="S8628" t="str">
            <v>2026A-09</v>
          </cell>
          <cell r="T8628" t="str">
            <v>Project Employee</v>
          </cell>
        </row>
        <row r="8629">
          <cell r="K8629">
            <v>34603.75</v>
          </cell>
          <cell r="P8629" t="str">
            <v>80111101-61021202</v>
          </cell>
          <cell r="S8629" t="str">
            <v>2026A-09</v>
          </cell>
          <cell r="T8629" t="str">
            <v>Project Employee</v>
          </cell>
        </row>
        <row r="8630">
          <cell r="K8630">
            <v>20340</v>
          </cell>
          <cell r="P8630" t="str">
            <v>80111101-61021306</v>
          </cell>
          <cell r="S8630" t="str">
            <v>2026A-09</v>
          </cell>
          <cell r="T8630" t="str">
            <v>SSS</v>
          </cell>
        </row>
        <row r="8631">
          <cell r="K8631">
            <v>30800</v>
          </cell>
          <cell r="P8631" t="str">
            <v>80111101-61021102</v>
          </cell>
          <cell r="S8631" t="str">
            <v>2026A-09</v>
          </cell>
          <cell r="T8631" t="str">
            <v>Regular Employee</v>
          </cell>
        </row>
        <row r="8632">
          <cell r="K8632">
            <v>50500</v>
          </cell>
          <cell r="P8632" t="str">
            <v>80111101-61021102</v>
          </cell>
          <cell r="S8632" t="str">
            <v>2026A-09</v>
          </cell>
          <cell r="T8632" t="str">
            <v>Regular Employee</v>
          </cell>
        </row>
        <row r="8633">
          <cell r="K8633">
            <v>-240.02</v>
          </cell>
          <cell r="P8633" t="str">
            <v>80111101-61021102</v>
          </cell>
          <cell r="S8633" t="str">
            <v>2026A-09</v>
          </cell>
          <cell r="T8633" t="str">
            <v>Regular Employee</v>
          </cell>
        </row>
        <row r="8634">
          <cell r="K8634">
            <v>238150</v>
          </cell>
          <cell r="P8634" t="str">
            <v>80111101-61021102</v>
          </cell>
          <cell r="S8634" t="str">
            <v>2026A-09</v>
          </cell>
          <cell r="T8634" t="str">
            <v>Regular Employee</v>
          </cell>
        </row>
        <row r="8635">
          <cell r="K8635">
            <v>-341.85</v>
          </cell>
          <cell r="P8635" t="str">
            <v>80111101-61021102</v>
          </cell>
          <cell r="S8635" t="str">
            <v>2026A-09</v>
          </cell>
          <cell r="T8635" t="str">
            <v>Regular Employee</v>
          </cell>
        </row>
        <row r="8636">
          <cell r="K8636">
            <v>728200</v>
          </cell>
          <cell r="P8636" t="str">
            <v>80111101-61021102</v>
          </cell>
          <cell r="S8636" t="str">
            <v>2026A-09</v>
          </cell>
          <cell r="T8636" t="str">
            <v>Regular Employee</v>
          </cell>
        </row>
        <row r="8637">
          <cell r="K8637">
            <v>-7713.09</v>
          </cell>
          <cell r="P8637" t="str">
            <v>80111101-61021102</v>
          </cell>
          <cell r="S8637" t="str">
            <v>2026A-09</v>
          </cell>
          <cell r="T8637" t="str">
            <v>Regular Employee</v>
          </cell>
        </row>
        <row r="8638">
          <cell r="K8638">
            <v>-2381.6999999999998</v>
          </cell>
          <cell r="P8638" t="str">
            <v>80111101-61021102</v>
          </cell>
          <cell r="S8638" t="str">
            <v>2026A-09</v>
          </cell>
          <cell r="T8638" t="str">
            <v>Regular Employee</v>
          </cell>
        </row>
        <row r="8639">
          <cell r="K8639">
            <v>4016.85</v>
          </cell>
          <cell r="P8639" t="str">
            <v>80111101-61021102</v>
          </cell>
          <cell r="S8639" t="str">
            <v>2026A-09</v>
          </cell>
          <cell r="T8639" t="str">
            <v>Regular Employee</v>
          </cell>
        </row>
        <row r="8640">
          <cell r="K8640">
            <v>-2801.88</v>
          </cell>
          <cell r="P8640" t="str">
            <v>80111101-61021102</v>
          </cell>
          <cell r="S8640" t="str">
            <v>2026A-09</v>
          </cell>
          <cell r="T8640" t="str">
            <v>Regular Employee</v>
          </cell>
        </row>
        <row r="8641">
          <cell r="K8641">
            <v>-1608.76</v>
          </cell>
          <cell r="P8641" t="str">
            <v>80111101-61021102</v>
          </cell>
          <cell r="S8641" t="str">
            <v>2026A-09</v>
          </cell>
          <cell r="T8641" t="str">
            <v>Regular Employee</v>
          </cell>
        </row>
        <row r="8642">
          <cell r="K8642">
            <v>10467.73</v>
          </cell>
          <cell r="P8642" t="str">
            <v>80111101-61021103</v>
          </cell>
          <cell r="S8642" t="str">
            <v>2026A-09</v>
          </cell>
          <cell r="T8642" t="str">
            <v>OT Pay</v>
          </cell>
        </row>
        <row r="8643">
          <cell r="K8643">
            <v>1305.1099999999999</v>
          </cell>
          <cell r="P8643" t="str">
            <v>80111101-61021103</v>
          </cell>
          <cell r="S8643" t="str">
            <v>2026A-09</v>
          </cell>
          <cell r="T8643" t="str">
            <v>OT Pay</v>
          </cell>
        </row>
        <row r="8644">
          <cell r="K8644">
            <v>3600</v>
          </cell>
          <cell r="P8644" t="str">
            <v>80111101-61021104</v>
          </cell>
          <cell r="S8644" t="str">
            <v>2026A-09</v>
          </cell>
          <cell r="T8644" t="str">
            <v>OT Pay</v>
          </cell>
        </row>
        <row r="8645">
          <cell r="K8645">
            <v>6600</v>
          </cell>
          <cell r="P8645" t="str">
            <v>80111101-61021104</v>
          </cell>
          <cell r="S8645" t="str">
            <v>2026A-09</v>
          </cell>
          <cell r="T8645" t="str">
            <v>OT Pay</v>
          </cell>
        </row>
        <row r="8646">
          <cell r="K8646">
            <v>2950</v>
          </cell>
          <cell r="P8646" t="str">
            <v>80111101-61021306</v>
          </cell>
          <cell r="S8646" t="str">
            <v>2026A-09</v>
          </cell>
          <cell r="T8646" t="str">
            <v>SSS</v>
          </cell>
        </row>
        <row r="8647">
          <cell r="K8647">
            <v>8820</v>
          </cell>
          <cell r="P8647" t="str">
            <v>80111101-61021306</v>
          </cell>
          <cell r="S8647" t="str">
            <v>2026A-09</v>
          </cell>
          <cell r="T8647" t="str">
            <v>SSS</v>
          </cell>
        </row>
        <row r="8648">
          <cell r="K8648">
            <v>32500</v>
          </cell>
          <cell r="P8648" t="str">
            <v>80111101-61021306</v>
          </cell>
          <cell r="S8648" t="str">
            <v>2026A-09</v>
          </cell>
          <cell r="T8648" t="str">
            <v>SSS</v>
          </cell>
        </row>
        <row r="8649">
          <cell r="K8649">
            <v>5000</v>
          </cell>
          <cell r="P8649" t="str">
            <v>80111101-61021309</v>
          </cell>
          <cell r="S8649" t="str">
            <v>2026A-09</v>
          </cell>
          <cell r="T8649" t="str">
            <v>Gas Allowance</v>
          </cell>
        </row>
        <row r="8650">
          <cell r="K8650">
            <v>20000</v>
          </cell>
          <cell r="P8650" t="str">
            <v>80111101-61021309</v>
          </cell>
          <cell r="S8650" t="str">
            <v>2026A-09</v>
          </cell>
          <cell r="T8650" t="str">
            <v>Gas Allowance</v>
          </cell>
        </row>
        <row r="8651">
          <cell r="K8651">
            <v>10000</v>
          </cell>
          <cell r="P8651" t="str">
            <v>80111101-61021309</v>
          </cell>
          <cell r="S8651" t="str">
            <v>2026A-09</v>
          </cell>
          <cell r="T8651" t="str">
            <v>Gas Allowance</v>
          </cell>
        </row>
        <row r="8652">
          <cell r="K8652">
            <v>195050</v>
          </cell>
          <cell r="P8652" t="str">
            <v>81111101-52121101</v>
          </cell>
          <cell r="S8652" t="str">
            <v>2026A-09</v>
          </cell>
          <cell r="T8652" t="str">
            <v>Regular Employee</v>
          </cell>
        </row>
        <row r="8653">
          <cell r="K8653">
            <v>-2922.18</v>
          </cell>
          <cell r="P8653" t="str">
            <v>81111101-52121101</v>
          </cell>
          <cell r="S8653" t="str">
            <v>2026A-09</v>
          </cell>
          <cell r="T8653" t="str">
            <v>Regular Employee</v>
          </cell>
        </row>
        <row r="8654">
          <cell r="K8654">
            <v>-171.83</v>
          </cell>
          <cell r="P8654" t="str">
            <v>81111101-52121101</v>
          </cell>
          <cell r="S8654" t="str">
            <v>2026A-09</v>
          </cell>
          <cell r="T8654" t="str">
            <v>Regular Employee</v>
          </cell>
        </row>
        <row r="8655">
          <cell r="K8655">
            <v>-893.71</v>
          </cell>
          <cell r="P8655" t="str">
            <v>81111101-52121101</v>
          </cell>
          <cell r="S8655" t="str">
            <v>2026A-09</v>
          </cell>
          <cell r="T8655" t="str">
            <v>Regular Employee</v>
          </cell>
        </row>
        <row r="8656">
          <cell r="K8656">
            <v>246450</v>
          </cell>
          <cell r="P8656" t="str">
            <v>81111101-52121101</v>
          </cell>
          <cell r="S8656" t="str">
            <v>2026A-09</v>
          </cell>
          <cell r="T8656" t="str">
            <v>Regular Employee</v>
          </cell>
        </row>
        <row r="8657">
          <cell r="K8657">
            <v>2290.11</v>
          </cell>
          <cell r="P8657" t="str">
            <v>81111101-52121101</v>
          </cell>
          <cell r="S8657" t="str">
            <v>2026A-09</v>
          </cell>
          <cell r="T8657" t="str">
            <v>Regular Employee</v>
          </cell>
        </row>
        <row r="8658">
          <cell r="K8658">
            <v>-3764.93</v>
          </cell>
          <cell r="P8658" t="str">
            <v>81111101-52121101</v>
          </cell>
          <cell r="S8658" t="str">
            <v>2026A-09</v>
          </cell>
          <cell r="T8658" t="str">
            <v>Regular Employee</v>
          </cell>
        </row>
        <row r="8659">
          <cell r="K8659">
            <v>-872.58</v>
          </cell>
          <cell r="P8659" t="str">
            <v>81111101-52121101</v>
          </cell>
          <cell r="S8659" t="str">
            <v>2026A-09</v>
          </cell>
          <cell r="T8659" t="str">
            <v>Regular Employee</v>
          </cell>
        </row>
        <row r="8660">
          <cell r="K8660">
            <v>-4302.3100000000004</v>
          </cell>
          <cell r="P8660" t="str">
            <v>81111101-52121101</v>
          </cell>
          <cell r="S8660" t="str">
            <v>2026A-09</v>
          </cell>
          <cell r="T8660" t="str">
            <v>Regular Employee</v>
          </cell>
        </row>
        <row r="8661">
          <cell r="K8661">
            <v>120900</v>
          </cell>
          <cell r="P8661" t="str">
            <v>81111101-52121101</v>
          </cell>
          <cell r="S8661" t="str">
            <v>2026A-09</v>
          </cell>
          <cell r="T8661" t="str">
            <v>Regular Employee</v>
          </cell>
        </row>
        <row r="8662">
          <cell r="K8662">
            <v>968.71</v>
          </cell>
          <cell r="P8662" t="str">
            <v>81111101-52121101</v>
          </cell>
          <cell r="S8662" t="str">
            <v>2026A-09</v>
          </cell>
          <cell r="T8662" t="str">
            <v>Regular Employee</v>
          </cell>
        </row>
        <row r="8663">
          <cell r="K8663">
            <v>-916.04</v>
          </cell>
          <cell r="P8663" t="str">
            <v>81111101-52121101</v>
          </cell>
          <cell r="S8663" t="str">
            <v>2026A-09</v>
          </cell>
          <cell r="T8663" t="str">
            <v>Regular Employee</v>
          </cell>
        </row>
        <row r="8664">
          <cell r="K8664">
            <v>-111.68</v>
          </cell>
          <cell r="P8664" t="str">
            <v>81111101-52121101</v>
          </cell>
          <cell r="S8664" t="str">
            <v>2026A-09</v>
          </cell>
          <cell r="T8664" t="str">
            <v>Regular Employee</v>
          </cell>
        </row>
        <row r="8665">
          <cell r="K8665">
            <v>-908.87</v>
          </cell>
          <cell r="P8665" t="str">
            <v>81111101-52121101</v>
          </cell>
          <cell r="S8665" t="str">
            <v>2026A-09</v>
          </cell>
          <cell r="T8665" t="str">
            <v>Regular Employee</v>
          </cell>
        </row>
        <row r="8666">
          <cell r="K8666">
            <v>1024150</v>
          </cell>
          <cell r="P8666" t="str">
            <v>81111101-52121101</v>
          </cell>
          <cell r="S8666" t="str">
            <v>2026A-09</v>
          </cell>
          <cell r="T8666" t="str">
            <v>Regular Employee</v>
          </cell>
        </row>
        <row r="8667">
          <cell r="K8667">
            <v>2024.45</v>
          </cell>
          <cell r="P8667" t="str">
            <v>81111101-52121101</v>
          </cell>
          <cell r="S8667" t="str">
            <v>2026A-09</v>
          </cell>
          <cell r="T8667" t="str">
            <v>Regular Employee</v>
          </cell>
        </row>
        <row r="8668">
          <cell r="K8668">
            <v>1427.31</v>
          </cell>
          <cell r="P8668" t="str">
            <v>81111101-52121101</v>
          </cell>
          <cell r="S8668" t="str">
            <v>2026A-09</v>
          </cell>
          <cell r="T8668" t="str">
            <v>Regular Employee</v>
          </cell>
        </row>
        <row r="8669">
          <cell r="K8669">
            <v>-14386.42</v>
          </cell>
          <cell r="P8669" t="str">
            <v>81111101-52121101</v>
          </cell>
          <cell r="S8669" t="str">
            <v>2026A-09</v>
          </cell>
          <cell r="T8669" t="str">
            <v>Regular Employee</v>
          </cell>
        </row>
        <row r="8670">
          <cell r="K8670">
            <v>-6160.38</v>
          </cell>
          <cell r="P8670" t="str">
            <v>81111101-52121101</v>
          </cell>
          <cell r="S8670" t="str">
            <v>2026A-09</v>
          </cell>
          <cell r="T8670" t="str">
            <v>Regular Employee</v>
          </cell>
        </row>
        <row r="8671">
          <cell r="K8671">
            <v>-1123.1099999999999</v>
          </cell>
          <cell r="P8671" t="str">
            <v>81111101-52121101</v>
          </cell>
          <cell r="S8671" t="str">
            <v>2026A-09</v>
          </cell>
          <cell r="T8671" t="str">
            <v>Regular Employee</v>
          </cell>
        </row>
        <row r="8672">
          <cell r="K8672">
            <v>-10877.29</v>
          </cell>
          <cell r="P8672" t="str">
            <v>81111101-52121101</v>
          </cell>
          <cell r="S8672" t="str">
            <v>2026A-09</v>
          </cell>
          <cell r="T8672" t="str">
            <v>Regular Employee</v>
          </cell>
        </row>
        <row r="8673">
          <cell r="K8673">
            <v>126100</v>
          </cell>
          <cell r="P8673" t="str">
            <v>81111101-52121101</v>
          </cell>
          <cell r="S8673" t="str">
            <v>2026A-09</v>
          </cell>
          <cell r="T8673" t="str">
            <v>Regular Employee</v>
          </cell>
        </row>
        <row r="8674">
          <cell r="K8674">
            <v>-5267.24</v>
          </cell>
          <cell r="P8674" t="str">
            <v>81111101-52121101</v>
          </cell>
          <cell r="S8674" t="str">
            <v>2026A-09</v>
          </cell>
          <cell r="T8674" t="str">
            <v>Regular Employee</v>
          </cell>
        </row>
        <row r="8675">
          <cell r="K8675">
            <v>-2664.7</v>
          </cell>
          <cell r="P8675" t="str">
            <v>81111101-52121101</v>
          </cell>
          <cell r="S8675" t="str">
            <v>2026A-09</v>
          </cell>
          <cell r="T8675" t="str">
            <v>Regular Employee</v>
          </cell>
        </row>
        <row r="8676">
          <cell r="K8676">
            <v>6805.24</v>
          </cell>
          <cell r="P8676" t="str">
            <v>81111101-52121102</v>
          </cell>
          <cell r="S8676" t="str">
            <v>2026A-09</v>
          </cell>
          <cell r="T8676" t="str">
            <v>OT Pay</v>
          </cell>
        </row>
        <row r="8677">
          <cell r="K8677">
            <v>4024.88</v>
          </cell>
          <cell r="P8677" t="str">
            <v>81111101-52121102</v>
          </cell>
          <cell r="S8677" t="str">
            <v>2026A-09</v>
          </cell>
          <cell r="T8677" t="str">
            <v>OT Pay</v>
          </cell>
        </row>
        <row r="8678">
          <cell r="K8678">
            <v>1804.72</v>
          </cell>
          <cell r="P8678" t="str">
            <v>81111101-52121102</v>
          </cell>
          <cell r="S8678" t="str">
            <v>2026A-09</v>
          </cell>
          <cell r="T8678" t="str">
            <v>OT Pay</v>
          </cell>
        </row>
        <row r="8679">
          <cell r="K8679">
            <v>23800</v>
          </cell>
          <cell r="P8679" t="str">
            <v>81111101-52121103</v>
          </cell>
          <cell r="S8679" t="str">
            <v>2026A-09</v>
          </cell>
          <cell r="T8679" t="str">
            <v>OT Pay</v>
          </cell>
        </row>
        <row r="8680">
          <cell r="K8680">
            <v>7600</v>
          </cell>
          <cell r="P8680" t="str">
            <v>81111101-52121103</v>
          </cell>
          <cell r="S8680" t="str">
            <v>2026A-09</v>
          </cell>
          <cell r="T8680" t="str">
            <v>OT Pay</v>
          </cell>
        </row>
        <row r="8681">
          <cell r="K8681">
            <v>10450</v>
          </cell>
          <cell r="P8681" t="str">
            <v>81111101-52121305</v>
          </cell>
          <cell r="S8681" t="str">
            <v>2026A-09</v>
          </cell>
          <cell r="T8681" t="str">
            <v>SSS</v>
          </cell>
        </row>
        <row r="8682">
          <cell r="K8682">
            <v>20190</v>
          </cell>
          <cell r="P8682" t="str">
            <v>81111101-52121305</v>
          </cell>
          <cell r="S8682" t="str">
            <v>2026A-09</v>
          </cell>
          <cell r="T8682" t="str">
            <v>SSS</v>
          </cell>
        </row>
        <row r="8683">
          <cell r="K8683">
            <v>5920</v>
          </cell>
          <cell r="P8683" t="str">
            <v>81111101-52121305</v>
          </cell>
          <cell r="S8683" t="str">
            <v>2026A-09</v>
          </cell>
          <cell r="T8683" t="str">
            <v>SSS</v>
          </cell>
        </row>
        <row r="8684">
          <cell r="K8684">
            <v>43100</v>
          </cell>
          <cell r="P8684" t="str">
            <v>81111101-52121305</v>
          </cell>
          <cell r="S8684" t="str">
            <v>2026A-09</v>
          </cell>
          <cell r="T8684" t="str">
            <v>SSS</v>
          </cell>
        </row>
        <row r="8685">
          <cell r="K8685">
            <v>2350</v>
          </cell>
          <cell r="P8685" t="str">
            <v>81111101-52121305</v>
          </cell>
          <cell r="S8685" t="str">
            <v>2026A-09</v>
          </cell>
          <cell r="T8685" t="str">
            <v>SSS</v>
          </cell>
        </row>
        <row r="8686">
          <cell r="K8686">
            <v>30000</v>
          </cell>
          <cell r="P8686" t="str">
            <v>81111101-52121308</v>
          </cell>
          <cell r="S8686" t="str">
            <v>2026A-09</v>
          </cell>
          <cell r="T8686" t="str">
            <v>Gas Allowance</v>
          </cell>
        </row>
        <row r="8687">
          <cell r="K8687">
            <v>5000</v>
          </cell>
          <cell r="P8687" t="str">
            <v>81111101-52121308</v>
          </cell>
          <cell r="S8687" t="str">
            <v>2026A-09</v>
          </cell>
          <cell r="T8687" t="str">
            <v>Gas Allowance</v>
          </cell>
        </row>
        <row r="8688">
          <cell r="K8688">
            <v>822000</v>
          </cell>
          <cell r="P8688" t="str">
            <v>81122101-52071104</v>
          </cell>
          <cell r="S8688" t="str">
            <v>2026A-09</v>
          </cell>
          <cell r="T8688" t="str">
            <v>INTCNSLTNT</v>
          </cell>
        </row>
        <row r="8689">
          <cell r="K8689">
            <v>8000</v>
          </cell>
          <cell r="P8689" t="str">
            <v>81122101-52071104</v>
          </cell>
          <cell r="S8689" t="str">
            <v>2026A-09</v>
          </cell>
          <cell r="T8689" t="str">
            <v>INTCNSLTNT</v>
          </cell>
        </row>
        <row r="8690">
          <cell r="K8690">
            <v>-20152.68</v>
          </cell>
          <cell r="P8690" t="str">
            <v>81122101-52071104</v>
          </cell>
          <cell r="S8690" t="str">
            <v>2026A-09</v>
          </cell>
          <cell r="T8690" t="str">
            <v>INTCNSLTNT</v>
          </cell>
        </row>
        <row r="8691">
          <cell r="K8691">
            <v>208100</v>
          </cell>
          <cell r="P8691" t="str">
            <v>81122101-52071104</v>
          </cell>
          <cell r="S8691" t="str">
            <v>2026A-09</v>
          </cell>
          <cell r="T8691" t="str">
            <v>INTCNSLTNT</v>
          </cell>
        </row>
        <row r="8692">
          <cell r="K8692">
            <v>-10644.27</v>
          </cell>
          <cell r="P8692" t="str">
            <v>81122101-52071104</v>
          </cell>
          <cell r="S8692" t="str">
            <v>2026A-09</v>
          </cell>
          <cell r="T8692" t="str">
            <v>INTCNSLTNT</v>
          </cell>
        </row>
        <row r="8693">
          <cell r="K8693">
            <v>303089.17</v>
          </cell>
          <cell r="P8693" t="str">
            <v>81111101-52121304</v>
          </cell>
          <cell r="S8693" t="str">
            <v>2026A-09</v>
          </cell>
          <cell r="T8693" t="str">
            <v>Retirement</v>
          </cell>
        </row>
        <row r="8694">
          <cell r="K8694">
            <v>4050</v>
          </cell>
          <cell r="P8694" t="str">
            <v>90111101-52081103</v>
          </cell>
          <cell r="S8694" t="str">
            <v>2026A-09</v>
          </cell>
          <cell r="T8694" t="str">
            <v>Meal Allowance</v>
          </cell>
        </row>
        <row r="8695">
          <cell r="K8695">
            <v>300</v>
          </cell>
          <cell r="P8695" t="str">
            <v>90111101-52081103</v>
          </cell>
          <cell r="S8695" t="str">
            <v>2026A-09</v>
          </cell>
          <cell r="T8695" t="str">
            <v>Meal Allowance</v>
          </cell>
        </row>
        <row r="8696">
          <cell r="K8696">
            <v>3124600</v>
          </cell>
          <cell r="P8696" t="str">
            <v>90111101-52121101</v>
          </cell>
          <cell r="S8696" t="str">
            <v>2026A-09</v>
          </cell>
          <cell r="T8696" t="str">
            <v>Regular Employee</v>
          </cell>
        </row>
        <row r="8697">
          <cell r="K8697">
            <v>526250</v>
          </cell>
          <cell r="P8697" t="str">
            <v>90111101-52121101</v>
          </cell>
          <cell r="S8697" t="str">
            <v>2026A-09</v>
          </cell>
          <cell r="T8697" t="str">
            <v>Regular Employee</v>
          </cell>
        </row>
        <row r="8698">
          <cell r="K8698">
            <v>503400</v>
          </cell>
          <cell r="P8698" t="str">
            <v>90111101-52121101</v>
          </cell>
          <cell r="S8698" t="str">
            <v>2026A-09</v>
          </cell>
          <cell r="T8698" t="str">
            <v>Regular Employee</v>
          </cell>
        </row>
        <row r="8699">
          <cell r="K8699">
            <v>2192050</v>
          </cell>
          <cell r="P8699" t="str">
            <v>90111101-52121101</v>
          </cell>
          <cell r="S8699" t="str">
            <v>2026A-09</v>
          </cell>
          <cell r="T8699" t="str">
            <v>Regular Employee</v>
          </cell>
        </row>
        <row r="8700">
          <cell r="K8700">
            <v>1495925</v>
          </cell>
          <cell r="P8700" t="str">
            <v>90111101-52121101</v>
          </cell>
          <cell r="S8700" t="str">
            <v>2026A-09</v>
          </cell>
          <cell r="T8700" t="str">
            <v>Regular Employee</v>
          </cell>
        </row>
        <row r="8701">
          <cell r="K8701">
            <v>508600</v>
          </cell>
          <cell r="P8701" t="str">
            <v>90111101-52121101</v>
          </cell>
          <cell r="S8701" t="str">
            <v>2026A-09</v>
          </cell>
          <cell r="T8701" t="str">
            <v>Regular Employee</v>
          </cell>
        </row>
        <row r="8702">
          <cell r="K8702">
            <v>-2818.94</v>
          </cell>
          <cell r="P8702" t="str">
            <v>90111101-52121101</v>
          </cell>
          <cell r="S8702" t="str">
            <v>2026A-09</v>
          </cell>
          <cell r="T8702" t="str">
            <v>Regular Employee</v>
          </cell>
        </row>
        <row r="8703">
          <cell r="K8703">
            <v>4758.84</v>
          </cell>
          <cell r="P8703" t="str">
            <v>90111101-52121101</v>
          </cell>
          <cell r="S8703" t="str">
            <v>2026A-09</v>
          </cell>
          <cell r="T8703" t="str">
            <v>Regular Employee</v>
          </cell>
        </row>
        <row r="8704">
          <cell r="K8704">
            <v>1589.84</v>
          </cell>
          <cell r="P8704" t="str">
            <v>90111101-52121101</v>
          </cell>
          <cell r="S8704" t="str">
            <v>2026A-09</v>
          </cell>
          <cell r="T8704" t="str">
            <v>Regular Employee</v>
          </cell>
        </row>
        <row r="8705">
          <cell r="K8705">
            <v>-178.63</v>
          </cell>
          <cell r="P8705" t="str">
            <v>90111101-52121101</v>
          </cell>
          <cell r="S8705" t="str">
            <v>2026A-09</v>
          </cell>
          <cell r="T8705" t="str">
            <v>Regular Employee</v>
          </cell>
        </row>
        <row r="8706">
          <cell r="K8706">
            <v>37950</v>
          </cell>
          <cell r="P8706" t="str">
            <v>90111101-52121101</v>
          </cell>
          <cell r="S8706" t="str">
            <v>2026A-09</v>
          </cell>
          <cell r="T8706" t="str">
            <v>Regular Employee</v>
          </cell>
        </row>
        <row r="8707">
          <cell r="K8707">
            <v>1574.45</v>
          </cell>
          <cell r="P8707" t="str">
            <v>90111101-52121101</v>
          </cell>
          <cell r="S8707" t="str">
            <v>2026A-09</v>
          </cell>
          <cell r="T8707" t="str">
            <v>Regular Employee</v>
          </cell>
        </row>
        <row r="8708">
          <cell r="K8708">
            <v>-2962.61</v>
          </cell>
          <cell r="P8708" t="str">
            <v>90111101-52121101</v>
          </cell>
          <cell r="S8708" t="str">
            <v>2026A-09</v>
          </cell>
          <cell r="T8708" t="str">
            <v>Regular Employee</v>
          </cell>
        </row>
        <row r="8709">
          <cell r="K8709">
            <v>-2388.71</v>
          </cell>
          <cell r="P8709" t="str">
            <v>90111101-52121101</v>
          </cell>
          <cell r="S8709" t="str">
            <v>2026A-09</v>
          </cell>
          <cell r="T8709" t="str">
            <v>Regular Employee</v>
          </cell>
        </row>
        <row r="8710">
          <cell r="K8710">
            <v>-8129.14</v>
          </cell>
          <cell r="P8710" t="str">
            <v>90111101-52121101</v>
          </cell>
          <cell r="S8710" t="str">
            <v>2026A-09</v>
          </cell>
          <cell r="T8710" t="str">
            <v>Regular Employee</v>
          </cell>
        </row>
        <row r="8711">
          <cell r="K8711">
            <v>-8732.17</v>
          </cell>
          <cell r="P8711" t="str">
            <v>90111101-52121101</v>
          </cell>
          <cell r="S8711" t="str">
            <v>2026A-09</v>
          </cell>
          <cell r="T8711" t="str">
            <v>Regular Employee</v>
          </cell>
        </row>
        <row r="8712">
          <cell r="K8712">
            <v>-4044.32</v>
          </cell>
          <cell r="P8712" t="str">
            <v>90111101-52121101</v>
          </cell>
          <cell r="S8712" t="str">
            <v>2026A-09</v>
          </cell>
          <cell r="T8712" t="str">
            <v>Regular Employee</v>
          </cell>
        </row>
        <row r="8713">
          <cell r="K8713">
            <v>-1395.96</v>
          </cell>
          <cell r="P8713" t="str">
            <v>90111101-52121101</v>
          </cell>
          <cell r="S8713" t="str">
            <v>2026A-09</v>
          </cell>
          <cell r="T8713" t="str">
            <v>Regular Employee</v>
          </cell>
        </row>
        <row r="8714">
          <cell r="K8714">
            <v>-1190.8499999999999</v>
          </cell>
          <cell r="P8714" t="str">
            <v>90111101-52121101</v>
          </cell>
          <cell r="S8714" t="str">
            <v>2026A-09</v>
          </cell>
          <cell r="T8714" t="str">
            <v>Regular Employee</v>
          </cell>
        </row>
        <row r="8715">
          <cell r="K8715">
            <v>-10217.030000000001</v>
          </cell>
          <cell r="P8715" t="str">
            <v>90111101-52121101</v>
          </cell>
          <cell r="S8715" t="str">
            <v>2026A-09</v>
          </cell>
          <cell r="T8715" t="str">
            <v>Regular Employee</v>
          </cell>
        </row>
        <row r="8716">
          <cell r="K8716">
            <v>-4695.9799999999996</v>
          </cell>
          <cell r="P8716" t="str">
            <v>90111101-52121101</v>
          </cell>
          <cell r="S8716" t="str">
            <v>2026A-09</v>
          </cell>
          <cell r="T8716" t="str">
            <v>Regular Employee</v>
          </cell>
        </row>
        <row r="8717">
          <cell r="K8717">
            <v>-61796.17</v>
          </cell>
          <cell r="P8717" t="str">
            <v>90111101-52121101</v>
          </cell>
          <cell r="S8717" t="str">
            <v>2026A-09</v>
          </cell>
          <cell r="T8717" t="str">
            <v>Regular Employee</v>
          </cell>
        </row>
        <row r="8718">
          <cell r="K8718">
            <v>-48504.42</v>
          </cell>
          <cell r="P8718" t="str">
            <v>90111101-52121101</v>
          </cell>
          <cell r="S8718" t="str">
            <v>2026A-09</v>
          </cell>
          <cell r="T8718" t="str">
            <v>Regular Employee</v>
          </cell>
        </row>
        <row r="8719">
          <cell r="K8719">
            <v>-422.52</v>
          </cell>
          <cell r="P8719" t="str">
            <v>90111101-52121101</v>
          </cell>
          <cell r="S8719" t="str">
            <v>2026A-09</v>
          </cell>
          <cell r="T8719" t="str">
            <v>Regular Employee</v>
          </cell>
        </row>
        <row r="8720">
          <cell r="K8720">
            <v>-480.07</v>
          </cell>
          <cell r="P8720" t="str">
            <v>90111101-52121101</v>
          </cell>
          <cell r="S8720" t="str">
            <v>2026A-09</v>
          </cell>
          <cell r="T8720" t="str">
            <v>Regular Employee</v>
          </cell>
        </row>
        <row r="8721">
          <cell r="K8721">
            <v>-89.31</v>
          </cell>
          <cell r="P8721" t="str">
            <v>90111101-52121101</v>
          </cell>
          <cell r="S8721" t="str">
            <v>2026A-09</v>
          </cell>
          <cell r="T8721" t="str">
            <v>Regular Employee</v>
          </cell>
        </row>
        <row r="8722">
          <cell r="K8722">
            <v>-940.51</v>
          </cell>
          <cell r="P8722" t="str">
            <v>90111101-52121101</v>
          </cell>
          <cell r="S8722" t="str">
            <v>2026A-09</v>
          </cell>
          <cell r="T8722" t="str">
            <v>Regular Employee</v>
          </cell>
        </row>
        <row r="8723">
          <cell r="K8723">
            <v>-2519.12</v>
          </cell>
          <cell r="P8723" t="str">
            <v>90111101-52121101</v>
          </cell>
          <cell r="S8723" t="str">
            <v>2026A-09</v>
          </cell>
          <cell r="T8723" t="str">
            <v>Regular Employee</v>
          </cell>
        </row>
        <row r="8724">
          <cell r="K8724">
            <v>-358.42</v>
          </cell>
          <cell r="P8724" t="str">
            <v>90111101-52121101</v>
          </cell>
          <cell r="S8724" t="str">
            <v>2026A-09</v>
          </cell>
          <cell r="T8724" t="str">
            <v>Regular Employee</v>
          </cell>
        </row>
        <row r="8725">
          <cell r="K8725">
            <v>-1007.65</v>
          </cell>
          <cell r="P8725" t="str">
            <v>90111101-52121101</v>
          </cell>
          <cell r="S8725" t="str">
            <v>2026A-09</v>
          </cell>
          <cell r="T8725" t="str">
            <v>Regular Employee</v>
          </cell>
        </row>
        <row r="8726">
          <cell r="K8726">
            <v>17226.259999999998</v>
          </cell>
          <cell r="P8726" t="str">
            <v>90111101-52121102</v>
          </cell>
          <cell r="S8726" t="str">
            <v>2026A-09</v>
          </cell>
          <cell r="T8726" t="str">
            <v>OT Pay</v>
          </cell>
        </row>
        <row r="8727">
          <cell r="K8727">
            <v>1652.47</v>
          </cell>
          <cell r="P8727" t="str">
            <v>90111101-52121102</v>
          </cell>
          <cell r="S8727" t="str">
            <v>2026A-09</v>
          </cell>
          <cell r="T8727" t="str">
            <v>OT Pay</v>
          </cell>
        </row>
        <row r="8728">
          <cell r="K8728">
            <v>14810.15</v>
          </cell>
          <cell r="P8728" t="str">
            <v>90111101-52121102</v>
          </cell>
          <cell r="S8728" t="str">
            <v>2026A-09</v>
          </cell>
          <cell r="T8728" t="str">
            <v>OT Pay</v>
          </cell>
        </row>
        <row r="8729">
          <cell r="K8729">
            <v>3376.82</v>
          </cell>
          <cell r="P8729" t="str">
            <v>90111101-52121102</v>
          </cell>
          <cell r="S8729" t="str">
            <v>2026A-09</v>
          </cell>
          <cell r="T8729" t="str">
            <v>OT Pay</v>
          </cell>
        </row>
        <row r="8730">
          <cell r="K8730">
            <v>2511.25</v>
          </cell>
          <cell r="P8730" t="str">
            <v>90111101-52121102</v>
          </cell>
          <cell r="S8730" t="str">
            <v>2026A-09</v>
          </cell>
          <cell r="T8730" t="str">
            <v>OT Pay</v>
          </cell>
        </row>
        <row r="8731">
          <cell r="K8731">
            <v>4000</v>
          </cell>
          <cell r="P8731" t="str">
            <v>90111101-52121103</v>
          </cell>
          <cell r="S8731" t="str">
            <v>2026A-09</v>
          </cell>
          <cell r="T8731" t="str">
            <v>OT Pay</v>
          </cell>
        </row>
        <row r="8732">
          <cell r="K8732">
            <v>3200</v>
          </cell>
          <cell r="P8732" t="str">
            <v>90111101-52121103</v>
          </cell>
          <cell r="S8732" t="str">
            <v>2026A-09</v>
          </cell>
          <cell r="T8732" t="str">
            <v>OT Pay</v>
          </cell>
        </row>
        <row r="8733">
          <cell r="K8733">
            <v>34270</v>
          </cell>
          <cell r="P8733" t="str">
            <v>90111101-52121305</v>
          </cell>
          <cell r="S8733" t="str">
            <v>2026A-09</v>
          </cell>
          <cell r="T8733" t="str">
            <v>SSS</v>
          </cell>
        </row>
        <row r="8734">
          <cell r="K8734">
            <v>3150</v>
          </cell>
          <cell r="P8734" t="str">
            <v>90111101-52121305</v>
          </cell>
          <cell r="S8734" t="str">
            <v>2026A-09</v>
          </cell>
          <cell r="T8734" t="str">
            <v>SSS</v>
          </cell>
        </row>
        <row r="8735">
          <cell r="K8735">
            <v>4150</v>
          </cell>
          <cell r="P8735" t="str">
            <v>90111101-52121305</v>
          </cell>
          <cell r="S8735" t="str">
            <v>2026A-09</v>
          </cell>
          <cell r="T8735" t="str">
            <v>SSS</v>
          </cell>
        </row>
        <row r="8736">
          <cell r="K8736">
            <v>30650</v>
          </cell>
          <cell r="P8736" t="str">
            <v>90111101-52121305</v>
          </cell>
          <cell r="S8736" t="str">
            <v>2026A-09</v>
          </cell>
          <cell r="T8736" t="str">
            <v>SSS</v>
          </cell>
        </row>
        <row r="8737">
          <cell r="K8737">
            <v>1270</v>
          </cell>
          <cell r="P8737" t="str">
            <v>90111101-52121305</v>
          </cell>
          <cell r="S8737" t="str">
            <v>2026A-09</v>
          </cell>
          <cell r="T8737" t="str">
            <v>SSS</v>
          </cell>
        </row>
        <row r="8738">
          <cell r="K8738">
            <v>5070</v>
          </cell>
          <cell r="P8738" t="str">
            <v>90111101-52121305</v>
          </cell>
          <cell r="S8738" t="str">
            <v>2026A-09</v>
          </cell>
          <cell r="T8738" t="str">
            <v>SSS</v>
          </cell>
        </row>
        <row r="8739">
          <cell r="K8739">
            <v>221750</v>
          </cell>
          <cell r="P8739" t="str">
            <v>90111101-52121308</v>
          </cell>
          <cell r="S8739" t="str">
            <v>2026A-09</v>
          </cell>
          <cell r="T8739" t="str">
            <v>Gas Allowance</v>
          </cell>
        </row>
        <row r="8740">
          <cell r="K8740">
            <v>53750</v>
          </cell>
          <cell r="P8740" t="str">
            <v>90111101-52121308</v>
          </cell>
          <cell r="S8740" t="str">
            <v>2026A-09</v>
          </cell>
          <cell r="T8740" t="str">
            <v>Gas Allowance</v>
          </cell>
        </row>
        <row r="8741">
          <cell r="K8741">
            <v>21000</v>
          </cell>
          <cell r="P8741" t="str">
            <v>90111101-52121308</v>
          </cell>
          <cell r="S8741" t="str">
            <v>2026A-09</v>
          </cell>
          <cell r="T8741" t="str">
            <v>Gas Allowance</v>
          </cell>
        </row>
        <row r="8742">
          <cell r="K8742">
            <v>174250</v>
          </cell>
          <cell r="P8742" t="str">
            <v>90111101-52121308</v>
          </cell>
          <cell r="S8742" t="str">
            <v>2026A-09</v>
          </cell>
          <cell r="T8742" t="str">
            <v>Gas Allowance</v>
          </cell>
        </row>
        <row r="8743">
          <cell r="K8743">
            <v>48000</v>
          </cell>
          <cell r="P8743" t="str">
            <v>90111101-52121308</v>
          </cell>
          <cell r="S8743" t="str">
            <v>2026A-09</v>
          </cell>
          <cell r="T8743" t="str">
            <v>Gas Allowance</v>
          </cell>
        </row>
        <row r="8744">
          <cell r="K8744">
            <v>54250</v>
          </cell>
          <cell r="P8744" t="str">
            <v>90111101-52121308</v>
          </cell>
          <cell r="S8744" t="str">
            <v>2026A-09</v>
          </cell>
          <cell r="T8744" t="str">
            <v>Gas Allowance</v>
          </cell>
        </row>
        <row r="8745">
          <cell r="K8745">
            <v>381550.68</v>
          </cell>
          <cell r="P8745" t="str">
            <v>80124101-61711102</v>
          </cell>
          <cell r="S8745" t="str">
            <v>2026A-09</v>
          </cell>
          <cell r="T8745" t="str">
            <v>SAP</v>
          </cell>
        </row>
        <row r="8746">
          <cell r="K8746">
            <v>91032.05</v>
          </cell>
          <cell r="P8746" t="str">
            <v>80124101-61711102</v>
          </cell>
          <cell r="S8746" t="str">
            <v>2026A-09</v>
          </cell>
          <cell r="T8746" t="str">
            <v>M365 Email Security</v>
          </cell>
        </row>
        <row r="8747">
          <cell r="K8747">
            <v>122908.59</v>
          </cell>
          <cell r="P8747" t="str">
            <v>80124101-61711102</v>
          </cell>
          <cell r="S8747" t="str">
            <v>2026A-09</v>
          </cell>
          <cell r="T8747" t="str">
            <v>Menlo Cloud Internet</v>
          </cell>
        </row>
        <row r="8748">
          <cell r="K8748">
            <v>84070.01</v>
          </cell>
          <cell r="P8748" t="str">
            <v>80124101-61711102</v>
          </cell>
          <cell r="S8748" t="str">
            <v>2026A-09</v>
          </cell>
          <cell r="T8748" t="str">
            <v>Crowdstrike</v>
          </cell>
        </row>
        <row r="8749">
          <cell r="K8749">
            <v>41447.79</v>
          </cell>
          <cell r="P8749" t="str">
            <v>80124101-61711102</v>
          </cell>
          <cell r="S8749" t="str">
            <v>2026A-09</v>
          </cell>
          <cell r="T8749" t="str">
            <v>Kaseya</v>
          </cell>
        </row>
        <row r="8750">
          <cell r="K8750">
            <v>6540.28</v>
          </cell>
          <cell r="P8750" t="str">
            <v>80124101-61711102</v>
          </cell>
          <cell r="S8750" t="str">
            <v>2026A-09</v>
          </cell>
          <cell r="T8750" t="str">
            <v>NMI Support Pack</v>
          </cell>
        </row>
        <row r="8751">
          <cell r="K8751">
            <v>7815.5</v>
          </cell>
          <cell r="P8751" t="str">
            <v>80124101-61711102</v>
          </cell>
          <cell r="S8751" t="str">
            <v>2026A-09</v>
          </cell>
          <cell r="T8751" t="str">
            <v>Ransomware Detective</v>
          </cell>
        </row>
        <row r="8752">
          <cell r="K8752">
            <v>346041.67</v>
          </cell>
          <cell r="P8752" t="str">
            <v>80134102-61711101</v>
          </cell>
          <cell r="S8752" t="str">
            <v>2026A-09</v>
          </cell>
          <cell r="T8752" t="str">
            <v>Membership - Valle Verde</v>
          </cell>
        </row>
        <row r="8753">
          <cell r="K8753">
            <v>57589.29</v>
          </cell>
          <cell r="P8753" t="str">
            <v>80134102-61711101</v>
          </cell>
          <cell r="S8753" t="str">
            <v>2026A-09</v>
          </cell>
          <cell r="T8753" t="str">
            <v>Membership - Consumables</v>
          </cell>
        </row>
        <row r="8754">
          <cell r="K8754">
            <v>125625</v>
          </cell>
          <cell r="P8754" t="str">
            <v>80134102-61711101</v>
          </cell>
          <cell r="S8754" t="str">
            <v>2026A-09</v>
          </cell>
          <cell r="T8754" t="str">
            <v>Membership - OPE</v>
          </cell>
        </row>
        <row r="8755">
          <cell r="K8755">
            <v>20000</v>
          </cell>
          <cell r="P8755" t="str">
            <v>80123101-61071005</v>
          </cell>
          <cell r="S8755" t="str">
            <v>2026A-09</v>
          </cell>
          <cell r="T8755" t="str">
            <v>Angara</v>
          </cell>
        </row>
        <row r="8756">
          <cell r="K8756">
            <v>4500</v>
          </cell>
          <cell r="P8756" t="str">
            <v>80123101-61711101</v>
          </cell>
          <cell r="S8756" t="str">
            <v>2026A-09</v>
          </cell>
          <cell r="T8756" t="str">
            <v>Dues and Fees - Legal</v>
          </cell>
        </row>
        <row r="8757">
          <cell r="K8757">
            <v>75392.75</v>
          </cell>
          <cell r="P8757" t="str">
            <v>80123102-61101104</v>
          </cell>
          <cell r="S8757" t="str">
            <v>2026A-09</v>
          </cell>
          <cell r="T8757" t="str">
            <v>Insurance Vehicle</v>
          </cell>
        </row>
        <row r="8758">
          <cell r="K8758">
            <v>5960.72</v>
          </cell>
          <cell r="P8758" t="str">
            <v>80123102-61101104</v>
          </cell>
          <cell r="S8758" t="str">
            <v>2026A-09</v>
          </cell>
          <cell r="T8758" t="str">
            <v>Insurance Vehicle</v>
          </cell>
        </row>
        <row r="8759">
          <cell r="K8759">
            <v>4552.5</v>
          </cell>
          <cell r="P8759" t="str">
            <v>80111101-61021301</v>
          </cell>
          <cell r="S8759" t="str">
            <v>2026A-09</v>
          </cell>
          <cell r="T8759" t="str">
            <v>Life Insurance</v>
          </cell>
        </row>
        <row r="8760">
          <cell r="K8760">
            <v>262.5</v>
          </cell>
          <cell r="P8760" t="str">
            <v>80111101-61021301</v>
          </cell>
          <cell r="S8760" t="str">
            <v>2026A-09</v>
          </cell>
          <cell r="T8760" t="str">
            <v>Life Insurance</v>
          </cell>
        </row>
        <row r="8761">
          <cell r="K8761">
            <v>135623.34</v>
          </cell>
          <cell r="P8761" t="str">
            <v>80111101-61021303</v>
          </cell>
          <cell r="S8761" t="str">
            <v>2026A-09</v>
          </cell>
          <cell r="T8761" t="str">
            <v>HMO</v>
          </cell>
        </row>
        <row r="8762">
          <cell r="K8762">
            <v>2526.04</v>
          </cell>
          <cell r="P8762" t="str">
            <v>80111101-61021303</v>
          </cell>
          <cell r="S8762" t="str">
            <v>2026A-09</v>
          </cell>
          <cell r="T8762" t="str">
            <v>HMO</v>
          </cell>
        </row>
        <row r="8763">
          <cell r="K8763">
            <v>231789.67</v>
          </cell>
          <cell r="P8763" t="str">
            <v>80111101-61021304</v>
          </cell>
          <cell r="S8763" t="str">
            <v>2026A-09</v>
          </cell>
          <cell r="T8763" t="str">
            <v>Retirement</v>
          </cell>
        </row>
        <row r="8764">
          <cell r="K8764">
            <v>195832.5</v>
          </cell>
          <cell r="P8764" t="str">
            <v>80123102-61041101</v>
          </cell>
          <cell r="S8764" t="str">
            <v>2026A-09</v>
          </cell>
          <cell r="T8764" t="str">
            <v>Electricity &amp; Water</v>
          </cell>
        </row>
        <row r="8765">
          <cell r="K8765">
            <v>112.91</v>
          </cell>
          <cell r="P8765" t="str">
            <v>80111101-52101105</v>
          </cell>
          <cell r="S8765" t="str">
            <v>2026A-09</v>
          </cell>
          <cell r="T8765" t="str">
            <v>PTS</v>
          </cell>
        </row>
        <row r="8766">
          <cell r="K8766">
            <v>112.91</v>
          </cell>
          <cell r="P8766" t="str">
            <v>80111101-52101105</v>
          </cell>
          <cell r="S8766" t="str">
            <v>2026A-09</v>
          </cell>
          <cell r="T8766" t="str">
            <v>PTS</v>
          </cell>
        </row>
        <row r="8767">
          <cell r="K8767">
            <v>73615.570000000007</v>
          </cell>
          <cell r="P8767" t="str">
            <v>80123102-61111201</v>
          </cell>
          <cell r="S8767" t="str">
            <v>2026A-09</v>
          </cell>
          <cell r="T8767" t="str">
            <v>Shell</v>
          </cell>
        </row>
        <row r="8768">
          <cell r="K8768">
            <v>19602.400000000001</v>
          </cell>
          <cell r="P8768" t="str">
            <v>80123102-61721101</v>
          </cell>
          <cell r="S8768" t="str">
            <v>2026A-09</v>
          </cell>
          <cell r="T8768" t="str">
            <v>Mobile Phones</v>
          </cell>
        </row>
        <row r="8769">
          <cell r="K8769">
            <v>11184.27</v>
          </cell>
          <cell r="P8769" t="str">
            <v>81111101-52101101</v>
          </cell>
          <cell r="S8769" t="str">
            <v>2026A-09</v>
          </cell>
          <cell r="T8769" t="str">
            <v>PARI</v>
          </cell>
        </row>
        <row r="8770">
          <cell r="K8770">
            <v>8272.5</v>
          </cell>
          <cell r="P8770" t="str">
            <v>81111101-52121301</v>
          </cell>
          <cell r="S8770" t="str">
            <v>2026A-09</v>
          </cell>
          <cell r="T8770" t="str">
            <v>Life Insurance</v>
          </cell>
        </row>
        <row r="8771">
          <cell r="K8771">
            <v>5654.76</v>
          </cell>
          <cell r="P8771" t="str">
            <v>81124101-52952103</v>
          </cell>
          <cell r="S8771" t="str">
            <v>2026A-09</v>
          </cell>
          <cell r="T8771" t="str">
            <v>SDWAN ES TS GH</v>
          </cell>
        </row>
        <row r="8772">
          <cell r="K8772">
            <v>19223.330000000002</v>
          </cell>
          <cell r="P8772" t="str">
            <v>81124101-52952103</v>
          </cell>
          <cell r="S8772" t="str">
            <v>2026A-09</v>
          </cell>
          <cell r="T8772" t="str">
            <v>SDWAN ES TS GH</v>
          </cell>
        </row>
        <row r="8773">
          <cell r="K8773">
            <v>73422.720000000001</v>
          </cell>
          <cell r="P8773" t="str">
            <v>81124101-52952103</v>
          </cell>
          <cell r="S8773" t="str">
            <v>2026A-09</v>
          </cell>
          <cell r="T8773" t="str">
            <v>WAF</v>
          </cell>
        </row>
        <row r="8774">
          <cell r="K8774">
            <v>4635.42</v>
          </cell>
          <cell r="P8774" t="str">
            <v>81111101-52121303</v>
          </cell>
          <cell r="S8774" t="str">
            <v>2026A-09</v>
          </cell>
          <cell r="T8774" t="str">
            <v>HMO</v>
          </cell>
        </row>
        <row r="8775">
          <cell r="K8775">
            <v>254573.96</v>
          </cell>
          <cell r="P8775" t="str">
            <v>81111101-52121303</v>
          </cell>
          <cell r="S8775" t="str">
            <v>2026A-09</v>
          </cell>
          <cell r="T8775" t="str">
            <v>HMO</v>
          </cell>
        </row>
        <row r="8776">
          <cell r="K8776">
            <v>19866.400000000001</v>
          </cell>
          <cell r="P8776" t="str">
            <v>81124101-52952103</v>
          </cell>
          <cell r="S8776" t="str">
            <v>2026A-09</v>
          </cell>
          <cell r="T8776" t="str">
            <v>Aruba</v>
          </cell>
        </row>
        <row r="8777">
          <cell r="K8777">
            <v>48771.32</v>
          </cell>
          <cell r="P8777" t="str">
            <v>81124101-52952103</v>
          </cell>
          <cell r="S8777" t="str">
            <v>2026A-09</v>
          </cell>
          <cell r="T8777" t="str">
            <v>Palo Alto</v>
          </cell>
        </row>
        <row r="8778">
          <cell r="K8778">
            <v>39285.71</v>
          </cell>
          <cell r="P8778" t="str">
            <v>81124101-52952103</v>
          </cell>
          <cell r="S8778" t="str">
            <v>2026A-09</v>
          </cell>
          <cell r="T8778" t="str">
            <v>Datrium</v>
          </cell>
        </row>
        <row r="8779">
          <cell r="K8779">
            <v>447507.21</v>
          </cell>
          <cell r="P8779" t="str">
            <v>81124101-52952103</v>
          </cell>
          <cell r="S8779" t="str">
            <v>2026A-09</v>
          </cell>
          <cell r="T8779" t="str">
            <v>M365</v>
          </cell>
        </row>
        <row r="8780">
          <cell r="K8780">
            <v>20876.189999999999</v>
          </cell>
          <cell r="P8780" t="str">
            <v>81124101-52952103</v>
          </cell>
          <cell r="S8780" t="str">
            <v>2026A-09</v>
          </cell>
          <cell r="T8780" t="str">
            <v>M365 Extra Storage</v>
          </cell>
        </row>
        <row r="8781">
          <cell r="K8781">
            <v>62628.57</v>
          </cell>
          <cell r="P8781" t="str">
            <v>81124101-52952103</v>
          </cell>
          <cell r="S8781" t="str">
            <v>2026A-09</v>
          </cell>
          <cell r="T8781" t="str">
            <v>M365 Extra Storage</v>
          </cell>
        </row>
        <row r="8782">
          <cell r="K8782">
            <v>25660.71</v>
          </cell>
          <cell r="P8782" t="str">
            <v>81124101-52952103</v>
          </cell>
          <cell r="S8782" t="str">
            <v>2026A-09</v>
          </cell>
          <cell r="T8782" t="str">
            <v>SonicWall Firewall Security</v>
          </cell>
        </row>
        <row r="8783">
          <cell r="K8783">
            <v>15557.36</v>
          </cell>
          <cell r="P8783" t="str">
            <v>81124101-52952103</v>
          </cell>
          <cell r="S8783" t="str">
            <v>2026A-09</v>
          </cell>
          <cell r="T8783" t="str">
            <v>HPE Server Maintenance</v>
          </cell>
        </row>
        <row r="8784">
          <cell r="K8784">
            <v>8900.91</v>
          </cell>
          <cell r="P8784" t="str">
            <v>81124101-52952103</v>
          </cell>
          <cell r="S8784" t="str">
            <v>2026A-09</v>
          </cell>
          <cell r="T8784" t="str">
            <v>Web Hosting</v>
          </cell>
        </row>
        <row r="8785">
          <cell r="K8785">
            <v>44642.86</v>
          </cell>
          <cell r="P8785" t="str">
            <v>81124101-52952103</v>
          </cell>
          <cell r="S8785" t="str">
            <v>2026A-09</v>
          </cell>
          <cell r="T8785" t="str">
            <v>Cloud Disaster</v>
          </cell>
        </row>
        <row r="8786">
          <cell r="K8786">
            <v>26934.52</v>
          </cell>
          <cell r="P8786" t="str">
            <v>81124101-52952103</v>
          </cell>
          <cell r="S8786" t="str">
            <v>2026A-09</v>
          </cell>
          <cell r="T8786" t="str">
            <v>SDWAN ES TS GH</v>
          </cell>
        </row>
        <row r="8787">
          <cell r="K8787">
            <v>26934.52</v>
          </cell>
          <cell r="P8787" t="str">
            <v>81124101-52952103</v>
          </cell>
          <cell r="S8787" t="str">
            <v>2026A-09</v>
          </cell>
          <cell r="T8787" t="str">
            <v>SDWAN ES TS GH</v>
          </cell>
        </row>
        <row r="8788">
          <cell r="K8788">
            <v>26934.52</v>
          </cell>
          <cell r="P8788" t="str">
            <v>81124101-52952103</v>
          </cell>
          <cell r="S8788" t="str">
            <v>2026A-09</v>
          </cell>
          <cell r="T8788" t="str">
            <v>SDWAN ES TS GH</v>
          </cell>
        </row>
        <row r="8789">
          <cell r="K8789">
            <v>26934.52</v>
          </cell>
          <cell r="P8789" t="str">
            <v>81124101-52952103</v>
          </cell>
          <cell r="S8789" t="str">
            <v>2026A-09</v>
          </cell>
          <cell r="T8789" t="str">
            <v>SDWAN ES TS GH</v>
          </cell>
        </row>
        <row r="8790">
          <cell r="K8790">
            <v>26934.52</v>
          </cell>
          <cell r="P8790" t="str">
            <v>81124101-52952103</v>
          </cell>
          <cell r="S8790" t="str">
            <v>2026A-09</v>
          </cell>
          <cell r="T8790" t="str">
            <v>SDWAN ES TS GH</v>
          </cell>
        </row>
        <row r="8791">
          <cell r="K8791">
            <v>26934.52</v>
          </cell>
          <cell r="P8791" t="str">
            <v>81124101-52952103</v>
          </cell>
          <cell r="S8791" t="str">
            <v>2026A-09</v>
          </cell>
          <cell r="T8791" t="str">
            <v>SDWAN ES TS GH</v>
          </cell>
        </row>
        <row r="8792">
          <cell r="K8792">
            <v>26934.52</v>
          </cell>
          <cell r="P8792" t="str">
            <v>81124101-52952103</v>
          </cell>
          <cell r="S8792" t="str">
            <v>2026A-09</v>
          </cell>
          <cell r="T8792" t="str">
            <v>SDWAN ES TS GH</v>
          </cell>
        </row>
        <row r="8793">
          <cell r="K8793">
            <v>14248.51</v>
          </cell>
          <cell r="P8793" t="str">
            <v>81124101-52952103</v>
          </cell>
          <cell r="S8793" t="str">
            <v>2026A-09</v>
          </cell>
          <cell r="T8793" t="str">
            <v>SDWAN Device</v>
          </cell>
        </row>
        <row r="8794">
          <cell r="K8794">
            <v>14248.51</v>
          </cell>
          <cell r="P8794" t="str">
            <v>81124101-52952103</v>
          </cell>
          <cell r="S8794" t="str">
            <v>2026A-09</v>
          </cell>
          <cell r="T8794" t="str">
            <v>SDWAN Device</v>
          </cell>
        </row>
        <row r="8795">
          <cell r="K8795">
            <v>14248.51</v>
          </cell>
          <cell r="P8795" t="str">
            <v>81124101-52952103</v>
          </cell>
          <cell r="S8795" t="str">
            <v>2026A-09</v>
          </cell>
          <cell r="T8795" t="str">
            <v>SDWAN Device</v>
          </cell>
        </row>
        <row r="8796">
          <cell r="K8796">
            <v>14248.51</v>
          </cell>
          <cell r="P8796" t="str">
            <v>81124101-52952103</v>
          </cell>
          <cell r="S8796" t="str">
            <v>2026A-09</v>
          </cell>
          <cell r="T8796" t="str">
            <v>SDWAN Device</v>
          </cell>
        </row>
        <row r="8797">
          <cell r="K8797">
            <v>14248.51</v>
          </cell>
          <cell r="P8797" t="str">
            <v>81124101-52952103</v>
          </cell>
          <cell r="S8797" t="str">
            <v>2026A-09</v>
          </cell>
          <cell r="T8797" t="str">
            <v>SDWAN Device</v>
          </cell>
        </row>
        <row r="8798">
          <cell r="K8798">
            <v>14248.51</v>
          </cell>
          <cell r="P8798" t="str">
            <v>81124101-52952103</v>
          </cell>
          <cell r="S8798" t="str">
            <v>2026A-09</v>
          </cell>
          <cell r="T8798" t="str">
            <v>SDWAN Device</v>
          </cell>
        </row>
        <row r="8799">
          <cell r="K8799">
            <v>14248.51</v>
          </cell>
          <cell r="P8799" t="str">
            <v>81124101-52952103</v>
          </cell>
          <cell r="S8799" t="str">
            <v>2026A-09</v>
          </cell>
          <cell r="T8799" t="str">
            <v>SDWAN Device</v>
          </cell>
        </row>
        <row r="8800">
          <cell r="K8800">
            <v>25669.64</v>
          </cell>
          <cell r="P8800" t="str">
            <v>81124101-52952103</v>
          </cell>
          <cell r="S8800" t="str">
            <v>2026A-09</v>
          </cell>
          <cell r="T8800" t="str">
            <v>SDWAN Adaptiv HQ SC</v>
          </cell>
        </row>
        <row r="8801">
          <cell r="K8801">
            <v>25669.64</v>
          </cell>
          <cell r="P8801" t="str">
            <v>81124101-52952103</v>
          </cell>
          <cell r="S8801" t="str">
            <v>2026A-09</v>
          </cell>
          <cell r="T8801" t="str">
            <v>SDWAN Adaptiv HQ SC</v>
          </cell>
        </row>
        <row r="8802">
          <cell r="K8802">
            <v>25669.64</v>
          </cell>
          <cell r="P8802" t="str">
            <v>81124101-52952103</v>
          </cell>
          <cell r="S8802" t="str">
            <v>2026A-09</v>
          </cell>
          <cell r="T8802" t="str">
            <v>SDWAN Adaptiv HQ SC</v>
          </cell>
        </row>
        <row r="8803">
          <cell r="K8803">
            <v>25669.64</v>
          </cell>
          <cell r="P8803" t="str">
            <v>81124101-52952103</v>
          </cell>
          <cell r="S8803" t="str">
            <v>2026A-09</v>
          </cell>
          <cell r="T8803" t="str">
            <v>SDWAN Adaptiv HQ SC</v>
          </cell>
        </row>
        <row r="8804">
          <cell r="K8804">
            <v>25669.64</v>
          </cell>
          <cell r="P8804" t="str">
            <v>81124101-52952103</v>
          </cell>
          <cell r="S8804" t="str">
            <v>2026A-09</v>
          </cell>
          <cell r="T8804" t="str">
            <v>SDWAN Adaptiv HQ SC</v>
          </cell>
        </row>
        <row r="8805">
          <cell r="K8805">
            <v>25669.64</v>
          </cell>
          <cell r="P8805" t="str">
            <v>81124101-52952103</v>
          </cell>
          <cell r="S8805" t="str">
            <v>2026A-09</v>
          </cell>
          <cell r="T8805" t="str">
            <v>SDWAN Adaptiv HQ SC</v>
          </cell>
        </row>
        <row r="8806">
          <cell r="K8806">
            <v>25669.64</v>
          </cell>
          <cell r="P8806" t="str">
            <v>81124101-52952103</v>
          </cell>
          <cell r="S8806" t="str">
            <v>2026A-09</v>
          </cell>
          <cell r="T8806" t="str">
            <v>SDWAN Adaptiv HQ SC</v>
          </cell>
        </row>
        <row r="8807">
          <cell r="K8807">
            <v>1201.93</v>
          </cell>
          <cell r="P8807" t="str">
            <v>81111101-52101105</v>
          </cell>
          <cell r="S8807" t="str">
            <v>2026A-09</v>
          </cell>
          <cell r="T8807" t="str">
            <v>PTS</v>
          </cell>
        </row>
        <row r="8808">
          <cell r="K8808">
            <v>1201.93</v>
          </cell>
          <cell r="P8808" t="str">
            <v>81111101-52101105</v>
          </cell>
          <cell r="S8808" t="str">
            <v>2026A-09</v>
          </cell>
          <cell r="T8808" t="str">
            <v>PTS</v>
          </cell>
        </row>
        <row r="8809">
          <cell r="K8809">
            <v>902777.78</v>
          </cell>
          <cell r="P8809" t="str">
            <v>81222101-61959994</v>
          </cell>
          <cell r="S8809" t="str">
            <v>2026A-09</v>
          </cell>
          <cell r="T8809" t="str">
            <v>OE Redev Plan</v>
          </cell>
        </row>
        <row r="8810">
          <cell r="K8810">
            <v>53518.47</v>
          </cell>
          <cell r="P8810" t="str">
            <v>81222101-61959994</v>
          </cell>
          <cell r="S8810" t="str">
            <v>2026A-09</v>
          </cell>
          <cell r="T8810" t="str">
            <v>OE Redev Plan</v>
          </cell>
        </row>
        <row r="8811">
          <cell r="K8811">
            <v>25736.18</v>
          </cell>
          <cell r="P8811" t="str">
            <v>81319101-52041401</v>
          </cell>
          <cell r="S8811" t="str">
            <v>2026A-09</v>
          </cell>
          <cell r="T8811" t="str">
            <v>CV</v>
          </cell>
        </row>
        <row r="8812">
          <cell r="K8812">
            <v>65425.22</v>
          </cell>
          <cell r="P8812" t="str">
            <v>81111101-52041401</v>
          </cell>
          <cell r="S8812" t="str">
            <v>2026A-09</v>
          </cell>
          <cell r="T8812" t="str">
            <v>Security HQ</v>
          </cell>
        </row>
        <row r="8813">
          <cell r="K8813">
            <v>13083.99</v>
          </cell>
          <cell r="P8813" t="str">
            <v>81111101-52041401</v>
          </cell>
          <cell r="S8813" t="str">
            <v>2026A-09</v>
          </cell>
          <cell r="T8813" t="str">
            <v>Security HQ</v>
          </cell>
        </row>
        <row r="8814">
          <cell r="K8814">
            <v>24581.99</v>
          </cell>
          <cell r="P8814" t="str">
            <v>81111101-52041405</v>
          </cell>
          <cell r="S8814" t="str">
            <v>2026A-09</v>
          </cell>
          <cell r="T8814" t="str">
            <v>Janitorial (H&amp;K)</v>
          </cell>
        </row>
        <row r="8815">
          <cell r="K8815">
            <v>24581.99</v>
          </cell>
          <cell r="P8815" t="str">
            <v>81111101-52041499</v>
          </cell>
          <cell r="S8815" t="str">
            <v>2026A-09</v>
          </cell>
          <cell r="T8815" t="str">
            <v>Admin Staff (H&amp;K)</v>
          </cell>
        </row>
        <row r="8816">
          <cell r="K8816">
            <v>20917.75</v>
          </cell>
          <cell r="P8816" t="str">
            <v>81111101-52041499</v>
          </cell>
          <cell r="S8816" t="str">
            <v>2026A-09</v>
          </cell>
          <cell r="T8816" t="str">
            <v>Admin Staff (H&amp;K)</v>
          </cell>
        </row>
        <row r="8817">
          <cell r="K8817">
            <v>57308.44</v>
          </cell>
          <cell r="P8817" t="str">
            <v>81111101-52041405</v>
          </cell>
          <cell r="S8817" t="str">
            <v>2026A-09</v>
          </cell>
          <cell r="T8817" t="str">
            <v>Janitorial (S1)</v>
          </cell>
        </row>
        <row r="8818">
          <cell r="K8818">
            <v>25000</v>
          </cell>
          <cell r="P8818" t="str">
            <v>81111101-52041405</v>
          </cell>
          <cell r="S8818" t="str">
            <v>2026A-09</v>
          </cell>
          <cell r="T8818" t="str">
            <v>Janitorial (SFI)</v>
          </cell>
        </row>
        <row r="8819">
          <cell r="K8819">
            <v>205000</v>
          </cell>
          <cell r="P8819" t="str">
            <v>81111101-52041495</v>
          </cell>
          <cell r="S8819" t="str">
            <v>2026A-09</v>
          </cell>
          <cell r="T8819" t="str">
            <v>BTs</v>
          </cell>
        </row>
        <row r="8820">
          <cell r="K8820">
            <v>82000</v>
          </cell>
          <cell r="P8820" t="str">
            <v>81111101-52041401</v>
          </cell>
          <cell r="S8820" t="str">
            <v>2026A-09</v>
          </cell>
          <cell r="T8820" t="str">
            <v>Security HQ</v>
          </cell>
        </row>
        <row r="8821">
          <cell r="K8821">
            <v>16000</v>
          </cell>
          <cell r="P8821" t="str">
            <v>81111101-52041401</v>
          </cell>
          <cell r="S8821" t="str">
            <v>2026A-09</v>
          </cell>
          <cell r="T8821" t="str">
            <v>Security HQ</v>
          </cell>
        </row>
        <row r="8822">
          <cell r="K8822">
            <v>25320.79</v>
          </cell>
          <cell r="P8822" t="str">
            <v>81111101-52041495</v>
          </cell>
          <cell r="S8822" t="str">
            <v>2026A-09</v>
          </cell>
          <cell r="T8822" t="str">
            <v>BTs</v>
          </cell>
        </row>
        <row r="8823">
          <cell r="K8823">
            <v>42066.52</v>
          </cell>
          <cell r="P8823" t="str">
            <v>81111101-52041499</v>
          </cell>
          <cell r="S8823" t="str">
            <v>2026A-09</v>
          </cell>
          <cell r="T8823" t="str">
            <v>Admin Staff (TAHJ)</v>
          </cell>
        </row>
        <row r="8824">
          <cell r="K8824">
            <v>4017.86</v>
          </cell>
          <cell r="P8824" t="str">
            <v>81123102-52061111</v>
          </cell>
          <cell r="S8824" t="str">
            <v>2026A-09</v>
          </cell>
          <cell r="T8824" t="str">
            <v>R&amp;M - Supplies</v>
          </cell>
        </row>
        <row r="8825">
          <cell r="K8825">
            <v>747.77</v>
          </cell>
          <cell r="P8825" t="str">
            <v>81123102-52061103</v>
          </cell>
          <cell r="S8825" t="str">
            <v>2026A-09</v>
          </cell>
          <cell r="T8825" t="str">
            <v>R&amp;M - Building</v>
          </cell>
        </row>
        <row r="8826">
          <cell r="K8826">
            <v>17.190000000000001</v>
          </cell>
          <cell r="P8826" t="str">
            <v>81123102-52111101</v>
          </cell>
          <cell r="S8826" t="str">
            <v>2026A-09</v>
          </cell>
          <cell r="T8826" t="str">
            <v>Office Supplies - Others</v>
          </cell>
        </row>
        <row r="8827">
          <cell r="K8827">
            <v>49.11</v>
          </cell>
          <cell r="P8827" t="str">
            <v>81123102-52111101</v>
          </cell>
          <cell r="S8827" t="str">
            <v>2026A-09</v>
          </cell>
          <cell r="T8827" t="str">
            <v>Office Supplies - Others</v>
          </cell>
        </row>
        <row r="8828">
          <cell r="K8828">
            <v>171.88</v>
          </cell>
          <cell r="P8828" t="str">
            <v>81123102-52111101</v>
          </cell>
          <cell r="S8828" t="str">
            <v>2026A-09</v>
          </cell>
          <cell r="T8828" t="str">
            <v>Office Supplies - Others</v>
          </cell>
        </row>
        <row r="8829">
          <cell r="K8829">
            <v>19.64</v>
          </cell>
          <cell r="P8829" t="str">
            <v>81123102-52111101</v>
          </cell>
          <cell r="S8829" t="str">
            <v>2026A-09</v>
          </cell>
          <cell r="T8829" t="str">
            <v>Office Supplies - Others</v>
          </cell>
        </row>
        <row r="8830">
          <cell r="K8830">
            <v>1052.68</v>
          </cell>
          <cell r="P8830" t="str">
            <v>81123102-52111101</v>
          </cell>
          <cell r="S8830" t="str">
            <v>2026A-09</v>
          </cell>
          <cell r="T8830" t="str">
            <v>Office Supplies - Others</v>
          </cell>
        </row>
        <row r="8831">
          <cell r="K8831">
            <v>665.18</v>
          </cell>
          <cell r="P8831" t="str">
            <v>81123102-52111101</v>
          </cell>
          <cell r="S8831" t="str">
            <v>2026A-09</v>
          </cell>
          <cell r="T8831" t="str">
            <v>Office Supplies - Others</v>
          </cell>
        </row>
        <row r="8832">
          <cell r="K8832">
            <v>294.64</v>
          </cell>
          <cell r="P8832" t="str">
            <v>81123102-52111101</v>
          </cell>
          <cell r="S8832" t="str">
            <v>2026A-09</v>
          </cell>
          <cell r="T8832" t="str">
            <v>Office Supplies - Others</v>
          </cell>
        </row>
        <row r="8833">
          <cell r="K8833">
            <v>64.290000000000006</v>
          </cell>
          <cell r="P8833" t="str">
            <v>81123102-52111101</v>
          </cell>
          <cell r="S8833" t="str">
            <v>2026A-09</v>
          </cell>
          <cell r="T8833" t="str">
            <v>Office Supplies - Others</v>
          </cell>
        </row>
        <row r="8834">
          <cell r="K8834">
            <v>30.8</v>
          </cell>
          <cell r="P8834" t="str">
            <v>81123102-52111101</v>
          </cell>
          <cell r="S8834" t="str">
            <v>2026A-09</v>
          </cell>
          <cell r="T8834" t="str">
            <v>Office Supplies - Others</v>
          </cell>
        </row>
        <row r="8835">
          <cell r="K8835">
            <v>89.29</v>
          </cell>
          <cell r="P8835" t="str">
            <v>81123102-52111101</v>
          </cell>
          <cell r="S8835" t="str">
            <v>2026A-09</v>
          </cell>
          <cell r="T8835" t="str">
            <v>Office Supplies - Others</v>
          </cell>
        </row>
        <row r="8836">
          <cell r="K8836">
            <v>642.86</v>
          </cell>
          <cell r="P8836" t="str">
            <v>81123102-52111101</v>
          </cell>
          <cell r="S8836" t="str">
            <v>2026A-09</v>
          </cell>
          <cell r="T8836" t="str">
            <v>Office Supplies - Others</v>
          </cell>
        </row>
        <row r="8837">
          <cell r="K8837">
            <v>147.32</v>
          </cell>
          <cell r="P8837" t="str">
            <v>81123102-52111101</v>
          </cell>
          <cell r="S8837" t="str">
            <v>2026A-09</v>
          </cell>
          <cell r="T8837" t="str">
            <v>Office Supplies - Others</v>
          </cell>
        </row>
        <row r="8838">
          <cell r="K8838">
            <v>71.430000000000007</v>
          </cell>
          <cell r="P8838" t="str">
            <v>81123102-52111101</v>
          </cell>
          <cell r="S8838" t="str">
            <v>2026A-09</v>
          </cell>
          <cell r="T8838" t="str">
            <v>Office Supplies - Others</v>
          </cell>
        </row>
        <row r="8839">
          <cell r="K8839">
            <v>4067187.5</v>
          </cell>
          <cell r="P8839" t="str">
            <v>81111101-52551201</v>
          </cell>
          <cell r="S8839" t="str">
            <v>2026A-06</v>
          </cell>
          <cell r="T8839" t="str">
            <v>Garmin</v>
          </cell>
        </row>
        <row r="8840">
          <cell r="K8840">
            <v>334796</v>
          </cell>
          <cell r="P8840" t="str">
            <v>81111101-52551201</v>
          </cell>
          <cell r="S8840" t="str">
            <v>2026A-09</v>
          </cell>
          <cell r="T8840" t="str">
            <v>Exhibit</v>
          </cell>
        </row>
        <row r="8841">
          <cell r="K8841">
            <v>3125</v>
          </cell>
          <cell r="P8841" t="str">
            <v>81111101-52551201</v>
          </cell>
          <cell r="S8841" t="str">
            <v>2026A-07</v>
          </cell>
          <cell r="T8841" t="str">
            <v>Exhibit</v>
          </cell>
        </row>
        <row r="8842">
          <cell r="K8842">
            <v>334796</v>
          </cell>
          <cell r="P8842" t="str">
            <v>81111101-52551201</v>
          </cell>
          <cell r="S8842" t="str">
            <v>2026A-07</v>
          </cell>
          <cell r="T8842" t="str">
            <v>Video &amp; Photo Coverage</v>
          </cell>
        </row>
        <row r="8843">
          <cell r="K8843">
            <v>47110.66</v>
          </cell>
          <cell r="P8843" t="str">
            <v>81111101-52551201</v>
          </cell>
          <cell r="S8843" t="str">
            <v>2026A-07</v>
          </cell>
          <cell r="T8843" t="str">
            <v>Video &amp; Photo Coverage</v>
          </cell>
        </row>
        <row r="8844">
          <cell r="K8844">
            <v>344877.05</v>
          </cell>
          <cell r="P8844" t="str">
            <v>81111101-52551201</v>
          </cell>
          <cell r="S8844" t="str">
            <v>2026A-07</v>
          </cell>
          <cell r="T8844" t="str">
            <v>Video &amp; Photo Coverage</v>
          </cell>
        </row>
        <row r="8845">
          <cell r="K8845">
            <v>43000</v>
          </cell>
          <cell r="P8845" t="str">
            <v>81111101-52551201</v>
          </cell>
          <cell r="S8845" t="str">
            <v>2026A-07</v>
          </cell>
          <cell r="T8845" t="str">
            <v>Video &amp; Photo Coverage</v>
          </cell>
        </row>
        <row r="8846">
          <cell r="K8846">
            <v>100000</v>
          </cell>
          <cell r="P8846" t="str">
            <v>81111101-52551201</v>
          </cell>
          <cell r="S8846" t="str">
            <v>2026A-07</v>
          </cell>
          <cell r="T8846" t="str">
            <v>Caritas Donation</v>
          </cell>
        </row>
        <row r="8847">
          <cell r="K8847">
            <v>400000</v>
          </cell>
          <cell r="P8847" t="str">
            <v>81111101-52551201</v>
          </cell>
          <cell r="S8847" t="str">
            <v>2026A-07</v>
          </cell>
          <cell r="T8847" t="str">
            <v>Caritas Donation</v>
          </cell>
        </row>
        <row r="8848">
          <cell r="K8848">
            <v>1241001.5</v>
          </cell>
          <cell r="P8848" t="str">
            <v>80134103-52551201</v>
          </cell>
          <cell r="S8848" t="str">
            <v>2026A-02</v>
          </cell>
          <cell r="T8848" t="str">
            <v>Music License</v>
          </cell>
        </row>
        <row r="8849">
          <cell r="K8849">
            <v>375000</v>
          </cell>
          <cell r="P8849" t="str">
            <v>80134103-52551201</v>
          </cell>
          <cell r="S8849" t="str">
            <v>2026A-03</v>
          </cell>
          <cell r="T8849" t="str">
            <v>Anniversary Campaign</v>
          </cell>
        </row>
        <row r="8850">
          <cell r="K8850">
            <v>50000</v>
          </cell>
          <cell r="P8850" t="str">
            <v>80134103-52551201</v>
          </cell>
          <cell r="S8850" t="str">
            <v>2026A-03</v>
          </cell>
          <cell r="T8850" t="str">
            <v>Social Media &amp; Content Creation</v>
          </cell>
        </row>
        <row r="8851">
          <cell r="K8851">
            <v>793200</v>
          </cell>
          <cell r="P8851" t="str">
            <v>80134103-52551201</v>
          </cell>
          <cell r="S8851" t="str">
            <v>2026A-03</v>
          </cell>
          <cell r="T8851" t="str">
            <v>Anniversary Talent and Video</v>
          </cell>
        </row>
        <row r="8852">
          <cell r="K8852">
            <v>218025</v>
          </cell>
          <cell r="P8852" t="str">
            <v>80134103-52551201</v>
          </cell>
          <cell r="S8852" t="str">
            <v>2026A-03</v>
          </cell>
          <cell r="T8852" t="str">
            <v>Anniversary Talent and Video</v>
          </cell>
        </row>
        <row r="8853">
          <cell r="K8853">
            <v>145350</v>
          </cell>
          <cell r="P8853" t="str">
            <v>80134103-52551201</v>
          </cell>
          <cell r="S8853" t="str">
            <v>2026A-04</v>
          </cell>
          <cell r="T8853" t="str">
            <v>Anniversary Talent and Video</v>
          </cell>
        </row>
        <row r="8854">
          <cell r="K8854">
            <v>528800</v>
          </cell>
          <cell r="P8854" t="str">
            <v>80134103-52551201</v>
          </cell>
          <cell r="S8854" t="str">
            <v>2026A-04</v>
          </cell>
          <cell r="T8854" t="str">
            <v>Anniversary Talent and Video</v>
          </cell>
        </row>
        <row r="8855">
          <cell r="K8855">
            <v>74731.740000000005</v>
          </cell>
          <cell r="P8855" t="str">
            <v>80134103-52551201</v>
          </cell>
          <cell r="S8855" t="str">
            <v>2026A-09</v>
          </cell>
          <cell r="T8855" t="str">
            <v>Office Lobby Sticker</v>
          </cell>
        </row>
        <row r="8856">
          <cell r="K8856">
            <v>33035.71</v>
          </cell>
          <cell r="P8856" t="str">
            <v>80134103-52551201</v>
          </cell>
          <cell r="S8856" t="str">
            <v>2026A-03</v>
          </cell>
          <cell r="T8856" t="str">
            <v>Townhall</v>
          </cell>
        </row>
        <row r="8857">
          <cell r="K8857">
            <v>10714.29</v>
          </cell>
          <cell r="P8857" t="str">
            <v>80134103-52551201</v>
          </cell>
          <cell r="S8857" t="str">
            <v>2026A-03</v>
          </cell>
          <cell r="T8857" t="str">
            <v>Townhall</v>
          </cell>
        </row>
        <row r="8858">
          <cell r="K8858">
            <v>87500</v>
          </cell>
          <cell r="P8858" t="str">
            <v>80134103-52551201</v>
          </cell>
          <cell r="S8858" t="str">
            <v>2026A-03</v>
          </cell>
          <cell r="T8858" t="str">
            <v>Enamel Pin</v>
          </cell>
        </row>
        <row r="8859">
          <cell r="K8859">
            <v>22544.639999999999</v>
          </cell>
          <cell r="P8859" t="str">
            <v>80134103-52551201</v>
          </cell>
          <cell r="S8859" t="str">
            <v>2026A-04</v>
          </cell>
          <cell r="T8859" t="str">
            <v>Townhall</v>
          </cell>
        </row>
        <row r="8860">
          <cell r="K8860">
            <v>105000</v>
          </cell>
          <cell r="P8860" t="str">
            <v>80134103-52551201</v>
          </cell>
          <cell r="S8860" t="str">
            <v>2026A-04</v>
          </cell>
          <cell r="T8860" t="str">
            <v>Townhall</v>
          </cell>
        </row>
        <row r="8861">
          <cell r="K8861">
            <v>187500</v>
          </cell>
          <cell r="P8861" t="str">
            <v>80134103-52551201</v>
          </cell>
          <cell r="S8861" t="str">
            <v>2026A-04</v>
          </cell>
          <cell r="T8861" t="str">
            <v>Anniversary Campaign</v>
          </cell>
        </row>
        <row r="8862">
          <cell r="K8862">
            <v>50000</v>
          </cell>
          <cell r="P8862" t="str">
            <v>80134103-52551201</v>
          </cell>
          <cell r="S8862" t="str">
            <v>2026A-04</v>
          </cell>
          <cell r="T8862" t="str">
            <v>Social Media &amp; Content Creation</v>
          </cell>
        </row>
        <row r="8863">
          <cell r="K8863">
            <v>75000</v>
          </cell>
          <cell r="P8863" t="str">
            <v>80134103-52551201</v>
          </cell>
          <cell r="S8863" t="str">
            <v>2026A-05</v>
          </cell>
          <cell r="T8863" t="str">
            <v>Exhibit</v>
          </cell>
        </row>
        <row r="8864">
          <cell r="K8864">
            <v>140000</v>
          </cell>
          <cell r="P8864" t="str">
            <v>80134103-52551201</v>
          </cell>
          <cell r="S8864" t="str">
            <v>2026A-04</v>
          </cell>
          <cell r="T8864" t="str">
            <v>Enamel Pin</v>
          </cell>
        </row>
        <row r="8865">
          <cell r="K8865">
            <v>75000</v>
          </cell>
          <cell r="P8865" t="str">
            <v>80134103-52551201</v>
          </cell>
          <cell r="S8865" t="str">
            <v>2026A-05</v>
          </cell>
          <cell r="T8865" t="str">
            <v>ASM</v>
          </cell>
        </row>
        <row r="8866">
          <cell r="K8866">
            <v>187500</v>
          </cell>
          <cell r="P8866" t="str">
            <v>80134103-52551201</v>
          </cell>
          <cell r="S8866" t="str">
            <v>2026A-05</v>
          </cell>
          <cell r="T8866" t="str">
            <v>Anniversary Campaign</v>
          </cell>
        </row>
        <row r="8867">
          <cell r="K8867">
            <v>4616.1099999999997</v>
          </cell>
          <cell r="P8867" t="str">
            <v>80134103-52551201</v>
          </cell>
          <cell r="S8867" t="str">
            <v>2026A-07</v>
          </cell>
          <cell r="T8867" t="str">
            <v>Townhall</v>
          </cell>
        </row>
        <row r="8868">
          <cell r="K8868">
            <v>50000</v>
          </cell>
          <cell r="P8868" t="str">
            <v>80134103-52551201</v>
          </cell>
          <cell r="S8868" t="str">
            <v>2026A-05</v>
          </cell>
          <cell r="T8868" t="str">
            <v>Social Media &amp; Content Creation</v>
          </cell>
        </row>
        <row r="8869">
          <cell r="K8869">
            <v>4133.2700000000004</v>
          </cell>
          <cell r="P8869" t="str">
            <v>80134103-52551201</v>
          </cell>
          <cell r="S8869" t="str">
            <v>2026A-07</v>
          </cell>
          <cell r="T8869" t="str">
            <v>Townhall</v>
          </cell>
        </row>
        <row r="8870">
          <cell r="K8870">
            <v>17069.439999999999</v>
          </cell>
          <cell r="P8870" t="str">
            <v>80134103-52551201</v>
          </cell>
          <cell r="S8870" t="str">
            <v>2026A-05</v>
          </cell>
          <cell r="T8870" t="str">
            <v>Office Lobby Sticker</v>
          </cell>
        </row>
        <row r="8871">
          <cell r="K8871">
            <v>17857.14</v>
          </cell>
          <cell r="P8871" t="str">
            <v>80134103-52551201</v>
          </cell>
          <cell r="S8871" t="str">
            <v>2026A-05</v>
          </cell>
          <cell r="T8871" t="str">
            <v>Office Lobby Sticker</v>
          </cell>
        </row>
        <row r="8872">
          <cell r="K8872">
            <v>21696.63</v>
          </cell>
          <cell r="P8872" t="str">
            <v>80134103-52551201</v>
          </cell>
          <cell r="S8872" t="str">
            <v>2026A-05</v>
          </cell>
          <cell r="T8872" t="str">
            <v>Office Lobby Sticker</v>
          </cell>
        </row>
        <row r="8873">
          <cell r="K8873">
            <v>75000</v>
          </cell>
          <cell r="P8873" t="str">
            <v>80134103-52551201</v>
          </cell>
          <cell r="S8873" t="str">
            <v>2026A-06</v>
          </cell>
          <cell r="T8873" t="str">
            <v>Exhibit</v>
          </cell>
        </row>
        <row r="8874">
          <cell r="K8874">
            <v>38000</v>
          </cell>
          <cell r="P8874" t="str">
            <v>80134103-52551201</v>
          </cell>
          <cell r="S8874" t="str">
            <v>2026A-06</v>
          </cell>
          <cell r="T8874" t="str">
            <v>Video &amp; Photo Coverage</v>
          </cell>
        </row>
        <row r="8875">
          <cell r="K8875">
            <v>50000</v>
          </cell>
          <cell r="P8875" t="str">
            <v>80134103-52551201</v>
          </cell>
          <cell r="S8875" t="str">
            <v>2026A-06</v>
          </cell>
          <cell r="T8875" t="str">
            <v>Social Media &amp; Content Creation</v>
          </cell>
        </row>
        <row r="8876">
          <cell r="K8876">
            <v>3403</v>
          </cell>
          <cell r="P8876" t="str">
            <v>80134103-52551201</v>
          </cell>
          <cell r="S8876" t="str">
            <v>2026A-08</v>
          </cell>
          <cell r="T8876" t="str">
            <v>Exhibit</v>
          </cell>
        </row>
        <row r="8877">
          <cell r="K8877">
            <v>50000</v>
          </cell>
          <cell r="P8877" t="str">
            <v>80134103-52551201</v>
          </cell>
          <cell r="S8877" t="str">
            <v>2026A-07</v>
          </cell>
          <cell r="T8877" t="str">
            <v>Social Media &amp; Content Creation</v>
          </cell>
        </row>
        <row r="8878">
          <cell r="K8878">
            <v>31637.74</v>
          </cell>
          <cell r="P8878" t="str">
            <v>80134103-52551201</v>
          </cell>
          <cell r="S8878" t="str">
            <v>2026A-08</v>
          </cell>
          <cell r="T8878" t="str">
            <v>Mass &amp; Breakfast Buffet</v>
          </cell>
        </row>
        <row r="8879">
          <cell r="K8879">
            <v>36943</v>
          </cell>
          <cell r="P8879" t="str">
            <v>80134103-52551201</v>
          </cell>
          <cell r="S8879" t="str">
            <v>2026A-08</v>
          </cell>
          <cell r="T8879" t="str">
            <v>Mass &amp; Breakfast Buffet</v>
          </cell>
        </row>
        <row r="8880">
          <cell r="K8880">
            <v>50000</v>
          </cell>
          <cell r="P8880" t="str">
            <v>80134103-52551201</v>
          </cell>
          <cell r="S8880" t="str">
            <v>2026A-09</v>
          </cell>
          <cell r="T8880" t="str">
            <v>Social Media &amp; Content Creation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E"/>
      <sheetName val="GAE per Month (Full Year)"/>
      <sheetName val="GAE per Month (YTD)"/>
      <sheetName val="GAE Analysis (YTD)"/>
      <sheetName val="2026B and 2026F Details"/>
      <sheetName val="Sheet2"/>
      <sheetName val="Contracted Services"/>
      <sheetName val="SBU Allocation"/>
      <sheetName val="SBU Allocation (2)"/>
      <sheetName val="Manpower"/>
      <sheetName val="OPMI"/>
      <sheetName val="Mancom Consultants"/>
      <sheetName val="Ave Salary"/>
      <sheetName val="Employee Headcount"/>
      <sheetName val="SAP Budget Check"/>
      <sheetName val="SBAR"/>
      <sheetName val="Sheet3"/>
      <sheetName val="MTS"/>
      <sheetName val="MTS Schedule"/>
      <sheetName val="Systems Cost"/>
      <sheetName val="Sheet1"/>
    </sheetNames>
    <sheetDataSet>
      <sheetData sheetId="0">
        <row r="1">
          <cell r="HZ1" t="str">
            <v>Ref</v>
          </cell>
          <cell r="IA1" t="str">
            <v>PCCC</v>
          </cell>
          <cell r="IB1" t="str">
            <v>Account Name</v>
          </cell>
          <cell r="IF1" t="str">
            <v>Type</v>
          </cell>
          <cell r="IG1" t="str">
            <v>Sub Type</v>
          </cell>
        </row>
        <row r="2">
          <cell r="HZ2" t="str">
            <v>80111201-61731102</v>
          </cell>
          <cell r="IA2" t="str">
            <v>MANCOM &amp; STAFF</v>
          </cell>
          <cell r="IB2" t="str">
            <v>GAE - Promos - Events</v>
          </cell>
          <cell r="IF2" t="str">
            <v>Ad &amp; Promo</v>
          </cell>
        </row>
        <row r="3">
          <cell r="HZ3" t="str">
            <v>80314101-61731102</v>
          </cell>
          <cell r="IA3" t="str">
            <v>CORPORATE MARKETING</v>
          </cell>
          <cell r="IB3" t="str">
            <v>GAE - Promos - Events</v>
          </cell>
          <cell r="IF3" t="str">
            <v>Ad &amp; Promo</v>
          </cell>
        </row>
        <row r="4">
          <cell r="HZ4" t="str">
            <v>90111201-61731102</v>
          </cell>
          <cell r="IA4" t="str">
            <v>MANCOM &amp; STAFF</v>
          </cell>
          <cell r="IB4" t="str">
            <v>GAE - Promos - Events</v>
          </cell>
          <cell r="IF4" t="str">
            <v>Ad &amp; Promo</v>
          </cell>
        </row>
        <row r="5">
          <cell r="HZ5" t="str">
            <v>80111201-61731101</v>
          </cell>
          <cell r="IA5" t="str">
            <v>MANCOM &amp; STAFF</v>
          </cell>
          <cell r="IB5" t="str">
            <v>GAE - Promos - Gifts</v>
          </cell>
          <cell r="IF5" t="str">
            <v>Ad &amp; Promo</v>
          </cell>
        </row>
        <row r="6">
          <cell r="HZ6" t="str">
            <v>80123102-61051199</v>
          </cell>
          <cell r="IA6" t="str">
            <v>ADMIN SERVICES</v>
          </cell>
          <cell r="IB6" t="str">
            <v>GAE - Contracted Services - Others</v>
          </cell>
          <cell r="IF6" t="str">
            <v>Contracted services</v>
          </cell>
          <cell r="IG6" t="str">
            <v>Admin Staff</v>
          </cell>
        </row>
        <row r="7">
          <cell r="HZ7" t="str">
            <v>80124101-61051199</v>
          </cell>
          <cell r="IA7" t="str">
            <v>IS &amp; IT</v>
          </cell>
          <cell r="IB7" t="str">
            <v>GAE - Contracted Services - Others</v>
          </cell>
          <cell r="IF7" t="str">
            <v>Contracted services</v>
          </cell>
          <cell r="IG7" t="str">
            <v>Contracted-Others</v>
          </cell>
        </row>
        <row r="8">
          <cell r="HZ8" t="str">
            <v>80132102-61051199</v>
          </cell>
          <cell r="IA8" t="str">
            <v>TREASURY SERVICES</v>
          </cell>
          <cell r="IB8" t="str">
            <v>GAE - Contracted Services - Others</v>
          </cell>
          <cell r="IF8" t="str">
            <v>Contracted services</v>
          </cell>
          <cell r="IG8" t="str">
            <v>Contracted-Others</v>
          </cell>
        </row>
        <row r="9">
          <cell r="HZ9" t="str">
            <v>81221201-61051199</v>
          </cell>
          <cell r="IA9" t="str">
            <v>GSC OLD BLDGS</v>
          </cell>
          <cell r="IB9" t="str">
            <v>GAE - Contracted Services - Others</v>
          </cell>
          <cell r="IF9" t="str">
            <v>Contracted services</v>
          </cell>
          <cell r="IG9" t="str">
            <v>Admin Staff</v>
          </cell>
        </row>
        <row r="10">
          <cell r="HZ10" t="str">
            <v>81222101-61051199</v>
          </cell>
          <cell r="IA10" t="str">
            <v>TIENDESITAS</v>
          </cell>
          <cell r="IB10" t="str">
            <v>GAE - Contracted Services - Others</v>
          </cell>
          <cell r="IF10" t="str">
            <v>Contracted services</v>
          </cell>
          <cell r="IG10" t="str">
            <v>Admin Staff</v>
          </cell>
        </row>
        <row r="11">
          <cell r="HZ11" t="str">
            <v>81225101-61051199</v>
          </cell>
          <cell r="IA11" t="str">
            <v>ESTANCIA RETAIL</v>
          </cell>
          <cell r="IB11" t="str">
            <v>GAE - Contracted Services - Others</v>
          </cell>
          <cell r="IF11" t="str">
            <v>Contracted services</v>
          </cell>
          <cell r="IG11" t="str">
            <v>Admin Staff</v>
          </cell>
        </row>
        <row r="12">
          <cell r="HZ12" t="str">
            <v>90122101-61051199</v>
          </cell>
          <cell r="IA12" t="str">
            <v>HUMAN RESOURCES</v>
          </cell>
          <cell r="IB12" t="str">
            <v>GAE - Contracted Services - Others</v>
          </cell>
          <cell r="IF12" t="str">
            <v>Contracted services</v>
          </cell>
          <cell r="IG12" t="str">
            <v>Contracted-Others</v>
          </cell>
        </row>
        <row r="13">
          <cell r="HZ13" t="str">
            <v>80111201-61959102</v>
          </cell>
          <cell r="IA13" t="str">
            <v>MANCOM &amp; STAFF</v>
          </cell>
          <cell r="IB13" t="str">
            <v>GAE - Contribution &amp; Community Relations</v>
          </cell>
          <cell r="IF13" t="str">
            <v>Others</v>
          </cell>
          <cell r="IG13" t="str">
            <v>Donations, Contributions and Miscellaneous Expenses</v>
          </cell>
        </row>
        <row r="14">
          <cell r="HZ14" t="str">
            <v>80111203-61959102</v>
          </cell>
          <cell r="IA14" t="str">
            <v>OFFICE OF THE PRES.</v>
          </cell>
          <cell r="IB14" t="str">
            <v>GAE - Contribution &amp; Community Relations</v>
          </cell>
          <cell r="IF14" t="str">
            <v>Others</v>
          </cell>
          <cell r="IG14" t="str">
            <v>Donations, Contributions and Miscellaneous Expenses</v>
          </cell>
        </row>
        <row r="15">
          <cell r="HZ15" t="str">
            <v>80125101-61959102</v>
          </cell>
          <cell r="IA15" t="str">
            <v>EXTERNAL AFFAIRS DEP</v>
          </cell>
          <cell r="IB15" t="str">
            <v>GAE - Contribution &amp; Community Relations</v>
          </cell>
          <cell r="IF15" t="str">
            <v>Others</v>
          </cell>
          <cell r="IG15" t="str">
            <v>Donations, Contributions and Miscellaneous Expenses</v>
          </cell>
        </row>
        <row r="16">
          <cell r="HZ16" t="str">
            <v>90111101-61959102</v>
          </cell>
          <cell r="IA16" t="str">
            <v>OHI-COMMON</v>
          </cell>
          <cell r="IB16" t="str">
            <v>GAE - Contribution &amp; Community Relations</v>
          </cell>
          <cell r="IF16" t="str">
            <v>Others</v>
          </cell>
          <cell r="IG16" t="str">
            <v>Donations, Contributions and Miscellaneous Expenses</v>
          </cell>
        </row>
        <row r="17">
          <cell r="HZ17" t="str">
            <v>90111203-61959102</v>
          </cell>
          <cell r="IA17" t="str">
            <v>OFFICE OF THE PRES.</v>
          </cell>
          <cell r="IB17" t="str">
            <v>GAE - Contribution &amp; Community Relations</v>
          </cell>
          <cell r="IF17" t="str">
            <v>Others</v>
          </cell>
          <cell r="IG17" t="str">
            <v>Donations, Contributions and Miscellaneous Expenses</v>
          </cell>
        </row>
        <row r="18">
          <cell r="HZ18" t="str">
            <v>80111101-61031101</v>
          </cell>
          <cell r="IA18" t="str">
            <v>OCLP-COMMON</v>
          </cell>
          <cell r="IB18" t="str">
            <v>GAE - Taxes &amp; Licenses - DST</v>
          </cell>
          <cell r="IF18" t="str">
            <v>Taxes &amp; Licenses</v>
          </cell>
        </row>
        <row r="19">
          <cell r="HZ19" t="str">
            <v>80321201-61031101</v>
          </cell>
          <cell r="IA19" t="str">
            <v>ORTIGAS BUILDING</v>
          </cell>
          <cell r="IB19" t="str">
            <v>GAE - Taxes &amp; Licenses - DST</v>
          </cell>
          <cell r="IF19" t="str">
            <v>Taxes &amp; Licenses</v>
          </cell>
        </row>
        <row r="20">
          <cell r="HZ20" t="str">
            <v>81122101-61031101</v>
          </cell>
          <cell r="IA20" t="str">
            <v>HUMAN RESOURCES</v>
          </cell>
          <cell r="IB20" t="str">
            <v>GAE - Taxes &amp; Licenses - DST</v>
          </cell>
          <cell r="IF20" t="str">
            <v>Taxes &amp; Licenses</v>
          </cell>
        </row>
        <row r="21">
          <cell r="HZ21" t="str">
            <v>81132101-61031101</v>
          </cell>
          <cell r="IA21" t="str">
            <v>TREASURY OPERATIONS</v>
          </cell>
          <cell r="IB21" t="str">
            <v>GAE - Taxes &amp; Licenses - DST</v>
          </cell>
          <cell r="IF21" t="str">
            <v>Taxes &amp; Licenses</v>
          </cell>
        </row>
        <row r="22">
          <cell r="HZ22" t="str">
            <v>90111101-61031101</v>
          </cell>
          <cell r="IA22" t="str">
            <v>OHI-COMMON</v>
          </cell>
          <cell r="IB22" t="str">
            <v>GAE - Taxes &amp; Licenses - DST</v>
          </cell>
          <cell r="IF22" t="str">
            <v>Taxes &amp; Licenses</v>
          </cell>
        </row>
        <row r="23">
          <cell r="HZ23" t="str">
            <v>80111101-61031199</v>
          </cell>
          <cell r="IA23" t="str">
            <v>OCLP-COMMON</v>
          </cell>
          <cell r="IB23" t="str">
            <v>GAE - Taxes &amp; Licenses - Others</v>
          </cell>
          <cell r="IF23" t="str">
            <v>Taxes &amp; Licenses</v>
          </cell>
        </row>
        <row r="24">
          <cell r="HZ24" t="str">
            <v>80111201-61711101</v>
          </cell>
          <cell r="IA24" t="str">
            <v>MANCOM &amp; STAFF</v>
          </cell>
          <cell r="IB24" t="str">
            <v>GAE - Dues &amp; Fees</v>
          </cell>
          <cell r="IF24" t="str">
            <v>Others</v>
          </cell>
          <cell r="IG24" t="str">
            <v>Dues and Fees</v>
          </cell>
        </row>
        <row r="25">
          <cell r="HZ25" t="str">
            <v>80111202-61711101</v>
          </cell>
          <cell r="IA25" t="str">
            <v>INTERNAL AUDIT</v>
          </cell>
          <cell r="IB25" t="str">
            <v>GAE - Dues &amp; Fees</v>
          </cell>
          <cell r="IF25" t="str">
            <v>Others</v>
          </cell>
          <cell r="IG25" t="str">
            <v>Dues and Fees</v>
          </cell>
        </row>
        <row r="26">
          <cell r="HZ26" t="str">
            <v>80111203-61711101</v>
          </cell>
          <cell r="IA26" t="str">
            <v>OFFICE OF THE PRES.</v>
          </cell>
          <cell r="IB26" t="str">
            <v>GAE - Dues &amp; Fees</v>
          </cell>
          <cell r="IF26" t="str">
            <v>Others</v>
          </cell>
          <cell r="IG26" t="str">
            <v>Dues and Fees</v>
          </cell>
        </row>
        <row r="27">
          <cell r="HZ27" t="str">
            <v>80122101-61711101</v>
          </cell>
          <cell r="IA27" t="str">
            <v>HUMAN RESOURCES</v>
          </cell>
          <cell r="IB27" t="str">
            <v>GAE - Dues &amp; Fees</v>
          </cell>
          <cell r="IF27" t="str">
            <v>Others</v>
          </cell>
          <cell r="IG27" t="str">
            <v>Dues and Fees</v>
          </cell>
        </row>
        <row r="28">
          <cell r="HZ28" t="str">
            <v>80123101-61711101</v>
          </cell>
          <cell r="IA28" t="str">
            <v>LEGAL</v>
          </cell>
          <cell r="IB28" t="str">
            <v>GAE - Dues &amp; Fees</v>
          </cell>
          <cell r="IF28" t="str">
            <v>Others</v>
          </cell>
          <cell r="IG28" t="str">
            <v>Dues and Fees</v>
          </cell>
        </row>
        <row r="29">
          <cell r="HZ29" t="str">
            <v>80123102-61711101</v>
          </cell>
          <cell r="IA29" t="str">
            <v>ADMIN SERVICES</v>
          </cell>
          <cell r="IB29" t="str">
            <v>GAE - Dues &amp; Fees</v>
          </cell>
          <cell r="IF29" t="str">
            <v>Others</v>
          </cell>
          <cell r="IG29" t="str">
            <v>Dues and Fees</v>
          </cell>
        </row>
        <row r="30">
          <cell r="HZ30" t="str">
            <v>80124101-61711101</v>
          </cell>
          <cell r="IA30" t="str">
            <v>IS &amp; IT</v>
          </cell>
          <cell r="IB30" t="str">
            <v>GAE - Dues &amp; Fees</v>
          </cell>
          <cell r="IF30" t="str">
            <v>Others</v>
          </cell>
          <cell r="IG30" t="str">
            <v>Postal &amp; Communication</v>
          </cell>
        </row>
        <row r="31">
          <cell r="HZ31" t="str">
            <v>80132102-61711101</v>
          </cell>
          <cell r="IA31" t="str">
            <v>TREASURY SERVICES</v>
          </cell>
          <cell r="IB31" t="str">
            <v>GAE - Dues &amp; Fees</v>
          </cell>
          <cell r="IF31" t="str">
            <v>Others</v>
          </cell>
          <cell r="IG31" t="str">
            <v>Dues and Fees</v>
          </cell>
        </row>
        <row r="32">
          <cell r="HZ32" t="str">
            <v>80134103-61711101</v>
          </cell>
          <cell r="IA32" t="str">
            <v>BUDGET  C&amp;A</v>
          </cell>
          <cell r="IB32" t="str">
            <v>GAE - Dues &amp; Fees</v>
          </cell>
          <cell r="IF32" t="str">
            <v>Others</v>
          </cell>
          <cell r="IG32" t="str">
            <v>Dues and Fees</v>
          </cell>
        </row>
        <row r="33">
          <cell r="HZ33" t="str">
            <v>80215101-61711101</v>
          </cell>
          <cell r="IA33" t="str">
            <v>PROPERTY MANAGEMENT</v>
          </cell>
          <cell r="IB33" t="str">
            <v>GAE - Dues &amp; Fees</v>
          </cell>
          <cell r="IF33" t="str">
            <v>Others</v>
          </cell>
          <cell r="IG33" t="str">
            <v>Dues and Fees</v>
          </cell>
        </row>
        <row r="34">
          <cell r="HZ34" t="str">
            <v>80222101-61711101</v>
          </cell>
          <cell r="IA34" t="str">
            <v>TIENDESITAS</v>
          </cell>
          <cell r="IB34" t="str">
            <v>GAE - Dues &amp; Fees</v>
          </cell>
          <cell r="IF34" t="str">
            <v>Others</v>
          </cell>
          <cell r="IG34" t="str">
            <v>Dues and Fees</v>
          </cell>
        </row>
        <row r="35">
          <cell r="HZ35" t="str">
            <v>80314101-61711101</v>
          </cell>
          <cell r="IA35" t="str">
            <v>CORPORATE MARKETING</v>
          </cell>
          <cell r="IB35" t="str">
            <v>GAE - Dues &amp; Fees</v>
          </cell>
          <cell r="IF35" t="str">
            <v>Others</v>
          </cell>
          <cell r="IG35" t="str">
            <v>Dues and Fees</v>
          </cell>
        </row>
        <row r="36">
          <cell r="HZ36" t="str">
            <v>80315201-61711101</v>
          </cell>
          <cell r="IA36" t="str">
            <v>RBU BD/PD</v>
          </cell>
          <cell r="IB36" t="str">
            <v>GAE - Dues &amp; Fees</v>
          </cell>
          <cell r="IF36" t="str">
            <v>Others</v>
          </cell>
          <cell r="IG36" t="str">
            <v>Dues and Fees</v>
          </cell>
        </row>
        <row r="37">
          <cell r="HZ37" t="str">
            <v>80316101-61711101</v>
          </cell>
          <cell r="IA37" t="str">
            <v>DESIGN &amp; PLANNING</v>
          </cell>
          <cell r="IB37" t="str">
            <v>GAE - Dues &amp; Fees</v>
          </cell>
          <cell r="IF37" t="str">
            <v>Others</v>
          </cell>
          <cell r="IG37" t="str">
            <v>Dues and Fees</v>
          </cell>
        </row>
        <row r="38">
          <cell r="HZ38" t="str">
            <v>81111101-61711101</v>
          </cell>
          <cell r="IA38" t="str">
            <v>CCC-COMMON</v>
          </cell>
          <cell r="IB38" t="str">
            <v>GAE - Dues &amp; Fees</v>
          </cell>
          <cell r="IF38" t="str">
            <v>Others</v>
          </cell>
          <cell r="IG38" t="str">
            <v>Dues and Fees</v>
          </cell>
        </row>
        <row r="39">
          <cell r="HZ39" t="str">
            <v>81133102-61711101</v>
          </cell>
          <cell r="IA39" t="str">
            <v>TAX ACCOUNTING</v>
          </cell>
          <cell r="IB39" t="str">
            <v>GAE - Dues &amp; Fees</v>
          </cell>
          <cell r="IF39" t="str">
            <v>Others</v>
          </cell>
          <cell r="IG39" t="str">
            <v>Dues and Fees</v>
          </cell>
        </row>
        <row r="40">
          <cell r="HZ40" t="str">
            <v>81211101-61711101</v>
          </cell>
          <cell r="IA40" t="str">
            <v>ORTIGAS MALLS DIV</v>
          </cell>
          <cell r="IB40" t="str">
            <v>GAE - Dues &amp; Fees</v>
          </cell>
          <cell r="IF40" t="str">
            <v>Others</v>
          </cell>
          <cell r="IG40" t="str">
            <v>Dues and Fees</v>
          </cell>
        </row>
        <row r="41">
          <cell r="HZ41" t="str">
            <v>81221201-61711101</v>
          </cell>
          <cell r="IA41" t="str">
            <v>GSC OLD BLDGS</v>
          </cell>
          <cell r="IB41" t="str">
            <v>GAE - Dues &amp; Fees</v>
          </cell>
          <cell r="IF41" t="str">
            <v>Others</v>
          </cell>
          <cell r="IG41" t="str">
            <v>Dues and Fees</v>
          </cell>
        </row>
        <row r="42">
          <cell r="HZ42" t="str">
            <v>81222101-61711101</v>
          </cell>
          <cell r="IA42" t="str">
            <v>TIENDESITAS</v>
          </cell>
          <cell r="IB42" t="str">
            <v>GAE - Dues &amp; Fees</v>
          </cell>
          <cell r="IF42" t="str">
            <v>Others</v>
          </cell>
          <cell r="IG42" t="str">
            <v>Dues and Fees</v>
          </cell>
        </row>
        <row r="43">
          <cell r="HZ43" t="str">
            <v>90111101-61711101</v>
          </cell>
          <cell r="IA43" t="str">
            <v>OHI-COMMON</v>
          </cell>
          <cell r="IB43" t="str">
            <v>GAE - Dues &amp; Fees</v>
          </cell>
          <cell r="IF43" t="str">
            <v>Others</v>
          </cell>
          <cell r="IG43" t="str">
            <v>Dues and Fees</v>
          </cell>
        </row>
        <row r="44">
          <cell r="HZ44" t="str">
            <v>90111201-61711101</v>
          </cell>
          <cell r="IA44" t="str">
            <v>MANCOM &amp; STAFF</v>
          </cell>
          <cell r="IB44" t="str">
            <v>GAE - Dues &amp; Fees</v>
          </cell>
          <cell r="IF44" t="str">
            <v>Others</v>
          </cell>
          <cell r="IG44" t="str">
            <v>Dues and Fees</v>
          </cell>
        </row>
        <row r="45">
          <cell r="HZ45" t="str">
            <v>90111202-61711101</v>
          </cell>
          <cell r="IA45" t="str">
            <v>INTERNAL AUDIT</v>
          </cell>
          <cell r="IB45" t="str">
            <v>GAE - Dues &amp; Fees</v>
          </cell>
          <cell r="IF45" t="str">
            <v>Others</v>
          </cell>
          <cell r="IG45" t="str">
            <v>Dues and Fees</v>
          </cell>
        </row>
        <row r="46">
          <cell r="HZ46" t="str">
            <v>90111203-61711101</v>
          </cell>
          <cell r="IA46" t="str">
            <v>OFFICE OF THE PRES.</v>
          </cell>
          <cell r="IB46" t="str">
            <v>GAE - Dues &amp; Fees</v>
          </cell>
          <cell r="IF46" t="str">
            <v>Others</v>
          </cell>
          <cell r="IG46" t="str">
            <v>Dues and Fees</v>
          </cell>
        </row>
        <row r="47">
          <cell r="HZ47" t="str">
            <v>90122101-61711101</v>
          </cell>
          <cell r="IA47" t="str">
            <v>HUMAN RESOURCES</v>
          </cell>
          <cell r="IB47" t="str">
            <v>GAE - Dues &amp; Fees</v>
          </cell>
          <cell r="IF47" t="str">
            <v>Others</v>
          </cell>
          <cell r="IG47" t="str">
            <v>Dues and Fees</v>
          </cell>
        </row>
        <row r="48">
          <cell r="HZ48" t="str">
            <v>90133102-61711101</v>
          </cell>
          <cell r="IA48" t="str">
            <v>TAX ACCOUNTING</v>
          </cell>
          <cell r="IB48" t="str">
            <v>GAE - Dues &amp; Fees</v>
          </cell>
          <cell r="IF48" t="str">
            <v>Others</v>
          </cell>
          <cell r="IG48" t="str">
            <v>Dues and Fees</v>
          </cell>
        </row>
        <row r="49">
          <cell r="HZ49" t="str">
            <v>90133103-61711101</v>
          </cell>
          <cell r="IA49" t="str">
            <v>PROCUREMENT</v>
          </cell>
          <cell r="IB49" t="str">
            <v>GAE - Dues &amp; Fees</v>
          </cell>
          <cell r="IF49" t="str">
            <v>Others</v>
          </cell>
          <cell r="IG49" t="str">
            <v>Dues and Fees</v>
          </cell>
        </row>
        <row r="50">
          <cell r="HZ50" t="str">
            <v>80111101-61021314</v>
          </cell>
          <cell r="IA50" t="str">
            <v>OCLP-COMMON</v>
          </cell>
          <cell r="IB50" t="str">
            <v>GAE - Employee Benefits - Fringe Benefits Tax</v>
          </cell>
          <cell r="IF50" t="str">
            <v>Employee Benefits</v>
          </cell>
          <cell r="IG50" t="str">
            <v>FBT</v>
          </cell>
        </row>
        <row r="51">
          <cell r="HZ51" t="str">
            <v>81111101-61021314</v>
          </cell>
          <cell r="IA51" t="str">
            <v>CCC-COMMON</v>
          </cell>
          <cell r="IB51" t="str">
            <v>GAE - Employee Benefits - Fringe Benefits Tax</v>
          </cell>
          <cell r="IF51" t="str">
            <v>Employee Benefits</v>
          </cell>
          <cell r="IG51" t="str">
            <v>FBT</v>
          </cell>
        </row>
        <row r="52">
          <cell r="HZ52" t="str">
            <v>90111101-61021314</v>
          </cell>
          <cell r="IA52" t="str">
            <v>OHI-COMMON</v>
          </cell>
          <cell r="IB52" t="str">
            <v>GAE - Employee Benefits - Fringe Benefits Tax</v>
          </cell>
          <cell r="IF52" t="str">
            <v>Employee Benefits</v>
          </cell>
          <cell r="IG52" t="str">
            <v>FBT</v>
          </cell>
        </row>
        <row r="53">
          <cell r="HZ53" t="str">
            <v>90121101-61021314</v>
          </cell>
          <cell r="IA53" t="str">
            <v>CORP RESOURCES DIV</v>
          </cell>
          <cell r="IB53" t="str">
            <v>GAE - Employee Benefits - Fringe Benefits Tax</v>
          </cell>
          <cell r="IF53" t="str">
            <v>Employee Benefits</v>
          </cell>
          <cell r="IG53" t="str">
            <v>FBT</v>
          </cell>
        </row>
        <row r="54">
          <cell r="HZ54" t="str">
            <v>90131101-61021314</v>
          </cell>
          <cell r="IA54" t="str">
            <v>FINANCE - COMMON</v>
          </cell>
          <cell r="IB54" t="str">
            <v>GAE - Employee Benefits - Fringe Benefits Tax</v>
          </cell>
          <cell r="IF54" t="str">
            <v>Employee Benefits</v>
          </cell>
          <cell r="IG54" t="str">
            <v>FBT</v>
          </cell>
        </row>
        <row r="55">
          <cell r="HZ55" t="str">
            <v>90211101-61021314</v>
          </cell>
          <cell r="IA55" t="str">
            <v>ORTIGAS MALLS DIV</v>
          </cell>
          <cell r="IB55" t="str">
            <v>GAE - Employee Benefits - Fringe Benefits Tax</v>
          </cell>
          <cell r="IF55" t="str">
            <v>Employee Benefits</v>
          </cell>
          <cell r="IG55" t="str">
            <v>FBT</v>
          </cell>
        </row>
        <row r="56">
          <cell r="HZ56" t="str">
            <v>90311101-61021314</v>
          </cell>
          <cell r="IA56" t="str">
            <v>RED-COMMON</v>
          </cell>
          <cell r="IB56" t="str">
            <v>GAE - Employee Benefits - Fringe Benefits Tax</v>
          </cell>
          <cell r="IF56" t="str">
            <v>Employee Benefits</v>
          </cell>
          <cell r="IG56" t="str">
            <v>FBT</v>
          </cell>
        </row>
        <row r="57">
          <cell r="HZ57" t="str">
            <v>81121101-61021307</v>
          </cell>
          <cell r="IA57" t="str">
            <v>CORP RESOURCES DIV</v>
          </cell>
          <cell r="IB57" t="str">
            <v>GAE - Employee Benefits - Uniform</v>
          </cell>
          <cell r="IF57" t="str">
            <v>Employee Benefits</v>
          </cell>
          <cell r="IG57" t="str">
            <v>Uniform</v>
          </cell>
        </row>
        <row r="58">
          <cell r="HZ58" t="str">
            <v>81131101-61021307</v>
          </cell>
          <cell r="IA58" t="str">
            <v>FINANCE - COMMON</v>
          </cell>
          <cell r="IB58" t="str">
            <v>GAE - Employee Benefits - Uniform</v>
          </cell>
          <cell r="IF58" t="str">
            <v>Employee Benefits</v>
          </cell>
          <cell r="IG58" t="str">
            <v>Uniform</v>
          </cell>
        </row>
        <row r="59">
          <cell r="HZ59" t="str">
            <v>81211101-61021307</v>
          </cell>
          <cell r="IA59" t="str">
            <v>ORTIGAS MALLS DIV</v>
          </cell>
          <cell r="IB59" t="str">
            <v>GAE - Employee Benefits - Uniform</v>
          </cell>
          <cell r="IF59" t="str">
            <v>Employee Benefits</v>
          </cell>
          <cell r="IG59" t="str">
            <v>Uniform</v>
          </cell>
        </row>
        <row r="60">
          <cell r="HZ60" t="str">
            <v>81311101-61021307</v>
          </cell>
          <cell r="IA60" t="str">
            <v>RED-COMMON</v>
          </cell>
          <cell r="IB60" t="str">
            <v>GAE - Employee Benefits - Uniform</v>
          </cell>
          <cell r="IF60" t="str">
            <v>Employee Benefits</v>
          </cell>
          <cell r="IG60" t="str">
            <v>Uniform</v>
          </cell>
        </row>
        <row r="61">
          <cell r="HZ61" t="str">
            <v>90111101-61021307</v>
          </cell>
          <cell r="IA61" t="str">
            <v>OHI-COMMON</v>
          </cell>
          <cell r="IB61" t="str">
            <v>GAE - Employee Benefits - Uniform</v>
          </cell>
          <cell r="IF61" t="str">
            <v>Employee Benefits</v>
          </cell>
          <cell r="IG61" t="str">
            <v>Uniform</v>
          </cell>
        </row>
        <row r="62">
          <cell r="HZ62" t="str">
            <v>90121101-61021307</v>
          </cell>
          <cell r="IA62" t="str">
            <v>CORP RESOURCES DIV</v>
          </cell>
          <cell r="IB62" t="str">
            <v>GAE - Employee Benefits - Uniform</v>
          </cell>
          <cell r="IF62" t="str">
            <v>Employee Benefits</v>
          </cell>
          <cell r="IG62" t="str">
            <v>Uniform</v>
          </cell>
        </row>
        <row r="63">
          <cell r="HZ63" t="str">
            <v>90131101-61021307</v>
          </cell>
          <cell r="IA63" t="str">
            <v>FINANCE - COMMON</v>
          </cell>
          <cell r="IB63" t="str">
            <v>GAE - Employee Benefits - Uniform</v>
          </cell>
          <cell r="IF63" t="str">
            <v>Employee Benefits</v>
          </cell>
          <cell r="IG63" t="str">
            <v>Uniform</v>
          </cell>
        </row>
        <row r="64">
          <cell r="HZ64" t="str">
            <v>90211101-61021307</v>
          </cell>
          <cell r="IA64" t="str">
            <v>ORTIGAS MALLS DIV</v>
          </cell>
          <cell r="IB64" t="str">
            <v>GAE - Employee Benefits - Uniform</v>
          </cell>
          <cell r="IF64" t="str">
            <v>Employee Benefits</v>
          </cell>
          <cell r="IG64" t="str">
            <v>Uniform</v>
          </cell>
        </row>
        <row r="65">
          <cell r="HZ65" t="str">
            <v>90311101-61021307</v>
          </cell>
          <cell r="IA65" t="str">
            <v>RED-COMMON</v>
          </cell>
          <cell r="IB65" t="str">
            <v>GAE - Employee Benefits - Uniform</v>
          </cell>
          <cell r="IF65" t="str">
            <v>Employee Benefits</v>
          </cell>
          <cell r="IG65" t="str">
            <v>Uniform</v>
          </cell>
        </row>
        <row r="66">
          <cell r="HZ66" t="str">
            <v>80311101-61021403</v>
          </cell>
          <cell r="IA66" t="str">
            <v>RED-COMMON</v>
          </cell>
          <cell r="IB66" t="str">
            <v>GAE - Employees' Welfare</v>
          </cell>
          <cell r="IF66" t="str">
            <v>Employee Benefits</v>
          </cell>
          <cell r="IG66" t="str">
            <v>Employee Programs/Perks</v>
          </cell>
        </row>
        <row r="67">
          <cell r="HZ67" t="str">
            <v>81121101-61021403</v>
          </cell>
          <cell r="IA67" t="str">
            <v>CORP RESOURCES DIV</v>
          </cell>
          <cell r="IB67" t="str">
            <v>GAE - Employees' Welfare</v>
          </cell>
          <cell r="IF67" t="str">
            <v>Employee Benefits</v>
          </cell>
          <cell r="IG67" t="str">
            <v>Employee Programs/Perks</v>
          </cell>
        </row>
        <row r="68">
          <cell r="HZ68" t="str">
            <v>81131101-61021403</v>
          </cell>
          <cell r="IA68" t="str">
            <v>FINANCE - COMMON</v>
          </cell>
          <cell r="IB68" t="str">
            <v>GAE - Employees' Welfare</v>
          </cell>
          <cell r="IF68" t="str">
            <v>Employee Benefits</v>
          </cell>
          <cell r="IG68" t="str">
            <v>Employee Programs/Perks</v>
          </cell>
        </row>
        <row r="69">
          <cell r="HZ69" t="str">
            <v>81211101-61021403</v>
          </cell>
          <cell r="IA69" t="str">
            <v>ORTIGAS MALLS DIV</v>
          </cell>
          <cell r="IB69" t="str">
            <v>GAE - Employees' Welfare</v>
          </cell>
          <cell r="IF69" t="str">
            <v>Employee Benefits</v>
          </cell>
          <cell r="IG69" t="str">
            <v>Employee Programs/Perks</v>
          </cell>
        </row>
        <row r="70">
          <cell r="HZ70" t="str">
            <v>81311101-61021403</v>
          </cell>
          <cell r="IA70" t="str">
            <v>RED-COMMON</v>
          </cell>
          <cell r="IB70" t="str">
            <v>GAE - Employees' Welfare</v>
          </cell>
          <cell r="IF70" t="str">
            <v>Employee Benefits</v>
          </cell>
          <cell r="IG70" t="str">
            <v>Employee Programs/Perks</v>
          </cell>
        </row>
        <row r="71">
          <cell r="HZ71" t="str">
            <v>90111101-61021403</v>
          </cell>
          <cell r="IA71" t="str">
            <v>OHI-COMMON</v>
          </cell>
          <cell r="IB71" t="str">
            <v>GAE - Employees' Welfare</v>
          </cell>
          <cell r="IF71" t="str">
            <v>Employee Benefits</v>
          </cell>
          <cell r="IG71" t="str">
            <v>Employee Programs/Perks</v>
          </cell>
        </row>
        <row r="72">
          <cell r="HZ72" t="str">
            <v>90111201-61021403</v>
          </cell>
          <cell r="IA72" t="str">
            <v>MANCOM &amp; STAFF</v>
          </cell>
          <cell r="IB72" t="str">
            <v>GAE - Employees' Welfare</v>
          </cell>
          <cell r="IF72" t="str">
            <v>Employee Benefits</v>
          </cell>
          <cell r="IG72" t="str">
            <v>Employee Programs/Perks</v>
          </cell>
        </row>
        <row r="73">
          <cell r="HZ73" t="str">
            <v>90121101-61021403</v>
          </cell>
          <cell r="IA73" t="str">
            <v>CORP RESOURCES DIV</v>
          </cell>
          <cell r="IB73" t="str">
            <v>GAE - Employees' Welfare</v>
          </cell>
          <cell r="IF73" t="str">
            <v>Employee Benefits</v>
          </cell>
          <cell r="IG73" t="str">
            <v>Employee Programs/Perks</v>
          </cell>
        </row>
        <row r="74">
          <cell r="HZ74" t="str">
            <v>90131101-61021403</v>
          </cell>
          <cell r="IA74" t="str">
            <v>FINANCE - COMMON</v>
          </cell>
          <cell r="IB74" t="str">
            <v>GAE - Employees' Welfare</v>
          </cell>
          <cell r="IF74" t="str">
            <v>Employee Benefits</v>
          </cell>
          <cell r="IG74" t="str">
            <v>Employee Programs/Perks</v>
          </cell>
        </row>
        <row r="75">
          <cell r="HZ75" t="str">
            <v>90211101-61021403</v>
          </cell>
          <cell r="IA75" t="str">
            <v>ORTIGAS MALLS DIV</v>
          </cell>
          <cell r="IB75" t="str">
            <v>GAE - Employees' Welfare</v>
          </cell>
          <cell r="IF75" t="str">
            <v>Employee Benefits</v>
          </cell>
          <cell r="IG75" t="str">
            <v>Employee Programs/Perks</v>
          </cell>
        </row>
        <row r="76">
          <cell r="HZ76" t="str">
            <v>90311101-61021403</v>
          </cell>
          <cell r="IA76" t="str">
            <v>RED-COMMON</v>
          </cell>
          <cell r="IB76" t="str">
            <v>GAE - Employees' Welfare</v>
          </cell>
          <cell r="IF76" t="str">
            <v>Employee Benefits</v>
          </cell>
          <cell r="IG76" t="str">
            <v>Employee Programs/Perks</v>
          </cell>
        </row>
        <row r="77">
          <cell r="HZ77" t="str">
            <v>90111201-61021309</v>
          </cell>
          <cell r="IA77" t="str">
            <v>MANCOM &amp; STAFF</v>
          </cell>
          <cell r="IB77" t="str">
            <v>GAE - Employee Benefits - Gas Allowance</v>
          </cell>
          <cell r="IF77" t="str">
            <v>Employee Benefits</v>
          </cell>
          <cell r="IG77" t="str">
            <v>Gas Allowance</v>
          </cell>
        </row>
        <row r="78">
          <cell r="HZ78" t="str">
            <v>90121101-61021309</v>
          </cell>
          <cell r="IA78" t="str">
            <v>CORP RESOURCES DIV</v>
          </cell>
          <cell r="IB78" t="str">
            <v>GAE - Employee Benefits - Gas Allowance</v>
          </cell>
          <cell r="IF78" t="str">
            <v>Employee Benefits</v>
          </cell>
          <cell r="IG78" t="str">
            <v>Gas Allowance</v>
          </cell>
        </row>
        <row r="79">
          <cell r="HZ79" t="str">
            <v>90131101-61021309</v>
          </cell>
          <cell r="IA79" t="str">
            <v>FINANCE - COMMON</v>
          </cell>
          <cell r="IB79" t="str">
            <v>GAE - Employee Benefits - Gas Allowance</v>
          </cell>
          <cell r="IF79" t="str">
            <v>Employee Benefits</v>
          </cell>
          <cell r="IG79" t="str">
            <v>Gas Allowance</v>
          </cell>
        </row>
        <row r="80">
          <cell r="HZ80" t="str">
            <v>90211101-61021309</v>
          </cell>
          <cell r="IA80" t="str">
            <v>ORTIGAS MALLS DIV</v>
          </cell>
          <cell r="IB80" t="str">
            <v>GAE - Employee Benefits - Gas Allowance</v>
          </cell>
          <cell r="IF80" t="str">
            <v>Employee Benefits</v>
          </cell>
          <cell r="IG80" t="str">
            <v>Gas Allowance</v>
          </cell>
        </row>
        <row r="81">
          <cell r="HZ81" t="str">
            <v>90311101-61021309</v>
          </cell>
          <cell r="IA81" t="str">
            <v>RED-COMMON</v>
          </cell>
          <cell r="IB81" t="str">
            <v>GAE - Employee Benefits - Gas Allowance</v>
          </cell>
          <cell r="IF81" t="str">
            <v>Employee Benefits</v>
          </cell>
          <cell r="IG81" t="str">
            <v>Gas Allowance</v>
          </cell>
        </row>
        <row r="82">
          <cell r="HZ82" t="str">
            <v>90111101-61021309</v>
          </cell>
          <cell r="IA82" t="str">
            <v>OHI-COMMON</v>
          </cell>
          <cell r="IB82" t="str">
            <v>GAE - Employee Benefits - Gas Allowance</v>
          </cell>
          <cell r="IF82" t="str">
            <v>Employee Benefits</v>
          </cell>
          <cell r="IG82" t="str">
            <v>Gas Allowance</v>
          </cell>
        </row>
        <row r="83">
          <cell r="HZ83" t="str">
            <v>81211101-61021309</v>
          </cell>
          <cell r="IA83" t="str">
            <v>ORTIGAS MALLS DIV</v>
          </cell>
          <cell r="IB83" t="str">
            <v>GAE - Employee Benefits - Gas Allowance</v>
          </cell>
          <cell r="IF83" t="str">
            <v>Employee Benefits</v>
          </cell>
          <cell r="IG83" t="str">
            <v>Gas Allowance</v>
          </cell>
        </row>
        <row r="84">
          <cell r="HZ84" t="str">
            <v>81311101-61021309</v>
          </cell>
          <cell r="IA84" t="str">
            <v>RED-COMMON</v>
          </cell>
          <cell r="IB84" t="str">
            <v>GAE - Employee Benefits - Gas Allowance</v>
          </cell>
          <cell r="IF84" t="str">
            <v>Employee Benefits</v>
          </cell>
          <cell r="IG84" t="str">
            <v>Gas Allowance</v>
          </cell>
        </row>
        <row r="85">
          <cell r="HZ85" t="str">
            <v>80311101-61021309</v>
          </cell>
          <cell r="IA85" t="str">
            <v>RED-COMMON</v>
          </cell>
          <cell r="IB85" t="str">
            <v>GAE - Employee Benefits - Gas Allowance</v>
          </cell>
          <cell r="IF85" t="str">
            <v>Employee Benefits</v>
          </cell>
          <cell r="IG85" t="str">
            <v>Gas Allowance</v>
          </cell>
        </row>
        <row r="86">
          <cell r="HZ86" t="str">
            <v>81111101-61021317</v>
          </cell>
          <cell r="IA86" t="str">
            <v>CCC-COMMON</v>
          </cell>
          <cell r="IB86" t="str">
            <v>GAE - Employee Benefits - Bonus</v>
          </cell>
          <cell r="IF86" t="str">
            <v>PB</v>
          </cell>
        </row>
        <row r="87">
          <cell r="HZ87" t="str">
            <v>90111101-61021317</v>
          </cell>
          <cell r="IA87" t="str">
            <v>OHI-COMMON</v>
          </cell>
          <cell r="IB87" t="str">
            <v>GAE - Employee Benefits - Bonus</v>
          </cell>
          <cell r="IF87" t="str">
            <v>PB</v>
          </cell>
        </row>
        <row r="88">
          <cell r="HZ88" t="str">
            <v>80111101-61101101</v>
          </cell>
          <cell r="IA88" t="str">
            <v>OCLP-COMMON</v>
          </cell>
          <cell r="IB88" t="str">
            <v>GAE - Insurance - COMAR/CGL/FG/EF</v>
          </cell>
          <cell r="IF88" t="str">
            <v>Others</v>
          </cell>
          <cell r="IG88" t="str">
            <v>Insurance</v>
          </cell>
        </row>
        <row r="89">
          <cell r="HZ89" t="str">
            <v>80111201-61101101</v>
          </cell>
          <cell r="IA89" t="str">
            <v>MANCOM &amp; STAFF</v>
          </cell>
          <cell r="IB89" t="str">
            <v>GAE - Insurance - COMAR/CGL/FG/EF</v>
          </cell>
          <cell r="IF89" t="str">
            <v>Others</v>
          </cell>
          <cell r="IG89" t="str">
            <v>Insurance</v>
          </cell>
        </row>
        <row r="90">
          <cell r="HZ90" t="str">
            <v>80121101-61101101</v>
          </cell>
          <cell r="IA90" t="str">
            <v>CORP RESOURCES DIV</v>
          </cell>
          <cell r="IB90" t="str">
            <v>GAE - Insurance - COMAR/CGL/FG/EF</v>
          </cell>
          <cell r="IF90" t="str">
            <v>Others</v>
          </cell>
          <cell r="IG90" t="str">
            <v>Insurance</v>
          </cell>
        </row>
        <row r="91">
          <cell r="HZ91" t="str">
            <v>80123102-61101101</v>
          </cell>
          <cell r="IA91" t="str">
            <v>ADMIN SERVICES</v>
          </cell>
          <cell r="IB91" t="str">
            <v>GAE - Insurance - COMAR/CGL/FG/EF</v>
          </cell>
          <cell r="IF91" t="str">
            <v>Others</v>
          </cell>
          <cell r="IG91" t="str">
            <v>Insurance</v>
          </cell>
        </row>
        <row r="92">
          <cell r="HZ92" t="str">
            <v>80131101-61101101</v>
          </cell>
          <cell r="IA92" t="str">
            <v>FINANCE - COMMON</v>
          </cell>
          <cell r="IB92" t="str">
            <v>GAE - Insurance - COMAR/CGL/FG/EF</v>
          </cell>
          <cell r="IF92" t="str">
            <v>Others</v>
          </cell>
          <cell r="IG92" t="str">
            <v>Insurance</v>
          </cell>
        </row>
        <row r="93">
          <cell r="HZ93" t="str">
            <v>80211101-61101101</v>
          </cell>
          <cell r="IA93" t="str">
            <v>ORTIGAS MALLS DIV</v>
          </cell>
          <cell r="IB93" t="str">
            <v>GAE - Insurance - COMAR/CGL/FG/EF</v>
          </cell>
          <cell r="IF93" t="str">
            <v>Others</v>
          </cell>
          <cell r="IG93" t="str">
            <v>Insurance</v>
          </cell>
        </row>
        <row r="94">
          <cell r="HZ94" t="str">
            <v>80311101-61101101</v>
          </cell>
          <cell r="IA94" t="str">
            <v>RED-COMMON</v>
          </cell>
          <cell r="IB94" t="str">
            <v>GAE - Insurance - COMAR/CGL/FG/EF</v>
          </cell>
          <cell r="IF94" t="str">
            <v>Others</v>
          </cell>
          <cell r="IG94" t="str">
            <v>Insurance</v>
          </cell>
        </row>
        <row r="95">
          <cell r="HZ95" t="str">
            <v>80315201-61101101</v>
          </cell>
          <cell r="IA95" t="str">
            <v>RBU BD/PD</v>
          </cell>
          <cell r="IB95" t="str">
            <v>GAE - Insurance - COMAR/CGL/FG/EF</v>
          </cell>
          <cell r="IF95" t="str">
            <v>Others</v>
          </cell>
          <cell r="IG95" t="str">
            <v>Insurance</v>
          </cell>
        </row>
        <row r="96">
          <cell r="HZ96" t="str">
            <v>90111201-61101109</v>
          </cell>
          <cell r="IA96" t="str">
            <v>MANCOM &amp; STAFF</v>
          </cell>
          <cell r="IB96" t="str">
            <v>GAE - Insurance - Directors, Officers &amp; Liability</v>
          </cell>
          <cell r="IF96" t="str">
            <v>Others</v>
          </cell>
          <cell r="IG96" t="str">
            <v>Insurance</v>
          </cell>
        </row>
        <row r="97">
          <cell r="HZ97" t="str">
            <v>80111201-61101104</v>
          </cell>
          <cell r="IA97" t="str">
            <v>MANCOM &amp; STAFF</v>
          </cell>
          <cell r="IB97" t="str">
            <v>GAE - Insurance - Motor Car</v>
          </cell>
          <cell r="IF97" t="str">
            <v>Others</v>
          </cell>
          <cell r="IG97" t="str">
            <v>Insurance</v>
          </cell>
        </row>
        <row r="98">
          <cell r="HZ98" t="str">
            <v>80122101-61101104</v>
          </cell>
          <cell r="IA98" t="str">
            <v>HUMAN RESOURCES</v>
          </cell>
          <cell r="IB98" t="str">
            <v>GAE - Insurance - Motor Car</v>
          </cell>
          <cell r="IF98" t="str">
            <v>Others</v>
          </cell>
          <cell r="IG98" t="str">
            <v>Insurance</v>
          </cell>
        </row>
        <row r="99">
          <cell r="HZ99" t="str">
            <v>80123101-61101104</v>
          </cell>
          <cell r="IA99" t="str">
            <v>LEGAL</v>
          </cell>
          <cell r="IB99" t="str">
            <v>GAE - Insurance - Motor Car</v>
          </cell>
          <cell r="IF99" t="str">
            <v>Others</v>
          </cell>
          <cell r="IG99" t="str">
            <v>Insurance</v>
          </cell>
        </row>
        <row r="100">
          <cell r="HZ100" t="str">
            <v>80123102-61101104</v>
          </cell>
          <cell r="IA100" t="str">
            <v>ADMIN SERVICES</v>
          </cell>
          <cell r="IB100" t="str">
            <v>GAE - Insurance - Motor Car</v>
          </cell>
          <cell r="IF100" t="str">
            <v>Others</v>
          </cell>
          <cell r="IG100" t="str">
            <v>Insurance</v>
          </cell>
        </row>
        <row r="101">
          <cell r="HZ101" t="str">
            <v>80211101-61101104</v>
          </cell>
          <cell r="IA101" t="str">
            <v>ORTIGAS MALLS DIV</v>
          </cell>
          <cell r="IB101" t="str">
            <v>GAE - Insurance - Motor Car</v>
          </cell>
          <cell r="IF101" t="str">
            <v>Others</v>
          </cell>
          <cell r="IG101" t="str">
            <v>Insurance</v>
          </cell>
        </row>
        <row r="102">
          <cell r="HZ102" t="str">
            <v>80316101-61101104</v>
          </cell>
          <cell r="IA102" t="str">
            <v>DESIGN &amp; PLANNING</v>
          </cell>
          <cell r="IB102" t="str">
            <v>GAE - Insurance - Motor Car</v>
          </cell>
          <cell r="IF102" t="str">
            <v>Others</v>
          </cell>
          <cell r="IG102" t="str">
            <v>Insurance</v>
          </cell>
        </row>
        <row r="103">
          <cell r="HZ103" t="str">
            <v>80317101-61101104</v>
          </cell>
          <cell r="IA103" t="str">
            <v>CONSTRUCTION MGT</v>
          </cell>
          <cell r="IB103" t="str">
            <v>GAE - Insurance - Motor Car</v>
          </cell>
          <cell r="IF103" t="str">
            <v>Others</v>
          </cell>
          <cell r="IG103" t="str">
            <v>Insurance</v>
          </cell>
        </row>
        <row r="104">
          <cell r="HZ104" t="str">
            <v>80111101-61101107</v>
          </cell>
          <cell r="IA104" t="str">
            <v>OCLP-COMMON</v>
          </cell>
          <cell r="IB104" t="str">
            <v>GAE - Insurance - Property Terrorism &amp; Sabotage</v>
          </cell>
          <cell r="IF104" t="str">
            <v>Others</v>
          </cell>
          <cell r="IG104" t="str">
            <v>Insurance</v>
          </cell>
        </row>
        <row r="105">
          <cell r="HZ105" t="str">
            <v>80111201-61101107</v>
          </cell>
          <cell r="IA105" t="str">
            <v>MANCOM &amp; STAFF</v>
          </cell>
          <cell r="IB105" t="str">
            <v>GAE - Insurance - Property Terrorism &amp; Sabotage</v>
          </cell>
          <cell r="IF105" t="str">
            <v>Others</v>
          </cell>
          <cell r="IG105" t="str">
            <v>Insurance</v>
          </cell>
        </row>
        <row r="106">
          <cell r="HZ106" t="str">
            <v>80121101-61101107</v>
          </cell>
          <cell r="IA106" t="str">
            <v>CORP RESOURCES DIV</v>
          </cell>
          <cell r="IB106" t="str">
            <v>GAE - Insurance - Property Terrorism &amp; Sabotage</v>
          </cell>
          <cell r="IF106" t="str">
            <v>Others</v>
          </cell>
          <cell r="IG106" t="str">
            <v>Insurance</v>
          </cell>
        </row>
        <row r="107">
          <cell r="HZ107" t="str">
            <v>80131101-61101107</v>
          </cell>
          <cell r="IA107" t="str">
            <v>FINANCE - COMMON</v>
          </cell>
          <cell r="IB107" t="str">
            <v>GAE - Insurance - Property Terrorism &amp; Sabotage</v>
          </cell>
          <cell r="IF107" t="str">
            <v>Others</v>
          </cell>
          <cell r="IG107" t="str">
            <v>Insurance</v>
          </cell>
        </row>
        <row r="108">
          <cell r="HZ108" t="str">
            <v>80211101-61101107</v>
          </cell>
          <cell r="IA108" t="str">
            <v>ORTIGAS MALLS DIV</v>
          </cell>
          <cell r="IB108" t="str">
            <v>GAE - Insurance - Property Terrorism &amp; Sabotage</v>
          </cell>
          <cell r="IF108" t="str">
            <v>Others</v>
          </cell>
          <cell r="IG108" t="str">
            <v>Insurance</v>
          </cell>
        </row>
        <row r="109">
          <cell r="HZ109" t="str">
            <v>80311101-61101107</v>
          </cell>
          <cell r="IA109" t="str">
            <v>RED-COMMON</v>
          </cell>
          <cell r="IB109" t="str">
            <v>GAE - Insurance - Property Terrorism &amp; Sabotage</v>
          </cell>
          <cell r="IF109" t="str">
            <v>Others</v>
          </cell>
          <cell r="IG109" t="str">
            <v>Insurance</v>
          </cell>
        </row>
        <row r="110">
          <cell r="HZ110" t="str">
            <v>80123102-61051102</v>
          </cell>
          <cell r="IA110" t="str">
            <v>ADMIN SERVICES</v>
          </cell>
          <cell r="IB110" t="str">
            <v>GAE - Janitorial</v>
          </cell>
          <cell r="IF110" t="str">
            <v>Contracted services</v>
          </cell>
          <cell r="IG110" t="str">
            <v>Janitorial</v>
          </cell>
        </row>
        <row r="111">
          <cell r="HZ111" t="str">
            <v>81221201-61051102</v>
          </cell>
          <cell r="IA111" t="str">
            <v>GSC OLD BLDGS</v>
          </cell>
          <cell r="IB111" t="str">
            <v>GAE - Janitorial</v>
          </cell>
          <cell r="IF111" t="str">
            <v>Contracted services</v>
          </cell>
          <cell r="IG111" t="str">
            <v>Janitorial</v>
          </cell>
        </row>
        <row r="112">
          <cell r="HZ112" t="str">
            <v>81222101-61051102</v>
          </cell>
          <cell r="IA112" t="str">
            <v>TIENDESITAS</v>
          </cell>
          <cell r="IB112" t="str">
            <v>GAE - Janitorial</v>
          </cell>
          <cell r="IF112" t="str">
            <v>Contracted services</v>
          </cell>
          <cell r="IG112" t="str">
            <v>Janitorial</v>
          </cell>
        </row>
        <row r="113">
          <cell r="HZ113" t="str">
            <v>81225101-61051102</v>
          </cell>
          <cell r="IA113" t="str">
            <v>ESTANCIA RETAIL</v>
          </cell>
          <cell r="IB113" t="str">
            <v>GAE - Janitorial</v>
          </cell>
          <cell r="IF113" t="str">
            <v>Contracted services</v>
          </cell>
          <cell r="IG113" t="str">
            <v>Janitorial</v>
          </cell>
        </row>
        <row r="114">
          <cell r="HZ114" t="str">
            <v>80111201-61041101</v>
          </cell>
          <cell r="IA114" t="str">
            <v>MANCOM &amp; STAFF</v>
          </cell>
          <cell r="IB114" t="str">
            <v>GAE - Light &amp; Power</v>
          </cell>
          <cell r="IF114" t="str">
            <v>Others</v>
          </cell>
          <cell r="IG114" t="str">
            <v>Electricity &amp; Water</v>
          </cell>
        </row>
        <row r="115">
          <cell r="HZ115" t="str">
            <v>80121101-61041101</v>
          </cell>
          <cell r="IA115" t="str">
            <v>CORP RESOURCES DIV</v>
          </cell>
          <cell r="IB115" t="str">
            <v>GAE - Light &amp; Power</v>
          </cell>
          <cell r="IF115" t="str">
            <v>Others</v>
          </cell>
          <cell r="IG115" t="str">
            <v>Electricity &amp; Water</v>
          </cell>
        </row>
        <row r="116">
          <cell r="HZ116" t="str">
            <v>80131101-61041101</v>
          </cell>
          <cell r="IA116" t="str">
            <v>FINANCE - COMMON</v>
          </cell>
          <cell r="IB116" t="str">
            <v>GAE - Light &amp; Power</v>
          </cell>
          <cell r="IF116" t="str">
            <v>Others</v>
          </cell>
          <cell r="IG116" t="str">
            <v>Electricity &amp; Water</v>
          </cell>
        </row>
        <row r="117">
          <cell r="HZ117" t="str">
            <v>80311101-61041101</v>
          </cell>
          <cell r="IA117" t="str">
            <v>RED-COMMON</v>
          </cell>
          <cell r="IB117" t="str">
            <v>GAE - Light &amp; Power</v>
          </cell>
          <cell r="IF117" t="str">
            <v>Others</v>
          </cell>
          <cell r="IG117" t="str">
            <v>Electricity &amp; Water</v>
          </cell>
        </row>
        <row r="118">
          <cell r="HZ118" t="str">
            <v>80122101-61111102</v>
          </cell>
          <cell r="IA118" t="str">
            <v>HUMAN RESOURCES</v>
          </cell>
          <cell r="IB118" t="str">
            <v>GAE - Low Value Assets</v>
          </cell>
          <cell r="IF118" t="str">
            <v>Others</v>
          </cell>
          <cell r="IG118" t="str">
            <v>Supplies</v>
          </cell>
        </row>
        <row r="119">
          <cell r="HZ119" t="str">
            <v>80123101-61111102</v>
          </cell>
          <cell r="IA119" t="str">
            <v>LEGAL</v>
          </cell>
          <cell r="IB119" t="str">
            <v>GAE - Low Value Assets</v>
          </cell>
          <cell r="IF119" t="str">
            <v>Others</v>
          </cell>
          <cell r="IG119" t="str">
            <v>Supplies</v>
          </cell>
        </row>
        <row r="120">
          <cell r="HZ120" t="str">
            <v>80123102-61111102</v>
          </cell>
          <cell r="IA120" t="str">
            <v>ADMIN SERVICES</v>
          </cell>
          <cell r="IB120" t="str">
            <v>GAE - Low Value Assets</v>
          </cell>
          <cell r="IF120" t="str">
            <v>Others</v>
          </cell>
          <cell r="IG120" t="str">
            <v>Supplies</v>
          </cell>
        </row>
        <row r="121">
          <cell r="HZ121" t="str">
            <v>80124101-61111102</v>
          </cell>
          <cell r="IA121" t="str">
            <v>IS &amp; IT</v>
          </cell>
          <cell r="IB121" t="str">
            <v>GAE - Low Value Assets</v>
          </cell>
          <cell r="IF121" t="str">
            <v>Others</v>
          </cell>
          <cell r="IG121" t="str">
            <v>Supplies</v>
          </cell>
        </row>
        <row r="122">
          <cell r="HZ122" t="str">
            <v>80125101-61111102</v>
          </cell>
          <cell r="IA122" t="str">
            <v>EXTERNAL AFFAIRS DEP</v>
          </cell>
          <cell r="IB122" t="str">
            <v>GAE - Low Value Assets</v>
          </cell>
          <cell r="IF122" t="str">
            <v>Others</v>
          </cell>
          <cell r="IG122" t="str">
            <v>Supplies</v>
          </cell>
        </row>
        <row r="123">
          <cell r="HZ123" t="str">
            <v>80126101-61111102</v>
          </cell>
          <cell r="IA123" t="str">
            <v>DCMG - LEASING</v>
          </cell>
          <cell r="IB123" t="str">
            <v>GAE - Low Value Assets</v>
          </cell>
          <cell r="IF123" t="str">
            <v>Others</v>
          </cell>
          <cell r="IG123" t="str">
            <v>Supplies</v>
          </cell>
        </row>
        <row r="124">
          <cell r="HZ124" t="str">
            <v>80131101-61111102</v>
          </cell>
          <cell r="IA124" t="str">
            <v>FINANCE - COMMON</v>
          </cell>
          <cell r="IB124" t="str">
            <v>GAE - Low Value Assets</v>
          </cell>
          <cell r="IF124" t="str">
            <v>Others</v>
          </cell>
          <cell r="IG124" t="str">
            <v>Supplies</v>
          </cell>
        </row>
        <row r="125">
          <cell r="HZ125" t="str">
            <v>80132101-61111102</v>
          </cell>
          <cell r="IA125" t="str">
            <v>TREASURY OPERATIONS</v>
          </cell>
          <cell r="IB125" t="str">
            <v>GAE - Low Value Assets</v>
          </cell>
          <cell r="IF125" t="str">
            <v>Others</v>
          </cell>
          <cell r="IG125" t="str">
            <v>Supplies</v>
          </cell>
        </row>
        <row r="126">
          <cell r="HZ126" t="str">
            <v>80132102-61111102</v>
          </cell>
          <cell r="IA126" t="str">
            <v>TREASURY SERVICES</v>
          </cell>
          <cell r="IB126" t="str">
            <v>GAE - Low Value Assets</v>
          </cell>
          <cell r="IF126" t="str">
            <v>Others</v>
          </cell>
          <cell r="IG126" t="str">
            <v>Supplies</v>
          </cell>
        </row>
        <row r="127">
          <cell r="HZ127" t="str">
            <v>80133102-61111102</v>
          </cell>
          <cell r="IA127" t="str">
            <v>TAX ACCOUNTING</v>
          </cell>
          <cell r="IB127" t="str">
            <v>GAE - Low Value Assets</v>
          </cell>
          <cell r="IF127" t="str">
            <v>Others</v>
          </cell>
          <cell r="IG127" t="str">
            <v>Supplies</v>
          </cell>
        </row>
        <row r="128">
          <cell r="HZ128" t="str">
            <v>80133103-61111102</v>
          </cell>
          <cell r="IA128" t="str">
            <v>PROCUREMENT</v>
          </cell>
          <cell r="IB128" t="str">
            <v>GAE - Low Value Assets</v>
          </cell>
          <cell r="IF128" t="str">
            <v>Others</v>
          </cell>
          <cell r="IG128" t="str">
            <v>Supplies</v>
          </cell>
        </row>
        <row r="129">
          <cell r="HZ129" t="str">
            <v>80134102-61111102</v>
          </cell>
          <cell r="IA129" t="str">
            <v>CORPORATE ACCOUNTING</v>
          </cell>
          <cell r="IB129" t="str">
            <v>GAE - Low Value Assets</v>
          </cell>
          <cell r="IF129" t="str">
            <v>Others</v>
          </cell>
          <cell r="IG129" t="str">
            <v>Supplies</v>
          </cell>
        </row>
        <row r="130">
          <cell r="HZ130" t="str">
            <v>80134103-61111102</v>
          </cell>
          <cell r="IA130" t="str">
            <v>BUDGET  C&amp;A</v>
          </cell>
          <cell r="IB130" t="str">
            <v>GAE - Low Value Assets</v>
          </cell>
          <cell r="IF130" t="str">
            <v>Others</v>
          </cell>
          <cell r="IG130" t="str">
            <v>Supplies</v>
          </cell>
        </row>
        <row r="131">
          <cell r="HZ131" t="str">
            <v>80215101-61111102</v>
          </cell>
          <cell r="IA131" t="str">
            <v>PROPERTY MANAGEMENT</v>
          </cell>
          <cell r="IB131" t="str">
            <v>GAE - Low Value Assets</v>
          </cell>
          <cell r="IF131" t="str">
            <v>Others</v>
          </cell>
          <cell r="IG131" t="str">
            <v>Supplies</v>
          </cell>
        </row>
        <row r="132">
          <cell r="HZ132" t="str">
            <v>80312104-61111102</v>
          </cell>
          <cell r="IA132" t="str">
            <v>RBU ACCOUNTING</v>
          </cell>
          <cell r="IB132" t="str">
            <v>GAE - Low Value Assets</v>
          </cell>
          <cell r="IF132" t="str">
            <v>Others</v>
          </cell>
          <cell r="IG132" t="str">
            <v>Supplies</v>
          </cell>
        </row>
        <row r="133">
          <cell r="HZ133" t="str">
            <v>80312105-61111102</v>
          </cell>
          <cell r="IA133" t="str">
            <v>OFFICE LEASING FINAN</v>
          </cell>
          <cell r="IB133" t="str">
            <v>GAE - Low Value Assets</v>
          </cell>
          <cell r="IF133" t="str">
            <v>Others</v>
          </cell>
          <cell r="IG133" t="str">
            <v>Supplies</v>
          </cell>
        </row>
        <row r="134">
          <cell r="HZ134" t="str">
            <v>80313102-61111102</v>
          </cell>
          <cell r="IA134" t="str">
            <v>OFFICE LEASING</v>
          </cell>
          <cell r="IB134" t="str">
            <v>GAE - Low Value Assets</v>
          </cell>
          <cell r="IF134" t="str">
            <v>Others</v>
          </cell>
          <cell r="IG134" t="str">
            <v>Supplies</v>
          </cell>
        </row>
        <row r="135">
          <cell r="HZ135" t="str">
            <v>80313103-61111102</v>
          </cell>
          <cell r="IA135" t="str">
            <v>HANDOVER MGT DEPT</v>
          </cell>
          <cell r="IB135" t="str">
            <v>GAE - Low Value Assets</v>
          </cell>
          <cell r="IF135" t="str">
            <v>Others</v>
          </cell>
          <cell r="IG135" t="str">
            <v>Supplies</v>
          </cell>
        </row>
        <row r="136">
          <cell r="HZ136" t="str">
            <v>80313104-61111102</v>
          </cell>
          <cell r="IA136" t="str">
            <v>SALES HR</v>
          </cell>
          <cell r="IB136" t="str">
            <v>GAE - Low Value Assets</v>
          </cell>
          <cell r="IF136" t="str">
            <v>Others</v>
          </cell>
          <cell r="IG136" t="str">
            <v>Supplies</v>
          </cell>
        </row>
        <row r="137">
          <cell r="HZ137" t="str">
            <v>80313105-61111102</v>
          </cell>
          <cell r="IA137" t="str">
            <v>SALES OPERATIONS</v>
          </cell>
          <cell r="IB137" t="str">
            <v>GAE - Low Value Assets</v>
          </cell>
          <cell r="IF137" t="str">
            <v>Others</v>
          </cell>
          <cell r="IG137" t="str">
            <v>Supplies</v>
          </cell>
        </row>
        <row r="138">
          <cell r="HZ138" t="str">
            <v>80313106-61111102</v>
          </cell>
          <cell r="IA138" t="str">
            <v>SALES DEVELOPMENT</v>
          </cell>
          <cell r="IB138" t="str">
            <v>GAE - Low Value Assets</v>
          </cell>
          <cell r="IF138" t="str">
            <v>Others</v>
          </cell>
          <cell r="IG138" t="str">
            <v>Supplies</v>
          </cell>
        </row>
        <row r="139">
          <cell r="HZ139" t="str">
            <v>80314101-61111102</v>
          </cell>
          <cell r="IA139" t="str">
            <v>CORPORATE MARKETING</v>
          </cell>
          <cell r="IB139" t="str">
            <v>GAE - Low Value Assets</v>
          </cell>
          <cell r="IF139" t="str">
            <v>Others</v>
          </cell>
          <cell r="IG139" t="str">
            <v>Supplies</v>
          </cell>
        </row>
        <row r="140">
          <cell r="HZ140" t="str">
            <v>80315201-61111102</v>
          </cell>
          <cell r="IA140" t="str">
            <v>RBU BD/PD</v>
          </cell>
          <cell r="IB140" t="str">
            <v>GAE - Low Value Assets</v>
          </cell>
          <cell r="IF140" t="str">
            <v>Others</v>
          </cell>
          <cell r="IG140" t="str">
            <v>Supplies</v>
          </cell>
        </row>
        <row r="141">
          <cell r="HZ141" t="str">
            <v>80316101-61111102</v>
          </cell>
          <cell r="IA141" t="str">
            <v>DESIGN &amp; PLANNING</v>
          </cell>
          <cell r="IB141" t="str">
            <v>GAE - Low Value Assets</v>
          </cell>
          <cell r="IF141" t="str">
            <v>Others</v>
          </cell>
          <cell r="IG141" t="str">
            <v>Supplies</v>
          </cell>
        </row>
        <row r="142">
          <cell r="HZ142" t="str">
            <v>80317101-61111102</v>
          </cell>
          <cell r="IA142" t="str">
            <v>CONSTRUCTION MGT</v>
          </cell>
          <cell r="IB142" t="str">
            <v>GAE - Low Value Assets</v>
          </cell>
          <cell r="IF142" t="str">
            <v>Others</v>
          </cell>
          <cell r="IG142" t="str">
            <v>Supplies</v>
          </cell>
        </row>
        <row r="143">
          <cell r="HZ143" t="str">
            <v>80319301-61111102</v>
          </cell>
          <cell r="IA143" t="str">
            <v>ESTATES OPERATION</v>
          </cell>
          <cell r="IB143" t="str">
            <v>GAE - Low Value Assets</v>
          </cell>
          <cell r="IF143" t="str">
            <v>Others</v>
          </cell>
          <cell r="IG143" t="str">
            <v>Supplies</v>
          </cell>
        </row>
        <row r="144">
          <cell r="HZ144" t="str">
            <v>81132101-61111102</v>
          </cell>
          <cell r="IA144" t="str">
            <v>TREASURY OPERATIONS</v>
          </cell>
          <cell r="IB144" t="str">
            <v>GAE - Low Value Assets</v>
          </cell>
          <cell r="IF144" t="str">
            <v>Others</v>
          </cell>
          <cell r="IG144" t="str">
            <v>Supplies</v>
          </cell>
        </row>
        <row r="145">
          <cell r="HZ145" t="str">
            <v>81221201-61111102</v>
          </cell>
          <cell r="IA145" t="str">
            <v>GSC OLD BLDGS</v>
          </cell>
          <cell r="IB145" t="str">
            <v>GAE - Low Value Assets</v>
          </cell>
          <cell r="IF145" t="str">
            <v>Others</v>
          </cell>
          <cell r="IG145" t="str">
            <v>Supplies</v>
          </cell>
        </row>
        <row r="146">
          <cell r="HZ146" t="str">
            <v>81222101-61111102</v>
          </cell>
          <cell r="IA146" t="str">
            <v>TIENDESITAS</v>
          </cell>
          <cell r="IB146" t="str">
            <v>GAE - Low Value Assets</v>
          </cell>
          <cell r="IF146" t="str">
            <v>Others</v>
          </cell>
          <cell r="IG146" t="str">
            <v>Supplies</v>
          </cell>
        </row>
        <row r="147">
          <cell r="HZ147" t="str">
            <v>81224101-61111102</v>
          </cell>
          <cell r="IA147" t="str">
            <v>INDUSTRIA</v>
          </cell>
          <cell r="IB147" t="str">
            <v>GAE - Low Value Assets</v>
          </cell>
          <cell r="IF147" t="str">
            <v>Others</v>
          </cell>
          <cell r="IG147" t="str">
            <v>Supplies</v>
          </cell>
        </row>
        <row r="148">
          <cell r="HZ148" t="str">
            <v>81225101-61111102</v>
          </cell>
          <cell r="IA148" t="str">
            <v>ESTANCIA RETAIL</v>
          </cell>
          <cell r="IB148" t="str">
            <v>GAE - Low Value Assets</v>
          </cell>
          <cell r="IF148" t="str">
            <v>Others</v>
          </cell>
          <cell r="IG148" t="str">
            <v>Supplies</v>
          </cell>
        </row>
        <row r="149">
          <cell r="HZ149" t="str">
            <v>81225201-61111102</v>
          </cell>
          <cell r="IA149" t="str">
            <v>ESTANCIA EXP - MALL</v>
          </cell>
          <cell r="IB149" t="str">
            <v>GAE - Low Value Assets</v>
          </cell>
          <cell r="IF149" t="str">
            <v>Others</v>
          </cell>
          <cell r="IG149" t="str">
            <v>Supplies</v>
          </cell>
        </row>
        <row r="150">
          <cell r="HZ150" t="str">
            <v>81225206-61111102</v>
          </cell>
          <cell r="IA150" t="str">
            <v>ESTANCIA CINEMA-RC</v>
          </cell>
          <cell r="IB150" t="str">
            <v>GAE - Low Value Assets</v>
          </cell>
          <cell r="IF150" t="str">
            <v>Others</v>
          </cell>
          <cell r="IG150" t="str">
            <v>Supplies</v>
          </cell>
        </row>
        <row r="151">
          <cell r="HZ151" t="str">
            <v>81221201-61111112</v>
          </cell>
          <cell r="IA151" t="str">
            <v>GSC OLD BLDGS</v>
          </cell>
          <cell r="IB151" t="str">
            <v>GAE - Low Value Assets - Restricted</v>
          </cell>
          <cell r="IF151" t="str">
            <v>Others</v>
          </cell>
          <cell r="IG151" t="str">
            <v>Supplies</v>
          </cell>
        </row>
        <row r="152">
          <cell r="HZ152" t="str">
            <v>81222101-61111112</v>
          </cell>
          <cell r="IA152" t="str">
            <v>TIENDESITAS</v>
          </cell>
          <cell r="IB152" t="str">
            <v>GAE - Low Value Assets - Restricted</v>
          </cell>
          <cell r="IF152" t="str">
            <v>Others</v>
          </cell>
          <cell r="IG152" t="str">
            <v>Supplies</v>
          </cell>
        </row>
        <row r="153">
          <cell r="HZ153" t="str">
            <v>80111201-61091102</v>
          </cell>
          <cell r="IA153" t="str">
            <v>MANCOM &amp; STAFF</v>
          </cell>
          <cell r="IB153" t="str">
            <v>GAE - Meeting</v>
          </cell>
          <cell r="IF153" t="str">
            <v>Others</v>
          </cell>
          <cell r="IG153" t="str">
            <v>Valle Verde</v>
          </cell>
        </row>
        <row r="154">
          <cell r="HZ154" t="str">
            <v>80121101-61091102</v>
          </cell>
          <cell r="IA154" t="str">
            <v>CORP RESOURCES DIV</v>
          </cell>
          <cell r="IB154" t="str">
            <v>GAE - Meeting</v>
          </cell>
          <cell r="IF154" t="str">
            <v>Others</v>
          </cell>
          <cell r="IG154" t="str">
            <v>Valle Verde</v>
          </cell>
        </row>
        <row r="155">
          <cell r="HZ155" t="str">
            <v>80131101-61091102</v>
          </cell>
          <cell r="IA155" t="str">
            <v>FINANCE - COMMON</v>
          </cell>
          <cell r="IB155" t="str">
            <v>GAE - Meeting</v>
          </cell>
          <cell r="IF155" t="str">
            <v>Others</v>
          </cell>
          <cell r="IG155" t="str">
            <v>Valle Verde</v>
          </cell>
        </row>
        <row r="156">
          <cell r="HZ156" t="str">
            <v>80211101-61091102</v>
          </cell>
          <cell r="IA156" t="str">
            <v>ORTIGAS MALLS DIV</v>
          </cell>
          <cell r="IB156" t="str">
            <v>GAE - Meeting</v>
          </cell>
          <cell r="IF156" t="str">
            <v>Others</v>
          </cell>
          <cell r="IG156" t="str">
            <v>Valle Verde</v>
          </cell>
        </row>
        <row r="157">
          <cell r="HZ157" t="str">
            <v>80215106-61091102</v>
          </cell>
          <cell r="IA157" t="str">
            <v>TECHNICAL SERVICES</v>
          </cell>
          <cell r="IB157" t="str">
            <v>GAE - Meeting</v>
          </cell>
          <cell r="IF157" t="str">
            <v>Others</v>
          </cell>
          <cell r="IG157" t="str">
            <v>Entertainment, Amusement &amp; Recreation</v>
          </cell>
        </row>
        <row r="158">
          <cell r="HZ158" t="str">
            <v>80311101-61091102</v>
          </cell>
          <cell r="IA158" t="str">
            <v>RED-COMMON</v>
          </cell>
          <cell r="IB158" t="str">
            <v>GAE - Meeting</v>
          </cell>
          <cell r="IF158" t="str">
            <v>Others</v>
          </cell>
          <cell r="IG158" t="str">
            <v>Valle Verde</v>
          </cell>
        </row>
        <row r="159">
          <cell r="HZ159" t="str">
            <v>80313102-61091102</v>
          </cell>
          <cell r="IA159" t="str">
            <v>OFFICE LEASING</v>
          </cell>
          <cell r="IB159" t="str">
            <v>GAE - Meeting</v>
          </cell>
          <cell r="IF159" t="str">
            <v>Others</v>
          </cell>
          <cell r="IG159" t="str">
            <v>Entertainment, Amusement &amp; Recreation</v>
          </cell>
        </row>
        <row r="160">
          <cell r="HZ160" t="str">
            <v>80313103-61091102</v>
          </cell>
          <cell r="IA160" t="str">
            <v>HANDOVER MGT DEPT</v>
          </cell>
          <cell r="IB160" t="str">
            <v>GAE - Meeting</v>
          </cell>
          <cell r="IF160" t="str">
            <v>Others</v>
          </cell>
          <cell r="IG160" t="str">
            <v>Entertainment, Amusement &amp; Recreation</v>
          </cell>
        </row>
        <row r="161">
          <cell r="HZ161" t="str">
            <v>80313105-61091102</v>
          </cell>
          <cell r="IA161" t="str">
            <v>SALES OPERATIONS</v>
          </cell>
          <cell r="IB161" t="str">
            <v>GAE - Meeting</v>
          </cell>
          <cell r="IF161" t="str">
            <v>Others</v>
          </cell>
          <cell r="IG161" t="str">
            <v>Entertainment, Amusement &amp; Recreation</v>
          </cell>
        </row>
        <row r="162">
          <cell r="HZ162" t="str">
            <v>80313106-61091102</v>
          </cell>
          <cell r="IA162" t="str">
            <v>SALES DEVELOPMENT</v>
          </cell>
          <cell r="IB162" t="str">
            <v>GAE - Meeting</v>
          </cell>
          <cell r="IF162" t="str">
            <v>Others</v>
          </cell>
          <cell r="IG162" t="str">
            <v>Entertainment, Amusement &amp; Recreation</v>
          </cell>
        </row>
        <row r="163">
          <cell r="HZ163" t="str">
            <v>80315201-61091102</v>
          </cell>
          <cell r="IA163" t="str">
            <v>RBU BD/PD</v>
          </cell>
          <cell r="IB163" t="str">
            <v>GAE - Meeting</v>
          </cell>
          <cell r="IF163" t="str">
            <v>Others</v>
          </cell>
          <cell r="IG163" t="str">
            <v>Entertainment, Amusement &amp; Recreation</v>
          </cell>
        </row>
        <row r="164">
          <cell r="HZ164" t="str">
            <v>81221201-61091102</v>
          </cell>
          <cell r="IA164" t="str">
            <v>GSC OLD BLDGS</v>
          </cell>
          <cell r="IB164" t="str">
            <v>GAE - Meeting</v>
          </cell>
          <cell r="IF164" t="str">
            <v>Others</v>
          </cell>
          <cell r="IG164" t="str">
            <v>Entertainment, Amusement &amp; Recreation</v>
          </cell>
        </row>
        <row r="165">
          <cell r="HZ165" t="str">
            <v>81225101-61091102</v>
          </cell>
          <cell r="IA165" t="str">
            <v>ESTANCIA RETAIL</v>
          </cell>
          <cell r="IB165" t="str">
            <v>GAE - Meeting</v>
          </cell>
          <cell r="IF165" t="str">
            <v>Others</v>
          </cell>
          <cell r="IG165" t="str">
            <v>Entertainment, Amusement &amp; Recreation</v>
          </cell>
        </row>
        <row r="166">
          <cell r="HZ166" t="str">
            <v>90111201-61091102</v>
          </cell>
          <cell r="IA166" t="str">
            <v>MANCOM &amp; STAFF</v>
          </cell>
          <cell r="IB166" t="str">
            <v>GAE - Meeting</v>
          </cell>
          <cell r="IF166" t="str">
            <v>Others</v>
          </cell>
          <cell r="IG166" t="str">
            <v>BOD Meeting</v>
          </cell>
        </row>
        <row r="167">
          <cell r="HZ167" t="str">
            <v>80111101-61959201</v>
          </cell>
          <cell r="IA167" t="str">
            <v>OCLP-COMMON</v>
          </cell>
          <cell r="IB167" t="str">
            <v>GAE - Miscellaneous Processing Fee</v>
          </cell>
          <cell r="IF167" t="str">
            <v>Others</v>
          </cell>
          <cell r="IG167" t="str">
            <v>Donations, Contributions and Miscellaneous Expenses</v>
          </cell>
        </row>
        <row r="168">
          <cell r="HZ168" t="str">
            <v>90211101-61959201</v>
          </cell>
          <cell r="IA168" t="str">
            <v>ORTIGAS MALLS DIV</v>
          </cell>
          <cell r="IB168" t="str">
            <v>GAE - Miscellaneous Processing Fee</v>
          </cell>
          <cell r="IF168" t="str">
            <v>Others</v>
          </cell>
          <cell r="IG168" t="str">
            <v>Donations, Contributions and Miscellaneous Expenses</v>
          </cell>
        </row>
        <row r="169">
          <cell r="HZ169" t="str">
            <v>80111201-61111101</v>
          </cell>
          <cell r="IA169" t="str">
            <v>MANCOM &amp; STAFF</v>
          </cell>
          <cell r="IB169" t="str">
            <v>GAE - Office Supplies</v>
          </cell>
          <cell r="IF169" t="str">
            <v>Others</v>
          </cell>
          <cell r="IG169" t="str">
            <v>Supplies</v>
          </cell>
        </row>
        <row r="170">
          <cell r="HZ170" t="str">
            <v>80111202-61111101</v>
          </cell>
          <cell r="IA170" t="str">
            <v>INTERNAL AUDIT</v>
          </cell>
          <cell r="IB170" t="str">
            <v>GAE - Office Supplies</v>
          </cell>
          <cell r="IF170" t="str">
            <v>Others</v>
          </cell>
          <cell r="IG170" t="str">
            <v>Supplies</v>
          </cell>
        </row>
        <row r="171">
          <cell r="HZ171" t="str">
            <v>80111203-61111101</v>
          </cell>
          <cell r="IA171" t="str">
            <v>OFFICE OF THE PRES.</v>
          </cell>
          <cell r="IB171" t="str">
            <v>GAE - Office Supplies</v>
          </cell>
          <cell r="IF171" t="str">
            <v>Others</v>
          </cell>
          <cell r="IG171" t="str">
            <v>Supplies</v>
          </cell>
        </row>
        <row r="172">
          <cell r="IB172" t="str">
            <v>GAE - Office Supplies</v>
          </cell>
          <cell r="IF172" t="str">
            <v>Others</v>
          </cell>
          <cell r="IG172" t="str">
            <v>Supplies</v>
          </cell>
        </row>
        <row r="173">
          <cell r="HZ173" t="str">
            <v>80123101-61111101</v>
          </cell>
          <cell r="IA173" t="str">
            <v>LEGAL</v>
          </cell>
          <cell r="IB173" t="str">
            <v>GAE - Office Supplies</v>
          </cell>
          <cell r="IF173" t="str">
            <v>Others</v>
          </cell>
          <cell r="IG173" t="str">
            <v>Supplies</v>
          </cell>
        </row>
        <row r="174">
          <cell r="HZ174" t="str">
            <v>80123102-61111101</v>
          </cell>
          <cell r="IA174" t="str">
            <v>ADMIN SERVICES</v>
          </cell>
          <cell r="IB174" t="str">
            <v>GAE - Office Supplies</v>
          </cell>
          <cell r="IF174" t="str">
            <v>Others</v>
          </cell>
          <cell r="IG174" t="str">
            <v>Supplies</v>
          </cell>
        </row>
        <row r="175">
          <cell r="HZ175" t="str">
            <v>80124101-61111101</v>
          </cell>
          <cell r="IA175" t="str">
            <v>IS &amp; IT</v>
          </cell>
          <cell r="IB175" t="str">
            <v>GAE - Office Supplies</v>
          </cell>
          <cell r="IF175" t="str">
            <v>Others</v>
          </cell>
          <cell r="IG175" t="str">
            <v>Supplies</v>
          </cell>
        </row>
        <row r="176">
          <cell r="HZ176" t="str">
            <v>80125101-61111101</v>
          </cell>
          <cell r="IA176" t="str">
            <v>EXTERNAL AFFAIRS DEP</v>
          </cell>
          <cell r="IB176" t="str">
            <v>GAE - Office Supplies</v>
          </cell>
          <cell r="IF176" t="str">
            <v>Others</v>
          </cell>
          <cell r="IG176" t="str">
            <v>Supplies</v>
          </cell>
        </row>
        <row r="177">
          <cell r="HZ177" t="str">
            <v>80126101-61111101</v>
          </cell>
          <cell r="IA177" t="str">
            <v>DCMG - LEASING</v>
          </cell>
          <cell r="IB177" t="str">
            <v>GAE - Office Supplies</v>
          </cell>
          <cell r="IF177" t="str">
            <v>Others</v>
          </cell>
          <cell r="IG177" t="str">
            <v>Supplies</v>
          </cell>
        </row>
        <row r="178">
          <cell r="HZ178" t="str">
            <v>80131101-61111101</v>
          </cell>
          <cell r="IA178" t="str">
            <v>FINANCE - COMMON</v>
          </cell>
          <cell r="IB178" t="str">
            <v>GAE - Office Supplies</v>
          </cell>
          <cell r="IF178" t="str">
            <v>Others</v>
          </cell>
          <cell r="IG178" t="str">
            <v>Supplies</v>
          </cell>
        </row>
        <row r="179">
          <cell r="HZ179" t="str">
            <v>80132101-61111101</v>
          </cell>
          <cell r="IA179" t="str">
            <v>TREASURY OPERATIONS</v>
          </cell>
          <cell r="IB179" t="str">
            <v>GAE - Office Supplies</v>
          </cell>
          <cell r="IF179" t="str">
            <v>Others</v>
          </cell>
          <cell r="IG179" t="str">
            <v>Supplies</v>
          </cell>
        </row>
        <row r="180">
          <cell r="HZ180" t="str">
            <v>80132102-61111101</v>
          </cell>
          <cell r="IA180" t="str">
            <v>TREASURY SERVICES</v>
          </cell>
          <cell r="IB180" t="str">
            <v>GAE - Office Supplies</v>
          </cell>
          <cell r="IF180" t="str">
            <v>Others</v>
          </cell>
          <cell r="IG180" t="str">
            <v>Supplies</v>
          </cell>
        </row>
        <row r="181">
          <cell r="HZ181" t="str">
            <v>80133102-61111101</v>
          </cell>
          <cell r="IA181" t="str">
            <v>TAX ACCOUNTING</v>
          </cell>
          <cell r="IB181" t="str">
            <v>GAE - Office Supplies</v>
          </cell>
          <cell r="IF181" t="str">
            <v>Others</v>
          </cell>
          <cell r="IG181" t="str">
            <v>Supplies</v>
          </cell>
        </row>
        <row r="182">
          <cell r="HZ182" t="str">
            <v>80133103-61111101</v>
          </cell>
          <cell r="IA182" t="str">
            <v>PROCUREMENT</v>
          </cell>
          <cell r="IB182" t="str">
            <v>GAE - Office Supplies</v>
          </cell>
          <cell r="IF182" t="str">
            <v>Others</v>
          </cell>
          <cell r="IG182" t="str">
            <v>Supplies</v>
          </cell>
        </row>
        <row r="183">
          <cell r="HZ183" t="str">
            <v>80134102-61111101</v>
          </cell>
          <cell r="IA183" t="str">
            <v>CORPORATE ACCOUNTING</v>
          </cell>
          <cell r="IB183" t="str">
            <v>GAE - Office Supplies</v>
          </cell>
          <cell r="IF183" t="str">
            <v>Others</v>
          </cell>
          <cell r="IG183" t="str">
            <v>Supplies</v>
          </cell>
        </row>
        <row r="184">
          <cell r="HZ184" t="str">
            <v>80134103-61111101</v>
          </cell>
          <cell r="IA184" t="str">
            <v>BUDGET  C&amp;A</v>
          </cell>
          <cell r="IB184" t="str">
            <v>GAE - Office Supplies</v>
          </cell>
          <cell r="IF184" t="str">
            <v>Others</v>
          </cell>
          <cell r="IG184" t="str">
            <v>Supplies</v>
          </cell>
        </row>
        <row r="185">
          <cell r="HZ185" t="str">
            <v>80134104-61111101</v>
          </cell>
          <cell r="IA185" t="str">
            <v>BUSINESS PROCESS MGT</v>
          </cell>
          <cell r="IB185" t="str">
            <v>GAE - Office Supplies</v>
          </cell>
          <cell r="IF185" t="str">
            <v>Others</v>
          </cell>
          <cell r="IG185" t="str">
            <v>Supplies</v>
          </cell>
        </row>
        <row r="186">
          <cell r="HZ186" t="str">
            <v>80215101-61111101</v>
          </cell>
          <cell r="IA186" t="str">
            <v>PROPERTY MANAGEMENT</v>
          </cell>
          <cell r="IB186" t="str">
            <v>GAE - Office Supplies</v>
          </cell>
          <cell r="IF186" t="str">
            <v>Others</v>
          </cell>
          <cell r="IG186" t="str">
            <v>Supplies</v>
          </cell>
        </row>
        <row r="187">
          <cell r="HZ187" t="str">
            <v>80215106-61111101</v>
          </cell>
          <cell r="IA187" t="str">
            <v>TECHNICAL SERVICES</v>
          </cell>
          <cell r="IB187" t="str">
            <v>GAE - Office Supplies</v>
          </cell>
          <cell r="IF187" t="str">
            <v>Others</v>
          </cell>
          <cell r="IG187" t="str">
            <v>Supplies</v>
          </cell>
        </row>
        <row r="188">
          <cell r="HZ188" t="str">
            <v>80312102-61111101</v>
          </cell>
          <cell r="IA188" t="str">
            <v>RBU B&amp;C</v>
          </cell>
          <cell r="IB188" t="str">
            <v>GAE - Office Supplies</v>
          </cell>
          <cell r="IF188" t="str">
            <v>Others</v>
          </cell>
          <cell r="IG188" t="str">
            <v>Supplies</v>
          </cell>
        </row>
        <row r="189">
          <cell r="HZ189" t="str">
            <v>80312104-61111101</v>
          </cell>
          <cell r="IA189" t="str">
            <v>RBU ACCOUNTING</v>
          </cell>
          <cell r="IB189" t="str">
            <v>GAE - Office Supplies</v>
          </cell>
          <cell r="IF189" t="str">
            <v>Others</v>
          </cell>
          <cell r="IG189" t="str">
            <v>Supplies</v>
          </cell>
        </row>
        <row r="190">
          <cell r="HZ190" t="str">
            <v>80312105-61111101</v>
          </cell>
          <cell r="IA190" t="str">
            <v>OFFICE LEASING FINAN</v>
          </cell>
          <cell r="IB190" t="str">
            <v>GAE - Office Supplies</v>
          </cell>
          <cell r="IF190" t="str">
            <v>Others</v>
          </cell>
          <cell r="IG190" t="str">
            <v>Supplies</v>
          </cell>
        </row>
        <row r="191">
          <cell r="HZ191" t="str">
            <v>80313102-61111101</v>
          </cell>
          <cell r="IA191" t="str">
            <v>OFFICE LEASING</v>
          </cell>
          <cell r="IB191" t="str">
            <v>GAE - Office Supplies</v>
          </cell>
          <cell r="IF191" t="str">
            <v>Others</v>
          </cell>
          <cell r="IG191" t="str">
            <v>Supplies</v>
          </cell>
        </row>
        <row r="192">
          <cell r="HZ192" t="str">
            <v>80313103-61111101</v>
          </cell>
          <cell r="IA192" t="str">
            <v>HANDOVER MGT DEPT</v>
          </cell>
          <cell r="IB192" t="str">
            <v>GAE - Office Supplies</v>
          </cell>
          <cell r="IF192" t="str">
            <v>Others</v>
          </cell>
          <cell r="IG192" t="str">
            <v>Supplies</v>
          </cell>
        </row>
        <row r="193">
          <cell r="HZ193" t="str">
            <v>80313104-61111101</v>
          </cell>
          <cell r="IA193" t="str">
            <v>SALES HR</v>
          </cell>
          <cell r="IB193" t="str">
            <v>GAE - Office Supplies</v>
          </cell>
          <cell r="IF193" t="str">
            <v>Others</v>
          </cell>
          <cell r="IG193" t="str">
            <v>Supplies</v>
          </cell>
        </row>
        <row r="194">
          <cell r="HZ194" t="str">
            <v>80313105-61111101</v>
          </cell>
          <cell r="IA194" t="str">
            <v>SALES OPERATIONS</v>
          </cell>
          <cell r="IB194" t="str">
            <v>GAE - Office Supplies</v>
          </cell>
          <cell r="IF194" t="str">
            <v>Others</v>
          </cell>
          <cell r="IG194" t="str">
            <v>Supplies</v>
          </cell>
        </row>
        <row r="195">
          <cell r="HZ195" t="str">
            <v>80313106-61111101</v>
          </cell>
          <cell r="IA195" t="str">
            <v>SALES DEVELOPMENT</v>
          </cell>
          <cell r="IB195" t="str">
            <v>GAE - Office Supplies</v>
          </cell>
          <cell r="IF195" t="str">
            <v>Others</v>
          </cell>
          <cell r="IG195" t="str">
            <v>Supplies</v>
          </cell>
        </row>
        <row r="196">
          <cell r="HZ196" t="str">
            <v>80314101-61111101</v>
          </cell>
          <cell r="IA196" t="str">
            <v>CORPORATE MARKETING</v>
          </cell>
          <cell r="IB196" t="str">
            <v>GAE - Office Supplies</v>
          </cell>
          <cell r="IF196" t="str">
            <v>Others</v>
          </cell>
          <cell r="IG196" t="str">
            <v>Supplies</v>
          </cell>
        </row>
        <row r="197">
          <cell r="HZ197" t="str">
            <v>80315201-61111101</v>
          </cell>
          <cell r="IA197" t="str">
            <v>RBU BD/PD</v>
          </cell>
          <cell r="IB197" t="str">
            <v>GAE - Office Supplies</v>
          </cell>
          <cell r="IF197" t="str">
            <v>Others</v>
          </cell>
          <cell r="IG197" t="str">
            <v>Supplies</v>
          </cell>
        </row>
        <row r="198">
          <cell r="HZ198" t="str">
            <v>80316101-61111101</v>
          </cell>
          <cell r="IA198" t="str">
            <v>DESIGN &amp; PLANNING</v>
          </cell>
          <cell r="IB198" t="str">
            <v>GAE - Office Supplies</v>
          </cell>
          <cell r="IF198" t="str">
            <v>Others</v>
          </cell>
          <cell r="IG198" t="str">
            <v>Supplies</v>
          </cell>
        </row>
        <row r="199">
          <cell r="HZ199" t="str">
            <v>80317101-61111101</v>
          </cell>
          <cell r="IA199" t="str">
            <v>CONSTRUCTION MGT</v>
          </cell>
          <cell r="IB199" t="str">
            <v>GAE - Office Supplies</v>
          </cell>
          <cell r="IF199" t="str">
            <v>Others</v>
          </cell>
          <cell r="IG199" t="str">
            <v>Supplies</v>
          </cell>
        </row>
        <row r="200">
          <cell r="HZ200" t="str">
            <v>80333101-61111101</v>
          </cell>
          <cell r="IA200" t="str">
            <v>VIRIDIAN - RESL</v>
          </cell>
          <cell r="IB200" t="str">
            <v>GAE - Office Supplies</v>
          </cell>
          <cell r="IF200" t="str">
            <v>Others</v>
          </cell>
          <cell r="IG200" t="str">
            <v>Supplies</v>
          </cell>
        </row>
        <row r="201">
          <cell r="HZ201" t="str">
            <v>80333102-61111101</v>
          </cell>
          <cell r="IA201" t="str">
            <v>CONNOR</v>
          </cell>
          <cell r="IB201" t="str">
            <v>GAE - Office Supplies</v>
          </cell>
          <cell r="IF201" t="str">
            <v>Others</v>
          </cell>
          <cell r="IG201" t="str">
            <v>Supplies</v>
          </cell>
        </row>
        <row r="202">
          <cell r="HZ202" t="str">
            <v>81111101-61111101</v>
          </cell>
          <cell r="IA202" t="str">
            <v>CCC-COMMON</v>
          </cell>
          <cell r="IB202" t="str">
            <v>GAE - Office Supplies</v>
          </cell>
          <cell r="IF202" t="str">
            <v>Others</v>
          </cell>
          <cell r="IG202" t="str">
            <v>Supplies</v>
          </cell>
        </row>
        <row r="203">
          <cell r="HZ203" t="str">
            <v>81132101-61111101</v>
          </cell>
          <cell r="IA203" t="str">
            <v>TREASURY OPERATIONS</v>
          </cell>
          <cell r="IB203" t="str">
            <v>GAE - Office Supplies</v>
          </cell>
          <cell r="IF203" t="str">
            <v>Others</v>
          </cell>
          <cell r="IG203" t="str">
            <v>Supplies</v>
          </cell>
        </row>
        <row r="204">
          <cell r="HZ204" t="str">
            <v>81133102-61111101</v>
          </cell>
          <cell r="IA204" t="str">
            <v>TAX ACCOUNTING</v>
          </cell>
          <cell r="IB204" t="str">
            <v>GAE - Office Supplies</v>
          </cell>
          <cell r="IF204" t="str">
            <v>Others</v>
          </cell>
          <cell r="IG204" t="str">
            <v>Supplies</v>
          </cell>
        </row>
        <row r="205">
          <cell r="HZ205" t="str">
            <v>81221201-61111101</v>
          </cell>
          <cell r="IA205" t="str">
            <v>GSC OLD BLDGS</v>
          </cell>
          <cell r="IB205" t="str">
            <v>GAE - Office Supplies</v>
          </cell>
          <cell r="IF205" t="str">
            <v>Others</v>
          </cell>
          <cell r="IG205" t="str">
            <v>Supplies</v>
          </cell>
        </row>
        <row r="206">
          <cell r="HZ206" t="str">
            <v>81222101-61111101</v>
          </cell>
          <cell r="IA206" t="str">
            <v>TIENDESITAS</v>
          </cell>
          <cell r="IB206" t="str">
            <v>GAE - Office Supplies</v>
          </cell>
          <cell r="IF206" t="str">
            <v>Others</v>
          </cell>
          <cell r="IG206" t="str">
            <v>Supplies</v>
          </cell>
        </row>
        <row r="207">
          <cell r="HZ207" t="str">
            <v>81224101-61111101</v>
          </cell>
          <cell r="IA207" t="str">
            <v>INDUSTRIA</v>
          </cell>
          <cell r="IB207" t="str">
            <v>GAE - Office Supplies</v>
          </cell>
          <cell r="IF207" t="str">
            <v>Others</v>
          </cell>
          <cell r="IG207" t="str">
            <v>Supplies</v>
          </cell>
        </row>
        <row r="208">
          <cell r="HZ208" t="str">
            <v>81225101-61111101</v>
          </cell>
          <cell r="IA208" t="str">
            <v>ESTANCIA RETAIL</v>
          </cell>
          <cell r="IB208" t="str">
            <v>GAE - Office Supplies</v>
          </cell>
          <cell r="IF208" t="str">
            <v>Others</v>
          </cell>
          <cell r="IG208" t="str">
            <v>Supplies</v>
          </cell>
        </row>
        <row r="209">
          <cell r="HZ209" t="str">
            <v>81225201-61111101</v>
          </cell>
          <cell r="IA209" t="str">
            <v>ESTANCIA EXP - MALL</v>
          </cell>
          <cell r="IB209" t="str">
            <v>GAE - Office Supplies</v>
          </cell>
          <cell r="IF209" t="str">
            <v>Others</v>
          </cell>
          <cell r="IG209" t="str">
            <v>Supplies</v>
          </cell>
        </row>
        <row r="210">
          <cell r="HZ210" t="str">
            <v>81225206-61111101</v>
          </cell>
          <cell r="IA210" t="str">
            <v>ESTANCIA CINEMA-RC</v>
          </cell>
          <cell r="IB210" t="str">
            <v>GAE - Office Supplies</v>
          </cell>
          <cell r="IF210" t="str">
            <v>Others</v>
          </cell>
          <cell r="IG210" t="str">
            <v>Supplies</v>
          </cell>
        </row>
        <row r="211">
          <cell r="HZ211" t="str">
            <v>90111201-61111101</v>
          </cell>
          <cell r="IA211" t="str">
            <v>MANCOM &amp; STAFF</v>
          </cell>
          <cell r="IB211" t="str">
            <v>GAE - Office Supplies</v>
          </cell>
          <cell r="IF211" t="str">
            <v>Others</v>
          </cell>
          <cell r="IG211" t="str">
            <v>Supplies</v>
          </cell>
        </row>
        <row r="212">
          <cell r="HZ212" t="str">
            <v>90123101-61111101</v>
          </cell>
          <cell r="IA212" t="str">
            <v>LEGAL</v>
          </cell>
          <cell r="IB212" t="str">
            <v>GAE - Office Supplies</v>
          </cell>
          <cell r="IF212" t="str">
            <v>Others</v>
          </cell>
          <cell r="IG212" t="str">
            <v>Supplies</v>
          </cell>
        </row>
        <row r="213">
          <cell r="HZ213" t="str">
            <v>90132101-61111101</v>
          </cell>
          <cell r="IA213" t="str">
            <v>TREASURY OPERATIONS</v>
          </cell>
          <cell r="IB213" t="str">
            <v>GAE - Office Supplies</v>
          </cell>
          <cell r="IF213" t="str">
            <v>Others</v>
          </cell>
          <cell r="IG213" t="str">
            <v>Supplies</v>
          </cell>
        </row>
        <row r="214">
          <cell r="HZ214" t="str">
            <v>90133102-61111101</v>
          </cell>
          <cell r="IA214" t="str">
            <v>TAX ACCOUNTING</v>
          </cell>
          <cell r="IB214" t="str">
            <v>GAE - Office Supplies</v>
          </cell>
          <cell r="IF214" t="str">
            <v>Others</v>
          </cell>
          <cell r="IG214" t="str">
            <v>Supplies</v>
          </cell>
        </row>
        <row r="215">
          <cell r="HZ215" t="str">
            <v>80313103-61959999</v>
          </cell>
          <cell r="IA215" t="str">
            <v>HANDOVER MGT DEPT</v>
          </cell>
          <cell r="IB215" t="str">
            <v>GAE - Others</v>
          </cell>
          <cell r="IF215" t="str">
            <v>Others</v>
          </cell>
          <cell r="IG215" t="str">
            <v>Others</v>
          </cell>
        </row>
        <row r="216">
          <cell r="HZ216" t="str">
            <v>81131101-61021104</v>
          </cell>
          <cell r="IA216" t="str">
            <v>FINANCE - COMMON</v>
          </cell>
          <cell r="IB216" t="str">
            <v>GAE - Regular Employee - OT Allowance</v>
          </cell>
          <cell r="IF216" t="str">
            <v>Salaries</v>
          </cell>
          <cell r="IG216" t="str">
            <v>OT Pay</v>
          </cell>
        </row>
        <row r="217">
          <cell r="HZ217" t="str">
            <v>81211101-61021104</v>
          </cell>
          <cell r="IA217" t="str">
            <v>ORTIGAS MALLS DIV</v>
          </cell>
          <cell r="IB217" t="str">
            <v>GAE - Regular Employee - OT Allowance</v>
          </cell>
          <cell r="IF217" t="str">
            <v>Salaries</v>
          </cell>
          <cell r="IG217" t="str">
            <v>OT Pay</v>
          </cell>
        </row>
        <row r="218">
          <cell r="HZ218" t="str">
            <v>81311101-61021104</v>
          </cell>
          <cell r="IA218" t="str">
            <v>RED-COMMON</v>
          </cell>
          <cell r="IB218" t="str">
            <v>GAE - Regular Employee - OT Allowance</v>
          </cell>
          <cell r="IF218" t="str">
            <v>Salaries</v>
          </cell>
          <cell r="IG218" t="str">
            <v>OT Pay</v>
          </cell>
        </row>
        <row r="219">
          <cell r="HZ219" t="str">
            <v>90121101-61021104</v>
          </cell>
          <cell r="IA219" t="str">
            <v>CORP RESOURCES DIV</v>
          </cell>
          <cell r="IB219" t="str">
            <v>GAE - Regular Employee - OT Allowance</v>
          </cell>
          <cell r="IF219" t="str">
            <v>Salaries</v>
          </cell>
          <cell r="IG219" t="str">
            <v>OT Pay</v>
          </cell>
        </row>
        <row r="220">
          <cell r="HZ220" t="str">
            <v>90131101-61021104</v>
          </cell>
          <cell r="IA220" t="str">
            <v>FINANCE - COMMON</v>
          </cell>
          <cell r="IB220" t="str">
            <v>GAE - Regular Employee - OT Allowance</v>
          </cell>
          <cell r="IF220" t="str">
            <v>Salaries</v>
          </cell>
          <cell r="IG220" t="str">
            <v>OT Pay</v>
          </cell>
        </row>
        <row r="221">
          <cell r="HZ221" t="str">
            <v>90211101-61021104</v>
          </cell>
          <cell r="IA221" t="str">
            <v>ORTIGAS MALLS DIV</v>
          </cell>
          <cell r="IB221" t="str">
            <v>GAE - Regular Employee - OT Allowance</v>
          </cell>
          <cell r="IF221" t="str">
            <v>Salaries</v>
          </cell>
          <cell r="IG221" t="str">
            <v>OT Pay</v>
          </cell>
        </row>
        <row r="222">
          <cell r="HZ222" t="str">
            <v>90311101-61021104</v>
          </cell>
          <cell r="IA222" t="str">
            <v>RED-COMMON</v>
          </cell>
          <cell r="IB222" t="str">
            <v>GAE - Regular Employee - OT Allowance</v>
          </cell>
          <cell r="IF222" t="str">
            <v>Salaries</v>
          </cell>
          <cell r="IG222" t="str">
            <v>OT Pay</v>
          </cell>
        </row>
        <row r="223">
          <cell r="HZ223" t="str">
            <v>80121101-61021105</v>
          </cell>
          <cell r="IA223" t="str">
            <v>CORP RESOURCES DIV</v>
          </cell>
          <cell r="IB223" t="str">
            <v>GAE - Payroll - Regular Employee - Bonus</v>
          </cell>
          <cell r="IF223" t="str">
            <v>Salaries</v>
          </cell>
          <cell r="IG223" t="str">
            <v>Guaranteed Bonus</v>
          </cell>
        </row>
        <row r="224">
          <cell r="HZ224" t="str">
            <v>80311101-61021105</v>
          </cell>
          <cell r="IA224" t="str">
            <v>RED-COMMON</v>
          </cell>
          <cell r="IB224" t="str">
            <v>GAE - Payroll - Regular Employee - Bonus</v>
          </cell>
          <cell r="IF224" t="str">
            <v>Salaries</v>
          </cell>
          <cell r="IG224" t="str">
            <v>Guaranteed Bonus</v>
          </cell>
        </row>
        <row r="225">
          <cell r="HZ225" t="str">
            <v>81121101-61021105</v>
          </cell>
          <cell r="IA225" t="str">
            <v>CORP RESOURCES DIV</v>
          </cell>
          <cell r="IB225" t="str">
            <v>GAE - Payroll - Regular Employee - Bonus</v>
          </cell>
          <cell r="IF225" t="str">
            <v>Salaries</v>
          </cell>
          <cell r="IG225" t="str">
            <v>Guaranteed Bonus</v>
          </cell>
        </row>
        <row r="226">
          <cell r="HZ226" t="str">
            <v>81131101-61021105</v>
          </cell>
          <cell r="IA226" t="str">
            <v>FINANCE - COMMON</v>
          </cell>
          <cell r="IB226" t="str">
            <v>GAE - Payroll - Regular Employee - Bonus</v>
          </cell>
          <cell r="IF226" t="str">
            <v>Salaries</v>
          </cell>
          <cell r="IG226" t="str">
            <v>Guaranteed Bonus</v>
          </cell>
        </row>
        <row r="227">
          <cell r="HZ227" t="str">
            <v>81211101-61021105</v>
          </cell>
          <cell r="IA227" t="str">
            <v>ORTIGAS MALLS DIV</v>
          </cell>
          <cell r="IB227" t="str">
            <v>GAE - Payroll - Regular Employee - Bonus</v>
          </cell>
          <cell r="IF227" t="str">
            <v>Salaries</v>
          </cell>
          <cell r="IG227" t="str">
            <v>Guaranteed Bonus</v>
          </cell>
        </row>
        <row r="228">
          <cell r="HZ228" t="str">
            <v>81311101-61021105</v>
          </cell>
          <cell r="IA228" t="str">
            <v>RED-COMMON</v>
          </cell>
          <cell r="IB228" t="str">
            <v>GAE - Payroll - Regular Employee - Bonus</v>
          </cell>
          <cell r="IF228" t="str">
            <v>Salaries</v>
          </cell>
          <cell r="IG228" t="str">
            <v>Guaranteed Bonus</v>
          </cell>
        </row>
        <row r="229">
          <cell r="HZ229" t="str">
            <v>90111101-61021105</v>
          </cell>
          <cell r="IA229" t="str">
            <v>OHI-COMMON</v>
          </cell>
          <cell r="IB229" t="str">
            <v>GAE - Payroll - Regular Employee - Bonus</v>
          </cell>
          <cell r="IF229" t="str">
            <v>Salaries</v>
          </cell>
          <cell r="IG229" t="str">
            <v>Guaranteed Bonus</v>
          </cell>
        </row>
        <row r="230">
          <cell r="HZ230" t="str">
            <v>90121101-61021105</v>
          </cell>
          <cell r="IA230" t="str">
            <v>CORP RESOURCES DIV</v>
          </cell>
          <cell r="IB230" t="str">
            <v>GAE - Payroll - Regular Employee - Bonus</v>
          </cell>
          <cell r="IF230" t="str">
            <v>Salaries</v>
          </cell>
          <cell r="IG230" t="str">
            <v>Guaranteed Bonus</v>
          </cell>
        </row>
        <row r="231">
          <cell r="HZ231" t="str">
            <v>90131101-61021105</v>
          </cell>
          <cell r="IA231" t="str">
            <v>FINANCE - COMMON</v>
          </cell>
          <cell r="IB231" t="str">
            <v>GAE - Payroll - Regular Employee - Bonus</v>
          </cell>
          <cell r="IF231" t="str">
            <v>Salaries</v>
          </cell>
          <cell r="IG231" t="str">
            <v>Guaranteed Bonus</v>
          </cell>
        </row>
        <row r="232">
          <cell r="HZ232" t="str">
            <v>90211101-61021105</v>
          </cell>
          <cell r="IA232" t="str">
            <v>ORTIGAS MALLS DIV</v>
          </cell>
          <cell r="IB232" t="str">
            <v>GAE - Payroll - Regular Employee - Bonus</v>
          </cell>
          <cell r="IF232" t="str">
            <v>Salaries</v>
          </cell>
          <cell r="IG232" t="str">
            <v>Guaranteed Bonus</v>
          </cell>
        </row>
        <row r="233">
          <cell r="HZ233" t="str">
            <v>90311101-61021105</v>
          </cell>
          <cell r="IA233" t="str">
            <v>RED-COMMON</v>
          </cell>
          <cell r="IB233" t="str">
            <v>GAE - Payroll - Regular Employee - Bonus</v>
          </cell>
          <cell r="IF233" t="str">
            <v>Salaries</v>
          </cell>
          <cell r="IG233" t="str">
            <v>Guaranteed Bonus</v>
          </cell>
        </row>
        <row r="234">
          <cell r="HZ234" t="str">
            <v>80311101-61021103</v>
          </cell>
          <cell r="IA234" t="str">
            <v>RED-COMMON</v>
          </cell>
          <cell r="IB234" t="str">
            <v>GAE - Payroll - Regular Employee - OT</v>
          </cell>
          <cell r="IF234" t="str">
            <v>Salaries</v>
          </cell>
          <cell r="IG234" t="str">
            <v>OT Pay</v>
          </cell>
        </row>
        <row r="235">
          <cell r="HZ235" t="str">
            <v>81121101-61021103</v>
          </cell>
          <cell r="IA235" t="str">
            <v>CORP RESOURCES DIV</v>
          </cell>
          <cell r="IB235" t="str">
            <v>GAE - Payroll - Regular Employee - OT</v>
          </cell>
          <cell r="IF235" t="str">
            <v>Salaries</v>
          </cell>
          <cell r="IG235" t="str">
            <v>OT Pay</v>
          </cell>
        </row>
        <row r="236">
          <cell r="HZ236" t="str">
            <v>81131101-61021103</v>
          </cell>
          <cell r="IA236" t="str">
            <v>FINANCE - COMMON</v>
          </cell>
          <cell r="IB236" t="str">
            <v>GAE - Payroll - Regular Employee - OT</v>
          </cell>
          <cell r="IF236" t="str">
            <v>Salaries</v>
          </cell>
          <cell r="IG236" t="str">
            <v>OT Pay</v>
          </cell>
        </row>
        <row r="237">
          <cell r="HZ237" t="str">
            <v>81211101-61021103</v>
          </cell>
          <cell r="IA237" t="str">
            <v>ORTIGAS MALLS DIV</v>
          </cell>
          <cell r="IB237" t="str">
            <v>GAE - Payroll - Regular Employee - OT</v>
          </cell>
          <cell r="IF237" t="str">
            <v>Salaries</v>
          </cell>
          <cell r="IG237" t="str">
            <v>OT Pay</v>
          </cell>
        </row>
        <row r="238">
          <cell r="HZ238" t="str">
            <v>81311101-61021103</v>
          </cell>
          <cell r="IA238" t="str">
            <v>RED-COMMON</v>
          </cell>
          <cell r="IB238" t="str">
            <v>GAE - Payroll - Regular Employee - OT</v>
          </cell>
          <cell r="IF238" t="str">
            <v>Salaries</v>
          </cell>
          <cell r="IG238" t="str">
            <v>OT Pay</v>
          </cell>
        </row>
        <row r="239">
          <cell r="HZ239" t="str">
            <v>90121101-61021103</v>
          </cell>
          <cell r="IA239" t="str">
            <v>CORP RESOURCES DIV</v>
          </cell>
          <cell r="IB239" t="str">
            <v>GAE - Payroll - Regular Employee - OT</v>
          </cell>
          <cell r="IF239" t="str">
            <v>Salaries</v>
          </cell>
          <cell r="IG239" t="str">
            <v>OT Pay</v>
          </cell>
        </row>
        <row r="240">
          <cell r="HZ240" t="str">
            <v>90131101-61021103</v>
          </cell>
          <cell r="IA240" t="str">
            <v>FINANCE - COMMON</v>
          </cell>
          <cell r="IB240" t="str">
            <v>GAE - Payroll - Regular Employee - OT</v>
          </cell>
          <cell r="IF240" t="str">
            <v>Salaries</v>
          </cell>
          <cell r="IG240" t="str">
            <v>OT Pay</v>
          </cell>
        </row>
        <row r="241">
          <cell r="HZ241" t="str">
            <v>90211101-61021103</v>
          </cell>
          <cell r="IA241" t="str">
            <v>ORTIGAS MALLS DIV</v>
          </cell>
          <cell r="IB241" t="str">
            <v>GAE - Payroll - Regular Employee - OT</v>
          </cell>
          <cell r="IF241" t="str">
            <v>Salaries</v>
          </cell>
          <cell r="IG241" t="str">
            <v>OT Pay</v>
          </cell>
        </row>
        <row r="242">
          <cell r="HZ242" t="str">
            <v>90311101-61021103</v>
          </cell>
          <cell r="IA242" t="str">
            <v>RED-COMMON</v>
          </cell>
          <cell r="IB242" t="str">
            <v>GAE - Payroll - Regular Employee - OT</v>
          </cell>
          <cell r="IF242" t="str">
            <v>Salaries</v>
          </cell>
          <cell r="IG242" t="str">
            <v>OT Pay</v>
          </cell>
        </row>
        <row r="243">
          <cell r="HZ243" t="str">
            <v>90121101-61021206</v>
          </cell>
          <cell r="IA243" t="str">
            <v>CORP RESOURCES DIV</v>
          </cell>
          <cell r="IB243" t="str">
            <v>GAE - Student Trainee</v>
          </cell>
          <cell r="IF243" t="str">
            <v>Salaries</v>
          </cell>
          <cell r="IG243" t="str">
            <v>OJT</v>
          </cell>
        </row>
        <row r="244">
          <cell r="HZ244" t="str">
            <v>90131101-61021206</v>
          </cell>
          <cell r="IA244" t="str">
            <v>FINANCE - COMMON</v>
          </cell>
          <cell r="IB244" t="str">
            <v>GAE - Student Trainee</v>
          </cell>
          <cell r="IF244" t="str">
            <v>Salaries</v>
          </cell>
          <cell r="IG244" t="str">
            <v>OJT</v>
          </cell>
        </row>
        <row r="245">
          <cell r="HZ245" t="str">
            <v>90211101-61021206</v>
          </cell>
          <cell r="IA245" t="str">
            <v>ORTIGAS MALLS DIV</v>
          </cell>
          <cell r="IB245" t="str">
            <v>GAE - Student Trainee</v>
          </cell>
          <cell r="IF245" t="str">
            <v>Salaries</v>
          </cell>
          <cell r="IG245" t="str">
            <v>OJT</v>
          </cell>
        </row>
        <row r="246">
          <cell r="HZ246" t="str">
            <v>90311101-61021206</v>
          </cell>
          <cell r="IA246" t="str">
            <v>RED-COMMON</v>
          </cell>
          <cell r="IB246" t="str">
            <v>GAE - Student Trainee</v>
          </cell>
          <cell r="IF246" t="str">
            <v>Salaries</v>
          </cell>
          <cell r="IG246" t="str">
            <v>OJT</v>
          </cell>
        </row>
        <row r="247">
          <cell r="HZ247" t="str">
            <v>80321103-61959994</v>
          </cell>
          <cell r="IA247" t="str">
            <v>PROJECT ONE</v>
          </cell>
          <cell r="IB247" t="str">
            <v>GAE - Research &amp; Development</v>
          </cell>
          <cell r="IF247" t="str">
            <v>Others</v>
          </cell>
          <cell r="IG247" t="str">
            <v>Research and Development</v>
          </cell>
        </row>
        <row r="248">
          <cell r="HZ248" t="str">
            <v>80341201-61959994</v>
          </cell>
          <cell r="IA248" t="str">
            <v>PROJECT STAR A</v>
          </cell>
          <cell r="IB248" t="str">
            <v>GAE - Research &amp; Development</v>
          </cell>
          <cell r="IF248" t="str">
            <v>Others</v>
          </cell>
          <cell r="IG248" t="str">
            <v>Research and Development</v>
          </cell>
        </row>
        <row r="249">
          <cell r="HZ249" t="str">
            <v>80123102-61011199</v>
          </cell>
          <cell r="IA249" t="str">
            <v>ADMIN SERVICES</v>
          </cell>
          <cell r="IB249" t="str">
            <v>GAE - Rent - Others</v>
          </cell>
          <cell r="IF249" t="str">
            <v>Others</v>
          </cell>
          <cell r="IG249" t="str">
            <v>Rent</v>
          </cell>
        </row>
        <row r="250">
          <cell r="HZ250" t="str">
            <v>80313104-61011199</v>
          </cell>
          <cell r="IA250" t="str">
            <v>SALES HR</v>
          </cell>
          <cell r="IB250" t="str">
            <v>GAE - Rent - Others</v>
          </cell>
          <cell r="IF250" t="str">
            <v>Others</v>
          </cell>
          <cell r="IG250" t="str">
            <v>Rent</v>
          </cell>
        </row>
        <row r="251">
          <cell r="HZ251" t="str">
            <v>80317101-61011199</v>
          </cell>
          <cell r="IA251" t="str">
            <v>CONSTRUCTION MGT</v>
          </cell>
          <cell r="IB251" t="str">
            <v>GAE - Rent - Others</v>
          </cell>
          <cell r="IF251" t="str">
            <v>Others</v>
          </cell>
          <cell r="IG251" t="str">
            <v>Rent</v>
          </cell>
        </row>
        <row r="252">
          <cell r="HZ252" t="str">
            <v>80111201-61091101</v>
          </cell>
          <cell r="IA252" t="str">
            <v>MANCOM &amp; STAFF</v>
          </cell>
          <cell r="IB252" t="str">
            <v>GAE - Representation</v>
          </cell>
          <cell r="IF252" t="str">
            <v>Others</v>
          </cell>
          <cell r="IG252" t="str">
            <v>Valle Verde</v>
          </cell>
        </row>
        <row r="253">
          <cell r="HZ253" t="str">
            <v>80111202-61091101</v>
          </cell>
          <cell r="IA253" t="str">
            <v>INTERNAL AUDIT</v>
          </cell>
          <cell r="IB253" t="str">
            <v>GAE - Representation</v>
          </cell>
          <cell r="IF253" t="str">
            <v>Others</v>
          </cell>
          <cell r="IG253" t="str">
            <v>Entertainment, Amusement &amp; Recreation</v>
          </cell>
        </row>
        <row r="254">
          <cell r="HZ254" t="str">
            <v>80111203-61091101</v>
          </cell>
          <cell r="IA254" t="str">
            <v>OFFICE OF THE PRES.</v>
          </cell>
          <cell r="IB254" t="str">
            <v>GAE - Representation</v>
          </cell>
          <cell r="IF254" t="str">
            <v>Others</v>
          </cell>
          <cell r="IG254" t="str">
            <v>Entertainment, Amusement &amp; Recreation</v>
          </cell>
        </row>
        <row r="255">
          <cell r="HZ255" t="str">
            <v>80121101-61091101</v>
          </cell>
          <cell r="IA255" t="str">
            <v>CORP RESOURCES DIV</v>
          </cell>
          <cell r="IB255" t="str">
            <v>GAE - Representation</v>
          </cell>
          <cell r="IF255" t="str">
            <v>Others</v>
          </cell>
          <cell r="IG255" t="str">
            <v>Entertainment, Amusement &amp; Recreation</v>
          </cell>
        </row>
        <row r="256">
          <cell r="HZ256" t="str">
            <v>80122101-61091101</v>
          </cell>
          <cell r="IA256" t="str">
            <v>HUMAN RESOURCES</v>
          </cell>
          <cell r="IB256" t="str">
            <v>GAE - Representation</v>
          </cell>
          <cell r="IF256" t="str">
            <v>Others</v>
          </cell>
          <cell r="IG256" t="str">
            <v>Christmas Baskets</v>
          </cell>
        </row>
        <row r="257">
          <cell r="HZ257" t="str">
            <v>80123101-61091101</v>
          </cell>
          <cell r="IA257" t="str">
            <v>LEGAL</v>
          </cell>
          <cell r="IB257" t="str">
            <v>GAE - Representation</v>
          </cell>
          <cell r="IF257" t="str">
            <v>Others</v>
          </cell>
          <cell r="IG257" t="str">
            <v>Entertainment, Amusement &amp; Recreation</v>
          </cell>
        </row>
        <row r="258">
          <cell r="HZ258" t="str">
            <v>80123102-61091101</v>
          </cell>
          <cell r="IA258" t="str">
            <v>ADMIN SERVICES</v>
          </cell>
          <cell r="IB258" t="str">
            <v>GAE - Representation</v>
          </cell>
          <cell r="IF258" t="str">
            <v>Others</v>
          </cell>
          <cell r="IG258" t="str">
            <v>Entertainment, Amusement &amp; Recreation</v>
          </cell>
        </row>
        <row r="259">
          <cell r="HZ259" t="str">
            <v>80124101-61091101</v>
          </cell>
          <cell r="IA259" t="str">
            <v>IS &amp; IT</v>
          </cell>
          <cell r="IB259" t="str">
            <v>GAE - Representation</v>
          </cell>
          <cell r="IF259" t="str">
            <v>Others</v>
          </cell>
          <cell r="IG259" t="str">
            <v>Entertainment, Amusement &amp; Recreation</v>
          </cell>
        </row>
        <row r="260">
          <cell r="HZ260" t="str">
            <v>80125101-61091101</v>
          </cell>
          <cell r="IA260" t="str">
            <v>EXTERNAL AFFAIRS DEP</v>
          </cell>
          <cell r="IB260" t="str">
            <v>GAE - Representation</v>
          </cell>
          <cell r="IF260" t="str">
            <v>Others</v>
          </cell>
          <cell r="IG260" t="str">
            <v>Entertainment, Amusement &amp; Recreation</v>
          </cell>
        </row>
        <row r="261">
          <cell r="HZ261" t="str">
            <v>80131101-61091101</v>
          </cell>
          <cell r="IA261" t="str">
            <v>FINANCE - COMMON</v>
          </cell>
          <cell r="IB261" t="str">
            <v>GAE - Representation</v>
          </cell>
          <cell r="IF261" t="str">
            <v>Others</v>
          </cell>
          <cell r="IG261" t="str">
            <v>Entertainment, Amusement &amp; Recreation</v>
          </cell>
        </row>
        <row r="262">
          <cell r="HZ262" t="str">
            <v>80132101-61091101</v>
          </cell>
          <cell r="IA262" t="str">
            <v>TREASURY OPERATIONS</v>
          </cell>
          <cell r="IB262" t="str">
            <v>GAE - Representation</v>
          </cell>
          <cell r="IF262" t="str">
            <v>Others</v>
          </cell>
          <cell r="IG262" t="str">
            <v>Entertainment, Amusement &amp; Recreation</v>
          </cell>
        </row>
        <row r="263">
          <cell r="HZ263" t="str">
            <v>80133102-61091101</v>
          </cell>
          <cell r="IA263" t="str">
            <v>TAX ACCOUNTING</v>
          </cell>
          <cell r="IB263" t="str">
            <v>GAE - Representation</v>
          </cell>
          <cell r="IF263" t="str">
            <v>Others</v>
          </cell>
          <cell r="IG263" t="str">
            <v>Entertainment, Amusement &amp; Recreation</v>
          </cell>
        </row>
        <row r="264">
          <cell r="HZ264" t="str">
            <v>80133103-61091101</v>
          </cell>
          <cell r="IA264" t="str">
            <v>PROCUREMENT</v>
          </cell>
          <cell r="IB264" t="str">
            <v>GAE - Representation</v>
          </cell>
          <cell r="IF264" t="str">
            <v>Others</v>
          </cell>
          <cell r="IG264" t="str">
            <v>Entertainment, Amusement &amp; Recreation</v>
          </cell>
        </row>
        <row r="265">
          <cell r="HZ265" t="str">
            <v>80134102-61091101</v>
          </cell>
          <cell r="IA265" t="str">
            <v>CORPORATE ACCOUNTING</v>
          </cell>
          <cell r="IB265" t="str">
            <v>GAE - Representation</v>
          </cell>
          <cell r="IF265" t="str">
            <v>Professional fees</v>
          </cell>
          <cell r="IG265" t="str">
            <v>Internal and external consultants</v>
          </cell>
        </row>
        <row r="266">
          <cell r="HZ266" t="str">
            <v>80215105-61091101</v>
          </cell>
          <cell r="IA266" t="str">
            <v>SECURITY</v>
          </cell>
          <cell r="IB266" t="str">
            <v>GAE - Representation</v>
          </cell>
          <cell r="IF266" t="str">
            <v>Others</v>
          </cell>
          <cell r="IG266" t="str">
            <v>Entertainment, Amusement &amp; Recreation</v>
          </cell>
        </row>
        <row r="267">
          <cell r="HZ267" t="str">
            <v>80215106-61091101</v>
          </cell>
          <cell r="IA267" t="str">
            <v>TECHNICAL SERVICES</v>
          </cell>
          <cell r="IB267" t="str">
            <v>GAE - Representation</v>
          </cell>
          <cell r="IF267" t="str">
            <v>Others</v>
          </cell>
          <cell r="IG267" t="str">
            <v>Entertainment, Amusement &amp; Recreation</v>
          </cell>
        </row>
        <row r="268">
          <cell r="HZ268" t="str">
            <v>80311101-61091101</v>
          </cell>
          <cell r="IA268" t="str">
            <v>RED-COMMON</v>
          </cell>
          <cell r="IB268" t="str">
            <v>GAE - Representation</v>
          </cell>
          <cell r="IF268" t="str">
            <v>Others</v>
          </cell>
          <cell r="IG268" t="str">
            <v>Entertainment, Amusement &amp; Recreation</v>
          </cell>
        </row>
        <row r="269">
          <cell r="HZ269" t="str">
            <v>80313102-61091101</v>
          </cell>
          <cell r="IA269" t="str">
            <v>OFFICE LEASING</v>
          </cell>
          <cell r="IB269" t="str">
            <v>GAE - Representation</v>
          </cell>
          <cell r="IF269" t="str">
            <v>Others</v>
          </cell>
          <cell r="IG269" t="str">
            <v>Entertainment, Amusement &amp; Recreation</v>
          </cell>
        </row>
        <row r="270">
          <cell r="HZ270" t="str">
            <v>80313103-61091101</v>
          </cell>
          <cell r="IA270" t="str">
            <v>HANDOVER MGT DEPT</v>
          </cell>
          <cell r="IB270" t="str">
            <v>GAE - Representation</v>
          </cell>
          <cell r="IF270" t="str">
            <v>Others</v>
          </cell>
          <cell r="IG270" t="str">
            <v>Entertainment, Amusement &amp; Recreation</v>
          </cell>
        </row>
        <row r="271">
          <cell r="HZ271" t="str">
            <v>80313105-61091101</v>
          </cell>
          <cell r="IA271" t="str">
            <v>SALES OPERATIONS</v>
          </cell>
          <cell r="IB271" t="str">
            <v>GAE - Representation</v>
          </cell>
          <cell r="IF271" t="str">
            <v>Others</v>
          </cell>
          <cell r="IG271" t="str">
            <v>Entertainment, Amusement &amp; Recreation</v>
          </cell>
        </row>
        <row r="272">
          <cell r="HZ272" t="str">
            <v>80313106-61091101</v>
          </cell>
          <cell r="IA272" t="str">
            <v>SALES DEVELOPMENT</v>
          </cell>
          <cell r="IB272" t="str">
            <v>GAE - Representation</v>
          </cell>
          <cell r="IF272" t="str">
            <v>Others</v>
          </cell>
          <cell r="IG272" t="str">
            <v>Entertainment, Amusement &amp; Recreation</v>
          </cell>
        </row>
        <row r="273">
          <cell r="HZ273" t="str">
            <v>80314101-61091101</v>
          </cell>
          <cell r="IA273" t="str">
            <v>CORPORATE MARKETING</v>
          </cell>
          <cell r="IB273" t="str">
            <v>GAE - Representation</v>
          </cell>
          <cell r="IF273" t="str">
            <v>Others</v>
          </cell>
          <cell r="IG273" t="str">
            <v>Entertainment, Amusement &amp; Recreation</v>
          </cell>
        </row>
        <row r="274">
          <cell r="HZ274" t="str">
            <v>80315201-61091101</v>
          </cell>
          <cell r="IA274" t="str">
            <v>RBU BD/PD</v>
          </cell>
          <cell r="IB274" t="str">
            <v>GAE - Representation</v>
          </cell>
          <cell r="IF274" t="str">
            <v>Others</v>
          </cell>
          <cell r="IG274" t="str">
            <v>Entertainment, Amusement &amp; Recreation</v>
          </cell>
        </row>
        <row r="275">
          <cell r="HZ275" t="str">
            <v>80316101-61091101</v>
          </cell>
          <cell r="IA275" t="str">
            <v>DESIGN &amp; PLANNING</v>
          </cell>
          <cell r="IB275" t="str">
            <v>GAE - Representation</v>
          </cell>
          <cell r="IF275" t="str">
            <v>Others</v>
          </cell>
          <cell r="IG275" t="str">
            <v>Entertainment, Amusement &amp; Recreation</v>
          </cell>
        </row>
        <row r="276">
          <cell r="HZ276" t="str">
            <v>80317101-61091101</v>
          </cell>
          <cell r="IA276" t="str">
            <v>CONSTRUCTION MGT</v>
          </cell>
          <cell r="IB276" t="str">
            <v>GAE - Representation</v>
          </cell>
          <cell r="IF276" t="str">
            <v>Others</v>
          </cell>
          <cell r="IG276" t="str">
            <v>Entertainment, Amusement &amp; Recreation</v>
          </cell>
        </row>
        <row r="277">
          <cell r="HZ277" t="str">
            <v>81133102-61091101</v>
          </cell>
          <cell r="IA277" t="str">
            <v>TAX ACCOUNTING</v>
          </cell>
          <cell r="IB277" t="str">
            <v>GAE - Representation</v>
          </cell>
          <cell r="IF277" t="str">
            <v>Others</v>
          </cell>
          <cell r="IG277" t="str">
            <v>Entertainment, Amusement &amp; Recreation</v>
          </cell>
        </row>
        <row r="278">
          <cell r="HZ278" t="str">
            <v>81134102-61091101</v>
          </cell>
          <cell r="IA278" t="str">
            <v>CORPORATE ACCOUNTING</v>
          </cell>
          <cell r="IB278" t="str">
            <v>GAE - Representation</v>
          </cell>
          <cell r="IF278" t="str">
            <v>Professional fees</v>
          </cell>
          <cell r="IG278" t="str">
            <v>Internal and external consultants</v>
          </cell>
        </row>
        <row r="279">
          <cell r="HZ279" t="str">
            <v>90111201-61091101</v>
          </cell>
          <cell r="IA279" t="str">
            <v>MANCOM &amp; STAFF</v>
          </cell>
          <cell r="IB279" t="str">
            <v>GAE - Representation</v>
          </cell>
          <cell r="IF279" t="str">
            <v>Others</v>
          </cell>
          <cell r="IG279" t="str">
            <v>Entertainment, Amusement &amp; Recreation</v>
          </cell>
        </row>
        <row r="280">
          <cell r="HZ280" t="str">
            <v>90111203-61091101</v>
          </cell>
          <cell r="IA280" t="str">
            <v>OFFICE OF THE PRES.</v>
          </cell>
          <cell r="IB280" t="str">
            <v>GAE - Representation</v>
          </cell>
          <cell r="IF280" t="str">
            <v>Others</v>
          </cell>
          <cell r="IG280" t="str">
            <v>Entertainment, Amusement &amp; Recreation</v>
          </cell>
        </row>
        <row r="281">
          <cell r="HZ281" t="str">
            <v>90122101-61091101</v>
          </cell>
          <cell r="IA281" t="str">
            <v>HUMAN RESOURCES</v>
          </cell>
          <cell r="IB281" t="str">
            <v>GAE - Representation</v>
          </cell>
          <cell r="IF281" t="str">
            <v>Others</v>
          </cell>
          <cell r="IG281" t="str">
            <v>Christmas Baskets</v>
          </cell>
        </row>
        <row r="282">
          <cell r="HZ282" t="str">
            <v>90134102-61091101</v>
          </cell>
          <cell r="IA282" t="str">
            <v>CORPORATE ACCOUNTING</v>
          </cell>
          <cell r="IB282" t="str">
            <v>GAE - Representation</v>
          </cell>
          <cell r="IF282" t="str">
            <v>Professional fees</v>
          </cell>
          <cell r="IG282" t="str">
            <v>Internal and external consultants</v>
          </cell>
        </row>
        <row r="283">
          <cell r="HZ283" t="str">
            <v>90134103-61091101</v>
          </cell>
          <cell r="IA283" t="str">
            <v>BUDGET  C&amp;A</v>
          </cell>
          <cell r="IB283" t="str">
            <v>GAE - Representation</v>
          </cell>
          <cell r="IF283" t="str">
            <v>Others</v>
          </cell>
          <cell r="IG283" t="str">
            <v>Entertainment, Amusement &amp; Recreation</v>
          </cell>
        </row>
        <row r="284">
          <cell r="HZ284" t="str">
            <v>80111201-61051101</v>
          </cell>
          <cell r="IA284" t="str">
            <v>MANCOM &amp; STAFF</v>
          </cell>
          <cell r="IB284" t="str">
            <v>GAE - Security Services</v>
          </cell>
          <cell r="IF284" t="str">
            <v>Contracted services</v>
          </cell>
          <cell r="IG284" t="str">
            <v>Security</v>
          </cell>
        </row>
        <row r="285">
          <cell r="HZ285" t="str">
            <v>80123102-61051101</v>
          </cell>
          <cell r="IA285" t="str">
            <v>ADMIN SERVICES</v>
          </cell>
          <cell r="IB285" t="str">
            <v>GAE - Security Services</v>
          </cell>
          <cell r="IF285" t="str">
            <v>Contracted services</v>
          </cell>
          <cell r="IG285" t="str">
            <v>Security</v>
          </cell>
        </row>
        <row r="286">
          <cell r="HZ286" t="str">
            <v>81221201-61051101</v>
          </cell>
          <cell r="IA286" t="str">
            <v>GSC OLD BLDGS</v>
          </cell>
          <cell r="IB286" t="str">
            <v>GAE - Security Services</v>
          </cell>
          <cell r="IF286" t="str">
            <v>Contracted services</v>
          </cell>
          <cell r="IG286" t="str">
            <v>Security</v>
          </cell>
        </row>
        <row r="287">
          <cell r="HZ287" t="str">
            <v>81222101-61051101</v>
          </cell>
          <cell r="IA287" t="str">
            <v>TIENDESITAS</v>
          </cell>
          <cell r="IB287" t="str">
            <v>GAE - Security Services</v>
          </cell>
          <cell r="IF287" t="str">
            <v>Contracted services</v>
          </cell>
          <cell r="IG287" t="str">
            <v>Security</v>
          </cell>
        </row>
        <row r="288">
          <cell r="HZ288" t="str">
            <v>81225101-61051101</v>
          </cell>
          <cell r="IA288" t="str">
            <v>ESTANCIA RETAIL</v>
          </cell>
          <cell r="IB288" t="str">
            <v>GAE - Security Services</v>
          </cell>
          <cell r="IF288" t="str">
            <v>Contracted services</v>
          </cell>
          <cell r="IG288" t="str">
            <v>Security</v>
          </cell>
        </row>
        <row r="289">
          <cell r="HZ289" t="str">
            <v>90111101-61961101</v>
          </cell>
          <cell r="IA289" t="str">
            <v>OHI-COMMON</v>
          </cell>
          <cell r="IB289" t="str">
            <v>GAE - Systems Cost</v>
          </cell>
          <cell r="IF289" t="str">
            <v>Professional fees</v>
          </cell>
          <cell r="IG289" t="str">
            <v>Systems cost</v>
          </cell>
        </row>
        <row r="290">
          <cell r="HZ290" t="str">
            <v>90111101-61031199</v>
          </cell>
          <cell r="IA290" t="str">
            <v>OHI-COMMON</v>
          </cell>
          <cell r="IB290" t="str">
            <v>GAE - Taxes &amp; Licenses - Others</v>
          </cell>
          <cell r="IF290" t="str">
            <v>Taxes &amp; Licenses</v>
          </cell>
        </row>
        <row r="291">
          <cell r="HZ291" t="str">
            <v>80122101-61081101</v>
          </cell>
          <cell r="IA291" t="str">
            <v>HUMAN RESOURCES</v>
          </cell>
          <cell r="IB291" t="str">
            <v>GAE - Transportation</v>
          </cell>
          <cell r="IF291" t="str">
            <v>Others</v>
          </cell>
          <cell r="IG291" t="str">
            <v>Transportation &amp; Travel</v>
          </cell>
        </row>
        <row r="292">
          <cell r="HZ292" t="str">
            <v>80123101-61081101</v>
          </cell>
          <cell r="IA292" t="str">
            <v>LEGAL</v>
          </cell>
          <cell r="IB292" t="str">
            <v>GAE - Transportation</v>
          </cell>
          <cell r="IF292" t="str">
            <v>Others</v>
          </cell>
          <cell r="IG292" t="str">
            <v>Transportation &amp; Travel</v>
          </cell>
        </row>
        <row r="293">
          <cell r="HZ293" t="str">
            <v>80123102-61081101</v>
          </cell>
          <cell r="IA293" t="str">
            <v>ADMIN SERVICES</v>
          </cell>
          <cell r="IB293" t="str">
            <v>GAE - Transportation</v>
          </cell>
          <cell r="IF293" t="str">
            <v>Others</v>
          </cell>
          <cell r="IG293" t="str">
            <v>Transportation &amp; Travel</v>
          </cell>
        </row>
        <row r="294">
          <cell r="HZ294" t="str">
            <v>80125101-61081101</v>
          </cell>
          <cell r="IA294" t="str">
            <v>EXTERNAL AFFAIRS DEP</v>
          </cell>
          <cell r="IB294" t="str">
            <v>GAE - Transportation</v>
          </cell>
          <cell r="IF294" t="str">
            <v>Others</v>
          </cell>
          <cell r="IG294" t="str">
            <v>Transportation &amp; Travel</v>
          </cell>
        </row>
        <row r="295">
          <cell r="HZ295" t="str">
            <v>80132101-61081101</v>
          </cell>
          <cell r="IA295" t="str">
            <v>TREASURY OPERATIONS</v>
          </cell>
          <cell r="IB295" t="str">
            <v>GAE - Transportation</v>
          </cell>
          <cell r="IF295" t="str">
            <v>Others</v>
          </cell>
          <cell r="IG295" t="str">
            <v>Transportation &amp; Travel</v>
          </cell>
        </row>
        <row r="296">
          <cell r="HZ296" t="str">
            <v>80133102-61081101</v>
          </cell>
          <cell r="IA296" t="str">
            <v>TAX ACCOUNTING</v>
          </cell>
          <cell r="IB296" t="str">
            <v>GAE - Transportation</v>
          </cell>
          <cell r="IF296" t="str">
            <v>Others</v>
          </cell>
          <cell r="IG296" t="str">
            <v>Transportation &amp; Travel</v>
          </cell>
        </row>
        <row r="297">
          <cell r="HZ297" t="str">
            <v>80133103-61081101</v>
          </cell>
          <cell r="IA297" t="str">
            <v>PROCUREMENT</v>
          </cell>
          <cell r="IB297" t="str">
            <v>GAE - Transportation</v>
          </cell>
          <cell r="IF297" t="str">
            <v>Others</v>
          </cell>
          <cell r="IG297" t="str">
            <v>Transportation &amp; Travel</v>
          </cell>
        </row>
        <row r="298">
          <cell r="HZ298" t="str">
            <v>80134104-61081101</v>
          </cell>
          <cell r="IA298" t="str">
            <v>BUSINESS PROCESS MGT</v>
          </cell>
          <cell r="IB298" t="str">
            <v>GAE - Transportation</v>
          </cell>
          <cell r="IF298" t="str">
            <v>Others</v>
          </cell>
          <cell r="IG298" t="str">
            <v>Transportation &amp; Travel</v>
          </cell>
        </row>
        <row r="299">
          <cell r="HZ299" t="str">
            <v>80215106-61081101</v>
          </cell>
          <cell r="IA299" t="str">
            <v>TECHNICAL SERVICES</v>
          </cell>
          <cell r="IB299" t="str">
            <v>GAE - Transportation</v>
          </cell>
          <cell r="IF299" t="str">
            <v>Others</v>
          </cell>
          <cell r="IG299" t="str">
            <v>Transportation &amp; Travel</v>
          </cell>
        </row>
        <row r="300">
          <cell r="HZ300" t="str">
            <v>80312102-61081101</v>
          </cell>
          <cell r="IA300" t="str">
            <v>RBU B&amp;C</v>
          </cell>
          <cell r="IB300" t="str">
            <v>GAE - Transportation</v>
          </cell>
          <cell r="IF300" t="str">
            <v>Others</v>
          </cell>
          <cell r="IG300" t="str">
            <v>Transportation &amp; Travel</v>
          </cell>
        </row>
        <row r="301">
          <cell r="HZ301" t="str">
            <v>80312105-61081101</v>
          </cell>
          <cell r="IA301" t="str">
            <v>OFFICE LEASING FINAN</v>
          </cell>
          <cell r="IB301" t="str">
            <v>GAE - Transportation</v>
          </cell>
          <cell r="IF301" t="str">
            <v>Others</v>
          </cell>
          <cell r="IG301" t="str">
            <v>Transportation &amp; Travel</v>
          </cell>
        </row>
        <row r="302">
          <cell r="HZ302" t="str">
            <v>80313102-61081101</v>
          </cell>
          <cell r="IA302" t="str">
            <v>OFFICE LEASING</v>
          </cell>
          <cell r="IB302" t="str">
            <v>GAE - Transportation</v>
          </cell>
          <cell r="IF302" t="str">
            <v>Others</v>
          </cell>
          <cell r="IG302" t="str">
            <v>Transportation &amp; Travel</v>
          </cell>
        </row>
        <row r="303">
          <cell r="HZ303" t="str">
            <v>80313103-61081101</v>
          </cell>
          <cell r="IA303" t="str">
            <v>HANDOVER MGT DEPT</v>
          </cell>
          <cell r="IB303" t="str">
            <v>GAE - Transportation</v>
          </cell>
          <cell r="IF303" t="str">
            <v>Others</v>
          </cell>
          <cell r="IG303" t="str">
            <v>Transportation &amp; Travel</v>
          </cell>
        </row>
        <row r="304">
          <cell r="HZ304" t="str">
            <v>80313105-61081101</v>
          </cell>
          <cell r="IA304" t="str">
            <v>SALES OPERATIONS</v>
          </cell>
          <cell r="IB304" t="str">
            <v>GAE - Transportation</v>
          </cell>
          <cell r="IF304" t="str">
            <v>Others</v>
          </cell>
          <cell r="IG304" t="str">
            <v>Transportation &amp; Travel</v>
          </cell>
        </row>
        <row r="305">
          <cell r="HZ305" t="str">
            <v>80313106-61081101</v>
          </cell>
          <cell r="IA305" t="str">
            <v>SALES DEVELOPMENT</v>
          </cell>
          <cell r="IB305" t="str">
            <v>GAE - Transportation</v>
          </cell>
          <cell r="IF305" t="str">
            <v>Others</v>
          </cell>
          <cell r="IG305" t="str">
            <v>Transportation &amp; Travel</v>
          </cell>
        </row>
        <row r="306">
          <cell r="HZ306" t="str">
            <v>80314101-61081101</v>
          </cell>
          <cell r="IA306" t="str">
            <v>CORPORATE MARKETING</v>
          </cell>
          <cell r="IB306" t="str">
            <v>GAE - Transportation</v>
          </cell>
          <cell r="IF306" t="str">
            <v>Others</v>
          </cell>
          <cell r="IG306" t="str">
            <v>Transportation &amp; Travel</v>
          </cell>
        </row>
        <row r="307">
          <cell r="HZ307" t="str">
            <v>80315201-61081101</v>
          </cell>
          <cell r="IA307" t="str">
            <v>RBU BD/PD</v>
          </cell>
          <cell r="IB307" t="str">
            <v>GAE - Transportation</v>
          </cell>
          <cell r="IF307" t="str">
            <v>Others</v>
          </cell>
          <cell r="IG307" t="str">
            <v>Transportation &amp; Travel</v>
          </cell>
        </row>
        <row r="308">
          <cell r="HZ308" t="str">
            <v>80316101-61081101</v>
          </cell>
          <cell r="IA308" t="str">
            <v>DESIGN &amp; PLANNING</v>
          </cell>
          <cell r="IB308" t="str">
            <v>GAE - Transportation</v>
          </cell>
          <cell r="IF308" t="str">
            <v>Others</v>
          </cell>
          <cell r="IG308" t="str">
            <v>Transportation &amp; Travel</v>
          </cell>
        </row>
        <row r="309">
          <cell r="HZ309" t="str">
            <v>80317101-61081101</v>
          </cell>
          <cell r="IA309" t="str">
            <v>CONSTRUCTION MGT</v>
          </cell>
          <cell r="IB309" t="str">
            <v>GAE - Transportation</v>
          </cell>
          <cell r="IF309" t="str">
            <v>Others</v>
          </cell>
          <cell r="IG309" t="str">
            <v>Transportation &amp; Travel</v>
          </cell>
        </row>
        <row r="310">
          <cell r="HZ310" t="str">
            <v>81133102-61081101</v>
          </cell>
          <cell r="IA310" t="str">
            <v>TAX ACCOUNTING</v>
          </cell>
          <cell r="IB310" t="str">
            <v>GAE - Transportation</v>
          </cell>
          <cell r="IF310" t="str">
            <v>Others</v>
          </cell>
          <cell r="IG310" t="str">
            <v>Transportation &amp; Travel</v>
          </cell>
        </row>
        <row r="311">
          <cell r="HZ311" t="str">
            <v>81221201-61081101</v>
          </cell>
          <cell r="IA311" t="str">
            <v>GSC OLD BLDGS</v>
          </cell>
          <cell r="IB311" t="str">
            <v>GAE - Transportation</v>
          </cell>
          <cell r="IF311" t="str">
            <v>Others</v>
          </cell>
          <cell r="IG311" t="str">
            <v>Transportation &amp; Travel</v>
          </cell>
        </row>
        <row r="312">
          <cell r="HZ312" t="str">
            <v>90121101-61081101</v>
          </cell>
          <cell r="IA312" t="str">
            <v>CORP RESOURCES DIV</v>
          </cell>
          <cell r="IB312" t="str">
            <v>GAE - Transportation</v>
          </cell>
          <cell r="IF312" t="str">
            <v>Others</v>
          </cell>
          <cell r="IG312" t="str">
            <v>Transportation &amp; Travel</v>
          </cell>
        </row>
        <row r="313">
          <cell r="HZ313" t="str">
            <v>90133102-61081101</v>
          </cell>
          <cell r="IA313" t="str">
            <v>TAX ACCOUNTING</v>
          </cell>
          <cell r="IB313" t="str">
            <v>GAE - Transportation</v>
          </cell>
          <cell r="IF313" t="str">
            <v>Others</v>
          </cell>
          <cell r="IG313" t="str">
            <v>Transportation &amp; Travel</v>
          </cell>
        </row>
        <row r="314">
          <cell r="HZ314" t="str">
            <v>80111201-61081103</v>
          </cell>
          <cell r="IA314" t="str">
            <v>MANCOM &amp; STAFF</v>
          </cell>
          <cell r="IB314" t="str">
            <v>GAE - Travel - Foreign</v>
          </cell>
          <cell r="IF314" t="str">
            <v>Others</v>
          </cell>
          <cell r="IG314" t="str">
            <v>Transportation &amp; Travel</v>
          </cell>
        </row>
        <row r="315">
          <cell r="HZ315" t="str">
            <v>80111203-61081103</v>
          </cell>
          <cell r="IA315" t="str">
            <v>OFFICE OF THE PRES.</v>
          </cell>
          <cell r="IB315" t="str">
            <v>GAE - Travel - Foreign</v>
          </cell>
          <cell r="IF315" t="str">
            <v>Others</v>
          </cell>
          <cell r="IG315" t="str">
            <v>Transportation &amp; Travel</v>
          </cell>
        </row>
        <row r="316">
          <cell r="HZ316" t="str">
            <v>81111201-61081103</v>
          </cell>
          <cell r="IA316" t="str">
            <v>MANCOM &amp; STAFF</v>
          </cell>
          <cell r="IB316" t="str">
            <v>GAE - Travel - Foreign</v>
          </cell>
          <cell r="IF316" t="str">
            <v>Others</v>
          </cell>
          <cell r="IG316" t="str">
            <v>Transportation &amp; Travel</v>
          </cell>
        </row>
        <row r="317">
          <cell r="HZ317" t="str">
            <v>81111203-61081103</v>
          </cell>
          <cell r="IA317" t="str">
            <v>OFFICE OF THE PRES.</v>
          </cell>
          <cell r="IB317" t="str">
            <v>GAE - Travel - Foreign</v>
          </cell>
          <cell r="IF317" t="str">
            <v>Others</v>
          </cell>
          <cell r="IG317" t="str">
            <v>Transportation &amp; Travel</v>
          </cell>
        </row>
        <row r="318">
          <cell r="HZ318" t="str">
            <v>81221201-61081103</v>
          </cell>
          <cell r="IA318" t="str">
            <v>GSC OLD BLDGS</v>
          </cell>
          <cell r="IB318" t="str">
            <v>GAE - Travel - Foreign</v>
          </cell>
          <cell r="IF318" t="str">
            <v>Others</v>
          </cell>
          <cell r="IG318" t="str">
            <v>Transportation &amp; Travel</v>
          </cell>
        </row>
        <row r="319">
          <cell r="HZ319" t="str">
            <v>90111201-61081103</v>
          </cell>
          <cell r="IA319" t="str">
            <v>MANCOM &amp; STAFF</v>
          </cell>
          <cell r="IB319" t="str">
            <v>GAE - Travel - Foreign</v>
          </cell>
          <cell r="IF319" t="str">
            <v>Others</v>
          </cell>
          <cell r="IG319" t="str">
            <v>Transportation &amp; Travel</v>
          </cell>
        </row>
        <row r="320">
          <cell r="HZ320" t="str">
            <v>90111203-61081103</v>
          </cell>
          <cell r="IA320" t="str">
            <v>OFFICE OF THE PRES.</v>
          </cell>
          <cell r="IB320" t="str">
            <v>GAE - Travel - Foreign</v>
          </cell>
          <cell r="IF320" t="str">
            <v>Others</v>
          </cell>
          <cell r="IG320" t="str">
            <v>Transportation &amp; Travel</v>
          </cell>
        </row>
        <row r="321">
          <cell r="HZ321" t="str">
            <v>80111201-61041201</v>
          </cell>
          <cell r="IA321" t="str">
            <v>MANCOM &amp; STAFF</v>
          </cell>
          <cell r="IB321" t="str">
            <v>GAE - Water</v>
          </cell>
          <cell r="IF321" t="str">
            <v>Others</v>
          </cell>
          <cell r="IG321" t="str">
            <v>Electricity &amp; Water</v>
          </cell>
        </row>
        <row r="322">
          <cell r="HZ322" t="str">
            <v>80121101-61041201</v>
          </cell>
          <cell r="IA322" t="str">
            <v>CORP RESOURCES DIV</v>
          </cell>
          <cell r="IB322" t="str">
            <v>GAE - Water</v>
          </cell>
          <cell r="IF322" t="str">
            <v>Others</v>
          </cell>
          <cell r="IG322" t="str">
            <v>Electricity &amp; Water</v>
          </cell>
        </row>
        <row r="323">
          <cell r="HZ323" t="str">
            <v>80131101-61041201</v>
          </cell>
          <cell r="IA323" t="str">
            <v>FINANCE - COMMON</v>
          </cell>
          <cell r="IB323" t="str">
            <v>GAE - Water</v>
          </cell>
          <cell r="IF323" t="str">
            <v>Others</v>
          </cell>
          <cell r="IG323" t="str">
            <v>Electricity &amp; Water</v>
          </cell>
        </row>
        <row r="324">
          <cell r="HZ324" t="str">
            <v>80311101-61041201</v>
          </cell>
          <cell r="IA324" t="str">
            <v>RED-COMMON</v>
          </cell>
          <cell r="IB324" t="str">
            <v>GAE - Water</v>
          </cell>
          <cell r="IF324" t="str">
            <v>Others</v>
          </cell>
          <cell r="IG324" t="str">
            <v>Electricity &amp; Water</v>
          </cell>
        </row>
        <row r="325">
          <cell r="HZ325" t="str">
            <v>80123102-61111201</v>
          </cell>
          <cell r="IA325" t="str">
            <v>ADMIN SERVICES</v>
          </cell>
          <cell r="IB325" t="str">
            <v>GAE - Fuel &amp; Lubricants</v>
          </cell>
          <cell r="IF325" t="str">
            <v>Others</v>
          </cell>
          <cell r="IG325" t="str">
            <v>Supplies</v>
          </cell>
        </row>
        <row r="326">
          <cell r="HZ326" t="str">
            <v>80221201-61111201</v>
          </cell>
          <cell r="IA326" t="str">
            <v>GSC OLD BLDGS</v>
          </cell>
          <cell r="IB326" t="str">
            <v>GAE - Fuel &amp; Lubricants</v>
          </cell>
          <cell r="IF326" t="str">
            <v>Others</v>
          </cell>
          <cell r="IG326" t="str">
            <v>Supplies</v>
          </cell>
        </row>
        <row r="327">
          <cell r="HZ327" t="str">
            <v>80123102-61031201</v>
          </cell>
          <cell r="IA327" t="str">
            <v>ADMIN SERVICES</v>
          </cell>
          <cell r="IB327" t="str">
            <v>GAE - Repairs &amp; Maintenance - Supplies</v>
          </cell>
          <cell r="IF327" t="str">
            <v>Others</v>
          </cell>
          <cell r="IG327" t="str">
            <v>Repairs &amp; Maintenance</v>
          </cell>
        </row>
        <row r="328">
          <cell r="HZ328" t="str">
            <v>80121101-61021303</v>
          </cell>
          <cell r="IA328" t="str">
            <v>CORP RESOURCES DIV</v>
          </cell>
          <cell r="IB328" t="str">
            <v>GAE - Health Premium / APE</v>
          </cell>
          <cell r="IF328" t="str">
            <v>Employee Benefits</v>
          </cell>
          <cell r="IG328" t="str">
            <v>Medical/Insurance</v>
          </cell>
        </row>
        <row r="329">
          <cell r="HZ329" t="str">
            <v>80311101-61021303</v>
          </cell>
          <cell r="IA329" t="str">
            <v>RED-COMMON</v>
          </cell>
          <cell r="IB329" t="str">
            <v>GAE - Health Premium / APE</v>
          </cell>
          <cell r="IF329" t="str">
            <v>Employee Benefits</v>
          </cell>
          <cell r="IG329" t="str">
            <v>Medical/Insurance</v>
          </cell>
        </row>
        <row r="330">
          <cell r="HZ330" t="str">
            <v>81121101-61021303</v>
          </cell>
          <cell r="IA330" t="str">
            <v>CORP RESOURCES DIV</v>
          </cell>
          <cell r="IB330" t="str">
            <v>GAE - Health Premium / APE</v>
          </cell>
          <cell r="IF330" t="str">
            <v>Employee Benefits</v>
          </cell>
          <cell r="IG330" t="str">
            <v>Medical/Insurance</v>
          </cell>
        </row>
        <row r="331">
          <cell r="HZ331" t="str">
            <v>81131101-61021303</v>
          </cell>
          <cell r="IA331" t="str">
            <v>FINANCE - COMMON</v>
          </cell>
          <cell r="IB331" t="str">
            <v>GAE - Health Premium / APE</v>
          </cell>
          <cell r="IF331" t="str">
            <v>Employee Benefits</v>
          </cell>
          <cell r="IG331" t="str">
            <v>Medical/Insurance</v>
          </cell>
        </row>
        <row r="332">
          <cell r="HZ332" t="str">
            <v>81211101-61021303</v>
          </cell>
          <cell r="IA332" t="str">
            <v>ORTIGAS MALLS DIV</v>
          </cell>
          <cell r="IB332" t="str">
            <v>GAE - Health Premium / APE</v>
          </cell>
          <cell r="IF332" t="str">
            <v>Employee Benefits</v>
          </cell>
          <cell r="IG332" t="str">
            <v>Medical/Insurance</v>
          </cell>
        </row>
        <row r="333">
          <cell r="HZ333" t="str">
            <v>81311101-61021303</v>
          </cell>
          <cell r="IA333" t="str">
            <v>RED-COMMON</v>
          </cell>
          <cell r="IB333" t="str">
            <v>GAE - Health Premium / APE</v>
          </cell>
          <cell r="IF333" t="str">
            <v>Employee Benefits</v>
          </cell>
          <cell r="IG333" t="str">
            <v>Medical/Insurance</v>
          </cell>
        </row>
        <row r="334">
          <cell r="HZ334" t="str">
            <v>90111201-61021303</v>
          </cell>
          <cell r="IA334" t="str">
            <v>MANCOM &amp; STAFF</v>
          </cell>
          <cell r="IB334" t="str">
            <v>GAE - Health Premium / APE</v>
          </cell>
          <cell r="IF334" t="str">
            <v>Employee Benefits</v>
          </cell>
          <cell r="IG334" t="str">
            <v>Medical/Insurance</v>
          </cell>
        </row>
        <row r="335">
          <cell r="HZ335" t="str">
            <v>90121101-61021303</v>
          </cell>
          <cell r="IA335" t="str">
            <v>CORP RESOURCES DIV</v>
          </cell>
          <cell r="IB335" t="str">
            <v>GAE - Health Premium / APE</v>
          </cell>
          <cell r="IF335" t="str">
            <v>Employee Benefits</v>
          </cell>
          <cell r="IG335" t="str">
            <v>Medical/Insurance</v>
          </cell>
        </row>
        <row r="336">
          <cell r="HZ336" t="str">
            <v>90131101-61021303</v>
          </cell>
          <cell r="IA336" t="str">
            <v>FINANCE - COMMON</v>
          </cell>
          <cell r="IB336" t="str">
            <v>GAE - Health Premium / APE</v>
          </cell>
          <cell r="IF336" t="str">
            <v>Employee Benefits</v>
          </cell>
          <cell r="IG336" t="str">
            <v>Medical/Insurance</v>
          </cell>
        </row>
        <row r="337">
          <cell r="HZ337" t="str">
            <v>90211101-61021303</v>
          </cell>
          <cell r="IA337" t="str">
            <v>ORTIGAS MALLS DIV</v>
          </cell>
          <cell r="IB337" t="str">
            <v>GAE - Health Premium / APE</v>
          </cell>
          <cell r="IF337" t="str">
            <v>Employee Benefits</v>
          </cell>
          <cell r="IG337" t="str">
            <v>Medical/Insurance</v>
          </cell>
        </row>
        <row r="338">
          <cell r="HZ338" t="str">
            <v>90311101-61021303</v>
          </cell>
          <cell r="IA338" t="str">
            <v>RED-COMMON</v>
          </cell>
          <cell r="IB338" t="str">
            <v>GAE - Health Premium / APE</v>
          </cell>
          <cell r="IF338" t="str">
            <v>Employee Benefits</v>
          </cell>
          <cell r="IG338" t="str">
            <v>Medical/Insurance</v>
          </cell>
        </row>
        <row r="339">
          <cell r="HZ339" t="str">
            <v>81121101-61021301</v>
          </cell>
          <cell r="IA339" t="str">
            <v>CORP RESOURCES DIV</v>
          </cell>
          <cell r="IB339" t="str">
            <v>GAE - Employee Benefits - Life Insurance</v>
          </cell>
          <cell r="IF339" t="str">
            <v>Employee Benefits</v>
          </cell>
          <cell r="IG339" t="str">
            <v>Medical/Insurance</v>
          </cell>
        </row>
        <row r="340">
          <cell r="HZ340" t="str">
            <v>81131101-61021301</v>
          </cell>
          <cell r="IA340" t="str">
            <v>FINANCE - COMMON</v>
          </cell>
          <cell r="IB340" t="str">
            <v>GAE - Employee Benefits - Life Insurance</v>
          </cell>
          <cell r="IF340" t="str">
            <v>Employee Benefits</v>
          </cell>
          <cell r="IG340" t="str">
            <v>Medical/Insurance</v>
          </cell>
        </row>
        <row r="341">
          <cell r="HZ341" t="str">
            <v>81211101-61021301</v>
          </cell>
          <cell r="IA341" t="str">
            <v>ORTIGAS MALLS DIV</v>
          </cell>
          <cell r="IB341" t="str">
            <v>GAE - Employee Benefits - Life Insurance</v>
          </cell>
          <cell r="IF341" t="str">
            <v>Employee Benefits</v>
          </cell>
          <cell r="IG341" t="str">
            <v>Medical/Insurance</v>
          </cell>
        </row>
        <row r="342">
          <cell r="HZ342" t="str">
            <v>81311101-61021301</v>
          </cell>
          <cell r="IA342" t="str">
            <v>RED-COMMON</v>
          </cell>
          <cell r="IB342" t="str">
            <v>GAE - Employee Benefits - Life Insurance</v>
          </cell>
          <cell r="IF342" t="str">
            <v>Employee Benefits</v>
          </cell>
          <cell r="IG342" t="str">
            <v>Medical/Insurance</v>
          </cell>
        </row>
        <row r="343">
          <cell r="HZ343" t="str">
            <v>90111101-61021301</v>
          </cell>
          <cell r="IA343" t="str">
            <v>OHI-COMMON</v>
          </cell>
          <cell r="IB343" t="str">
            <v>GAE - Employee Benefits - Life Insurance</v>
          </cell>
          <cell r="IF343" t="str">
            <v>Employee Benefits</v>
          </cell>
          <cell r="IG343" t="str">
            <v>Medical/Insurance</v>
          </cell>
        </row>
        <row r="344">
          <cell r="HZ344" t="str">
            <v>90111201-61021301</v>
          </cell>
          <cell r="IA344" t="str">
            <v>MANCOM &amp; STAFF</v>
          </cell>
          <cell r="IB344" t="str">
            <v>GAE - Employee Benefits - Life Insurance</v>
          </cell>
          <cell r="IF344" t="str">
            <v>Employee Benefits</v>
          </cell>
          <cell r="IG344" t="str">
            <v>Medical/Insurance</v>
          </cell>
        </row>
        <row r="345">
          <cell r="HZ345" t="str">
            <v>90121101-61021301</v>
          </cell>
          <cell r="IA345" t="str">
            <v>CORP RESOURCES DIV</v>
          </cell>
          <cell r="IB345" t="str">
            <v>GAE - Employee Benefits - Life Insurance</v>
          </cell>
          <cell r="IF345" t="str">
            <v>Employee Benefits</v>
          </cell>
          <cell r="IG345" t="str">
            <v>Medical/Insurance</v>
          </cell>
        </row>
        <row r="346">
          <cell r="HZ346" t="str">
            <v>90131101-61021301</v>
          </cell>
          <cell r="IA346" t="str">
            <v>FINANCE - COMMON</v>
          </cell>
          <cell r="IB346" t="str">
            <v>GAE - Employee Benefits - Life Insurance</v>
          </cell>
          <cell r="IF346" t="str">
            <v>Employee Benefits</v>
          </cell>
          <cell r="IG346" t="str">
            <v>Medical/Insurance</v>
          </cell>
        </row>
        <row r="347">
          <cell r="HZ347" t="str">
            <v>90211101-61021301</v>
          </cell>
          <cell r="IA347" t="str">
            <v>ORTIGAS MALLS DIV</v>
          </cell>
          <cell r="IB347" t="str">
            <v>GAE - Employee Benefits - Life Insurance</v>
          </cell>
          <cell r="IF347" t="str">
            <v>Employee Benefits</v>
          </cell>
          <cell r="IG347" t="str">
            <v>Medical/Insurance</v>
          </cell>
        </row>
        <row r="348">
          <cell r="HZ348" t="str">
            <v>90311101-61021301</v>
          </cell>
          <cell r="IA348" t="str">
            <v>RED-COMMON</v>
          </cell>
          <cell r="IB348" t="str">
            <v>GAE - Employee Benefits - Life Insurance</v>
          </cell>
          <cell r="IF348" t="str">
            <v>Employee Benefits</v>
          </cell>
          <cell r="IG348" t="str">
            <v>Medical/Insurance</v>
          </cell>
        </row>
        <row r="349">
          <cell r="HZ349" t="str">
            <v>81121101-61021302</v>
          </cell>
          <cell r="IA349" t="str">
            <v>CORP RESOURCES DIV</v>
          </cell>
          <cell r="IB349" t="str">
            <v>GAE - Employee Benefits - Medical Allowance</v>
          </cell>
          <cell r="IF349" t="str">
            <v>Employee Benefits</v>
          </cell>
          <cell r="IG349" t="str">
            <v>Medical/Insurance</v>
          </cell>
        </row>
        <row r="350">
          <cell r="HZ350" t="str">
            <v>81131101-61021302</v>
          </cell>
          <cell r="IA350" t="str">
            <v>FINANCE - COMMON</v>
          </cell>
          <cell r="IB350" t="str">
            <v>GAE - Employee Benefits - Medical Allowance</v>
          </cell>
          <cell r="IF350" t="str">
            <v>Employee Benefits</v>
          </cell>
          <cell r="IG350" t="str">
            <v>Medical/Insurance</v>
          </cell>
        </row>
        <row r="351">
          <cell r="HZ351" t="str">
            <v>81211101-61021302</v>
          </cell>
          <cell r="IA351" t="str">
            <v>ORTIGAS MALLS DIV</v>
          </cell>
          <cell r="IB351" t="str">
            <v>GAE - Employee Benefits - Medical Allowance</v>
          </cell>
          <cell r="IF351" t="str">
            <v>Employee Benefits</v>
          </cell>
          <cell r="IG351" t="str">
            <v>Medical/Insurance</v>
          </cell>
        </row>
        <row r="352">
          <cell r="HZ352" t="str">
            <v>81311101-61021302</v>
          </cell>
          <cell r="IA352" t="str">
            <v>RED-COMMON</v>
          </cell>
          <cell r="IB352" t="str">
            <v>GAE - Employee Benefits - Medical Allowance</v>
          </cell>
          <cell r="IF352" t="str">
            <v>Employee Benefits</v>
          </cell>
          <cell r="IG352" t="str">
            <v>Medical/Insurance</v>
          </cell>
        </row>
        <row r="353">
          <cell r="HZ353" t="str">
            <v>90111101-61021302</v>
          </cell>
          <cell r="IA353" t="str">
            <v>OHI-COMMON</v>
          </cell>
          <cell r="IB353" t="str">
            <v>GAE - Employee Benefits - Medical Allowance</v>
          </cell>
          <cell r="IF353" t="str">
            <v>Employee Benefits</v>
          </cell>
          <cell r="IG353" t="str">
            <v>Medical/Insurance</v>
          </cell>
        </row>
        <row r="354">
          <cell r="HZ354" t="str">
            <v>90121101-61021302</v>
          </cell>
          <cell r="IA354" t="str">
            <v>CORP RESOURCES DIV</v>
          </cell>
          <cell r="IB354" t="str">
            <v>GAE - Employee Benefits - Medical Allowance</v>
          </cell>
          <cell r="IF354" t="str">
            <v>Employee Benefits</v>
          </cell>
          <cell r="IG354" t="str">
            <v>Medical/Insurance</v>
          </cell>
        </row>
        <row r="355">
          <cell r="HZ355" t="str">
            <v>90131101-61021302</v>
          </cell>
          <cell r="IA355" t="str">
            <v>FINANCE - COMMON</v>
          </cell>
          <cell r="IB355" t="str">
            <v>GAE - Employee Benefits - Medical Allowance</v>
          </cell>
          <cell r="IF355" t="str">
            <v>Employee Benefits</v>
          </cell>
          <cell r="IG355" t="str">
            <v>Medical/Insurance</v>
          </cell>
        </row>
        <row r="356">
          <cell r="HZ356" t="str">
            <v>90211101-61021302</v>
          </cell>
          <cell r="IA356" t="str">
            <v>ORTIGAS MALLS DIV</v>
          </cell>
          <cell r="IB356" t="str">
            <v>GAE - Employee Benefits - Medical Allowance</v>
          </cell>
          <cell r="IF356" t="str">
            <v>Employee Benefits</v>
          </cell>
          <cell r="IG356" t="str">
            <v>Medical/Insurance</v>
          </cell>
        </row>
        <row r="357">
          <cell r="HZ357" t="str">
            <v>90311101-61021302</v>
          </cell>
          <cell r="IA357" t="str">
            <v>RED-COMMON</v>
          </cell>
          <cell r="IB357" t="str">
            <v>GAE - Employee Benefits - Medical Allowance</v>
          </cell>
          <cell r="IF357" t="str">
            <v>Employee Benefits</v>
          </cell>
          <cell r="IG357" t="str">
            <v>Medical/Insurance</v>
          </cell>
        </row>
        <row r="358">
          <cell r="HZ358" t="str">
            <v>80111101-61021304</v>
          </cell>
          <cell r="IA358" t="str">
            <v>OCLP-COMMON</v>
          </cell>
          <cell r="IB358" t="str">
            <v>GAE - Employee Benefits - Retirement Gratuity</v>
          </cell>
          <cell r="IF358" t="str">
            <v>Retirement</v>
          </cell>
        </row>
        <row r="359">
          <cell r="HZ359" t="str">
            <v>81111101-61021304</v>
          </cell>
          <cell r="IA359" t="str">
            <v>CCC-COMMON</v>
          </cell>
          <cell r="IB359" t="str">
            <v>GAE - Employee Benefits - Retirement Gratuity</v>
          </cell>
          <cell r="IF359" t="str">
            <v>Retirement</v>
          </cell>
        </row>
        <row r="360">
          <cell r="HZ360" t="str">
            <v>90111101-61021304</v>
          </cell>
          <cell r="IA360" t="str">
            <v>OHI-COMMON</v>
          </cell>
          <cell r="IB360" t="str">
            <v>GAE - Employee Benefits - Retirement Gratuity</v>
          </cell>
          <cell r="IF360" t="str">
            <v>Retirement</v>
          </cell>
        </row>
        <row r="361">
          <cell r="HZ361" t="str">
            <v>80121101-61021306</v>
          </cell>
          <cell r="IA361" t="str">
            <v>CORP RESOURCES DIV</v>
          </cell>
          <cell r="IB361" t="str">
            <v>GAE - Employee Benefits - SSS,PHIC, HDMF</v>
          </cell>
          <cell r="IF361" t="str">
            <v>Employee Benefits</v>
          </cell>
          <cell r="IG361" t="str">
            <v>Government Contributions</v>
          </cell>
        </row>
        <row r="362">
          <cell r="HZ362" t="str">
            <v>80311101-61021306</v>
          </cell>
          <cell r="IA362" t="str">
            <v>RED-COMMON</v>
          </cell>
          <cell r="IB362" t="str">
            <v>GAE - Employee Benefits - SSS,PHIC, HDMF</v>
          </cell>
          <cell r="IF362" t="str">
            <v>Employee Benefits</v>
          </cell>
          <cell r="IG362" t="str">
            <v>Government Contributions</v>
          </cell>
        </row>
        <row r="363">
          <cell r="HZ363" t="str">
            <v>81121101-61021306</v>
          </cell>
          <cell r="IA363" t="str">
            <v>CORP RESOURCES DIV</v>
          </cell>
          <cell r="IB363" t="str">
            <v>GAE - Employee Benefits - SSS,PHIC, HDMF</v>
          </cell>
          <cell r="IF363" t="str">
            <v>Employee Benefits</v>
          </cell>
          <cell r="IG363" t="str">
            <v>Government Contributions</v>
          </cell>
        </row>
        <row r="364">
          <cell r="HZ364" t="str">
            <v>81131101-61021306</v>
          </cell>
          <cell r="IA364" t="str">
            <v>FINANCE - COMMON</v>
          </cell>
          <cell r="IB364" t="str">
            <v>GAE - Employee Benefits - SSS,PHIC, HDMF</v>
          </cell>
          <cell r="IF364" t="str">
            <v>Employee Benefits</v>
          </cell>
          <cell r="IG364" t="str">
            <v>Government Contributions</v>
          </cell>
        </row>
        <row r="365">
          <cell r="HZ365" t="str">
            <v>81211101-61021306</v>
          </cell>
          <cell r="IA365" t="str">
            <v>ORTIGAS MALLS DIV</v>
          </cell>
          <cell r="IB365" t="str">
            <v>GAE - Employee Benefits - SSS,PHIC, HDMF</v>
          </cell>
          <cell r="IF365" t="str">
            <v>Employee Benefits</v>
          </cell>
          <cell r="IG365" t="str">
            <v>Government Contributions</v>
          </cell>
        </row>
        <row r="366">
          <cell r="HZ366" t="str">
            <v>81311101-61021306</v>
          </cell>
          <cell r="IA366" t="str">
            <v>RED-COMMON</v>
          </cell>
          <cell r="IB366" t="str">
            <v>GAE - Employee Benefits - SSS,PHIC, HDMF</v>
          </cell>
          <cell r="IF366" t="str">
            <v>Employee Benefits</v>
          </cell>
          <cell r="IG366" t="str">
            <v>Government Contributions</v>
          </cell>
        </row>
        <row r="367">
          <cell r="HZ367" t="str">
            <v>90111101-61021306</v>
          </cell>
          <cell r="IA367" t="str">
            <v>OHI-COMMON</v>
          </cell>
          <cell r="IB367" t="str">
            <v>GAE - Employee Benefits - SSS,PHIC, HDMF</v>
          </cell>
          <cell r="IF367" t="str">
            <v>Employee Benefits</v>
          </cell>
          <cell r="IG367" t="str">
            <v>Government Contributions</v>
          </cell>
        </row>
        <row r="368">
          <cell r="HZ368" t="str">
            <v>90111201-61021306</v>
          </cell>
          <cell r="IA368" t="str">
            <v>MANCOM &amp; STAFF</v>
          </cell>
          <cell r="IB368" t="str">
            <v>GAE - Employee Benefits - SSS,PHIC, HDMF</v>
          </cell>
          <cell r="IF368" t="str">
            <v>Employee Benefits</v>
          </cell>
          <cell r="IG368" t="str">
            <v>Government Contributions</v>
          </cell>
        </row>
        <row r="369">
          <cell r="HZ369" t="str">
            <v>90121101-61021306</v>
          </cell>
          <cell r="IA369" t="str">
            <v>CORP RESOURCES DIV</v>
          </cell>
          <cell r="IB369" t="str">
            <v>GAE - Employee Benefits - SSS,PHIC, HDMF</v>
          </cell>
          <cell r="IF369" t="str">
            <v>Employee Benefits</v>
          </cell>
          <cell r="IG369" t="str">
            <v>Government Contributions</v>
          </cell>
        </row>
        <row r="370">
          <cell r="HZ370" t="str">
            <v>90131101-61021306</v>
          </cell>
          <cell r="IA370" t="str">
            <v>FINANCE - COMMON</v>
          </cell>
          <cell r="IB370" t="str">
            <v>GAE - Employee Benefits - SSS,PHIC, HDMF</v>
          </cell>
          <cell r="IF370" t="str">
            <v>Employee Benefits</v>
          </cell>
          <cell r="IG370" t="str">
            <v>Government Contributions</v>
          </cell>
        </row>
        <row r="371">
          <cell r="HZ371" t="str">
            <v>90211101-61021306</v>
          </cell>
          <cell r="IA371" t="str">
            <v>ORTIGAS MALLS DIV</v>
          </cell>
          <cell r="IB371" t="str">
            <v>GAE - Employee Benefits - SSS,PHIC, HDMF</v>
          </cell>
          <cell r="IF371" t="str">
            <v>Employee Benefits</v>
          </cell>
          <cell r="IG371" t="str">
            <v>Government Contributions</v>
          </cell>
        </row>
        <row r="372">
          <cell r="HZ372" t="str">
            <v>90311101-61021306</v>
          </cell>
          <cell r="IA372" t="str">
            <v>RED-COMMON</v>
          </cell>
          <cell r="IB372" t="str">
            <v>GAE - Employee Benefits - SSS,PHIC, HDMF</v>
          </cell>
          <cell r="IF372" t="str">
            <v>Employee Benefits</v>
          </cell>
          <cell r="IG372" t="str">
            <v>Government Contributions</v>
          </cell>
        </row>
        <row r="373">
          <cell r="HZ373" t="str">
            <v>90111101-61021310</v>
          </cell>
          <cell r="IA373" t="str">
            <v>OHI-COMMON</v>
          </cell>
          <cell r="IB373" t="str">
            <v>GAE - Employee Benefits - Rice Subsidy</v>
          </cell>
          <cell r="IF373" t="str">
            <v>Employee Benefits</v>
          </cell>
          <cell r="IG373" t="str">
            <v>Uniform</v>
          </cell>
        </row>
        <row r="374">
          <cell r="HZ374" t="str">
            <v>90121101-61021310</v>
          </cell>
          <cell r="IA374" t="str">
            <v>CORP RESOURCES DIV</v>
          </cell>
          <cell r="IB374" t="str">
            <v>GAE - Employee Benefits - Rice Subsidy</v>
          </cell>
          <cell r="IF374" t="str">
            <v>Employee Benefits</v>
          </cell>
          <cell r="IG374" t="str">
            <v>Uniform</v>
          </cell>
        </row>
        <row r="375">
          <cell r="HZ375" t="str">
            <v>90131101-61021310</v>
          </cell>
          <cell r="IA375" t="str">
            <v>FINANCE - COMMON</v>
          </cell>
          <cell r="IB375" t="str">
            <v>GAE - Employee Benefits - Rice Subsidy</v>
          </cell>
          <cell r="IF375" t="str">
            <v>Employee Benefits</v>
          </cell>
          <cell r="IG375" t="str">
            <v>Uniform</v>
          </cell>
        </row>
        <row r="376">
          <cell r="HZ376" t="str">
            <v>90211101-61021310</v>
          </cell>
          <cell r="IA376" t="str">
            <v>ORTIGAS MALLS DIV</v>
          </cell>
          <cell r="IB376" t="str">
            <v>GAE - Employee Benefits - Rice Subsidy</v>
          </cell>
          <cell r="IF376" t="str">
            <v>Employee Benefits</v>
          </cell>
          <cell r="IG376" t="str">
            <v>Uniform</v>
          </cell>
        </row>
        <row r="377">
          <cell r="HZ377" t="str">
            <v>90311101-61021310</v>
          </cell>
          <cell r="IA377" t="str">
            <v>RED-COMMON</v>
          </cell>
          <cell r="IB377" t="str">
            <v>GAE - Employee Benefits - Rice Subsidy</v>
          </cell>
          <cell r="IF377" t="str">
            <v>Employee Benefits</v>
          </cell>
          <cell r="IG377" t="str">
            <v>Uniform</v>
          </cell>
        </row>
        <row r="378">
          <cell r="HZ378" t="str">
            <v>80121101-61021316</v>
          </cell>
          <cell r="IA378" t="str">
            <v>CORP RESOURCES DIV</v>
          </cell>
          <cell r="IB378" t="str">
            <v>GAE - Recruitment Expense</v>
          </cell>
          <cell r="IF378" t="str">
            <v>Employee Benefits</v>
          </cell>
          <cell r="IG378" t="str">
            <v>Recruitment</v>
          </cell>
        </row>
        <row r="379">
          <cell r="HZ379" t="str">
            <v>80311101-61021316</v>
          </cell>
          <cell r="IA379" t="str">
            <v>RED-COMMON</v>
          </cell>
          <cell r="IB379" t="str">
            <v>GAE - Recruitment Expense</v>
          </cell>
          <cell r="IF379" t="str">
            <v>Employee Benefits</v>
          </cell>
          <cell r="IG379" t="str">
            <v>Recruitment</v>
          </cell>
        </row>
        <row r="380">
          <cell r="HZ380" t="str">
            <v>81121101-61021316</v>
          </cell>
          <cell r="IA380" t="str">
            <v>CORP RESOURCES DIV</v>
          </cell>
          <cell r="IB380" t="str">
            <v>GAE - Recruitment Expense</v>
          </cell>
          <cell r="IF380" t="str">
            <v>Employee Benefits</v>
          </cell>
          <cell r="IG380" t="str">
            <v>Recruitment</v>
          </cell>
        </row>
        <row r="381">
          <cell r="HZ381" t="str">
            <v>81131101-61021316</v>
          </cell>
          <cell r="IA381" t="str">
            <v>FINANCE - COMMON</v>
          </cell>
          <cell r="IB381" t="str">
            <v>GAE - Recruitment Expense</v>
          </cell>
          <cell r="IF381" t="str">
            <v>Employee Benefits</v>
          </cell>
          <cell r="IG381" t="str">
            <v>Recruitment</v>
          </cell>
        </row>
        <row r="382">
          <cell r="HZ382" t="str">
            <v>81211101-61021316</v>
          </cell>
          <cell r="IA382" t="str">
            <v>ORTIGAS MALLS DIV</v>
          </cell>
          <cell r="IB382" t="str">
            <v>GAE - Recruitment Expense</v>
          </cell>
          <cell r="IF382" t="str">
            <v>Employee Benefits</v>
          </cell>
          <cell r="IG382" t="str">
            <v>Recruitment</v>
          </cell>
        </row>
        <row r="383">
          <cell r="HZ383" t="str">
            <v>81311101-61021316</v>
          </cell>
          <cell r="IA383" t="str">
            <v>RED-COMMON</v>
          </cell>
          <cell r="IB383" t="str">
            <v>GAE - Recruitment Expense</v>
          </cell>
          <cell r="IF383" t="str">
            <v>Employee Benefits</v>
          </cell>
          <cell r="IG383" t="str">
            <v>Recruitment</v>
          </cell>
        </row>
        <row r="384">
          <cell r="HZ384" t="str">
            <v>90111101-61021316</v>
          </cell>
          <cell r="IA384" t="str">
            <v>OHI-COMMON</v>
          </cell>
          <cell r="IB384" t="str">
            <v>GAE - Recruitment Expense</v>
          </cell>
          <cell r="IF384" t="str">
            <v>Employee Benefits</v>
          </cell>
          <cell r="IG384" t="str">
            <v>Recruitment</v>
          </cell>
        </row>
        <row r="385">
          <cell r="HZ385" t="str">
            <v>90111201-61021316</v>
          </cell>
          <cell r="IA385" t="str">
            <v>MANCOM &amp; STAFF</v>
          </cell>
          <cell r="IB385" t="str">
            <v>GAE - Recruitment Expense</v>
          </cell>
          <cell r="IF385" t="str">
            <v>Employee Benefits</v>
          </cell>
          <cell r="IG385" t="str">
            <v>Recruitment</v>
          </cell>
        </row>
        <row r="386">
          <cell r="HZ386" t="str">
            <v>90121101-61021316</v>
          </cell>
          <cell r="IA386" t="str">
            <v>CORP RESOURCES DIV</v>
          </cell>
          <cell r="IB386" t="str">
            <v>GAE - Recruitment Expense</v>
          </cell>
          <cell r="IF386" t="str">
            <v>Employee Benefits</v>
          </cell>
          <cell r="IG386" t="str">
            <v>Recruitment</v>
          </cell>
        </row>
        <row r="387">
          <cell r="HZ387" t="str">
            <v>90122101-61021316</v>
          </cell>
          <cell r="IA387" t="str">
            <v>HUMAN RESOURCES</v>
          </cell>
          <cell r="IB387" t="str">
            <v>GAE - Recruitment Expense</v>
          </cell>
          <cell r="IF387" t="str">
            <v>Employee Benefits</v>
          </cell>
          <cell r="IG387" t="str">
            <v>Recruitment</v>
          </cell>
        </row>
        <row r="388">
          <cell r="HZ388" t="str">
            <v>90131101-61021316</v>
          </cell>
          <cell r="IA388" t="str">
            <v>FINANCE - COMMON</v>
          </cell>
          <cell r="IB388" t="str">
            <v>GAE - Recruitment Expense</v>
          </cell>
          <cell r="IF388" t="str">
            <v>Employee Benefits</v>
          </cell>
          <cell r="IG388" t="str">
            <v>Recruitment</v>
          </cell>
        </row>
        <row r="389">
          <cell r="HZ389" t="str">
            <v>90211101-61021316</v>
          </cell>
          <cell r="IA389" t="str">
            <v>ORTIGAS MALLS DIV</v>
          </cell>
          <cell r="IB389" t="str">
            <v>GAE - Recruitment Expense</v>
          </cell>
          <cell r="IF389" t="str">
            <v>Employee Benefits</v>
          </cell>
          <cell r="IG389" t="str">
            <v>Recruitment</v>
          </cell>
        </row>
        <row r="390">
          <cell r="HZ390" t="str">
            <v>90311101-61021316</v>
          </cell>
          <cell r="IA390" t="str">
            <v>RED-COMMON</v>
          </cell>
          <cell r="IB390" t="str">
            <v>GAE - Recruitment Expense</v>
          </cell>
          <cell r="IF390" t="str">
            <v>Employee Benefits</v>
          </cell>
          <cell r="IG390" t="str">
            <v>Recruitment</v>
          </cell>
        </row>
        <row r="391">
          <cell r="HZ391" t="str">
            <v>80111101-61959202</v>
          </cell>
          <cell r="IA391" t="str">
            <v>OCLP-COMMON</v>
          </cell>
          <cell r="IB391" t="str">
            <v>GAE - Interest &amp; Penalty</v>
          </cell>
          <cell r="IF391" t="str">
            <v>Others</v>
          </cell>
          <cell r="IG391" t="str">
            <v>Others</v>
          </cell>
        </row>
        <row r="392">
          <cell r="HZ392" t="str">
            <v>80122101-61959202</v>
          </cell>
          <cell r="IA392" t="str">
            <v>HUMAN RESOURCES</v>
          </cell>
          <cell r="IB392" t="str">
            <v>GAE - Interest &amp; Penalty</v>
          </cell>
          <cell r="IF392" t="str">
            <v>Others</v>
          </cell>
          <cell r="IG392" t="str">
            <v>Others</v>
          </cell>
        </row>
        <row r="393">
          <cell r="HZ393" t="str">
            <v>90111101-61959202</v>
          </cell>
          <cell r="IA393" t="str">
            <v>OHI-COMMON</v>
          </cell>
          <cell r="IB393" t="str">
            <v>GAE - Interest &amp; Penalty</v>
          </cell>
          <cell r="IF393" t="str">
            <v>Others</v>
          </cell>
          <cell r="IG393" t="str">
            <v>Others</v>
          </cell>
        </row>
        <row r="394">
          <cell r="HZ394" t="str">
            <v>81221201-61111111</v>
          </cell>
          <cell r="IA394" t="str">
            <v>GSC OLD BLDGS</v>
          </cell>
          <cell r="IB394" t="str">
            <v>GAE - Office Supplies - Restricted</v>
          </cell>
          <cell r="IF394" t="str">
            <v>Others</v>
          </cell>
          <cell r="IG394" t="str">
            <v>Supplies</v>
          </cell>
        </row>
        <row r="395">
          <cell r="HZ395" t="str">
            <v>81222101-61111111</v>
          </cell>
          <cell r="IA395" t="str">
            <v>TIENDESITAS</v>
          </cell>
          <cell r="IB395" t="str">
            <v>GAE - Office Supplies - Restricted</v>
          </cell>
          <cell r="IF395" t="str">
            <v>Others</v>
          </cell>
          <cell r="IG395" t="str">
            <v>Supplies</v>
          </cell>
        </row>
        <row r="396">
          <cell r="HZ396" t="str">
            <v>81224101-61111111</v>
          </cell>
          <cell r="IA396" t="str">
            <v>INDUSTRIA</v>
          </cell>
          <cell r="IB396" t="str">
            <v>GAE - Office Supplies - Restricted</v>
          </cell>
          <cell r="IF396" t="str">
            <v>Others</v>
          </cell>
          <cell r="IG396" t="str">
            <v>Supplies</v>
          </cell>
        </row>
        <row r="397">
          <cell r="HZ397" t="str">
            <v>81225101-61111111</v>
          </cell>
          <cell r="IA397" t="str">
            <v>ESTANCIA RETAIL</v>
          </cell>
          <cell r="IB397" t="str">
            <v>GAE - Office Supplies - Restricted</v>
          </cell>
          <cell r="IF397" t="str">
            <v>Others</v>
          </cell>
          <cell r="IG397" t="str">
            <v>Supplies</v>
          </cell>
        </row>
        <row r="398">
          <cell r="HZ398" t="str">
            <v>81225201-61111111</v>
          </cell>
          <cell r="IA398" t="str">
            <v>ESTANCIA EXP - MALL</v>
          </cell>
          <cell r="IB398" t="str">
            <v>GAE - Office Supplies - Restricted</v>
          </cell>
          <cell r="IF398" t="str">
            <v>Others</v>
          </cell>
          <cell r="IG398" t="str">
            <v>Supplies</v>
          </cell>
        </row>
        <row r="399">
          <cell r="HZ399" t="str">
            <v>90121101-61021201</v>
          </cell>
          <cell r="IA399" t="str">
            <v>CORP RESOURCES DIV</v>
          </cell>
          <cell r="IB399" t="str">
            <v>GAE - Payroll - Project Employee - Basic</v>
          </cell>
          <cell r="IF399" t="str">
            <v>Salaries</v>
          </cell>
          <cell r="IG399" t="str">
            <v>Project Employee</v>
          </cell>
        </row>
        <row r="400">
          <cell r="HZ400" t="str">
            <v>90311101-61021201</v>
          </cell>
          <cell r="IA400" t="str">
            <v>RED-COMMON</v>
          </cell>
          <cell r="IB400" t="str">
            <v>GAE - Payroll - Project Employee - Basic</v>
          </cell>
          <cell r="IF400" t="str">
            <v>Salaries</v>
          </cell>
          <cell r="IG400" t="str">
            <v>Project Employee</v>
          </cell>
        </row>
        <row r="401">
          <cell r="HZ401" t="str">
            <v>90311101-61021203</v>
          </cell>
          <cell r="IA401" t="str">
            <v>RED-COMMON</v>
          </cell>
          <cell r="IB401" t="str">
            <v>GAE - Payroll - Project Employee - Bonus</v>
          </cell>
          <cell r="IF401" t="str">
            <v>Salaries</v>
          </cell>
          <cell r="IG401" t="str">
            <v>Project Employee</v>
          </cell>
        </row>
        <row r="402">
          <cell r="HZ402" t="str">
            <v>90111101-61021107</v>
          </cell>
          <cell r="IA402" t="str">
            <v>OHI-COMMON</v>
          </cell>
          <cell r="IB402" t="str">
            <v>GAE - Payroll-Regular Employee-Leave Encashment</v>
          </cell>
          <cell r="IF402" t="str">
            <v>Salaries</v>
          </cell>
          <cell r="IG402" t="str">
            <v>Leave Encashment</v>
          </cell>
        </row>
        <row r="403">
          <cell r="HZ403" t="str">
            <v>90121101-61021107</v>
          </cell>
          <cell r="IA403" t="str">
            <v>CORP RESOURCES DIV</v>
          </cell>
          <cell r="IB403" t="str">
            <v>GAE - Payroll-Regular Employee-Leave Encashment</v>
          </cell>
          <cell r="IF403" t="str">
            <v>Salaries</v>
          </cell>
          <cell r="IG403" t="str">
            <v>Leave Encashment</v>
          </cell>
        </row>
        <row r="404">
          <cell r="HZ404" t="str">
            <v>90131101-61021107</v>
          </cell>
          <cell r="IA404" t="str">
            <v>FINANCE - COMMON</v>
          </cell>
          <cell r="IB404" t="str">
            <v>GAE - Payroll-Regular Employee-Leave Encashment</v>
          </cell>
          <cell r="IF404" t="str">
            <v>Salaries</v>
          </cell>
          <cell r="IG404" t="str">
            <v>Leave Encashment</v>
          </cell>
        </row>
        <row r="405">
          <cell r="HZ405" t="str">
            <v>90211101-61021107</v>
          </cell>
          <cell r="IA405" t="str">
            <v>ORTIGAS MALLS DIV</v>
          </cell>
          <cell r="IB405" t="str">
            <v>GAE - Payroll-Regular Employee-Leave Encashment</v>
          </cell>
          <cell r="IF405" t="str">
            <v>Salaries</v>
          </cell>
          <cell r="IG405" t="str">
            <v>Leave Encashment</v>
          </cell>
        </row>
        <row r="406">
          <cell r="HZ406" t="str">
            <v>90311101-61021107</v>
          </cell>
          <cell r="IA406" t="str">
            <v>RED-COMMON</v>
          </cell>
          <cell r="IB406" t="str">
            <v>GAE - Payroll-Regular Employee-Leave Encashment</v>
          </cell>
          <cell r="IF406" t="str">
            <v>Salaries</v>
          </cell>
          <cell r="IG406" t="str">
            <v>Leave Encashment</v>
          </cell>
        </row>
        <row r="407">
          <cell r="HZ407" t="str">
            <v>90311101-61021202</v>
          </cell>
          <cell r="IA407" t="str">
            <v>RED-COMMON</v>
          </cell>
          <cell r="IB407" t="str">
            <v>GAE - Payroll - Project Employee - Overtime</v>
          </cell>
          <cell r="IF407" t="str">
            <v>Salaries</v>
          </cell>
          <cell r="IG407" t="str">
            <v>Project Employee</v>
          </cell>
        </row>
        <row r="408">
          <cell r="HZ408" t="str">
            <v>81211101-61021204</v>
          </cell>
          <cell r="IA408" t="str">
            <v>ORTIGAS MALLS DIV</v>
          </cell>
          <cell r="IB408" t="str">
            <v>GAE - Payroll - Fixed Term Employees</v>
          </cell>
          <cell r="IF408" t="str">
            <v>Salaries</v>
          </cell>
          <cell r="IG408" t="str">
            <v>Regular Employee</v>
          </cell>
        </row>
        <row r="409">
          <cell r="HZ409" t="str">
            <v>90121101-61021204</v>
          </cell>
          <cell r="IA409" t="str">
            <v>CORP RESOURCES DIV</v>
          </cell>
          <cell r="IB409" t="str">
            <v>GAE - Payroll - Fixed Term Employees</v>
          </cell>
          <cell r="IF409" t="str">
            <v>Salaries</v>
          </cell>
          <cell r="IG409" t="str">
            <v>Regular Employee</v>
          </cell>
        </row>
        <row r="410">
          <cell r="HZ410" t="str">
            <v>90131101-61021204</v>
          </cell>
          <cell r="IA410" t="str">
            <v>FINANCE - COMMON</v>
          </cell>
          <cell r="IB410" t="str">
            <v>GAE - Payroll - Fixed Term Employees</v>
          </cell>
          <cell r="IF410" t="str">
            <v>Salaries</v>
          </cell>
          <cell r="IG410" t="str">
            <v>Regular Employee</v>
          </cell>
        </row>
        <row r="411">
          <cell r="HZ411" t="str">
            <v>90211101-61021204</v>
          </cell>
          <cell r="IA411" t="str">
            <v>ORTIGAS MALLS DIV</v>
          </cell>
          <cell r="IB411" t="str">
            <v>GAE - Payroll - Fixed Term Employees</v>
          </cell>
          <cell r="IF411" t="str">
            <v>Salaries</v>
          </cell>
          <cell r="IG411" t="str">
            <v>Regular Employee</v>
          </cell>
        </row>
        <row r="412">
          <cell r="HZ412" t="str">
            <v>90311101-61021204</v>
          </cell>
          <cell r="IA412" t="str">
            <v>RED-COMMON</v>
          </cell>
          <cell r="IB412" t="str">
            <v>GAE - Payroll - Fixed Term Employees</v>
          </cell>
          <cell r="IF412" t="str">
            <v>Salaries</v>
          </cell>
          <cell r="IG412" t="str">
            <v>Regular Employee</v>
          </cell>
        </row>
        <row r="413">
          <cell r="HZ413" t="str">
            <v>80121101-61021102</v>
          </cell>
          <cell r="IA413" t="str">
            <v>CORP RESOURCES DIV</v>
          </cell>
          <cell r="IB413" t="str">
            <v>GAE - Payroll - Regular Employee - Basic</v>
          </cell>
          <cell r="IF413" t="str">
            <v>Salaries</v>
          </cell>
          <cell r="IG413" t="str">
            <v>Regular Employee</v>
          </cell>
        </row>
        <row r="414">
          <cell r="HZ414" t="str">
            <v>80311101-61021102</v>
          </cell>
          <cell r="IA414" t="str">
            <v>RED-COMMON</v>
          </cell>
          <cell r="IB414" t="str">
            <v>GAE - Payroll - Regular Employee - Basic</v>
          </cell>
          <cell r="IF414" t="str">
            <v>Salaries</v>
          </cell>
          <cell r="IG414" t="str">
            <v>Regular Employee</v>
          </cell>
        </row>
        <row r="415">
          <cell r="HZ415" t="str">
            <v>81121101-61021102</v>
          </cell>
          <cell r="IA415" t="str">
            <v>CORP RESOURCES DIV</v>
          </cell>
          <cell r="IB415" t="str">
            <v>GAE - Payroll - Regular Employee - Basic</v>
          </cell>
          <cell r="IF415" t="str">
            <v>Salaries</v>
          </cell>
          <cell r="IG415" t="str">
            <v>Regular Employee</v>
          </cell>
        </row>
        <row r="416">
          <cell r="HZ416" t="str">
            <v>81131101-61021102</v>
          </cell>
          <cell r="IA416" t="str">
            <v>FINANCE - COMMON</v>
          </cell>
          <cell r="IB416" t="str">
            <v>GAE - Payroll - Regular Employee - Basic</v>
          </cell>
          <cell r="IF416" t="str">
            <v>Salaries</v>
          </cell>
          <cell r="IG416" t="str">
            <v>Regular Employee</v>
          </cell>
        </row>
        <row r="417">
          <cell r="HZ417" t="str">
            <v>81211101-61021102</v>
          </cell>
          <cell r="IA417" t="str">
            <v>ORTIGAS MALLS DIV</v>
          </cell>
          <cell r="IB417" t="str">
            <v>GAE - Payroll - Regular Employee - Basic</v>
          </cell>
          <cell r="IF417" t="str">
            <v>Salaries</v>
          </cell>
          <cell r="IG417" t="str">
            <v>Regular Employee</v>
          </cell>
        </row>
        <row r="418">
          <cell r="HZ418" t="str">
            <v>81311101-61021102</v>
          </cell>
          <cell r="IA418" t="str">
            <v>RED-COMMON</v>
          </cell>
          <cell r="IB418" t="str">
            <v>GAE - Payroll - Regular Employee - Basic</v>
          </cell>
          <cell r="IF418" t="str">
            <v>Salaries</v>
          </cell>
          <cell r="IG418" t="str">
            <v>Regular Employee</v>
          </cell>
        </row>
        <row r="419">
          <cell r="HZ419" t="str">
            <v>90111101-61021102</v>
          </cell>
          <cell r="IA419" t="str">
            <v>OHI-COMMON</v>
          </cell>
          <cell r="IB419" t="str">
            <v>GAE - Payroll - Regular Employee - Basic</v>
          </cell>
          <cell r="IF419" t="str">
            <v>Salaries</v>
          </cell>
          <cell r="IG419" t="str">
            <v>Regular Employee</v>
          </cell>
        </row>
        <row r="420">
          <cell r="HZ420" t="str">
            <v>90111201-61021102</v>
          </cell>
          <cell r="IA420" t="str">
            <v>MANCOM &amp; STAFF</v>
          </cell>
          <cell r="IB420" t="str">
            <v>GAE - Payroll - Regular Employee - Basic</v>
          </cell>
          <cell r="IF420" t="str">
            <v>Salaries</v>
          </cell>
          <cell r="IG420" t="str">
            <v>Regular Employee</v>
          </cell>
        </row>
        <row r="421">
          <cell r="HZ421" t="str">
            <v>90121101-61021102</v>
          </cell>
          <cell r="IA421" t="str">
            <v>CORP RESOURCES DIV</v>
          </cell>
          <cell r="IB421" t="str">
            <v>GAE - Payroll - Regular Employee - Basic</v>
          </cell>
          <cell r="IF421" t="str">
            <v>Salaries</v>
          </cell>
          <cell r="IG421" t="str">
            <v>Regular Employee</v>
          </cell>
        </row>
        <row r="422">
          <cell r="HZ422" t="str">
            <v>90131101-61021102</v>
          </cell>
          <cell r="IA422" t="str">
            <v>FINANCE - COMMON</v>
          </cell>
          <cell r="IB422" t="str">
            <v>GAE - Payroll - Regular Employee - Basic</v>
          </cell>
          <cell r="IF422" t="str">
            <v>Salaries</v>
          </cell>
          <cell r="IG422" t="str">
            <v>Regular Employee</v>
          </cell>
        </row>
        <row r="423">
          <cell r="HZ423" t="str">
            <v>90211101-61021102</v>
          </cell>
          <cell r="IA423" t="str">
            <v>ORTIGAS MALLS DIV</v>
          </cell>
          <cell r="IB423" t="str">
            <v>GAE - Payroll - Regular Employee - Basic</v>
          </cell>
          <cell r="IF423" t="str">
            <v>Salaries</v>
          </cell>
          <cell r="IG423" t="str">
            <v>Regular Employee</v>
          </cell>
        </row>
        <row r="424">
          <cell r="HZ424" t="str">
            <v>90311101-61021102</v>
          </cell>
          <cell r="IA424" t="str">
            <v>RED-COMMON</v>
          </cell>
          <cell r="IB424" t="str">
            <v>GAE - Payroll - Regular Employee - Basic</v>
          </cell>
          <cell r="IF424" t="str">
            <v>Salaries</v>
          </cell>
          <cell r="IG424" t="str">
            <v>Regular Employee</v>
          </cell>
        </row>
        <row r="425">
          <cell r="HZ425" t="str">
            <v>80111201-61721101</v>
          </cell>
          <cell r="IA425" t="str">
            <v>MANCOM &amp; STAFF</v>
          </cell>
          <cell r="IB425" t="str">
            <v>GAE - Postal &amp; Communication - Telephone</v>
          </cell>
          <cell r="IF425" t="str">
            <v>Others</v>
          </cell>
          <cell r="IG425" t="str">
            <v>Postal &amp; Communication</v>
          </cell>
        </row>
        <row r="426">
          <cell r="HZ426" t="str">
            <v>80111203-61721101</v>
          </cell>
          <cell r="IA426" t="str">
            <v>OFFICE OF THE PRES.</v>
          </cell>
          <cell r="IB426" t="str">
            <v>GAE - Postal &amp; Communication - Telephone</v>
          </cell>
          <cell r="IF426" t="str">
            <v>Others</v>
          </cell>
          <cell r="IG426" t="str">
            <v>Postal &amp; Communication</v>
          </cell>
        </row>
        <row r="427">
          <cell r="HZ427" t="str">
            <v>80122101-61721101</v>
          </cell>
          <cell r="IA427" t="str">
            <v>HUMAN RESOURCES</v>
          </cell>
          <cell r="IB427" t="str">
            <v>GAE - Postal &amp; Communication - Telephone</v>
          </cell>
          <cell r="IF427" t="str">
            <v>Others</v>
          </cell>
          <cell r="IG427" t="str">
            <v>Postal &amp; Communication</v>
          </cell>
        </row>
        <row r="428">
          <cell r="HZ428" t="str">
            <v>80123101-61721101</v>
          </cell>
          <cell r="IA428" t="str">
            <v>LEGAL</v>
          </cell>
          <cell r="IB428" t="str">
            <v>GAE - Postal &amp; Communication - Telephone</v>
          </cell>
          <cell r="IF428" t="str">
            <v>Others</v>
          </cell>
          <cell r="IG428" t="str">
            <v>Postal &amp; Communication</v>
          </cell>
        </row>
        <row r="429">
          <cell r="HZ429" t="str">
            <v>80123102-61721101</v>
          </cell>
          <cell r="IA429" t="str">
            <v>ADMIN SERVICES</v>
          </cell>
          <cell r="IB429" t="str">
            <v>GAE - Postal &amp; Communication - Telephone</v>
          </cell>
          <cell r="IF429" t="str">
            <v>Others</v>
          </cell>
          <cell r="IG429" t="str">
            <v>Postal &amp; Communication</v>
          </cell>
        </row>
        <row r="430">
          <cell r="HZ430" t="str">
            <v>80124101-61721101</v>
          </cell>
          <cell r="IA430" t="str">
            <v>IS &amp; IT</v>
          </cell>
          <cell r="IB430" t="str">
            <v>GAE - Postal &amp; Communication - Telephone</v>
          </cell>
          <cell r="IF430" t="str">
            <v>Others</v>
          </cell>
          <cell r="IG430" t="str">
            <v>Postal &amp; Communication</v>
          </cell>
        </row>
        <row r="431">
          <cell r="HZ431" t="str">
            <v>80125101-61721101</v>
          </cell>
          <cell r="IA431" t="str">
            <v>EXTERNAL AFFAIRS DEP</v>
          </cell>
          <cell r="IB431" t="str">
            <v>GAE - Postal &amp; Communication - Telephone</v>
          </cell>
          <cell r="IF431" t="str">
            <v>Others</v>
          </cell>
          <cell r="IG431" t="str">
            <v>Postal &amp; Communication</v>
          </cell>
        </row>
        <row r="432">
          <cell r="HZ432" t="str">
            <v>80132101-61721101</v>
          </cell>
          <cell r="IA432" t="str">
            <v>TREASURY OPERATIONS</v>
          </cell>
          <cell r="IB432" t="str">
            <v>GAE - Postal &amp; Communication - Telephone</v>
          </cell>
          <cell r="IF432" t="str">
            <v>Others</v>
          </cell>
          <cell r="IG432" t="str">
            <v>Postal &amp; Communication</v>
          </cell>
        </row>
        <row r="433">
          <cell r="HZ433" t="str">
            <v>80132102-61721101</v>
          </cell>
          <cell r="IA433" t="str">
            <v>TREASURY SERVICES</v>
          </cell>
          <cell r="IB433" t="str">
            <v>GAE - Postal &amp; Communication - Telephone</v>
          </cell>
          <cell r="IF433" t="str">
            <v>Others</v>
          </cell>
          <cell r="IG433" t="str">
            <v>Postal &amp; Communication</v>
          </cell>
        </row>
        <row r="434">
          <cell r="HZ434" t="str">
            <v>80133102-61721101</v>
          </cell>
          <cell r="IA434" t="str">
            <v>TAX ACCOUNTING</v>
          </cell>
          <cell r="IB434" t="str">
            <v>GAE - Postal &amp; Communication - Telephone</v>
          </cell>
          <cell r="IF434" t="str">
            <v>Others</v>
          </cell>
          <cell r="IG434" t="str">
            <v>Postal &amp; Communication</v>
          </cell>
        </row>
        <row r="435">
          <cell r="HZ435" t="str">
            <v>80133103-61721101</v>
          </cell>
          <cell r="IA435" t="str">
            <v>PROCUREMENT</v>
          </cell>
          <cell r="IB435" t="str">
            <v>GAE - Postal &amp; Communication - Telephone</v>
          </cell>
          <cell r="IF435" t="str">
            <v>Others</v>
          </cell>
          <cell r="IG435" t="str">
            <v>Postal &amp; Communication</v>
          </cell>
        </row>
        <row r="436">
          <cell r="HZ436" t="str">
            <v>80134102-61721101</v>
          </cell>
          <cell r="IA436" t="str">
            <v>CORPORATE ACCOUNTING</v>
          </cell>
          <cell r="IB436" t="str">
            <v>GAE - Postal &amp; Communication - Telephone</v>
          </cell>
          <cell r="IF436" t="str">
            <v>Others</v>
          </cell>
          <cell r="IG436" t="str">
            <v>Postal &amp; Communication</v>
          </cell>
        </row>
        <row r="437">
          <cell r="HZ437" t="str">
            <v>80134103-61721101</v>
          </cell>
          <cell r="IA437" t="str">
            <v>BUDGET  C&amp;A</v>
          </cell>
          <cell r="IB437" t="str">
            <v>GAE - Postal &amp; Communication - Telephone</v>
          </cell>
          <cell r="IF437" t="str">
            <v>Others</v>
          </cell>
          <cell r="IG437" t="str">
            <v>Postal &amp; Communication</v>
          </cell>
        </row>
        <row r="438">
          <cell r="HZ438" t="str">
            <v>80211101-61721101</v>
          </cell>
          <cell r="IA438" t="str">
            <v>ORTIGAS MALLS DIV</v>
          </cell>
          <cell r="IB438" t="str">
            <v>GAE - Postal &amp; Communication - Telephone</v>
          </cell>
          <cell r="IF438" t="str">
            <v>Others</v>
          </cell>
          <cell r="IG438" t="str">
            <v>Postal &amp; Communication</v>
          </cell>
        </row>
        <row r="439">
          <cell r="HZ439" t="str">
            <v>80212103-61721101</v>
          </cell>
          <cell r="IA439" t="str">
            <v>OMD TREASURY</v>
          </cell>
          <cell r="IB439" t="str">
            <v>GAE - Postal &amp; Communication - Telephone</v>
          </cell>
          <cell r="IF439" t="str">
            <v>Others</v>
          </cell>
          <cell r="IG439" t="str">
            <v>Postal &amp; Communication</v>
          </cell>
        </row>
        <row r="440">
          <cell r="HZ440" t="str">
            <v>80215101-61721101</v>
          </cell>
          <cell r="IA440" t="str">
            <v>PROPERTY MANAGEMENT</v>
          </cell>
          <cell r="IB440" t="str">
            <v>GAE - Postal &amp; Communication - Telephone</v>
          </cell>
          <cell r="IF440" t="str">
            <v>Others</v>
          </cell>
          <cell r="IG440" t="str">
            <v>Postal &amp; Communication</v>
          </cell>
        </row>
        <row r="441">
          <cell r="HZ441" t="str">
            <v>80215102-61721101</v>
          </cell>
          <cell r="IA441" t="str">
            <v>TECHNICAL DESIGN</v>
          </cell>
          <cell r="IB441" t="str">
            <v>GAE - Postal &amp; Communication - Telephone</v>
          </cell>
          <cell r="IF441" t="str">
            <v>Others</v>
          </cell>
          <cell r="IG441" t="str">
            <v>Postal &amp; Communication</v>
          </cell>
        </row>
        <row r="442">
          <cell r="HZ442" t="str">
            <v>80215105-61721101</v>
          </cell>
          <cell r="IA442" t="str">
            <v>SECURITY</v>
          </cell>
          <cell r="IB442" t="str">
            <v>GAE - Postal &amp; Communication - Telephone</v>
          </cell>
          <cell r="IF442" t="str">
            <v>Others</v>
          </cell>
          <cell r="IG442" t="str">
            <v>Postal &amp; Communication</v>
          </cell>
        </row>
        <row r="443">
          <cell r="HZ443" t="str">
            <v>80215106-61721101</v>
          </cell>
          <cell r="IA443" t="str">
            <v>TECHNICAL SERVICES</v>
          </cell>
          <cell r="IB443" t="str">
            <v>GAE - Postal &amp; Communication - Telephone</v>
          </cell>
          <cell r="IF443" t="str">
            <v>Others</v>
          </cell>
          <cell r="IG443" t="str">
            <v>Postal &amp; Communication</v>
          </cell>
        </row>
        <row r="444">
          <cell r="HZ444" t="str">
            <v>80221201-61721101</v>
          </cell>
          <cell r="IA444" t="str">
            <v>GSC OLD BLDGS</v>
          </cell>
          <cell r="IB444" t="str">
            <v>GAE - Postal &amp; Communication - Telephone</v>
          </cell>
          <cell r="IF444" t="str">
            <v>Others</v>
          </cell>
          <cell r="IG444" t="str">
            <v>Postal &amp; Communication</v>
          </cell>
        </row>
        <row r="445">
          <cell r="HZ445" t="str">
            <v>80222101-61721101</v>
          </cell>
          <cell r="IA445" t="str">
            <v>TIENDESITAS</v>
          </cell>
          <cell r="IB445" t="str">
            <v>GAE - Postal &amp; Communication - Telephone</v>
          </cell>
          <cell r="IF445" t="str">
            <v>Others</v>
          </cell>
          <cell r="IG445" t="str">
            <v>Postal &amp; Communication</v>
          </cell>
        </row>
        <row r="446">
          <cell r="HZ446" t="str">
            <v>80225101-61721101</v>
          </cell>
          <cell r="IA446" t="str">
            <v>ESTANCIA RETAIL</v>
          </cell>
          <cell r="IB446" t="str">
            <v>GAE - Postal &amp; Communication - Telephone</v>
          </cell>
          <cell r="IF446" t="str">
            <v>Others</v>
          </cell>
          <cell r="IG446" t="str">
            <v>Postal &amp; Communication</v>
          </cell>
        </row>
        <row r="447">
          <cell r="HZ447" t="str">
            <v>80312102-61721101</v>
          </cell>
          <cell r="IA447" t="str">
            <v>RBU B&amp;C</v>
          </cell>
          <cell r="IB447" t="str">
            <v>GAE - Postal &amp; Communication - Telephone</v>
          </cell>
          <cell r="IF447" t="str">
            <v>Others</v>
          </cell>
          <cell r="IG447" t="str">
            <v>Postal &amp; Communication</v>
          </cell>
        </row>
        <row r="448">
          <cell r="HZ448" t="str">
            <v>80312105-61721101</v>
          </cell>
          <cell r="IA448" t="str">
            <v>OFFICE LEASING FINAN</v>
          </cell>
          <cell r="IB448" t="str">
            <v>GAE - Postal &amp; Communication - Telephone</v>
          </cell>
          <cell r="IF448" t="str">
            <v>Others</v>
          </cell>
          <cell r="IG448" t="str">
            <v>Postal &amp; Communication</v>
          </cell>
        </row>
        <row r="449">
          <cell r="HZ449" t="str">
            <v>80313102-61721101</v>
          </cell>
          <cell r="IA449" t="str">
            <v>OFFICE LEASING</v>
          </cell>
          <cell r="IB449" t="str">
            <v>GAE - Postal &amp; Communication - Telephone</v>
          </cell>
          <cell r="IF449" t="str">
            <v>Others</v>
          </cell>
          <cell r="IG449" t="str">
            <v>Postal &amp; Communication</v>
          </cell>
        </row>
        <row r="450">
          <cell r="HZ450" t="str">
            <v>80313103-61721101</v>
          </cell>
          <cell r="IA450" t="str">
            <v>HANDOVER MGT DEPT</v>
          </cell>
          <cell r="IB450" t="str">
            <v>GAE - Postal &amp; Communication - Telephone</v>
          </cell>
          <cell r="IF450" t="str">
            <v>Others</v>
          </cell>
          <cell r="IG450" t="str">
            <v>Postal &amp; Communication</v>
          </cell>
        </row>
        <row r="451">
          <cell r="HZ451" t="str">
            <v>80313104-61721101</v>
          </cell>
          <cell r="IA451" t="str">
            <v>SALES HR</v>
          </cell>
          <cell r="IB451" t="str">
            <v>GAE - Postal &amp; Communication - Telephone</v>
          </cell>
          <cell r="IF451" t="str">
            <v>Others</v>
          </cell>
          <cell r="IG451" t="str">
            <v>Postal &amp; Communication</v>
          </cell>
        </row>
        <row r="452">
          <cell r="HZ452" t="str">
            <v>80313105-61721101</v>
          </cell>
          <cell r="IA452" t="str">
            <v>SALES OPERATIONS</v>
          </cell>
          <cell r="IB452" t="str">
            <v>GAE - Postal &amp; Communication - Telephone</v>
          </cell>
          <cell r="IF452" t="str">
            <v>Others</v>
          </cell>
          <cell r="IG452" t="str">
            <v>Postal &amp; Communication</v>
          </cell>
        </row>
        <row r="453">
          <cell r="HZ453" t="str">
            <v>80313106-61721101</v>
          </cell>
          <cell r="IA453" t="str">
            <v>SALES DEVELOPMENT</v>
          </cell>
          <cell r="IB453" t="str">
            <v>GAE - Postal &amp; Communication - Telephone</v>
          </cell>
          <cell r="IF453" t="str">
            <v>Others</v>
          </cell>
          <cell r="IG453" t="str">
            <v>Postal &amp; Communication</v>
          </cell>
        </row>
        <row r="454">
          <cell r="HZ454" t="str">
            <v>80314101-61721101</v>
          </cell>
          <cell r="IA454" t="str">
            <v>CORPORATE MARKETING</v>
          </cell>
          <cell r="IB454" t="str">
            <v>GAE - Postal &amp; Communication - Telephone</v>
          </cell>
          <cell r="IF454" t="str">
            <v>Others</v>
          </cell>
          <cell r="IG454" t="str">
            <v>Postal &amp; Communication</v>
          </cell>
        </row>
        <row r="455">
          <cell r="HZ455" t="str">
            <v>80315201-61721101</v>
          </cell>
          <cell r="IA455" t="str">
            <v>RBU BD/PD</v>
          </cell>
          <cell r="IB455" t="str">
            <v>GAE - Postal &amp; Communication - Telephone</v>
          </cell>
          <cell r="IF455" t="str">
            <v>Others</v>
          </cell>
          <cell r="IG455" t="str">
            <v>Postal &amp; Communication</v>
          </cell>
        </row>
        <row r="456">
          <cell r="HZ456" t="str">
            <v>80316101-61721101</v>
          </cell>
          <cell r="IA456" t="str">
            <v>DESIGN &amp; PLANNING</v>
          </cell>
          <cell r="IB456" t="str">
            <v>GAE - Postal &amp; Communication - Telephone</v>
          </cell>
          <cell r="IF456" t="str">
            <v>Others</v>
          </cell>
          <cell r="IG456" t="str">
            <v>Postal &amp; Communication</v>
          </cell>
        </row>
        <row r="457">
          <cell r="HZ457" t="str">
            <v>80317101-61721101</v>
          </cell>
          <cell r="IA457" t="str">
            <v>CONSTRUCTION MGT</v>
          </cell>
          <cell r="IB457" t="str">
            <v>GAE - Postal &amp; Communication - Telephone</v>
          </cell>
          <cell r="IF457" t="str">
            <v>Others</v>
          </cell>
          <cell r="IG457" t="str">
            <v>Postal &amp; Communication</v>
          </cell>
        </row>
        <row r="458">
          <cell r="HZ458" t="str">
            <v>80318101-61721101</v>
          </cell>
          <cell r="IA458" t="str">
            <v>RED SECURITY</v>
          </cell>
          <cell r="IB458" t="str">
            <v>GAE - Postal &amp; Communication - Telephone</v>
          </cell>
          <cell r="IF458" t="str">
            <v>Others</v>
          </cell>
          <cell r="IG458" t="str">
            <v>Postal &amp; Communication</v>
          </cell>
        </row>
        <row r="459">
          <cell r="HZ459" t="str">
            <v>80123101-61721103</v>
          </cell>
          <cell r="IA459" t="str">
            <v>LEGAL</v>
          </cell>
          <cell r="IB459" t="str">
            <v>GAE - Postal &amp; Communication - Postal</v>
          </cell>
          <cell r="IF459" t="str">
            <v>Others</v>
          </cell>
          <cell r="IG459" t="str">
            <v>Postal &amp; Communication</v>
          </cell>
        </row>
        <row r="460">
          <cell r="HZ460" t="str">
            <v>80123102-61721103</v>
          </cell>
          <cell r="IA460" t="str">
            <v>ADMIN SERVICES</v>
          </cell>
          <cell r="IB460" t="str">
            <v>GAE - Postal &amp; Communication - Postal</v>
          </cell>
          <cell r="IF460" t="str">
            <v>Others</v>
          </cell>
          <cell r="IG460" t="str">
            <v>Postal &amp; Communication</v>
          </cell>
        </row>
        <row r="461">
          <cell r="HZ461" t="str">
            <v>80132101-61721103</v>
          </cell>
          <cell r="IA461" t="str">
            <v>TREASURY OPERATIONS</v>
          </cell>
          <cell r="IB461" t="str">
            <v>GAE - Postal &amp; Communication - Postal</v>
          </cell>
          <cell r="IF461" t="str">
            <v>Others</v>
          </cell>
          <cell r="IG461" t="str">
            <v>Postal &amp; Communication</v>
          </cell>
        </row>
        <row r="462">
          <cell r="HZ462" t="str">
            <v>80312102-61721103</v>
          </cell>
          <cell r="IA462" t="str">
            <v>RBU B&amp;C</v>
          </cell>
          <cell r="IB462" t="str">
            <v>GAE - Postal &amp; Communication - Postal</v>
          </cell>
          <cell r="IF462" t="str">
            <v>Others</v>
          </cell>
          <cell r="IG462" t="str">
            <v>Postal &amp; Communication</v>
          </cell>
        </row>
        <row r="463">
          <cell r="HZ463" t="str">
            <v>80313103-61721103</v>
          </cell>
          <cell r="IA463" t="str">
            <v>HANDOVER MGT DEPT</v>
          </cell>
          <cell r="IB463" t="str">
            <v>GAE - Postal &amp; Communication - Postal</v>
          </cell>
          <cell r="IF463" t="str">
            <v>Others</v>
          </cell>
          <cell r="IG463" t="str">
            <v>Postal &amp; Communication</v>
          </cell>
        </row>
        <row r="464">
          <cell r="HZ464" t="str">
            <v>80313104-61721103</v>
          </cell>
          <cell r="IA464" t="str">
            <v>SALES HR</v>
          </cell>
          <cell r="IB464" t="str">
            <v>GAE - Postal &amp; Communication - Postal</v>
          </cell>
          <cell r="IF464" t="str">
            <v>Others</v>
          </cell>
          <cell r="IG464" t="str">
            <v>Postal &amp; Communication</v>
          </cell>
        </row>
        <row r="465">
          <cell r="HZ465" t="str">
            <v>80313105-61721103</v>
          </cell>
          <cell r="IA465" t="str">
            <v>SALES OPERATIONS</v>
          </cell>
          <cell r="IB465" t="str">
            <v>GAE - Postal &amp; Communication - Postal</v>
          </cell>
          <cell r="IF465" t="str">
            <v>Others</v>
          </cell>
          <cell r="IG465" t="str">
            <v>Postal &amp; Communication</v>
          </cell>
        </row>
        <row r="466">
          <cell r="HZ466" t="str">
            <v>90123101-61721103</v>
          </cell>
          <cell r="IA466" t="str">
            <v>LEGAL</v>
          </cell>
          <cell r="IB466" t="str">
            <v>GAE - Postal &amp; Communication - Postal</v>
          </cell>
          <cell r="IF466" t="str">
            <v>Others</v>
          </cell>
          <cell r="IG466" t="str">
            <v>Postal &amp; Communication</v>
          </cell>
        </row>
        <row r="467">
          <cell r="HZ467" t="str">
            <v>90317101-61721103</v>
          </cell>
          <cell r="IA467" t="str">
            <v>CONSTRUCTION MGT</v>
          </cell>
          <cell r="IB467" t="str">
            <v>GAE - Postal &amp; Communication - Postal</v>
          </cell>
          <cell r="IF467" t="str">
            <v>Others</v>
          </cell>
          <cell r="IG467" t="str">
            <v>Postal &amp; Communication</v>
          </cell>
        </row>
        <row r="468">
          <cell r="HZ468" t="str">
            <v>80221201-61721105</v>
          </cell>
          <cell r="IA468" t="str">
            <v>GSC OLD BLDGS</v>
          </cell>
          <cell r="IB468" t="str">
            <v>GAE - Postal &amp; Commctn - Leased Lines/ Internet</v>
          </cell>
          <cell r="IF468" t="str">
            <v>Others</v>
          </cell>
          <cell r="IG468" t="str">
            <v>Postal &amp; Communication</v>
          </cell>
        </row>
        <row r="469">
          <cell r="HZ469" t="str">
            <v>80222101-61721105</v>
          </cell>
          <cell r="IA469" t="str">
            <v>TIENDESITAS</v>
          </cell>
          <cell r="IB469" t="str">
            <v>GAE - Postal &amp; Commctn - Leased Lines/ Internet</v>
          </cell>
          <cell r="IF469" t="str">
            <v>Others</v>
          </cell>
          <cell r="IG469" t="str">
            <v>Postal &amp; Communication</v>
          </cell>
        </row>
        <row r="470">
          <cell r="HZ470" t="str">
            <v>80225101-61721105</v>
          </cell>
          <cell r="IA470" t="str">
            <v>ESTANCIA RETAIL</v>
          </cell>
          <cell r="IB470" t="str">
            <v>GAE - Postal &amp; Commctn - Leased Lines/ Internet</v>
          </cell>
          <cell r="IF470" t="str">
            <v>Others</v>
          </cell>
          <cell r="IG470" t="str">
            <v>Postal &amp; Communication</v>
          </cell>
        </row>
        <row r="471">
          <cell r="HZ471" t="str">
            <v>80123102-61061104</v>
          </cell>
          <cell r="IA471" t="str">
            <v>ADMIN SERVICES</v>
          </cell>
          <cell r="IB471" t="str">
            <v>GAE - Repairs&amp; Maint. - Transportation Equipment</v>
          </cell>
          <cell r="IF471" t="str">
            <v>Others</v>
          </cell>
          <cell r="IG471" t="str">
            <v>Repairs &amp; Maintenance -  Vehicle</v>
          </cell>
        </row>
        <row r="472">
          <cell r="HZ472" t="str">
            <v>81211101-61061104</v>
          </cell>
          <cell r="IA472" t="str">
            <v>ORTIGAS MALLS DIV</v>
          </cell>
          <cell r="IB472" t="str">
            <v>GAE - Repairs&amp; Maint. - Transportation Equipment</v>
          </cell>
          <cell r="IF472" t="str">
            <v>Others</v>
          </cell>
          <cell r="IG472" t="str">
            <v>Repairs &amp; Maintenance</v>
          </cell>
        </row>
        <row r="473">
          <cell r="HZ473" t="str">
            <v>81221201-61061104</v>
          </cell>
          <cell r="IA473" t="str">
            <v>GSC OLD BLDGS</v>
          </cell>
          <cell r="IB473" t="str">
            <v>GAE - Repairs&amp; Maint. - Transportation Equipment</v>
          </cell>
          <cell r="IF473" t="str">
            <v>Others</v>
          </cell>
          <cell r="IG473" t="str">
            <v>Repairs &amp; Maintenance -  Vehicle</v>
          </cell>
        </row>
        <row r="474">
          <cell r="HZ474" t="str">
            <v>80123102-61061102</v>
          </cell>
          <cell r="IA474" t="str">
            <v>ADMIN SERVICES</v>
          </cell>
          <cell r="IB474" t="str">
            <v>GAE - Repairs&amp; Maint - Furniture, Fixture &amp; Equip</v>
          </cell>
          <cell r="IF474" t="str">
            <v>Others</v>
          </cell>
          <cell r="IG474" t="str">
            <v>Repairs &amp; Maintenance</v>
          </cell>
        </row>
        <row r="475">
          <cell r="HZ475" t="str">
            <v>81221201-61061102</v>
          </cell>
          <cell r="IA475" t="str">
            <v>GSC OLD BLDGS</v>
          </cell>
          <cell r="IB475" t="str">
            <v>GAE - Repairs&amp; Maint - Furniture, Fixture &amp; Equip</v>
          </cell>
          <cell r="IF475" t="str">
            <v>Others</v>
          </cell>
          <cell r="IG475" t="str">
            <v>Repairs &amp; Maintenance</v>
          </cell>
        </row>
        <row r="476">
          <cell r="HZ476" t="str">
            <v>80124101-61061105</v>
          </cell>
          <cell r="IA476" t="str">
            <v>IS &amp; IT</v>
          </cell>
          <cell r="IB476" t="str">
            <v>GAE - Repairs&amp; Maint. - IT System &amp; Equipment</v>
          </cell>
          <cell r="IF476" t="str">
            <v>Systems &amp; Applications</v>
          </cell>
        </row>
        <row r="477">
          <cell r="HZ477" t="str">
            <v>80124101-61711102</v>
          </cell>
          <cell r="IA477" t="str">
            <v>IS &amp; IT</v>
          </cell>
          <cell r="IB477" t="str">
            <v>GAE- Systems &amp; Applications</v>
          </cell>
          <cell r="IF477" t="str">
            <v>Systems &amp; Applications</v>
          </cell>
        </row>
        <row r="478">
          <cell r="HZ478" t="str">
            <v>81124101-61711102</v>
          </cell>
          <cell r="IA478" t="str">
            <v>IS &amp; IT</v>
          </cell>
          <cell r="IB478" t="str">
            <v>GAE- Systems &amp; Applications</v>
          </cell>
          <cell r="IF478" t="str">
            <v>Systems &amp; Applications</v>
          </cell>
        </row>
        <row r="479">
          <cell r="HZ479" t="str">
            <v>80312104-61061105</v>
          </cell>
          <cell r="IA479" t="str">
            <v>RBU ACCOUNTING</v>
          </cell>
          <cell r="IB479" t="str">
            <v>GAE - Repairs&amp; Maint. - IT System &amp; Equipment</v>
          </cell>
          <cell r="IF479" t="str">
            <v>Systems &amp; Applications</v>
          </cell>
        </row>
        <row r="480">
          <cell r="HZ480" t="str">
            <v>81221201-61061105</v>
          </cell>
          <cell r="IA480" t="str">
            <v>GSC OLD BLDGS</v>
          </cell>
          <cell r="IB480" t="str">
            <v>GAE - Repairs&amp; Maint. - IT System &amp; Equipment</v>
          </cell>
          <cell r="IF480" t="str">
            <v>Systems &amp; Applications</v>
          </cell>
        </row>
        <row r="481">
          <cell r="HZ481" t="str">
            <v>81225101-61061105</v>
          </cell>
          <cell r="IA481" t="str">
            <v>ESTANCIA RETAIL</v>
          </cell>
          <cell r="IB481" t="str">
            <v>GAE - Repairs&amp; Maint. - IT System &amp; Equipment</v>
          </cell>
          <cell r="IF481" t="str">
            <v>Systems &amp; Applications</v>
          </cell>
        </row>
        <row r="482">
          <cell r="HZ482" t="str">
            <v>90122101-61061105</v>
          </cell>
          <cell r="IA482" t="str">
            <v>HUMAN RESOURCES</v>
          </cell>
          <cell r="IB482" t="str">
            <v>GAE - Repairs&amp; Maint. - IT System &amp; Equipment</v>
          </cell>
          <cell r="IF482" t="str">
            <v>Systems &amp; Applications</v>
          </cell>
        </row>
        <row r="483">
          <cell r="HZ483" t="str">
            <v>81221201-61061199</v>
          </cell>
          <cell r="IA483" t="str">
            <v>GSC OLD BLDGS</v>
          </cell>
          <cell r="IB483" t="str">
            <v>GAE - Repairs&amp; Maint. - Others</v>
          </cell>
          <cell r="IF483" t="str">
            <v>Others</v>
          </cell>
          <cell r="IG483" t="str">
            <v>Repairs &amp; Maintenance</v>
          </cell>
        </row>
        <row r="484">
          <cell r="HZ484" t="str">
            <v>81222101-61061199</v>
          </cell>
          <cell r="IA484" t="str">
            <v>TIENDESITAS</v>
          </cell>
          <cell r="IB484" t="str">
            <v>GAE - Repairs&amp; Maint. - Others</v>
          </cell>
          <cell r="IF484" t="str">
            <v>Others</v>
          </cell>
          <cell r="IG484" t="str">
            <v>Repairs &amp; Maintenance</v>
          </cell>
        </row>
        <row r="485">
          <cell r="HZ485" t="str">
            <v>81225101-61061199</v>
          </cell>
          <cell r="IA485" t="str">
            <v>ESTANCIA RETAIL</v>
          </cell>
          <cell r="IB485" t="str">
            <v>GAE - Repairs&amp; Maint. - Others</v>
          </cell>
          <cell r="IF485" t="str">
            <v>Others</v>
          </cell>
          <cell r="IG485" t="str">
            <v>Repairs &amp; Maintenance</v>
          </cell>
        </row>
        <row r="486">
          <cell r="HZ486" t="str">
            <v>81221201-61061103</v>
          </cell>
          <cell r="IA486" t="str">
            <v>GSC OLD BLDGS</v>
          </cell>
          <cell r="IB486" t="str">
            <v>GAE - Repairs&amp; Maint - Machinery &amp; Cons Equip</v>
          </cell>
          <cell r="IF486" t="str">
            <v>Others</v>
          </cell>
          <cell r="IG486" t="str">
            <v>Repairs &amp; Maintenance</v>
          </cell>
        </row>
        <row r="487">
          <cell r="HZ487" t="str">
            <v>81221201-61061101</v>
          </cell>
          <cell r="IA487" t="str">
            <v>GSC OLD BLDGS</v>
          </cell>
          <cell r="IB487" t="str">
            <v>GAE - Repairs&amp; Maint. - Building &amp; Improvements</v>
          </cell>
          <cell r="IF487" t="str">
            <v>Others</v>
          </cell>
          <cell r="IG487" t="str">
            <v>Repairs &amp; Maintenance</v>
          </cell>
        </row>
        <row r="488">
          <cell r="HZ488" t="str">
            <v>81225101-61061101</v>
          </cell>
          <cell r="IA488" t="str">
            <v>ESTANCIA RETAIL</v>
          </cell>
          <cell r="IB488" t="str">
            <v>GAE - Repairs&amp; Maint. - Building &amp; Improvements</v>
          </cell>
          <cell r="IF488" t="str">
            <v>Others</v>
          </cell>
          <cell r="IG488" t="str">
            <v>Repairs &amp; Maintenance</v>
          </cell>
        </row>
        <row r="489">
          <cell r="HZ489" t="str">
            <v>80134102-61071001</v>
          </cell>
          <cell r="IA489" t="str">
            <v>CORPORATE ACCOUNTING</v>
          </cell>
          <cell r="IB489" t="str">
            <v>GAE - Prof. Fees - Audit</v>
          </cell>
          <cell r="IF489" t="str">
            <v>Professional fees</v>
          </cell>
          <cell r="IG489" t="str">
            <v>Internal and external consultants</v>
          </cell>
        </row>
        <row r="490">
          <cell r="HZ490" t="str">
            <v>81134102-61071001</v>
          </cell>
          <cell r="IA490" t="str">
            <v>CORPORATE ACCOUNTING</v>
          </cell>
          <cell r="IB490" t="str">
            <v>GAE - Prof. Fees - Audit</v>
          </cell>
          <cell r="IF490" t="str">
            <v>Professional fees</v>
          </cell>
          <cell r="IG490" t="str">
            <v>Internal and external consultants</v>
          </cell>
        </row>
        <row r="491">
          <cell r="HZ491" t="str">
            <v>81221201-61071001</v>
          </cell>
          <cell r="IA491" t="str">
            <v>GSC OLD BLDGS</v>
          </cell>
          <cell r="IB491" t="str">
            <v>GAE - Prof. Fees - Audit</v>
          </cell>
          <cell r="IF491" t="str">
            <v>Professional fees</v>
          </cell>
          <cell r="IG491" t="str">
            <v>Internal and external consultants</v>
          </cell>
        </row>
        <row r="492">
          <cell r="HZ492" t="str">
            <v>81225101-61071001</v>
          </cell>
          <cell r="IA492" t="str">
            <v>ESTANCIA RETAIL</v>
          </cell>
          <cell r="IB492" t="str">
            <v>GAE - Prof. Fees - Audit</v>
          </cell>
          <cell r="IF492" t="str">
            <v>Professional fees</v>
          </cell>
          <cell r="IG492" t="str">
            <v>Internal and external consultants</v>
          </cell>
        </row>
        <row r="493">
          <cell r="HZ493" t="str">
            <v>81321301-61071001</v>
          </cell>
          <cell r="IA493" t="str">
            <v>IBP TOWER</v>
          </cell>
          <cell r="IB493" t="str">
            <v>GAE - Prof. Fees - Audit</v>
          </cell>
          <cell r="IF493" t="str">
            <v>Professional fees</v>
          </cell>
          <cell r="IG493" t="str">
            <v>Internal and external consultants</v>
          </cell>
        </row>
        <row r="494">
          <cell r="HZ494" t="str">
            <v>90111202-61071001</v>
          </cell>
          <cell r="IA494" t="str">
            <v>INTERNAL AUDIT</v>
          </cell>
          <cell r="IB494" t="str">
            <v>GAE - Prof. Fees - Audit</v>
          </cell>
          <cell r="IF494" t="str">
            <v>Professional fees</v>
          </cell>
          <cell r="IG494" t="str">
            <v>Internal and external consultants</v>
          </cell>
        </row>
        <row r="495">
          <cell r="HZ495" t="str">
            <v>90122101-61071001</v>
          </cell>
          <cell r="IA495" t="str">
            <v>HUMAN RESOURCES</v>
          </cell>
          <cell r="IB495" t="str">
            <v>GAE - Prof. Fees - Audit</v>
          </cell>
          <cell r="IF495" t="str">
            <v>Professional fees</v>
          </cell>
          <cell r="IG495" t="str">
            <v>Internal and external consultants</v>
          </cell>
        </row>
        <row r="496">
          <cell r="HZ496" t="str">
            <v>90134102-61071001</v>
          </cell>
          <cell r="IA496" t="str">
            <v>CORPORATE ACCOUNTING</v>
          </cell>
          <cell r="IB496" t="str">
            <v>GAE - Prof. Fees - Audit</v>
          </cell>
          <cell r="IF496" t="str">
            <v>Professional fees</v>
          </cell>
          <cell r="IG496" t="str">
            <v>Internal and external consultants</v>
          </cell>
        </row>
        <row r="497">
          <cell r="HZ497" t="str">
            <v>80124101-61071004</v>
          </cell>
          <cell r="IA497" t="str">
            <v>IS &amp; IT</v>
          </cell>
          <cell r="IB497" t="str">
            <v>GAE - Prof. Fees - Consultants</v>
          </cell>
          <cell r="IF497" t="str">
            <v>Professional fees</v>
          </cell>
          <cell r="IG497" t="str">
            <v>Internal and external consultants</v>
          </cell>
        </row>
        <row r="498">
          <cell r="HZ498" t="str">
            <v>80133102-61071004</v>
          </cell>
          <cell r="IA498" t="str">
            <v>TAX ACCOUNTING</v>
          </cell>
          <cell r="IB498" t="str">
            <v>GAE - Prof. Fees - Consultants</v>
          </cell>
          <cell r="IF498" t="str">
            <v>Professional fees</v>
          </cell>
          <cell r="IG498" t="str">
            <v>Internal and external consultants</v>
          </cell>
        </row>
        <row r="499">
          <cell r="HZ499" t="str">
            <v>80134102-61071004</v>
          </cell>
          <cell r="IA499" t="str">
            <v>CORPORATE ACCOUNTING</v>
          </cell>
          <cell r="IB499" t="str">
            <v>GAE - Prof. Fees - Consultants</v>
          </cell>
          <cell r="IF499" t="str">
            <v>Professional fees</v>
          </cell>
          <cell r="IG499" t="str">
            <v>Internal and external consultants</v>
          </cell>
        </row>
        <row r="500">
          <cell r="HZ500" t="str">
            <v>81133102-61071004</v>
          </cell>
          <cell r="IA500" t="str">
            <v>TAX ACCOUNTING</v>
          </cell>
          <cell r="IB500" t="str">
            <v>GAE - Prof. Fees - Consultants</v>
          </cell>
          <cell r="IF500" t="str">
            <v>Professional fees</v>
          </cell>
          <cell r="IG500" t="str">
            <v>Internal and external consultants</v>
          </cell>
        </row>
        <row r="501">
          <cell r="HZ501" t="str">
            <v>90111101-61071004</v>
          </cell>
          <cell r="IA501" t="str">
            <v>OHI-COMMON</v>
          </cell>
          <cell r="IB501" t="str">
            <v>GAE - Prof. Fees - Consultants</v>
          </cell>
          <cell r="IF501" t="str">
            <v>Professional fees</v>
          </cell>
          <cell r="IG501" t="str">
            <v>Internal and external consultants</v>
          </cell>
        </row>
        <row r="502">
          <cell r="HZ502" t="str">
            <v>90122101-61071004</v>
          </cell>
          <cell r="IA502" t="str">
            <v>HUMAN RESOURCES</v>
          </cell>
          <cell r="IB502" t="str">
            <v>GAE - Prof. Fees - Consultants</v>
          </cell>
          <cell r="IF502" t="str">
            <v>Professional fees</v>
          </cell>
          <cell r="IG502" t="str">
            <v>Internal and external consultants</v>
          </cell>
        </row>
        <row r="503">
          <cell r="HZ503" t="str">
            <v>90133102-61071004</v>
          </cell>
          <cell r="IA503" t="str">
            <v>TAX ACCOUNTING</v>
          </cell>
          <cell r="IB503" t="str">
            <v>GAE - Prof. Fees - Consultants</v>
          </cell>
          <cell r="IF503" t="str">
            <v>Professional Fees</v>
          </cell>
          <cell r="IG503" t="str">
            <v>Internal and external consultants</v>
          </cell>
        </row>
        <row r="504">
          <cell r="HZ504" t="str">
            <v>90111201-61071003</v>
          </cell>
          <cell r="IA504" t="str">
            <v>MANCOM &amp; STAFF</v>
          </cell>
          <cell r="IB504" t="str">
            <v>GAE - Prof. Fees - Directors</v>
          </cell>
          <cell r="IF504" t="str">
            <v>Professional fees</v>
          </cell>
          <cell r="IG504" t="str">
            <v>BOD</v>
          </cell>
        </row>
        <row r="505">
          <cell r="HZ505" t="str">
            <v>80111201-61071002</v>
          </cell>
          <cell r="IA505" t="str">
            <v>MANCOM &amp; STAFF</v>
          </cell>
          <cell r="IB505" t="str">
            <v>GAE - Prof. Fees - Legal</v>
          </cell>
          <cell r="IF505" t="str">
            <v>Professional fees</v>
          </cell>
          <cell r="IG505" t="str">
            <v>Open Cases</v>
          </cell>
        </row>
        <row r="506">
          <cell r="HZ506" t="str">
            <v>80122101-61071002</v>
          </cell>
          <cell r="IA506" t="str">
            <v>HUMAN RESOURCES</v>
          </cell>
          <cell r="IB506" t="str">
            <v>GAE - Prof. Fees - Legal</v>
          </cell>
          <cell r="IF506" t="str">
            <v>Professional fees</v>
          </cell>
          <cell r="IG506" t="str">
            <v>Open Cases</v>
          </cell>
        </row>
        <row r="507">
          <cell r="HZ507" t="str">
            <v>80123101-61071002</v>
          </cell>
          <cell r="IA507" t="str">
            <v>LEGAL</v>
          </cell>
          <cell r="IB507" t="str">
            <v>GAE - Prof. Fees - Legal</v>
          </cell>
          <cell r="IF507" t="str">
            <v>Professional fees</v>
          </cell>
          <cell r="IG507" t="str">
            <v>Open Cases</v>
          </cell>
        </row>
        <row r="508">
          <cell r="HZ508" t="str">
            <v>80123101-61071005</v>
          </cell>
          <cell r="IA508" t="str">
            <v>LEGAL</v>
          </cell>
          <cell r="IB508" t="str">
            <v>GAE - Prof. Fees - Legal Retainers</v>
          </cell>
          <cell r="IF508" t="str">
            <v>Professional fees</v>
          </cell>
          <cell r="IG508" t="str">
            <v>Legal retainier fees</v>
          </cell>
        </row>
        <row r="509">
          <cell r="HZ509" t="str">
            <v>80123102-61071002</v>
          </cell>
          <cell r="IA509" t="str">
            <v>ADMIN SERVICES</v>
          </cell>
          <cell r="IB509" t="str">
            <v>GAE - Prof. Fees - Legal</v>
          </cell>
          <cell r="IF509" t="str">
            <v>Professional fees</v>
          </cell>
          <cell r="IG509" t="str">
            <v>Open Cases</v>
          </cell>
        </row>
        <row r="510">
          <cell r="HZ510" t="str">
            <v>80132101-61071002</v>
          </cell>
          <cell r="IA510" t="str">
            <v>TREASURY OPERATIONS</v>
          </cell>
          <cell r="IB510" t="str">
            <v>GAE - Prof. Fees - Legal</v>
          </cell>
          <cell r="IF510" t="str">
            <v>Professional fees</v>
          </cell>
          <cell r="IG510" t="str">
            <v>Open Cases</v>
          </cell>
        </row>
        <row r="511">
          <cell r="HZ511" t="str">
            <v>80133102-61071002</v>
          </cell>
          <cell r="IA511" t="str">
            <v>TAX ACCOUNTING</v>
          </cell>
          <cell r="IB511" t="str">
            <v>GAE - Prof. Fees - Legal</v>
          </cell>
          <cell r="IF511" t="str">
            <v>Professional fees</v>
          </cell>
          <cell r="IG511" t="str">
            <v>Open Cases</v>
          </cell>
        </row>
        <row r="512">
          <cell r="HZ512" t="str">
            <v>80312102-61071002</v>
          </cell>
          <cell r="IA512" t="str">
            <v>RBU B&amp;C</v>
          </cell>
          <cell r="IB512" t="str">
            <v>GAE - Prof. Fees - Legal</v>
          </cell>
          <cell r="IF512" t="str">
            <v>Professional fees</v>
          </cell>
          <cell r="IG512" t="str">
            <v>Open Cases</v>
          </cell>
        </row>
        <row r="513">
          <cell r="HZ513" t="str">
            <v>80313106-61071002</v>
          </cell>
          <cell r="IA513" t="str">
            <v>SALES DEVELOPMENT</v>
          </cell>
          <cell r="IB513" t="str">
            <v>GAE - Prof. Fees - Legal</v>
          </cell>
          <cell r="IF513" t="str">
            <v>Professional fees</v>
          </cell>
          <cell r="IG513" t="str">
            <v>Open Cases</v>
          </cell>
        </row>
        <row r="514">
          <cell r="HZ514" t="str">
            <v>80314101-61071002</v>
          </cell>
          <cell r="IA514" t="str">
            <v>CORPORATE MARKETING</v>
          </cell>
          <cell r="IB514" t="str">
            <v>GAE - Prof. Fees - Legal</v>
          </cell>
          <cell r="IF514" t="str">
            <v>Professional fees</v>
          </cell>
          <cell r="IG514" t="str">
            <v>Open Cases</v>
          </cell>
        </row>
        <row r="515">
          <cell r="HZ515" t="str">
            <v>80315201-61071002</v>
          </cell>
          <cell r="IA515" t="str">
            <v>RBU BD/PD</v>
          </cell>
          <cell r="IB515" t="str">
            <v>GAE - Prof. Fees - Legal</v>
          </cell>
          <cell r="IF515" t="str">
            <v>Professional fees</v>
          </cell>
          <cell r="IG515" t="str">
            <v>Open Cases</v>
          </cell>
        </row>
        <row r="516">
          <cell r="HZ516" t="str">
            <v>80317101-61071002</v>
          </cell>
          <cell r="IA516" t="str">
            <v>CONSTRUCTION MGT</v>
          </cell>
          <cell r="IB516" t="str">
            <v>GAE - Prof. Fees - Legal</v>
          </cell>
          <cell r="IF516" t="str">
            <v>Professional fees</v>
          </cell>
          <cell r="IG516" t="str">
            <v>Open Cases</v>
          </cell>
        </row>
        <row r="517">
          <cell r="HZ517" t="str">
            <v>81122101-61071002</v>
          </cell>
          <cell r="IA517" t="str">
            <v>HUMAN RESOURCES</v>
          </cell>
          <cell r="IB517" t="str">
            <v>GAE - Prof. Fees - Legal</v>
          </cell>
          <cell r="IF517" t="str">
            <v>Professional fees</v>
          </cell>
          <cell r="IG517" t="str">
            <v>Open Cases</v>
          </cell>
        </row>
        <row r="518">
          <cell r="HZ518" t="str">
            <v>81123101-61071002</v>
          </cell>
          <cell r="IA518" t="str">
            <v>LEGAL</v>
          </cell>
          <cell r="IB518" t="str">
            <v>GAE - Prof. Fees - Legal</v>
          </cell>
          <cell r="IF518" t="str">
            <v>Professional fees</v>
          </cell>
          <cell r="IG518" t="str">
            <v>Open Cases</v>
          </cell>
        </row>
        <row r="519">
          <cell r="HZ519" t="str">
            <v>81132101-61071002</v>
          </cell>
          <cell r="IA519" t="str">
            <v>TREASURY OPERATIONS</v>
          </cell>
          <cell r="IB519" t="str">
            <v>GAE - Prof. Fees - Legal</v>
          </cell>
          <cell r="IF519" t="str">
            <v>Professional fees</v>
          </cell>
          <cell r="IG519" t="str">
            <v>Open Cases</v>
          </cell>
        </row>
        <row r="520">
          <cell r="HZ520" t="str">
            <v>81133102-61071002</v>
          </cell>
          <cell r="IA520" t="str">
            <v>TAX ACCOUNTING</v>
          </cell>
          <cell r="IB520" t="str">
            <v>GAE - Prof. Fees - Legal</v>
          </cell>
          <cell r="IF520" t="str">
            <v>Professional fees</v>
          </cell>
          <cell r="IG520" t="str">
            <v>Open Cases</v>
          </cell>
        </row>
        <row r="521">
          <cell r="HZ521" t="str">
            <v>81134102-61071002</v>
          </cell>
          <cell r="IA521" t="str">
            <v>CORPORATE ACCOUNTING</v>
          </cell>
          <cell r="IB521" t="str">
            <v>GAE - Prof. Fees - Legal</v>
          </cell>
          <cell r="IF521" t="str">
            <v>Professional fees</v>
          </cell>
          <cell r="IG521" t="str">
            <v>Open Cases</v>
          </cell>
        </row>
        <row r="522">
          <cell r="HZ522" t="str">
            <v>81221201-61071002</v>
          </cell>
          <cell r="IA522" t="str">
            <v>GSC OLD BLDGS</v>
          </cell>
          <cell r="IB522" t="str">
            <v>GAE - Prof. Fees - Legal</v>
          </cell>
          <cell r="IF522" t="str">
            <v>Professional fees</v>
          </cell>
          <cell r="IG522" t="str">
            <v>Open Cases</v>
          </cell>
        </row>
        <row r="523">
          <cell r="HZ523" t="str">
            <v>81315201-61071002</v>
          </cell>
          <cell r="IA523" t="str">
            <v>RBU BD/PD</v>
          </cell>
          <cell r="IB523" t="str">
            <v>GAE - Prof. Fees - Legal</v>
          </cell>
          <cell r="IF523" t="str">
            <v>Professional fees</v>
          </cell>
          <cell r="IG523" t="str">
            <v>Open Cases</v>
          </cell>
        </row>
        <row r="524">
          <cell r="HZ524" t="str">
            <v>90123101-61071005</v>
          </cell>
          <cell r="IA524" t="str">
            <v>LEGAL</v>
          </cell>
          <cell r="IB524" t="str">
            <v>GAE - Prof. Fees - Legal Retainers</v>
          </cell>
          <cell r="IF524" t="str">
            <v>Professional fees</v>
          </cell>
          <cell r="IG524" t="str">
            <v>Legal retainier fees</v>
          </cell>
        </row>
        <row r="525">
          <cell r="HZ525" t="str">
            <v>80111201-61071099</v>
          </cell>
          <cell r="IA525" t="str">
            <v>MANCOM &amp; STAFF</v>
          </cell>
          <cell r="IB525" t="str">
            <v>GAE - Prof. Fees - Others</v>
          </cell>
          <cell r="IF525" t="str">
            <v>Professional fees</v>
          </cell>
          <cell r="IG525" t="str">
            <v>Internal and external consultants</v>
          </cell>
        </row>
        <row r="526">
          <cell r="HZ526" t="str">
            <v>80122101-61071099</v>
          </cell>
          <cell r="IA526" t="str">
            <v>HUMAN RESOURCES</v>
          </cell>
          <cell r="IB526" t="str">
            <v>GAE - Prof. Fees - Others</v>
          </cell>
          <cell r="IF526" t="str">
            <v>Professional fees</v>
          </cell>
          <cell r="IG526" t="str">
            <v>Internal and external consultants</v>
          </cell>
        </row>
        <row r="527">
          <cell r="HZ527" t="str">
            <v>81122101-61071099</v>
          </cell>
          <cell r="IA527" t="str">
            <v>HUMAN RESOURCES</v>
          </cell>
          <cell r="IB527" t="str">
            <v>GAE - Prof. Fees - Others</v>
          </cell>
          <cell r="IF527" t="str">
            <v>Professional fees</v>
          </cell>
          <cell r="IG527" t="str">
            <v>Internal and external consultants</v>
          </cell>
        </row>
        <row r="528">
          <cell r="HZ528" t="str">
            <v>90111101-61071099</v>
          </cell>
          <cell r="IA528" t="str">
            <v>OHI-COMMON</v>
          </cell>
          <cell r="IB528" t="str">
            <v>GAE - Prof. Fees - Others</v>
          </cell>
          <cell r="IF528" t="str">
            <v>Professional Fees</v>
          </cell>
          <cell r="IG528" t="str">
            <v>Internal and external consultants</v>
          </cell>
        </row>
        <row r="529">
          <cell r="HZ529" t="str">
            <v>90133102-61071099</v>
          </cell>
          <cell r="IA529" t="str">
            <v>TAX ACCOUNTING</v>
          </cell>
          <cell r="IB529" t="str">
            <v>GAE - Prof. Fees - Others</v>
          </cell>
          <cell r="IF529" t="str">
            <v>Professional fees</v>
          </cell>
          <cell r="IG529" t="str">
            <v>Internal and external consultants</v>
          </cell>
        </row>
        <row r="530">
          <cell r="HZ530" t="str">
            <v>90311101-61021501</v>
          </cell>
          <cell r="IA530" t="str">
            <v>RED-COMMON</v>
          </cell>
          <cell r="IB530" t="str">
            <v>GAE - Training - Foreign</v>
          </cell>
          <cell r="IF530" t="str">
            <v>Employee Benefits</v>
          </cell>
          <cell r="IG530" t="str">
            <v>Trainings &amp; Seminars</v>
          </cell>
        </row>
        <row r="531">
          <cell r="HZ531" t="str">
            <v>80131101-61021502</v>
          </cell>
          <cell r="IA531" t="str">
            <v>FINANCE - COMMON</v>
          </cell>
          <cell r="IB531" t="str">
            <v>GAE - Training - Corporate - Local Int/Ext</v>
          </cell>
          <cell r="IF531" t="str">
            <v>Employee Benefits</v>
          </cell>
          <cell r="IG531" t="str">
            <v>Trainings &amp; Seminars</v>
          </cell>
        </row>
        <row r="532">
          <cell r="HZ532" t="str">
            <v>80311101-61021502</v>
          </cell>
          <cell r="IA532" t="str">
            <v>RED-COMMON</v>
          </cell>
          <cell r="IB532" t="str">
            <v>GAE - Training - Corporate - Local Int/Ext</v>
          </cell>
          <cell r="IF532" t="str">
            <v>Employee Benefits</v>
          </cell>
          <cell r="IG532" t="str">
            <v>Trainings &amp; Seminars</v>
          </cell>
        </row>
        <row r="533">
          <cell r="HZ533" t="str">
            <v>81121101-61021502</v>
          </cell>
          <cell r="IA533" t="str">
            <v>CORP RESOURCES DIV</v>
          </cell>
          <cell r="IB533" t="str">
            <v>GAE - Training - Corporate - Local Int/Ext</v>
          </cell>
          <cell r="IF533" t="str">
            <v>Employee Benefits</v>
          </cell>
          <cell r="IG533" t="str">
            <v>Trainings &amp; Seminars</v>
          </cell>
        </row>
        <row r="534">
          <cell r="HZ534" t="str">
            <v>81131101-61021502</v>
          </cell>
          <cell r="IA534" t="str">
            <v>FINANCE - COMMON</v>
          </cell>
          <cell r="IB534" t="str">
            <v>GAE - Training - Corporate - Local Int/Ext</v>
          </cell>
          <cell r="IF534" t="str">
            <v>Employee Benefits</v>
          </cell>
          <cell r="IG534" t="str">
            <v>Trainings &amp; Seminars</v>
          </cell>
        </row>
        <row r="535">
          <cell r="HZ535" t="str">
            <v>81211101-61021502</v>
          </cell>
          <cell r="IA535" t="str">
            <v>ORTIGAS MALLS DIV</v>
          </cell>
          <cell r="IB535" t="str">
            <v>GAE - Training - Corporate - Local Int/Ext</v>
          </cell>
          <cell r="IF535" t="str">
            <v>Employee Benefits</v>
          </cell>
          <cell r="IG535" t="str">
            <v>Trainings &amp; Seminars</v>
          </cell>
        </row>
        <row r="536">
          <cell r="HZ536" t="str">
            <v>81311101-61021502</v>
          </cell>
          <cell r="IA536" t="str">
            <v>RED-COMMON</v>
          </cell>
          <cell r="IB536" t="str">
            <v>GAE - Training - Corporate - Local Int/Ext</v>
          </cell>
          <cell r="IF536" t="str">
            <v>Employee Benefits</v>
          </cell>
          <cell r="IG536" t="str">
            <v>Trainings &amp; Seminars</v>
          </cell>
        </row>
        <row r="537">
          <cell r="HZ537" t="str">
            <v>90111101-61021502</v>
          </cell>
          <cell r="IA537" t="str">
            <v>OHI-COMMON</v>
          </cell>
          <cell r="IB537" t="str">
            <v>GAE - Training - Corporate - Local Int/Ext</v>
          </cell>
          <cell r="IF537" t="str">
            <v>Employee Benefits</v>
          </cell>
          <cell r="IG537" t="str">
            <v>Trainings &amp; Seminars</v>
          </cell>
        </row>
        <row r="538">
          <cell r="HZ538" t="str">
            <v>90111201-61021502</v>
          </cell>
          <cell r="IA538" t="str">
            <v>MANCOM &amp; STAFF</v>
          </cell>
          <cell r="IB538" t="str">
            <v>GAE - Training - Corporate - Local Int/Ext</v>
          </cell>
          <cell r="IF538" t="str">
            <v>Employee Benefits</v>
          </cell>
          <cell r="IG538" t="str">
            <v>Trainings &amp; Seminars</v>
          </cell>
        </row>
        <row r="539">
          <cell r="HZ539" t="str">
            <v>90121101-61021502</v>
          </cell>
          <cell r="IA539" t="str">
            <v>CORP RESOURCES DIV</v>
          </cell>
          <cell r="IB539" t="str">
            <v>GAE - Training - Corporate - Local Int/Ext</v>
          </cell>
          <cell r="IF539" t="str">
            <v>Employee Benefits</v>
          </cell>
          <cell r="IG539" t="str">
            <v>Trainings &amp; Seminars</v>
          </cell>
        </row>
        <row r="540">
          <cell r="HZ540" t="str">
            <v>90131101-61021502</v>
          </cell>
          <cell r="IA540" t="str">
            <v>FINANCE - COMMON</v>
          </cell>
          <cell r="IB540" t="str">
            <v>GAE - Training - Corporate - Local Int/Ext</v>
          </cell>
          <cell r="IF540" t="str">
            <v>Employee Benefits</v>
          </cell>
          <cell r="IG540" t="str">
            <v>Trainings &amp; Seminars</v>
          </cell>
        </row>
        <row r="541">
          <cell r="HZ541" t="str">
            <v>90211101-61021502</v>
          </cell>
          <cell r="IA541" t="str">
            <v>ORTIGAS MALLS DIV</v>
          </cell>
          <cell r="IB541" t="str">
            <v>GAE - Training - Corporate - Local Int/Ext</v>
          </cell>
          <cell r="IF541" t="str">
            <v>Employee Benefits</v>
          </cell>
          <cell r="IG541" t="str">
            <v>Trainings &amp; Seminars</v>
          </cell>
        </row>
        <row r="542">
          <cell r="HZ542" t="str">
            <v>90311101-61021502</v>
          </cell>
          <cell r="IA542" t="str">
            <v>RED-COMMON</v>
          </cell>
          <cell r="IB542" t="str">
            <v>GAE - Training - Corporate - Local Int/Ext</v>
          </cell>
          <cell r="IF542" t="str">
            <v>Employee Benefits</v>
          </cell>
          <cell r="IG542" t="str">
            <v>Trainings &amp; Seminars</v>
          </cell>
        </row>
        <row r="543">
          <cell r="HZ543" t="str">
            <v>80134102-61011199</v>
          </cell>
          <cell r="IA543" t="str">
            <v>CORPORATE ACCOUNTING</v>
          </cell>
          <cell r="IB543" t="str">
            <v>GAE - Rent - Others</v>
          </cell>
          <cell r="IF543" t="str">
            <v>Others</v>
          </cell>
          <cell r="IG543" t="str">
            <v>Rent</v>
          </cell>
        </row>
        <row r="544">
          <cell r="HZ544" t="str">
            <v>81111101-61031101</v>
          </cell>
          <cell r="IA544" t="str">
            <v>CCC-COMMON</v>
          </cell>
          <cell r="IB544" t="str">
            <v>GAE - Taxes &amp; Licenses - DST</v>
          </cell>
          <cell r="IF544" t="str">
            <v>Taxes &amp; Licenses</v>
          </cell>
        </row>
        <row r="545">
          <cell r="HZ545" t="str">
            <v>80316101-61011199</v>
          </cell>
          <cell r="IA545" t="str">
            <v>DESIGN &amp; PLANNING</v>
          </cell>
          <cell r="IB545" t="str">
            <v>GAE - Rent - Others</v>
          </cell>
          <cell r="IF545" t="str">
            <v>Others</v>
          </cell>
          <cell r="IG545" t="str">
            <v>Rent</v>
          </cell>
        </row>
        <row r="546">
          <cell r="HZ546" t="str">
            <v>80131101-61071004</v>
          </cell>
          <cell r="IA546" t="str">
            <v>FINANCE - COMMON</v>
          </cell>
          <cell r="IB546" t="str">
            <v>GAE - Prof. Fees - Consultants</v>
          </cell>
          <cell r="IF546" t="str">
            <v>Professional fees</v>
          </cell>
          <cell r="IG546" t="str">
            <v>Internal and external consultants</v>
          </cell>
        </row>
        <row r="547">
          <cell r="HZ547" t="str">
            <v>81131101-61071004</v>
          </cell>
          <cell r="IA547" t="str">
            <v>FINANCE - COMMON</v>
          </cell>
          <cell r="IB547" t="str">
            <v>GAE - Prof. Fees - Consultants</v>
          </cell>
          <cell r="IF547" t="str">
            <v>Professional fees</v>
          </cell>
          <cell r="IG547" t="str">
            <v>Internal and external consultants</v>
          </cell>
        </row>
        <row r="548">
          <cell r="HZ548" t="str">
            <v>81131101-61091101</v>
          </cell>
          <cell r="IA548" t="str">
            <v>FINANCE - COMMON</v>
          </cell>
          <cell r="IB548" t="str">
            <v>GAE - Representation</v>
          </cell>
          <cell r="IF548" t="str">
            <v>Others</v>
          </cell>
          <cell r="IG548" t="str">
            <v>Entertainment, Amusement &amp; Recreation</v>
          </cell>
        </row>
        <row r="549">
          <cell r="HZ549" t="str">
            <v>80221201-61711101</v>
          </cell>
          <cell r="IA549" t="str">
            <v>GSC OLD BLDGS</v>
          </cell>
          <cell r="IB549" t="str">
            <v>GAE - Dues &amp; Fees</v>
          </cell>
          <cell r="IF549" t="str">
            <v>Others</v>
          </cell>
          <cell r="IG549" t="str">
            <v>Dues and Fees</v>
          </cell>
        </row>
        <row r="550">
          <cell r="HZ550" t="str">
            <v>80122101-61021316</v>
          </cell>
          <cell r="IA550" t="str">
            <v>HUMAN RESOURCES</v>
          </cell>
          <cell r="IB550" t="str">
            <v>GAE - Recruitment Expense</v>
          </cell>
          <cell r="IF550" t="str">
            <v>Employee Benefits</v>
          </cell>
          <cell r="IG550" t="str">
            <v>Recruitment</v>
          </cell>
        </row>
        <row r="551">
          <cell r="HZ551" t="str">
            <v>80111201-61011199</v>
          </cell>
          <cell r="IA551" t="str">
            <v>MANCOM &amp; STAFF</v>
          </cell>
          <cell r="IB551" t="str">
            <v>GAE - Rent - Others</v>
          </cell>
          <cell r="IF551" t="str">
            <v>Others</v>
          </cell>
          <cell r="IG551" t="str">
            <v>Rent</v>
          </cell>
        </row>
        <row r="552">
          <cell r="HZ552" t="str">
            <v>90111201-61021105</v>
          </cell>
          <cell r="IA552" t="str">
            <v>MANCOM &amp; STAFF</v>
          </cell>
          <cell r="IB552" t="str">
            <v>GAE - Payroll - Regular Employee - Bonus</v>
          </cell>
          <cell r="IF552" t="str">
            <v>Salaries</v>
          </cell>
          <cell r="IG552" t="str">
            <v>Guaranteed Bonus</v>
          </cell>
        </row>
        <row r="553">
          <cell r="HZ553" t="str">
            <v>90111201-61021302</v>
          </cell>
          <cell r="IA553" t="str">
            <v>MANCOM &amp; STAFF</v>
          </cell>
          <cell r="IB553" t="str">
            <v>GAE - Employee Benefits - Medical Allowance</v>
          </cell>
          <cell r="IF553" t="str">
            <v>Employee Benefits</v>
          </cell>
          <cell r="IG553" t="str">
            <v>Medical/Insurance</v>
          </cell>
        </row>
        <row r="554">
          <cell r="HZ554" t="str">
            <v>80313102-61011199</v>
          </cell>
          <cell r="IA554" t="str">
            <v>OFFICE LEASING</v>
          </cell>
          <cell r="IB554" t="str">
            <v>GAE - Rent - Others</v>
          </cell>
          <cell r="IF554" t="str">
            <v>Others</v>
          </cell>
          <cell r="IG554" t="str">
            <v>Rent</v>
          </cell>
        </row>
        <row r="555">
          <cell r="HZ555" t="str">
            <v>90111101-61081101</v>
          </cell>
          <cell r="IA555" t="str">
            <v>OHI-COMMON</v>
          </cell>
          <cell r="IB555" t="str">
            <v>GAE - Transportation</v>
          </cell>
          <cell r="IF555" t="str">
            <v>Others</v>
          </cell>
          <cell r="IG555" t="str">
            <v>Transportation &amp; Travel</v>
          </cell>
        </row>
        <row r="556">
          <cell r="HZ556" t="str">
            <v>80312104-61011199</v>
          </cell>
          <cell r="IA556" t="str">
            <v>RBU ACCOUNTING</v>
          </cell>
          <cell r="IB556" t="str">
            <v>GAE - Rent - Others</v>
          </cell>
          <cell r="IF556" t="str">
            <v>Others</v>
          </cell>
          <cell r="IG556" t="str">
            <v>Rent</v>
          </cell>
        </row>
        <row r="557">
          <cell r="HZ557" t="str">
            <v>80211101-61711101</v>
          </cell>
          <cell r="IA557" t="str">
            <v>ORTIGAS MALLS DIV</v>
          </cell>
          <cell r="IB557" t="str">
            <v>GAE - Dues &amp; Fees</v>
          </cell>
          <cell r="IF557" t="str">
            <v>Others</v>
          </cell>
          <cell r="IG557" t="str">
            <v>Dues and Fees</v>
          </cell>
        </row>
        <row r="558">
          <cell r="HZ558" t="str">
            <v>80133102-61011199</v>
          </cell>
          <cell r="IA558" t="str">
            <v>TAX ACCOUNTING</v>
          </cell>
          <cell r="IB558" t="str">
            <v>GAE - Rent - Others</v>
          </cell>
          <cell r="IF558" t="str">
            <v>Others</v>
          </cell>
          <cell r="IG558" t="str">
            <v>Rent</v>
          </cell>
        </row>
        <row r="559">
          <cell r="HZ559" t="str">
            <v>90111201-61021307</v>
          </cell>
          <cell r="IA559" t="str">
            <v>MANCOM &amp; STAFF</v>
          </cell>
          <cell r="IB559" t="str">
            <v>GAE - Employee Benefits - Uniform</v>
          </cell>
          <cell r="IF559" t="str">
            <v>Employee Benefits</v>
          </cell>
          <cell r="IG559" t="str">
            <v>Uniform</v>
          </cell>
        </row>
        <row r="560">
          <cell r="HZ560" t="str">
            <v>81221201-61959999</v>
          </cell>
          <cell r="IA560" t="str">
            <v>GSC OLD BLDGS</v>
          </cell>
          <cell r="IB560" t="str">
            <v>GAE - Others</v>
          </cell>
          <cell r="IF560" t="str">
            <v>Others</v>
          </cell>
          <cell r="IG560" t="str">
            <v>Others</v>
          </cell>
        </row>
        <row r="561">
          <cell r="HZ561" t="str">
            <v>90123101-61071004</v>
          </cell>
          <cell r="IA561" t="str">
            <v>LEGAL</v>
          </cell>
          <cell r="IB561" t="str">
            <v>GAE - Prof. Fees - Consultants</v>
          </cell>
          <cell r="IF561" t="str">
            <v>Professional fees</v>
          </cell>
          <cell r="IG561" t="str">
            <v>Internal and external consultants</v>
          </cell>
        </row>
        <row r="562">
          <cell r="HZ562" t="str">
            <v>81221203-61061105</v>
          </cell>
          <cell r="IA562" t="str">
            <v>GSC TIANGGE</v>
          </cell>
          <cell r="IB562" t="str">
            <v>GAE - Repairs&amp; Maint. - IT System &amp; Equipment</v>
          </cell>
          <cell r="IF562" t="str">
            <v>Systems &amp; Applications</v>
          </cell>
        </row>
        <row r="563">
          <cell r="HZ563" t="str">
            <v>80111202-61071001</v>
          </cell>
          <cell r="IA563" t="str">
            <v>INTERNAL AUDIT</v>
          </cell>
          <cell r="IB563" t="str">
            <v>GAE - Prof. Fees - Audit</v>
          </cell>
          <cell r="IF563" t="str">
            <v>Professional fees</v>
          </cell>
          <cell r="IG563" t="str">
            <v>Internal and external consultants</v>
          </cell>
        </row>
        <row r="564">
          <cell r="HZ564" t="str">
            <v>80132102-61071004</v>
          </cell>
          <cell r="IA564" t="str">
            <v>TREASURY SERVICES</v>
          </cell>
          <cell r="IB564" t="str">
            <v>GAE - Prof. Fees - Consultants</v>
          </cell>
          <cell r="IF564" t="str">
            <v>Professional fees</v>
          </cell>
          <cell r="IG564" t="str">
            <v>Internal and external consultants</v>
          </cell>
        </row>
        <row r="565">
          <cell r="HZ565" t="str">
            <v>81221201-61061111</v>
          </cell>
          <cell r="IA565" t="str">
            <v>GSC OLD BLDGS</v>
          </cell>
          <cell r="IB565" t="str">
            <v>GAE - R&amp;M - Building &amp; Improvements Restricted</v>
          </cell>
          <cell r="IF565" t="str">
            <v>Others</v>
          </cell>
          <cell r="IG565" t="str">
            <v>Repairs &amp; Maintenance</v>
          </cell>
        </row>
        <row r="566">
          <cell r="HZ566" t="str">
            <v>81222101-61061101</v>
          </cell>
          <cell r="IA566" t="str">
            <v>TIENDESITAS</v>
          </cell>
          <cell r="IB566" t="str">
            <v>GAE - Repairs&amp; Maint. - Building &amp; Improvements</v>
          </cell>
          <cell r="IF566" t="str">
            <v>Others</v>
          </cell>
          <cell r="IG566" t="str">
            <v>Repairs &amp; Maintenance</v>
          </cell>
        </row>
        <row r="567">
          <cell r="HZ567" t="str">
            <v>81222101-61061105</v>
          </cell>
          <cell r="IA567" t="str">
            <v>TIENDESITAS</v>
          </cell>
          <cell r="IB567" t="str">
            <v>GAE - Repairs&amp; Maint. - IT System &amp; Equipment</v>
          </cell>
          <cell r="IF567" t="str">
            <v>Systems &amp; Applications</v>
          </cell>
        </row>
        <row r="568">
          <cell r="HZ568" t="str">
            <v>80134103-61901109</v>
          </cell>
          <cell r="IA568" t="str">
            <v>BUDGET  C&amp;A</v>
          </cell>
          <cell r="IB568" t="str">
            <v>GAE - Depreciation &amp; Amort. - Transpo Equipment</v>
          </cell>
          <cell r="IF568" t="str">
            <v>MTS</v>
          </cell>
          <cell r="IG568" t="str">
            <v>MTS</v>
          </cell>
        </row>
        <row r="569">
          <cell r="HZ569" t="str">
            <v>80111101-61021102</v>
          </cell>
          <cell r="IA569" t="str">
            <v>OCLP-COMMON</v>
          </cell>
          <cell r="IB569" t="str">
            <v>GAE - Payroll - Regular Employee - Basic</v>
          </cell>
          <cell r="IF569" t="str">
            <v>Salaries</v>
          </cell>
          <cell r="IG569" t="str">
            <v>Regular Employee</v>
          </cell>
        </row>
        <row r="570">
          <cell r="HZ570" t="str">
            <v>81111101-61021102</v>
          </cell>
          <cell r="IA570" t="str">
            <v>CCC-COMMON</v>
          </cell>
          <cell r="IB570" t="str">
            <v>GAE - Payroll - Regular Employee - Basic</v>
          </cell>
          <cell r="IF570" t="str">
            <v>Salaries</v>
          </cell>
          <cell r="IG570" t="str">
            <v>Regular Employee</v>
          </cell>
        </row>
        <row r="571">
          <cell r="HZ571" t="str">
            <v>80121101-61021103</v>
          </cell>
          <cell r="IA571" t="str">
            <v>CORP RESOURCES DIV</v>
          </cell>
          <cell r="IB571" t="str">
            <v>GAE - Payroll - Regular Employee - OT</v>
          </cell>
          <cell r="IF571" t="str">
            <v>Salaries</v>
          </cell>
          <cell r="IG571" t="str">
            <v>OT Pay</v>
          </cell>
        </row>
        <row r="572">
          <cell r="HZ572" t="str">
            <v>81211101-61021206</v>
          </cell>
          <cell r="IA572" t="str">
            <v>ORTIGAS MALLS DIV</v>
          </cell>
          <cell r="IB572" t="str">
            <v>GAE - Student Trainee</v>
          </cell>
          <cell r="IF572" t="str">
            <v>Salaries</v>
          </cell>
          <cell r="IG572" t="str">
            <v>OJT</v>
          </cell>
        </row>
        <row r="573">
          <cell r="HZ573" t="str">
            <v>80121101-61021301</v>
          </cell>
          <cell r="IA573" t="str">
            <v>CORP RESOURCES DIV</v>
          </cell>
          <cell r="IB573" t="str">
            <v>GAE - Employee Benefits - Life Insurance</v>
          </cell>
          <cell r="IF573" t="str">
            <v>Employee Benefits</v>
          </cell>
          <cell r="IG573" t="str">
            <v>Medical/Insurance</v>
          </cell>
        </row>
        <row r="574">
          <cell r="HZ574" t="str">
            <v>80311101-61021301</v>
          </cell>
          <cell r="IA574" t="str">
            <v>RED-COMMON</v>
          </cell>
          <cell r="IB574" t="str">
            <v>GAE - Employee Benefits - Life Insurance</v>
          </cell>
          <cell r="IF574" t="str">
            <v>Employee Benefits</v>
          </cell>
          <cell r="IG574" t="str">
            <v>Medical/Insurance</v>
          </cell>
        </row>
        <row r="575">
          <cell r="HZ575" t="str">
            <v>80121101-61021302</v>
          </cell>
          <cell r="IA575" t="str">
            <v>CORP RESOURCES DIV</v>
          </cell>
          <cell r="IB575" t="str">
            <v>GAE - Employee Benefits - Medical Allowance</v>
          </cell>
          <cell r="IF575" t="str">
            <v>Employee Benefits</v>
          </cell>
          <cell r="IG575" t="str">
            <v>Medical/Insurance</v>
          </cell>
        </row>
        <row r="576">
          <cell r="HZ576" t="str">
            <v>81111101-61021302</v>
          </cell>
          <cell r="IA576" t="str">
            <v>CCC-COMMON</v>
          </cell>
          <cell r="IB576" t="str">
            <v>GAE - Employee Benefits - Medical Allowance</v>
          </cell>
          <cell r="IF576" t="str">
            <v>Employee Benefits</v>
          </cell>
          <cell r="IG576" t="str">
            <v>Medical/Insurance</v>
          </cell>
        </row>
        <row r="577">
          <cell r="HZ577" t="str">
            <v>80311101-61021302</v>
          </cell>
          <cell r="IA577" t="str">
            <v>RED-COMMON</v>
          </cell>
          <cell r="IB577" t="str">
            <v>GAE - Employee Benefits - Medical Allowance</v>
          </cell>
          <cell r="IF577" t="str">
            <v>Employee Benefits</v>
          </cell>
          <cell r="IG577" t="str">
            <v>Medical/Insurance</v>
          </cell>
        </row>
        <row r="578">
          <cell r="HZ578" t="str">
            <v>80111101-61021306</v>
          </cell>
          <cell r="IA578" t="str">
            <v>OCLP-COMMON</v>
          </cell>
          <cell r="IB578" t="str">
            <v>GAE - Employee Benefits - SSS,PHIC, HDMF</v>
          </cell>
          <cell r="IF578" t="str">
            <v>Employee Benefits</v>
          </cell>
          <cell r="IG578" t="str">
            <v>Government Contributions</v>
          </cell>
        </row>
        <row r="579">
          <cell r="HZ579" t="str">
            <v>81111101-61021306</v>
          </cell>
          <cell r="IA579" t="str">
            <v>CCC-COMMON</v>
          </cell>
          <cell r="IB579" t="str">
            <v>GAE - Employee Benefits - SSS,PHIC, HDMF</v>
          </cell>
          <cell r="IF579" t="str">
            <v>Employee Benefits</v>
          </cell>
          <cell r="IG579" t="str">
            <v>Government Contributions</v>
          </cell>
        </row>
        <row r="580">
          <cell r="HZ580" t="str">
            <v>80131101-61021316</v>
          </cell>
          <cell r="IA580" t="str">
            <v>FINANCE - COMMON</v>
          </cell>
          <cell r="IB580" t="str">
            <v>GAE - Recruitment Expense</v>
          </cell>
          <cell r="IF580" t="str">
            <v>Employee Benefits</v>
          </cell>
          <cell r="IG580" t="str">
            <v>Recruitment</v>
          </cell>
        </row>
        <row r="581">
          <cell r="HZ581" t="str">
            <v>80111101-61021317</v>
          </cell>
          <cell r="IA581" t="str">
            <v>OCLP-COMMON</v>
          </cell>
          <cell r="IB581" t="str">
            <v>GAE - Employee Benefits - Bonus</v>
          </cell>
          <cell r="IF581" t="str">
            <v>PB</v>
          </cell>
        </row>
        <row r="582">
          <cell r="HZ582" t="str">
            <v>80111101-61021403</v>
          </cell>
          <cell r="IA582" t="str">
            <v>OCLP-COMMON</v>
          </cell>
          <cell r="IB582" t="str">
            <v>GAE - Employees' Welfare</v>
          </cell>
          <cell r="IF582" t="str">
            <v>Employee Benefits</v>
          </cell>
          <cell r="IG582" t="str">
            <v>Employee Programs/Perks</v>
          </cell>
        </row>
        <row r="583">
          <cell r="HZ583" t="str">
            <v>81111101-61021403</v>
          </cell>
          <cell r="IA583" t="str">
            <v>CCC-COMMON</v>
          </cell>
          <cell r="IB583" t="str">
            <v>GAE - Employees' Welfare</v>
          </cell>
          <cell r="IF583" t="str">
            <v>Employee Benefits</v>
          </cell>
          <cell r="IG583" t="str">
            <v>Employee Programs/Perks</v>
          </cell>
        </row>
        <row r="584">
          <cell r="HZ584" t="str">
            <v>90122101-61021403</v>
          </cell>
          <cell r="IA584" t="str">
            <v>HUMAN RESOURCES</v>
          </cell>
          <cell r="IB584" t="str">
            <v>GAE - Employees' Welfare</v>
          </cell>
          <cell r="IF584" t="str">
            <v>Employee Benefits</v>
          </cell>
          <cell r="IG584" t="str">
            <v>Employee Programs/Perks</v>
          </cell>
        </row>
        <row r="585">
          <cell r="HZ585" t="str">
            <v>90314101-61021403</v>
          </cell>
          <cell r="IA585" t="str">
            <v>CORPORATE MARKETING</v>
          </cell>
          <cell r="IB585" t="str">
            <v>GAE - Employees' Welfare</v>
          </cell>
          <cell r="IF585" t="str">
            <v>Employee Benefits</v>
          </cell>
          <cell r="IG585" t="str">
            <v>Employee Programs/Perks</v>
          </cell>
        </row>
        <row r="586">
          <cell r="HZ586" t="str">
            <v>80313101-61011101</v>
          </cell>
          <cell r="IA586" t="str">
            <v>SALES</v>
          </cell>
          <cell r="IB586" t="str">
            <v>GAE - Rent - Furniture, Fixtures &amp; Equipment</v>
          </cell>
          <cell r="IF586" t="str">
            <v>Others</v>
          </cell>
          <cell r="IG586" t="str">
            <v>Rent</v>
          </cell>
        </row>
        <row r="587">
          <cell r="HZ587" t="str">
            <v>80122101-61011199</v>
          </cell>
          <cell r="IA587" t="str">
            <v>HUMAN RESOURCES</v>
          </cell>
          <cell r="IB587" t="str">
            <v>GAE - Rent - Others</v>
          </cell>
          <cell r="IF587" t="str">
            <v>Others</v>
          </cell>
          <cell r="IG587" t="str">
            <v>Rent</v>
          </cell>
        </row>
        <row r="588">
          <cell r="HZ588" t="str">
            <v>80126102-61011199</v>
          </cell>
          <cell r="IA588" t="str">
            <v>DCMG - PROP SALES</v>
          </cell>
          <cell r="IB588" t="str">
            <v>GAE - Rent - Others</v>
          </cell>
          <cell r="IF588" t="str">
            <v>Others</v>
          </cell>
          <cell r="IG588" t="str">
            <v>Rent</v>
          </cell>
        </row>
        <row r="589">
          <cell r="HZ589" t="str">
            <v>80312102-61011199</v>
          </cell>
          <cell r="IA589" t="str">
            <v>RBU B&amp;C</v>
          </cell>
          <cell r="IB589" t="str">
            <v>GAE - Rent - Others</v>
          </cell>
          <cell r="IF589" t="str">
            <v>Others</v>
          </cell>
          <cell r="IG589" t="str">
            <v>Rent</v>
          </cell>
        </row>
        <row r="590">
          <cell r="HZ590" t="str">
            <v>80319201-61011199</v>
          </cell>
          <cell r="IA590" t="str">
            <v>TPSG-RESIDENTIAL</v>
          </cell>
          <cell r="IB590" t="str">
            <v>GAE - Rent - Others</v>
          </cell>
          <cell r="IF590" t="str">
            <v>Others</v>
          </cell>
          <cell r="IG590" t="str">
            <v>Rent</v>
          </cell>
        </row>
        <row r="591">
          <cell r="HZ591" t="str">
            <v>80133102-61031101</v>
          </cell>
          <cell r="IA591" t="str">
            <v>TAX ACCOUNTING</v>
          </cell>
          <cell r="IB591" t="str">
            <v>GAE - Taxes &amp; Licenses - DST</v>
          </cell>
          <cell r="IF591" t="str">
            <v>Taxes &amp; Licenses</v>
          </cell>
        </row>
        <row r="592">
          <cell r="HZ592" t="str">
            <v>80313101-61051199</v>
          </cell>
          <cell r="IA592" t="str">
            <v>SALES</v>
          </cell>
          <cell r="IB592" t="str">
            <v>GAE - Contracted Services - Others</v>
          </cell>
          <cell r="IF592" t="str">
            <v>Contracted services</v>
          </cell>
          <cell r="IG592" t="str">
            <v>Contracted-Others</v>
          </cell>
        </row>
        <row r="593">
          <cell r="HZ593" t="str">
            <v>80315201-61051199</v>
          </cell>
          <cell r="IA593" t="str">
            <v>RBU BD/PD</v>
          </cell>
          <cell r="IB593" t="str">
            <v>GAE - Contracted Services - Others</v>
          </cell>
          <cell r="IF593" t="str">
            <v>Contracted services</v>
          </cell>
          <cell r="IG593" t="str">
            <v>Contracted-Others</v>
          </cell>
        </row>
        <row r="594">
          <cell r="HZ594" t="str">
            <v>90133102-61051199</v>
          </cell>
          <cell r="IA594" t="str">
            <v>TAX ACCOUNTING</v>
          </cell>
          <cell r="IB594" t="str">
            <v>GAE - Contracted Services - Others</v>
          </cell>
          <cell r="IF594" t="str">
            <v>Contracted services</v>
          </cell>
          <cell r="IG594" t="str">
            <v>Contracted-Others</v>
          </cell>
        </row>
        <row r="595">
          <cell r="HZ595" t="str">
            <v>80111205-61061102</v>
          </cell>
          <cell r="IA595" t="str">
            <v>CORPORATE PLANNING</v>
          </cell>
          <cell r="IB595" t="str">
            <v>GAE - Repairs&amp; Maint - Furniture, Fixture &amp; Equip</v>
          </cell>
          <cell r="IF595" t="str">
            <v>Others</v>
          </cell>
          <cell r="IG595" t="str">
            <v>Repairs &amp; Maintenance</v>
          </cell>
        </row>
        <row r="596">
          <cell r="HZ596" t="str">
            <v>80126101-61061102</v>
          </cell>
          <cell r="IA596" t="str">
            <v>DCMG - LEASING</v>
          </cell>
          <cell r="IB596" t="str">
            <v>GAE - Repairs&amp; Maint - Furniture, Fixture &amp; Equip</v>
          </cell>
          <cell r="IF596" t="str">
            <v>Others</v>
          </cell>
          <cell r="IG596" t="str">
            <v>Repairs &amp; Maintenance</v>
          </cell>
        </row>
        <row r="597">
          <cell r="HZ597" t="str">
            <v>80134102-61061102</v>
          </cell>
          <cell r="IA597" t="str">
            <v>CORPORATE ACCOUNTING</v>
          </cell>
          <cell r="IB597" t="str">
            <v>GAE - Repairs&amp; Maint - Furniture, Fixture &amp; Equip</v>
          </cell>
          <cell r="IF597" t="str">
            <v>Others</v>
          </cell>
          <cell r="IG597" t="str">
            <v>Repairs &amp; Maintenance</v>
          </cell>
        </row>
        <row r="598">
          <cell r="HZ598" t="str">
            <v>80315201-61061102</v>
          </cell>
          <cell r="IA598" t="str">
            <v>RBU BD/PD</v>
          </cell>
          <cell r="IB598" t="str">
            <v>GAE - Repairs&amp; Maint - Furniture, Fixture &amp; Equip</v>
          </cell>
          <cell r="IF598" t="str">
            <v>Others</v>
          </cell>
          <cell r="IG598" t="str">
            <v>Repairs &amp; Maintenance</v>
          </cell>
        </row>
        <row r="599">
          <cell r="HZ599" t="str">
            <v>81221201-61061105</v>
          </cell>
          <cell r="IA599" t="str">
            <v>GSC OLD BLDGS</v>
          </cell>
          <cell r="IB599" t="str">
            <v>GAE - Repairs&amp; Maint. - IT System &amp; Equipment</v>
          </cell>
          <cell r="IF599" t="str">
            <v>Others</v>
          </cell>
          <cell r="IG599" t="str">
            <v>Repairs &amp; Maintenance</v>
          </cell>
        </row>
        <row r="600">
          <cell r="HZ600" t="str">
            <v>81222102-61061105</v>
          </cell>
          <cell r="IA600" t="str">
            <v>TIENDESITAS PARKING</v>
          </cell>
          <cell r="IB600" t="str">
            <v>GAE - Repairs&amp; Maint. - IT System &amp; Equipment</v>
          </cell>
          <cell r="IF600" t="str">
            <v>Others</v>
          </cell>
          <cell r="IG600" t="str">
            <v>Repairs &amp; Maintenance</v>
          </cell>
        </row>
        <row r="601">
          <cell r="HZ601" t="str">
            <v>81225101-61061105</v>
          </cell>
          <cell r="IA601" t="str">
            <v>ESTANCIA RETAIL</v>
          </cell>
          <cell r="IB601" t="str">
            <v>GAE - Repairs&amp; Maint. - IT System &amp; Equipment</v>
          </cell>
          <cell r="IF601" t="str">
            <v>Others</v>
          </cell>
          <cell r="IG601" t="str">
            <v>Repairs &amp; Maintenance</v>
          </cell>
        </row>
        <row r="602">
          <cell r="HZ602" t="str">
            <v>81225101-61061111</v>
          </cell>
          <cell r="IA602" t="str">
            <v>ESTANCIA RETAIL</v>
          </cell>
          <cell r="IB602" t="str">
            <v>GAE - R&amp;M - Building &amp; Improvements Restricted</v>
          </cell>
          <cell r="IF602" t="str">
            <v>Others</v>
          </cell>
          <cell r="IG602" t="str">
            <v>Repairs &amp; Maintenance</v>
          </cell>
        </row>
        <row r="603">
          <cell r="HZ603" t="str">
            <v>80123102-61061199</v>
          </cell>
          <cell r="IA603" t="str">
            <v>ADMIN SERVICES</v>
          </cell>
          <cell r="IB603" t="str">
            <v>GAE - Repairs&amp; Maint. - Others</v>
          </cell>
          <cell r="IF603" t="str">
            <v>Others</v>
          </cell>
          <cell r="IG603" t="str">
            <v>Repairs &amp; Maintenance</v>
          </cell>
        </row>
        <row r="604">
          <cell r="HZ604" t="str">
            <v>81312105-61071001</v>
          </cell>
          <cell r="IA604" t="str">
            <v>OFFICE LEASING FINAN</v>
          </cell>
          <cell r="IB604" t="str">
            <v>GAE - Prof. Fees - Audit</v>
          </cell>
          <cell r="IF604" t="str">
            <v>Professional fees</v>
          </cell>
          <cell r="IG604" t="str">
            <v>Internal and external consultants</v>
          </cell>
        </row>
        <row r="605">
          <cell r="HZ605" t="str">
            <v>81123101-61071002</v>
          </cell>
          <cell r="IA605" t="str">
            <v>LEGAL</v>
          </cell>
          <cell r="IB605" t="str">
            <v>GAE - Prof. Fees - Legal</v>
          </cell>
          <cell r="IF605" t="str">
            <v>Professional fees</v>
          </cell>
          <cell r="IG605" t="str">
            <v>Open Cases</v>
          </cell>
        </row>
        <row r="606">
          <cell r="HZ606" t="str">
            <v>81221201-61071002</v>
          </cell>
          <cell r="IA606" t="str">
            <v>GSC OLD BLDGS</v>
          </cell>
          <cell r="IB606" t="str">
            <v>GAE - Prof. Fees - Legal</v>
          </cell>
          <cell r="IF606" t="str">
            <v>Professional fees</v>
          </cell>
          <cell r="IG606" t="str">
            <v>Open Cases</v>
          </cell>
        </row>
        <row r="607">
          <cell r="HZ607" t="str">
            <v>90123101-61071002</v>
          </cell>
          <cell r="IA607" t="str">
            <v>LEGAL</v>
          </cell>
          <cell r="IB607" t="str">
            <v>GAE - Prof. Fees - Legal</v>
          </cell>
          <cell r="IF607" t="str">
            <v>Professional fees</v>
          </cell>
          <cell r="IG607" t="str">
            <v>Open Cases</v>
          </cell>
        </row>
        <row r="608">
          <cell r="HZ608" t="str">
            <v>80122101-61071004</v>
          </cell>
          <cell r="IA608" t="str">
            <v>HUMAN RESOURCES</v>
          </cell>
          <cell r="IB608" t="str">
            <v>GAE - Prof. Fees - Consultants</v>
          </cell>
          <cell r="IF608" t="str">
            <v>Professional fees</v>
          </cell>
          <cell r="IG608" t="str">
            <v>Internal and external consultants</v>
          </cell>
        </row>
        <row r="609">
          <cell r="HZ609" t="str">
            <v>80123102-61071004</v>
          </cell>
          <cell r="IA609" t="str">
            <v>ADMIN SERVICES</v>
          </cell>
          <cell r="IB609" t="str">
            <v>GAE - Prof. Fees - Consultants</v>
          </cell>
          <cell r="IF609" t="str">
            <v>Professional fees</v>
          </cell>
          <cell r="IG609" t="str">
            <v>Internal and external consultants</v>
          </cell>
        </row>
        <row r="610">
          <cell r="HZ610" t="str">
            <v>80319203-61071004</v>
          </cell>
          <cell r="IA610" t="str">
            <v>TPSG-TECHNICAL SERVI</v>
          </cell>
          <cell r="IB610" t="str">
            <v>GAE - Prof. Fees - Consultants</v>
          </cell>
          <cell r="IF610" t="str">
            <v>Professional fees</v>
          </cell>
          <cell r="IG610" t="str">
            <v>Internal and external consultants</v>
          </cell>
        </row>
        <row r="611">
          <cell r="HZ611" t="str">
            <v>90122101-61071099</v>
          </cell>
          <cell r="IA611" t="str">
            <v>HUMAN RESOURCES</v>
          </cell>
          <cell r="IB611" t="str">
            <v>GAE - Prof. Fees - Others</v>
          </cell>
          <cell r="IF611" t="str">
            <v>Professional fees</v>
          </cell>
          <cell r="IG611" t="str">
            <v>Internal and external consultants</v>
          </cell>
        </row>
        <row r="612">
          <cell r="HZ612" t="str">
            <v>80315201-61071099</v>
          </cell>
          <cell r="IA612" t="str">
            <v>RBU BD/PD</v>
          </cell>
          <cell r="IB612" t="str">
            <v>GAE - Prof. Fees - Others</v>
          </cell>
          <cell r="IF612" t="str">
            <v>Professional fees</v>
          </cell>
          <cell r="IG612" t="str">
            <v>Internal and external consultants</v>
          </cell>
        </row>
        <row r="613">
          <cell r="HZ613" t="str">
            <v>81133102-61071099</v>
          </cell>
          <cell r="IA613" t="str">
            <v>TAX ACCOUNTING</v>
          </cell>
          <cell r="IB613" t="str">
            <v>GAE - Prof. Fees - Others</v>
          </cell>
          <cell r="IF613" t="str">
            <v>Professional fees</v>
          </cell>
          <cell r="IG613" t="str">
            <v>Internal and external consultants</v>
          </cell>
        </row>
        <row r="614">
          <cell r="HZ614" t="str">
            <v>80126101-61081101</v>
          </cell>
          <cell r="IA614" t="str">
            <v>DCMG - LEASING</v>
          </cell>
          <cell r="IB614" t="str">
            <v>GAE - Transportation</v>
          </cell>
          <cell r="IF614" t="str">
            <v>Others</v>
          </cell>
          <cell r="IG614" t="str">
            <v>Transportation &amp; Travel</v>
          </cell>
        </row>
        <row r="615">
          <cell r="HZ615" t="str">
            <v>80313101-61081101</v>
          </cell>
          <cell r="IA615" t="str">
            <v>SALES</v>
          </cell>
          <cell r="IB615" t="str">
            <v>GAE - Transportation</v>
          </cell>
          <cell r="IF615" t="str">
            <v>Others</v>
          </cell>
          <cell r="IG615" t="str">
            <v>Transportation &amp; Travel</v>
          </cell>
        </row>
        <row r="616">
          <cell r="HZ616" t="str">
            <v>80319203-61081101</v>
          </cell>
          <cell r="IA616" t="str">
            <v>TPSG-TECHNICAL SERVI</v>
          </cell>
          <cell r="IB616" t="str">
            <v>GAE - Transportation</v>
          </cell>
          <cell r="IF616" t="str">
            <v>Others</v>
          </cell>
          <cell r="IG616" t="str">
            <v>Transportation &amp; Travel</v>
          </cell>
        </row>
        <row r="617">
          <cell r="HZ617" t="str">
            <v>80319301-61081101</v>
          </cell>
          <cell r="IA617" t="str">
            <v>ESTATES OPERATION</v>
          </cell>
          <cell r="IB617" t="str">
            <v>GAE - Transportation</v>
          </cell>
          <cell r="IF617" t="str">
            <v>Others</v>
          </cell>
          <cell r="IG617" t="str">
            <v>Transportation &amp; Travel</v>
          </cell>
        </row>
        <row r="618">
          <cell r="HZ618" t="str">
            <v>81134104-61081101</v>
          </cell>
          <cell r="IA618" t="str">
            <v>BUSINESS PROCESS MGT</v>
          </cell>
          <cell r="IB618" t="str">
            <v>GAE - Transportation</v>
          </cell>
          <cell r="IF618" t="str">
            <v>Others</v>
          </cell>
          <cell r="IG618" t="str">
            <v>Transportation &amp; Travel</v>
          </cell>
        </row>
        <row r="619">
          <cell r="HZ619" t="str">
            <v>81222101-61081101</v>
          </cell>
          <cell r="IA619" t="str">
            <v>TIENDESITAS</v>
          </cell>
          <cell r="IB619" t="str">
            <v>GAE - Transportation</v>
          </cell>
          <cell r="IF619" t="str">
            <v>Others</v>
          </cell>
          <cell r="IG619" t="str">
            <v>Transportation &amp; Travel</v>
          </cell>
        </row>
        <row r="620">
          <cell r="HZ620" t="str">
            <v>81225101-61081101</v>
          </cell>
          <cell r="IA620" t="str">
            <v>ESTANCIA RETAIL</v>
          </cell>
          <cell r="IB620" t="str">
            <v>GAE - Transportation</v>
          </cell>
          <cell r="IF620" t="str">
            <v>Others</v>
          </cell>
          <cell r="IG620" t="str">
            <v>Transportation &amp; Travel</v>
          </cell>
        </row>
        <row r="621">
          <cell r="HZ621" t="str">
            <v>90111201-61081101</v>
          </cell>
          <cell r="IA621" t="str">
            <v>MANCOM &amp; STAFF</v>
          </cell>
          <cell r="IB621" t="str">
            <v>GAE - Transportation</v>
          </cell>
          <cell r="IF621" t="str">
            <v>Others</v>
          </cell>
          <cell r="IG621" t="str">
            <v>Transportation &amp; Travel</v>
          </cell>
        </row>
        <row r="622">
          <cell r="HZ622" t="str">
            <v>80111201-61091101</v>
          </cell>
          <cell r="IA622" t="str">
            <v>MANCOM &amp; STAFF</v>
          </cell>
          <cell r="IB622" t="str">
            <v>GAE - Representation</v>
          </cell>
          <cell r="IF622" t="str">
            <v>Others</v>
          </cell>
          <cell r="IG622" t="str">
            <v>Entertainment, Amusement &amp; Recreation</v>
          </cell>
        </row>
        <row r="623">
          <cell r="HZ623" t="str">
            <v>80122101-61091101</v>
          </cell>
          <cell r="IA623" t="str">
            <v>HUMAN RESOURCES</v>
          </cell>
          <cell r="IB623" t="str">
            <v>GAE - Representation</v>
          </cell>
          <cell r="IF623" t="str">
            <v>Others</v>
          </cell>
          <cell r="IG623" t="str">
            <v>Entertainment, Amusement &amp; Recreation</v>
          </cell>
        </row>
        <row r="624">
          <cell r="HZ624" t="str">
            <v>81125101-61091101</v>
          </cell>
          <cell r="IA624" t="str">
            <v>EXTERNAL AFFAIRS DEP</v>
          </cell>
          <cell r="IB624" t="str">
            <v>GAE - Representation</v>
          </cell>
          <cell r="IF624" t="str">
            <v>Others</v>
          </cell>
          <cell r="IG624" t="str">
            <v>Entertainment, Amusement &amp; Recreation</v>
          </cell>
        </row>
        <row r="625">
          <cell r="HZ625" t="str">
            <v>90125101-61091101</v>
          </cell>
          <cell r="IA625" t="str">
            <v>EXTERNAL AFFAIRS DEP</v>
          </cell>
          <cell r="IB625" t="str">
            <v>GAE - Representation</v>
          </cell>
          <cell r="IF625" t="str">
            <v>Others</v>
          </cell>
          <cell r="IG625" t="str">
            <v>Entertainment, Amusement &amp; Recreation</v>
          </cell>
        </row>
        <row r="626">
          <cell r="HZ626" t="str">
            <v>90133102-61091101</v>
          </cell>
          <cell r="IA626" t="str">
            <v>TAX ACCOUNTING</v>
          </cell>
          <cell r="IB626" t="str">
            <v>GAE - Representation</v>
          </cell>
          <cell r="IF626" t="str">
            <v>Others</v>
          </cell>
          <cell r="IG626" t="str">
            <v>Entertainment, Amusement &amp; Recreation</v>
          </cell>
        </row>
        <row r="627">
          <cell r="HZ627" t="str">
            <v>80319203-61091101</v>
          </cell>
          <cell r="IA627" t="str">
            <v>TPSG-TECHNICAL SERVI</v>
          </cell>
          <cell r="IB627" t="str">
            <v>GAE - Representation</v>
          </cell>
          <cell r="IF627" t="str">
            <v>Others</v>
          </cell>
          <cell r="IG627" t="str">
            <v>Entertainment, Amusement &amp; Recreation</v>
          </cell>
        </row>
        <row r="628">
          <cell r="HZ628" t="str">
            <v>80319301-61091101</v>
          </cell>
          <cell r="IA628" t="str">
            <v>ESTATES OPERATION</v>
          </cell>
          <cell r="IB628" t="str">
            <v>GAE - Representation</v>
          </cell>
          <cell r="IF628" t="str">
            <v>Others</v>
          </cell>
          <cell r="IG628" t="str">
            <v>Entertainment, Amusement &amp; Recreation</v>
          </cell>
        </row>
        <row r="629">
          <cell r="HZ629" t="str">
            <v>81221201-61091101</v>
          </cell>
          <cell r="IA629" t="str">
            <v>GSC OLD BLDGS</v>
          </cell>
          <cell r="IB629" t="str">
            <v>GAE - Representation</v>
          </cell>
          <cell r="IF629" t="str">
            <v>Others</v>
          </cell>
          <cell r="IG629" t="str">
            <v>Entertainment, Amusement &amp; Recreation</v>
          </cell>
        </row>
        <row r="630">
          <cell r="HZ630" t="str">
            <v>81222101-61091101</v>
          </cell>
          <cell r="IA630" t="str">
            <v>TIENDESITAS</v>
          </cell>
          <cell r="IB630" t="str">
            <v>GAE - Representation</v>
          </cell>
          <cell r="IF630" t="str">
            <v>Others</v>
          </cell>
          <cell r="IG630" t="str">
            <v>Entertainment, Amusement &amp; Recreation</v>
          </cell>
        </row>
        <row r="631">
          <cell r="HZ631" t="str">
            <v>90111201-61091101</v>
          </cell>
          <cell r="IA631" t="str">
            <v>MANCOM &amp; STAFF</v>
          </cell>
          <cell r="IB631" t="str">
            <v>GAE - Representation</v>
          </cell>
          <cell r="IF631" t="str">
            <v>Others</v>
          </cell>
          <cell r="IG631" t="str">
            <v>Valle Verde</v>
          </cell>
        </row>
        <row r="632">
          <cell r="HZ632" t="str">
            <v>80111101-61091102</v>
          </cell>
          <cell r="IA632" t="str">
            <v>OCLP-COMMON</v>
          </cell>
          <cell r="IB632" t="str">
            <v>GAE - Meeting</v>
          </cell>
          <cell r="IF632" t="str">
            <v>Others</v>
          </cell>
          <cell r="IG632" t="str">
            <v>Valle Verde</v>
          </cell>
        </row>
        <row r="633">
          <cell r="HZ633" t="str">
            <v>80111203-61091102</v>
          </cell>
          <cell r="IA633" t="str">
            <v>OFFICE OF THE PRES.</v>
          </cell>
          <cell r="IB633" t="str">
            <v>GAE - Meeting</v>
          </cell>
          <cell r="IF633" t="str">
            <v>Others</v>
          </cell>
          <cell r="IG633" t="str">
            <v>Entertainment, Amusement &amp; Recreation</v>
          </cell>
        </row>
        <row r="634">
          <cell r="HZ634" t="str">
            <v>80311101-61091102</v>
          </cell>
          <cell r="IA634" t="str">
            <v>RED-COMMON</v>
          </cell>
          <cell r="IB634" t="str">
            <v>GAE - Meeting</v>
          </cell>
          <cell r="IF634" t="str">
            <v>Others</v>
          </cell>
          <cell r="IG634" t="str">
            <v>Entertainment, Amusement &amp; Recreation</v>
          </cell>
        </row>
        <row r="635">
          <cell r="HZ635" t="str">
            <v>80314101-61091102</v>
          </cell>
          <cell r="IA635" t="str">
            <v>CORPORATE MARKETING</v>
          </cell>
          <cell r="IB635" t="str">
            <v>GAE - Meeting</v>
          </cell>
          <cell r="IF635" t="str">
            <v>Others</v>
          </cell>
          <cell r="IG635" t="str">
            <v>Entertainment, Amusement &amp; Recreation</v>
          </cell>
        </row>
        <row r="636">
          <cell r="HZ636" t="str">
            <v>90111101-61091102</v>
          </cell>
          <cell r="IA636" t="str">
            <v>OHI-COMMON</v>
          </cell>
          <cell r="IB636" t="str">
            <v>GAE - Meeting</v>
          </cell>
          <cell r="IF636" t="str">
            <v>Others</v>
          </cell>
          <cell r="IG636" t="str">
            <v>Valle Verde</v>
          </cell>
        </row>
        <row r="637">
          <cell r="HZ637" t="str">
            <v>90111203-61091102</v>
          </cell>
          <cell r="IA637" t="str">
            <v>OFFICE OF THE PRES.</v>
          </cell>
          <cell r="IB637" t="str">
            <v>GAE - Meeting</v>
          </cell>
          <cell r="IF637" t="str">
            <v>Others</v>
          </cell>
          <cell r="IG637" t="str">
            <v>Entertainment, Amusement &amp; Recreation</v>
          </cell>
        </row>
        <row r="638">
          <cell r="HZ638" t="str">
            <v>80319401-61101104</v>
          </cell>
          <cell r="IA638" t="str">
            <v>ADMIN SUPP SERVICES</v>
          </cell>
          <cell r="IB638" t="str">
            <v>GAE - Insurance - Motor Car</v>
          </cell>
          <cell r="IF638" t="str">
            <v>Others</v>
          </cell>
          <cell r="IG638" t="str">
            <v>Insurance</v>
          </cell>
        </row>
        <row r="639">
          <cell r="HZ639" t="str">
            <v>80123102-61101107</v>
          </cell>
          <cell r="IA639" t="str">
            <v>ADMIN SERVICES</v>
          </cell>
          <cell r="IB639" t="str">
            <v>GAE - Insurance - Property Terrorism &amp; Sabotage</v>
          </cell>
          <cell r="IF639" t="str">
            <v>Others</v>
          </cell>
          <cell r="IG639" t="str">
            <v>Insurance</v>
          </cell>
        </row>
        <row r="640">
          <cell r="HZ640" t="str">
            <v>90123102-61101109</v>
          </cell>
          <cell r="IA640" t="str">
            <v>ADMIN SERVICES</v>
          </cell>
          <cell r="IB640" t="str">
            <v>GAE - Insurance - Directors, Officers &amp; Liability</v>
          </cell>
          <cell r="IF640" t="str">
            <v>Others</v>
          </cell>
          <cell r="IG640" t="str">
            <v>Insurance</v>
          </cell>
        </row>
        <row r="641">
          <cell r="HZ641" t="str">
            <v>80111204-61111101</v>
          </cell>
          <cell r="IA641" t="str">
            <v>OFFICE OF THE CFO</v>
          </cell>
          <cell r="IB641" t="str">
            <v>GAE - Office Supplies</v>
          </cell>
          <cell r="IF641" t="str">
            <v>Others</v>
          </cell>
          <cell r="IG641" t="str">
            <v>Supplies</v>
          </cell>
        </row>
        <row r="642">
          <cell r="HZ642" t="str">
            <v>80111205-61111101</v>
          </cell>
          <cell r="IA642" t="str">
            <v>CORPORATE PLANNING</v>
          </cell>
          <cell r="IB642" t="str">
            <v>GAE - Office Supplies</v>
          </cell>
          <cell r="IF642" t="str">
            <v>Others</v>
          </cell>
          <cell r="IG642" t="str">
            <v>Supplies</v>
          </cell>
        </row>
        <row r="643">
          <cell r="HZ643" t="str">
            <v>80126102-61111101</v>
          </cell>
          <cell r="IA643" t="str">
            <v>DCMG - PROP SALES</v>
          </cell>
          <cell r="IB643" t="str">
            <v>GAE - Office Supplies</v>
          </cell>
          <cell r="IF643" t="str">
            <v>Others</v>
          </cell>
          <cell r="IG643" t="str">
            <v>Supplies</v>
          </cell>
        </row>
        <row r="644">
          <cell r="HZ644" t="str">
            <v>80215105-61111101</v>
          </cell>
          <cell r="IA644" t="str">
            <v>SECURITY</v>
          </cell>
          <cell r="IB644" t="str">
            <v>GAE - Office Supplies</v>
          </cell>
          <cell r="IF644" t="str">
            <v>Others</v>
          </cell>
          <cell r="IG644" t="str">
            <v>Supplies</v>
          </cell>
        </row>
        <row r="645">
          <cell r="HZ645" t="str">
            <v>80313101-61111101</v>
          </cell>
          <cell r="IA645" t="str">
            <v>SALES</v>
          </cell>
          <cell r="IB645" t="str">
            <v>GAE - Office Supplies</v>
          </cell>
          <cell r="IF645" t="str">
            <v>Others</v>
          </cell>
          <cell r="IG645" t="str">
            <v>Supplies</v>
          </cell>
        </row>
        <row r="646">
          <cell r="HZ646" t="str">
            <v>80319201-61111101</v>
          </cell>
          <cell r="IA646" t="str">
            <v>TPSG-RESIDENTIAL</v>
          </cell>
          <cell r="IB646" t="str">
            <v>GAE - Office Supplies</v>
          </cell>
          <cell r="IF646" t="str">
            <v>Others</v>
          </cell>
          <cell r="IG646" t="str">
            <v>Supplies</v>
          </cell>
        </row>
        <row r="647">
          <cell r="HZ647" t="str">
            <v>80319202-61111101</v>
          </cell>
          <cell r="IA647" t="str">
            <v>OFFICES OPERATIONS</v>
          </cell>
          <cell r="IB647" t="str">
            <v>GAE - Office Supplies</v>
          </cell>
          <cell r="IF647" t="str">
            <v>Others</v>
          </cell>
          <cell r="IG647" t="str">
            <v>Supplies</v>
          </cell>
        </row>
        <row r="648">
          <cell r="HZ648" t="str">
            <v>80319203-61111101</v>
          </cell>
          <cell r="IA648" t="str">
            <v>TPSG-TECHNICAL SERVI</v>
          </cell>
          <cell r="IB648" t="str">
            <v>GAE - Office Supplies</v>
          </cell>
          <cell r="IF648" t="str">
            <v>Others</v>
          </cell>
          <cell r="IG648" t="str">
            <v>Supplies</v>
          </cell>
        </row>
        <row r="649">
          <cell r="HZ649" t="str">
            <v>80319301-61111101</v>
          </cell>
          <cell r="IA649" t="str">
            <v>ESTATES OPERATION</v>
          </cell>
          <cell r="IB649" t="str">
            <v>GAE - Office Supplies</v>
          </cell>
          <cell r="IF649" t="str">
            <v>Others</v>
          </cell>
          <cell r="IG649" t="str">
            <v>Supplies</v>
          </cell>
        </row>
        <row r="650">
          <cell r="HZ650" t="str">
            <v>80331101-61111101</v>
          </cell>
          <cell r="IA650" t="str">
            <v>MAJORCA RESIDENCES</v>
          </cell>
          <cell r="IB650" t="str">
            <v>GAE - Office Supplies</v>
          </cell>
          <cell r="IF650" t="str">
            <v>Others</v>
          </cell>
          <cell r="IG650" t="str">
            <v>Supplies</v>
          </cell>
        </row>
        <row r="651">
          <cell r="HZ651" t="str">
            <v>80331102-61111101</v>
          </cell>
          <cell r="IA651" t="str">
            <v>IBIZA TOWER</v>
          </cell>
          <cell r="IB651" t="str">
            <v>GAE - Office Supplies</v>
          </cell>
          <cell r="IF651" t="str">
            <v>Others</v>
          </cell>
          <cell r="IG651" t="str">
            <v>Supplies</v>
          </cell>
        </row>
        <row r="652">
          <cell r="HZ652" t="str">
            <v>80331103-61111101</v>
          </cell>
          <cell r="IA652" t="str">
            <v>SEVILLE RESIDENCES</v>
          </cell>
          <cell r="IB652" t="str">
            <v>GAE - Office Supplies</v>
          </cell>
          <cell r="IF652" t="str">
            <v>Others</v>
          </cell>
          <cell r="IG652" t="str">
            <v>Supplies</v>
          </cell>
        </row>
        <row r="653">
          <cell r="HZ653" t="str">
            <v>80331104-61111101</v>
          </cell>
          <cell r="IA653" t="str">
            <v>LLEIDA TOWER</v>
          </cell>
          <cell r="IB653" t="str">
            <v>GAE - Office Supplies</v>
          </cell>
          <cell r="IF653" t="str">
            <v>Others</v>
          </cell>
          <cell r="IG653" t="str">
            <v>Supplies</v>
          </cell>
        </row>
        <row r="654">
          <cell r="HZ654" t="str">
            <v>80331105-61111101</v>
          </cell>
          <cell r="IA654" t="str">
            <v>AVILA TOWER</v>
          </cell>
          <cell r="IB654" t="str">
            <v>GAE - Office Supplies</v>
          </cell>
          <cell r="IF654" t="str">
            <v>Others</v>
          </cell>
          <cell r="IG654" t="str">
            <v>Supplies</v>
          </cell>
        </row>
        <row r="655">
          <cell r="HZ655" t="str">
            <v>80331106-61111101</v>
          </cell>
          <cell r="IA655" t="str">
            <v>GARDEN HOMES</v>
          </cell>
          <cell r="IB655" t="str">
            <v>GAE - Office Supplies</v>
          </cell>
          <cell r="IF655" t="str">
            <v>Others</v>
          </cell>
          <cell r="IG655" t="str">
            <v>Supplies</v>
          </cell>
        </row>
        <row r="656">
          <cell r="HZ656" t="str">
            <v>80332101-61111101</v>
          </cell>
          <cell r="IA656" t="str">
            <v>ROYALTON TOWER</v>
          </cell>
          <cell r="IB656" t="str">
            <v>GAE - Office Supplies</v>
          </cell>
          <cell r="IF656" t="str">
            <v>Others</v>
          </cell>
          <cell r="IG656" t="str">
            <v>Supplies</v>
          </cell>
        </row>
        <row r="657">
          <cell r="HZ657" t="str">
            <v>80332102-61111101</v>
          </cell>
          <cell r="IA657" t="str">
            <v>IMPERIUM TOWER</v>
          </cell>
          <cell r="IB657" t="str">
            <v>GAE - Office Supplies</v>
          </cell>
          <cell r="IF657" t="str">
            <v>Others</v>
          </cell>
          <cell r="IG657" t="str">
            <v>Supplies</v>
          </cell>
        </row>
        <row r="658">
          <cell r="HZ658" t="str">
            <v>80332103-61111101</v>
          </cell>
          <cell r="IA658" t="str">
            <v>EMPRESS TOWER</v>
          </cell>
          <cell r="IB658" t="str">
            <v>GAE - Office Supplies</v>
          </cell>
          <cell r="IF658" t="str">
            <v>Others</v>
          </cell>
          <cell r="IG658" t="str">
            <v>Supplies</v>
          </cell>
        </row>
        <row r="659">
          <cell r="HZ659" t="str">
            <v>80332201-61111101</v>
          </cell>
          <cell r="IA659" t="str">
            <v>MAVEN TOWER</v>
          </cell>
          <cell r="IB659" t="str">
            <v>GAE - Office Supplies</v>
          </cell>
          <cell r="IF659" t="str">
            <v>Others</v>
          </cell>
          <cell r="IG659" t="str">
            <v>Supplies</v>
          </cell>
        </row>
        <row r="660">
          <cell r="HZ660" t="str">
            <v>80334105-61111101</v>
          </cell>
          <cell r="IA660" t="str">
            <v>GALLEON OFFICE TOWER</v>
          </cell>
          <cell r="IB660" t="str">
            <v>GAE - Office Supplies</v>
          </cell>
          <cell r="IF660" t="str">
            <v>Others</v>
          </cell>
          <cell r="IG660" t="str">
            <v>Supplies</v>
          </cell>
        </row>
        <row r="661">
          <cell r="HZ661" t="str">
            <v>80336101-61111101</v>
          </cell>
          <cell r="IA661" t="str">
            <v>MAPLE TOWER</v>
          </cell>
          <cell r="IB661" t="str">
            <v>GAE - Office Supplies</v>
          </cell>
          <cell r="IF661" t="str">
            <v>Others</v>
          </cell>
          <cell r="IG661" t="str">
            <v>Supplies</v>
          </cell>
        </row>
        <row r="662">
          <cell r="HZ662" t="str">
            <v>80336102-61111101</v>
          </cell>
          <cell r="IA662" t="str">
            <v>GLASTON</v>
          </cell>
          <cell r="IB662" t="str">
            <v>GAE - Office Supplies</v>
          </cell>
          <cell r="IF662" t="str">
            <v>Others</v>
          </cell>
          <cell r="IG662" t="str">
            <v>Supplies</v>
          </cell>
        </row>
        <row r="663">
          <cell r="HZ663" t="str">
            <v>81111201-61111101</v>
          </cell>
          <cell r="IA663" t="str">
            <v>MANCOM &amp; STAFF</v>
          </cell>
          <cell r="IB663" t="str">
            <v>GAE - Office Supplies</v>
          </cell>
          <cell r="IF663" t="str">
            <v>Others</v>
          </cell>
          <cell r="IG663" t="str">
            <v>Supplies</v>
          </cell>
        </row>
        <row r="664">
          <cell r="HZ664" t="str">
            <v>81134104-61111101</v>
          </cell>
          <cell r="IA664" t="str">
            <v>BUSINESS PROCESS MGT</v>
          </cell>
          <cell r="IB664" t="str">
            <v>GAE - Office Supplies</v>
          </cell>
          <cell r="IF664" t="str">
            <v>Others</v>
          </cell>
          <cell r="IG664" t="str">
            <v>Supplies</v>
          </cell>
        </row>
        <row r="665">
          <cell r="HZ665" t="str">
            <v>81212104-61111101</v>
          </cell>
          <cell r="IA665" t="str">
            <v>OMD FINANCE</v>
          </cell>
          <cell r="IB665" t="str">
            <v>GAE - Office Supplies</v>
          </cell>
          <cell r="IF665" t="str">
            <v>Others</v>
          </cell>
          <cell r="IG665" t="str">
            <v>Supplies</v>
          </cell>
        </row>
        <row r="666">
          <cell r="HZ666" t="str">
            <v>81213101-61111101</v>
          </cell>
          <cell r="IA666" t="str">
            <v>OMD TRADE FAIRS/EXHI</v>
          </cell>
          <cell r="IB666" t="str">
            <v>GAE - Office Supplies</v>
          </cell>
          <cell r="IF666" t="str">
            <v>Others</v>
          </cell>
          <cell r="IG666" t="str">
            <v>Supplies</v>
          </cell>
        </row>
        <row r="667">
          <cell r="HZ667" t="str">
            <v>81213102-61111101</v>
          </cell>
          <cell r="IA667" t="str">
            <v>OMD MARKETING</v>
          </cell>
          <cell r="IB667" t="str">
            <v>GAE - Office Supplies</v>
          </cell>
          <cell r="IF667" t="str">
            <v>Others</v>
          </cell>
          <cell r="IG667" t="str">
            <v>Supplies</v>
          </cell>
        </row>
        <row r="668">
          <cell r="HZ668" t="str">
            <v>81214101-61111101</v>
          </cell>
          <cell r="IA668" t="str">
            <v>OMD LEASING</v>
          </cell>
          <cell r="IB668" t="str">
            <v>GAE - Office Supplies</v>
          </cell>
          <cell r="IF668" t="str">
            <v>Others</v>
          </cell>
          <cell r="IG668" t="str">
            <v>Supplies</v>
          </cell>
        </row>
        <row r="669">
          <cell r="HZ669" t="str">
            <v>81215101-61111101</v>
          </cell>
          <cell r="IA669" t="str">
            <v>PROPERTY MANAGEMENT</v>
          </cell>
          <cell r="IB669" t="str">
            <v>GAE - Office Supplies</v>
          </cell>
          <cell r="IF669" t="str">
            <v>Others</v>
          </cell>
          <cell r="IG669" t="str">
            <v>Supplies</v>
          </cell>
        </row>
        <row r="670">
          <cell r="HZ670" t="str">
            <v>80111101-61111102</v>
          </cell>
          <cell r="IA670" t="str">
            <v>OCLP-COMMON</v>
          </cell>
          <cell r="IB670" t="str">
            <v>GAE - Low Value Assets</v>
          </cell>
          <cell r="IF670" t="str">
            <v>Others</v>
          </cell>
          <cell r="IG670" t="str">
            <v>Supplies</v>
          </cell>
        </row>
        <row r="671">
          <cell r="HZ671" t="str">
            <v>80111202-61111102</v>
          </cell>
          <cell r="IA671" t="str">
            <v>INTERNAL AUDIT</v>
          </cell>
          <cell r="IB671" t="str">
            <v>GAE - Low Value Assets</v>
          </cell>
          <cell r="IF671" t="str">
            <v>Others</v>
          </cell>
          <cell r="IG671" t="str">
            <v>Supplies</v>
          </cell>
        </row>
        <row r="672">
          <cell r="HZ672" t="str">
            <v>80126102-61111102</v>
          </cell>
          <cell r="IA672" t="str">
            <v>DCMG - PROP SALES</v>
          </cell>
          <cell r="IB672" t="str">
            <v>GAE - Low Value Assets</v>
          </cell>
          <cell r="IF672" t="str">
            <v>Others</v>
          </cell>
          <cell r="IG672" t="str">
            <v>Supplies</v>
          </cell>
        </row>
        <row r="673">
          <cell r="HZ673" t="str">
            <v>80134104-61111102</v>
          </cell>
          <cell r="IA673" t="str">
            <v>BUSINESS PROCESS MGT</v>
          </cell>
          <cell r="IB673" t="str">
            <v>GAE - Low Value Assets</v>
          </cell>
          <cell r="IF673" t="str">
            <v>Others</v>
          </cell>
          <cell r="IG673" t="str">
            <v>Supplies</v>
          </cell>
        </row>
        <row r="674">
          <cell r="HZ674" t="str">
            <v>80215105-61111102</v>
          </cell>
          <cell r="IA674" t="str">
            <v>SECURITY</v>
          </cell>
          <cell r="IB674" t="str">
            <v>GAE - Low Value Assets</v>
          </cell>
          <cell r="IF674" t="str">
            <v>Others</v>
          </cell>
          <cell r="IG674" t="str">
            <v>Supplies</v>
          </cell>
        </row>
        <row r="675">
          <cell r="HZ675" t="str">
            <v>80319202-61111102</v>
          </cell>
          <cell r="IA675" t="str">
            <v>OFFICES OPERATIONS</v>
          </cell>
          <cell r="IB675" t="str">
            <v>GAE - Low Value Assets</v>
          </cell>
          <cell r="IF675" t="str">
            <v>Others</v>
          </cell>
          <cell r="IG675" t="str">
            <v>Supplies</v>
          </cell>
        </row>
        <row r="676">
          <cell r="HZ676" t="str">
            <v>81212104-61111102</v>
          </cell>
          <cell r="IA676" t="str">
            <v>OMD FINANCE</v>
          </cell>
          <cell r="IB676" t="str">
            <v>GAE - Low Value Assets</v>
          </cell>
          <cell r="IF676" t="str">
            <v>Others</v>
          </cell>
          <cell r="IG676" t="str">
            <v>Supplies</v>
          </cell>
        </row>
        <row r="677">
          <cell r="HZ677" t="str">
            <v>81212104-61111111</v>
          </cell>
          <cell r="IA677" t="str">
            <v>OMD FINANCE</v>
          </cell>
          <cell r="IB677" t="str">
            <v>GAE - Office Supplies - Restricted</v>
          </cell>
          <cell r="IF677" t="str">
            <v>Others</v>
          </cell>
          <cell r="IG677" t="str">
            <v>Supplies</v>
          </cell>
        </row>
        <row r="678">
          <cell r="HZ678" t="str">
            <v>81215101-61111111</v>
          </cell>
          <cell r="IA678" t="str">
            <v>PROPERTY MANAGEMENT</v>
          </cell>
          <cell r="IB678" t="str">
            <v>GAE - Office Supplies - Restricted</v>
          </cell>
          <cell r="IF678" t="str">
            <v>Others</v>
          </cell>
          <cell r="IG678" t="str">
            <v>Supplies</v>
          </cell>
        </row>
        <row r="679">
          <cell r="HZ679" t="str">
            <v>80313101-61711101</v>
          </cell>
          <cell r="IA679" t="str">
            <v>SALES</v>
          </cell>
          <cell r="IB679" t="str">
            <v>GAE - Dues &amp; Fees</v>
          </cell>
          <cell r="IF679" t="str">
            <v>Others</v>
          </cell>
          <cell r="IG679" t="str">
            <v>Dues and Fees</v>
          </cell>
        </row>
        <row r="680">
          <cell r="HZ680" t="str">
            <v>80124101-61711101</v>
          </cell>
          <cell r="IA680" t="str">
            <v>IS &amp; IT</v>
          </cell>
          <cell r="IB680" t="str">
            <v>GAE - Dues &amp; Fees</v>
          </cell>
          <cell r="IF680" t="str">
            <v>Systems &amp; Applications</v>
          </cell>
        </row>
        <row r="681">
          <cell r="HZ681" t="str">
            <v>80133102-61711101</v>
          </cell>
          <cell r="IA681" t="str">
            <v>TAX ACCOUNTING</v>
          </cell>
          <cell r="IB681" t="str">
            <v>GAE - Dues &amp; Fees</v>
          </cell>
          <cell r="IF681" t="str">
            <v>Others</v>
          </cell>
          <cell r="IG681" t="str">
            <v>Dues and Fees</v>
          </cell>
        </row>
        <row r="682">
          <cell r="HZ682" t="str">
            <v>80133103-61711101</v>
          </cell>
          <cell r="IA682" t="str">
            <v>PROCUREMENT</v>
          </cell>
          <cell r="IB682" t="str">
            <v>GAE - Dues &amp; Fees</v>
          </cell>
          <cell r="IF682" t="str">
            <v>Others</v>
          </cell>
          <cell r="IG682" t="str">
            <v>Dues and Fees</v>
          </cell>
        </row>
        <row r="683">
          <cell r="HZ683" t="str">
            <v>80313103-61711101</v>
          </cell>
          <cell r="IA683" t="str">
            <v>HANDOVER MGT DEPT</v>
          </cell>
          <cell r="IB683" t="str">
            <v>GAE - Dues &amp; Fees</v>
          </cell>
          <cell r="IF683" t="str">
            <v>Others</v>
          </cell>
          <cell r="IG683" t="str">
            <v>Dues and Fees</v>
          </cell>
        </row>
        <row r="684">
          <cell r="HZ684" t="str">
            <v>80317101-61711101</v>
          </cell>
          <cell r="IA684" t="str">
            <v>CONSTRUCTION MGT</v>
          </cell>
          <cell r="IB684" t="str">
            <v>GAE - Dues &amp; Fees</v>
          </cell>
          <cell r="IF684" t="str">
            <v>Others</v>
          </cell>
          <cell r="IG684" t="str">
            <v>Dues and Fees</v>
          </cell>
        </row>
        <row r="685">
          <cell r="HZ685" t="str">
            <v>80319301-61711101</v>
          </cell>
          <cell r="IA685" t="str">
            <v>ESTATES OPERATION</v>
          </cell>
          <cell r="IB685" t="str">
            <v>GAE - Dues &amp; Fees</v>
          </cell>
          <cell r="IF685" t="str">
            <v>Others</v>
          </cell>
          <cell r="IG685" t="str">
            <v>Dues and Fees</v>
          </cell>
        </row>
        <row r="686">
          <cell r="HZ686" t="str">
            <v>81133103-61711101</v>
          </cell>
          <cell r="IA686" t="str">
            <v>PROCUREMENT</v>
          </cell>
          <cell r="IB686" t="str">
            <v>GAE - Dues &amp; Fees</v>
          </cell>
          <cell r="IF686" t="str">
            <v>Others</v>
          </cell>
          <cell r="IG686" t="str">
            <v>Dues and Fees</v>
          </cell>
        </row>
        <row r="687">
          <cell r="HZ687" t="str">
            <v>90123101-61711101</v>
          </cell>
          <cell r="IA687" t="str">
            <v>LEGAL</v>
          </cell>
          <cell r="IB687" t="str">
            <v>GAE - Dues &amp; Fees</v>
          </cell>
          <cell r="IF687" t="str">
            <v>Others</v>
          </cell>
          <cell r="IG687" t="str">
            <v>Dues and Fees</v>
          </cell>
        </row>
        <row r="688">
          <cell r="HZ688" t="str">
            <v>81123101-52952101</v>
          </cell>
          <cell r="IA688" t="str">
            <v>LEGAL</v>
          </cell>
          <cell r="IB688" t="str">
            <v>DOE - Dues &amp; Fees</v>
          </cell>
          <cell r="IF688" t="str">
            <v>Others</v>
          </cell>
          <cell r="IG688" t="str">
            <v>Dues and Fees</v>
          </cell>
        </row>
        <row r="689">
          <cell r="HZ689" t="str">
            <v>80319201-61711101</v>
          </cell>
          <cell r="IA689" t="str">
            <v>TPSG-RESIDENTIAL</v>
          </cell>
          <cell r="IB689" t="str">
            <v>GAE - Dues &amp; Fees</v>
          </cell>
          <cell r="IF689" t="str">
            <v>Others</v>
          </cell>
          <cell r="IG689" t="str">
            <v>Dues and Fees</v>
          </cell>
        </row>
        <row r="690">
          <cell r="HZ690" t="str">
            <v>80319203-61711101</v>
          </cell>
          <cell r="IA690" t="str">
            <v>TPSG-TECHNICAL SERVI</v>
          </cell>
          <cell r="IB690" t="str">
            <v>GAE - Dues &amp; Fees</v>
          </cell>
          <cell r="IF690" t="str">
            <v>Others</v>
          </cell>
          <cell r="IG690" t="str">
            <v>Dues and Fees</v>
          </cell>
        </row>
        <row r="691">
          <cell r="HZ691" t="str">
            <v>90111204-61711101</v>
          </cell>
          <cell r="IA691" t="str">
            <v>OFFICE OF THE CFO</v>
          </cell>
          <cell r="IB691" t="str">
            <v>GAE - Dues &amp; Fees</v>
          </cell>
          <cell r="IF691" t="str">
            <v>Others</v>
          </cell>
          <cell r="IG691" t="str">
            <v>Dues and Fees</v>
          </cell>
        </row>
        <row r="692">
          <cell r="HZ692" t="str">
            <v>80111101-61721101</v>
          </cell>
          <cell r="IA692" t="str">
            <v>OCLP-COMMON</v>
          </cell>
          <cell r="IB692" t="str">
            <v>GAE - Postal &amp; Communication - Telephone</v>
          </cell>
          <cell r="IF692" t="str">
            <v>Others</v>
          </cell>
          <cell r="IG692" t="str">
            <v>Postal &amp; Communication</v>
          </cell>
        </row>
        <row r="693">
          <cell r="HZ693" t="str">
            <v>80111204-61721101</v>
          </cell>
          <cell r="IA693" t="str">
            <v>OFFICE OF THE CFO</v>
          </cell>
          <cell r="IB693" t="str">
            <v>GAE - Postal &amp; Communication - Telephone</v>
          </cell>
          <cell r="IF693" t="str">
            <v>Others</v>
          </cell>
          <cell r="IG693" t="str">
            <v>Postal &amp; Communication</v>
          </cell>
        </row>
        <row r="694">
          <cell r="HZ694" t="str">
            <v>80126101-61721101</v>
          </cell>
          <cell r="IA694" t="str">
            <v>DCMG - LEASING</v>
          </cell>
          <cell r="IB694" t="str">
            <v>GAE - Postal &amp; Communication - Telephone</v>
          </cell>
          <cell r="IF694" t="str">
            <v>Others</v>
          </cell>
          <cell r="IG694" t="str">
            <v>Postal &amp; Communication</v>
          </cell>
        </row>
        <row r="695">
          <cell r="HZ695" t="str">
            <v>80126102-61721101</v>
          </cell>
          <cell r="IA695" t="str">
            <v>DCMG - PROP SALES</v>
          </cell>
          <cell r="IB695" t="str">
            <v>GAE - Postal &amp; Communication - Telephone</v>
          </cell>
          <cell r="IF695" t="str">
            <v>Others</v>
          </cell>
          <cell r="IG695" t="str">
            <v>Postal &amp; Communication</v>
          </cell>
        </row>
        <row r="696">
          <cell r="HZ696" t="str">
            <v>80134104-61721101</v>
          </cell>
          <cell r="IA696" t="str">
            <v>BUSINESS PROCESS MGT</v>
          </cell>
          <cell r="IB696" t="str">
            <v>GAE - Postal &amp; Communication - Telephone</v>
          </cell>
          <cell r="IF696" t="str">
            <v>Others</v>
          </cell>
          <cell r="IG696" t="str">
            <v>Postal &amp; Communication</v>
          </cell>
        </row>
        <row r="697">
          <cell r="HZ697" t="str">
            <v>80212102-61721101</v>
          </cell>
          <cell r="IA697" t="str">
            <v>OMD B&amp;C</v>
          </cell>
          <cell r="IB697" t="str">
            <v>GAE - Postal &amp; Communication - Telephone</v>
          </cell>
          <cell r="IF697" t="str">
            <v>Others</v>
          </cell>
          <cell r="IG697" t="str">
            <v>Postal &amp; Communication</v>
          </cell>
        </row>
        <row r="698">
          <cell r="HZ698" t="str">
            <v>80212104-61721101</v>
          </cell>
          <cell r="IA698" t="str">
            <v>OMD FINANCE</v>
          </cell>
          <cell r="IB698" t="str">
            <v>GAE - Postal &amp; Communication - Telephone</v>
          </cell>
          <cell r="IF698" t="str">
            <v>Others</v>
          </cell>
          <cell r="IG698" t="str">
            <v>Postal &amp; Communication</v>
          </cell>
        </row>
        <row r="699">
          <cell r="HZ699" t="str">
            <v>80213101-61721101</v>
          </cell>
          <cell r="IA699" t="str">
            <v>OMD TRADE FAIRS/EXHI</v>
          </cell>
          <cell r="IB699" t="str">
            <v>GAE - Postal &amp; Communication - Telephone</v>
          </cell>
          <cell r="IF699" t="str">
            <v>Others</v>
          </cell>
          <cell r="IG699" t="str">
            <v>Postal &amp; Communication</v>
          </cell>
        </row>
        <row r="700">
          <cell r="HZ700" t="str">
            <v>80213102-61721101</v>
          </cell>
          <cell r="IA700" t="str">
            <v>OMD MARKETING</v>
          </cell>
          <cell r="IB700" t="str">
            <v>GAE - Postal &amp; Communication - Telephone</v>
          </cell>
          <cell r="IF700" t="str">
            <v>Others</v>
          </cell>
          <cell r="IG700" t="str">
            <v>Postal &amp; Communication</v>
          </cell>
        </row>
        <row r="701">
          <cell r="HZ701" t="str">
            <v>80214101-61721101</v>
          </cell>
          <cell r="IA701" t="str">
            <v>OMD LEASING</v>
          </cell>
          <cell r="IB701" t="str">
            <v>GAE - Postal &amp; Communication - Telephone</v>
          </cell>
          <cell r="IF701" t="str">
            <v>Others</v>
          </cell>
          <cell r="IG701" t="str">
            <v>Postal &amp; Communication</v>
          </cell>
        </row>
        <row r="702">
          <cell r="HZ702" t="str">
            <v>80225206-61721101</v>
          </cell>
          <cell r="IA702" t="str">
            <v>ESTANCIA CINEMA-RC</v>
          </cell>
          <cell r="IB702" t="str">
            <v>GAE - Postal &amp; Communication - Telephone</v>
          </cell>
          <cell r="IF702" t="str">
            <v>Others</v>
          </cell>
          <cell r="IG702" t="str">
            <v>Postal &amp; Communication</v>
          </cell>
        </row>
        <row r="703">
          <cell r="HZ703" t="str">
            <v>80311101-61721101</v>
          </cell>
          <cell r="IA703" t="str">
            <v>RED-COMMON</v>
          </cell>
          <cell r="IB703" t="str">
            <v>GAE - Postal &amp; Communication - Telephone</v>
          </cell>
          <cell r="IF703" t="str">
            <v>Others</v>
          </cell>
          <cell r="IG703" t="str">
            <v>Postal &amp; Communication</v>
          </cell>
        </row>
        <row r="704">
          <cell r="HZ704" t="str">
            <v>80312104-61721101</v>
          </cell>
          <cell r="IA704" t="str">
            <v>RBU ACCOUNTING</v>
          </cell>
          <cell r="IB704" t="str">
            <v>GAE - Postal &amp; Communication - Telephone</v>
          </cell>
          <cell r="IF704" t="str">
            <v>Others</v>
          </cell>
          <cell r="IG704" t="str">
            <v>Postal &amp; Communication</v>
          </cell>
        </row>
        <row r="705">
          <cell r="HZ705" t="str">
            <v>80313101-61721101</v>
          </cell>
          <cell r="IA705" t="str">
            <v>SALES</v>
          </cell>
          <cell r="IB705" t="str">
            <v>GAE - Postal &amp; Communication - Telephone</v>
          </cell>
          <cell r="IF705" t="str">
            <v>Others</v>
          </cell>
          <cell r="IG705" t="str">
            <v>Postal &amp; Communication</v>
          </cell>
        </row>
        <row r="706">
          <cell r="HZ706" t="str">
            <v>80319101-61721101</v>
          </cell>
          <cell r="IA706" t="str">
            <v>OMD OPERATIONS</v>
          </cell>
          <cell r="IB706" t="str">
            <v>GAE - Postal &amp; Communication - Telephone</v>
          </cell>
          <cell r="IF706" t="str">
            <v>Others</v>
          </cell>
          <cell r="IG706" t="str">
            <v>Postal &amp; Communication</v>
          </cell>
        </row>
        <row r="707">
          <cell r="HZ707" t="str">
            <v>80319201-61721101</v>
          </cell>
          <cell r="IA707" t="str">
            <v>TPSG-RESIDENTIAL</v>
          </cell>
          <cell r="IB707" t="str">
            <v>GAE - Postal &amp; Communication - Telephone</v>
          </cell>
          <cell r="IF707" t="str">
            <v>Others</v>
          </cell>
          <cell r="IG707" t="str">
            <v>Postal &amp; Communication</v>
          </cell>
        </row>
        <row r="708">
          <cell r="HZ708" t="str">
            <v>80319202-61721101</v>
          </cell>
          <cell r="IA708" t="str">
            <v>OFFICES OPERATIONS</v>
          </cell>
          <cell r="IB708" t="str">
            <v>GAE - Postal &amp; Communication - Telephone</v>
          </cell>
          <cell r="IF708" t="str">
            <v>Others</v>
          </cell>
          <cell r="IG708" t="str">
            <v>Postal &amp; Communication</v>
          </cell>
        </row>
        <row r="709">
          <cell r="HZ709" t="str">
            <v>80319203-61721101</v>
          </cell>
          <cell r="IA709" t="str">
            <v>TPSG-TECHNICAL SERVI</v>
          </cell>
          <cell r="IB709" t="str">
            <v>GAE - Postal &amp; Communication - Telephone</v>
          </cell>
          <cell r="IF709" t="str">
            <v>Others</v>
          </cell>
          <cell r="IG709" t="str">
            <v>Postal &amp; Communication</v>
          </cell>
        </row>
        <row r="710">
          <cell r="HZ710" t="str">
            <v>80319301-61721101</v>
          </cell>
          <cell r="IA710" t="str">
            <v>ESTATES OPERATION</v>
          </cell>
          <cell r="IB710" t="str">
            <v>GAE - Postal &amp; Communication - Telephone</v>
          </cell>
          <cell r="IF710" t="str">
            <v>Others</v>
          </cell>
          <cell r="IG710" t="str">
            <v>Postal &amp; Communication</v>
          </cell>
        </row>
        <row r="711">
          <cell r="HZ711" t="str">
            <v>80133102-61721103</v>
          </cell>
          <cell r="IA711" t="str">
            <v>TAX ACCOUNTING</v>
          </cell>
          <cell r="IB711" t="str">
            <v>GAE - Postal &amp; Communication - Postal</v>
          </cell>
          <cell r="IF711" t="str">
            <v>Others</v>
          </cell>
          <cell r="IG711" t="str">
            <v>Postal &amp; Communication</v>
          </cell>
        </row>
        <row r="712">
          <cell r="HZ712" t="str">
            <v>90133102-61721103</v>
          </cell>
          <cell r="IA712" t="str">
            <v>TAX ACCOUNTING</v>
          </cell>
          <cell r="IB712" t="str">
            <v>GAE - Postal &amp; Communication - Postal</v>
          </cell>
          <cell r="IF712" t="str">
            <v>Others</v>
          </cell>
          <cell r="IG712" t="str">
            <v>Postal &amp; Communication</v>
          </cell>
        </row>
        <row r="713">
          <cell r="HZ713" t="str">
            <v>80313101-61721103</v>
          </cell>
          <cell r="IA713" t="str">
            <v>SALES</v>
          </cell>
          <cell r="IB713" t="str">
            <v>GAE - Postal &amp; Communication - Postal</v>
          </cell>
          <cell r="IF713" t="str">
            <v>Others</v>
          </cell>
          <cell r="IG713" t="str">
            <v>Postal &amp; Communication</v>
          </cell>
        </row>
        <row r="714">
          <cell r="HZ714" t="str">
            <v>81133102-61721103</v>
          </cell>
          <cell r="IA714" t="str">
            <v>TAX ACCOUNTING</v>
          </cell>
          <cell r="IB714" t="str">
            <v>GAE - Postal &amp; Communication - Postal</v>
          </cell>
          <cell r="IF714" t="str">
            <v>Others</v>
          </cell>
          <cell r="IG714" t="str">
            <v>Postal &amp; Communication</v>
          </cell>
        </row>
        <row r="715">
          <cell r="HZ715" t="str">
            <v>80124101-61721105</v>
          </cell>
          <cell r="IA715" t="str">
            <v>IS &amp; IT</v>
          </cell>
          <cell r="IB715" t="str">
            <v>GAE - Postal &amp; Commctn - Leased Lines/ Internet</v>
          </cell>
          <cell r="IF715" t="str">
            <v>Others</v>
          </cell>
          <cell r="IG715" t="str">
            <v>Postal &amp; Communication</v>
          </cell>
        </row>
        <row r="716">
          <cell r="HZ716" t="str">
            <v>90111201-61731103</v>
          </cell>
          <cell r="IA716" t="str">
            <v>MANCOM &amp; STAFF</v>
          </cell>
          <cell r="IB716" t="str">
            <v>GAE - Promos - Corporate Branding</v>
          </cell>
          <cell r="IF716" t="str">
            <v>Ad &amp; Promo</v>
          </cell>
        </row>
        <row r="717">
          <cell r="HZ717" t="str">
            <v>80133102-61959201</v>
          </cell>
          <cell r="IA717" t="str">
            <v>TAX ACCOUNTING</v>
          </cell>
          <cell r="IB717" t="str">
            <v>GAE - Miscellaneous Processing Fee</v>
          </cell>
          <cell r="IF717" t="str">
            <v>Others</v>
          </cell>
          <cell r="IG717" t="str">
            <v>Donations, Contributions and Miscellaneous Expenses</v>
          </cell>
        </row>
        <row r="718">
          <cell r="HZ718" t="str">
            <v>81133102-61959201</v>
          </cell>
          <cell r="IA718" t="str">
            <v>TAX ACCOUNTING</v>
          </cell>
          <cell r="IB718" t="str">
            <v>GAE - Miscellaneous Processing Fee</v>
          </cell>
          <cell r="IF718" t="str">
            <v>Others</v>
          </cell>
          <cell r="IG718" t="str">
            <v>Donations, Contributions and Miscellaneous Expenses</v>
          </cell>
        </row>
        <row r="719">
          <cell r="HZ719" t="str">
            <v>80123101-61959999</v>
          </cell>
          <cell r="IA719" t="str">
            <v>LEGAL</v>
          </cell>
          <cell r="IB719" t="str">
            <v>GAE - Others</v>
          </cell>
          <cell r="IF719" t="str">
            <v>Others</v>
          </cell>
          <cell r="IG719" t="str">
            <v>Others</v>
          </cell>
        </row>
        <row r="720">
          <cell r="HZ720" t="str">
            <v>81225101-61061115</v>
          </cell>
          <cell r="IA720" t="str">
            <v>ESTANCIA RETAIL</v>
          </cell>
          <cell r="IB720" t="str">
            <v>GAE - R&amp;M - IT System &amp; Equipment Restricted</v>
          </cell>
          <cell r="IF720" t="str">
            <v>Others</v>
          </cell>
          <cell r="IG720" t="str">
            <v>Repairs &amp; Maintenance</v>
          </cell>
        </row>
        <row r="721">
          <cell r="HZ721" t="str">
            <v>81221201-61061115</v>
          </cell>
          <cell r="IA721" t="str">
            <v>GSC OLD BLDGS</v>
          </cell>
          <cell r="IB721" t="str">
            <v>GAE - R&amp;M - IT System &amp; Equipment Restricted</v>
          </cell>
          <cell r="IF721" t="str">
            <v>Others</v>
          </cell>
          <cell r="IG721" t="str">
            <v>Repairs &amp; Maintenance</v>
          </cell>
        </row>
        <row r="722">
          <cell r="HZ722" t="str">
            <v>80111205-61071004</v>
          </cell>
          <cell r="IA722" t="str">
            <v>CORPORATE PLANNING</v>
          </cell>
          <cell r="IB722" t="str">
            <v>GAE - Prof. Fees - Consultants</v>
          </cell>
          <cell r="IF722" t="str">
            <v>Professional fees</v>
          </cell>
          <cell r="IG722" t="str">
            <v>Internal and external consultants</v>
          </cell>
        </row>
        <row r="723">
          <cell r="HZ723" t="str">
            <v>80111201-61731103</v>
          </cell>
          <cell r="IA723" t="str">
            <v>MANCOM &amp; STAFF</v>
          </cell>
          <cell r="IB723" t="str">
            <v>GAE - Promos - Corporate Branding</v>
          </cell>
          <cell r="IF723" t="str">
            <v>Ad &amp; Promo</v>
          </cell>
        </row>
        <row r="724">
          <cell r="HZ724" t="str">
            <v>81111201-61731103</v>
          </cell>
          <cell r="IA724" t="str">
            <v>MANCOM &amp; STAFF</v>
          </cell>
          <cell r="IB724" t="str">
            <v>GAE - Promos - Corporate Branding</v>
          </cell>
          <cell r="IF724" t="str">
            <v>Ad &amp; Promo</v>
          </cell>
        </row>
        <row r="725">
          <cell r="HZ725" t="str">
            <v>81211101-61051103</v>
          </cell>
          <cell r="IA725" t="str">
            <v>ORTIGAS MALLS DIV</v>
          </cell>
          <cell r="IB725" t="str">
            <v>GAE - Contracted Services- Office Staffs</v>
          </cell>
          <cell r="IF725" t="str">
            <v>Salaries</v>
          </cell>
          <cell r="IG725" t="str">
            <v>Office Staff (BTs)</v>
          </cell>
        </row>
        <row r="726">
          <cell r="HZ726" t="str">
            <v>90121101-61051103</v>
          </cell>
          <cell r="IA726" t="str">
            <v>CORP RESOURCES DIV</v>
          </cell>
          <cell r="IB726" t="str">
            <v>GAE - Contracted Services- Office Staffs</v>
          </cell>
          <cell r="IF726" t="str">
            <v>Salaries</v>
          </cell>
          <cell r="IG726" t="str">
            <v>Office Staff (BTs)</v>
          </cell>
        </row>
        <row r="727">
          <cell r="HZ727" t="str">
            <v>90131101-61051103</v>
          </cell>
          <cell r="IA727" t="str">
            <v>FINANCE - COMMON</v>
          </cell>
          <cell r="IB727" t="str">
            <v>GAE - Contracted Services- Office Staffs</v>
          </cell>
          <cell r="IF727" t="str">
            <v>Salaries</v>
          </cell>
          <cell r="IG727" t="str">
            <v>Office Staff (BTs)</v>
          </cell>
        </row>
        <row r="728">
          <cell r="HZ728" t="str">
            <v>90311101-61051103</v>
          </cell>
          <cell r="IA728" t="str">
            <v>RED-COMMON</v>
          </cell>
          <cell r="IB728" t="str">
            <v>GAE - Contracted Services- Office Staffs</v>
          </cell>
          <cell r="IF728" t="str">
            <v>Salaries</v>
          </cell>
          <cell r="IG728" t="str">
            <v>Office Staff (BTs)</v>
          </cell>
        </row>
        <row r="729">
          <cell r="HZ729" t="str">
            <v>80111101-61961301</v>
          </cell>
          <cell r="IA729" t="str">
            <v>OCLP-COMMON</v>
          </cell>
          <cell r="IB729" t="str">
            <v>GAE - Recoveries</v>
          </cell>
          <cell r="IF729" t="str">
            <v>Others</v>
          </cell>
          <cell r="IG729" t="str">
            <v>Supplies</v>
          </cell>
        </row>
        <row r="730">
          <cell r="HZ730" t="str">
            <v>80123102-61961301</v>
          </cell>
          <cell r="IA730" t="str">
            <v>ADMIN SERVICES</v>
          </cell>
          <cell r="IB730" t="str">
            <v>GAE - Recoveries</v>
          </cell>
          <cell r="IF730" t="str">
            <v>Others</v>
          </cell>
          <cell r="IG730" t="str">
            <v>Supplies</v>
          </cell>
        </row>
        <row r="731">
          <cell r="HZ731" t="str">
            <v>80313106-61061105</v>
          </cell>
          <cell r="IA731" t="str">
            <v>SALES DEVELOPMENT</v>
          </cell>
          <cell r="IB731" t="str">
            <v>GAE - Repairs&amp; Maint. - IT System &amp; Equipment</v>
          </cell>
          <cell r="IF731" t="str">
            <v>Others</v>
          </cell>
          <cell r="IG731" t="str">
            <v>Repairs &amp; Maintenance</v>
          </cell>
        </row>
        <row r="732">
          <cell r="HZ732" t="str">
            <v>81122101-61071004</v>
          </cell>
          <cell r="IA732" t="str">
            <v>HUMAN RESOURCES</v>
          </cell>
          <cell r="IB732" t="str">
            <v>GAE - Prof. Fees - Consultants</v>
          </cell>
          <cell r="IF732" t="str">
            <v>Professional fees</v>
          </cell>
          <cell r="IG732" t="str">
            <v>Internal and external consultants</v>
          </cell>
        </row>
        <row r="733">
          <cell r="HZ733" t="str">
            <v>80319202-61711101</v>
          </cell>
          <cell r="IA733" t="str">
            <v>OFFICES OPERATIONS</v>
          </cell>
          <cell r="IB733" t="str">
            <v>GAE - Dues &amp; Fees</v>
          </cell>
          <cell r="IF733" t="str">
            <v>Others</v>
          </cell>
          <cell r="IG733" t="str">
            <v>Dues and Fees</v>
          </cell>
        </row>
        <row r="734">
          <cell r="HZ734" t="str">
            <v>80131101-61021102</v>
          </cell>
          <cell r="IA734" t="str">
            <v>FINANCE - COMMON</v>
          </cell>
          <cell r="IB734" t="str">
            <v>GAE - Payroll - Regular Employee - Basic</v>
          </cell>
          <cell r="IF734" t="str">
            <v>Salaries</v>
          </cell>
          <cell r="IG734" t="str">
            <v>Regular Employee</v>
          </cell>
        </row>
        <row r="735">
          <cell r="HZ735" t="str">
            <v>80131101-61021105</v>
          </cell>
          <cell r="IA735" t="str">
            <v>FINANCE - COMMON</v>
          </cell>
          <cell r="IB735" t="str">
            <v>GAE - Payroll - Regular Employee - Bonus</v>
          </cell>
          <cell r="IF735" t="str">
            <v>Salaries</v>
          </cell>
          <cell r="IG735" t="str">
            <v>Guaranteed Bonus</v>
          </cell>
        </row>
        <row r="736">
          <cell r="HZ736" t="str">
            <v>80131101-61021301</v>
          </cell>
          <cell r="IA736" t="str">
            <v>FINANCE - COMMON</v>
          </cell>
          <cell r="IB736" t="str">
            <v>GAE - Employee Benefits - Life Insurance</v>
          </cell>
          <cell r="IF736" t="str">
            <v>Employee Benefits</v>
          </cell>
          <cell r="IG736" t="str">
            <v>Medical/Insurance</v>
          </cell>
        </row>
        <row r="737">
          <cell r="HZ737" t="str">
            <v>80111101-61021302</v>
          </cell>
          <cell r="IA737" t="str">
            <v>OCLP-COMMON</v>
          </cell>
          <cell r="IB737" t="str">
            <v>GAE - Employee Benefits - Medical Allowance</v>
          </cell>
          <cell r="IF737" t="str">
            <v>Employee Benefits</v>
          </cell>
          <cell r="IG737" t="str">
            <v>Medical/Insurance</v>
          </cell>
        </row>
        <row r="738">
          <cell r="HZ738" t="str">
            <v>80131101-61021302</v>
          </cell>
          <cell r="IA738" t="str">
            <v>FINANCE - COMMON</v>
          </cell>
          <cell r="IB738" t="str">
            <v>GAE - Employee Benefits - Medical Allowance</v>
          </cell>
          <cell r="IF738" t="str">
            <v>Employee Benefits</v>
          </cell>
          <cell r="IG738" t="str">
            <v>Medical/Insurance</v>
          </cell>
        </row>
        <row r="739">
          <cell r="HZ739" t="str">
            <v>80131101-61021303</v>
          </cell>
          <cell r="IA739" t="str">
            <v>FINANCE - COMMON</v>
          </cell>
          <cell r="IB739" t="str">
            <v>GAE - Health Premium / APE</v>
          </cell>
          <cell r="IF739" t="str">
            <v>Employee Benefits</v>
          </cell>
          <cell r="IG739" t="str">
            <v>Medical/Insurance</v>
          </cell>
        </row>
        <row r="740">
          <cell r="HZ740" t="str">
            <v>80131101-61021306</v>
          </cell>
          <cell r="IA740" t="str">
            <v>FINANCE - COMMON</v>
          </cell>
          <cell r="IB740" t="str">
            <v>GAE - Employee Benefits - SSS,PHIC, HDMF</v>
          </cell>
          <cell r="IF740" t="str">
            <v>Employee Benefits</v>
          </cell>
          <cell r="IG740" t="str">
            <v>Government Contributions</v>
          </cell>
        </row>
        <row r="741">
          <cell r="HZ741" t="str">
            <v>90121101-61021318</v>
          </cell>
          <cell r="IA741" t="str">
            <v>CORP RESOURCES DIV</v>
          </cell>
          <cell r="IB741" t="str">
            <v>GAE - Employee Benefits-Hospitalization-ServiceFee</v>
          </cell>
          <cell r="IF741" t="str">
            <v>Employee Benefits</v>
          </cell>
          <cell r="IG741" t="str">
            <v>Medical/Insurance</v>
          </cell>
        </row>
        <row r="742">
          <cell r="HZ742" t="str">
            <v>90311101-61021318</v>
          </cell>
          <cell r="IA742" t="str">
            <v>RED-COMMON</v>
          </cell>
          <cell r="IB742" t="str">
            <v>GAE - Employee Benefits-Hospitalization-ServiceFee</v>
          </cell>
          <cell r="IF742" t="str">
            <v>Employee Benefits</v>
          </cell>
          <cell r="IG742" t="str">
            <v>Medical/Insurance</v>
          </cell>
        </row>
        <row r="743">
          <cell r="HZ743" t="str">
            <v>90131101-61021318</v>
          </cell>
          <cell r="IA743" t="str">
            <v>FINANCE - COMMON</v>
          </cell>
          <cell r="IB743" t="str">
            <v>GAE - Employee Benefits-Hospitalization-ServiceFee</v>
          </cell>
          <cell r="IF743" t="str">
            <v>Employee Benefits</v>
          </cell>
          <cell r="IG743" t="str">
            <v>Medical/Insurance</v>
          </cell>
        </row>
        <row r="744">
          <cell r="HZ744" t="str">
            <v>90211101-61021318</v>
          </cell>
          <cell r="IA744" t="str">
            <v>ORTIGAS MALLS DIV</v>
          </cell>
          <cell r="IB744" t="str">
            <v>GAE - Employee Benefits-Hospitalization-ServiceFee</v>
          </cell>
          <cell r="IF744" t="str">
            <v>Employee Benefits</v>
          </cell>
          <cell r="IG744" t="str">
            <v>Medical/Insurance</v>
          </cell>
        </row>
        <row r="745">
          <cell r="HZ745" t="str">
            <v>80311101-61021107</v>
          </cell>
          <cell r="IA745" t="str">
            <v>RED-COMMON</v>
          </cell>
          <cell r="IB745" t="str">
            <v>GAE - Payroll-Regular Employee-Leave Encashment</v>
          </cell>
          <cell r="IF745" t="str">
            <v>Salaries</v>
          </cell>
          <cell r="IG745" t="str">
            <v>Leave Encashment</v>
          </cell>
        </row>
        <row r="746">
          <cell r="HZ746" t="str">
            <v>81211101-61021107</v>
          </cell>
          <cell r="IA746" t="str">
            <v>ORTIGAS MALLS DIV</v>
          </cell>
          <cell r="IB746" t="str">
            <v>GAE - Payroll-Regular Employee-Leave Encashment</v>
          </cell>
          <cell r="IF746" t="str">
            <v>Salaries</v>
          </cell>
          <cell r="IG746" t="str">
            <v>Leave Encashment</v>
          </cell>
        </row>
        <row r="747">
          <cell r="HZ747" t="str">
            <v>80313105-61011101</v>
          </cell>
          <cell r="IA747" t="str">
            <v>SALES OPERATIONS</v>
          </cell>
          <cell r="IB747" t="str">
            <v>GAE - Rent - Furniture, Fixtures &amp; Equipment</v>
          </cell>
          <cell r="IF747" t="str">
            <v>Others</v>
          </cell>
          <cell r="IG747" t="str">
            <v>Rent</v>
          </cell>
        </row>
        <row r="748">
          <cell r="HZ748" t="str">
            <v>80215105-61031201</v>
          </cell>
          <cell r="IA748" t="str">
            <v>SECURITY</v>
          </cell>
          <cell r="IB748" t="str">
            <v>GAE - Repairs &amp; Maintenance - Supplies</v>
          </cell>
          <cell r="IF748" t="str">
            <v>Others</v>
          </cell>
          <cell r="IG748" t="str">
            <v>Repairs &amp; Maintenance</v>
          </cell>
        </row>
        <row r="749">
          <cell r="HZ749" t="str">
            <v>81224101-61051101</v>
          </cell>
          <cell r="IA749" t="str">
            <v>INDUSTRIA</v>
          </cell>
          <cell r="IB749" t="str">
            <v>GAE - Security Services</v>
          </cell>
          <cell r="IF749" t="str">
            <v>Contracted services</v>
          </cell>
          <cell r="IG749" t="str">
            <v>Security</v>
          </cell>
        </row>
        <row r="750">
          <cell r="HZ750" t="str">
            <v>90123102-61051199</v>
          </cell>
          <cell r="IA750" t="str">
            <v>ADMIN SERVICES</v>
          </cell>
          <cell r="IB750" t="str">
            <v>GAE - Contracted Services - Others</v>
          </cell>
          <cell r="IF750" t="str">
            <v>Contracted services</v>
          </cell>
          <cell r="IG750" t="str">
            <v>Admin Staff</v>
          </cell>
        </row>
        <row r="751">
          <cell r="HZ751" t="str">
            <v>81224101-61051199</v>
          </cell>
          <cell r="IA751" t="str">
            <v>INDUSTRIA</v>
          </cell>
          <cell r="IB751" t="str">
            <v>GAE - Contracted Services - Others</v>
          </cell>
          <cell r="IF751" t="str">
            <v>Contracted services</v>
          </cell>
          <cell r="IG751" t="str">
            <v>Admin Staff</v>
          </cell>
        </row>
        <row r="752">
          <cell r="HZ752" t="str">
            <v>80123102-61061101</v>
          </cell>
          <cell r="IA752" t="str">
            <v>ADMIN SERVICES</v>
          </cell>
          <cell r="IB752" t="str">
            <v>GAE - Repairs&amp; Maint. - Building &amp; Improvements</v>
          </cell>
          <cell r="IF752" t="str">
            <v>Others</v>
          </cell>
          <cell r="IG752" t="str">
            <v>Repairs &amp; Maintenance</v>
          </cell>
        </row>
        <row r="753">
          <cell r="HZ753" t="str">
            <v>81224101-61061101</v>
          </cell>
          <cell r="IA753" t="str">
            <v>INDUSTRIA</v>
          </cell>
          <cell r="IB753" t="str">
            <v>GAE - Repairs&amp; Maint. - Building &amp; Improvements</v>
          </cell>
          <cell r="IF753" t="str">
            <v>Others</v>
          </cell>
          <cell r="IG753" t="str">
            <v>Repairs &amp; Maintenance</v>
          </cell>
        </row>
        <row r="754">
          <cell r="HZ754" t="str">
            <v>80313106-61061102</v>
          </cell>
          <cell r="IA754" t="str">
            <v>SALES DEVELOPMENT</v>
          </cell>
          <cell r="IB754" t="str">
            <v>GAE - Repairs&amp; Maint - Furniture, Fixture &amp; Equip</v>
          </cell>
          <cell r="IF754" t="str">
            <v>Others</v>
          </cell>
          <cell r="IG754" t="str">
            <v>Repairs &amp; Maintenance</v>
          </cell>
        </row>
        <row r="755">
          <cell r="HZ755" t="str">
            <v>81222101-61061102</v>
          </cell>
          <cell r="IA755" t="str">
            <v>TIENDESITAS</v>
          </cell>
          <cell r="IB755" t="str">
            <v>GAE - Repairs&amp; Maint - Furniture, Fixture &amp; Equip</v>
          </cell>
          <cell r="IF755" t="str">
            <v>Others</v>
          </cell>
          <cell r="IG755" t="str">
            <v>Repairs &amp; Maintenance</v>
          </cell>
        </row>
        <row r="756">
          <cell r="HZ756" t="str">
            <v>80317101-61061105</v>
          </cell>
          <cell r="IA756" t="str">
            <v>CONSTRUCTION MGT</v>
          </cell>
          <cell r="IB756" t="str">
            <v>GAE - Repairs&amp; Maint. - IT System &amp; Equipment</v>
          </cell>
          <cell r="IF756" t="str">
            <v>Systems &amp; Applications</v>
          </cell>
        </row>
        <row r="757">
          <cell r="HZ757" t="str">
            <v>80316101-61061106</v>
          </cell>
          <cell r="IA757" t="str">
            <v>DESIGN &amp; PLANNING</v>
          </cell>
          <cell r="IB757" t="str">
            <v>GAE-Repairs&amp; Maint. - IT System &amp; Equip-Recovery</v>
          </cell>
          <cell r="IF757" t="str">
            <v>Others</v>
          </cell>
          <cell r="IG757" t="str">
            <v>Repairs &amp; Maintenance</v>
          </cell>
        </row>
        <row r="758">
          <cell r="HZ758" t="str">
            <v>81224101-61061111</v>
          </cell>
          <cell r="IA758" t="str">
            <v>INDUSTRIA</v>
          </cell>
          <cell r="IB758" t="str">
            <v>GAE - R&amp;M - Building &amp; Improvements Restricted</v>
          </cell>
          <cell r="IF758" t="str">
            <v>Others</v>
          </cell>
          <cell r="IG758" t="str">
            <v>Repairs &amp; Maintenance</v>
          </cell>
        </row>
        <row r="759">
          <cell r="HZ759" t="str">
            <v>81222101-61061112</v>
          </cell>
          <cell r="IA759" t="str">
            <v>TIENDESITAS</v>
          </cell>
          <cell r="IB759" t="str">
            <v>GAE - R&amp;M - Furniture,Fixture &amp; Equip - Restricted</v>
          </cell>
          <cell r="IF759" t="str">
            <v>Others</v>
          </cell>
          <cell r="IG759" t="str">
            <v>Repairs &amp; Maintenance</v>
          </cell>
        </row>
        <row r="760">
          <cell r="HZ760" t="str">
            <v>81221201-61061114</v>
          </cell>
          <cell r="IA760" t="str">
            <v>GSC OLD BLDGS</v>
          </cell>
          <cell r="IB760" t="str">
            <v>GAE - R&amp;M - Transportation Equipment - Restricted</v>
          </cell>
          <cell r="IF760" t="str">
            <v>Others</v>
          </cell>
          <cell r="IG760" t="str">
            <v>Repairs &amp; Maintenance</v>
          </cell>
        </row>
        <row r="761">
          <cell r="HZ761" t="str">
            <v>81222101-61071001</v>
          </cell>
          <cell r="IA761" t="str">
            <v>TIENDESITAS</v>
          </cell>
          <cell r="IB761" t="str">
            <v>GAE - Prof. Fees - Audit</v>
          </cell>
          <cell r="IF761" t="str">
            <v>Professional fees</v>
          </cell>
          <cell r="IG761" t="str">
            <v>Internal and external consultants</v>
          </cell>
        </row>
        <row r="762">
          <cell r="HZ762" t="str">
            <v>80133102-61071002</v>
          </cell>
          <cell r="IA762" t="str">
            <v>TAX ACCOUNTING</v>
          </cell>
          <cell r="IB762" t="str">
            <v>GAE - Prof. Fees - Legal</v>
          </cell>
          <cell r="IF762" t="str">
            <v>Professional fees</v>
          </cell>
          <cell r="IG762" t="str">
            <v>Open Cases</v>
          </cell>
        </row>
        <row r="763">
          <cell r="HZ763" t="str">
            <v>81122101-61071004</v>
          </cell>
          <cell r="IA763" t="str">
            <v>HUMAN RESOURCES</v>
          </cell>
          <cell r="IB763" t="str">
            <v>GAE - Prof. Fees - Consultants</v>
          </cell>
          <cell r="IF763" t="str">
            <v>Professional fees</v>
          </cell>
          <cell r="IG763" t="str">
            <v>Internal and external consultants</v>
          </cell>
        </row>
        <row r="764">
          <cell r="HZ764" t="str">
            <v>80315101-61071099</v>
          </cell>
          <cell r="IA764" t="str">
            <v>OMD BUS DEV/PROJ DEV</v>
          </cell>
          <cell r="IB764" t="str">
            <v>GAE - Prof. Fees - Others</v>
          </cell>
          <cell r="IF764" t="str">
            <v>Professional fees</v>
          </cell>
          <cell r="IG764" t="str">
            <v>Internal and external consultants</v>
          </cell>
        </row>
        <row r="765">
          <cell r="HZ765" t="str">
            <v>81123102-61071099</v>
          </cell>
          <cell r="IA765" t="str">
            <v>ADMIN SERVICES</v>
          </cell>
          <cell r="IB765" t="str">
            <v>GAE - Prof. Fees - Others</v>
          </cell>
          <cell r="IF765" t="str">
            <v>Professional fees</v>
          </cell>
          <cell r="IG765" t="str">
            <v>Internal and external consultants</v>
          </cell>
        </row>
        <row r="766">
          <cell r="HZ766" t="str">
            <v>80123101-61071099</v>
          </cell>
          <cell r="IA766" t="str">
            <v>LEGAL</v>
          </cell>
          <cell r="IB766" t="str">
            <v>GAE - Prof. Fees - Others</v>
          </cell>
          <cell r="IF766" t="str">
            <v>Professional fees</v>
          </cell>
          <cell r="IG766" t="str">
            <v>Internal and external consultants</v>
          </cell>
        </row>
        <row r="767">
          <cell r="HZ767" t="str">
            <v>80123102-61071099</v>
          </cell>
          <cell r="IA767" t="str">
            <v>ADMIN SERVICES</v>
          </cell>
          <cell r="IB767" t="str">
            <v>GAE - Prof. Fees - Others</v>
          </cell>
          <cell r="IF767" t="str">
            <v>Professional fees</v>
          </cell>
          <cell r="IG767" t="str">
            <v>Internal and external consultants</v>
          </cell>
        </row>
        <row r="768">
          <cell r="HZ768" t="str">
            <v>81123101-61071099</v>
          </cell>
          <cell r="IA768" t="str">
            <v>LEGAL</v>
          </cell>
          <cell r="IB768" t="str">
            <v>GAE - Prof. Fees - Others</v>
          </cell>
          <cell r="IF768" t="str">
            <v>Professional fees</v>
          </cell>
          <cell r="IG768" t="str">
            <v>Internal and external consultants</v>
          </cell>
        </row>
        <row r="769">
          <cell r="HZ769" t="str">
            <v>81225101-61091101</v>
          </cell>
          <cell r="IA769" t="str">
            <v>ESTANCIA RETAIL</v>
          </cell>
          <cell r="IB769" t="str">
            <v>GAE - Representation</v>
          </cell>
          <cell r="IF769" t="str">
            <v>Others</v>
          </cell>
          <cell r="IG769" t="str">
            <v>Entertainment, Amusement &amp; Recreation</v>
          </cell>
        </row>
        <row r="770">
          <cell r="HZ770" t="str">
            <v>80123102-61091102</v>
          </cell>
          <cell r="IA770" t="str">
            <v>ADMIN SERVICES</v>
          </cell>
          <cell r="IB770" t="str">
            <v>GAE - Meeting</v>
          </cell>
          <cell r="IF770" t="str">
            <v>Others</v>
          </cell>
          <cell r="IG770" t="str">
            <v>Entertainment, Amusement &amp; Recreation</v>
          </cell>
        </row>
        <row r="771">
          <cell r="HZ771" t="str">
            <v>81111203-61091102</v>
          </cell>
          <cell r="IA771" t="str">
            <v>OFFICE OF THE PRES.</v>
          </cell>
          <cell r="IB771" t="str">
            <v>GAE - Meeting</v>
          </cell>
          <cell r="IF771" t="str">
            <v>Others</v>
          </cell>
          <cell r="IG771" t="str">
            <v>Entertainment, Amusement &amp; Recreation</v>
          </cell>
        </row>
        <row r="772">
          <cell r="HZ772" t="str">
            <v>90111101-61101106</v>
          </cell>
          <cell r="IA772" t="str">
            <v>OHI-COMMON</v>
          </cell>
          <cell r="IB772" t="str">
            <v>GAE - Insurance - Bonds</v>
          </cell>
          <cell r="IF772" t="str">
            <v>Others</v>
          </cell>
          <cell r="IG772" t="str">
            <v>Insurance</v>
          </cell>
        </row>
        <row r="773">
          <cell r="HZ773" t="str">
            <v>80123102-61101109</v>
          </cell>
          <cell r="IA773" t="str">
            <v>ADMIN SERVICES</v>
          </cell>
          <cell r="IB773" t="str">
            <v>GAE - Insurance - Directors, Officers &amp; Liability</v>
          </cell>
          <cell r="IF773" t="str">
            <v>Others</v>
          </cell>
          <cell r="IG773" t="str">
            <v>Insurance</v>
          </cell>
        </row>
        <row r="774">
          <cell r="HZ774" t="str">
            <v>90111206-61111101</v>
          </cell>
          <cell r="IA774" t="str">
            <v>OFFICE OF THE COO</v>
          </cell>
          <cell r="IB774" t="str">
            <v>GAE - Office Supplies</v>
          </cell>
          <cell r="IF774" t="str">
            <v>Others</v>
          </cell>
          <cell r="IG774" t="str">
            <v>Supplies</v>
          </cell>
        </row>
        <row r="775">
          <cell r="HZ775" t="str">
            <v>80111203-61111102</v>
          </cell>
          <cell r="IA775" t="str">
            <v>OFFICE OF THE PRES.</v>
          </cell>
          <cell r="IB775" t="str">
            <v>GAE - Low Value Assets</v>
          </cell>
          <cell r="IF775" t="str">
            <v>Others</v>
          </cell>
          <cell r="IG775" t="str">
            <v>Supplies</v>
          </cell>
        </row>
        <row r="776">
          <cell r="HZ776" t="str">
            <v>81215101-61111102</v>
          </cell>
          <cell r="IA776" t="str">
            <v>PROPERTY MANAGEMENT</v>
          </cell>
          <cell r="IB776" t="str">
            <v>GAE - Low Value Assets</v>
          </cell>
          <cell r="IF776" t="str">
            <v>Others</v>
          </cell>
          <cell r="IG776" t="str">
            <v>Supplies</v>
          </cell>
        </row>
        <row r="777">
          <cell r="HZ777" t="str">
            <v>80122101-61111111</v>
          </cell>
          <cell r="IA777" t="str">
            <v>HUMAN RESOURCES</v>
          </cell>
          <cell r="IB777" t="str">
            <v>GAE - Office Supplies - Restricted</v>
          </cell>
          <cell r="IF777" t="str">
            <v>Others</v>
          </cell>
          <cell r="IG777" t="str">
            <v>Supplies</v>
          </cell>
        </row>
        <row r="778">
          <cell r="HZ778" t="str">
            <v>80319203-61111111</v>
          </cell>
          <cell r="IA778" t="str">
            <v>TPSG-TECHNICAL SERVI</v>
          </cell>
          <cell r="IB778" t="str">
            <v>GAE - Office Supplies - Restricted</v>
          </cell>
          <cell r="IF778" t="str">
            <v>Others</v>
          </cell>
          <cell r="IG778" t="str">
            <v>Supplies</v>
          </cell>
        </row>
        <row r="779">
          <cell r="HZ779" t="str">
            <v>80134103-61111111</v>
          </cell>
          <cell r="IA779" t="str">
            <v>BUDGET  C&amp;A</v>
          </cell>
          <cell r="IB779" t="str">
            <v>GAE - Office Supplies - Restricted</v>
          </cell>
          <cell r="IF779" t="str">
            <v>Others</v>
          </cell>
          <cell r="IG779" t="str">
            <v>Supplies</v>
          </cell>
        </row>
        <row r="780">
          <cell r="HZ780" t="str">
            <v>80313101-61111111</v>
          </cell>
          <cell r="IA780" t="str">
            <v>SALES</v>
          </cell>
          <cell r="IB780" t="str">
            <v>GAE - Office Supplies - Restricted</v>
          </cell>
          <cell r="IF780" t="str">
            <v>Others</v>
          </cell>
          <cell r="IG780" t="str">
            <v>Supplies</v>
          </cell>
        </row>
        <row r="781">
          <cell r="HZ781" t="str">
            <v>80313105-61111111</v>
          </cell>
          <cell r="IA781" t="str">
            <v>SALES OPERATIONS</v>
          </cell>
          <cell r="IB781" t="str">
            <v>GAE - Office Supplies - Restricted</v>
          </cell>
          <cell r="IF781" t="str">
            <v>Others</v>
          </cell>
          <cell r="IG781" t="str">
            <v>Supplies</v>
          </cell>
        </row>
        <row r="782">
          <cell r="HZ782" t="str">
            <v>80319301-61111111</v>
          </cell>
          <cell r="IA782" t="str">
            <v>ESTATES OPERATION</v>
          </cell>
          <cell r="IB782" t="str">
            <v>GAE - Office Supplies - Restricted</v>
          </cell>
          <cell r="IF782" t="str">
            <v>Others</v>
          </cell>
          <cell r="IG782" t="str">
            <v>Supplies</v>
          </cell>
        </row>
        <row r="783">
          <cell r="HZ783" t="str">
            <v>80124101-61111111</v>
          </cell>
          <cell r="IA783" t="str">
            <v>IS &amp; IT</v>
          </cell>
          <cell r="IB783" t="str">
            <v>GAE - Office Supplies - Restricted</v>
          </cell>
          <cell r="IF783" t="str">
            <v>Others</v>
          </cell>
          <cell r="IG783" t="str">
            <v>Supplies</v>
          </cell>
        </row>
        <row r="784">
          <cell r="HZ784" t="str">
            <v>80134102-61111111</v>
          </cell>
          <cell r="IA784" t="str">
            <v>CORPORATE ACCOUNTING</v>
          </cell>
          <cell r="IB784" t="str">
            <v>GAE - Office Supplies - Restricted</v>
          </cell>
          <cell r="IF784" t="str">
            <v>Others</v>
          </cell>
          <cell r="IG784" t="str">
            <v>Supplies</v>
          </cell>
        </row>
        <row r="785">
          <cell r="HZ785" t="str">
            <v>80312102-61111111</v>
          </cell>
          <cell r="IA785" t="str">
            <v>RBU B&amp;C</v>
          </cell>
          <cell r="IB785" t="str">
            <v>GAE - Office Supplies - Restricted</v>
          </cell>
          <cell r="IF785" t="str">
            <v>Others</v>
          </cell>
          <cell r="IG785" t="str">
            <v>Supplies</v>
          </cell>
        </row>
        <row r="786">
          <cell r="HZ786" t="str">
            <v>80317101-61111111</v>
          </cell>
          <cell r="IA786" t="str">
            <v>CONSTRUCTION MGT</v>
          </cell>
          <cell r="IB786" t="str">
            <v>GAE - Office Supplies - Restricted</v>
          </cell>
          <cell r="IF786" t="str">
            <v>Others</v>
          </cell>
          <cell r="IG786" t="str">
            <v>Supplies</v>
          </cell>
        </row>
        <row r="787">
          <cell r="HZ787" t="str">
            <v>80111203-61111111</v>
          </cell>
          <cell r="IA787" t="str">
            <v>OFFICE OF THE PRES.</v>
          </cell>
          <cell r="IB787" t="str">
            <v>GAE - Office Supplies - Restricted</v>
          </cell>
          <cell r="IF787" t="str">
            <v>Others</v>
          </cell>
          <cell r="IG787" t="str">
            <v>Supplies</v>
          </cell>
        </row>
        <row r="788">
          <cell r="HZ788" t="str">
            <v>80111204-61111111</v>
          </cell>
          <cell r="IA788" t="str">
            <v>OFFICE OF THE CFO</v>
          </cell>
          <cell r="IB788" t="str">
            <v>GAE - Office Supplies - Restricted</v>
          </cell>
          <cell r="IF788" t="str">
            <v>Others</v>
          </cell>
          <cell r="IG788" t="str">
            <v>Supplies</v>
          </cell>
        </row>
        <row r="789">
          <cell r="HZ789" t="str">
            <v>80123101-61111111</v>
          </cell>
          <cell r="IA789" t="str">
            <v>LEGAL</v>
          </cell>
          <cell r="IB789" t="str">
            <v>GAE - Office Supplies - Restricted</v>
          </cell>
          <cell r="IF789" t="str">
            <v>Others</v>
          </cell>
          <cell r="IG789" t="str">
            <v>Supplies</v>
          </cell>
        </row>
        <row r="790">
          <cell r="HZ790" t="str">
            <v>80315201-61111111</v>
          </cell>
          <cell r="IA790" t="str">
            <v>RBU BD/PD</v>
          </cell>
          <cell r="IB790" t="str">
            <v>GAE - Office Supplies - Restricted</v>
          </cell>
          <cell r="IF790" t="str">
            <v>Others</v>
          </cell>
          <cell r="IG790" t="str">
            <v>Supplies</v>
          </cell>
        </row>
        <row r="791">
          <cell r="HZ791" t="str">
            <v>80111202-61111111</v>
          </cell>
          <cell r="IA791" t="str">
            <v>INTERNAL AUDIT</v>
          </cell>
          <cell r="IB791" t="str">
            <v>GAE - Office Supplies - Restricted</v>
          </cell>
          <cell r="IF791" t="str">
            <v>Others</v>
          </cell>
          <cell r="IG791" t="str">
            <v>Supplies</v>
          </cell>
        </row>
        <row r="792">
          <cell r="HZ792" t="str">
            <v>80126101-61111111</v>
          </cell>
          <cell r="IA792" t="str">
            <v>DCMG - LEASING</v>
          </cell>
          <cell r="IB792" t="str">
            <v>GAE - Office Supplies - Restricted</v>
          </cell>
          <cell r="IF792" t="str">
            <v>Others</v>
          </cell>
          <cell r="IG792" t="str">
            <v>Supplies</v>
          </cell>
        </row>
        <row r="793">
          <cell r="HZ793" t="str">
            <v>80312104-61111111</v>
          </cell>
          <cell r="IA793" t="str">
            <v>RBU ACCOUNTING</v>
          </cell>
          <cell r="IB793" t="str">
            <v>GAE - Office Supplies - Restricted</v>
          </cell>
          <cell r="IF793" t="str">
            <v>Others</v>
          </cell>
          <cell r="IG793" t="str">
            <v>Supplies</v>
          </cell>
        </row>
        <row r="794">
          <cell r="HZ794" t="str">
            <v>80319202-61111111</v>
          </cell>
          <cell r="IA794" t="str">
            <v>OFFICES OPERATIONS</v>
          </cell>
          <cell r="IB794" t="str">
            <v>GAE - Office Supplies - Restricted</v>
          </cell>
          <cell r="IF794" t="str">
            <v>Others</v>
          </cell>
          <cell r="IG794" t="str">
            <v>Supplies</v>
          </cell>
        </row>
        <row r="795">
          <cell r="HZ795" t="str">
            <v>80126102-61111111</v>
          </cell>
          <cell r="IA795" t="str">
            <v>DCMG - PROP SALES</v>
          </cell>
          <cell r="IB795" t="str">
            <v>GAE - Office Supplies - Restricted</v>
          </cell>
          <cell r="IF795" t="str">
            <v>Others</v>
          </cell>
          <cell r="IG795" t="str">
            <v>Supplies</v>
          </cell>
        </row>
        <row r="796">
          <cell r="HZ796" t="str">
            <v>80314101-61111111</v>
          </cell>
          <cell r="IA796" t="str">
            <v>CORPORATE MARKETING</v>
          </cell>
          <cell r="IB796" t="str">
            <v>GAE - Office Supplies - Restricted</v>
          </cell>
          <cell r="IF796" t="str">
            <v>Others</v>
          </cell>
          <cell r="IG796" t="str">
            <v>Supplies</v>
          </cell>
        </row>
        <row r="797">
          <cell r="HZ797" t="str">
            <v>80123102-61111111</v>
          </cell>
          <cell r="IA797" t="str">
            <v>ADMIN SERVICES</v>
          </cell>
          <cell r="IB797" t="str">
            <v>GAE - Office Supplies - Restricted</v>
          </cell>
          <cell r="IF797" t="str">
            <v>Others</v>
          </cell>
          <cell r="IG797" t="str">
            <v>Supplies</v>
          </cell>
        </row>
        <row r="798">
          <cell r="HZ798" t="str">
            <v>80132101-61111111</v>
          </cell>
          <cell r="IA798" t="str">
            <v>TREASURY OPERATIONS</v>
          </cell>
          <cell r="IB798" t="str">
            <v>GAE - Office Supplies - Restricted</v>
          </cell>
          <cell r="IF798" t="str">
            <v>Others</v>
          </cell>
          <cell r="IG798" t="str">
            <v>Supplies</v>
          </cell>
        </row>
        <row r="799">
          <cell r="HZ799" t="str">
            <v>80132102-61111111</v>
          </cell>
          <cell r="IA799" t="str">
            <v>TREASURY SERVICES</v>
          </cell>
          <cell r="IB799" t="str">
            <v>GAE - Office Supplies - Restricted</v>
          </cell>
          <cell r="IF799" t="str">
            <v>Others</v>
          </cell>
          <cell r="IG799" t="str">
            <v>Supplies</v>
          </cell>
        </row>
        <row r="800">
          <cell r="HZ800" t="str">
            <v>80133102-61111111</v>
          </cell>
          <cell r="IA800" t="str">
            <v>TAX ACCOUNTING</v>
          </cell>
          <cell r="IB800" t="str">
            <v>GAE - Office Supplies - Restricted</v>
          </cell>
          <cell r="IF800" t="str">
            <v>Others</v>
          </cell>
          <cell r="IG800" t="str">
            <v>Supplies</v>
          </cell>
        </row>
        <row r="801">
          <cell r="HZ801" t="str">
            <v>80313102-61111111</v>
          </cell>
          <cell r="IA801" t="str">
            <v>OFFICE LEASING</v>
          </cell>
          <cell r="IB801" t="str">
            <v>GAE - Office Supplies - Restricted</v>
          </cell>
          <cell r="IF801" t="str">
            <v>Others</v>
          </cell>
          <cell r="IG801" t="str">
            <v>Supplies</v>
          </cell>
        </row>
        <row r="802">
          <cell r="HZ802" t="str">
            <v>80111203-61111112</v>
          </cell>
          <cell r="IA802" t="str">
            <v>OFFICE OF THE PRES.</v>
          </cell>
          <cell r="IB802" t="str">
            <v>GAE - Low Value Assets - Restricted</v>
          </cell>
          <cell r="IF802" t="str">
            <v>Others</v>
          </cell>
          <cell r="IG802" t="str">
            <v>Supplies</v>
          </cell>
        </row>
        <row r="803">
          <cell r="HZ803" t="str">
            <v>80133102-61111112</v>
          </cell>
          <cell r="IA803" t="str">
            <v>TAX ACCOUNTING</v>
          </cell>
          <cell r="IB803" t="str">
            <v>GAE - Low Value Assets - Restricted</v>
          </cell>
          <cell r="IF803" t="str">
            <v>Others</v>
          </cell>
          <cell r="IG803" t="str">
            <v>Supplies</v>
          </cell>
        </row>
        <row r="804">
          <cell r="HZ804" t="str">
            <v>80126101-61111112</v>
          </cell>
          <cell r="IA804" t="str">
            <v>DCMG - LEASING</v>
          </cell>
          <cell r="IB804" t="str">
            <v>GAE - Low Value Assets - Restricted</v>
          </cell>
          <cell r="IF804" t="str">
            <v>Others</v>
          </cell>
          <cell r="IG804" t="str">
            <v>Supplies</v>
          </cell>
        </row>
        <row r="805">
          <cell r="HZ805" t="str">
            <v>80134103-61111112</v>
          </cell>
          <cell r="IA805" t="str">
            <v>BUDGET  C&amp;A</v>
          </cell>
          <cell r="IB805" t="str">
            <v>GAE - Low Value Assets - Restricted</v>
          </cell>
          <cell r="IF805" t="str">
            <v>Others</v>
          </cell>
          <cell r="IG805" t="str">
            <v>Supplies</v>
          </cell>
        </row>
        <row r="806">
          <cell r="HZ806" t="str">
            <v>80312104-61111112</v>
          </cell>
          <cell r="IA806" t="str">
            <v>RBU ACCOUNTING</v>
          </cell>
          <cell r="IB806" t="str">
            <v>GAE - Low Value Assets - Restricted</v>
          </cell>
          <cell r="IF806" t="str">
            <v>Others</v>
          </cell>
          <cell r="IG806" t="str">
            <v>Supplies</v>
          </cell>
        </row>
        <row r="807">
          <cell r="HZ807" t="str">
            <v>80126102-61111112</v>
          </cell>
          <cell r="IA807" t="str">
            <v>DCMG - PROP SALES</v>
          </cell>
          <cell r="IB807" t="str">
            <v>GAE - Low Value Assets - Restricted</v>
          </cell>
          <cell r="IF807" t="str">
            <v>Others</v>
          </cell>
          <cell r="IG807" t="str">
            <v>Supplies</v>
          </cell>
        </row>
        <row r="808">
          <cell r="HZ808" t="str">
            <v>80132101-61111112</v>
          </cell>
          <cell r="IA808" t="str">
            <v>TREASURY OPERATIONS</v>
          </cell>
          <cell r="IB808" t="str">
            <v>GAE - Low Value Assets - Restricted</v>
          </cell>
          <cell r="IF808" t="str">
            <v>Others</v>
          </cell>
          <cell r="IG808" t="str">
            <v>Supplies</v>
          </cell>
        </row>
        <row r="809">
          <cell r="HZ809" t="str">
            <v>80315201-61111112</v>
          </cell>
          <cell r="IA809" t="str">
            <v>RBU BD/PD</v>
          </cell>
          <cell r="IB809" t="str">
            <v>GAE - Low Value Assets - Restricted</v>
          </cell>
          <cell r="IF809" t="str">
            <v>Others</v>
          </cell>
          <cell r="IG809" t="str">
            <v>Supplies</v>
          </cell>
        </row>
        <row r="810">
          <cell r="HZ810" t="str">
            <v>80316101-61111112</v>
          </cell>
          <cell r="IA810" t="str">
            <v>DESIGN &amp; PLANNING</v>
          </cell>
          <cell r="IB810" t="str">
            <v>GAE - Low Value Assets - Restricted</v>
          </cell>
          <cell r="IF810" t="str">
            <v>Others</v>
          </cell>
          <cell r="IG810" t="str">
            <v>Supplies</v>
          </cell>
        </row>
        <row r="811">
          <cell r="HZ811" t="str">
            <v>80319203-61111112</v>
          </cell>
          <cell r="IA811" t="str">
            <v>TPSG-TECHNICAL SERVI</v>
          </cell>
          <cell r="IB811" t="str">
            <v>GAE - Low Value Assets - Restricted</v>
          </cell>
          <cell r="IF811" t="str">
            <v>Others</v>
          </cell>
          <cell r="IG811" t="str">
            <v>Supplies</v>
          </cell>
        </row>
        <row r="812">
          <cell r="HZ812" t="str">
            <v>80313106-61711101</v>
          </cell>
          <cell r="IA812" t="str">
            <v>SALES DEVELOPMENT</v>
          </cell>
          <cell r="IB812" t="str">
            <v>GAE - Dues &amp; Fees</v>
          </cell>
          <cell r="IF812" t="str">
            <v>Others</v>
          </cell>
          <cell r="IG812" t="str">
            <v>Dues and Fees</v>
          </cell>
        </row>
        <row r="813">
          <cell r="HZ813" t="str">
            <v>90111101-61721102</v>
          </cell>
          <cell r="IA813" t="str">
            <v>OHI-COMMON</v>
          </cell>
          <cell r="IB813" t="str">
            <v>GAE - Postal &amp; Communication - Telephone Recovery</v>
          </cell>
          <cell r="IF813" t="str">
            <v>Others</v>
          </cell>
          <cell r="IG813" t="str">
            <v>Postal &amp; Communication</v>
          </cell>
        </row>
        <row r="814">
          <cell r="HZ814" t="str">
            <v>80111201-61731112</v>
          </cell>
          <cell r="IA814" t="str">
            <v>MANCOM &amp; STAFF</v>
          </cell>
          <cell r="IB814" t="str">
            <v>GAE - Promos - Events - Restricted</v>
          </cell>
          <cell r="IF814" t="str">
            <v>Ad &amp; Promo</v>
          </cell>
        </row>
        <row r="815">
          <cell r="HZ815" t="str">
            <v>80314101-61731101</v>
          </cell>
          <cell r="IA815" t="str">
            <v>CORPORATE MARKETING</v>
          </cell>
          <cell r="IB815" t="str">
            <v>GAE - Promos - Gifts</v>
          </cell>
          <cell r="IF815" t="str">
            <v>Ad &amp; Promo</v>
          </cell>
        </row>
        <row r="816">
          <cell r="HZ816" t="str">
            <v>80122101-61731102</v>
          </cell>
          <cell r="IA816" t="str">
            <v>HUMAN RESOURCES</v>
          </cell>
          <cell r="IB816" t="str">
            <v>GAE - Promos - Events</v>
          </cell>
          <cell r="IF816" t="str">
            <v>Ad &amp; Promo</v>
          </cell>
        </row>
        <row r="817">
          <cell r="HZ817" t="str">
            <v>90111101-61959101</v>
          </cell>
          <cell r="IA817" t="str">
            <v>OHI-COMMON</v>
          </cell>
          <cell r="IB817" t="str">
            <v>GAE - Donation</v>
          </cell>
          <cell r="IF817" t="str">
            <v>Others</v>
          </cell>
          <cell r="IG817" t="str">
            <v>Donations, Contributions and Miscellaneous Expenses</v>
          </cell>
        </row>
        <row r="818">
          <cell r="HZ818" t="str">
            <v>81123101-61959201</v>
          </cell>
          <cell r="IA818" t="str">
            <v>LEGAL</v>
          </cell>
          <cell r="IB818" t="str">
            <v>GAE - Miscellaneous Processing Fee</v>
          </cell>
          <cell r="IF818" t="str">
            <v>Others</v>
          </cell>
          <cell r="IG818" t="str">
            <v>Donations, Contributions and Miscellaneous Expenses</v>
          </cell>
        </row>
        <row r="819">
          <cell r="HZ819" t="str">
            <v>80123101-61959201</v>
          </cell>
          <cell r="IA819" t="str">
            <v>LEGAL</v>
          </cell>
          <cell r="IB819" t="str">
            <v>GAE - Miscellaneous Processing Fee</v>
          </cell>
          <cell r="IF819" t="str">
            <v>Others</v>
          </cell>
          <cell r="IG819" t="str">
            <v>Donations, Contributions and Miscellaneous Expenses</v>
          </cell>
        </row>
        <row r="820">
          <cell r="HZ820" t="str">
            <v>90123101-61959201</v>
          </cell>
          <cell r="IA820" t="str">
            <v>LEGAL</v>
          </cell>
          <cell r="IB820" t="str">
            <v>GAE - Miscellaneous Processing Fee</v>
          </cell>
          <cell r="IF820" t="str">
            <v>Others</v>
          </cell>
          <cell r="IG820" t="str">
            <v>Donations, Contributions and Miscellaneous Expenses</v>
          </cell>
        </row>
        <row r="821">
          <cell r="HZ821" t="str">
            <v>81131101-61051103</v>
          </cell>
          <cell r="IA821" t="str">
            <v>FINANCE - COMMON</v>
          </cell>
          <cell r="IB821" t="str">
            <v>GAE - Contracted Services- Office Staffs</v>
          </cell>
          <cell r="IF821" t="str">
            <v>Salaries</v>
          </cell>
          <cell r="IG821" t="str">
            <v>Office Staff (BTs)</v>
          </cell>
        </row>
        <row r="822">
          <cell r="HZ822" t="str">
            <v>80131101-61051103</v>
          </cell>
          <cell r="IA822" t="str">
            <v>FINANCE - COMMON</v>
          </cell>
          <cell r="IB822" t="str">
            <v>GAE - Contracted Services- Office Staffs</v>
          </cell>
          <cell r="IF822" t="str">
            <v>Salaries</v>
          </cell>
          <cell r="IG822" t="str">
            <v>Office Staff (BTs)</v>
          </cell>
        </row>
        <row r="823">
          <cell r="HZ823" t="str">
            <v>81121101-61051103</v>
          </cell>
          <cell r="IA823" t="str">
            <v>CORP RESOURCES DIV</v>
          </cell>
          <cell r="IB823" t="str">
            <v>GAE - Contracted Services- Office Staffs</v>
          </cell>
          <cell r="IF823" t="str">
            <v>Salaries</v>
          </cell>
          <cell r="IG823" t="str">
            <v>Office Staff (BTs)</v>
          </cell>
        </row>
        <row r="824">
          <cell r="HZ824" t="str">
            <v>80311101-61051103</v>
          </cell>
          <cell r="IA824" t="str">
            <v>RED-COMMON</v>
          </cell>
          <cell r="IB824" t="str">
            <v>GAE - Contracted Services- Office Staffs</v>
          </cell>
          <cell r="IF824" t="str">
            <v>Salaries</v>
          </cell>
          <cell r="IG824" t="str">
            <v>Office Staff (BTs)</v>
          </cell>
        </row>
        <row r="825">
          <cell r="HZ825" t="str">
            <v>80134102-61071006</v>
          </cell>
          <cell r="IA825" t="str">
            <v>CORPORATE ACCOUNTING</v>
          </cell>
          <cell r="IB825" t="str">
            <v>GAE - Prof. Fees - OPE</v>
          </cell>
          <cell r="IF825" t="str">
            <v>Professional fees</v>
          </cell>
          <cell r="IG825" t="str">
            <v>Internal and external consultants</v>
          </cell>
        </row>
        <row r="826">
          <cell r="HZ826" t="str">
            <v>81134102-61071006</v>
          </cell>
          <cell r="IA826" t="str">
            <v>CORPORATE ACCOUNTING</v>
          </cell>
          <cell r="IB826" t="str">
            <v>GAE - Prof. Fees - OPE</v>
          </cell>
          <cell r="IF826" t="str">
            <v>Professional fees</v>
          </cell>
          <cell r="IG826" t="str">
            <v>Internal and external consultants</v>
          </cell>
        </row>
        <row r="827">
          <cell r="HZ827" t="str">
            <v>90134102-61071006</v>
          </cell>
          <cell r="IA827" t="str">
            <v>CORPORATE ACCOUNTING</v>
          </cell>
          <cell r="IB827" t="str">
            <v>GAE - Prof. Fees - OPE</v>
          </cell>
          <cell r="IF827" t="str">
            <v>Professional fees</v>
          </cell>
          <cell r="IG827" t="str">
            <v>Internal and external consultants</v>
          </cell>
        </row>
        <row r="828">
          <cell r="HZ828" t="str">
            <v>90111201-61091102</v>
          </cell>
          <cell r="IA828" t="str">
            <v>MANCOM &amp; STAFF</v>
          </cell>
          <cell r="IB828" t="str">
            <v>GAE - Meeting</v>
          </cell>
          <cell r="IF828" t="str">
            <v>Others</v>
          </cell>
          <cell r="IG828" t="str">
            <v>Entertainment, Amusement &amp; Recreation</v>
          </cell>
        </row>
        <row r="829">
          <cell r="HZ829" t="str">
            <v>80313101-61051199</v>
          </cell>
          <cell r="IA829" t="str">
            <v>SALES</v>
          </cell>
          <cell r="IB829" t="str">
            <v>GAE - Contracted Services - Others</v>
          </cell>
          <cell r="IF829" t="str">
            <v>Contracted services</v>
          </cell>
          <cell r="IG829" t="str">
            <v>Admin Staff</v>
          </cell>
        </row>
        <row r="830">
          <cell r="HZ830" t="str">
            <v>80133102-61051199</v>
          </cell>
          <cell r="IA830" t="str">
            <v>TAX ACCOUNTING</v>
          </cell>
          <cell r="IB830" t="str">
            <v>GAE - Contracted Services - Others</v>
          </cell>
          <cell r="IF830" t="str">
            <v>Contracted services</v>
          </cell>
          <cell r="IG830" t="str">
            <v>Contracted-Others</v>
          </cell>
        </row>
        <row r="831">
          <cell r="HZ831" t="str">
            <v>80111101-61711101</v>
          </cell>
          <cell r="IA831" t="str">
            <v>OCLP-COMMON</v>
          </cell>
          <cell r="IB831" t="str">
            <v>GAE - Dues &amp; Fees</v>
          </cell>
          <cell r="IF831" t="str">
            <v>Others</v>
          </cell>
          <cell r="IG831" t="str">
            <v>Valle Verde</v>
          </cell>
        </row>
        <row r="832">
          <cell r="HZ832" t="str">
            <v>80111101-61711101</v>
          </cell>
          <cell r="IA832" t="str">
            <v>OCLP-COMMON</v>
          </cell>
          <cell r="IB832" t="str">
            <v>GAE - Dues &amp; Fees</v>
          </cell>
          <cell r="IF832" t="str">
            <v>Others</v>
          </cell>
          <cell r="IG832" t="str">
            <v>Valle Verde</v>
          </cell>
        </row>
        <row r="833">
          <cell r="HZ833" t="str">
            <v>80313102-61711101</v>
          </cell>
          <cell r="IA833" t="str">
            <v>OFFICE LEASING</v>
          </cell>
          <cell r="IB833" t="str">
            <v>GAE - Dues &amp; Fees</v>
          </cell>
          <cell r="IF833" t="str">
            <v>Others</v>
          </cell>
          <cell r="IG833" t="str">
            <v>Dues and Fees</v>
          </cell>
        </row>
        <row r="834">
          <cell r="HZ834" t="str">
            <v>80313105-61711101</v>
          </cell>
          <cell r="IA834" t="str">
            <v>SALES OPERATIONS</v>
          </cell>
          <cell r="IB834" t="str">
            <v>GAE - Dues &amp; Fees</v>
          </cell>
          <cell r="IF834" t="str">
            <v>Others</v>
          </cell>
          <cell r="IG834" t="str">
            <v>Dues and Fees</v>
          </cell>
        </row>
        <row r="835">
          <cell r="HZ835" t="str">
            <v>90122101-61091101</v>
          </cell>
          <cell r="IA835" t="str">
            <v>HUMAN RESOURCES</v>
          </cell>
          <cell r="IB835" t="str">
            <v>GAE - Representation</v>
          </cell>
          <cell r="IF835" t="str">
            <v>Others</v>
          </cell>
          <cell r="IG835" t="str">
            <v>Entertainment, Amusement &amp; Recreation</v>
          </cell>
        </row>
        <row r="836">
          <cell r="HZ836" t="str">
            <v>80134102-61091101</v>
          </cell>
          <cell r="IA836" t="str">
            <v>CORPORATE ACCOUNTING</v>
          </cell>
          <cell r="IB836" t="str">
            <v>GAE - Representation</v>
          </cell>
          <cell r="IF836" t="str">
            <v>Others</v>
          </cell>
          <cell r="IG836" t="str">
            <v>Entertainment, Amusement &amp; Recreation</v>
          </cell>
        </row>
        <row r="837">
          <cell r="HZ837" t="str">
            <v>81134102-61091101</v>
          </cell>
          <cell r="IA837" t="str">
            <v>CORPORATE ACCOUNTING</v>
          </cell>
          <cell r="IB837" t="str">
            <v>GAE - Representation</v>
          </cell>
          <cell r="IF837" t="str">
            <v>Others</v>
          </cell>
          <cell r="IG837" t="str">
            <v>Entertainment, Amusement &amp; Recreation</v>
          </cell>
        </row>
        <row r="838">
          <cell r="HZ838" t="str">
            <v>80313108-61091101</v>
          </cell>
          <cell r="IA838" t="str">
            <v>RESI BUSINESS UNIT</v>
          </cell>
          <cell r="IB838" t="str">
            <v>GAE - Representation</v>
          </cell>
          <cell r="IF838" t="str">
            <v>Others</v>
          </cell>
          <cell r="IG838" t="str">
            <v>Entertainment, Amusement &amp; Recreation</v>
          </cell>
        </row>
        <row r="839">
          <cell r="HZ839" t="str">
            <v>80313101-61091101</v>
          </cell>
          <cell r="IA839" t="str">
            <v>SALES</v>
          </cell>
          <cell r="IB839" t="str">
            <v>GAE - Representation</v>
          </cell>
          <cell r="IF839" t="str">
            <v>Others</v>
          </cell>
          <cell r="IG839" t="str">
            <v>Entertainment, Amusement &amp; Recreation</v>
          </cell>
        </row>
        <row r="840">
          <cell r="HZ840" t="str">
            <v>80132102-61091101</v>
          </cell>
          <cell r="IA840" t="str">
            <v>TREASURY SERVICES</v>
          </cell>
          <cell r="IB840" t="str">
            <v>GAE - Representation</v>
          </cell>
          <cell r="IF840" t="str">
            <v>Others</v>
          </cell>
          <cell r="IG840" t="str">
            <v>Entertainment, Amusement &amp; Recreation</v>
          </cell>
        </row>
        <row r="841">
          <cell r="HZ841" t="str">
            <v>80312105-61091101</v>
          </cell>
          <cell r="IA841" t="str">
            <v>OFFICE LEASING FINAN</v>
          </cell>
          <cell r="IB841" t="str">
            <v>GAE - Representation</v>
          </cell>
          <cell r="IF841" t="str">
            <v>Others</v>
          </cell>
          <cell r="IG841" t="str">
            <v>Entertainment, Amusement &amp; Recreation</v>
          </cell>
        </row>
        <row r="842">
          <cell r="HZ842" t="str">
            <v>80315101-61091101</v>
          </cell>
          <cell r="IA842" t="str">
            <v>OMD BUS DEV/PROJ DEV</v>
          </cell>
          <cell r="IB842" t="str">
            <v>GAE - Representation</v>
          </cell>
          <cell r="IF842" t="str">
            <v>Others</v>
          </cell>
          <cell r="IG842" t="str">
            <v>Entertainment, Amusement &amp; Recreation</v>
          </cell>
        </row>
        <row r="843">
          <cell r="HZ843" t="str">
            <v>80123101-61091102</v>
          </cell>
          <cell r="IA843" t="str">
            <v>LEGAL</v>
          </cell>
          <cell r="IB843" t="str">
            <v>GAE - Meeting</v>
          </cell>
          <cell r="IF843" t="str">
            <v>Others</v>
          </cell>
          <cell r="IG843" t="str">
            <v>Entertainment, Amusement &amp; Recreation</v>
          </cell>
        </row>
        <row r="844">
          <cell r="HZ844" t="str">
            <v>90111101-61091102</v>
          </cell>
          <cell r="IA844" t="str">
            <v>OHI-COMMON</v>
          </cell>
          <cell r="IB844" t="str">
            <v>GAE - Meeting</v>
          </cell>
          <cell r="IF844" t="str">
            <v>Others</v>
          </cell>
          <cell r="IG844" t="str">
            <v>Entertainment, Amusement &amp; Recreation</v>
          </cell>
        </row>
        <row r="845">
          <cell r="HZ845" t="str">
            <v>80111101-61021103</v>
          </cell>
          <cell r="IA845" t="str">
            <v>OCLP-COMMON</v>
          </cell>
          <cell r="IB845" t="str">
            <v>GAE - Payroll - Regular Employee - OT</v>
          </cell>
          <cell r="IF845" t="str">
            <v>Salaries</v>
          </cell>
          <cell r="IG845" t="str">
            <v>OT Pay</v>
          </cell>
        </row>
        <row r="846">
          <cell r="HZ846" t="str">
            <v>90111101-61021103</v>
          </cell>
          <cell r="IA846" t="str">
            <v>OHI-COMMON</v>
          </cell>
          <cell r="IB846" t="str">
            <v>GAE - Payroll - Regular Employee - OT</v>
          </cell>
          <cell r="IF846" t="str">
            <v>Salaries</v>
          </cell>
          <cell r="IG846" t="str">
            <v>OT Pay</v>
          </cell>
        </row>
        <row r="847">
          <cell r="HZ847" t="str">
            <v>81111101-61021103</v>
          </cell>
          <cell r="IA847" t="str">
            <v>CCC-COMMON</v>
          </cell>
          <cell r="IB847" t="str">
            <v>GAE - Payroll - Regular Employee - OT</v>
          </cell>
          <cell r="IF847" t="str">
            <v>Salaries</v>
          </cell>
          <cell r="IG847" t="str">
            <v>OT Pay</v>
          </cell>
        </row>
        <row r="848">
          <cell r="HZ848" t="str">
            <v>81111101-61021104</v>
          </cell>
          <cell r="IA848" t="str">
            <v>CCC-COMMON</v>
          </cell>
          <cell r="IB848" t="str">
            <v>GAE - Regular Employee - OT Allowance</v>
          </cell>
          <cell r="IF848" t="str">
            <v>Salaries</v>
          </cell>
          <cell r="IG848" t="str">
            <v>OT Pay</v>
          </cell>
        </row>
        <row r="849">
          <cell r="HZ849" t="str">
            <v>90111101-61021104</v>
          </cell>
          <cell r="IA849" t="str">
            <v>OHI-COMMON</v>
          </cell>
          <cell r="IB849" t="str">
            <v>GAE - Regular Employee - OT Allowance</v>
          </cell>
          <cell r="IF849" t="str">
            <v>Salaries</v>
          </cell>
          <cell r="IG849" t="str">
            <v>OT Pay</v>
          </cell>
        </row>
        <row r="850">
          <cell r="HZ850" t="str">
            <v>80111101-61021104</v>
          </cell>
          <cell r="IA850" t="str">
            <v>OCLP-COMMON</v>
          </cell>
          <cell r="IB850" t="str">
            <v>GAE - Regular Employee - OT Allowance</v>
          </cell>
          <cell r="IF850" t="str">
            <v>Salaries</v>
          </cell>
          <cell r="IG850" t="str">
            <v>OT Pay</v>
          </cell>
        </row>
        <row r="851">
          <cell r="HZ851" t="str">
            <v>80111101-61021105</v>
          </cell>
          <cell r="IA851" t="str">
            <v>OCLP-COMMON</v>
          </cell>
          <cell r="IB851" t="str">
            <v>GAE - Payroll - Regular Employee - Bonus</v>
          </cell>
          <cell r="IF851" t="str">
            <v>Salaries</v>
          </cell>
          <cell r="IG851" t="str">
            <v>Guaranteed Bonus</v>
          </cell>
        </row>
        <row r="852">
          <cell r="HZ852" t="str">
            <v>81111101-61021105</v>
          </cell>
          <cell r="IA852" t="str">
            <v>CCC-COMMON</v>
          </cell>
          <cell r="IB852" t="str">
            <v>GAE - Payroll - Regular Employee - Bonus</v>
          </cell>
          <cell r="IF852" t="str">
            <v>Salaries</v>
          </cell>
          <cell r="IG852" t="str">
            <v>Guaranteed Bonus</v>
          </cell>
        </row>
        <row r="853">
          <cell r="HZ853" t="str">
            <v>81111101-61021107</v>
          </cell>
          <cell r="IA853" t="str">
            <v>CCC-COMMON</v>
          </cell>
          <cell r="IB853" t="str">
            <v>GAE - Payroll-Regular Employee-Leave Encashment</v>
          </cell>
          <cell r="IF853" t="str">
            <v>Salaries</v>
          </cell>
          <cell r="IG853" t="str">
            <v>Leave Encashment</v>
          </cell>
        </row>
        <row r="854">
          <cell r="HZ854" t="str">
            <v>80111101-61021107</v>
          </cell>
          <cell r="IA854" t="str">
            <v>OCLP-COMMON</v>
          </cell>
          <cell r="IB854" t="str">
            <v>GAE - Payroll-Regular Employee-Leave Encashment</v>
          </cell>
          <cell r="IF854" t="str">
            <v>Salaries</v>
          </cell>
          <cell r="IG854" t="str">
            <v>Leave Encashment</v>
          </cell>
        </row>
        <row r="855">
          <cell r="HZ855" t="str">
            <v>90111101-61021201</v>
          </cell>
          <cell r="IA855" t="str">
            <v>OHI-COMMON</v>
          </cell>
          <cell r="IB855" t="str">
            <v>GAE - Payroll - Project Employee - Basic</v>
          </cell>
          <cell r="IF855" t="str">
            <v>Salaries</v>
          </cell>
          <cell r="IG855" t="str">
            <v>Project Employee</v>
          </cell>
        </row>
        <row r="856">
          <cell r="HZ856" t="str">
            <v>90111101-61021203</v>
          </cell>
          <cell r="IA856" t="str">
            <v>OHI-COMMON</v>
          </cell>
          <cell r="IB856" t="str">
            <v>GAE - Payroll - Project Employee - Bonus</v>
          </cell>
          <cell r="IF856" t="str">
            <v>Salaries</v>
          </cell>
          <cell r="IG856" t="str">
            <v>Project Employee</v>
          </cell>
        </row>
        <row r="857">
          <cell r="HZ857" t="str">
            <v>80111101-61021301</v>
          </cell>
          <cell r="IA857" t="str">
            <v>OCLP-COMMON</v>
          </cell>
          <cell r="IB857" t="str">
            <v>GAE - Employee Benefits - Life Insurance</v>
          </cell>
          <cell r="IF857" t="str">
            <v>Employee Benefits</v>
          </cell>
          <cell r="IG857" t="str">
            <v>Medical/Insurance</v>
          </cell>
        </row>
        <row r="858">
          <cell r="HZ858" t="str">
            <v>81111101-61021301</v>
          </cell>
          <cell r="IA858" t="str">
            <v>CCC-COMMON</v>
          </cell>
          <cell r="IB858" t="str">
            <v>GAE - Employee Benefits - Life Insurance</v>
          </cell>
          <cell r="IF858" t="str">
            <v>Employee Benefits</v>
          </cell>
          <cell r="IG858" t="str">
            <v>Medical/Insurance</v>
          </cell>
        </row>
        <row r="859">
          <cell r="HZ859" t="str">
            <v>80111101-61021303</v>
          </cell>
          <cell r="IA859" t="str">
            <v>OCLP-COMMON</v>
          </cell>
          <cell r="IB859" t="str">
            <v>GAE - Health Premium / APE</v>
          </cell>
          <cell r="IF859" t="str">
            <v>Employee Benefits</v>
          </cell>
          <cell r="IG859" t="str">
            <v>Medical/Insurance</v>
          </cell>
        </row>
        <row r="860">
          <cell r="HZ860" t="str">
            <v>81111101-61021303</v>
          </cell>
          <cell r="IA860" t="str">
            <v>CCC-COMMON</v>
          </cell>
          <cell r="IB860" t="str">
            <v>GAE - Health Premium / APE</v>
          </cell>
          <cell r="IF860" t="str">
            <v>Employee Benefits</v>
          </cell>
          <cell r="IG860" t="str">
            <v>Medical/Insurance</v>
          </cell>
        </row>
        <row r="861">
          <cell r="HZ861" t="str">
            <v>90111101-61021303</v>
          </cell>
          <cell r="IA861" t="str">
            <v>OHI-COMMON</v>
          </cell>
          <cell r="IB861" t="str">
            <v>GAE - Health Premium / APE</v>
          </cell>
          <cell r="IF861" t="str">
            <v>Employee Benefits</v>
          </cell>
          <cell r="IG861" t="str">
            <v>Medical/Insurance</v>
          </cell>
        </row>
        <row r="862">
          <cell r="HZ862" t="str">
            <v>80111201-61021306</v>
          </cell>
          <cell r="IA862" t="str">
            <v>MANCOM &amp; STAFF</v>
          </cell>
          <cell r="IB862" t="str">
            <v>GAE - Employee Benefits - SSS,PHIC, HDMF</v>
          </cell>
          <cell r="IF862" t="str">
            <v>Employee Benefits</v>
          </cell>
          <cell r="IG862" t="str">
            <v>Government Contributions</v>
          </cell>
        </row>
        <row r="863">
          <cell r="HZ863" t="str">
            <v>80111101-61021307</v>
          </cell>
          <cell r="IA863" t="str">
            <v>OCLP-COMMON</v>
          </cell>
          <cell r="IB863" t="str">
            <v>GAE - Employee Benefits - Uniform</v>
          </cell>
          <cell r="IF863" t="str">
            <v>Employee Benefits</v>
          </cell>
          <cell r="IG863" t="str">
            <v>Uniform</v>
          </cell>
        </row>
        <row r="864">
          <cell r="HZ864" t="str">
            <v>81111101-61021307</v>
          </cell>
          <cell r="IA864" t="str">
            <v>CCC-COMMON</v>
          </cell>
          <cell r="IB864" t="str">
            <v>GAE - Employee Benefits - Uniform</v>
          </cell>
          <cell r="IF864" t="str">
            <v>Employee Benefits</v>
          </cell>
          <cell r="IG864" t="str">
            <v>Uniform</v>
          </cell>
        </row>
        <row r="865">
          <cell r="HZ865" t="str">
            <v>80111101-61021309</v>
          </cell>
          <cell r="IA865" t="str">
            <v>OCLP-COMMON</v>
          </cell>
          <cell r="IB865" t="str">
            <v>GAE - Employee Benefits - Gas Allowance</v>
          </cell>
          <cell r="IF865" t="str">
            <v>Employee Benefits</v>
          </cell>
          <cell r="IG865" t="str">
            <v>Gas Allowance</v>
          </cell>
        </row>
        <row r="866">
          <cell r="HZ866" t="str">
            <v>81111101-61021309</v>
          </cell>
          <cell r="IA866" t="str">
            <v>CCC-COMMON</v>
          </cell>
          <cell r="IB866" t="str">
            <v>GAE - Employee Benefits - Gas Allowance</v>
          </cell>
          <cell r="IF866" t="str">
            <v>Employee Benefits</v>
          </cell>
          <cell r="IG866" t="str">
            <v>Gas Allowance</v>
          </cell>
        </row>
        <row r="867">
          <cell r="HZ867" t="str">
            <v>80111101-61021310</v>
          </cell>
          <cell r="IA867" t="str">
            <v>OCLP-COMMON</v>
          </cell>
          <cell r="IB867" t="str">
            <v>GAE - Employee Benefits - Rice Subsidy</v>
          </cell>
          <cell r="IF867" t="str">
            <v>Employee Benefits</v>
          </cell>
          <cell r="IG867" t="str">
            <v>Uniform</v>
          </cell>
        </row>
        <row r="868">
          <cell r="HZ868" t="str">
            <v>81111101-61021310</v>
          </cell>
          <cell r="IA868" t="str">
            <v>CCC-COMMON</v>
          </cell>
          <cell r="IB868" t="str">
            <v>GAE - Employee Benefits - Rice Subsidy</v>
          </cell>
          <cell r="IF868" t="str">
            <v>Employee Benefits</v>
          </cell>
          <cell r="IG868" t="str">
            <v>Uniform</v>
          </cell>
        </row>
        <row r="869">
          <cell r="HZ869" t="str">
            <v>80111101-61021311</v>
          </cell>
          <cell r="IA869" t="str">
            <v>OCLP-COMMON</v>
          </cell>
          <cell r="IB869" t="str">
            <v>GAE - Employee Benefits - Gift Certificates</v>
          </cell>
          <cell r="IF869" t="str">
            <v>Employee Benefits</v>
          </cell>
          <cell r="IG869" t="str">
            <v>Employee Programs/Perks</v>
          </cell>
        </row>
        <row r="870">
          <cell r="HZ870" t="str">
            <v>81111101-61021311</v>
          </cell>
          <cell r="IA870" t="str">
            <v>CCC-COMMON</v>
          </cell>
          <cell r="IB870" t="str">
            <v>GAE - Employee Benefits - Gift Certificates</v>
          </cell>
          <cell r="IF870" t="str">
            <v>Employee Benefits</v>
          </cell>
          <cell r="IG870" t="str">
            <v>Employee Programs/Perks</v>
          </cell>
        </row>
        <row r="871">
          <cell r="HZ871" t="str">
            <v>90111101-61021311</v>
          </cell>
          <cell r="IA871" t="str">
            <v>OHI-COMMON</v>
          </cell>
          <cell r="IB871" t="str">
            <v>GAE - Employee Benefits - Gift Certificates</v>
          </cell>
          <cell r="IF871" t="str">
            <v>Employee Benefits</v>
          </cell>
          <cell r="IG871" t="str">
            <v>Employee Programs/Perks</v>
          </cell>
        </row>
        <row r="872">
          <cell r="HZ872" t="str">
            <v>81111101-61021315</v>
          </cell>
          <cell r="IA872" t="str">
            <v>CCC-COMMON</v>
          </cell>
          <cell r="IB872" t="str">
            <v>GAE - Employee Benefits -De Minimis-Service Awards</v>
          </cell>
          <cell r="IF872" t="str">
            <v>Employee Benefits</v>
          </cell>
          <cell r="IG872" t="str">
            <v>Employee Programs/Perks</v>
          </cell>
        </row>
        <row r="873">
          <cell r="HZ873" t="str">
            <v>90111101-61021315</v>
          </cell>
          <cell r="IA873" t="str">
            <v>OHI-COMMON</v>
          </cell>
          <cell r="IB873" t="str">
            <v>GAE - Employee Benefits -De Minimis-Service Awards</v>
          </cell>
          <cell r="IF873" t="str">
            <v>Employee Benefits</v>
          </cell>
          <cell r="IG873" t="str">
            <v>Employee Programs/Perks</v>
          </cell>
        </row>
        <row r="874">
          <cell r="HZ874" t="str">
            <v>80111101-61021316</v>
          </cell>
          <cell r="IA874" t="str">
            <v>OCLP-COMMON</v>
          </cell>
          <cell r="IB874" t="str">
            <v>GAE - Recruitment Expense</v>
          </cell>
          <cell r="IF874" t="str">
            <v>Employee Benefits</v>
          </cell>
          <cell r="IG874" t="str">
            <v>Recruitment</v>
          </cell>
        </row>
        <row r="875">
          <cell r="HZ875" t="str">
            <v>81111101-61021316</v>
          </cell>
          <cell r="IA875" t="str">
            <v>CCC-COMMON</v>
          </cell>
          <cell r="IB875" t="str">
            <v>GAE - Recruitment Expense</v>
          </cell>
          <cell r="IF875" t="str">
            <v>Employee Benefits</v>
          </cell>
          <cell r="IG875" t="str">
            <v>Recruitment</v>
          </cell>
        </row>
        <row r="876">
          <cell r="HZ876" t="str">
            <v>90111101-61021318</v>
          </cell>
          <cell r="IA876" t="str">
            <v>OHI-COMMON</v>
          </cell>
          <cell r="IB876" t="str">
            <v>GAE - Employee Benefits-Hospitalization-ServiceFee</v>
          </cell>
          <cell r="IF876" t="str">
            <v>Employee Benefits</v>
          </cell>
          <cell r="IG876" t="str">
            <v>Medical/Insurance</v>
          </cell>
        </row>
        <row r="877">
          <cell r="HZ877" t="str">
            <v>80111101-61021401</v>
          </cell>
          <cell r="IA877" t="str">
            <v>OCLP-COMMON</v>
          </cell>
          <cell r="IB877" t="str">
            <v>GAE - Company Events</v>
          </cell>
          <cell r="IF877" t="str">
            <v>Employee Benefits</v>
          </cell>
          <cell r="IG877" t="str">
            <v>Employee Programs/Perks</v>
          </cell>
        </row>
        <row r="878">
          <cell r="HZ878" t="str">
            <v>90111101-61021401</v>
          </cell>
          <cell r="IA878" t="str">
            <v>OHI-COMMON</v>
          </cell>
          <cell r="IB878" t="str">
            <v>GAE - Company Events</v>
          </cell>
          <cell r="IF878" t="str">
            <v>Employee Benefits</v>
          </cell>
          <cell r="IG878" t="str">
            <v>Employee Programs/Perks</v>
          </cell>
        </row>
        <row r="879">
          <cell r="HZ879" t="str">
            <v>81111101-61021502</v>
          </cell>
          <cell r="IA879" t="str">
            <v>CCC-COMMON</v>
          </cell>
          <cell r="IB879" t="str">
            <v>GAE - Training - Corporate - Local Int/Ext</v>
          </cell>
          <cell r="IF879" t="str">
            <v>Employee Benefits</v>
          </cell>
          <cell r="IG879" t="str">
            <v>Trainings &amp; Seminars</v>
          </cell>
        </row>
        <row r="880">
          <cell r="HZ880" t="str">
            <v>80111101-61021502</v>
          </cell>
          <cell r="IA880" t="str">
            <v>OCLP-COMMON</v>
          </cell>
          <cell r="IB880" t="str">
            <v>GAE - Training - Corporate - Local Int/Ext</v>
          </cell>
          <cell r="IF880" t="str">
            <v>Employee Benefits</v>
          </cell>
          <cell r="IG880" t="str">
            <v>Trainings &amp; Seminars</v>
          </cell>
        </row>
        <row r="881">
          <cell r="HZ881" t="str">
            <v>80111101-61051103</v>
          </cell>
          <cell r="IA881" t="str">
            <v>OCLP-COMMON</v>
          </cell>
          <cell r="IB881" t="str">
            <v>GAE - Contracted Services- Office Staffs</v>
          </cell>
          <cell r="IF881" t="str">
            <v>Salaries</v>
          </cell>
          <cell r="IG881" t="str">
            <v>Office Staff (BTs)</v>
          </cell>
        </row>
        <row r="882">
          <cell r="HZ882" t="str">
            <v>81111101-61051103</v>
          </cell>
          <cell r="IA882" t="str">
            <v>CCC-COMMON</v>
          </cell>
          <cell r="IB882" t="str">
            <v>GAE - Contracted Services- Office Staffs</v>
          </cell>
          <cell r="IF882" t="str">
            <v>Salaries</v>
          </cell>
          <cell r="IG882" t="str">
            <v>Office Staff (BTs)</v>
          </cell>
        </row>
        <row r="883">
          <cell r="HZ883" t="str">
            <v>90111101-61051103</v>
          </cell>
          <cell r="IA883" t="str">
            <v>OHI-COMMON</v>
          </cell>
          <cell r="IB883" t="str">
            <v>GAE - Contracted Services- Office Staffs</v>
          </cell>
          <cell r="IF883" t="str">
            <v>Salaries</v>
          </cell>
          <cell r="IG883" t="str">
            <v>Office Staff (BTs)</v>
          </cell>
        </row>
        <row r="884">
          <cell r="HZ884" t="str">
            <v>90133102-61051103</v>
          </cell>
          <cell r="IA884" t="str">
            <v>TAX ACCOUNTING</v>
          </cell>
          <cell r="IB884" t="str">
            <v>GAE - Contracted Services- Office Staffs</v>
          </cell>
          <cell r="IF884" t="str">
            <v>Salaries</v>
          </cell>
          <cell r="IG884" t="str">
            <v>Office Staff (BTs)</v>
          </cell>
        </row>
        <row r="885">
          <cell r="HZ885" t="str">
            <v>81125101-61959102</v>
          </cell>
          <cell r="IA885" t="str">
            <v>EXTERNAL AFFAIRS DEP</v>
          </cell>
          <cell r="IB885" t="str">
            <v>GAE - Contribution &amp; Community Relations</v>
          </cell>
          <cell r="IF885" t="str">
            <v>Others</v>
          </cell>
          <cell r="IG885" t="str">
            <v>Donations, Contributions and Miscellaneous Expenses</v>
          </cell>
        </row>
        <row r="886">
          <cell r="HZ886" t="str">
            <v>80323101-61959202</v>
          </cell>
          <cell r="IA886" t="str">
            <v>CC DEVELOPABLE</v>
          </cell>
          <cell r="IB886" t="str">
            <v>GAE - Interest &amp; Penalty</v>
          </cell>
          <cell r="IF886" t="str">
            <v>Others</v>
          </cell>
          <cell r="IG886" t="str">
            <v>Others</v>
          </cell>
        </row>
        <row r="887">
          <cell r="HZ887" t="str">
            <v>80324101-61959202</v>
          </cell>
          <cell r="IA887" t="str">
            <v>CV DEVELOPABLE</v>
          </cell>
          <cell r="IB887" t="str">
            <v>GAE - Interest &amp; Penalty</v>
          </cell>
          <cell r="IF887" t="str">
            <v>Others</v>
          </cell>
          <cell r="IG887" t="str">
            <v>Others</v>
          </cell>
        </row>
        <row r="888">
          <cell r="HZ888" t="str">
            <v>81126101-61721101</v>
          </cell>
          <cell r="IA888" t="str">
            <v>DCMG - LEASING</v>
          </cell>
          <cell r="IB888" t="str">
            <v>GAE - Postal &amp; Communication - Telephone</v>
          </cell>
          <cell r="IF888" t="str">
            <v>Others</v>
          </cell>
          <cell r="IG888" t="str">
            <v>Postal &amp; Communication</v>
          </cell>
        </row>
        <row r="889">
          <cell r="HZ889" t="str">
            <v>81213102-61721101</v>
          </cell>
          <cell r="IA889" t="str">
            <v>OMD MARKETING</v>
          </cell>
          <cell r="IB889" t="str">
            <v>GAE - Postal &amp; Communication - Telephone</v>
          </cell>
          <cell r="IF889" t="str">
            <v>Others</v>
          </cell>
          <cell r="IG889" t="str">
            <v>Postal &amp; Communication</v>
          </cell>
        </row>
        <row r="890">
          <cell r="HZ890" t="str">
            <v>81221201-61721101</v>
          </cell>
          <cell r="IA890" t="str">
            <v>GSC OLD BLDGS</v>
          </cell>
          <cell r="IB890" t="str">
            <v>GAE - Postal &amp; Communication - Telephone</v>
          </cell>
          <cell r="IF890" t="str">
            <v>Others</v>
          </cell>
          <cell r="IG890" t="str">
            <v>Postal &amp; Communication</v>
          </cell>
        </row>
        <row r="891">
          <cell r="HZ891" t="str">
            <v>81222101-61721101</v>
          </cell>
          <cell r="IA891" t="str">
            <v>TIENDESITAS</v>
          </cell>
          <cell r="IB891" t="str">
            <v>GAE - Postal &amp; Communication - Telephone</v>
          </cell>
          <cell r="IF891" t="str">
            <v>Others</v>
          </cell>
          <cell r="IG891" t="str">
            <v>Postal &amp; Communication</v>
          </cell>
        </row>
        <row r="892">
          <cell r="HZ892" t="str">
            <v>81224101-61721101</v>
          </cell>
          <cell r="IA892" t="str">
            <v>INDUSTRIA</v>
          </cell>
          <cell r="IB892" t="str">
            <v>GAE - Postal &amp; Communication - Telephone</v>
          </cell>
          <cell r="IF892" t="str">
            <v>Others</v>
          </cell>
          <cell r="IG892" t="str">
            <v>Postal &amp; Communication</v>
          </cell>
        </row>
        <row r="893">
          <cell r="HZ893" t="str">
            <v>81225101-61721101</v>
          </cell>
          <cell r="IA893" t="str">
            <v>ESTANCIA RETAIL</v>
          </cell>
          <cell r="IB893" t="str">
            <v>GAE - Postal &amp; Communication - Telephone</v>
          </cell>
          <cell r="IF893" t="str">
            <v>Others</v>
          </cell>
          <cell r="IG893" t="str">
            <v>Postal &amp; Communication</v>
          </cell>
        </row>
        <row r="894">
          <cell r="HZ894" t="str">
            <v>81313102-61721101</v>
          </cell>
          <cell r="IA894" t="str">
            <v>OFFICE LEASING</v>
          </cell>
          <cell r="IB894" t="str">
            <v>GAE - Postal &amp; Communication - Telephone</v>
          </cell>
          <cell r="IF894" t="str">
            <v>Others</v>
          </cell>
          <cell r="IG894" t="str">
            <v>Postal &amp; Communication</v>
          </cell>
        </row>
        <row r="895">
          <cell r="HZ895" t="str">
            <v>81319201-61721101</v>
          </cell>
          <cell r="IA895" t="str">
            <v>TPSG-RESIDENTIAL</v>
          </cell>
          <cell r="IB895" t="str">
            <v>GAE - Postal &amp; Communication - Telephone</v>
          </cell>
          <cell r="IF895" t="str">
            <v>Others</v>
          </cell>
          <cell r="IG895" t="str">
            <v>Postal &amp; Communication</v>
          </cell>
        </row>
        <row r="896">
          <cell r="HZ896" t="str">
            <v>81319203-61721101</v>
          </cell>
          <cell r="IA896" t="str">
            <v>TPSG-TECHNICAL SERVI</v>
          </cell>
          <cell r="IB896" t="str">
            <v>GAE - Postal &amp; Communication - Telephone</v>
          </cell>
          <cell r="IF896" t="str">
            <v>Others</v>
          </cell>
          <cell r="IG896" t="str">
            <v>Postal &amp; Communication</v>
          </cell>
        </row>
        <row r="897">
          <cell r="HZ897" t="str">
            <v>80224101-61721101</v>
          </cell>
          <cell r="IA897" t="str">
            <v>INDUSTRIA</v>
          </cell>
          <cell r="IB897" t="str">
            <v>GAE - Postal &amp; Communication - Telephone</v>
          </cell>
          <cell r="IF897" t="str">
            <v>Others</v>
          </cell>
          <cell r="IG897" t="str">
            <v>Postal &amp; Communication</v>
          </cell>
        </row>
        <row r="898">
          <cell r="HZ898" t="str">
            <v>80313107-61721101</v>
          </cell>
          <cell r="IA898" t="str">
            <v>CUSTOMER CARE DEPT</v>
          </cell>
          <cell r="IB898" t="str">
            <v>GAE - Postal &amp; Communication - Telephone</v>
          </cell>
          <cell r="IF898" t="str">
            <v>Others</v>
          </cell>
          <cell r="IG898" t="str">
            <v>Postal &amp; Communication</v>
          </cell>
        </row>
        <row r="899">
          <cell r="HZ899" t="str">
            <v>80313108-61721101</v>
          </cell>
          <cell r="IA899" t="str">
            <v>RESI BUSINESS UNIT</v>
          </cell>
          <cell r="IB899" t="str">
            <v>GAE - Postal &amp; Communication - Telephone</v>
          </cell>
          <cell r="IF899" t="str">
            <v>Others</v>
          </cell>
          <cell r="IG899" t="str">
            <v>Postal &amp; Communication</v>
          </cell>
        </row>
        <row r="900">
          <cell r="HZ900" t="str">
            <v>80315101-61721101</v>
          </cell>
          <cell r="IA900" t="str">
            <v>OMD BUS DEV/PROJ DEV</v>
          </cell>
          <cell r="IB900" t="str">
            <v>GAE - Postal &amp; Communication - Telephone</v>
          </cell>
          <cell r="IF900" t="str">
            <v>Others</v>
          </cell>
          <cell r="IG900" t="str">
            <v>Postal &amp; Communication</v>
          </cell>
        </row>
        <row r="901">
          <cell r="HZ901" t="str">
            <v>80315102-61721101</v>
          </cell>
          <cell r="IA901" t="str">
            <v>OFFICE/ESTATES BD/PD</v>
          </cell>
          <cell r="IB901" t="str">
            <v>GAE - Postal &amp; Communication - Telephone</v>
          </cell>
          <cell r="IF901" t="str">
            <v>Others</v>
          </cell>
          <cell r="IG901" t="str">
            <v>Postal &amp; Communication</v>
          </cell>
        </row>
        <row r="902">
          <cell r="HZ902" t="str">
            <v>90122101-61721102</v>
          </cell>
          <cell r="IA902" t="str">
            <v>HUMAN RESOURCES</v>
          </cell>
          <cell r="IB902" t="str">
            <v>GAE - Postal &amp; Communication - Telephone Recovery</v>
          </cell>
          <cell r="IF902" t="str">
            <v>Others</v>
          </cell>
          <cell r="IG902" t="str">
            <v>Postal &amp; Communication</v>
          </cell>
        </row>
        <row r="903">
          <cell r="HZ903" t="str">
            <v>80111101-61721102</v>
          </cell>
          <cell r="IA903" t="str">
            <v>OCLP-COMMON</v>
          </cell>
          <cell r="IB903" t="str">
            <v>GAE - Postal &amp; Communication - Telephone Recovery</v>
          </cell>
          <cell r="IF903" t="str">
            <v>Others</v>
          </cell>
          <cell r="IG903" t="str">
            <v>Postal &amp; Communication</v>
          </cell>
        </row>
        <row r="904">
          <cell r="HZ904" t="str">
            <v>90132101-61721103</v>
          </cell>
          <cell r="IA904" t="str">
            <v>TREASURY OPERATIONS</v>
          </cell>
          <cell r="IB904" t="str">
            <v>GAE - Postal &amp; Communication - Postal</v>
          </cell>
          <cell r="IF904" t="str">
            <v>Others</v>
          </cell>
          <cell r="IG904" t="str">
            <v>Postal &amp; Communication</v>
          </cell>
        </row>
        <row r="905">
          <cell r="HZ905" t="str">
            <v>90123102-52951101</v>
          </cell>
          <cell r="IA905" t="str">
            <v>ADMIN SERVICES</v>
          </cell>
          <cell r="IB905" t="str">
            <v>DOE - Postal &amp; Communication - Telephone</v>
          </cell>
          <cell r="IF905" t="str">
            <v>Others</v>
          </cell>
          <cell r="IG905" t="str">
            <v>Postal &amp; Communication</v>
          </cell>
        </row>
        <row r="906">
          <cell r="HZ906" t="str">
            <v>80321103-61071099</v>
          </cell>
          <cell r="IA906" t="str">
            <v>PROJECT ONE</v>
          </cell>
          <cell r="IB906" t="str">
            <v>GAE - Prof. Fees - Others</v>
          </cell>
          <cell r="IF906" t="str">
            <v>Professional fees</v>
          </cell>
          <cell r="IG906" t="str">
            <v>Internal and external consultants</v>
          </cell>
        </row>
        <row r="907">
          <cell r="HZ907" t="str">
            <v>90134102-61071004</v>
          </cell>
          <cell r="IA907" t="str">
            <v>CORPORATE ACCOUNTING</v>
          </cell>
          <cell r="IB907" t="str">
            <v>GAE - Prof. Fees - Consultants</v>
          </cell>
          <cell r="IF907" t="str">
            <v>Professional fees</v>
          </cell>
          <cell r="IG907" t="str">
            <v>Internal and external consultants</v>
          </cell>
        </row>
        <row r="908">
          <cell r="HZ908" t="str">
            <v>80123102-61061111</v>
          </cell>
          <cell r="IA908" t="str">
            <v>ADMIN SERVICES</v>
          </cell>
          <cell r="IB908" t="str">
            <v>GAE - R&amp;M - Building &amp; Improvements Restricted</v>
          </cell>
          <cell r="IF908" t="str">
            <v>Others</v>
          </cell>
          <cell r="IG908" t="str">
            <v>Repairs &amp; Maintenance</v>
          </cell>
        </row>
        <row r="909">
          <cell r="HZ909" t="str">
            <v>80124101-61061111</v>
          </cell>
          <cell r="IA909" t="str">
            <v>IS &amp; IT</v>
          </cell>
          <cell r="IB909" t="str">
            <v>GAE - R&amp;M - Building &amp; Improvements Restricted</v>
          </cell>
          <cell r="IF909" t="str">
            <v>Others</v>
          </cell>
          <cell r="IG909" t="str">
            <v>Repairs &amp; Maintenance</v>
          </cell>
        </row>
        <row r="910">
          <cell r="HZ910" t="str">
            <v>81221201-61061112</v>
          </cell>
          <cell r="IA910" t="str">
            <v>GSC OLD BLDGS</v>
          </cell>
          <cell r="IB910" t="str">
            <v>GAE - R&amp;M - Furniture,Fixture &amp; Equip - Restricted</v>
          </cell>
          <cell r="IF910" t="str">
            <v>Others</v>
          </cell>
          <cell r="IG910" t="str">
            <v>Repairs &amp; Maintenance</v>
          </cell>
        </row>
        <row r="911">
          <cell r="HZ911" t="str">
            <v>80123101-61061115</v>
          </cell>
          <cell r="IA911" t="str">
            <v>LEGAL</v>
          </cell>
          <cell r="IB911" t="str">
            <v>GAE - R&amp;M - IT System &amp; Equipment Restricted</v>
          </cell>
          <cell r="IF911" t="str">
            <v>Others</v>
          </cell>
          <cell r="IG911" t="str">
            <v>Repairs &amp; Maintenance</v>
          </cell>
        </row>
        <row r="912">
          <cell r="HZ912" t="str">
            <v>80124101-61061115</v>
          </cell>
          <cell r="IA912" t="str">
            <v>IS &amp; IT</v>
          </cell>
          <cell r="IB912" t="str">
            <v>GAE - R&amp;M - IT System &amp; Equipment Restricted</v>
          </cell>
          <cell r="IF912" t="str">
            <v>Others</v>
          </cell>
          <cell r="IG912" t="str">
            <v>Repairs &amp; Maintenance</v>
          </cell>
        </row>
        <row r="913">
          <cell r="HZ913" t="str">
            <v>81225101-61061104</v>
          </cell>
          <cell r="IA913" t="str">
            <v>ESTANCIA RETAIL</v>
          </cell>
          <cell r="IB913" t="str">
            <v>GAE - Repairs&amp; Maint. - Transportation Equipment</v>
          </cell>
          <cell r="IF913" t="str">
            <v>Others</v>
          </cell>
          <cell r="IG913" t="str">
            <v>Repairs &amp; Maintenance -  Vehicle</v>
          </cell>
        </row>
        <row r="914">
          <cell r="HZ914" t="str">
            <v>80221201-61061104</v>
          </cell>
          <cell r="IA914" t="str">
            <v>GSC OLD BLDGS</v>
          </cell>
          <cell r="IB914" t="str">
            <v>GAE - Repairs&amp; Maint. - Transportation Equipment</v>
          </cell>
          <cell r="IF914" t="str">
            <v>Others</v>
          </cell>
          <cell r="IG914" t="str">
            <v>Repairs &amp; Maintenance -  Vehicle</v>
          </cell>
        </row>
        <row r="915">
          <cell r="HZ915" t="str">
            <v>90111101-61111101</v>
          </cell>
          <cell r="IA915" t="str">
            <v>OHI-COMMON</v>
          </cell>
          <cell r="IB915" t="str">
            <v>GAE - Office Supplies</v>
          </cell>
          <cell r="IF915" t="str">
            <v>Others</v>
          </cell>
          <cell r="IG915" t="str">
            <v>Supplies</v>
          </cell>
        </row>
        <row r="916">
          <cell r="HZ916" t="str">
            <v>80313107-61111101</v>
          </cell>
          <cell r="IA916" t="str">
            <v>CUSTOMER CARE DEPT</v>
          </cell>
          <cell r="IB916" t="str">
            <v>GAE - Office Supplies</v>
          </cell>
          <cell r="IF916" t="str">
            <v>Others</v>
          </cell>
          <cell r="IG916" t="str">
            <v>Supplies</v>
          </cell>
        </row>
        <row r="917">
          <cell r="HZ917" t="str">
            <v>80313108-61111101</v>
          </cell>
          <cell r="IA917" t="str">
            <v>RESI BUSINESS UNIT</v>
          </cell>
          <cell r="IB917" t="str">
            <v>GAE - Office Supplies</v>
          </cell>
          <cell r="IF917" t="str">
            <v>Others</v>
          </cell>
          <cell r="IG917" t="str">
            <v>Supplies</v>
          </cell>
        </row>
        <row r="918">
          <cell r="HZ918" t="str">
            <v>81221203-61111101</v>
          </cell>
          <cell r="IA918" t="str">
            <v>GSC TIANGGE</v>
          </cell>
          <cell r="IB918" t="str">
            <v>GAE - Office Supplies</v>
          </cell>
          <cell r="IF918" t="str">
            <v>Others</v>
          </cell>
          <cell r="IG918" t="str">
            <v>Supplies</v>
          </cell>
        </row>
        <row r="919">
          <cell r="HZ919" t="str">
            <v>80332101-61111102</v>
          </cell>
          <cell r="IA919" t="str">
            <v>ROYALTON TOWER</v>
          </cell>
          <cell r="IB919" t="str">
            <v>GAE - Low Value Assets</v>
          </cell>
          <cell r="IF919" t="str">
            <v>Others</v>
          </cell>
          <cell r="IG919" t="str">
            <v>Supplies</v>
          </cell>
        </row>
        <row r="920">
          <cell r="HZ920" t="str">
            <v>80319203-61111102</v>
          </cell>
          <cell r="IA920" t="str">
            <v>TPSG-TECHNICAL SERVI</v>
          </cell>
          <cell r="IB920" t="str">
            <v>GAE - Low Value Assets</v>
          </cell>
          <cell r="IF920" t="str">
            <v>Others</v>
          </cell>
          <cell r="IG920" t="str">
            <v>Supplies</v>
          </cell>
        </row>
        <row r="921">
          <cell r="HZ921" t="str">
            <v>80315101-61111111</v>
          </cell>
          <cell r="IA921" t="str">
            <v>OMD BUS DEV/PROJ DEV</v>
          </cell>
          <cell r="IB921" t="str">
            <v>GAE - Office Supplies - Restricted</v>
          </cell>
          <cell r="IF921" t="str">
            <v>Others</v>
          </cell>
          <cell r="IG921" t="str">
            <v>Supplies</v>
          </cell>
        </row>
        <row r="922">
          <cell r="HZ922" t="str">
            <v>81221203-61111111</v>
          </cell>
          <cell r="IA922" t="str">
            <v>GSC TIANGGE</v>
          </cell>
          <cell r="IB922" t="str">
            <v>GAE - Office Supplies - Restricted</v>
          </cell>
          <cell r="IF922" t="str">
            <v>Others</v>
          </cell>
          <cell r="IG922" t="str">
            <v>Supplies</v>
          </cell>
        </row>
        <row r="923">
          <cell r="HZ923" t="str">
            <v>80313108-61111111</v>
          </cell>
          <cell r="IA923" t="str">
            <v>RESI BUSINESS UNIT</v>
          </cell>
          <cell r="IB923" t="str">
            <v>GAE - Office Supplies - Restricted</v>
          </cell>
          <cell r="IF923" t="str">
            <v>Others</v>
          </cell>
          <cell r="IG923" t="str">
            <v>Supplies</v>
          </cell>
        </row>
        <row r="924">
          <cell r="HZ924" t="str">
            <v>80313103-61111111</v>
          </cell>
          <cell r="IA924" t="str">
            <v>HANDOVER MGT DEPT</v>
          </cell>
          <cell r="IB924" t="str">
            <v>GAE - Office Supplies - Restricted</v>
          </cell>
          <cell r="IF924" t="str">
            <v>Others</v>
          </cell>
          <cell r="IG924" t="str">
            <v>Supplies</v>
          </cell>
        </row>
        <row r="925">
          <cell r="HZ925" t="str">
            <v>80125101-61111111</v>
          </cell>
          <cell r="IA925" t="str">
            <v>EXTERNAL AFFAIRS DEP</v>
          </cell>
          <cell r="IB925" t="str">
            <v>GAE - Office Supplies - Restricted</v>
          </cell>
          <cell r="IF925" t="str">
            <v>Others</v>
          </cell>
          <cell r="IG925" t="str">
            <v>Supplies</v>
          </cell>
        </row>
        <row r="926">
          <cell r="HZ926" t="str">
            <v>80316101-61111111</v>
          </cell>
          <cell r="IA926" t="str">
            <v>DESIGN &amp; PLANNING</v>
          </cell>
          <cell r="IB926" t="str">
            <v>GAE - Office Supplies - Restricted</v>
          </cell>
          <cell r="IF926" t="str">
            <v>Others</v>
          </cell>
          <cell r="IG926" t="str">
            <v>Supplies</v>
          </cell>
        </row>
        <row r="927">
          <cell r="HZ927" t="str">
            <v>80111201-61111111</v>
          </cell>
          <cell r="IA927" t="str">
            <v>MANCOM &amp; STAFF</v>
          </cell>
          <cell r="IB927" t="str">
            <v>GAE - Office Supplies - Restricted</v>
          </cell>
          <cell r="IF927" t="str">
            <v>Others</v>
          </cell>
          <cell r="IG927" t="str">
            <v>Supplies</v>
          </cell>
        </row>
        <row r="928">
          <cell r="HZ928" t="str">
            <v>80134102-61111112</v>
          </cell>
          <cell r="IA928" t="str">
            <v>CORPORATE ACCOUNTING</v>
          </cell>
          <cell r="IB928" t="str">
            <v>GAE - Low Value Assets - Restricted</v>
          </cell>
          <cell r="IF928" t="str">
            <v>Others</v>
          </cell>
          <cell r="IG928" t="str">
            <v>Supplies</v>
          </cell>
        </row>
        <row r="929">
          <cell r="HZ929" t="str">
            <v>80132102-61111112</v>
          </cell>
          <cell r="IA929" t="str">
            <v>TREASURY SERVICES</v>
          </cell>
          <cell r="IB929" t="str">
            <v>GAE - Low Value Assets - Restricted</v>
          </cell>
          <cell r="IF929" t="str">
            <v>Others</v>
          </cell>
          <cell r="IG929" t="str">
            <v>Supplies</v>
          </cell>
        </row>
        <row r="930">
          <cell r="HZ930" t="str">
            <v>81225101-61111112</v>
          </cell>
          <cell r="IA930" t="str">
            <v>ESTANCIA RETAIL</v>
          </cell>
          <cell r="IB930" t="str">
            <v>GAE - Low Value Assets - Restricted</v>
          </cell>
          <cell r="IF930" t="str">
            <v>Others</v>
          </cell>
          <cell r="IG930" t="str">
            <v>Supplies</v>
          </cell>
        </row>
        <row r="931">
          <cell r="HZ931" t="str">
            <v>80134104-61061105</v>
          </cell>
          <cell r="IA931" t="str">
            <v>BUSINESS PROCESS MGT</v>
          </cell>
          <cell r="IB931" t="str">
            <v>GAE - Repairs&amp; Maint. - IT System &amp; Equipment</v>
          </cell>
          <cell r="IF931" t="str">
            <v>Systems &amp; Applications</v>
          </cell>
        </row>
        <row r="932">
          <cell r="HZ932" t="str">
            <v>80126101-61061105</v>
          </cell>
          <cell r="IA932" t="str">
            <v>DCMG - LEASING</v>
          </cell>
          <cell r="IB932" t="str">
            <v>GAE - Repairs&amp; Maint. - IT System &amp; Equipment</v>
          </cell>
          <cell r="IF932" t="str">
            <v>Systems &amp; Applications</v>
          </cell>
        </row>
        <row r="933">
          <cell r="HZ933" t="str">
            <v>80316101-61711102</v>
          </cell>
          <cell r="IA933" t="str">
            <v>DESIGN &amp; PLANNING</v>
          </cell>
          <cell r="IB933" t="str">
            <v>GAE- Systems &amp; Applications</v>
          </cell>
          <cell r="IF933" t="str">
            <v>Systems &amp; Applications</v>
          </cell>
        </row>
        <row r="934">
          <cell r="HZ934" t="str">
            <v>80317101-61711102</v>
          </cell>
          <cell r="IA934" t="str">
            <v>CONSTRUCTION MGT</v>
          </cell>
          <cell r="IB934" t="str">
            <v>GAE- Systems &amp; Applications</v>
          </cell>
          <cell r="IF934" t="str">
            <v>Systems &amp; Applications</v>
          </cell>
        </row>
        <row r="935">
          <cell r="HZ935" t="str">
            <v>80319203-61711102</v>
          </cell>
          <cell r="IA935" t="str">
            <v>TPSG-TECHNICAL SERVI</v>
          </cell>
          <cell r="IB935" t="str">
            <v>GAE- Systems &amp; Applications</v>
          </cell>
          <cell r="IF935" t="str">
            <v>Systems &amp; Applications</v>
          </cell>
        </row>
        <row r="936">
          <cell r="HZ936" t="str">
            <v>Corporate GAE-52959999</v>
          </cell>
          <cell r="IB936" t="str">
            <v>DOE - Others</v>
          </cell>
          <cell r="IF936" t="str">
            <v>Others</v>
          </cell>
          <cell r="IG936" t="str">
            <v>Others</v>
          </cell>
        </row>
        <row r="937">
          <cell r="HZ937" t="str">
            <v>DOE of OLC-52031101</v>
          </cell>
          <cell r="IB937" t="str">
            <v>DOE - Taxes &amp; Licenses - LBT</v>
          </cell>
          <cell r="IF937" t="str">
            <v>Taxes &amp; Licenses</v>
          </cell>
        </row>
        <row r="938">
          <cell r="HZ938" t="str">
            <v>Malls-52959994</v>
          </cell>
          <cell r="IB938" t="str">
            <v>DOE - Disallowed Input VAT</v>
          </cell>
          <cell r="IF938" t="str">
            <v>Taxes &amp; Licenses</v>
          </cell>
        </row>
        <row r="939">
          <cell r="HZ939" t="str">
            <v>Corporate GAE-52101101</v>
          </cell>
          <cell r="IB939" t="str">
            <v>DOE - Insurance - Property All Risk (PARI) / CGL</v>
          </cell>
          <cell r="IF939" t="str">
            <v>Others</v>
          </cell>
          <cell r="IG939" t="str">
            <v>Insurance</v>
          </cell>
        </row>
        <row r="940">
          <cell r="HZ940" t="str">
            <v>Corporate GAE-52101105</v>
          </cell>
          <cell r="IB940" t="str">
            <v>DOE - Insurance - Property Terrorism &amp; Sabotage</v>
          </cell>
          <cell r="IF940" t="str">
            <v>Others</v>
          </cell>
          <cell r="IG940" t="str">
            <v>Insurance</v>
          </cell>
        </row>
        <row r="941">
          <cell r="HZ941" t="str">
            <v>Should be SBU-52101115</v>
          </cell>
          <cell r="IB941" t="str">
            <v>DOE - Insurance - Recovery</v>
          </cell>
          <cell r="IF941" t="str">
            <v>Others</v>
          </cell>
          <cell r="IG941" t="str">
            <v>Insurance</v>
          </cell>
        </row>
        <row r="942">
          <cell r="HZ942" t="str">
            <v>Corporate GAE-52031103</v>
          </cell>
          <cell r="IB942" t="str">
            <v>DOE - Taxes &amp; Licenses - DST</v>
          </cell>
          <cell r="IF942" t="str">
            <v>Taxes &amp; Licenses</v>
          </cell>
        </row>
        <row r="943">
          <cell r="HZ943" t="str">
            <v>RBU DOE-52041101</v>
          </cell>
          <cell r="IB943" t="str">
            <v>DOE - Light &amp; Power - Common</v>
          </cell>
          <cell r="IF943" t="str">
            <v>Others</v>
          </cell>
          <cell r="IG943" t="str">
            <v>Electricity &amp; Water</v>
          </cell>
        </row>
        <row r="944">
          <cell r="HZ944" t="str">
            <v>Corporate GAE-61101106</v>
          </cell>
          <cell r="IB944" t="str">
            <v>GAE - Insurance - Bonds</v>
          </cell>
          <cell r="IF944" t="str">
            <v>Others</v>
          </cell>
          <cell r="IG944" t="str">
            <v>Insurance</v>
          </cell>
        </row>
        <row r="945">
          <cell r="HZ945" t="str">
            <v>DOE estate-52032101</v>
          </cell>
          <cell r="IB945" t="str">
            <v>DOE - Real Property Tax</v>
          </cell>
          <cell r="IF945" t="str">
            <v>Taxes &amp; Licenses</v>
          </cell>
        </row>
        <row r="946">
          <cell r="HZ946" t="str">
            <v>80314101-61731103</v>
          </cell>
          <cell r="IA946" t="str">
            <v>CORPORATE MARKETING</v>
          </cell>
          <cell r="IB946" t="str">
            <v>GAE - Promos - Corporate Branding</v>
          </cell>
          <cell r="IF946" t="str">
            <v>Ad &amp; Promo</v>
          </cell>
        </row>
        <row r="947">
          <cell r="HZ947" t="str">
            <v>90314101-61731103</v>
          </cell>
          <cell r="IA947" t="str">
            <v>CORPORATE MARKETING</v>
          </cell>
          <cell r="IB947" t="str">
            <v>GAE - Promos - Corporate Branding</v>
          </cell>
          <cell r="IF947" t="str">
            <v>Ad &amp; Promo</v>
          </cell>
        </row>
        <row r="948">
          <cell r="HZ948" t="str">
            <v>90314101-52551208</v>
          </cell>
          <cell r="IA948" t="str">
            <v>CORPORATE MARKETING</v>
          </cell>
          <cell r="IB948" t="str">
            <v>DOE - Promos - Branding</v>
          </cell>
          <cell r="IF948" t="str">
            <v>Ad &amp; Promo</v>
          </cell>
        </row>
        <row r="949">
          <cell r="HZ949" t="str">
            <v>81133102-52071106</v>
          </cell>
          <cell r="IA949" t="str">
            <v>TAX ACCOUNTING</v>
          </cell>
          <cell r="IB949" t="str">
            <v>DOE - Prof. Fees - OPE</v>
          </cell>
          <cell r="IF949" t="str">
            <v>Professional fees</v>
          </cell>
          <cell r="IG949" t="str">
            <v>Internal and external consultants</v>
          </cell>
        </row>
        <row r="950">
          <cell r="HZ950" t="str">
            <v>81134102-52071106</v>
          </cell>
          <cell r="IA950" t="str">
            <v>CORPORATE ACCOUNTING</v>
          </cell>
          <cell r="IB950" t="str">
            <v>DOE - Prof. Fees - OPE</v>
          </cell>
          <cell r="IF950" t="str">
            <v>Professional fees</v>
          </cell>
          <cell r="IG950" t="str">
            <v>Internal and external consultants</v>
          </cell>
        </row>
        <row r="951">
          <cell r="HZ951" t="str">
            <v>90134102-52071106</v>
          </cell>
          <cell r="IA951" t="str">
            <v>CORPORATE ACCOUNTING</v>
          </cell>
          <cell r="IB951" t="str">
            <v>DOE - Prof. Fees - OPE</v>
          </cell>
          <cell r="IF951" t="str">
            <v>Professional fees</v>
          </cell>
          <cell r="IG951" t="str">
            <v>Internal and external consultants</v>
          </cell>
        </row>
        <row r="952">
          <cell r="HZ952" t="str">
            <v>80133102-61071006</v>
          </cell>
          <cell r="IA952" t="str">
            <v>TAX ACCOUNTING</v>
          </cell>
          <cell r="IB952" t="str">
            <v>GAE - Prof. Fees - OPE</v>
          </cell>
          <cell r="IF952" t="str">
            <v>Professional fees</v>
          </cell>
          <cell r="IG952" t="str">
            <v>Internal and external consultants</v>
          </cell>
        </row>
        <row r="953">
          <cell r="HZ953" t="str">
            <v>81133102-61071006</v>
          </cell>
          <cell r="IA953" t="str">
            <v>TAX ACCOUNTING</v>
          </cell>
          <cell r="IB953" t="str">
            <v>GAE - Prof. Fees - OPE</v>
          </cell>
          <cell r="IF953" t="str">
            <v>Professional fees</v>
          </cell>
          <cell r="IG953" t="str">
            <v>Internal and external consultants</v>
          </cell>
        </row>
        <row r="954">
          <cell r="HZ954" t="str">
            <v>90111101-52091102</v>
          </cell>
          <cell r="IA954" t="str">
            <v>OHI-COMMON</v>
          </cell>
          <cell r="IB954" t="str">
            <v>DOE - Meeting</v>
          </cell>
          <cell r="IF954" t="str">
            <v>Others</v>
          </cell>
          <cell r="IG954" t="str">
            <v>BOD Meeting</v>
          </cell>
        </row>
        <row r="955">
          <cell r="HZ955" t="str">
            <v>90122101-52091102</v>
          </cell>
          <cell r="IA955" t="str">
            <v>HUMAN RESOURCES</v>
          </cell>
          <cell r="IB955" t="str">
            <v>DOE - Meeting</v>
          </cell>
          <cell r="IF955" t="str">
            <v>Others</v>
          </cell>
          <cell r="IG955" t="str">
            <v>Entertainment, Amusement &amp; Recreation</v>
          </cell>
        </row>
        <row r="956">
          <cell r="HZ956" t="str">
            <v>81111204-52091101</v>
          </cell>
          <cell r="IA956" t="str">
            <v>OFFICE OF THE CFO</v>
          </cell>
          <cell r="IB956" t="str">
            <v>DOE - Representation</v>
          </cell>
          <cell r="IF956" t="str">
            <v>Others</v>
          </cell>
          <cell r="IG956" t="str">
            <v>Entertainment, Amusement &amp; Recreation</v>
          </cell>
        </row>
        <row r="957">
          <cell r="HZ957" t="str">
            <v>90111204-52091101</v>
          </cell>
          <cell r="IA957" t="str">
            <v>OFFICE OF THE CFO</v>
          </cell>
          <cell r="IB957" t="str">
            <v>DOE - Representation</v>
          </cell>
          <cell r="IF957" t="str">
            <v>Others</v>
          </cell>
          <cell r="IG957" t="str">
            <v>Entertainment, Amusement &amp; Recreation</v>
          </cell>
        </row>
        <row r="958">
          <cell r="HZ958" t="str">
            <v>90122101-52091101</v>
          </cell>
          <cell r="IA958" t="str">
            <v>HUMAN RESOURCES</v>
          </cell>
          <cell r="IB958" t="str">
            <v>DOE - Representation</v>
          </cell>
          <cell r="IF958" t="str">
            <v>Others</v>
          </cell>
          <cell r="IG958" t="str">
            <v>Entertainment, Amusement &amp; Recreation</v>
          </cell>
        </row>
        <row r="959">
          <cell r="HZ959" t="str">
            <v>81319101-52041499</v>
          </cell>
          <cell r="IA959" t="str">
            <v>OMD OPERATIONS</v>
          </cell>
          <cell r="IB959" t="str">
            <v>DOE - Contracted Services - Others</v>
          </cell>
          <cell r="IF959" t="str">
            <v>Contracted services</v>
          </cell>
          <cell r="IG959" t="str">
            <v>Admin Staff</v>
          </cell>
        </row>
        <row r="960">
          <cell r="HZ960" t="str">
            <v>81111101-52041499</v>
          </cell>
          <cell r="IA960" t="str">
            <v>CCC-COMMON</v>
          </cell>
          <cell r="IB960" t="str">
            <v>DOE - Contracted Services - Others</v>
          </cell>
          <cell r="IF960" t="str">
            <v>Contracted services</v>
          </cell>
          <cell r="IG960" t="str">
            <v>Admin Staff</v>
          </cell>
        </row>
        <row r="961">
          <cell r="HZ961" t="str">
            <v>90111101-52041499</v>
          </cell>
          <cell r="IA961" t="str">
            <v>OHI-COMMON</v>
          </cell>
          <cell r="IB961" t="str">
            <v>DOE - Contracted Services - Others</v>
          </cell>
          <cell r="IF961" t="str">
            <v>Contracted services</v>
          </cell>
          <cell r="IG961" t="str">
            <v>Contracted-Others</v>
          </cell>
        </row>
        <row r="962">
          <cell r="HZ962" t="str">
            <v>81319101-61051199</v>
          </cell>
          <cell r="IA962" t="str">
            <v>OMD OPERATIONS</v>
          </cell>
          <cell r="IB962" t="str">
            <v>GAE - Contracted Services - Others</v>
          </cell>
          <cell r="IF962" t="str">
            <v>Contracted services</v>
          </cell>
          <cell r="IG962" t="str">
            <v>Admin Staff</v>
          </cell>
        </row>
        <row r="963">
          <cell r="HZ963" t="str">
            <v>81319101-52041405</v>
          </cell>
          <cell r="IA963" t="str">
            <v>OMD OPERATIONS</v>
          </cell>
          <cell r="IB963" t="str">
            <v>DOE - Janitorial - Common</v>
          </cell>
          <cell r="IF963" t="str">
            <v>Contracted services</v>
          </cell>
          <cell r="IG963" t="str">
            <v>Janitorial</v>
          </cell>
        </row>
        <row r="964">
          <cell r="HZ964" t="str">
            <v>81319101-61051102</v>
          </cell>
          <cell r="IA964" t="str">
            <v>OMD OPERATIONS</v>
          </cell>
          <cell r="IB964" t="str">
            <v>GAE - Janitorial</v>
          </cell>
          <cell r="IF964" t="str">
            <v>Contracted services</v>
          </cell>
          <cell r="IG964" t="str">
            <v>Janitorial</v>
          </cell>
        </row>
        <row r="965">
          <cell r="HZ965" t="str">
            <v>90122101-52041499</v>
          </cell>
          <cell r="IA965" t="str">
            <v>HUMAN RESOURCES</v>
          </cell>
          <cell r="IB965" t="str">
            <v>DOE - Contracted Services - Others</v>
          </cell>
          <cell r="IF965" t="str">
            <v>Contracted services</v>
          </cell>
          <cell r="IG965" t="str">
            <v>Contracted-Others</v>
          </cell>
        </row>
        <row r="966">
          <cell r="HZ966" t="str">
            <v>80215106-61051199</v>
          </cell>
          <cell r="IA966" t="str">
            <v>TECHNICAL SERVICES</v>
          </cell>
          <cell r="IB966" t="str">
            <v>GAE - Contracted Services - Others</v>
          </cell>
          <cell r="IF966" t="str">
            <v>Contracted services</v>
          </cell>
          <cell r="IG966" t="str">
            <v>Admin Staff</v>
          </cell>
        </row>
        <row r="967">
          <cell r="HZ967" t="str">
            <v>81319101-52041401</v>
          </cell>
          <cell r="IA967" t="str">
            <v>OMD OPERATIONS</v>
          </cell>
          <cell r="IB967" t="str">
            <v>DOE - Security - Common</v>
          </cell>
          <cell r="IF967" t="str">
            <v>Contracted services</v>
          </cell>
          <cell r="IG967" t="str">
            <v>Security</v>
          </cell>
        </row>
        <row r="968">
          <cell r="HZ968" t="str">
            <v>81319101-52041421</v>
          </cell>
          <cell r="IA968" t="str">
            <v>OMD OPERATIONS</v>
          </cell>
          <cell r="IB968" t="str">
            <v>DOE - Security - Common - Restricted</v>
          </cell>
          <cell r="IF968" t="str">
            <v>Contracted services</v>
          </cell>
          <cell r="IG968" t="str">
            <v>Security</v>
          </cell>
        </row>
        <row r="969">
          <cell r="HZ969" t="str">
            <v>81319101-61051101</v>
          </cell>
          <cell r="IA969" t="str">
            <v>OMD OPERATIONS</v>
          </cell>
          <cell r="IB969" t="str">
            <v>GAE - Security Services</v>
          </cell>
          <cell r="IF969" t="str">
            <v>Contracted services</v>
          </cell>
          <cell r="IG969" t="str">
            <v>Security</v>
          </cell>
        </row>
        <row r="970">
          <cell r="HZ970" t="str">
            <v>81121101-52952101</v>
          </cell>
          <cell r="IA970" t="str">
            <v>CORP RESOURCES DIV</v>
          </cell>
          <cell r="IB970" t="str">
            <v>DOE - Dues &amp; Fees</v>
          </cell>
          <cell r="IF970" t="str">
            <v>Others</v>
          </cell>
          <cell r="IG970" t="str">
            <v>Dues and Fees</v>
          </cell>
        </row>
        <row r="971">
          <cell r="HZ971" t="str">
            <v>90123101-52952101</v>
          </cell>
          <cell r="IA971" t="str">
            <v>LEGAL</v>
          </cell>
          <cell r="IB971" t="str">
            <v>DOE - Dues &amp; Fees</v>
          </cell>
          <cell r="IF971" t="str">
            <v>Others</v>
          </cell>
          <cell r="IG971" t="str">
            <v>Dues and Fees</v>
          </cell>
        </row>
        <row r="972">
          <cell r="HZ972" t="str">
            <v>90122101-52952101</v>
          </cell>
          <cell r="IA972" t="str">
            <v>HUMAN RESOURCES</v>
          </cell>
          <cell r="IB972" t="str">
            <v>DOE - Dues &amp; Fees</v>
          </cell>
          <cell r="IF972" t="str">
            <v>Others</v>
          </cell>
          <cell r="IG972" t="str">
            <v>Dues and Fees</v>
          </cell>
        </row>
        <row r="973">
          <cell r="HZ973" t="str">
            <v>81133103-52952101</v>
          </cell>
          <cell r="IA973" t="str">
            <v>PROCUREMENT</v>
          </cell>
          <cell r="IB973" t="str">
            <v>DOE - Dues &amp; Fees</v>
          </cell>
          <cell r="IF973" t="str">
            <v>Others</v>
          </cell>
          <cell r="IG973" t="str">
            <v>Dues and Fees</v>
          </cell>
        </row>
        <row r="974">
          <cell r="HZ974" t="str">
            <v>81134102-52952101</v>
          </cell>
          <cell r="IA974" t="str">
            <v>CORPORATE ACCOUNTING</v>
          </cell>
          <cell r="IB974" t="str">
            <v>DOE - Dues &amp; Fees</v>
          </cell>
          <cell r="IF974" t="str">
            <v>Others</v>
          </cell>
          <cell r="IG974" t="str">
            <v>Dues and Fees</v>
          </cell>
        </row>
        <row r="975">
          <cell r="HZ975" t="str">
            <v>81319101-52952101</v>
          </cell>
          <cell r="IA975" t="str">
            <v>OMD OPERATIONS</v>
          </cell>
          <cell r="IB975" t="str">
            <v>DOE - Dues &amp; Fees</v>
          </cell>
          <cell r="IF975" t="str">
            <v>Others</v>
          </cell>
          <cell r="IG975" t="str">
            <v>Dues and Fees</v>
          </cell>
        </row>
        <row r="976">
          <cell r="HZ976" t="str">
            <v>90111204-52952101</v>
          </cell>
          <cell r="IA976" t="str">
            <v>OFFICE OF THE CFO</v>
          </cell>
          <cell r="IB976" t="str">
            <v>DOE - Dues &amp; Fees</v>
          </cell>
          <cell r="IF976" t="str">
            <v>Others</v>
          </cell>
          <cell r="IG976" t="str">
            <v>Dues and Fees</v>
          </cell>
        </row>
        <row r="977">
          <cell r="HZ977" t="str">
            <v>90121101-52952101</v>
          </cell>
          <cell r="IA977" t="str">
            <v>CORP RESOURCES DIV</v>
          </cell>
          <cell r="IB977" t="str">
            <v>DOE - Dues &amp; Fees</v>
          </cell>
          <cell r="IF977" t="str">
            <v>Others</v>
          </cell>
          <cell r="IG977" t="str">
            <v>Dues and Fees</v>
          </cell>
        </row>
        <row r="978">
          <cell r="HZ978" t="str">
            <v>80121101-61711101</v>
          </cell>
          <cell r="IA978" t="str">
            <v>CORP RESOURCES DIV</v>
          </cell>
          <cell r="IB978" t="str">
            <v>GAE - Dues &amp; Fees</v>
          </cell>
          <cell r="IF978" t="str">
            <v>Others</v>
          </cell>
          <cell r="IG978" t="str">
            <v>Dues and Fees</v>
          </cell>
        </row>
        <row r="979">
          <cell r="HZ979" t="str">
            <v>90121101-61711101</v>
          </cell>
          <cell r="IA979" t="str">
            <v>CORP RESOURCES DIV</v>
          </cell>
          <cell r="IB979" t="str">
            <v>GAE - Dues &amp; Fees</v>
          </cell>
          <cell r="IF979" t="str">
            <v>Others</v>
          </cell>
          <cell r="IG979" t="str">
            <v>Dues and Fees</v>
          </cell>
        </row>
        <row r="980">
          <cell r="HZ980" t="str">
            <v>80215106-61711101</v>
          </cell>
          <cell r="IA980" t="str">
            <v>TECHNICAL SERVICES</v>
          </cell>
          <cell r="IB980" t="str">
            <v>GAE - Dues &amp; Fees</v>
          </cell>
          <cell r="IF980" t="str">
            <v>Others</v>
          </cell>
          <cell r="IG980" t="str">
            <v>Dues and Fees</v>
          </cell>
        </row>
        <row r="981">
          <cell r="HZ981" t="str">
            <v>80313108-61711101</v>
          </cell>
          <cell r="IA981" t="str">
            <v>RESI BUSINESS UNIT</v>
          </cell>
          <cell r="IB981" t="str">
            <v>GAE - Dues &amp; Fees</v>
          </cell>
          <cell r="IF981" t="str">
            <v>Others</v>
          </cell>
          <cell r="IG981" t="str">
            <v>Dues and Fees</v>
          </cell>
        </row>
        <row r="982">
          <cell r="HZ982" t="str">
            <v>81121101-61711101</v>
          </cell>
          <cell r="IA982" t="str">
            <v>CORP RESOURCES DIV</v>
          </cell>
          <cell r="IB982" t="str">
            <v>GAE - Dues &amp; Fees</v>
          </cell>
          <cell r="IF982" t="str">
            <v>Others</v>
          </cell>
          <cell r="IG982" t="str">
            <v>Dues and Fees</v>
          </cell>
        </row>
        <row r="983">
          <cell r="HZ983" t="str">
            <v>81134102-61711101</v>
          </cell>
          <cell r="IA983" t="str">
            <v>CORPORATE ACCOUNTING</v>
          </cell>
          <cell r="IB983" t="str">
            <v>GAE - Dues &amp; Fees</v>
          </cell>
          <cell r="IF983" t="str">
            <v>Others</v>
          </cell>
          <cell r="IG983" t="str">
            <v>Dues and Fees</v>
          </cell>
        </row>
        <row r="984">
          <cell r="HZ984" t="str">
            <v>81319101-61711101</v>
          </cell>
          <cell r="IA984" t="str">
            <v>OMD OPERATIONS</v>
          </cell>
          <cell r="IB984" t="str">
            <v>GAE - Dues &amp; Fees</v>
          </cell>
          <cell r="IF984" t="str">
            <v>Others</v>
          </cell>
          <cell r="IG984" t="str">
            <v>Dues and Fees</v>
          </cell>
        </row>
        <row r="985">
          <cell r="HZ985" t="str">
            <v>80123102-61041101</v>
          </cell>
          <cell r="IA985" t="str">
            <v>ADMIN SERVICES</v>
          </cell>
          <cell r="IB985" t="str">
            <v>GAE - Light &amp; Power</v>
          </cell>
          <cell r="IF985" t="str">
            <v>Others</v>
          </cell>
          <cell r="IG985" t="str">
            <v>Electricity &amp; Water</v>
          </cell>
        </row>
        <row r="986">
          <cell r="HZ986" t="str">
            <v>80123102-61041201</v>
          </cell>
          <cell r="IA986" t="str">
            <v>ADMIN SERVICES</v>
          </cell>
          <cell r="IB986" t="str">
            <v>GAE - Water</v>
          </cell>
          <cell r="IF986" t="str">
            <v>Others</v>
          </cell>
          <cell r="IG986" t="str">
            <v>Electricity &amp; Water</v>
          </cell>
        </row>
        <row r="987">
          <cell r="HZ987" t="str">
            <v>80111204-61091101</v>
          </cell>
          <cell r="IA987" t="str">
            <v>OFFICE OF THE CFO</v>
          </cell>
          <cell r="IB987" t="str">
            <v>GAE - Representation</v>
          </cell>
          <cell r="IF987" t="str">
            <v>Others</v>
          </cell>
          <cell r="IG987" t="str">
            <v>Entertainment, Amusement &amp; Recreation</v>
          </cell>
        </row>
        <row r="988">
          <cell r="HZ988" t="str">
            <v>90111204-61091101</v>
          </cell>
          <cell r="IA988" t="str">
            <v>OFFICE OF THE CFO</v>
          </cell>
          <cell r="IB988" t="str">
            <v>GAE - Representation</v>
          </cell>
          <cell r="IF988" t="str">
            <v>Others</v>
          </cell>
          <cell r="IG988" t="str">
            <v>Entertainment, Amusement &amp; Recreation</v>
          </cell>
        </row>
        <row r="989">
          <cell r="HZ989" t="str">
            <v>81111204-61091101</v>
          </cell>
          <cell r="IA989" t="str">
            <v>OFFICE OF THE CFO</v>
          </cell>
          <cell r="IB989" t="str">
            <v>GAE - Representation</v>
          </cell>
          <cell r="IF989" t="str">
            <v>Others</v>
          </cell>
          <cell r="IG989" t="str">
            <v>Entertainment, Amusement &amp; Recreation</v>
          </cell>
        </row>
        <row r="990">
          <cell r="HZ990" t="str">
            <v>90111204-61091102</v>
          </cell>
          <cell r="IA990" t="str">
            <v>OFFICE OF THE CFO</v>
          </cell>
          <cell r="IB990" t="str">
            <v>GAE - Meeting</v>
          </cell>
          <cell r="IF990" t="str">
            <v>Others</v>
          </cell>
          <cell r="IG990" t="str">
            <v>Entertainment, Amusement &amp; Recreation</v>
          </cell>
        </row>
        <row r="991">
          <cell r="HZ991" t="str">
            <v>80111204-61091102</v>
          </cell>
          <cell r="IA991" t="str">
            <v>OFFICE OF THE CFO</v>
          </cell>
          <cell r="IB991" t="str">
            <v>GAE - Meeting</v>
          </cell>
          <cell r="IF991" t="str">
            <v>Others</v>
          </cell>
          <cell r="IG991" t="str">
            <v>Entertainment, Amusement &amp; Recreation</v>
          </cell>
        </row>
        <row r="992">
          <cell r="HZ992" t="str">
            <v>81111204-61091102</v>
          </cell>
          <cell r="IA992" t="str">
            <v>OFFICE OF THE CFO</v>
          </cell>
          <cell r="IB992" t="str">
            <v>GAE - Meeting</v>
          </cell>
          <cell r="IF992" t="str">
            <v>Others</v>
          </cell>
          <cell r="IG992" t="str">
            <v>Entertainment, Amusement &amp; Recreation</v>
          </cell>
        </row>
        <row r="993">
          <cell r="HZ993" t="str">
            <v>81111101-52101101</v>
          </cell>
          <cell r="IA993" t="str">
            <v>CCC-COMMON</v>
          </cell>
          <cell r="IB993" t="str">
            <v>DOE - Insurance - Property All Risk (PARI) / CGL</v>
          </cell>
          <cell r="IF993" t="str">
            <v>Others</v>
          </cell>
          <cell r="IG993" t="str">
            <v>Insurance</v>
          </cell>
        </row>
        <row r="994">
          <cell r="HZ994" t="str">
            <v>80111101-52101101</v>
          </cell>
          <cell r="IA994" t="str">
            <v>OCLP-COMMON</v>
          </cell>
          <cell r="IB994" t="str">
            <v>DOE - Insurance - Property All Risk (PARI) / CGL</v>
          </cell>
          <cell r="IF994" t="str">
            <v>Others</v>
          </cell>
          <cell r="IG994" t="str">
            <v>Insurance</v>
          </cell>
        </row>
        <row r="995">
          <cell r="HZ995" t="str">
            <v>81111102-52101101</v>
          </cell>
          <cell r="IA995" t="str">
            <v>OCC ESTANCIA HQ</v>
          </cell>
          <cell r="IB995" t="str">
            <v>DOE - Insurance - Property All Risk (PARI) / CGL</v>
          </cell>
          <cell r="IF995" t="str">
            <v>Others</v>
          </cell>
          <cell r="IG995" t="str">
            <v>Insurance</v>
          </cell>
        </row>
        <row r="996">
          <cell r="HZ996" t="str">
            <v>90123102-52101107</v>
          </cell>
          <cell r="IA996" t="str">
            <v>ADMIN SERVICES</v>
          </cell>
          <cell r="IB996" t="str">
            <v>DOE - Insurance - Directors, Officers &amp; Liability</v>
          </cell>
          <cell r="IF996" t="str">
            <v>Others</v>
          </cell>
          <cell r="IG996" t="str">
            <v>Insurance</v>
          </cell>
        </row>
        <row r="997">
          <cell r="HZ997" t="str">
            <v>80111101-52101105</v>
          </cell>
          <cell r="IA997" t="str">
            <v>OCLP-COMMON</v>
          </cell>
          <cell r="IB997" t="str">
            <v>DOE - Insurance - Property Terrorism &amp; Sabotage</v>
          </cell>
          <cell r="IF997" t="str">
            <v>Others</v>
          </cell>
          <cell r="IG997" t="str">
            <v>Insurance</v>
          </cell>
        </row>
        <row r="998">
          <cell r="HZ998" t="str">
            <v>81111101-52101105</v>
          </cell>
          <cell r="IA998" t="str">
            <v>CCC-COMMON</v>
          </cell>
          <cell r="IB998" t="str">
            <v>DOE - Insurance - Property Terrorism &amp; Sabotage</v>
          </cell>
          <cell r="IF998" t="str">
            <v>Others</v>
          </cell>
          <cell r="IG998" t="str">
            <v>Insurance</v>
          </cell>
        </row>
        <row r="999">
          <cell r="HZ999" t="str">
            <v>80123102-52101115</v>
          </cell>
          <cell r="IA999" t="str">
            <v>ADMIN SERVICES</v>
          </cell>
          <cell r="IB999" t="str">
            <v>DOE - Insurance - Recovery</v>
          </cell>
          <cell r="IF999" t="str">
            <v>Others</v>
          </cell>
          <cell r="IG999" t="str">
            <v>Insurance</v>
          </cell>
        </row>
        <row r="1000">
          <cell r="HZ1000" t="str">
            <v>81111101-52041495</v>
          </cell>
          <cell r="IA1000" t="str">
            <v>CCC-COMMON</v>
          </cell>
          <cell r="IB1000" t="str">
            <v>DOE - Contracted Services - Staff</v>
          </cell>
          <cell r="IF1000" t="str">
            <v>Salaries</v>
          </cell>
          <cell r="IG1000" t="str">
            <v>Office Staff (BTs)</v>
          </cell>
        </row>
        <row r="1001">
          <cell r="HZ1001" t="str">
            <v>90111101-52041495</v>
          </cell>
          <cell r="IA1001" t="str">
            <v>OHI-COMMON</v>
          </cell>
          <cell r="IB1001" t="str">
            <v>DOE - Contracted Services - Staff</v>
          </cell>
          <cell r="IF1001" t="str">
            <v>Salaries</v>
          </cell>
          <cell r="IG1001" t="str">
            <v>Office Staff (BTs)</v>
          </cell>
        </row>
        <row r="1002">
          <cell r="HZ1002" t="str">
            <v>80111101-52121101</v>
          </cell>
          <cell r="IA1002" t="str">
            <v>OCLP-COMMON</v>
          </cell>
          <cell r="IB1002" t="str">
            <v>DOE - Payroll - Regular - Basic</v>
          </cell>
          <cell r="IF1002" t="str">
            <v>Salaries</v>
          </cell>
          <cell r="IG1002" t="str">
            <v>Regular Employee</v>
          </cell>
        </row>
        <row r="1003">
          <cell r="HZ1003" t="str">
            <v>81111101-52121101</v>
          </cell>
          <cell r="IA1003" t="str">
            <v>CCC-COMMON</v>
          </cell>
          <cell r="IB1003" t="str">
            <v>DOE - Payroll - Regular - Basic</v>
          </cell>
          <cell r="IF1003" t="str">
            <v>Salaries</v>
          </cell>
          <cell r="IG1003" t="str">
            <v>Regular Employee</v>
          </cell>
        </row>
        <row r="1004">
          <cell r="HZ1004" t="str">
            <v>90111101-52121101</v>
          </cell>
          <cell r="IA1004" t="str">
            <v>OHI-COMMON</v>
          </cell>
          <cell r="IB1004" t="str">
            <v>DOE - Payroll - Regular - Basic</v>
          </cell>
          <cell r="IF1004" t="str">
            <v>Salaries</v>
          </cell>
          <cell r="IG1004" t="str">
            <v>Regular Employee</v>
          </cell>
        </row>
        <row r="1005">
          <cell r="HZ1005" t="str">
            <v>81111101-52121102</v>
          </cell>
          <cell r="IA1005" t="str">
            <v>CCC-COMMON</v>
          </cell>
          <cell r="IB1005" t="str">
            <v>DOE - Payroll - Regular - OT</v>
          </cell>
          <cell r="IF1005" t="str">
            <v>Salaries</v>
          </cell>
          <cell r="IG1005" t="str">
            <v>OT Pay</v>
          </cell>
        </row>
        <row r="1006">
          <cell r="HZ1006" t="str">
            <v>90111101-52121102</v>
          </cell>
          <cell r="IA1006" t="str">
            <v>OHI-COMMON</v>
          </cell>
          <cell r="IB1006" t="str">
            <v>DOE - Payroll - Regular - OT</v>
          </cell>
          <cell r="IF1006" t="str">
            <v>Salaries</v>
          </cell>
          <cell r="IG1006" t="str">
            <v>OT Pay</v>
          </cell>
        </row>
        <row r="1007">
          <cell r="HZ1007" t="str">
            <v>81111101-52121103</v>
          </cell>
          <cell r="IA1007" t="str">
            <v>CCC-COMMON</v>
          </cell>
          <cell r="IB1007" t="str">
            <v>DOE - Regular - OT Allowance</v>
          </cell>
          <cell r="IF1007" t="str">
            <v>Salaries</v>
          </cell>
          <cell r="IG1007" t="str">
            <v>OT Pay</v>
          </cell>
        </row>
        <row r="1008">
          <cell r="HZ1008" t="str">
            <v>90111101-52121103</v>
          </cell>
          <cell r="IA1008" t="str">
            <v>OHI-COMMON</v>
          </cell>
          <cell r="IB1008" t="str">
            <v>DOE - Regular - OT Allowance</v>
          </cell>
          <cell r="IF1008" t="str">
            <v>Salaries</v>
          </cell>
          <cell r="IG1008" t="str">
            <v>OT Pay</v>
          </cell>
        </row>
        <row r="1009">
          <cell r="HZ1009" t="str">
            <v>81111101-52121104</v>
          </cell>
          <cell r="IA1009" t="str">
            <v>CCC-COMMON</v>
          </cell>
          <cell r="IB1009" t="str">
            <v>DOE - Payroll - Regular - Guaranteed Bonus</v>
          </cell>
          <cell r="IF1009" t="str">
            <v>Salaries</v>
          </cell>
          <cell r="IG1009" t="str">
            <v>Guaranteed Bonus</v>
          </cell>
        </row>
        <row r="1010">
          <cell r="HZ1010" t="str">
            <v>90111101-52121104</v>
          </cell>
          <cell r="IA1010" t="str">
            <v>OHI-COMMON</v>
          </cell>
          <cell r="IB1010" t="str">
            <v>DOE - Payroll - Regular - Guaranteed Bonus</v>
          </cell>
          <cell r="IF1010" t="str">
            <v>Salaries</v>
          </cell>
          <cell r="IG1010" t="str">
            <v>Guaranteed Bonus</v>
          </cell>
        </row>
        <row r="1011">
          <cell r="HZ1011" t="str">
            <v>90111101-52121106</v>
          </cell>
          <cell r="IA1011" t="str">
            <v>OHI-COMMON</v>
          </cell>
          <cell r="IB1011" t="str">
            <v>DOE - Payroll - Regular - Leave Encashment</v>
          </cell>
          <cell r="IF1011" t="str">
            <v>Salaries</v>
          </cell>
          <cell r="IG1011" t="str">
            <v>Leave Encashment</v>
          </cell>
        </row>
        <row r="1012">
          <cell r="HZ1012" t="str">
            <v>90111101-52121201</v>
          </cell>
          <cell r="IA1012" t="str">
            <v>OHI-COMMON</v>
          </cell>
          <cell r="IB1012" t="str">
            <v>DOE - Payroll - Project - Basic</v>
          </cell>
          <cell r="IF1012" t="str">
            <v>Salaries</v>
          </cell>
          <cell r="IG1012" t="str">
            <v>Project Employee</v>
          </cell>
        </row>
        <row r="1013">
          <cell r="HZ1013" t="str">
            <v>81111101-52121301</v>
          </cell>
          <cell r="IA1013" t="str">
            <v>CCC-COMMON</v>
          </cell>
          <cell r="IB1013" t="str">
            <v>DOE - Employee Life Insurance</v>
          </cell>
          <cell r="IF1013" t="str">
            <v>Employee Benefits</v>
          </cell>
          <cell r="IG1013" t="str">
            <v>Medical/Insurance</v>
          </cell>
        </row>
        <row r="1014">
          <cell r="HZ1014" t="str">
            <v>90111101-52121301</v>
          </cell>
          <cell r="IA1014" t="str">
            <v>OHI-COMMON</v>
          </cell>
          <cell r="IB1014" t="str">
            <v>DOE - Employee Life Insurance</v>
          </cell>
          <cell r="IF1014" t="str">
            <v>Employee Benefits</v>
          </cell>
          <cell r="IG1014" t="str">
            <v>Medical/Insurance</v>
          </cell>
        </row>
        <row r="1015">
          <cell r="HZ1015" t="str">
            <v>81111101-52121302</v>
          </cell>
          <cell r="IA1015" t="str">
            <v>CCC-COMMON</v>
          </cell>
          <cell r="IB1015" t="str">
            <v>DOE - Employee Benefits - Medical Allowance</v>
          </cell>
          <cell r="IF1015" t="str">
            <v>Employee Benefits</v>
          </cell>
          <cell r="IG1015" t="str">
            <v>Medical/Insurance</v>
          </cell>
        </row>
        <row r="1016">
          <cell r="HZ1016" t="str">
            <v>90111101-52121302</v>
          </cell>
          <cell r="IA1016" t="str">
            <v>OHI-COMMON</v>
          </cell>
          <cell r="IB1016" t="str">
            <v>DOE - Employee Benefits - Medical Allowance</v>
          </cell>
          <cell r="IF1016" t="str">
            <v>Employee Benefits</v>
          </cell>
          <cell r="IG1016" t="str">
            <v>Medical/Insurance</v>
          </cell>
        </row>
        <row r="1017">
          <cell r="HZ1017" t="str">
            <v>81111101-52121303</v>
          </cell>
          <cell r="IA1017" t="str">
            <v>CCC-COMMON</v>
          </cell>
          <cell r="IB1017" t="str">
            <v>DOE - Health Premium / APE</v>
          </cell>
          <cell r="IF1017" t="str">
            <v>Employee Benefits</v>
          </cell>
          <cell r="IG1017" t="str">
            <v>Medical/Insurance</v>
          </cell>
        </row>
        <row r="1018">
          <cell r="HZ1018" t="str">
            <v>90111101-52121303</v>
          </cell>
          <cell r="IA1018" t="str">
            <v>OHI-COMMON</v>
          </cell>
          <cell r="IB1018" t="str">
            <v>DOE - Health Premium / APE</v>
          </cell>
          <cell r="IF1018" t="str">
            <v>Employee Benefits</v>
          </cell>
          <cell r="IG1018" t="str">
            <v>Medical/Insurance</v>
          </cell>
        </row>
        <row r="1019">
          <cell r="HZ1019" t="str">
            <v>81111101-52121304</v>
          </cell>
          <cell r="IA1019" t="str">
            <v>CCC-COMMON</v>
          </cell>
          <cell r="IB1019" t="str">
            <v>DOE - Employee Benefits - Retirement Gratuity</v>
          </cell>
          <cell r="IF1019" t="str">
            <v>Retirement</v>
          </cell>
        </row>
        <row r="1020">
          <cell r="HZ1020" t="str">
            <v>90111101-52121304</v>
          </cell>
          <cell r="IA1020" t="str">
            <v>OHI-COMMON</v>
          </cell>
          <cell r="IB1020" t="str">
            <v>DOE - Employee Benefits - Retirement Gratuity</v>
          </cell>
          <cell r="IF1020" t="str">
            <v>Retirement</v>
          </cell>
        </row>
        <row r="1021">
          <cell r="HZ1021" t="str">
            <v>80111101-52121305</v>
          </cell>
          <cell r="IA1021" t="str">
            <v>OCLP-COMMON</v>
          </cell>
          <cell r="IB1021" t="str">
            <v>DOE - Employee Benefits - SSS,PHIC, HDMF</v>
          </cell>
          <cell r="IF1021" t="str">
            <v>Employee Benefits</v>
          </cell>
          <cell r="IG1021" t="str">
            <v>Government Contributions</v>
          </cell>
        </row>
        <row r="1022">
          <cell r="HZ1022" t="str">
            <v>81111101-52121305</v>
          </cell>
          <cell r="IA1022" t="str">
            <v>CCC-COMMON</v>
          </cell>
          <cell r="IB1022" t="str">
            <v>DOE - Employee Benefits - SSS,PHIC, HDMF</v>
          </cell>
          <cell r="IF1022" t="str">
            <v>Employee Benefits</v>
          </cell>
          <cell r="IG1022" t="str">
            <v>Government Contributions</v>
          </cell>
        </row>
        <row r="1023">
          <cell r="HZ1023" t="str">
            <v>90111101-52121305</v>
          </cell>
          <cell r="IA1023" t="str">
            <v>OHI-COMMON</v>
          </cell>
          <cell r="IB1023" t="str">
            <v>DOE - Employee Benefits - SSS,PHIC, HDMF</v>
          </cell>
          <cell r="IF1023" t="str">
            <v>Employee Benefits</v>
          </cell>
          <cell r="IG1023" t="str">
            <v>Government Contributions</v>
          </cell>
        </row>
        <row r="1024">
          <cell r="HZ1024" t="str">
            <v>81111101-52121306</v>
          </cell>
          <cell r="IA1024" t="str">
            <v>CCC-COMMON</v>
          </cell>
          <cell r="IB1024" t="str">
            <v>DOE - Employee Benefits - Uniform</v>
          </cell>
          <cell r="IF1024" t="str">
            <v>Employee Benefits</v>
          </cell>
          <cell r="IG1024" t="str">
            <v>Uniform</v>
          </cell>
        </row>
        <row r="1025">
          <cell r="HZ1025" t="str">
            <v>90111101-52121306</v>
          </cell>
          <cell r="IA1025" t="str">
            <v>OHI-COMMON</v>
          </cell>
          <cell r="IB1025" t="str">
            <v>DOE - Employee Benefits - Uniform</v>
          </cell>
          <cell r="IF1025" t="str">
            <v>Employee Benefits</v>
          </cell>
          <cell r="IG1025" t="str">
            <v>Uniform</v>
          </cell>
        </row>
        <row r="1026">
          <cell r="HZ1026" t="str">
            <v>81111101-52121308</v>
          </cell>
          <cell r="IA1026" t="str">
            <v>CCC-COMMON</v>
          </cell>
          <cell r="IB1026" t="str">
            <v>DOE - Employee Benefits - Gas Allowance</v>
          </cell>
          <cell r="IF1026" t="str">
            <v>Employee Benefits</v>
          </cell>
          <cell r="IG1026" t="str">
            <v>Gas Allowance</v>
          </cell>
        </row>
        <row r="1027">
          <cell r="HZ1027" t="str">
            <v>90111101-52121308</v>
          </cell>
          <cell r="IA1027" t="str">
            <v>OHI-COMMON</v>
          </cell>
          <cell r="IB1027" t="str">
            <v>DOE - Employee Benefits - Gas Allowance</v>
          </cell>
          <cell r="IF1027" t="str">
            <v>Employee Benefits</v>
          </cell>
          <cell r="IG1027" t="str">
            <v>Gas Allowance</v>
          </cell>
        </row>
        <row r="1028">
          <cell r="HZ1028" t="str">
            <v>81111101-52121309</v>
          </cell>
          <cell r="IA1028" t="str">
            <v>CCC-COMMON</v>
          </cell>
          <cell r="IB1028" t="str">
            <v>DOE - Employee Benefits - Rice Subsidy</v>
          </cell>
          <cell r="IF1028" t="str">
            <v>Employee Benefits</v>
          </cell>
          <cell r="IG1028" t="str">
            <v>Uniform</v>
          </cell>
        </row>
        <row r="1029">
          <cell r="HZ1029" t="str">
            <v>90111101-52121309</v>
          </cell>
          <cell r="IA1029" t="str">
            <v>OHI-COMMON</v>
          </cell>
          <cell r="IB1029" t="str">
            <v>DOE - Employee Benefits - Rice Subsidy</v>
          </cell>
          <cell r="IF1029" t="str">
            <v>Employee Benefits</v>
          </cell>
          <cell r="IG1029" t="str">
            <v>Uniform</v>
          </cell>
        </row>
        <row r="1030">
          <cell r="HZ1030" t="str">
            <v>81122101-52121310</v>
          </cell>
          <cell r="IA1030" t="str">
            <v>HUMAN RESOURCES</v>
          </cell>
          <cell r="IB1030" t="str">
            <v>DOE - Employee Benefits - Gift Certificates</v>
          </cell>
          <cell r="IF1030" t="str">
            <v>Employee Benefits</v>
          </cell>
          <cell r="IG1030" t="str">
            <v>Employee Programs/Perks</v>
          </cell>
        </row>
        <row r="1031">
          <cell r="HZ1031" t="str">
            <v>81111101-52121313</v>
          </cell>
          <cell r="IA1031" t="str">
            <v>CCC-COMMON</v>
          </cell>
          <cell r="IB1031" t="str">
            <v>DOE - Employee Benefits - Fringe Benefits Tax</v>
          </cell>
          <cell r="IF1031" t="str">
            <v>Employee Benefits</v>
          </cell>
          <cell r="IG1031" t="str">
            <v>FBT</v>
          </cell>
        </row>
        <row r="1032">
          <cell r="HZ1032" t="str">
            <v>90111101-52121313</v>
          </cell>
          <cell r="IA1032" t="str">
            <v>OHI-COMMON</v>
          </cell>
          <cell r="IB1032" t="str">
            <v>DOE - Employee Benefits - Fringe Benefits Tax</v>
          </cell>
          <cell r="IF1032" t="str">
            <v>Employee Benefits</v>
          </cell>
          <cell r="IG1032" t="str">
            <v>FBT</v>
          </cell>
        </row>
        <row r="1033">
          <cell r="HZ1033" t="str">
            <v>81122101-52121315</v>
          </cell>
          <cell r="IA1033" t="str">
            <v>HUMAN RESOURCES</v>
          </cell>
          <cell r="IB1033" t="str">
            <v>DOE - Recruitment Expense</v>
          </cell>
          <cell r="IF1033" t="str">
            <v>Employee Benefits</v>
          </cell>
          <cell r="IG1033" t="str">
            <v>Recruitment</v>
          </cell>
        </row>
        <row r="1034">
          <cell r="HZ1034" t="str">
            <v>90122101-52121315</v>
          </cell>
          <cell r="IA1034" t="str">
            <v>HUMAN RESOURCES</v>
          </cell>
          <cell r="IB1034" t="str">
            <v>DOE - Recruitment Expense</v>
          </cell>
          <cell r="IF1034" t="str">
            <v>Employee Benefits</v>
          </cell>
          <cell r="IG1034" t="str">
            <v>Recruitment</v>
          </cell>
        </row>
        <row r="1035">
          <cell r="HZ1035" t="str">
            <v>81111101-52121316</v>
          </cell>
          <cell r="IA1035" t="str">
            <v>CCC-COMMON</v>
          </cell>
          <cell r="IB1035" t="str">
            <v>DOE - Performance-based Bonus</v>
          </cell>
          <cell r="IF1035" t="str">
            <v>PB</v>
          </cell>
        </row>
        <row r="1036">
          <cell r="HZ1036" t="str">
            <v>90111101-52121316</v>
          </cell>
          <cell r="IA1036" t="str">
            <v>OHI-COMMON</v>
          </cell>
          <cell r="IB1036" t="str">
            <v>DOE - Performance-based Bonus</v>
          </cell>
          <cell r="IF1036" t="str">
            <v>PB</v>
          </cell>
        </row>
        <row r="1037">
          <cell r="HZ1037" t="str">
            <v>81122101-52121502</v>
          </cell>
          <cell r="IA1037" t="str">
            <v>HUMAN RESOURCES</v>
          </cell>
          <cell r="IB1037" t="str">
            <v>DOE - Training - Local</v>
          </cell>
          <cell r="IF1037" t="str">
            <v>Employee Benefits</v>
          </cell>
          <cell r="IG1037" t="str">
            <v>Trainings &amp; Seminars</v>
          </cell>
        </row>
        <row r="1038">
          <cell r="HZ1038" t="str">
            <v>90122101-52121502</v>
          </cell>
          <cell r="IA1038" t="str">
            <v>HUMAN RESOURCES</v>
          </cell>
          <cell r="IB1038" t="str">
            <v>DOE - Training - Local</v>
          </cell>
          <cell r="IF1038" t="str">
            <v>Employee Benefits</v>
          </cell>
          <cell r="IG1038" t="str">
            <v>Trainings &amp; Seminars</v>
          </cell>
        </row>
        <row r="1039">
          <cell r="HZ1039" t="str">
            <v>80111101-61021201</v>
          </cell>
          <cell r="IA1039" t="str">
            <v>OCLP-COMMON</v>
          </cell>
          <cell r="IB1039" t="str">
            <v>GAE - Payroll - Project Employee - Basic</v>
          </cell>
          <cell r="IF1039" t="str">
            <v>Salaries</v>
          </cell>
          <cell r="IG1039" t="str">
            <v>Project Employee</v>
          </cell>
        </row>
        <row r="1040">
          <cell r="HZ1040" t="str">
            <v>80111101-61021202</v>
          </cell>
          <cell r="IA1040" t="str">
            <v>OCLP-COMMON</v>
          </cell>
          <cell r="IB1040" t="str">
            <v>GAE - Payroll - Project Employee - Overtime</v>
          </cell>
          <cell r="IF1040" t="str">
            <v>Salaries</v>
          </cell>
          <cell r="IG1040" t="str">
            <v>Project Employee</v>
          </cell>
        </row>
        <row r="1041">
          <cell r="HZ1041" t="str">
            <v>80122101-61021311</v>
          </cell>
          <cell r="IA1041" t="str">
            <v>HUMAN RESOURCES</v>
          </cell>
          <cell r="IB1041" t="str">
            <v>GAE - Employee Benefits - Gift Certificates</v>
          </cell>
          <cell r="IF1041" t="str">
            <v>Employee Benefits</v>
          </cell>
          <cell r="IG1041" t="str">
            <v>Employee Programs/Perks</v>
          </cell>
        </row>
        <row r="1042">
          <cell r="HZ1042" t="str">
            <v>81122101-61021311</v>
          </cell>
          <cell r="IA1042" t="str">
            <v>HUMAN RESOURCES</v>
          </cell>
          <cell r="IB1042" t="str">
            <v>GAE - Employee Benefits - Gift Certificates</v>
          </cell>
          <cell r="IF1042" t="str">
            <v>Employee Benefits</v>
          </cell>
          <cell r="IG1042" t="str">
            <v>Employee Programs/Perks</v>
          </cell>
        </row>
        <row r="1043">
          <cell r="HZ1043" t="str">
            <v>81122101-61021316</v>
          </cell>
          <cell r="IA1043" t="str">
            <v>HUMAN RESOURCES</v>
          </cell>
          <cell r="IB1043" t="str">
            <v>GAE - Recruitment Expense</v>
          </cell>
          <cell r="IF1043" t="str">
            <v>Employee Benefits</v>
          </cell>
          <cell r="IG1043" t="str">
            <v>Recruitment</v>
          </cell>
        </row>
        <row r="1044">
          <cell r="HZ1044" t="str">
            <v>90122101-52121401</v>
          </cell>
          <cell r="IA1044" t="str">
            <v>HUMAN RESOURCES</v>
          </cell>
          <cell r="IB1044" t="str">
            <v>DOE - Company Events</v>
          </cell>
          <cell r="IF1044" t="str">
            <v>Employee Benefits</v>
          </cell>
          <cell r="IG1044" t="str">
            <v>Employee Programs/Perks</v>
          </cell>
        </row>
        <row r="1045">
          <cell r="HZ1045" t="str">
            <v>90122101-52121402</v>
          </cell>
          <cell r="IA1045" t="str">
            <v>HUMAN RESOURCES</v>
          </cell>
          <cell r="IB1045" t="str">
            <v>DOE - Employees' Welfare</v>
          </cell>
          <cell r="IF1045" t="str">
            <v>Employee Benefits</v>
          </cell>
          <cell r="IG1045" t="str">
            <v>Employee Programs/Perks</v>
          </cell>
        </row>
        <row r="1046">
          <cell r="HZ1046" t="str">
            <v>90111101-52121402</v>
          </cell>
          <cell r="IA1046" t="str">
            <v>OHI-COMMON</v>
          </cell>
          <cell r="IB1046" t="str">
            <v>DOE - Employees' Welfare</v>
          </cell>
          <cell r="IF1046" t="str">
            <v>Employee Benefits</v>
          </cell>
          <cell r="IG1046" t="str">
            <v>Employee Programs/Perks</v>
          </cell>
        </row>
        <row r="1047">
          <cell r="HZ1047" t="str">
            <v>81111101-52121402</v>
          </cell>
          <cell r="IA1047" t="str">
            <v>CCC-COMMON</v>
          </cell>
          <cell r="IB1047" t="str">
            <v>DOE - Employees' Welfare</v>
          </cell>
          <cell r="IF1047" t="str">
            <v>Employee Benefits</v>
          </cell>
          <cell r="IG1047" t="str">
            <v>Employee Programs/Perks</v>
          </cell>
        </row>
        <row r="1048">
          <cell r="HZ1048" t="str">
            <v>81122101-52121402</v>
          </cell>
          <cell r="IA1048" t="str">
            <v>HUMAN RESOURCES</v>
          </cell>
          <cell r="IB1048" t="str">
            <v>DOE - Employees' Welfare</v>
          </cell>
          <cell r="IF1048" t="str">
            <v>Employee Benefits</v>
          </cell>
          <cell r="IG1048" t="str">
            <v>Employee Programs/Perks</v>
          </cell>
        </row>
        <row r="1049">
          <cell r="HZ1049" t="str">
            <v>80122101-61021502</v>
          </cell>
          <cell r="IA1049" t="str">
            <v>HUMAN RESOURCES</v>
          </cell>
          <cell r="IB1049" t="str">
            <v>GAE - Training - Corporate - Local Int/Ext</v>
          </cell>
          <cell r="IF1049" t="str">
            <v>Employee Benefits</v>
          </cell>
          <cell r="IG1049" t="str">
            <v>Trainings &amp; Seminars</v>
          </cell>
        </row>
        <row r="1050">
          <cell r="HZ1050" t="str">
            <v>81122101-61021502</v>
          </cell>
          <cell r="IA1050" t="str">
            <v>HUMAN RESOURCES</v>
          </cell>
          <cell r="IB1050" t="str">
            <v>GAE - Training - Corporate - Local Int/Ext</v>
          </cell>
          <cell r="IF1050" t="str">
            <v>Employee Benefits</v>
          </cell>
          <cell r="IG1050" t="str">
            <v>Trainings &amp; Seminars</v>
          </cell>
        </row>
        <row r="1051">
          <cell r="HZ1051" t="str">
            <v>90122101-61021502</v>
          </cell>
          <cell r="IA1051" t="str">
            <v>HUMAN RESOURCES</v>
          </cell>
          <cell r="IB1051" t="str">
            <v>GAE - Training - Corporate - Local Int/Ext</v>
          </cell>
          <cell r="IF1051" t="str">
            <v>Employee Benefits</v>
          </cell>
          <cell r="IG1051" t="str">
            <v>Trainings &amp; Seminars</v>
          </cell>
        </row>
        <row r="1052">
          <cell r="HZ1052" t="str">
            <v>81125101-52959903</v>
          </cell>
          <cell r="IA1052" t="str">
            <v>EXTERNAL AFFAIRS DEP</v>
          </cell>
          <cell r="IB1052" t="str">
            <v>DOE - Donations &amp; Contributions</v>
          </cell>
          <cell r="IF1052" t="str">
            <v>Others</v>
          </cell>
          <cell r="IG1052" t="str">
            <v>Donations, Contributions and Miscellaneous Expenses</v>
          </cell>
        </row>
        <row r="1053">
          <cell r="HZ1053" t="str">
            <v>80111101-52959994</v>
          </cell>
          <cell r="IA1053" t="str">
            <v>OCLP-COMMON</v>
          </cell>
          <cell r="IB1053" t="str">
            <v>DOE - Disallowed Input VAT</v>
          </cell>
          <cell r="IF1053" t="str">
            <v>Others</v>
          </cell>
          <cell r="IG1053" t="str">
            <v>Disallowed Input VAT</v>
          </cell>
        </row>
        <row r="1054">
          <cell r="HZ1054" t="str">
            <v>80111101-61959101</v>
          </cell>
          <cell r="IA1054" t="str">
            <v>OCLP-COMMON</v>
          </cell>
          <cell r="IB1054" t="str">
            <v>GAE - Donation</v>
          </cell>
          <cell r="IF1054" t="str">
            <v>Others</v>
          </cell>
          <cell r="IG1054" t="str">
            <v>Donations, Contributions and Miscellaneous Expenses</v>
          </cell>
        </row>
        <row r="1055">
          <cell r="HZ1055" t="str">
            <v>80121101-61959201</v>
          </cell>
          <cell r="IA1055" t="str">
            <v>CORP RESOURCES DIV</v>
          </cell>
          <cell r="IB1055" t="str">
            <v>GAE - Miscellaneous Processing Fee</v>
          </cell>
          <cell r="IF1055" t="str">
            <v>Others</v>
          </cell>
          <cell r="IG1055" t="str">
            <v>Donations, Contributions and Miscellaneous Expenses</v>
          </cell>
        </row>
        <row r="1056">
          <cell r="HZ1056" t="str">
            <v>81121101-61959201</v>
          </cell>
          <cell r="IA1056" t="str">
            <v>CORP RESOURCES DIV</v>
          </cell>
          <cell r="IB1056" t="str">
            <v>GAE - Miscellaneous Processing Fee</v>
          </cell>
          <cell r="IF1056" t="str">
            <v>Others</v>
          </cell>
          <cell r="IG1056" t="str">
            <v>Donations, Contributions and Miscellaneous Expenses</v>
          </cell>
        </row>
        <row r="1057">
          <cell r="HZ1057" t="str">
            <v>80323101-61959201</v>
          </cell>
          <cell r="IA1057" t="str">
            <v>CC DEVELOPABLE</v>
          </cell>
          <cell r="IB1057" t="str">
            <v>GAE - Miscellaneous Processing Fee</v>
          </cell>
          <cell r="IF1057" t="str">
            <v>Others</v>
          </cell>
          <cell r="IG1057" t="str">
            <v>Donations, Contributions and Miscellaneous Expenses</v>
          </cell>
        </row>
        <row r="1058">
          <cell r="HZ1058" t="str">
            <v>81226101-61959201</v>
          </cell>
          <cell r="IA1058" t="str">
            <v>O-PARKLANE RETAIL</v>
          </cell>
          <cell r="IB1058" t="str">
            <v>GAE - Miscellaneous Processing Fee</v>
          </cell>
          <cell r="IF1058" t="str">
            <v>Others</v>
          </cell>
          <cell r="IG1058" t="str">
            <v>Donations, Contributions and Miscellaneous Expenses</v>
          </cell>
        </row>
        <row r="1059">
          <cell r="HZ1059" t="str">
            <v>90133102-61959201</v>
          </cell>
          <cell r="IA1059" t="str">
            <v>TAX ACCOUNTING</v>
          </cell>
          <cell r="IB1059" t="str">
            <v>GAE - Miscellaneous Processing Fee</v>
          </cell>
          <cell r="IF1059" t="str">
            <v>Others</v>
          </cell>
          <cell r="IG1059" t="str">
            <v>Donations, Contributions and Miscellaneous Expenses</v>
          </cell>
        </row>
        <row r="1060">
          <cell r="HZ1060" t="str">
            <v>81226101-61959202</v>
          </cell>
          <cell r="IA1060" t="str">
            <v>O-PARKLANE RETAIL</v>
          </cell>
          <cell r="IB1060" t="str">
            <v>GAE - Interest &amp; Penalty</v>
          </cell>
          <cell r="IF1060" t="str">
            <v>Others</v>
          </cell>
          <cell r="IG1060" t="str">
            <v>Others</v>
          </cell>
        </row>
        <row r="1061">
          <cell r="HZ1061" t="str">
            <v>81123102-52951101</v>
          </cell>
          <cell r="IA1061" t="str">
            <v>ADMIN SERVICES</v>
          </cell>
          <cell r="IB1061" t="str">
            <v>DOE - Postal &amp; Communication - Telephone</v>
          </cell>
          <cell r="IF1061" t="str">
            <v>Others</v>
          </cell>
          <cell r="IG1061" t="str">
            <v>Postal &amp; Communication</v>
          </cell>
        </row>
        <row r="1062">
          <cell r="HZ1062" t="str">
            <v>81111101-52951101</v>
          </cell>
          <cell r="IA1062" t="str">
            <v>CCC-COMMON</v>
          </cell>
          <cell r="IB1062" t="str">
            <v>DOE - Postal &amp; Communication - Telephone</v>
          </cell>
          <cell r="IF1062" t="str">
            <v>Others</v>
          </cell>
          <cell r="IG1062" t="str">
            <v>Postal &amp; Communication</v>
          </cell>
        </row>
        <row r="1063">
          <cell r="HZ1063" t="str">
            <v>81121101-52951102</v>
          </cell>
          <cell r="IA1063" t="str">
            <v>CORP RESOURCES DIV</v>
          </cell>
          <cell r="IB1063" t="str">
            <v>DOE - Postal &amp; Communication - Postal</v>
          </cell>
          <cell r="IF1063" t="str">
            <v>Others</v>
          </cell>
          <cell r="IG1063" t="str">
            <v>Postal &amp; Communication</v>
          </cell>
        </row>
        <row r="1064">
          <cell r="HZ1064" t="str">
            <v>81126101-52951102</v>
          </cell>
          <cell r="IA1064" t="str">
            <v>DCMG - LEASING</v>
          </cell>
          <cell r="IB1064" t="str">
            <v>DOE - Postal &amp; Communication - Postal</v>
          </cell>
          <cell r="IF1064" t="str">
            <v>Others</v>
          </cell>
          <cell r="IG1064" t="str">
            <v>Postal &amp; Communication</v>
          </cell>
        </row>
        <row r="1065">
          <cell r="HZ1065" t="str">
            <v>81133102-52951102</v>
          </cell>
          <cell r="IA1065" t="str">
            <v>TAX ACCOUNTING</v>
          </cell>
          <cell r="IB1065" t="str">
            <v>DOE - Postal &amp; Communication - Postal</v>
          </cell>
          <cell r="IF1065" t="str">
            <v>Others</v>
          </cell>
          <cell r="IG1065" t="str">
            <v>Postal &amp; Communication</v>
          </cell>
        </row>
        <row r="1066">
          <cell r="HZ1066" t="str">
            <v>81313102-52951102</v>
          </cell>
          <cell r="IA1066" t="str">
            <v>OFFICE LEASING</v>
          </cell>
          <cell r="IB1066" t="str">
            <v>DOE - Postal &amp; Communication - Postal</v>
          </cell>
          <cell r="IF1066" t="str">
            <v>Others</v>
          </cell>
          <cell r="IG1066" t="str">
            <v>Postal &amp; Communication</v>
          </cell>
        </row>
        <row r="1067">
          <cell r="HZ1067" t="str">
            <v>81124101-52951103</v>
          </cell>
          <cell r="IA1067" t="str">
            <v>IS &amp; IT</v>
          </cell>
          <cell r="IB1067" t="str">
            <v>DOE-Postal &amp; Communicatn - Leased Lines / Internet</v>
          </cell>
          <cell r="IF1067" t="str">
            <v>Others</v>
          </cell>
          <cell r="IG1067" t="str">
            <v>Postal &amp; Communication</v>
          </cell>
        </row>
        <row r="1068">
          <cell r="HZ1068" t="str">
            <v>81123102-61721101</v>
          </cell>
          <cell r="IA1068" t="str">
            <v>ADMIN SERVICES</v>
          </cell>
          <cell r="IB1068" t="str">
            <v>GAE - Postal &amp; Communication - Telephone</v>
          </cell>
          <cell r="IF1068" t="str">
            <v>Others</v>
          </cell>
          <cell r="IG1068" t="str">
            <v>Postal &amp; Communication</v>
          </cell>
        </row>
        <row r="1069">
          <cell r="HZ1069" t="str">
            <v>81124101-61721101</v>
          </cell>
          <cell r="IA1069" t="str">
            <v>IS &amp; IT</v>
          </cell>
          <cell r="IB1069" t="str">
            <v>GAE - Postal &amp; Communication - Telephone</v>
          </cell>
          <cell r="IF1069" t="str">
            <v>Others</v>
          </cell>
          <cell r="IG1069" t="str">
            <v>Postal &amp; Communication</v>
          </cell>
        </row>
        <row r="1070">
          <cell r="HZ1070" t="str">
            <v>81121101-61721103</v>
          </cell>
          <cell r="IA1070" t="str">
            <v>CORP RESOURCES DIV</v>
          </cell>
          <cell r="IB1070" t="str">
            <v>GAE - Postal &amp; Communication - Postal</v>
          </cell>
          <cell r="IF1070" t="str">
            <v>Others</v>
          </cell>
          <cell r="IG1070" t="str">
            <v>Postal &amp; Communication</v>
          </cell>
        </row>
        <row r="1071">
          <cell r="HZ1071" t="str">
            <v>81126101-61721103</v>
          </cell>
          <cell r="IA1071" t="str">
            <v>DCMG - LEASING</v>
          </cell>
          <cell r="IB1071" t="str">
            <v>GAE - Postal &amp; Communication - Postal</v>
          </cell>
          <cell r="IF1071" t="str">
            <v>Others</v>
          </cell>
          <cell r="IG1071" t="str">
            <v>Postal &amp; Communication</v>
          </cell>
        </row>
        <row r="1072">
          <cell r="HZ1072" t="str">
            <v>81313102-61721103</v>
          </cell>
          <cell r="IA1072" t="str">
            <v>OFFICE LEASING</v>
          </cell>
          <cell r="IB1072" t="str">
            <v>GAE - Postal &amp; Communication - Postal</v>
          </cell>
          <cell r="IF1072" t="str">
            <v>Others</v>
          </cell>
          <cell r="IG1072" t="str">
            <v>Postal &amp; Communication</v>
          </cell>
        </row>
        <row r="1073">
          <cell r="HZ1073" t="str">
            <v>81124101-61721105</v>
          </cell>
          <cell r="IA1073" t="str">
            <v>IS &amp; IT</v>
          </cell>
          <cell r="IB1073" t="str">
            <v>GAE - Postal &amp; Commctn - Leased Lines/ Internet</v>
          </cell>
          <cell r="IF1073" t="str">
            <v>Others</v>
          </cell>
          <cell r="IG1073" t="str">
            <v>Postal &amp; Communication</v>
          </cell>
        </row>
        <row r="1074">
          <cell r="HZ1074" t="str">
            <v>81121101-52071199</v>
          </cell>
          <cell r="IA1074" t="str">
            <v>CORP RESOURCES DIV</v>
          </cell>
          <cell r="IB1074" t="str">
            <v>DOE - Prof. Fees - Others</v>
          </cell>
          <cell r="IF1074" t="str">
            <v>Professional fees</v>
          </cell>
          <cell r="IG1074" t="str">
            <v>Internal and external consultants</v>
          </cell>
        </row>
        <row r="1075">
          <cell r="HZ1075" t="str">
            <v>81122101-52071199</v>
          </cell>
          <cell r="IA1075" t="str">
            <v>HUMAN RESOURCES</v>
          </cell>
          <cell r="IB1075" t="str">
            <v>DOE - Prof. Fees - Others</v>
          </cell>
          <cell r="IF1075" t="str">
            <v>Professional fees</v>
          </cell>
          <cell r="IG1075" t="str">
            <v>Internal and external consultants</v>
          </cell>
        </row>
        <row r="1076">
          <cell r="HZ1076" t="str">
            <v>81123102-52071199</v>
          </cell>
          <cell r="IA1076" t="str">
            <v>ADMIN SERVICES</v>
          </cell>
          <cell r="IB1076" t="str">
            <v>DOE - Prof. Fees - Others</v>
          </cell>
          <cell r="IF1076" t="str">
            <v>Professional fees</v>
          </cell>
          <cell r="IG1076" t="str">
            <v>Internal and external consultants</v>
          </cell>
        </row>
        <row r="1077">
          <cell r="HZ1077" t="str">
            <v>90111101-52071199</v>
          </cell>
          <cell r="IA1077" t="str">
            <v>OHI-COMMON</v>
          </cell>
          <cell r="IB1077" t="str">
            <v>DOE - Prof. Fees - Others</v>
          </cell>
          <cell r="IF1077" t="str">
            <v>Professional fees</v>
          </cell>
          <cell r="IG1077" t="str">
            <v>Internal and external consultants</v>
          </cell>
        </row>
        <row r="1078">
          <cell r="HZ1078" t="str">
            <v>90122101-52071199</v>
          </cell>
          <cell r="IA1078" t="str">
            <v>HUMAN RESOURCES</v>
          </cell>
          <cell r="IB1078" t="str">
            <v>DOE - Prof. Fees - Others</v>
          </cell>
          <cell r="IF1078" t="str">
            <v>Professional fees</v>
          </cell>
          <cell r="IG1078" t="str">
            <v>Internal and external consultants</v>
          </cell>
        </row>
        <row r="1079">
          <cell r="HZ1079" t="str">
            <v>80121101-61071099</v>
          </cell>
          <cell r="IA1079" t="str">
            <v>CORP RESOURCES DIV</v>
          </cell>
          <cell r="IB1079" t="str">
            <v>GAE - Prof. Fees - Others</v>
          </cell>
          <cell r="IF1079" t="str">
            <v>Professional fees</v>
          </cell>
          <cell r="IG1079" t="str">
            <v>Internal and external consultants</v>
          </cell>
        </row>
        <row r="1080">
          <cell r="HZ1080" t="str">
            <v>81121101-61071099</v>
          </cell>
          <cell r="IA1080" t="str">
            <v>CORP RESOURCES DIV</v>
          </cell>
          <cell r="IB1080" t="str">
            <v>GAE - Prof. Fees - Others</v>
          </cell>
          <cell r="IF1080" t="str">
            <v>Professional fees</v>
          </cell>
          <cell r="IG1080" t="str">
            <v>Internal and external consultants</v>
          </cell>
        </row>
        <row r="1081">
          <cell r="HZ1081" t="str">
            <v>81134102-52071101</v>
          </cell>
          <cell r="IA1081" t="str">
            <v>CORPORATE ACCOUNTING</v>
          </cell>
          <cell r="IB1081" t="str">
            <v>DOE - Professional Fees</v>
          </cell>
          <cell r="IF1081" t="str">
            <v>Professional fees</v>
          </cell>
          <cell r="IG1081" t="str">
            <v>Internal and external consultants</v>
          </cell>
        </row>
        <row r="1082">
          <cell r="HZ1082" t="str">
            <v>81212102-52071101</v>
          </cell>
          <cell r="IA1082" t="str">
            <v>OMD B&amp;C</v>
          </cell>
          <cell r="IB1082" t="str">
            <v>DOE - Professional Fees</v>
          </cell>
          <cell r="IF1082" t="str">
            <v>Professional fees</v>
          </cell>
          <cell r="IG1082" t="str">
            <v>Internal and external consultants</v>
          </cell>
        </row>
        <row r="1083">
          <cell r="HZ1083" t="str">
            <v>90134102-52071101</v>
          </cell>
          <cell r="IA1083" t="str">
            <v>CORPORATE ACCOUNTING</v>
          </cell>
          <cell r="IB1083" t="str">
            <v>DOE - Professional Fees</v>
          </cell>
          <cell r="IF1083" t="str">
            <v>Professional fees</v>
          </cell>
          <cell r="IG1083" t="str">
            <v>Internal and external consultants</v>
          </cell>
        </row>
        <row r="1084">
          <cell r="HZ1084" t="str">
            <v>81212102-61071001</v>
          </cell>
          <cell r="IA1084" t="str">
            <v>OMD B&amp;C</v>
          </cell>
          <cell r="IB1084" t="str">
            <v>GAE - Prof. Fees - Audit</v>
          </cell>
          <cell r="IF1084" t="str">
            <v>Professional fees</v>
          </cell>
          <cell r="IG1084" t="str">
            <v>Internal and external consultants</v>
          </cell>
        </row>
        <row r="1085">
          <cell r="HZ1085" t="str">
            <v>81123101-52071102</v>
          </cell>
          <cell r="IA1085" t="str">
            <v>LEGAL</v>
          </cell>
          <cell r="IB1085" t="str">
            <v>DOE - Prof. Fees - Legal</v>
          </cell>
          <cell r="IF1085" t="str">
            <v>Professional fees</v>
          </cell>
          <cell r="IG1085" t="str">
            <v>Open Cases</v>
          </cell>
        </row>
        <row r="1086">
          <cell r="HZ1086" t="str">
            <v>90123101-52071102</v>
          </cell>
          <cell r="IA1086" t="str">
            <v>LEGAL</v>
          </cell>
          <cell r="IB1086" t="str">
            <v>DOE - Prof. Fees - Legal</v>
          </cell>
          <cell r="IF1086" t="str">
            <v>Professional fees</v>
          </cell>
          <cell r="IG1086" t="str">
            <v>Open Cases</v>
          </cell>
        </row>
        <row r="1087">
          <cell r="HZ1087" t="str">
            <v>90111101-52071103</v>
          </cell>
          <cell r="IA1087" t="str">
            <v>OHI-COMMON</v>
          </cell>
          <cell r="IB1087" t="str">
            <v>DOE - Prof. Fees - Directors</v>
          </cell>
          <cell r="IF1087" t="str">
            <v>Professional fees</v>
          </cell>
          <cell r="IG1087" t="str">
            <v>BOD</v>
          </cell>
        </row>
        <row r="1088">
          <cell r="HZ1088" t="str">
            <v>81122101-52071104</v>
          </cell>
          <cell r="IA1088" t="str">
            <v>HUMAN RESOURCES</v>
          </cell>
          <cell r="IB1088" t="str">
            <v>DOE - Prof. Fees - Consultants</v>
          </cell>
          <cell r="IF1088" t="str">
            <v>Professional fees</v>
          </cell>
          <cell r="IG1088" t="str">
            <v>Internal and external consultants</v>
          </cell>
        </row>
        <row r="1089">
          <cell r="HZ1089" t="str">
            <v>81133102-52071104</v>
          </cell>
          <cell r="IA1089" t="str">
            <v>TAX ACCOUNTING</v>
          </cell>
          <cell r="IB1089" t="str">
            <v>DOE - Prof. Fees - Consultants</v>
          </cell>
          <cell r="IF1089" t="str">
            <v>Professional fees</v>
          </cell>
          <cell r="IG1089" t="str">
            <v>Internal and external consultants</v>
          </cell>
        </row>
        <row r="1090">
          <cell r="HZ1090" t="str">
            <v>81212102-52071104</v>
          </cell>
          <cell r="IA1090" t="str">
            <v>OMD B&amp;C</v>
          </cell>
          <cell r="IB1090" t="str">
            <v>DOE - Prof. Fees - Consultants</v>
          </cell>
          <cell r="IF1090" t="str">
            <v>Professional fees</v>
          </cell>
          <cell r="IG1090" t="str">
            <v>Internal and external consultants</v>
          </cell>
        </row>
        <row r="1091">
          <cell r="HZ1091" t="str">
            <v>81213102-52071104</v>
          </cell>
          <cell r="IA1091" t="str">
            <v>OMD MARKETING</v>
          </cell>
          <cell r="IB1091" t="str">
            <v>DOE - Prof. Fees - Consultants</v>
          </cell>
          <cell r="IF1091" t="str">
            <v>Professional fees</v>
          </cell>
          <cell r="IG1091" t="str">
            <v>Internal and external consultants</v>
          </cell>
        </row>
        <row r="1092">
          <cell r="HZ1092" t="str">
            <v>81315102-52071104</v>
          </cell>
          <cell r="IA1092" t="str">
            <v>OFFICE/ESTATES BD/PD</v>
          </cell>
          <cell r="IB1092" t="str">
            <v>DOE - Prof. Fees - Consultants</v>
          </cell>
          <cell r="IF1092" t="str">
            <v>Professional fees</v>
          </cell>
          <cell r="IG1092" t="str">
            <v>Internal and external consultants</v>
          </cell>
        </row>
        <row r="1093">
          <cell r="HZ1093" t="str">
            <v>90122101-52071104</v>
          </cell>
          <cell r="IA1093" t="str">
            <v>HUMAN RESOURCES</v>
          </cell>
          <cell r="IB1093" t="str">
            <v>DOE - Prof. Fees - Consultants</v>
          </cell>
          <cell r="IF1093" t="str">
            <v>Professional fees</v>
          </cell>
          <cell r="IG1093" t="str">
            <v>Internal and external consultants</v>
          </cell>
        </row>
        <row r="1094">
          <cell r="HZ1094" t="str">
            <v>90133102-52071104</v>
          </cell>
          <cell r="IA1094" t="str">
            <v>TAX ACCOUNTING</v>
          </cell>
          <cell r="IB1094" t="str">
            <v>DOE - Prof. Fees - Consultants</v>
          </cell>
          <cell r="IF1094" t="str">
            <v>Professional fees</v>
          </cell>
          <cell r="IG1094" t="str">
            <v>Internal and external consultants</v>
          </cell>
        </row>
        <row r="1095">
          <cell r="HZ1095" t="str">
            <v>81212102-61071004</v>
          </cell>
          <cell r="IA1095" t="str">
            <v>OMD B&amp;C</v>
          </cell>
          <cell r="IB1095" t="str">
            <v>GAE - Prof. Fees - Consultants</v>
          </cell>
          <cell r="IF1095" t="str">
            <v>Professional fees</v>
          </cell>
          <cell r="IG1095" t="str">
            <v>Internal and external consultants</v>
          </cell>
        </row>
        <row r="1096">
          <cell r="HZ1096" t="str">
            <v>81213102-61071004</v>
          </cell>
          <cell r="IA1096" t="str">
            <v>OMD MARKETING</v>
          </cell>
          <cell r="IB1096" t="str">
            <v>GAE - Prof. Fees - Consultants</v>
          </cell>
          <cell r="IF1096" t="str">
            <v>Professional fees</v>
          </cell>
          <cell r="IG1096" t="str">
            <v>Internal and external consultants</v>
          </cell>
        </row>
        <row r="1097">
          <cell r="HZ1097" t="str">
            <v>81315102-61071004</v>
          </cell>
          <cell r="IA1097" t="str">
            <v>OFFICE/ESTATES BD/PD</v>
          </cell>
          <cell r="IB1097" t="str">
            <v>GAE - Prof. Fees - Consultants</v>
          </cell>
          <cell r="IF1097" t="str">
            <v>Professional fees</v>
          </cell>
          <cell r="IG1097" t="str">
            <v>Internal and external consultants</v>
          </cell>
        </row>
        <row r="1098">
          <cell r="HZ1098" t="str">
            <v>81133102-52011104</v>
          </cell>
          <cell r="IA1098" t="str">
            <v>TAX ACCOUNTING</v>
          </cell>
          <cell r="IB1098" t="str">
            <v>DOE - Rent - Others</v>
          </cell>
          <cell r="IF1098" t="str">
            <v>Others</v>
          </cell>
          <cell r="IG1098" t="str">
            <v>Rent</v>
          </cell>
        </row>
        <row r="1099">
          <cell r="HZ1099" t="str">
            <v>81319101-52011104</v>
          </cell>
          <cell r="IA1099" t="str">
            <v>OMD OPERATIONS</v>
          </cell>
          <cell r="IB1099" t="str">
            <v>DOE - Rent - Others</v>
          </cell>
          <cell r="IF1099" t="str">
            <v>Others</v>
          </cell>
          <cell r="IG1099" t="str">
            <v>Rent</v>
          </cell>
        </row>
        <row r="1100">
          <cell r="HZ1100" t="str">
            <v>80133102-61011101</v>
          </cell>
          <cell r="IA1100" t="str">
            <v>TAX ACCOUNTING</v>
          </cell>
          <cell r="IB1100" t="str">
            <v>GAE - Rent - Furniture, Fixtures &amp; Equipment</v>
          </cell>
          <cell r="IF1100" t="str">
            <v>Others</v>
          </cell>
          <cell r="IG1100" t="str">
            <v>Rent</v>
          </cell>
        </row>
        <row r="1101">
          <cell r="HZ1101" t="str">
            <v>80316101-61011101</v>
          </cell>
          <cell r="IA1101" t="str">
            <v>DESIGN &amp; PLANNING</v>
          </cell>
          <cell r="IB1101" t="str">
            <v>GAE - Rent - Furniture, Fixtures &amp; Equipment</v>
          </cell>
          <cell r="IF1101" t="str">
            <v>Others</v>
          </cell>
          <cell r="IG1101" t="str">
            <v>Rent</v>
          </cell>
        </row>
        <row r="1102">
          <cell r="HZ1102" t="str">
            <v>81133102-61011101</v>
          </cell>
          <cell r="IA1102" t="str">
            <v>TAX ACCOUNTING</v>
          </cell>
          <cell r="IB1102" t="str">
            <v>GAE - Rent - Furniture, Fixtures &amp; Equipment</v>
          </cell>
          <cell r="IF1102" t="str">
            <v>Others</v>
          </cell>
          <cell r="IG1102" t="str">
            <v>Rent</v>
          </cell>
        </row>
        <row r="1103">
          <cell r="HZ1103" t="str">
            <v>81319101-61011101</v>
          </cell>
          <cell r="IA1103" t="str">
            <v>OMD OPERATIONS</v>
          </cell>
          <cell r="IB1103" t="str">
            <v>GAE - Rent - Furniture, Fixtures &amp; Equipment</v>
          </cell>
          <cell r="IF1103" t="str">
            <v>Others</v>
          </cell>
          <cell r="IG1103" t="str">
            <v>Rent</v>
          </cell>
        </row>
        <row r="1104">
          <cell r="HZ1104" t="str">
            <v>81124101-52061101</v>
          </cell>
          <cell r="IA1104" t="str">
            <v>IS &amp; IT</v>
          </cell>
          <cell r="IB1104" t="str">
            <v>DOE - Repairs &amp; Maint. - Furniture &amp; Fixtures</v>
          </cell>
          <cell r="IF1104" t="str">
            <v>Others</v>
          </cell>
          <cell r="IG1104" t="str">
            <v>Repairs &amp; Maintenance</v>
          </cell>
        </row>
        <row r="1105">
          <cell r="HZ1105" t="str">
            <v>81319101-52061101</v>
          </cell>
          <cell r="IA1105" t="str">
            <v>OMD OPERATIONS</v>
          </cell>
          <cell r="IB1105" t="str">
            <v>DOE - Repairs &amp; Maint. - Furniture &amp; Fixtures</v>
          </cell>
          <cell r="IF1105" t="str">
            <v>Others</v>
          </cell>
          <cell r="IG1105" t="str">
            <v>Repairs &amp; Maintenance</v>
          </cell>
        </row>
        <row r="1106">
          <cell r="HZ1106" t="str">
            <v>81319101-52061105</v>
          </cell>
          <cell r="IA1106" t="str">
            <v>OMD OPERATIONS</v>
          </cell>
          <cell r="IB1106" t="str">
            <v>DOE - Repairs &amp; Maint. - Transportation</v>
          </cell>
          <cell r="IF1106" t="str">
            <v>Others</v>
          </cell>
          <cell r="IG1106" t="str">
            <v>Repairs &amp; Maintenance</v>
          </cell>
        </row>
        <row r="1107">
          <cell r="HZ1107" t="str">
            <v>80124101-61061102</v>
          </cell>
          <cell r="IA1107" t="str">
            <v>IS &amp; IT</v>
          </cell>
          <cell r="IB1107" t="str">
            <v>GAE - Repairs&amp; Maint - Furniture, Fixture &amp; Equip</v>
          </cell>
          <cell r="IF1107" t="str">
            <v>Others</v>
          </cell>
          <cell r="IG1107" t="str">
            <v>Repairs &amp; Maintenance</v>
          </cell>
        </row>
        <row r="1108">
          <cell r="HZ1108" t="str">
            <v>81124101-61061102</v>
          </cell>
          <cell r="IA1108" t="str">
            <v>IS &amp; IT</v>
          </cell>
          <cell r="IB1108" t="str">
            <v>GAE - Repairs&amp; Maint - Furniture, Fixture &amp; Equip</v>
          </cell>
          <cell r="IF1108" t="str">
            <v>Others</v>
          </cell>
          <cell r="IG1108" t="str">
            <v>Repairs &amp; Maintenance</v>
          </cell>
        </row>
        <row r="1109">
          <cell r="HZ1109" t="str">
            <v>81319101-61061102</v>
          </cell>
          <cell r="IA1109" t="str">
            <v>OMD OPERATIONS</v>
          </cell>
          <cell r="IB1109" t="str">
            <v>GAE - Repairs&amp; Maint - Furniture, Fixture &amp; Equip</v>
          </cell>
          <cell r="IF1109" t="str">
            <v>Others</v>
          </cell>
          <cell r="IG1109" t="str">
            <v>Repairs &amp; Maintenance</v>
          </cell>
        </row>
        <row r="1110">
          <cell r="HZ1110" t="str">
            <v>81222101-61061104</v>
          </cell>
          <cell r="IA1110" t="str">
            <v>TIENDESITAS</v>
          </cell>
          <cell r="IB1110" t="str">
            <v>GAE - Repairs&amp; Maint. - Transportation Equipment</v>
          </cell>
          <cell r="IF1110" t="str">
            <v>Others</v>
          </cell>
          <cell r="IG1110" t="str">
            <v>Repairs &amp; Maintenance -  Vehicle</v>
          </cell>
        </row>
        <row r="1111">
          <cell r="HZ1111" t="str">
            <v>80123102-61061114</v>
          </cell>
          <cell r="IA1111" t="str">
            <v>ADMIN SERVICES</v>
          </cell>
          <cell r="IB1111" t="str">
            <v>GAE - R&amp;M - Transportation Equipment - Restricted</v>
          </cell>
          <cell r="IF1111" t="str">
            <v>Others</v>
          </cell>
          <cell r="IG1111" t="str">
            <v>Repairs &amp; Maintenance</v>
          </cell>
        </row>
        <row r="1112">
          <cell r="HZ1112" t="str">
            <v>81132101-52111101</v>
          </cell>
          <cell r="IA1112" t="str">
            <v>TREASURY OPERATIONS</v>
          </cell>
          <cell r="IB1112" t="str">
            <v>DOE - Supplies</v>
          </cell>
          <cell r="IF1112" t="str">
            <v>Others</v>
          </cell>
          <cell r="IG1112" t="str">
            <v>Supplies</v>
          </cell>
        </row>
        <row r="1113">
          <cell r="HZ1113" t="str">
            <v>90123102-52111101</v>
          </cell>
          <cell r="IA1113" t="str">
            <v>ADMIN SERVICES</v>
          </cell>
          <cell r="IB1113" t="str">
            <v>DOE - Supplies</v>
          </cell>
          <cell r="IF1113" t="str">
            <v>Others</v>
          </cell>
          <cell r="IG1113" t="str">
            <v>Supplies</v>
          </cell>
        </row>
        <row r="1114">
          <cell r="HZ1114" t="str">
            <v>81214101-52111101</v>
          </cell>
          <cell r="IA1114" t="str">
            <v>OMD LEASING</v>
          </cell>
          <cell r="IB1114" t="str">
            <v>DOE - Supplies</v>
          </cell>
          <cell r="IF1114" t="str">
            <v>Others</v>
          </cell>
          <cell r="IG1114" t="str">
            <v>Supplies</v>
          </cell>
        </row>
        <row r="1115">
          <cell r="HZ1115" t="str">
            <v>81319101-52111101</v>
          </cell>
          <cell r="IA1115" t="str">
            <v>OMD OPERATIONS</v>
          </cell>
          <cell r="IB1115" t="str">
            <v>DOE - Supplies</v>
          </cell>
          <cell r="IF1115" t="str">
            <v>Others</v>
          </cell>
          <cell r="IG1115" t="str">
            <v>Supplies</v>
          </cell>
        </row>
        <row r="1116">
          <cell r="HZ1116" t="str">
            <v>81123102-52111101</v>
          </cell>
          <cell r="IA1116" t="str">
            <v>ADMIN SERVICES</v>
          </cell>
          <cell r="IB1116" t="str">
            <v>DOE - Supplies</v>
          </cell>
          <cell r="IF1116" t="str">
            <v>Others</v>
          </cell>
          <cell r="IG1116" t="str">
            <v>Supplies</v>
          </cell>
        </row>
        <row r="1117">
          <cell r="HZ1117" t="str">
            <v>90111101-52111101</v>
          </cell>
          <cell r="IA1117" t="str">
            <v>OHI-COMMON</v>
          </cell>
          <cell r="IB1117" t="str">
            <v>DOE - Supplies</v>
          </cell>
          <cell r="IF1117" t="str">
            <v>Others</v>
          </cell>
          <cell r="IG1117" t="str">
            <v>Supplies</v>
          </cell>
        </row>
        <row r="1118">
          <cell r="HZ1118" t="str">
            <v>90122101-52111101</v>
          </cell>
          <cell r="IA1118" t="str">
            <v>HUMAN RESOURCES</v>
          </cell>
          <cell r="IB1118" t="str">
            <v>DOE - Supplies</v>
          </cell>
          <cell r="IF1118" t="str">
            <v>Employee Benefits</v>
          </cell>
          <cell r="IG1118" t="str">
            <v>Employee Programs/Perks</v>
          </cell>
        </row>
        <row r="1119">
          <cell r="HZ1119" t="str">
            <v>81319101-52111102</v>
          </cell>
          <cell r="IA1119" t="str">
            <v>OMD OPERATIONS</v>
          </cell>
          <cell r="IB1119" t="str">
            <v>DOE - Low Value Assets</v>
          </cell>
          <cell r="IF1119" t="str">
            <v>Others</v>
          </cell>
          <cell r="IG1119" t="str">
            <v>Supplies</v>
          </cell>
        </row>
        <row r="1120">
          <cell r="HZ1120" t="str">
            <v>81124101-52111102</v>
          </cell>
          <cell r="IA1120" t="str">
            <v>IS &amp; IT</v>
          </cell>
          <cell r="IB1120" t="str">
            <v>DOE - Low Value Assets</v>
          </cell>
          <cell r="IF1120" t="str">
            <v>Others</v>
          </cell>
          <cell r="IG1120" t="str">
            <v>Supplies</v>
          </cell>
        </row>
        <row r="1121">
          <cell r="HZ1121" t="str">
            <v>81319101-61111101</v>
          </cell>
          <cell r="IA1121" t="str">
            <v>OMD OPERATIONS</v>
          </cell>
          <cell r="IB1121" t="str">
            <v>GAE - Office Supplies</v>
          </cell>
          <cell r="IF1121" t="str">
            <v>Others</v>
          </cell>
          <cell r="IG1121" t="str">
            <v>Supplies</v>
          </cell>
        </row>
        <row r="1122">
          <cell r="HZ1122" t="str">
            <v>80122101-61111101</v>
          </cell>
          <cell r="IA1122" t="str">
            <v>HUMAN RESOURCES</v>
          </cell>
          <cell r="IB1122" t="str">
            <v>GAE - Office Supplies</v>
          </cell>
          <cell r="IF1122" t="str">
            <v>Employee Benefits</v>
          </cell>
          <cell r="IG1122" t="str">
            <v>Employee Programs/Perks</v>
          </cell>
        </row>
        <row r="1123">
          <cell r="HZ1123" t="str">
            <v>81319101-61111102</v>
          </cell>
          <cell r="IA1123" t="str">
            <v>OMD OPERATIONS</v>
          </cell>
          <cell r="IB1123" t="str">
            <v>GAE - Low Value Assets</v>
          </cell>
          <cell r="IF1123" t="str">
            <v>Others</v>
          </cell>
          <cell r="IG1123" t="str">
            <v>Supplies</v>
          </cell>
        </row>
        <row r="1124">
          <cell r="HZ1124" t="str">
            <v>81319101-61111111</v>
          </cell>
          <cell r="IA1124" t="str">
            <v>OMD OPERATIONS</v>
          </cell>
          <cell r="IB1124" t="str">
            <v>GAE - Office Supplies - Restricted</v>
          </cell>
          <cell r="IF1124" t="str">
            <v>Others</v>
          </cell>
          <cell r="IG1124" t="str">
            <v>Supplies</v>
          </cell>
        </row>
        <row r="1125">
          <cell r="HZ1125" t="str">
            <v>80123102-61111112</v>
          </cell>
          <cell r="IA1125" t="str">
            <v>ADMIN SERVICES</v>
          </cell>
          <cell r="IB1125" t="str">
            <v>GAE - Low Value Assets - Restricted</v>
          </cell>
          <cell r="IF1125" t="str">
            <v>Others</v>
          </cell>
          <cell r="IG1125" t="str">
            <v>Supplies</v>
          </cell>
        </row>
        <row r="1126">
          <cell r="HZ1126" t="str">
            <v>81124101-52061109</v>
          </cell>
          <cell r="IA1126" t="str">
            <v>IS &amp; IT</v>
          </cell>
          <cell r="IB1126" t="str">
            <v>DOE - Repairs &amp; Maint. - IT System &amp; Equipment</v>
          </cell>
          <cell r="IF1126" t="str">
            <v>Systems &amp; Applications</v>
          </cell>
        </row>
        <row r="1127">
          <cell r="HZ1127" t="str">
            <v>81124101-61061105</v>
          </cell>
          <cell r="IA1127" t="str">
            <v>IS &amp; IT</v>
          </cell>
          <cell r="IB1127" t="str">
            <v>GAE - Repairs&amp; Maint. - IT System &amp; Equipment</v>
          </cell>
          <cell r="IF1127" t="str">
            <v>Systems &amp; Applications</v>
          </cell>
        </row>
        <row r="1128">
          <cell r="HZ1128" t="str">
            <v>80123101-61061105</v>
          </cell>
          <cell r="IA1128" t="str">
            <v>LEGAL</v>
          </cell>
          <cell r="IB1128" t="str">
            <v>GAE - Repairs&amp; Maint. - IT System &amp; Equipment</v>
          </cell>
          <cell r="IF1128" t="str">
            <v>Systems &amp; Applications</v>
          </cell>
        </row>
        <row r="1129">
          <cell r="HZ1129" t="str">
            <v>80123102-61061198</v>
          </cell>
          <cell r="IA1129" t="str">
            <v>ADMIN SERVICES</v>
          </cell>
          <cell r="IB1129" t="str">
            <v>GAE - R&amp;M - Others - Restricted</v>
          </cell>
          <cell r="IF1129" t="str">
            <v>Systems &amp; Applications</v>
          </cell>
        </row>
        <row r="1130">
          <cell r="HZ1130" t="str">
            <v>90122101-61711102</v>
          </cell>
          <cell r="IA1130" t="str">
            <v>HUMAN RESOURCES</v>
          </cell>
          <cell r="IB1130" t="str">
            <v>GAE- Systems &amp; Applications</v>
          </cell>
          <cell r="IF1130" t="str">
            <v>Systems &amp; Applications</v>
          </cell>
        </row>
        <row r="1131">
          <cell r="HZ1131" t="str">
            <v>81124101-52952103</v>
          </cell>
          <cell r="IA1131" t="str">
            <v>IS &amp; IT</v>
          </cell>
          <cell r="IB1131" t="str">
            <v>DOE - Systems and Applications</v>
          </cell>
          <cell r="IF1131" t="str">
            <v>Systems &amp; Applications</v>
          </cell>
        </row>
        <row r="1132">
          <cell r="HZ1132" t="str">
            <v>81111101-52031103</v>
          </cell>
          <cell r="IA1132" t="str">
            <v>CCC-COMMON</v>
          </cell>
          <cell r="IB1132" t="str">
            <v>DOE - Taxes &amp; Licenses - DST</v>
          </cell>
          <cell r="IF1132" t="str">
            <v>Taxes &amp; Licenses</v>
          </cell>
        </row>
        <row r="1133">
          <cell r="HZ1133" t="str">
            <v>81134102-52031103</v>
          </cell>
          <cell r="IA1133" t="str">
            <v>CORPORATE ACCOUNTING</v>
          </cell>
          <cell r="IB1133" t="str">
            <v>DOE - Taxes &amp; Licenses - DST</v>
          </cell>
          <cell r="IF1133" t="str">
            <v>Taxes &amp; Licenses</v>
          </cell>
        </row>
        <row r="1134">
          <cell r="HZ1134" t="str">
            <v>80111101-52031103</v>
          </cell>
          <cell r="IA1134" t="str">
            <v>OCLP-COMMON</v>
          </cell>
          <cell r="IB1134" t="str">
            <v>DOE - Taxes &amp; Licenses - DST</v>
          </cell>
          <cell r="IF1134" t="str">
            <v>Taxes &amp; Licenses</v>
          </cell>
        </row>
        <row r="1135">
          <cell r="HZ1135" t="str">
            <v>81134102-61031101</v>
          </cell>
          <cell r="IA1135" t="str">
            <v>CORPORATE ACCOUNTING</v>
          </cell>
          <cell r="IB1135" t="str">
            <v>GAE - Taxes &amp; Licenses - DST</v>
          </cell>
          <cell r="IF1135" t="str">
            <v>Taxes &amp; Licenses</v>
          </cell>
        </row>
        <row r="1136">
          <cell r="HZ1136" t="str">
            <v>81111204-52081101</v>
          </cell>
          <cell r="IA1136" t="str">
            <v>OFFICE OF THE CFO</v>
          </cell>
          <cell r="IB1136" t="str">
            <v>DOE - Transportation and Travel - Local &amp; Foreign</v>
          </cell>
          <cell r="IF1136" t="str">
            <v>Others</v>
          </cell>
          <cell r="IG1136" t="str">
            <v>Transportation &amp; Travel</v>
          </cell>
        </row>
        <row r="1137">
          <cell r="HZ1137" t="str">
            <v>90133102-52081101</v>
          </cell>
          <cell r="IA1137" t="str">
            <v>TAX ACCOUNTING</v>
          </cell>
          <cell r="IB1137" t="str">
            <v>DOE - Transportation and Travel - Local &amp; Foreign</v>
          </cell>
          <cell r="IF1137" t="str">
            <v>Others</v>
          </cell>
          <cell r="IG1137" t="str">
            <v>Transportation &amp; Travel</v>
          </cell>
        </row>
        <row r="1138">
          <cell r="HZ1138" t="str">
            <v>81126101-52081101</v>
          </cell>
          <cell r="IA1138" t="str">
            <v>DCMG - LEASING</v>
          </cell>
          <cell r="IB1138" t="str">
            <v>DOE - Transportation and Travel - Local &amp; Foreign</v>
          </cell>
          <cell r="IF1138" t="str">
            <v>Others</v>
          </cell>
          <cell r="IG1138" t="str">
            <v>Transportation &amp; Travel</v>
          </cell>
        </row>
        <row r="1139">
          <cell r="HZ1139" t="str">
            <v>81133102-52081101</v>
          </cell>
          <cell r="IA1139" t="str">
            <v>TAX ACCOUNTING</v>
          </cell>
          <cell r="IB1139" t="str">
            <v>DOE - Transportation and Travel - Local &amp; Foreign</v>
          </cell>
          <cell r="IF1139" t="str">
            <v>Others</v>
          </cell>
          <cell r="IG1139" t="str">
            <v>Transportation &amp; Travel</v>
          </cell>
        </row>
        <row r="1140">
          <cell r="HZ1140" t="str">
            <v>81134102-52081101</v>
          </cell>
          <cell r="IA1140" t="str">
            <v>CORPORATE ACCOUNTING</v>
          </cell>
          <cell r="IB1140" t="str">
            <v>DOE - Transportation and Travel - Local &amp; Foreign</v>
          </cell>
          <cell r="IF1140" t="str">
            <v>Others</v>
          </cell>
          <cell r="IG1140" t="str">
            <v>Transportation &amp; Travel</v>
          </cell>
        </row>
        <row r="1141">
          <cell r="HZ1141" t="str">
            <v>81319101-52081101</v>
          </cell>
          <cell r="IA1141" t="str">
            <v>OMD OPERATIONS</v>
          </cell>
          <cell r="IB1141" t="str">
            <v>DOE - Transportation and Travel - Local &amp; Foreign</v>
          </cell>
          <cell r="IF1141" t="str">
            <v>Others</v>
          </cell>
          <cell r="IG1141" t="str">
            <v>Transportation &amp; Travel</v>
          </cell>
        </row>
        <row r="1142">
          <cell r="HZ1142" t="str">
            <v>80121101-61081101</v>
          </cell>
          <cell r="IA1142" t="str">
            <v>CORP RESOURCES DIV</v>
          </cell>
          <cell r="IB1142" t="str">
            <v>GAE - Transportation</v>
          </cell>
          <cell r="IF1142" t="str">
            <v>Others</v>
          </cell>
          <cell r="IG1142" t="str">
            <v>Transportation &amp; Travel</v>
          </cell>
        </row>
        <row r="1143">
          <cell r="HZ1143" t="str">
            <v>80134102-61081101</v>
          </cell>
          <cell r="IA1143" t="str">
            <v>CORPORATE ACCOUNTING</v>
          </cell>
          <cell r="IB1143" t="str">
            <v>GAE - Transportation</v>
          </cell>
          <cell r="IF1143" t="str">
            <v>Others</v>
          </cell>
          <cell r="IG1143" t="str">
            <v>Transportation &amp; Travel</v>
          </cell>
        </row>
        <row r="1144">
          <cell r="HZ1144" t="str">
            <v>81126101-61081101</v>
          </cell>
          <cell r="IA1144" t="str">
            <v>DCMG - LEASING</v>
          </cell>
          <cell r="IB1144" t="str">
            <v>GAE - Transportation</v>
          </cell>
          <cell r="IF1144" t="str">
            <v>Others</v>
          </cell>
          <cell r="IG1144" t="str">
            <v>Transportation &amp; Travel</v>
          </cell>
        </row>
        <row r="1145">
          <cell r="HZ1145" t="str">
            <v>81134102-61081101</v>
          </cell>
          <cell r="IA1145" t="str">
            <v>CORPORATE ACCOUNTING</v>
          </cell>
          <cell r="IB1145" t="str">
            <v>GAE - Transportation</v>
          </cell>
          <cell r="IF1145" t="str">
            <v>Others</v>
          </cell>
          <cell r="IG1145" t="str">
            <v>Transportation &amp; Travel</v>
          </cell>
        </row>
        <row r="1146">
          <cell r="HZ1146" t="str">
            <v>81319101-61081101</v>
          </cell>
          <cell r="IA1146" t="str">
            <v>OMD OPERATIONS</v>
          </cell>
          <cell r="IB1146" t="str">
            <v>GAE - Transportation</v>
          </cell>
          <cell r="IF1146" t="str">
            <v>Others</v>
          </cell>
          <cell r="IG1146" t="str">
            <v>Transportation &amp; Travel</v>
          </cell>
        </row>
        <row r="1147">
          <cell r="HZ1147" t="str">
            <v>80111204-61081102</v>
          </cell>
          <cell r="IA1147" t="str">
            <v>OFFICE OF THE CFO</v>
          </cell>
          <cell r="IB1147" t="str">
            <v>GAE - Travel - Local</v>
          </cell>
          <cell r="IF1147" t="str">
            <v>Others</v>
          </cell>
          <cell r="IG1147" t="str">
            <v>Transportation &amp; Travel</v>
          </cell>
        </row>
        <row r="1148">
          <cell r="HZ1148" t="str">
            <v>81111204-61081102</v>
          </cell>
          <cell r="IA1148" t="str">
            <v>OFFICE OF THE CFO</v>
          </cell>
          <cell r="IB1148" t="str">
            <v>GAE - Travel - Local</v>
          </cell>
          <cell r="IF1148" t="str">
            <v>Others</v>
          </cell>
          <cell r="IG1148" t="str">
            <v>Transportation &amp; Travel</v>
          </cell>
        </row>
        <row r="1149">
          <cell r="HZ1149" t="str">
            <v>81111204-61081103</v>
          </cell>
          <cell r="IA1149" t="str">
            <v>OFFICE OF THE CFO</v>
          </cell>
          <cell r="IB1149" t="str">
            <v>GAE - Travel - Foreign</v>
          </cell>
          <cell r="IF1149" t="str">
            <v>Others</v>
          </cell>
          <cell r="IG1149" t="str">
            <v>Transportation &amp; Travel</v>
          </cell>
        </row>
        <row r="1150">
          <cell r="HZ1150" t="str">
            <v>80111101-52031101</v>
          </cell>
          <cell r="IA1150" t="str">
            <v>OCLP-COMMON</v>
          </cell>
          <cell r="IB1150" t="str">
            <v>DOE - Taxes &amp; Licenses - LBT</v>
          </cell>
          <cell r="IF1150" t="str">
            <v>Taxes &amp; Licenses</v>
          </cell>
        </row>
        <row r="1151">
          <cell r="HZ1151" t="str">
            <v>81111101-52031101</v>
          </cell>
          <cell r="IA1151" t="str">
            <v>CCC-COMMON</v>
          </cell>
          <cell r="IB1151" t="str">
            <v>DOE - Taxes &amp; Licenses - LBT</v>
          </cell>
          <cell r="IF1151" t="str">
            <v>Taxes &amp; Licenses</v>
          </cell>
        </row>
        <row r="1152">
          <cell r="HZ1152" t="str">
            <v>81111102-52031101</v>
          </cell>
          <cell r="IA1152" t="str">
            <v>OCC ESTANCIA HQ</v>
          </cell>
          <cell r="IB1152" t="str">
            <v>DOE - Taxes &amp; Licenses - LBT</v>
          </cell>
          <cell r="IF1152" t="str">
            <v>Taxes &amp; Licenses</v>
          </cell>
        </row>
        <row r="1153">
          <cell r="HZ1153" t="str">
            <v>90111101-52031101</v>
          </cell>
          <cell r="IA1153" t="str">
            <v>OHI-COMMON</v>
          </cell>
          <cell r="IB1153" t="str">
            <v>DOE - Taxes &amp; Licenses - LBT</v>
          </cell>
          <cell r="IF1153" t="str">
            <v>Taxes &amp; Licenses</v>
          </cell>
        </row>
        <row r="1154">
          <cell r="HZ1154" t="str">
            <v>90134102-52041494</v>
          </cell>
          <cell r="IA1154" t="str">
            <v>CORPORATE ACCOUNTING</v>
          </cell>
          <cell r="IB1154" t="str">
            <v>DOE - Systems Costs</v>
          </cell>
          <cell r="IF1154" t="str">
            <v>Professional fees</v>
          </cell>
          <cell r="IG1154" t="str">
            <v>Systems cost</v>
          </cell>
        </row>
        <row r="1155">
          <cell r="HZ1155" t="str">
            <v>80123102-61961302</v>
          </cell>
          <cell r="IA1155" t="str">
            <v>ADMIN SERVICES</v>
          </cell>
          <cell r="IB1155" t="str">
            <v>GAE - CAPEX Recoveries</v>
          </cell>
          <cell r="IF1155" t="str">
            <v>MTS</v>
          </cell>
          <cell r="IG1155" t="str">
            <v>MTS</v>
          </cell>
        </row>
        <row r="1156">
          <cell r="HZ1156" t="str">
            <v>90111204-52091102</v>
          </cell>
          <cell r="IA1156" t="str">
            <v>OFFICE OF THE CFO</v>
          </cell>
          <cell r="IB1156" t="str">
            <v>DOE - Meeting</v>
          </cell>
          <cell r="IF1156" t="str">
            <v>Others</v>
          </cell>
          <cell r="IG1156" t="str">
            <v>Entertainment, Amusement &amp; Recreation</v>
          </cell>
        </row>
        <row r="1157">
          <cell r="HZ1157" t="str">
            <v>80122101-52121310</v>
          </cell>
          <cell r="IA1157" t="str">
            <v>HUMAN RESOURCES</v>
          </cell>
          <cell r="IB1157" t="str">
            <v>DOE - Employee Benefits - Gift Certificates</v>
          </cell>
          <cell r="IF1157" t="str">
            <v>Employee Benefits</v>
          </cell>
          <cell r="IG1157" t="str">
            <v>Employee Programs/Perks</v>
          </cell>
        </row>
        <row r="1158">
          <cell r="HZ1158" t="str">
            <v>90122101-52121310</v>
          </cell>
          <cell r="IA1158" t="str">
            <v>HUMAN RESOURCES</v>
          </cell>
          <cell r="IB1158" t="str">
            <v>DOE - Employee Benefits - Gift Certificates</v>
          </cell>
          <cell r="IF1158" t="str">
            <v>Employee Benefits</v>
          </cell>
          <cell r="IG1158" t="str">
            <v>Employee Programs/Perks</v>
          </cell>
        </row>
        <row r="1159">
          <cell r="HZ1159" t="str">
            <v>90122101-52121314</v>
          </cell>
          <cell r="IA1159" t="str">
            <v>HUMAN RESOURCES</v>
          </cell>
          <cell r="IB1159" t="str">
            <v>DOE - Employee Benefits -De Minimis-Service Awards</v>
          </cell>
          <cell r="IF1159" t="str">
            <v>Employee Benefits</v>
          </cell>
          <cell r="IG1159" t="str">
            <v>Employee Programs/Perks</v>
          </cell>
        </row>
        <row r="1160">
          <cell r="HZ1160" t="str">
            <v>80122101-52111101</v>
          </cell>
          <cell r="IA1160" t="str">
            <v>HUMAN RESOURCES</v>
          </cell>
          <cell r="IB1160" t="str">
            <v>DOE - Supplies</v>
          </cell>
          <cell r="IF1160" t="str">
            <v>Employee Benefits</v>
          </cell>
          <cell r="IG1160" t="str">
            <v>Employee Programs/Perks</v>
          </cell>
        </row>
        <row r="1161">
          <cell r="HZ1161" t="str">
            <v>81122101-52111101</v>
          </cell>
          <cell r="IA1161" t="str">
            <v>HUMAN RESOURCES</v>
          </cell>
          <cell r="IB1161" t="str">
            <v>DOE - Supplies</v>
          </cell>
          <cell r="IF1161" t="str">
            <v>Employee Benefits</v>
          </cell>
          <cell r="IG1161" t="str">
            <v>Employee Programs/Perks</v>
          </cell>
        </row>
        <row r="1162">
          <cell r="HZ1162" t="str">
            <v>90122101-52091102</v>
          </cell>
          <cell r="IA1162" t="str">
            <v>HUMAN RESOURCES</v>
          </cell>
          <cell r="IB1162" t="str">
            <v>DOE - Meeting</v>
          </cell>
          <cell r="IF1162" t="str">
            <v>Others</v>
          </cell>
          <cell r="IG1162" t="str">
            <v>Entertainment, Amusement &amp; Recreation</v>
          </cell>
        </row>
        <row r="1163">
          <cell r="HZ1163" t="str">
            <v>80133102-61731103</v>
          </cell>
          <cell r="IA1163" t="str">
            <v>TAX ACCOUNTING</v>
          </cell>
          <cell r="IB1163" t="str">
            <v>GAE - Promos - Corporate Branding</v>
          </cell>
          <cell r="IF1163" t="str">
            <v>Ad &amp; Promo</v>
          </cell>
        </row>
        <row r="1164">
          <cell r="HZ1164" t="str">
            <v>81133102-61731103</v>
          </cell>
          <cell r="IA1164" t="str">
            <v>TAX ACCOUNTING</v>
          </cell>
          <cell r="IB1164" t="str">
            <v>GAE - Promos - Corporate Branding</v>
          </cell>
          <cell r="IF1164" t="str">
            <v>Ad &amp; Promo</v>
          </cell>
        </row>
        <row r="1165">
          <cell r="HZ1165" t="str">
            <v>90133102-61731103</v>
          </cell>
          <cell r="IA1165" t="str">
            <v>TAX ACCOUNTING</v>
          </cell>
          <cell r="IB1165" t="str">
            <v>GAE - Promos - Corporate Branding</v>
          </cell>
          <cell r="IF1165" t="str">
            <v>Ad &amp; Promo</v>
          </cell>
        </row>
        <row r="1166">
          <cell r="HZ1166" t="str">
            <v>80122101-61071006</v>
          </cell>
          <cell r="IA1166" t="str">
            <v>HUMAN RESOURCES</v>
          </cell>
          <cell r="IB1166" t="str">
            <v>GAE - Prof. Fees - OPE</v>
          </cell>
          <cell r="IF1166" t="str">
            <v>Professional Fees</v>
          </cell>
          <cell r="IG1166" t="str">
            <v>Internal and external consultants</v>
          </cell>
        </row>
        <row r="1167">
          <cell r="HZ1167" t="str">
            <v>80124101-61071006</v>
          </cell>
          <cell r="IA1167" t="str">
            <v>IS &amp; IT</v>
          </cell>
          <cell r="IB1167" t="str">
            <v>GAE - Prof. Fees - OPE</v>
          </cell>
          <cell r="IF1167" t="str">
            <v>Professional Fees</v>
          </cell>
          <cell r="IG1167" t="str">
            <v>Internal and external consultants</v>
          </cell>
        </row>
        <row r="1168">
          <cell r="HZ1168" t="str">
            <v>80215106-61071006</v>
          </cell>
          <cell r="IA1168" t="str">
            <v>TECHNICAL SERVICES</v>
          </cell>
          <cell r="IB1168" t="str">
            <v>GAE - Prof. Fees - OPE</v>
          </cell>
          <cell r="IF1168" t="str">
            <v>Professional Fees</v>
          </cell>
          <cell r="IG1168" t="str">
            <v>Internal and external consultants</v>
          </cell>
        </row>
        <row r="1169">
          <cell r="HZ1169" t="str">
            <v>80315102-61071006</v>
          </cell>
          <cell r="IA1169" t="str">
            <v>OFFICE/ESTATES BD/PD</v>
          </cell>
          <cell r="IB1169" t="str">
            <v>GAE - Prof. Fees - OPE</v>
          </cell>
          <cell r="IF1169" t="str">
            <v>Professional Fees</v>
          </cell>
          <cell r="IG1169" t="str">
            <v>Internal and external consultants</v>
          </cell>
        </row>
        <row r="1170">
          <cell r="HZ1170" t="str">
            <v>81122101-61071006</v>
          </cell>
          <cell r="IA1170" t="str">
            <v>HUMAN RESOURCES</v>
          </cell>
          <cell r="IB1170" t="str">
            <v>GAE - Prof. Fees - OPE</v>
          </cell>
          <cell r="IF1170" t="str">
            <v>Professional Fees</v>
          </cell>
          <cell r="IG1170" t="str">
            <v>Internal and external consultants</v>
          </cell>
        </row>
        <row r="1171">
          <cell r="HZ1171" t="str">
            <v>81212102-61071006</v>
          </cell>
          <cell r="IA1171" t="str">
            <v>OMD B&amp;C</v>
          </cell>
          <cell r="IB1171" t="str">
            <v>GAE - Prof. Fees - OPE</v>
          </cell>
          <cell r="IF1171" t="str">
            <v>Professional Fees</v>
          </cell>
          <cell r="IG1171" t="str">
            <v>Internal and external consultants</v>
          </cell>
        </row>
        <row r="1172">
          <cell r="HZ1172" t="str">
            <v>81213102-61071006</v>
          </cell>
          <cell r="IA1172" t="str">
            <v>OMD MARKETING</v>
          </cell>
          <cell r="IB1172" t="str">
            <v>GAE - Prof. Fees - OPE</v>
          </cell>
          <cell r="IF1172" t="str">
            <v>Professional Fees</v>
          </cell>
          <cell r="IG1172" t="str">
            <v>Internal and external consultants</v>
          </cell>
        </row>
        <row r="1173">
          <cell r="HZ1173" t="str">
            <v>81315102-61071006</v>
          </cell>
          <cell r="IA1173" t="str">
            <v>OFFICE/ESTATES BD/PD</v>
          </cell>
          <cell r="IB1173" t="str">
            <v>GAE - Prof. Fees - OPE</v>
          </cell>
          <cell r="IF1173" t="str">
            <v>Professional Fees</v>
          </cell>
          <cell r="IG1173" t="str">
            <v>Internal and external consultants</v>
          </cell>
        </row>
        <row r="1174">
          <cell r="HZ1174" t="str">
            <v>90122101-61071006</v>
          </cell>
          <cell r="IA1174" t="str">
            <v>HUMAN RESOURCES</v>
          </cell>
          <cell r="IB1174" t="str">
            <v>GAE - Prof. Fees - OPE</v>
          </cell>
          <cell r="IF1174" t="str">
            <v>Professional Fees</v>
          </cell>
          <cell r="IG1174" t="str">
            <v>Internal and external consultants</v>
          </cell>
        </row>
        <row r="1175">
          <cell r="HZ1175" t="str">
            <v>90124101-61071006</v>
          </cell>
          <cell r="IA1175" t="str">
            <v>IS &amp; IT</v>
          </cell>
          <cell r="IB1175" t="str">
            <v>GAE - Prof. Fees - OPE</v>
          </cell>
          <cell r="IF1175" t="str">
            <v>Professional Fees</v>
          </cell>
          <cell r="IG1175" t="str">
            <v>Internal and external consultants</v>
          </cell>
        </row>
        <row r="1176">
          <cell r="HZ1176" t="str">
            <v>90133102-61071006</v>
          </cell>
          <cell r="IA1176" t="str">
            <v>TAX ACCOUNTING</v>
          </cell>
          <cell r="IB1176" t="str">
            <v>GAE - Prof. Fees - OPE</v>
          </cell>
          <cell r="IF1176" t="str">
            <v>Professional Fees</v>
          </cell>
          <cell r="IG1176" t="str">
            <v>Internal and external consultants</v>
          </cell>
        </row>
        <row r="1177">
          <cell r="HZ1177" t="str">
            <v>90111101-61091102</v>
          </cell>
          <cell r="IA1177" t="str">
            <v>OHI-COMMON</v>
          </cell>
          <cell r="IB1177" t="str">
            <v>GAE - Meeting</v>
          </cell>
          <cell r="IF1177" t="str">
            <v>Others</v>
          </cell>
          <cell r="IG1177" t="str">
            <v>BOD Meeting</v>
          </cell>
        </row>
        <row r="1178">
          <cell r="HZ1178" t="str">
            <v>81215101-61051102</v>
          </cell>
          <cell r="IA1178" t="str">
            <v>PROPERTY MANAGEMENT</v>
          </cell>
          <cell r="IB1178" t="str">
            <v>GAE - Janitorial</v>
          </cell>
          <cell r="IF1178" t="str">
            <v>Contracted services</v>
          </cell>
          <cell r="IG1178" t="str">
            <v>Janitorial</v>
          </cell>
        </row>
        <row r="1179">
          <cell r="HZ1179" t="str">
            <v>81215101-61051199</v>
          </cell>
          <cell r="IA1179" t="str">
            <v>PROPERTY MANAGEMENT</v>
          </cell>
          <cell r="IB1179" t="str">
            <v>GAE - Contracted Services - Others</v>
          </cell>
          <cell r="IF1179" t="str">
            <v>Contracted services</v>
          </cell>
          <cell r="IG1179" t="str">
            <v>Contracted-Others</v>
          </cell>
        </row>
        <row r="1180">
          <cell r="HZ1180" t="str">
            <v>81213102-61051199</v>
          </cell>
          <cell r="IA1180" t="str">
            <v>OMD MARKETING</v>
          </cell>
          <cell r="IB1180" t="str">
            <v>GAE - Contracted Services - Others</v>
          </cell>
          <cell r="IF1180" t="str">
            <v>Contracted services</v>
          </cell>
          <cell r="IG1180" t="str">
            <v>Contracted-Others</v>
          </cell>
        </row>
        <row r="1181">
          <cell r="HZ1181" t="str">
            <v>81215101-61051101</v>
          </cell>
          <cell r="IA1181" t="str">
            <v>PROPERTY MANAGEMENT</v>
          </cell>
          <cell r="IB1181" t="str">
            <v>GAE - Security Services</v>
          </cell>
          <cell r="IF1181" t="str">
            <v>Contracted services</v>
          </cell>
          <cell r="IG1181" t="str">
            <v>Security</v>
          </cell>
        </row>
        <row r="1182">
          <cell r="HZ1182" t="str">
            <v>90134102-61711101</v>
          </cell>
          <cell r="IA1182" t="str">
            <v>CORPORATE ACCOUNTING</v>
          </cell>
          <cell r="IB1182" t="str">
            <v>GAE - Dues &amp; Fees</v>
          </cell>
          <cell r="IF1182" t="str">
            <v>Others</v>
          </cell>
          <cell r="IG1182" t="str">
            <v>Dues and Fees</v>
          </cell>
        </row>
        <row r="1183">
          <cell r="HZ1183" t="str">
            <v>81215101-61711101</v>
          </cell>
          <cell r="IA1183" t="str">
            <v>PROPERTY MANAGEMENT</v>
          </cell>
          <cell r="IB1183" t="str">
            <v>GAE - Dues &amp; Fees</v>
          </cell>
          <cell r="IF1183" t="str">
            <v>Others</v>
          </cell>
          <cell r="IG1183" t="str">
            <v>Dues and Fees</v>
          </cell>
        </row>
        <row r="1184">
          <cell r="HZ1184" t="str">
            <v>81124101-61711101</v>
          </cell>
          <cell r="IA1184" t="str">
            <v>IS &amp; IT</v>
          </cell>
          <cell r="IB1184" t="str">
            <v>GAE - Dues &amp; Fees</v>
          </cell>
          <cell r="IF1184" t="str">
            <v>Systems &amp; Applications</v>
          </cell>
        </row>
        <row r="1185">
          <cell r="HZ1185" t="str">
            <v>80312102-61091101</v>
          </cell>
          <cell r="IA1185" t="str">
            <v>RBU B&amp;C</v>
          </cell>
          <cell r="IB1185" t="str">
            <v>GAE - Representation</v>
          </cell>
          <cell r="IF1185" t="str">
            <v>Others</v>
          </cell>
          <cell r="IG1185" t="str">
            <v>Entertainment, Amusement &amp; Recreation</v>
          </cell>
        </row>
        <row r="1186">
          <cell r="HZ1186" t="str">
            <v>80315102-61091101</v>
          </cell>
          <cell r="IA1186" t="str">
            <v>OFFICE/ESTATES BD/PD</v>
          </cell>
          <cell r="IB1186" t="str">
            <v>GAE - Representation</v>
          </cell>
          <cell r="IF1186" t="str">
            <v>Others</v>
          </cell>
          <cell r="IG1186" t="str">
            <v>Entertainment, Amusement &amp; Recreation</v>
          </cell>
        </row>
        <row r="1187">
          <cell r="HZ1187" t="str">
            <v>81214101-61091101</v>
          </cell>
          <cell r="IA1187" t="str">
            <v>OMD LEASING</v>
          </cell>
          <cell r="IB1187" t="str">
            <v>GAE - Representation</v>
          </cell>
          <cell r="IF1187" t="str">
            <v>Others</v>
          </cell>
          <cell r="IG1187" t="str">
            <v>Entertainment, Amusement &amp; Recreation</v>
          </cell>
        </row>
        <row r="1188">
          <cell r="HZ1188" t="str">
            <v>81313102-61091101</v>
          </cell>
          <cell r="IA1188" t="str">
            <v>OFFICE LEASING</v>
          </cell>
          <cell r="IB1188" t="str">
            <v>GAE - Representation</v>
          </cell>
          <cell r="IF1188" t="str">
            <v>Others</v>
          </cell>
          <cell r="IG1188" t="str">
            <v>Entertainment, Amusement &amp; Recreation</v>
          </cell>
        </row>
        <row r="1189">
          <cell r="HZ1189" t="str">
            <v>81315102-61091101</v>
          </cell>
          <cell r="IA1189" t="str">
            <v>OFFICE/ESTATES BD/PD</v>
          </cell>
          <cell r="IB1189" t="str">
            <v>GAE - Representation</v>
          </cell>
          <cell r="IF1189" t="str">
            <v>Others</v>
          </cell>
          <cell r="IG1189" t="str">
            <v>Entertainment, Amusement &amp; Recreation</v>
          </cell>
        </row>
        <row r="1190">
          <cell r="HZ1190" t="str">
            <v>90215101-61091101</v>
          </cell>
          <cell r="IA1190" t="str">
            <v>PROPERTY MANAGEMENT</v>
          </cell>
          <cell r="IB1190" t="str">
            <v>GAE - Representation</v>
          </cell>
          <cell r="IF1190" t="str">
            <v>Others</v>
          </cell>
          <cell r="IG1190" t="str">
            <v>Entertainment, Amusement &amp; Recreation</v>
          </cell>
        </row>
        <row r="1191">
          <cell r="HZ1191" t="str">
            <v>90313102-61091101</v>
          </cell>
          <cell r="IA1191" t="str">
            <v>OFFICE LEASING</v>
          </cell>
          <cell r="IB1191" t="str">
            <v>GAE - Representation</v>
          </cell>
          <cell r="IF1191" t="str">
            <v>Others</v>
          </cell>
          <cell r="IG1191" t="str">
            <v>Entertainment, Amusement &amp; Recreation</v>
          </cell>
        </row>
        <row r="1192">
          <cell r="HZ1192" t="str">
            <v>90313105-61091101</v>
          </cell>
          <cell r="IA1192" t="str">
            <v>SALES OPERATIONS</v>
          </cell>
          <cell r="IB1192" t="str">
            <v>GAE - Representation</v>
          </cell>
          <cell r="IF1192" t="str">
            <v>Others</v>
          </cell>
          <cell r="IG1192" t="str">
            <v>Entertainment, Amusement &amp; Recreation</v>
          </cell>
        </row>
        <row r="1193">
          <cell r="HZ1193" t="str">
            <v>90313107-61091101</v>
          </cell>
          <cell r="IA1193" t="str">
            <v>CUSTOMER CARE DEPT</v>
          </cell>
          <cell r="IB1193" t="str">
            <v>GAE - Representation</v>
          </cell>
          <cell r="IF1193" t="str">
            <v>Others</v>
          </cell>
          <cell r="IG1193" t="str">
            <v>Entertainment, Amusement &amp; Recreation</v>
          </cell>
        </row>
        <row r="1194">
          <cell r="HZ1194" t="str">
            <v>90315201-61091101</v>
          </cell>
          <cell r="IA1194" t="str">
            <v>RBU BD/PD</v>
          </cell>
          <cell r="IB1194" t="str">
            <v>GAE - Representation</v>
          </cell>
          <cell r="IF1194" t="str">
            <v>Others</v>
          </cell>
          <cell r="IG1194" t="str">
            <v>Entertainment, Amusement &amp; Recreation</v>
          </cell>
        </row>
        <row r="1195">
          <cell r="HZ1195" t="str">
            <v>81319101-61091101</v>
          </cell>
          <cell r="IA1195" t="str">
            <v>OMD OPERATIONS</v>
          </cell>
          <cell r="IB1195" t="str">
            <v>GAE - Representation</v>
          </cell>
          <cell r="IF1195" t="str">
            <v>Others</v>
          </cell>
          <cell r="IG1195" t="str">
            <v>Entertainment, Amusement &amp; Recreation</v>
          </cell>
        </row>
        <row r="1196">
          <cell r="HZ1196" t="str">
            <v>81319101-61091102</v>
          </cell>
          <cell r="IA1196" t="str">
            <v>OMD OPERATIONS</v>
          </cell>
          <cell r="IB1196" t="str">
            <v>GAE - Meeting</v>
          </cell>
          <cell r="IF1196" t="str">
            <v>Others</v>
          </cell>
          <cell r="IG1196" t="str">
            <v>Entertainment, Amusement &amp; Recreation</v>
          </cell>
        </row>
        <row r="1197">
          <cell r="HZ1197" t="str">
            <v>81215101-61091101</v>
          </cell>
          <cell r="IA1197" t="str">
            <v>PROPERTY MANAGEMENT</v>
          </cell>
          <cell r="IB1197" t="str">
            <v>GAE - Representation</v>
          </cell>
          <cell r="IF1197" t="str">
            <v>Others</v>
          </cell>
          <cell r="IG1197" t="str">
            <v>Entertainment, Amusement &amp; Recreation</v>
          </cell>
        </row>
        <row r="1198">
          <cell r="HZ1198" t="str">
            <v>81215101-61091102</v>
          </cell>
          <cell r="IA1198" t="str">
            <v>PROPERTY MANAGEMENT</v>
          </cell>
          <cell r="IB1198" t="str">
            <v>GAE - Meeting</v>
          </cell>
          <cell r="IF1198" t="str">
            <v>Others</v>
          </cell>
          <cell r="IG1198" t="str">
            <v>Entertainment, Amusement &amp; Recreation</v>
          </cell>
        </row>
        <row r="1199">
          <cell r="HZ1199" t="str">
            <v>80124101-61021502</v>
          </cell>
          <cell r="IA1199" t="str">
            <v>IS &amp; IT</v>
          </cell>
          <cell r="IB1199" t="str">
            <v>GAE - Training - Corporate - Local Int/Ext</v>
          </cell>
          <cell r="IF1199" t="str">
            <v>Employee Benefits</v>
          </cell>
          <cell r="IG1199" t="str">
            <v>Trainings &amp; Seminars</v>
          </cell>
        </row>
        <row r="1200">
          <cell r="HZ1200" t="str">
            <v>80126101-61021502</v>
          </cell>
          <cell r="IA1200" t="str">
            <v>DCMG - LEASING</v>
          </cell>
          <cell r="IB1200" t="str">
            <v>GAE - Training - Corporate - Local Int/Ext</v>
          </cell>
          <cell r="IF1200" t="str">
            <v>Employee Benefits</v>
          </cell>
          <cell r="IG1200" t="str">
            <v>Trainings &amp; Seminars</v>
          </cell>
        </row>
        <row r="1201">
          <cell r="HZ1201" t="str">
            <v>80215106-61021502</v>
          </cell>
          <cell r="IA1201" t="str">
            <v>TECHNICAL SERVICES</v>
          </cell>
          <cell r="IB1201" t="str">
            <v>GAE - Training - Corporate - Local Int/Ext</v>
          </cell>
          <cell r="IF1201" t="str">
            <v>Employee Benefits</v>
          </cell>
          <cell r="IG1201" t="str">
            <v>Trainings &amp; Seminars</v>
          </cell>
        </row>
        <row r="1202">
          <cell r="HZ1202" t="str">
            <v>80312102-61021502</v>
          </cell>
          <cell r="IA1202" t="str">
            <v>RBU B&amp;C</v>
          </cell>
          <cell r="IB1202" t="str">
            <v>GAE - Training - Corporate - Local Int/Ext</v>
          </cell>
          <cell r="IF1202" t="str">
            <v>Employee Benefits</v>
          </cell>
          <cell r="IG1202" t="str">
            <v>Trainings &amp; Seminars</v>
          </cell>
        </row>
        <row r="1203">
          <cell r="HZ1203" t="str">
            <v>80313103-61021502</v>
          </cell>
          <cell r="IA1203" t="str">
            <v>HANDOVER MGT DEPT</v>
          </cell>
          <cell r="IB1203" t="str">
            <v>GAE - Training - Corporate - Local Int/Ext</v>
          </cell>
          <cell r="IF1203" t="str">
            <v>Employee Benefits</v>
          </cell>
          <cell r="IG1203" t="str">
            <v>Trainings &amp; Seminars</v>
          </cell>
        </row>
        <row r="1204">
          <cell r="HZ1204" t="str">
            <v>80313105-61021502</v>
          </cell>
          <cell r="IA1204" t="str">
            <v>SALES OPERATIONS</v>
          </cell>
          <cell r="IB1204" t="str">
            <v>GAE - Training - Corporate - Local Int/Ext</v>
          </cell>
          <cell r="IF1204" t="str">
            <v>Employee Benefits</v>
          </cell>
          <cell r="IG1204" t="str">
            <v>Trainings &amp; Seminars</v>
          </cell>
        </row>
        <row r="1205">
          <cell r="HZ1205" t="str">
            <v>80313106-61021502</v>
          </cell>
          <cell r="IA1205" t="str">
            <v>SALES DEVELOPMENT</v>
          </cell>
          <cell r="IB1205" t="str">
            <v>GAE - Training - Corporate - Local Int/Ext</v>
          </cell>
          <cell r="IF1205" t="str">
            <v>Employee Benefits</v>
          </cell>
          <cell r="IG1205" t="str">
            <v>Trainings &amp; Seminars</v>
          </cell>
        </row>
        <row r="1206">
          <cell r="HZ1206" t="str">
            <v>80313108-61021502</v>
          </cell>
          <cell r="IA1206" t="str">
            <v>RESI BUSINESS UNIT</v>
          </cell>
          <cell r="IB1206" t="str">
            <v>GAE - Training - Corporate - Local Int/Ext</v>
          </cell>
          <cell r="IF1206" t="str">
            <v>Employee Benefits</v>
          </cell>
          <cell r="IG1206" t="str">
            <v>Trainings &amp; Seminars</v>
          </cell>
        </row>
        <row r="1207">
          <cell r="HZ1207" t="str">
            <v>80317101-61021401</v>
          </cell>
          <cell r="IA1207" t="str">
            <v>CONSTRUCTION MGT</v>
          </cell>
          <cell r="IB1207" t="str">
            <v>GAE - Company Events</v>
          </cell>
          <cell r="IF1207" t="str">
            <v>Employee Benefits</v>
          </cell>
          <cell r="IG1207" t="str">
            <v>Employee Programs/Perks</v>
          </cell>
        </row>
        <row r="1208">
          <cell r="HZ1208" t="str">
            <v>80319301-61021502</v>
          </cell>
          <cell r="IA1208" t="str">
            <v>ESTATES OPERATION</v>
          </cell>
          <cell r="IB1208" t="str">
            <v>GAE - Training - Corporate - Local Int/Ext</v>
          </cell>
          <cell r="IF1208" t="str">
            <v>Employee Benefits</v>
          </cell>
          <cell r="IG1208" t="str">
            <v>Trainings &amp; Seminars</v>
          </cell>
        </row>
        <row r="1209">
          <cell r="HZ1209" t="str">
            <v>81124101-61021502</v>
          </cell>
          <cell r="IA1209" t="str">
            <v>IS &amp; IT</v>
          </cell>
          <cell r="IB1209" t="str">
            <v>GAE - Training - Corporate - Local Int/Ext</v>
          </cell>
          <cell r="IF1209" t="str">
            <v>Employee Benefits</v>
          </cell>
          <cell r="IG1209" t="str">
            <v>Trainings &amp; Seminars</v>
          </cell>
        </row>
        <row r="1210">
          <cell r="HZ1210" t="str">
            <v>81212102-61021401</v>
          </cell>
          <cell r="IA1210" t="str">
            <v>OMD B&amp;C</v>
          </cell>
          <cell r="IB1210" t="str">
            <v>GAE - Company Events</v>
          </cell>
          <cell r="IF1210" t="str">
            <v>Employee Benefits</v>
          </cell>
          <cell r="IG1210" t="str">
            <v>Employee Programs/Perks</v>
          </cell>
        </row>
        <row r="1211">
          <cell r="HZ1211" t="str">
            <v>81212102-61021502</v>
          </cell>
          <cell r="IA1211" t="str">
            <v>OMD B&amp;C</v>
          </cell>
          <cell r="IB1211" t="str">
            <v>GAE - Training - Corporate - Local Int/Ext</v>
          </cell>
          <cell r="IF1211" t="str">
            <v>Employee Benefits</v>
          </cell>
          <cell r="IG1211" t="str">
            <v>Trainings &amp; Seminars</v>
          </cell>
        </row>
        <row r="1212">
          <cell r="HZ1212" t="str">
            <v>81212104-61021502</v>
          </cell>
          <cell r="IA1212" t="str">
            <v>OMD FINANCE</v>
          </cell>
          <cell r="IB1212" t="str">
            <v>GAE - Training - Corporate - Local Int/Ext</v>
          </cell>
          <cell r="IF1212" t="str">
            <v>Employee Benefits</v>
          </cell>
          <cell r="IG1212" t="str">
            <v>Trainings &amp; Seminars</v>
          </cell>
        </row>
        <row r="1213">
          <cell r="HZ1213" t="str">
            <v>81215101-61021502</v>
          </cell>
          <cell r="IA1213" t="str">
            <v>PROPERTY MANAGEMENT</v>
          </cell>
          <cell r="IB1213" t="str">
            <v>GAE - Training - Corporate - Local Int/Ext</v>
          </cell>
          <cell r="IF1213" t="str">
            <v>Employee Benefits</v>
          </cell>
          <cell r="IG1213" t="str">
            <v>Trainings &amp; Seminars</v>
          </cell>
        </row>
        <row r="1214">
          <cell r="HZ1214" t="str">
            <v>81313102-61021502</v>
          </cell>
          <cell r="IA1214" t="str">
            <v>OFFICE LEASING</v>
          </cell>
          <cell r="IB1214" t="str">
            <v>GAE - Training - Corporate - Local Int/Ext</v>
          </cell>
          <cell r="IF1214" t="str">
            <v>Employee Benefits</v>
          </cell>
          <cell r="IG1214" t="str">
            <v>Trainings &amp; Seminars</v>
          </cell>
        </row>
        <row r="1215">
          <cell r="HZ1215" t="str">
            <v>90126101-61021502</v>
          </cell>
          <cell r="IA1215" t="str">
            <v>DCMG - LEASING</v>
          </cell>
          <cell r="IB1215" t="str">
            <v>GAE - Training - Corporate - Local Int/Ext</v>
          </cell>
          <cell r="IF1215" t="str">
            <v>Employee Benefits</v>
          </cell>
          <cell r="IG1215" t="str">
            <v>Trainings &amp; Seminars</v>
          </cell>
        </row>
        <row r="1216">
          <cell r="HZ1216" t="str">
            <v>90133102-61021502</v>
          </cell>
          <cell r="IA1216" t="str">
            <v>TAX ACCOUNTING</v>
          </cell>
          <cell r="IB1216" t="str">
            <v>GAE - Training - Corporate - Local Int/Ext</v>
          </cell>
          <cell r="IF1216" t="str">
            <v>Employee Benefits</v>
          </cell>
          <cell r="IG1216" t="str">
            <v>Trainings &amp; Seminars</v>
          </cell>
        </row>
        <row r="1217">
          <cell r="HZ1217" t="str">
            <v>90133103-61021502</v>
          </cell>
          <cell r="IA1217" t="str">
            <v>PROCUREMENT</v>
          </cell>
          <cell r="IB1217" t="str">
            <v>GAE - Training - Corporate - Local Int/Ext</v>
          </cell>
          <cell r="IF1217" t="str">
            <v>Employee Benefits</v>
          </cell>
          <cell r="IG1217" t="str">
            <v>Trainings &amp; Seminars</v>
          </cell>
        </row>
        <row r="1218">
          <cell r="HZ1218" t="str">
            <v>90134101-61021502</v>
          </cell>
          <cell r="IA1218" t="str">
            <v>CONTROLLERSHIP</v>
          </cell>
          <cell r="IB1218" t="str">
            <v>GAE - Training - Corporate - Local Int/Ext</v>
          </cell>
          <cell r="IF1218" t="str">
            <v>Employee Benefits</v>
          </cell>
          <cell r="IG1218" t="str">
            <v>Trainings &amp; Seminars</v>
          </cell>
        </row>
        <row r="1219">
          <cell r="HZ1219" t="str">
            <v>90134102-61021502</v>
          </cell>
          <cell r="IA1219" t="str">
            <v>CORPORATE ACCOUNTING</v>
          </cell>
          <cell r="IB1219" t="str">
            <v>GAE - Training - Corporate - Local Int/Ext</v>
          </cell>
          <cell r="IF1219" t="str">
            <v>Employee Benefits</v>
          </cell>
          <cell r="IG1219" t="str">
            <v>Trainings &amp; Seminars</v>
          </cell>
        </row>
        <row r="1220">
          <cell r="HZ1220" t="str">
            <v>90134103-61021502</v>
          </cell>
          <cell r="IA1220" t="str">
            <v>BUDGET  C&amp;A</v>
          </cell>
          <cell r="IB1220" t="str">
            <v>GAE - Training - Corporate - Local Int/Ext</v>
          </cell>
          <cell r="IF1220" t="str">
            <v>Employee Benefits</v>
          </cell>
          <cell r="IG1220" t="str">
            <v>Trainings &amp; Seminars</v>
          </cell>
        </row>
        <row r="1221">
          <cell r="HZ1221" t="str">
            <v>90212101-61021502</v>
          </cell>
          <cell r="IA1221" t="str">
            <v>OMD F&amp;A</v>
          </cell>
          <cell r="IB1221" t="str">
            <v>GAE - Training - Corporate - Local Int/Ext</v>
          </cell>
          <cell r="IF1221" t="str">
            <v>Employee Benefits</v>
          </cell>
          <cell r="IG1221" t="str">
            <v>Trainings &amp; Seminars</v>
          </cell>
        </row>
        <row r="1222">
          <cell r="HZ1222" t="str">
            <v>90215101-61021502</v>
          </cell>
          <cell r="IA1222" t="str">
            <v>PROPERTY MANAGEMENT</v>
          </cell>
          <cell r="IB1222" t="str">
            <v>GAE - Training - Corporate - Local Int/Ext</v>
          </cell>
          <cell r="IF1222" t="str">
            <v>Employee Benefits</v>
          </cell>
          <cell r="IG1222" t="str">
            <v>Trainings &amp; Seminars</v>
          </cell>
        </row>
        <row r="1223">
          <cell r="HZ1223" t="str">
            <v>90312104-61021502</v>
          </cell>
          <cell r="IA1223" t="str">
            <v>RBU ACCOUNTING</v>
          </cell>
          <cell r="IB1223" t="str">
            <v>GAE - Training - Corporate - Local Int/Ext</v>
          </cell>
          <cell r="IF1223" t="str">
            <v>Employee Benefits</v>
          </cell>
          <cell r="IG1223" t="str">
            <v>Trainings &amp; Seminars</v>
          </cell>
        </row>
        <row r="1224">
          <cell r="HZ1224" t="str">
            <v>90313101-61021502</v>
          </cell>
          <cell r="IA1224" t="str">
            <v>SALES</v>
          </cell>
          <cell r="IB1224" t="str">
            <v>GAE - Training - Corporate - Local Int/Ext</v>
          </cell>
          <cell r="IF1224" t="str">
            <v>Employee Benefits</v>
          </cell>
          <cell r="IG1224" t="str">
            <v>Trainings &amp; Seminars</v>
          </cell>
        </row>
        <row r="1225">
          <cell r="HZ1225" t="str">
            <v>90313105-61021502</v>
          </cell>
          <cell r="IA1225" t="str">
            <v>SALES OPERATIONS</v>
          </cell>
          <cell r="IB1225" t="str">
            <v>GAE - Training - Corporate - Local Int/Ext</v>
          </cell>
          <cell r="IF1225" t="str">
            <v>Employee Benefits</v>
          </cell>
          <cell r="IG1225" t="str">
            <v>Trainings &amp; Seminars</v>
          </cell>
        </row>
        <row r="1226">
          <cell r="HZ1226" t="str">
            <v>90313107-61021502</v>
          </cell>
          <cell r="IA1226" t="str">
            <v>CUSTOMER CARE DEPT</v>
          </cell>
          <cell r="IB1226" t="str">
            <v>GAE - Training - Corporate - Local Int/Ext</v>
          </cell>
          <cell r="IF1226" t="str">
            <v>Employee Benefits</v>
          </cell>
          <cell r="IG1226" t="str">
            <v>Trainings &amp; Seminars</v>
          </cell>
        </row>
        <row r="1227">
          <cell r="HZ1227" t="str">
            <v>90314101-61021502</v>
          </cell>
          <cell r="IA1227" t="str">
            <v>CORPORATE MARKETING</v>
          </cell>
          <cell r="IB1227" t="str">
            <v>GAE - Training - Corporate - Local Int/Ext</v>
          </cell>
          <cell r="IF1227" t="str">
            <v>Employee Benefits</v>
          </cell>
          <cell r="IG1227" t="str">
            <v>Trainings &amp; Seminars</v>
          </cell>
        </row>
        <row r="1228">
          <cell r="HZ1228" t="str">
            <v>90315201-61021502</v>
          </cell>
          <cell r="IA1228" t="str">
            <v>RBU BD/PD</v>
          </cell>
          <cell r="IB1228" t="str">
            <v>GAE - Training - Corporate - Local Int/Ext</v>
          </cell>
          <cell r="IF1228" t="str">
            <v>Employee Benefits</v>
          </cell>
          <cell r="IG1228" t="str">
            <v>Trainings &amp; Seminars</v>
          </cell>
        </row>
        <row r="1229">
          <cell r="HZ1229" t="str">
            <v>90317101-61021502</v>
          </cell>
          <cell r="IA1229" t="str">
            <v>CONSTRUCTION MGT</v>
          </cell>
          <cell r="IB1229" t="str">
            <v>GAE - Training - Corporate - Local Int/Ext</v>
          </cell>
          <cell r="IF1229" t="str">
            <v>Employee Benefits</v>
          </cell>
          <cell r="IG1229" t="str">
            <v>Trainings &amp; Seminars</v>
          </cell>
        </row>
        <row r="1230">
          <cell r="HZ1230" t="str">
            <v>90122101-61021401</v>
          </cell>
          <cell r="IA1230" t="str">
            <v>HUMAN RESOURCES</v>
          </cell>
          <cell r="IB1230" t="str">
            <v>GAE - Company Events</v>
          </cell>
          <cell r="IF1230" t="str">
            <v>Employee Benefits</v>
          </cell>
          <cell r="IG1230" t="str">
            <v>Employee Programs/Perks</v>
          </cell>
        </row>
        <row r="1231">
          <cell r="HZ1231" t="str">
            <v>90122101-61021311</v>
          </cell>
          <cell r="IA1231" t="str">
            <v>HUMAN RESOURCES</v>
          </cell>
          <cell r="IB1231" t="str">
            <v>GAE - Employee Benefits - Gift Certificates</v>
          </cell>
          <cell r="IF1231" t="str">
            <v>Employee Benefits</v>
          </cell>
          <cell r="IG1231" t="str">
            <v>Employee Programs/Perks</v>
          </cell>
        </row>
        <row r="1232">
          <cell r="HZ1232" t="str">
            <v>90122101-61111101</v>
          </cell>
          <cell r="IA1232" t="str">
            <v>HUMAN RESOURCES</v>
          </cell>
          <cell r="IB1232" t="str">
            <v>GAE - Office Supplies</v>
          </cell>
          <cell r="IF1232" t="str">
            <v>Employee Benefits</v>
          </cell>
          <cell r="IG1232" t="str">
            <v>Employee Programs/Perks</v>
          </cell>
        </row>
        <row r="1233">
          <cell r="HZ1233" t="str">
            <v>90122101-61091102</v>
          </cell>
          <cell r="IA1233" t="str">
            <v>HUMAN RESOURCES</v>
          </cell>
          <cell r="IB1233" t="str">
            <v>GAE - Meeting</v>
          </cell>
          <cell r="IF1233" t="str">
            <v>Employee Benefits</v>
          </cell>
          <cell r="IG1233" t="str">
            <v>Employee Programs/Perks</v>
          </cell>
        </row>
        <row r="1234">
          <cell r="HZ1234" t="str">
            <v>90122101-61021315</v>
          </cell>
          <cell r="IA1234" t="str">
            <v>HUMAN RESOURCES</v>
          </cell>
          <cell r="IB1234" t="str">
            <v>GAE - Employee Benefits -De Minimis-Service Awards</v>
          </cell>
          <cell r="IF1234" t="str">
            <v>Employee Benefits</v>
          </cell>
          <cell r="IG1234" t="str">
            <v>Employee Programs/Perks</v>
          </cell>
        </row>
        <row r="1235">
          <cell r="HZ1235" t="str">
            <v>81215101-61021403</v>
          </cell>
          <cell r="IA1235" t="str">
            <v>PROPERTY MANAGEMENT</v>
          </cell>
          <cell r="IB1235" t="str">
            <v>GAE - Employees' Welfare</v>
          </cell>
          <cell r="IF1235" t="str">
            <v>Employee Benefits</v>
          </cell>
          <cell r="IG1235" t="str">
            <v>Employee Programs/Perks</v>
          </cell>
        </row>
        <row r="1236">
          <cell r="HZ1236" t="str">
            <v>90121101-61959201</v>
          </cell>
          <cell r="IA1236" t="str">
            <v>CORP RESOURCES DIV</v>
          </cell>
          <cell r="IB1236" t="str">
            <v>GAE - Miscellaneous Processing Fee</v>
          </cell>
          <cell r="IF1236" t="str">
            <v>Others</v>
          </cell>
          <cell r="IG1236" t="str">
            <v>Donations, Contributions and Miscellaneous Expenses</v>
          </cell>
        </row>
        <row r="1237">
          <cell r="HZ1237" t="str">
            <v>80312103-61721101</v>
          </cell>
          <cell r="IA1237" t="str">
            <v>PROJECT FINANCE</v>
          </cell>
          <cell r="IB1237" t="str">
            <v>GAE - Postal &amp; Communication - Telephone</v>
          </cell>
          <cell r="IF1237" t="str">
            <v>Others</v>
          </cell>
          <cell r="IG1237" t="str">
            <v>Postal &amp; Communication</v>
          </cell>
        </row>
        <row r="1238">
          <cell r="HZ1238" t="str">
            <v>90111203-61721101</v>
          </cell>
          <cell r="IA1238" t="str">
            <v>OFFICE OF THE PRES.</v>
          </cell>
          <cell r="IB1238" t="str">
            <v>GAE - Postal &amp; Communication - Telephone</v>
          </cell>
          <cell r="IF1238" t="str">
            <v>Others</v>
          </cell>
          <cell r="IG1238" t="str">
            <v>Postal &amp; Communication</v>
          </cell>
        </row>
        <row r="1239">
          <cell r="HZ1239" t="str">
            <v>90121101-61721103</v>
          </cell>
          <cell r="IA1239" t="str">
            <v>CORP RESOURCES DIV</v>
          </cell>
          <cell r="IB1239" t="str">
            <v>GAE - Postal &amp; Communication - Postal</v>
          </cell>
          <cell r="IF1239" t="str">
            <v>Others</v>
          </cell>
          <cell r="IG1239" t="str">
            <v>Postal &amp; Communication</v>
          </cell>
        </row>
        <row r="1240">
          <cell r="HZ1240" t="str">
            <v>81319101-61721101</v>
          </cell>
          <cell r="IA1240" t="str">
            <v>OMD OPERATIONS</v>
          </cell>
          <cell r="IB1240" t="str">
            <v>GAE - Postal &amp; Communication - Telephone</v>
          </cell>
          <cell r="IF1240" t="str">
            <v>Others</v>
          </cell>
          <cell r="IG1240" t="str">
            <v>Postal &amp; Communication</v>
          </cell>
        </row>
        <row r="1241">
          <cell r="HZ1241" t="str">
            <v>81215101-61721101</v>
          </cell>
          <cell r="IA1241" t="str">
            <v>PROPERTY MANAGEMENT</v>
          </cell>
          <cell r="IB1241" t="str">
            <v>GAE - Postal &amp; Communication - Telephone</v>
          </cell>
          <cell r="IF1241" t="str">
            <v>Others</v>
          </cell>
          <cell r="IG1241" t="str">
            <v>Postal &amp; Communication</v>
          </cell>
        </row>
        <row r="1242">
          <cell r="HZ1242" t="str">
            <v>90121101-61071099</v>
          </cell>
          <cell r="IA1242" t="str">
            <v>CORP RESOURCES DIV</v>
          </cell>
          <cell r="IB1242" t="str">
            <v>GAE - Prof. Fees - Others</v>
          </cell>
          <cell r="IF1242" t="str">
            <v>Professional Fees</v>
          </cell>
          <cell r="IG1242" t="str">
            <v>Internal and external consultants</v>
          </cell>
        </row>
        <row r="1243">
          <cell r="HZ1243" t="str">
            <v>81215101-61071001</v>
          </cell>
          <cell r="IA1243" t="str">
            <v>PROPERTY MANAGEMENT</v>
          </cell>
          <cell r="IB1243" t="str">
            <v>GAE - Prof. Fees - Audit</v>
          </cell>
          <cell r="IF1243" t="str">
            <v>Professional Fees</v>
          </cell>
          <cell r="IG1243" t="str">
            <v>Internal and external consultants</v>
          </cell>
        </row>
        <row r="1244">
          <cell r="HZ1244" t="str">
            <v>90134102-61071003</v>
          </cell>
          <cell r="IA1244" t="str">
            <v>CORPORATE ACCOUNTING</v>
          </cell>
          <cell r="IB1244" t="str">
            <v>GAE - Prof. Fees - Directors</v>
          </cell>
          <cell r="IF1244" t="str">
            <v>Professional Fees</v>
          </cell>
          <cell r="IG1244" t="str">
            <v>BOD</v>
          </cell>
        </row>
        <row r="1245">
          <cell r="HZ1245" t="str">
            <v>81215101-61071002</v>
          </cell>
          <cell r="IA1245" t="str">
            <v>PROPERTY MANAGEMENT</v>
          </cell>
          <cell r="IB1245" t="str">
            <v>GAE - Prof. Fees - Legal</v>
          </cell>
          <cell r="IF1245" t="str">
            <v>Professional Fees</v>
          </cell>
          <cell r="IG1245" t="str">
            <v>Open Cases</v>
          </cell>
        </row>
        <row r="1246">
          <cell r="HZ1246" t="str">
            <v>90124101-61071004</v>
          </cell>
          <cell r="IA1246" t="str">
            <v>IS &amp; IT</v>
          </cell>
          <cell r="IB1246" t="str">
            <v>GAE - Prof. Fees - Consultants</v>
          </cell>
          <cell r="IF1246" t="str">
            <v>Professional Fees</v>
          </cell>
          <cell r="IG1246" t="str">
            <v>Internal and external consultants</v>
          </cell>
        </row>
        <row r="1247">
          <cell r="HZ1247" t="str">
            <v>90133102-61011101</v>
          </cell>
          <cell r="IA1247" t="str">
            <v>TAX ACCOUNTING</v>
          </cell>
          <cell r="IB1247" t="str">
            <v>GAE - Rent - Furniture, Fixtures &amp; Equipment</v>
          </cell>
          <cell r="IF1247" t="str">
            <v>Others</v>
          </cell>
          <cell r="IG1247" t="str">
            <v>Rent</v>
          </cell>
        </row>
        <row r="1248">
          <cell r="HZ1248" t="str">
            <v>81215101-61011101</v>
          </cell>
          <cell r="IA1248" t="str">
            <v>PROPERTY MANAGEMENT</v>
          </cell>
          <cell r="IB1248" t="str">
            <v>GAE - Rent - Furniture, Fixtures &amp; Equipment</v>
          </cell>
          <cell r="IF1248" t="str">
            <v>Others</v>
          </cell>
          <cell r="IG1248" t="str">
            <v>Rent</v>
          </cell>
        </row>
        <row r="1249">
          <cell r="HZ1249" t="str">
            <v>81215101-61011199</v>
          </cell>
          <cell r="IA1249" t="str">
            <v>PROPERTY MANAGEMENT</v>
          </cell>
          <cell r="IB1249" t="str">
            <v>GAE - Rent - Others</v>
          </cell>
          <cell r="IF1249" t="str">
            <v>Others</v>
          </cell>
          <cell r="IG1249" t="str">
            <v>Rent</v>
          </cell>
        </row>
        <row r="1250">
          <cell r="HZ1250" t="str">
            <v>81215101-61061101</v>
          </cell>
          <cell r="IA1250" t="str">
            <v>PROPERTY MANAGEMENT</v>
          </cell>
          <cell r="IB1250" t="str">
            <v>GAE - Repairs&amp; Maint. - Building &amp; Improvements</v>
          </cell>
          <cell r="IF1250" t="str">
            <v>Others</v>
          </cell>
          <cell r="IG1250" t="str">
            <v>Repairs &amp; Maintenance</v>
          </cell>
        </row>
        <row r="1251">
          <cell r="HZ1251" t="str">
            <v>81215101-61061102</v>
          </cell>
          <cell r="IA1251" t="str">
            <v>PROPERTY MANAGEMENT</v>
          </cell>
          <cell r="IB1251" t="str">
            <v>GAE - Repairs&amp; Maint - Furniture, Fixture &amp; Equip</v>
          </cell>
          <cell r="IF1251" t="str">
            <v>Others</v>
          </cell>
          <cell r="IG1251" t="str">
            <v>Repairs &amp; Maintenance</v>
          </cell>
        </row>
        <row r="1252">
          <cell r="HZ1252" t="str">
            <v>81215101-61061103</v>
          </cell>
          <cell r="IA1252" t="str">
            <v>PROPERTY MANAGEMENT</v>
          </cell>
          <cell r="IB1252" t="str">
            <v>GAE - Repairs&amp; Maint - Machinery &amp; Cons Equip</v>
          </cell>
          <cell r="IF1252" t="str">
            <v>Others</v>
          </cell>
          <cell r="IG1252" t="str">
            <v>Repairs &amp; Maintenance</v>
          </cell>
        </row>
        <row r="1253">
          <cell r="HZ1253" t="str">
            <v>81215101-61031201</v>
          </cell>
          <cell r="IA1253" t="str">
            <v>PROPERTY MANAGEMENT</v>
          </cell>
          <cell r="IB1253" t="str">
            <v>GAE - Repairs &amp; Maintenance - Supplies</v>
          </cell>
          <cell r="IF1253" t="str">
            <v>Others</v>
          </cell>
          <cell r="IG1253" t="str">
            <v>Repairs &amp; Maintenance</v>
          </cell>
        </row>
        <row r="1254">
          <cell r="HZ1254" t="str">
            <v>81215101-61061104</v>
          </cell>
          <cell r="IA1254" t="str">
            <v>PROPERTY MANAGEMENT</v>
          </cell>
          <cell r="IB1254" t="str">
            <v>GAE - Repairs&amp; Maint. - Transportation Equipment</v>
          </cell>
          <cell r="IF1254" t="str">
            <v>Others</v>
          </cell>
          <cell r="IG1254" t="str">
            <v>Repairs &amp; Maintenance -  Vehicle</v>
          </cell>
        </row>
        <row r="1255">
          <cell r="HZ1255" t="str">
            <v>80121101-61111102</v>
          </cell>
          <cell r="IA1255" t="str">
            <v>CORP RESOURCES DIV</v>
          </cell>
          <cell r="IB1255" t="str">
            <v>GAE - Low Value Assets</v>
          </cell>
          <cell r="IF1255" t="str">
            <v>Others</v>
          </cell>
          <cell r="IG1255" t="str">
            <v>Supplies</v>
          </cell>
        </row>
        <row r="1256">
          <cell r="HZ1256" t="str">
            <v>90121101-61111101</v>
          </cell>
          <cell r="IA1256" t="str">
            <v>CORP RESOURCES DIV</v>
          </cell>
          <cell r="IB1256" t="str">
            <v>GAE - Office Supplies</v>
          </cell>
          <cell r="IF1256" t="str">
            <v>Others</v>
          </cell>
          <cell r="IG1256" t="str">
            <v>Supplies</v>
          </cell>
        </row>
        <row r="1257">
          <cell r="HZ1257" t="str">
            <v>90215101-61111101</v>
          </cell>
          <cell r="IA1257" t="str">
            <v>PROPERTY MANAGEMENT</v>
          </cell>
          <cell r="IB1257" t="str">
            <v>GAE - Office Supplies</v>
          </cell>
          <cell r="IF1257" t="str">
            <v>Others</v>
          </cell>
          <cell r="IG1257" t="str">
            <v>Supplies</v>
          </cell>
        </row>
        <row r="1258">
          <cell r="HZ1258" t="str">
            <v>90215101-61111102</v>
          </cell>
          <cell r="IA1258" t="str">
            <v>PROPERTY MANAGEMENT</v>
          </cell>
          <cell r="IB1258" t="str">
            <v>GAE - Low Value Assets</v>
          </cell>
          <cell r="IF1258" t="str">
            <v>Others</v>
          </cell>
          <cell r="IG1258" t="str">
            <v>Supplies</v>
          </cell>
        </row>
        <row r="1259">
          <cell r="HZ1259" t="str">
            <v>81215101-61111201</v>
          </cell>
          <cell r="IA1259" t="str">
            <v>PROPERTY MANAGEMENT</v>
          </cell>
          <cell r="IB1259" t="str">
            <v>GAE - Fuel &amp; Lubricants</v>
          </cell>
          <cell r="IF1259" t="str">
            <v>Others</v>
          </cell>
          <cell r="IG1259" t="str">
            <v>Supplies</v>
          </cell>
        </row>
        <row r="1260">
          <cell r="HZ1260" t="str">
            <v>81213102-61111102</v>
          </cell>
          <cell r="IA1260" t="str">
            <v>OMD MARKETING</v>
          </cell>
          <cell r="IB1260" t="str">
            <v>GAE - Low Value Assets</v>
          </cell>
          <cell r="IF1260" t="str">
            <v>Others</v>
          </cell>
          <cell r="IG1260" t="str">
            <v>Supplies</v>
          </cell>
        </row>
        <row r="1261">
          <cell r="HZ1261" t="str">
            <v>80134102-61711102</v>
          </cell>
          <cell r="IA1261" t="str">
            <v>CORPORATE ACCOUNTING</v>
          </cell>
          <cell r="IB1261" t="str">
            <v>GAE- Systems &amp; Applications</v>
          </cell>
          <cell r="IF1261" t="str">
            <v>Systems &amp; Applications</v>
          </cell>
        </row>
        <row r="1262">
          <cell r="HZ1262" t="str">
            <v>90215101-61711102</v>
          </cell>
          <cell r="IA1262" t="str">
            <v>PROPERTY MANAGEMENT</v>
          </cell>
          <cell r="IB1262" t="str">
            <v>GAE- Systems &amp; Applications</v>
          </cell>
          <cell r="IF1262" t="str">
            <v>Systems &amp; Applications</v>
          </cell>
        </row>
        <row r="1263">
          <cell r="HZ1263" t="str">
            <v>90314101-61711102</v>
          </cell>
          <cell r="IA1263" t="str">
            <v>CORPORATE MARKETING</v>
          </cell>
          <cell r="IB1263" t="str">
            <v>GAE- Systems &amp; Applications</v>
          </cell>
          <cell r="IF1263" t="str">
            <v>Systems &amp; Applications</v>
          </cell>
        </row>
        <row r="1264">
          <cell r="HZ1264" t="str">
            <v>90124101-61061105</v>
          </cell>
          <cell r="IA1264" t="str">
            <v>IS &amp; IT</v>
          </cell>
          <cell r="IB1264" t="str">
            <v>GAE - Repairs&amp; Maint. - IT System &amp; Equipment</v>
          </cell>
          <cell r="IF1264" t="str">
            <v>Systems &amp; Applications</v>
          </cell>
        </row>
        <row r="1265">
          <cell r="HZ1265" t="str">
            <v>80315102-61081102</v>
          </cell>
          <cell r="IA1265" t="str">
            <v>OFFICE/ESTATES BD/PD</v>
          </cell>
          <cell r="IB1265" t="str">
            <v>GAE - Travel - Local</v>
          </cell>
          <cell r="IF1265" t="str">
            <v>Others</v>
          </cell>
          <cell r="IG1265" t="str">
            <v>Transportation &amp; Travel</v>
          </cell>
        </row>
        <row r="1266">
          <cell r="HZ1266" t="str">
            <v>81212104-61081103</v>
          </cell>
          <cell r="IA1266" t="str">
            <v>OMD FINANCE</v>
          </cell>
          <cell r="IB1266" t="str">
            <v>GAE - Travel - Foreign</v>
          </cell>
          <cell r="IF1266" t="str">
            <v>Others</v>
          </cell>
          <cell r="IG1266" t="str">
            <v>Transportation &amp; Travel</v>
          </cell>
        </row>
        <row r="1267">
          <cell r="HZ1267" t="str">
            <v>81213102-61081103</v>
          </cell>
          <cell r="IA1267" t="str">
            <v>OMD MARKETING</v>
          </cell>
          <cell r="IB1267" t="str">
            <v>GAE - Travel - Foreign</v>
          </cell>
          <cell r="IF1267" t="str">
            <v>Others</v>
          </cell>
          <cell r="IG1267" t="str">
            <v>Transportation &amp; Travel</v>
          </cell>
        </row>
        <row r="1268">
          <cell r="HZ1268" t="str">
            <v>81214101-61081102</v>
          </cell>
          <cell r="IA1268" t="str">
            <v>OMD LEASING</v>
          </cell>
          <cell r="IB1268" t="str">
            <v>GAE - Travel - Local</v>
          </cell>
          <cell r="IF1268" t="str">
            <v>Others</v>
          </cell>
          <cell r="IG1268" t="str">
            <v>Transportation &amp; Travel</v>
          </cell>
        </row>
        <row r="1269">
          <cell r="HZ1269" t="str">
            <v>81214101-61081103</v>
          </cell>
          <cell r="IA1269" t="str">
            <v>OMD LEASING</v>
          </cell>
          <cell r="IB1269" t="str">
            <v>GAE - Travel - Foreign</v>
          </cell>
          <cell r="IF1269" t="str">
            <v>Others</v>
          </cell>
          <cell r="IG1269" t="str">
            <v>Transportation &amp; Travel</v>
          </cell>
        </row>
        <row r="1270">
          <cell r="HZ1270" t="str">
            <v>90111204-61081102</v>
          </cell>
          <cell r="IA1270" t="str">
            <v>OFFICE OF THE CFO</v>
          </cell>
          <cell r="IB1270" t="str">
            <v>GAE - Travel - Local</v>
          </cell>
          <cell r="IF1270" t="str">
            <v>Others</v>
          </cell>
          <cell r="IG1270" t="str">
            <v>Transportation &amp; Travel</v>
          </cell>
        </row>
        <row r="1271">
          <cell r="HZ1271" t="str">
            <v>90111204-61081103</v>
          </cell>
          <cell r="IA1271" t="str">
            <v>OFFICE OF THE CFO</v>
          </cell>
          <cell r="IB1271" t="str">
            <v>GAE - Travel - Foreign</v>
          </cell>
          <cell r="IF1271" t="str">
            <v>Others</v>
          </cell>
          <cell r="IG1271" t="str">
            <v>Transportation &amp; Travel</v>
          </cell>
        </row>
        <row r="1272">
          <cell r="HZ1272" t="str">
            <v>90215101-61081102</v>
          </cell>
          <cell r="IA1272" t="str">
            <v>PROPERTY MANAGEMENT</v>
          </cell>
          <cell r="IB1272" t="str">
            <v>GAE - Travel - Local</v>
          </cell>
          <cell r="IF1272" t="str">
            <v>Others</v>
          </cell>
          <cell r="IG1272" t="str">
            <v>Transportation &amp; Travel</v>
          </cell>
        </row>
        <row r="1273">
          <cell r="HZ1273" t="str">
            <v>90314101-61081103</v>
          </cell>
          <cell r="IA1273" t="str">
            <v>CORPORATE MARKETING</v>
          </cell>
          <cell r="IB1273" t="str">
            <v>GAE - Travel - Foreign</v>
          </cell>
          <cell r="IF1273" t="str">
            <v>Others</v>
          </cell>
          <cell r="IG1273" t="str">
            <v>Transportation &amp; Travel</v>
          </cell>
        </row>
        <row r="1274">
          <cell r="HZ1274" t="str">
            <v>90122101-61081101</v>
          </cell>
          <cell r="IA1274" t="str">
            <v>HUMAN RESOURCES</v>
          </cell>
          <cell r="IB1274" t="str">
            <v>GAE - Transportation</v>
          </cell>
          <cell r="IF1274" t="str">
            <v>Others</v>
          </cell>
          <cell r="IG1274" t="str">
            <v>Transportation &amp; Travel</v>
          </cell>
        </row>
        <row r="1275">
          <cell r="HZ1275" t="str">
            <v>90134102-61081101</v>
          </cell>
          <cell r="IA1275" t="str">
            <v>CORPORATE ACCOUNTING</v>
          </cell>
          <cell r="IB1275" t="str">
            <v>GAE - Transportation</v>
          </cell>
          <cell r="IF1275" t="str">
            <v>Others</v>
          </cell>
          <cell r="IG1275" t="str">
            <v>Transportation &amp; Travel</v>
          </cell>
        </row>
        <row r="1276">
          <cell r="HZ1276" t="str">
            <v>90313101-61081101</v>
          </cell>
          <cell r="IA1276" t="str">
            <v>SALES</v>
          </cell>
          <cell r="IB1276" t="str">
            <v>GAE - Transportation</v>
          </cell>
          <cell r="IF1276" t="str">
            <v>Others</v>
          </cell>
          <cell r="IG1276" t="str">
            <v>Transportation &amp; Travel</v>
          </cell>
        </row>
        <row r="1277">
          <cell r="HZ1277" t="str">
            <v>90313105-61081101</v>
          </cell>
          <cell r="IA1277" t="str">
            <v>SALES OPERATIONS</v>
          </cell>
          <cell r="IB1277" t="str">
            <v>GAE - Transportation</v>
          </cell>
          <cell r="IF1277" t="str">
            <v>Others</v>
          </cell>
          <cell r="IG1277" t="str">
            <v>Transportation &amp; Travel</v>
          </cell>
        </row>
        <row r="1278">
          <cell r="HZ1278" t="str">
            <v>81215101-61081101</v>
          </cell>
          <cell r="IA1278" t="str">
            <v>PROPERTY MANAGEMENT</v>
          </cell>
          <cell r="IB1278" t="str">
            <v>GAE - Transportation</v>
          </cell>
          <cell r="IF1278" t="str">
            <v>Others</v>
          </cell>
          <cell r="IG1278" t="str">
            <v>Transportation &amp; Travel</v>
          </cell>
        </row>
        <row r="1279">
          <cell r="HZ1279" t="str">
            <v>90134102-61961101</v>
          </cell>
          <cell r="IA1279" t="str">
            <v>CORPORATE ACCOUNTING</v>
          </cell>
          <cell r="IB1279" t="str">
            <v>GAE - Systems Cost</v>
          </cell>
          <cell r="IF1279" t="str">
            <v>Professional fees</v>
          </cell>
          <cell r="IG1279" t="str">
            <v>Systems cost</v>
          </cell>
        </row>
        <row r="1280">
          <cell r="HZ1280" t="str">
            <v>81111101-52121106</v>
          </cell>
          <cell r="IA1280" t="str">
            <v>CCC-COMMON</v>
          </cell>
          <cell r="IB1280" t="str">
            <v>DOE - Payroll - Regular - Leave Encashment</v>
          </cell>
          <cell r="IF1280" t="str">
            <v>Salaries</v>
          </cell>
          <cell r="IG1280" t="str">
            <v>Leave Encashment</v>
          </cell>
        </row>
        <row r="1281">
          <cell r="HZ1281" t="str">
            <v>90111101-52121314</v>
          </cell>
          <cell r="IA1281" t="str">
            <v>OHI-COMMON</v>
          </cell>
          <cell r="IB1281" t="str">
            <v>DOE - Employee Benefits -De Minimis-Service Awards</v>
          </cell>
          <cell r="IF1281" t="str">
            <v>Employee Benefits</v>
          </cell>
          <cell r="IG1281" t="str">
            <v>Employee Programs/Perks</v>
          </cell>
        </row>
        <row r="1282">
          <cell r="HZ1282" t="str">
            <v>80311101-61021201</v>
          </cell>
          <cell r="IA1282" t="str">
            <v>RED-COMMON</v>
          </cell>
          <cell r="IB1282" t="str">
            <v>GAE - Payroll - Project Employee - Basic</v>
          </cell>
          <cell r="IF1282" t="str">
            <v>Salaries</v>
          </cell>
          <cell r="IG1282" t="str">
            <v>Project Employee</v>
          </cell>
        </row>
        <row r="1283">
          <cell r="HZ1283" t="str">
            <v>80111101-61021203</v>
          </cell>
          <cell r="IA1283" t="str">
            <v>OCLP-COMMON</v>
          </cell>
          <cell r="IB1283" t="str">
            <v>GAE - Payroll - Project Employee - Bonus</v>
          </cell>
          <cell r="IF1283" t="str">
            <v>Salaries</v>
          </cell>
          <cell r="IG1283" t="str">
            <v>Project Employee</v>
          </cell>
        </row>
        <row r="1284">
          <cell r="HZ1284" t="str">
            <v>80122101-61021403</v>
          </cell>
          <cell r="IA1284" t="str">
            <v>HUMAN RESOURCES</v>
          </cell>
          <cell r="IB1284" t="str">
            <v>GAE - Employees' Welfare</v>
          </cell>
          <cell r="IF1284" t="str">
            <v>Employee Benefits</v>
          </cell>
          <cell r="IG1284" t="str">
            <v>Employee Programs/Perks</v>
          </cell>
        </row>
        <row r="1285">
          <cell r="HZ1285" t="str">
            <v>81111101-52959994</v>
          </cell>
          <cell r="IA1285" t="str">
            <v>CCC-COMMON</v>
          </cell>
          <cell r="IB1285" t="str">
            <v>DOE - Disallowed Input VAT</v>
          </cell>
          <cell r="IF1285" t="str">
            <v>Others</v>
          </cell>
          <cell r="IG1285" t="str">
            <v>Disallowed Input VAT</v>
          </cell>
        </row>
        <row r="1286">
          <cell r="HZ1286" t="str">
            <v>81319101-52091102</v>
          </cell>
          <cell r="IA1286" t="str">
            <v>OMD OPERATIONS</v>
          </cell>
          <cell r="IB1286" t="str">
            <v>DOE - Meeting</v>
          </cell>
          <cell r="IF1286" t="str">
            <v>Others</v>
          </cell>
          <cell r="IG1286" t="str">
            <v>Entertainment, Amusement &amp; Recreation</v>
          </cell>
        </row>
        <row r="1287">
          <cell r="HZ1287" t="str">
            <v>81319101-52091101</v>
          </cell>
          <cell r="IA1287" t="str">
            <v>OMD OPERATIONS</v>
          </cell>
          <cell r="IB1287" t="str">
            <v>DOE - Representation</v>
          </cell>
          <cell r="IF1287" t="str">
            <v>Others</v>
          </cell>
          <cell r="IG1287" t="str">
            <v>Entertainment, Amusement &amp; Recreation</v>
          </cell>
        </row>
        <row r="1288">
          <cell r="HZ1288" t="str">
            <v>81319101-52041425</v>
          </cell>
          <cell r="IA1288" t="str">
            <v>OMD OPERATIONS</v>
          </cell>
          <cell r="IB1288" t="str">
            <v>DOE - Janitorial - Common - Restricted</v>
          </cell>
          <cell r="IF1288" t="str">
            <v>Contracted services</v>
          </cell>
          <cell r="IG1288" t="str">
            <v>Janitorial</v>
          </cell>
        </row>
        <row r="1289">
          <cell r="HZ1289" t="str">
            <v>81319101-52041498</v>
          </cell>
          <cell r="IA1289" t="str">
            <v>OMD OPERATIONS</v>
          </cell>
          <cell r="IB1289" t="str">
            <v>DOE - Contr Servcs - Others - Restricted</v>
          </cell>
          <cell r="IF1289" t="str">
            <v>Contracted services</v>
          </cell>
          <cell r="IG1289" t="str">
            <v>Admin Staff</v>
          </cell>
        </row>
        <row r="1290">
          <cell r="HZ1290" t="str">
            <v>90122101-52121103</v>
          </cell>
          <cell r="IA1290" t="str">
            <v>HUMAN RESOURCES</v>
          </cell>
          <cell r="IB1290" t="str">
            <v>DOE - Regular - OT Allowance</v>
          </cell>
          <cell r="IF1290" t="str">
            <v>Salaries</v>
          </cell>
          <cell r="IG1290" t="str">
            <v>OT Pay</v>
          </cell>
        </row>
        <row r="1291">
          <cell r="HZ1291" t="str">
            <v>90111101-52121203</v>
          </cell>
          <cell r="IA1291" t="str">
            <v>OHI-COMMON</v>
          </cell>
          <cell r="IB1291" t="str">
            <v>DOE - Payroll - Project - Bonus</v>
          </cell>
          <cell r="IF1291" t="str">
            <v>Salaries</v>
          </cell>
          <cell r="IG1291" t="str">
            <v>Project Employee</v>
          </cell>
        </row>
        <row r="1292">
          <cell r="HZ1292" t="str">
            <v>81319101-52121502</v>
          </cell>
          <cell r="IA1292" t="str">
            <v>OMD OPERATIONS</v>
          </cell>
          <cell r="IB1292" t="str">
            <v>DOE - Training - Local</v>
          </cell>
          <cell r="IF1292" t="str">
            <v>Employee Benefits</v>
          </cell>
          <cell r="IG1292" t="str">
            <v>Trainings &amp; Seminars</v>
          </cell>
        </row>
        <row r="1293">
          <cell r="HZ1293" t="str">
            <v>90121101-52071199</v>
          </cell>
          <cell r="IA1293" t="str">
            <v>CORP RESOURCES DIV</v>
          </cell>
          <cell r="IB1293" t="str">
            <v>DOE - Prof. Fees - Others</v>
          </cell>
          <cell r="IF1293" t="str">
            <v>Professional fees</v>
          </cell>
          <cell r="IG1293" t="str">
            <v>Internal and external consultants</v>
          </cell>
        </row>
        <row r="1294">
          <cell r="HZ1294" t="str">
            <v>81111101-52111101</v>
          </cell>
          <cell r="IA1294" t="str">
            <v>CCC-COMMON</v>
          </cell>
          <cell r="IB1294" t="str">
            <v>DOE - Supplies</v>
          </cell>
          <cell r="IF1294" t="str">
            <v>Others</v>
          </cell>
          <cell r="IG1294" t="str">
            <v>Supplies</v>
          </cell>
        </row>
        <row r="1295">
          <cell r="HZ1295" t="str">
            <v>81111204-52091102</v>
          </cell>
          <cell r="IA1295" t="str">
            <v>OFFICE OF THE CFO</v>
          </cell>
          <cell r="IB1295" t="str">
            <v>DOE - Meeting</v>
          </cell>
          <cell r="IF1295" t="str">
            <v>Others</v>
          </cell>
          <cell r="IG1295" t="str">
            <v>Entertainment, Amusement &amp; Recreation</v>
          </cell>
        </row>
        <row r="1296">
          <cell r="HZ1296" t="str">
            <v>80341501-61959994</v>
          </cell>
          <cell r="IA1296" t="str">
            <v>CALATAGAN PROJECT</v>
          </cell>
          <cell r="IB1296" t="str">
            <v>GAE - Research &amp; Development</v>
          </cell>
          <cell r="IF1296" t="str">
            <v>Others</v>
          </cell>
          <cell r="IG1296" t="str">
            <v>Research and Development</v>
          </cell>
        </row>
        <row r="1297">
          <cell r="HZ1297" t="str">
            <v>90134102-52071103</v>
          </cell>
          <cell r="IA1297" t="str">
            <v>CORPORATE ACCOUNTING</v>
          </cell>
          <cell r="IB1297" t="str">
            <v>DOE - Prof. Fees - Directors</v>
          </cell>
          <cell r="IF1297" t="str">
            <v>Professional fees</v>
          </cell>
          <cell r="IG1297" t="str">
            <v>BOD</v>
          </cell>
        </row>
        <row r="1298">
          <cell r="HZ1298" t="str">
            <v>90122101-52121313</v>
          </cell>
          <cell r="IA1298" t="str">
            <v>HUMAN RESOURCES</v>
          </cell>
          <cell r="IB1298" t="str">
            <v>DOE - Employee Benefits - Fringe Benefits Tax</v>
          </cell>
          <cell r="IF1298" t="str">
            <v>Employee Benefits</v>
          </cell>
          <cell r="IG1298" t="str">
            <v>FBT</v>
          </cell>
        </row>
        <row r="1299">
          <cell r="HZ1299" t="str">
            <v>90122101-52121106</v>
          </cell>
          <cell r="IA1299" t="str">
            <v>HUMAN RESOURCES</v>
          </cell>
          <cell r="IB1299" t="str">
            <v>DOE - Payroll - Regular - Leave Encashment</v>
          </cell>
          <cell r="IF1299" t="str">
            <v>Salaries</v>
          </cell>
          <cell r="IG1299" t="str">
            <v>Leave Encashment</v>
          </cell>
        </row>
        <row r="1300">
          <cell r="HZ1300" t="str">
            <v>80122101-61081103</v>
          </cell>
          <cell r="IA1300" t="str">
            <v>HUMAN RESOURCES</v>
          </cell>
          <cell r="IB1300" t="str">
            <v>GAE - Travel - Foreign</v>
          </cell>
          <cell r="IF1300" t="str">
            <v>Others</v>
          </cell>
          <cell r="IG1300" t="str">
            <v>Transportation &amp; Travel</v>
          </cell>
        </row>
        <row r="1301">
          <cell r="HZ1301" t="str">
            <v>81122101-52081101</v>
          </cell>
          <cell r="IA1301" t="str">
            <v>HUMAN RESOURCES</v>
          </cell>
          <cell r="IB1301" t="str">
            <v>DOE - Transportation and Travel - Local &amp; Foreign</v>
          </cell>
          <cell r="IF1301" t="str">
            <v>Others</v>
          </cell>
          <cell r="IG1301" t="str">
            <v>Transportation &amp; Travel</v>
          </cell>
        </row>
        <row r="1302">
          <cell r="HZ1302" t="str">
            <v>90122101-52081101</v>
          </cell>
          <cell r="IA1302" t="str">
            <v>HUMAN RESOURCES</v>
          </cell>
          <cell r="IB1302" t="str">
            <v>DOE - Transportation and Travel - Local &amp; Foreign</v>
          </cell>
          <cell r="IF1302" t="str">
            <v>Others</v>
          </cell>
          <cell r="IG1302" t="str">
            <v>Transportation &amp; Travel</v>
          </cell>
        </row>
        <row r="1303">
          <cell r="HZ1303" t="str">
            <v>90124101-52952103</v>
          </cell>
          <cell r="IA1303" t="str">
            <v>IS &amp; IT</v>
          </cell>
          <cell r="IB1303" t="str">
            <v>DOE - Systems and Applications</v>
          </cell>
          <cell r="IF1303" t="str">
            <v>Systems &amp; Applications</v>
          </cell>
        </row>
        <row r="1304">
          <cell r="HZ1304" t="str">
            <v>90124101-52061109</v>
          </cell>
          <cell r="IA1304" t="str">
            <v>IS &amp; IT</v>
          </cell>
          <cell r="IB1304" t="str">
            <v>DOE - Repairs &amp; Maint. - IT System &amp; Equipment</v>
          </cell>
          <cell r="IF1304" t="str">
            <v>Systems &amp; Applications</v>
          </cell>
        </row>
        <row r="1305">
          <cell r="HZ1305" t="str">
            <v>80215106-52959903</v>
          </cell>
          <cell r="IA1305" t="str">
            <v>TECHNICAL SERVICES</v>
          </cell>
          <cell r="IB1305" t="str">
            <v>DOE - Donations &amp; Contributions</v>
          </cell>
          <cell r="IF1305" t="str">
            <v>Others</v>
          </cell>
          <cell r="IG1305" t="str">
            <v>Donations, Contributions and Miscellaneous Expenses</v>
          </cell>
        </row>
        <row r="1306">
          <cell r="HZ1306" t="str">
            <v>80215106-61111102</v>
          </cell>
          <cell r="IA1306" t="str">
            <v>TECHNICAL SERVICES</v>
          </cell>
          <cell r="IB1306" t="str">
            <v>GAE - Low Value Assets</v>
          </cell>
          <cell r="IF1306" t="str">
            <v>Others</v>
          </cell>
          <cell r="IG1306" t="str">
            <v>Supplies</v>
          </cell>
        </row>
        <row r="1307">
          <cell r="HZ1307" t="str">
            <v>80215106-61071099</v>
          </cell>
          <cell r="IA1307" t="str">
            <v>TECHNICAL SERVICES</v>
          </cell>
          <cell r="IB1307" t="str">
            <v>GAE - Prof. Fees - Others</v>
          </cell>
          <cell r="IF1307" t="str">
            <v>Professional fees</v>
          </cell>
          <cell r="IG1307" t="str">
            <v>Internal and external consultants</v>
          </cell>
        </row>
        <row r="1308">
          <cell r="HZ1308" t="str">
            <v>90215106-52952101</v>
          </cell>
          <cell r="IA1308" t="str">
            <v>TECHNICAL SERVICES</v>
          </cell>
          <cell r="IB1308" t="str">
            <v>DOE - Dues &amp; Fees</v>
          </cell>
          <cell r="IF1308" t="str">
            <v>Others</v>
          </cell>
          <cell r="IG1308" t="str">
            <v>Dues and Fees</v>
          </cell>
        </row>
        <row r="1309">
          <cell r="HZ1309" t="str">
            <v>81319202-52952101</v>
          </cell>
          <cell r="IA1309" t="str">
            <v>OFFICES OPERATIONS</v>
          </cell>
          <cell r="IB1309" t="str">
            <v>DOE - Dues &amp; Fees</v>
          </cell>
          <cell r="IF1309" t="str">
            <v>Others</v>
          </cell>
          <cell r="IG1309" t="str">
            <v>Dues and Fees</v>
          </cell>
        </row>
        <row r="1310">
          <cell r="HZ1310" t="str">
            <v>81319202-52041499</v>
          </cell>
          <cell r="IA1310" t="str">
            <v>OFFICES OPERATIONS</v>
          </cell>
          <cell r="IB1310" t="str">
            <v>DOE - Contracted Services - Others</v>
          </cell>
          <cell r="IF1310" t="str">
            <v>Contracted services</v>
          </cell>
          <cell r="IG1310" t="str">
            <v>Contracted-Others</v>
          </cell>
        </row>
        <row r="1311">
          <cell r="HZ1311" t="str">
            <v>80313107-52071101</v>
          </cell>
          <cell r="IA1311" t="str">
            <v>CUSTOMER CARE DEPT</v>
          </cell>
          <cell r="IB1311" t="str">
            <v>DOE - Professional Fees</v>
          </cell>
          <cell r="IF1311" t="str">
            <v>Professional fees</v>
          </cell>
          <cell r="IG1311" t="str">
            <v>Internal and external consultants</v>
          </cell>
        </row>
        <row r="1312">
          <cell r="HZ1312" t="str">
            <v>80134102-61711101</v>
          </cell>
          <cell r="IA1312" t="str">
            <v>CORPORATE ACCOUNTING</v>
          </cell>
          <cell r="IB1312" t="str">
            <v>GAE - Dues &amp; Fees</v>
          </cell>
          <cell r="IF1312" t="str">
            <v>Others</v>
          </cell>
          <cell r="IG1312" t="str">
            <v>Valle Verde</v>
          </cell>
        </row>
        <row r="1313">
          <cell r="HZ1313" t="str">
            <v>90134102-52091102</v>
          </cell>
          <cell r="IA1313" t="str">
            <v>CORPORATE ACCOUNTING</v>
          </cell>
          <cell r="IB1313" t="str">
            <v>DOE - Meeting</v>
          </cell>
          <cell r="IF1313" t="str">
            <v>Others</v>
          </cell>
          <cell r="IG1313" t="str">
            <v>BOD Meeting</v>
          </cell>
        </row>
        <row r="1314">
          <cell r="HZ1314" t="str">
            <v>90134102-52952101</v>
          </cell>
          <cell r="IA1314" t="str">
            <v>CORPORATE ACCOUNTING</v>
          </cell>
          <cell r="IB1314" t="str">
            <v>DOE - Dues &amp; Fees</v>
          </cell>
          <cell r="IF1314" t="str">
            <v>Others</v>
          </cell>
          <cell r="IG1314" t="str">
            <v>Dues and Fees</v>
          </cell>
        </row>
        <row r="1315">
          <cell r="HZ1315" t="str">
            <v>90134102-52081101</v>
          </cell>
          <cell r="IA1315" t="str">
            <v>CORPORATE ACCOUNTING</v>
          </cell>
          <cell r="IB1315" t="str">
            <v>DOE - Transportation and Travel - Local &amp; Foreign</v>
          </cell>
          <cell r="IF1315" t="str">
            <v>Others</v>
          </cell>
          <cell r="IG1315" t="str">
            <v>Transportation &amp; Travel</v>
          </cell>
        </row>
        <row r="1316">
          <cell r="HZ1316" t="str">
            <v>80313103-61061101</v>
          </cell>
          <cell r="IA1316" t="str">
            <v>HANDOVER MGT DEPT</v>
          </cell>
          <cell r="IB1316" t="str">
            <v>GAE - Repairs&amp; Maint. - Building &amp; Improvements</v>
          </cell>
          <cell r="IF1316" t="str">
            <v>Others</v>
          </cell>
          <cell r="IG1316" t="str">
            <v>Repairs &amp; Maintenance</v>
          </cell>
        </row>
        <row r="1317">
          <cell r="HZ1317" t="str">
            <v>80313103-52959903</v>
          </cell>
          <cell r="IA1317" t="str">
            <v>HANDOVER MGT DEPT</v>
          </cell>
          <cell r="IB1317" t="str">
            <v>DOE - Donations &amp; Contributions</v>
          </cell>
          <cell r="IF1317" t="str">
            <v>Others</v>
          </cell>
          <cell r="IG1317" t="str">
            <v>Donations, Contributions and Miscellaneous Expenses</v>
          </cell>
        </row>
        <row r="1318">
          <cell r="HZ1318" t="str">
            <v>80123101-61711102</v>
          </cell>
          <cell r="IA1318" t="str">
            <v>LEGAL</v>
          </cell>
          <cell r="IB1318" t="str">
            <v>GAE- Systems &amp; Applications</v>
          </cell>
          <cell r="IF1318" t="str">
            <v>Systems &amp; Applications</v>
          </cell>
        </row>
        <row r="1319">
          <cell r="HZ1319" t="str">
            <v>81123101-52951102</v>
          </cell>
          <cell r="IA1319" t="str">
            <v>LEGAL</v>
          </cell>
          <cell r="IB1319" t="str">
            <v>DOE - Postal &amp; Communication - Postal</v>
          </cell>
          <cell r="IF1319" t="str">
            <v>Others</v>
          </cell>
          <cell r="IG1319" t="str">
            <v>Postal &amp; Communication</v>
          </cell>
        </row>
        <row r="1320">
          <cell r="HZ1320" t="str">
            <v>81123101-52071101</v>
          </cell>
          <cell r="IA1320" t="str">
            <v>LEGAL</v>
          </cell>
          <cell r="IB1320" t="str">
            <v>DOE - Professional Fees</v>
          </cell>
          <cell r="IF1320" t="str">
            <v>Professional fees</v>
          </cell>
          <cell r="IG1320" t="str">
            <v>Internal and external consultants</v>
          </cell>
        </row>
        <row r="1321">
          <cell r="HZ1321" t="str">
            <v>90123101-52951102</v>
          </cell>
          <cell r="IA1321" t="str">
            <v>LEGAL</v>
          </cell>
          <cell r="IB1321" t="str">
            <v>DOE - Postal &amp; Communication - Postal</v>
          </cell>
          <cell r="IF1321" t="str">
            <v>Others</v>
          </cell>
          <cell r="IG1321" t="str">
            <v>Postal &amp; Communication</v>
          </cell>
        </row>
        <row r="1322">
          <cell r="HZ1322" t="str">
            <v>90123101-52071101</v>
          </cell>
          <cell r="IA1322" t="str">
            <v>LEGAL</v>
          </cell>
          <cell r="IB1322" t="str">
            <v>DOE - Professional Fees</v>
          </cell>
          <cell r="IF1322" t="str">
            <v>Professional fees</v>
          </cell>
          <cell r="IG1322" t="str">
            <v>Internal and external consultants</v>
          </cell>
        </row>
        <row r="1323">
          <cell r="HZ1323" t="str">
            <v>80133103-61031199</v>
          </cell>
          <cell r="IA1323" t="str">
            <v>PROCUREMENT</v>
          </cell>
          <cell r="IB1323" t="str">
            <v>GAE - Taxes &amp; Licenses - Others</v>
          </cell>
          <cell r="IF1323" t="str">
            <v>Taxes &amp; Licenses</v>
          </cell>
        </row>
        <row r="1324">
          <cell r="HZ1324" t="str">
            <v>81133103-52031101</v>
          </cell>
          <cell r="IA1324" t="str">
            <v>PROCUREMENT</v>
          </cell>
          <cell r="IB1324" t="str">
            <v>DOE - Taxes &amp; Licenses - LBT</v>
          </cell>
          <cell r="IF1324" t="str">
            <v>Taxes &amp; Licenses</v>
          </cell>
        </row>
        <row r="1325">
          <cell r="HZ1325" t="str">
            <v>81125101-52091101</v>
          </cell>
          <cell r="IA1325" t="str">
            <v>EXTERNAL AFFAIRS DEP</v>
          </cell>
          <cell r="IB1325" t="str">
            <v>DOE - Representation</v>
          </cell>
          <cell r="IF1325" t="str">
            <v>Others</v>
          </cell>
          <cell r="IG1325" t="str">
            <v>Entertainment, Amusement &amp; Recreation</v>
          </cell>
        </row>
        <row r="1326">
          <cell r="HZ1326" t="str">
            <v>90125101-52091101</v>
          </cell>
          <cell r="IA1326" t="str">
            <v>EXTERNAL AFFAIRS DEP</v>
          </cell>
          <cell r="IB1326" t="str">
            <v>DOE - Representation</v>
          </cell>
          <cell r="IF1326" t="str">
            <v>Others</v>
          </cell>
          <cell r="IG1326" t="str">
            <v>Entertainment, Amusement &amp; Recreation</v>
          </cell>
        </row>
        <row r="1327">
          <cell r="HZ1327" t="str">
            <v>80133102-52959903</v>
          </cell>
          <cell r="IA1327" t="str">
            <v>TAX ACCOUNTING</v>
          </cell>
          <cell r="IB1327" t="str">
            <v>DOE - Donations &amp; Contributions</v>
          </cell>
          <cell r="IF1327" t="str">
            <v>Others</v>
          </cell>
          <cell r="IG1327" t="str">
            <v>Donations, Contributions and Miscellaneous Expenses</v>
          </cell>
        </row>
        <row r="1328">
          <cell r="HZ1328" t="str">
            <v>81133102-52551208</v>
          </cell>
          <cell r="IA1328" t="str">
            <v>TAX ACCOUNTING</v>
          </cell>
          <cell r="IB1328" t="str">
            <v>DOE - Promos - Branding</v>
          </cell>
          <cell r="IF1328" t="str">
            <v>Ad &amp; Promo</v>
          </cell>
        </row>
        <row r="1329">
          <cell r="HZ1329" t="str">
            <v>81133102-52091101</v>
          </cell>
          <cell r="IA1329" t="str">
            <v>TAX ACCOUNTING</v>
          </cell>
          <cell r="IB1329" t="str">
            <v>DOE - Representation</v>
          </cell>
          <cell r="IF1329" t="str">
            <v>Others</v>
          </cell>
          <cell r="IG1329" t="str">
            <v>Entertainment, Amusement &amp; Recreation</v>
          </cell>
        </row>
        <row r="1330">
          <cell r="HZ1330" t="str">
            <v>90133102-52951102</v>
          </cell>
          <cell r="IA1330" t="str">
            <v>TAX ACCOUNTING</v>
          </cell>
          <cell r="IB1330" t="str">
            <v>DOE - Postal &amp; Communication - Postal</v>
          </cell>
          <cell r="IF1330" t="str">
            <v>Others</v>
          </cell>
          <cell r="IG1330" t="str">
            <v>Postal &amp; Communication</v>
          </cell>
        </row>
        <row r="1331">
          <cell r="HZ1331" t="str">
            <v>90133102-52551208</v>
          </cell>
          <cell r="IA1331" t="str">
            <v>TAX ACCOUNTING</v>
          </cell>
          <cell r="IB1331" t="str">
            <v>DOE - Promos - Branding</v>
          </cell>
          <cell r="IF1331" t="str">
            <v>Ad &amp; Promo</v>
          </cell>
        </row>
        <row r="1332">
          <cell r="HZ1332" t="str">
            <v>90133102-52041499</v>
          </cell>
          <cell r="IA1332" t="str">
            <v>TAX ACCOUNTING</v>
          </cell>
          <cell r="IB1332" t="str">
            <v>DOE - Contracted Services - Others</v>
          </cell>
          <cell r="IF1332" t="str">
            <v>Contracted services</v>
          </cell>
          <cell r="IG1332" t="str">
            <v>Contracted-Others</v>
          </cell>
        </row>
        <row r="1333">
          <cell r="HZ1333" t="str">
            <v>90133102-52091101</v>
          </cell>
          <cell r="IA1333" t="str">
            <v>TAX ACCOUNTING</v>
          </cell>
          <cell r="IB1333" t="str">
            <v>DOE - Representation</v>
          </cell>
          <cell r="IF1333" t="str">
            <v>Others</v>
          </cell>
          <cell r="IG1333" t="str">
            <v>Entertainment, Amusement &amp; Recreation</v>
          </cell>
        </row>
        <row r="1334">
          <cell r="HZ1334" t="str">
            <v>90133102-52952101</v>
          </cell>
          <cell r="IA1334" t="str">
            <v>TAX ACCOUNTING</v>
          </cell>
          <cell r="IB1334" t="str">
            <v>DOE - Dues &amp; Fees</v>
          </cell>
          <cell r="IF1334" t="str">
            <v>Others</v>
          </cell>
          <cell r="IG1334" t="str">
            <v>Dues and Fees</v>
          </cell>
        </row>
        <row r="1335">
          <cell r="HZ1335" t="str">
            <v>80126102-61061102</v>
          </cell>
          <cell r="IA1335" t="str">
            <v>DCMG - PROP SALES</v>
          </cell>
          <cell r="IB1335" t="str">
            <v>GAE - Repairs&amp; Maint - Furniture, Fixture &amp; Equip</v>
          </cell>
          <cell r="IF1335" t="str">
            <v>Others</v>
          </cell>
          <cell r="IG1335" t="str">
            <v>Repairs &amp; Maintenance</v>
          </cell>
        </row>
        <row r="1336">
          <cell r="HZ1336" t="str">
            <v>90126102-52952101</v>
          </cell>
          <cell r="IA1336" t="str">
            <v>DCMG - PROP SALES</v>
          </cell>
          <cell r="IB1336" t="str">
            <v>DOE - Dues &amp; Fees</v>
          </cell>
          <cell r="IF1336" t="str">
            <v>Others</v>
          </cell>
          <cell r="IG1336" t="str">
            <v>Dues and Fees</v>
          </cell>
        </row>
        <row r="1337">
          <cell r="HZ1337" t="str">
            <v>90126102-52081101</v>
          </cell>
          <cell r="IA1337" t="str">
            <v>DCMG - PROP SALES</v>
          </cell>
          <cell r="IB1337" t="str">
            <v>DOE - Transportation and Travel - Local &amp; Foreign</v>
          </cell>
          <cell r="IF1337" t="str">
            <v>Others</v>
          </cell>
          <cell r="IG1337" t="str">
            <v>Transportation &amp; Travel</v>
          </cell>
        </row>
        <row r="1338">
          <cell r="HZ1338" t="str">
            <v>81313102-52952101</v>
          </cell>
          <cell r="IA1338" t="str">
            <v>OFFICE LEASING</v>
          </cell>
          <cell r="IB1338" t="str">
            <v>DOE - Dues &amp; Fees</v>
          </cell>
          <cell r="IF1338" t="str">
            <v>Others</v>
          </cell>
          <cell r="IG1338" t="str">
            <v>Dues and Fees</v>
          </cell>
        </row>
        <row r="1339">
          <cell r="HZ1339" t="str">
            <v>80132102-52959903</v>
          </cell>
          <cell r="IA1339" t="str">
            <v>TREASURY SERVICES</v>
          </cell>
          <cell r="IB1339" t="str">
            <v>DOE - Donations &amp; Contributions</v>
          </cell>
          <cell r="IF1339" t="str">
            <v>Others</v>
          </cell>
          <cell r="IG1339" t="str">
            <v>Donations, Contributions and Miscellaneous Expenses</v>
          </cell>
        </row>
        <row r="1340">
          <cell r="HZ1340" t="str">
            <v>81123101-52071199</v>
          </cell>
          <cell r="IA1340" t="str">
            <v>LEGAL</v>
          </cell>
          <cell r="IB1340" t="str">
            <v>DOE - Prof. Fees - Others</v>
          </cell>
          <cell r="IF1340" t="str">
            <v>Professional fees</v>
          </cell>
          <cell r="IG1340" t="str">
            <v>Internal and external consultants</v>
          </cell>
        </row>
        <row r="1341">
          <cell r="HZ1341" t="str">
            <v>90123101-52071199</v>
          </cell>
          <cell r="IA1341" t="str">
            <v>LEGAL</v>
          </cell>
          <cell r="IB1341" t="str">
            <v>DOE - Prof. Fees - Others</v>
          </cell>
          <cell r="IF1341" t="str">
            <v>Professional fees</v>
          </cell>
          <cell r="IG1341" t="str">
            <v>Internal and external consultants</v>
          </cell>
        </row>
        <row r="1342">
          <cell r="HZ1342" t="str">
            <v>90124101-52071104</v>
          </cell>
          <cell r="IA1342" t="str">
            <v>IS &amp; IT</v>
          </cell>
          <cell r="IB1342" t="str">
            <v>DOE - Prof. Fees - Consultants</v>
          </cell>
          <cell r="IF1342" t="str">
            <v>Professional fees</v>
          </cell>
          <cell r="IG1342" t="str">
            <v>Internal and external consultants</v>
          </cell>
        </row>
        <row r="1343">
          <cell r="HZ1343" t="str">
            <v>80215106-61071004</v>
          </cell>
          <cell r="IA1343" t="str">
            <v>TECHNICAL SERVICES</v>
          </cell>
          <cell r="IB1343" t="str">
            <v>GAE - Prof. Fees - Consultants</v>
          </cell>
          <cell r="IF1343" t="str">
            <v>Professional fees</v>
          </cell>
          <cell r="IG1343" t="str">
            <v>Internal and external consultants</v>
          </cell>
        </row>
        <row r="1344">
          <cell r="HZ1344" t="str">
            <v>80123101-61071006</v>
          </cell>
          <cell r="IA1344" t="str">
            <v>LEGAL</v>
          </cell>
          <cell r="IB1344" t="str">
            <v>GAE - Prof. Fees - OPE</v>
          </cell>
          <cell r="IF1344" t="str">
            <v>Professional fees</v>
          </cell>
          <cell r="IG1344" t="str">
            <v>Internal and external consultants</v>
          </cell>
        </row>
        <row r="1345">
          <cell r="HZ1345" t="str">
            <v>90133102-52071106</v>
          </cell>
          <cell r="IA1345" t="str">
            <v>TAX ACCOUNTING</v>
          </cell>
          <cell r="IB1345" t="str">
            <v>DOE - Prof. Fees - OPE</v>
          </cell>
          <cell r="IF1345" t="str">
            <v>Professional fees</v>
          </cell>
          <cell r="IG1345" t="str">
            <v>Internal and external consultants</v>
          </cell>
        </row>
        <row r="1346">
          <cell r="HZ1346" t="str">
            <v>81319101-52119101</v>
          </cell>
          <cell r="IA1346" t="str">
            <v>OMD OPERATIONS</v>
          </cell>
          <cell r="IB1346" t="str">
            <v>DOE - Fuel &amp; Lubricants</v>
          </cell>
          <cell r="IF1346" t="str">
            <v>Others</v>
          </cell>
          <cell r="IG1346" t="str">
            <v>Supplies</v>
          </cell>
        </row>
        <row r="1347">
          <cell r="HZ1347" t="str">
            <v>81319101-52061103</v>
          </cell>
          <cell r="IA1347" t="str">
            <v>OMD OPERATIONS</v>
          </cell>
          <cell r="IB1347" t="str">
            <v>DOE - Repairs &amp; Maint. - Building</v>
          </cell>
          <cell r="IF1347" t="str">
            <v>Others</v>
          </cell>
          <cell r="IG1347" t="str">
            <v>Repairs &amp; Maintenance</v>
          </cell>
        </row>
        <row r="1348">
          <cell r="HZ1348" t="str">
            <v>81319101-52061102</v>
          </cell>
          <cell r="IA1348" t="str">
            <v>OMD OPERATIONS</v>
          </cell>
          <cell r="IB1348" t="str">
            <v>DOE - Repairs &amp; Maint. - Machinery &amp; Equipment</v>
          </cell>
          <cell r="IF1348" t="str">
            <v>Others</v>
          </cell>
          <cell r="IG1348" t="str">
            <v>Repairs &amp; Maintenance</v>
          </cell>
        </row>
        <row r="1349">
          <cell r="HZ1349" t="str">
            <v>81319101-52061111</v>
          </cell>
          <cell r="IA1349" t="str">
            <v>OMD OPERATIONS</v>
          </cell>
          <cell r="IB1349" t="str">
            <v>DOE - Repairs &amp; Maintenance - Supplies</v>
          </cell>
          <cell r="IF1349" t="str">
            <v>Others</v>
          </cell>
          <cell r="IG1349" t="str">
            <v>Repairs &amp; Maintenance</v>
          </cell>
        </row>
        <row r="1350">
          <cell r="HZ1350" t="str">
            <v>81319101-52011199</v>
          </cell>
          <cell r="IA1350" t="str">
            <v>OMD OPERATIONS</v>
          </cell>
          <cell r="IB1350" t="str">
            <v>DOE - Rent - Interco</v>
          </cell>
          <cell r="IF1350" t="str">
            <v>Others</v>
          </cell>
          <cell r="IG1350" t="str">
            <v>Rent</v>
          </cell>
        </row>
        <row r="1351">
          <cell r="HZ1351" t="str">
            <v>80111201-52041101</v>
          </cell>
          <cell r="IA1351" t="str">
            <v>MANCOM &amp; STAFF</v>
          </cell>
          <cell r="IB1351" t="str">
            <v>DOE - Light &amp; Power - Common</v>
          </cell>
          <cell r="IF1351" t="str">
            <v>Others</v>
          </cell>
          <cell r="IG1351" t="str">
            <v>Electricity &amp; Water</v>
          </cell>
        </row>
        <row r="1352">
          <cell r="HZ1352" t="str">
            <v>80121101-52041101</v>
          </cell>
          <cell r="IA1352" t="str">
            <v>CORP RESOURCES DIV</v>
          </cell>
          <cell r="IB1352" t="str">
            <v>DOE - Light &amp; Power - Common</v>
          </cell>
          <cell r="IF1352" t="str">
            <v>Others</v>
          </cell>
          <cell r="IG1352" t="str">
            <v>Electricity &amp; Water</v>
          </cell>
        </row>
        <row r="1353">
          <cell r="HZ1353" t="str">
            <v>80122101-52041101</v>
          </cell>
          <cell r="IA1353" t="str">
            <v>HUMAN RESOURCES</v>
          </cell>
          <cell r="IB1353" t="str">
            <v>DOE - Light &amp; Power - Common</v>
          </cell>
          <cell r="IF1353" t="str">
            <v>Others</v>
          </cell>
          <cell r="IG1353" t="str">
            <v>Electricity &amp; Water</v>
          </cell>
        </row>
        <row r="1354">
          <cell r="HZ1354" t="str">
            <v>80131101-52041101</v>
          </cell>
          <cell r="IA1354" t="str">
            <v>FINANCE - COMMON</v>
          </cell>
          <cell r="IB1354" t="str">
            <v>DOE - Light &amp; Power - Common</v>
          </cell>
          <cell r="IF1354" t="str">
            <v>Others</v>
          </cell>
          <cell r="IG1354" t="str">
            <v>Electricity &amp; Water</v>
          </cell>
        </row>
        <row r="1355">
          <cell r="HZ1355" t="str">
            <v>80311101-52041101</v>
          </cell>
          <cell r="IA1355" t="str">
            <v>RED-COMMON</v>
          </cell>
          <cell r="IB1355" t="str">
            <v>DOE - Light &amp; Power - Common</v>
          </cell>
          <cell r="IF1355" t="str">
            <v>Others</v>
          </cell>
          <cell r="IG1355" t="str">
            <v>Electricity &amp; Water</v>
          </cell>
        </row>
        <row r="1356">
          <cell r="HZ1356" t="str">
            <v>90311101-52041495</v>
          </cell>
          <cell r="IA1356" t="str">
            <v>RED-COMMON</v>
          </cell>
          <cell r="IB1356" t="str">
            <v>DOE - Contracted Services - Staff</v>
          </cell>
          <cell r="IF1356" t="str">
            <v>Salaries</v>
          </cell>
          <cell r="IG1356" t="str">
            <v>Office Staff (BTs)</v>
          </cell>
        </row>
        <row r="1357">
          <cell r="HZ1357" t="str">
            <v>81319101-52061123</v>
          </cell>
          <cell r="IA1357" t="str">
            <v>OMD OPERATIONS</v>
          </cell>
          <cell r="IB1357" t="str">
            <v>DOE - R&amp;M - Building - Restricted</v>
          </cell>
          <cell r="IF1357" t="str">
            <v>Others</v>
          </cell>
          <cell r="IG1357" t="str">
            <v>Repairs &amp; Maintenance</v>
          </cell>
        </row>
        <row r="1358">
          <cell r="HZ1358" t="str">
            <v>81319101-52061125</v>
          </cell>
          <cell r="IA1358" t="str">
            <v>OMD OPERATIONS</v>
          </cell>
          <cell r="IB1358" t="str">
            <v>DOE - R&amp;M - Transportation - Restricted</v>
          </cell>
          <cell r="IF1358" t="str">
            <v>Others</v>
          </cell>
          <cell r="IG1358" t="str">
            <v>Repairs &amp; Maintenance</v>
          </cell>
        </row>
        <row r="1359">
          <cell r="HZ1359" t="str">
            <v>90134102-52091103</v>
          </cell>
          <cell r="IA1359" t="str">
            <v>CORPORATE ACCOUNTING</v>
          </cell>
          <cell r="IB1359" t="str">
            <v>DOE - Meeting - BOD per Diem</v>
          </cell>
          <cell r="IF1359" t="str">
            <v>Others</v>
          </cell>
          <cell r="IG1359" t="str">
            <v>BOD Meeting</v>
          </cell>
        </row>
        <row r="1360">
          <cell r="HZ1360" t="str">
            <v>90111101-52101107</v>
          </cell>
          <cell r="IA1360" t="str">
            <v>OHI-COMMON</v>
          </cell>
          <cell r="IB1360" t="str">
            <v>DOE - Insurance - Directors, Officers &amp; Liability</v>
          </cell>
          <cell r="IF1360" t="str">
            <v>Others</v>
          </cell>
          <cell r="IG1360" t="str">
            <v>Insurance</v>
          </cell>
        </row>
        <row r="1361">
          <cell r="HZ1361" t="str">
            <v>81319101-52111111</v>
          </cell>
          <cell r="IA1361" t="str">
            <v>OMD OPERATIONS</v>
          </cell>
          <cell r="IB1361" t="str">
            <v>DOE - Supplies - Restricted</v>
          </cell>
          <cell r="IF1361" t="str">
            <v>Others</v>
          </cell>
          <cell r="IG1361" t="str">
            <v>Repairs &amp; Maintenance</v>
          </cell>
        </row>
        <row r="1362">
          <cell r="HZ1362" t="str">
            <v>90311101-52121101</v>
          </cell>
          <cell r="IA1362" t="str">
            <v>RED-COMMON</v>
          </cell>
          <cell r="IB1362" t="str">
            <v>DOE - Payroll - Regular - Basic</v>
          </cell>
          <cell r="IF1362" t="str">
            <v>Salaries</v>
          </cell>
          <cell r="IG1362" t="str">
            <v>Regular Employee</v>
          </cell>
        </row>
        <row r="1363">
          <cell r="HZ1363" t="str">
            <v>90111101-52121202</v>
          </cell>
          <cell r="IA1363" t="str">
            <v>OHI-COMMON</v>
          </cell>
          <cell r="IB1363" t="str">
            <v>DOE - Payroll - Project - Overtime</v>
          </cell>
          <cell r="IF1363" t="str">
            <v>Salaries</v>
          </cell>
          <cell r="IG1363" t="str">
            <v>Project Employee</v>
          </cell>
        </row>
        <row r="1364">
          <cell r="HZ1364" t="str">
            <v>90311101-52121308</v>
          </cell>
          <cell r="IA1364" t="str">
            <v>RED-COMMON</v>
          </cell>
          <cell r="IB1364" t="str">
            <v>DOE - Employee Benefits - Gas Allowance</v>
          </cell>
          <cell r="IF1364" t="str">
            <v>Employee Benefits</v>
          </cell>
          <cell r="IG1364" t="str">
            <v>Employee Programs/Perks</v>
          </cell>
        </row>
        <row r="1365">
          <cell r="HZ1365" t="str">
            <v>81122101-52121314</v>
          </cell>
          <cell r="IA1365" t="str">
            <v>HUMAN RESOURCES</v>
          </cell>
          <cell r="IB1365" t="str">
            <v>DOE - Employee Benefits -De Minimis-Service Awards</v>
          </cell>
          <cell r="IF1365" t="str">
            <v>Employee Benefits</v>
          </cell>
          <cell r="IG1365" t="str">
            <v>Employee Programs/Perks</v>
          </cell>
        </row>
        <row r="1366">
          <cell r="HZ1366" t="str">
            <v>81123102-52951103</v>
          </cell>
          <cell r="IA1366" t="str">
            <v>ADMIN SERVICES</v>
          </cell>
          <cell r="IB1366" t="str">
            <v>DOE-Postal &amp; Communicatn - Leased Lines / Internet</v>
          </cell>
          <cell r="IF1366" t="str">
            <v>Others</v>
          </cell>
          <cell r="IG1366" t="str">
            <v>Postal &amp; Communication</v>
          </cell>
        </row>
        <row r="1367">
          <cell r="HZ1367" t="str">
            <v>81122101-52952101</v>
          </cell>
          <cell r="IA1367" t="str">
            <v>HUMAN RESOURCES</v>
          </cell>
          <cell r="IB1367" t="str">
            <v>DOE - Dues &amp; Fees</v>
          </cell>
          <cell r="IF1367" t="str">
            <v>Others</v>
          </cell>
          <cell r="IG1367" t="str">
            <v>Dues and Fees</v>
          </cell>
        </row>
        <row r="1368">
          <cell r="HZ1368" t="str">
            <v>80111101-52959902</v>
          </cell>
          <cell r="IA1368" t="str">
            <v>OCLP-COMMON</v>
          </cell>
          <cell r="IB1368" t="str">
            <v>DOE - Other Recoveries</v>
          </cell>
          <cell r="IF1368" t="str">
            <v>Others</v>
          </cell>
          <cell r="IG1368" t="str">
            <v>Others</v>
          </cell>
        </row>
        <row r="1369">
          <cell r="HZ1369" t="str">
            <v>90111101-61021206</v>
          </cell>
          <cell r="IA1369" t="str">
            <v>OHI-COMMON</v>
          </cell>
          <cell r="IB1369" t="str">
            <v>GAE - Student Trainee</v>
          </cell>
          <cell r="IF1369" t="str">
            <v>Salaries</v>
          </cell>
          <cell r="IG1369" t="str">
            <v>OJT</v>
          </cell>
        </row>
        <row r="1370">
          <cell r="HZ1370" t="str">
            <v>80122101-61021315</v>
          </cell>
          <cell r="IA1370" t="str">
            <v>HUMAN RESOURCES</v>
          </cell>
          <cell r="IB1370" t="str">
            <v>GAE - Employee Benefits -De Minimis-Service Awards</v>
          </cell>
          <cell r="IF1370" t="str">
            <v>Employee Benefits</v>
          </cell>
          <cell r="IG1370" t="str">
            <v>Employee Programs/Perks</v>
          </cell>
        </row>
        <row r="1371">
          <cell r="HZ1371" t="str">
            <v>80126102-61081101</v>
          </cell>
          <cell r="IA1371" t="str">
            <v>DCMG - PROP SALES</v>
          </cell>
          <cell r="IB1371" t="str">
            <v>GAE - Transportation</v>
          </cell>
          <cell r="IF1371" t="str">
            <v>Others</v>
          </cell>
          <cell r="IG1371" t="str">
            <v>Transportation &amp; Travel</v>
          </cell>
        </row>
        <row r="1372">
          <cell r="HZ1372" t="str">
            <v>81319401-61111101</v>
          </cell>
          <cell r="IA1372" t="str">
            <v>ADMIN SUPP SERVICES</v>
          </cell>
          <cell r="IB1372" t="str">
            <v>GAE - Office Supplies</v>
          </cell>
          <cell r="IF1372" t="str">
            <v>Others</v>
          </cell>
          <cell r="IG1372" t="str">
            <v>Supplies</v>
          </cell>
        </row>
        <row r="1373">
          <cell r="HZ1373" t="str">
            <v>81221502-61111111</v>
          </cell>
          <cell r="IA1373" t="str">
            <v>O SQUARE 2A</v>
          </cell>
          <cell r="IB1373" t="str">
            <v>GAE - Office Supplies - Restricted</v>
          </cell>
          <cell r="IF1373" t="str">
            <v>Others</v>
          </cell>
          <cell r="IG1373" t="str">
            <v>Supplies</v>
          </cell>
        </row>
        <row r="1374">
          <cell r="HZ1374" t="str">
            <v>80122101-61959201</v>
          </cell>
          <cell r="IA1374" t="str">
            <v>HUMAN RESOURCES</v>
          </cell>
          <cell r="IB1374" t="str">
            <v>GAE - Miscellaneous Processing Fee</v>
          </cell>
          <cell r="IF1374" t="str">
            <v>Others</v>
          </cell>
          <cell r="IG1374" t="str">
            <v>Donations, Contributions and Miscellaneous Expenses</v>
          </cell>
        </row>
        <row r="1375">
          <cell r="HZ1375" t="str">
            <v>80321101-61959202</v>
          </cell>
          <cell r="IA1375" t="str">
            <v>OC DEVELOPABLE</v>
          </cell>
          <cell r="IB1375" t="str">
            <v>GAE - Interest &amp; Penalty</v>
          </cell>
          <cell r="IF1375" t="str">
            <v>Others</v>
          </cell>
          <cell r="IG1375" t="str">
            <v>Others</v>
          </cell>
        </row>
        <row r="1376">
          <cell r="HZ1376" t="str">
            <v>80322201-61959202</v>
          </cell>
          <cell r="IA1376" t="str">
            <v>SC 1 - OFFICE</v>
          </cell>
          <cell r="IB1376" t="str">
            <v>GAE - Interest &amp; Penalty</v>
          </cell>
          <cell r="IF1376" t="str">
            <v>Others</v>
          </cell>
          <cell r="IG1376" t="str">
            <v>Others</v>
          </cell>
        </row>
        <row r="1377">
          <cell r="HZ1377" t="str">
            <v>81322201-61959202</v>
          </cell>
          <cell r="IA1377" t="str">
            <v>SC 1 - OFFICE</v>
          </cell>
          <cell r="IB1377" t="str">
            <v>GAE - Interest &amp; Penalty</v>
          </cell>
          <cell r="IF1377" t="str">
            <v>Others</v>
          </cell>
          <cell r="IG1377" t="str">
            <v>Others</v>
          </cell>
        </row>
        <row r="1378">
          <cell r="HZ1378" t="str">
            <v>80323102-61959994</v>
          </cell>
          <cell r="IA1378" t="str">
            <v>CC LAND LEASE</v>
          </cell>
          <cell r="IB1378" t="str">
            <v>GAE - Research &amp; Development</v>
          </cell>
          <cell r="IF1378" t="str">
            <v>Others</v>
          </cell>
          <cell r="IG1378" t="str">
            <v>Research and Development</v>
          </cell>
        </row>
        <row r="1379">
          <cell r="HZ1379" t="str">
            <v>80349101-61959994</v>
          </cell>
          <cell r="IA1379" t="str">
            <v>SBU BS - ESTATES (CO</v>
          </cell>
          <cell r="IB1379" t="str">
            <v>GAE - Research &amp; Development</v>
          </cell>
          <cell r="IF1379" t="str">
            <v>Others</v>
          </cell>
          <cell r="IG1379" t="str">
            <v>Research and Development</v>
          </cell>
        </row>
        <row r="1380">
          <cell r="HZ1380" t="str">
            <v>80313103-61071099</v>
          </cell>
          <cell r="IA1380" t="str">
            <v>HANDOVER MGT DEPT</v>
          </cell>
          <cell r="IB1380" t="str">
            <v>GAE - Prof. Fees - Others</v>
          </cell>
          <cell r="IF1380" t="str">
            <v>Professional fees</v>
          </cell>
          <cell r="IG1380" t="str">
            <v>Internal and external consultants</v>
          </cell>
        </row>
        <row r="1381">
          <cell r="HZ1381" t="str">
            <v>90317101-52071101</v>
          </cell>
          <cell r="IA1381" t="str">
            <v>CONSTRUCTION MGT</v>
          </cell>
          <cell r="IB1381" t="str">
            <v>DOE - Professional Fees</v>
          </cell>
          <cell r="IF1381" t="str">
            <v>Professional fees</v>
          </cell>
          <cell r="IG1381" t="str">
            <v>Internal and external consultants</v>
          </cell>
        </row>
        <row r="1382">
          <cell r="HZ1382" t="str">
            <v>80126101-61091101</v>
          </cell>
          <cell r="IA1382" t="str">
            <v>DCMG - LEASING</v>
          </cell>
          <cell r="IB1382" t="str">
            <v>GAE - Representation</v>
          </cell>
          <cell r="IF1382" t="str">
            <v>Others</v>
          </cell>
          <cell r="IG1382" t="str">
            <v>Entertainment, Amusement &amp; Recreation</v>
          </cell>
        </row>
        <row r="1383">
          <cell r="HZ1383" t="str">
            <v>81215106-52952101</v>
          </cell>
          <cell r="IA1383" t="str">
            <v>TECHNICAL SERVICES</v>
          </cell>
          <cell r="IB1383" t="str">
            <v>DOE - Dues &amp; Fees</v>
          </cell>
          <cell r="IF1383" t="str">
            <v>Others</v>
          </cell>
          <cell r="IG1383" t="str">
            <v>Dues and Fees</v>
          </cell>
        </row>
        <row r="1384">
          <cell r="HZ1384" t="str">
            <v>81122101-52041499</v>
          </cell>
          <cell r="IA1384" t="str">
            <v>HUMAN RESOURCES</v>
          </cell>
          <cell r="IB1384" t="str">
            <v>DOE - Contracted Services - Others</v>
          </cell>
          <cell r="IF1384" t="str">
            <v>Contracted services</v>
          </cell>
          <cell r="IG1384" t="str">
            <v>Contracted-Others</v>
          </cell>
        </row>
        <row r="1385">
          <cell r="HZ1385" t="str">
            <v>80111101-61021315</v>
          </cell>
          <cell r="IA1385" t="str">
            <v>OCLP-COMMON</v>
          </cell>
          <cell r="IB1385" t="str">
            <v>GAE - Employee Benefits -De Minimis-Service Awards</v>
          </cell>
          <cell r="IF1385" t="str">
            <v>Employee Benefits</v>
          </cell>
          <cell r="IG1385" t="str">
            <v>Employee Programs/Perks</v>
          </cell>
        </row>
        <row r="1386">
          <cell r="HZ1386" t="str">
            <v>80125101-61959101</v>
          </cell>
          <cell r="IA1386" t="str">
            <v>EXTERNAL AFFAIRS DEP</v>
          </cell>
          <cell r="IB1386" t="str">
            <v>GAE - Donation</v>
          </cell>
          <cell r="IF1386" t="str">
            <v>Others</v>
          </cell>
          <cell r="IG1386" t="str">
            <v>Donations, Contributions and Miscellaneous Expenses</v>
          </cell>
        </row>
        <row r="1387">
          <cell r="HZ1387" t="str">
            <v>90111101-52091103</v>
          </cell>
          <cell r="IA1387" t="str">
            <v>OHI-COMMON</v>
          </cell>
          <cell r="IB1387" t="str">
            <v>DOE - Meeting - BOD per Diem</v>
          </cell>
          <cell r="IF1387" t="str">
            <v>Others</v>
          </cell>
          <cell r="IG1387" t="str">
            <v>BOD Meeting</v>
          </cell>
        </row>
        <row r="1388">
          <cell r="HZ1388" t="str">
            <v>81111101-52121314</v>
          </cell>
          <cell r="IA1388" t="str">
            <v>CCC-COMMON</v>
          </cell>
          <cell r="IB1388" t="str">
            <v>DOE - Employee Benefits -De Minimis-Service Awards</v>
          </cell>
          <cell r="IF1388" t="str">
            <v>Employee Benefits</v>
          </cell>
          <cell r="IG1388" t="str">
            <v>Employee Programs/Perks</v>
          </cell>
        </row>
        <row r="1389">
          <cell r="HZ1389" t="str">
            <v>80122101-61081102</v>
          </cell>
          <cell r="IA1389" t="str">
            <v>HUMAN RESOURCES</v>
          </cell>
          <cell r="IB1389" t="str">
            <v>GAE - Travel - Local</v>
          </cell>
          <cell r="IF1389" t="str">
            <v>Employee Benefits</v>
          </cell>
          <cell r="IG1389" t="str">
            <v>Employee Programs/Perks</v>
          </cell>
        </row>
        <row r="1390">
          <cell r="HZ1390" t="str">
            <v>90111101-52071104</v>
          </cell>
          <cell r="IA1390" t="str">
            <v>OHI-COMMON</v>
          </cell>
          <cell r="IB1390" t="str">
            <v>DOE - Prof. Fees - Consultants</v>
          </cell>
          <cell r="IF1390" t="str">
            <v>Professional fees</v>
          </cell>
          <cell r="IG1390" t="str">
            <v>Internal and external consultants</v>
          </cell>
        </row>
        <row r="1391">
          <cell r="HZ1391" t="str">
            <v>81124101-52071104</v>
          </cell>
          <cell r="IA1391" t="str">
            <v>IS &amp; IT</v>
          </cell>
          <cell r="IB1391" t="str">
            <v>DOE - Prof. Fees - Consultants</v>
          </cell>
          <cell r="IF1391" t="str">
            <v>Professional fees</v>
          </cell>
          <cell r="IG1391" t="str">
            <v>Internal and external consultants</v>
          </cell>
        </row>
        <row r="1392">
          <cell r="HZ1392" t="str">
            <v>81123102-52061111</v>
          </cell>
          <cell r="IA1392" t="str">
            <v>ADMIN SERVICES</v>
          </cell>
          <cell r="IB1392" t="str">
            <v>DOE - Repairs &amp; Maintenance - Supplies</v>
          </cell>
          <cell r="IF1392" t="str">
            <v>Others</v>
          </cell>
          <cell r="IG1392" t="str">
            <v>Repairs &amp; Maintenance</v>
          </cell>
        </row>
        <row r="1393">
          <cell r="HZ1393" t="str">
            <v>81123102-52041499</v>
          </cell>
          <cell r="IA1393" t="str">
            <v>ADMIN SERVICES</v>
          </cell>
          <cell r="IB1393" t="str">
            <v>DOE - Contracted Services - Others</v>
          </cell>
          <cell r="IF1393" t="str">
            <v>Contracted services</v>
          </cell>
          <cell r="IG1393" t="str">
            <v>Admin Staff</v>
          </cell>
        </row>
        <row r="1394">
          <cell r="HZ1394" t="str">
            <v>81123102-52041405</v>
          </cell>
          <cell r="IA1394" t="str">
            <v>ADMIN SERVICES</v>
          </cell>
          <cell r="IB1394" t="str">
            <v>DOE - Janitorial - Common</v>
          </cell>
          <cell r="IF1394" t="str">
            <v>Contracted services</v>
          </cell>
          <cell r="IG1394" t="str">
            <v>Janitorial</v>
          </cell>
        </row>
        <row r="1395">
          <cell r="HZ1395" t="str">
            <v>81123102-52041401</v>
          </cell>
          <cell r="IA1395" t="str">
            <v>ADMIN SERVICES</v>
          </cell>
          <cell r="IB1395" t="str">
            <v>DOE - Security - Common</v>
          </cell>
          <cell r="IF1395" t="str">
            <v>Contracted services</v>
          </cell>
          <cell r="IG1395" t="str">
            <v>Security</v>
          </cell>
        </row>
        <row r="1396">
          <cell r="HZ1396" t="str">
            <v>90122101-52071104</v>
          </cell>
          <cell r="IA1396" t="str">
            <v>HUMAN RESOURCES</v>
          </cell>
          <cell r="IB1396" t="str">
            <v>DOE - Prof. Fees - Consultants</v>
          </cell>
          <cell r="IF1396" t="str">
            <v>Professional fees</v>
          </cell>
          <cell r="IG1396" t="str">
            <v>Internal and external consultants</v>
          </cell>
        </row>
        <row r="1397">
          <cell r="HZ1397" t="str">
            <v>90122101-52071104</v>
          </cell>
          <cell r="IA1397" t="str">
            <v>HUMAN RESOURCES</v>
          </cell>
          <cell r="IB1397" t="str">
            <v>DOE - Prof. Fees - Consultants</v>
          </cell>
          <cell r="IF1397" t="str">
            <v>Professional fees</v>
          </cell>
          <cell r="IG1397" t="str">
            <v>Internal consultants</v>
          </cell>
        </row>
        <row r="1398">
          <cell r="HZ1398" t="str">
            <v>90134102-52041494</v>
          </cell>
          <cell r="IA1398" t="str">
            <v>CORPORATE ACCOUNTING</v>
          </cell>
          <cell r="IB1398" t="str">
            <v>DOE - Systems Costs</v>
          </cell>
          <cell r="IF1398" t="str">
            <v>Professional fees</v>
          </cell>
          <cell r="IG1398" t="str">
            <v>Systems Cost</v>
          </cell>
        </row>
        <row r="1399">
          <cell r="HZ1399" t="str">
            <v>81314101-52551201</v>
          </cell>
          <cell r="IA1399" t="str">
            <v>CORPORATE MARKETING</v>
          </cell>
          <cell r="IB1399" t="str">
            <v>DOE - Promos</v>
          </cell>
          <cell r="IF1399" t="str">
            <v>Ad &amp; Promo</v>
          </cell>
        </row>
        <row r="1400">
          <cell r="HZ1400" t="str">
            <v>81123102-52101112</v>
          </cell>
          <cell r="IA1400" t="str">
            <v>ADMIN SERVICES</v>
          </cell>
          <cell r="IB1400" t="str">
            <v>DOE - Insurance - Motor Car</v>
          </cell>
          <cell r="IF1400" t="str">
            <v>Others</v>
          </cell>
          <cell r="IG1400" t="str">
            <v>Insurance</v>
          </cell>
        </row>
        <row r="1401">
          <cell r="HZ1401" t="str">
            <v>81349101-52959901</v>
          </cell>
          <cell r="IA1401" t="str">
            <v>SBU BS - ESTATES (CO</v>
          </cell>
          <cell r="IB1401" t="str">
            <v>DOE - Research and Development</v>
          </cell>
          <cell r="IF1401" t="str">
            <v>Others</v>
          </cell>
          <cell r="IG1401" t="str">
            <v>Research and Development</v>
          </cell>
        </row>
        <row r="1402">
          <cell r="HZ1402" t="str">
            <v>81122101-52121401</v>
          </cell>
          <cell r="IA1402" t="str">
            <v>HUMAN RESOURCES</v>
          </cell>
          <cell r="IB1402" t="str">
            <v>DOE - Company Events</v>
          </cell>
          <cell r="IF1402" t="str">
            <v>Employee Benefits</v>
          </cell>
          <cell r="IG1402" t="str">
            <v>Employee Programs/Perks</v>
          </cell>
        </row>
        <row r="1403">
          <cell r="HZ1403" t="str">
            <v>81123102-52081101</v>
          </cell>
          <cell r="IA1403" t="str">
            <v>ADMIN SERVICES</v>
          </cell>
          <cell r="IB1403" t="str">
            <v>DOE - Transportation and Travel - Local &amp; Foreign</v>
          </cell>
          <cell r="IF1403" t="str">
            <v>Others</v>
          </cell>
          <cell r="IG1403" t="str">
            <v>Transportation &amp; Travel</v>
          </cell>
        </row>
        <row r="1404">
          <cell r="HZ1404" t="str">
            <v>81111101-52041401</v>
          </cell>
          <cell r="IA1404" t="str">
            <v>CCC-COMMON</v>
          </cell>
          <cell r="IB1404" t="str">
            <v>DOE - Security - Common</v>
          </cell>
          <cell r="IF1404" t="str">
            <v>Contracted services</v>
          </cell>
          <cell r="IG1404" t="str">
            <v>Security</v>
          </cell>
        </row>
        <row r="1405">
          <cell r="HZ1405" t="str">
            <v>81111101-52041405</v>
          </cell>
          <cell r="IA1405" t="str">
            <v>CCC-COMMON</v>
          </cell>
          <cell r="IB1405" t="str">
            <v>DOE - Janitorial - Common</v>
          </cell>
          <cell r="IF1405" t="str">
            <v>Contracted services</v>
          </cell>
          <cell r="IG1405" t="str">
            <v>Janitorial</v>
          </cell>
        </row>
        <row r="1406">
          <cell r="HZ1406" t="str">
            <v>81123102-52041502</v>
          </cell>
          <cell r="IA1406" t="str">
            <v>ADMIN SERVICES</v>
          </cell>
          <cell r="IB1406" t="str">
            <v>DOE - CAPEX - Recovery</v>
          </cell>
          <cell r="IF1406" t="str">
            <v>MTS</v>
          </cell>
          <cell r="IG1406" t="str">
            <v>MTS</v>
          </cell>
        </row>
        <row r="1407">
          <cell r="HZ1407" t="str">
            <v>81123102-52061101</v>
          </cell>
          <cell r="IA1407" t="str">
            <v>ADMIN SERVICES</v>
          </cell>
          <cell r="IB1407" t="str">
            <v>DOE - Repairs &amp; Maint. - Furniture &amp; Fixtures</v>
          </cell>
          <cell r="IF1407" t="str">
            <v>Others</v>
          </cell>
          <cell r="IG1407" t="str">
            <v>Repairs &amp; Maintenance</v>
          </cell>
        </row>
        <row r="1408">
          <cell r="HZ1408" t="str">
            <v>80134103-52061103</v>
          </cell>
          <cell r="IA1408" t="str">
            <v>BUDGET  C&amp;A</v>
          </cell>
          <cell r="IB1408" t="str">
            <v>DOE - Repairs &amp; Maint. - Building</v>
          </cell>
          <cell r="IF1408" t="str">
            <v>Others</v>
          </cell>
          <cell r="IG1408" t="str">
            <v>Repairs &amp; Maintenance</v>
          </cell>
        </row>
        <row r="1409">
          <cell r="HZ1409" t="str">
            <v>81123102-52061103</v>
          </cell>
          <cell r="IA1409" t="str">
            <v>ADMIN SERVICES</v>
          </cell>
          <cell r="IB1409" t="str">
            <v>DOE - Repairs &amp; Maint. - Building</v>
          </cell>
          <cell r="IF1409" t="str">
            <v>Others</v>
          </cell>
          <cell r="IG1409" t="str">
            <v>Repairs &amp; Maintenance</v>
          </cell>
        </row>
        <row r="1410">
          <cell r="HZ1410" t="str">
            <v>81123102-52061105</v>
          </cell>
          <cell r="IA1410" t="str">
            <v>ADMIN SERVICES</v>
          </cell>
          <cell r="IB1410" t="str">
            <v>DOE - Repairs &amp; Maint. - Transportation</v>
          </cell>
          <cell r="IF1410" t="str">
            <v>Others</v>
          </cell>
          <cell r="IG1410" t="str">
            <v>Repairs &amp; Maintenance</v>
          </cell>
        </row>
        <row r="1411">
          <cell r="HZ1411" t="str">
            <v>90134102-52071104</v>
          </cell>
          <cell r="IA1411" t="str">
            <v>CORPORATE ACCOUNTING</v>
          </cell>
          <cell r="IB1411" t="str">
            <v>DOE - Prof. Fees - Consultants</v>
          </cell>
          <cell r="IF1411" t="str">
            <v>Professional fees</v>
          </cell>
          <cell r="IG1411" t="str">
            <v>Internal and external consultants</v>
          </cell>
        </row>
        <row r="1412">
          <cell r="HZ1412" t="str">
            <v>81123102-52081103</v>
          </cell>
          <cell r="IA1412" t="str">
            <v>ADMIN SERVICES</v>
          </cell>
          <cell r="IB1412" t="str">
            <v>DOE - Travel - OBT</v>
          </cell>
          <cell r="IF1412" t="str">
            <v>Others</v>
          </cell>
          <cell r="IG1412" t="str">
            <v>Transportation &amp; Travel</v>
          </cell>
        </row>
        <row r="1413">
          <cell r="HZ1413" t="str">
            <v>90111101-52081103</v>
          </cell>
          <cell r="IA1413" t="str">
            <v>OHI-COMMON</v>
          </cell>
          <cell r="IB1413" t="str">
            <v>DOE - Travel - OBT</v>
          </cell>
          <cell r="IF1413" t="str">
            <v>Others</v>
          </cell>
          <cell r="IG1413" t="str">
            <v>Transportation &amp; Travel</v>
          </cell>
        </row>
        <row r="1414">
          <cell r="HZ1414" t="str">
            <v>81123102-52091102</v>
          </cell>
          <cell r="IA1414" t="str">
            <v>ADMIN SERVICES</v>
          </cell>
          <cell r="IB1414" t="str">
            <v>DOE - Meeting</v>
          </cell>
          <cell r="IF1414" t="str">
            <v>Others</v>
          </cell>
          <cell r="IG1414" t="str">
            <v>Entertainment, Amusement &amp; Recreation</v>
          </cell>
        </row>
        <row r="1415">
          <cell r="HZ1415" t="str">
            <v>81123102-52111102</v>
          </cell>
          <cell r="IA1415" t="str">
            <v>ADMIN SERVICES</v>
          </cell>
          <cell r="IB1415" t="str">
            <v>DOE - Low Value Assets</v>
          </cell>
          <cell r="IF1415" t="str">
            <v>Others</v>
          </cell>
          <cell r="IG1415" t="str">
            <v>Supplies</v>
          </cell>
        </row>
        <row r="1416">
          <cell r="HZ1416" t="str">
            <v>81123102-52119101</v>
          </cell>
          <cell r="IA1416" t="str">
            <v>ADMIN SERVICES</v>
          </cell>
          <cell r="IB1416" t="str">
            <v>DOE - Fuel &amp; Lubricants</v>
          </cell>
          <cell r="IF1416" t="str">
            <v>Others</v>
          </cell>
          <cell r="IG1416" t="str">
            <v>Supplies</v>
          </cell>
        </row>
        <row r="1417">
          <cell r="HZ1417" t="str">
            <v>90311101-52121402</v>
          </cell>
          <cell r="IA1417" t="str">
            <v>RED-COMMON</v>
          </cell>
          <cell r="IB1417" t="str">
            <v>DOE - Employees' Welfare</v>
          </cell>
          <cell r="IF1417" t="str">
            <v>Employee Benefits</v>
          </cell>
          <cell r="IG1417" t="str">
            <v>Employee Programs/Perks</v>
          </cell>
        </row>
        <row r="1418">
          <cell r="HZ1418" t="str">
            <v>80314101-52551201</v>
          </cell>
          <cell r="IA1418" t="str">
            <v>CORPORATE MARKETING</v>
          </cell>
          <cell r="IB1418" t="str">
            <v>DOE - Promos</v>
          </cell>
          <cell r="IF1418" t="str">
            <v>Ad &amp; Promo</v>
          </cell>
        </row>
        <row r="1419">
          <cell r="HZ1419" t="str">
            <v>81123102-52951102</v>
          </cell>
          <cell r="IA1419" t="str">
            <v>ADMIN SERVICES</v>
          </cell>
          <cell r="IB1419" t="str">
            <v>DOE - Postal &amp; Communication - Postal</v>
          </cell>
          <cell r="IF1419" t="str">
            <v>Others</v>
          </cell>
          <cell r="IG1419" t="str">
            <v>Postal &amp; Communication</v>
          </cell>
        </row>
        <row r="1420">
          <cell r="HZ1420" t="str">
            <v>90111101-52951102</v>
          </cell>
          <cell r="IA1420" t="str">
            <v>OHI-COMMON</v>
          </cell>
          <cell r="IB1420" t="str">
            <v>DOE - Postal &amp; Communication - Postal</v>
          </cell>
          <cell r="IF1420" t="str">
            <v>Others</v>
          </cell>
          <cell r="IG1420" t="str">
            <v>Postal &amp; Communication</v>
          </cell>
        </row>
        <row r="1421">
          <cell r="HZ1421" t="str">
            <v>90122101-61021104</v>
          </cell>
          <cell r="IA1421" t="str">
            <v>HUMAN RESOURCES</v>
          </cell>
          <cell r="IB1421" t="str">
            <v>GAE - Regular Employee - OT Allowance</v>
          </cell>
          <cell r="IF1421" t="str">
            <v>Salaries</v>
          </cell>
          <cell r="IG1421" t="str">
            <v>OT Pay</v>
          </cell>
        </row>
        <row r="1422">
          <cell r="HZ1422" t="str">
            <v>80311101-61021317</v>
          </cell>
          <cell r="IA1422" t="str">
            <v>RED-COMMON</v>
          </cell>
          <cell r="IB1422" t="str">
            <v>GAE - Employee Benefits - Bonus</v>
          </cell>
          <cell r="IF1422" t="str">
            <v>Salaries</v>
          </cell>
          <cell r="IG1422" t="str">
            <v>Guaranteed Bonus</v>
          </cell>
        </row>
        <row r="1423">
          <cell r="HZ1423" t="str">
            <v>81123102-61031201</v>
          </cell>
          <cell r="IA1423" t="str">
            <v>ADMIN SERVICES</v>
          </cell>
          <cell r="IB1423" t="str">
            <v>GAE - Repairs &amp; Maintenance - Supplies</v>
          </cell>
          <cell r="IF1423" t="str">
            <v>Others</v>
          </cell>
          <cell r="IG1423" t="str">
            <v>Repairs &amp; Maintenance</v>
          </cell>
        </row>
        <row r="1424">
          <cell r="HZ1424" t="str">
            <v>80123102-61721105</v>
          </cell>
          <cell r="IA1424" t="str">
            <v>ADMIN SERVICES</v>
          </cell>
          <cell r="IB1424" t="str">
            <v>GAE - Postal &amp; Commctn - Leased Lines/ Internet</v>
          </cell>
          <cell r="IF1424" t="str">
            <v>Others</v>
          </cell>
          <cell r="IG1424" t="str">
            <v>Postal &amp; Communication</v>
          </cell>
        </row>
        <row r="1425">
          <cell r="HZ1425" t="str">
            <v>81111101-61959202</v>
          </cell>
          <cell r="IA1425" t="str">
            <v>CCC-COMMON</v>
          </cell>
          <cell r="IB1425" t="str">
            <v>GAE - Interest &amp; Penalty</v>
          </cell>
          <cell r="IF1425" t="str">
            <v>Others</v>
          </cell>
          <cell r="IG1425" t="str">
            <v>Others</v>
          </cell>
        </row>
        <row r="1426">
          <cell r="HZ1426" t="str">
            <v>81123102-61961302</v>
          </cell>
          <cell r="IA1426" t="str">
            <v>ADMIN SERVICES</v>
          </cell>
          <cell r="IB1426" t="str">
            <v>GAE - CAPEX Recoveries</v>
          </cell>
          <cell r="IF1426" t="str">
            <v>MTS</v>
          </cell>
          <cell r="IG1426" t="str">
            <v>MTS</v>
          </cell>
        </row>
        <row r="1427">
          <cell r="HZ1427" t="str">
            <v>81222101-61959994</v>
          </cell>
          <cell r="IA1427" t="str">
            <v>TIENDESITAS</v>
          </cell>
          <cell r="IB1427" t="str">
            <v>GAE - Research &amp; Development</v>
          </cell>
          <cell r="IF1427" t="str">
            <v>Others</v>
          </cell>
          <cell r="IG1427" t="str">
            <v>Research and Development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59">
          <cell r="CZ159">
            <v>-1407501.8601666668</v>
          </cell>
          <cell r="DA159">
            <v>-1407501.8601666668</v>
          </cell>
          <cell r="DB159">
            <v>-1437978.0501666667</v>
          </cell>
          <cell r="DC159">
            <v>-1486351.0691666666</v>
          </cell>
          <cell r="DD159">
            <v>-1450071.3091666666</v>
          </cell>
          <cell r="DE159">
            <v>-1538984.0391666666</v>
          </cell>
          <cell r="DF159">
            <v>-1526067.3791666664</v>
          </cell>
          <cell r="DG159">
            <v>-1687297.5391666663</v>
          </cell>
          <cell r="DH159">
            <v>-1750648.2424999995</v>
          </cell>
          <cell r="DI159">
            <v>-1750648.2424999995</v>
          </cell>
          <cell r="DJ159">
            <v>-1750648.2424999995</v>
          </cell>
          <cell r="DK159">
            <v>-1750648.2424999995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AE"/>
      <sheetName val="Sheet2"/>
      <sheetName val="GAE per Month (Full Year)"/>
      <sheetName val="Sheet4"/>
      <sheetName val="GAE per Month (YTD)"/>
      <sheetName val="GAE Analysis (YTD)"/>
      <sheetName val="2025B and 2025F Details"/>
      <sheetName val="Sheet3"/>
      <sheetName val="Notes 062425"/>
      <sheetName val="25B vs SAP"/>
      <sheetName val="2025B Board"/>
      <sheetName val="Reclass"/>
      <sheetName val="Forecast Details"/>
      <sheetName val="Employee Headcount"/>
      <sheetName val="MTS"/>
      <sheetName val="MTS Schedule"/>
      <sheetName val="HR Recon"/>
      <sheetName val="Reserves"/>
      <sheetName val="Others"/>
      <sheetName val="Manpower Details"/>
      <sheetName val="Manpower Cost Sched BPM"/>
      <sheetName val="Manpower pivot"/>
      <sheetName val="Systems Cost"/>
      <sheetName val="HR Cascade (2)"/>
      <sheetName val="Contracted"/>
      <sheetName val="Audit Fee"/>
      <sheetName val="Corp Acctg"/>
      <sheetName val="External Affairs"/>
      <sheetName val="Tax"/>
      <sheetName val="Consultants"/>
      <sheetName val="Transpo &amp; Travel"/>
      <sheetName val="Professional Org"/>
      <sheetName val="Mobile Phone"/>
      <sheetName val="HR Cascade"/>
      <sheetName val="Electricity and Water"/>
      <sheetName val="Office Staff (BT)"/>
      <sheetName val="Sheet1"/>
      <sheetName val="2023AHC"/>
      <sheetName val="Janitorial"/>
      <sheetName val="Deployment-Contracted Services"/>
      <sheetName val="Overtime Policy"/>
      <sheetName val="SBU_Alloc-PerBl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U1" t="str">
            <v>Forecast</v>
          </cell>
          <cell r="BH1"/>
        </row>
        <row r="2">
          <cell r="AU2"/>
          <cell r="BH2">
            <v>4188719.7700000005</v>
          </cell>
        </row>
        <row r="3">
          <cell r="AU3" t="str">
            <v>Expense Item</v>
          </cell>
          <cell r="BH3" t="str">
            <v>2025F</v>
          </cell>
        </row>
        <row r="4">
          <cell r="AU4" t="str">
            <v>LVA</v>
          </cell>
          <cell r="BH4">
            <v>245067.02999999991</v>
          </cell>
        </row>
        <row r="5">
          <cell r="BH5">
            <v>625</v>
          </cell>
        </row>
        <row r="6">
          <cell r="AU6" t="str">
            <v>Aruba</v>
          </cell>
          <cell r="BH6">
            <v>247332.94000000006</v>
          </cell>
        </row>
        <row r="7">
          <cell r="AU7" t="str">
            <v>Aruba</v>
          </cell>
          <cell r="BH7">
            <v>21123.95</v>
          </cell>
        </row>
        <row r="8">
          <cell r="AU8" t="str">
            <v>SDWAN Device</v>
          </cell>
          <cell r="BH8">
            <v>150496.91</v>
          </cell>
        </row>
        <row r="9">
          <cell r="AU9" t="str">
            <v>SDWAN HQ</v>
          </cell>
          <cell r="BH9">
            <v>51339.28</v>
          </cell>
        </row>
        <row r="10">
          <cell r="AU10" t="str">
            <v>SonicWall</v>
          </cell>
          <cell r="BH10">
            <v>305614.28999999992</v>
          </cell>
        </row>
        <row r="11">
          <cell r="AU11" t="str">
            <v>Meraki ES CORP</v>
          </cell>
          <cell r="BH11">
            <v>205416.62999999998</v>
          </cell>
        </row>
        <row r="12">
          <cell r="AU12" t="str">
            <v>Remote Desktop</v>
          </cell>
          <cell r="BH12">
            <v>653026.73999999987</v>
          </cell>
        </row>
        <row r="13">
          <cell r="AU13" t="str">
            <v>Datrium, Proliant</v>
          </cell>
          <cell r="BH13">
            <v>718601.2</v>
          </cell>
        </row>
        <row r="14">
          <cell r="AU14" t="str">
            <v>Server Maintenance</v>
          </cell>
          <cell r="BH14">
            <v>-3000</v>
          </cell>
        </row>
        <row r="15">
          <cell r="AU15" t="str">
            <v>Meraki MC</v>
          </cell>
          <cell r="BH15">
            <v>105535.70000000006</v>
          </cell>
        </row>
        <row r="16">
          <cell r="AU16" t="str">
            <v>SDWAN ES</v>
          </cell>
          <cell r="BH16">
            <v>90476.160000000003</v>
          </cell>
        </row>
        <row r="17">
          <cell r="AU17" t="str">
            <v>SDWAN GH and CV</v>
          </cell>
          <cell r="BH17">
            <v>313508.56</v>
          </cell>
        </row>
        <row r="18">
          <cell r="AU18" t="str">
            <v>SDWAN TS</v>
          </cell>
          <cell r="BH18">
            <v>86706.319999999992</v>
          </cell>
        </row>
        <row r="19">
          <cell r="BH19">
            <v>240000</v>
          </cell>
        </row>
        <row r="20">
          <cell r="BH20">
            <v>51000</v>
          </cell>
        </row>
        <row r="21">
          <cell r="BH21">
            <v>7500</v>
          </cell>
        </row>
        <row r="22">
          <cell r="BH22">
            <v>150000</v>
          </cell>
        </row>
        <row r="23">
          <cell r="AU23" t="str">
            <v>Office365 OCLP</v>
          </cell>
          <cell r="BH23">
            <v>4443832.79</v>
          </cell>
        </row>
        <row r="24">
          <cell r="AU24" t="str">
            <v>Office365 OCC</v>
          </cell>
          <cell r="BH24">
            <v>1366078.2400000002</v>
          </cell>
        </row>
        <row r="25">
          <cell r="AU25" t="str">
            <v>Office365 Extra Storage</v>
          </cell>
          <cell r="BH25">
            <v>255923.81999999995</v>
          </cell>
        </row>
        <row r="26">
          <cell r="AU26" t="str">
            <v>Vmware</v>
          </cell>
          <cell r="BH26">
            <v>604214.85000000009</v>
          </cell>
        </row>
        <row r="27">
          <cell r="AU27" t="str">
            <v>Menlo</v>
          </cell>
          <cell r="BH27">
            <v>1442566.5600000003</v>
          </cell>
        </row>
        <row r="28">
          <cell r="AU28" t="str">
            <v>Crowdstrike</v>
          </cell>
          <cell r="BH28">
            <v>978857.64999999991</v>
          </cell>
        </row>
        <row r="29">
          <cell r="AU29" t="str">
            <v>Office365 Email Security</v>
          </cell>
          <cell r="BH29">
            <v>1040299.5</v>
          </cell>
        </row>
        <row r="30">
          <cell r="AU30" t="str">
            <v>Office365 OCLP New</v>
          </cell>
          <cell r="BH30">
            <v>63988.08</v>
          </cell>
        </row>
        <row r="31">
          <cell r="AU31" t="str">
            <v>SDWAN Boost and Adaptiv</v>
          </cell>
          <cell r="BH31">
            <v>546911.8600000001</v>
          </cell>
        </row>
        <row r="32">
          <cell r="AU32" t="str">
            <v>WAF</v>
          </cell>
          <cell r="BH32">
            <v>717153.86</v>
          </cell>
        </row>
        <row r="33">
          <cell r="AU33" t="str">
            <v>Acronis</v>
          </cell>
          <cell r="BH33">
            <v>100996.83999999998</v>
          </cell>
        </row>
        <row r="34">
          <cell r="AU34" t="str">
            <v>Web hosting</v>
          </cell>
          <cell r="BH34">
            <v>100729.54000000002</v>
          </cell>
        </row>
        <row r="35">
          <cell r="BH35">
            <v>0</v>
          </cell>
        </row>
        <row r="36">
          <cell r="AU36" t="str">
            <v>PaloAlto</v>
          </cell>
          <cell r="BH36">
            <v>627016.46</v>
          </cell>
        </row>
        <row r="37">
          <cell r="BH37">
            <v>0</v>
          </cell>
        </row>
        <row r="38">
          <cell r="AU38" t="str">
            <v>Domain</v>
          </cell>
          <cell r="BH38">
            <v>57312.91</v>
          </cell>
        </row>
        <row r="39">
          <cell r="AU39" t="str">
            <v>Domain</v>
          </cell>
          <cell r="BH39">
            <v>0</v>
          </cell>
        </row>
        <row r="40">
          <cell r="AU40" t="str">
            <v>Domain</v>
          </cell>
          <cell r="BH40">
            <v>0</v>
          </cell>
        </row>
        <row r="41">
          <cell r="AU41" t="str">
            <v>Domain</v>
          </cell>
          <cell r="BH41">
            <v>0</v>
          </cell>
        </row>
        <row r="42">
          <cell r="AU42" t="str">
            <v>Domain</v>
          </cell>
          <cell r="BH42">
            <v>0</v>
          </cell>
        </row>
        <row r="43">
          <cell r="AU43" t="str">
            <v>Domain</v>
          </cell>
          <cell r="BH43">
            <v>0</v>
          </cell>
        </row>
        <row r="44">
          <cell r="AU44" t="str">
            <v>Domain</v>
          </cell>
          <cell r="BH44">
            <v>0</v>
          </cell>
        </row>
        <row r="45">
          <cell r="AU45" t="str">
            <v>Ortigas Land Website</v>
          </cell>
          <cell r="BH45">
            <v>270000</v>
          </cell>
        </row>
        <row r="46">
          <cell r="AU46" t="str">
            <v>Power Apps</v>
          </cell>
          <cell r="BH46">
            <v>115448.26999999999</v>
          </cell>
        </row>
        <row r="47">
          <cell r="AU47" t="str">
            <v>AWS</v>
          </cell>
          <cell r="BH47">
            <v>1118127.2999999998</v>
          </cell>
        </row>
        <row r="48">
          <cell r="AU48" t="str">
            <v>MSOC</v>
          </cell>
          <cell r="BH48">
            <v>3579809.4700000007</v>
          </cell>
        </row>
        <row r="49">
          <cell r="AU49" t="str">
            <v>Zoom</v>
          </cell>
          <cell r="BH49">
            <v>27763.280000000002</v>
          </cell>
        </row>
        <row r="50">
          <cell r="AU50" t="str">
            <v>Github</v>
          </cell>
          <cell r="BH50">
            <v>5422.9000000000005</v>
          </cell>
        </row>
        <row r="51">
          <cell r="AU51" t="str">
            <v>2FA Aircuve</v>
          </cell>
          <cell r="BH51">
            <v>233974.08000000007</v>
          </cell>
        </row>
        <row r="52">
          <cell r="BH52">
            <v>0</v>
          </cell>
        </row>
        <row r="53">
          <cell r="AU53" t="str">
            <v>Lumion</v>
          </cell>
          <cell r="BH53">
            <v>200000</v>
          </cell>
        </row>
        <row r="54">
          <cell r="AU54" t="str">
            <v>Meraki HQ</v>
          </cell>
          <cell r="BH54">
            <v>119062.56000000001</v>
          </cell>
        </row>
        <row r="55">
          <cell r="AU55" t="str">
            <v>SAP Maintenance</v>
          </cell>
          <cell r="BH55">
            <v>4515469.7799999993</v>
          </cell>
        </row>
        <row r="56">
          <cell r="BH56">
            <v>0</v>
          </cell>
        </row>
        <row r="57">
          <cell r="AU57" t="str">
            <v>Adobe Sign</v>
          </cell>
          <cell r="BH57">
            <v>550000</v>
          </cell>
        </row>
        <row r="58">
          <cell r="AU58" t="str">
            <v>Acrobat Pro</v>
          </cell>
          <cell r="BH58">
            <v>166494.82</v>
          </cell>
        </row>
        <row r="59">
          <cell r="AU59" t="str">
            <v>Autocad</v>
          </cell>
          <cell r="BH59">
            <v>629201.48</v>
          </cell>
        </row>
        <row r="60">
          <cell r="AU60" t="str">
            <v>Adobe Photoshop</v>
          </cell>
          <cell r="BH60">
            <v>260125.28</v>
          </cell>
        </row>
        <row r="61">
          <cell r="AU61" t="str">
            <v>Autocad</v>
          </cell>
          <cell r="BH61">
            <v>0</v>
          </cell>
        </row>
        <row r="62">
          <cell r="AU62" t="str">
            <v>Bluebeam</v>
          </cell>
          <cell r="BH62">
            <v>150770.07999999999</v>
          </cell>
        </row>
        <row r="63">
          <cell r="AU63" t="str">
            <v>Sketchup</v>
          </cell>
          <cell r="BH63">
            <v>210445.32</v>
          </cell>
        </row>
        <row r="64">
          <cell r="BH64">
            <v>150000</v>
          </cell>
        </row>
        <row r="65">
          <cell r="AU65" t="str">
            <v>Firewall-Cinema</v>
          </cell>
          <cell r="BH65">
            <v>0</v>
          </cell>
        </row>
        <row r="66">
          <cell r="AU66" t="str">
            <v>Vertiv UPS/ Battery</v>
          </cell>
          <cell r="BH66">
            <v>576562.5</v>
          </cell>
        </row>
        <row r="67">
          <cell r="BH67">
            <v>0</v>
          </cell>
        </row>
        <row r="68">
          <cell r="AU68" t="str">
            <v>SAP Consultant</v>
          </cell>
          <cell r="BH68">
            <v>900000</v>
          </cell>
        </row>
        <row r="69">
          <cell r="BH69">
            <v>0</v>
          </cell>
        </row>
        <row r="70">
          <cell r="BH70">
            <v>0</v>
          </cell>
        </row>
        <row r="71">
          <cell r="BH71">
            <v>0</v>
          </cell>
        </row>
        <row r="72">
          <cell r="AU72" t="str">
            <v>SAP Enhancement</v>
          </cell>
          <cell r="BH72">
            <v>24000</v>
          </cell>
        </row>
        <row r="73">
          <cell r="BH73">
            <v>0</v>
          </cell>
        </row>
        <row r="74">
          <cell r="AU74" t="str">
            <v>Internet</v>
          </cell>
          <cell r="BH74">
            <v>5193158.45</v>
          </cell>
        </row>
        <row r="75">
          <cell r="AU75" t="str">
            <v>Internet</v>
          </cell>
          <cell r="BH75">
            <v>0</v>
          </cell>
        </row>
        <row r="76">
          <cell r="AU76" t="str">
            <v>Internet</v>
          </cell>
          <cell r="BH76">
            <v>0</v>
          </cell>
        </row>
        <row r="77">
          <cell r="AU77" t="str">
            <v>Internet</v>
          </cell>
          <cell r="BH77">
            <v>0</v>
          </cell>
        </row>
        <row r="78">
          <cell r="AU78" t="str">
            <v>Internet</v>
          </cell>
          <cell r="BH78">
            <v>583242</v>
          </cell>
        </row>
        <row r="79">
          <cell r="AU79" t="str">
            <v>Internet</v>
          </cell>
          <cell r="BH79">
            <v>0</v>
          </cell>
        </row>
        <row r="80">
          <cell r="BH80">
            <v>0</v>
          </cell>
        </row>
        <row r="81">
          <cell r="BH81">
            <v>0</v>
          </cell>
        </row>
        <row r="82">
          <cell r="BH82">
            <v>0</v>
          </cell>
        </row>
        <row r="83">
          <cell r="AU83" t="str">
            <v>Electricity</v>
          </cell>
          <cell r="BH83">
            <v>2015656.5199999998</v>
          </cell>
        </row>
        <row r="84">
          <cell r="AU84" t="str">
            <v>Electricity</v>
          </cell>
          <cell r="BH84">
            <v>219172.57</v>
          </cell>
        </row>
        <row r="85">
          <cell r="AU85" t="str">
            <v>Electricity</v>
          </cell>
          <cell r="BH85">
            <v>141817.54999999999</v>
          </cell>
        </row>
        <row r="86">
          <cell r="AU86" t="str">
            <v>Electricity</v>
          </cell>
          <cell r="BH86">
            <v>174048.81</v>
          </cell>
        </row>
        <row r="87">
          <cell r="AU87" t="str">
            <v>Supplies HQ</v>
          </cell>
          <cell r="BH87">
            <v>1065586.5500000003</v>
          </cell>
        </row>
        <row r="88">
          <cell r="BH88">
            <v>0</v>
          </cell>
        </row>
        <row r="89">
          <cell r="BH89">
            <v>0</v>
          </cell>
        </row>
        <row r="90">
          <cell r="BH90">
            <v>0</v>
          </cell>
        </row>
        <row r="91">
          <cell r="BH91">
            <v>0</v>
          </cell>
        </row>
        <row r="92">
          <cell r="BH92">
            <v>0</v>
          </cell>
        </row>
        <row r="93">
          <cell r="BH93">
            <v>0</v>
          </cell>
        </row>
        <row r="94">
          <cell r="BH94">
            <v>0</v>
          </cell>
        </row>
        <row r="95">
          <cell r="BH95">
            <v>0</v>
          </cell>
        </row>
        <row r="96">
          <cell r="BH96">
            <v>0</v>
          </cell>
        </row>
        <row r="97">
          <cell r="BH97">
            <v>0</v>
          </cell>
        </row>
        <row r="98">
          <cell r="BH98">
            <v>0</v>
          </cell>
        </row>
        <row r="99">
          <cell r="BH99">
            <v>0</v>
          </cell>
        </row>
        <row r="100">
          <cell r="BH100">
            <v>0</v>
          </cell>
        </row>
        <row r="101">
          <cell r="BH101">
            <v>0</v>
          </cell>
        </row>
        <row r="102">
          <cell r="BH102">
            <v>0</v>
          </cell>
        </row>
        <row r="103">
          <cell r="BH103">
            <v>0</v>
          </cell>
        </row>
        <row r="104">
          <cell r="BH104">
            <v>0</v>
          </cell>
        </row>
        <row r="105">
          <cell r="BH105">
            <v>0</v>
          </cell>
        </row>
        <row r="106">
          <cell r="BH106">
            <v>0</v>
          </cell>
        </row>
        <row r="107">
          <cell r="BH107">
            <v>0</v>
          </cell>
        </row>
        <row r="108">
          <cell r="BH108">
            <v>0</v>
          </cell>
        </row>
        <row r="109">
          <cell r="BH109">
            <v>0</v>
          </cell>
        </row>
        <row r="110">
          <cell r="BH110">
            <v>0</v>
          </cell>
        </row>
        <row r="111">
          <cell r="BH111">
            <v>0</v>
          </cell>
        </row>
        <row r="112">
          <cell r="BH112">
            <v>0</v>
          </cell>
        </row>
        <row r="113">
          <cell r="BH113">
            <v>0</v>
          </cell>
        </row>
        <row r="114">
          <cell r="BH114">
            <v>0</v>
          </cell>
        </row>
        <row r="115">
          <cell r="BH115">
            <v>0</v>
          </cell>
        </row>
        <row r="116">
          <cell r="BH116">
            <v>0</v>
          </cell>
        </row>
        <row r="117">
          <cell r="BH117">
            <v>0</v>
          </cell>
        </row>
        <row r="118">
          <cell r="BH118">
            <v>0</v>
          </cell>
        </row>
        <row r="119">
          <cell r="BH119">
            <v>0</v>
          </cell>
        </row>
        <row r="120">
          <cell r="BH120">
            <v>0</v>
          </cell>
        </row>
        <row r="121">
          <cell r="BH121">
            <v>0</v>
          </cell>
        </row>
        <row r="122">
          <cell r="BH122">
            <v>0</v>
          </cell>
        </row>
        <row r="123">
          <cell r="BH123">
            <v>0</v>
          </cell>
        </row>
        <row r="124">
          <cell r="BH124">
            <v>0</v>
          </cell>
        </row>
        <row r="125">
          <cell r="BH125">
            <v>0</v>
          </cell>
        </row>
        <row r="126">
          <cell r="BH126">
            <v>0</v>
          </cell>
        </row>
        <row r="127">
          <cell r="BH127">
            <v>0</v>
          </cell>
        </row>
        <row r="128">
          <cell r="BH128">
            <v>0</v>
          </cell>
        </row>
        <row r="129">
          <cell r="BH129">
            <v>0</v>
          </cell>
        </row>
        <row r="130">
          <cell r="BH130">
            <v>0</v>
          </cell>
        </row>
        <row r="131">
          <cell r="BH131">
            <v>0</v>
          </cell>
        </row>
        <row r="132">
          <cell r="BH132">
            <v>0</v>
          </cell>
        </row>
        <row r="133">
          <cell r="BH133">
            <v>0</v>
          </cell>
        </row>
        <row r="134">
          <cell r="BH134">
            <v>0</v>
          </cell>
        </row>
        <row r="135">
          <cell r="BH135">
            <v>0</v>
          </cell>
        </row>
        <row r="136">
          <cell r="BH136">
            <v>0</v>
          </cell>
        </row>
        <row r="137">
          <cell r="BH137">
            <v>0</v>
          </cell>
        </row>
        <row r="138">
          <cell r="BH138">
            <v>0</v>
          </cell>
        </row>
        <row r="139">
          <cell r="BH139">
            <v>0</v>
          </cell>
        </row>
        <row r="140">
          <cell r="BH140">
            <v>0</v>
          </cell>
        </row>
        <row r="141">
          <cell r="BH141">
            <v>0</v>
          </cell>
        </row>
        <row r="142">
          <cell r="BH142">
            <v>0</v>
          </cell>
        </row>
        <row r="143">
          <cell r="BH143">
            <v>0</v>
          </cell>
        </row>
        <row r="144">
          <cell r="BH144">
            <v>0</v>
          </cell>
        </row>
        <row r="145">
          <cell r="BH145">
            <v>0</v>
          </cell>
        </row>
        <row r="146">
          <cell r="BH146">
            <v>0</v>
          </cell>
        </row>
        <row r="147">
          <cell r="BH147">
            <v>0</v>
          </cell>
        </row>
        <row r="148">
          <cell r="BH148">
            <v>0</v>
          </cell>
        </row>
        <row r="149">
          <cell r="BH149">
            <v>0</v>
          </cell>
        </row>
        <row r="150">
          <cell r="BH150">
            <v>0</v>
          </cell>
        </row>
        <row r="151">
          <cell r="BH151">
            <v>0</v>
          </cell>
        </row>
        <row r="152">
          <cell r="BH152">
            <v>0</v>
          </cell>
        </row>
        <row r="153">
          <cell r="BH153">
            <v>0</v>
          </cell>
        </row>
        <row r="154">
          <cell r="BH154">
            <v>0</v>
          </cell>
        </row>
        <row r="155">
          <cell r="BH155">
            <v>0</v>
          </cell>
        </row>
        <row r="156">
          <cell r="BH156">
            <v>0</v>
          </cell>
        </row>
        <row r="157">
          <cell r="BH157">
            <v>0</v>
          </cell>
        </row>
        <row r="158">
          <cell r="BH158">
            <v>0</v>
          </cell>
        </row>
        <row r="159">
          <cell r="BH159">
            <v>0</v>
          </cell>
        </row>
        <row r="160">
          <cell r="BH160">
            <v>0</v>
          </cell>
        </row>
        <row r="161">
          <cell r="BH161">
            <v>0</v>
          </cell>
        </row>
        <row r="162">
          <cell r="BH162">
            <v>0</v>
          </cell>
        </row>
        <row r="163">
          <cell r="BH163">
            <v>0</v>
          </cell>
        </row>
        <row r="164">
          <cell r="BH164">
            <v>0</v>
          </cell>
        </row>
        <row r="165">
          <cell r="BH165">
            <v>0</v>
          </cell>
        </row>
        <row r="166">
          <cell r="BH166">
            <v>0</v>
          </cell>
        </row>
        <row r="167">
          <cell r="BH167">
            <v>0</v>
          </cell>
        </row>
        <row r="168">
          <cell r="BH168">
            <v>0</v>
          </cell>
        </row>
        <row r="169">
          <cell r="BH169">
            <v>0</v>
          </cell>
        </row>
        <row r="170">
          <cell r="BH170">
            <v>0</v>
          </cell>
        </row>
        <row r="171">
          <cell r="BH171">
            <v>0</v>
          </cell>
        </row>
        <row r="172">
          <cell r="BH172">
            <v>0</v>
          </cell>
        </row>
        <row r="173">
          <cell r="BH173">
            <v>0</v>
          </cell>
        </row>
        <row r="174">
          <cell r="BH174">
            <v>0</v>
          </cell>
        </row>
        <row r="175">
          <cell r="BH175">
            <v>0</v>
          </cell>
        </row>
        <row r="176">
          <cell r="BH176">
            <v>0</v>
          </cell>
        </row>
        <row r="177">
          <cell r="BH177">
            <v>0</v>
          </cell>
        </row>
        <row r="178">
          <cell r="BH178">
            <v>0</v>
          </cell>
        </row>
        <row r="179">
          <cell r="BH179">
            <v>10034.65</v>
          </cell>
        </row>
        <row r="180">
          <cell r="BH180">
            <v>0</v>
          </cell>
        </row>
        <row r="181">
          <cell r="BH181">
            <v>0</v>
          </cell>
        </row>
        <row r="182">
          <cell r="BH182">
            <v>0</v>
          </cell>
        </row>
        <row r="183">
          <cell r="BH183">
            <v>0</v>
          </cell>
        </row>
        <row r="184">
          <cell r="BH184">
            <v>0</v>
          </cell>
        </row>
        <row r="185">
          <cell r="BH185">
            <v>0</v>
          </cell>
        </row>
        <row r="186">
          <cell r="BH186">
            <v>0</v>
          </cell>
        </row>
        <row r="187">
          <cell r="BH187">
            <v>0</v>
          </cell>
        </row>
        <row r="188">
          <cell r="BH188">
            <v>0</v>
          </cell>
        </row>
        <row r="189">
          <cell r="BH189">
            <v>0</v>
          </cell>
        </row>
        <row r="190">
          <cell r="BH190">
            <v>0</v>
          </cell>
        </row>
        <row r="191">
          <cell r="AU191" t="str">
            <v>Gas and Fuel</v>
          </cell>
          <cell r="BH191">
            <v>812570.09999999986</v>
          </cell>
        </row>
        <row r="192">
          <cell r="AU192" t="str">
            <v>Gas and Fuel</v>
          </cell>
          <cell r="BH192">
            <v>0</v>
          </cell>
        </row>
        <row r="193">
          <cell r="AU193" t="str">
            <v>Toll/RFID</v>
          </cell>
          <cell r="BH193">
            <v>113662.37999999999</v>
          </cell>
        </row>
        <row r="194">
          <cell r="AU194" t="str">
            <v>Parking</v>
          </cell>
          <cell r="BH194">
            <v>26817</v>
          </cell>
        </row>
        <row r="195">
          <cell r="AU195" t="str">
            <v>Transpo</v>
          </cell>
          <cell r="BH195">
            <v>40555</v>
          </cell>
        </row>
        <row r="196">
          <cell r="AU196" t="str">
            <v>LTO</v>
          </cell>
          <cell r="BH196">
            <v>74945</v>
          </cell>
        </row>
        <row r="197">
          <cell r="AU197" t="str">
            <v>LTO</v>
          </cell>
          <cell r="BH197">
            <v>14925</v>
          </cell>
        </row>
        <row r="198">
          <cell r="BH198">
            <v>0</v>
          </cell>
        </row>
        <row r="199">
          <cell r="BH199">
            <v>0</v>
          </cell>
        </row>
        <row r="200">
          <cell r="BH200">
            <v>0</v>
          </cell>
        </row>
        <row r="201">
          <cell r="BH201">
            <v>0</v>
          </cell>
        </row>
        <row r="202">
          <cell r="BH202">
            <v>0</v>
          </cell>
        </row>
        <row r="203">
          <cell r="BH203">
            <v>0</v>
          </cell>
        </row>
        <row r="204">
          <cell r="BH204">
            <v>0</v>
          </cell>
        </row>
        <row r="205">
          <cell r="BH205">
            <v>0</v>
          </cell>
        </row>
        <row r="206">
          <cell r="BH206">
            <v>0</v>
          </cell>
        </row>
        <row r="207">
          <cell r="BH207">
            <v>0</v>
          </cell>
        </row>
        <row r="208">
          <cell r="BH208">
            <v>0</v>
          </cell>
        </row>
        <row r="209">
          <cell r="BH209">
            <v>0</v>
          </cell>
        </row>
        <row r="210">
          <cell r="BH210">
            <v>0</v>
          </cell>
        </row>
        <row r="211">
          <cell r="BH211">
            <v>0</v>
          </cell>
        </row>
        <row r="212">
          <cell r="BH212">
            <v>120000</v>
          </cell>
        </row>
        <row r="213">
          <cell r="AU213" t="str">
            <v>Pest Control</v>
          </cell>
          <cell r="BH213">
            <v>115169.64</v>
          </cell>
        </row>
        <row r="214">
          <cell r="AU214" t="str">
            <v>Aircon</v>
          </cell>
          <cell r="BH214">
            <v>450000</v>
          </cell>
        </row>
        <row r="215">
          <cell r="BH215">
            <v>113000</v>
          </cell>
        </row>
        <row r="216">
          <cell r="AU216" t="str">
            <v>Office Repair</v>
          </cell>
          <cell r="BH216">
            <v>216395.71000000002</v>
          </cell>
        </row>
        <row r="217">
          <cell r="BH217">
            <v>0</v>
          </cell>
        </row>
        <row r="218">
          <cell r="AU218" t="str">
            <v>Lights</v>
          </cell>
          <cell r="BH218">
            <v>9357.15</v>
          </cell>
        </row>
        <row r="219">
          <cell r="BH219">
            <v>0</v>
          </cell>
        </row>
        <row r="220">
          <cell r="BH220">
            <v>0</v>
          </cell>
        </row>
        <row r="221">
          <cell r="BH221">
            <v>0</v>
          </cell>
        </row>
        <row r="222">
          <cell r="BH222">
            <v>0</v>
          </cell>
        </row>
        <row r="223">
          <cell r="BH223">
            <v>0</v>
          </cell>
        </row>
        <row r="224">
          <cell r="AU224" t="str">
            <v>Others</v>
          </cell>
          <cell r="BH224">
            <v>7651.7900000000009</v>
          </cell>
        </row>
        <row r="225">
          <cell r="BH225">
            <v>3240</v>
          </cell>
        </row>
        <row r="226">
          <cell r="AU226" t="str">
            <v>Vehicle Repairs</v>
          </cell>
          <cell r="BH226">
            <v>634118.62</v>
          </cell>
        </row>
        <row r="227">
          <cell r="BH227">
            <v>0</v>
          </cell>
        </row>
        <row r="228">
          <cell r="BH228">
            <v>0</v>
          </cell>
        </row>
        <row r="229">
          <cell r="BH229">
            <v>0</v>
          </cell>
        </row>
        <row r="230">
          <cell r="BH230">
            <v>0</v>
          </cell>
        </row>
        <row r="231">
          <cell r="BH231">
            <v>0</v>
          </cell>
        </row>
        <row r="232">
          <cell r="BH232">
            <v>0</v>
          </cell>
        </row>
        <row r="233">
          <cell r="BH233">
            <v>0</v>
          </cell>
        </row>
        <row r="234">
          <cell r="BH234">
            <v>0</v>
          </cell>
        </row>
        <row r="235">
          <cell r="BH235">
            <v>0</v>
          </cell>
        </row>
        <row r="236">
          <cell r="BH236">
            <v>0</v>
          </cell>
        </row>
        <row r="237">
          <cell r="BH237">
            <v>0</v>
          </cell>
        </row>
        <row r="238">
          <cell r="BH238">
            <v>0</v>
          </cell>
        </row>
        <row r="239">
          <cell r="BH239">
            <v>0</v>
          </cell>
        </row>
        <row r="240">
          <cell r="BH240">
            <v>0</v>
          </cell>
        </row>
        <row r="241">
          <cell r="BH241">
            <v>0</v>
          </cell>
        </row>
        <row r="242">
          <cell r="BH242">
            <v>0</v>
          </cell>
        </row>
        <row r="243">
          <cell r="BH243">
            <v>0</v>
          </cell>
        </row>
        <row r="244">
          <cell r="BH244">
            <v>0</v>
          </cell>
        </row>
        <row r="245">
          <cell r="BH245">
            <v>0</v>
          </cell>
        </row>
        <row r="246">
          <cell r="BH246">
            <v>0</v>
          </cell>
        </row>
        <row r="247">
          <cell r="BH247">
            <v>0</v>
          </cell>
        </row>
        <row r="248">
          <cell r="BH248">
            <v>0</v>
          </cell>
        </row>
        <row r="249">
          <cell r="BH249">
            <v>0</v>
          </cell>
        </row>
        <row r="250">
          <cell r="BH250">
            <v>0</v>
          </cell>
        </row>
        <row r="251">
          <cell r="BH251">
            <v>0</v>
          </cell>
        </row>
        <row r="252">
          <cell r="BH252">
            <v>0</v>
          </cell>
        </row>
        <row r="253">
          <cell r="BH253">
            <v>0</v>
          </cell>
        </row>
        <row r="254">
          <cell r="BH254">
            <v>0</v>
          </cell>
        </row>
        <row r="255">
          <cell r="BH255">
            <v>0</v>
          </cell>
        </row>
        <row r="256">
          <cell r="BH256">
            <v>0</v>
          </cell>
        </row>
        <row r="257">
          <cell r="BH257">
            <v>0</v>
          </cell>
        </row>
        <row r="258">
          <cell r="BH258">
            <v>0</v>
          </cell>
        </row>
        <row r="259">
          <cell r="AU259" t="str">
            <v>Cleaning materials</v>
          </cell>
          <cell r="BH259">
            <v>190632.41000000003</v>
          </cell>
        </row>
        <row r="260">
          <cell r="AU260" t="str">
            <v>Scenting Machine</v>
          </cell>
          <cell r="BH260">
            <v>24107.16</v>
          </cell>
        </row>
        <row r="261">
          <cell r="BH261">
            <v>0</v>
          </cell>
        </row>
        <row r="262">
          <cell r="BH262">
            <v>0</v>
          </cell>
        </row>
        <row r="263">
          <cell r="AU263" t="str">
            <v>Motor</v>
          </cell>
          <cell r="BH263">
            <v>978347.57000000007</v>
          </cell>
        </row>
        <row r="264">
          <cell r="AU264" t="str">
            <v>Motor</v>
          </cell>
          <cell r="BH264">
            <v>0</v>
          </cell>
        </row>
        <row r="265">
          <cell r="AU265" t="str">
            <v>Motor</v>
          </cell>
          <cell r="BH265">
            <v>0</v>
          </cell>
        </row>
        <row r="266">
          <cell r="AU266" t="str">
            <v>Motor</v>
          </cell>
          <cell r="BH266">
            <v>0</v>
          </cell>
        </row>
        <row r="267">
          <cell r="AU267" t="str">
            <v>Motor</v>
          </cell>
          <cell r="BH267">
            <v>0</v>
          </cell>
        </row>
        <row r="268">
          <cell r="AU268" t="str">
            <v>Motor</v>
          </cell>
          <cell r="BH268">
            <v>0</v>
          </cell>
        </row>
        <row r="269">
          <cell r="AU269" t="str">
            <v>Motor</v>
          </cell>
          <cell r="BH269">
            <v>0</v>
          </cell>
        </row>
        <row r="270">
          <cell r="AU270" t="str">
            <v>Motor</v>
          </cell>
          <cell r="BH270">
            <v>0</v>
          </cell>
        </row>
        <row r="271">
          <cell r="AU271" t="str">
            <v>Motor</v>
          </cell>
          <cell r="BH271">
            <v>0</v>
          </cell>
        </row>
        <row r="272">
          <cell r="AU272" t="str">
            <v>Motor</v>
          </cell>
          <cell r="BH272">
            <v>0</v>
          </cell>
        </row>
        <row r="273">
          <cell r="AU273" t="str">
            <v>Motor</v>
          </cell>
          <cell r="BH273">
            <v>0</v>
          </cell>
        </row>
        <row r="274">
          <cell r="AU274" t="str">
            <v>Motor</v>
          </cell>
          <cell r="BH274">
            <v>0</v>
          </cell>
        </row>
        <row r="275">
          <cell r="AU275" t="str">
            <v>Motor</v>
          </cell>
          <cell r="BH275">
            <v>0</v>
          </cell>
        </row>
        <row r="276">
          <cell r="AU276" t="str">
            <v>Motor</v>
          </cell>
          <cell r="BH276">
            <v>0</v>
          </cell>
        </row>
        <row r="277">
          <cell r="AU277" t="str">
            <v>Motor</v>
          </cell>
          <cell r="BH277">
            <v>0</v>
          </cell>
        </row>
        <row r="278">
          <cell r="AU278" t="str">
            <v>Motor</v>
          </cell>
          <cell r="BH278">
            <v>0</v>
          </cell>
        </row>
        <row r="279">
          <cell r="AU279" t="str">
            <v>Motor</v>
          </cell>
          <cell r="BH279">
            <v>0</v>
          </cell>
        </row>
        <row r="280">
          <cell r="AU280" t="str">
            <v>Motor</v>
          </cell>
          <cell r="BH280">
            <v>0</v>
          </cell>
        </row>
        <row r="281">
          <cell r="AU281" t="str">
            <v>Motor</v>
          </cell>
          <cell r="BH281">
            <v>0</v>
          </cell>
        </row>
        <row r="282">
          <cell r="AU282" t="str">
            <v>Motor</v>
          </cell>
          <cell r="BH282">
            <v>0</v>
          </cell>
        </row>
        <row r="283">
          <cell r="AU283" t="str">
            <v>Motor</v>
          </cell>
          <cell r="BH283">
            <v>0</v>
          </cell>
        </row>
        <row r="284">
          <cell r="AU284" t="str">
            <v>Motor</v>
          </cell>
          <cell r="BH284">
            <v>0</v>
          </cell>
        </row>
        <row r="285">
          <cell r="AU285" t="str">
            <v>Motor</v>
          </cell>
          <cell r="BH285">
            <v>0</v>
          </cell>
        </row>
        <row r="286">
          <cell r="AU286" t="str">
            <v>Motor</v>
          </cell>
          <cell r="BH286">
            <v>0</v>
          </cell>
        </row>
        <row r="287">
          <cell r="AU287" t="str">
            <v>Motor</v>
          </cell>
          <cell r="BH287">
            <v>0</v>
          </cell>
        </row>
        <row r="288">
          <cell r="AU288" t="str">
            <v>Motor</v>
          </cell>
          <cell r="BH288">
            <v>0</v>
          </cell>
        </row>
        <row r="289">
          <cell r="AU289" t="str">
            <v>Motor</v>
          </cell>
          <cell r="BH289">
            <v>0</v>
          </cell>
        </row>
        <row r="290">
          <cell r="AU290" t="str">
            <v>Motor</v>
          </cell>
          <cell r="BH290">
            <v>0</v>
          </cell>
        </row>
        <row r="291">
          <cell r="AU291" t="str">
            <v>Motor</v>
          </cell>
          <cell r="BH291">
            <v>0</v>
          </cell>
        </row>
        <row r="292">
          <cell r="AU292" t="str">
            <v>Motor</v>
          </cell>
          <cell r="BH292">
            <v>0</v>
          </cell>
        </row>
        <row r="293">
          <cell r="AU293" t="str">
            <v>Motor</v>
          </cell>
          <cell r="BH293">
            <v>0</v>
          </cell>
        </row>
        <row r="294">
          <cell r="AU294" t="str">
            <v>Motor</v>
          </cell>
          <cell r="BH294">
            <v>0</v>
          </cell>
        </row>
        <row r="295">
          <cell r="AU295" t="str">
            <v>Motor</v>
          </cell>
          <cell r="BH295">
            <v>0</v>
          </cell>
        </row>
        <row r="296">
          <cell r="AU296" t="str">
            <v>Motor</v>
          </cell>
          <cell r="BH296">
            <v>0</v>
          </cell>
        </row>
        <row r="297">
          <cell r="AU297" t="str">
            <v>Motor</v>
          </cell>
          <cell r="BH297">
            <v>0</v>
          </cell>
        </row>
        <row r="298">
          <cell r="AU298" t="str">
            <v>Motor</v>
          </cell>
          <cell r="BH298">
            <v>0</v>
          </cell>
        </row>
        <row r="299">
          <cell r="AU299" t="str">
            <v>Motor</v>
          </cell>
          <cell r="BH299">
            <v>0</v>
          </cell>
        </row>
        <row r="300">
          <cell r="AU300" t="str">
            <v>Motor</v>
          </cell>
          <cell r="BH300">
            <v>0</v>
          </cell>
        </row>
        <row r="301">
          <cell r="AU301" t="str">
            <v>Motor</v>
          </cell>
          <cell r="BH301">
            <v>0</v>
          </cell>
        </row>
        <row r="302">
          <cell r="AU302" t="str">
            <v>Motor</v>
          </cell>
          <cell r="BH302">
            <v>0</v>
          </cell>
        </row>
        <row r="303">
          <cell r="AU303" t="str">
            <v>Motor</v>
          </cell>
          <cell r="BH303">
            <v>0</v>
          </cell>
        </row>
        <row r="304">
          <cell r="AU304" t="str">
            <v>Motor</v>
          </cell>
          <cell r="BH304">
            <v>0</v>
          </cell>
        </row>
        <row r="305">
          <cell r="AU305" t="str">
            <v>Motor</v>
          </cell>
          <cell r="BH305">
            <v>0</v>
          </cell>
        </row>
        <row r="306">
          <cell r="AU306" t="str">
            <v>Motor</v>
          </cell>
          <cell r="BH306">
            <v>0</v>
          </cell>
        </row>
        <row r="307">
          <cell r="AU307" t="str">
            <v>Motor</v>
          </cell>
          <cell r="BH307">
            <v>0</v>
          </cell>
        </row>
        <row r="308">
          <cell r="AU308" t="str">
            <v>Motor</v>
          </cell>
          <cell r="BH308">
            <v>0</v>
          </cell>
        </row>
        <row r="309">
          <cell r="AU309" t="str">
            <v>Motor</v>
          </cell>
          <cell r="BH309">
            <v>0</v>
          </cell>
        </row>
        <row r="310">
          <cell r="AU310" t="str">
            <v>Motor</v>
          </cell>
          <cell r="BH310">
            <v>0</v>
          </cell>
        </row>
        <row r="311">
          <cell r="AU311" t="str">
            <v>Motor</v>
          </cell>
          <cell r="BH311">
            <v>0</v>
          </cell>
        </row>
        <row r="312">
          <cell r="AU312" t="str">
            <v>Motor</v>
          </cell>
          <cell r="BH312">
            <v>0</v>
          </cell>
        </row>
        <row r="313">
          <cell r="AU313" t="str">
            <v>Motor</v>
          </cell>
          <cell r="BH313">
            <v>0</v>
          </cell>
        </row>
        <row r="314">
          <cell r="AU314" t="str">
            <v>Motor</v>
          </cell>
          <cell r="BH314">
            <v>0</v>
          </cell>
        </row>
        <row r="315">
          <cell r="AU315" t="str">
            <v>Motor</v>
          </cell>
          <cell r="BH315">
            <v>0</v>
          </cell>
        </row>
        <row r="316">
          <cell r="AU316" t="str">
            <v>Motor</v>
          </cell>
          <cell r="BH316">
            <v>0</v>
          </cell>
        </row>
        <row r="317">
          <cell r="AU317" t="str">
            <v>Motor</v>
          </cell>
          <cell r="BH317">
            <v>0</v>
          </cell>
        </row>
        <row r="318">
          <cell r="AU318" t="str">
            <v>Motor</v>
          </cell>
          <cell r="BH318">
            <v>0</v>
          </cell>
        </row>
        <row r="319">
          <cell r="AU319" t="str">
            <v>Motor</v>
          </cell>
          <cell r="BH319">
            <v>0</v>
          </cell>
        </row>
        <row r="320">
          <cell r="AU320" t="str">
            <v>Motor</v>
          </cell>
          <cell r="BH320">
            <v>0</v>
          </cell>
        </row>
        <row r="321">
          <cell r="AU321" t="str">
            <v>Motor</v>
          </cell>
          <cell r="BH321">
            <v>0</v>
          </cell>
        </row>
        <row r="322">
          <cell r="AU322" t="str">
            <v>Motor</v>
          </cell>
          <cell r="BH322">
            <v>0</v>
          </cell>
        </row>
        <row r="323">
          <cell r="AU323" t="str">
            <v>Motor</v>
          </cell>
          <cell r="BH323">
            <v>0</v>
          </cell>
        </row>
        <row r="324">
          <cell r="AU324" t="str">
            <v>Motor</v>
          </cell>
          <cell r="BH324">
            <v>0</v>
          </cell>
        </row>
        <row r="325">
          <cell r="AU325" t="str">
            <v>Motor</v>
          </cell>
          <cell r="BH325">
            <v>0</v>
          </cell>
        </row>
        <row r="326">
          <cell r="AU326" t="str">
            <v>Motor</v>
          </cell>
          <cell r="BH326">
            <v>0</v>
          </cell>
        </row>
        <row r="327">
          <cell r="AU327" t="str">
            <v>Motor</v>
          </cell>
          <cell r="BH327">
            <v>0</v>
          </cell>
        </row>
        <row r="328">
          <cell r="AU328" t="str">
            <v>Motor</v>
          </cell>
          <cell r="BH328">
            <v>0</v>
          </cell>
        </row>
        <row r="329">
          <cell r="AU329" t="str">
            <v>Motor</v>
          </cell>
          <cell r="BH329">
            <v>0</v>
          </cell>
        </row>
        <row r="330">
          <cell r="AU330" t="str">
            <v>Motor</v>
          </cell>
          <cell r="BH330">
            <v>0</v>
          </cell>
        </row>
        <row r="331">
          <cell r="AU331" t="str">
            <v>Motor</v>
          </cell>
          <cell r="BH331">
            <v>0</v>
          </cell>
        </row>
        <row r="332">
          <cell r="AU332" t="str">
            <v>Motor</v>
          </cell>
          <cell r="BH332">
            <v>0</v>
          </cell>
        </row>
        <row r="333">
          <cell r="AU333" t="str">
            <v>Motor</v>
          </cell>
          <cell r="BH333">
            <v>0</v>
          </cell>
        </row>
        <row r="334">
          <cell r="AU334" t="str">
            <v>Motor</v>
          </cell>
          <cell r="BH334">
            <v>0</v>
          </cell>
        </row>
        <row r="335">
          <cell r="AU335" t="str">
            <v>Motor</v>
          </cell>
          <cell r="BH335">
            <v>0</v>
          </cell>
        </row>
        <row r="336">
          <cell r="AU336" t="str">
            <v>Motor</v>
          </cell>
          <cell r="BH336">
            <v>0</v>
          </cell>
        </row>
        <row r="337">
          <cell r="AU337" t="str">
            <v>Motor</v>
          </cell>
          <cell r="BH337">
            <v>0</v>
          </cell>
        </row>
        <row r="338">
          <cell r="AU338" t="str">
            <v>Motor</v>
          </cell>
          <cell r="BH338">
            <v>0</v>
          </cell>
        </row>
        <row r="339">
          <cell r="AU339" t="str">
            <v>Motor</v>
          </cell>
          <cell r="BH339">
            <v>0</v>
          </cell>
        </row>
        <row r="340">
          <cell r="AU340" t="str">
            <v>Motor</v>
          </cell>
          <cell r="BH340">
            <v>0</v>
          </cell>
        </row>
        <row r="341">
          <cell r="AU341" t="str">
            <v>Motor</v>
          </cell>
          <cell r="BH341">
            <v>0</v>
          </cell>
        </row>
        <row r="342">
          <cell r="AU342" t="str">
            <v>Motor</v>
          </cell>
          <cell r="BH342">
            <v>0</v>
          </cell>
        </row>
        <row r="343">
          <cell r="AU343" t="str">
            <v>Motor</v>
          </cell>
          <cell r="BH343">
            <v>0</v>
          </cell>
        </row>
        <row r="344">
          <cell r="AU344" t="str">
            <v>Motor</v>
          </cell>
          <cell r="BH344">
            <v>0</v>
          </cell>
        </row>
        <row r="345">
          <cell r="AU345" t="str">
            <v>Motor</v>
          </cell>
          <cell r="BH345">
            <v>0</v>
          </cell>
        </row>
        <row r="346">
          <cell r="AU346" t="str">
            <v>Motor</v>
          </cell>
          <cell r="BH346">
            <v>0</v>
          </cell>
        </row>
        <row r="347">
          <cell r="AU347" t="str">
            <v>PARI</v>
          </cell>
          <cell r="BH347">
            <v>230931.53000000003</v>
          </cell>
        </row>
        <row r="348">
          <cell r="AU348" t="str">
            <v>DOL</v>
          </cell>
          <cell r="BH348">
            <v>411354.97000000015</v>
          </cell>
        </row>
        <row r="349">
          <cell r="AU349" t="str">
            <v>PTS
Insurance Bond</v>
          </cell>
          <cell r="BH349">
            <v>53745.120000000003</v>
          </cell>
        </row>
        <row r="350">
          <cell r="AU350" t="str">
            <v>Trunklines</v>
          </cell>
          <cell r="BH350">
            <v>-31200</v>
          </cell>
        </row>
        <row r="351">
          <cell r="AU351" t="str">
            <v>Trunklines</v>
          </cell>
          <cell r="BH351">
            <v>0</v>
          </cell>
        </row>
        <row r="352">
          <cell r="AU352" t="str">
            <v>Trunklines</v>
          </cell>
          <cell r="BH352">
            <v>0</v>
          </cell>
        </row>
        <row r="353">
          <cell r="AU353" t="str">
            <v>Trunklines</v>
          </cell>
          <cell r="BH353">
            <v>0</v>
          </cell>
        </row>
        <row r="354">
          <cell r="AU354" t="str">
            <v>Trunklines</v>
          </cell>
          <cell r="BH354">
            <v>0</v>
          </cell>
        </row>
        <row r="355">
          <cell r="AU355" t="str">
            <v>Trunklines</v>
          </cell>
          <cell r="BH355">
            <v>0</v>
          </cell>
        </row>
        <row r="356">
          <cell r="AU356" t="str">
            <v>Trunklines</v>
          </cell>
          <cell r="BH356">
            <v>0</v>
          </cell>
        </row>
        <row r="357">
          <cell r="AU357" t="str">
            <v>Trunklines</v>
          </cell>
          <cell r="BH357">
            <v>0</v>
          </cell>
        </row>
        <row r="358">
          <cell r="AU358" t="str">
            <v>Trunklines</v>
          </cell>
          <cell r="BH358">
            <v>0</v>
          </cell>
        </row>
        <row r="359">
          <cell r="BH359">
            <v>0</v>
          </cell>
        </row>
        <row r="360">
          <cell r="BH360">
            <v>0</v>
          </cell>
        </row>
        <row r="361">
          <cell r="AU361" t="str">
            <v>Mobile</v>
          </cell>
          <cell r="BH361">
            <v>26548.29</v>
          </cell>
        </row>
        <row r="362">
          <cell r="BH362">
            <v>0</v>
          </cell>
        </row>
        <row r="363">
          <cell r="BH363">
            <v>0</v>
          </cell>
        </row>
        <row r="364">
          <cell r="AU364" t="str">
            <v>Mobile</v>
          </cell>
          <cell r="BH364">
            <v>26247.07</v>
          </cell>
        </row>
        <row r="365">
          <cell r="BH365">
            <v>0</v>
          </cell>
        </row>
        <row r="366">
          <cell r="AU366" t="str">
            <v>Board Room</v>
          </cell>
          <cell r="BH366">
            <v>13950</v>
          </cell>
        </row>
        <row r="367">
          <cell r="AU367" t="str">
            <v>Postal</v>
          </cell>
          <cell r="BH367">
            <v>4098.6100000000006</v>
          </cell>
        </row>
        <row r="368">
          <cell r="AU368" t="str">
            <v>Security HQ</v>
          </cell>
          <cell r="BH368">
            <v>1776622.6600000001</v>
          </cell>
        </row>
        <row r="369">
          <cell r="BH369">
            <v>0</v>
          </cell>
        </row>
        <row r="370">
          <cell r="BH370">
            <v>0</v>
          </cell>
        </row>
        <row r="371">
          <cell r="BH371">
            <v>0</v>
          </cell>
        </row>
        <row r="372">
          <cell r="BH372">
            <v>0</v>
          </cell>
        </row>
        <row r="373">
          <cell r="BH373">
            <v>0</v>
          </cell>
        </row>
        <row r="374">
          <cell r="BH374">
            <v>0</v>
          </cell>
        </row>
        <row r="375">
          <cell r="BH375">
            <v>0</v>
          </cell>
        </row>
        <row r="376">
          <cell r="AU376" t="str">
            <v>Janitorial</v>
          </cell>
          <cell r="BH376">
            <v>3212200.4199999995</v>
          </cell>
        </row>
        <row r="377">
          <cell r="BH377">
            <v>0</v>
          </cell>
        </row>
        <row r="378">
          <cell r="BH378">
            <v>0</v>
          </cell>
        </row>
        <row r="379">
          <cell r="BH379">
            <v>0</v>
          </cell>
        </row>
        <row r="380">
          <cell r="BH380">
            <v>0</v>
          </cell>
        </row>
        <row r="381">
          <cell r="BH381">
            <v>0</v>
          </cell>
        </row>
        <row r="382">
          <cell r="BH382">
            <v>0</v>
          </cell>
        </row>
        <row r="383">
          <cell r="BH383">
            <v>0</v>
          </cell>
        </row>
        <row r="384">
          <cell r="BH384">
            <v>0</v>
          </cell>
        </row>
        <row r="385">
          <cell r="BH385">
            <v>0</v>
          </cell>
        </row>
        <row r="386">
          <cell r="BH386">
            <v>0</v>
          </cell>
        </row>
        <row r="387">
          <cell r="BH387">
            <v>0</v>
          </cell>
        </row>
        <row r="388">
          <cell r="BH388">
            <v>0</v>
          </cell>
        </row>
        <row r="389">
          <cell r="BH389">
            <v>0</v>
          </cell>
        </row>
        <row r="390">
          <cell r="BH390">
            <v>0</v>
          </cell>
        </row>
        <row r="391">
          <cell r="BH391">
            <v>0</v>
          </cell>
        </row>
        <row r="392">
          <cell r="BH392">
            <v>0</v>
          </cell>
        </row>
        <row r="393">
          <cell r="BH393">
            <v>0</v>
          </cell>
        </row>
        <row r="394">
          <cell r="AU394" t="str">
            <v>Admin</v>
          </cell>
          <cell r="BH394">
            <v>3148149.84</v>
          </cell>
        </row>
        <row r="395">
          <cell r="BH395">
            <v>0</v>
          </cell>
        </row>
        <row r="396">
          <cell r="BH396">
            <v>0</v>
          </cell>
        </row>
        <row r="397">
          <cell r="BH397">
            <v>0</v>
          </cell>
        </row>
        <row r="398">
          <cell r="BH398">
            <v>0</v>
          </cell>
        </row>
        <row r="399">
          <cell r="BH399">
            <v>0</v>
          </cell>
        </row>
        <row r="400">
          <cell r="BH400">
            <v>0</v>
          </cell>
        </row>
        <row r="401">
          <cell r="BH401">
            <v>0</v>
          </cell>
        </row>
        <row r="402">
          <cell r="BH402">
            <v>0</v>
          </cell>
        </row>
        <row r="403">
          <cell r="BH403">
            <v>0</v>
          </cell>
        </row>
        <row r="404">
          <cell r="BH404">
            <v>0</v>
          </cell>
        </row>
        <row r="405">
          <cell r="BH405">
            <v>0</v>
          </cell>
        </row>
        <row r="406">
          <cell r="BH406">
            <v>0</v>
          </cell>
        </row>
        <row r="407">
          <cell r="BH407">
            <v>0</v>
          </cell>
        </row>
        <row r="408">
          <cell r="BH408">
            <v>0</v>
          </cell>
        </row>
        <row r="409">
          <cell r="BH409">
            <v>0</v>
          </cell>
        </row>
        <row r="410">
          <cell r="BH410">
            <v>0</v>
          </cell>
        </row>
        <row r="411">
          <cell r="BH411">
            <v>0</v>
          </cell>
        </row>
        <row r="412">
          <cell r="BH412">
            <v>0</v>
          </cell>
        </row>
        <row r="413">
          <cell r="BH413">
            <v>0</v>
          </cell>
        </row>
        <row r="414">
          <cell r="BH414">
            <v>0</v>
          </cell>
        </row>
        <row r="415">
          <cell r="BH415">
            <v>0</v>
          </cell>
        </row>
        <row r="416">
          <cell r="BH416">
            <v>0</v>
          </cell>
        </row>
        <row r="417">
          <cell r="BH417">
            <v>0</v>
          </cell>
        </row>
        <row r="418">
          <cell r="AU418" t="str">
            <v>Rent</v>
          </cell>
          <cell r="BH418">
            <v>66893.460000000006</v>
          </cell>
        </row>
        <row r="419">
          <cell r="AU419" t="str">
            <v>Training snacks</v>
          </cell>
          <cell r="BH419">
            <v>12828.95</v>
          </cell>
        </row>
        <row r="420">
          <cell r="BH420">
            <v>0</v>
          </cell>
        </row>
        <row r="421">
          <cell r="BH421">
            <v>6000</v>
          </cell>
        </row>
        <row r="422">
          <cell r="BH422">
            <v>6000</v>
          </cell>
        </row>
        <row r="423">
          <cell r="BH423">
            <v>6000</v>
          </cell>
        </row>
        <row r="424">
          <cell r="AU424" t="str">
            <v>AVR</v>
          </cell>
          <cell r="BH424">
            <v>0</v>
          </cell>
        </row>
        <row r="425">
          <cell r="AU425" t="str">
            <v>AVR</v>
          </cell>
          <cell r="BH425">
            <v>0</v>
          </cell>
        </row>
        <row r="426">
          <cell r="AU426" t="str">
            <v>AVR</v>
          </cell>
          <cell r="BH426">
            <v>0</v>
          </cell>
        </row>
        <row r="427">
          <cell r="AU427" t="str">
            <v>AVR</v>
          </cell>
          <cell r="BH427">
            <v>35000</v>
          </cell>
        </row>
        <row r="428">
          <cell r="AU428" t="str">
            <v>AVR</v>
          </cell>
          <cell r="BH428">
            <v>30000</v>
          </cell>
        </row>
        <row r="429">
          <cell r="AU429" t="str">
            <v>AVR</v>
          </cell>
          <cell r="BH429">
            <v>0</v>
          </cell>
        </row>
        <row r="430">
          <cell r="AU430" t="str">
            <v>AVR</v>
          </cell>
          <cell r="BH430">
            <v>40000</v>
          </cell>
        </row>
        <row r="431">
          <cell r="AU431" t="str">
            <v>AVR</v>
          </cell>
          <cell r="BH431">
            <v>25000</v>
          </cell>
        </row>
        <row r="432">
          <cell r="AU432" t="str">
            <v>AVR</v>
          </cell>
          <cell r="BH432">
            <v>0</v>
          </cell>
        </row>
        <row r="433">
          <cell r="AU433" t="str">
            <v>HRIS Tirso</v>
          </cell>
          <cell r="BH433">
            <v>368421.05999999994</v>
          </cell>
        </row>
        <row r="434">
          <cell r="BH434">
            <v>0</v>
          </cell>
        </row>
        <row r="435">
          <cell r="BH435">
            <v>0</v>
          </cell>
        </row>
        <row r="436">
          <cell r="BH436">
            <v>0</v>
          </cell>
        </row>
        <row r="437">
          <cell r="BH437">
            <v>0</v>
          </cell>
        </row>
        <row r="438">
          <cell r="BH438">
            <v>0</v>
          </cell>
        </row>
        <row r="439">
          <cell r="BH439">
            <v>0</v>
          </cell>
        </row>
        <row r="440">
          <cell r="BH440">
            <v>0</v>
          </cell>
        </row>
        <row r="441">
          <cell r="AU441" t="str">
            <v>Company Lanyard</v>
          </cell>
          <cell r="BH441">
            <v>7366.07</v>
          </cell>
        </row>
        <row r="442">
          <cell r="AU442" t="str">
            <v>Referral</v>
          </cell>
          <cell r="BH442">
            <v>1000</v>
          </cell>
        </row>
        <row r="443">
          <cell r="AU443" t="str">
            <v>Referral</v>
          </cell>
          <cell r="BH443">
            <v>0</v>
          </cell>
        </row>
        <row r="444">
          <cell r="AU444" t="str">
            <v>Referral</v>
          </cell>
          <cell r="BH444">
            <v>6000</v>
          </cell>
        </row>
        <row r="445">
          <cell r="BH445">
            <v>0</v>
          </cell>
        </row>
        <row r="446">
          <cell r="BH446">
            <v>0</v>
          </cell>
        </row>
        <row r="447">
          <cell r="BH447">
            <v>0</v>
          </cell>
        </row>
        <row r="448">
          <cell r="BH448">
            <v>0</v>
          </cell>
        </row>
        <row r="449">
          <cell r="BH449">
            <v>0</v>
          </cell>
        </row>
        <row r="450">
          <cell r="BH450">
            <v>0</v>
          </cell>
        </row>
        <row r="451">
          <cell r="AU451" t="str">
            <v>Job Fair</v>
          </cell>
          <cell r="BH451">
            <v>4464.29</v>
          </cell>
        </row>
        <row r="452">
          <cell r="AU452" t="str">
            <v>Jobstreet</v>
          </cell>
          <cell r="BH452">
            <v>0</v>
          </cell>
        </row>
        <row r="453">
          <cell r="AU453" t="str">
            <v>Jobstreet</v>
          </cell>
          <cell r="BH453">
            <v>0</v>
          </cell>
        </row>
        <row r="454">
          <cell r="AU454" t="str">
            <v>Jobstreet</v>
          </cell>
          <cell r="BH454">
            <v>533958.35</v>
          </cell>
        </row>
        <row r="455">
          <cell r="BH455">
            <v>0</v>
          </cell>
        </row>
        <row r="456">
          <cell r="BH456">
            <v>0</v>
          </cell>
        </row>
        <row r="457">
          <cell r="AU457" t="str">
            <v>Linkedin</v>
          </cell>
          <cell r="BH457">
            <v>9366.2000000000007</v>
          </cell>
        </row>
        <row r="458">
          <cell r="BH458">
            <v>10000</v>
          </cell>
        </row>
        <row r="459">
          <cell r="BH459">
            <v>0</v>
          </cell>
        </row>
        <row r="460">
          <cell r="BH460">
            <v>0</v>
          </cell>
        </row>
        <row r="461">
          <cell r="AU461" t="str">
            <v>Pre-employment Medical</v>
          </cell>
          <cell r="BH461">
            <v>17660</v>
          </cell>
        </row>
        <row r="462">
          <cell r="AU462" t="str">
            <v>Pre-employment Medical</v>
          </cell>
          <cell r="BH462">
            <v>22880</v>
          </cell>
        </row>
        <row r="463">
          <cell r="AU463" t="str">
            <v>Pre-employment Medical</v>
          </cell>
          <cell r="BH463">
            <v>30500.17</v>
          </cell>
        </row>
        <row r="464">
          <cell r="BH464">
            <v>0</v>
          </cell>
        </row>
        <row r="465">
          <cell r="BH465">
            <v>0</v>
          </cell>
        </row>
        <row r="466">
          <cell r="BH466">
            <v>0</v>
          </cell>
        </row>
        <row r="467">
          <cell r="BH467">
            <v>0</v>
          </cell>
        </row>
        <row r="468">
          <cell r="BH468">
            <v>0</v>
          </cell>
        </row>
        <row r="469">
          <cell r="BH469">
            <v>0</v>
          </cell>
        </row>
        <row r="470">
          <cell r="BH470">
            <v>0</v>
          </cell>
        </row>
        <row r="471">
          <cell r="BH471">
            <v>0</v>
          </cell>
        </row>
        <row r="472">
          <cell r="BH472">
            <v>0</v>
          </cell>
        </row>
        <row r="473">
          <cell r="BH473">
            <v>0</v>
          </cell>
        </row>
        <row r="474">
          <cell r="AU474" t="str">
            <v>Company Outing</v>
          </cell>
          <cell r="BH474">
            <v>3085667.13</v>
          </cell>
        </row>
        <row r="475">
          <cell r="AU475" t="str">
            <v>Employee Merienda</v>
          </cell>
          <cell r="BH475">
            <v>-1753.2999999999993</v>
          </cell>
        </row>
        <row r="476">
          <cell r="BH476">
            <v>0</v>
          </cell>
        </row>
        <row r="477">
          <cell r="BH477">
            <v>2820000</v>
          </cell>
        </row>
        <row r="478">
          <cell r="BH478">
            <v>3000</v>
          </cell>
        </row>
        <row r="479">
          <cell r="BH479">
            <v>0</v>
          </cell>
        </row>
        <row r="480">
          <cell r="BH480">
            <v>1300000</v>
          </cell>
        </row>
        <row r="481">
          <cell r="BH481">
            <v>615000</v>
          </cell>
        </row>
        <row r="482">
          <cell r="BH482">
            <v>390000</v>
          </cell>
        </row>
        <row r="483">
          <cell r="BH483">
            <v>0</v>
          </cell>
        </row>
        <row r="484">
          <cell r="BH484">
            <v>0</v>
          </cell>
        </row>
        <row r="485">
          <cell r="BH485">
            <v>0</v>
          </cell>
        </row>
        <row r="486">
          <cell r="BH486">
            <v>240000</v>
          </cell>
        </row>
        <row r="487">
          <cell r="AU487" t="str">
            <v xml:space="preserve">Chinese New Year </v>
          </cell>
          <cell r="BH487">
            <v>10607.14</v>
          </cell>
        </row>
        <row r="488">
          <cell r="AU488" t="str">
            <v xml:space="preserve">Valentine's Day </v>
          </cell>
          <cell r="BH488">
            <v>19994</v>
          </cell>
        </row>
        <row r="489">
          <cell r="BH489">
            <v>0</v>
          </cell>
        </row>
        <row r="490">
          <cell r="BH490">
            <v>0</v>
          </cell>
        </row>
        <row r="491">
          <cell r="BH491">
            <v>0</v>
          </cell>
        </row>
        <row r="492">
          <cell r="BH492">
            <v>0</v>
          </cell>
        </row>
        <row r="493">
          <cell r="AU493" t="str">
            <v>Blue Friday</v>
          </cell>
          <cell r="BH493">
            <v>18880</v>
          </cell>
        </row>
        <row r="494">
          <cell r="BH494">
            <v>0</v>
          </cell>
        </row>
        <row r="495">
          <cell r="BH495">
            <v>0</v>
          </cell>
        </row>
        <row r="496">
          <cell r="BH496">
            <v>0</v>
          </cell>
        </row>
        <row r="497">
          <cell r="BH497">
            <v>0</v>
          </cell>
        </row>
        <row r="498">
          <cell r="BH498">
            <v>50000</v>
          </cell>
        </row>
        <row r="499">
          <cell r="BH499">
            <v>0</v>
          </cell>
        </row>
        <row r="500">
          <cell r="BH500">
            <v>0</v>
          </cell>
        </row>
        <row r="501">
          <cell r="BH501">
            <v>10000</v>
          </cell>
        </row>
        <row r="502">
          <cell r="BH502">
            <v>0</v>
          </cell>
        </row>
        <row r="503">
          <cell r="BH503">
            <v>0</v>
          </cell>
        </row>
        <row r="504">
          <cell r="BH504">
            <v>0</v>
          </cell>
        </row>
        <row r="505">
          <cell r="AU505" t="str">
            <v>Shirts</v>
          </cell>
          <cell r="BH505">
            <v>111800</v>
          </cell>
        </row>
        <row r="506">
          <cell r="AU506" t="str">
            <v>Shirts</v>
          </cell>
          <cell r="BH506">
            <v>32785.71</v>
          </cell>
        </row>
        <row r="507">
          <cell r="AU507" t="str">
            <v>Shirts</v>
          </cell>
          <cell r="BH507">
            <v>111366.07</v>
          </cell>
        </row>
        <row r="508">
          <cell r="AU508" t="str">
            <v>Clinic Supplies</v>
          </cell>
          <cell r="BH508">
            <v>52648.6</v>
          </cell>
        </row>
        <row r="509">
          <cell r="AU509" t="str">
            <v>Bereavement Assistance</v>
          </cell>
          <cell r="BH509">
            <v>122400</v>
          </cell>
        </row>
        <row r="510">
          <cell r="AU510" t="str">
            <v>Bereavement Assistance</v>
          </cell>
          <cell r="BH510">
            <v>3000</v>
          </cell>
        </row>
        <row r="511">
          <cell r="AU511" t="str">
            <v>Bereavement Assistance</v>
          </cell>
          <cell r="BH511">
            <v>0</v>
          </cell>
        </row>
        <row r="512">
          <cell r="AU512" t="str">
            <v>Flowers and Fruits</v>
          </cell>
          <cell r="BH512">
            <v>40433</v>
          </cell>
        </row>
        <row r="513">
          <cell r="BH513">
            <v>0</v>
          </cell>
        </row>
        <row r="514">
          <cell r="AU514" t="str">
            <v>Flowers and Fruits</v>
          </cell>
          <cell r="BH514">
            <v>3980</v>
          </cell>
        </row>
        <row r="515">
          <cell r="BH515">
            <v>0</v>
          </cell>
        </row>
        <row r="516">
          <cell r="BH516">
            <v>0</v>
          </cell>
        </row>
        <row r="517">
          <cell r="AU517" t="str">
            <v>Birthday Bash</v>
          </cell>
          <cell r="BH517">
            <v>41665.65</v>
          </cell>
        </row>
        <row r="518">
          <cell r="BH518">
            <v>0</v>
          </cell>
        </row>
        <row r="519">
          <cell r="AU519" t="str">
            <v>Water</v>
          </cell>
          <cell r="BH519">
            <v>192371.21999999997</v>
          </cell>
        </row>
        <row r="520">
          <cell r="AU520" t="str">
            <v>Bathroom Tissue Roll</v>
          </cell>
          <cell r="BH520">
            <v>83705.67</v>
          </cell>
        </row>
        <row r="521">
          <cell r="AU521" t="str">
            <v>Paper Towels</v>
          </cell>
          <cell r="BH521">
            <v>213276.88999999998</v>
          </cell>
        </row>
        <row r="522">
          <cell r="AU522" t="str">
            <v xml:space="preserve">Alcohol </v>
          </cell>
          <cell r="BH522">
            <v>0</v>
          </cell>
        </row>
        <row r="523">
          <cell r="BH523">
            <v>0</v>
          </cell>
        </row>
        <row r="524">
          <cell r="BH524">
            <v>0</v>
          </cell>
        </row>
        <row r="525">
          <cell r="AU525" t="str">
            <v>Service Awardees</v>
          </cell>
          <cell r="BH525">
            <v>121000</v>
          </cell>
        </row>
        <row r="526">
          <cell r="BH526">
            <v>21000</v>
          </cell>
        </row>
        <row r="527">
          <cell r="BH527">
            <v>42000</v>
          </cell>
        </row>
        <row r="528">
          <cell r="AU528" t="str">
            <v>Flu vaccine</v>
          </cell>
          <cell r="BH528">
            <v>95410.72</v>
          </cell>
        </row>
        <row r="529">
          <cell r="AU529" t="str">
            <v>Flu vaccine</v>
          </cell>
          <cell r="BH529">
            <v>29333.57</v>
          </cell>
        </row>
        <row r="530">
          <cell r="AU530" t="str">
            <v>Flu vaccine</v>
          </cell>
          <cell r="BH530">
            <v>43791.43</v>
          </cell>
        </row>
        <row r="531">
          <cell r="BH531">
            <v>0</v>
          </cell>
        </row>
        <row r="532">
          <cell r="AU532" t="str">
            <v>Karaoke Night</v>
          </cell>
          <cell r="BH532">
            <v>24838.959999999999</v>
          </cell>
        </row>
        <row r="533">
          <cell r="BH533">
            <v>0</v>
          </cell>
        </row>
        <row r="534">
          <cell r="BH534">
            <v>0</v>
          </cell>
        </row>
        <row r="535">
          <cell r="BH535">
            <v>0</v>
          </cell>
        </row>
        <row r="536">
          <cell r="BH536">
            <v>0</v>
          </cell>
        </row>
        <row r="537">
          <cell r="AU537" t="str">
            <v>Trainings &amp; Seminars</v>
          </cell>
          <cell r="BH537">
            <v>5000</v>
          </cell>
        </row>
        <row r="538">
          <cell r="BH538">
            <v>0</v>
          </cell>
        </row>
        <row r="539">
          <cell r="BH539">
            <v>0</v>
          </cell>
        </row>
        <row r="540">
          <cell r="AU540" t="str">
            <v>Trainings &amp; Seminars</v>
          </cell>
          <cell r="BH540">
            <v>371365.73</v>
          </cell>
        </row>
        <row r="541">
          <cell r="AU541" t="str">
            <v>Trainings &amp; Seminars</v>
          </cell>
          <cell r="BH541">
            <v>162205.57</v>
          </cell>
        </row>
        <row r="542">
          <cell r="AU542" t="str">
            <v>Trainings &amp; Seminars</v>
          </cell>
          <cell r="BH542">
            <v>16876.079999999998</v>
          </cell>
        </row>
        <row r="543">
          <cell r="BH543">
            <v>0</v>
          </cell>
        </row>
        <row r="544">
          <cell r="BH544">
            <v>0</v>
          </cell>
        </row>
        <row r="545">
          <cell r="BH545">
            <v>83482.14</v>
          </cell>
        </row>
        <row r="546">
          <cell r="BH546">
            <v>0</v>
          </cell>
        </row>
        <row r="547">
          <cell r="BH547">
            <v>0</v>
          </cell>
        </row>
        <row r="548">
          <cell r="BH548">
            <v>0</v>
          </cell>
        </row>
        <row r="549">
          <cell r="BH549">
            <v>0</v>
          </cell>
        </row>
        <row r="550">
          <cell r="BH550">
            <v>0</v>
          </cell>
        </row>
        <row r="551">
          <cell r="BH551">
            <v>0</v>
          </cell>
        </row>
        <row r="552">
          <cell r="BH552">
            <v>0</v>
          </cell>
        </row>
        <row r="553">
          <cell r="BH553">
            <v>0</v>
          </cell>
        </row>
        <row r="554">
          <cell r="BH554">
            <v>0</v>
          </cell>
        </row>
        <row r="555">
          <cell r="BH555">
            <v>0</v>
          </cell>
        </row>
        <row r="556">
          <cell r="BH556">
            <v>0</v>
          </cell>
        </row>
        <row r="557">
          <cell r="BH557">
            <v>0</v>
          </cell>
        </row>
        <row r="558">
          <cell r="BH558">
            <v>0</v>
          </cell>
        </row>
        <row r="559">
          <cell r="BH559">
            <v>0</v>
          </cell>
        </row>
        <row r="560">
          <cell r="BH560">
            <v>0</v>
          </cell>
        </row>
        <row r="561">
          <cell r="BH561">
            <v>0</v>
          </cell>
        </row>
        <row r="562">
          <cell r="BH562">
            <v>0</v>
          </cell>
        </row>
        <row r="563">
          <cell r="BH563">
            <v>0</v>
          </cell>
        </row>
        <row r="564">
          <cell r="BH564">
            <v>0</v>
          </cell>
        </row>
        <row r="565">
          <cell r="BH565">
            <v>0</v>
          </cell>
        </row>
        <row r="566">
          <cell r="BH566">
            <v>0</v>
          </cell>
        </row>
        <row r="567">
          <cell r="BH567">
            <v>0</v>
          </cell>
        </row>
        <row r="568">
          <cell r="BH568">
            <v>0</v>
          </cell>
        </row>
        <row r="569">
          <cell r="BH569">
            <v>0</v>
          </cell>
        </row>
        <row r="570">
          <cell r="BH570">
            <v>0</v>
          </cell>
        </row>
        <row r="571">
          <cell r="BH571">
            <v>0</v>
          </cell>
        </row>
        <row r="572">
          <cell r="BH572">
            <v>0</v>
          </cell>
        </row>
        <row r="573">
          <cell r="BH573">
            <v>0</v>
          </cell>
        </row>
        <row r="574">
          <cell r="BH574">
            <v>0</v>
          </cell>
        </row>
        <row r="575">
          <cell r="BH575">
            <v>0</v>
          </cell>
        </row>
        <row r="576">
          <cell r="BH576">
            <v>0</v>
          </cell>
        </row>
        <row r="577">
          <cell r="BH577">
            <v>0</v>
          </cell>
        </row>
        <row r="578">
          <cell r="BH578">
            <v>0</v>
          </cell>
        </row>
        <row r="579">
          <cell r="BH579">
            <v>0</v>
          </cell>
        </row>
        <row r="580">
          <cell r="BH580">
            <v>0</v>
          </cell>
        </row>
        <row r="581">
          <cell r="BH581">
            <v>0</v>
          </cell>
        </row>
        <row r="582">
          <cell r="BH582">
            <v>0</v>
          </cell>
        </row>
        <row r="583">
          <cell r="BH583">
            <v>0</v>
          </cell>
        </row>
        <row r="584">
          <cell r="BH584">
            <v>0</v>
          </cell>
        </row>
        <row r="585">
          <cell r="BH585">
            <v>0</v>
          </cell>
        </row>
        <row r="586">
          <cell r="BH586">
            <v>0</v>
          </cell>
        </row>
        <row r="587">
          <cell r="BH587">
            <v>0</v>
          </cell>
        </row>
        <row r="588">
          <cell r="BH588">
            <v>0</v>
          </cell>
        </row>
        <row r="589">
          <cell r="BH589">
            <v>0</v>
          </cell>
        </row>
        <row r="590">
          <cell r="BH590">
            <v>0</v>
          </cell>
        </row>
        <row r="591">
          <cell r="BH591">
            <v>0</v>
          </cell>
        </row>
        <row r="592">
          <cell r="BH592">
            <v>0</v>
          </cell>
        </row>
        <row r="593">
          <cell r="BH593">
            <v>0</v>
          </cell>
        </row>
        <row r="594">
          <cell r="BH594">
            <v>0</v>
          </cell>
        </row>
        <row r="595">
          <cell r="BH595">
            <v>0</v>
          </cell>
        </row>
        <row r="596">
          <cell r="BH596">
            <v>0</v>
          </cell>
        </row>
        <row r="597">
          <cell r="BH597">
            <v>0</v>
          </cell>
        </row>
        <row r="598">
          <cell r="BH598">
            <v>0</v>
          </cell>
        </row>
        <row r="599">
          <cell r="BH599">
            <v>0</v>
          </cell>
        </row>
        <row r="600">
          <cell r="BH600">
            <v>0</v>
          </cell>
        </row>
        <row r="601">
          <cell r="BH601">
            <v>0</v>
          </cell>
        </row>
        <row r="602">
          <cell r="BH602">
            <v>0</v>
          </cell>
        </row>
        <row r="603">
          <cell r="BH603">
            <v>0</v>
          </cell>
        </row>
        <row r="604">
          <cell r="BH604">
            <v>0</v>
          </cell>
        </row>
        <row r="605">
          <cell r="BH605">
            <v>0</v>
          </cell>
        </row>
        <row r="606">
          <cell r="BH606">
            <v>0</v>
          </cell>
        </row>
        <row r="607">
          <cell r="BH607">
            <v>0</v>
          </cell>
        </row>
        <row r="608">
          <cell r="BH608">
            <v>0</v>
          </cell>
        </row>
        <row r="609">
          <cell r="BH609">
            <v>0</v>
          </cell>
        </row>
        <row r="610">
          <cell r="BH610">
            <v>0</v>
          </cell>
        </row>
        <row r="611">
          <cell r="BH611">
            <v>0</v>
          </cell>
        </row>
        <row r="612">
          <cell r="BH612">
            <v>0</v>
          </cell>
        </row>
        <row r="613">
          <cell r="BH613">
            <v>0</v>
          </cell>
        </row>
        <row r="614">
          <cell r="BH614">
            <v>0</v>
          </cell>
        </row>
        <row r="615">
          <cell r="BH615">
            <v>0</v>
          </cell>
        </row>
        <row r="616">
          <cell r="BH616">
            <v>0</v>
          </cell>
        </row>
        <row r="617">
          <cell r="BH617">
            <v>0</v>
          </cell>
        </row>
        <row r="618">
          <cell r="BH618">
            <v>0</v>
          </cell>
        </row>
        <row r="619">
          <cell r="BH619">
            <v>0</v>
          </cell>
        </row>
        <row r="620">
          <cell r="BH620">
            <v>0</v>
          </cell>
        </row>
        <row r="621">
          <cell r="BH621">
            <v>0</v>
          </cell>
        </row>
        <row r="622">
          <cell r="BH622">
            <v>0</v>
          </cell>
        </row>
        <row r="623">
          <cell r="BH623">
            <v>0</v>
          </cell>
        </row>
        <row r="624">
          <cell r="BH624">
            <v>0</v>
          </cell>
        </row>
        <row r="625">
          <cell r="BH625">
            <v>0</v>
          </cell>
        </row>
        <row r="626">
          <cell r="BH626">
            <v>0</v>
          </cell>
        </row>
        <row r="627">
          <cell r="BH627">
            <v>0</v>
          </cell>
        </row>
        <row r="628">
          <cell r="BH628">
            <v>0</v>
          </cell>
        </row>
        <row r="629">
          <cell r="BH629">
            <v>0</v>
          </cell>
        </row>
        <row r="630">
          <cell r="BH630">
            <v>0</v>
          </cell>
        </row>
        <row r="631">
          <cell r="BH631">
            <v>0</v>
          </cell>
        </row>
        <row r="632">
          <cell r="BH632">
            <v>0</v>
          </cell>
        </row>
        <row r="633">
          <cell r="BH633">
            <v>0</v>
          </cell>
        </row>
        <row r="634">
          <cell r="BH634">
            <v>0</v>
          </cell>
        </row>
        <row r="635">
          <cell r="BH635">
            <v>0</v>
          </cell>
        </row>
        <row r="636">
          <cell r="BH636">
            <v>0</v>
          </cell>
        </row>
        <row r="637">
          <cell r="BH637">
            <v>0</v>
          </cell>
        </row>
        <row r="638">
          <cell r="BH638">
            <v>0</v>
          </cell>
        </row>
        <row r="639">
          <cell r="BH639">
            <v>0</v>
          </cell>
        </row>
        <row r="640">
          <cell r="BH640">
            <v>0</v>
          </cell>
        </row>
        <row r="641">
          <cell r="BH641">
            <v>4519076.3499999996</v>
          </cell>
        </row>
        <row r="642">
          <cell r="AU642" t="str">
            <v>Final Pay</v>
          </cell>
          <cell r="BH642">
            <v>116395.82</v>
          </cell>
        </row>
        <row r="643">
          <cell r="AU643" t="str">
            <v>Final Pay</v>
          </cell>
          <cell r="BH643">
            <v>154964.13</v>
          </cell>
        </row>
        <row r="644">
          <cell r="AU644" t="str">
            <v>Final Pay</v>
          </cell>
          <cell r="BH644">
            <v>67873.669999999984</v>
          </cell>
        </row>
        <row r="645">
          <cell r="BH645">
            <v>12400</v>
          </cell>
        </row>
        <row r="646">
          <cell r="BH646">
            <v>10000</v>
          </cell>
        </row>
        <row r="647">
          <cell r="BH647">
            <v>0</v>
          </cell>
        </row>
        <row r="648">
          <cell r="BH648">
            <v>0</v>
          </cell>
        </row>
        <row r="649">
          <cell r="BH649">
            <v>0</v>
          </cell>
        </row>
        <row r="650">
          <cell r="BH650">
            <v>0</v>
          </cell>
        </row>
        <row r="651">
          <cell r="BH651">
            <v>0</v>
          </cell>
        </row>
        <row r="652">
          <cell r="BH652">
            <v>0</v>
          </cell>
        </row>
        <row r="653">
          <cell r="BH653">
            <v>0</v>
          </cell>
        </row>
        <row r="654">
          <cell r="AU654" t="str">
            <v>ALI</v>
          </cell>
          <cell r="BH654">
            <v>11000000</v>
          </cell>
        </row>
        <row r="655">
          <cell r="AU655" t="str">
            <v>SM</v>
          </cell>
          <cell r="BH655">
            <v>64890000</v>
          </cell>
        </row>
        <row r="656">
          <cell r="BH656">
            <v>0</v>
          </cell>
        </row>
        <row r="657">
          <cell r="BH657">
            <v>0</v>
          </cell>
        </row>
        <row r="658">
          <cell r="BH658">
            <v>0</v>
          </cell>
        </row>
        <row r="659">
          <cell r="AU659" t="str">
            <v>Malls Admin Supplies</v>
          </cell>
          <cell r="BH659">
            <v>1177385.5499999998</v>
          </cell>
        </row>
        <row r="660">
          <cell r="AU660" t="str">
            <v>Malls Gas Allow</v>
          </cell>
          <cell r="BH660">
            <v>-71964</v>
          </cell>
        </row>
        <row r="661">
          <cell r="BH661">
            <v>0</v>
          </cell>
        </row>
        <row r="662">
          <cell r="AU662" t="str">
            <v>Malls Admin PO</v>
          </cell>
          <cell r="BH662">
            <v>112738.18999999996</v>
          </cell>
        </row>
        <row r="663">
          <cell r="AU663" t="str">
            <v>Malls Admin PO</v>
          </cell>
          <cell r="BH663">
            <v>0</v>
          </cell>
        </row>
        <row r="664">
          <cell r="AU664" t="str">
            <v>Malls Admin PO</v>
          </cell>
          <cell r="BH664">
            <v>92185.989999999991</v>
          </cell>
        </row>
        <row r="665">
          <cell r="AU665" t="str">
            <v>Malls Admin PO</v>
          </cell>
          <cell r="BH665">
            <v>0</v>
          </cell>
        </row>
        <row r="666">
          <cell r="AU666" t="str">
            <v>Mobile</v>
          </cell>
          <cell r="BH666">
            <v>1402258.0900000017</v>
          </cell>
        </row>
        <row r="667">
          <cell r="AU667" t="str">
            <v>Security ES</v>
          </cell>
          <cell r="BH667">
            <v>1299238.2200000002</v>
          </cell>
        </row>
        <row r="668">
          <cell r="AU668" t="str">
            <v>Janitorial ES</v>
          </cell>
          <cell r="BH668">
            <v>21513.639999999985</v>
          </cell>
        </row>
        <row r="669">
          <cell r="AU669" t="str">
            <v>Admin ES</v>
          </cell>
          <cell r="BH669">
            <v>-446948.31999999989</v>
          </cell>
        </row>
        <row r="670">
          <cell r="AU670" t="str">
            <v>Malls Admin Supplies</v>
          </cell>
          <cell r="BH670">
            <v>0</v>
          </cell>
        </row>
        <row r="671">
          <cell r="BH671">
            <v>0</v>
          </cell>
        </row>
        <row r="672">
          <cell r="AU672" t="str">
            <v>Malls Admin PO</v>
          </cell>
          <cell r="BH672">
            <v>114016.68</v>
          </cell>
        </row>
        <row r="673">
          <cell r="AU673" t="str">
            <v>Malls Admin PO</v>
          </cell>
          <cell r="BH673">
            <v>0</v>
          </cell>
        </row>
        <row r="674">
          <cell r="AU674" t="str">
            <v>Malls Admin PO</v>
          </cell>
          <cell r="BH674">
            <v>0</v>
          </cell>
        </row>
        <row r="675">
          <cell r="AU675" t="str">
            <v>Malls Admin PO</v>
          </cell>
          <cell r="BH675">
            <v>0</v>
          </cell>
        </row>
        <row r="676">
          <cell r="AU676" t="str">
            <v>Mobile</v>
          </cell>
          <cell r="BH676">
            <v>0</v>
          </cell>
        </row>
        <row r="677">
          <cell r="AU677" t="str">
            <v>Security CV</v>
          </cell>
          <cell r="BH677">
            <v>641017.89</v>
          </cell>
        </row>
        <row r="678">
          <cell r="AU678" t="str">
            <v>Janitorial TS</v>
          </cell>
          <cell r="BH678">
            <v>285786.99</v>
          </cell>
        </row>
        <row r="679">
          <cell r="AU679" t="str">
            <v>Admin TS</v>
          </cell>
          <cell r="BH679">
            <v>257978.46000000002</v>
          </cell>
        </row>
        <row r="680">
          <cell r="AU680" t="str">
            <v>Malls Admin Supplies</v>
          </cell>
          <cell r="BH680">
            <v>0</v>
          </cell>
        </row>
        <row r="681">
          <cell r="BH681">
            <v>5336.57</v>
          </cell>
        </row>
        <row r="682">
          <cell r="BH682">
            <v>0</v>
          </cell>
        </row>
        <row r="683">
          <cell r="AU683" t="str">
            <v>Malls Admin PO</v>
          </cell>
          <cell r="BH683">
            <v>0</v>
          </cell>
        </row>
        <row r="684">
          <cell r="AU684" t="str">
            <v>Malls Admin PO</v>
          </cell>
          <cell r="BH684">
            <v>0</v>
          </cell>
        </row>
        <row r="685">
          <cell r="AU685" t="str">
            <v>Mobile</v>
          </cell>
          <cell r="BH685">
            <v>0</v>
          </cell>
        </row>
        <row r="686">
          <cell r="AU686" t="str">
            <v>Security TS</v>
          </cell>
          <cell r="BH686">
            <v>404555.26000000007</v>
          </cell>
        </row>
        <row r="687">
          <cell r="AU687" t="str">
            <v>Janitorial Tiende</v>
          </cell>
          <cell r="BH687">
            <v>207401.48</v>
          </cell>
        </row>
        <row r="688">
          <cell r="AU688" t="str">
            <v>Malls Admin Supplies</v>
          </cell>
          <cell r="BH688">
            <v>0</v>
          </cell>
        </row>
        <row r="689">
          <cell r="AU689" t="str">
            <v>Janitorial GH</v>
          </cell>
          <cell r="BH689">
            <v>1036943.7000000001</v>
          </cell>
        </row>
        <row r="690">
          <cell r="AU690" t="str">
            <v>Security GH</v>
          </cell>
          <cell r="BH690">
            <v>871551.7100000002</v>
          </cell>
        </row>
        <row r="691">
          <cell r="AU691" t="str">
            <v>Admin GH</v>
          </cell>
          <cell r="BH691">
            <v>1223864.7800000003</v>
          </cell>
        </row>
        <row r="692">
          <cell r="BH692">
            <v>100000</v>
          </cell>
        </row>
        <row r="693">
          <cell r="AU693" t="str">
            <v xml:space="preserve">Corporate Giveaways </v>
          </cell>
          <cell r="BH693">
            <v>1139312.5</v>
          </cell>
        </row>
        <row r="694">
          <cell r="BH694">
            <v>0</v>
          </cell>
        </row>
        <row r="695">
          <cell r="AU695" t="str">
            <v>AVP ASM</v>
          </cell>
          <cell r="BH695">
            <v>70000</v>
          </cell>
        </row>
        <row r="696">
          <cell r="AU696" t="str">
            <v>PR Retainer</v>
          </cell>
          <cell r="BH696">
            <v>1302083.3900000001</v>
          </cell>
        </row>
        <row r="697">
          <cell r="BH697">
            <v>0</v>
          </cell>
        </row>
        <row r="698">
          <cell r="AU698" t="str">
            <v>Website</v>
          </cell>
          <cell r="BH698">
            <v>90000</v>
          </cell>
        </row>
        <row r="699">
          <cell r="BH699">
            <v>0</v>
          </cell>
        </row>
        <row r="700">
          <cell r="BH700">
            <v>0</v>
          </cell>
        </row>
        <row r="701">
          <cell r="BH701">
            <v>0</v>
          </cell>
        </row>
        <row r="702">
          <cell r="BH702">
            <v>0</v>
          </cell>
        </row>
        <row r="703">
          <cell r="AU703" t="str">
            <v>Digital Subscriptions</v>
          </cell>
          <cell r="BH703">
            <v>10147.699999999999</v>
          </cell>
        </row>
        <row r="704">
          <cell r="BH704">
            <v>0</v>
          </cell>
        </row>
        <row r="705">
          <cell r="AU705" t="str">
            <v>Camera</v>
          </cell>
          <cell r="BH705">
            <v>50089.29</v>
          </cell>
        </row>
        <row r="706">
          <cell r="AU706" t="str">
            <v>Mobile</v>
          </cell>
          <cell r="BH706">
            <v>1062100.2600000012</v>
          </cell>
        </row>
        <row r="707">
          <cell r="AU707" t="str">
            <v>Mobile</v>
          </cell>
          <cell r="BH707">
            <v>4098.21</v>
          </cell>
        </row>
        <row r="708">
          <cell r="AU708" t="str">
            <v>Mobile</v>
          </cell>
          <cell r="BH708">
            <v>0</v>
          </cell>
        </row>
        <row r="709">
          <cell r="AU709" t="str">
            <v>Mobile</v>
          </cell>
          <cell r="BH709">
            <v>0</v>
          </cell>
        </row>
        <row r="710">
          <cell r="AU710" t="str">
            <v>Mobile</v>
          </cell>
          <cell r="BH710">
            <v>0</v>
          </cell>
        </row>
        <row r="711">
          <cell r="AU711" t="str">
            <v>Mobile</v>
          </cell>
          <cell r="BH711">
            <v>0</v>
          </cell>
        </row>
        <row r="712">
          <cell r="AU712" t="str">
            <v>Mobile</v>
          </cell>
          <cell r="BH712">
            <v>0</v>
          </cell>
        </row>
        <row r="713">
          <cell r="AU713" t="str">
            <v>Mobile</v>
          </cell>
          <cell r="BH713">
            <v>0</v>
          </cell>
        </row>
        <row r="714">
          <cell r="AU714" t="str">
            <v>Mobile</v>
          </cell>
          <cell r="BH714">
            <v>0</v>
          </cell>
        </row>
        <row r="715">
          <cell r="AU715" t="str">
            <v>Mobile</v>
          </cell>
          <cell r="BH715">
            <v>0</v>
          </cell>
        </row>
        <row r="716">
          <cell r="AU716" t="str">
            <v>Mobile</v>
          </cell>
          <cell r="BH716">
            <v>0</v>
          </cell>
        </row>
        <row r="717">
          <cell r="AU717" t="str">
            <v>Mobile</v>
          </cell>
          <cell r="BH717">
            <v>0</v>
          </cell>
        </row>
        <row r="718">
          <cell r="AU718" t="str">
            <v>Mobile</v>
          </cell>
          <cell r="BH718">
            <v>0</v>
          </cell>
        </row>
        <row r="719">
          <cell r="AU719" t="str">
            <v>Mobile</v>
          </cell>
          <cell r="BH719">
            <v>0</v>
          </cell>
        </row>
        <row r="720">
          <cell r="AU720" t="str">
            <v>Mobile</v>
          </cell>
          <cell r="BH720">
            <v>0</v>
          </cell>
        </row>
        <row r="721">
          <cell r="AU721" t="str">
            <v>Mobile</v>
          </cell>
          <cell r="BH721">
            <v>0</v>
          </cell>
        </row>
        <row r="722">
          <cell r="AU722" t="str">
            <v>Mobile</v>
          </cell>
          <cell r="BH722">
            <v>0</v>
          </cell>
        </row>
        <row r="723">
          <cell r="AU723" t="str">
            <v>Mobile</v>
          </cell>
          <cell r="BH723">
            <v>0</v>
          </cell>
        </row>
        <row r="724">
          <cell r="AU724" t="str">
            <v>Mobile</v>
          </cell>
          <cell r="BH724">
            <v>0</v>
          </cell>
        </row>
        <row r="725">
          <cell r="AU725" t="str">
            <v>Mobile</v>
          </cell>
          <cell r="BH725">
            <v>0</v>
          </cell>
        </row>
        <row r="726">
          <cell r="AU726" t="str">
            <v>Mobile</v>
          </cell>
          <cell r="BH726">
            <v>0</v>
          </cell>
        </row>
        <row r="727">
          <cell r="AU727" t="str">
            <v>Mobile</v>
          </cell>
          <cell r="BH727">
            <v>0</v>
          </cell>
        </row>
        <row r="728">
          <cell r="AU728" t="str">
            <v>Mobile</v>
          </cell>
          <cell r="BH728">
            <v>0</v>
          </cell>
        </row>
        <row r="729">
          <cell r="AU729" t="str">
            <v>Mobile</v>
          </cell>
          <cell r="BH729">
            <v>0</v>
          </cell>
        </row>
        <row r="730">
          <cell r="AU730" t="str">
            <v>Mobile</v>
          </cell>
          <cell r="BH730">
            <v>0</v>
          </cell>
        </row>
        <row r="731">
          <cell r="AU731" t="str">
            <v>Mobile</v>
          </cell>
          <cell r="BH731">
            <v>0</v>
          </cell>
        </row>
        <row r="732">
          <cell r="AU732" t="str">
            <v>Mobile</v>
          </cell>
          <cell r="BH732">
            <v>0</v>
          </cell>
        </row>
        <row r="733">
          <cell r="AU733" t="str">
            <v>Mobile</v>
          </cell>
          <cell r="BH733">
            <v>0</v>
          </cell>
        </row>
        <row r="734">
          <cell r="AU734" t="str">
            <v>Mobile</v>
          </cell>
          <cell r="BH734">
            <v>0</v>
          </cell>
        </row>
        <row r="735">
          <cell r="AU735" t="str">
            <v>Mobile</v>
          </cell>
          <cell r="BH735">
            <v>0</v>
          </cell>
        </row>
        <row r="736">
          <cell r="AU736" t="str">
            <v>Mobile</v>
          </cell>
          <cell r="BH736">
            <v>0</v>
          </cell>
        </row>
        <row r="737">
          <cell r="AU737" t="str">
            <v>Mobile</v>
          </cell>
          <cell r="BH737">
            <v>0</v>
          </cell>
        </row>
        <row r="738">
          <cell r="AU738" t="str">
            <v>Mobile</v>
          </cell>
          <cell r="BH738">
            <v>0</v>
          </cell>
        </row>
        <row r="739">
          <cell r="AU739" t="str">
            <v>Mobile</v>
          </cell>
          <cell r="BH739">
            <v>0</v>
          </cell>
        </row>
        <row r="740">
          <cell r="AU740" t="str">
            <v>Mobile</v>
          </cell>
          <cell r="BH740">
            <v>0</v>
          </cell>
        </row>
        <row r="741">
          <cell r="AU741" t="str">
            <v>Mobile</v>
          </cell>
          <cell r="BH741">
            <v>0</v>
          </cell>
        </row>
        <row r="742">
          <cell r="AU742" t="str">
            <v>Mobile</v>
          </cell>
          <cell r="BH742">
            <v>0</v>
          </cell>
        </row>
        <row r="743">
          <cell r="AU743" t="str">
            <v>Mobile</v>
          </cell>
          <cell r="BH743">
            <v>0</v>
          </cell>
        </row>
        <row r="744">
          <cell r="AU744" t="str">
            <v>Mobile</v>
          </cell>
          <cell r="BH744">
            <v>0</v>
          </cell>
        </row>
        <row r="745">
          <cell r="AU745" t="str">
            <v>Mobile</v>
          </cell>
          <cell r="BH745">
            <v>0</v>
          </cell>
        </row>
        <row r="746">
          <cell r="AU746" t="str">
            <v>Mobile</v>
          </cell>
          <cell r="BH746">
            <v>0</v>
          </cell>
        </row>
        <row r="747">
          <cell r="AU747" t="str">
            <v>Mobile</v>
          </cell>
          <cell r="BH747">
            <v>0</v>
          </cell>
        </row>
        <row r="748">
          <cell r="AU748" t="str">
            <v>Mobile</v>
          </cell>
          <cell r="BH748">
            <v>0</v>
          </cell>
        </row>
        <row r="749">
          <cell r="AU749" t="str">
            <v>Mobile</v>
          </cell>
          <cell r="BH749">
            <v>0</v>
          </cell>
        </row>
        <row r="750">
          <cell r="AU750" t="str">
            <v>Mobile</v>
          </cell>
          <cell r="BH750">
            <v>0</v>
          </cell>
        </row>
        <row r="751">
          <cell r="AU751" t="str">
            <v>Mobile</v>
          </cell>
          <cell r="BH751">
            <v>0</v>
          </cell>
        </row>
        <row r="752">
          <cell r="AU752" t="str">
            <v>Mobile</v>
          </cell>
          <cell r="BH752">
            <v>0</v>
          </cell>
        </row>
        <row r="753">
          <cell r="AU753" t="str">
            <v>Mobile</v>
          </cell>
          <cell r="BH753">
            <v>0</v>
          </cell>
        </row>
        <row r="754">
          <cell r="AU754" t="str">
            <v>Mobile</v>
          </cell>
          <cell r="BH754">
            <v>0</v>
          </cell>
        </row>
        <row r="755">
          <cell r="AU755" t="str">
            <v>Mobile</v>
          </cell>
          <cell r="BH755">
            <v>0</v>
          </cell>
        </row>
        <row r="756">
          <cell r="AU756" t="str">
            <v>Mobile</v>
          </cell>
          <cell r="BH756">
            <v>0</v>
          </cell>
        </row>
        <row r="757">
          <cell r="AU757" t="str">
            <v>Mobile</v>
          </cell>
          <cell r="BH757">
            <v>0</v>
          </cell>
        </row>
        <row r="758">
          <cell r="AU758" t="str">
            <v>Mobile</v>
          </cell>
          <cell r="BH758">
            <v>0</v>
          </cell>
        </row>
        <row r="759">
          <cell r="AU759" t="str">
            <v>Mobile</v>
          </cell>
          <cell r="BH759">
            <v>0</v>
          </cell>
        </row>
        <row r="760">
          <cell r="AU760" t="str">
            <v>Mobile</v>
          </cell>
          <cell r="BH760">
            <v>0</v>
          </cell>
        </row>
        <row r="761">
          <cell r="AU761" t="str">
            <v>Mobile</v>
          </cell>
          <cell r="BH761">
            <v>0</v>
          </cell>
        </row>
        <row r="762">
          <cell r="AU762" t="str">
            <v>Mobile</v>
          </cell>
          <cell r="BH762">
            <v>0</v>
          </cell>
        </row>
        <row r="763">
          <cell r="AU763" t="str">
            <v>Mobile</v>
          </cell>
          <cell r="BH763">
            <v>0</v>
          </cell>
        </row>
        <row r="764">
          <cell r="AU764" t="str">
            <v>Mobile</v>
          </cell>
          <cell r="BH764">
            <v>0</v>
          </cell>
        </row>
        <row r="765">
          <cell r="AU765" t="str">
            <v>Mobile</v>
          </cell>
          <cell r="BH765">
            <v>0</v>
          </cell>
        </row>
        <row r="766">
          <cell r="AU766" t="str">
            <v>Mobile</v>
          </cell>
          <cell r="BH766">
            <v>0</v>
          </cell>
        </row>
        <row r="767">
          <cell r="AU767" t="str">
            <v>Mobile</v>
          </cell>
          <cell r="BH767">
            <v>0</v>
          </cell>
        </row>
        <row r="768">
          <cell r="AU768" t="str">
            <v>Mobile</v>
          </cell>
          <cell r="BH768">
            <v>0</v>
          </cell>
        </row>
        <row r="769">
          <cell r="AU769" t="str">
            <v>Mobile</v>
          </cell>
          <cell r="BH769">
            <v>0</v>
          </cell>
        </row>
        <row r="770">
          <cell r="AU770" t="str">
            <v>Mobile</v>
          </cell>
          <cell r="BH770">
            <v>0</v>
          </cell>
        </row>
        <row r="771">
          <cell r="AU771" t="str">
            <v>Mobile</v>
          </cell>
          <cell r="BH771">
            <v>0</v>
          </cell>
        </row>
        <row r="772">
          <cell r="AU772" t="str">
            <v>Mobile</v>
          </cell>
          <cell r="BH772">
            <v>0</v>
          </cell>
        </row>
        <row r="773">
          <cell r="AU773" t="str">
            <v>Mobile</v>
          </cell>
          <cell r="BH773">
            <v>0</v>
          </cell>
        </row>
        <row r="774">
          <cell r="AU774" t="str">
            <v>Mobile</v>
          </cell>
          <cell r="BH774">
            <v>0</v>
          </cell>
        </row>
        <row r="775">
          <cell r="AU775" t="str">
            <v>Mobile</v>
          </cell>
          <cell r="BH775">
            <v>0</v>
          </cell>
        </row>
        <row r="776">
          <cell r="AU776" t="str">
            <v>Mobile</v>
          </cell>
          <cell r="BH776">
            <v>0</v>
          </cell>
        </row>
        <row r="777">
          <cell r="AU777" t="str">
            <v>Mobile</v>
          </cell>
          <cell r="BH777">
            <v>0</v>
          </cell>
        </row>
        <row r="778">
          <cell r="AU778" t="str">
            <v>Mobile</v>
          </cell>
          <cell r="BH778">
            <v>0</v>
          </cell>
        </row>
        <row r="779">
          <cell r="AU779" t="str">
            <v>Mobile</v>
          </cell>
          <cell r="BH779">
            <v>0</v>
          </cell>
        </row>
        <row r="780">
          <cell r="AU780" t="str">
            <v>Mobile</v>
          </cell>
          <cell r="BH780">
            <v>0</v>
          </cell>
        </row>
        <row r="781">
          <cell r="AU781" t="str">
            <v>Mobile</v>
          </cell>
          <cell r="BH781">
            <v>0</v>
          </cell>
        </row>
        <row r="782">
          <cell r="AU782" t="str">
            <v>Mobile</v>
          </cell>
          <cell r="BH782">
            <v>0</v>
          </cell>
        </row>
        <row r="783">
          <cell r="AU783" t="str">
            <v>Mobile</v>
          </cell>
          <cell r="BH783">
            <v>0</v>
          </cell>
        </row>
        <row r="784">
          <cell r="AU784" t="str">
            <v>Mobile</v>
          </cell>
          <cell r="BH784">
            <v>0</v>
          </cell>
        </row>
        <row r="785">
          <cell r="AU785" t="str">
            <v>Mobile</v>
          </cell>
          <cell r="BH785">
            <v>0</v>
          </cell>
        </row>
        <row r="786">
          <cell r="AU786" t="str">
            <v>Mobile</v>
          </cell>
          <cell r="BH786">
            <v>0</v>
          </cell>
        </row>
        <row r="787">
          <cell r="AU787" t="str">
            <v>Mobile</v>
          </cell>
          <cell r="BH787">
            <v>0</v>
          </cell>
        </row>
        <row r="788">
          <cell r="AU788" t="str">
            <v>Mobile</v>
          </cell>
          <cell r="BH788">
            <v>0</v>
          </cell>
        </row>
        <row r="789">
          <cell r="AU789" t="str">
            <v>Mobile</v>
          </cell>
          <cell r="BH789">
            <v>0</v>
          </cell>
        </row>
        <row r="790">
          <cell r="AU790" t="str">
            <v>Mobile</v>
          </cell>
          <cell r="BH790">
            <v>0</v>
          </cell>
        </row>
        <row r="791">
          <cell r="AU791" t="str">
            <v>Mobile</v>
          </cell>
          <cell r="BH791">
            <v>0</v>
          </cell>
        </row>
        <row r="792">
          <cell r="AU792" t="str">
            <v>Mobile</v>
          </cell>
          <cell r="BH792">
            <v>0</v>
          </cell>
        </row>
        <row r="793">
          <cell r="AU793" t="str">
            <v>Mobile</v>
          </cell>
          <cell r="BH793">
            <v>0</v>
          </cell>
        </row>
        <row r="794">
          <cell r="AU794" t="str">
            <v>Mobile</v>
          </cell>
          <cell r="BH794">
            <v>0</v>
          </cell>
        </row>
        <row r="795">
          <cell r="AU795" t="str">
            <v>Mobile</v>
          </cell>
          <cell r="BH795">
            <v>0</v>
          </cell>
        </row>
        <row r="796">
          <cell r="AU796" t="str">
            <v>Mobile</v>
          </cell>
          <cell r="BH796">
            <v>0</v>
          </cell>
        </row>
        <row r="797">
          <cell r="AU797" t="str">
            <v>Mobile</v>
          </cell>
          <cell r="BH797">
            <v>0</v>
          </cell>
        </row>
        <row r="798">
          <cell r="AU798" t="str">
            <v>Mobile</v>
          </cell>
          <cell r="BH798">
            <v>0</v>
          </cell>
        </row>
        <row r="799">
          <cell r="AU799" t="str">
            <v>Mobile</v>
          </cell>
          <cell r="BH799">
            <v>0</v>
          </cell>
        </row>
        <row r="800">
          <cell r="AU800" t="str">
            <v>Mobile</v>
          </cell>
          <cell r="BH800">
            <v>0</v>
          </cell>
        </row>
        <row r="801">
          <cell r="AU801" t="str">
            <v>Mobile</v>
          </cell>
          <cell r="BH801">
            <v>0</v>
          </cell>
        </row>
        <row r="802">
          <cell r="AU802" t="str">
            <v>Mobile</v>
          </cell>
          <cell r="BH802">
            <v>0</v>
          </cell>
        </row>
        <row r="803">
          <cell r="AU803" t="str">
            <v>Mobile</v>
          </cell>
          <cell r="BH803">
            <v>0</v>
          </cell>
        </row>
        <row r="804">
          <cell r="AU804" t="str">
            <v>Mobile</v>
          </cell>
          <cell r="BH804">
            <v>0</v>
          </cell>
        </row>
        <row r="805">
          <cell r="AU805" t="str">
            <v>Mobile</v>
          </cell>
          <cell r="BH805">
            <v>0</v>
          </cell>
        </row>
        <row r="806">
          <cell r="AU806" t="str">
            <v>Mobile</v>
          </cell>
          <cell r="BH806">
            <v>0</v>
          </cell>
        </row>
        <row r="807">
          <cell r="AU807" t="str">
            <v>Mobile</v>
          </cell>
          <cell r="BH807">
            <v>0</v>
          </cell>
        </row>
        <row r="808">
          <cell r="AU808" t="str">
            <v>Mobile</v>
          </cell>
          <cell r="BH808">
            <v>0</v>
          </cell>
        </row>
        <row r="809">
          <cell r="AU809" t="str">
            <v>Mobile</v>
          </cell>
          <cell r="BH809">
            <v>0</v>
          </cell>
        </row>
        <row r="810">
          <cell r="AU810" t="str">
            <v>Mobile</v>
          </cell>
          <cell r="BH810">
            <v>0</v>
          </cell>
        </row>
        <row r="811">
          <cell r="AU811" t="str">
            <v>Mobile</v>
          </cell>
          <cell r="BH811">
            <v>0</v>
          </cell>
        </row>
        <row r="812">
          <cell r="AU812" t="str">
            <v>Mobile</v>
          </cell>
          <cell r="BH812">
            <v>0</v>
          </cell>
        </row>
        <row r="813">
          <cell r="AU813" t="str">
            <v>Mobile</v>
          </cell>
          <cell r="BH813">
            <v>0</v>
          </cell>
        </row>
        <row r="814">
          <cell r="AU814" t="str">
            <v>Mobile</v>
          </cell>
          <cell r="BH814">
            <v>0</v>
          </cell>
        </row>
        <row r="815">
          <cell r="AU815" t="str">
            <v>Mobile</v>
          </cell>
          <cell r="BH815">
            <v>0</v>
          </cell>
        </row>
        <row r="816">
          <cell r="AU816" t="str">
            <v>Mobile</v>
          </cell>
          <cell r="BH816">
            <v>0</v>
          </cell>
        </row>
        <row r="817">
          <cell r="AU817" t="str">
            <v>Mobile</v>
          </cell>
          <cell r="BH817">
            <v>0</v>
          </cell>
        </row>
        <row r="818">
          <cell r="AU818" t="str">
            <v>Mobile</v>
          </cell>
          <cell r="BH818">
            <v>0</v>
          </cell>
        </row>
        <row r="819">
          <cell r="AU819" t="str">
            <v>Mobile</v>
          </cell>
          <cell r="BH819">
            <v>0</v>
          </cell>
        </row>
        <row r="820">
          <cell r="AU820" t="str">
            <v>Mobile</v>
          </cell>
          <cell r="BH820">
            <v>0</v>
          </cell>
        </row>
        <row r="821">
          <cell r="AU821" t="str">
            <v>Mobile</v>
          </cell>
          <cell r="BH821">
            <v>0</v>
          </cell>
        </row>
        <row r="822">
          <cell r="AU822" t="str">
            <v>Mobile</v>
          </cell>
          <cell r="BH822">
            <v>0</v>
          </cell>
        </row>
        <row r="823">
          <cell r="AU823" t="str">
            <v>Mobile</v>
          </cell>
          <cell r="BH823">
            <v>0</v>
          </cell>
        </row>
        <row r="824">
          <cell r="AU824" t="str">
            <v>Mobile</v>
          </cell>
          <cell r="BH824">
            <v>0</v>
          </cell>
        </row>
        <row r="825">
          <cell r="AU825" t="str">
            <v>Mobile</v>
          </cell>
          <cell r="BH825">
            <v>0</v>
          </cell>
        </row>
        <row r="826">
          <cell r="AU826" t="str">
            <v>Mobile</v>
          </cell>
          <cell r="BH826">
            <v>0</v>
          </cell>
        </row>
        <row r="827">
          <cell r="AU827" t="str">
            <v>Mobile</v>
          </cell>
          <cell r="BH827">
            <v>0</v>
          </cell>
        </row>
        <row r="828">
          <cell r="AU828" t="str">
            <v>Mobile</v>
          </cell>
          <cell r="BH828">
            <v>0</v>
          </cell>
        </row>
        <row r="829">
          <cell r="AU829" t="str">
            <v>Mobile</v>
          </cell>
          <cell r="BH829">
            <v>0</v>
          </cell>
        </row>
        <row r="830">
          <cell r="AU830" t="str">
            <v>Mobile</v>
          </cell>
          <cell r="BH830">
            <v>0</v>
          </cell>
        </row>
        <row r="831">
          <cell r="AU831" t="str">
            <v>Mobile</v>
          </cell>
          <cell r="BH831">
            <v>0</v>
          </cell>
        </row>
        <row r="832">
          <cell r="AU832" t="str">
            <v>Mobile</v>
          </cell>
          <cell r="BH832">
            <v>0</v>
          </cell>
        </row>
        <row r="833">
          <cell r="AU833" t="str">
            <v>Mobile</v>
          </cell>
          <cell r="BH833">
            <v>0</v>
          </cell>
        </row>
        <row r="834">
          <cell r="AU834" t="str">
            <v>Mobile</v>
          </cell>
          <cell r="BH834">
            <v>0</v>
          </cell>
        </row>
        <row r="835">
          <cell r="AU835" t="str">
            <v>Mobile</v>
          </cell>
          <cell r="BH835">
            <v>0</v>
          </cell>
        </row>
        <row r="836">
          <cell r="AU836" t="str">
            <v>Mobile</v>
          </cell>
          <cell r="BH836">
            <v>0</v>
          </cell>
        </row>
        <row r="837">
          <cell r="AU837" t="str">
            <v>Mobile</v>
          </cell>
          <cell r="BH837">
            <v>0</v>
          </cell>
        </row>
        <row r="838">
          <cell r="AU838" t="str">
            <v>Mobile</v>
          </cell>
          <cell r="BH838">
            <v>0</v>
          </cell>
        </row>
        <row r="839">
          <cell r="AU839" t="str">
            <v>Mobile</v>
          </cell>
          <cell r="BH839">
            <v>0</v>
          </cell>
        </row>
        <row r="840">
          <cell r="AU840" t="str">
            <v>Mobile</v>
          </cell>
          <cell r="BH840">
            <v>0</v>
          </cell>
        </row>
        <row r="841">
          <cell r="AU841" t="str">
            <v>Mobile</v>
          </cell>
          <cell r="BH841">
            <v>0</v>
          </cell>
        </row>
        <row r="842">
          <cell r="AU842" t="str">
            <v>Mobile</v>
          </cell>
          <cell r="BH842">
            <v>0</v>
          </cell>
        </row>
        <row r="843">
          <cell r="AU843" t="str">
            <v>Mobile</v>
          </cell>
          <cell r="BH843">
            <v>0</v>
          </cell>
        </row>
        <row r="844">
          <cell r="AU844" t="str">
            <v>Mobile</v>
          </cell>
          <cell r="BH844">
            <v>0</v>
          </cell>
        </row>
        <row r="845">
          <cell r="AU845" t="str">
            <v>Mobile</v>
          </cell>
          <cell r="BH845">
            <v>0</v>
          </cell>
        </row>
        <row r="846">
          <cell r="AU846" t="str">
            <v>Mobile</v>
          </cell>
          <cell r="BH846">
            <v>0</v>
          </cell>
        </row>
        <row r="847">
          <cell r="AU847" t="str">
            <v>Mobile</v>
          </cell>
          <cell r="BH847">
            <v>0</v>
          </cell>
        </row>
        <row r="848">
          <cell r="AU848" t="str">
            <v>Mobile</v>
          </cell>
          <cell r="BH848">
            <v>0</v>
          </cell>
        </row>
        <row r="849">
          <cell r="AU849" t="str">
            <v>Mobile</v>
          </cell>
          <cell r="BH849">
            <v>0</v>
          </cell>
        </row>
        <row r="850">
          <cell r="AU850" t="str">
            <v>Mobile</v>
          </cell>
          <cell r="BH850">
            <v>0</v>
          </cell>
        </row>
        <row r="851">
          <cell r="AU851" t="str">
            <v>Mobile</v>
          </cell>
          <cell r="BH851">
            <v>0</v>
          </cell>
        </row>
        <row r="852">
          <cell r="AU852" t="str">
            <v>Mobile</v>
          </cell>
          <cell r="BH852">
            <v>0</v>
          </cell>
        </row>
        <row r="853">
          <cell r="AU853" t="str">
            <v>Mobile</v>
          </cell>
          <cell r="BH853">
            <v>0</v>
          </cell>
        </row>
        <row r="854">
          <cell r="AU854" t="str">
            <v>Mobile</v>
          </cell>
          <cell r="BH854">
            <v>0</v>
          </cell>
        </row>
        <row r="855">
          <cell r="AU855" t="str">
            <v>Mobile</v>
          </cell>
          <cell r="BH855">
            <v>0</v>
          </cell>
        </row>
        <row r="856">
          <cell r="AU856" t="str">
            <v>Mobile</v>
          </cell>
          <cell r="BH856">
            <v>0</v>
          </cell>
        </row>
        <row r="857">
          <cell r="AU857" t="str">
            <v>Mobile</v>
          </cell>
          <cell r="BH857">
            <v>0</v>
          </cell>
        </row>
        <row r="858">
          <cell r="AU858" t="str">
            <v>Mobile</v>
          </cell>
          <cell r="BH858">
            <v>0</v>
          </cell>
        </row>
        <row r="859">
          <cell r="AU859" t="str">
            <v>Mobile</v>
          </cell>
          <cell r="BH859">
            <v>0</v>
          </cell>
        </row>
        <row r="860">
          <cell r="AU860" t="str">
            <v>Mobile</v>
          </cell>
          <cell r="BH860">
            <v>0</v>
          </cell>
        </row>
        <row r="861">
          <cell r="AU861" t="str">
            <v>Mobile</v>
          </cell>
          <cell r="BH861">
            <v>0</v>
          </cell>
        </row>
        <row r="862">
          <cell r="AU862" t="str">
            <v>Mobile</v>
          </cell>
          <cell r="BH862">
            <v>0</v>
          </cell>
        </row>
        <row r="863">
          <cell r="AU863" t="str">
            <v>Mobile</v>
          </cell>
          <cell r="BH863">
            <v>0</v>
          </cell>
        </row>
        <row r="864">
          <cell r="AU864" t="str">
            <v>Mobile</v>
          </cell>
          <cell r="BH864">
            <v>0</v>
          </cell>
        </row>
        <row r="865">
          <cell r="AU865" t="str">
            <v>Mobile</v>
          </cell>
          <cell r="BH865">
            <v>0</v>
          </cell>
        </row>
        <row r="866">
          <cell r="AU866" t="str">
            <v>Mobile</v>
          </cell>
          <cell r="BH866">
            <v>0</v>
          </cell>
        </row>
        <row r="867">
          <cell r="AU867" t="str">
            <v>Mobile</v>
          </cell>
          <cell r="BH867">
            <v>0</v>
          </cell>
        </row>
        <row r="868">
          <cell r="AU868" t="str">
            <v>Mobile</v>
          </cell>
          <cell r="BH868">
            <v>0</v>
          </cell>
        </row>
        <row r="869">
          <cell r="AU869" t="str">
            <v>Mobile</v>
          </cell>
          <cell r="BH869">
            <v>0</v>
          </cell>
        </row>
        <row r="870">
          <cell r="AU870" t="str">
            <v>Mobile</v>
          </cell>
          <cell r="BH870">
            <v>0</v>
          </cell>
        </row>
        <row r="871">
          <cell r="AU871" t="str">
            <v>Mobile</v>
          </cell>
          <cell r="BH871">
            <v>0</v>
          </cell>
        </row>
        <row r="872">
          <cell r="AU872" t="str">
            <v>Mobile</v>
          </cell>
          <cell r="BH872">
            <v>0</v>
          </cell>
        </row>
        <row r="873">
          <cell r="AU873" t="str">
            <v>Mobile</v>
          </cell>
          <cell r="BH873">
            <v>0</v>
          </cell>
        </row>
        <row r="874">
          <cell r="AU874" t="str">
            <v>Mobile</v>
          </cell>
          <cell r="BH874">
            <v>0</v>
          </cell>
        </row>
        <row r="875">
          <cell r="AU875" t="str">
            <v>Mobile</v>
          </cell>
          <cell r="BH875">
            <v>0</v>
          </cell>
        </row>
        <row r="876">
          <cell r="AU876" t="str">
            <v>Mobile</v>
          </cell>
          <cell r="BH876">
            <v>0</v>
          </cell>
        </row>
        <row r="877">
          <cell r="AU877" t="str">
            <v>Mobile</v>
          </cell>
          <cell r="BH877">
            <v>0</v>
          </cell>
        </row>
        <row r="878">
          <cell r="AU878" t="str">
            <v>Mobile</v>
          </cell>
          <cell r="BH878">
            <v>0</v>
          </cell>
        </row>
        <row r="879">
          <cell r="AU879" t="str">
            <v>Mobile</v>
          </cell>
          <cell r="BH879">
            <v>0</v>
          </cell>
        </row>
        <row r="880">
          <cell r="AU880" t="str">
            <v>Mobile</v>
          </cell>
          <cell r="BH880">
            <v>0</v>
          </cell>
        </row>
        <row r="881">
          <cell r="AU881" t="str">
            <v>Mobile</v>
          </cell>
          <cell r="BH881">
            <v>0</v>
          </cell>
        </row>
        <row r="882">
          <cell r="AU882" t="str">
            <v>Mobile</v>
          </cell>
          <cell r="BH882">
            <v>0</v>
          </cell>
        </row>
        <row r="883">
          <cell r="AU883" t="str">
            <v>Mobile</v>
          </cell>
          <cell r="BH883">
            <v>0</v>
          </cell>
        </row>
        <row r="884">
          <cell r="AU884" t="str">
            <v>Mobile</v>
          </cell>
          <cell r="BH884">
            <v>0</v>
          </cell>
        </row>
        <row r="885">
          <cell r="AU885" t="str">
            <v>Mobile</v>
          </cell>
          <cell r="BH885">
            <v>0</v>
          </cell>
        </row>
        <row r="886">
          <cell r="AU886" t="str">
            <v>Mobile</v>
          </cell>
          <cell r="BH886">
            <v>0</v>
          </cell>
        </row>
        <row r="887">
          <cell r="AU887" t="str">
            <v>Mobile</v>
          </cell>
          <cell r="BH887">
            <v>0</v>
          </cell>
        </row>
        <row r="888">
          <cell r="AU888" t="str">
            <v>Mobile</v>
          </cell>
          <cell r="BH888">
            <v>0</v>
          </cell>
        </row>
        <row r="889">
          <cell r="AU889" t="str">
            <v>Mobile</v>
          </cell>
          <cell r="BH889">
            <v>0</v>
          </cell>
        </row>
        <row r="890">
          <cell r="AU890" t="str">
            <v>Mobile</v>
          </cell>
          <cell r="BH890">
            <v>0</v>
          </cell>
        </row>
        <row r="891">
          <cell r="AU891" t="str">
            <v>Mobile</v>
          </cell>
          <cell r="BH891">
            <v>0</v>
          </cell>
        </row>
        <row r="892">
          <cell r="AU892" t="str">
            <v>Mobile</v>
          </cell>
          <cell r="BH892">
            <v>0</v>
          </cell>
        </row>
        <row r="893">
          <cell r="AU893" t="str">
            <v>Mobile</v>
          </cell>
          <cell r="BH893">
            <v>0</v>
          </cell>
        </row>
        <row r="894">
          <cell r="AU894" t="str">
            <v>Mobile</v>
          </cell>
          <cell r="BH894">
            <v>0</v>
          </cell>
        </row>
        <row r="895">
          <cell r="AU895" t="str">
            <v>Mobile</v>
          </cell>
          <cell r="BH895">
            <v>0</v>
          </cell>
        </row>
        <row r="896">
          <cell r="AU896" t="str">
            <v>Mobile</v>
          </cell>
          <cell r="BH896">
            <v>0</v>
          </cell>
        </row>
        <row r="897">
          <cell r="AU897" t="str">
            <v>Mobile</v>
          </cell>
          <cell r="BH897">
            <v>0</v>
          </cell>
        </row>
        <row r="898">
          <cell r="AU898" t="str">
            <v>Mobile</v>
          </cell>
          <cell r="BH898">
            <v>0</v>
          </cell>
        </row>
        <row r="899">
          <cell r="AU899" t="str">
            <v>Mobile</v>
          </cell>
          <cell r="BH899">
            <v>0</v>
          </cell>
        </row>
        <row r="900">
          <cell r="AU900" t="str">
            <v>Mobile</v>
          </cell>
          <cell r="BH900">
            <v>0</v>
          </cell>
        </row>
        <row r="901">
          <cell r="AU901" t="str">
            <v>Mobile</v>
          </cell>
          <cell r="BH901">
            <v>0</v>
          </cell>
        </row>
        <row r="902">
          <cell r="AU902" t="str">
            <v>Mobile</v>
          </cell>
          <cell r="BH902">
            <v>0</v>
          </cell>
        </row>
        <row r="903">
          <cell r="AU903" t="str">
            <v>Mobile</v>
          </cell>
          <cell r="BH903">
            <v>0</v>
          </cell>
        </row>
        <row r="904">
          <cell r="AU904" t="str">
            <v>Mobile</v>
          </cell>
          <cell r="BH904">
            <v>0</v>
          </cell>
        </row>
        <row r="905">
          <cell r="AU905" t="str">
            <v>Mobile</v>
          </cell>
          <cell r="BH905">
            <v>0</v>
          </cell>
        </row>
        <row r="906">
          <cell r="AU906" t="str">
            <v>Mobile</v>
          </cell>
          <cell r="BH906">
            <v>0</v>
          </cell>
        </row>
        <row r="907">
          <cell r="AU907" t="str">
            <v>Mobile</v>
          </cell>
          <cell r="BH907">
            <v>0</v>
          </cell>
        </row>
        <row r="908">
          <cell r="AU908" t="str">
            <v>Mobile</v>
          </cell>
          <cell r="BH908">
            <v>0</v>
          </cell>
        </row>
        <row r="909">
          <cell r="AU909" t="str">
            <v>Mobile</v>
          </cell>
          <cell r="BH909">
            <v>0</v>
          </cell>
        </row>
        <row r="910">
          <cell r="AU910" t="str">
            <v>Mobile</v>
          </cell>
          <cell r="BH910">
            <v>0</v>
          </cell>
        </row>
        <row r="911">
          <cell r="AU911" t="str">
            <v>Mobile</v>
          </cell>
          <cell r="BH911">
            <v>0</v>
          </cell>
        </row>
        <row r="912">
          <cell r="AU912" t="str">
            <v>Mobile</v>
          </cell>
          <cell r="BH912">
            <v>0</v>
          </cell>
        </row>
        <row r="913">
          <cell r="AU913" t="str">
            <v>Mobile</v>
          </cell>
          <cell r="BH913">
            <v>0</v>
          </cell>
        </row>
        <row r="914">
          <cell r="AU914" t="str">
            <v>Mobile</v>
          </cell>
          <cell r="BH914">
            <v>0</v>
          </cell>
        </row>
        <row r="915">
          <cell r="AU915" t="str">
            <v>Mobile</v>
          </cell>
          <cell r="BH915">
            <v>0</v>
          </cell>
        </row>
        <row r="916">
          <cell r="AU916" t="str">
            <v>Mobile</v>
          </cell>
          <cell r="BH916">
            <v>0</v>
          </cell>
        </row>
        <row r="917">
          <cell r="AU917" t="str">
            <v>Mobile</v>
          </cell>
          <cell r="BH917">
            <v>0</v>
          </cell>
        </row>
        <row r="918">
          <cell r="AU918" t="str">
            <v>Mobile</v>
          </cell>
          <cell r="BH918">
            <v>0</v>
          </cell>
        </row>
        <row r="919">
          <cell r="AU919" t="str">
            <v>Mobile</v>
          </cell>
          <cell r="BH919">
            <v>0</v>
          </cell>
        </row>
        <row r="920">
          <cell r="AU920" t="str">
            <v>Mobile</v>
          </cell>
          <cell r="BH920">
            <v>0</v>
          </cell>
        </row>
        <row r="921">
          <cell r="AU921" t="str">
            <v>Mobile</v>
          </cell>
          <cell r="BH921">
            <v>0</v>
          </cell>
        </row>
        <row r="922">
          <cell r="AU922" t="str">
            <v>Mobile</v>
          </cell>
          <cell r="BH922">
            <v>0</v>
          </cell>
        </row>
        <row r="923">
          <cell r="AU923" t="str">
            <v>Mobile</v>
          </cell>
          <cell r="BH923">
            <v>0</v>
          </cell>
        </row>
        <row r="924">
          <cell r="AU924" t="str">
            <v>Mobile</v>
          </cell>
          <cell r="BH924">
            <v>0</v>
          </cell>
        </row>
        <row r="925">
          <cell r="AU925" t="str">
            <v>Mobile</v>
          </cell>
          <cell r="BH925">
            <v>0</v>
          </cell>
        </row>
        <row r="926">
          <cell r="AU926" t="str">
            <v>Mobile</v>
          </cell>
          <cell r="BH926">
            <v>0</v>
          </cell>
        </row>
        <row r="927">
          <cell r="AU927" t="str">
            <v>Mobile</v>
          </cell>
          <cell r="BH927">
            <v>0</v>
          </cell>
        </row>
        <row r="928">
          <cell r="AU928" t="str">
            <v>Mobile</v>
          </cell>
          <cell r="BH928">
            <v>0</v>
          </cell>
        </row>
        <row r="929">
          <cell r="AU929" t="str">
            <v>Mobile</v>
          </cell>
          <cell r="BH929">
            <v>0</v>
          </cell>
        </row>
        <row r="930">
          <cell r="AU930" t="str">
            <v>Mobile</v>
          </cell>
          <cell r="BH930">
            <v>0</v>
          </cell>
        </row>
        <row r="931">
          <cell r="AU931" t="str">
            <v>Mobile</v>
          </cell>
          <cell r="BH931">
            <v>0</v>
          </cell>
        </row>
        <row r="932">
          <cell r="AU932" t="str">
            <v>Mobile</v>
          </cell>
          <cell r="BH932">
            <v>0</v>
          </cell>
        </row>
        <row r="933">
          <cell r="AU933" t="str">
            <v>Mobile</v>
          </cell>
          <cell r="BH933">
            <v>0</v>
          </cell>
        </row>
        <row r="934">
          <cell r="AU934" t="str">
            <v>Mobile</v>
          </cell>
          <cell r="BH934">
            <v>0</v>
          </cell>
        </row>
        <row r="935">
          <cell r="AU935" t="str">
            <v>Mobile</v>
          </cell>
          <cell r="BH935">
            <v>0</v>
          </cell>
        </row>
        <row r="936">
          <cell r="AU936" t="str">
            <v>Mobile</v>
          </cell>
          <cell r="BH936">
            <v>0</v>
          </cell>
        </row>
        <row r="937">
          <cell r="AU937" t="str">
            <v>Mobile</v>
          </cell>
          <cell r="BH937">
            <v>0</v>
          </cell>
        </row>
        <row r="938">
          <cell r="AU938" t="str">
            <v>Mobile</v>
          </cell>
          <cell r="BH938">
            <v>0</v>
          </cell>
        </row>
        <row r="939">
          <cell r="AU939" t="str">
            <v>Mobile</v>
          </cell>
          <cell r="BH939">
            <v>0</v>
          </cell>
        </row>
        <row r="940">
          <cell r="AU940" t="str">
            <v>Mobile</v>
          </cell>
          <cell r="BH940">
            <v>0</v>
          </cell>
        </row>
        <row r="941">
          <cell r="AU941" t="str">
            <v>Mobile</v>
          </cell>
          <cell r="BH941">
            <v>0</v>
          </cell>
        </row>
        <row r="942">
          <cell r="AU942" t="str">
            <v>Mobile</v>
          </cell>
          <cell r="BH942">
            <v>0</v>
          </cell>
        </row>
        <row r="943">
          <cell r="AU943" t="str">
            <v>Mobile</v>
          </cell>
          <cell r="BH943">
            <v>0</v>
          </cell>
        </row>
        <row r="944">
          <cell r="AU944" t="str">
            <v>Mobile</v>
          </cell>
          <cell r="BH944">
            <v>0</v>
          </cell>
        </row>
        <row r="945">
          <cell r="AU945" t="str">
            <v>Mobile</v>
          </cell>
          <cell r="BH945">
            <v>0</v>
          </cell>
        </row>
        <row r="946">
          <cell r="AU946" t="str">
            <v>Mobile</v>
          </cell>
          <cell r="BH946">
            <v>0</v>
          </cell>
        </row>
        <row r="947">
          <cell r="AU947" t="str">
            <v>Mobile</v>
          </cell>
          <cell r="BH947">
            <v>0</v>
          </cell>
        </row>
        <row r="948">
          <cell r="AU948" t="str">
            <v>Mobile</v>
          </cell>
          <cell r="BH948">
            <v>0</v>
          </cell>
        </row>
        <row r="949">
          <cell r="AU949" t="str">
            <v>Mobile</v>
          </cell>
          <cell r="BH949">
            <v>0</v>
          </cell>
        </row>
        <row r="950">
          <cell r="AU950" t="str">
            <v>Mobile</v>
          </cell>
          <cell r="BH950">
            <v>0</v>
          </cell>
        </row>
        <row r="951">
          <cell r="AU951" t="str">
            <v>Mobile</v>
          </cell>
          <cell r="BH951">
            <v>0</v>
          </cell>
        </row>
        <row r="952">
          <cell r="AU952" t="str">
            <v>Mobile</v>
          </cell>
          <cell r="BH952">
            <v>0</v>
          </cell>
        </row>
        <row r="953">
          <cell r="AU953" t="str">
            <v>Mobile</v>
          </cell>
          <cell r="BH953">
            <v>0</v>
          </cell>
        </row>
        <row r="954">
          <cell r="AU954" t="str">
            <v>Mobile</v>
          </cell>
          <cell r="BH954">
            <v>0</v>
          </cell>
        </row>
        <row r="955">
          <cell r="AU955" t="str">
            <v>Mobile</v>
          </cell>
          <cell r="BH955">
            <v>0</v>
          </cell>
        </row>
        <row r="956">
          <cell r="AU956" t="str">
            <v>Mobile</v>
          </cell>
          <cell r="BH956">
            <v>0</v>
          </cell>
        </row>
        <row r="957">
          <cell r="AU957" t="str">
            <v>Mobile</v>
          </cell>
          <cell r="BH957">
            <v>0</v>
          </cell>
        </row>
        <row r="958">
          <cell r="AU958" t="str">
            <v>Mobile</v>
          </cell>
          <cell r="BH958">
            <v>0</v>
          </cell>
        </row>
        <row r="959">
          <cell r="AU959" t="str">
            <v>Mobile</v>
          </cell>
          <cell r="BH959">
            <v>0</v>
          </cell>
        </row>
        <row r="960">
          <cell r="AU960" t="str">
            <v>Mobile</v>
          </cell>
          <cell r="BH960">
            <v>0</v>
          </cell>
        </row>
        <row r="961">
          <cell r="AU961" t="str">
            <v>Mobile</v>
          </cell>
          <cell r="BH961">
            <v>0</v>
          </cell>
        </row>
        <row r="962">
          <cell r="AU962" t="str">
            <v>Mobile</v>
          </cell>
          <cell r="BH962">
            <v>0</v>
          </cell>
        </row>
        <row r="963">
          <cell r="AU963" t="str">
            <v>Mobile</v>
          </cell>
          <cell r="BH963">
            <v>0</v>
          </cell>
        </row>
        <row r="964">
          <cell r="AU964" t="str">
            <v>Mobile</v>
          </cell>
          <cell r="BH964">
            <v>0</v>
          </cell>
        </row>
        <row r="965">
          <cell r="AU965" t="str">
            <v>Mobile</v>
          </cell>
          <cell r="BH965">
            <v>0</v>
          </cell>
        </row>
        <row r="966">
          <cell r="AU966" t="str">
            <v>Mobile</v>
          </cell>
          <cell r="BH966">
            <v>0</v>
          </cell>
        </row>
        <row r="967">
          <cell r="AU967" t="str">
            <v>Mobile</v>
          </cell>
          <cell r="BH967">
            <v>0</v>
          </cell>
        </row>
        <row r="968">
          <cell r="AU968" t="str">
            <v>Mobile</v>
          </cell>
          <cell r="BH968">
            <v>0</v>
          </cell>
        </row>
        <row r="969">
          <cell r="AU969" t="str">
            <v>Mobile</v>
          </cell>
          <cell r="BH969">
            <v>0</v>
          </cell>
        </row>
        <row r="970">
          <cell r="AU970" t="str">
            <v>Mobile</v>
          </cell>
          <cell r="BH970">
            <v>0</v>
          </cell>
        </row>
        <row r="971">
          <cell r="AU971" t="str">
            <v>Mobile</v>
          </cell>
          <cell r="BH971">
            <v>0</v>
          </cell>
        </row>
        <row r="972">
          <cell r="AU972" t="str">
            <v>Mobile</v>
          </cell>
          <cell r="BH972">
            <v>0</v>
          </cell>
        </row>
        <row r="973">
          <cell r="AU973" t="str">
            <v>Mobile</v>
          </cell>
          <cell r="BH973">
            <v>0</v>
          </cell>
        </row>
        <row r="974">
          <cell r="AU974" t="str">
            <v>Mobile</v>
          </cell>
          <cell r="BH974">
            <v>0</v>
          </cell>
        </row>
        <row r="975">
          <cell r="AU975" t="str">
            <v>Mobile</v>
          </cell>
          <cell r="BH975">
            <v>0</v>
          </cell>
        </row>
        <row r="976">
          <cell r="AU976" t="str">
            <v>Mobile</v>
          </cell>
          <cell r="BH976">
            <v>0</v>
          </cell>
        </row>
        <row r="977">
          <cell r="AU977" t="str">
            <v>Mobile</v>
          </cell>
          <cell r="BH977">
            <v>0</v>
          </cell>
        </row>
        <row r="978">
          <cell r="AU978" t="str">
            <v>Mobile</v>
          </cell>
          <cell r="BH978">
            <v>0</v>
          </cell>
        </row>
        <row r="979">
          <cell r="AU979" t="str">
            <v>Mobile</v>
          </cell>
          <cell r="BH979">
            <v>0</v>
          </cell>
        </row>
        <row r="980">
          <cell r="AU980" t="str">
            <v>Mobile</v>
          </cell>
          <cell r="BH980">
            <v>0</v>
          </cell>
        </row>
        <row r="981">
          <cell r="AU981" t="str">
            <v>Mobile</v>
          </cell>
          <cell r="BH981">
            <v>0</v>
          </cell>
        </row>
        <row r="982">
          <cell r="AU982" t="str">
            <v>Mobile</v>
          </cell>
          <cell r="BH982">
            <v>0</v>
          </cell>
        </row>
        <row r="983">
          <cell r="AU983" t="str">
            <v>Mobile</v>
          </cell>
          <cell r="BH983">
            <v>0</v>
          </cell>
        </row>
        <row r="984">
          <cell r="AU984" t="str">
            <v>Mobile</v>
          </cell>
          <cell r="BH984">
            <v>0</v>
          </cell>
        </row>
        <row r="985">
          <cell r="AU985" t="str">
            <v>Mobile</v>
          </cell>
          <cell r="BH985">
            <v>0</v>
          </cell>
        </row>
        <row r="986">
          <cell r="AU986" t="str">
            <v>Mobile</v>
          </cell>
          <cell r="BH986">
            <v>0</v>
          </cell>
        </row>
        <row r="987">
          <cell r="AU987" t="str">
            <v>Mobile</v>
          </cell>
          <cell r="BH987">
            <v>0</v>
          </cell>
        </row>
        <row r="988">
          <cell r="AU988" t="str">
            <v>Mobile</v>
          </cell>
          <cell r="BH988">
            <v>0</v>
          </cell>
        </row>
        <row r="989">
          <cell r="AU989" t="str">
            <v>Mobile</v>
          </cell>
          <cell r="BH989">
            <v>0</v>
          </cell>
        </row>
        <row r="990">
          <cell r="AU990" t="str">
            <v>Mobile</v>
          </cell>
          <cell r="BH990">
            <v>0</v>
          </cell>
        </row>
        <row r="991">
          <cell r="AU991" t="str">
            <v>Mobile</v>
          </cell>
          <cell r="BH991">
            <v>0</v>
          </cell>
        </row>
        <row r="992">
          <cell r="AU992" t="str">
            <v>Mobile</v>
          </cell>
          <cell r="BH992">
            <v>0</v>
          </cell>
        </row>
        <row r="993">
          <cell r="AU993" t="str">
            <v>Mobile</v>
          </cell>
          <cell r="BH993">
            <v>0</v>
          </cell>
        </row>
        <row r="994">
          <cell r="AU994" t="str">
            <v>Mobile</v>
          </cell>
          <cell r="BH994">
            <v>0</v>
          </cell>
        </row>
        <row r="995">
          <cell r="AU995" t="str">
            <v>Mobile</v>
          </cell>
          <cell r="BH995">
            <v>0</v>
          </cell>
        </row>
        <row r="996">
          <cell r="AU996" t="str">
            <v>Mobile</v>
          </cell>
          <cell r="BH996">
            <v>0</v>
          </cell>
        </row>
        <row r="997">
          <cell r="AU997" t="str">
            <v>Mobile</v>
          </cell>
          <cell r="BH997">
            <v>0</v>
          </cell>
        </row>
        <row r="998">
          <cell r="AU998" t="str">
            <v>Mobile</v>
          </cell>
          <cell r="BH998">
            <v>0</v>
          </cell>
        </row>
        <row r="999">
          <cell r="AU999" t="str">
            <v>Mobile</v>
          </cell>
          <cell r="BH999">
            <v>0</v>
          </cell>
        </row>
        <row r="1000">
          <cell r="AU1000" t="str">
            <v>Mobile</v>
          </cell>
          <cell r="BH1000">
            <v>0</v>
          </cell>
        </row>
        <row r="1001">
          <cell r="AU1001" t="str">
            <v>Mobile</v>
          </cell>
          <cell r="BH1001">
            <v>0</v>
          </cell>
        </row>
        <row r="1002">
          <cell r="AU1002" t="str">
            <v>Mobile</v>
          </cell>
          <cell r="BH1002">
            <v>0</v>
          </cell>
        </row>
        <row r="1003">
          <cell r="AU1003" t="str">
            <v>Mobile</v>
          </cell>
          <cell r="BH1003">
            <v>0</v>
          </cell>
        </row>
        <row r="1004">
          <cell r="AU1004" t="str">
            <v>Mobile</v>
          </cell>
          <cell r="BH1004">
            <v>0</v>
          </cell>
        </row>
        <row r="1005">
          <cell r="AU1005" t="str">
            <v>Mobile</v>
          </cell>
          <cell r="BH1005">
            <v>0</v>
          </cell>
        </row>
        <row r="1006">
          <cell r="AU1006" t="str">
            <v>Mobile</v>
          </cell>
          <cell r="BH1006">
            <v>0</v>
          </cell>
        </row>
        <row r="1007">
          <cell r="AU1007" t="str">
            <v>PRC</v>
          </cell>
          <cell r="BH1007">
            <v>10450</v>
          </cell>
        </row>
        <row r="1008">
          <cell r="AU1008" t="str">
            <v>PICPA</v>
          </cell>
          <cell r="BH1008">
            <v>24000</v>
          </cell>
        </row>
        <row r="1009">
          <cell r="AU1009" t="str">
            <v>UAP</v>
          </cell>
          <cell r="BH1009">
            <v>16060</v>
          </cell>
        </row>
        <row r="1010">
          <cell r="BH1010">
            <v>0</v>
          </cell>
        </row>
        <row r="1011">
          <cell r="BH1011">
            <v>0</v>
          </cell>
        </row>
        <row r="1012">
          <cell r="BH1012">
            <v>0</v>
          </cell>
        </row>
        <row r="1013">
          <cell r="BH1013">
            <v>0</v>
          </cell>
        </row>
        <row r="1014">
          <cell r="BH1014">
            <v>0</v>
          </cell>
        </row>
        <row r="1015">
          <cell r="BH1015">
            <v>0</v>
          </cell>
        </row>
        <row r="1016">
          <cell r="BH1016">
            <v>0</v>
          </cell>
        </row>
        <row r="1017">
          <cell r="BH1017">
            <v>0</v>
          </cell>
        </row>
        <row r="1018">
          <cell r="BH1018">
            <v>0</v>
          </cell>
        </row>
        <row r="1019">
          <cell r="BH1019">
            <v>0</v>
          </cell>
        </row>
        <row r="1020">
          <cell r="BH1020">
            <v>0</v>
          </cell>
        </row>
        <row r="1021">
          <cell r="BH1021">
            <v>0</v>
          </cell>
        </row>
        <row r="1022">
          <cell r="BH1022">
            <v>0</v>
          </cell>
        </row>
        <row r="1023">
          <cell r="BH1023">
            <v>0</v>
          </cell>
        </row>
        <row r="1024">
          <cell r="BH1024">
            <v>0</v>
          </cell>
        </row>
        <row r="1025">
          <cell r="BH1025">
            <v>0</v>
          </cell>
        </row>
        <row r="1026">
          <cell r="BH1026">
            <v>0</v>
          </cell>
        </row>
        <row r="1027">
          <cell r="BH1027">
            <v>0</v>
          </cell>
        </row>
        <row r="1028">
          <cell r="BH1028">
            <v>0</v>
          </cell>
        </row>
        <row r="1029">
          <cell r="BH1029">
            <v>0</v>
          </cell>
        </row>
        <row r="1030">
          <cell r="BH1030">
            <v>0</v>
          </cell>
        </row>
        <row r="1031">
          <cell r="BH1031">
            <v>0</v>
          </cell>
        </row>
        <row r="1032">
          <cell r="AU1032" t="str">
            <v>PRC</v>
          </cell>
          <cell r="BH1032">
            <v>7480</v>
          </cell>
        </row>
        <row r="1033">
          <cell r="BH1033">
            <v>0</v>
          </cell>
        </row>
        <row r="1034">
          <cell r="BH1034">
            <v>0</v>
          </cell>
        </row>
        <row r="1035">
          <cell r="BH1035">
            <v>0</v>
          </cell>
        </row>
        <row r="1036">
          <cell r="BH1036">
            <v>0</v>
          </cell>
        </row>
        <row r="1037">
          <cell r="BH1037">
            <v>0</v>
          </cell>
        </row>
        <row r="1038">
          <cell r="BH1038">
            <v>0</v>
          </cell>
        </row>
        <row r="1039">
          <cell r="BH1039">
            <v>0</v>
          </cell>
        </row>
        <row r="1040">
          <cell r="BH1040">
            <v>0</v>
          </cell>
        </row>
        <row r="1041">
          <cell r="AU1041" t="str">
            <v>Travel - local</v>
          </cell>
          <cell r="BH1041">
            <v>73949.64</v>
          </cell>
        </row>
        <row r="1042">
          <cell r="BH1042">
            <v>0</v>
          </cell>
        </row>
        <row r="1043">
          <cell r="BH1043">
            <v>0</v>
          </cell>
        </row>
        <row r="1044">
          <cell r="AU1044" t="str">
            <v>Roadshow</v>
          </cell>
          <cell r="BH1044">
            <v>57805.09</v>
          </cell>
        </row>
        <row r="1045">
          <cell r="BH1045">
            <v>0</v>
          </cell>
        </row>
        <row r="1046">
          <cell r="BH1046">
            <v>0</v>
          </cell>
        </row>
        <row r="1047">
          <cell r="BH1047">
            <v>0</v>
          </cell>
        </row>
        <row r="1048">
          <cell r="BH1048">
            <v>184583</v>
          </cell>
        </row>
        <row r="1049">
          <cell r="BH1049">
            <v>20000</v>
          </cell>
        </row>
        <row r="1050">
          <cell r="BH1050">
            <v>0</v>
          </cell>
        </row>
        <row r="1051">
          <cell r="BH1051">
            <v>0</v>
          </cell>
        </row>
        <row r="1052">
          <cell r="BH1052">
            <v>0</v>
          </cell>
        </row>
        <row r="1053">
          <cell r="AU1053" t="str">
            <v>Tenant Audit</v>
          </cell>
          <cell r="BH1053">
            <v>140100</v>
          </cell>
        </row>
        <row r="1054">
          <cell r="AU1054" t="str">
            <v>TPD</v>
          </cell>
          <cell r="BH1054">
            <v>637000</v>
          </cell>
        </row>
        <row r="1055">
          <cell r="AU1055" t="str">
            <v>YE 2024 FS AUDIT</v>
          </cell>
          <cell r="BH1055">
            <v>1071840</v>
          </cell>
        </row>
        <row r="1056">
          <cell r="AU1056" t="str">
            <v>YE 2024 FS AUDIT</v>
          </cell>
          <cell r="BH1056">
            <v>335280</v>
          </cell>
        </row>
        <row r="1057">
          <cell r="AU1057" t="str">
            <v>YE 2024 FS AUDIT</v>
          </cell>
          <cell r="BH1057">
            <v>264000</v>
          </cell>
        </row>
        <row r="1058">
          <cell r="AU1058" t="str">
            <v>BOD</v>
          </cell>
          <cell r="BH1058">
            <v>7817857.1200000001</v>
          </cell>
        </row>
        <row r="1059">
          <cell r="AU1059" t="str">
            <v>OLC Consultants (Group 1)</v>
          </cell>
          <cell r="BH1059">
            <v>7837423.8200000003</v>
          </cell>
        </row>
        <row r="1060">
          <cell r="AU1060" t="str">
            <v>PWC Payroll Services</v>
          </cell>
          <cell r="BH1060">
            <v>891413.58000000007</v>
          </cell>
        </row>
        <row r="1061">
          <cell r="BH1061">
            <v>309000</v>
          </cell>
        </row>
        <row r="1062">
          <cell r="AU1062" t="str">
            <v>Doctor</v>
          </cell>
          <cell r="BH1062">
            <v>500910.35</v>
          </cell>
        </row>
        <row r="1063">
          <cell r="BH1063">
            <v>0</v>
          </cell>
        </row>
        <row r="1064">
          <cell r="AU1064" t="str">
            <v>Open Cases</v>
          </cell>
          <cell r="BH1064">
            <v>5090420.0000000093</v>
          </cell>
        </row>
        <row r="1065">
          <cell r="BH1065">
            <v>0</v>
          </cell>
        </row>
        <row r="1066">
          <cell r="AU1066" t="str">
            <v>Retainer Fee - Angara</v>
          </cell>
          <cell r="BH1066">
            <v>195000</v>
          </cell>
        </row>
        <row r="1067">
          <cell r="AU1067" t="str">
            <v>Retainer Fee - Corpuz</v>
          </cell>
          <cell r="BH1067">
            <v>77000</v>
          </cell>
        </row>
        <row r="1068">
          <cell r="AU1068" t="str">
            <v>Retainer Fee - Padilla</v>
          </cell>
          <cell r="BH1068">
            <v>-110000</v>
          </cell>
        </row>
        <row r="1069">
          <cell r="AU1069" t="str">
            <v>Retainer Fee - Poblador</v>
          </cell>
          <cell r="BH1069">
            <v>200000</v>
          </cell>
        </row>
        <row r="1070">
          <cell r="AU1070" t="str">
            <v>Retainer Fee - Santiago</v>
          </cell>
          <cell r="BH1070">
            <v>90000</v>
          </cell>
        </row>
        <row r="1071">
          <cell r="AU1071" t="str">
            <v>Retainer Fee - Sycip</v>
          </cell>
          <cell r="BH1071">
            <v>110000</v>
          </cell>
        </row>
        <row r="1072">
          <cell r="BH1072">
            <v>240000</v>
          </cell>
        </row>
        <row r="1073">
          <cell r="BH1073">
            <v>0</v>
          </cell>
        </row>
        <row r="1074">
          <cell r="BH1074">
            <v>0</v>
          </cell>
        </row>
        <row r="1075">
          <cell r="BH1075">
            <v>0</v>
          </cell>
        </row>
        <row r="1076">
          <cell r="BH1076">
            <v>0</v>
          </cell>
        </row>
        <row r="1077">
          <cell r="BH1077">
            <v>0</v>
          </cell>
        </row>
        <row r="1078">
          <cell r="BH1078">
            <v>0</v>
          </cell>
        </row>
        <row r="1079">
          <cell r="BH1079">
            <v>250000.00000000003</v>
          </cell>
        </row>
        <row r="1080">
          <cell r="BH1080">
            <v>250000.00000000003</v>
          </cell>
        </row>
        <row r="1081">
          <cell r="AU1081" t="str">
            <v>RSG</v>
          </cell>
          <cell r="BH1081">
            <v>2350000</v>
          </cell>
        </row>
        <row r="1082">
          <cell r="BH1082">
            <v>0</v>
          </cell>
        </row>
        <row r="1083">
          <cell r="BH1083">
            <v>0</v>
          </cell>
        </row>
        <row r="1084">
          <cell r="AU1084" t="str">
            <v>RSG</v>
          </cell>
          <cell r="BH1084">
            <v>250000</v>
          </cell>
        </row>
        <row r="1085">
          <cell r="BH1085">
            <v>0</v>
          </cell>
        </row>
        <row r="1086">
          <cell r="BH1086">
            <v>0</v>
          </cell>
        </row>
        <row r="1087">
          <cell r="BH1087">
            <v>0</v>
          </cell>
        </row>
        <row r="1088">
          <cell r="BH1088">
            <v>0</v>
          </cell>
        </row>
        <row r="1089">
          <cell r="BH1089">
            <v>0</v>
          </cell>
        </row>
        <row r="1090">
          <cell r="AU1090" t="str">
            <v>TPD</v>
          </cell>
          <cell r="BH1090">
            <v>75000</v>
          </cell>
        </row>
        <row r="1091">
          <cell r="BH1091">
            <v>103287.71000000004</v>
          </cell>
        </row>
        <row r="1092">
          <cell r="BH1092">
            <v>32303.25</v>
          </cell>
        </row>
        <row r="1093">
          <cell r="BH1093">
            <v>0</v>
          </cell>
        </row>
        <row r="1094">
          <cell r="BH1094">
            <v>32000</v>
          </cell>
        </row>
        <row r="1095">
          <cell r="BH1095">
            <v>49999.999999999993</v>
          </cell>
        </row>
        <row r="1096">
          <cell r="BH1096">
            <v>49999.999999999993</v>
          </cell>
        </row>
        <row r="1097">
          <cell r="BH1097">
            <v>49999.999999999993</v>
          </cell>
        </row>
        <row r="1098">
          <cell r="BH1098">
            <v>49999.999999999993</v>
          </cell>
        </row>
        <row r="1099">
          <cell r="BH1099">
            <v>45454.549999999996</v>
          </cell>
        </row>
        <row r="1100">
          <cell r="AU1100" t="str">
            <v>Sponsorship</v>
          </cell>
          <cell r="BH1100">
            <v>380000</v>
          </cell>
        </row>
        <row r="1101">
          <cell r="AU1101" t="str">
            <v>Meeting</v>
          </cell>
          <cell r="BH1101">
            <v>99843.63</v>
          </cell>
        </row>
        <row r="1102">
          <cell r="BH1102">
            <v>85000</v>
          </cell>
        </row>
        <row r="1103">
          <cell r="BH1103">
            <v>0</v>
          </cell>
        </row>
        <row r="1104">
          <cell r="BH1104">
            <v>0</v>
          </cell>
        </row>
        <row r="1105">
          <cell r="AU1105" t="str">
            <v>Membership</v>
          </cell>
          <cell r="BH1105">
            <v>6608128.580000001</v>
          </cell>
        </row>
        <row r="1106">
          <cell r="AU1106" t="str">
            <v>Transfer of Share</v>
          </cell>
          <cell r="BH1106">
            <v>110000</v>
          </cell>
        </row>
        <row r="1107">
          <cell r="AU1107" t="str">
            <v>Special Assessment</v>
          </cell>
          <cell r="BH1107">
            <v>528500</v>
          </cell>
        </row>
        <row r="1108">
          <cell r="AU1108" t="str">
            <v>BOD Meeting</v>
          </cell>
          <cell r="BH1108">
            <v>2951428.56</v>
          </cell>
        </row>
        <row r="1109">
          <cell r="AU1109" t="str">
            <v>Taxes</v>
          </cell>
          <cell r="BH1109">
            <v>4698022.8999999994</v>
          </cell>
        </row>
        <row r="1110">
          <cell r="BH1110">
            <v>8582.24</v>
          </cell>
        </row>
        <row r="1111">
          <cell r="AU1111" t="str">
            <v>LBT</v>
          </cell>
          <cell r="BH1111">
            <v>22216.42</v>
          </cell>
        </row>
        <row r="1112">
          <cell r="AU1112" t="str">
            <v>DST</v>
          </cell>
          <cell r="BH1112">
            <v>355000</v>
          </cell>
        </row>
        <row r="1113">
          <cell r="AU1113" t="str">
            <v>Research and Development</v>
          </cell>
          <cell r="BH1113">
            <v>5557509.8199999994</v>
          </cell>
        </row>
        <row r="1114">
          <cell r="AU1114" t="str">
            <v>Tax Bill</v>
          </cell>
          <cell r="BH1114">
            <v>498680</v>
          </cell>
        </row>
        <row r="1115">
          <cell r="AU1115" t="str">
            <v>Retirement</v>
          </cell>
          <cell r="BH1115">
            <v>2781476.0399999996</v>
          </cell>
        </row>
        <row r="1116">
          <cell r="AU1116" t="str">
            <v>Retirement</v>
          </cell>
          <cell r="BH1116">
            <v>3637070.0399999996</v>
          </cell>
        </row>
        <row r="1117">
          <cell r="AU1117" t="str">
            <v>Retirement</v>
          </cell>
          <cell r="BH1117">
            <v>38812275.959999993</v>
          </cell>
        </row>
        <row r="1118">
          <cell r="BH1118">
            <v>0</v>
          </cell>
        </row>
        <row r="1119">
          <cell r="BH1119">
            <v>0</v>
          </cell>
        </row>
        <row r="1120">
          <cell r="BH1120">
            <v>0</v>
          </cell>
        </row>
        <row r="1121">
          <cell r="BH1121">
            <v>0</v>
          </cell>
        </row>
        <row r="1122">
          <cell r="BH1122">
            <v>0</v>
          </cell>
        </row>
        <row r="1123">
          <cell r="BH1123">
            <v>0</v>
          </cell>
        </row>
        <row r="1124">
          <cell r="BH1124">
            <v>0</v>
          </cell>
        </row>
        <row r="1125">
          <cell r="BH1125">
            <v>0</v>
          </cell>
        </row>
        <row r="1126">
          <cell r="BH1126">
            <v>0</v>
          </cell>
        </row>
        <row r="1127">
          <cell r="BH1127">
            <v>980</v>
          </cell>
        </row>
        <row r="1128">
          <cell r="BH1128">
            <v>0</v>
          </cell>
        </row>
        <row r="1129">
          <cell r="BH1129">
            <v>0</v>
          </cell>
        </row>
        <row r="1130">
          <cell r="BH1130">
            <v>0</v>
          </cell>
        </row>
        <row r="1131">
          <cell r="BH1131">
            <v>0</v>
          </cell>
        </row>
        <row r="1132">
          <cell r="BH1132">
            <v>0</v>
          </cell>
        </row>
        <row r="1133">
          <cell r="BH1133">
            <v>0</v>
          </cell>
        </row>
        <row r="1134">
          <cell r="AU1134" t="str">
            <v>Adobe Creative Cloud</v>
          </cell>
          <cell r="BH1134">
            <v>0</v>
          </cell>
        </row>
        <row r="1135">
          <cell r="BH1135">
            <v>1000</v>
          </cell>
        </row>
        <row r="1136">
          <cell r="AU1136" t="str">
            <v>DMZ</v>
          </cell>
          <cell r="BH1136">
            <v>20089.29</v>
          </cell>
        </row>
        <row r="1137">
          <cell r="BH1137">
            <v>0</v>
          </cell>
        </row>
        <row r="1138">
          <cell r="BH1138">
            <v>50000</v>
          </cell>
        </row>
        <row r="1139">
          <cell r="BH1139">
            <v>3000</v>
          </cell>
        </row>
        <row r="1140">
          <cell r="BH1140">
            <v>22500</v>
          </cell>
        </row>
        <row r="1141">
          <cell r="AU1141" t="str">
            <v>Meeting</v>
          </cell>
          <cell r="BH1141">
            <v>5575.0000000000045</v>
          </cell>
        </row>
        <row r="1142">
          <cell r="BH1142">
            <v>19000</v>
          </cell>
        </row>
        <row r="1143">
          <cell r="BH1143">
            <v>30000</v>
          </cell>
        </row>
        <row r="1144">
          <cell r="BH1144">
            <v>5250</v>
          </cell>
        </row>
        <row r="1145">
          <cell r="BH1145">
            <v>0</v>
          </cell>
        </row>
        <row r="1146">
          <cell r="BH1146">
            <v>21187.5</v>
          </cell>
        </row>
        <row r="1147">
          <cell r="AU1147" t="str">
            <v>Sketchup</v>
          </cell>
          <cell r="BH1147">
            <v>10937.5</v>
          </cell>
        </row>
        <row r="1148">
          <cell r="BH1148">
            <v>0</v>
          </cell>
        </row>
        <row r="1149">
          <cell r="BH1149">
            <v>0</v>
          </cell>
        </row>
        <row r="1150">
          <cell r="AU1150" t="str">
            <v>OLC Consultants (Group 2)</v>
          </cell>
          <cell r="BH1150">
            <v>32303955.839999996</v>
          </cell>
        </row>
        <row r="1151">
          <cell r="BH1151">
            <v>0</v>
          </cell>
        </row>
        <row r="1152">
          <cell r="AU1152" t="str">
            <v>Meeting</v>
          </cell>
          <cell r="BH1152">
            <v>8328.83</v>
          </cell>
        </row>
        <row r="1153">
          <cell r="AU1153" t="str">
            <v>Meeting</v>
          </cell>
          <cell r="BH1153">
            <v>25633.940000000002</v>
          </cell>
        </row>
        <row r="1154">
          <cell r="AU1154" t="str">
            <v>Meeting</v>
          </cell>
          <cell r="BH1154">
            <v>27922.549999999996</v>
          </cell>
        </row>
        <row r="1155">
          <cell r="AU1155" t="str">
            <v>Meeting</v>
          </cell>
          <cell r="BH1155">
            <v>26814.09</v>
          </cell>
        </row>
        <row r="1156">
          <cell r="AU1156" t="str">
            <v>Meeting</v>
          </cell>
          <cell r="BH1156">
            <v>16905.900000000001</v>
          </cell>
        </row>
        <row r="1157">
          <cell r="AU1157" t="str">
            <v>Meeting</v>
          </cell>
          <cell r="BH1157">
            <v>128739.26</v>
          </cell>
        </row>
        <row r="1158">
          <cell r="BH1158">
            <v>0</v>
          </cell>
        </row>
        <row r="1159">
          <cell r="BH1159">
            <v>0</v>
          </cell>
        </row>
        <row r="1160">
          <cell r="AU1160" t="str">
            <v>OT Meal Reimbursement</v>
          </cell>
          <cell r="BH1160">
            <v>850382.2</v>
          </cell>
        </row>
        <row r="1161">
          <cell r="AU1161" t="str">
            <v>OT Pay</v>
          </cell>
          <cell r="BH1161">
            <v>989658.57</v>
          </cell>
        </row>
        <row r="1162">
          <cell r="AU1162" t="str">
            <v>Philhealth</v>
          </cell>
          <cell r="BH1162">
            <v>2340682.5</v>
          </cell>
        </row>
        <row r="1163">
          <cell r="BH1163">
            <v>0</v>
          </cell>
        </row>
        <row r="1164">
          <cell r="AU1164" t="str">
            <v>SSS</v>
          </cell>
          <cell r="BH1164">
            <v>2831070</v>
          </cell>
        </row>
        <row r="1165">
          <cell r="BH1165">
            <v>385000</v>
          </cell>
        </row>
        <row r="1166">
          <cell r="AU1166" t="str">
            <v>Pagibig</v>
          </cell>
          <cell r="BH1166">
            <v>193800</v>
          </cell>
        </row>
        <row r="1167">
          <cell r="BH1167">
            <v>0</v>
          </cell>
        </row>
        <row r="1168">
          <cell r="BH1168">
            <v>2105923.92</v>
          </cell>
        </row>
        <row r="1169">
          <cell r="BH1169">
            <v>0</v>
          </cell>
        </row>
        <row r="1170">
          <cell r="AU1170" t="str">
            <v>Regular Employee</v>
          </cell>
          <cell r="BH1170">
            <v>56085352.980000004</v>
          </cell>
        </row>
        <row r="1171">
          <cell r="AU1171" t="str">
            <v>GB - Regular</v>
          </cell>
          <cell r="BH1171">
            <v>6995231.2700000005</v>
          </cell>
        </row>
        <row r="1172">
          <cell r="AU1172" t="str">
            <v>Gas Allowance</v>
          </cell>
          <cell r="BH1172">
            <v>360000</v>
          </cell>
        </row>
        <row r="1173">
          <cell r="BH1173">
            <v>0</v>
          </cell>
        </row>
        <row r="1174">
          <cell r="BH1174">
            <v>0</v>
          </cell>
        </row>
        <row r="1175">
          <cell r="BH1175">
            <v>0</v>
          </cell>
        </row>
        <row r="1176">
          <cell r="BH1176">
            <v>0</v>
          </cell>
        </row>
        <row r="1177">
          <cell r="BH1177">
            <v>0</v>
          </cell>
        </row>
        <row r="1178">
          <cell r="BH1178">
            <v>0</v>
          </cell>
        </row>
        <row r="1179">
          <cell r="BH1179">
            <v>0</v>
          </cell>
        </row>
        <row r="1180">
          <cell r="BH1180">
            <v>0</v>
          </cell>
        </row>
        <row r="1181">
          <cell r="AU1181" t="str">
            <v>SFI</v>
          </cell>
          <cell r="BH1181">
            <v>5158717.8699999992</v>
          </cell>
        </row>
        <row r="1182">
          <cell r="AU1182" t="str">
            <v>TAHJ</v>
          </cell>
          <cell r="BH1182">
            <v>372398.91999999981</v>
          </cell>
        </row>
        <row r="1183">
          <cell r="BH1183">
            <v>0</v>
          </cell>
        </row>
        <row r="1184">
          <cell r="BH1184">
            <v>0</v>
          </cell>
        </row>
        <row r="1185">
          <cell r="BH1185">
            <v>0</v>
          </cell>
        </row>
        <row r="1186">
          <cell r="BH1186">
            <v>0</v>
          </cell>
        </row>
        <row r="1187">
          <cell r="BH1187">
            <v>0</v>
          </cell>
        </row>
        <row r="1188">
          <cell r="BH1188">
            <v>0</v>
          </cell>
        </row>
        <row r="1189">
          <cell r="BH1189">
            <v>0</v>
          </cell>
        </row>
        <row r="1190">
          <cell r="BH1190">
            <v>0</v>
          </cell>
        </row>
        <row r="1191">
          <cell r="BH1191">
            <v>0</v>
          </cell>
        </row>
        <row r="1192">
          <cell r="BH1192">
            <v>0</v>
          </cell>
        </row>
        <row r="1193">
          <cell r="BH1193">
            <v>0</v>
          </cell>
        </row>
        <row r="1194">
          <cell r="AU1194" t="str">
            <v>OPMI</v>
          </cell>
          <cell r="BH1194">
            <v>140000</v>
          </cell>
        </row>
        <row r="1195">
          <cell r="BH1195">
            <v>0</v>
          </cell>
        </row>
        <row r="1196">
          <cell r="BH1196">
            <v>0</v>
          </cell>
        </row>
        <row r="1197">
          <cell r="BH1197">
            <v>0</v>
          </cell>
        </row>
        <row r="1198">
          <cell r="BH1198">
            <v>0</v>
          </cell>
        </row>
        <row r="1199">
          <cell r="BH1199">
            <v>0</v>
          </cell>
        </row>
        <row r="1200">
          <cell r="BH1200">
            <v>0</v>
          </cell>
        </row>
        <row r="1201">
          <cell r="BH1201">
            <v>0</v>
          </cell>
        </row>
        <row r="1202">
          <cell r="BH1202">
            <v>0</v>
          </cell>
        </row>
        <row r="1203">
          <cell r="BH1203">
            <v>0</v>
          </cell>
        </row>
        <row r="1204">
          <cell r="BH1204">
            <v>0</v>
          </cell>
        </row>
        <row r="1205">
          <cell r="BH1205">
            <v>0</v>
          </cell>
        </row>
        <row r="1206">
          <cell r="BH1206">
            <v>0</v>
          </cell>
        </row>
        <row r="1207">
          <cell r="BH1207">
            <v>0</v>
          </cell>
        </row>
        <row r="1208">
          <cell r="BH1208">
            <v>0</v>
          </cell>
        </row>
        <row r="1209">
          <cell r="BH1209">
            <v>0</v>
          </cell>
        </row>
        <row r="1210">
          <cell r="BH1210">
            <v>0</v>
          </cell>
        </row>
        <row r="1211">
          <cell r="BH1211">
            <v>0</v>
          </cell>
        </row>
        <row r="1212">
          <cell r="BH1212">
            <v>0</v>
          </cell>
        </row>
        <row r="1213">
          <cell r="BH1213">
            <v>0</v>
          </cell>
        </row>
        <row r="1214">
          <cell r="BH1214">
            <v>0</v>
          </cell>
        </row>
        <row r="1215">
          <cell r="BH1215">
            <v>0</v>
          </cell>
        </row>
        <row r="1216">
          <cell r="BH1216">
            <v>0</v>
          </cell>
        </row>
        <row r="1217">
          <cell r="BH1217">
            <v>0</v>
          </cell>
        </row>
        <row r="1218">
          <cell r="BH1218">
            <v>0</v>
          </cell>
        </row>
        <row r="1219">
          <cell r="BH1219">
            <v>0</v>
          </cell>
        </row>
        <row r="1220">
          <cell r="BH1220">
            <v>0</v>
          </cell>
        </row>
        <row r="1221">
          <cell r="BH1221">
            <v>0</v>
          </cell>
        </row>
        <row r="1222">
          <cell r="BH1222">
            <v>0</v>
          </cell>
        </row>
        <row r="1223">
          <cell r="AU1223" t="str">
            <v>Gas Allowance</v>
          </cell>
          <cell r="BH1223">
            <v>301374.05</v>
          </cell>
        </row>
        <row r="1224">
          <cell r="BH1224">
            <v>0</v>
          </cell>
        </row>
        <row r="1225">
          <cell r="BH1225">
            <v>0</v>
          </cell>
        </row>
        <row r="1226">
          <cell r="AU1226" t="str">
            <v>Philhealth</v>
          </cell>
          <cell r="BH1226">
            <v>591892.5</v>
          </cell>
        </row>
        <row r="1227">
          <cell r="AU1227" t="str">
            <v>SSS</v>
          </cell>
          <cell r="BH1227">
            <v>1917900</v>
          </cell>
        </row>
        <row r="1228">
          <cell r="BH1228">
            <v>190000</v>
          </cell>
        </row>
        <row r="1229">
          <cell r="AU1229" t="str">
            <v>Pagibig</v>
          </cell>
          <cell r="BH1229">
            <v>136000</v>
          </cell>
        </row>
        <row r="1230">
          <cell r="BH1230">
            <v>0</v>
          </cell>
        </row>
        <row r="1231">
          <cell r="BH1231">
            <v>0</v>
          </cell>
        </row>
        <row r="1232">
          <cell r="BH1232">
            <v>0</v>
          </cell>
        </row>
        <row r="1233">
          <cell r="BH1233">
            <v>0</v>
          </cell>
        </row>
        <row r="1234">
          <cell r="BH1234">
            <v>0</v>
          </cell>
        </row>
        <row r="1235">
          <cell r="BH1235">
            <v>0</v>
          </cell>
        </row>
        <row r="1236">
          <cell r="BH1236">
            <v>0</v>
          </cell>
        </row>
        <row r="1237">
          <cell r="BH1237">
            <v>0</v>
          </cell>
        </row>
        <row r="1238">
          <cell r="BH1238">
            <v>0</v>
          </cell>
        </row>
        <row r="1239">
          <cell r="BH1239">
            <v>0</v>
          </cell>
        </row>
        <row r="1240">
          <cell r="BH1240">
            <v>0</v>
          </cell>
        </row>
        <row r="1241">
          <cell r="BH1241">
            <v>0</v>
          </cell>
        </row>
        <row r="1242">
          <cell r="BH1242">
            <v>0</v>
          </cell>
        </row>
        <row r="1243">
          <cell r="BH1243">
            <v>0</v>
          </cell>
        </row>
        <row r="1244">
          <cell r="BH1244">
            <v>0</v>
          </cell>
        </row>
        <row r="1245">
          <cell r="BH1245">
            <v>0</v>
          </cell>
        </row>
        <row r="1246">
          <cell r="BH1246">
            <v>0</v>
          </cell>
        </row>
        <row r="1247">
          <cell r="BH1247">
            <v>0</v>
          </cell>
        </row>
        <row r="1248">
          <cell r="BH1248">
            <v>0</v>
          </cell>
        </row>
        <row r="1249">
          <cell r="BH1249">
            <v>0</v>
          </cell>
        </row>
        <row r="1250">
          <cell r="BH1250">
            <v>0</v>
          </cell>
        </row>
        <row r="1251">
          <cell r="BH1251">
            <v>0</v>
          </cell>
        </row>
        <row r="1252">
          <cell r="AU1252" t="str">
            <v>H&amp;K</v>
          </cell>
          <cell r="BH1252">
            <v>3358.3199999999956</v>
          </cell>
        </row>
        <row r="1253">
          <cell r="BH1253">
            <v>0</v>
          </cell>
        </row>
        <row r="1254">
          <cell r="BH1254">
            <v>20844321.159999996</v>
          </cell>
        </row>
        <row r="1255">
          <cell r="AU1255" t="str">
            <v>GB - Regular</v>
          </cell>
          <cell r="BH1255">
            <v>3894567.3400000003</v>
          </cell>
        </row>
        <row r="1256">
          <cell r="BH1256">
            <v>0</v>
          </cell>
        </row>
        <row r="1257">
          <cell r="AU1257" t="str">
            <v>OT Pay</v>
          </cell>
          <cell r="BH1257">
            <v>160192.56</v>
          </cell>
        </row>
        <row r="1258">
          <cell r="AU1258" t="str">
            <v>OT Pay</v>
          </cell>
          <cell r="BH1258">
            <v>312702.53000000003</v>
          </cell>
        </row>
        <row r="1259">
          <cell r="BH1259">
            <v>0</v>
          </cell>
        </row>
        <row r="1260">
          <cell r="BH1260">
            <v>0</v>
          </cell>
        </row>
        <row r="1261">
          <cell r="BH1261">
            <v>0</v>
          </cell>
        </row>
        <row r="1262">
          <cell r="BH1262">
            <v>0</v>
          </cell>
        </row>
        <row r="1263">
          <cell r="BH1263">
            <v>0</v>
          </cell>
        </row>
        <row r="1264">
          <cell r="AU1264" t="str">
            <v>OT Meal Reimbursement</v>
          </cell>
          <cell r="BH1264">
            <v>73800</v>
          </cell>
        </row>
        <row r="1265">
          <cell r="BH1265">
            <v>0</v>
          </cell>
        </row>
        <row r="1266">
          <cell r="BH1266">
            <v>0</v>
          </cell>
        </row>
        <row r="1267">
          <cell r="BH1267">
            <v>4209262.37</v>
          </cell>
        </row>
        <row r="1268">
          <cell r="BH1268">
            <v>177238626.09999996</v>
          </cell>
        </row>
        <row r="1269">
          <cell r="AU1269" t="str">
            <v>GB - Project</v>
          </cell>
          <cell r="BH1269">
            <v>-14083.329999999998</v>
          </cell>
        </row>
        <row r="1270">
          <cell r="AU1270" t="str">
            <v>Gas Allowance</v>
          </cell>
          <cell r="BH1270">
            <v>6821462.3099999996</v>
          </cell>
        </row>
        <row r="1271">
          <cell r="AU1271" t="str">
            <v>OT Meal Reimbursement</v>
          </cell>
          <cell r="BH1271">
            <v>138049</v>
          </cell>
        </row>
        <row r="1272">
          <cell r="BH1272">
            <v>423766.55</v>
          </cell>
        </row>
        <row r="1273">
          <cell r="AU1273" t="str">
            <v>Philhealth</v>
          </cell>
          <cell r="BH1273">
            <v>2965375</v>
          </cell>
        </row>
        <row r="1274">
          <cell r="AU1274" t="str">
            <v>Rice</v>
          </cell>
          <cell r="BH1274">
            <v>60000</v>
          </cell>
        </row>
        <row r="1275">
          <cell r="AU1275" t="str">
            <v>SSS</v>
          </cell>
          <cell r="BH1275">
            <v>6840995</v>
          </cell>
        </row>
        <row r="1276">
          <cell r="AU1276" t="str">
            <v>Uniform</v>
          </cell>
          <cell r="BH1276">
            <v>993000</v>
          </cell>
        </row>
        <row r="1277">
          <cell r="AU1277" t="str">
            <v>Pagibig</v>
          </cell>
          <cell r="BH1277">
            <v>425450</v>
          </cell>
        </row>
        <row r="1278">
          <cell r="BH1278">
            <v>0</v>
          </cell>
        </row>
        <row r="1279">
          <cell r="BH1279">
            <v>0</v>
          </cell>
        </row>
        <row r="1280">
          <cell r="BH1280">
            <v>0</v>
          </cell>
        </row>
        <row r="1281">
          <cell r="BH1281">
            <v>0</v>
          </cell>
        </row>
        <row r="1282">
          <cell r="AU1282" t="str">
            <v>GB - Regular</v>
          </cell>
          <cell r="BH1282">
            <v>42938047.200000003</v>
          </cell>
        </row>
        <row r="1283">
          <cell r="BH1283">
            <v>0</v>
          </cell>
        </row>
        <row r="1284">
          <cell r="BH1284">
            <v>0</v>
          </cell>
        </row>
        <row r="1285">
          <cell r="BH1285">
            <v>0</v>
          </cell>
        </row>
        <row r="1286">
          <cell r="BH1286">
            <v>0</v>
          </cell>
        </row>
        <row r="1287">
          <cell r="BH1287">
            <v>0</v>
          </cell>
        </row>
        <row r="1288">
          <cell r="BH1288">
            <v>0</v>
          </cell>
        </row>
        <row r="1289">
          <cell r="BH1289">
            <v>0</v>
          </cell>
        </row>
        <row r="1290">
          <cell r="BH1290">
            <v>0</v>
          </cell>
        </row>
        <row r="1291">
          <cell r="BH1291">
            <v>0</v>
          </cell>
        </row>
        <row r="1292">
          <cell r="BH1292">
            <v>0</v>
          </cell>
        </row>
        <row r="1293">
          <cell r="BH1293">
            <v>0</v>
          </cell>
        </row>
        <row r="1294">
          <cell r="BH1294">
            <v>0</v>
          </cell>
        </row>
        <row r="1295">
          <cell r="BH1295">
            <v>0</v>
          </cell>
        </row>
        <row r="1296">
          <cell r="BH1296">
            <v>0</v>
          </cell>
        </row>
        <row r="1297">
          <cell r="BH1297">
            <v>0</v>
          </cell>
        </row>
        <row r="1298">
          <cell r="BH1298">
            <v>0</v>
          </cell>
        </row>
        <row r="1299">
          <cell r="BH1299">
            <v>0</v>
          </cell>
        </row>
        <row r="1300">
          <cell r="BH1300">
            <v>0</v>
          </cell>
        </row>
        <row r="1301">
          <cell r="BH1301">
            <v>0</v>
          </cell>
        </row>
        <row r="1302">
          <cell r="BH1302">
            <v>0</v>
          </cell>
        </row>
        <row r="1303">
          <cell r="BH1303">
            <v>0</v>
          </cell>
        </row>
        <row r="1304">
          <cell r="BH1304">
            <v>0</v>
          </cell>
        </row>
        <row r="1305">
          <cell r="BH1305">
            <v>0</v>
          </cell>
        </row>
        <row r="1306">
          <cell r="BH1306">
            <v>0</v>
          </cell>
        </row>
        <row r="1307">
          <cell r="BH1307">
            <v>0</v>
          </cell>
        </row>
        <row r="1308">
          <cell r="BH1308">
            <v>0</v>
          </cell>
        </row>
        <row r="1309">
          <cell r="BH1309">
            <v>0</v>
          </cell>
        </row>
        <row r="1310">
          <cell r="BH1310">
            <v>0</v>
          </cell>
        </row>
        <row r="1311">
          <cell r="BH1311">
            <v>0</v>
          </cell>
        </row>
        <row r="1312">
          <cell r="BH1312">
            <v>0</v>
          </cell>
        </row>
        <row r="1313">
          <cell r="BH1313">
            <v>0</v>
          </cell>
        </row>
        <row r="1314">
          <cell r="BH1314">
            <v>0</v>
          </cell>
        </row>
        <row r="1315">
          <cell r="BH1315">
            <v>0</v>
          </cell>
        </row>
        <row r="1316">
          <cell r="BH1316">
            <v>0</v>
          </cell>
        </row>
        <row r="1317">
          <cell r="BH1317">
            <v>0</v>
          </cell>
        </row>
        <row r="1318">
          <cell r="BH1318">
            <v>0</v>
          </cell>
        </row>
        <row r="1319">
          <cell r="BH1319">
            <v>0</v>
          </cell>
        </row>
        <row r="1320">
          <cell r="BH1320">
            <v>0</v>
          </cell>
        </row>
        <row r="1321">
          <cell r="BH1321">
            <v>0</v>
          </cell>
        </row>
        <row r="1322">
          <cell r="BH1322">
            <v>0</v>
          </cell>
        </row>
        <row r="1323">
          <cell r="BH1323">
            <v>0</v>
          </cell>
        </row>
        <row r="1324">
          <cell r="BH1324">
            <v>0</v>
          </cell>
        </row>
        <row r="1325">
          <cell r="BH1325">
            <v>0</v>
          </cell>
        </row>
        <row r="1326">
          <cell r="BH1326">
            <v>0</v>
          </cell>
        </row>
        <row r="1327">
          <cell r="BH1327">
            <v>0</v>
          </cell>
        </row>
        <row r="1328">
          <cell r="BH1328">
            <v>0</v>
          </cell>
        </row>
        <row r="1329">
          <cell r="BH1329">
            <v>0</v>
          </cell>
        </row>
        <row r="1330">
          <cell r="BH1330">
            <v>0</v>
          </cell>
        </row>
        <row r="1331">
          <cell r="BH1331">
            <v>0</v>
          </cell>
        </row>
        <row r="1332">
          <cell r="BH1332">
            <v>0</v>
          </cell>
        </row>
        <row r="1333">
          <cell r="BH1333">
            <v>0</v>
          </cell>
        </row>
        <row r="1334">
          <cell r="BH1334">
            <v>0</v>
          </cell>
        </row>
        <row r="1335">
          <cell r="BH1335">
            <v>0</v>
          </cell>
        </row>
        <row r="1336">
          <cell r="BH1336">
            <v>0</v>
          </cell>
        </row>
        <row r="1337">
          <cell r="BH1337">
            <v>0</v>
          </cell>
        </row>
        <row r="1338">
          <cell r="BH1338">
            <v>0</v>
          </cell>
        </row>
        <row r="1339">
          <cell r="BH1339">
            <v>0</v>
          </cell>
        </row>
        <row r="1340">
          <cell r="BH1340">
            <v>0</v>
          </cell>
        </row>
        <row r="1341">
          <cell r="BH1341">
            <v>0</v>
          </cell>
        </row>
        <row r="1342">
          <cell r="BH1342">
            <v>0</v>
          </cell>
        </row>
        <row r="1343">
          <cell r="BH1343">
            <v>0</v>
          </cell>
        </row>
        <row r="1344">
          <cell r="BH1344">
            <v>0</v>
          </cell>
        </row>
        <row r="1345">
          <cell r="BH1345">
            <v>0</v>
          </cell>
        </row>
        <row r="1346">
          <cell r="BH1346">
            <v>0</v>
          </cell>
        </row>
        <row r="1347">
          <cell r="BH1347">
            <v>0</v>
          </cell>
        </row>
        <row r="1348">
          <cell r="BH1348">
            <v>0</v>
          </cell>
        </row>
        <row r="1349">
          <cell r="BH1349">
            <v>0</v>
          </cell>
        </row>
        <row r="1350">
          <cell r="BH1350">
            <v>0</v>
          </cell>
        </row>
        <row r="1351">
          <cell r="BH1351">
            <v>0</v>
          </cell>
        </row>
        <row r="1352">
          <cell r="BH1352">
            <v>0</v>
          </cell>
        </row>
        <row r="1353">
          <cell r="BH1353">
            <v>0</v>
          </cell>
        </row>
        <row r="1354">
          <cell r="BH1354">
            <v>0</v>
          </cell>
        </row>
        <row r="1355">
          <cell r="BH1355">
            <v>0</v>
          </cell>
        </row>
        <row r="1356">
          <cell r="BH1356">
            <v>0</v>
          </cell>
        </row>
        <row r="1357">
          <cell r="AU1357" t="str">
            <v>CMC</v>
          </cell>
          <cell r="BH1357">
            <v>349560</v>
          </cell>
        </row>
        <row r="1358">
          <cell r="BH1358">
            <v>0</v>
          </cell>
        </row>
        <row r="1359">
          <cell r="BH1359">
            <v>0</v>
          </cell>
        </row>
        <row r="1360">
          <cell r="BH1360">
            <v>0</v>
          </cell>
        </row>
        <row r="1361">
          <cell r="BH1361">
            <v>0</v>
          </cell>
        </row>
        <row r="1362">
          <cell r="BH1362">
            <v>0</v>
          </cell>
        </row>
        <row r="1363">
          <cell r="BH1363">
            <v>0</v>
          </cell>
        </row>
        <row r="1364">
          <cell r="BH1364">
            <v>0</v>
          </cell>
        </row>
        <row r="1365">
          <cell r="BH1365">
            <v>0</v>
          </cell>
        </row>
        <row r="1366">
          <cell r="BH1366">
            <v>0</v>
          </cell>
        </row>
        <row r="1367">
          <cell r="BH1367">
            <v>0</v>
          </cell>
        </row>
        <row r="1368">
          <cell r="BH1368">
            <v>0</v>
          </cell>
        </row>
        <row r="1369">
          <cell r="BH1369">
            <v>0</v>
          </cell>
        </row>
        <row r="1370">
          <cell r="BH1370">
            <v>0</v>
          </cell>
        </row>
        <row r="1371">
          <cell r="BH1371">
            <v>0</v>
          </cell>
        </row>
        <row r="1372">
          <cell r="AU1372" t="str">
            <v>Accident Insurance</v>
          </cell>
          <cell r="BH1372">
            <v>16889.63</v>
          </cell>
        </row>
        <row r="1373">
          <cell r="AU1373" t="str">
            <v>Medical Exam</v>
          </cell>
          <cell r="BH1373">
            <v>9477.0799999999981</v>
          </cell>
        </row>
        <row r="1374">
          <cell r="BH1374">
            <v>0</v>
          </cell>
        </row>
        <row r="1375">
          <cell r="AU1375" t="str">
            <v>HMO</v>
          </cell>
          <cell r="BH1375">
            <v>5377098.2800000003</v>
          </cell>
        </row>
        <row r="1376">
          <cell r="AU1376" t="str">
            <v>HMO</v>
          </cell>
          <cell r="BH1376">
            <v>1034841.6</v>
          </cell>
        </row>
        <row r="1377">
          <cell r="AU1377" t="str">
            <v>HMO</v>
          </cell>
          <cell r="BH1377">
            <v>9238607.7000000011</v>
          </cell>
        </row>
        <row r="1378">
          <cell r="AU1378" t="str">
            <v>HMO</v>
          </cell>
          <cell r="BH1378">
            <v>0</v>
          </cell>
        </row>
        <row r="1379">
          <cell r="AU1379" t="str">
            <v>HMO</v>
          </cell>
          <cell r="BH1379">
            <v>0</v>
          </cell>
        </row>
        <row r="1380">
          <cell r="AU1380" t="str">
            <v>HMO</v>
          </cell>
          <cell r="BH1380">
            <v>0</v>
          </cell>
        </row>
        <row r="1381">
          <cell r="AU1381" t="str">
            <v>Life Insurance</v>
          </cell>
          <cell r="BH1381">
            <v>78475.929999999993</v>
          </cell>
        </row>
        <row r="1382">
          <cell r="AU1382" t="str">
            <v>Life Insurance</v>
          </cell>
          <cell r="BH1382">
            <v>7191.86</v>
          </cell>
        </row>
        <row r="1383">
          <cell r="AU1383" t="str">
            <v>Life Insurance</v>
          </cell>
          <cell r="BH1383">
            <v>292248.81</v>
          </cell>
        </row>
        <row r="1384">
          <cell r="AU1384" t="str">
            <v>Medical Allowance</v>
          </cell>
          <cell r="BH1384">
            <v>1980694.46</v>
          </cell>
        </row>
        <row r="1385">
          <cell r="AU1385" t="str">
            <v>Medical Allowance</v>
          </cell>
          <cell r="BH1385">
            <v>18802.09</v>
          </cell>
        </row>
        <row r="1386">
          <cell r="AU1386" t="str">
            <v>Medical Allowance</v>
          </cell>
          <cell r="BH1386">
            <v>13957.99</v>
          </cell>
        </row>
        <row r="1387">
          <cell r="AU1387" t="str">
            <v>APE</v>
          </cell>
          <cell r="BH1387">
            <v>4146037.14</v>
          </cell>
        </row>
        <row r="1388">
          <cell r="AU1388" t="str">
            <v>Medical Exam</v>
          </cell>
          <cell r="BH1388">
            <v>20862.540000000008</v>
          </cell>
        </row>
        <row r="1389">
          <cell r="BH1389">
            <v>0</v>
          </cell>
        </row>
        <row r="1390">
          <cell r="BH1390">
            <v>0</v>
          </cell>
        </row>
        <row r="1391">
          <cell r="BH1391">
            <v>0</v>
          </cell>
        </row>
        <row r="1392">
          <cell r="BH1392">
            <v>0</v>
          </cell>
        </row>
        <row r="1393">
          <cell r="BH1393">
            <v>0</v>
          </cell>
        </row>
        <row r="1394">
          <cell r="BH1394">
            <v>0</v>
          </cell>
        </row>
        <row r="1395">
          <cell r="BH1395">
            <v>0</v>
          </cell>
        </row>
        <row r="1396">
          <cell r="BH1396">
            <v>0</v>
          </cell>
        </row>
        <row r="1397">
          <cell r="BH1397">
            <v>0</v>
          </cell>
        </row>
        <row r="1398">
          <cell r="BH1398">
            <v>0</v>
          </cell>
        </row>
        <row r="1399">
          <cell r="BH1399">
            <v>0</v>
          </cell>
        </row>
        <row r="1400">
          <cell r="BH1400">
            <v>0</v>
          </cell>
        </row>
        <row r="1401">
          <cell r="AU1401" t="str">
            <v>Notarization Fee</v>
          </cell>
          <cell r="BH1401">
            <v>49150</v>
          </cell>
        </row>
        <row r="1402">
          <cell r="BH1402">
            <v>54000</v>
          </cell>
        </row>
        <row r="1403">
          <cell r="BH1403">
            <v>0</v>
          </cell>
        </row>
        <row r="1404">
          <cell r="AU1404" t="str">
            <v>Procurement</v>
          </cell>
          <cell r="BH1404">
            <v>17020</v>
          </cell>
        </row>
        <row r="1405">
          <cell r="BH1405">
            <v>0</v>
          </cell>
        </row>
        <row r="1406">
          <cell r="AU1406" t="str">
            <v>DST</v>
          </cell>
          <cell r="BH1406">
            <v>740</v>
          </cell>
        </row>
        <row r="1407">
          <cell r="AU1407" t="str">
            <v>Procurement</v>
          </cell>
          <cell r="BH1407">
            <v>17020</v>
          </cell>
        </row>
        <row r="1408">
          <cell r="BH1408">
            <v>0</v>
          </cell>
        </row>
        <row r="1409">
          <cell r="AU1409" t="str">
            <v>Miscellaneous Expenses</v>
          </cell>
          <cell r="BH1409">
            <v>14643.6</v>
          </cell>
        </row>
        <row r="1410">
          <cell r="BH1410">
            <v>0</v>
          </cell>
        </row>
        <row r="1411">
          <cell r="AU1411" t="str">
            <v>Meeting</v>
          </cell>
          <cell r="BH1411">
            <v>5862.65</v>
          </cell>
        </row>
        <row r="1412">
          <cell r="BH1412">
            <v>0</v>
          </cell>
        </row>
        <row r="1413">
          <cell r="BH1413">
            <v>0</v>
          </cell>
        </row>
        <row r="1414">
          <cell r="BH1414">
            <v>3000</v>
          </cell>
        </row>
        <row r="1415">
          <cell r="BH1415">
            <v>0</v>
          </cell>
        </row>
        <row r="1416">
          <cell r="BH1416">
            <v>0</v>
          </cell>
        </row>
        <row r="1417">
          <cell r="BH1417">
            <v>0</v>
          </cell>
        </row>
        <row r="1418">
          <cell r="BH1418">
            <v>0</v>
          </cell>
        </row>
        <row r="1419">
          <cell r="BH1419">
            <v>0</v>
          </cell>
        </row>
        <row r="1420">
          <cell r="BH1420">
            <v>0</v>
          </cell>
        </row>
        <row r="1421">
          <cell r="BH1421">
            <v>0</v>
          </cell>
        </row>
        <row r="1422">
          <cell r="BH1422">
            <v>25000</v>
          </cell>
        </row>
        <row r="1423">
          <cell r="BH1423">
            <v>5000</v>
          </cell>
        </row>
        <row r="1424">
          <cell r="BH1424">
            <v>0</v>
          </cell>
        </row>
        <row r="1425">
          <cell r="BH1425">
            <v>0</v>
          </cell>
        </row>
        <row r="1426">
          <cell r="AU1426" t="str">
            <v>Lacson &amp; Lacson Health Insurance</v>
          </cell>
          <cell r="BH1426">
            <v>739062.48</v>
          </cell>
        </row>
        <row r="1427">
          <cell r="AU1427" t="str">
            <v>Allowance</v>
          </cell>
          <cell r="BH1427">
            <v>13987.5</v>
          </cell>
        </row>
        <row r="1428">
          <cell r="AU1428"/>
          <cell r="BH1428">
            <v>0</v>
          </cell>
        </row>
        <row r="1429">
          <cell r="AU1429"/>
          <cell r="BH1429">
            <v>0</v>
          </cell>
        </row>
        <row r="1430">
          <cell r="AU1430"/>
          <cell r="BH1430">
            <v>0</v>
          </cell>
        </row>
        <row r="1431">
          <cell r="BH1431">
            <v>1007730.74</v>
          </cell>
        </row>
        <row r="1432">
          <cell r="BH1432">
            <v>0</v>
          </cell>
        </row>
        <row r="1433">
          <cell r="BH1433">
            <v>603179.54</v>
          </cell>
        </row>
        <row r="1434">
          <cell r="BH1434">
            <v>107500</v>
          </cell>
        </row>
        <row r="1435">
          <cell r="BH1435">
            <v>49500</v>
          </cell>
        </row>
        <row r="1436">
          <cell r="BH1436">
            <v>38466.19</v>
          </cell>
        </row>
        <row r="1437">
          <cell r="BH1437">
            <v>0</v>
          </cell>
        </row>
        <row r="1438">
          <cell r="BH1438">
            <v>0</v>
          </cell>
        </row>
        <row r="1439">
          <cell r="BH1439">
            <v>0</v>
          </cell>
        </row>
        <row r="1441">
          <cell r="AU1441" t="str">
            <v>Others</v>
          </cell>
          <cell r="BH1441">
            <v>29892.839999999997</v>
          </cell>
        </row>
        <row r="1442">
          <cell r="AU1442" t="str">
            <v>Ortigas Land Signage</v>
          </cell>
          <cell r="BH1442">
            <v>-297.60999999998603</v>
          </cell>
        </row>
        <row r="1443">
          <cell r="AU1443" t="str">
            <v>Storage Device</v>
          </cell>
          <cell r="BH1443">
            <v>300</v>
          </cell>
        </row>
        <row r="1444">
          <cell r="AU1444" t="str">
            <v>New Hire TIN</v>
          </cell>
          <cell r="BH1444">
            <v>310</v>
          </cell>
        </row>
        <row r="1445">
          <cell r="AU1445" t="str">
            <v>FBT 2024 4Q</v>
          </cell>
          <cell r="BH1445">
            <v>73298.75</v>
          </cell>
        </row>
        <row r="1446">
          <cell r="AU1446" t="str">
            <v>FBT 2025</v>
          </cell>
          <cell r="BH1446">
            <v>5097624.0600000005</v>
          </cell>
        </row>
        <row r="1447">
          <cell r="AU1447" t="str">
            <v>Insurance MDIA</v>
          </cell>
          <cell r="BH1447">
            <v>392881.49</v>
          </cell>
        </row>
        <row r="1448">
          <cell r="AU1448" t="str">
            <v>Memberships</v>
          </cell>
          <cell r="BH1448">
            <v>0</v>
          </cell>
        </row>
        <row r="1449">
          <cell r="AU1449" t="str">
            <v>Others</v>
          </cell>
          <cell r="BH1449">
            <v>16402.5</v>
          </cell>
        </row>
        <row r="1450">
          <cell r="AU1450" t="str">
            <v>Others (LY)</v>
          </cell>
          <cell r="BH1450">
            <v>2085.92</v>
          </cell>
        </row>
        <row r="1451">
          <cell r="AU1451" t="str">
            <v>PRC</v>
          </cell>
          <cell r="BH1451">
            <v>0</v>
          </cell>
        </row>
        <row r="1452">
          <cell r="AU1452" t="str">
            <v>Mobile</v>
          </cell>
          <cell r="BH1452">
            <v>11402.470000000001</v>
          </cell>
        </row>
        <row r="1453">
          <cell r="AU1453" t="str">
            <v>Calendar</v>
          </cell>
          <cell r="BH1453">
            <v>35140.5</v>
          </cell>
        </row>
        <row r="1454">
          <cell r="AU1454" t="str">
            <v>Media Monitoring Services 2025</v>
          </cell>
          <cell r="BH1454">
            <v>360000</v>
          </cell>
        </row>
        <row r="1455">
          <cell r="AU1455" t="str">
            <v>Social Listening Services</v>
          </cell>
          <cell r="BH1455">
            <v>525000</v>
          </cell>
        </row>
        <row r="1456">
          <cell r="AU1456" t="str">
            <v>Zamora Cup</v>
          </cell>
          <cell r="BH1456">
            <v>50000</v>
          </cell>
        </row>
        <row r="1457">
          <cell r="AU1457" t="str">
            <v>Others</v>
          </cell>
          <cell r="BH1457">
            <v>400</v>
          </cell>
        </row>
        <row r="1458">
          <cell r="AU1458" t="str">
            <v>Canva</v>
          </cell>
          <cell r="BH1458">
            <v>15028.8</v>
          </cell>
        </row>
        <row r="1459">
          <cell r="BH1459">
            <v>9000</v>
          </cell>
        </row>
        <row r="1460">
          <cell r="BH1460">
            <v>1201.9000000000001</v>
          </cell>
        </row>
        <row r="1461">
          <cell r="BH1461">
            <v>116061.12</v>
          </cell>
        </row>
        <row r="1462">
          <cell r="BH1462">
            <v>95</v>
          </cell>
        </row>
        <row r="1463">
          <cell r="BH1463">
            <v>500</v>
          </cell>
        </row>
        <row r="1464">
          <cell r="BH1464">
            <v>99</v>
          </cell>
        </row>
        <row r="1465">
          <cell r="BH1465">
            <v>5078.08</v>
          </cell>
        </row>
        <row r="1466">
          <cell r="BH1466">
            <v>260</v>
          </cell>
        </row>
        <row r="1467">
          <cell r="BH1467">
            <v>160</v>
          </cell>
        </row>
        <row r="1468">
          <cell r="BH1468">
            <v>100</v>
          </cell>
        </row>
        <row r="1469">
          <cell r="BH1469">
            <v>32</v>
          </cell>
        </row>
        <row r="1470">
          <cell r="BH1470">
            <v>1287.8800000000001</v>
          </cell>
        </row>
        <row r="1471">
          <cell r="BH1471">
            <v>773.35</v>
          </cell>
        </row>
        <row r="1472">
          <cell r="AU1472" t="str">
            <v>Subscription</v>
          </cell>
          <cell r="BH1472">
            <v>36000</v>
          </cell>
        </row>
        <row r="1473">
          <cell r="BH1473">
            <v>1196.18</v>
          </cell>
        </row>
        <row r="1474">
          <cell r="AU1474" t="str">
            <v>Employee Engagement</v>
          </cell>
          <cell r="BH1474">
            <v>46748.62</v>
          </cell>
        </row>
        <row r="1475">
          <cell r="AU1475" t="str">
            <v>Property Appraisal</v>
          </cell>
          <cell r="BH1475">
            <v>160714.29</v>
          </cell>
        </row>
        <row r="1476">
          <cell r="AU1476" t="str">
            <v>Manual Invoice and Receipts</v>
          </cell>
          <cell r="BH1476">
            <v>15200</v>
          </cell>
        </row>
        <row r="1477">
          <cell r="AU1477" t="str">
            <v>Sharepoint</v>
          </cell>
          <cell r="BH1477">
            <v>537600</v>
          </cell>
        </row>
        <row r="1478">
          <cell r="AU1478" t="str">
            <v>SSD</v>
          </cell>
          <cell r="BH1478">
            <v>10267.86</v>
          </cell>
        </row>
        <row r="1479">
          <cell r="AU1479" t="str">
            <v>M&amp;E Appraisal</v>
          </cell>
          <cell r="BH1479">
            <v>312500</v>
          </cell>
        </row>
        <row r="1480">
          <cell r="AU1480" t="str">
            <v>Property Appraisal</v>
          </cell>
          <cell r="BH1480">
            <v>-232142.85</v>
          </cell>
        </row>
        <row r="1481">
          <cell r="AU1481" t="str">
            <v>Ortigas Land Anniversary Ads</v>
          </cell>
          <cell r="BH1481">
            <v>360000</v>
          </cell>
        </row>
        <row r="1482">
          <cell r="AU1482" t="str">
            <v>2024 Christmas Party Accrual Reversal</v>
          </cell>
          <cell r="BH1482">
            <v>-137167.72</v>
          </cell>
        </row>
        <row r="1483">
          <cell r="AU1483" t="str">
            <v>Autodesk</v>
          </cell>
          <cell r="BH1483">
            <v>25089.29</v>
          </cell>
        </row>
        <row r="1484">
          <cell r="AU1484" t="str">
            <v>AI</v>
          </cell>
          <cell r="BH1484">
            <v>64344.899999999994</v>
          </cell>
        </row>
        <row r="1485">
          <cell r="AU1485" t="str">
            <v>Sponsorship</v>
          </cell>
          <cell r="BH1485">
            <v>62500</v>
          </cell>
        </row>
        <row r="1486">
          <cell r="AU1486" t="str">
            <v>Proximity Cards</v>
          </cell>
          <cell r="BH1486">
            <v>4687.5</v>
          </cell>
        </row>
        <row r="1487">
          <cell r="AU1487" t="str">
            <v>Company Lanyard and ID Case</v>
          </cell>
          <cell r="BH1487">
            <v>1339.29</v>
          </cell>
        </row>
        <row r="1488">
          <cell r="AU1488" t="str">
            <v>Amazon Web Services???</v>
          </cell>
          <cell r="BH1488">
            <v>0</v>
          </cell>
        </row>
        <row r="1489">
          <cell r="AU1489" t="str">
            <v>Office365 Azure</v>
          </cell>
          <cell r="BH1489">
            <v>60000</v>
          </cell>
        </row>
        <row r="1490">
          <cell r="AU1490" t="str">
            <v>TCT</v>
          </cell>
          <cell r="BH1490">
            <v>673.35</v>
          </cell>
        </row>
        <row r="1491">
          <cell r="AU1491" t="str">
            <v>AOI</v>
          </cell>
          <cell r="BH1491">
            <v>50</v>
          </cell>
        </row>
        <row r="1492">
          <cell r="AU1492" t="str">
            <v>Meeting</v>
          </cell>
          <cell r="BH1492">
            <v>20468.77</v>
          </cell>
        </row>
        <row r="1493">
          <cell r="AU1493" t="str">
            <v>Meeting</v>
          </cell>
          <cell r="BH1493">
            <v>150</v>
          </cell>
        </row>
        <row r="1494">
          <cell r="AU1494" t="str">
            <v>Meeting</v>
          </cell>
          <cell r="BH1494">
            <v>279</v>
          </cell>
        </row>
        <row r="1495">
          <cell r="AU1495" t="str">
            <v>Stevie Awards</v>
          </cell>
          <cell r="BH1495">
            <v>34744</v>
          </cell>
        </row>
        <row r="1496">
          <cell r="BH1496">
            <v>23000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incess Vera P. Jumalon" id="{A921890F-D2E6-465A-97D3-9811B447BF29}" userId="S::jumalonpvp@ortigas.com.ph::a1933eb8-e23b-489b-9c9b-eba5616942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11" dT="2025-11-25T02:15:23.76" personId="{A921890F-D2E6-465A-97D3-9811B447BF29}" id="{9A90AD5D-26F3-4285-B674-9052C958E197}">
    <text>marketing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4C59-A0A8-45DC-BDCD-F22DF35019B4}">
  <dimension ref="A1:P393"/>
  <sheetViews>
    <sheetView zoomScale="60" zoomScaleNormal="60" workbookViewId="0">
      <selection activeCell="E2" sqref="E2"/>
    </sheetView>
  </sheetViews>
  <sheetFormatPr defaultRowHeight="14.5" outlineLevelCol="1" x14ac:dyDescent="0.35"/>
  <cols>
    <col min="1" max="1" width="11.453125" bestFit="1" customWidth="1"/>
    <col min="2" max="2" width="23.08984375" customWidth="1"/>
    <col min="3" max="3" width="25.90625" customWidth="1"/>
    <col min="4" max="4" width="10.7265625" bestFit="1" customWidth="1"/>
    <col min="5" max="5" width="11" bestFit="1" customWidth="1"/>
    <col min="6" max="6" width="23.453125" customWidth="1"/>
    <col min="7" max="14" width="16.6328125" bestFit="1" customWidth="1" outlineLevel="1"/>
    <col min="15" max="15" width="22.81640625" bestFit="1" customWidth="1"/>
    <col min="16" max="16" width="27.08984375" bestFit="1" customWidth="1"/>
  </cols>
  <sheetData>
    <row r="1" spans="1:16" x14ac:dyDescent="0.35">
      <c r="G1" s="8">
        <f>SUBTOTAL(9,G3:G1048576)</f>
        <v>42686407.510000005</v>
      </c>
      <c r="H1" s="8">
        <f t="shared" ref="H1:P1" si="0">SUBTOTAL(9,H3:H1048576)</f>
        <v>47341575.950000003</v>
      </c>
      <c r="I1" s="8">
        <f t="shared" si="0"/>
        <v>44101026.559999995</v>
      </c>
      <c r="J1" s="8">
        <f t="shared" si="0"/>
        <v>65800948.899999999</v>
      </c>
      <c r="K1" s="8">
        <f t="shared" si="0"/>
        <v>45068045.019999988</v>
      </c>
      <c r="L1" s="8">
        <f t="shared" si="0"/>
        <v>50799271.030000001</v>
      </c>
      <c r="M1" s="8">
        <f t="shared" si="0"/>
        <v>45694262.020000003</v>
      </c>
      <c r="N1" s="8">
        <f t="shared" si="0"/>
        <v>0</v>
      </c>
      <c r="O1" s="8">
        <f t="shared" si="0"/>
        <v>341491536.98999995</v>
      </c>
      <c r="P1" s="8">
        <f t="shared" si="0"/>
        <v>-341491536.98999995</v>
      </c>
    </row>
    <row r="2" spans="1:16" x14ac:dyDescent="0.35">
      <c r="A2" s="1" t="s">
        <v>227</v>
      </c>
      <c r="B2" s="1" t="s">
        <v>0</v>
      </c>
      <c r="C2" s="1" t="s">
        <v>1</v>
      </c>
      <c r="D2" s="1" t="s">
        <v>228</v>
      </c>
      <c r="E2" s="1" t="s">
        <v>229</v>
      </c>
      <c r="F2" s="1" t="s">
        <v>230</v>
      </c>
      <c r="G2" s="1" t="s">
        <v>220</v>
      </c>
      <c r="H2" s="1" t="s">
        <v>221</v>
      </c>
      <c r="I2" s="1" t="s">
        <v>222</v>
      </c>
      <c r="J2" s="1" t="s">
        <v>223</v>
      </c>
      <c r="K2" s="1" t="s">
        <v>224</v>
      </c>
      <c r="L2" s="1" t="s">
        <v>225</v>
      </c>
      <c r="M2" s="1" t="s">
        <v>226</v>
      </c>
      <c r="N2" s="1" t="s">
        <v>232</v>
      </c>
      <c r="O2" s="1" t="s">
        <v>231</v>
      </c>
      <c r="P2" s="1" t="s">
        <v>233</v>
      </c>
    </row>
    <row r="3" spans="1:16" x14ac:dyDescent="0.35">
      <c r="B3" t="s">
        <v>2</v>
      </c>
      <c r="C3" s="2" t="s">
        <v>2</v>
      </c>
      <c r="D3">
        <v>80123102</v>
      </c>
      <c r="E3">
        <v>61041101</v>
      </c>
      <c r="G3" s="5">
        <v>175386.96</v>
      </c>
      <c r="H3" s="5">
        <v>142443.14000000001</v>
      </c>
      <c r="I3" s="5">
        <v>156890.70000000001</v>
      </c>
      <c r="J3" s="5">
        <v>159280.65</v>
      </c>
      <c r="K3" s="5">
        <v>235666.05</v>
      </c>
      <c r="L3" s="5">
        <v>300879.45</v>
      </c>
      <c r="M3" s="5">
        <v>281486.09999999998</v>
      </c>
      <c r="N3" s="6"/>
      <c r="O3" s="6">
        <f>SUM(G3:N3)</f>
        <v>1452033.0499999998</v>
      </c>
      <c r="P3" s="6">
        <f>F3-O3</f>
        <v>-1452033.0499999998</v>
      </c>
    </row>
    <row r="4" spans="1:16" x14ac:dyDescent="0.35">
      <c r="B4" t="s">
        <v>3</v>
      </c>
      <c r="C4" s="2" t="s">
        <v>4</v>
      </c>
      <c r="D4" s="2">
        <v>81123102</v>
      </c>
      <c r="E4" s="2">
        <v>52111101</v>
      </c>
      <c r="F4" s="2"/>
      <c r="G4" s="5">
        <v>0</v>
      </c>
      <c r="H4" s="5">
        <v>33392.86</v>
      </c>
      <c r="I4" s="5">
        <v>126250.00000000003</v>
      </c>
      <c r="J4" s="5">
        <v>89897.299999999988</v>
      </c>
      <c r="K4" s="5">
        <v>37946.43</v>
      </c>
      <c r="L4" s="5">
        <v>5000</v>
      </c>
      <c r="M4" s="5">
        <v>147232.15</v>
      </c>
      <c r="N4" s="6"/>
      <c r="O4" s="6">
        <f t="shared" ref="O4:O67" si="1">SUM(G4:N4)</f>
        <v>439718.74</v>
      </c>
      <c r="P4" s="6">
        <f t="shared" ref="P4:P67" si="2">F4-O4</f>
        <v>-439718.74</v>
      </c>
    </row>
    <row r="5" spans="1:16" x14ac:dyDescent="0.35">
      <c r="B5" t="s">
        <v>5</v>
      </c>
      <c r="C5" s="2" t="s">
        <v>6</v>
      </c>
      <c r="D5">
        <v>80123102</v>
      </c>
      <c r="E5">
        <v>61111101</v>
      </c>
      <c r="G5" s="5">
        <v>0</v>
      </c>
      <c r="H5" s="5">
        <v>6455.36</v>
      </c>
      <c r="I5" s="5">
        <v>120</v>
      </c>
      <c r="J5" s="5">
        <v>0</v>
      </c>
      <c r="K5" s="5">
        <v>400</v>
      </c>
      <c r="L5" s="5">
        <v>522</v>
      </c>
      <c r="M5" s="5">
        <v>3125</v>
      </c>
      <c r="N5" s="6"/>
      <c r="O5" s="6">
        <f t="shared" si="1"/>
        <v>10622.36</v>
      </c>
      <c r="P5" s="6">
        <f t="shared" si="2"/>
        <v>-10622.36</v>
      </c>
    </row>
    <row r="6" spans="1:16" x14ac:dyDescent="0.35">
      <c r="B6" t="s">
        <v>7</v>
      </c>
      <c r="C6" s="2" t="s">
        <v>6</v>
      </c>
      <c r="D6" s="2">
        <v>81123102</v>
      </c>
      <c r="E6" s="2">
        <v>52111101</v>
      </c>
      <c r="F6" s="2"/>
      <c r="G6" s="5">
        <v>0</v>
      </c>
      <c r="H6" s="5">
        <v>117689.73</v>
      </c>
      <c r="I6" s="5">
        <v>107517.47000000006</v>
      </c>
      <c r="J6" s="5">
        <v>62112.43</v>
      </c>
      <c r="K6" s="5">
        <v>55074.650000000009</v>
      </c>
      <c r="L6" s="5">
        <v>151002.12</v>
      </c>
      <c r="M6" s="5">
        <v>49534.86</v>
      </c>
      <c r="N6" s="6"/>
      <c r="O6" s="6">
        <f t="shared" si="1"/>
        <v>542931.26000000013</v>
      </c>
      <c r="P6" s="6">
        <f t="shared" si="2"/>
        <v>-542931.26000000013</v>
      </c>
    </row>
    <row r="7" spans="1:16" x14ac:dyDescent="0.35">
      <c r="B7" t="s">
        <v>8</v>
      </c>
      <c r="C7" s="2" t="s">
        <v>9</v>
      </c>
      <c r="D7" s="2">
        <v>81123102</v>
      </c>
      <c r="E7" s="2">
        <v>52111102</v>
      </c>
      <c r="F7" s="2"/>
      <c r="G7" s="5">
        <v>8916.9599999999991</v>
      </c>
      <c r="H7" s="5">
        <v>0</v>
      </c>
      <c r="I7" s="5">
        <v>0</v>
      </c>
      <c r="J7" s="5">
        <v>0</v>
      </c>
      <c r="K7" s="5">
        <v>1798</v>
      </c>
      <c r="L7" s="5">
        <v>0</v>
      </c>
      <c r="M7" s="5">
        <v>0</v>
      </c>
      <c r="N7" s="6"/>
      <c r="O7" s="6">
        <f t="shared" si="1"/>
        <v>10714.96</v>
      </c>
      <c r="P7" s="6">
        <f t="shared" si="2"/>
        <v>-10714.96</v>
      </c>
    </row>
    <row r="8" spans="1:16" x14ac:dyDescent="0.35">
      <c r="B8" t="s">
        <v>10</v>
      </c>
      <c r="C8" s="2" t="s">
        <v>11</v>
      </c>
      <c r="D8">
        <v>80123102</v>
      </c>
      <c r="E8">
        <v>61111201</v>
      </c>
      <c r="G8" s="5">
        <v>48012.45</v>
      </c>
      <c r="H8" s="5">
        <v>77544.69</v>
      </c>
      <c r="I8" s="5">
        <v>102713.66</v>
      </c>
      <c r="J8" s="5">
        <v>103946.2</v>
      </c>
      <c r="K8" s="5">
        <v>118138.21</v>
      </c>
      <c r="L8" s="5">
        <v>66950.689999999988</v>
      </c>
      <c r="M8" s="5">
        <v>83494.149999999994</v>
      </c>
      <c r="N8" s="6"/>
      <c r="O8" s="6">
        <f t="shared" si="1"/>
        <v>600800.05000000005</v>
      </c>
      <c r="P8" s="6">
        <f t="shared" si="2"/>
        <v>-600800.05000000005</v>
      </c>
    </row>
    <row r="9" spans="1:16" x14ac:dyDescent="0.35">
      <c r="B9" t="s">
        <v>10</v>
      </c>
      <c r="C9" s="2" t="s">
        <v>12</v>
      </c>
      <c r="D9" s="2">
        <v>81123102</v>
      </c>
      <c r="E9" s="2">
        <v>52119101</v>
      </c>
      <c r="F9" s="2"/>
      <c r="G9" s="5">
        <v>0</v>
      </c>
      <c r="H9" s="5">
        <v>0</v>
      </c>
      <c r="I9" s="5">
        <v>0</v>
      </c>
      <c r="J9" s="5">
        <v>6606.96</v>
      </c>
      <c r="K9" s="5">
        <v>14250.56</v>
      </c>
      <c r="L9" s="5">
        <v>8190</v>
      </c>
      <c r="M9" s="5">
        <v>10181</v>
      </c>
      <c r="N9" s="6"/>
      <c r="O9" s="6">
        <f t="shared" si="1"/>
        <v>39228.520000000004</v>
      </c>
      <c r="P9" s="6">
        <f t="shared" si="2"/>
        <v>-39228.520000000004</v>
      </c>
    </row>
    <row r="10" spans="1:16" x14ac:dyDescent="0.35">
      <c r="B10" t="s">
        <v>13</v>
      </c>
      <c r="C10" s="2" t="s">
        <v>14</v>
      </c>
      <c r="D10">
        <v>81221201</v>
      </c>
      <c r="E10">
        <v>61111101</v>
      </c>
      <c r="G10" s="5">
        <v>20914.28</v>
      </c>
      <c r="H10" s="5">
        <v>0</v>
      </c>
      <c r="I10" s="5">
        <v>0</v>
      </c>
      <c r="J10" s="5">
        <v>0</v>
      </c>
      <c r="K10" s="5">
        <v>15445.169999999998</v>
      </c>
      <c r="L10" s="5">
        <v>0</v>
      </c>
      <c r="M10" s="5">
        <v>0</v>
      </c>
      <c r="N10" s="6"/>
      <c r="O10" s="6">
        <f t="shared" si="1"/>
        <v>36359.449999999997</v>
      </c>
      <c r="P10" s="6">
        <f t="shared" si="2"/>
        <v>-36359.449999999997</v>
      </c>
    </row>
    <row r="11" spans="1:16" x14ac:dyDescent="0.35">
      <c r="B11" t="s">
        <v>7</v>
      </c>
      <c r="C11" s="2" t="s">
        <v>6</v>
      </c>
      <c r="D11">
        <v>81221201</v>
      </c>
      <c r="E11">
        <v>61111101</v>
      </c>
      <c r="G11" s="5"/>
      <c r="H11" s="5"/>
      <c r="I11" s="5"/>
      <c r="J11" s="5"/>
      <c r="K11" s="5"/>
      <c r="L11" s="5"/>
      <c r="M11" s="5">
        <v>-566.15000000000271</v>
      </c>
      <c r="N11" s="6"/>
      <c r="O11" s="6">
        <f t="shared" si="1"/>
        <v>-566.15000000000271</v>
      </c>
      <c r="P11" s="6">
        <f t="shared" si="2"/>
        <v>566.15000000000271</v>
      </c>
    </row>
    <row r="12" spans="1:16" x14ac:dyDescent="0.35">
      <c r="B12" t="s">
        <v>13</v>
      </c>
      <c r="C12" s="2" t="s">
        <v>14</v>
      </c>
      <c r="D12" s="2">
        <v>81319101</v>
      </c>
      <c r="E12" s="2">
        <v>52111101</v>
      </c>
      <c r="F12" s="2"/>
      <c r="G12" s="5"/>
      <c r="H12" s="5"/>
      <c r="I12" s="5"/>
      <c r="J12" s="5"/>
      <c r="K12" s="5">
        <v>16071.43</v>
      </c>
      <c r="L12" s="5">
        <v>0</v>
      </c>
      <c r="M12" s="5">
        <v>0</v>
      </c>
      <c r="N12" s="6"/>
      <c r="O12" s="6">
        <f t="shared" si="1"/>
        <v>16071.43</v>
      </c>
      <c r="P12" s="6">
        <f t="shared" si="2"/>
        <v>-16071.43</v>
      </c>
    </row>
    <row r="13" spans="1:16" x14ac:dyDescent="0.35">
      <c r="B13" t="s">
        <v>15</v>
      </c>
      <c r="C13" s="2" t="s">
        <v>16</v>
      </c>
      <c r="D13">
        <v>80123102</v>
      </c>
      <c r="E13">
        <v>61081101</v>
      </c>
      <c r="G13" s="5">
        <v>0</v>
      </c>
      <c r="H13" s="5">
        <v>0</v>
      </c>
      <c r="I13" s="5">
        <v>0</v>
      </c>
      <c r="J13" s="5">
        <v>38725.06</v>
      </c>
      <c r="K13" s="5">
        <v>0</v>
      </c>
      <c r="L13" s="5">
        <v>8400</v>
      </c>
      <c r="M13" s="5">
        <v>0</v>
      </c>
      <c r="N13" s="6"/>
      <c r="O13" s="6">
        <f t="shared" si="1"/>
        <v>47125.06</v>
      </c>
      <c r="P13" s="6">
        <f t="shared" si="2"/>
        <v>-47125.06</v>
      </c>
    </row>
    <row r="14" spans="1:16" x14ac:dyDescent="0.35">
      <c r="B14" t="s">
        <v>17</v>
      </c>
      <c r="C14" s="2" t="s">
        <v>17</v>
      </c>
      <c r="D14">
        <v>80123102</v>
      </c>
      <c r="E14">
        <v>61081101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6"/>
      <c r="O14" s="6">
        <f t="shared" si="1"/>
        <v>0</v>
      </c>
      <c r="P14" s="6">
        <f t="shared" si="2"/>
        <v>0</v>
      </c>
    </row>
    <row r="15" spans="1:16" x14ac:dyDescent="0.35">
      <c r="B15" t="s">
        <v>17</v>
      </c>
      <c r="C15" s="2" t="s">
        <v>17</v>
      </c>
      <c r="D15" s="2">
        <v>81123102</v>
      </c>
      <c r="E15" s="2">
        <v>52081103</v>
      </c>
      <c r="F15" s="2"/>
      <c r="G15" s="5">
        <v>0</v>
      </c>
      <c r="H15" s="5">
        <v>0</v>
      </c>
      <c r="I15" s="5">
        <v>0</v>
      </c>
      <c r="J15" s="5">
        <v>150</v>
      </c>
      <c r="K15" s="5">
        <v>1700</v>
      </c>
      <c r="L15" s="5">
        <v>900</v>
      </c>
      <c r="M15" s="5">
        <v>450</v>
      </c>
      <c r="N15" s="6"/>
      <c r="O15" s="6">
        <f t="shared" si="1"/>
        <v>3200</v>
      </c>
      <c r="P15" s="6">
        <f t="shared" si="2"/>
        <v>-3200</v>
      </c>
    </row>
    <row r="16" spans="1:16" x14ac:dyDescent="0.35">
      <c r="B16" t="s">
        <v>17</v>
      </c>
      <c r="C16" s="2" t="s">
        <v>17</v>
      </c>
      <c r="D16" s="2">
        <v>90111101</v>
      </c>
      <c r="E16" s="2">
        <v>52081103</v>
      </c>
      <c r="F16" s="2"/>
      <c r="G16" s="5">
        <v>0</v>
      </c>
      <c r="H16" s="5">
        <v>0</v>
      </c>
      <c r="I16" s="5">
        <v>0</v>
      </c>
      <c r="J16" s="5">
        <v>8400</v>
      </c>
      <c r="K16" s="5">
        <v>24975</v>
      </c>
      <c r="L16" s="5">
        <v>8550</v>
      </c>
      <c r="M16" s="5">
        <v>6450</v>
      </c>
      <c r="N16" s="6"/>
      <c r="O16" s="6">
        <f t="shared" si="1"/>
        <v>48375</v>
      </c>
      <c r="P16" s="6">
        <f t="shared" si="2"/>
        <v>-48375</v>
      </c>
    </row>
    <row r="17" spans="2:16" x14ac:dyDescent="0.35">
      <c r="B17" t="s">
        <v>15</v>
      </c>
      <c r="C17" s="2" t="s">
        <v>18</v>
      </c>
      <c r="D17">
        <v>81123102</v>
      </c>
      <c r="E17">
        <v>52081101</v>
      </c>
      <c r="G17" s="5">
        <v>1005</v>
      </c>
      <c r="H17" s="5">
        <v>1025</v>
      </c>
      <c r="I17" s="5">
        <v>1110</v>
      </c>
      <c r="J17" s="5">
        <v>810</v>
      </c>
      <c r="K17" s="5">
        <v>1595</v>
      </c>
      <c r="L17" s="5">
        <v>600</v>
      </c>
      <c r="M17" s="5">
        <v>1225</v>
      </c>
      <c r="N17" s="6"/>
      <c r="O17" s="6">
        <f t="shared" si="1"/>
        <v>7370</v>
      </c>
      <c r="P17" s="6">
        <f t="shared" si="2"/>
        <v>-7370</v>
      </c>
    </row>
    <row r="18" spans="2:16" x14ac:dyDescent="0.35">
      <c r="B18" t="s">
        <v>15</v>
      </c>
      <c r="C18" s="2" t="s">
        <v>18</v>
      </c>
      <c r="D18">
        <v>81123102</v>
      </c>
      <c r="E18">
        <v>52081101</v>
      </c>
      <c r="G18" s="5">
        <v>300</v>
      </c>
      <c r="H18" s="5">
        <v>295</v>
      </c>
      <c r="I18" s="5">
        <v>859</v>
      </c>
      <c r="J18" s="5">
        <v>0</v>
      </c>
      <c r="K18" s="5">
        <v>632</v>
      </c>
      <c r="L18" s="5">
        <v>0</v>
      </c>
      <c r="M18" s="5">
        <v>0</v>
      </c>
      <c r="N18" s="6"/>
      <c r="O18" s="6">
        <f t="shared" si="1"/>
        <v>2086</v>
      </c>
      <c r="P18" s="6">
        <f t="shared" si="2"/>
        <v>-2086</v>
      </c>
    </row>
    <row r="19" spans="2:16" x14ac:dyDescent="0.35">
      <c r="B19" t="s">
        <v>15</v>
      </c>
      <c r="C19" s="2" t="s">
        <v>16</v>
      </c>
      <c r="D19">
        <v>81123102</v>
      </c>
      <c r="E19">
        <v>52081101</v>
      </c>
      <c r="G19" s="5">
        <v>44</v>
      </c>
      <c r="H19" s="5">
        <v>0</v>
      </c>
      <c r="I19" s="5">
        <v>0</v>
      </c>
      <c r="J19" s="5">
        <v>0</v>
      </c>
      <c r="K19" s="5">
        <v>2000</v>
      </c>
      <c r="L19" s="5">
        <v>2000</v>
      </c>
      <c r="M19" s="5">
        <v>0</v>
      </c>
      <c r="N19" s="6"/>
      <c r="O19" s="6">
        <f t="shared" si="1"/>
        <v>4044</v>
      </c>
      <c r="P19" s="6">
        <f t="shared" si="2"/>
        <v>-4044</v>
      </c>
    </row>
    <row r="20" spans="2:16" x14ac:dyDescent="0.35">
      <c r="B20" t="s">
        <v>15</v>
      </c>
      <c r="C20" s="2" t="s">
        <v>16</v>
      </c>
      <c r="D20">
        <v>81319101</v>
      </c>
      <c r="E20">
        <v>52081101</v>
      </c>
      <c r="G20" s="5"/>
      <c r="H20" s="5">
        <v>2026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6"/>
      <c r="O20" s="6">
        <f t="shared" si="1"/>
        <v>2026</v>
      </c>
      <c r="P20" s="6">
        <f t="shared" si="2"/>
        <v>-2026</v>
      </c>
    </row>
    <row r="21" spans="2:16" x14ac:dyDescent="0.35">
      <c r="B21" t="s">
        <v>15</v>
      </c>
      <c r="C21" s="2" t="s">
        <v>18</v>
      </c>
      <c r="D21">
        <v>81319101</v>
      </c>
      <c r="E21">
        <v>52081101</v>
      </c>
      <c r="G21" s="5"/>
      <c r="H21" s="5"/>
      <c r="I21" s="5">
        <v>286</v>
      </c>
      <c r="J21" s="5">
        <v>0</v>
      </c>
      <c r="K21" s="5">
        <v>0</v>
      </c>
      <c r="L21" s="5">
        <v>0</v>
      </c>
      <c r="M21" s="5">
        <v>0</v>
      </c>
      <c r="N21" s="6"/>
      <c r="O21" s="6">
        <f t="shared" si="1"/>
        <v>286</v>
      </c>
      <c r="P21" s="6">
        <f t="shared" si="2"/>
        <v>-286</v>
      </c>
    </row>
    <row r="22" spans="2:16" x14ac:dyDescent="0.35">
      <c r="B22" t="s">
        <v>19</v>
      </c>
      <c r="C22" s="2" t="s">
        <v>20</v>
      </c>
      <c r="D22">
        <v>80123102</v>
      </c>
      <c r="E22">
        <v>61061101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6"/>
      <c r="O22" s="6">
        <f t="shared" si="1"/>
        <v>0</v>
      </c>
      <c r="P22" s="6">
        <f t="shared" si="2"/>
        <v>0</v>
      </c>
    </row>
    <row r="23" spans="2:16" x14ac:dyDescent="0.35">
      <c r="B23" t="s">
        <v>19</v>
      </c>
      <c r="C23" s="2" t="s">
        <v>20</v>
      </c>
      <c r="D23" s="2">
        <v>81123102</v>
      </c>
      <c r="E23" s="2">
        <v>52061103</v>
      </c>
      <c r="F23" s="2"/>
      <c r="G23" s="5">
        <v>0</v>
      </c>
      <c r="H23" s="5">
        <v>0</v>
      </c>
      <c r="I23" s="5">
        <v>0</v>
      </c>
      <c r="J23" s="5">
        <v>8973.2099999999991</v>
      </c>
      <c r="K23" s="5">
        <v>-7477.6699999999983</v>
      </c>
      <c r="L23" s="5">
        <v>2243.3000000000002</v>
      </c>
      <c r="M23" s="5">
        <v>4486.6099999999997</v>
      </c>
      <c r="N23" s="6"/>
      <c r="O23" s="6">
        <f t="shared" si="1"/>
        <v>8225.4500000000007</v>
      </c>
      <c r="P23" s="6">
        <f t="shared" si="2"/>
        <v>-8225.4500000000007</v>
      </c>
    </row>
    <row r="24" spans="2:16" x14ac:dyDescent="0.35">
      <c r="B24" t="s">
        <v>19</v>
      </c>
      <c r="C24" s="2" t="s">
        <v>21</v>
      </c>
      <c r="D24">
        <v>80123102</v>
      </c>
      <c r="E24">
        <v>61061102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6"/>
      <c r="O24" s="6">
        <f t="shared" si="1"/>
        <v>0</v>
      </c>
      <c r="P24" s="6">
        <f t="shared" si="2"/>
        <v>0</v>
      </c>
    </row>
    <row r="25" spans="2:16" x14ac:dyDescent="0.35">
      <c r="B25" t="s">
        <v>19</v>
      </c>
      <c r="C25" s="2" t="s">
        <v>21</v>
      </c>
      <c r="D25" s="2">
        <v>81123102</v>
      </c>
      <c r="E25" s="2">
        <v>52061103</v>
      </c>
      <c r="F25" s="2"/>
      <c r="G25" s="5">
        <v>0</v>
      </c>
      <c r="H25" s="5">
        <v>0</v>
      </c>
      <c r="I25" s="5">
        <v>0</v>
      </c>
      <c r="J25" s="5">
        <v>61607.14</v>
      </c>
      <c r="K25" s="5">
        <v>428214.28</v>
      </c>
      <c r="L25" s="5">
        <v>8839.2999999999993</v>
      </c>
      <c r="M25" s="5">
        <v>19464.29</v>
      </c>
      <c r="N25" s="6"/>
      <c r="O25" s="6">
        <f t="shared" si="1"/>
        <v>518125.01</v>
      </c>
      <c r="P25" s="6">
        <f t="shared" si="2"/>
        <v>-518125.01</v>
      </c>
    </row>
    <row r="26" spans="2:16" x14ac:dyDescent="0.35">
      <c r="B26" t="s">
        <v>19</v>
      </c>
      <c r="C26" s="2" t="s">
        <v>22</v>
      </c>
      <c r="D26">
        <v>80123102</v>
      </c>
      <c r="E26">
        <v>61031201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6"/>
      <c r="O26" s="6">
        <f t="shared" si="1"/>
        <v>0</v>
      </c>
      <c r="P26" s="6">
        <f t="shared" si="2"/>
        <v>0</v>
      </c>
    </row>
    <row r="27" spans="2:16" x14ac:dyDescent="0.35">
      <c r="B27" t="s">
        <v>19</v>
      </c>
      <c r="C27" s="2" t="s">
        <v>22</v>
      </c>
      <c r="D27">
        <v>81123102</v>
      </c>
      <c r="E27">
        <v>52061111</v>
      </c>
      <c r="G27" s="5">
        <v>960</v>
      </c>
      <c r="H27" s="5">
        <v>70952.2</v>
      </c>
      <c r="I27" s="5">
        <v>229.01</v>
      </c>
      <c r="J27" s="5">
        <v>13490</v>
      </c>
      <c r="K27" s="5">
        <v>12105.72</v>
      </c>
      <c r="L27" s="5">
        <v>13843.210000000003</v>
      </c>
      <c r="M27" s="5">
        <v>91090.76</v>
      </c>
      <c r="N27" s="6"/>
      <c r="O27" s="6">
        <f t="shared" si="1"/>
        <v>202670.9</v>
      </c>
      <c r="P27" s="6">
        <f t="shared" si="2"/>
        <v>-202670.9</v>
      </c>
    </row>
    <row r="28" spans="2:16" x14ac:dyDescent="0.35">
      <c r="B28" t="s">
        <v>19</v>
      </c>
      <c r="C28" s="2" t="s">
        <v>22</v>
      </c>
      <c r="D28" s="2">
        <v>81123102</v>
      </c>
      <c r="E28" s="2">
        <v>61031201</v>
      </c>
      <c r="F28" s="2"/>
      <c r="G28" s="5">
        <v>0</v>
      </c>
      <c r="H28" s="5">
        <v>4017.86</v>
      </c>
      <c r="I28" s="5">
        <v>-4017.86</v>
      </c>
      <c r="J28" s="5">
        <v>0</v>
      </c>
      <c r="K28" s="5">
        <v>0</v>
      </c>
      <c r="L28" s="5">
        <v>4017.86</v>
      </c>
      <c r="M28" s="5">
        <v>0</v>
      </c>
      <c r="N28" s="6"/>
      <c r="O28" s="6">
        <f t="shared" si="1"/>
        <v>4017.86</v>
      </c>
      <c r="P28" s="6">
        <f t="shared" si="2"/>
        <v>-4017.86</v>
      </c>
    </row>
    <row r="29" spans="2:16" x14ac:dyDescent="0.35">
      <c r="B29" t="s">
        <v>19</v>
      </c>
      <c r="C29" s="2" t="s">
        <v>21</v>
      </c>
      <c r="D29" s="2">
        <v>81123102</v>
      </c>
      <c r="E29" s="2">
        <v>52061101</v>
      </c>
      <c r="F29" s="2"/>
      <c r="G29" s="5">
        <v>0</v>
      </c>
      <c r="H29" s="5">
        <v>5000</v>
      </c>
      <c r="I29" s="5">
        <v>0</v>
      </c>
      <c r="J29" s="5">
        <v>0</v>
      </c>
      <c r="K29" s="5">
        <v>15178.57</v>
      </c>
      <c r="L29" s="5">
        <v>0</v>
      </c>
      <c r="M29" s="5">
        <v>12366.07</v>
      </c>
      <c r="N29" s="6"/>
      <c r="O29" s="6">
        <f t="shared" si="1"/>
        <v>32544.639999999999</v>
      </c>
      <c r="P29" s="6">
        <f t="shared" si="2"/>
        <v>-32544.639999999999</v>
      </c>
    </row>
    <row r="30" spans="2:16" x14ac:dyDescent="0.35">
      <c r="B30" t="s">
        <v>19</v>
      </c>
      <c r="C30" s="2" t="s">
        <v>23</v>
      </c>
      <c r="D30">
        <v>80123102</v>
      </c>
      <c r="E30">
        <v>61061104</v>
      </c>
      <c r="G30" s="5">
        <v>0</v>
      </c>
      <c r="H30" s="5">
        <v>0</v>
      </c>
      <c r="I30" s="5">
        <v>-20170.079999999994</v>
      </c>
      <c r="J30" s="5">
        <v>0</v>
      </c>
      <c r="K30" s="5">
        <v>0</v>
      </c>
      <c r="L30" s="5">
        <v>41347.93</v>
      </c>
      <c r="M30" s="5">
        <v>14794.630000000001</v>
      </c>
      <c r="N30" s="6"/>
      <c r="O30" s="6">
        <f t="shared" si="1"/>
        <v>35972.48000000001</v>
      </c>
      <c r="P30" s="6">
        <f t="shared" si="2"/>
        <v>-35972.48000000001</v>
      </c>
    </row>
    <row r="31" spans="2:16" x14ac:dyDescent="0.35">
      <c r="B31" t="s">
        <v>19</v>
      </c>
      <c r="C31" t="s">
        <v>23</v>
      </c>
      <c r="D31">
        <v>80123102</v>
      </c>
      <c r="E31">
        <v>61061104</v>
      </c>
      <c r="G31" s="5">
        <v>5714.29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6"/>
      <c r="O31" s="6">
        <f t="shared" si="1"/>
        <v>5714.29</v>
      </c>
      <c r="P31" s="6">
        <f t="shared" si="2"/>
        <v>-5714.29</v>
      </c>
    </row>
    <row r="32" spans="2:16" x14ac:dyDescent="0.35">
      <c r="B32" t="s">
        <v>19</v>
      </c>
      <c r="C32" t="s">
        <v>23</v>
      </c>
      <c r="D32">
        <v>80123102</v>
      </c>
      <c r="E32">
        <v>61061104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17863.95</v>
      </c>
      <c r="M32" s="5">
        <v>0</v>
      </c>
      <c r="N32" s="6"/>
      <c r="O32" s="6">
        <f t="shared" si="1"/>
        <v>17863.95</v>
      </c>
      <c r="P32" s="6">
        <f t="shared" si="2"/>
        <v>-17863.95</v>
      </c>
    </row>
    <row r="33" spans="2:16" x14ac:dyDescent="0.35">
      <c r="B33" t="s">
        <v>19</v>
      </c>
      <c r="C33" t="s">
        <v>23</v>
      </c>
      <c r="D33">
        <v>80123102</v>
      </c>
      <c r="E33">
        <v>61061104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4464.29</v>
      </c>
      <c r="N33" s="6"/>
      <c r="O33" s="6">
        <f t="shared" si="1"/>
        <v>4464.29</v>
      </c>
      <c r="P33" s="6">
        <f t="shared" si="2"/>
        <v>-4464.29</v>
      </c>
    </row>
    <row r="34" spans="2:16" x14ac:dyDescent="0.35">
      <c r="B34" t="s">
        <v>19</v>
      </c>
      <c r="C34" t="s">
        <v>23</v>
      </c>
      <c r="D34">
        <v>80123102</v>
      </c>
      <c r="E34">
        <v>61061104</v>
      </c>
      <c r="G34" s="5">
        <v>0</v>
      </c>
      <c r="H34" s="5">
        <v>0</v>
      </c>
      <c r="I34" s="5">
        <v>0</v>
      </c>
      <c r="J34" s="5">
        <v>0</v>
      </c>
      <c r="K34" s="5">
        <v>15628.85</v>
      </c>
      <c r="L34" s="5">
        <v>0</v>
      </c>
      <c r="M34" s="5">
        <v>0</v>
      </c>
      <c r="N34" s="6"/>
      <c r="O34" s="6">
        <f t="shared" si="1"/>
        <v>15628.85</v>
      </c>
      <c r="P34" s="6">
        <f t="shared" si="2"/>
        <v>-15628.85</v>
      </c>
    </row>
    <row r="35" spans="2:16" x14ac:dyDescent="0.35">
      <c r="B35" t="s">
        <v>19</v>
      </c>
      <c r="C35" t="s">
        <v>23</v>
      </c>
      <c r="D35">
        <v>80123102</v>
      </c>
      <c r="E35">
        <v>61061104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23278.92</v>
      </c>
      <c r="M35" s="5">
        <v>0</v>
      </c>
      <c r="N35" s="6"/>
      <c r="O35" s="6">
        <f t="shared" si="1"/>
        <v>23278.92</v>
      </c>
      <c r="P35" s="6">
        <f t="shared" si="2"/>
        <v>-23278.92</v>
      </c>
    </row>
    <row r="36" spans="2:16" x14ac:dyDescent="0.35">
      <c r="B36" t="s">
        <v>19</v>
      </c>
      <c r="C36" t="s">
        <v>23</v>
      </c>
      <c r="D36">
        <v>80123102</v>
      </c>
      <c r="E36">
        <v>61061104</v>
      </c>
      <c r="G36" s="5">
        <v>21041.51</v>
      </c>
      <c r="H36" s="5">
        <v>0</v>
      </c>
      <c r="I36" s="5">
        <v>0</v>
      </c>
      <c r="J36" s="5">
        <v>0</v>
      </c>
      <c r="K36" s="5">
        <v>23920.33</v>
      </c>
      <c r="L36" s="5">
        <v>0</v>
      </c>
      <c r="M36" s="5">
        <v>0</v>
      </c>
      <c r="N36" s="6"/>
      <c r="O36" s="6">
        <f t="shared" si="1"/>
        <v>44961.84</v>
      </c>
      <c r="P36" s="6">
        <f t="shared" si="2"/>
        <v>-44961.84</v>
      </c>
    </row>
    <row r="37" spans="2:16" x14ac:dyDescent="0.35">
      <c r="B37" t="s">
        <v>19</v>
      </c>
      <c r="C37" t="s">
        <v>23</v>
      </c>
      <c r="D37">
        <v>80123102</v>
      </c>
      <c r="E37">
        <v>61061104</v>
      </c>
      <c r="G37" s="5">
        <v>0</v>
      </c>
      <c r="H37" s="5">
        <v>0</v>
      </c>
      <c r="I37" s="5">
        <v>13704.02</v>
      </c>
      <c r="J37" s="5">
        <v>0</v>
      </c>
      <c r="K37" s="5">
        <v>0</v>
      </c>
      <c r="L37" s="5">
        <v>10210.709999999999</v>
      </c>
      <c r="M37" s="5">
        <v>0</v>
      </c>
      <c r="N37" s="6"/>
      <c r="O37" s="6">
        <f t="shared" si="1"/>
        <v>23914.73</v>
      </c>
      <c r="P37" s="6">
        <f t="shared" si="2"/>
        <v>-23914.73</v>
      </c>
    </row>
    <row r="38" spans="2:16" x14ac:dyDescent="0.35">
      <c r="B38" t="s">
        <v>19</v>
      </c>
      <c r="C38" t="s">
        <v>23</v>
      </c>
      <c r="D38">
        <v>80123102</v>
      </c>
      <c r="E38">
        <v>61061104</v>
      </c>
      <c r="G38" s="5">
        <v>0</v>
      </c>
      <c r="H38" s="5">
        <v>0</v>
      </c>
      <c r="I38" s="5">
        <v>0</v>
      </c>
      <c r="J38" s="5">
        <v>0</v>
      </c>
      <c r="K38" s="5">
        <v>21996.92</v>
      </c>
      <c r="L38" s="5">
        <v>24336.13</v>
      </c>
      <c r="M38" s="5">
        <v>0</v>
      </c>
      <c r="N38" s="6"/>
      <c r="O38" s="6">
        <f t="shared" si="1"/>
        <v>46333.05</v>
      </c>
      <c r="P38" s="6">
        <f t="shared" si="2"/>
        <v>-46333.05</v>
      </c>
    </row>
    <row r="39" spans="2:16" x14ac:dyDescent="0.35">
      <c r="B39" t="s">
        <v>19</v>
      </c>
      <c r="C39" t="s">
        <v>23</v>
      </c>
      <c r="D39">
        <v>80123102</v>
      </c>
      <c r="E39">
        <v>61061104</v>
      </c>
      <c r="G39" s="5">
        <v>0</v>
      </c>
      <c r="H39" s="5">
        <v>0</v>
      </c>
      <c r="I39" s="5">
        <v>0</v>
      </c>
      <c r="J39" s="5">
        <v>9324.5400000000009</v>
      </c>
      <c r="K39" s="5">
        <v>0</v>
      </c>
      <c r="L39" s="5">
        <v>0</v>
      </c>
      <c r="M39" s="5">
        <v>0</v>
      </c>
      <c r="N39" s="6"/>
      <c r="O39" s="6">
        <f t="shared" si="1"/>
        <v>9324.5400000000009</v>
      </c>
      <c r="P39" s="6">
        <f t="shared" si="2"/>
        <v>-9324.5400000000009</v>
      </c>
    </row>
    <row r="40" spans="2:16" x14ac:dyDescent="0.35">
      <c r="B40" t="s">
        <v>19</v>
      </c>
      <c r="C40" t="s">
        <v>23</v>
      </c>
      <c r="D40">
        <v>80123102</v>
      </c>
      <c r="E40">
        <v>61061104</v>
      </c>
      <c r="G40" s="5">
        <v>0</v>
      </c>
      <c r="H40" s="5">
        <v>0</v>
      </c>
      <c r="I40" s="5">
        <v>10357.14</v>
      </c>
      <c r="J40" s="5">
        <v>0</v>
      </c>
      <c r="K40" s="5">
        <v>0</v>
      </c>
      <c r="L40" s="5">
        <v>0</v>
      </c>
      <c r="M40" s="5">
        <v>0</v>
      </c>
      <c r="N40" s="6"/>
      <c r="O40" s="6">
        <f t="shared" si="1"/>
        <v>10357.14</v>
      </c>
      <c r="P40" s="6">
        <f t="shared" si="2"/>
        <v>-10357.14</v>
      </c>
    </row>
    <row r="41" spans="2:16" x14ac:dyDescent="0.35">
      <c r="B41" t="s">
        <v>19</v>
      </c>
      <c r="C41" t="s">
        <v>23</v>
      </c>
      <c r="D41">
        <v>80123102</v>
      </c>
      <c r="E41">
        <v>61061104</v>
      </c>
      <c r="G41" s="5">
        <v>0</v>
      </c>
      <c r="H41" s="5">
        <v>0</v>
      </c>
      <c r="I41" s="5">
        <v>-11964.29</v>
      </c>
      <c r="J41" s="5">
        <v>0</v>
      </c>
      <c r="K41" s="5">
        <v>0</v>
      </c>
      <c r="L41" s="5">
        <v>0</v>
      </c>
      <c r="M41" s="5">
        <v>0</v>
      </c>
      <c r="N41" s="6"/>
      <c r="O41" s="6">
        <f t="shared" si="1"/>
        <v>-11964.29</v>
      </c>
      <c r="P41" s="6">
        <f t="shared" si="2"/>
        <v>11964.29</v>
      </c>
    </row>
    <row r="42" spans="2:16" x14ac:dyDescent="0.35">
      <c r="B42" t="s">
        <v>19</v>
      </c>
      <c r="C42" t="s">
        <v>23</v>
      </c>
      <c r="D42">
        <v>80123102</v>
      </c>
      <c r="E42">
        <v>61061104</v>
      </c>
      <c r="G42" s="5">
        <v>0</v>
      </c>
      <c r="H42" s="5">
        <v>0</v>
      </c>
      <c r="I42" s="5">
        <v>19135.95</v>
      </c>
      <c r="J42" s="5">
        <v>0</v>
      </c>
      <c r="K42" s="5">
        <v>0</v>
      </c>
      <c r="L42" s="5">
        <v>0</v>
      </c>
      <c r="M42" s="5">
        <v>0</v>
      </c>
      <c r="N42" s="6"/>
      <c r="O42" s="6">
        <f t="shared" si="1"/>
        <v>19135.95</v>
      </c>
      <c r="P42" s="6">
        <f t="shared" si="2"/>
        <v>-19135.95</v>
      </c>
    </row>
    <row r="43" spans="2:16" x14ac:dyDescent="0.35">
      <c r="B43" t="s">
        <v>19</v>
      </c>
      <c r="C43" t="s">
        <v>23</v>
      </c>
      <c r="D43">
        <v>80123102</v>
      </c>
      <c r="E43">
        <v>61061104</v>
      </c>
      <c r="G43" s="5">
        <v>0</v>
      </c>
      <c r="H43" s="5">
        <v>7399.88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6"/>
      <c r="O43" s="6">
        <f t="shared" si="1"/>
        <v>7399.88</v>
      </c>
      <c r="P43" s="6">
        <f t="shared" si="2"/>
        <v>-7399.88</v>
      </c>
    </row>
    <row r="44" spans="2:16" x14ac:dyDescent="0.35">
      <c r="B44" t="s">
        <v>19</v>
      </c>
      <c r="C44" t="s">
        <v>23</v>
      </c>
      <c r="D44">
        <v>80123102</v>
      </c>
      <c r="E44">
        <v>61061104</v>
      </c>
      <c r="G44" s="5">
        <v>0</v>
      </c>
      <c r="H44" s="5">
        <v>18090.91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6"/>
      <c r="O44" s="6">
        <f t="shared" si="1"/>
        <v>18090.91</v>
      </c>
      <c r="P44" s="6">
        <f t="shared" si="2"/>
        <v>-18090.91</v>
      </c>
    </row>
    <row r="45" spans="2:16" x14ac:dyDescent="0.35">
      <c r="B45" t="s">
        <v>19</v>
      </c>
      <c r="C45" t="s">
        <v>23</v>
      </c>
      <c r="D45">
        <v>80123102</v>
      </c>
      <c r="E45">
        <v>61061104</v>
      </c>
      <c r="G45" s="5">
        <v>6700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6"/>
      <c r="O45" s="6">
        <f t="shared" si="1"/>
        <v>6700</v>
      </c>
      <c r="P45" s="6">
        <f t="shared" si="2"/>
        <v>-6700</v>
      </c>
    </row>
    <row r="46" spans="2:16" x14ac:dyDescent="0.35">
      <c r="B46" t="s">
        <v>19</v>
      </c>
      <c r="C46" t="s">
        <v>23</v>
      </c>
      <c r="D46" s="2">
        <v>81123102</v>
      </c>
      <c r="E46" s="2">
        <v>52061105</v>
      </c>
      <c r="F46" s="2"/>
      <c r="G46" s="5"/>
      <c r="H46" s="5"/>
      <c r="I46" s="5"/>
      <c r="J46" s="5"/>
      <c r="K46" s="5">
        <v>10250</v>
      </c>
      <c r="L46" s="5">
        <v>400</v>
      </c>
      <c r="M46" s="5">
        <v>0</v>
      </c>
      <c r="N46" s="6"/>
      <c r="O46" s="6">
        <f t="shared" si="1"/>
        <v>10650</v>
      </c>
      <c r="P46" s="6">
        <f t="shared" si="2"/>
        <v>-10650</v>
      </c>
    </row>
    <row r="47" spans="2:16" x14ac:dyDescent="0.35">
      <c r="B47" t="s">
        <v>24</v>
      </c>
      <c r="C47" s="2" t="s">
        <v>24</v>
      </c>
      <c r="D47">
        <v>81123102</v>
      </c>
      <c r="E47">
        <v>52101112</v>
      </c>
      <c r="G47" s="5">
        <v>0</v>
      </c>
      <c r="H47" s="5">
        <v>400.16</v>
      </c>
      <c r="I47" s="5">
        <v>0</v>
      </c>
      <c r="J47" s="5">
        <v>11768.15</v>
      </c>
      <c r="K47" s="5">
        <v>0</v>
      </c>
      <c r="L47" s="5">
        <v>37755.71</v>
      </c>
      <c r="M47" s="5">
        <v>0</v>
      </c>
      <c r="N47" s="6"/>
      <c r="O47" s="6">
        <f t="shared" si="1"/>
        <v>49924.02</v>
      </c>
      <c r="P47" s="6">
        <f t="shared" si="2"/>
        <v>-49924.02</v>
      </c>
    </row>
    <row r="48" spans="2:16" x14ac:dyDescent="0.35">
      <c r="B48" t="s">
        <v>24</v>
      </c>
      <c r="C48" s="2" t="s">
        <v>24</v>
      </c>
      <c r="D48">
        <v>80123102</v>
      </c>
      <c r="E48">
        <v>61101104</v>
      </c>
      <c r="G48" s="5">
        <v>0</v>
      </c>
      <c r="H48" s="5">
        <v>0</v>
      </c>
      <c r="I48" s="5">
        <v>0</v>
      </c>
      <c r="J48" s="5">
        <v>0</v>
      </c>
      <c r="K48" s="6"/>
      <c r="L48" s="5">
        <v>13038.65</v>
      </c>
      <c r="M48" s="5">
        <v>0</v>
      </c>
      <c r="N48" s="6"/>
      <c r="O48" s="6">
        <f t="shared" si="1"/>
        <v>13038.65</v>
      </c>
      <c r="P48" s="6">
        <f t="shared" si="2"/>
        <v>-13038.65</v>
      </c>
    </row>
    <row r="49" spans="2:16" x14ac:dyDescent="0.35">
      <c r="B49" t="s">
        <v>24</v>
      </c>
      <c r="C49" s="2" t="s">
        <v>24</v>
      </c>
      <c r="D49">
        <v>80123102</v>
      </c>
      <c r="E49">
        <v>61101104</v>
      </c>
      <c r="G49" s="5">
        <v>1502.2600000000002</v>
      </c>
      <c r="H49" s="5">
        <v>0</v>
      </c>
      <c r="I49" s="5">
        <v>0</v>
      </c>
      <c r="J49" s="5">
        <v>0</v>
      </c>
      <c r="K49" s="6"/>
      <c r="L49" s="5">
        <v>0</v>
      </c>
      <c r="M49" s="5">
        <v>0</v>
      </c>
      <c r="N49" s="6"/>
      <c r="O49" s="6">
        <f t="shared" si="1"/>
        <v>1502.2600000000002</v>
      </c>
      <c r="P49" s="6">
        <f t="shared" si="2"/>
        <v>-1502.2600000000002</v>
      </c>
    </row>
    <row r="50" spans="2:16" x14ac:dyDescent="0.35">
      <c r="B50" t="s">
        <v>24</v>
      </c>
      <c r="C50" s="2" t="s">
        <v>24</v>
      </c>
      <c r="D50">
        <v>80123102</v>
      </c>
      <c r="E50">
        <v>61101104</v>
      </c>
      <c r="G50" s="5">
        <v>75334.399999999994</v>
      </c>
      <c r="H50" s="5">
        <v>4363.289999999979</v>
      </c>
      <c r="I50" s="5">
        <v>91889.290000000008</v>
      </c>
      <c r="J50" s="5">
        <v>86396.669999999984</v>
      </c>
      <c r="K50" s="5">
        <v>81353.47</v>
      </c>
      <c r="L50" s="5">
        <v>88471.430000000008</v>
      </c>
      <c r="M50" s="5">
        <v>81353.47</v>
      </c>
      <c r="N50" s="6"/>
      <c r="O50" s="6">
        <f t="shared" si="1"/>
        <v>509162.02</v>
      </c>
      <c r="P50" s="6">
        <f t="shared" si="2"/>
        <v>-509162.02</v>
      </c>
    </row>
    <row r="51" spans="2:16" x14ac:dyDescent="0.35">
      <c r="B51" t="s">
        <v>25</v>
      </c>
      <c r="C51" s="2" t="s">
        <v>26</v>
      </c>
      <c r="D51">
        <v>80111101</v>
      </c>
      <c r="E51">
        <v>52101101</v>
      </c>
      <c r="G51" s="5">
        <v>10701.02</v>
      </c>
      <c r="H51" s="5">
        <v>10701.02</v>
      </c>
      <c r="I51" s="5">
        <v>9665.44</v>
      </c>
      <c r="J51" s="5">
        <v>5177.8999999999996</v>
      </c>
      <c r="K51" s="5">
        <v>5819.65</v>
      </c>
      <c r="L51" s="5">
        <v>3487</v>
      </c>
      <c r="M51" s="5">
        <v>8668.27</v>
      </c>
      <c r="N51" s="6"/>
      <c r="O51" s="6">
        <f t="shared" si="1"/>
        <v>54220.3</v>
      </c>
      <c r="P51" s="6">
        <f t="shared" si="2"/>
        <v>-54220.3</v>
      </c>
    </row>
    <row r="52" spans="2:16" x14ac:dyDescent="0.35">
      <c r="B52" t="s">
        <v>25</v>
      </c>
      <c r="C52" s="2" t="s">
        <v>26</v>
      </c>
      <c r="D52">
        <v>81111101</v>
      </c>
      <c r="E52">
        <v>52101101</v>
      </c>
      <c r="G52" s="5">
        <v>6244.97</v>
      </c>
      <c r="H52" s="5">
        <v>6244.97</v>
      </c>
      <c r="I52" s="5">
        <v>5640.6000000000013</v>
      </c>
      <c r="J52" s="5">
        <v>3021.77</v>
      </c>
      <c r="K52" s="5">
        <v>11398.76</v>
      </c>
      <c r="L52" s="5">
        <v>11078.05</v>
      </c>
      <c r="M52" s="5">
        <v>14855.660000000003</v>
      </c>
      <c r="N52" s="6"/>
      <c r="O52" s="6">
        <f t="shared" si="1"/>
        <v>58484.78</v>
      </c>
      <c r="P52" s="6">
        <f t="shared" si="2"/>
        <v>-58484.78</v>
      </c>
    </row>
    <row r="53" spans="2:16" x14ac:dyDescent="0.35">
      <c r="B53" t="s">
        <v>25</v>
      </c>
      <c r="C53" s="2" t="s">
        <v>27</v>
      </c>
      <c r="D53">
        <v>80111101</v>
      </c>
      <c r="E53">
        <v>52101105</v>
      </c>
      <c r="G53" s="5">
        <v>1973.9</v>
      </c>
      <c r="H53" s="5">
        <v>0</v>
      </c>
      <c r="I53" s="5">
        <v>0</v>
      </c>
      <c r="J53" s="5">
        <v>5921.7000000000007</v>
      </c>
      <c r="K53" s="5">
        <v>0</v>
      </c>
      <c r="L53" s="5">
        <v>3947.8</v>
      </c>
      <c r="M53" s="5">
        <v>1973.9</v>
      </c>
      <c r="N53" s="6"/>
      <c r="O53" s="6">
        <f t="shared" si="1"/>
        <v>13817.300000000001</v>
      </c>
      <c r="P53" s="6">
        <f t="shared" si="2"/>
        <v>-13817.300000000001</v>
      </c>
    </row>
    <row r="54" spans="2:16" x14ac:dyDescent="0.35">
      <c r="B54" t="s">
        <v>25</v>
      </c>
      <c r="C54" s="2" t="s">
        <v>27</v>
      </c>
      <c r="D54">
        <v>81111101</v>
      </c>
      <c r="E54">
        <v>52101105</v>
      </c>
      <c r="G54" s="5">
        <v>1151.92</v>
      </c>
      <c r="H54" s="5">
        <v>1151.92</v>
      </c>
      <c r="I54" s="5">
        <v>1151.92</v>
      </c>
      <c r="J54" s="5">
        <v>1151.92</v>
      </c>
      <c r="K54" s="5">
        <v>1151.92</v>
      </c>
      <c r="L54" s="5">
        <v>1151.92</v>
      </c>
      <c r="M54" s="5">
        <v>1151.92</v>
      </c>
      <c r="N54" s="6"/>
      <c r="O54" s="6">
        <f t="shared" si="1"/>
        <v>8063.4400000000005</v>
      </c>
      <c r="P54" s="6">
        <f t="shared" si="2"/>
        <v>-8063.4400000000005</v>
      </c>
    </row>
    <row r="55" spans="2:16" x14ac:dyDescent="0.35">
      <c r="B55" t="s">
        <v>25</v>
      </c>
      <c r="C55" s="2" t="s">
        <v>28</v>
      </c>
      <c r="D55">
        <v>90111101</v>
      </c>
      <c r="E55">
        <v>61101106</v>
      </c>
      <c r="G55" s="5">
        <v>0</v>
      </c>
      <c r="H55" s="5">
        <v>0</v>
      </c>
      <c r="I55" s="5">
        <v>0</v>
      </c>
      <c r="J55" s="5">
        <v>0</v>
      </c>
      <c r="K55" s="5">
        <v>13285.9</v>
      </c>
      <c r="L55" s="5">
        <v>0</v>
      </c>
      <c r="M55" s="5">
        <v>0</v>
      </c>
      <c r="N55" s="6"/>
      <c r="O55" s="6">
        <f t="shared" si="1"/>
        <v>13285.9</v>
      </c>
      <c r="P55" s="6">
        <f t="shared" si="2"/>
        <v>-13285.9</v>
      </c>
    </row>
    <row r="56" spans="2:16" x14ac:dyDescent="0.35">
      <c r="B56" t="s">
        <v>25</v>
      </c>
      <c r="C56" s="2" t="s">
        <v>29</v>
      </c>
      <c r="D56">
        <v>90111101</v>
      </c>
      <c r="E56">
        <v>52101107</v>
      </c>
      <c r="G56" s="5">
        <v>34279.620000000003</v>
      </c>
      <c r="H56" s="5">
        <v>34279.58</v>
      </c>
      <c r="I56" s="5">
        <v>34279.58</v>
      </c>
      <c r="J56" s="5">
        <v>34279.58</v>
      </c>
      <c r="K56" s="5">
        <v>34279.58</v>
      </c>
      <c r="L56" s="5">
        <v>34279.58</v>
      </c>
      <c r="M56" s="5">
        <v>34279.58</v>
      </c>
      <c r="N56" s="6"/>
      <c r="O56" s="6">
        <f t="shared" si="1"/>
        <v>239957.10000000003</v>
      </c>
      <c r="P56" s="6">
        <f t="shared" si="2"/>
        <v>-239957.10000000003</v>
      </c>
    </row>
    <row r="57" spans="2:16" x14ac:dyDescent="0.35">
      <c r="B57" t="s">
        <v>30</v>
      </c>
      <c r="C57" s="2" t="s">
        <v>31</v>
      </c>
      <c r="D57">
        <v>80123102</v>
      </c>
      <c r="E57">
        <v>61721101</v>
      </c>
      <c r="G57" s="5">
        <v>4640.18</v>
      </c>
      <c r="H57" s="5">
        <v>0</v>
      </c>
      <c r="I57" s="5">
        <v>4462.5</v>
      </c>
      <c r="J57" s="5">
        <v>0</v>
      </c>
      <c r="K57" s="5">
        <v>2231.25</v>
      </c>
      <c r="L57" s="5">
        <v>2231.25</v>
      </c>
      <c r="M57" s="5">
        <v>0</v>
      </c>
      <c r="N57" s="5"/>
      <c r="O57" s="6">
        <f t="shared" si="1"/>
        <v>13565.18</v>
      </c>
      <c r="P57" s="6">
        <f t="shared" si="2"/>
        <v>-13565.18</v>
      </c>
    </row>
    <row r="58" spans="2:16" x14ac:dyDescent="0.35">
      <c r="B58" t="s">
        <v>30</v>
      </c>
      <c r="C58" s="2" t="s">
        <v>32</v>
      </c>
      <c r="D58">
        <v>80123102</v>
      </c>
      <c r="E58">
        <v>61721101</v>
      </c>
      <c r="G58" s="5">
        <v>3213.39</v>
      </c>
      <c r="H58" s="5">
        <v>0</v>
      </c>
      <c r="I58" s="5">
        <v>4462.5</v>
      </c>
      <c r="J58" s="5">
        <v>0</v>
      </c>
      <c r="K58" s="5">
        <v>2231.25</v>
      </c>
      <c r="L58" s="5">
        <v>2231.25</v>
      </c>
      <c r="M58" s="5">
        <v>0</v>
      </c>
      <c r="N58" s="6"/>
      <c r="O58" s="6">
        <f t="shared" si="1"/>
        <v>12138.39</v>
      </c>
      <c r="P58" s="6">
        <f t="shared" si="2"/>
        <v>-12138.39</v>
      </c>
    </row>
    <row r="59" spans="2:16" x14ac:dyDescent="0.35">
      <c r="B59" t="s">
        <v>33</v>
      </c>
      <c r="C59" s="2" t="s">
        <v>33</v>
      </c>
      <c r="D59">
        <v>80123102</v>
      </c>
      <c r="E59">
        <v>61721103</v>
      </c>
      <c r="G59" s="5">
        <v>0</v>
      </c>
      <c r="H59" s="5">
        <v>0</v>
      </c>
      <c r="I59" s="5">
        <v>1485</v>
      </c>
      <c r="J59" s="5">
        <v>0</v>
      </c>
      <c r="K59" s="5">
        <v>1569</v>
      </c>
      <c r="L59" s="5">
        <v>708</v>
      </c>
      <c r="M59" s="5">
        <v>708</v>
      </c>
      <c r="N59" s="6"/>
      <c r="O59" s="6">
        <f t="shared" si="1"/>
        <v>4470</v>
      </c>
      <c r="P59" s="6">
        <f t="shared" si="2"/>
        <v>-4470</v>
      </c>
    </row>
    <row r="60" spans="2:16" x14ac:dyDescent="0.35">
      <c r="B60" t="s">
        <v>34</v>
      </c>
      <c r="C60" t="s">
        <v>34</v>
      </c>
      <c r="D60">
        <v>81123102</v>
      </c>
      <c r="E60">
        <v>52041499</v>
      </c>
      <c r="G60" s="5">
        <v>0</v>
      </c>
      <c r="H60" s="5">
        <v>205446.96</v>
      </c>
      <c r="I60" s="5">
        <v>167572.49999999997</v>
      </c>
      <c r="J60" s="5">
        <v>348461.00999999995</v>
      </c>
      <c r="K60" s="5">
        <v>0</v>
      </c>
      <c r="L60" s="5">
        <v>199667.33</v>
      </c>
      <c r="M60" s="5">
        <v>226192.28999999998</v>
      </c>
      <c r="N60" s="6"/>
      <c r="O60" s="6">
        <f t="shared" si="1"/>
        <v>1147340.0899999999</v>
      </c>
      <c r="P60" s="6">
        <f t="shared" si="2"/>
        <v>-1147340.0899999999</v>
      </c>
    </row>
    <row r="61" spans="2:16" x14ac:dyDescent="0.35">
      <c r="B61" t="s">
        <v>34</v>
      </c>
      <c r="C61" t="s">
        <v>34</v>
      </c>
      <c r="D61">
        <v>81123102</v>
      </c>
      <c r="E61">
        <v>52041499</v>
      </c>
      <c r="G61" s="5">
        <v>0</v>
      </c>
      <c r="H61" s="5">
        <v>41835.5</v>
      </c>
      <c r="I61" s="5">
        <v>54772.020000000004</v>
      </c>
      <c r="J61" s="5">
        <v>0</v>
      </c>
      <c r="K61" s="5">
        <v>103664.57</v>
      </c>
      <c r="L61" s="5">
        <v>0</v>
      </c>
      <c r="M61" s="5">
        <v>54663.55000000001</v>
      </c>
      <c r="N61" s="6"/>
      <c r="O61" s="6">
        <f t="shared" si="1"/>
        <v>254935.64000000004</v>
      </c>
      <c r="P61" s="6">
        <f t="shared" si="2"/>
        <v>-254935.64000000004</v>
      </c>
    </row>
    <row r="62" spans="2:16" x14ac:dyDescent="0.35">
      <c r="B62" t="s">
        <v>34</v>
      </c>
      <c r="C62" t="s">
        <v>34</v>
      </c>
      <c r="D62">
        <v>81111101</v>
      </c>
      <c r="E62">
        <v>52041499</v>
      </c>
      <c r="G62" s="5">
        <v>210000</v>
      </c>
      <c r="H62" s="5">
        <v>-4500</v>
      </c>
      <c r="I62" s="5">
        <v>-31293.649999999994</v>
      </c>
      <c r="J62" s="5">
        <v>-174206.35</v>
      </c>
      <c r="K62" s="5">
        <v>178503.87</v>
      </c>
      <c r="L62" s="5">
        <v>0</v>
      </c>
      <c r="M62" s="5">
        <v>-136437.35</v>
      </c>
      <c r="N62" s="6"/>
      <c r="O62" s="6">
        <f t="shared" si="1"/>
        <v>42066.51999999999</v>
      </c>
      <c r="P62" s="6">
        <f t="shared" si="2"/>
        <v>-42066.51999999999</v>
      </c>
    </row>
    <row r="63" spans="2:16" x14ac:dyDescent="0.35">
      <c r="B63" t="s">
        <v>34</v>
      </c>
      <c r="C63" t="s">
        <v>34</v>
      </c>
      <c r="D63">
        <v>81111101</v>
      </c>
      <c r="E63">
        <v>52041499</v>
      </c>
      <c r="G63" s="5">
        <v>45000</v>
      </c>
      <c r="H63" s="5">
        <v>500</v>
      </c>
      <c r="I63" s="5">
        <v>31791.790000000005</v>
      </c>
      <c r="J63" s="5">
        <v>26372.780000000013</v>
      </c>
      <c r="K63" s="5">
        <v>45499.74</v>
      </c>
      <c r="L63" s="5">
        <v>58271.94</v>
      </c>
      <c r="M63" s="5">
        <v>-124538.89000000001</v>
      </c>
      <c r="N63" s="6"/>
      <c r="O63" s="6">
        <f t="shared" si="1"/>
        <v>82897.360000000015</v>
      </c>
      <c r="P63" s="6">
        <f t="shared" si="2"/>
        <v>-82897.360000000015</v>
      </c>
    </row>
    <row r="64" spans="2:16" x14ac:dyDescent="0.35">
      <c r="B64" t="s">
        <v>34</v>
      </c>
      <c r="C64" t="s">
        <v>34</v>
      </c>
      <c r="D64">
        <v>81111101</v>
      </c>
      <c r="E64">
        <v>52041499</v>
      </c>
      <c r="G64" s="5">
        <v>46000</v>
      </c>
      <c r="H64" s="5">
        <v>43000</v>
      </c>
      <c r="I64" s="5">
        <v>32246.909999999996</v>
      </c>
      <c r="J64" s="5">
        <v>50943.040000000001</v>
      </c>
      <c r="K64" s="5">
        <v>-136970.19</v>
      </c>
      <c r="L64" s="5">
        <v>46072.84</v>
      </c>
      <c r="M64" s="5">
        <v>-88139.359999999986</v>
      </c>
      <c r="N64" s="6"/>
      <c r="O64" s="6">
        <f t="shared" si="1"/>
        <v>-6846.7599999999802</v>
      </c>
      <c r="P64" s="6">
        <f t="shared" si="2"/>
        <v>6846.7599999999802</v>
      </c>
    </row>
    <row r="65" spans="2:16" x14ac:dyDescent="0.35">
      <c r="B65" t="s">
        <v>34</v>
      </c>
      <c r="C65" t="s">
        <v>34</v>
      </c>
      <c r="D65" s="2">
        <v>81111101</v>
      </c>
      <c r="E65" s="2">
        <v>52041499</v>
      </c>
      <c r="F65" s="2"/>
      <c r="G65" s="5">
        <v>0</v>
      </c>
      <c r="H65" s="5">
        <v>0</v>
      </c>
      <c r="I65" s="5">
        <v>6846.76</v>
      </c>
      <c r="J65" s="5">
        <v>0</v>
      </c>
      <c r="K65" s="5">
        <v>0</v>
      </c>
      <c r="L65" s="5">
        <v>0</v>
      </c>
      <c r="M65" s="5">
        <v>0</v>
      </c>
      <c r="N65" s="6"/>
      <c r="O65" s="6">
        <f t="shared" si="1"/>
        <v>6846.76</v>
      </c>
      <c r="P65" s="6">
        <f t="shared" si="2"/>
        <v>-6846.76</v>
      </c>
    </row>
    <row r="66" spans="2:16" x14ac:dyDescent="0.35">
      <c r="B66" t="s">
        <v>34</v>
      </c>
      <c r="C66" t="s">
        <v>34</v>
      </c>
      <c r="D66">
        <v>81123102</v>
      </c>
      <c r="E66">
        <v>52041499</v>
      </c>
      <c r="G66" s="5"/>
      <c r="H66" s="5"/>
      <c r="I66" s="5"/>
      <c r="J66" s="5"/>
      <c r="K66" s="5">
        <v>179036.71</v>
      </c>
      <c r="L66" s="5">
        <v>0</v>
      </c>
      <c r="M66" s="5">
        <v>88139.359999999986</v>
      </c>
      <c r="N66" s="6"/>
      <c r="O66" s="6">
        <f t="shared" si="1"/>
        <v>267176.06999999995</v>
      </c>
      <c r="P66" s="6">
        <f t="shared" si="2"/>
        <v>-267176.06999999995</v>
      </c>
    </row>
    <row r="67" spans="2:16" x14ac:dyDescent="0.35">
      <c r="B67" t="s">
        <v>34</v>
      </c>
      <c r="C67" t="s">
        <v>34</v>
      </c>
      <c r="D67">
        <v>81123102</v>
      </c>
      <c r="E67">
        <v>52041499</v>
      </c>
      <c r="G67" s="5"/>
      <c r="H67" s="5">
        <v>13511.039999999997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/>
      <c r="O67" s="6">
        <f t="shared" si="1"/>
        <v>13511.039999999997</v>
      </c>
      <c r="P67" s="6">
        <f t="shared" si="2"/>
        <v>-13511.039999999997</v>
      </c>
    </row>
    <row r="68" spans="2:16" x14ac:dyDescent="0.35">
      <c r="B68" t="s">
        <v>34</v>
      </c>
      <c r="C68" t="s">
        <v>34</v>
      </c>
      <c r="D68">
        <v>81123102</v>
      </c>
      <c r="E68">
        <v>52041499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6"/>
      <c r="O68" s="6">
        <f t="shared" ref="O68:O131" si="3">SUM(G68:N68)</f>
        <v>0</v>
      </c>
      <c r="P68" s="6">
        <f t="shared" ref="P68:P131" si="4">F68-O68</f>
        <v>0</v>
      </c>
    </row>
    <row r="69" spans="2:16" x14ac:dyDescent="0.35">
      <c r="B69" t="s">
        <v>34</v>
      </c>
      <c r="C69" t="s">
        <v>34</v>
      </c>
      <c r="D69">
        <v>81123102</v>
      </c>
      <c r="E69">
        <v>52041499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6"/>
      <c r="O69" s="6">
        <f t="shared" si="3"/>
        <v>0</v>
      </c>
      <c r="P69" s="6">
        <f t="shared" si="4"/>
        <v>0</v>
      </c>
    </row>
    <row r="70" spans="2:16" x14ac:dyDescent="0.35">
      <c r="B70" t="s">
        <v>34</v>
      </c>
      <c r="C70" t="s">
        <v>34</v>
      </c>
      <c r="D70">
        <v>81123102</v>
      </c>
      <c r="E70">
        <v>52041499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6"/>
      <c r="O70" s="6">
        <f t="shared" si="3"/>
        <v>0</v>
      </c>
      <c r="P70" s="6">
        <f t="shared" si="4"/>
        <v>0</v>
      </c>
    </row>
    <row r="71" spans="2:16" x14ac:dyDescent="0.35">
      <c r="B71" t="s">
        <v>34</v>
      </c>
      <c r="C71" t="s">
        <v>34</v>
      </c>
      <c r="D71">
        <v>81123102</v>
      </c>
      <c r="E71">
        <v>52041499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6"/>
      <c r="O71" s="6">
        <f t="shared" si="3"/>
        <v>0</v>
      </c>
      <c r="P71" s="6">
        <f t="shared" si="4"/>
        <v>0</v>
      </c>
    </row>
    <row r="72" spans="2:16" x14ac:dyDescent="0.35">
      <c r="B72" t="s">
        <v>34</v>
      </c>
      <c r="C72" t="s">
        <v>34</v>
      </c>
      <c r="D72">
        <v>81123102</v>
      </c>
      <c r="E72">
        <v>52041499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6"/>
      <c r="O72" s="6">
        <f t="shared" si="3"/>
        <v>0</v>
      </c>
      <c r="P72" s="6">
        <f t="shared" si="4"/>
        <v>0</v>
      </c>
    </row>
    <row r="73" spans="2:16" x14ac:dyDescent="0.35">
      <c r="B73" t="s">
        <v>34</v>
      </c>
      <c r="C73" t="s">
        <v>34</v>
      </c>
      <c r="D73">
        <v>81123102</v>
      </c>
      <c r="E73">
        <v>52041499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6"/>
      <c r="O73" s="6">
        <f t="shared" si="3"/>
        <v>0</v>
      </c>
      <c r="P73" s="6">
        <f t="shared" si="4"/>
        <v>0</v>
      </c>
    </row>
    <row r="74" spans="2:16" x14ac:dyDescent="0.35">
      <c r="B74" t="s">
        <v>34</v>
      </c>
      <c r="C74" t="s">
        <v>34</v>
      </c>
      <c r="D74">
        <v>81123102</v>
      </c>
      <c r="E74">
        <v>52041499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6"/>
      <c r="O74" s="6">
        <f t="shared" si="3"/>
        <v>0</v>
      </c>
      <c r="P74" s="6">
        <f t="shared" si="4"/>
        <v>0</v>
      </c>
    </row>
    <row r="75" spans="2:16" x14ac:dyDescent="0.35">
      <c r="B75" t="s">
        <v>35</v>
      </c>
      <c r="C75" s="2" t="s">
        <v>35</v>
      </c>
      <c r="D75">
        <v>80123102</v>
      </c>
      <c r="E75">
        <v>61071099</v>
      </c>
      <c r="G75" s="5">
        <v>139285.71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6"/>
      <c r="O75" s="6">
        <f t="shared" si="3"/>
        <v>139285.71</v>
      </c>
      <c r="P75" s="6">
        <f t="shared" si="4"/>
        <v>-139285.71</v>
      </c>
    </row>
    <row r="76" spans="2:16" x14ac:dyDescent="0.35">
      <c r="B76" t="s">
        <v>34</v>
      </c>
      <c r="C76" t="s">
        <v>34</v>
      </c>
      <c r="D76">
        <v>81319101</v>
      </c>
      <c r="E76">
        <v>52041499</v>
      </c>
      <c r="G76" s="5">
        <v>0</v>
      </c>
      <c r="H76" s="5">
        <v>0</v>
      </c>
      <c r="I76" s="5">
        <v>173658.40000000002</v>
      </c>
      <c r="J76" s="5">
        <v>72695.100000000006</v>
      </c>
      <c r="K76" s="5">
        <v>56354.7</v>
      </c>
      <c r="L76" s="5">
        <v>59245.52</v>
      </c>
      <c r="M76" s="5">
        <v>67471.98</v>
      </c>
      <c r="N76" s="7"/>
      <c r="O76" s="6">
        <f t="shared" si="3"/>
        <v>429425.7</v>
      </c>
      <c r="P76" s="6">
        <f t="shared" si="4"/>
        <v>-429425.7</v>
      </c>
    </row>
    <row r="77" spans="2:16" x14ac:dyDescent="0.35">
      <c r="B77" t="s">
        <v>34</v>
      </c>
      <c r="C77" t="s">
        <v>34</v>
      </c>
      <c r="D77">
        <v>81319101</v>
      </c>
      <c r="E77">
        <v>52041499</v>
      </c>
      <c r="G77" s="5">
        <v>40418.32</v>
      </c>
      <c r="H77" s="5">
        <v>69347.47</v>
      </c>
      <c r="I77" s="5">
        <v>173108.88</v>
      </c>
      <c r="J77" s="5">
        <v>183854.28999999998</v>
      </c>
      <c r="K77" s="5">
        <v>126790.27</v>
      </c>
      <c r="L77" s="5">
        <v>200621.91999999998</v>
      </c>
      <c r="M77" s="5">
        <v>126290.06</v>
      </c>
      <c r="N77" s="6"/>
      <c r="O77" s="6">
        <f t="shared" si="3"/>
        <v>920431.21</v>
      </c>
      <c r="P77" s="6">
        <f t="shared" si="4"/>
        <v>-920431.21</v>
      </c>
    </row>
    <row r="78" spans="2:16" x14ac:dyDescent="0.35">
      <c r="B78" t="s">
        <v>34</v>
      </c>
      <c r="C78" t="s">
        <v>34</v>
      </c>
      <c r="D78">
        <v>81319101</v>
      </c>
      <c r="E78">
        <v>52041499</v>
      </c>
      <c r="G78" s="5">
        <v>0</v>
      </c>
      <c r="H78" s="5">
        <v>0</v>
      </c>
      <c r="I78" s="5">
        <v>80041</v>
      </c>
      <c r="J78" s="5">
        <v>0</v>
      </c>
      <c r="K78" s="5">
        <v>28490.26</v>
      </c>
      <c r="L78" s="5">
        <v>90858.470000000016</v>
      </c>
      <c r="M78" s="5">
        <v>33048.699999999997</v>
      </c>
      <c r="N78" s="6"/>
      <c r="O78" s="6">
        <f t="shared" si="3"/>
        <v>232438.43</v>
      </c>
      <c r="P78" s="6">
        <f t="shared" si="4"/>
        <v>-232438.43</v>
      </c>
    </row>
    <row r="79" spans="2:16" x14ac:dyDescent="0.35">
      <c r="B79" t="s">
        <v>34</v>
      </c>
      <c r="C79" t="s">
        <v>34</v>
      </c>
      <c r="D79">
        <v>81319101</v>
      </c>
      <c r="E79">
        <v>52041499</v>
      </c>
      <c r="G79" s="5">
        <v>49107.19</v>
      </c>
      <c r="H79" s="5">
        <v>0</v>
      </c>
      <c r="I79" s="5">
        <v>62977.97</v>
      </c>
      <c r="J79" s="5">
        <v>0</v>
      </c>
      <c r="K79" s="5">
        <v>0</v>
      </c>
      <c r="L79" s="5">
        <v>0</v>
      </c>
      <c r="M79" s="5">
        <v>0</v>
      </c>
      <c r="N79" s="6"/>
      <c r="O79" s="6">
        <f t="shared" si="3"/>
        <v>112085.16</v>
      </c>
      <c r="P79" s="6">
        <f t="shared" si="4"/>
        <v>-112085.16</v>
      </c>
    </row>
    <row r="80" spans="2:16" x14ac:dyDescent="0.35">
      <c r="B80" t="s">
        <v>34</v>
      </c>
      <c r="C80" t="s">
        <v>34</v>
      </c>
      <c r="D80" s="2">
        <v>81319101</v>
      </c>
      <c r="E80" s="2">
        <v>52041499</v>
      </c>
      <c r="F80" s="2"/>
      <c r="G80" s="5">
        <v>0</v>
      </c>
      <c r="H80" s="5">
        <v>0</v>
      </c>
      <c r="I80" s="5">
        <v>0</v>
      </c>
      <c r="J80" s="5">
        <v>77460.06</v>
      </c>
      <c r="K80" s="5">
        <v>78231.520000000004</v>
      </c>
      <c r="L80" s="5">
        <v>191941.05</v>
      </c>
      <c r="M80" s="5">
        <v>0</v>
      </c>
      <c r="N80" s="6"/>
      <c r="O80" s="6">
        <f t="shared" si="3"/>
        <v>347632.63</v>
      </c>
      <c r="P80" s="6">
        <f t="shared" si="4"/>
        <v>-347632.63</v>
      </c>
    </row>
    <row r="81" spans="2:16" x14ac:dyDescent="0.35">
      <c r="B81" t="s">
        <v>36</v>
      </c>
      <c r="C81" s="2" t="s">
        <v>37</v>
      </c>
      <c r="D81">
        <v>90122101</v>
      </c>
      <c r="E81">
        <v>52041499</v>
      </c>
      <c r="G81" s="5">
        <v>0</v>
      </c>
      <c r="H81" s="5">
        <v>0</v>
      </c>
      <c r="I81" s="5">
        <v>42208.2</v>
      </c>
      <c r="J81" s="5">
        <v>77381.7</v>
      </c>
      <c r="K81" s="5">
        <v>0</v>
      </c>
      <c r="L81" s="5">
        <v>46898</v>
      </c>
      <c r="M81" s="5">
        <v>46898</v>
      </c>
      <c r="N81" s="6"/>
      <c r="O81" s="6">
        <f t="shared" si="3"/>
        <v>213385.9</v>
      </c>
      <c r="P81" s="6">
        <f t="shared" si="4"/>
        <v>-213385.9</v>
      </c>
    </row>
    <row r="82" spans="2:16" x14ac:dyDescent="0.35">
      <c r="B82" t="s">
        <v>38</v>
      </c>
      <c r="C82" s="2" t="s">
        <v>39</v>
      </c>
      <c r="D82">
        <v>80133102</v>
      </c>
      <c r="E82">
        <v>61051199</v>
      </c>
      <c r="G82" s="5">
        <v>253750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51520</v>
      </c>
      <c r="N82" s="6"/>
      <c r="O82" s="6">
        <f t="shared" si="3"/>
        <v>305270</v>
      </c>
      <c r="P82" s="6">
        <f t="shared" si="4"/>
        <v>-305270</v>
      </c>
    </row>
    <row r="83" spans="2:16" x14ac:dyDescent="0.35">
      <c r="B83" t="s">
        <v>40</v>
      </c>
      <c r="C83" t="s">
        <v>40</v>
      </c>
      <c r="D83">
        <v>81123102</v>
      </c>
      <c r="E83">
        <v>52041405</v>
      </c>
      <c r="G83" s="5">
        <v>0</v>
      </c>
      <c r="H83" s="5">
        <v>24581.99</v>
      </c>
      <c r="I83" s="5">
        <v>42906.81</v>
      </c>
      <c r="J83" s="5">
        <v>0</v>
      </c>
      <c r="K83" s="5">
        <v>85700.040000000008</v>
      </c>
      <c r="L83" s="5">
        <v>0</v>
      </c>
      <c r="M83" s="5">
        <v>49380.06</v>
      </c>
      <c r="N83" s="6"/>
      <c r="O83" s="6">
        <f t="shared" si="3"/>
        <v>202568.90000000002</v>
      </c>
      <c r="P83" s="6">
        <f t="shared" si="4"/>
        <v>-202568.90000000002</v>
      </c>
    </row>
    <row r="84" spans="2:16" x14ac:dyDescent="0.35">
      <c r="B84" t="s">
        <v>40</v>
      </c>
      <c r="C84" t="s">
        <v>40</v>
      </c>
      <c r="D84">
        <v>81123102</v>
      </c>
      <c r="E84">
        <v>52041405</v>
      </c>
      <c r="G84" s="5">
        <v>0</v>
      </c>
      <c r="H84" s="5">
        <v>182261.86</v>
      </c>
      <c r="I84" s="5">
        <v>273918.73</v>
      </c>
      <c r="J84" s="5">
        <v>441069.27999999997</v>
      </c>
      <c r="K84" s="5">
        <v>0</v>
      </c>
      <c r="L84" s="5">
        <v>180770.87</v>
      </c>
      <c r="M84" s="5">
        <v>244048.72</v>
      </c>
      <c r="N84" s="6"/>
      <c r="O84" s="6">
        <f t="shared" si="3"/>
        <v>1322069.4599999997</v>
      </c>
      <c r="P84" s="6">
        <f t="shared" si="4"/>
        <v>-1322069.4599999997</v>
      </c>
    </row>
    <row r="85" spans="2:16" x14ac:dyDescent="0.35">
      <c r="B85" t="s">
        <v>40</v>
      </c>
      <c r="C85" t="s">
        <v>40</v>
      </c>
      <c r="D85">
        <v>81123102</v>
      </c>
      <c r="E85">
        <v>52041405</v>
      </c>
      <c r="G85" s="5">
        <v>0</v>
      </c>
      <c r="H85" s="5">
        <v>0</v>
      </c>
      <c r="I85" s="5">
        <v>57308.44</v>
      </c>
      <c r="J85" s="5">
        <v>0</v>
      </c>
      <c r="K85" s="5">
        <v>171925.32</v>
      </c>
      <c r="L85" s="5">
        <v>0</v>
      </c>
      <c r="M85" s="5">
        <v>57308.44</v>
      </c>
      <c r="N85" s="6"/>
      <c r="O85" s="6">
        <f t="shared" si="3"/>
        <v>286542.2</v>
      </c>
      <c r="P85" s="6">
        <f t="shared" si="4"/>
        <v>-286542.2</v>
      </c>
    </row>
    <row r="86" spans="2:16" x14ac:dyDescent="0.35">
      <c r="B86" t="s">
        <v>40</v>
      </c>
      <c r="C86" t="s">
        <v>40</v>
      </c>
      <c r="D86">
        <v>81111101</v>
      </c>
      <c r="E86">
        <v>52041405</v>
      </c>
      <c r="G86" s="5">
        <v>44000</v>
      </c>
      <c r="H86" s="5">
        <v>-24000</v>
      </c>
      <c r="I86" s="5">
        <v>-20000</v>
      </c>
      <c r="J86" s="5">
        <v>63483.650000000009</v>
      </c>
      <c r="K86" s="5">
        <v>24581.99</v>
      </c>
      <c r="L86" s="5">
        <v>73724.55</v>
      </c>
      <c r="M86" s="5">
        <v>-129863.45000000003</v>
      </c>
      <c r="N86" s="6"/>
      <c r="O86" s="6">
        <f t="shared" si="3"/>
        <v>31926.739999999976</v>
      </c>
      <c r="P86" s="6">
        <f t="shared" si="4"/>
        <v>-31926.739999999976</v>
      </c>
    </row>
    <row r="87" spans="2:16" x14ac:dyDescent="0.35">
      <c r="B87" t="s">
        <v>40</v>
      </c>
      <c r="C87" t="s">
        <v>40</v>
      </c>
      <c r="D87">
        <v>81111101</v>
      </c>
      <c r="E87">
        <v>52041405</v>
      </c>
      <c r="G87" s="5">
        <v>183000</v>
      </c>
      <c r="H87" s="5">
        <v>-500</v>
      </c>
      <c r="I87" s="5">
        <v>-182500</v>
      </c>
      <c r="J87" s="5">
        <v>-182261.86</v>
      </c>
      <c r="K87" s="5">
        <v>282617.03999999998</v>
      </c>
      <c r="L87" s="5">
        <v>22899.279999999999</v>
      </c>
      <c r="M87" s="5">
        <v>-305516.32</v>
      </c>
      <c r="N87" s="6"/>
      <c r="O87" s="6">
        <f t="shared" si="3"/>
        <v>-182261.86000000002</v>
      </c>
      <c r="P87" s="6">
        <f t="shared" si="4"/>
        <v>182261.86000000002</v>
      </c>
    </row>
    <row r="88" spans="2:16" x14ac:dyDescent="0.35">
      <c r="B88" t="s">
        <v>40</v>
      </c>
      <c r="C88" t="s">
        <v>40</v>
      </c>
      <c r="D88">
        <v>81111101</v>
      </c>
      <c r="E88">
        <v>52041405</v>
      </c>
      <c r="G88" s="5">
        <v>58000</v>
      </c>
      <c r="H88" s="5">
        <v>57000</v>
      </c>
      <c r="I88" s="5">
        <v>-383.11999999999534</v>
      </c>
      <c r="J88" s="5">
        <v>57308.44</v>
      </c>
      <c r="K88" s="5">
        <v>-137132.10999999999</v>
      </c>
      <c r="L88" s="5">
        <v>57308.44</v>
      </c>
      <c r="M88" s="5">
        <v>0</v>
      </c>
      <c r="N88" s="6"/>
      <c r="O88" s="6">
        <f t="shared" si="3"/>
        <v>92101.650000000023</v>
      </c>
      <c r="P88" s="6">
        <f t="shared" si="4"/>
        <v>-92101.650000000023</v>
      </c>
    </row>
    <row r="89" spans="2:16" x14ac:dyDescent="0.35">
      <c r="B89" t="s">
        <v>40</v>
      </c>
      <c r="C89" t="s">
        <v>40</v>
      </c>
      <c r="D89">
        <v>81123102</v>
      </c>
      <c r="E89">
        <v>52041405</v>
      </c>
      <c r="G89" s="5">
        <v>0</v>
      </c>
      <c r="H89" s="5">
        <v>0</v>
      </c>
      <c r="I89" s="6"/>
      <c r="J89" s="5">
        <v>0</v>
      </c>
      <c r="K89" s="5">
        <v>0</v>
      </c>
      <c r="L89" s="5">
        <v>0</v>
      </c>
      <c r="M89" s="5">
        <v>0</v>
      </c>
      <c r="N89" s="6"/>
      <c r="O89" s="6">
        <f t="shared" si="3"/>
        <v>0</v>
      </c>
      <c r="P89" s="6">
        <f t="shared" si="4"/>
        <v>0</v>
      </c>
    </row>
    <row r="90" spans="2:16" x14ac:dyDescent="0.35">
      <c r="B90" t="s">
        <v>40</v>
      </c>
      <c r="C90" t="s">
        <v>40</v>
      </c>
      <c r="D90">
        <v>81123102</v>
      </c>
      <c r="E90">
        <v>52041405</v>
      </c>
      <c r="G90" s="5">
        <v>0</v>
      </c>
      <c r="H90" s="5">
        <v>0</v>
      </c>
      <c r="I90" s="6"/>
      <c r="J90" s="5">
        <v>0</v>
      </c>
      <c r="K90" s="5">
        <v>0</v>
      </c>
      <c r="L90" s="5">
        <v>0</v>
      </c>
      <c r="M90" s="5">
        <v>0</v>
      </c>
      <c r="N90" s="6"/>
      <c r="O90" s="6">
        <f t="shared" si="3"/>
        <v>0</v>
      </c>
      <c r="P90" s="6">
        <f t="shared" si="4"/>
        <v>0</v>
      </c>
    </row>
    <row r="91" spans="2:16" x14ac:dyDescent="0.35">
      <c r="B91" t="s">
        <v>40</v>
      </c>
      <c r="C91" t="s">
        <v>40</v>
      </c>
      <c r="D91">
        <v>81123102</v>
      </c>
      <c r="E91">
        <v>52041405</v>
      </c>
      <c r="G91" s="5">
        <v>0</v>
      </c>
      <c r="H91" s="5">
        <v>0</v>
      </c>
      <c r="I91" s="6"/>
      <c r="J91" s="5">
        <v>0</v>
      </c>
      <c r="K91" s="5">
        <v>0</v>
      </c>
      <c r="L91" s="5">
        <v>0</v>
      </c>
      <c r="M91" s="5">
        <v>0</v>
      </c>
      <c r="N91" s="6"/>
      <c r="O91" s="6">
        <f t="shared" si="3"/>
        <v>0</v>
      </c>
      <c r="P91" s="6">
        <f t="shared" si="4"/>
        <v>0</v>
      </c>
    </row>
    <row r="92" spans="2:16" x14ac:dyDescent="0.35">
      <c r="B92" t="s">
        <v>40</v>
      </c>
      <c r="C92" t="s">
        <v>40</v>
      </c>
      <c r="D92">
        <v>81123102</v>
      </c>
      <c r="E92">
        <v>52041405</v>
      </c>
      <c r="G92" s="5">
        <v>0</v>
      </c>
      <c r="H92" s="5">
        <v>0</v>
      </c>
      <c r="I92" s="6"/>
      <c r="J92" s="5">
        <v>0</v>
      </c>
      <c r="K92" s="5">
        <v>0</v>
      </c>
      <c r="L92" s="5">
        <v>0</v>
      </c>
      <c r="M92" s="5">
        <v>0</v>
      </c>
      <c r="N92" s="6"/>
      <c r="O92" s="6">
        <f t="shared" si="3"/>
        <v>0</v>
      </c>
      <c r="P92" s="6">
        <f t="shared" si="4"/>
        <v>0</v>
      </c>
    </row>
    <row r="93" spans="2:16" x14ac:dyDescent="0.35">
      <c r="B93" t="s">
        <v>40</v>
      </c>
      <c r="C93" t="s">
        <v>40</v>
      </c>
      <c r="D93">
        <v>81123102</v>
      </c>
      <c r="E93">
        <v>52041405</v>
      </c>
      <c r="G93" s="5">
        <v>0</v>
      </c>
      <c r="H93" s="5">
        <v>0</v>
      </c>
      <c r="I93" s="6"/>
      <c r="J93" s="5">
        <v>0</v>
      </c>
      <c r="K93" s="5">
        <v>0</v>
      </c>
      <c r="L93" s="5">
        <v>0</v>
      </c>
      <c r="M93" s="5">
        <v>0</v>
      </c>
      <c r="N93" s="6"/>
      <c r="O93" s="6">
        <f t="shared" si="3"/>
        <v>0</v>
      </c>
      <c r="P93" s="6">
        <f t="shared" si="4"/>
        <v>0</v>
      </c>
    </row>
    <row r="94" spans="2:16" x14ac:dyDescent="0.35">
      <c r="B94" t="s">
        <v>40</v>
      </c>
      <c r="C94" t="s">
        <v>40</v>
      </c>
      <c r="D94">
        <v>81123102</v>
      </c>
      <c r="E94">
        <v>52041405</v>
      </c>
      <c r="G94" s="5">
        <v>0</v>
      </c>
      <c r="H94" s="5">
        <v>0</v>
      </c>
      <c r="I94" s="6"/>
      <c r="J94" s="5">
        <v>0</v>
      </c>
      <c r="K94" s="5">
        <v>0</v>
      </c>
      <c r="L94" s="5">
        <v>0</v>
      </c>
      <c r="M94" s="5">
        <v>0</v>
      </c>
      <c r="N94" s="6"/>
      <c r="O94" s="6">
        <f t="shared" si="3"/>
        <v>0</v>
      </c>
      <c r="P94" s="6">
        <f t="shared" si="4"/>
        <v>0</v>
      </c>
    </row>
    <row r="95" spans="2:16" x14ac:dyDescent="0.35">
      <c r="B95" t="s">
        <v>40</v>
      </c>
      <c r="C95" t="s">
        <v>40</v>
      </c>
      <c r="D95">
        <v>81123102</v>
      </c>
      <c r="E95">
        <v>52041405</v>
      </c>
      <c r="G95" s="5">
        <v>0</v>
      </c>
      <c r="H95" s="5">
        <v>0</v>
      </c>
      <c r="I95" s="6"/>
      <c r="J95" s="5">
        <v>0</v>
      </c>
      <c r="K95" s="5">
        <v>0</v>
      </c>
      <c r="L95" s="5">
        <v>0</v>
      </c>
      <c r="M95" s="5">
        <v>0</v>
      </c>
      <c r="N95" s="6"/>
      <c r="O95" s="6">
        <f t="shared" si="3"/>
        <v>0</v>
      </c>
      <c r="P95" s="6">
        <f t="shared" si="4"/>
        <v>0</v>
      </c>
    </row>
    <row r="96" spans="2:16" x14ac:dyDescent="0.35">
      <c r="B96" t="s">
        <v>40</v>
      </c>
      <c r="C96" t="s">
        <v>40</v>
      </c>
      <c r="D96">
        <v>81123102</v>
      </c>
      <c r="E96">
        <v>52041405</v>
      </c>
      <c r="G96" s="5">
        <v>0</v>
      </c>
      <c r="H96" s="5">
        <v>0</v>
      </c>
      <c r="I96" s="6"/>
      <c r="J96" s="5">
        <v>0</v>
      </c>
      <c r="K96" s="5">
        <v>0</v>
      </c>
      <c r="L96" s="5">
        <v>0</v>
      </c>
      <c r="M96" s="5">
        <v>0</v>
      </c>
      <c r="N96" s="6"/>
      <c r="O96" s="6">
        <f t="shared" si="3"/>
        <v>0</v>
      </c>
      <c r="P96" s="6">
        <f t="shared" si="4"/>
        <v>0</v>
      </c>
    </row>
    <row r="97" spans="2:16" x14ac:dyDescent="0.35">
      <c r="B97" t="s">
        <v>40</v>
      </c>
      <c r="C97" t="s">
        <v>40</v>
      </c>
      <c r="D97">
        <v>81123102</v>
      </c>
      <c r="E97">
        <v>52041405</v>
      </c>
      <c r="G97" s="5">
        <v>0</v>
      </c>
      <c r="H97" s="5">
        <v>0</v>
      </c>
      <c r="I97" s="6"/>
      <c r="J97" s="5">
        <v>0</v>
      </c>
      <c r="K97" s="5">
        <v>0</v>
      </c>
      <c r="L97" s="5">
        <v>0</v>
      </c>
      <c r="M97" s="5">
        <v>0</v>
      </c>
      <c r="N97" s="6"/>
      <c r="O97" s="6">
        <f t="shared" si="3"/>
        <v>0</v>
      </c>
      <c r="P97" s="6">
        <f t="shared" si="4"/>
        <v>0</v>
      </c>
    </row>
    <row r="98" spans="2:16" x14ac:dyDescent="0.35">
      <c r="B98" t="s">
        <v>40</v>
      </c>
      <c r="C98" t="s">
        <v>40</v>
      </c>
      <c r="D98">
        <v>81123102</v>
      </c>
      <c r="E98">
        <v>52041405</v>
      </c>
      <c r="G98" s="5">
        <v>0</v>
      </c>
      <c r="H98" s="5">
        <v>0</v>
      </c>
      <c r="I98" s="6"/>
      <c r="J98" s="5">
        <v>0</v>
      </c>
      <c r="K98" s="5">
        <v>0</v>
      </c>
      <c r="L98" s="5">
        <v>0</v>
      </c>
      <c r="M98" s="5">
        <v>0</v>
      </c>
      <c r="N98" s="6"/>
      <c r="O98" s="6">
        <f t="shared" si="3"/>
        <v>0</v>
      </c>
      <c r="P98" s="6">
        <f t="shared" si="4"/>
        <v>0</v>
      </c>
    </row>
    <row r="99" spans="2:16" x14ac:dyDescent="0.35">
      <c r="B99" t="s">
        <v>40</v>
      </c>
      <c r="C99" t="s">
        <v>40</v>
      </c>
      <c r="D99">
        <v>81123102</v>
      </c>
      <c r="E99">
        <v>52041405</v>
      </c>
      <c r="G99" s="5">
        <v>0</v>
      </c>
      <c r="H99" s="5">
        <v>0</v>
      </c>
      <c r="I99" s="6"/>
      <c r="J99" s="5">
        <v>0</v>
      </c>
      <c r="K99" s="5">
        <v>0</v>
      </c>
      <c r="L99" s="5">
        <v>0</v>
      </c>
      <c r="M99" s="5">
        <v>0</v>
      </c>
      <c r="N99" s="6"/>
      <c r="O99" s="6">
        <f t="shared" si="3"/>
        <v>0</v>
      </c>
      <c r="P99" s="6">
        <f t="shared" si="4"/>
        <v>0</v>
      </c>
    </row>
    <row r="100" spans="2:16" x14ac:dyDescent="0.35">
      <c r="B100" t="s">
        <v>40</v>
      </c>
      <c r="C100" t="s">
        <v>40</v>
      </c>
      <c r="D100">
        <v>81123102</v>
      </c>
      <c r="E100">
        <v>52041405</v>
      </c>
      <c r="G100" s="5">
        <v>0</v>
      </c>
      <c r="H100" s="5">
        <v>0</v>
      </c>
      <c r="I100" s="6"/>
      <c r="J100" s="5">
        <v>0</v>
      </c>
      <c r="K100" s="5">
        <v>0</v>
      </c>
      <c r="L100" s="5">
        <v>0</v>
      </c>
      <c r="M100" s="5">
        <v>0</v>
      </c>
      <c r="N100" s="6"/>
      <c r="O100" s="6">
        <f t="shared" si="3"/>
        <v>0</v>
      </c>
      <c r="P100" s="6">
        <f t="shared" si="4"/>
        <v>0</v>
      </c>
    </row>
    <row r="101" spans="2:16" x14ac:dyDescent="0.35">
      <c r="B101" t="s">
        <v>30</v>
      </c>
      <c r="C101" s="2" t="s">
        <v>30</v>
      </c>
      <c r="D101">
        <v>81123102</v>
      </c>
      <c r="E101">
        <v>52951101</v>
      </c>
      <c r="G101" s="5">
        <v>139401.9500000001</v>
      </c>
      <c r="H101" s="5">
        <v>100098.10000000012</v>
      </c>
      <c r="I101" s="5">
        <v>152674.64000000036</v>
      </c>
      <c r="J101" s="5">
        <v>149027.81000000011</v>
      </c>
      <c r="K101" s="5">
        <v>110554.60000000011</v>
      </c>
      <c r="L101" s="5">
        <v>148827.77000000014</v>
      </c>
      <c r="M101" s="5">
        <v>34828.220000000147</v>
      </c>
      <c r="N101" s="6"/>
      <c r="O101" s="6">
        <f t="shared" si="3"/>
        <v>835413.09000000102</v>
      </c>
      <c r="P101" s="6">
        <f t="shared" si="4"/>
        <v>-835413.09000000102</v>
      </c>
    </row>
    <row r="102" spans="2:16" x14ac:dyDescent="0.35">
      <c r="B102" t="s">
        <v>41</v>
      </c>
      <c r="C102" s="2" t="s">
        <v>41</v>
      </c>
      <c r="D102">
        <v>80124101</v>
      </c>
      <c r="E102">
        <v>61711102</v>
      </c>
      <c r="G102" s="5">
        <v>21123.95</v>
      </c>
      <c r="H102" s="5">
        <v>21123.95</v>
      </c>
      <c r="I102" s="5">
        <v>14309.77</v>
      </c>
      <c r="J102" s="5">
        <v>0</v>
      </c>
      <c r="K102" s="5">
        <v>0</v>
      </c>
      <c r="L102" s="5">
        <v>0</v>
      </c>
      <c r="M102" s="5">
        <v>0</v>
      </c>
      <c r="N102" s="6"/>
      <c r="O102" s="6">
        <f t="shared" si="3"/>
        <v>56557.67</v>
      </c>
      <c r="P102" s="6">
        <f t="shared" si="4"/>
        <v>-56557.67</v>
      </c>
    </row>
    <row r="103" spans="2:16" x14ac:dyDescent="0.35">
      <c r="B103" t="s">
        <v>42</v>
      </c>
      <c r="C103" s="2" t="s">
        <v>43</v>
      </c>
      <c r="D103" s="2">
        <v>81124101</v>
      </c>
      <c r="E103" s="2">
        <v>52952103</v>
      </c>
      <c r="F103" s="2"/>
      <c r="G103" s="5"/>
      <c r="H103" s="5"/>
      <c r="I103" s="5"/>
      <c r="J103" s="5"/>
      <c r="K103" s="5"/>
      <c r="L103" s="5"/>
      <c r="M103" s="5">
        <v>59599.200000000004</v>
      </c>
      <c r="N103" s="6"/>
      <c r="O103" s="6">
        <f t="shared" si="3"/>
        <v>59599.200000000004</v>
      </c>
      <c r="P103" s="6">
        <f t="shared" si="4"/>
        <v>-59599.200000000004</v>
      </c>
    </row>
    <row r="104" spans="2:16" x14ac:dyDescent="0.35">
      <c r="B104" t="s">
        <v>44</v>
      </c>
      <c r="C104" s="2" t="s">
        <v>44</v>
      </c>
      <c r="D104">
        <v>80124101</v>
      </c>
      <c r="E104">
        <v>61711102</v>
      </c>
      <c r="G104" s="5">
        <v>0</v>
      </c>
      <c r="H104" s="5">
        <v>0</v>
      </c>
      <c r="I104" s="5">
        <v>0</v>
      </c>
      <c r="J104" s="5">
        <v>0</v>
      </c>
      <c r="K104" s="5">
        <v>141467.35999999999</v>
      </c>
      <c r="L104" s="5">
        <v>0</v>
      </c>
      <c r="M104" s="5">
        <v>0</v>
      </c>
      <c r="N104" s="6"/>
      <c r="O104" s="6">
        <f t="shared" si="3"/>
        <v>141467.35999999999</v>
      </c>
      <c r="P104" s="6">
        <f t="shared" si="4"/>
        <v>-141467.35999999999</v>
      </c>
    </row>
    <row r="105" spans="2:16" x14ac:dyDescent="0.35">
      <c r="B105" t="s">
        <v>45</v>
      </c>
      <c r="C105" s="2" t="s">
        <v>45</v>
      </c>
      <c r="D105">
        <v>80124101</v>
      </c>
      <c r="E105">
        <v>61711102</v>
      </c>
      <c r="G105" s="5">
        <v>25669.64</v>
      </c>
      <c r="H105" s="5">
        <v>25669.64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6"/>
      <c r="O105" s="6">
        <f t="shared" si="3"/>
        <v>51339.28</v>
      </c>
      <c r="P105" s="6">
        <f t="shared" si="4"/>
        <v>-51339.28</v>
      </c>
    </row>
    <row r="106" spans="2:16" x14ac:dyDescent="0.35">
      <c r="B106" t="s">
        <v>45</v>
      </c>
      <c r="C106" s="2" t="s">
        <v>45</v>
      </c>
      <c r="D106">
        <v>80124101</v>
      </c>
      <c r="E106">
        <v>61711102</v>
      </c>
      <c r="G106" s="5">
        <v>0</v>
      </c>
      <c r="H106" s="5">
        <v>0</v>
      </c>
      <c r="I106" s="5">
        <v>0</v>
      </c>
      <c r="J106" s="5">
        <v>0</v>
      </c>
      <c r="K106" s="5">
        <v>56143.7</v>
      </c>
      <c r="L106" s="5">
        <v>0</v>
      </c>
      <c r="M106" s="5">
        <v>0</v>
      </c>
      <c r="N106" s="6"/>
      <c r="O106" s="6">
        <f t="shared" si="3"/>
        <v>56143.7</v>
      </c>
      <c r="P106" s="6">
        <f t="shared" si="4"/>
        <v>-56143.7</v>
      </c>
    </row>
    <row r="107" spans="2:16" x14ac:dyDescent="0.35">
      <c r="B107" t="s">
        <v>46</v>
      </c>
      <c r="C107" s="2" t="s">
        <v>46</v>
      </c>
      <c r="D107" s="2">
        <v>81124101</v>
      </c>
      <c r="E107" s="2">
        <v>52952103</v>
      </c>
      <c r="F107" s="2"/>
      <c r="G107" s="5">
        <v>0</v>
      </c>
      <c r="H107" s="5">
        <v>0</v>
      </c>
      <c r="I107" s="5">
        <v>0</v>
      </c>
      <c r="J107" s="5">
        <v>128303.54999999999</v>
      </c>
      <c r="K107" s="5">
        <v>25660.71</v>
      </c>
      <c r="L107" s="5">
        <v>25660.71</v>
      </c>
      <c r="M107" s="5">
        <v>25660.71</v>
      </c>
      <c r="N107" s="6"/>
      <c r="O107" s="6">
        <f t="shared" si="3"/>
        <v>205285.67999999996</v>
      </c>
      <c r="P107" s="6">
        <f t="shared" si="4"/>
        <v>-205285.67999999996</v>
      </c>
    </row>
    <row r="108" spans="2:16" x14ac:dyDescent="0.35">
      <c r="B108" t="s">
        <v>47</v>
      </c>
      <c r="C108" s="2" t="s">
        <v>47</v>
      </c>
      <c r="D108">
        <v>80124101</v>
      </c>
      <c r="E108">
        <v>61711102</v>
      </c>
      <c r="G108" s="5">
        <v>55803.57</v>
      </c>
      <c r="H108" s="5">
        <v>55803.57</v>
      </c>
      <c r="I108" s="5">
        <v>55803.57</v>
      </c>
      <c r="J108" s="5">
        <v>55803.57</v>
      </c>
      <c r="K108" s="5">
        <v>55803.57</v>
      </c>
      <c r="L108" s="5">
        <v>55803.57</v>
      </c>
      <c r="M108" s="5">
        <v>55803.59</v>
      </c>
      <c r="N108" s="6"/>
      <c r="O108" s="6">
        <f t="shared" si="3"/>
        <v>390625.01</v>
      </c>
      <c r="P108" s="6">
        <f t="shared" si="4"/>
        <v>-390625.01</v>
      </c>
    </row>
    <row r="109" spans="2:16" x14ac:dyDescent="0.35">
      <c r="B109" t="s">
        <v>48</v>
      </c>
      <c r="C109" s="2" t="s">
        <v>49</v>
      </c>
      <c r="D109">
        <v>81124101</v>
      </c>
      <c r="E109">
        <v>52952103</v>
      </c>
      <c r="G109" s="5">
        <v>39285.71</v>
      </c>
      <c r="H109" s="5">
        <v>39285.71</v>
      </c>
      <c r="I109" s="5">
        <v>39285.71</v>
      </c>
      <c r="J109" s="5">
        <v>39285.71</v>
      </c>
      <c r="K109" s="5">
        <v>39285.71</v>
      </c>
      <c r="L109" s="5">
        <v>39285.71</v>
      </c>
      <c r="M109" s="5">
        <v>39285.71</v>
      </c>
      <c r="N109" s="6"/>
      <c r="O109" s="6">
        <f t="shared" si="3"/>
        <v>274999.96999999997</v>
      </c>
      <c r="P109" s="6">
        <f t="shared" si="4"/>
        <v>-274999.96999999997</v>
      </c>
    </row>
    <row r="110" spans="2:16" x14ac:dyDescent="0.35">
      <c r="B110" t="s">
        <v>50</v>
      </c>
      <c r="C110" s="2" t="s">
        <v>50</v>
      </c>
      <c r="D110">
        <v>81124101</v>
      </c>
      <c r="E110">
        <v>52061109</v>
      </c>
      <c r="G110" s="5">
        <v>0</v>
      </c>
      <c r="H110" s="5">
        <v>0</v>
      </c>
      <c r="I110" s="5">
        <v>34089.29</v>
      </c>
      <c r="J110" s="5">
        <v>227678.57</v>
      </c>
      <c r="K110" s="5">
        <v>1148</v>
      </c>
      <c r="L110" s="5">
        <v>0</v>
      </c>
      <c r="M110" s="5">
        <v>0</v>
      </c>
      <c r="N110" s="6"/>
      <c r="O110" s="6">
        <f t="shared" si="3"/>
        <v>262915.86</v>
      </c>
      <c r="P110" s="6">
        <f t="shared" si="4"/>
        <v>-262915.86</v>
      </c>
    </row>
    <row r="111" spans="2:16" x14ac:dyDescent="0.35">
      <c r="B111" t="s">
        <v>51</v>
      </c>
      <c r="C111" s="2" t="s">
        <v>51</v>
      </c>
      <c r="D111" s="2">
        <v>81124101</v>
      </c>
      <c r="E111" s="2">
        <v>52952103</v>
      </c>
      <c r="F111" s="2"/>
      <c r="G111" s="5">
        <v>15557.36</v>
      </c>
      <c r="H111" s="5">
        <v>15557.36</v>
      </c>
      <c r="I111" s="5">
        <v>15557.36</v>
      </c>
      <c r="J111" s="5">
        <v>15557.36</v>
      </c>
      <c r="K111" s="5">
        <v>15557.36</v>
      </c>
      <c r="L111" s="5">
        <v>15557.36</v>
      </c>
      <c r="M111" s="5">
        <v>15557.36</v>
      </c>
      <c r="N111" s="6"/>
      <c r="O111" s="6">
        <f t="shared" si="3"/>
        <v>108901.52</v>
      </c>
      <c r="P111" s="6">
        <f t="shared" si="4"/>
        <v>-108901.52</v>
      </c>
    </row>
    <row r="112" spans="2:16" x14ac:dyDescent="0.35">
      <c r="B112" t="s">
        <v>52</v>
      </c>
      <c r="C112" s="2" t="s">
        <v>52</v>
      </c>
      <c r="D112">
        <v>80124101</v>
      </c>
      <c r="E112">
        <v>61711102</v>
      </c>
      <c r="G112" s="5">
        <v>365145.17</v>
      </c>
      <c r="H112" s="5">
        <v>365145.17</v>
      </c>
      <c r="I112" s="5">
        <v>365145.17</v>
      </c>
      <c r="J112" s="5">
        <v>365145.17</v>
      </c>
      <c r="K112" s="5">
        <v>0</v>
      </c>
      <c r="L112" s="5">
        <v>0</v>
      </c>
      <c r="M112" s="5">
        <v>0</v>
      </c>
      <c r="N112" s="6"/>
      <c r="O112" s="6">
        <f t="shared" si="3"/>
        <v>1460580.68</v>
      </c>
      <c r="P112" s="6">
        <f t="shared" si="4"/>
        <v>-1460580.68</v>
      </c>
    </row>
    <row r="113" spans="2:16" x14ac:dyDescent="0.35">
      <c r="B113" t="s">
        <v>52</v>
      </c>
      <c r="C113" s="2" t="s">
        <v>52</v>
      </c>
      <c r="D113">
        <v>81124101</v>
      </c>
      <c r="E113">
        <v>52952103</v>
      </c>
      <c r="G113" s="5">
        <v>117682.35</v>
      </c>
      <c r="H113" s="5">
        <v>117682.35</v>
      </c>
      <c r="I113" s="5">
        <v>117682.35</v>
      </c>
      <c r="J113" s="5">
        <v>117682.35</v>
      </c>
      <c r="K113" s="5">
        <v>0</v>
      </c>
      <c r="L113" s="5">
        <v>895014.42</v>
      </c>
      <c r="M113" s="5">
        <v>447507.21</v>
      </c>
      <c r="N113" s="6"/>
      <c r="O113" s="6">
        <f t="shared" si="3"/>
        <v>1813251.03</v>
      </c>
      <c r="P113" s="6">
        <f t="shared" si="4"/>
        <v>-1813251.03</v>
      </c>
    </row>
    <row r="114" spans="2:16" x14ac:dyDescent="0.35">
      <c r="B114" t="s">
        <v>53</v>
      </c>
      <c r="C114" s="2" t="s">
        <v>53</v>
      </c>
      <c r="D114">
        <v>80124101</v>
      </c>
      <c r="E114">
        <v>61711102</v>
      </c>
      <c r="G114" s="5">
        <v>87944.48</v>
      </c>
      <c r="H114" s="5">
        <v>87944.5</v>
      </c>
      <c r="I114" s="5">
        <v>87944.49</v>
      </c>
      <c r="J114" s="5">
        <v>87944.49</v>
      </c>
      <c r="K114" s="5">
        <v>424720.45999999996</v>
      </c>
      <c r="L114" s="5">
        <v>-274113.12</v>
      </c>
      <c r="M114" s="5">
        <v>91032.05</v>
      </c>
      <c r="N114" s="6"/>
      <c r="O114" s="6">
        <f t="shared" si="3"/>
        <v>593417.35</v>
      </c>
      <c r="P114" s="6">
        <f t="shared" si="4"/>
        <v>-593417.35</v>
      </c>
    </row>
    <row r="115" spans="2:16" x14ac:dyDescent="0.35">
      <c r="B115" t="s">
        <v>54</v>
      </c>
      <c r="C115" s="2" t="s">
        <v>54</v>
      </c>
      <c r="D115">
        <v>80124101</v>
      </c>
      <c r="E115">
        <v>61711102</v>
      </c>
      <c r="G115" s="5">
        <v>20571.43</v>
      </c>
      <c r="H115" s="5">
        <v>10285.709999999999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6"/>
      <c r="O115" s="6">
        <f t="shared" si="3"/>
        <v>30857.14</v>
      </c>
      <c r="P115" s="6">
        <f t="shared" si="4"/>
        <v>-30857.14</v>
      </c>
    </row>
    <row r="116" spans="2:16" x14ac:dyDescent="0.35">
      <c r="B116" t="s">
        <v>54</v>
      </c>
      <c r="C116" s="2" t="s">
        <v>54</v>
      </c>
      <c r="D116">
        <v>81124101</v>
      </c>
      <c r="E116">
        <v>52952103</v>
      </c>
      <c r="G116" s="5"/>
      <c r="H116" s="5"/>
      <c r="I116" s="5"/>
      <c r="J116" s="5">
        <v>187885.71</v>
      </c>
      <c r="K116" s="5">
        <v>146133.32999999999</v>
      </c>
      <c r="L116" s="5">
        <v>83504.759999999995</v>
      </c>
      <c r="M116" s="5">
        <v>83504.759999999995</v>
      </c>
      <c r="N116" s="6"/>
      <c r="O116" s="6">
        <f t="shared" si="3"/>
        <v>501028.56</v>
      </c>
      <c r="P116" s="6">
        <f t="shared" si="4"/>
        <v>-501028.56</v>
      </c>
    </row>
    <row r="117" spans="2:16" x14ac:dyDescent="0.35">
      <c r="B117" t="s">
        <v>55</v>
      </c>
      <c r="C117" s="2" t="s">
        <v>56</v>
      </c>
      <c r="D117">
        <v>80124101</v>
      </c>
      <c r="E117">
        <v>61711102</v>
      </c>
      <c r="G117" s="5">
        <v>56333.18</v>
      </c>
      <c r="H117" s="5">
        <v>56333.18</v>
      </c>
      <c r="I117" s="5">
        <v>43612.79</v>
      </c>
      <c r="J117" s="5">
        <v>0</v>
      </c>
      <c r="K117" s="5">
        <v>0</v>
      </c>
      <c r="L117" s="5">
        <v>0</v>
      </c>
      <c r="M117" s="5">
        <v>0</v>
      </c>
      <c r="N117" s="6"/>
      <c r="O117" s="6">
        <f t="shared" si="3"/>
        <v>156279.15</v>
      </c>
      <c r="P117" s="6">
        <f t="shared" si="4"/>
        <v>-156279.15</v>
      </c>
    </row>
    <row r="118" spans="2:16" x14ac:dyDescent="0.35">
      <c r="B118" t="s">
        <v>57</v>
      </c>
      <c r="C118" s="2" t="s">
        <v>57</v>
      </c>
      <c r="D118">
        <v>80124101</v>
      </c>
      <c r="E118">
        <v>61711102</v>
      </c>
      <c r="G118" s="5">
        <v>117708.11</v>
      </c>
      <c r="H118" s="5">
        <v>117708.11</v>
      </c>
      <c r="I118" s="5">
        <v>117708.11</v>
      </c>
      <c r="J118" s="5">
        <v>117708.11</v>
      </c>
      <c r="K118" s="5">
        <v>117708.11</v>
      </c>
      <c r="L118" s="5">
        <v>98090.09</v>
      </c>
      <c r="M118" s="5">
        <v>122908.59</v>
      </c>
      <c r="N118" s="6"/>
      <c r="O118" s="6">
        <f t="shared" si="3"/>
        <v>809539.23</v>
      </c>
      <c r="P118" s="6">
        <f t="shared" si="4"/>
        <v>-809539.23</v>
      </c>
    </row>
    <row r="119" spans="2:16" x14ac:dyDescent="0.35">
      <c r="B119" t="s">
        <v>58</v>
      </c>
      <c r="C119" s="2" t="s">
        <v>59</v>
      </c>
      <c r="D119">
        <v>80124101</v>
      </c>
      <c r="E119">
        <v>61711102</v>
      </c>
      <c r="G119" s="5">
        <v>80512.86</v>
      </c>
      <c r="H119" s="5">
        <v>80512.86</v>
      </c>
      <c r="I119" s="5">
        <v>80512.86</v>
      </c>
      <c r="J119" s="5">
        <v>80512.86</v>
      </c>
      <c r="K119" s="5">
        <v>80512.86</v>
      </c>
      <c r="L119" s="5">
        <v>80512.86</v>
      </c>
      <c r="M119" s="5">
        <v>64929.72</v>
      </c>
      <c r="N119" s="6"/>
      <c r="O119" s="6">
        <f t="shared" si="3"/>
        <v>548006.88</v>
      </c>
      <c r="P119" s="6">
        <f t="shared" si="4"/>
        <v>-548006.88</v>
      </c>
    </row>
    <row r="120" spans="2:16" x14ac:dyDescent="0.35">
      <c r="B120" t="s">
        <v>60</v>
      </c>
      <c r="C120" s="2" t="s">
        <v>61</v>
      </c>
      <c r="D120">
        <v>80124101</v>
      </c>
      <c r="E120">
        <v>61711102</v>
      </c>
      <c r="G120" s="5">
        <v>0</v>
      </c>
      <c r="H120" s="5">
        <v>0</v>
      </c>
      <c r="I120" s="5">
        <v>0</v>
      </c>
      <c r="J120" s="5">
        <v>0</v>
      </c>
      <c r="K120" s="5">
        <v>267421.34000000003</v>
      </c>
      <c r="L120" s="5">
        <v>0</v>
      </c>
      <c r="M120" s="5">
        <v>0</v>
      </c>
      <c r="N120" s="6"/>
      <c r="O120" s="6">
        <f t="shared" si="3"/>
        <v>267421.34000000003</v>
      </c>
      <c r="P120" s="6">
        <f t="shared" si="4"/>
        <v>-267421.34000000003</v>
      </c>
    </row>
    <row r="121" spans="2:16" x14ac:dyDescent="0.35">
      <c r="B121" t="s">
        <v>62</v>
      </c>
      <c r="C121" s="2" t="s">
        <v>62</v>
      </c>
      <c r="D121">
        <v>80124101</v>
      </c>
      <c r="E121">
        <v>61711102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/>
      <c r="O121" s="6">
        <f t="shared" si="3"/>
        <v>0</v>
      </c>
      <c r="P121" s="6">
        <f t="shared" si="4"/>
        <v>0</v>
      </c>
    </row>
    <row r="122" spans="2:16" x14ac:dyDescent="0.35">
      <c r="B122" t="s">
        <v>62</v>
      </c>
      <c r="C122" s="2" t="s">
        <v>62</v>
      </c>
      <c r="D122" s="2">
        <v>81124101</v>
      </c>
      <c r="E122" s="2">
        <v>52952103</v>
      </c>
      <c r="F122" s="2"/>
      <c r="G122" s="5">
        <v>73422.720000000001</v>
      </c>
      <c r="H122" s="5">
        <v>73422.720000000001</v>
      </c>
      <c r="I122" s="5">
        <v>73422.720000000001</v>
      </c>
      <c r="J122" s="5">
        <v>73422.720000000001</v>
      </c>
      <c r="K122" s="5">
        <v>73422.720000000001</v>
      </c>
      <c r="L122" s="5">
        <v>73422.720000000001</v>
      </c>
      <c r="M122" s="5">
        <v>73422.720000000001</v>
      </c>
      <c r="N122" s="5"/>
      <c r="O122" s="6">
        <f t="shared" si="3"/>
        <v>513959.03999999992</v>
      </c>
      <c r="P122" s="6">
        <f t="shared" si="4"/>
        <v>-513959.03999999992</v>
      </c>
    </row>
    <row r="123" spans="2:16" x14ac:dyDescent="0.35">
      <c r="B123" t="s">
        <v>63</v>
      </c>
      <c r="C123" s="2" t="s">
        <v>63</v>
      </c>
      <c r="D123">
        <v>81124101</v>
      </c>
      <c r="E123">
        <v>52952103</v>
      </c>
      <c r="G123" s="5">
        <v>44642.86</v>
      </c>
      <c r="H123" s="5">
        <v>44642.86</v>
      </c>
      <c r="I123" s="5">
        <v>44642.86</v>
      </c>
      <c r="J123" s="5">
        <v>44642.86</v>
      </c>
      <c r="K123" s="5">
        <v>44642.86</v>
      </c>
      <c r="L123" s="5">
        <v>44642.86</v>
      </c>
      <c r="M123" s="5">
        <v>44642.86</v>
      </c>
      <c r="N123" s="6"/>
      <c r="O123" s="6">
        <f t="shared" si="3"/>
        <v>312500.01999999996</v>
      </c>
      <c r="P123" s="6">
        <f t="shared" si="4"/>
        <v>-312500.01999999996</v>
      </c>
    </row>
    <row r="124" spans="2:16" x14ac:dyDescent="0.35">
      <c r="B124" t="s">
        <v>63</v>
      </c>
      <c r="C124" s="2" t="s">
        <v>63</v>
      </c>
      <c r="D124" s="2">
        <v>80124101</v>
      </c>
      <c r="E124" s="2">
        <v>61711102</v>
      </c>
      <c r="F124" s="2"/>
      <c r="G124" s="5"/>
      <c r="H124" s="5"/>
      <c r="I124" s="5"/>
      <c r="J124" s="5"/>
      <c r="K124" s="5">
        <v>412154.62</v>
      </c>
      <c r="L124" s="5">
        <v>0</v>
      </c>
      <c r="M124" s="5">
        <v>0</v>
      </c>
      <c r="N124" s="6"/>
      <c r="O124" s="6">
        <f t="shared" si="3"/>
        <v>412154.62</v>
      </c>
      <c r="P124" s="6">
        <f t="shared" si="4"/>
        <v>-412154.62</v>
      </c>
    </row>
    <row r="125" spans="2:16" x14ac:dyDescent="0.35">
      <c r="B125" t="s">
        <v>64</v>
      </c>
      <c r="C125" s="2" t="s">
        <v>64</v>
      </c>
      <c r="D125">
        <v>80124101</v>
      </c>
      <c r="E125">
        <v>61711102</v>
      </c>
      <c r="G125" s="5">
        <v>8900.91</v>
      </c>
      <c r="H125" s="5">
        <v>8900.91</v>
      </c>
      <c r="I125" s="5">
        <v>8900.91</v>
      </c>
      <c r="J125" s="5">
        <v>0</v>
      </c>
      <c r="K125" s="5">
        <v>0</v>
      </c>
      <c r="L125" s="5">
        <v>0</v>
      </c>
      <c r="M125" s="5">
        <v>0</v>
      </c>
      <c r="N125" s="6"/>
      <c r="O125" s="6">
        <f t="shared" si="3"/>
        <v>26702.73</v>
      </c>
      <c r="P125" s="6">
        <f t="shared" si="4"/>
        <v>-26702.73</v>
      </c>
    </row>
    <row r="126" spans="2:16" x14ac:dyDescent="0.35">
      <c r="B126" t="s">
        <v>64</v>
      </c>
      <c r="C126" s="2" t="s">
        <v>64</v>
      </c>
      <c r="D126" s="2">
        <v>81124101</v>
      </c>
      <c r="E126" s="2">
        <v>52952103</v>
      </c>
      <c r="F126" s="2"/>
      <c r="G126" s="5"/>
      <c r="H126" s="5"/>
      <c r="I126" s="5"/>
      <c r="J126" s="5"/>
      <c r="K126" s="5">
        <v>17801.82</v>
      </c>
      <c r="L126" s="5">
        <v>8900.91</v>
      </c>
      <c r="M126" s="5">
        <v>8900.91</v>
      </c>
      <c r="N126" s="6"/>
      <c r="O126" s="6">
        <f t="shared" si="3"/>
        <v>35603.64</v>
      </c>
      <c r="P126" s="6">
        <f t="shared" si="4"/>
        <v>-35603.64</v>
      </c>
    </row>
    <row r="127" spans="2:16" x14ac:dyDescent="0.35">
      <c r="B127" t="s">
        <v>65</v>
      </c>
      <c r="C127" s="2" t="s">
        <v>65</v>
      </c>
      <c r="D127">
        <v>80124101</v>
      </c>
      <c r="E127">
        <v>61711102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6"/>
      <c r="O127" s="6">
        <f t="shared" si="3"/>
        <v>0</v>
      </c>
      <c r="P127" s="6">
        <f t="shared" si="4"/>
        <v>0</v>
      </c>
    </row>
    <row r="128" spans="2:16" x14ac:dyDescent="0.35">
      <c r="B128" t="s">
        <v>65</v>
      </c>
      <c r="C128" s="2" t="s">
        <v>65</v>
      </c>
      <c r="D128">
        <v>81124101</v>
      </c>
      <c r="E128">
        <v>52952103</v>
      </c>
      <c r="G128" s="5">
        <v>48771.32</v>
      </c>
      <c r="H128" s="5">
        <v>48771.32</v>
      </c>
      <c r="I128" s="5">
        <v>48771.32</v>
      </c>
      <c r="J128" s="5">
        <v>48771.32</v>
      </c>
      <c r="K128" s="5">
        <v>48771.32</v>
      </c>
      <c r="L128" s="5">
        <v>48771.32</v>
      </c>
      <c r="M128" s="5">
        <v>48771.32</v>
      </c>
      <c r="N128" s="6"/>
      <c r="O128" s="6">
        <f t="shared" si="3"/>
        <v>341399.24</v>
      </c>
      <c r="P128" s="6">
        <f t="shared" si="4"/>
        <v>-341399.24</v>
      </c>
    </row>
    <row r="129" spans="2:16" x14ac:dyDescent="0.35">
      <c r="B129" t="s">
        <v>66</v>
      </c>
      <c r="C129" s="2" t="s">
        <v>66</v>
      </c>
      <c r="D129">
        <v>80124101</v>
      </c>
      <c r="E129">
        <v>61711102</v>
      </c>
      <c r="G129" s="5">
        <v>0</v>
      </c>
      <c r="H129" s="5">
        <v>0</v>
      </c>
      <c r="I129" s="5">
        <v>2554.15</v>
      </c>
      <c r="J129" s="5">
        <v>0</v>
      </c>
      <c r="K129" s="5">
        <v>0</v>
      </c>
      <c r="L129" s="5">
        <v>0</v>
      </c>
      <c r="M129" s="5">
        <v>768.41</v>
      </c>
      <c r="N129" s="6"/>
      <c r="O129" s="6">
        <f t="shared" si="3"/>
        <v>3322.56</v>
      </c>
      <c r="P129" s="6">
        <f t="shared" si="4"/>
        <v>-3322.56</v>
      </c>
    </row>
    <row r="130" spans="2:16" x14ac:dyDescent="0.35">
      <c r="B130" t="s">
        <v>66</v>
      </c>
      <c r="C130" s="2" t="s">
        <v>66</v>
      </c>
      <c r="D130">
        <v>81124101</v>
      </c>
      <c r="E130">
        <v>52952103</v>
      </c>
      <c r="G130" s="5"/>
      <c r="H130" s="5"/>
      <c r="I130" s="5">
        <v>2554.15</v>
      </c>
      <c r="J130" s="5">
        <v>0</v>
      </c>
      <c r="K130" s="5">
        <v>27233.53</v>
      </c>
      <c r="L130" s="5">
        <v>20961.259999999998</v>
      </c>
      <c r="M130" s="5">
        <v>2692.74</v>
      </c>
      <c r="N130" s="6"/>
      <c r="O130" s="6">
        <f t="shared" si="3"/>
        <v>53441.68</v>
      </c>
      <c r="P130" s="6">
        <f t="shared" si="4"/>
        <v>-53441.68</v>
      </c>
    </row>
    <row r="131" spans="2:16" x14ac:dyDescent="0.35">
      <c r="B131" t="s">
        <v>67</v>
      </c>
      <c r="C131" s="2" t="s">
        <v>67</v>
      </c>
      <c r="D131">
        <v>80124101</v>
      </c>
      <c r="E131">
        <v>61711102</v>
      </c>
      <c r="G131" s="5">
        <v>0</v>
      </c>
      <c r="H131" s="5">
        <v>9400.17</v>
      </c>
      <c r="I131" s="5">
        <v>9257.9700000000012</v>
      </c>
      <c r="J131" s="5">
        <v>9425.4700000000012</v>
      </c>
      <c r="K131" s="5">
        <v>9531.0300000000007</v>
      </c>
      <c r="L131" s="5">
        <v>9682.880000000001</v>
      </c>
      <c r="M131" s="5">
        <v>9734.630000000001</v>
      </c>
      <c r="N131" s="6"/>
      <c r="O131" s="6">
        <f t="shared" si="3"/>
        <v>57032.150000000009</v>
      </c>
      <c r="P131" s="6">
        <f t="shared" si="4"/>
        <v>-57032.150000000009</v>
      </c>
    </row>
    <row r="132" spans="2:16" x14ac:dyDescent="0.35">
      <c r="B132" t="s">
        <v>68</v>
      </c>
      <c r="C132" s="2" t="s">
        <v>69</v>
      </c>
      <c r="D132">
        <v>80124101</v>
      </c>
      <c r="E132">
        <v>61711102</v>
      </c>
      <c r="G132" s="5">
        <v>0</v>
      </c>
      <c r="H132" s="5">
        <v>141610.01999999999</v>
      </c>
      <c r="I132" s="5">
        <v>0</v>
      </c>
      <c r="J132" s="5">
        <v>137353.44</v>
      </c>
      <c r="K132" s="5">
        <v>130164.24</v>
      </c>
      <c r="L132" s="5">
        <v>139161.01999999999</v>
      </c>
      <c r="M132" s="5">
        <v>121207.87</v>
      </c>
      <c r="N132" s="6"/>
      <c r="O132" s="6">
        <f t="shared" ref="O132:O195" si="5">SUM(G132:N132)</f>
        <v>669496.59</v>
      </c>
      <c r="P132" s="6">
        <f t="shared" ref="P132:P195" si="6">F132-O132</f>
        <v>-669496.59</v>
      </c>
    </row>
    <row r="133" spans="2:16" x14ac:dyDescent="0.35">
      <c r="B133" t="s">
        <v>70</v>
      </c>
      <c r="C133" s="2" t="s">
        <v>70</v>
      </c>
      <c r="D133">
        <v>80124101</v>
      </c>
      <c r="E133">
        <v>61711102</v>
      </c>
      <c r="G133" s="5">
        <v>311287.78000000003</v>
      </c>
      <c r="H133" s="5">
        <v>0</v>
      </c>
      <c r="I133" s="5">
        <v>622575.56000000006</v>
      </c>
      <c r="J133" s="5">
        <v>311287.78000000003</v>
      </c>
      <c r="K133" s="5">
        <v>311287.78000000003</v>
      </c>
      <c r="L133" s="5">
        <v>311287.78000000003</v>
      </c>
      <c r="M133" s="5">
        <v>0</v>
      </c>
      <c r="N133" s="6"/>
      <c r="O133" s="6">
        <f t="shared" si="5"/>
        <v>1867726.6800000002</v>
      </c>
      <c r="P133" s="6">
        <f t="shared" si="6"/>
        <v>-1867726.6800000002</v>
      </c>
    </row>
    <row r="134" spans="2:16" x14ac:dyDescent="0.35">
      <c r="B134" t="s">
        <v>71</v>
      </c>
      <c r="C134" s="2" t="s">
        <v>71</v>
      </c>
      <c r="D134">
        <v>80124101</v>
      </c>
      <c r="E134">
        <v>61711102</v>
      </c>
      <c r="G134" s="5">
        <v>0</v>
      </c>
      <c r="H134" s="5">
        <v>2677.68</v>
      </c>
      <c r="I134" s="5">
        <v>2651.76</v>
      </c>
      <c r="J134" s="5">
        <v>2679.57</v>
      </c>
      <c r="K134" s="5">
        <v>2720.1</v>
      </c>
      <c r="L134" s="5">
        <v>2745.57</v>
      </c>
      <c r="M134" s="5">
        <v>2782.58</v>
      </c>
      <c r="N134" s="6"/>
      <c r="O134" s="6">
        <f t="shared" si="5"/>
        <v>16257.26</v>
      </c>
      <c r="P134" s="6">
        <f t="shared" si="6"/>
        <v>-16257.26</v>
      </c>
    </row>
    <row r="135" spans="2:16" x14ac:dyDescent="0.35">
      <c r="B135" t="s">
        <v>72</v>
      </c>
      <c r="C135" s="2" t="s">
        <v>72</v>
      </c>
      <c r="D135">
        <v>80124101</v>
      </c>
      <c r="E135">
        <v>61711102</v>
      </c>
      <c r="G135" s="5">
        <v>0</v>
      </c>
      <c r="H135" s="5">
        <v>732.28</v>
      </c>
      <c r="I135" s="5">
        <v>800.06</v>
      </c>
      <c r="J135" s="5">
        <v>827.25</v>
      </c>
      <c r="K135" s="5">
        <v>829.72</v>
      </c>
      <c r="L135" s="5">
        <v>851.31</v>
      </c>
      <c r="M135" s="5">
        <v>1159.76</v>
      </c>
      <c r="N135" s="6"/>
      <c r="O135" s="6">
        <f t="shared" si="5"/>
        <v>5200.38</v>
      </c>
      <c r="P135" s="6">
        <f t="shared" si="6"/>
        <v>-5200.38</v>
      </c>
    </row>
    <row r="136" spans="2:16" x14ac:dyDescent="0.35">
      <c r="B136" t="s">
        <v>73</v>
      </c>
      <c r="C136" s="2" t="s">
        <v>73</v>
      </c>
      <c r="D136">
        <v>81124101</v>
      </c>
      <c r="E136">
        <v>52952103</v>
      </c>
      <c r="G136" s="5">
        <v>20203.89</v>
      </c>
      <c r="H136" s="5">
        <v>20203.89</v>
      </c>
      <c r="I136" s="5">
        <v>20203.89</v>
      </c>
      <c r="J136" s="5">
        <v>20203.89</v>
      </c>
      <c r="K136" s="5">
        <v>20203.89</v>
      </c>
      <c r="L136" s="5">
        <v>20203.89</v>
      </c>
      <c r="M136" s="5">
        <v>20203.89</v>
      </c>
      <c r="N136" s="6"/>
      <c r="O136" s="6">
        <f t="shared" si="5"/>
        <v>141427.22999999998</v>
      </c>
      <c r="P136" s="6">
        <f t="shared" si="6"/>
        <v>-141427.22999999998</v>
      </c>
    </row>
    <row r="137" spans="2:16" x14ac:dyDescent="0.35">
      <c r="B137" t="s">
        <v>74</v>
      </c>
      <c r="C137" s="2" t="s">
        <v>74</v>
      </c>
      <c r="D137">
        <v>80124101</v>
      </c>
      <c r="E137">
        <v>61711102</v>
      </c>
      <c r="G137" s="5">
        <v>4453.13</v>
      </c>
      <c r="H137" s="5">
        <v>4453.13</v>
      </c>
      <c r="I137" s="5">
        <v>4453.13</v>
      </c>
      <c r="J137" s="5">
        <v>4453.13</v>
      </c>
      <c r="K137" s="5">
        <v>0</v>
      </c>
      <c r="L137" s="5">
        <v>0</v>
      </c>
      <c r="M137" s="5">
        <v>0</v>
      </c>
      <c r="N137" s="6"/>
      <c r="O137" s="6">
        <f t="shared" si="5"/>
        <v>17812.52</v>
      </c>
      <c r="P137" s="6">
        <f t="shared" si="6"/>
        <v>-17812.52</v>
      </c>
    </row>
    <row r="138" spans="2:16" x14ac:dyDescent="0.35">
      <c r="B138" t="s">
        <v>74</v>
      </c>
      <c r="C138" s="2" t="s">
        <v>74</v>
      </c>
      <c r="D138" s="2">
        <v>81124101</v>
      </c>
      <c r="E138" s="2">
        <v>52952103</v>
      </c>
      <c r="F138" s="2"/>
      <c r="G138" s="5"/>
      <c r="H138" s="5">
        <v>5937.5</v>
      </c>
      <c r="I138" s="5">
        <v>0</v>
      </c>
      <c r="J138" s="5">
        <v>0</v>
      </c>
      <c r="K138" s="6"/>
      <c r="L138" s="5">
        <v>0</v>
      </c>
      <c r="M138" s="5">
        <v>0</v>
      </c>
      <c r="N138" s="6"/>
      <c r="O138" s="6">
        <f t="shared" si="5"/>
        <v>5937.5</v>
      </c>
      <c r="P138" s="6">
        <f t="shared" si="6"/>
        <v>-5937.5</v>
      </c>
    </row>
    <row r="139" spans="2:16" x14ac:dyDescent="0.35">
      <c r="B139" t="s">
        <v>74</v>
      </c>
      <c r="C139" s="2" t="s">
        <v>74</v>
      </c>
      <c r="D139" s="2">
        <v>81124101</v>
      </c>
      <c r="E139" s="2">
        <v>52952103</v>
      </c>
      <c r="F139" s="2"/>
      <c r="G139" s="5"/>
      <c r="H139" s="5">
        <v>5937.5</v>
      </c>
      <c r="I139" s="5">
        <v>0</v>
      </c>
      <c r="J139" s="5">
        <v>0</v>
      </c>
      <c r="K139" s="6"/>
      <c r="L139" s="5">
        <v>0</v>
      </c>
      <c r="M139" s="5">
        <v>0</v>
      </c>
      <c r="N139" s="6"/>
      <c r="O139" s="6">
        <f t="shared" si="5"/>
        <v>5937.5</v>
      </c>
      <c r="P139" s="6">
        <f t="shared" si="6"/>
        <v>-5937.5</v>
      </c>
    </row>
    <row r="140" spans="2:16" x14ac:dyDescent="0.35">
      <c r="B140" t="s">
        <v>74</v>
      </c>
      <c r="C140" s="2" t="s">
        <v>74</v>
      </c>
      <c r="D140" s="2">
        <v>81124101</v>
      </c>
      <c r="E140" s="2">
        <v>52952103</v>
      </c>
      <c r="F140" s="2"/>
      <c r="G140" s="5">
        <v>0</v>
      </c>
      <c r="H140" s="5">
        <v>0</v>
      </c>
      <c r="I140" s="5">
        <v>130625</v>
      </c>
      <c r="J140" s="5">
        <v>0</v>
      </c>
      <c r="K140" s="5">
        <v>0</v>
      </c>
      <c r="L140" s="5">
        <v>0</v>
      </c>
      <c r="M140" s="5">
        <v>0</v>
      </c>
      <c r="N140" s="6"/>
      <c r="O140" s="6">
        <f t="shared" si="5"/>
        <v>130625</v>
      </c>
      <c r="P140" s="6">
        <f t="shared" si="6"/>
        <v>-130625</v>
      </c>
    </row>
    <row r="141" spans="2:16" x14ac:dyDescent="0.35">
      <c r="B141" t="s">
        <v>75</v>
      </c>
      <c r="C141" s="2" t="s">
        <v>75</v>
      </c>
      <c r="D141">
        <v>80124101</v>
      </c>
      <c r="E141">
        <v>61711102</v>
      </c>
      <c r="G141" s="5">
        <v>427336.76</v>
      </c>
      <c r="H141" s="5">
        <v>335764.54000000004</v>
      </c>
      <c r="I141" s="5">
        <v>381550.68</v>
      </c>
      <c r="J141" s="5">
        <v>381550.68</v>
      </c>
      <c r="K141" s="5">
        <v>381550.68</v>
      </c>
      <c r="L141" s="5">
        <v>381550.68</v>
      </c>
      <c r="M141" s="5">
        <v>381550.68</v>
      </c>
      <c r="N141" s="6"/>
      <c r="O141" s="6">
        <f t="shared" si="5"/>
        <v>2670854.7000000002</v>
      </c>
      <c r="P141" s="6">
        <f t="shared" si="6"/>
        <v>-2670854.7000000002</v>
      </c>
    </row>
    <row r="142" spans="2:16" x14ac:dyDescent="0.35">
      <c r="B142" t="s">
        <v>76</v>
      </c>
      <c r="C142" s="2" t="s">
        <v>76</v>
      </c>
      <c r="D142">
        <v>80124101</v>
      </c>
      <c r="E142">
        <v>61711102</v>
      </c>
      <c r="G142" s="5"/>
      <c r="H142" s="5"/>
      <c r="I142" s="5">
        <v>15284.77</v>
      </c>
      <c r="J142" s="5">
        <v>0</v>
      </c>
      <c r="K142" s="5">
        <v>15284.77</v>
      </c>
      <c r="L142" s="5">
        <v>0</v>
      </c>
      <c r="M142" s="5">
        <v>0</v>
      </c>
      <c r="N142" s="6"/>
      <c r="O142" s="6">
        <f t="shared" si="5"/>
        <v>30569.54</v>
      </c>
      <c r="P142" s="6">
        <f t="shared" si="6"/>
        <v>-30569.54</v>
      </c>
    </row>
    <row r="143" spans="2:16" x14ac:dyDescent="0.35">
      <c r="B143" t="s">
        <v>77</v>
      </c>
      <c r="C143" s="2" t="s">
        <v>77</v>
      </c>
      <c r="D143">
        <v>80124101</v>
      </c>
      <c r="E143">
        <v>61711102</v>
      </c>
      <c r="G143" s="5">
        <v>8809.5300000000007</v>
      </c>
      <c r="H143" s="5">
        <v>8809.5300000000007</v>
      </c>
      <c r="I143" s="5">
        <v>8809.5300000000007</v>
      </c>
      <c r="J143" s="5">
        <v>0</v>
      </c>
      <c r="K143" s="5">
        <v>0</v>
      </c>
      <c r="L143" s="5">
        <v>0</v>
      </c>
      <c r="M143" s="5">
        <v>0</v>
      </c>
      <c r="N143" s="6"/>
      <c r="O143" s="6">
        <f t="shared" si="5"/>
        <v>26428.590000000004</v>
      </c>
      <c r="P143" s="6">
        <f t="shared" si="6"/>
        <v>-26428.590000000004</v>
      </c>
    </row>
    <row r="144" spans="2:16" x14ac:dyDescent="0.35">
      <c r="B144" t="s">
        <v>77</v>
      </c>
      <c r="C144" s="2" t="s">
        <v>77</v>
      </c>
      <c r="D144">
        <v>81124101</v>
      </c>
      <c r="E144">
        <v>52952103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112142.86</v>
      </c>
      <c r="M144" s="5">
        <v>0</v>
      </c>
      <c r="N144" s="6"/>
      <c r="O144" s="6">
        <f t="shared" si="5"/>
        <v>112142.86</v>
      </c>
      <c r="P144" s="6">
        <f t="shared" si="6"/>
        <v>-112142.86</v>
      </c>
    </row>
    <row r="145" spans="2:16" x14ac:dyDescent="0.35">
      <c r="B145" t="s">
        <v>78</v>
      </c>
      <c r="C145" s="2" t="s">
        <v>78</v>
      </c>
      <c r="D145">
        <v>81124101</v>
      </c>
      <c r="E145">
        <v>52952103</v>
      </c>
      <c r="G145" s="5">
        <v>0</v>
      </c>
      <c r="H145" s="5">
        <v>26785.71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6"/>
      <c r="O145" s="6">
        <f t="shared" si="5"/>
        <v>26785.71</v>
      </c>
      <c r="P145" s="6">
        <f t="shared" si="6"/>
        <v>-26785.71</v>
      </c>
    </row>
    <row r="146" spans="2:16" x14ac:dyDescent="0.35">
      <c r="B146" t="s">
        <v>78</v>
      </c>
      <c r="C146" s="2" t="s">
        <v>78</v>
      </c>
      <c r="D146" s="2">
        <v>80124101</v>
      </c>
      <c r="E146" s="2">
        <v>61711102</v>
      </c>
      <c r="F146" s="2"/>
      <c r="G146" s="5"/>
      <c r="H146" s="5"/>
      <c r="I146" s="5"/>
      <c r="J146" s="5"/>
      <c r="K146" s="5">
        <v>133195.31</v>
      </c>
      <c r="L146" s="5">
        <v>0</v>
      </c>
      <c r="M146" s="5">
        <v>0</v>
      </c>
      <c r="N146" s="6"/>
      <c r="O146" s="6">
        <f t="shared" si="5"/>
        <v>133195.31</v>
      </c>
      <c r="P146" s="6">
        <f t="shared" si="6"/>
        <v>-133195.31</v>
      </c>
    </row>
    <row r="147" spans="2:16" x14ac:dyDescent="0.35">
      <c r="B147" t="s">
        <v>79</v>
      </c>
      <c r="C147" s="2" t="s">
        <v>79</v>
      </c>
      <c r="D147">
        <v>80124101</v>
      </c>
      <c r="E147">
        <v>61711102</v>
      </c>
      <c r="G147" s="5">
        <v>12343.75</v>
      </c>
      <c r="H147" s="5">
        <v>6171.88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/>
      <c r="O147" s="6">
        <f t="shared" si="5"/>
        <v>18515.63</v>
      </c>
      <c r="P147" s="6">
        <f t="shared" si="6"/>
        <v>-18515.63</v>
      </c>
    </row>
    <row r="148" spans="2:16" x14ac:dyDescent="0.35">
      <c r="B148" t="s">
        <v>79</v>
      </c>
      <c r="C148" s="2" t="s">
        <v>79</v>
      </c>
      <c r="D148" s="2">
        <v>81124101</v>
      </c>
      <c r="E148" s="2">
        <v>52952103</v>
      </c>
      <c r="F148" s="2"/>
      <c r="G148" s="5"/>
      <c r="H148" s="5"/>
      <c r="I148" s="5">
        <v>148125</v>
      </c>
      <c r="J148" s="5">
        <v>0</v>
      </c>
      <c r="K148" s="5">
        <v>0</v>
      </c>
      <c r="L148" s="5">
        <v>0</v>
      </c>
      <c r="M148" s="5">
        <v>0</v>
      </c>
      <c r="N148" s="6"/>
      <c r="O148" s="6">
        <f t="shared" si="5"/>
        <v>148125</v>
      </c>
      <c r="P148" s="6">
        <f t="shared" si="6"/>
        <v>-148125</v>
      </c>
    </row>
    <row r="149" spans="2:16" x14ac:dyDescent="0.35">
      <c r="B149" t="s">
        <v>80</v>
      </c>
      <c r="C149" s="2" t="s">
        <v>80</v>
      </c>
      <c r="D149">
        <v>80124101</v>
      </c>
      <c r="E149">
        <v>61711102</v>
      </c>
      <c r="G149" s="5">
        <v>10937.5</v>
      </c>
      <c r="H149" s="5">
        <v>5468.75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6"/>
      <c r="O149" s="6">
        <f t="shared" si="5"/>
        <v>16406.25</v>
      </c>
      <c r="P149" s="6">
        <f t="shared" si="6"/>
        <v>-16406.25</v>
      </c>
    </row>
    <row r="150" spans="2:16" x14ac:dyDescent="0.35">
      <c r="B150" t="s">
        <v>80</v>
      </c>
      <c r="C150" s="2" t="s">
        <v>80</v>
      </c>
      <c r="D150" s="2">
        <v>81124101</v>
      </c>
      <c r="E150" s="2">
        <v>52952103</v>
      </c>
      <c r="F150" s="2"/>
      <c r="G150" s="5"/>
      <c r="H150" s="5"/>
      <c r="I150" s="5">
        <v>155625</v>
      </c>
      <c r="J150" s="5">
        <v>0</v>
      </c>
      <c r="K150" s="5">
        <v>0</v>
      </c>
      <c r="L150" s="5">
        <v>0</v>
      </c>
      <c r="M150" s="5">
        <v>0</v>
      </c>
      <c r="N150" s="6"/>
      <c r="O150" s="6">
        <f t="shared" si="5"/>
        <v>155625</v>
      </c>
      <c r="P150" s="6">
        <f t="shared" si="6"/>
        <v>-155625</v>
      </c>
    </row>
    <row r="151" spans="2:16" x14ac:dyDescent="0.35">
      <c r="B151" t="s">
        <v>50</v>
      </c>
      <c r="C151" s="2" t="s">
        <v>50</v>
      </c>
      <c r="D151">
        <v>80124101</v>
      </c>
      <c r="E151">
        <v>61711102</v>
      </c>
      <c r="G151" s="5">
        <v>18973.21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/>
      <c r="O151" s="6">
        <f t="shared" si="5"/>
        <v>18973.21</v>
      </c>
      <c r="P151" s="6">
        <f t="shared" si="6"/>
        <v>-18973.21</v>
      </c>
    </row>
    <row r="152" spans="2:16" x14ac:dyDescent="0.35">
      <c r="B152" t="s">
        <v>81</v>
      </c>
      <c r="C152" s="2" t="s">
        <v>81</v>
      </c>
      <c r="D152" s="2">
        <v>90124101</v>
      </c>
      <c r="E152" s="2">
        <v>52952103</v>
      </c>
      <c r="F152" s="2"/>
      <c r="G152" s="5"/>
      <c r="H152" s="5"/>
      <c r="I152" s="5"/>
      <c r="J152" s="5"/>
      <c r="K152" s="5"/>
      <c r="L152" s="5">
        <v>4029.9</v>
      </c>
      <c r="M152" s="5">
        <v>0</v>
      </c>
      <c r="N152" s="6"/>
      <c r="O152" s="6">
        <f t="shared" si="5"/>
        <v>4029.9</v>
      </c>
      <c r="P152" s="6">
        <f t="shared" si="6"/>
        <v>-4029.9</v>
      </c>
    </row>
    <row r="153" spans="2:16" x14ac:dyDescent="0.35">
      <c r="B153" t="s">
        <v>82</v>
      </c>
      <c r="C153" s="2" t="s">
        <v>83</v>
      </c>
      <c r="D153">
        <v>81124101</v>
      </c>
      <c r="E153">
        <v>52952103</v>
      </c>
      <c r="G153" s="5">
        <v>0</v>
      </c>
      <c r="H153" s="5">
        <v>14558.28</v>
      </c>
      <c r="I153" s="5">
        <v>14317.2</v>
      </c>
      <c r="J153" s="5">
        <v>14877.59</v>
      </c>
      <c r="K153" s="5">
        <v>10692.94</v>
      </c>
      <c r="L153" s="5">
        <v>9485.2999999999993</v>
      </c>
      <c r="M153" s="5">
        <v>9444.1</v>
      </c>
      <c r="N153" s="6"/>
      <c r="O153" s="6">
        <f t="shared" si="5"/>
        <v>73375.410000000018</v>
      </c>
      <c r="P153" s="6">
        <f t="shared" si="6"/>
        <v>-73375.410000000018</v>
      </c>
    </row>
    <row r="154" spans="2:16" x14ac:dyDescent="0.35">
      <c r="B154" t="s">
        <v>82</v>
      </c>
      <c r="C154" s="2" t="s">
        <v>83</v>
      </c>
      <c r="D154" s="2">
        <v>81124101</v>
      </c>
      <c r="E154" s="2">
        <v>52952103</v>
      </c>
      <c r="F154" s="2"/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7109.31</v>
      </c>
      <c r="M154" s="5">
        <v>16997.82</v>
      </c>
      <c r="N154" s="6"/>
      <c r="O154" s="6">
        <f t="shared" si="5"/>
        <v>24107.13</v>
      </c>
      <c r="P154" s="6">
        <f t="shared" si="6"/>
        <v>-24107.13</v>
      </c>
    </row>
    <row r="155" spans="2:16" x14ac:dyDescent="0.35">
      <c r="B155" t="s">
        <v>82</v>
      </c>
      <c r="C155" s="2" t="s">
        <v>83</v>
      </c>
      <c r="D155">
        <v>80124101</v>
      </c>
      <c r="E155">
        <v>61711102</v>
      </c>
      <c r="G155" s="5">
        <v>0</v>
      </c>
      <c r="H155" s="5">
        <v>6393.4</v>
      </c>
      <c r="I155" s="5">
        <v>6407.84</v>
      </c>
      <c r="J155" s="5">
        <v>6268.1</v>
      </c>
      <c r="K155" s="5">
        <v>6607.44</v>
      </c>
      <c r="L155" s="5">
        <v>6694.45</v>
      </c>
      <c r="M155" s="5">
        <v>6989.66</v>
      </c>
      <c r="N155" s="6"/>
      <c r="O155" s="6">
        <f t="shared" si="5"/>
        <v>39360.89</v>
      </c>
      <c r="P155" s="6">
        <f t="shared" si="6"/>
        <v>-39360.89</v>
      </c>
    </row>
    <row r="156" spans="2:16" x14ac:dyDescent="0.35">
      <c r="B156" t="s">
        <v>82</v>
      </c>
      <c r="C156" s="2" t="s">
        <v>83</v>
      </c>
      <c r="D156">
        <v>80124101</v>
      </c>
      <c r="E156">
        <v>61711102</v>
      </c>
      <c r="G156" s="5">
        <v>0</v>
      </c>
      <c r="H156" s="5">
        <v>35741.910000000003</v>
      </c>
      <c r="I156" s="5">
        <v>35287.480000000003</v>
      </c>
      <c r="J156" s="5">
        <v>35755.18</v>
      </c>
      <c r="K156" s="5">
        <v>36181.29</v>
      </c>
      <c r="L156" s="5">
        <v>37183.58</v>
      </c>
      <c r="M156" s="5">
        <v>36661.629999999997</v>
      </c>
      <c r="N156" s="6"/>
      <c r="O156" s="6">
        <f t="shared" si="5"/>
        <v>216811.07</v>
      </c>
      <c r="P156" s="6">
        <f t="shared" si="6"/>
        <v>-216811.07</v>
      </c>
    </row>
    <row r="157" spans="2:16" x14ac:dyDescent="0.35">
      <c r="B157" t="s">
        <v>84</v>
      </c>
      <c r="C157" s="2" t="s">
        <v>84</v>
      </c>
      <c r="D157" s="2">
        <v>80124101</v>
      </c>
      <c r="E157" s="2">
        <v>61711102</v>
      </c>
      <c r="F157" s="2"/>
      <c r="G157" s="5"/>
      <c r="H157" s="5">
        <v>2132.0700000000002</v>
      </c>
      <c r="I157" s="5">
        <v>2132.37</v>
      </c>
      <c r="J157" s="5">
        <v>2108.61</v>
      </c>
      <c r="K157" s="5">
        <v>2195.9</v>
      </c>
      <c r="L157" s="5">
        <v>2226.0700000000002</v>
      </c>
      <c r="M157" s="5">
        <v>2239.37</v>
      </c>
      <c r="N157" s="6"/>
      <c r="O157" s="6">
        <f t="shared" si="5"/>
        <v>13034.39</v>
      </c>
      <c r="P157" s="6">
        <f t="shared" si="6"/>
        <v>-13034.39</v>
      </c>
    </row>
    <row r="158" spans="2:16" x14ac:dyDescent="0.35">
      <c r="B158" t="s">
        <v>85</v>
      </c>
      <c r="C158" s="2" t="s">
        <v>85</v>
      </c>
      <c r="D158" s="2">
        <v>80124101</v>
      </c>
      <c r="E158" s="2">
        <v>61711102</v>
      </c>
      <c r="F158" s="2"/>
      <c r="G158" s="5"/>
      <c r="H158" s="5">
        <v>135192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6"/>
      <c r="O158" s="6">
        <f t="shared" si="5"/>
        <v>135192</v>
      </c>
      <c r="P158" s="6">
        <f t="shared" si="6"/>
        <v>-135192</v>
      </c>
    </row>
    <row r="159" spans="2:16" x14ac:dyDescent="0.35">
      <c r="B159" t="s">
        <v>30</v>
      </c>
      <c r="C159" s="2" t="s">
        <v>30</v>
      </c>
      <c r="D159">
        <v>80123102</v>
      </c>
      <c r="E159">
        <v>61721101</v>
      </c>
      <c r="G159" s="5">
        <v>48004.35</v>
      </c>
      <c r="H159" s="5">
        <v>78305.610000000059</v>
      </c>
      <c r="I159" s="5">
        <v>76806.760000000038</v>
      </c>
      <c r="J159" s="5">
        <v>74313.800000000047</v>
      </c>
      <c r="K159" s="5">
        <v>72410.310000000027</v>
      </c>
      <c r="L159" s="5">
        <v>70409.73</v>
      </c>
      <c r="M159" s="5">
        <v>28382.89999999998</v>
      </c>
      <c r="N159" s="6"/>
      <c r="O159" s="6">
        <f t="shared" si="5"/>
        <v>448633.46000000014</v>
      </c>
      <c r="P159" s="6">
        <f t="shared" si="6"/>
        <v>-448633.46000000014</v>
      </c>
    </row>
    <row r="160" spans="2:16" x14ac:dyDescent="0.35">
      <c r="B160" t="s">
        <v>86</v>
      </c>
      <c r="C160" s="2" t="s">
        <v>87</v>
      </c>
      <c r="D160">
        <v>80124101</v>
      </c>
      <c r="E160">
        <v>61721105</v>
      </c>
      <c r="G160" s="5">
        <v>165000</v>
      </c>
      <c r="H160" s="5">
        <v>165000</v>
      </c>
      <c r="I160" s="5">
        <v>165000</v>
      </c>
      <c r="J160" s="5">
        <v>165000</v>
      </c>
      <c r="K160" s="5">
        <v>165000</v>
      </c>
      <c r="L160" s="5">
        <v>165000</v>
      </c>
      <c r="M160" s="5">
        <v>165000</v>
      </c>
      <c r="N160" s="6"/>
      <c r="O160" s="6">
        <f t="shared" si="5"/>
        <v>1155000</v>
      </c>
      <c r="P160" s="6">
        <f t="shared" si="6"/>
        <v>-1155000</v>
      </c>
    </row>
    <row r="161" spans="2:16" x14ac:dyDescent="0.35">
      <c r="B161" t="s">
        <v>86</v>
      </c>
      <c r="C161" s="2" t="s">
        <v>88</v>
      </c>
      <c r="D161">
        <v>80124101</v>
      </c>
      <c r="E161">
        <v>61721105</v>
      </c>
      <c r="G161" s="5">
        <v>115000</v>
      </c>
      <c r="H161" s="5">
        <v>115000</v>
      </c>
      <c r="I161" s="5">
        <v>115000</v>
      </c>
      <c r="J161" s="5">
        <v>115000</v>
      </c>
      <c r="K161" s="5">
        <v>115000</v>
      </c>
      <c r="L161" s="5">
        <v>115000</v>
      </c>
      <c r="M161" s="5">
        <v>115000</v>
      </c>
      <c r="N161" s="6"/>
      <c r="O161" s="6">
        <f t="shared" si="5"/>
        <v>805000</v>
      </c>
      <c r="P161" s="6">
        <f t="shared" si="6"/>
        <v>-805000</v>
      </c>
    </row>
    <row r="162" spans="2:16" x14ac:dyDescent="0.35">
      <c r="B162" t="s">
        <v>86</v>
      </c>
      <c r="C162" s="2" t="s">
        <v>89</v>
      </c>
      <c r="D162">
        <v>80124101</v>
      </c>
      <c r="E162">
        <v>61721105</v>
      </c>
      <c r="G162" s="5">
        <v>41530</v>
      </c>
      <c r="H162" s="5">
        <v>41530</v>
      </c>
      <c r="I162" s="5">
        <v>41530</v>
      </c>
      <c r="J162" s="5">
        <v>41530</v>
      </c>
      <c r="K162" s="5">
        <v>41530</v>
      </c>
      <c r="L162" s="5">
        <v>41530</v>
      </c>
      <c r="M162" s="5">
        <v>41530</v>
      </c>
      <c r="N162" s="6"/>
      <c r="O162" s="6">
        <f t="shared" si="5"/>
        <v>290710</v>
      </c>
      <c r="P162" s="6">
        <f t="shared" si="6"/>
        <v>-290710</v>
      </c>
    </row>
    <row r="163" spans="2:16" x14ac:dyDescent="0.35">
      <c r="B163" t="s">
        <v>86</v>
      </c>
      <c r="C163" s="2" t="s">
        <v>90</v>
      </c>
      <c r="D163">
        <v>80124101</v>
      </c>
      <c r="E163">
        <v>61721105</v>
      </c>
      <c r="G163" s="5">
        <v>0</v>
      </c>
      <c r="H163" s="5">
        <v>53022</v>
      </c>
      <c r="I163" s="5">
        <v>53022</v>
      </c>
      <c r="J163" s="5">
        <v>53022</v>
      </c>
      <c r="K163" s="5">
        <v>53022</v>
      </c>
      <c r="L163" s="5">
        <v>53022</v>
      </c>
      <c r="M163" s="5">
        <v>53022</v>
      </c>
      <c r="N163" s="6"/>
      <c r="O163" s="6">
        <f t="shared" si="5"/>
        <v>318132</v>
      </c>
      <c r="P163" s="6">
        <f t="shared" si="6"/>
        <v>-318132</v>
      </c>
    </row>
    <row r="164" spans="2:16" x14ac:dyDescent="0.35">
      <c r="B164" t="s">
        <v>86</v>
      </c>
      <c r="C164" s="2" t="s">
        <v>90</v>
      </c>
      <c r="D164">
        <v>80123102</v>
      </c>
      <c r="E164">
        <v>61721105</v>
      </c>
      <c r="G164" s="5">
        <v>53022</v>
      </c>
      <c r="H164" s="5">
        <v>0</v>
      </c>
      <c r="I164" s="5">
        <v>0</v>
      </c>
      <c r="J164" s="5">
        <v>0</v>
      </c>
      <c r="K164" s="6"/>
      <c r="L164" s="5">
        <v>0</v>
      </c>
      <c r="M164" s="5">
        <v>0</v>
      </c>
      <c r="N164" s="6"/>
      <c r="O164" s="6">
        <f t="shared" si="5"/>
        <v>53022</v>
      </c>
      <c r="P164" s="6">
        <f t="shared" si="6"/>
        <v>-53022</v>
      </c>
    </row>
    <row r="165" spans="2:16" x14ac:dyDescent="0.35">
      <c r="B165" t="s">
        <v>86</v>
      </c>
      <c r="C165" s="2" t="s">
        <v>91</v>
      </c>
      <c r="D165">
        <v>80124101</v>
      </c>
      <c r="E165">
        <v>61721105</v>
      </c>
      <c r="G165" s="5">
        <v>50000</v>
      </c>
      <c r="H165" s="5">
        <v>50000</v>
      </c>
      <c r="I165" s="5">
        <v>50000</v>
      </c>
      <c r="J165" s="5">
        <v>50000</v>
      </c>
      <c r="K165" s="5">
        <v>50000</v>
      </c>
      <c r="L165" s="5">
        <v>50000</v>
      </c>
      <c r="M165" s="5">
        <v>50000</v>
      </c>
      <c r="N165" s="6"/>
      <c r="O165" s="6">
        <f t="shared" si="5"/>
        <v>350000</v>
      </c>
      <c r="P165" s="6">
        <f t="shared" si="6"/>
        <v>-350000</v>
      </c>
    </row>
    <row r="166" spans="2:16" x14ac:dyDescent="0.35">
      <c r="B166" t="s">
        <v>86</v>
      </c>
      <c r="C166" s="2" t="s">
        <v>92</v>
      </c>
      <c r="D166">
        <v>80124101</v>
      </c>
      <c r="E166">
        <v>61721105</v>
      </c>
      <c r="G166" s="5">
        <v>45000</v>
      </c>
      <c r="H166" s="5">
        <v>45000</v>
      </c>
      <c r="I166" s="5">
        <v>45000</v>
      </c>
      <c r="J166" s="5">
        <v>45000</v>
      </c>
      <c r="K166" s="5">
        <v>45000</v>
      </c>
      <c r="L166" s="5">
        <v>45000</v>
      </c>
      <c r="M166" s="5">
        <v>45000</v>
      </c>
      <c r="N166" s="6"/>
      <c r="O166" s="6">
        <f t="shared" si="5"/>
        <v>315000</v>
      </c>
      <c r="P166" s="6">
        <f t="shared" si="6"/>
        <v>-315000</v>
      </c>
    </row>
    <row r="167" spans="2:16" x14ac:dyDescent="0.35">
      <c r="B167" t="s">
        <v>93</v>
      </c>
      <c r="C167" s="2" t="s">
        <v>94</v>
      </c>
      <c r="D167">
        <v>90122101</v>
      </c>
      <c r="E167">
        <v>61071099</v>
      </c>
      <c r="G167" s="5">
        <v>0</v>
      </c>
      <c r="H167" s="5">
        <v>0</v>
      </c>
      <c r="I167" s="5">
        <v>75000</v>
      </c>
      <c r="J167" s="5">
        <v>0</v>
      </c>
      <c r="K167" s="5">
        <v>0</v>
      </c>
      <c r="L167" s="5">
        <v>0</v>
      </c>
      <c r="M167" s="5">
        <v>0</v>
      </c>
      <c r="N167" s="6"/>
      <c r="O167" s="6">
        <f t="shared" si="5"/>
        <v>75000</v>
      </c>
      <c r="P167" s="6">
        <f t="shared" si="6"/>
        <v>-75000</v>
      </c>
    </row>
    <row r="168" spans="2:16" x14ac:dyDescent="0.35">
      <c r="B168" t="s">
        <v>93</v>
      </c>
      <c r="C168" s="2" t="s">
        <v>94</v>
      </c>
      <c r="D168">
        <v>81122101</v>
      </c>
      <c r="E168">
        <v>52071199</v>
      </c>
      <c r="G168" s="5">
        <v>0</v>
      </c>
      <c r="H168" s="5">
        <v>0</v>
      </c>
      <c r="I168" s="5">
        <v>55000</v>
      </c>
      <c r="J168" s="5">
        <v>0</v>
      </c>
      <c r="K168" s="5">
        <v>0</v>
      </c>
      <c r="L168" s="5">
        <v>0</v>
      </c>
      <c r="M168" s="5">
        <v>0</v>
      </c>
      <c r="N168" s="6"/>
      <c r="O168" s="6">
        <f t="shared" si="5"/>
        <v>55000</v>
      </c>
      <c r="P168" s="6">
        <f t="shared" si="6"/>
        <v>-55000</v>
      </c>
    </row>
    <row r="169" spans="2:16" x14ac:dyDescent="0.35">
      <c r="B169" t="s">
        <v>93</v>
      </c>
      <c r="C169" s="2" t="s">
        <v>94</v>
      </c>
      <c r="D169">
        <v>80122101</v>
      </c>
      <c r="E169">
        <v>61071099</v>
      </c>
      <c r="G169" s="5">
        <v>0</v>
      </c>
      <c r="H169" s="5">
        <v>100</v>
      </c>
      <c r="I169" s="5">
        <v>38191.67</v>
      </c>
      <c r="J169" s="5">
        <v>0</v>
      </c>
      <c r="K169" s="5">
        <v>0</v>
      </c>
      <c r="L169" s="5">
        <v>0</v>
      </c>
      <c r="M169" s="5">
        <v>0</v>
      </c>
      <c r="N169" s="6"/>
      <c r="O169" s="6">
        <f t="shared" si="5"/>
        <v>38291.67</v>
      </c>
      <c r="P169" s="6">
        <f t="shared" si="6"/>
        <v>-38291.67</v>
      </c>
    </row>
    <row r="170" spans="2:16" x14ac:dyDescent="0.35">
      <c r="B170" t="s">
        <v>93</v>
      </c>
      <c r="C170" s="2" t="s">
        <v>95</v>
      </c>
      <c r="D170">
        <v>90122101</v>
      </c>
      <c r="E170">
        <v>52071104</v>
      </c>
      <c r="G170" s="5">
        <v>0</v>
      </c>
      <c r="H170" s="5">
        <v>73684.22</v>
      </c>
      <c r="I170" s="5">
        <v>147368.44</v>
      </c>
      <c r="J170" s="5">
        <v>-184210.55</v>
      </c>
      <c r="K170" s="5">
        <v>-36842.11</v>
      </c>
      <c r="L170" s="5">
        <v>36842.1</v>
      </c>
      <c r="M170" s="5">
        <v>0</v>
      </c>
      <c r="N170" s="6"/>
      <c r="O170" s="6">
        <f t="shared" si="5"/>
        <v>36842.100000000013</v>
      </c>
      <c r="P170" s="6">
        <f t="shared" si="6"/>
        <v>-36842.100000000013</v>
      </c>
    </row>
    <row r="171" spans="2:16" x14ac:dyDescent="0.35">
      <c r="B171" t="s">
        <v>93</v>
      </c>
      <c r="C171" s="2" t="s">
        <v>95</v>
      </c>
      <c r="D171" s="2">
        <v>90122101</v>
      </c>
      <c r="E171" s="2">
        <v>52041499</v>
      </c>
      <c r="F171" s="2"/>
      <c r="G171" s="5">
        <v>0</v>
      </c>
      <c r="H171" s="5">
        <v>0</v>
      </c>
      <c r="I171" s="5">
        <v>-110526.33</v>
      </c>
      <c r="J171" s="5">
        <v>221052.65999999997</v>
      </c>
      <c r="K171" s="5">
        <v>73684.209999999992</v>
      </c>
      <c r="L171" s="5">
        <v>0</v>
      </c>
      <c r="M171" s="5">
        <v>0</v>
      </c>
      <c r="N171" s="6"/>
      <c r="O171" s="6">
        <f t="shared" si="5"/>
        <v>184210.53999999998</v>
      </c>
      <c r="P171" s="6">
        <f t="shared" si="6"/>
        <v>-184210.53999999998</v>
      </c>
    </row>
    <row r="172" spans="2:16" x14ac:dyDescent="0.35">
      <c r="B172" t="s">
        <v>7</v>
      </c>
      <c r="C172" s="2" t="s">
        <v>6</v>
      </c>
      <c r="D172" s="2">
        <v>81122101</v>
      </c>
      <c r="E172" s="2">
        <v>52071199</v>
      </c>
      <c r="F172" s="2"/>
      <c r="G172" s="5"/>
      <c r="H172" s="5"/>
      <c r="I172" s="5"/>
      <c r="J172" s="5"/>
      <c r="K172" s="5">
        <v>100</v>
      </c>
      <c r="L172" s="5">
        <v>0</v>
      </c>
      <c r="M172" s="5">
        <v>0</v>
      </c>
      <c r="N172" s="6"/>
      <c r="O172" s="6">
        <f t="shared" si="5"/>
        <v>100</v>
      </c>
      <c r="P172" s="6">
        <f t="shared" si="6"/>
        <v>-100</v>
      </c>
    </row>
    <row r="173" spans="2:16" x14ac:dyDescent="0.35">
      <c r="B173" t="s">
        <v>96</v>
      </c>
      <c r="C173" s="2" t="s">
        <v>97</v>
      </c>
      <c r="D173">
        <v>90122101</v>
      </c>
      <c r="E173">
        <v>52121315</v>
      </c>
      <c r="G173" s="5">
        <v>48635.38</v>
      </c>
      <c r="H173" s="5">
        <v>48635.42</v>
      </c>
      <c r="I173" s="5">
        <v>48635.42</v>
      </c>
      <c r="J173" s="5">
        <v>48635.42</v>
      </c>
      <c r="K173" s="5">
        <v>48635.42</v>
      </c>
      <c r="L173" s="5">
        <v>48635.42</v>
      </c>
      <c r="M173" s="5">
        <v>48635.42</v>
      </c>
      <c r="N173" s="6"/>
      <c r="O173" s="6">
        <f t="shared" si="5"/>
        <v>340447.89999999991</v>
      </c>
      <c r="P173" s="6">
        <f t="shared" si="6"/>
        <v>-340447.89999999991</v>
      </c>
    </row>
    <row r="174" spans="2:16" x14ac:dyDescent="0.35">
      <c r="B174" t="s">
        <v>96</v>
      </c>
      <c r="C174" s="2" t="s">
        <v>98</v>
      </c>
      <c r="D174">
        <v>80122101</v>
      </c>
      <c r="E174">
        <v>61021316</v>
      </c>
      <c r="G174" s="5">
        <v>0</v>
      </c>
      <c r="H174" s="5">
        <v>0</v>
      </c>
      <c r="I174" s="5">
        <v>5220</v>
      </c>
      <c r="J174" s="5">
        <v>0</v>
      </c>
      <c r="K174" s="5">
        <v>0</v>
      </c>
      <c r="L174" s="5">
        <v>0</v>
      </c>
      <c r="M174" s="5">
        <v>10440</v>
      </c>
      <c r="N174" s="6"/>
      <c r="O174" s="6">
        <f t="shared" si="5"/>
        <v>15660</v>
      </c>
      <c r="P174" s="6">
        <f t="shared" si="6"/>
        <v>-15660</v>
      </c>
    </row>
    <row r="175" spans="2:16" x14ac:dyDescent="0.35">
      <c r="B175" t="s">
        <v>96</v>
      </c>
      <c r="C175" s="2" t="s">
        <v>98</v>
      </c>
      <c r="D175">
        <v>81122101</v>
      </c>
      <c r="E175">
        <v>52121315</v>
      </c>
      <c r="G175" s="5">
        <v>0</v>
      </c>
      <c r="H175" s="5">
        <v>0</v>
      </c>
      <c r="I175" s="5">
        <v>3480</v>
      </c>
      <c r="J175" s="5">
        <v>0</v>
      </c>
      <c r="K175" s="5">
        <v>0</v>
      </c>
      <c r="L175" s="5">
        <v>1740</v>
      </c>
      <c r="M175" s="5">
        <v>0</v>
      </c>
      <c r="N175" s="6"/>
      <c r="O175" s="6">
        <f t="shared" si="5"/>
        <v>5220</v>
      </c>
      <c r="P175" s="6">
        <f t="shared" si="6"/>
        <v>-5220</v>
      </c>
    </row>
    <row r="176" spans="2:16" x14ac:dyDescent="0.35">
      <c r="B176" t="s">
        <v>96</v>
      </c>
      <c r="C176" s="2" t="s">
        <v>98</v>
      </c>
      <c r="D176">
        <v>90122101</v>
      </c>
      <c r="E176">
        <v>52121315</v>
      </c>
      <c r="G176" s="5">
        <v>0</v>
      </c>
      <c r="H176" s="5">
        <v>0</v>
      </c>
      <c r="I176" s="5">
        <v>0</v>
      </c>
      <c r="J176" s="5">
        <v>5220</v>
      </c>
      <c r="K176" s="5">
        <v>1740</v>
      </c>
      <c r="L176" s="5">
        <v>3480</v>
      </c>
      <c r="M176" s="5">
        <v>0</v>
      </c>
      <c r="N176" s="6"/>
      <c r="O176" s="6">
        <f t="shared" si="5"/>
        <v>10440</v>
      </c>
      <c r="P176" s="6">
        <f t="shared" si="6"/>
        <v>-10440</v>
      </c>
    </row>
    <row r="177" spans="2:16" x14ac:dyDescent="0.35">
      <c r="B177" t="s">
        <v>99</v>
      </c>
      <c r="C177" s="2" t="s">
        <v>100</v>
      </c>
      <c r="D177" s="2">
        <v>90122101</v>
      </c>
      <c r="E177" s="2">
        <v>52121315</v>
      </c>
      <c r="F177" s="2"/>
      <c r="G177" s="5"/>
      <c r="H177" s="5"/>
      <c r="I177" s="5"/>
      <c r="J177" s="5"/>
      <c r="K177" s="5">
        <v>54000</v>
      </c>
      <c r="L177" s="5">
        <v>0</v>
      </c>
      <c r="M177" s="5">
        <v>0</v>
      </c>
      <c r="N177" s="6"/>
      <c r="O177" s="6">
        <f t="shared" si="5"/>
        <v>54000</v>
      </c>
      <c r="P177" s="6">
        <f t="shared" si="6"/>
        <v>-54000</v>
      </c>
    </row>
    <row r="178" spans="2:16" x14ac:dyDescent="0.35">
      <c r="B178" t="s">
        <v>101</v>
      </c>
      <c r="C178" s="2" t="s">
        <v>102</v>
      </c>
      <c r="D178">
        <v>90111101</v>
      </c>
      <c r="E178">
        <v>61021206</v>
      </c>
      <c r="G178" s="5">
        <v>0</v>
      </c>
      <c r="H178" s="5">
        <v>0</v>
      </c>
      <c r="I178" s="5">
        <v>26593.63</v>
      </c>
      <c r="J178" s="5">
        <v>20835.63</v>
      </c>
      <c r="K178" s="5">
        <v>0</v>
      </c>
      <c r="L178" s="5">
        <v>20890.260000000002</v>
      </c>
      <c r="M178" s="5">
        <v>18233.759999999998</v>
      </c>
      <c r="N178" s="6"/>
      <c r="O178" s="6">
        <f t="shared" si="5"/>
        <v>86553.279999999999</v>
      </c>
      <c r="P178" s="6">
        <f t="shared" si="6"/>
        <v>-86553.279999999999</v>
      </c>
    </row>
    <row r="179" spans="2:16" x14ac:dyDescent="0.35">
      <c r="B179" t="s">
        <v>103</v>
      </c>
      <c r="C179" t="s">
        <v>104</v>
      </c>
      <c r="D179">
        <v>81122101</v>
      </c>
      <c r="E179">
        <v>52121401</v>
      </c>
      <c r="G179" s="5">
        <v>0</v>
      </c>
      <c r="H179" s="5">
        <v>0</v>
      </c>
      <c r="I179" s="5">
        <v>0</v>
      </c>
      <c r="J179" s="5">
        <v>0</v>
      </c>
      <c r="K179" s="5">
        <v>2289544.64</v>
      </c>
      <c r="L179" s="5">
        <v>42074.11</v>
      </c>
      <c r="M179" s="5">
        <v>0</v>
      </c>
      <c r="N179" s="6"/>
      <c r="O179" s="6">
        <f t="shared" si="5"/>
        <v>2331618.75</v>
      </c>
      <c r="P179" s="6">
        <f t="shared" si="6"/>
        <v>-2331618.75</v>
      </c>
    </row>
    <row r="180" spans="2:16" x14ac:dyDescent="0.35">
      <c r="B180" t="s">
        <v>7</v>
      </c>
      <c r="C180" s="2" t="s">
        <v>6</v>
      </c>
      <c r="D180">
        <v>81122101</v>
      </c>
      <c r="E180">
        <v>52121402</v>
      </c>
      <c r="G180" s="5">
        <v>0</v>
      </c>
      <c r="H180" s="5">
        <v>0</v>
      </c>
      <c r="I180" s="5">
        <v>0</v>
      </c>
      <c r="J180" s="5">
        <v>900</v>
      </c>
      <c r="K180" s="5">
        <v>0</v>
      </c>
      <c r="L180" s="5">
        <v>0</v>
      </c>
      <c r="M180" s="5">
        <v>0</v>
      </c>
      <c r="N180" s="6"/>
      <c r="O180" s="6">
        <f t="shared" si="5"/>
        <v>900</v>
      </c>
      <c r="P180" s="6">
        <f t="shared" si="6"/>
        <v>-900</v>
      </c>
    </row>
    <row r="181" spans="2:16" x14ac:dyDescent="0.35">
      <c r="B181" t="s">
        <v>103</v>
      </c>
      <c r="C181" s="2" t="s">
        <v>105</v>
      </c>
      <c r="D181">
        <v>81122101</v>
      </c>
      <c r="E181">
        <v>52121401</v>
      </c>
      <c r="G181" s="5"/>
      <c r="H181" s="5"/>
      <c r="I181" s="5">
        <v>5010</v>
      </c>
      <c r="J181" s="5">
        <v>0</v>
      </c>
      <c r="K181" s="5">
        <v>0</v>
      </c>
      <c r="L181" s="5">
        <v>0</v>
      </c>
      <c r="M181" s="5">
        <v>0</v>
      </c>
      <c r="N181" s="6"/>
      <c r="O181" s="6">
        <f t="shared" si="5"/>
        <v>5010</v>
      </c>
      <c r="P181" s="6">
        <f t="shared" si="6"/>
        <v>-5010</v>
      </c>
    </row>
    <row r="182" spans="2:16" x14ac:dyDescent="0.35">
      <c r="B182" t="s">
        <v>106</v>
      </c>
      <c r="C182" t="s">
        <v>107</v>
      </c>
      <c r="D182">
        <v>81122101</v>
      </c>
      <c r="E182">
        <v>52121402</v>
      </c>
      <c r="G182" s="5">
        <v>0</v>
      </c>
      <c r="H182" s="5">
        <v>1000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6"/>
      <c r="O182" s="6">
        <f t="shared" si="5"/>
        <v>1000</v>
      </c>
      <c r="P182" s="6">
        <f t="shared" si="6"/>
        <v>-1000</v>
      </c>
    </row>
    <row r="183" spans="2:16" x14ac:dyDescent="0.35">
      <c r="B183" t="s">
        <v>106</v>
      </c>
      <c r="C183" t="s">
        <v>107</v>
      </c>
      <c r="D183">
        <v>81122101</v>
      </c>
      <c r="E183">
        <v>52121401</v>
      </c>
      <c r="G183" s="5"/>
      <c r="H183" s="5"/>
      <c r="I183" s="5">
        <v>16601.29</v>
      </c>
      <c r="J183" s="5">
        <v>0</v>
      </c>
      <c r="K183" s="6"/>
      <c r="L183" s="5">
        <v>0</v>
      </c>
      <c r="M183" s="5">
        <v>0</v>
      </c>
      <c r="N183" s="6"/>
      <c r="O183" s="6">
        <f t="shared" si="5"/>
        <v>16601.29</v>
      </c>
      <c r="P183" s="6">
        <f t="shared" si="6"/>
        <v>-16601.29</v>
      </c>
    </row>
    <row r="184" spans="2:16" x14ac:dyDescent="0.35">
      <c r="B184" t="s">
        <v>106</v>
      </c>
      <c r="C184" t="s">
        <v>108</v>
      </c>
      <c r="D184">
        <v>81122101</v>
      </c>
      <c r="E184">
        <v>52121402</v>
      </c>
      <c r="G184" s="5">
        <v>0</v>
      </c>
      <c r="H184" s="5">
        <v>0</v>
      </c>
      <c r="I184" s="5">
        <v>0</v>
      </c>
      <c r="J184" s="5">
        <v>214285.71</v>
      </c>
      <c r="K184" s="6"/>
      <c r="L184" s="5">
        <v>0</v>
      </c>
      <c r="M184" s="5">
        <v>0</v>
      </c>
      <c r="N184" s="6"/>
      <c r="O184" s="6">
        <f t="shared" si="5"/>
        <v>214285.71</v>
      </c>
      <c r="P184" s="6">
        <f t="shared" si="6"/>
        <v>-214285.71</v>
      </c>
    </row>
    <row r="185" spans="2:16" x14ac:dyDescent="0.35">
      <c r="B185" t="s">
        <v>22</v>
      </c>
      <c r="C185" t="s">
        <v>109</v>
      </c>
      <c r="D185">
        <v>81122101</v>
      </c>
      <c r="E185">
        <v>52111101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6"/>
      <c r="O185" s="6">
        <f t="shared" si="5"/>
        <v>0</v>
      </c>
      <c r="P185" s="6">
        <f t="shared" si="6"/>
        <v>0</v>
      </c>
    </row>
    <row r="186" spans="2:16" x14ac:dyDescent="0.35">
      <c r="B186" t="s">
        <v>22</v>
      </c>
      <c r="C186" t="s">
        <v>109</v>
      </c>
      <c r="D186">
        <v>90122101</v>
      </c>
      <c r="E186">
        <v>52121402</v>
      </c>
      <c r="G186" s="5">
        <v>89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6"/>
      <c r="O186" s="6">
        <f t="shared" si="5"/>
        <v>89</v>
      </c>
      <c r="P186" s="6">
        <f t="shared" si="6"/>
        <v>-89</v>
      </c>
    </row>
    <row r="187" spans="2:16" x14ac:dyDescent="0.35">
      <c r="B187" t="s">
        <v>22</v>
      </c>
      <c r="C187" t="s">
        <v>109</v>
      </c>
      <c r="D187">
        <v>81122101</v>
      </c>
      <c r="E187">
        <v>52121402</v>
      </c>
      <c r="G187" s="5">
        <v>95</v>
      </c>
      <c r="H187" s="5">
        <v>2967</v>
      </c>
      <c r="I187" s="5">
        <v>13029.46</v>
      </c>
      <c r="J187" s="5">
        <v>0</v>
      </c>
      <c r="K187" s="5">
        <v>2095</v>
      </c>
      <c r="L187" s="5">
        <v>0</v>
      </c>
      <c r="M187" s="5">
        <v>13326.98</v>
      </c>
      <c r="N187" s="6"/>
      <c r="O187" s="6">
        <f t="shared" si="5"/>
        <v>31513.439999999999</v>
      </c>
      <c r="P187" s="6">
        <f t="shared" si="6"/>
        <v>-31513.439999999999</v>
      </c>
    </row>
    <row r="188" spans="2:16" x14ac:dyDescent="0.35">
      <c r="B188" t="s">
        <v>106</v>
      </c>
      <c r="C188" t="s">
        <v>110</v>
      </c>
      <c r="D188">
        <v>90122101</v>
      </c>
      <c r="E188">
        <v>52121402</v>
      </c>
      <c r="G188" s="5">
        <v>0</v>
      </c>
      <c r="H188" s="5">
        <v>0</v>
      </c>
      <c r="I188" s="5">
        <v>30000</v>
      </c>
      <c r="J188" s="5">
        <v>0</v>
      </c>
      <c r="K188" s="5">
        <v>0</v>
      </c>
      <c r="L188" s="5">
        <v>0</v>
      </c>
      <c r="M188" s="5">
        <v>10000</v>
      </c>
      <c r="N188" s="6"/>
      <c r="O188" s="6">
        <f t="shared" si="5"/>
        <v>40000</v>
      </c>
      <c r="P188" s="6">
        <f t="shared" si="6"/>
        <v>-40000</v>
      </c>
    </row>
    <row r="189" spans="2:16" x14ac:dyDescent="0.35">
      <c r="B189" t="s">
        <v>106</v>
      </c>
      <c r="C189" t="s">
        <v>110</v>
      </c>
      <c r="D189">
        <v>81122101</v>
      </c>
      <c r="E189">
        <v>52121402</v>
      </c>
      <c r="G189" s="5">
        <v>3000</v>
      </c>
      <c r="H189" s="5">
        <v>0</v>
      </c>
      <c r="I189" s="5">
        <v>3900</v>
      </c>
      <c r="J189" s="5">
        <v>0</v>
      </c>
      <c r="K189" s="5">
        <v>3700</v>
      </c>
      <c r="L189" s="5">
        <v>0</v>
      </c>
      <c r="M189" s="5">
        <v>6000</v>
      </c>
      <c r="N189" s="6"/>
      <c r="O189" s="6">
        <f t="shared" si="5"/>
        <v>16600</v>
      </c>
      <c r="P189" s="6">
        <f t="shared" si="6"/>
        <v>-16600</v>
      </c>
    </row>
    <row r="190" spans="2:16" x14ac:dyDescent="0.35">
      <c r="B190" t="s">
        <v>106</v>
      </c>
      <c r="C190" t="s">
        <v>110</v>
      </c>
      <c r="D190">
        <v>80122101</v>
      </c>
      <c r="E190">
        <v>61021403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6"/>
      <c r="O190" s="6">
        <f t="shared" si="5"/>
        <v>0</v>
      </c>
      <c r="P190" s="6">
        <f t="shared" si="6"/>
        <v>0</v>
      </c>
    </row>
    <row r="191" spans="2:16" x14ac:dyDescent="0.35">
      <c r="B191" t="s">
        <v>106</v>
      </c>
      <c r="C191" t="s">
        <v>111</v>
      </c>
      <c r="D191">
        <v>81122101</v>
      </c>
      <c r="E191">
        <v>52121402</v>
      </c>
      <c r="G191" s="5">
        <v>0</v>
      </c>
      <c r="H191" s="5">
        <v>925</v>
      </c>
      <c r="I191" s="5">
        <v>0</v>
      </c>
      <c r="J191" s="5">
        <v>0</v>
      </c>
      <c r="K191" s="5">
        <v>0</v>
      </c>
      <c r="L191" s="5">
        <v>0</v>
      </c>
      <c r="M191" s="5">
        <v>986.85</v>
      </c>
      <c r="N191" s="6"/>
      <c r="O191" s="6">
        <f t="shared" si="5"/>
        <v>1911.85</v>
      </c>
      <c r="P191" s="6">
        <f t="shared" si="6"/>
        <v>-1911.85</v>
      </c>
    </row>
    <row r="192" spans="2:16" x14ac:dyDescent="0.35">
      <c r="B192" t="s">
        <v>106</v>
      </c>
      <c r="C192" t="s">
        <v>112</v>
      </c>
      <c r="D192">
        <v>90122101</v>
      </c>
      <c r="E192">
        <v>52121402</v>
      </c>
      <c r="G192" s="5"/>
      <c r="H192" s="5"/>
      <c r="I192" s="5">
        <v>28960</v>
      </c>
      <c r="J192" s="5">
        <v>0</v>
      </c>
      <c r="K192" s="5">
        <v>0</v>
      </c>
      <c r="L192" s="5">
        <v>0</v>
      </c>
      <c r="M192" s="5">
        <v>0</v>
      </c>
      <c r="N192" s="6"/>
      <c r="O192" s="6">
        <f t="shared" si="5"/>
        <v>28960</v>
      </c>
      <c r="P192" s="6">
        <f t="shared" si="6"/>
        <v>-28960</v>
      </c>
    </row>
    <row r="193" spans="2:16" x14ac:dyDescent="0.35">
      <c r="B193" t="s">
        <v>106</v>
      </c>
      <c r="C193" t="s">
        <v>112</v>
      </c>
      <c r="D193" s="2">
        <v>81122101</v>
      </c>
      <c r="E193" s="2">
        <v>52121402</v>
      </c>
      <c r="F193" s="2"/>
      <c r="G193" s="5">
        <v>0</v>
      </c>
      <c r="H193" s="5">
        <v>0</v>
      </c>
      <c r="I193" s="5">
        <v>0</v>
      </c>
      <c r="J193" s="5">
        <v>13880</v>
      </c>
      <c r="K193" s="5">
        <v>14280</v>
      </c>
      <c r="L193" s="5">
        <v>0</v>
      </c>
      <c r="M193" s="5">
        <v>19040</v>
      </c>
      <c r="N193" s="6"/>
      <c r="O193" s="6">
        <f t="shared" si="5"/>
        <v>47200</v>
      </c>
      <c r="P193" s="6">
        <f t="shared" si="6"/>
        <v>-47200</v>
      </c>
    </row>
    <row r="194" spans="2:16" x14ac:dyDescent="0.35">
      <c r="B194" t="s">
        <v>22</v>
      </c>
      <c r="C194" t="s">
        <v>14</v>
      </c>
      <c r="D194">
        <v>81122101</v>
      </c>
      <c r="E194">
        <v>52111101</v>
      </c>
      <c r="G194" s="5">
        <v>0</v>
      </c>
      <c r="H194" s="5">
        <v>0</v>
      </c>
      <c r="I194" s="5">
        <v>0</v>
      </c>
      <c r="J194" s="5">
        <v>17236.61</v>
      </c>
      <c r="K194" s="5">
        <v>17236.62</v>
      </c>
      <c r="L194" s="5">
        <v>11491.08</v>
      </c>
      <c r="M194" s="5">
        <v>11810.27</v>
      </c>
      <c r="N194" s="6"/>
      <c r="O194" s="6">
        <f t="shared" si="5"/>
        <v>57774.58</v>
      </c>
      <c r="P194" s="6">
        <f t="shared" si="6"/>
        <v>-57774.58</v>
      </c>
    </row>
    <row r="195" spans="2:16" x14ac:dyDescent="0.35">
      <c r="B195" t="s">
        <v>22</v>
      </c>
      <c r="C195" t="s">
        <v>113</v>
      </c>
      <c r="D195">
        <v>81122101</v>
      </c>
      <c r="E195">
        <v>52111101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6"/>
      <c r="O195" s="6">
        <f t="shared" si="5"/>
        <v>0</v>
      </c>
      <c r="P195" s="6">
        <f t="shared" si="6"/>
        <v>0</v>
      </c>
    </row>
    <row r="196" spans="2:16" x14ac:dyDescent="0.35">
      <c r="B196" t="s">
        <v>22</v>
      </c>
      <c r="C196" t="s">
        <v>113</v>
      </c>
      <c r="D196" s="2">
        <v>90122101</v>
      </c>
      <c r="E196" s="2">
        <v>52121402</v>
      </c>
      <c r="F196" s="2"/>
      <c r="G196" s="5">
        <v>0</v>
      </c>
      <c r="H196" s="5">
        <v>0</v>
      </c>
      <c r="I196" s="5">
        <v>-1214.29</v>
      </c>
      <c r="J196" s="5">
        <v>0</v>
      </c>
      <c r="K196" s="5">
        <v>0</v>
      </c>
      <c r="L196" s="5">
        <v>0</v>
      </c>
      <c r="M196" s="5">
        <v>0</v>
      </c>
      <c r="N196" s="6"/>
      <c r="O196" s="6">
        <f t="shared" ref="O196:O259" si="7">SUM(G196:N196)</f>
        <v>-1214.29</v>
      </c>
      <c r="P196" s="6">
        <f t="shared" ref="P196:P259" si="8">F196-O196</f>
        <v>1214.29</v>
      </c>
    </row>
    <row r="197" spans="2:16" x14ac:dyDescent="0.35">
      <c r="B197" t="s">
        <v>22</v>
      </c>
      <c r="C197" t="s">
        <v>113</v>
      </c>
      <c r="D197" s="2">
        <v>90111101</v>
      </c>
      <c r="E197" s="2">
        <v>61021403</v>
      </c>
      <c r="F197" s="2"/>
      <c r="G197" s="5">
        <v>0</v>
      </c>
      <c r="H197" s="5">
        <v>0</v>
      </c>
      <c r="I197" s="5">
        <v>-10500</v>
      </c>
      <c r="J197" s="5">
        <v>0</v>
      </c>
      <c r="K197" s="5">
        <v>0</v>
      </c>
      <c r="L197" s="5">
        <v>0</v>
      </c>
      <c r="M197" s="5">
        <v>0</v>
      </c>
      <c r="N197" s="6"/>
      <c r="O197" s="6">
        <f t="shared" si="7"/>
        <v>-10500</v>
      </c>
      <c r="P197" s="6">
        <f t="shared" si="8"/>
        <v>10500</v>
      </c>
    </row>
    <row r="198" spans="2:16" x14ac:dyDescent="0.35">
      <c r="B198" t="s">
        <v>7</v>
      </c>
      <c r="C198" t="s">
        <v>6</v>
      </c>
      <c r="D198" s="2">
        <v>90111101</v>
      </c>
      <c r="E198" s="2">
        <v>61021403</v>
      </c>
      <c r="F198" s="2"/>
      <c r="G198" s="5"/>
      <c r="H198" s="5"/>
      <c r="I198" s="5"/>
      <c r="J198" s="5"/>
      <c r="K198" s="5">
        <v>-47949.210000000006</v>
      </c>
      <c r="L198" s="5">
        <v>0</v>
      </c>
      <c r="M198" s="5">
        <v>0</v>
      </c>
      <c r="N198" s="6"/>
      <c r="O198" s="6">
        <f t="shared" si="7"/>
        <v>-47949.210000000006</v>
      </c>
      <c r="P198" s="6">
        <f t="shared" si="8"/>
        <v>47949.210000000006</v>
      </c>
    </row>
    <row r="199" spans="2:16" x14ac:dyDescent="0.35">
      <c r="B199" t="s">
        <v>103</v>
      </c>
      <c r="C199" t="s">
        <v>114</v>
      </c>
      <c r="D199">
        <v>81122101</v>
      </c>
      <c r="E199">
        <v>52121401</v>
      </c>
      <c r="G199" s="5"/>
      <c r="H199" s="5"/>
      <c r="I199" s="5">
        <v>37990.519999999997</v>
      </c>
      <c r="J199" s="5">
        <v>0</v>
      </c>
      <c r="K199" s="5">
        <v>0</v>
      </c>
      <c r="L199" s="5">
        <v>0</v>
      </c>
      <c r="M199" s="5">
        <v>0</v>
      </c>
      <c r="N199" s="6"/>
      <c r="O199" s="6">
        <f t="shared" si="7"/>
        <v>37990.519999999997</v>
      </c>
      <c r="P199" s="6">
        <f t="shared" si="8"/>
        <v>-37990.519999999997</v>
      </c>
    </row>
    <row r="200" spans="2:16" x14ac:dyDescent="0.35">
      <c r="B200" t="s">
        <v>22</v>
      </c>
      <c r="C200" t="s">
        <v>115</v>
      </c>
      <c r="D200">
        <v>81122101</v>
      </c>
      <c r="E200">
        <v>52111101</v>
      </c>
      <c r="G200" s="5">
        <v>0</v>
      </c>
      <c r="H200" s="5">
        <v>0</v>
      </c>
      <c r="I200" s="5">
        <v>0</v>
      </c>
      <c r="J200" s="5">
        <v>7741.07</v>
      </c>
      <c r="K200" s="5">
        <v>0</v>
      </c>
      <c r="L200" s="5">
        <v>0</v>
      </c>
      <c r="M200" s="5">
        <v>30964.29</v>
      </c>
      <c r="N200" s="6"/>
      <c r="O200" s="6">
        <f t="shared" si="7"/>
        <v>38705.360000000001</v>
      </c>
      <c r="P200" s="6">
        <f t="shared" si="8"/>
        <v>-38705.360000000001</v>
      </c>
    </row>
    <row r="201" spans="2:16" x14ac:dyDescent="0.35">
      <c r="B201" t="s">
        <v>7</v>
      </c>
      <c r="C201" t="s">
        <v>6</v>
      </c>
      <c r="D201">
        <v>81122101</v>
      </c>
      <c r="E201">
        <v>52111101</v>
      </c>
      <c r="G201" s="5">
        <v>0</v>
      </c>
      <c r="H201" s="5">
        <v>0</v>
      </c>
      <c r="I201" s="5">
        <v>0</v>
      </c>
      <c r="J201" s="5">
        <v>0</v>
      </c>
      <c r="K201" s="5">
        <v>120</v>
      </c>
      <c r="L201" s="5">
        <v>0</v>
      </c>
      <c r="M201" s="5">
        <v>0</v>
      </c>
      <c r="N201" s="6"/>
      <c r="O201" s="6">
        <f t="shared" si="7"/>
        <v>120</v>
      </c>
      <c r="P201" s="6">
        <f t="shared" si="8"/>
        <v>-120</v>
      </c>
    </row>
    <row r="202" spans="2:16" x14ac:dyDescent="0.35">
      <c r="B202" t="s">
        <v>106</v>
      </c>
      <c r="C202" t="s">
        <v>116</v>
      </c>
      <c r="D202">
        <v>90122101</v>
      </c>
      <c r="E202">
        <v>52121402</v>
      </c>
      <c r="G202" s="5">
        <v>0</v>
      </c>
      <c r="H202" s="5">
        <v>0</v>
      </c>
      <c r="I202" s="5">
        <v>0</v>
      </c>
      <c r="J202" s="5">
        <v>6616.09</v>
      </c>
      <c r="K202" s="5">
        <v>0</v>
      </c>
      <c r="L202" s="5">
        <v>126542.68</v>
      </c>
      <c r="M202" s="5">
        <v>0</v>
      </c>
      <c r="N202" s="6"/>
      <c r="O202" s="6">
        <f t="shared" si="7"/>
        <v>133158.76999999999</v>
      </c>
      <c r="P202" s="6">
        <f t="shared" si="8"/>
        <v>-133158.76999999999</v>
      </c>
    </row>
    <row r="203" spans="2:16" x14ac:dyDescent="0.35">
      <c r="B203" t="s">
        <v>106</v>
      </c>
      <c r="C203" t="s">
        <v>116</v>
      </c>
      <c r="D203">
        <v>80122101</v>
      </c>
      <c r="E203">
        <v>61021403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42180.89</v>
      </c>
      <c r="M203" s="5">
        <v>0</v>
      </c>
      <c r="N203" s="6"/>
      <c r="O203" s="6">
        <f t="shared" si="7"/>
        <v>42180.89</v>
      </c>
      <c r="P203" s="6">
        <f t="shared" si="8"/>
        <v>-42180.89</v>
      </c>
    </row>
    <row r="204" spans="2:16" x14ac:dyDescent="0.35">
      <c r="B204" t="s">
        <v>7</v>
      </c>
      <c r="C204" t="s">
        <v>6</v>
      </c>
      <c r="D204">
        <v>90122101</v>
      </c>
      <c r="E204">
        <v>52121402</v>
      </c>
      <c r="G204" s="5">
        <v>0</v>
      </c>
      <c r="H204" s="5">
        <v>0</v>
      </c>
      <c r="I204" s="5">
        <v>0</v>
      </c>
      <c r="J204" s="5">
        <v>-5812.3000000000011</v>
      </c>
      <c r="K204" s="5">
        <v>0</v>
      </c>
      <c r="L204" s="5">
        <v>0</v>
      </c>
      <c r="M204" s="5">
        <v>0</v>
      </c>
      <c r="N204" s="6"/>
      <c r="O204" s="6">
        <f t="shared" si="7"/>
        <v>-5812.3000000000011</v>
      </c>
      <c r="P204" s="6">
        <f t="shared" si="8"/>
        <v>5812.3000000000011</v>
      </c>
    </row>
    <row r="205" spans="2:16" x14ac:dyDescent="0.35">
      <c r="B205" t="s">
        <v>7</v>
      </c>
      <c r="C205" s="2" t="s">
        <v>6</v>
      </c>
      <c r="D205" s="2">
        <v>90311101</v>
      </c>
      <c r="E205" s="2">
        <v>52121402</v>
      </c>
      <c r="F205" s="2"/>
      <c r="G205" s="5">
        <v>0</v>
      </c>
      <c r="H205" s="5">
        <v>0</v>
      </c>
      <c r="I205" s="5">
        <v>0</v>
      </c>
      <c r="J205" s="5">
        <v>-874</v>
      </c>
      <c r="K205" s="6"/>
      <c r="L205" s="5">
        <v>0</v>
      </c>
      <c r="M205" s="5">
        <v>0</v>
      </c>
      <c r="N205" s="6"/>
      <c r="O205" s="6">
        <f t="shared" si="7"/>
        <v>-874</v>
      </c>
      <c r="P205" s="6">
        <f t="shared" si="8"/>
        <v>874</v>
      </c>
    </row>
    <row r="206" spans="2:16" x14ac:dyDescent="0.35">
      <c r="B206" t="s">
        <v>117</v>
      </c>
      <c r="C206" s="2" t="s">
        <v>118</v>
      </c>
      <c r="D206">
        <v>90122101</v>
      </c>
      <c r="E206">
        <v>52121502</v>
      </c>
      <c r="G206" s="5">
        <v>39232</v>
      </c>
      <c r="H206" s="5">
        <v>11500</v>
      </c>
      <c r="I206" s="5">
        <v>0</v>
      </c>
      <c r="J206" s="5">
        <v>0</v>
      </c>
      <c r="K206" s="5">
        <v>0</v>
      </c>
      <c r="L206" s="5">
        <v>15000</v>
      </c>
      <c r="M206" s="5">
        <v>0</v>
      </c>
      <c r="N206" s="6"/>
      <c r="O206" s="6">
        <f t="shared" si="7"/>
        <v>65732</v>
      </c>
      <c r="P206" s="6">
        <f t="shared" si="8"/>
        <v>-65732</v>
      </c>
    </row>
    <row r="207" spans="2:16" x14ac:dyDescent="0.35">
      <c r="B207" t="s">
        <v>117</v>
      </c>
      <c r="C207" s="2" t="s">
        <v>118</v>
      </c>
      <c r="D207">
        <v>81122101</v>
      </c>
      <c r="E207">
        <v>52121502</v>
      </c>
      <c r="G207" s="5">
        <v>0</v>
      </c>
      <c r="H207" s="5">
        <v>0</v>
      </c>
      <c r="I207" s="5">
        <v>8000</v>
      </c>
      <c r="J207" s="5">
        <v>0</v>
      </c>
      <c r="K207" s="5">
        <v>0</v>
      </c>
      <c r="L207" s="5">
        <v>0</v>
      </c>
      <c r="M207" s="5">
        <v>0</v>
      </c>
      <c r="N207" s="6"/>
      <c r="O207" s="6">
        <f t="shared" si="7"/>
        <v>8000</v>
      </c>
      <c r="P207" s="6">
        <f t="shared" si="8"/>
        <v>-8000</v>
      </c>
    </row>
    <row r="208" spans="2:16" x14ac:dyDescent="0.35">
      <c r="B208" t="s">
        <v>119</v>
      </c>
      <c r="C208" t="s">
        <v>120</v>
      </c>
      <c r="D208">
        <v>80111101</v>
      </c>
      <c r="E208">
        <v>61021314</v>
      </c>
      <c r="G208" s="5">
        <v>0</v>
      </c>
      <c r="H208" s="5">
        <v>0</v>
      </c>
      <c r="I208" s="5">
        <v>0</v>
      </c>
      <c r="J208" s="5">
        <v>0</v>
      </c>
      <c r="K208" s="5">
        <v>51868.89</v>
      </c>
      <c r="L208" s="5">
        <v>0</v>
      </c>
      <c r="M208" s="5">
        <v>0</v>
      </c>
      <c r="N208" s="6"/>
      <c r="O208" s="6">
        <f t="shared" si="7"/>
        <v>51868.89</v>
      </c>
      <c r="P208" s="6">
        <f t="shared" si="8"/>
        <v>-51868.89</v>
      </c>
    </row>
    <row r="209" spans="2:16" x14ac:dyDescent="0.35">
      <c r="B209" t="s">
        <v>119</v>
      </c>
      <c r="C209" t="s">
        <v>120</v>
      </c>
      <c r="D209">
        <v>90111101</v>
      </c>
      <c r="E209">
        <v>52121313</v>
      </c>
      <c r="G209" s="5">
        <v>0</v>
      </c>
      <c r="H209" s="5">
        <v>0</v>
      </c>
      <c r="I209" s="5">
        <v>1051640.8500000001</v>
      </c>
      <c r="J209" s="5">
        <v>136398</v>
      </c>
      <c r="K209" s="5">
        <v>0.47999999998137355</v>
      </c>
      <c r="L209" s="5">
        <v>1051640.8500000001</v>
      </c>
      <c r="M209" s="5">
        <v>0</v>
      </c>
      <c r="N209" s="6"/>
      <c r="O209" s="6">
        <f t="shared" si="7"/>
        <v>2239680.1800000002</v>
      </c>
      <c r="P209" s="6">
        <f t="shared" si="8"/>
        <v>-2239680.1800000002</v>
      </c>
    </row>
    <row r="210" spans="2:16" x14ac:dyDescent="0.35">
      <c r="B210" t="s">
        <v>119</v>
      </c>
      <c r="C210" t="s">
        <v>120</v>
      </c>
      <c r="D210">
        <v>81111101</v>
      </c>
      <c r="E210">
        <v>52121313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97568.11</v>
      </c>
      <c r="M210" s="5">
        <v>0</v>
      </c>
      <c r="N210" s="6"/>
      <c r="O210" s="6">
        <f t="shared" si="7"/>
        <v>97568.11</v>
      </c>
      <c r="P210" s="6">
        <f t="shared" si="8"/>
        <v>-97568.11</v>
      </c>
    </row>
    <row r="211" spans="2:16" x14ac:dyDescent="0.35">
      <c r="B211" t="s">
        <v>40</v>
      </c>
      <c r="C211" t="s">
        <v>40</v>
      </c>
      <c r="D211">
        <v>81123102</v>
      </c>
      <c r="E211">
        <v>52041405</v>
      </c>
      <c r="G211" s="5">
        <v>0</v>
      </c>
      <c r="H211" s="5">
        <v>0</v>
      </c>
      <c r="I211" s="6"/>
      <c r="J211" s="5">
        <v>0</v>
      </c>
      <c r="K211" s="6"/>
      <c r="L211" s="5">
        <v>0</v>
      </c>
      <c r="M211" s="5">
        <v>0</v>
      </c>
      <c r="N211" s="6"/>
      <c r="O211" s="6">
        <f t="shared" si="7"/>
        <v>0</v>
      </c>
      <c r="P211" s="6">
        <f t="shared" si="8"/>
        <v>0</v>
      </c>
    </row>
    <row r="212" spans="2:16" x14ac:dyDescent="0.35">
      <c r="B212" t="s">
        <v>40</v>
      </c>
      <c r="C212" t="s">
        <v>40</v>
      </c>
      <c r="D212">
        <v>81123102</v>
      </c>
      <c r="E212">
        <v>52041405</v>
      </c>
      <c r="G212" s="5">
        <v>0</v>
      </c>
      <c r="H212" s="5">
        <v>0</v>
      </c>
      <c r="I212" s="6"/>
      <c r="J212" s="5">
        <v>0</v>
      </c>
      <c r="K212" s="6"/>
      <c r="L212" s="5">
        <v>0</v>
      </c>
      <c r="M212" s="5">
        <v>0</v>
      </c>
      <c r="N212" s="6"/>
      <c r="O212" s="6">
        <f t="shared" si="7"/>
        <v>0</v>
      </c>
      <c r="P212" s="6">
        <f t="shared" si="8"/>
        <v>0</v>
      </c>
    </row>
    <row r="213" spans="2:16" x14ac:dyDescent="0.35">
      <c r="B213" t="s">
        <v>93</v>
      </c>
      <c r="C213" s="2" t="s">
        <v>121</v>
      </c>
      <c r="D213">
        <v>90122101</v>
      </c>
      <c r="E213">
        <v>52071104</v>
      </c>
      <c r="G213" s="5">
        <v>0</v>
      </c>
      <c r="H213" s="5">
        <v>12000</v>
      </c>
      <c r="I213" s="5">
        <v>12000</v>
      </c>
      <c r="J213" s="5">
        <v>16600</v>
      </c>
      <c r="K213" s="5">
        <v>16400</v>
      </c>
      <c r="L213" s="5">
        <v>12000</v>
      </c>
      <c r="M213" s="5">
        <v>12000</v>
      </c>
      <c r="N213" s="6"/>
      <c r="O213" s="6">
        <f t="shared" si="7"/>
        <v>81000</v>
      </c>
      <c r="P213" s="6">
        <f t="shared" si="8"/>
        <v>-81000</v>
      </c>
    </row>
    <row r="214" spans="2:16" x14ac:dyDescent="0.35">
      <c r="B214" t="s">
        <v>93</v>
      </c>
      <c r="C214" s="2" t="s">
        <v>121</v>
      </c>
      <c r="D214" s="2">
        <v>90122101</v>
      </c>
      <c r="E214" s="2">
        <v>52071104</v>
      </c>
      <c r="F214" s="2"/>
      <c r="G214" s="5"/>
      <c r="H214" s="5">
        <v>315846.84999999998</v>
      </c>
      <c r="I214" s="5">
        <v>0</v>
      </c>
      <c r="J214" s="5">
        <v>0</v>
      </c>
      <c r="K214" s="6"/>
      <c r="L214" s="5">
        <v>0</v>
      </c>
      <c r="M214" s="5">
        <v>0</v>
      </c>
      <c r="N214" s="6"/>
      <c r="O214" s="6">
        <f t="shared" si="7"/>
        <v>315846.84999999998</v>
      </c>
      <c r="P214" s="6">
        <f t="shared" si="8"/>
        <v>-315846.84999999998</v>
      </c>
    </row>
    <row r="215" spans="2:16" x14ac:dyDescent="0.35">
      <c r="B215" t="s">
        <v>122</v>
      </c>
      <c r="C215" s="2" t="s">
        <v>123</v>
      </c>
      <c r="D215">
        <v>81122101</v>
      </c>
      <c r="E215">
        <v>52071104</v>
      </c>
      <c r="G215" s="5">
        <v>514038.93</v>
      </c>
      <c r="H215" s="5">
        <v>521069.46</v>
      </c>
      <c r="I215" s="5">
        <v>523038.93</v>
      </c>
      <c r="J215" s="5">
        <v>513008.39</v>
      </c>
      <c r="K215" s="5">
        <v>685588.54999999993</v>
      </c>
      <c r="L215" s="5">
        <v>657347.32000000007</v>
      </c>
      <c r="M215" s="5">
        <v>1121347.3299999998</v>
      </c>
      <c r="N215" s="6"/>
      <c r="O215" s="6">
        <f t="shared" si="7"/>
        <v>4535438.91</v>
      </c>
      <c r="P215" s="6">
        <f t="shared" si="8"/>
        <v>-4535438.91</v>
      </c>
    </row>
    <row r="216" spans="2:16" x14ac:dyDescent="0.35">
      <c r="B216" t="s">
        <v>122</v>
      </c>
      <c r="C216" s="2" t="s">
        <v>123</v>
      </c>
      <c r="D216">
        <v>90122101</v>
      </c>
      <c r="E216">
        <v>52071104</v>
      </c>
      <c r="G216" s="5">
        <v>2599422.79</v>
      </c>
      <c r="H216" s="5">
        <v>2599422.79</v>
      </c>
      <c r="I216" s="5">
        <v>2969716.91</v>
      </c>
      <c r="J216" s="5">
        <v>2599422.79</v>
      </c>
      <c r="K216" s="5">
        <v>2011187.5</v>
      </c>
      <c r="L216" s="5">
        <v>2011187.5</v>
      </c>
      <c r="M216" s="5">
        <v>2011187.5</v>
      </c>
      <c r="N216" s="6"/>
      <c r="O216" s="6">
        <f t="shared" si="7"/>
        <v>16801547.780000001</v>
      </c>
      <c r="P216" s="6">
        <f t="shared" si="8"/>
        <v>-16801547.780000001</v>
      </c>
    </row>
    <row r="217" spans="2:16" x14ac:dyDescent="0.35">
      <c r="B217" t="s">
        <v>124</v>
      </c>
      <c r="C217" s="2" t="s">
        <v>125</v>
      </c>
      <c r="D217">
        <v>81122101</v>
      </c>
      <c r="E217">
        <v>52952101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530</v>
      </c>
      <c r="N217" s="6"/>
      <c r="O217" s="6">
        <f t="shared" si="7"/>
        <v>530</v>
      </c>
      <c r="P217" s="6">
        <f t="shared" si="8"/>
        <v>-530</v>
      </c>
    </row>
    <row r="218" spans="2:16" x14ac:dyDescent="0.35">
      <c r="B218" t="s">
        <v>124</v>
      </c>
      <c r="C218" s="2" t="s">
        <v>126</v>
      </c>
      <c r="D218">
        <v>90122101</v>
      </c>
      <c r="E218">
        <v>61711101</v>
      </c>
      <c r="G218" s="5">
        <v>0</v>
      </c>
      <c r="H218" s="5">
        <v>0</v>
      </c>
      <c r="I218" s="5">
        <v>0</v>
      </c>
      <c r="J218" s="5">
        <v>0</v>
      </c>
      <c r="K218" s="5">
        <v>450</v>
      </c>
      <c r="L218" s="5">
        <v>2200</v>
      </c>
      <c r="M218" s="5">
        <v>0</v>
      </c>
      <c r="N218" s="6"/>
      <c r="O218" s="6">
        <f t="shared" si="7"/>
        <v>2650</v>
      </c>
      <c r="P218" s="6">
        <f t="shared" si="8"/>
        <v>-2650</v>
      </c>
    </row>
    <row r="219" spans="2:16" x14ac:dyDescent="0.35">
      <c r="B219" t="s">
        <v>124</v>
      </c>
      <c r="C219" s="2" t="s">
        <v>126</v>
      </c>
      <c r="D219">
        <v>80122101</v>
      </c>
      <c r="E219">
        <v>61711101</v>
      </c>
      <c r="G219" s="5">
        <v>0</v>
      </c>
      <c r="H219" s="5">
        <v>0</v>
      </c>
      <c r="I219" s="5">
        <v>3628</v>
      </c>
      <c r="J219" s="5">
        <v>0</v>
      </c>
      <c r="K219" s="5">
        <v>0</v>
      </c>
      <c r="L219" s="5">
        <v>530</v>
      </c>
      <c r="M219" s="5">
        <v>1500</v>
      </c>
      <c r="N219" s="6"/>
      <c r="O219" s="6">
        <f t="shared" si="7"/>
        <v>5658</v>
      </c>
      <c r="P219" s="6">
        <f t="shared" si="8"/>
        <v>-5658</v>
      </c>
    </row>
    <row r="220" spans="2:16" x14ac:dyDescent="0.35">
      <c r="B220" t="s">
        <v>124</v>
      </c>
      <c r="C220" s="2" t="s">
        <v>127</v>
      </c>
      <c r="D220">
        <v>90122101</v>
      </c>
      <c r="E220">
        <v>61711101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21589.29</v>
      </c>
      <c r="N220" s="6"/>
      <c r="O220" s="6">
        <f t="shared" si="7"/>
        <v>21589.29</v>
      </c>
      <c r="P220" s="6">
        <f t="shared" si="8"/>
        <v>-21589.29</v>
      </c>
    </row>
    <row r="221" spans="2:16" x14ac:dyDescent="0.35">
      <c r="B221" t="s">
        <v>124</v>
      </c>
      <c r="C221" s="2" t="s">
        <v>128</v>
      </c>
      <c r="D221">
        <v>90123101</v>
      </c>
      <c r="E221">
        <v>61711101</v>
      </c>
      <c r="G221" s="5"/>
      <c r="H221" s="5"/>
      <c r="I221" s="5">
        <v>20000</v>
      </c>
      <c r="J221" s="5">
        <v>0</v>
      </c>
      <c r="K221" s="5">
        <v>0</v>
      </c>
      <c r="L221" s="5">
        <v>0</v>
      </c>
      <c r="M221" s="5">
        <v>0</v>
      </c>
      <c r="N221" s="6"/>
      <c r="O221" s="6">
        <f t="shared" si="7"/>
        <v>20000</v>
      </c>
      <c r="P221" s="6">
        <f t="shared" si="8"/>
        <v>-20000</v>
      </c>
    </row>
    <row r="222" spans="2:16" x14ac:dyDescent="0.35">
      <c r="B222" t="s">
        <v>124</v>
      </c>
      <c r="C222" s="2" t="s">
        <v>129</v>
      </c>
      <c r="D222">
        <v>90122101</v>
      </c>
      <c r="E222">
        <v>61711101</v>
      </c>
      <c r="G222" s="5">
        <v>0</v>
      </c>
      <c r="H222" s="5">
        <v>0</v>
      </c>
      <c r="I222" s="5">
        <v>0</v>
      </c>
      <c r="J222" s="5">
        <v>0</v>
      </c>
      <c r="K222" s="5">
        <v>660</v>
      </c>
      <c r="L222" s="5">
        <v>0</v>
      </c>
      <c r="M222" s="5">
        <v>0</v>
      </c>
      <c r="N222" s="6"/>
      <c r="O222" s="6">
        <f t="shared" si="7"/>
        <v>660</v>
      </c>
      <c r="P222" s="6">
        <f t="shared" si="8"/>
        <v>-660</v>
      </c>
    </row>
    <row r="223" spans="2:16" x14ac:dyDescent="0.35">
      <c r="B223" t="s">
        <v>124</v>
      </c>
      <c r="C223" s="2" t="s">
        <v>130</v>
      </c>
      <c r="D223">
        <v>90122101</v>
      </c>
      <c r="E223">
        <v>61711101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13000</v>
      </c>
      <c r="M223" s="5">
        <v>0</v>
      </c>
      <c r="N223" s="6"/>
      <c r="O223" s="6">
        <f t="shared" si="7"/>
        <v>13000</v>
      </c>
      <c r="P223" s="6">
        <f t="shared" si="8"/>
        <v>-13000</v>
      </c>
    </row>
    <row r="224" spans="2:16" x14ac:dyDescent="0.35">
      <c r="B224" t="s">
        <v>124</v>
      </c>
      <c r="C224" s="2" t="s">
        <v>131</v>
      </c>
      <c r="D224">
        <v>90122101</v>
      </c>
      <c r="E224">
        <v>61711101</v>
      </c>
      <c r="G224" s="5">
        <v>10000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6"/>
      <c r="O224" s="6">
        <f t="shared" si="7"/>
        <v>10000</v>
      </c>
      <c r="P224" s="6">
        <f t="shared" si="8"/>
        <v>-10000</v>
      </c>
    </row>
    <row r="225" spans="2:16" x14ac:dyDescent="0.35">
      <c r="B225" t="s">
        <v>101</v>
      </c>
      <c r="C225" s="2" t="s">
        <v>132</v>
      </c>
      <c r="D225">
        <v>90111101</v>
      </c>
      <c r="E225">
        <v>52121303</v>
      </c>
      <c r="G225" s="5">
        <v>38124.080000000002</v>
      </c>
      <c r="H225" s="5">
        <v>38124.080000000002</v>
      </c>
      <c r="I225" s="5">
        <v>38124.080000000002</v>
      </c>
      <c r="J225" s="5">
        <v>38124.080000000002</v>
      </c>
      <c r="K225" s="5">
        <v>38124.080000000002</v>
      </c>
      <c r="L225" s="5">
        <v>38124.080000000002</v>
      </c>
      <c r="M225" s="5">
        <v>38124.080000000002</v>
      </c>
      <c r="N225" s="6"/>
      <c r="O225" s="6">
        <f t="shared" si="7"/>
        <v>266868.56000000006</v>
      </c>
      <c r="P225" s="6">
        <f t="shared" si="8"/>
        <v>-266868.56000000006</v>
      </c>
    </row>
    <row r="226" spans="2:16" x14ac:dyDescent="0.35">
      <c r="B226" t="s">
        <v>101</v>
      </c>
      <c r="C226" s="2" t="s">
        <v>133</v>
      </c>
      <c r="D226">
        <v>90111101</v>
      </c>
      <c r="E226">
        <v>52121301</v>
      </c>
      <c r="G226" s="5">
        <v>16817.080000000002</v>
      </c>
      <c r="H226" s="5">
        <v>16817.080000000002</v>
      </c>
      <c r="I226" s="5">
        <v>16817.080000000002</v>
      </c>
      <c r="J226" s="5">
        <v>16817.080000000002</v>
      </c>
      <c r="K226" s="5">
        <v>16817.080000000002</v>
      </c>
      <c r="L226" s="5">
        <v>16817.080000000002</v>
      </c>
      <c r="M226" s="5">
        <v>16817.080000000002</v>
      </c>
      <c r="N226" s="6"/>
      <c r="O226" s="6">
        <f t="shared" si="7"/>
        <v>117719.56000000001</v>
      </c>
      <c r="P226" s="6">
        <f t="shared" si="8"/>
        <v>-117719.56000000001</v>
      </c>
    </row>
    <row r="227" spans="2:16" x14ac:dyDescent="0.35">
      <c r="B227" t="s">
        <v>134</v>
      </c>
      <c r="C227" s="2" t="s">
        <v>135</v>
      </c>
      <c r="D227">
        <v>90134102</v>
      </c>
      <c r="E227">
        <v>52091103</v>
      </c>
      <c r="G227" s="5">
        <v>0</v>
      </c>
      <c r="H227" s="5">
        <v>0</v>
      </c>
      <c r="I227" s="5">
        <v>737857.14</v>
      </c>
      <c r="J227" s="5">
        <v>0</v>
      </c>
      <c r="K227" s="5">
        <v>0</v>
      </c>
      <c r="L227" s="5">
        <v>0</v>
      </c>
      <c r="M227" s="5">
        <v>737857.14</v>
      </c>
      <c r="N227" s="6"/>
      <c r="O227" s="6">
        <f t="shared" si="7"/>
        <v>1475714.28</v>
      </c>
      <c r="P227" s="6">
        <f t="shared" si="8"/>
        <v>-1475714.28</v>
      </c>
    </row>
    <row r="228" spans="2:16" x14ac:dyDescent="0.35">
      <c r="B228" t="s">
        <v>134</v>
      </c>
      <c r="C228" s="2" t="s">
        <v>136</v>
      </c>
      <c r="D228">
        <v>90134102</v>
      </c>
      <c r="E228">
        <v>52071103</v>
      </c>
      <c r="G228" s="5">
        <v>0</v>
      </c>
      <c r="H228" s="5">
        <v>0</v>
      </c>
      <c r="I228" s="5">
        <v>1954464.28</v>
      </c>
      <c r="J228" s="5">
        <v>0</v>
      </c>
      <c r="K228" s="5">
        <v>0</v>
      </c>
      <c r="L228" s="5">
        <v>0</v>
      </c>
      <c r="M228" s="5">
        <v>1954464.28</v>
      </c>
      <c r="N228" s="6"/>
      <c r="O228" s="6">
        <f t="shared" si="7"/>
        <v>3908928.56</v>
      </c>
      <c r="P228" s="6">
        <f t="shared" si="8"/>
        <v>-3908928.56</v>
      </c>
    </row>
    <row r="229" spans="2:16" x14ac:dyDescent="0.35">
      <c r="B229" t="e">
        <v>#N/A</v>
      </c>
      <c r="C229" s="2" t="s">
        <v>137</v>
      </c>
      <c r="D229">
        <v>81134102</v>
      </c>
      <c r="E229">
        <v>52031103</v>
      </c>
      <c r="G229" s="5">
        <v>0</v>
      </c>
      <c r="H229" s="5">
        <v>0</v>
      </c>
      <c r="I229" s="5">
        <v>0</v>
      </c>
      <c r="J229" s="5">
        <v>0</v>
      </c>
      <c r="K229" s="6"/>
      <c r="L229" s="5">
        <v>0</v>
      </c>
      <c r="M229" s="5">
        <v>0</v>
      </c>
      <c r="N229" s="6"/>
      <c r="O229" s="6">
        <f t="shared" si="7"/>
        <v>0</v>
      </c>
      <c r="P229" s="6">
        <f t="shared" si="8"/>
        <v>0</v>
      </c>
    </row>
    <row r="230" spans="2:16" x14ac:dyDescent="0.35">
      <c r="B230" t="s">
        <v>138</v>
      </c>
      <c r="C230" s="2" t="s">
        <v>139</v>
      </c>
      <c r="D230">
        <v>80134102</v>
      </c>
      <c r="E230">
        <v>61711101</v>
      </c>
      <c r="G230" s="5">
        <v>57589.24</v>
      </c>
      <c r="H230" s="5">
        <v>57589.29</v>
      </c>
      <c r="I230" s="5">
        <v>57589.29</v>
      </c>
      <c r="J230" s="5">
        <v>57589.29</v>
      </c>
      <c r="K230" s="5">
        <v>57589.29</v>
      </c>
      <c r="L230" s="5">
        <v>57589.29</v>
      </c>
      <c r="M230" s="5">
        <v>57589.29</v>
      </c>
      <c r="N230" s="6"/>
      <c r="O230" s="6">
        <f t="shared" si="7"/>
        <v>403124.98</v>
      </c>
      <c r="P230" s="6">
        <f t="shared" si="8"/>
        <v>-403124.98</v>
      </c>
    </row>
    <row r="231" spans="2:16" x14ac:dyDescent="0.35">
      <c r="B231" t="s">
        <v>138</v>
      </c>
      <c r="C231" s="2" t="s">
        <v>140</v>
      </c>
      <c r="D231">
        <v>80134102</v>
      </c>
      <c r="E231">
        <v>61711101</v>
      </c>
      <c r="G231" s="5">
        <v>125625</v>
      </c>
      <c r="H231" s="5">
        <v>126375</v>
      </c>
      <c r="I231" s="5">
        <v>125625</v>
      </c>
      <c r="J231" s="5">
        <v>125625</v>
      </c>
      <c r="K231" s="5">
        <v>125625</v>
      </c>
      <c r="L231" s="5">
        <v>125625</v>
      </c>
      <c r="M231" s="5">
        <v>125625</v>
      </c>
      <c r="N231" s="6"/>
      <c r="O231" s="6">
        <f t="shared" si="7"/>
        <v>880125</v>
      </c>
      <c r="P231" s="6">
        <f t="shared" si="8"/>
        <v>-880125</v>
      </c>
    </row>
    <row r="232" spans="2:16" x14ac:dyDescent="0.35">
      <c r="B232" t="s">
        <v>138</v>
      </c>
      <c r="C232" s="2" t="s">
        <v>141</v>
      </c>
      <c r="D232">
        <v>80134102</v>
      </c>
      <c r="E232">
        <v>61711101</v>
      </c>
      <c r="G232" s="5">
        <v>346041.63</v>
      </c>
      <c r="H232" s="5">
        <v>346041.67</v>
      </c>
      <c r="I232" s="5">
        <v>346041.67</v>
      </c>
      <c r="J232" s="5">
        <v>346041.67</v>
      </c>
      <c r="K232" s="5">
        <v>346041.67</v>
      </c>
      <c r="L232" s="5">
        <v>346041.67</v>
      </c>
      <c r="M232" s="5">
        <v>346041.67</v>
      </c>
      <c r="N232" s="6"/>
      <c r="O232" s="6">
        <f t="shared" si="7"/>
        <v>2422291.65</v>
      </c>
      <c r="P232" s="6">
        <f t="shared" si="8"/>
        <v>-2422291.65</v>
      </c>
    </row>
    <row r="233" spans="2:16" x14ac:dyDescent="0.35">
      <c r="B233" t="s">
        <v>124</v>
      </c>
      <c r="C233" s="2" t="s">
        <v>142</v>
      </c>
      <c r="D233">
        <v>81134102</v>
      </c>
      <c r="E233">
        <v>52952101</v>
      </c>
      <c r="G233" s="5">
        <v>0</v>
      </c>
      <c r="H233" s="5">
        <v>1000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6"/>
      <c r="O233" s="6">
        <f t="shared" si="7"/>
        <v>1000</v>
      </c>
      <c r="P233" s="6">
        <f t="shared" si="8"/>
        <v>-1000</v>
      </c>
    </row>
    <row r="234" spans="2:16" x14ac:dyDescent="0.35">
      <c r="B234" t="s">
        <v>124</v>
      </c>
      <c r="C234" s="2" t="s">
        <v>143</v>
      </c>
      <c r="D234">
        <v>90111204</v>
      </c>
      <c r="E234">
        <v>61711101</v>
      </c>
      <c r="G234" s="5">
        <v>20089.29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6"/>
      <c r="O234" s="6">
        <f t="shared" si="7"/>
        <v>20089.29</v>
      </c>
      <c r="P234" s="6">
        <f t="shared" si="8"/>
        <v>-20089.29</v>
      </c>
    </row>
    <row r="235" spans="2:16" x14ac:dyDescent="0.35">
      <c r="B235" t="s">
        <v>144</v>
      </c>
      <c r="C235" t="s">
        <v>145</v>
      </c>
      <c r="D235" s="3">
        <v>80314101</v>
      </c>
      <c r="E235" s="3">
        <v>61731103</v>
      </c>
      <c r="F235" s="3"/>
      <c r="G235" s="5">
        <v>30000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6"/>
      <c r="O235" s="6">
        <f t="shared" si="7"/>
        <v>30000</v>
      </c>
      <c r="P235" s="6">
        <f t="shared" si="8"/>
        <v>-30000</v>
      </c>
    </row>
    <row r="236" spans="2:16" x14ac:dyDescent="0.35">
      <c r="B236" t="s">
        <v>144</v>
      </c>
      <c r="C236" t="s">
        <v>146</v>
      </c>
      <c r="D236" s="3">
        <v>80314101</v>
      </c>
      <c r="E236" s="3">
        <v>61731103</v>
      </c>
      <c r="F236" s="3"/>
      <c r="G236" s="5">
        <v>37500</v>
      </c>
      <c r="H236" s="5">
        <v>0</v>
      </c>
      <c r="I236" s="5">
        <v>0</v>
      </c>
      <c r="J236" s="5">
        <v>0</v>
      </c>
      <c r="K236" s="5">
        <v>37500</v>
      </c>
      <c r="L236" s="5">
        <v>0</v>
      </c>
      <c r="M236" s="5">
        <v>0</v>
      </c>
      <c r="N236" s="6"/>
      <c r="O236" s="6">
        <f t="shared" si="7"/>
        <v>75000</v>
      </c>
      <c r="P236" s="6">
        <f t="shared" si="8"/>
        <v>-75000</v>
      </c>
    </row>
    <row r="237" spans="2:16" x14ac:dyDescent="0.35">
      <c r="B237" t="s">
        <v>144</v>
      </c>
      <c r="C237" t="s">
        <v>147</v>
      </c>
      <c r="D237" s="3">
        <v>80314101</v>
      </c>
      <c r="E237" s="3">
        <v>61731103</v>
      </c>
      <c r="F237" s="3"/>
      <c r="G237" s="5">
        <v>148809.53</v>
      </c>
      <c r="H237" s="5">
        <v>148809.53</v>
      </c>
      <c r="I237" s="5">
        <v>148809.53</v>
      </c>
      <c r="J237" s="5">
        <v>0</v>
      </c>
      <c r="K237" s="5">
        <v>0</v>
      </c>
      <c r="L237" s="5">
        <v>0</v>
      </c>
      <c r="M237" s="5">
        <v>0</v>
      </c>
      <c r="N237" s="6"/>
      <c r="O237" s="6">
        <f t="shared" si="7"/>
        <v>446428.58999999997</v>
      </c>
      <c r="P237" s="6">
        <f t="shared" si="8"/>
        <v>-446428.58999999997</v>
      </c>
    </row>
    <row r="238" spans="2:16" x14ac:dyDescent="0.35">
      <c r="B238" t="s">
        <v>148</v>
      </c>
      <c r="C238" t="s">
        <v>149</v>
      </c>
      <c r="D238" s="3">
        <v>80314101</v>
      </c>
      <c r="E238" s="3">
        <v>61731103</v>
      </c>
      <c r="F238" s="3"/>
      <c r="G238" s="5">
        <v>0</v>
      </c>
      <c r="H238" s="5">
        <v>13767.12</v>
      </c>
      <c r="I238" s="5">
        <v>-13767.13</v>
      </c>
      <c r="J238" s="5">
        <v>10054.290000000001</v>
      </c>
      <c r="K238" s="6"/>
      <c r="L238" s="5">
        <v>0</v>
      </c>
      <c r="M238" s="5">
        <v>0</v>
      </c>
      <c r="N238" s="6"/>
      <c r="O238" s="6">
        <f t="shared" si="7"/>
        <v>10054.280000000002</v>
      </c>
      <c r="P238" s="6">
        <f t="shared" si="8"/>
        <v>-10054.280000000002</v>
      </c>
    </row>
    <row r="239" spans="2:16" x14ac:dyDescent="0.35">
      <c r="B239" t="s">
        <v>150</v>
      </c>
      <c r="C239" t="s">
        <v>151</v>
      </c>
      <c r="D239" s="3">
        <v>80314101</v>
      </c>
      <c r="E239" s="3">
        <v>61731103</v>
      </c>
      <c r="F239" s="3"/>
      <c r="G239" s="5">
        <v>0</v>
      </c>
      <c r="H239" s="5">
        <v>1245.6600000000001</v>
      </c>
      <c r="I239" s="5">
        <v>1245.6600000000001</v>
      </c>
      <c r="J239" s="5">
        <v>1245.6600000000001</v>
      </c>
      <c r="K239" s="5">
        <v>1245.6600000000001</v>
      </c>
      <c r="L239" s="5">
        <v>1384.01</v>
      </c>
      <c r="M239" s="5">
        <v>1384.01</v>
      </c>
      <c r="N239" s="6"/>
      <c r="O239" s="6">
        <f t="shared" si="7"/>
        <v>7750.6600000000008</v>
      </c>
      <c r="P239" s="6">
        <f t="shared" si="8"/>
        <v>-7750.6600000000008</v>
      </c>
    </row>
    <row r="240" spans="2:16" x14ac:dyDescent="0.35">
      <c r="B240" t="s">
        <v>150</v>
      </c>
      <c r="C240" t="s">
        <v>81</v>
      </c>
      <c r="D240" s="3">
        <v>80314101</v>
      </c>
      <c r="E240" s="3">
        <v>61731103</v>
      </c>
      <c r="F240" s="3"/>
      <c r="G240" s="5">
        <v>0</v>
      </c>
      <c r="H240" s="5">
        <v>6969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/>
      <c r="O240" s="6">
        <f t="shared" si="7"/>
        <v>6969</v>
      </c>
      <c r="P240" s="6">
        <f t="shared" si="8"/>
        <v>-6969</v>
      </c>
    </row>
    <row r="241" spans="2:16" x14ac:dyDescent="0.35">
      <c r="B241" t="s">
        <v>148</v>
      </c>
      <c r="C241" t="s">
        <v>152</v>
      </c>
      <c r="D241" s="3">
        <v>80314101</v>
      </c>
      <c r="E241" s="3">
        <v>61731103</v>
      </c>
      <c r="F241" s="3"/>
      <c r="G241" s="5">
        <v>0</v>
      </c>
      <c r="H241" s="5">
        <v>375000</v>
      </c>
      <c r="I241" s="5">
        <v>-375000</v>
      </c>
      <c r="J241" s="5">
        <v>0</v>
      </c>
      <c r="K241" s="5">
        <v>0</v>
      </c>
      <c r="L241" s="5">
        <v>0</v>
      </c>
      <c r="M241" s="5">
        <v>0</v>
      </c>
      <c r="N241" s="6"/>
      <c r="O241" s="6">
        <f t="shared" si="7"/>
        <v>0</v>
      </c>
      <c r="P241" s="6">
        <f t="shared" si="8"/>
        <v>0</v>
      </c>
    </row>
    <row r="242" spans="2:16" x14ac:dyDescent="0.35">
      <c r="B242" t="s">
        <v>150</v>
      </c>
      <c r="C242" t="s">
        <v>153</v>
      </c>
      <c r="D242" s="3">
        <v>80314101</v>
      </c>
      <c r="E242" s="3">
        <v>61731103</v>
      </c>
      <c r="F242" s="3"/>
      <c r="G242" s="5">
        <v>0</v>
      </c>
      <c r="H242" s="5">
        <v>0</v>
      </c>
      <c r="I242" s="5">
        <v>0</v>
      </c>
      <c r="J242" s="5">
        <v>1733.16</v>
      </c>
      <c r="K242" s="6"/>
      <c r="L242" s="5">
        <v>0</v>
      </c>
      <c r="M242" s="5">
        <v>0</v>
      </c>
      <c r="N242" s="6"/>
      <c r="O242" s="6">
        <f t="shared" si="7"/>
        <v>1733.16</v>
      </c>
      <c r="P242" s="6">
        <f t="shared" si="8"/>
        <v>-1733.16</v>
      </c>
    </row>
    <row r="243" spans="2:16" x14ac:dyDescent="0.35">
      <c r="B243" s="2" t="s">
        <v>150</v>
      </c>
      <c r="C243" s="2" t="s">
        <v>154</v>
      </c>
      <c r="D243" s="2">
        <v>80314101</v>
      </c>
      <c r="E243" s="2">
        <v>61731103</v>
      </c>
      <c r="F243" s="2"/>
      <c r="G243" s="5"/>
      <c r="H243" s="5"/>
      <c r="I243" s="5"/>
      <c r="J243" s="5"/>
      <c r="K243" s="6"/>
      <c r="L243" s="5">
        <v>2171.5</v>
      </c>
      <c r="M243" s="5">
        <v>0</v>
      </c>
      <c r="N243" s="6"/>
      <c r="O243" s="6">
        <f t="shared" si="7"/>
        <v>2171.5</v>
      </c>
      <c r="P243" s="6">
        <f t="shared" si="8"/>
        <v>-2171.5</v>
      </c>
    </row>
    <row r="244" spans="2:16" x14ac:dyDescent="0.35">
      <c r="B244" t="s">
        <v>148</v>
      </c>
      <c r="C244" t="s">
        <v>155</v>
      </c>
      <c r="D244" s="2">
        <v>80314101</v>
      </c>
      <c r="E244" s="2">
        <v>52551201</v>
      </c>
      <c r="F244" s="2"/>
      <c r="G244" s="5">
        <v>0</v>
      </c>
      <c r="H244" s="5">
        <v>0</v>
      </c>
      <c r="I244" s="5">
        <v>105000</v>
      </c>
      <c r="J244" s="5">
        <v>-105000</v>
      </c>
      <c r="K244" s="6"/>
      <c r="L244" s="5">
        <v>0</v>
      </c>
      <c r="M244" s="5">
        <v>0</v>
      </c>
      <c r="N244" s="6"/>
      <c r="O244" s="6">
        <f t="shared" si="7"/>
        <v>0</v>
      </c>
      <c r="P244" s="6">
        <f t="shared" si="8"/>
        <v>0</v>
      </c>
    </row>
    <row r="245" spans="2:16" x14ac:dyDescent="0.35">
      <c r="B245" t="s">
        <v>156</v>
      </c>
      <c r="C245" s="2" t="s">
        <v>156</v>
      </c>
      <c r="D245">
        <v>80125101</v>
      </c>
      <c r="E245">
        <v>61091101</v>
      </c>
      <c r="G245" s="5">
        <v>0</v>
      </c>
      <c r="H245" s="5">
        <v>0</v>
      </c>
      <c r="I245" s="5">
        <v>0</v>
      </c>
      <c r="J245" s="5">
        <v>14687.68</v>
      </c>
      <c r="K245" s="5">
        <v>3906</v>
      </c>
      <c r="L245" s="5">
        <v>0</v>
      </c>
      <c r="M245" s="5">
        <v>0</v>
      </c>
      <c r="N245" s="6"/>
      <c r="O245" s="6">
        <f t="shared" si="7"/>
        <v>18593.68</v>
      </c>
      <c r="P245" s="6">
        <f t="shared" si="8"/>
        <v>-18593.68</v>
      </c>
    </row>
    <row r="246" spans="2:16" x14ac:dyDescent="0.35">
      <c r="B246" t="s">
        <v>157</v>
      </c>
      <c r="C246" s="2" t="s">
        <v>157</v>
      </c>
      <c r="D246">
        <v>80123101</v>
      </c>
      <c r="E246">
        <v>61071099</v>
      </c>
      <c r="G246" s="5">
        <v>0</v>
      </c>
      <c r="H246" s="5">
        <v>5550</v>
      </c>
      <c r="I246" s="5">
        <v>2850</v>
      </c>
      <c r="J246" s="5">
        <v>0</v>
      </c>
      <c r="K246" s="5">
        <v>0</v>
      </c>
      <c r="L246" s="5">
        <v>0</v>
      </c>
      <c r="M246" s="5">
        <v>0</v>
      </c>
      <c r="N246" s="6"/>
      <c r="O246" s="6">
        <f t="shared" si="7"/>
        <v>8400</v>
      </c>
      <c r="P246" s="6">
        <f t="shared" si="8"/>
        <v>-8400</v>
      </c>
    </row>
    <row r="247" spans="2:16" x14ac:dyDescent="0.35">
      <c r="B247" t="s">
        <v>124</v>
      </c>
      <c r="C247" s="2" t="s">
        <v>158</v>
      </c>
      <c r="D247">
        <v>80123101</v>
      </c>
      <c r="E247">
        <v>61711101</v>
      </c>
      <c r="G247" s="5">
        <v>32</v>
      </c>
      <c r="H247" s="5">
        <v>9000</v>
      </c>
      <c r="I247" s="5">
        <v>4564</v>
      </c>
      <c r="J247" s="5">
        <v>4629.71</v>
      </c>
      <c r="K247" s="5">
        <v>8485.92</v>
      </c>
      <c r="L247" s="5">
        <v>4693.09</v>
      </c>
      <c r="M247" s="5">
        <v>4500</v>
      </c>
      <c r="N247" s="6"/>
      <c r="O247" s="6">
        <f t="shared" si="7"/>
        <v>35904.720000000001</v>
      </c>
      <c r="P247" s="6">
        <f t="shared" si="8"/>
        <v>-35904.720000000001</v>
      </c>
    </row>
    <row r="248" spans="2:16" x14ac:dyDescent="0.35">
      <c r="B248" t="s">
        <v>124</v>
      </c>
      <c r="C248" s="2" t="s">
        <v>159</v>
      </c>
      <c r="D248">
        <v>90123101</v>
      </c>
      <c r="E248">
        <v>61711101</v>
      </c>
      <c r="G248" s="5">
        <v>19000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6"/>
      <c r="O248" s="6">
        <f t="shared" si="7"/>
        <v>19000</v>
      </c>
      <c r="P248" s="6">
        <f t="shared" si="8"/>
        <v>-19000</v>
      </c>
    </row>
    <row r="249" spans="2:16" x14ac:dyDescent="0.35">
      <c r="B249" t="s">
        <v>124</v>
      </c>
      <c r="C249" s="2" t="s">
        <v>142</v>
      </c>
      <c r="D249">
        <v>90123101</v>
      </c>
      <c r="E249">
        <v>61711101</v>
      </c>
      <c r="G249" s="5">
        <v>0</v>
      </c>
      <c r="H249" s="5">
        <v>0</v>
      </c>
      <c r="I249" s="6"/>
      <c r="J249" s="5">
        <v>0</v>
      </c>
      <c r="K249" s="5">
        <v>0</v>
      </c>
      <c r="L249" s="5">
        <v>400</v>
      </c>
      <c r="M249" s="5">
        <v>0</v>
      </c>
      <c r="N249" s="6"/>
      <c r="O249" s="6">
        <f t="shared" si="7"/>
        <v>400</v>
      </c>
      <c r="P249" s="6">
        <f t="shared" si="8"/>
        <v>-400</v>
      </c>
    </row>
    <row r="250" spans="2:16" x14ac:dyDescent="0.35">
      <c r="B250" t="s">
        <v>124</v>
      </c>
      <c r="C250" s="2" t="s">
        <v>160</v>
      </c>
      <c r="D250">
        <v>90122101</v>
      </c>
      <c r="E250">
        <v>61711101</v>
      </c>
      <c r="G250" s="5">
        <v>50000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6"/>
      <c r="O250" s="6">
        <f t="shared" si="7"/>
        <v>50000</v>
      </c>
      <c r="P250" s="6">
        <f t="shared" si="8"/>
        <v>-50000</v>
      </c>
    </row>
    <row r="251" spans="2:16" x14ac:dyDescent="0.35">
      <c r="B251" t="s">
        <v>161</v>
      </c>
      <c r="C251" s="2" t="s">
        <v>162</v>
      </c>
      <c r="D251">
        <v>80123101</v>
      </c>
      <c r="E251">
        <v>61071002</v>
      </c>
      <c r="G251" s="5">
        <v>3018048</v>
      </c>
      <c r="H251" s="5">
        <v>-1500</v>
      </c>
      <c r="I251" s="5">
        <v>68343.600000000093</v>
      </c>
      <c r="J251" s="5">
        <v>10898.610000000002</v>
      </c>
      <c r="K251" s="5">
        <v>6352</v>
      </c>
      <c r="L251" s="5">
        <v>307054.8</v>
      </c>
      <c r="M251" s="5">
        <v>14868.75</v>
      </c>
      <c r="N251" s="6"/>
      <c r="O251" s="6">
        <f t="shared" si="7"/>
        <v>3424065.76</v>
      </c>
      <c r="P251" s="6">
        <f t="shared" si="8"/>
        <v>-3424065.76</v>
      </c>
    </row>
    <row r="252" spans="2:16" x14ac:dyDescent="0.35">
      <c r="B252" t="s">
        <v>161</v>
      </c>
      <c r="C252" s="2" t="s">
        <v>162</v>
      </c>
      <c r="D252">
        <v>90123101</v>
      </c>
      <c r="E252">
        <v>61071002</v>
      </c>
      <c r="G252" s="5">
        <v>265000</v>
      </c>
      <c r="H252" s="5">
        <v>107550</v>
      </c>
      <c r="I252" s="5">
        <v>0</v>
      </c>
      <c r="J252" s="5">
        <v>0</v>
      </c>
      <c r="K252" s="5">
        <v>0</v>
      </c>
      <c r="L252" s="5">
        <v>200000</v>
      </c>
      <c r="M252" s="5">
        <v>0</v>
      </c>
      <c r="N252" s="6"/>
      <c r="O252" s="6">
        <f t="shared" si="7"/>
        <v>572550</v>
      </c>
      <c r="P252" s="6">
        <f t="shared" si="8"/>
        <v>-572550</v>
      </c>
    </row>
    <row r="253" spans="2:16" x14ac:dyDescent="0.35">
      <c r="B253" t="s">
        <v>161</v>
      </c>
      <c r="C253" s="2" t="s">
        <v>162</v>
      </c>
      <c r="D253">
        <v>81123101</v>
      </c>
      <c r="E253">
        <v>52071102</v>
      </c>
      <c r="G253" s="5">
        <v>0</v>
      </c>
      <c r="H253" s="5">
        <v>0</v>
      </c>
      <c r="I253" s="5">
        <v>529090</v>
      </c>
      <c r="J253" s="5">
        <v>75000</v>
      </c>
      <c r="K253" s="5">
        <v>85150</v>
      </c>
      <c r="L253" s="5">
        <v>6995</v>
      </c>
      <c r="M253" s="5">
        <v>10600</v>
      </c>
      <c r="N253" s="6"/>
      <c r="O253" s="6">
        <f t="shared" si="7"/>
        <v>706835</v>
      </c>
      <c r="P253" s="6">
        <f t="shared" si="8"/>
        <v>-706835</v>
      </c>
    </row>
    <row r="254" spans="2:16" x14ac:dyDescent="0.35">
      <c r="B254" t="s">
        <v>161</v>
      </c>
      <c r="C254" s="2" t="s">
        <v>163</v>
      </c>
      <c r="D254">
        <v>80123101</v>
      </c>
      <c r="E254">
        <v>61071005</v>
      </c>
      <c r="G254" s="5">
        <v>20000</v>
      </c>
      <c r="H254" s="5">
        <v>20000</v>
      </c>
      <c r="I254" s="5">
        <v>0</v>
      </c>
      <c r="J254" s="5">
        <v>40000</v>
      </c>
      <c r="K254" s="5">
        <v>20000</v>
      </c>
      <c r="L254" s="5">
        <v>20000</v>
      </c>
      <c r="M254" s="5">
        <v>20000</v>
      </c>
      <c r="N254" s="6"/>
      <c r="O254" s="6">
        <f t="shared" si="7"/>
        <v>140000</v>
      </c>
      <c r="P254" s="6">
        <f t="shared" si="8"/>
        <v>-140000</v>
      </c>
    </row>
    <row r="255" spans="2:16" x14ac:dyDescent="0.35">
      <c r="B255" t="s">
        <v>161</v>
      </c>
      <c r="C255" s="2" t="s">
        <v>164</v>
      </c>
      <c r="D255">
        <v>80123101</v>
      </c>
      <c r="E255">
        <v>61071005</v>
      </c>
      <c r="G255" s="5">
        <v>7000</v>
      </c>
      <c r="H255" s="5">
        <v>7000</v>
      </c>
      <c r="I255" s="5">
        <v>7000</v>
      </c>
      <c r="J255" s="5">
        <v>7000</v>
      </c>
      <c r="K255" s="5">
        <v>7000</v>
      </c>
      <c r="L255" s="5">
        <v>7000</v>
      </c>
      <c r="M255" s="5">
        <v>7000</v>
      </c>
      <c r="N255" s="6"/>
      <c r="O255" s="6">
        <f t="shared" si="7"/>
        <v>49000</v>
      </c>
      <c r="P255" s="6">
        <f t="shared" si="8"/>
        <v>-49000</v>
      </c>
    </row>
    <row r="256" spans="2:16" x14ac:dyDescent="0.35">
      <c r="B256" t="s">
        <v>161</v>
      </c>
      <c r="C256" s="2" t="s">
        <v>165</v>
      </c>
      <c r="D256">
        <v>80123101</v>
      </c>
      <c r="E256">
        <v>61071005</v>
      </c>
      <c r="G256" s="5">
        <v>20000</v>
      </c>
      <c r="H256" s="5">
        <v>20000</v>
      </c>
      <c r="I256" s="5">
        <v>20000</v>
      </c>
      <c r="J256" s="5">
        <v>20000</v>
      </c>
      <c r="K256" s="5">
        <v>20000</v>
      </c>
      <c r="L256" s="5">
        <v>0</v>
      </c>
      <c r="M256" s="5">
        <v>40000</v>
      </c>
      <c r="N256" s="6"/>
      <c r="O256" s="6">
        <f t="shared" si="7"/>
        <v>140000</v>
      </c>
      <c r="P256" s="6">
        <f t="shared" si="8"/>
        <v>-140000</v>
      </c>
    </row>
    <row r="257" spans="2:16" x14ac:dyDescent="0.35">
      <c r="B257" t="s">
        <v>161</v>
      </c>
      <c r="C257" s="2" t="s">
        <v>166</v>
      </c>
      <c r="D257">
        <v>80123101</v>
      </c>
      <c r="E257">
        <v>61071005</v>
      </c>
      <c r="G257" s="5">
        <v>10000</v>
      </c>
      <c r="H257" s="5">
        <v>10000</v>
      </c>
      <c r="I257" s="5">
        <v>0</v>
      </c>
      <c r="J257" s="5">
        <v>20000</v>
      </c>
      <c r="K257" s="5">
        <v>10000</v>
      </c>
      <c r="L257" s="5">
        <v>0</v>
      </c>
      <c r="M257" s="5">
        <v>20000</v>
      </c>
      <c r="N257" s="6"/>
      <c r="O257" s="6">
        <f t="shared" si="7"/>
        <v>70000</v>
      </c>
      <c r="P257" s="6">
        <f t="shared" si="8"/>
        <v>-70000</v>
      </c>
    </row>
    <row r="258" spans="2:16" x14ac:dyDescent="0.35">
      <c r="B258" t="s">
        <v>161</v>
      </c>
      <c r="C258" s="2" t="s">
        <v>167</v>
      </c>
      <c r="D258">
        <v>80123101</v>
      </c>
      <c r="E258">
        <v>61071005</v>
      </c>
      <c r="G258" s="5">
        <v>10000</v>
      </c>
      <c r="H258" s="5">
        <v>10000</v>
      </c>
      <c r="I258" s="5">
        <v>0</v>
      </c>
      <c r="J258" s="5">
        <v>20000</v>
      </c>
      <c r="K258" s="5">
        <v>10000</v>
      </c>
      <c r="L258" s="5">
        <v>10000</v>
      </c>
      <c r="M258" s="5">
        <v>10000</v>
      </c>
      <c r="N258" s="6"/>
      <c r="O258" s="6">
        <f t="shared" si="7"/>
        <v>70000</v>
      </c>
      <c r="P258" s="6">
        <f t="shared" si="8"/>
        <v>-70000</v>
      </c>
    </row>
    <row r="259" spans="2:16" x14ac:dyDescent="0.35">
      <c r="B259" t="s">
        <v>93</v>
      </c>
      <c r="C259" s="2" t="s">
        <v>168</v>
      </c>
      <c r="D259">
        <v>80134102</v>
      </c>
      <c r="E259">
        <v>61071001</v>
      </c>
      <c r="G259" s="5">
        <v>0</v>
      </c>
      <c r="H259" s="5">
        <v>0</v>
      </c>
      <c r="I259" s="5">
        <v>0</v>
      </c>
      <c r="J259" s="5">
        <v>487200</v>
      </c>
      <c r="K259" s="5">
        <v>0</v>
      </c>
      <c r="L259" s="5">
        <v>584640</v>
      </c>
      <c r="M259" s="5">
        <v>0</v>
      </c>
      <c r="N259" s="6"/>
      <c r="O259" s="6">
        <f t="shared" si="7"/>
        <v>1071840</v>
      </c>
      <c r="P259" s="6">
        <f t="shared" si="8"/>
        <v>-1071840</v>
      </c>
    </row>
    <row r="260" spans="2:16" x14ac:dyDescent="0.35">
      <c r="B260" t="s">
        <v>93</v>
      </c>
      <c r="C260" s="2" t="s">
        <v>168</v>
      </c>
      <c r="D260">
        <v>81134102</v>
      </c>
      <c r="E260">
        <v>61071001</v>
      </c>
      <c r="G260" s="5">
        <v>0</v>
      </c>
      <c r="H260" s="5">
        <v>0</v>
      </c>
      <c r="I260" s="5">
        <v>0</v>
      </c>
      <c r="J260" s="5">
        <v>0</v>
      </c>
      <c r="K260" s="5">
        <v>341376</v>
      </c>
      <c r="L260" s="5">
        <v>0</v>
      </c>
      <c r="M260" s="5">
        <v>0</v>
      </c>
      <c r="N260" s="6"/>
      <c r="O260" s="6">
        <f t="shared" ref="O260:O323" si="9">SUM(G260:N260)</f>
        <v>341376</v>
      </c>
      <c r="P260" s="6">
        <f t="shared" ref="P260:P323" si="10">F260-O260</f>
        <v>-341376</v>
      </c>
    </row>
    <row r="261" spans="2:16" x14ac:dyDescent="0.35">
      <c r="B261" t="s">
        <v>93</v>
      </c>
      <c r="C261" s="2" t="s">
        <v>168</v>
      </c>
      <c r="D261">
        <v>90134102</v>
      </c>
      <c r="E261">
        <v>61071001</v>
      </c>
      <c r="G261" s="5">
        <v>0</v>
      </c>
      <c r="H261" s="5">
        <v>0</v>
      </c>
      <c r="I261" s="5">
        <v>0</v>
      </c>
      <c r="J261" s="5">
        <v>0</v>
      </c>
      <c r="K261" s="5">
        <v>240000</v>
      </c>
      <c r="L261" s="5">
        <v>0</v>
      </c>
      <c r="M261" s="5">
        <v>0</v>
      </c>
      <c r="N261" s="6"/>
      <c r="O261" s="6">
        <f t="shared" si="9"/>
        <v>240000</v>
      </c>
      <c r="P261" s="6">
        <f t="shared" si="10"/>
        <v>-240000</v>
      </c>
    </row>
    <row r="262" spans="2:16" x14ac:dyDescent="0.35">
      <c r="B262" t="s">
        <v>169</v>
      </c>
      <c r="C262" s="2" t="s">
        <v>170</v>
      </c>
      <c r="D262">
        <v>80134102</v>
      </c>
      <c r="E262">
        <v>61071006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107184</v>
      </c>
      <c r="M262" s="5">
        <v>0</v>
      </c>
      <c r="N262" s="6"/>
      <c r="O262" s="6">
        <f t="shared" si="9"/>
        <v>107184</v>
      </c>
      <c r="P262" s="6">
        <f t="shared" si="10"/>
        <v>-107184</v>
      </c>
    </row>
    <row r="263" spans="2:16" x14ac:dyDescent="0.35">
      <c r="B263" t="s">
        <v>169</v>
      </c>
      <c r="C263" s="2" t="s">
        <v>171</v>
      </c>
      <c r="D263">
        <v>81134102</v>
      </c>
      <c r="E263">
        <v>61071006</v>
      </c>
      <c r="G263" s="5">
        <v>0</v>
      </c>
      <c r="H263" s="5">
        <v>0</v>
      </c>
      <c r="I263" s="5">
        <v>0</v>
      </c>
      <c r="J263" s="5">
        <v>0</v>
      </c>
      <c r="K263" s="5">
        <v>34137.599999999999</v>
      </c>
      <c r="L263" s="5">
        <v>0</v>
      </c>
      <c r="M263" s="5">
        <v>0</v>
      </c>
      <c r="N263" s="6"/>
      <c r="O263" s="6">
        <f t="shared" si="9"/>
        <v>34137.599999999999</v>
      </c>
      <c r="P263" s="6">
        <f t="shared" si="10"/>
        <v>-34137.599999999999</v>
      </c>
    </row>
    <row r="264" spans="2:16" x14ac:dyDescent="0.35">
      <c r="B264" t="s">
        <v>93</v>
      </c>
      <c r="C264" s="2" t="s">
        <v>172</v>
      </c>
      <c r="D264" s="2">
        <v>90134102</v>
      </c>
      <c r="E264" s="2">
        <v>52071104</v>
      </c>
      <c r="F264" s="2"/>
      <c r="G264" s="5">
        <v>0</v>
      </c>
      <c r="H264" s="5">
        <v>47000</v>
      </c>
      <c r="I264" s="5">
        <v>46000</v>
      </c>
      <c r="J264" s="5">
        <v>0</v>
      </c>
      <c r="K264" s="5">
        <v>0</v>
      </c>
      <c r="L264" s="5">
        <v>0</v>
      </c>
      <c r="M264" s="5">
        <v>0</v>
      </c>
      <c r="N264" s="6"/>
      <c r="O264" s="6">
        <f t="shared" si="9"/>
        <v>93000</v>
      </c>
      <c r="P264" s="6">
        <f t="shared" si="10"/>
        <v>-93000</v>
      </c>
    </row>
    <row r="265" spans="2:16" x14ac:dyDescent="0.35">
      <c r="B265" t="s">
        <v>38</v>
      </c>
      <c r="C265" s="2" t="s">
        <v>173</v>
      </c>
      <c r="D265">
        <v>80133102</v>
      </c>
      <c r="E265">
        <v>61071004</v>
      </c>
      <c r="G265" s="5">
        <v>0</v>
      </c>
      <c r="H265" s="5">
        <v>0</v>
      </c>
      <c r="I265" s="5">
        <v>0</v>
      </c>
      <c r="J265" s="5">
        <v>0</v>
      </c>
      <c r="K265" s="5">
        <v>250000</v>
      </c>
      <c r="L265" s="5">
        <v>250000</v>
      </c>
      <c r="M265" s="5">
        <v>0</v>
      </c>
      <c r="N265" s="6"/>
      <c r="O265" s="6">
        <f t="shared" si="9"/>
        <v>500000</v>
      </c>
      <c r="P265" s="6">
        <f t="shared" si="10"/>
        <v>-500000</v>
      </c>
    </row>
    <row r="266" spans="2:16" x14ac:dyDescent="0.35">
      <c r="B266" t="s">
        <v>38</v>
      </c>
      <c r="C266" s="2" t="s">
        <v>173</v>
      </c>
      <c r="D266">
        <v>81133102</v>
      </c>
      <c r="E266">
        <v>52071104</v>
      </c>
      <c r="G266" s="5">
        <v>0</v>
      </c>
      <c r="H266" s="5">
        <v>0</v>
      </c>
      <c r="I266" s="5">
        <v>0</v>
      </c>
      <c r="J266" s="5">
        <v>250000</v>
      </c>
      <c r="K266" s="5">
        <v>0</v>
      </c>
      <c r="L266" s="5">
        <v>250000</v>
      </c>
      <c r="M266" s="5">
        <v>0</v>
      </c>
      <c r="N266" s="6"/>
      <c r="O266" s="6">
        <f t="shared" si="9"/>
        <v>500000</v>
      </c>
      <c r="P266" s="6">
        <f t="shared" si="10"/>
        <v>-500000</v>
      </c>
    </row>
    <row r="267" spans="2:16" x14ac:dyDescent="0.35">
      <c r="B267" t="s">
        <v>38</v>
      </c>
      <c r="C267" s="2" t="s">
        <v>173</v>
      </c>
      <c r="D267">
        <v>90133102</v>
      </c>
      <c r="E267">
        <v>52071104</v>
      </c>
      <c r="G267" s="5">
        <v>250000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6"/>
      <c r="O267" s="6">
        <f t="shared" si="9"/>
        <v>250000</v>
      </c>
      <c r="P267" s="6">
        <f t="shared" si="10"/>
        <v>-250000</v>
      </c>
    </row>
    <row r="268" spans="2:16" x14ac:dyDescent="0.35">
      <c r="B268" t="s">
        <v>38</v>
      </c>
      <c r="C268" s="2" t="s">
        <v>173</v>
      </c>
      <c r="D268" s="2">
        <v>81133102</v>
      </c>
      <c r="E268" s="2">
        <v>52071106</v>
      </c>
      <c r="F268" s="2"/>
      <c r="G268" s="5">
        <v>0</v>
      </c>
      <c r="H268" s="5">
        <v>0</v>
      </c>
      <c r="I268" s="5">
        <v>0</v>
      </c>
      <c r="J268" s="5">
        <v>-42000</v>
      </c>
      <c r="K268" s="6"/>
      <c r="L268" s="5">
        <v>0</v>
      </c>
      <c r="M268" s="5">
        <v>0</v>
      </c>
      <c r="N268" s="6"/>
      <c r="O268" s="6">
        <f t="shared" si="9"/>
        <v>-42000</v>
      </c>
      <c r="P268" s="6">
        <f t="shared" si="10"/>
        <v>42000</v>
      </c>
    </row>
    <row r="269" spans="2:16" x14ac:dyDescent="0.35">
      <c r="B269" t="s">
        <v>93</v>
      </c>
      <c r="C269" s="2" t="s">
        <v>174</v>
      </c>
      <c r="D269">
        <v>90111101</v>
      </c>
      <c r="E269">
        <v>52071199</v>
      </c>
      <c r="G269" s="5">
        <v>61588.54</v>
      </c>
      <c r="H269" s="5">
        <v>61588.54</v>
      </c>
      <c r="I269" s="5">
        <v>-123177.08</v>
      </c>
      <c r="J269" s="5">
        <v>246354.16</v>
      </c>
      <c r="K269" s="5">
        <v>-246354.16</v>
      </c>
      <c r="L269" s="5">
        <v>184765.62</v>
      </c>
      <c r="M269" s="5">
        <v>246354.15999999997</v>
      </c>
      <c r="N269" s="6"/>
      <c r="O269" s="6">
        <f t="shared" si="9"/>
        <v>431119.77999999997</v>
      </c>
      <c r="P269" s="6">
        <f t="shared" si="10"/>
        <v>-431119.77999999997</v>
      </c>
    </row>
    <row r="270" spans="2:16" x14ac:dyDescent="0.35">
      <c r="B270" t="s">
        <v>36</v>
      </c>
      <c r="C270" s="2" t="s">
        <v>175</v>
      </c>
      <c r="D270">
        <v>90111101</v>
      </c>
      <c r="E270">
        <v>52041495</v>
      </c>
      <c r="G270" s="5">
        <v>0</v>
      </c>
      <c r="H270" s="5">
        <v>90906.64</v>
      </c>
      <c r="I270" s="5">
        <v>11036.68</v>
      </c>
      <c r="J270" s="5">
        <v>56910</v>
      </c>
      <c r="K270" s="5">
        <v>113190</v>
      </c>
      <c r="L270" s="5">
        <v>50156.84</v>
      </c>
      <c r="M270" s="5">
        <v>51490.01</v>
      </c>
      <c r="N270" s="6"/>
      <c r="O270" s="6">
        <f t="shared" si="9"/>
        <v>373690.17000000004</v>
      </c>
      <c r="P270" s="6">
        <f t="shared" si="10"/>
        <v>-373690.17000000004</v>
      </c>
    </row>
    <row r="271" spans="2:16" x14ac:dyDescent="0.35">
      <c r="B271" t="s">
        <v>36</v>
      </c>
      <c r="C271" s="2" t="s">
        <v>175</v>
      </c>
      <c r="D271">
        <v>90111101</v>
      </c>
      <c r="E271">
        <v>52041495</v>
      </c>
      <c r="G271" s="5">
        <v>50037.27</v>
      </c>
      <c r="H271" s="5">
        <v>0</v>
      </c>
      <c r="I271" s="6"/>
      <c r="J271" s="5">
        <v>0</v>
      </c>
      <c r="K271" s="6"/>
      <c r="L271" s="5">
        <v>0</v>
      </c>
      <c r="M271" s="5">
        <v>0</v>
      </c>
      <c r="N271" s="6"/>
      <c r="O271" s="6">
        <f t="shared" si="9"/>
        <v>50037.27</v>
      </c>
      <c r="P271" s="6">
        <f t="shared" si="10"/>
        <v>-50037.27</v>
      </c>
    </row>
    <row r="272" spans="2:16" x14ac:dyDescent="0.35">
      <c r="B272" t="s">
        <v>157</v>
      </c>
      <c r="C272" s="2" t="s">
        <v>157</v>
      </c>
      <c r="D272">
        <v>80123101</v>
      </c>
      <c r="E272">
        <v>61071002</v>
      </c>
      <c r="G272" s="5">
        <v>0</v>
      </c>
      <c r="H272" s="5">
        <v>8200</v>
      </c>
      <c r="I272" s="5">
        <v>5900</v>
      </c>
      <c r="J272" s="5">
        <v>0</v>
      </c>
      <c r="K272" s="5">
        <v>0</v>
      </c>
      <c r="L272" s="5">
        <v>0</v>
      </c>
      <c r="M272" s="5">
        <v>0</v>
      </c>
      <c r="N272" s="6"/>
      <c r="O272" s="6">
        <f t="shared" si="9"/>
        <v>14100</v>
      </c>
      <c r="P272" s="6">
        <f t="shared" si="10"/>
        <v>-14100</v>
      </c>
    </row>
    <row r="273" spans="2:16" x14ac:dyDescent="0.35">
      <c r="B273" t="s">
        <v>157</v>
      </c>
      <c r="C273" s="2" t="s">
        <v>157</v>
      </c>
      <c r="D273">
        <v>81123101</v>
      </c>
      <c r="E273">
        <v>52071102</v>
      </c>
      <c r="G273" s="5">
        <v>0</v>
      </c>
      <c r="H273" s="5">
        <v>4200</v>
      </c>
      <c r="I273" s="5">
        <v>5500</v>
      </c>
      <c r="J273" s="5">
        <v>0</v>
      </c>
      <c r="K273" s="5">
        <v>4500</v>
      </c>
      <c r="L273" s="5">
        <v>0</v>
      </c>
      <c r="M273" s="5">
        <v>0</v>
      </c>
      <c r="N273" s="6"/>
      <c r="O273" s="6">
        <f t="shared" si="9"/>
        <v>14200</v>
      </c>
      <c r="P273" s="6">
        <f t="shared" si="10"/>
        <v>-14200</v>
      </c>
    </row>
    <row r="274" spans="2:16" x14ac:dyDescent="0.35">
      <c r="B274" t="s">
        <v>157</v>
      </c>
      <c r="C274" s="2" t="s">
        <v>157</v>
      </c>
      <c r="D274">
        <v>90123101</v>
      </c>
      <c r="E274">
        <v>61071002</v>
      </c>
      <c r="G274" s="5">
        <v>0</v>
      </c>
      <c r="H274" s="5">
        <v>4150</v>
      </c>
      <c r="I274" s="5">
        <v>3000</v>
      </c>
      <c r="J274" s="5">
        <v>2500</v>
      </c>
      <c r="K274" s="5">
        <v>500</v>
      </c>
      <c r="L274" s="5">
        <v>1500</v>
      </c>
      <c r="M274" s="5">
        <v>250</v>
      </c>
      <c r="N274" s="6"/>
      <c r="O274" s="6">
        <f t="shared" si="9"/>
        <v>11900</v>
      </c>
      <c r="P274" s="6">
        <f t="shared" si="10"/>
        <v>-11900</v>
      </c>
    </row>
    <row r="275" spans="2:16" x14ac:dyDescent="0.35">
      <c r="B275" t="e">
        <v>#N/A</v>
      </c>
      <c r="C275" s="2" t="s">
        <v>176</v>
      </c>
      <c r="D275">
        <v>90111204</v>
      </c>
      <c r="E275">
        <v>61091101</v>
      </c>
      <c r="G275" s="5">
        <v>5503.75</v>
      </c>
      <c r="H275" s="5">
        <v>0</v>
      </c>
      <c r="I275" s="5">
        <v>9324.91</v>
      </c>
      <c r="J275" s="5">
        <v>8707.75</v>
      </c>
      <c r="K275" s="5">
        <v>300</v>
      </c>
      <c r="L275" s="5">
        <v>0</v>
      </c>
      <c r="M275" s="5">
        <v>1605.8</v>
      </c>
      <c r="N275" s="6"/>
      <c r="O275" s="6">
        <f t="shared" si="9"/>
        <v>25442.21</v>
      </c>
      <c r="P275" s="6">
        <f t="shared" si="10"/>
        <v>-25442.21</v>
      </c>
    </row>
    <row r="276" spans="2:16" x14ac:dyDescent="0.35">
      <c r="B276" t="e">
        <v>#N/A</v>
      </c>
      <c r="C276" s="2" t="s">
        <v>176</v>
      </c>
      <c r="D276">
        <v>80111204</v>
      </c>
      <c r="E276">
        <v>61091101</v>
      </c>
      <c r="G276" s="5">
        <v>0</v>
      </c>
      <c r="H276" s="5">
        <v>2036.98</v>
      </c>
      <c r="I276" s="5">
        <v>0</v>
      </c>
      <c r="J276" s="5">
        <v>0</v>
      </c>
      <c r="K276" s="5">
        <v>3718.29</v>
      </c>
      <c r="L276" s="5">
        <v>0</v>
      </c>
      <c r="M276" s="5">
        <v>0</v>
      </c>
      <c r="N276" s="6"/>
      <c r="O276" s="6">
        <f t="shared" si="9"/>
        <v>5755.27</v>
      </c>
      <c r="P276" s="6">
        <f t="shared" si="10"/>
        <v>-5755.27</v>
      </c>
    </row>
    <row r="277" spans="2:16" x14ac:dyDescent="0.35">
      <c r="B277" t="s">
        <v>156</v>
      </c>
      <c r="C277" s="2" t="s">
        <v>156</v>
      </c>
      <c r="D277">
        <v>81111204</v>
      </c>
      <c r="E277">
        <v>52091102</v>
      </c>
      <c r="G277" s="5">
        <v>598</v>
      </c>
      <c r="H277" s="5">
        <v>5555.64</v>
      </c>
      <c r="I277" s="5">
        <v>1382.15</v>
      </c>
      <c r="J277" s="5">
        <v>294</v>
      </c>
      <c r="K277" s="5">
        <v>1883.89</v>
      </c>
      <c r="L277" s="5">
        <v>3611.52</v>
      </c>
      <c r="M277" s="5">
        <v>0</v>
      </c>
      <c r="N277" s="6"/>
      <c r="O277" s="6">
        <f t="shared" si="9"/>
        <v>13325.2</v>
      </c>
      <c r="P277" s="6">
        <f t="shared" si="10"/>
        <v>-13325.2</v>
      </c>
    </row>
    <row r="278" spans="2:16" x14ac:dyDescent="0.35">
      <c r="B278" t="s">
        <v>156</v>
      </c>
      <c r="C278" s="2" t="s">
        <v>156</v>
      </c>
      <c r="D278">
        <v>90111204</v>
      </c>
      <c r="E278">
        <v>61091102</v>
      </c>
      <c r="G278" s="5">
        <v>5268</v>
      </c>
      <c r="H278" s="5">
        <v>4320</v>
      </c>
      <c r="I278" s="5">
        <v>17382.990000000002</v>
      </c>
      <c r="J278" s="5">
        <v>11106.71</v>
      </c>
      <c r="K278" s="5">
        <v>1220</v>
      </c>
      <c r="L278" s="5">
        <v>3335</v>
      </c>
      <c r="M278" s="5">
        <v>5993.2600000000011</v>
      </c>
      <c r="N278" s="6"/>
      <c r="O278" s="6">
        <f t="shared" si="9"/>
        <v>48625.96</v>
      </c>
      <c r="P278" s="6">
        <f t="shared" si="10"/>
        <v>-48625.96</v>
      </c>
    </row>
    <row r="279" spans="2:16" x14ac:dyDescent="0.35">
      <c r="B279" t="s">
        <v>156</v>
      </c>
      <c r="C279" s="2" t="s">
        <v>156</v>
      </c>
      <c r="D279">
        <v>80111204</v>
      </c>
      <c r="E279">
        <v>61091102</v>
      </c>
      <c r="G279" s="5">
        <v>0</v>
      </c>
      <c r="H279" s="5">
        <v>3463.93</v>
      </c>
      <c r="I279" s="5">
        <v>6295.36</v>
      </c>
      <c r="J279" s="5">
        <v>0</v>
      </c>
      <c r="K279" s="5">
        <v>658.93</v>
      </c>
      <c r="L279" s="5">
        <v>4499</v>
      </c>
      <c r="M279" s="5">
        <v>0</v>
      </c>
      <c r="N279" s="6"/>
      <c r="O279" s="6">
        <f t="shared" si="9"/>
        <v>14917.22</v>
      </c>
      <c r="P279" s="6">
        <f t="shared" si="10"/>
        <v>-14917.22</v>
      </c>
    </row>
    <row r="280" spans="2:16" x14ac:dyDescent="0.35">
      <c r="B280" t="s">
        <v>156</v>
      </c>
      <c r="C280" s="2" t="s">
        <v>156</v>
      </c>
      <c r="D280">
        <v>80123101</v>
      </c>
      <c r="E280">
        <v>61091101</v>
      </c>
      <c r="G280" s="5">
        <v>484.73</v>
      </c>
      <c r="H280" s="5">
        <v>289.73</v>
      </c>
      <c r="I280" s="5">
        <v>4741.58</v>
      </c>
      <c r="J280" s="5">
        <v>10985.07</v>
      </c>
      <c r="K280" s="5">
        <v>5116.83</v>
      </c>
      <c r="L280" s="5">
        <v>5342.95</v>
      </c>
      <c r="M280" s="5">
        <v>2962.88</v>
      </c>
      <c r="N280" s="6"/>
      <c r="O280" s="6">
        <f t="shared" si="9"/>
        <v>29923.770000000004</v>
      </c>
      <c r="P280" s="6">
        <f t="shared" si="10"/>
        <v>-29923.770000000004</v>
      </c>
    </row>
    <row r="281" spans="2:16" x14ac:dyDescent="0.35">
      <c r="B281" t="s">
        <v>156</v>
      </c>
      <c r="C281" s="2" t="s">
        <v>156</v>
      </c>
      <c r="D281">
        <v>81123102</v>
      </c>
      <c r="E281">
        <v>52091102</v>
      </c>
      <c r="G281" s="5">
        <v>0</v>
      </c>
      <c r="H281" s="5">
        <v>0</v>
      </c>
      <c r="I281" s="5">
        <v>15612.41</v>
      </c>
      <c r="J281" s="5">
        <v>0</v>
      </c>
      <c r="K281" s="5">
        <v>0</v>
      </c>
      <c r="L281" s="5">
        <v>0</v>
      </c>
      <c r="M281" s="5">
        <v>0</v>
      </c>
      <c r="N281" s="6"/>
      <c r="O281" s="6">
        <f t="shared" si="9"/>
        <v>15612.41</v>
      </c>
      <c r="P281" s="6">
        <f t="shared" si="10"/>
        <v>-15612.41</v>
      </c>
    </row>
    <row r="282" spans="2:16" x14ac:dyDescent="0.35">
      <c r="B282" t="s">
        <v>156</v>
      </c>
      <c r="C282" s="2" t="s">
        <v>156</v>
      </c>
      <c r="D282" s="2">
        <v>81319101</v>
      </c>
      <c r="E282" s="2">
        <v>52091102</v>
      </c>
      <c r="F282" s="2"/>
      <c r="G282" s="5"/>
      <c r="H282" s="5"/>
      <c r="I282" s="5"/>
      <c r="J282" s="5"/>
      <c r="K282" s="5">
        <v>1140</v>
      </c>
      <c r="L282" s="5">
        <v>0</v>
      </c>
      <c r="M282" s="5">
        <v>0</v>
      </c>
      <c r="N282" s="6"/>
      <c r="O282" s="6">
        <f t="shared" si="9"/>
        <v>1140</v>
      </c>
      <c r="P282" s="6">
        <f t="shared" si="10"/>
        <v>-1140</v>
      </c>
    </row>
    <row r="283" spans="2:16" x14ac:dyDescent="0.35">
      <c r="B283" t="s">
        <v>124</v>
      </c>
      <c r="C283" s="2" t="s">
        <v>177</v>
      </c>
      <c r="D283">
        <v>81133103</v>
      </c>
      <c r="E283">
        <v>52952101</v>
      </c>
      <c r="G283" s="5">
        <v>0</v>
      </c>
      <c r="H283" s="5">
        <v>0</v>
      </c>
      <c r="I283" s="5">
        <v>0</v>
      </c>
      <c r="J283" s="5">
        <v>0</v>
      </c>
      <c r="K283" s="5">
        <v>17020</v>
      </c>
      <c r="L283" s="5">
        <v>0</v>
      </c>
      <c r="M283" s="5">
        <v>0</v>
      </c>
      <c r="N283" s="6"/>
      <c r="O283" s="6">
        <f t="shared" si="9"/>
        <v>17020</v>
      </c>
      <c r="P283" s="6">
        <f t="shared" si="10"/>
        <v>-17020</v>
      </c>
    </row>
    <row r="284" spans="2:16" x14ac:dyDescent="0.35">
      <c r="B284" t="s">
        <v>124</v>
      </c>
      <c r="C284" s="2" t="s">
        <v>177</v>
      </c>
      <c r="D284">
        <v>80133103</v>
      </c>
      <c r="E284">
        <v>61711101</v>
      </c>
      <c r="G284" s="5">
        <v>0</v>
      </c>
      <c r="H284" s="5">
        <v>0</v>
      </c>
      <c r="I284" s="5">
        <v>0</v>
      </c>
      <c r="J284" s="5">
        <v>17020</v>
      </c>
      <c r="K284" s="5">
        <v>0</v>
      </c>
      <c r="L284" s="5">
        <v>0</v>
      </c>
      <c r="M284" s="5">
        <v>0</v>
      </c>
      <c r="N284" s="6"/>
      <c r="O284" s="6">
        <f t="shared" si="9"/>
        <v>17020</v>
      </c>
      <c r="P284" s="6">
        <f t="shared" si="10"/>
        <v>-17020</v>
      </c>
    </row>
    <row r="285" spans="2:16" x14ac:dyDescent="0.35">
      <c r="B285" t="s">
        <v>40</v>
      </c>
      <c r="C285" t="s">
        <v>40</v>
      </c>
      <c r="D285">
        <v>81123102</v>
      </c>
      <c r="E285">
        <v>52041405</v>
      </c>
      <c r="G285" s="5">
        <v>0</v>
      </c>
      <c r="H285" s="5">
        <v>0</v>
      </c>
      <c r="I285" s="6"/>
      <c r="J285" s="5">
        <v>0</v>
      </c>
      <c r="K285" s="6"/>
      <c r="L285" s="5">
        <v>0</v>
      </c>
      <c r="M285" s="5">
        <v>0</v>
      </c>
      <c r="N285" s="6"/>
      <c r="O285" s="6">
        <f t="shared" si="9"/>
        <v>0</v>
      </c>
      <c r="P285" s="6">
        <f t="shared" si="10"/>
        <v>0</v>
      </c>
    </row>
    <row r="286" spans="2:16" x14ac:dyDescent="0.35">
      <c r="B286" t="s">
        <v>7</v>
      </c>
      <c r="C286" s="2" t="s">
        <v>6</v>
      </c>
      <c r="D286">
        <v>81133102</v>
      </c>
      <c r="E286">
        <v>61959201</v>
      </c>
      <c r="G286" s="5">
        <v>0</v>
      </c>
      <c r="H286" s="5">
        <v>0</v>
      </c>
      <c r="I286" s="5">
        <v>0</v>
      </c>
      <c r="J286" s="5">
        <v>0</v>
      </c>
      <c r="K286" s="5">
        <v>300</v>
      </c>
      <c r="L286" s="5">
        <v>0</v>
      </c>
      <c r="M286" s="5">
        <v>0</v>
      </c>
      <c r="N286" s="6"/>
      <c r="O286" s="6">
        <f t="shared" si="9"/>
        <v>300</v>
      </c>
      <c r="P286" s="6">
        <f t="shared" si="10"/>
        <v>-300</v>
      </c>
    </row>
    <row r="287" spans="2:16" x14ac:dyDescent="0.35">
      <c r="B287" t="s">
        <v>38</v>
      </c>
      <c r="C287" s="2" t="s">
        <v>178</v>
      </c>
      <c r="D287">
        <v>90133102</v>
      </c>
      <c r="E287">
        <v>61959201</v>
      </c>
      <c r="G287" s="5">
        <v>0</v>
      </c>
      <c r="H287" s="5">
        <v>0</v>
      </c>
      <c r="I287" s="5">
        <v>300</v>
      </c>
      <c r="J287" s="5">
        <v>0</v>
      </c>
      <c r="K287" s="5">
        <v>0</v>
      </c>
      <c r="L287" s="5">
        <v>0</v>
      </c>
      <c r="M287" s="5">
        <v>0</v>
      </c>
      <c r="N287" s="6"/>
      <c r="O287" s="6">
        <f t="shared" si="9"/>
        <v>300</v>
      </c>
      <c r="P287" s="6">
        <f t="shared" si="10"/>
        <v>-300</v>
      </c>
    </row>
    <row r="288" spans="2:16" x14ac:dyDescent="0.35">
      <c r="B288" t="s">
        <v>179</v>
      </c>
      <c r="C288" s="2" t="s">
        <v>6</v>
      </c>
      <c r="D288">
        <v>81319101</v>
      </c>
      <c r="E288">
        <v>52111101</v>
      </c>
      <c r="G288" s="5">
        <v>17410.71</v>
      </c>
      <c r="H288" s="5">
        <v>8660.43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6"/>
      <c r="O288" s="6">
        <f t="shared" si="9"/>
        <v>26071.14</v>
      </c>
      <c r="P288" s="6">
        <f t="shared" si="10"/>
        <v>-26071.14</v>
      </c>
    </row>
    <row r="289" spans="2:16" x14ac:dyDescent="0.35">
      <c r="B289" t="s">
        <v>40</v>
      </c>
      <c r="C289" t="s">
        <v>40</v>
      </c>
      <c r="D289">
        <v>81123102</v>
      </c>
      <c r="E289">
        <v>52041405</v>
      </c>
      <c r="G289" s="5">
        <v>0</v>
      </c>
      <c r="H289" s="5">
        <v>74615.570000000007</v>
      </c>
      <c r="I289" s="5">
        <v>-11816.85</v>
      </c>
      <c r="J289" s="5">
        <v>0</v>
      </c>
      <c r="K289" s="6"/>
      <c r="L289" s="5">
        <v>0</v>
      </c>
      <c r="M289" s="5">
        <v>0</v>
      </c>
      <c r="N289" s="6"/>
      <c r="O289" s="6">
        <f t="shared" si="9"/>
        <v>62798.720000000008</v>
      </c>
      <c r="P289" s="6">
        <f t="shared" si="10"/>
        <v>-62798.720000000008</v>
      </c>
    </row>
    <row r="290" spans="2:16" x14ac:dyDescent="0.35">
      <c r="B290" t="s">
        <v>40</v>
      </c>
      <c r="C290" t="s">
        <v>40</v>
      </c>
      <c r="D290">
        <v>81123102</v>
      </c>
      <c r="E290">
        <v>52041405</v>
      </c>
      <c r="G290" s="5">
        <v>0</v>
      </c>
      <c r="H290" s="5">
        <v>0</v>
      </c>
      <c r="I290" s="6"/>
      <c r="J290" s="5">
        <v>0</v>
      </c>
      <c r="K290" s="6"/>
      <c r="L290" s="5">
        <v>0</v>
      </c>
      <c r="M290" s="5">
        <v>0</v>
      </c>
      <c r="N290" s="6"/>
      <c r="O290" s="6">
        <f t="shared" si="9"/>
        <v>0</v>
      </c>
      <c r="P290" s="6">
        <f t="shared" si="10"/>
        <v>0</v>
      </c>
    </row>
    <row r="291" spans="2:16" x14ac:dyDescent="0.35">
      <c r="B291" t="s">
        <v>40</v>
      </c>
      <c r="C291" t="s">
        <v>40</v>
      </c>
      <c r="D291">
        <v>81319101</v>
      </c>
      <c r="E291">
        <v>52041405</v>
      </c>
      <c r="G291" s="5">
        <v>0</v>
      </c>
      <c r="H291" s="5">
        <v>0</v>
      </c>
      <c r="I291" s="5">
        <v>105718.83</v>
      </c>
      <c r="J291" s="5">
        <v>34488.36</v>
      </c>
      <c r="K291" s="5">
        <v>39261.07</v>
      </c>
      <c r="L291" s="5">
        <v>41513.54</v>
      </c>
      <c r="M291" s="5">
        <v>34221.040000000001</v>
      </c>
      <c r="N291" s="6"/>
      <c r="O291" s="6">
        <f t="shared" si="9"/>
        <v>255202.84000000003</v>
      </c>
      <c r="P291" s="6">
        <f t="shared" si="10"/>
        <v>-255202.84000000003</v>
      </c>
    </row>
    <row r="292" spans="2:16" x14ac:dyDescent="0.35">
      <c r="B292" t="s">
        <v>40</v>
      </c>
      <c r="C292" t="s">
        <v>40</v>
      </c>
      <c r="D292">
        <v>81319101</v>
      </c>
      <c r="E292">
        <v>52041405</v>
      </c>
      <c r="G292" s="5">
        <v>22090.58</v>
      </c>
      <c r="H292" s="5">
        <v>31378.760000000002</v>
      </c>
      <c r="I292" s="5">
        <v>28977.4</v>
      </c>
      <c r="J292" s="5">
        <v>31282.61</v>
      </c>
      <c r="K292" s="5">
        <v>24011.5</v>
      </c>
      <c r="L292" s="5">
        <v>41055.009999999995</v>
      </c>
      <c r="M292" s="5">
        <v>30206.89</v>
      </c>
      <c r="N292" s="6"/>
      <c r="O292" s="6">
        <f t="shared" si="9"/>
        <v>209002.75</v>
      </c>
      <c r="P292" s="6">
        <f t="shared" si="10"/>
        <v>-209002.75</v>
      </c>
    </row>
    <row r="293" spans="2:16" x14ac:dyDescent="0.35">
      <c r="B293" t="s">
        <v>40</v>
      </c>
      <c r="C293" t="s">
        <v>40</v>
      </c>
      <c r="D293">
        <v>81319101</v>
      </c>
      <c r="E293">
        <v>52041405</v>
      </c>
      <c r="G293" s="5">
        <v>106448.6</v>
      </c>
      <c r="H293" s="5">
        <v>103794.73</v>
      </c>
      <c r="I293" s="5">
        <v>109157.77</v>
      </c>
      <c r="J293" s="5">
        <v>109726.66</v>
      </c>
      <c r="K293" s="5">
        <v>0</v>
      </c>
      <c r="L293" s="5">
        <v>319345.8</v>
      </c>
      <c r="M293" s="5">
        <v>106448.6</v>
      </c>
      <c r="N293" s="6"/>
      <c r="O293" s="6">
        <f t="shared" si="9"/>
        <v>854922.16</v>
      </c>
      <c r="P293" s="6">
        <f t="shared" si="10"/>
        <v>-854922.16</v>
      </c>
    </row>
    <row r="294" spans="2:16" x14ac:dyDescent="0.35">
      <c r="B294" t="s">
        <v>40</v>
      </c>
      <c r="C294" t="s">
        <v>40</v>
      </c>
      <c r="D294">
        <v>81319101</v>
      </c>
      <c r="E294">
        <v>52041405</v>
      </c>
      <c r="G294" s="5">
        <v>-83341.95</v>
      </c>
      <c r="H294" s="5">
        <v>5330.77</v>
      </c>
      <c r="I294" s="5">
        <v>0</v>
      </c>
      <c r="J294" s="5">
        <v>0</v>
      </c>
      <c r="K294" s="6"/>
      <c r="L294" s="5">
        <v>0</v>
      </c>
      <c r="M294" s="5">
        <v>0</v>
      </c>
      <c r="N294" s="6"/>
      <c r="O294" s="6">
        <f t="shared" si="9"/>
        <v>-78011.179999999993</v>
      </c>
      <c r="P294" s="6">
        <f t="shared" si="10"/>
        <v>78011.179999999993</v>
      </c>
    </row>
    <row r="295" spans="2:16" x14ac:dyDescent="0.35">
      <c r="B295" s="2" t="s">
        <v>180</v>
      </c>
      <c r="C295" s="2" t="s">
        <v>180</v>
      </c>
      <c r="D295">
        <v>81123102</v>
      </c>
      <c r="E295">
        <v>52041401</v>
      </c>
      <c r="G295" s="5">
        <v>0</v>
      </c>
      <c r="H295" s="5">
        <v>162252.37</v>
      </c>
      <c r="I295" s="5">
        <v>146550.53</v>
      </c>
      <c r="J295" s="5">
        <v>0</v>
      </c>
      <c r="K295" s="5">
        <v>501098.35000000003</v>
      </c>
      <c r="L295" s="5">
        <v>0</v>
      </c>
      <c r="M295" s="5">
        <v>361749.30000000005</v>
      </c>
      <c r="N295" s="6"/>
      <c r="O295" s="6">
        <f t="shared" si="9"/>
        <v>1171650.55</v>
      </c>
      <c r="P295" s="6">
        <f t="shared" si="10"/>
        <v>-1171650.55</v>
      </c>
    </row>
    <row r="296" spans="2:16" x14ac:dyDescent="0.35">
      <c r="B296" s="2" t="s">
        <v>180</v>
      </c>
      <c r="C296" s="2" t="s">
        <v>180</v>
      </c>
      <c r="D296">
        <v>81111101</v>
      </c>
      <c r="E296">
        <v>52041401</v>
      </c>
      <c r="G296" s="5">
        <v>258000</v>
      </c>
      <c r="H296" s="5">
        <v>123500</v>
      </c>
      <c r="I296" s="5">
        <v>-59717.189999999951</v>
      </c>
      <c r="J296" s="5">
        <v>179315.49</v>
      </c>
      <c r="K296" s="5">
        <v>-103990.95000000007</v>
      </c>
      <c r="L296" s="5">
        <v>229132.72999999998</v>
      </c>
      <c r="M296" s="5">
        <v>-43576.680000000051</v>
      </c>
      <c r="N296" s="6"/>
      <c r="O296" s="6">
        <f t="shared" si="9"/>
        <v>582663.39999999991</v>
      </c>
      <c r="P296" s="6">
        <f t="shared" si="10"/>
        <v>-582663.39999999991</v>
      </c>
    </row>
    <row r="297" spans="2:16" x14ac:dyDescent="0.35">
      <c r="B297" s="2" t="s">
        <v>180</v>
      </c>
      <c r="C297" s="2" t="s">
        <v>180</v>
      </c>
      <c r="D297">
        <v>81319101</v>
      </c>
      <c r="E297">
        <v>52041401</v>
      </c>
      <c r="G297" s="5">
        <v>109062.95999999999</v>
      </c>
      <c r="H297" s="5">
        <v>0</v>
      </c>
      <c r="I297" s="5">
        <v>207854.53999999998</v>
      </c>
      <c r="J297" s="5">
        <v>105258.84</v>
      </c>
      <c r="K297" s="5">
        <v>109062.95999999999</v>
      </c>
      <c r="L297" s="5">
        <v>105544.79999999999</v>
      </c>
      <c r="M297" s="5">
        <v>109062.95999999999</v>
      </c>
      <c r="N297" s="6"/>
      <c r="O297" s="6">
        <f t="shared" si="9"/>
        <v>745847.05999999982</v>
      </c>
      <c r="P297" s="6">
        <f t="shared" si="10"/>
        <v>-745847.05999999982</v>
      </c>
    </row>
    <row r="298" spans="2:16" x14ac:dyDescent="0.35">
      <c r="B298" s="2" t="s">
        <v>180</v>
      </c>
      <c r="C298" s="2" t="s">
        <v>180</v>
      </c>
      <c r="D298">
        <v>81319101</v>
      </c>
      <c r="E298">
        <v>52041401</v>
      </c>
      <c r="G298" s="5">
        <v>53188.189999999995</v>
      </c>
      <c r="H298" s="5">
        <v>0</v>
      </c>
      <c r="I298" s="5">
        <v>73777.16</v>
      </c>
      <c r="J298" s="5">
        <v>53872.070000000007</v>
      </c>
      <c r="K298" s="5">
        <v>25736.22</v>
      </c>
      <c r="L298" s="5">
        <v>75480.040000000008</v>
      </c>
      <c r="M298" s="5">
        <v>25736.22</v>
      </c>
      <c r="N298" s="6"/>
      <c r="O298" s="6">
        <f t="shared" si="9"/>
        <v>307789.90000000002</v>
      </c>
      <c r="P298" s="6">
        <f t="shared" si="10"/>
        <v>-307789.90000000002</v>
      </c>
    </row>
    <row r="299" spans="2:16" x14ac:dyDescent="0.35">
      <c r="B299" s="2" t="s">
        <v>180</v>
      </c>
      <c r="C299" s="2" t="s">
        <v>180</v>
      </c>
      <c r="D299" s="2">
        <v>81319101</v>
      </c>
      <c r="E299" s="2">
        <v>52041401</v>
      </c>
      <c r="F299" s="2"/>
      <c r="G299" s="5">
        <v>0</v>
      </c>
      <c r="H299" s="5">
        <v>214072.71000000002</v>
      </c>
      <c r="I299" s="5">
        <v>24857.9</v>
      </c>
      <c r="J299" s="5">
        <v>0</v>
      </c>
      <c r="K299" s="5">
        <v>0</v>
      </c>
      <c r="L299" s="5">
        <v>0</v>
      </c>
      <c r="M299" s="5">
        <v>0</v>
      </c>
      <c r="N299" s="6"/>
      <c r="O299" s="6">
        <f t="shared" si="9"/>
        <v>238930.61000000002</v>
      </c>
      <c r="P299" s="6">
        <f t="shared" si="10"/>
        <v>-238930.61000000002</v>
      </c>
    </row>
    <row r="300" spans="2:16" x14ac:dyDescent="0.35">
      <c r="B300" t="s">
        <v>179</v>
      </c>
      <c r="C300" s="2" t="s">
        <v>6</v>
      </c>
      <c r="D300">
        <v>81319101</v>
      </c>
      <c r="E300">
        <v>52111101</v>
      </c>
      <c r="G300" s="5">
        <v>6792.4900000000007</v>
      </c>
      <c r="H300" s="5">
        <v>0.01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/>
      <c r="O300" s="6">
        <f t="shared" si="9"/>
        <v>6792.5000000000009</v>
      </c>
      <c r="P300" s="6">
        <f t="shared" si="10"/>
        <v>-6792.5000000000009</v>
      </c>
    </row>
    <row r="301" spans="2:16" x14ac:dyDescent="0.35">
      <c r="B301" s="2" t="s">
        <v>180</v>
      </c>
      <c r="C301" s="2" t="s">
        <v>180</v>
      </c>
      <c r="D301">
        <v>81319101</v>
      </c>
      <c r="E301">
        <v>52041401</v>
      </c>
      <c r="G301" s="5">
        <v>53188.189999999995</v>
      </c>
      <c r="H301" s="5">
        <v>48040.87</v>
      </c>
      <c r="I301" s="5">
        <v>51995.779999999992</v>
      </c>
      <c r="J301" s="5">
        <v>25736.22</v>
      </c>
      <c r="K301" s="5">
        <v>50811.880000000005</v>
      </c>
      <c r="L301" s="5">
        <v>51072.100000000006</v>
      </c>
      <c r="M301" s="5">
        <v>25736.22</v>
      </c>
      <c r="N301" s="6"/>
      <c r="O301" s="6">
        <f t="shared" si="9"/>
        <v>306581.26</v>
      </c>
      <c r="P301" s="6">
        <f t="shared" si="10"/>
        <v>-306581.26</v>
      </c>
    </row>
    <row r="302" spans="2:16" x14ac:dyDescent="0.35">
      <c r="B302" s="2" t="s">
        <v>180</v>
      </c>
      <c r="C302" s="2" t="s">
        <v>180</v>
      </c>
      <c r="D302">
        <v>81319101</v>
      </c>
      <c r="E302">
        <v>52041401</v>
      </c>
      <c r="G302" s="5">
        <v>159234.43</v>
      </c>
      <c r="H302" s="5">
        <v>159234.43</v>
      </c>
      <c r="I302" s="5">
        <v>159234.43</v>
      </c>
      <c r="J302" s="5">
        <v>159234.43</v>
      </c>
      <c r="K302" s="5">
        <v>159234.43</v>
      </c>
      <c r="L302" s="5">
        <v>159234.43</v>
      </c>
      <c r="M302" s="5">
        <v>146582.92000000001</v>
      </c>
      <c r="N302" s="6"/>
      <c r="O302" s="6">
        <f t="shared" si="9"/>
        <v>1101989.4999999998</v>
      </c>
      <c r="P302" s="6">
        <f t="shared" si="10"/>
        <v>-1101989.4999999998</v>
      </c>
    </row>
    <row r="303" spans="2:16" x14ac:dyDescent="0.35">
      <c r="B303" s="2" t="s">
        <v>180</v>
      </c>
      <c r="C303" s="2" t="s">
        <v>180</v>
      </c>
      <c r="D303" s="2">
        <v>81123102</v>
      </c>
      <c r="E303" s="2">
        <v>52041401</v>
      </c>
      <c r="F303" s="2"/>
      <c r="G303" s="5">
        <v>0</v>
      </c>
      <c r="H303" s="5">
        <v>0</v>
      </c>
      <c r="I303" s="5">
        <v>-25736.219999999994</v>
      </c>
      <c r="J303" s="5">
        <v>0</v>
      </c>
      <c r="K303" s="5">
        <v>0</v>
      </c>
      <c r="L303" s="5">
        <v>0</v>
      </c>
      <c r="M303" s="5">
        <v>0</v>
      </c>
      <c r="N303" s="6"/>
      <c r="O303" s="6">
        <f t="shared" si="9"/>
        <v>-25736.219999999994</v>
      </c>
      <c r="P303" s="6">
        <f t="shared" si="10"/>
        <v>25736.219999999994</v>
      </c>
    </row>
    <row r="304" spans="2:16" x14ac:dyDescent="0.35">
      <c r="B304" t="s">
        <v>179</v>
      </c>
      <c r="C304" s="2" t="s">
        <v>6</v>
      </c>
      <c r="D304">
        <v>81319101</v>
      </c>
      <c r="E304">
        <v>52111101</v>
      </c>
      <c r="G304" s="5">
        <v>11164.29</v>
      </c>
      <c r="H304" s="5">
        <v>9384.7099999999991</v>
      </c>
      <c r="I304" s="5">
        <v>25892.86</v>
      </c>
      <c r="J304" s="5">
        <v>26833.48</v>
      </c>
      <c r="K304" s="5">
        <v>6500</v>
      </c>
      <c r="L304" s="5">
        <v>57142.859999999993</v>
      </c>
      <c r="M304" s="5">
        <v>8839.2900000000009</v>
      </c>
      <c r="N304" s="6"/>
      <c r="O304" s="6">
        <f t="shared" si="9"/>
        <v>145757.49</v>
      </c>
      <c r="P304" s="6">
        <f t="shared" si="10"/>
        <v>-145757.49</v>
      </c>
    </row>
    <row r="305" spans="2:16" x14ac:dyDescent="0.35">
      <c r="B305" t="s">
        <v>179</v>
      </c>
      <c r="C305" s="2" t="s">
        <v>6</v>
      </c>
      <c r="D305">
        <v>81319101</v>
      </c>
      <c r="E305">
        <v>52111101</v>
      </c>
      <c r="G305" s="5">
        <v>19420.47</v>
      </c>
      <c r="H305" s="5">
        <v>2142.86</v>
      </c>
      <c r="I305" s="5">
        <v>51431.970000000008</v>
      </c>
      <c r="J305" s="5">
        <v>48240.18</v>
      </c>
      <c r="K305" s="5">
        <v>295.31</v>
      </c>
      <c r="L305" s="5">
        <v>0</v>
      </c>
      <c r="M305" s="5">
        <v>53292.09</v>
      </c>
      <c r="N305" s="6"/>
      <c r="O305" s="6">
        <f t="shared" si="9"/>
        <v>174822.88</v>
      </c>
      <c r="P305" s="6">
        <f t="shared" si="10"/>
        <v>-174822.88</v>
      </c>
    </row>
    <row r="306" spans="2:16" x14ac:dyDescent="0.35">
      <c r="B306" t="s">
        <v>181</v>
      </c>
      <c r="C306" s="2" t="s">
        <v>9</v>
      </c>
      <c r="D306">
        <v>81319101</v>
      </c>
      <c r="E306">
        <v>52111102</v>
      </c>
      <c r="G306" s="5"/>
      <c r="H306" s="5"/>
      <c r="I306" s="5">
        <v>9821.43</v>
      </c>
      <c r="J306" s="5">
        <v>1694.64</v>
      </c>
      <c r="K306" s="5">
        <v>0</v>
      </c>
      <c r="L306" s="5">
        <v>0</v>
      </c>
      <c r="M306" s="5">
        <v>0</v>
      </c>
      <c r="N306" s="6"/>
      <c r="O306" s="6">
        <f t="shared" si="9"/>
        <v>11516.07</v>
      </c>
      <c r="P306" s="6">
        <f t="shared" si="10"/>
        <v>-11516.07</v>
      </c>
    </row>
    <row r="307" spans="2:16" x14ac:dyDescent="0.35">
      <c r="B307" t="s">
        <v>179</v>
      </c>
      <c r="C307" s="2" t="s">
        <v>6</v>
      </c>
      <c r="D307">
        <v>81319101</v>
      </c>
      <c r="E307">
        <v>52111101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6"/>
      <c r="O307" s="6">
        <f t="shared" si="9"/>
        <v>0</v>
      </c>
      <c r="P307" s="6">
        <f t="shared" si="10"/>
        <v>0</v>
      </c>
    </row>
    <row r="308" spans="2:16" x14ac:dyDescent="0.35">
      <c r="B308" t="s">
        <v>182</v>
      </c>
      <c r="C308" s="2" t="s">
        <v>20</v>
      </c>
      <c r="D308">
        <v>81319101</v>
      </c>
      <c r="E308">
        <v>52061103</v>
      </c>
      <c r="G308" s="5">
        <v>22409.16</v>
      </c>
      <c r="H308" s="5">
        <v>0</v>
      </c>
      <c r="I308" s="5">
        <v>803.57</v>
      </c>
      <c r="J308" s="5">
        <v>6785.71</v>
      </c>
      <c r="K308" s="5">
        <v>0</v>
      </c>
      <c r="L308" s="5">
        <v>20153.57</v>
      </c>
      <c r="M308" s="5">
        <v>12500</v>
      </c>
      <c r="N308" s="6"/>
      <c r="O308" s="6">
        <f t="shared" si="9"/>
        <v>62652.009999999995</v>
      </c>
      <c r="P308" s="6">
        <f t="shared" si="10"/>
        <v>-62652.009999999995</v>
      </c>
    </row>
    <row r="309" spans="2:16" x14ac:dyDescent="0.35">
      <c r="B309" t="s">
        <v>182</v>
      </c>
      <c r="C309" s="2" t="s">
        <v>21</v>
      </c>
      <c r="D309">
        <v>81319101</v>
      </c>
      <c r="E309">
        <v>52061101</v>
      </c>
      <c r="G309" s="5">
        <v>0</v>
      </c>
      <c r="H309" s="5">
        <v>0</v>
      </c>
      <c r="I309" s="5">
        <v>0</v>
      </c>
      <c r="J309" s="5">
        <v>5133.93</v>
      </c>
      <c r="K309" s="5">
        <v>0</v>
      </c>
      <c r="L309" s="5">
        <v>0</v>
      </c>
      <c r="M309" s="5">
        <v>0</v>
      </c>
      <c r="N309" s="6"/>
      <c r="O309" s="6">
        <f t="shared" si="9"/>
        <v>5133.93</v>
      </c>
      <c r="P309" s="6">
        <f t="shared" si="10"/>
        <v>-5133.93</v>
      </c>
    </row>
    <row r="310" spans="2:16" x14ac:dyDescent="0.35">
      <c r="B310" t="s">
        <v>182</v>
      </c>
      <c r="C310" s="2" t="s">
        <v>23</v>
      </c>
      <c r="D310">
        <v>81319101</v>
      </c>
      <c r="E310">
        <v>52061105</v>
      </c>
      <c r="G310" s="5"/>
      <c r="H310" s="5"/>
      <c r="I310" s="5">
        <v>28545.09</v>
      </c>
      <c r="J310" s="5">
        <v>0</v>
      </c>
      <c r="K310" s="5">
        <v>0</v>
      </c>
      <c r="L310" s="5">
        <v>10482.73</v>
      </c>
      <c r="M310" s="5">
        <v>0</v>
      </c>
      <c r="N310" s="6"/>
      <c r="O310" s="6">
        <f t="shared" si="9"/>
        <v>39027.82</v>
      </c>
      <c r="P310" s="6">
        <f t="shared" si="10"/>
        <v>-39027.82</v>
      </c>
    </row>
    <row r="311" spans="2:16" x14ac:dyDescent="0.35">
      <c r="B311" t="s">
        <v>182</v>
      </c>
      <c r="C311" s="2" t="s">
        <v>21</v>
      </c>
      <c r="D311">
        <v>81319101</v>
      </c>
      <c r="E311">
        <v>52061101</v>
      </c>
      <c r="G311" s="5">
        <v>0</v>
      </c>
      <c r="H311" s="5">
        <v>-1061.94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6"/>
      <c r="O311" s="6">
        <f t="shared" si="9"/>
        <v>-1061.94</v>
      </c>
      <c r="P311" s="6">
        <f t="shared" si="10"/>
        <v>1061.94</v>
      </c>
    </row>
    <row r="312" spans="2:16" x14ac:dyDescent="0.35">
      <c r="B312" t="s">
        <v>182</v>
      </c>
      <c r="C312" s="2" t="s">
        <v>23</v>
      </c>
      <c r="D312">
        <v>81319101</v>
      </c>
      <c r="E312">
        <v>52061105</v>
      </c>
      <c r="G312" s="5">
        <v>0</v>
      </c>
      <c r="H312" s="5">
        <v>6450</v>
      </c>
      <c r="I312" s="5">
        <v>12350</v>
      </c>
      <c r="J312" s="5">
        <v>0</v>
      </c>
      <c r="K312" s="5">
        <v>-2.9200000000000728</v>
      </c>
      <c r="L312" s="5">
        <v>0</v>
      </c>
      <c r="M312" s="5">
        <v>5250</v>
      </c>
      <c r="N312" s="6"/>
      <c r="O312" s="6">
        <f t="shared" si="9"/>
        <v>24047.08</v>
      </c>
      <c r="P312" s="6">
        <f t="shared" si="10"/>
        <v>-24047.08</v>
      </c>
    </row>
    <row r="313" spans="2:16" x14ac:dyDescent="0.35">
      <c r="B313" t="s">
        <v>182</v>
      </c>
      <c r="C313" s="2" t="s">
        <v>21</v>
      </c>
      <c r="D313">
        <v>81319101</v>
      </c>
      <c r="E313">
        <v>52061101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6"/>
      <c r="O313" s="6">
        <f t="shared" si="9"/>
        <v>0</v>
      </c>
      <c r="P313" s="6">
        <f t="shared" si="10"/>
        <v>0</v>
      </c>
    </row>
    <row r="314" spans="2:16" x14ac:dyDescent="0.35">
      <c r="B314" t="e">
        <v>#N/A</v>
      </c>
      <c r="C314" s="2" t="s">
        <v>137</v>
      </c>
      <c r="D314">
        <v>80111101</v>
      </c>
      <c r="E314">
        <v>52031101</v>
      </c>
      <c r="G314" s="5">
        <v>26000</v>
      </c>
      <c r="H314" s="5">
        <v>0</v>
      </c>
      <c r="I314" s="5">
        <v>12282</v>
      </c>
      <c r="J314" s="5">
        <v>0</v>
      </c>
      <c r="K314" s="5">
        <v>0</v>
      </c>
      <c r="L314" s="5">
        <v>2300</v>
      </c>
      <c r="M314" s="5">
        <v>0</v>
      </c>
      <c r="N314" s="6"/>
      <c r="O314" s="6">
        <f t="shared" si="9"/>
        <v>40582</v>
      </c>
      <c r="P314" s="6">
        <f t="shared" si="10"/>
        <v>-40582</v>
      </c>
    </row>
    <row r="315" spans="2:16" x14ac:dyDescent="0.35">
      <c r="B315" t="e">
        <v>#N/A</v>
      </c>
      <c r="C315" s="2" t="s">
        <v>137</v>
      </c>
      <c r="D315">
        <v>81111101</v>
      </c>
      <c r="E315">
        <v>52031101</v>
      </c>
      <c r="G315" s="5">
        <v>30021.119999999999</v>
      </c>
      <c r="H315" s="5">
        <v>4021.12</v>
      </c>
      <c r="I315" s="5">
        <v>44371.12</v>
      </c>
      <c r="J315" s="5">
        <v>4021.12</v>
      </c>
      <c r="K315" s="5">
        <v>4021.12</v>
      </c>
      <c r="L315" s="5">
        <v>9321.119999999999</v>
      </c>
      <c r="M315" s="5">
        <v>16000</v>
      </c>
      <c r="N315" s="6"/>
      <c r="O315" s="6">
        <f t="shared" si="9"/>
        <v>111776.71999999999</v>
      </c>
      <c r="P315" s="6">
        <f t="shared" si="10"/>
        <v>-111776.71999999999</v>
      </c>
    </row>
    <row r="316" spans="2:16" x14ac:dyDescent="0.35">
      <c r="B316" t="e">
        <v>#N/A</v>
      </c>
      <c r="C316" s="2" t="s">
        <v>137</v>
      </c>
      <c r="D316">
        <v>90111101</v>
      </c>
      <c r="E316">
        <v>52031101</v>
      </c>
      <c r="G316" s="5">
        <v>434700.47999999992</v>
      </c>
      <c r="H316" s="5">
        <v>374398.32999999996</v>
      </c>
      <c r="I316" s="5">
        <v>374398.32999999996</v>
      </c>
      <c r="J316" s="5">
        <v>374398.31999999995</v>
      </c>
      <c r="K316" s="5">
        <v>374398.32999999996</v>
      </c>
      <c r="L316" s="5">
        <v>374398.33000000007</v>
      </c>
      <c r="M316" s="5">
        <v>374398.32999999996</v>
      </c>
      <c r="N316" s="6"/>
      <c r="O316" s="6">
        <f t="shared" si="9"/>
        <v>2681090.4499999997</v>
      </c>
      <c r="P316" s="6">
        <f t="shared" si="10"/>
        <v>-2681090.4499999997</v>
      </c>
    </row>
    <row r="317" spans="2:16" x14ac:dyDescent="0.35">
      <c r="B317" t="e">
        <v>#N/A</v>
      </c>
      <c r="C317" s="2" t="s">
        <v>183</v>
      </c>
      <c r="D317">
        <v>80111101</v>
      </c>
      <c r="E317">
        <v>52031103</v>
      </c>
      <c r="G317" s="5">
        <v>0</v>
      </c>
      <c r="H317" s="5">
        <v>0</v>
      </c>
      <c r="I317" s="5">
        <v>114417.41</v>
      </c>
      <c r="J317" s="5">
        <v>114351.49</v>
      </c>
      <c r="K317" s="5">
        <v>0</v>
      </c>
      <c r="L317" s="5">
        <v>0</v>
      </c>
      <c r="M317" s="5">
        <v>0</v>
      </c>
      <c r="N317" s="6"/>
      <c r="O317" s="6">
        <f t="shared" si="9"/>
        <v>228768.90000000002</v>
      </c>
      <c r="P317" s="6">
        <f t="shared" si="10"/>
        <v>-228768.90000000002</v>
      </c>
    </row>
    <row r="318" spans="2:16" x14ac:dyDescent="0.35">
      <c r="B318" t="e">
        <v>#N/A</v>
      </c>
      <c r="C318" s="2" t="s">
        <v>183</v>
      </c>
      <c r="D318">
        <v>81111101</v>
      </c>
      <c r="E318">
        <v>52031103</v>
      </c>
      <c r="G318" s="5">
        <v>0</v>
      </c>
      <c r="H318" s="5">
        <v>330</v>
      </c>
      <c r="I318" s="5">
        <v>330</v>
      </c>
      <c r="J318" s="5">
        <v>0</v>
      </c>
      <c r="K318" s="5">
        <v>0</v>
      </c>
      <c r="L318" s="5">
        <v>23401.9</v>
      </c>
      <c r="M318" s="5">
        <v>270</v>
      </c>
      <c r="N318" s="6"/>
      <c r="O318" s="6">
        <f t="shared" si="9"/>
        <v>24331.9</v>
      </c>
      <c r="P318" s="6">
        <f t="shared" si="10"/>
        <v>-24331.9</v>
      </c>
    </row>
    <row r="319" spans="2:16" x14ac:dyDescent="0.35">
      <c r="B319" t="e">
        <v>#N/A</v>
      </c>
      <c r="C319" s="2" t="s">
        <v>183</v>
      </c>
      <c r="D319">
        <v>90111101</v>
      </c>
      <c r="E319">
        <v>61031101</v>
      </c>
      <c r="G319" s="5">
        <v>0</v>
      </c>
      <c r="H319" s="5">
        <v>0</v>
      </c>
      <c r="I319" s="5">
        <v>180</v>
      </c>
      <c r="J319" s="5">
        <v>90</v>
      </c>
      <c r="K319" s="5">
        <v>180</v>
      </c>
      <c r="L319" s="5">
        <v>120</v>
      </c>
      <c r="M319" s="5">
        <v>150</v>
      </c>
      <c r="N319" s="6"/>
      <c r="O319" s="6">
        <f t="shared" si="9"/>
        <v>720</v>
      </c>
      <c r="P319" s="6">
        <f t="shared" si="10"/>
        <v>-720</v>
      </c>
    </row>
    <row r="320" spans="2:16" x14ac:dyDescent="0.35">
      <c r="B320" t="s">
        <v>184</v>
      </c>
      <c r="C320" s="2" t="s">
        <v>185</v>
      </c>
      <c r="D320">
        <v>81111101</v>
      </c>
      <c r="E320">
        <v>52121101</v>
      </c>
      <c r="G320" s="5">
        <v>3311803.4299999997</v>
      </c>
      <c r="H320" s="5">
        <v>3333124.5500000003</v>
      </c>
      <c r="I320" s="5">
        <v>3351038.2600000007</v>
      </c>
      <c r="J320" s="5">
        <v>4200905.1000000015</v>
      </c>
      <c r="K320" s="5">
        <v>3471452.9100000006</v>
      </c>
      <c r="L320" s="5">
        <v>3592320.3800000008</v>
      </c>
      <c r="M320" s="5">
        <v>3333240.12</v>
      </c>
      <c r="N320" s="6"/>
      <c r="O320" s="6">
        <f t="shared" si="9"/>
        <v>24593884.750000004</v>
      </c>
      <c r="P320" s="6">
        <f t="shared" si="10"/>
        <v>-24593884.750000004</v>
      </c>
    </row>
    <row r="321" spans="2:16" x14ac:dyDescent="0.35">
      <c r="B321" t="s">
        <v>184</v>
      </c>
      <c r="C321" s="2" t="s">
        <v>186</v>
      </c>
      <c r="D321">
        <v>81111101</v>
      </c>
      <c r="E321">
        <v>52121104</v>
      </c>
      <c r="G321" s="5">
        <v>0</v>
      </c>
      <c r="H321" s="5">
        <v>0</v>
      </c>
      <c r="I321" s="5">
        <v>5350</v>
      </c>
      <c r="J321" s="5">
        <v>2204516</v>
      </c>
      <c r="K321" s="5">
        <v>0</v>
      </c>
      <c r="L321" s="5">
        <v>53700</v>
      </c>
      <c r="M321" s="5">
        <v>0</v>
      </c>
      <c r="N321" s="6"/>
      <c r="O321" s="6">
        <f t="shared" si="9"/>
        <v>2263566</v>
      </c>
      <c r="P321" s="6">
        <f t="shared" si="10"/>
        <v>-2263566</v>
      </c>
    </row>
    <row r="322" spans="2:16" x14ac:dyDescent="0.35">
      <c r="B322" t="s">
        <v>101</v>
      </c>
      <c r="C322" s="2" t="s">
        <v>187</v>
      </c>
      <c r="D322">
        <v>81111101</v>
      </c>
      <c r="E322">
        <v>52121106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-10380.92</v>
      </c>
      <c r="M322" s="5">
        <v>0</v>
      </c>
      <c r="N322" s="6"/>
      <c r="O322" s="6">
        <f t="shared" si="9"/>
        <v>-10380.92</v>
      </c>
      <c r="P322" s="6">
        <f t="shared" si="10"/>
        <v>10380.92</v>
      </c>
    </row>
    <row r="323" spans="2:16" x14ac:dyDescent="0.35">
      <c r="B323" t="s">
        <v>101</v>
      </c>
      <c r="C323" s="2" t="s">
        <v>188</v>
      </c>
      <c r="D323">
        <v>81111101</v>
      </c>
      <c r="E323">
        <v>52121102</v>
      </c>
      <c r="G323" s="5">
        <v>115912.66</v>
      </c>
      <c r="H323" s="5">
        <v>57523.67</v>
      </c>
      <c r="I323" s="5">
        <v>51297.390000000007</v>
      </c>
      <c r="J323" s="5">
        <v>205505.6</v>
      </c>
      <c r="K323" s="5">
        <v>49909.46</v>
      </c>
      <c r="L323" s="5">
        <v>92957.450000000012</v>
      </c>
      <c r="M323" s="5">
        <v>45481.29</v>
      </c>
      <c r="N323" s="6"/>
      <c r="O323" s="6">
        <f t="shared" si="9"/>
        <v>618587.52000000014</v>
      </c>
      <c r="P323" s="6">
        <f t="shared" si="10"/>
        <v>-618587.52000000014</v>
      </c>
    </row>
    <row r="324" spans="2:16" x14ac:dyDescent="0.35">
      <c r="B324" t="s">
        <v>101</v>
      </c>
      <c r="C324" s="2" t="s">
        <v>188</v>
      </c>
      <c r="D324">
        <v>81111101</v>
      </c>
      <c r="E324">
        <v>52121103</v>
      </c>
      <c r="G324" s="5">
        <v>24200</v>
      </c>
      <c r="H324" s="5">
        <v>58200</v>
      </c>
      <c r="I324" s="5">
        <v>48200</v>
      </c>
      <c r="J324" s="5">
        <v>55400</v>
      </c>
      <c r="K324" s="5">
        <v>46400</v>
      </c>
      <c r="L324" s="5">
        <v>57400</v>
      </c>
      <c r="M324" s="5">
        <v>65800</v>
      </c>
      <c r="N324" s="6"/>
      <c r="O324" s="6">
        <f t="shared" ref="O324:O387" si="11">SUM(G324:N324)</f>
        <v>355600</v>
      </c>
      <c r="P324" s="6">
        <f t="shared" ref="P324:P387" si="12">F324-O324</f>
        <v>-355600</v>
      </c>
    </row>
    <row r="325" spans="2:16" x14ac:dyDescent="0.35">
      <c r="B325" t="s">
        <v>189</v>
      </c>
      <c r="C325" s="2" t="s">
        <v>190</v>
      </c>
      <c r="D325">
        <v>81111101</v>
      </c>
      <c r="E325">
        <v>52121305</v>
      </c>
      <c r="G325" s="5">
        <v>256630</v>
      </c>
      <c r="H325" s="5">
        <v>253400</v>
      </c>
      <c r="I325" s="5">
        <v>256010</v>
      </c>
      <c r="J325" s="5">
        <v>302030</v>
      </c>
      <c r="K325" s="5">
        <v>262280</v>
      </c>
      <c r="L325" s="5">
        <v>287110</v>
      </c>
      <c r="M325" s="5">
        <v>258330</v>
      </c>
      <c r="N325" s="6"/>
      <c r="O325" s="6">
        <f t="shared" si="11"/>
        <v>1875790</v>
      </c>
      <c r="P325" s="6">
        <f t="shared" si="12"/>
        <v>-1875790</v>
      </c>
    </row>
    <row r="326" spans="2:16" x14ac:dyDescent="0.35">
      <c r="B326" t="s">
        <v>191</v>
      </c>
      <c r="C326" s="2" t="s">
        <v>192</v>
      </c>
      <c r="D326">
        <v>81111101</v>
      </c>
      <c r="E326">
        <v>52121305</v>
      </c>
      <c r="G326" s="5">
        <v>17200</v>
      </c>
      <c r="H326" s="5">
        <v>17000</v>
      </c>
      <c r="I326" s="5">
        <v>17200</v>
      </c>
      <c r="J326" s="5">
        <v>17200</v>
      </c>
      <c r="K326" s="5">
        <v>17400</v>
      </c>
      <c r="L326" s="5">
        <v>17400</v>
      </c>
      <c r="M326" s="5">
        <v>17000</v>
      </c>
      <c r="N326" s="6"/>
      <c r="O326" s="6">
        <f t="shared" si="11"/>
        <v>120400</v>
      </c>
      <c r="P326" s="6">
        <f t="shared" si="12"/>
        <v>-120400</v>
      </c>
    </row>
    <row r="327" spans="2:16" x14ac:dyDescent="0.35">
      <c r="B327" t="s">
        <v>193</v>
      </c>
      <c r="C327" s="2" t="s">
        <v>194</v>
      </c>
      <c r="D327">
        <v>81111101</v>
      </c>
      <c r="E327">
        <v>52121305</v>
      </c>
      <c r="G327" s="5">
        <v>81785</v>
      </c>
      <c r="H327" s="5">
        <v>80982.5</v>
      </c>
      <c r="I327" s="5">
        <v>81457.5</v>
      </c>
      <c r="J327" s="5">
        <v>86610</v>
      </c>
      <c r="K327" s="5">
        <v>86810</v>
      </c>
      <c r="L327" s="5">
        <v>86810</v>
      </c>
      <c r="M327" s="5">
        <v>82705</v>
      </c>
      <c r="N327" s="6"/>
      <c r="O327" s="6">
        <f t="shared" si="11"/>
        <v>587160</v>
      </c>
      <c r="P327" s="6">
        <f t="shared" si="12"/>
        <v>-587160</v>
      </c>
    </row>
    <row r="328" spans="2:16" x14ac:dyDescent="0.35">
      <c r="B328" t="s">
        <v>101</v>
      </c>
      <c r="C328" s="2" t="s">
        <v>195</v>
      </c>
      <c r="D328">
        <v>81111101</v>
      </c>
      <c r="E328">
        <v>52121308</v>
      </c>
      <c r="G328" s="5">
        <v>30000</v>
      </c>
      <c r="H328" s="5">
        <v>30000</v>
      </c>
      <c r="I328" s="5">
        <v>30000</v>
      </c>
      <c r="J328" s="5">
        <v>50000</v>
      </c>
      <c r="K328" s="5">
        <v>35000</v>
      </c>
      <c r="L328" s="5">
        <v>35000</v>
      </c>
      <c r="M328" s="5">
        <v>35000</v>
      </c>
      <c r="N328" s="6"/>
      <c r="O328" s="6">
        <f t="shared" si="11"/>
        <v>245000</v>
      </c>
      <c r="P328" s="6">
        <f t="shared" si="12"/>
        <v>-245000</v>
      </c>
    </row>
    <row r="329" spans="2:16" x14ac:dyDescent="0.35">
      <c r="B329" t="s">
        <v>101</v>
      </c>
      <c r="C329" s="2" t="s">
        <v>196</v>
      </c>
      <c r="D329">
        <v>81111101</v>
      </c>
      <c r="E329">
        <v>52121302</v>
      </c>
      <c r="G329" s="5">
        <v>0</v>
      </c>
      <c r="H329" s="5">
        <v>0</v>
      </c>
      <c r="I329" s="6"/>
      <c r="J329" s="5">
        <v>0</v>
      </c>
      <c r="K329" s="6"/>
      <c r="L329" s="5">
        <v>0</v>
      </c>
      <c r="M329" s="5">
        <v>0</v>
      </c>
      <c r="N329" s="6"/>
      <c r="O329" s="6">
        <f t="shared" si="11"/>
        <v>0</v>
      </c>
      <c r="P329" s="6">
        <f t="shared" si="12"/>
        <v>0</v>
      </c>
    </row>
    <row r="330" spans="2:16" x14ac:dyDescent="0.35">
      <c r="B330" t="s">
        <v>101</v>
      </c>
      <c r="C330" s="2" t="s">
        <v>197</v>
      </c>
      <c r="D330">
        <v>81111101</v>
      </c>
      <c r="E330">
        <v>52121306</v>
      </c>
      <c r="G330" s="5">
        <v>0</v>
      </c>
      <c r="H330" s="5">
        <v>0</v>
      </c>
      <c r="I330" s="5">
        <v>0</v>
      </c>
      <c r="J330" s="5">
        <v>0</v>
      </c>
      <c r="K330" s="6"/>
      <c r="L330" s="5">
        <v>293540</v>
      </c>
      <c r="M330" s="5">
        <v>0</v>
      </c>
      <c r="N330" s="6"/>
      <c r="O330" s="6">
        <f t="shared" si="11"/>
        <v>293540</v>
      </c>
      <c r="P330" s="6">
        <f t="shared" si="12"/>
        <v>-293540</v>
      </c>
    </row>
    <row r="331" spans="2:16" x14ac:dyDescent="0.35">
      <c r="B331" t="s">
        <v>101</v>
      </c>
      <c r="C331" s="2" t="s">
        <v>198</v>
      </c>
      <c r="D331">
        <v>81111101</v>
      </c>
      <c r="E331">
        <v>52121301</v>
      </c>
      <c r="G331" s="5">
        <v>12604.3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6"/>
      <c r="O331" s="6">
        <f t="shared" si="11"/>
        <v>12604.3</v>
      </c>
      <c r="P331" s="6">
        <f t="shared" si="12"/>
        <v>-12604.3</v>
      </c>
    </row>
    <row r="332" spans="2:16" x14ac:dyDescent="0.35">
      <c r="B332" t="s">
        <v>101</v>
      </c>
      <c r="C332" s="2" t="s">
        <v>199</v>
      </c>
      <c r="D332">
        <v>81111101</v>
      </c>
      <c r="E332">
        <v>52121301</v>
      </c>
      <c r="G332" s="5">
        <v>6240</v>
      </c>
      <c r="H332" s="5">
        <v>6240</v>
      </c>
      <c r="I332" s="5">
        <v>12337.5</v>
      </c>
      <c r="J332" s="5">
        <v>8272.5</v>
      </c>
      <c r="K332" s="5">
        <v>8272.5</v>
      </c>
      <c r="L332" s="5">
        <v>8272.5</v>
      </c>
      <c r="M332" s="5">
        <v>8272.5</v>
      </c>
      <c r="N332" s="6"/>
      <c r="O332" s="6">
        <f t="shared" si="11"/>
        <v>57907.5</v>
      </c>
      <c r="P332" s="6">
        <f t="shared" si="12"/>
        <v>-57907.5</v>
      </c>
    </row>
    <row r="333" spans="2:16" x14ac:dyDescent="0.35">
      <c r="B333" t="s">
        <v>101</v>
      </c>
      <c r="C333" s="2" t="s">
        <v>200</v>
      </c>
      <c r="D333">
        <v>81111101</v>
      </c>
      <c r="E333">
        <v>52121303</v>
      </c>
      <c r="G333" s="5"/>
      <c r="H333" s="5"/>
      <c r="I333" s="5"/>
      <c r="J333" s="5">
        <v>0</v>
      </c>
      <c r="K333" s="6"/>
      <c r="L333" s="5">
        <v>0</v>
      </c>
      <c r="M333" s="5">
        <v>0</v>
      </c>
      <c r="N333" s="6"/>
      <c r="O333" s="6">
        <f t="shared" si="11"/>
        <v>0</v>
      </c>
      <c r="P333" s="6">
        <f t="shared" si="12"/>
        <v>0</v>
      </c>
    </row>
    <row r="334" spans="2:16" x14ac:dyDescent="0.35">
      <c r="B334" t="s">
        <v>101</v>
      </c>
      <c r="C334" s="2" t="s">
        <v>201</v>
      </c>
      <c r="D334">
        <v>81111101</v>
      </c>
      <c r="E334">
        <v>52121303</v>
      </c>
      <c r="G334" s="5">
        <v>185998.25</v>
      </c>
      <c r="H334" s="5">
        <v>185998.25</v>
      </c>
      <c r="I334" s="5">
        <v>185998.25</v>
      </c>
      <c r="J334" s="5">
        <v>185998.25</v>
      </c>
      <c r="K334" s="5">
        <v>546585.11999999988</v>
      </c>
      <c r="L334" s="5">
        <v>282386.47999999992</v>
      </c>
      <c r="M334" s="5">
        <v>259209.38</v>
      </c>
      <c r="N334" s="6"/>
      <c r="O334" s="6">
        <f t="shared" si="11"/>
        <v>1832173.98</v>
      </c>
      <c r="P334" s="6">
        <f t="shared" si="12"/>
        <v>-1832173.98</v>
      </c>
    </row>
    <row r="335" spans="2:16" x14ac:dyDescent="0.35">
      <c r="B335" t="s">
        <v>184</v>
      </c>
      <c r="C335" s="2" t="s">
        <v>185</v>
      </c>
      <c r="D335">
        <v>80111101</v>
      </c>
      <c r="E335">
        <v>61021102</v>
      </c>
      <c r="G335" s="5">
        <v>1945568.18</v>
      </c>
      <c r="H335" s="5">
        <v>1967943.2300000002</v>
      </c>
      <c r="I335" s="5">
        <v>1989801.22</v>
      </c>
      <c r="J335" s="5">
        <v>2462455.04</v>
      </c>
      <c r="K335" s="5">
        <v>2102319.79</v>
      </c>
      <c r="L335" s="5">
        <v>2137206.2999999993</v>
      </c>
      <c r="M335" s="5">
        <v>2061033.5</v>
      </c>
      <c r="N335" s="6"/>
      <c r="O335" s="6">
        <f t="shared" si="11"/>
        <v>14666327.26</v>
      </c>
      <c r="P335" s="6">
        <f t="shared" si="12"/>
        <v>-14666327.26</v>
      </c>
    </row>
    <row r="336" spans="2:16" x14ac:dyDescent="0.35">
      <c r="B336" t="s">
        <v>184</v>
      </c>
      <c r="C336" s="2" t="s">
        <v>186</v>
      </c>
      <c r="D336">
        <v>80111101</v>
      </c>
      <c r="E336">
        <v>61021105</v>
      </c>
      <c r="G336" s="5">
        <v>0</v>
      </c>
      <c r="H336" s="5">
        <v>0</v>
      </c>
      <c r="I336" s="5">
        <v>0</v>
      </c>
      <c r="J336" s="5">
        <v>1320203</v>
      </c>
      <c r="K336" s="5">
        <v>0</v>
      </c>
      <c r="L336" s="5">
        <v>6666.67</v>
      </c>
      <c r="M336" s="5">
        <v>0</v>
      </c>
      <c r="N336" s="6"/>
      <c r="O336" s="6">
        <f t="shared" si="11"/>
        <v>1326869.67</v>
      </c>
      <c r="P336" s="6">
        <f t="shared" si="12"/>
        <v>-1326869.67</v>
      </c>
    </row>
    <row r="337" spans="2:16" x14ac:dyDescent="0.35">
      <c r="B337" t="s">
        <v>101</v>
      </c>
      <c r="C337" s="2" t="s">
        <v>188</v>
      </c>
      <c r="D337">
        <v>80111101</v>
      </c>
      <c r="E337">
        <v>61021103</v>
      </c>
      <c r="G337" s="5">
        <v>45082.909999999996</v>
      </c>
      <c r="H337" s="5">
        <v>37057.440000000002</v>
      </c>
      <c r="I337" s="5">
        <v>40365.96</v>
      </c>
      <c r="J337" s="5">
        <v>40416.379999999997</v>
      </c>
      <c r="K337" s="5">
        <v>18507.22</v>
      </c>
      <c r="L337" s="5">
        <v>28178.28</v>
      </c>
      <c r="M337" s="5">
        <v>37074.490000000005</v>
      </c>
      <c r="N337" s="6"/>
      <c r="O337" s="6">
        <f t="shared" si="11"/>
        <v>246682.68</v>
      </c>
      <c r="P337" s="6">
        <f t="shared" si="12"/>
        <v>-246682.68</v>
      </c>
    </row>
    <row r="338" spans="2:16" x14ac:dyDescent="0.35">
      <c r="B338" t="s">
        <v>101</v>
      </c>
      <c r="C338" s="2" t="s">
        <v>188</v>
      </c>
      <c r="D338">
        <v>80111101</v>
      </c>
      <c r="E338">
        <v>61021104</v>
      </c>
      <c r="G338" s="5">
        <v>23400</v>
      </c>
      <c r="H338" s="5">
        <v>12600</v>
      </c>
      <c r="I338" s="5">
        <v>13800</v>
      </c>
      <c r="J338" s="5">
        <v>8200</v>
      </c>
      <c r="K338" s="5">
        <v>10968</v>
      </c>
      <c r="L338" s="5">
        <v>13200</v>
      </c>
      <c r="M338" s="5">
        <v>23400</v>
      </c>
      <c r="N338" s="6"/>
      <c r="O338" s="6">
        <f t="shared" si="11"/>
        <v>105568</v>
      </c>
      <c r="P338" s="6">
        <f t="shared" si="12"/>
        <v>-105568</v>
      </c>
    </row>
    <row r="339" spans="2:16" x14ac:dyDescent="0.35">
      <c r="B339" t="s">
        <v>189</v>
      </c>
      <c r="C339" s="2" t="s">
        <v>190</v>
      </c>
      <c r="D339">
        <v>80111101</v>
      </c>
      <c r="E339">
        <v>61021306</v>
      </c>
      <c r="G339" s="5">
        <v>171560</v>
      </c>
      <c r="H339" s="5">
        <v>179710</v>
      </c>
      <c r="I339" s="5">
        <v>188490</v>
      </c>
      <c r="J339" s="5">
        <v>215960</v>
      </c>
      <c r="K339" s="5">
        <v>192670</v>
      </c>
      <c r="L339" s="5">
        <v>204040</v>
      </c>
      <c r="M339" s="5">
        <v>188190</v>
      </c>
      <c r="N339" s="6"/>
      <c r="O339" s="6">
        <f t="shared" si="11"/>
        <v>1340620</v>
      </c>
      <c r="P339" s="6">
        <f t="shared" si="12"/>
        <v>-1340620</v>
      </c>
    </row>
    <row r="340" spans="2:16" x14ac:dyDescent="0.35">
      <c r="B340" t="s">
        <v>191</v>
      </c>
      <c r="C340" s="2" t="s">
        <v>192</v>
      </c>
      <c r="D340">
        <v>80111101</v>
      </c>
      <c r="E340">
        <v>61021306</v>
      </c>
      <c r="G340" s="5">
        <v>12000</v>
      </c>
      <c r="H340" s="5">
        <v>12200</v>
      </c>
      <c r="I340" s="5">
        <v>12600</v>
      </c>
      <c r="J340" s="5">
        <v>12400</v>
      </c>
      <c r="K340" s="5">
        <v>12600</v>
      </c>
      <c r="L340" s="5">
        <v>12600</v>
      </c>
      <c r="M340" s="5">
        <v>12800</v>
      </c>
      <c r="N340" s="6"/>
      <c r="O340" s="6">
        <f t="shared" si="11"/>
        <v>87200</v>
      </c>
      <c r="P340" s="6">
        <f t="shared" si="12"/>
        <v>-87200</v>
      </c>
    </row>
    <row r="341" spans="2:16" x14ac:dyDescent="0.35">
      <c r="B341" t="s">
        <v>193</v>
      </c>
      <c r="C341" s="2" t="s">
        <v>194</v>
      </c>
      <c r="D341">
        <v>80111101</v>
      </c>
      <c r="E341">
        <v>61021306</v>
      </c>
      <c r="G341" s="5">
        <v>55002.5</v>
      </c>
      <c r="H341" s="5">
        <v>55802.5</v>
      </c>
      <c r="I341" s="5">
        <v>57202.5</v>
      </c>
      <c r="J341" s="5">
        <v>59257.5</v>
      </c>
      <c r="K341" s="5">
        <v>59707.5</v>
      </c>
      <c r="L341" s="5">
        <v>59707.5</v>
      </c>
      <c r="M341" s="5">
        <v>60407.5</v>
      </c>
      <c r="N341" s="6"/>
      <c r="O341" s="6">
        <f t="shared" si="11"/>
        <v>407087.5</v>
      </c>
      <c r="P341" s="6">
        <f t="shared" si="12"/>
        <v>-407087.5</v>
      </c>
    </row>
    <row r="342" spans="2:16" x14ac:dyDescent="0.35">
      <c r="B342" t="s">
        <v>101</v>
      </c>
      <c r="C342" s="2" t="s">
        <v>195</v>
      </c>
      <c r="D342">
        <v>80111101</v>
      </c>
      <c r="E342">
        <v>61021309</v>
      </c>
      <c r="G342" s="5">
        <v>30000</v>
      </c>
      <c r="H342" s="5">
        <v>30000</v>
      </c>
      <c r="I342" s="5">
        <v>30000</v>
      </c>
      <c r="J342" s="5">
        <v>50000</v>
      </c>
      <c r="K342" s="5">
        <v>35000</v>
      </c>
      <c r="L342" s="5">
        <v>35000</v>
      </c>
      <c r="M342" s="5">
        <v>35000</v>
      </c>
      <c r="N342" s="6"/>
      <c r="O342" s="6">
        <f t="shared" si="11"/>
        <v>245000</v>
      </c>
      <c r="P342" s="6">
        <f t="shared" si="12"/>
        <v>-245000</v>
      </c>
    </row>
    <row r="343" spans="2:16" x14ac:dyDescent="0.35">
      <c r="B343" t="s">
        <v>101</v>
      </c>
      <c r="C343" s="2" t="s">
        <v>196</v>
      </c>
      <c r="D343">
        <v>80111101</v>
      </c>
      <c r="E343">
        <v>61021302</v>
      </c>
      <c r="G343" s="5">
        <v>0</v>
      </c>
      <c r="H343" s="5">
        <v>0</v>
      </c>
      <c r="I343" s="6"/>
      <c r="J343" s="5">
        <v>0</v>
      </c>
      <c r="K343" s="6"/>
      <c r="L343" s="5">
        <v>0</v>
      </c>
      <c r="M343" s="5">
        <v>0</v>
      </c>
      <c r="N343" s="6"/>
      <c r="O343" s="6">
        <f t="shared" si="11"/>
        <v>0</v>
      </c>
      <c r="P343" s="6">
        <f t="shared" si="12"/>
        <v>0</v>
      </c>
    </row>
    <row r="344" spans="2:16" x14ac:dyDescent="0.35">
      <c r="B344" t="s">
        <v>101</v>
      </c>
      <c r="C344" s="2" t="s">
        <v>197</v>
      </c>
      <c r="D344">
        <v>80111101</v>
      </c>
      <c r="E344">
        <v>61021307</v>
      </c>
      <c r="G344" s="5">
        <v>0</v>
      </c>
      <c r="H344" s="5">
        <v>0</v>
      </c>
      <c r="I344" s="5">
        <v>0</v>
      </c>
      <c r="J344" s="5">
        <v>0</v>
      </c>
      <c r="K344" s="6"/>
      <c r="L344" s="5">
        <v>190000</v>
      </c>
      <c r="M344" s="5">
        <v>0</v>
      </c>
      <c r="N344" s="6"/>
      <c r="O344" s="6">
        <f t="shared" si="11"/>
        <v>190000</v>
      </c>
      <c r="P344" s="6">
        <f t="shared" si="12"/>
        <v>-190000</v>
      </c>
    </row>
    <row r="345" spans="2:16" x14ac:dyDescent="0.35">
      <c r="B345" t="s">
        <v>101</v>
      </c>
      <c r="C345" s="2" t="s">
        <v>198</v>
      </c>
      <c r="D345">
        <v>80111101</v>
      </c>
      <c r="E345">
        <v>61021301</v>
      </c>
      <c r="G345" s="5">
        <v>7632.5700000000006</v>
      </c>
      <c r="H345" s="5">
        <v>0</v>
      </c>
      <c r="I345" s="5">
        <v>0</v>
      </c>
      <c r="J345" s="5">
        <v>0</v>
      </c>
      <c r="K345" s="5">
        <v>-674.61000000000013</v>
      </c>
      <c r="L345" s="5">
        <v>0</v>
      </c>
      <c r="M345" s="5">
        <v>0</v>
      </c>
      <c r="N345" s="6"/>
      <c r="O345" s="6">
        <f t="shared" si="11"/>
        <v>6957.9600000000009</v>
      </c>
      <c r="P345" s="6">
        <f t="shared" si="12"/>
        <v>-6957.9600000000009</v>
      </c>
    </row>
    <row r="346" spans="2:16" x14ac:dyDescent="0.35">
      <c r="B346" t="s">
        <v>101</v>
      </c>
      <c r="C346" s="2" t="s">
        <v>199</v>
      </c>
      <c r="D346">
        <v>80111101</v>
      </c>
      <c r="E346">
        <v>61021301</v>
      </c>
      <c r="G346" s="5">
        <v>0</v>
      </c>
      <c r="H346" s="5">
        <v>0</v>
      </c>
      <c r="I346" s="5">
        <v>14445</v>
      </c>
      <c r="J346" s="5">
        <v>8000</v>
      </c>
      <c r="K346" s="5">
        <v>4815</v>
      </c>
      <c r="L346" s="5">
        <v>4815</v>
      </c>
      <c r="M346" s="5">
        <v>4815</v>
      </c>
      <c r="N346" s="5"/>
      <c r="O346" s="6">
        <f t="shared" si="11"/>
        <v>36890</v>
      </c>
      <c r="P346" s="6">
        <f t="shared" si="12"/>
        <v>-36890</v>
      </c>
    </row>
    <row r="347" spans="2:16" x14ac:dyDescent="0.35">
      <c r="B347" t="s">
        <v>101</v>
      </c>
      <c r="C347" s="2" t="s">
        <v>200</v>
      </c>
      <c r="D347">
        <v>80111101</v>
      </c>
      <c r="E347">
        <v>61021303</v>
      </c>
      <c r="G347" s="5">
        <v>0</v>
      </c>
      <c r="H347" s="5">
        <v>0</v>
      </c>
      <c r="I347" s="5"/>
      <c r="J347" s="5">
        <v>0</v>
      </c>
      <c r="K347" s="6"/>
      <c r="L347" s="5">
        <v>0</v>
      </c>
      <c r="M347" s="5">
        <v>0</v>
      </c>
      <c r="N347" s="6"/>
      <c r="O347" s="6">
        <f t="shared" si="11"/>
        <v>0</v>
      </c>
      <c r="P347" s="6">
        <f t="shared" si="12"/>
        <v>0</v>
      </c>
    </row>
    <row r="348" spans="2:16" x14ac:dyDescent="0.35">
      <c r="B348" t="s">
        <v>101</v>
      </c>
      <c r="C348" s="2" t="s">
        <v>201</v>
      </c>
      <c r="D348">
        <v>80111101</v>
      </c>
      <c r="E348">
        <v>61021303</v>
      </c>
      <c r="G348" s="5">
        <v>138149.38</v>
      </c>
      <c r="H348" s="5">
        <v>138149.39000000001</v>
      </c>
      <c r="I348" s="5">
        <v>131914.25</v>
      </c>
      <c r="J348" s="5">
        <v>138149.39000000001</v>
      </c>
      <c r="K348" s="5">
        <v>138149.38</v>
      </c>
      <c r="L348" s="5">
        <v>138149.40999999992</v>
      </c>
      <c r="M348" s="5">
        <v>138149.38</v>
      </c>
      <c r="N348" s="6"/>
      <c r="O348" s="6">
        <f t="shared" si="11"/>
        <v>960810.58</v>
      </c>
      <c r="P348" s="6">
        <f t="shared" si="12"/>
        <v>-960810.58</v>
      </c>
    </row>
    <row r="349" spans="2:16" x14ac:dyDescent="0.35">
      <c r="B349" t="s">
        <v>184</v>
      </c>
      <c r="C349" s="2" t="s">
        <v>185</v>
      </c>
      <c r="D349">
        <v>90111101</v>
      </c>
      <c r="E349">
        <v>52121101</v>
      </c>
      <c r="G349" s="5">
        <v>16087334.160000004</v>
      </c>
      <c r="H349" s="5">
        <v>16619519.539999999</v>
      </c>
      <c r="I349" s="5">
        <v>16663458.709999997</v>
      </c>
      <c r="J349" s="5">
        <v>19851815.429999992</v>
      </c>
      <c r="K349" s="5">
        <v>17364548.219999995</v>
      </c>
      <c r="L349" s="5">
        <v>17451570.93</v>
      </c>
      <c r="M349" s="5">
        <v>16900831.199999992</v>
      </c>
      <c r="N349" s="6"/>
      <c r="O349" s="6">
        <f t="shared" si="11"/>
        <v>120939078.18999997</v>
      </c>
      <c r="P349" s="6">
        <f t="shared" si="12"/>
        <v>-120939078.18999997</v>
      </c>
    </row>
    <row r="350" spans="2:16" x14ac:dyDescent="0.35">
      <c r="B350" t="s">
        <v>184</v>
      </c>
      <c r="C350" s="2" t="s">
        <v>186</v>
      </c>
      <c r="D350">
        <v>90111101</v>
      </c>
      <c r="E350">
        <v>52121104</v>
      </c>
      <c r="G350" s="5">
        <v>0</v>
      </c>
      <c r="H350" s="5">
        <v>0</v>
      </c>
      <c r="I350" s="5">
        <v>14550</v>
      </c>
      <c r="J350" s="5">
        <v>14096582.33</v>
      </c>
      <c r="K350" s="5">
        <v>11750</v>
      </c>
      <c r="L350" s="5">
        <v>29116</v>
      </c>
      <c r="M350" s="5">
        <v>0</v>
      </c>
      <c r="N350" s="6"/>
      <c r="O350" s="6">
        <f t="shared" si="11"/>
        <v>14151998.33</v>
      </c>
      <c r="P350" s="6">
        <f t="shared" si="12"/>
        <v>-14151998.33</v>
      </c>
    </row>
    <row r="351" spans="2:16" x14ac:dyDescent="0.35">
      <c r="B351" t="s">
        <v>101</v>
      </c>
      <c r="C351" s="2" t="s">
        <v>202</v>
      </c>
      <c r="D351">
        <v>90111101</v>
      </c>
      <c r="E351">
        <v>52121106</v>
      </c>
      <c r="G351" s="5">
        <v>0</v>
      </c>
      <c r="H351" s="5">
        <v>4828922.51</v>
      </c>
      <c r="I351" s="6"/>
      <c r="J351" s="5">
        <v>0</v>
      </c>
      <c r="K351" s="5">
        <v>3551.91</v>
      </c>
      <c r="L351" s="5">
        <v>-39068.720000000001</v>
      </c>
      <c r="M351" s="5">
        <v>0</v>
      </c>
      <c r="N351" s="6"/>
      <c r="O351" s="6">
        <f t="shared" si="11"/>
        <v>4793405.7</v>
      </c>
      <c r="P351" s="6">
        <f t="shared" si="12"/>
        <v>-4793405.7</v>
      </c>
    </row>
    <row r="352" spans="2:16" x14ac:dyDescent="0.35">
      <c r="B352" t="s">
        <v>101</v>
      </c>
      <c r="C352" s="2" t="s">
        <v>188</v>
      </c>
      <c r="D352">
        <v>90111101</v>
      </c>
      <c r="E352">
        <v>52121102</v>
      </c>
      <c r="G352" s="5">
        <v>57068.439999999995</v>
      </c>
      <c r="H352" s="5">
        <v>71288.73</v>
      </c>
      <c r="I352" s="5">
        <v>73475.430000000008</v>
      </c>
      <c r="J352" s="5">
        <v>139058.74</v>
      </c>
      <c r="K352" s="5">
        <v>71173.759999999995</v>
      </c>
      <c r="L352" s="5">
        <v>83233.059999999983</v>
      </c>
      <c r="M352" s="5">
        <v>83146.570000000007</v>
      </c>
      <c r="N352" s="6"/>
      <c r="O352" s="6">
        <f t="shared" si="11"/>
        <v>578444.73</v>
      </c>
      <c r="P352" s="6">
        <f t="shared" si="12"/>
        <v>-578444.73</v>
      </c>
    </row>
    <row r="353" spans="2:16" x14ac:dyDescent="0.35">
      <c r="B353" t="s">
        <v>101</v>
      </c>
      <c r="C353" s="2" t="s">
        <v>188</v>
      </c>
      <c r="D353">
        <v>90111101</v>
      </c>
      <c r="E353">
        <v>52121103</v>
      </c>
      <c r="G353" s="5">
        <v>17200</v>
      </c>
      <c r="H353" s="5">
        <v>800</v>
      </c>
      <c r="I353" s="5">
        <v>7200</v>
      </c>
      <c r="J353" s="5">
        <v>4800</v>
      </c>
      <c r="K353" s="5">
        <v>1400</v>
      </c>
      <c r="L353" s="5">
        <v>15200</v>
      </c>
      <c r="M353" s="5">
        <v>15600</v>
      </c>
      <c r="N353" s="6"/>
      <c r="O353" s="6">
        <f t="shared" si="11"/>
        <v>62200</v>
      </c>
      <c r="P353" s="6">
        <f t="shared" si="12"/>
        <v>-62200</v>
      </c>
    </row>
    <row r="354" spans="2:16" x14ac:dyDescent="0.35">
      <c r="B354" t="s">
        <v>189</v>
      </c>
      <c r="C354" s="2" t="s">
        <v>190</v>
      </c>
      <c r="D354">
        <v>90111101</v>
      </c>
      <c r="E354">
        <v>52121305</v>
      </c>
      <c r="G354" s="5">
        <v>583390</v>
      </c>
      <c r="H354" s="5">
        <v>583940</v>
      </c>
      <c r="I354" s="5">
        <v>579820</v>
      </c>
      <c r="J354" s="5">
        <v>614220</v>
      </c>
      <c r="K354" s="5">
        <v>582630</v>
      </c>
      <c r="L354" s="5">
        <v>598350</v>
      </c>
      <c r="M354" s="5">
        <v>585290</v>
      </c>
      <c r="N354" s="6"/>
      <c r="O354" s="6">
        <f t="shared" si="11"/>
        <v>4127640</v>
      </c>
      <c r="P354" s="6">
        <f t="shared" si="12"/>
        <v>-4127640</v>
      </c>
    </row>
    <row r="355" spans="2:16" x14ac:dyDescent="0.35">
      <c r="B355" t="s">
        <v>191</v>
      </c>
      <c r="C355" s="2" t="s">
        <v>192</v>
      </c>
      <c r="D355">
        <v>90111101</v>
      </c>
      <c r="E355">
        <v>52121305</v>
      </c>
      <c r="G355" s="5">
        <v>35400</v>
      </c>
      <c r="H355" s="5">
        <v>35200</v>
      </c>
      <c r="I355" s="5">
        <v>34800</v>
      </c>
      <c r="J355" s="5">
        <v>34800</v>
      </c>
      <c r="K355" s="5">
        <v>35200</v>
      </c>
      <c r="L355" s="5">
        <v>35000</v>
      </c>
      <c r="M355" s="5">
        <v>35200</v>
      </c>
      <c r="N355" s="6"/>
      <c r="O355" s="6">
        <f t="shared" si="11"/>
        <v>245600</v>
      </c>
      <c r="P355" s="6">
        <f t="shared" si="12"/>
        <v>-245600</v>
      </c>
    </row>
    <row r="356" spans="2:16" x14ac:dyDescent="0.35">
      <c r="B356" t="s">
        <v>193</v>
      </c>
      <c r="C356" s="2" t="s">
        <v>194</v>
      </c>
      <c r="D356">
        <v>90111101</v>
      </c>
      <c r="E356">
        <v>52121305</v>
      </c>
      <c r="G356" s="5">
        <v>258472.5</v>
      </c>
      <c r="H356" s="5">
        <v>257627.5</v>
      </c>
      <c r="I356" s="5">
        <v>256090</v>
      </c>
      <c r="J356" s="5">
        <v>265360</v>
      </c>
      <c r="K356" s="5">
        <v>265870</v>
      </c>
      <c r="L356" s="5">
        <v>265417.5</v>
      </c>
      <c r="M356" s="5">
        <v>264017.5</v>
      </c>
      <c r="N356" s="6"/>
      <c r="O356" s="6">
        <f t="shared" si="11"/>
        <v>1832855</v>
      </c>
      <c r="P356" s="6">
        <f t="shared" si="12"/>
        <v>-1832855</v>
      </c>
    </row>
    <row r="357" spans="2:16" x14ac:dyDescent="0.35">
      <c r="B357" t="s">
        <v>101</v>
      </c>
      <c r="C357" s="2" t="s">
        <v>195</v>
      </c>
      <c r="D357">
        <v>90111101</v>
      </c>
      <c r="E357">
        <v>52121308</v>
      </c>
      <c r="G357" s="5">
        <v>562750</v>
      </c>
      <c r="H357" s="5">
        <v>566750</v>
      </c>
      <c r="I357" s="5">
        <v>566750</v>
      </c>
      <c r="J357" s="5">
        <v>670000</v>
      </c>
      <c r="K357" s="5">
        <v>603500</v>
      </c>
      <c r="L357" s="5">
        <v>594750</v>
      </c>
      <c r="M357" s="5">
        <v>586750</v>
      </c>
      <c r="N357" s="6"/>
      <c r="O357" s="6">
        <f t="shared" si="11"/>
        <v>4151250</v>
      </c>
      <c r="P357" s="6">
        <f t="shared" si="12"/>
        <v>-4151250</v>
      </c>
    </row>
    <row r="358" spans="2:16" x14ac:dyDescent="0.35">
      <c r="B358" t="s">
        <v>101</v>
      </c>
      <c r="C358" s="2" t="s">
        <v>196</v>
      </c>
      <c r="D358">
        <v>90111101</v>
      </c>
      <c r="E358">
        <v>52121302</v>
      </c>
      <c r="G358" s="5">
        <v>0</v>
      </c>
      <c r="H358" s="5">
        <v>0</v>
      </c>
      <c r="I358" s="6"/>
      <c r="J358" s="5">
        <v>0</v>
      </c>
      <c r="K358" s="6"/>
      <c r="L358" s="5">
        <v>0</v>
      </c>
      <c r="M358" s="5">
        <v>0</v>
      </c>
      <c r="N358" s="6"/>
      <c r="O358" s="6">
        <f t="shared" si="11"/>
        <v>0</v>
      </c>
      <c r="P358" s="6">
        <f t="shared" si="12"/>
        <v>0</v>
      </c>
    </row>
    <row r="359" spans="2:16" x14ac:dyDescent="0.35">
      <c r="B359" t="s">
        <v>101</v>
      </c>
      <c r="C359" s="2" t="s">
        <v>197</v>
      </c>
      <c r="D359">
        <v>90111101</v>
      </c>
      <c r="E359">
        <v>52121306</v>
      </c>
      <c r="G359" s="5">
        <v>152000</v>
      </c>
      <c r="H359" s="5">
        <v>0</v>
      </c>
      <c r="I359" s="5">
        <v>0</v>
      </c>
      <c r="J359" s="5">
        <v>0</v>
      </c>
      <c r="K359" s="6"/>
      <c r="L359" s="5">
        <v>716560</v>
      </c>
      <c r="M359" s="5">
        <v>0</v>
      </c>
      <c r="N359" s="6"/>
      <c r="O359" s="6">
        <f t="shared" si="11"/>
        <v>868560</v>
      </c>
      <c r="P359" s="6">
        <f t="shared" si="12"/>
        <v>-868560</v>
      </c>
    </row>
    <row r="360" spans="2:16" x14ac:dyDescent="0.35">
      <c r="B360" t="s">
        <v>101</v>
      </c>
      <c r="C360" s="2" t="s">
        <v>197</v>
      </c>
      <c r="D360">
        <v>90111101</v>
      </c>
      <c r="E360">
        <v>52121309</v>
      </c>
      <c r="G360" s="5">
        <v>38000</v>
      </c>
      <c r="H360" s="5">
        <v>0</v>
      </c>
      <c r="I360" s="5">
        <v>0</v>
      </c>
      <c r="J360" s="5">
        <v>0</v>
      </c>
      <c r="K360" s="6"/>
      <c r="L360" s="5">
        <v>0</v>
      </c>
      <c r="M360" s="5">
        <v>0</v>
      </c>
      <c r="N360" s="6"/>
      <c r="O360" s="6">
        <f t="shared" si="11"/>
        <v>38000</v>
      </c>
      <c r="P360" s="6">
        <f t="shared" si="12"/>
        <v>-38000</v>
      </c>
    </row>
    <row r="361" spans="2:16" x14ac:dyDescent="0.35">
      <c r="B361" t="s">
        <v>101</v>
      </c>
      <c r="C361" s="2" t="s">
        <v>198</v>
      </c>
      <c r="D361">
        <v>90111101</v>
      </c>
      <c r="E361">
        <v>52121301</v>
      </c>
      <c r="G361" s="5">
        <v>37546.26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6"/>
      <c r="O361" s="6">
        <f t="shared" si="11"/>
        <v>37546.26</v>
      </c>
      <c r="P361" s="6">
        <f t="shared" si="12"/>
        <v>-37546.26</v>
      </c>
    </row>
    <row r="362" spans="2:16" x14ac:dyDescent="0.35">
      <c r="B362" t="s">
        <v>101</v>
      </c>
      <c r="C362" s="2" t="s">
        <v>199</v>
      </c>
      <c r="D362">
        <v>90111101</v>
      </c>
      <c r="E362">
        <v>52121301</v>
      </c>
      <c r="G362" s="5">
        <v>0</v>
      </c>
      <c r="H362" s="5">
        <v>0</v>
      </c>
      <c r="I362" s="5">
        <v>78232.5</v>
      </c>
      <c r="J362" s="5">
        <v>29961.06</v>
      </c>
      <c r="K362" s="5">
        <v>26077.5</v>
      </c>
      <c r="L362" s="5">
        <v>26077.5</v>
      </c>
      <c r="M362" s="5">
        <v>26077.5</v>
      </c>
      <c r="N362" s="6"/>
      <c r="O362" s="6">
        <f t="shared" si="11"/>
        <v>186426.06</v>
      </c>
      <c r="P362" s="6">
        <f t="shared" si="12"/>
        <v>-186426.06</v>
      </c>
    </row>
    <row r="363" spans="2:16" x14ac:dyDescent="0.35">
      <c r="B363" t="s">
        <v>101</v>
      </c>
      <c r="C363" s="2" t="s">
        <v>200</v>
      </c>
      <c r="D363">
        <v>90111101</v>
      </c>
      <c r="E363">
        <v>52121303</v>
      </c>
      <c r="G363" s="5">
        <v>0</v>
      </c>
      <c r="H363" s="5">
        <v>0</v>
      </c>
      <c r="I363" s="5"/>
      <c r="J363" s="5">
        <v>0</v>
      </c>
      <c r="K363" s="6"/>
      <c r="L363" s="5">
        <v>0</v>
      </c>
      <c r="M363" s="5">
        <v>0</v>
      </c>
      <c r="N363" s="6"/>
      <c r="O363" s="6">
        <f t="shared" si="11"/>
        <v>0</v>
      </c>
      <c r="P363" s="6">
        <f t="shared" si="12"/>
        <v>0</v>
      </c>
    </row>
    <row r="364" spans="2:16" x14ac:dyDescent="0.35">
      <c r="B364" t="s">
        <v>101</v>
      </c>
      <c r="C364" s="2" t="s">
        <v>201</v>
      </c>
      <c r="D364">
        <v>90111101</v>
      </c>
      <c r="E364">
        <v>52121303</v>
      </c>
      <c r="G364" s="5">
        <v>860276.7</v>
      </c>
      <c r="H364" s="5">
        <v>1023819.4500000001</v>
      </c>
      <c r="I364" s="5">
        <v>-965764.41999999993</v>
      </c>
      <c r="J364" s="5">
        <v>273932.28000000014</v>
      </c>
      <c r="K364" s="5">
        <v>306110.5299999998</v>
      </c>
      <c r="L364" s="5">
        <v>2213923.08</v>
      </c>
      <c r="M364" s="5">
        <v>2849860.58</v>
      </c>
      <c r="N364" s="6"/>
      <c r="O364" s="6">
        <f t="shared" si="11"/>
        <v>6562158.2000000002</v>
      </c>
      <c r="P364" s="6">
        <f t="shared" si="12"/>
        <v>-6562158.2000000002</v>
      </c>
    </row>
    <row r="365" spans="2:16" x14ac:dyDescent="0.35">
      <c r="B365" t="s">
        <v>184</v>
      </c>
      <c r="C365" s="2" t="s">
        <v>203</v>
      </c>
      <c r="D365">
        <v>80111101</v>
      </c>
      <c r="E365">
        <v>61021201</v>
      </c>
      <c r="G365" s="5">
        <v>305871.74000000005</v>
      </c>
      <c r="H365" s="5">
        <v>390000.60000000003</v>
      </c>
      <c r="I365" s="5">
        <v>410120.24</v>
      </c>
      <c r="J365" s="5">
        <v>417061.46</v>
      </c>
      <c r="K365" s="5">
        <v>423803.51</v>
      </c>
      <c r="L365" s="5">
        <v>417320.03000000009</v>
      </c>
      <c r="M365" s="5">
        <v>403783.27</v>
      </c>
      <c r="N365" s="6"/>
      <c r="O365" s="6">
        <f t="shared" si="11"/>
        <v>2767960.85</v>
      </c>
      <c r="P365" s="6">
        <f t="shared" si="12"/>
        <v>-2767960.85</v>
      </c>
    </row>
    <row r="366" spans="2:16" x14ac:dyDescent="0.35">
      <c r="B366" t="s">
        <v>101</v>
      </c>
      <c r="C366" s="2" t="s">
        <v>204</v>
      </c>
      <c r="D366">
        <v>80111101</v>
      </c>
      <c r="E366">
        <v>61021202</v>
      </c>
      <c r="G366" s="5">
        <v>87876.9</v>
      </c>
      <c r="H366" s="5">
        <v>67623.67</v>
      </c>
      <c r="I366" s="5">
        <v>100118.54000000001</v>
      </c>
      <c r="J366" s="5">
        <v>117163.56</v>
      </c>
      <c r="K366" s="5">
        <v>89812.260000000009</v>
      </c>
      <c r="L366" s="5">
        <v>92193.159999999989</v>
      </c>
      <c r="M366" s="5">
        <v>85649.700000000012</v>
      </c>
      <c r="N366" s="6"/>
      <c r="O366" s="6">
        <f t="shared" si="11"/>
        <v>640437.79</v>
      </c>
      <c r="P366" s="6">
        <f t="shared" si="12"/>
        <v>-640437.79</v>
      </c>
    </row>
    <row r="367" spans="2:16" x14ac:dyDescent="0.35">
      <c r="B367" t="s">
        <v>101</v>
      </c>
      <c r="C367" s="2" t="s">
        <v>198</v>
      </c>
      <c r="D367">
        <v>80111101</v>
      </c>
      <c r="E367">
        <v>61021301</v>
      </c>
      <c r="G367" s="5"/>
      <c r="H367" s="5"/>
      <c r="I367" s="6"/>
      <c r="J367" s="5"/>
      <c r="K367" s="6"/>
      <c r="L367" s="5"/>
      <c r="M367" s="5"/>
      <c r="N367" s="6"/>
      <c r="O367" s="6">
        <f t="shared" si="11"/>
        <v>0</v>
      </c>
      <c r="P367" s="6">
        <f t="shared" si="12"/>
        <v>0</v>
      </c>
    </row>
    <row r="368" spans="2:16" x14ac:dyDescent="0.35">
      <c r="B368" t="s">
        <v>101</v>
      </c>
      <c r="C368" s="2" t="s">
        <v>199</v>
      </c>
      <c r="D368">
        <v>80111101</v>
      </c>
      <c r="E368">
        <v>61021301</v>
      </c>
      <c r="G368" s="5"/>
      <c r="H368" s="5"/>
      <c r="I368" s="6"/>
      <c r="J368" s="5"/>
      <c r="K368" s="6"/>
      <c r="L368" s="5"/>
      <c r="M368" s="5"/>
      <c r="N368" s="6"/>
      <c r="O368" s="6">
        <f t="shared" si="11"/>
        <v>0</v>
      </c>
      <c r="P368" s="6">
        <f t="shared" si="12"/>
        <v>0</v>
      </c>
    </row>
    <row r="369" spans="2:16" x14ac:dyDescent="0.35">
      <c r="B369" t="s">
        <v>101</v>
      </c>
      <c r="C369" s="2" t="s">
        <v>201</v>
      </c>
      <c r="D369">
        <v>80111101</v>
      </c>
      <c r="E369">
        <v>61021303</v>
      </c>
      <c r="G369" s="5"/>
      <c r="H369" s="5"/>
      <c r="I369" s="6"/>
      <c r="J369" s="5"/>
      <c r="K369" s="6"/>
      <c r="L369" s="5"/>
      <c r="M369" s="5"/>
      <c r="N369" s="6"/>
      <c r="O369" s="6">
        <f t="shared" si="11"/>
        <v>0</v>
      </c>
      <c r="P369" s="6">
        <f t="shared" si="12"/>
        <v>0</v>
      </c>
    </row>
    <row r="370" spans="2:16" x14ac:dyDescent="0.35">
      <c r="B370" t="s">
        <v>101</v>
      </c>
      <c r="C370" s="2" t="s">
        <v>201</v>
      </c>
      <c r="D370">
        <v>80111101</v>
      </c>
      <c r="E370">
        <v>61021303</v>
      </c>
      <c r="G370" s="5"/>
      <c r="H370" s="5"/>
      <c r="I370" s="6"/>
      <c r="J370" s="5"/>
      <c r="K370" s="6"/>
      <c r="L370" s="5"/>
      <c r="M370" s="5"/>
      <c r="N370" s="6"/>
      <c r="O370" s="6">
        <f t="shared" si="11"/>
        <v>0</v>
      </c>
      <c r="P370" s="6">
        <f t="shared" si="12"/>
        <v>0</v>
      </c>
    </row>
    <row r="371" spans="2:16" x14ac:dyDescent="0.35">
      <c r="B371" t="s">
        <v>101</v>
      </c>
      <c r="C371" s="2" t="s">
        <v>198</v>
      </c>
      <c r="D371">
        <v>90111101</v>
      </c>
      <c r="E371">
        <v>52121301</v>
      </c>
      <c r="G371" s="5"/>
      <c r="H371" s="5"/>
      <c r="I371" s="6"/>
      <c r="J371" s="5"/>
      <c r="K371" s="6"/>
      <c r="L371" s="5"/>
      <c r="M371" s="5"/>
      <c r="N371" s="6"/>
      <c r="O371" s="6">
        <f t="shared" si="11"/>
        <v>0</v>
      </c>
      <c r="P371" s="6">
        <f t="shared" si="12"/>
        <v>0</v>
      </c>
    </row>
    <row r="372" spans="2:16" x14ac:dyDescent="0.35">
      <c r="B372" t="s">
        <v>101</v>
      </c>
      <c r="C372" s="2" t="s">
        <v>199</v>
      </c>
      <c r="D372">
        <v>90111101</v>
      </c>
      <c r="E372">
        <v>52121301</v>
      </c>
      <c r="G372" s="5"/>
      <c r="H372" s="5"/>
      <c r="I372" s="6"/>
      <c r="J372" s="5"/>
      <c r="K372" s="6"/>
      <c r="L372" s="5"/>
      <c r="M372" s="5"/>
      <c r="N372" s="6"/>
      <c r="O372" s="6">
        <f t="shared" si="11"/>
        <v>0</v>
      </c>
      <c r="P372" s="6">
        <f t="shared" si="12"/>
        <v>0</v>
      </c>
    </row>
    <row r="373" spans="2:16" x14ac:dyDescent="0.35">
      <c r="B373" t="s">
        <v>101</v>
      </c>
      <c r="C373" s="2" t="s">
        <v>201</v>
      </c>
      <c r="D373">
        <v>90111101</v>
      </c>
      <c r="E373">
        <v>52121303</v>
      </c>
      <c r="G373" s="5"/>
      <c r="H373" s="5"/>
      <c r="I373" s="6"/>
      <c r="J373" s="5"/>
      <c r="K373" s="6"/>
      <c r="L373" s="5"/>
      <c r="M373" s="5"/>
      <c r="N373" s="6"/>
      <c r="O373" s="6">
        <f t="shared" si="11"/>
        <v>0</v>
      </c>
      <c r="P373" s="6">
        <f t="shared" si="12"/>
        <v>0</v>
      </c>
    </row>
    <row r="374" spans="2:16" x14ac:dyDescent="0.35">
      <c r="B374" t="s">
        <v>101</v>
      </c>
      <c r="C374" s="2" t="s">
        <v>201</v>
      </c>
      <c r="D374">
        <v>90111101</v>
      </c>
      <c r="E374">
        <v>52121303</v>
      </c>
      <c r="G374" s="5"/>
      <c r="H374" s="5"/>
      <c r="I374" s="6"/>
      <c r="J374" s="5"/>
      <c r="K374" s="6"/>
      <c r="L374" s="5"/>
      <c r="M374" s="5"/>
      <c r="N374" s="6"/>
      <c r="O374" s="6">
        <f t="shared" si="11"/>
        <v>0</v>
      </c>
      <c r="P374" s="6">
        <f t="shared" si="12"/>
        <v>0</v>
      </c>
    </row>
    <row r="375" spans="2:16" x14ac:dyDescent="0.35">
      <c r="B375" t="s">
        <v>184</v>
      </c>
      <c r="C375" s="2" t="s">
        <v>205</v>
      </c>
      <c r="D375">
        <v>81111101</v>
      </c>
      <c r="E375">
        <v>52041495</v>
      </c>
      <c r="G375" s="5">
        <v>540593.93999999994</v>
      </c>
      <c r="H375" s="5">
        <v>509422.96</v>
      </c>
      <c r="I375" s="5">
        <v>107926.67000000006</v>
      </c>
      <c r="J375" s="5">
        <v>575387.94000000006</v>
      </c>
      <c r="K375" s="5">
        <v>652257.68999999994</v>
      </c>
      <c r="L375" s="5">
        <v>780427.74</v>
      </c>
      <c r="M375" s="5">
        <v>-302921.68</v>
      </c>
      <c r="N375" s="6"/>
      <c r="O375" s="6">
        <f t="shared" si="11"/>
        <v>2863095.2600000002</v>
      </c>
      <c r="P375" s="6">
        <f t="shared" si="12"/>
        <v>-2863095.2600000002</v>
      </c>
    </row>
    <row r="376" spans="2:16" x14ac:dyDescent="0.35">
      <c r="B376" t="s">
        <v>184</v>
      </c>
      <c r="C376" s="2" t="s">
        <v>205</v>
      </c>
      <c r="D376">
        <v>81111101</v>
      </c>
      <c r="E376">
        <v>52041495</v>
      </c>
      <c r="G376" s="5"/>
      <c r="H376" s="5">
        <v>358611.4</v>
      </c>
      <c r="I376" s="6"/>
      <c r="J376" s="5">
        <v>0</v>
      </c>
      <c r="K376" s="6"/>
      <c r="L376" s="5">
        <v>0</v>
      </c>
      <c r="M376" s="5">
        <v>0</v>
      </c>
      <c r="N376" s="6"/>
      <c r="O376" s="6">
        <f t="shared" si="11"/>
        <v>358611.4</v>
      </c>
      <c r="P376" s="6">
        <f t="shared" si="12"/>
        <v>-358611.4</v>
      </c>
    </row>
    <row r="377" spans="2:16" x14ac:dyDescent="0.35">
      <c r="B377" t="s">
        <v>101</v>
      </c>
      <c r="C377" s="2" t="s">
        <v>206</v>
      </c>
      <c r="D377">
        <v>80111101</v>
      </c>
      <c r="E377">
        <v>61021304</v>
      </c>
      <c r="G377" s="5">
        <v>231789.67</v>
      </c>
      <c r="H377" s="5">
        <v>231789.67</v>
      </c>
      <c r="I377" s="5">
        <v>231789.67</v>
      </c>
      <c r="J377" s="5">
        <v>231789.67</v>
      </c>
      <c r="K377" s="5">
        <v>231789.67</v>
      </c>
      <c r="L377" s="5">
        <v>231789.67</v>
      </c>
      <c r="M377" s="5">
        <v>231789.67</v>
      </c>
      <c r="N377" s="6"/>
      <c r="O377" s="6">
        <f t="shared" si="11"/>
        <v>1622527.69</v>
      </c>
      <c r="P377" s="6">
        <f t="shared" si="12"/>
        <v>-1622527.69</v>
      </c>
    </row>
    <row r="378" spans="2:16" x14ac:dyDescent="0.35">
      <c r="B378" t="s">
        <v>101</v>
      </c>
      <c r="C378" s="2" t="s">
        <v>206</v>
      </c>
      <c r="D378">
        <v>81111101</v>
      </c>
      <c r="E378">
        <v>52121304</v>
      </c>
      <c r="G378" s="5">
        <v>303089.17</v>
      </c>
      <c r="H378" s="5">
        <v>303089.17</v>
      </c>
      <c r="I378" s="5">
        <v>303089.17</v>
      </c>
      <c r="J378" s="5">
        <v>303089.17</v>
      </c>
      <c r="K378" s="5">
        <v>303089.17</v>
      </c>
      <c r="L378" s="5">
        <v>303089.17</v>
      </c>
      <c r="M378" s="5">
        <v>303089.17</v>
      </c>
      <c r="N378" s="6"/>
      <c r="O378" s="6">
        <f t="shared" si="11"/>
        <v>2121624.19</v>
      </c>
      <c r="P378" s="6">
        <f t="shared" si="12"/>
        <v>-2121624.19</v>
      </c>
    </row>
    <row r="379" spans="2:16" x14ac:dyDescent="0.35">
      <c r="B379" t="s">
        <v>101</v>
      </c>
      <c r="C379" s="2" t="s">
        <v>206</v>
      </c>
      <c r="D379">
        <v>90111101</v>
      </c>
      <c r="E379">
        <v>52121304</v>
      </c>
      <c r="G379" s="5">
        <v>3234356.33</v>
      </c>
      <c r="H379" s="5">
        <v>3234356.33</v>
      </c>
      <c r="I379" s="5">
        <v>3234356.33</v>
      </c>
      <c r="J379" s="5">
        <v>4023631.0100000002</v>
      </c>
      <c r="K379" s="5">
        <v>3431675</v>
      </c>
      <c r="L379" s="5">
        <v>3431675</v>
      </c>
      <c r="M379" s="5">
        <v>3431675</v>
      </c>
      <c r="N379" s="6"/>
      <c r="O379" s="6">
        <f t="shared" si="11"/>
        <v>24021725</v>
      </c>
      <c r="P379" s="6">
        <f t="shared" si="12"/>
        <v>-24021725</v>
      </c>
    </row>
    <row r="380" spans="2:16" x14ac:dyDescent="0.35">
      <c r="B380" t="s">
        <v>207</v>
      </c>
      <c r="C380" s="2" t="s">
        <v>208</v>
      </c>
      <c r="D380">
        <v>80349101</v>
      </c>
      <c r="E380">
        <v>61959994</v>
      </c>
      <c r="G380" s="5">
        <v>0</v>
      </c>
      <c r="H380" s="5">
        <v>1490425.02</v>
      </c>
      <c r="I380" s="5">
        <v>101785.71</v>
      </c>
      <c r="J380" s="5">
        <v>401785.71</v>
      </c>
      <c r="K380" s="5">
        <v>0</v>
      </c>
      <c r="L380" s="5">
        <v>0</v>
      </c>
      <c r="M380" s="5">
        <v>641639.29</v>
      </c>
      <c r="N380" s="6"/>
      <c r="O380" s="6">
        <f t="shared" si="11"/>
        <v>2635635.73</v>
      </c>
      <c r="P380" s="6">
        <f t="shared" si="12"/>
        <v>-2635635.73</v>
      </c>
    </row>
    <row r="381" spans="2:16" x14ac:dyDescent="0.35">
      <c r="B381" t="s">
        <v>207</v>
      </c>
      <c r="C381" s="2" t="s">
        <v>209</v>
      </c>
      <c r="D381">
        <v>81349101</v>
      </c>
      <c r="E381">
        <v>52959901</v>
      </c>
      <c r="G381" s="5">
        <v>-460808.4</v>
      </c>
      <c r="H381" s="5">
        <v>0</v>
      </c>
      <c r="I381" s="5">
        <v>459022.2</v>
      </c>
      <c r="J381" s="5">
        <v>0</v>
      </c>
      <c r="K381" s="5">
        <v>0</v>
      </c>
      <c r="L381" s="5">
        <v>1606577.7</v>
      </c>
      <c r="M381" s="5">
        <v>0</v>
      </c>
      <c r="N381" s="6"/>
      <c r="O381" s="6">
        <f t="shared" si="11"/>
        <v>1604791.5</v>
      </c>
      <c r="P381" s="6">
        <f t="shared" si="12"/>
        <v>-1604791.5</v>
      </c>
    </row>
    <row r="382" spans="2:16" x14ac:dyDescent="0.35">
      <c r="B382" t="s">
        <v>207</v>
      </c>
      <c r="C382" s="2" t="s">
        <v>210</v>
      </c>
      <c r="D382" s="2">
        <v>81349101</v>
      </c>
      <c r="E382" s="2">
        <v>52959901</v>
      </c>
      <c r="F382" s="2"/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892857.14</v>
      </c>
      <c r="M382" s="5">
        <v>0</v>
      </c>
      <c r="N382" s="6"/>
      <c r="O382" s="6">
        <f t="shared" si="11"/>
        <v>892857.14</v>
      </c>
      <c r="P382" s="6">
        <f t="shared" si="12"/>
        <v>-892857.14</v>
      </c>
    </row>
    <row r="383" spans="2:16" x14ac:dyDescent="0.35">
      <c r="B383" t="s">
        <v>207</v>
      </c>
      <c r="C383" s="2" t="s">
        <v>211</v>
      </c>
      <c r="D383" s="2">
        <v>80349101</v>
      </c>
      <c r="E383" s="2">
        <v>61959994</v>
      </c>
      <c r="F383" s="2"/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6"/>
      <c r="O383" s="6">
        <f t="shared" si="11"/>
        <v>0</v>
      </c>
      <c r="P383" s="6">
        <f t="shared" si="12"/>
        <v>0</v>
      </c>
    </row>
    <row r="384" spans="2:16" x14ac:dyDescent="0.35">
      <c r="B384" t="s">
        <v>207</v>
      </c>
      <c r="C384" s="2" t="s">
        <v>212</v>
      </c>
      <c r="D384" s="2">
        <v>81349101</v>
      </c>
      <c r="E384" s="2">
        <v>52959901</v>
      </c>
      <c r="F384" s="2"/>
      <c r="G384" s="5"/>
      <c r="H384" s="5"/>
      <c r="I384" s="5"/>
      <c r="J384" s="5"/>
      <c r="K384" s="5"/>
      <c r="L384" s="5">
        <v>0</v>
      </c>
      <c r="M384" s="5">
        <v>0</v>
      </c>
      <c r="N384" s="6"/>
      <c r="O384" s="6">
        <f t="shared" si="11"/>
        <v>0</v>
      </c>
      <c r="P384" s="6">
        <f t="shared" si="12"/>
        <v>0</v>
      </c>
    </row>
    <row r="385" spans="2:16" x14ac:dyDescent="0.35">
      <c r="B385" t="s">
        <v>207</v>
      </c>
      <c r="C385" s="2" t="s">
        <v>213</v>
      </c>
      <c r="D385">
        <v>81222101</v>
      </c>
      <c r="E385">
        <v>61959994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1721333.26</v>
      </c>
      <c r="N385" s="6"/>
      <c r="O385" s="6">
        <f t="shared" si="11"/>
        <v>1721333.26</v>
      </c>
      <c r="P385" s="6">
        <f t="shared" si="12"/>
        <v>-1721333.26</v>
      </c>
    </row>
    <row r="386" spans="2:16" x14ac:dyDescent="0.35">
      <c r="B386" t="s">
        <v>207</v>
      </c>
      <c r="C386" s="2" t="s">
        <v>213</v>
      </c>
      <c r="D386">
        <v>81349101</v>
      </c>
      <c r="E386">
        <v>52959901</v>
      </c>
      <c r="G386" s="5"/>
      <c r="H386" s="5"/>
      <c r="I386" s="5"/>
      <c r="J386" s="5"/>
      <c r="K386" s="5"/>
      <c r="L386" s="5"/>
      <c r="M386" s="5">
        <v>-898918.48</v>
      </c>
      <c r="N386" s="6"/>
      <c r="O386" s="6">
        <f t="shared" si="11"/>
        <v>-898918.48</v>
      </c>
      <c r="P386" s="6">
        <f t="shared" si="12"/>
        <v>898918.48</v>
      </c>
    </row>
    <row r="387" spans="2:16" x14ac:dyDescent="0.35">
      <c r="B387" t="s">
        <v>7</v>
      </c>
      <c r="C387" s="2" t="s">
        <v>6</v>
      </c>
      <c r="D387">
        <v>80124101</v>
      </c>
      <c r="E387">
        <v>61061105</v>
      </c>
      <c r="G387" s="5">
        <v>12000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6"/>
      <c r="O387" s="6">
        <f t="shared" si="11"/>
        <v>12000</v>
      </c>
      <c r="P387" s="6">
        <f t="shared" si="12"/>
        <v>-12000</v>
      </c>
    </row>
    <row r="388" spans="2:16" x14ac:dyDescent="0.35">
      <c r="B388" t="s">
        <v>45</v>
      </c>
      <c r="C388" s="2" t="s">
        <v>45</v>
      </c>
      <c r="D388">
        <v>81124101</v>
      </c>
      <c r="E388">
        <v>52952103</v>
      </c>
      <c r="G388" s="5">
        <v>50994.16</v>
      </c>
      <c r="H388" s="5">
        <v>39684.639999999999</v>
      </c>
      <c r="I388" s="5">
        <v>19223.330000000002</v>
      </c>
      <c r="J388" s="5">
        <v>19223.330000000002</v>
      </c>
      <c r="K388" s="5">
        <v>19223.330000000002</v>
      </c>
      <c r="L388" s="5">
        <v>36187.61</v>
      </c>
      <c r="M388" s="5">
        <v>276068.56</v>
      </c>
      <c r="N388" s="6"/>
      <c r="O388" s="6">
        <f t="shared" ref="O388:O393" si="13">SUM(G388:N388)</f>
        <v>460604.96</v>
      </c>
      <c r="P388" s="6">
        <f t="shared" ref="P388:P393" si="14">F388-O388</f>
        <v>-460604.96</v>
      </c>
    </row>
    <row r="389" spans="2:16" x14ac:dyDescent="0.35">
      <c r="B389" t="s">
        <v>214</v>
      </c>
      <c r="C389" s="2" t="s">
        <v>214</v>
      </c>
      <c r="D389" s="2">
        <v>81124101</v>
      </c>
      <c r="E389" s="2">
        <v>52952103</v>
      </c>
      <c r="F389" s="2"/>
      <c r="G389" s="5"/>
      <c r="H389" s="5">
        <v>8852.61</v>
      </c>
      <c r="I389" s="5">
        <v>12201.68</v>
      </c>
      <c r="J389" s="5">
        <v>11939.24</v>
      </c>
      <c r="K389" s="5">
        <v>12573.43</v>
      </c>
      <c r="L389" s="5">
        <v>12769.73</v>
      </c>
      <c r="M389" s="5">
        <v>10948.15</v>
      </c>
      <c r="N389" s="6"/>
      <c r="O389" s="6">
        <f t="shared" si="13"/>
        <v>69284.84</v>
      </c>
      <c r="P389" s="6">
        <f t="shared" si="14"/>
        <v>-69284.84</v>
      </c>
    </row>
    <row r="390" spans="2:16" x14ac:dyDescent="0.35">
      <c r="B390" t="s">
        <v>215</v>
      </c>
      <c r="C390" s="2" t="s">
        <v>215</v>
      </c>
      <c r="D390" s="2">
        <v>80124101</v>
      </c>
      <c r="E390" s="2">
        <v>61061105</v>
      </c>
      <c r="F390" s="2"/>
      <c r="G390" s="5"/>
      <c r="H390" s="5">
        <v>62500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6"/>
      <c r="O390" s="6">
        <f t="shared" si="13"/>
        <v>62500</v>
      </c>
      <c r="P390" s="6">
        <f t="shared" si="14"/>
        <v>-62500</v>
      </c>
    </row>
    <row r="391" spans="2:16" x14ac:dyDescent="0.35">
      <c r="B391" t="s">
        <v>216</v>
      </c>
      <c r="C391" s="2" t="s">
        <v>216</v>
      </c>
      <c r="D391" s="2">
        <v>80124101</v>
      </c>
      <c r="E391" s="2">
        <v>61711102</v>
      </c>
      <c r="F391" s="2"/>
      <c r="G391" s="5"/>
      <c r="H391" s="5"/>
      <c r="I391" s="5"/>
      <c r="J391" s="5">
        <v>19975.97</v>
      </c>
      <c r="K391" s="5">
        <v>0</v>
      </c>
      <c r="L391" s="5">
        <v>0</v>
      </c>
      <c r="M391" s="5">
        <v>0</v>
      </c>
      <c r="N391" s="6"/>
      <c r="O391" s="6">
        <f t="shared" si="13"/>
        <v>19975.97</v>
      </c>
      <c r="P391" s="6">
        <f t="shared" si="14"/>
        <v>-19975.97</v>
      </c>
    </row>
    <row r="392" spans="2:16" x14ac:dyDescent="0.35">
      <c r="B392" t="s">
        <v>217</v>
      </c>
      <c r="C392" s="2" t="s">
        <v>217</v>
      </c>
      <c r="D392" s="2">
        <v>81124101</v>
      </c>
      <c r="E392" s="2">
        <v>52952103</v>
      </c>
      <c r="F392" s="2"/>
      <c r="G392" s="5"/>
      <c r="H392" s="5"/>
      <c r="I392" s="5"/>
      <c r="J392" s="5">
        <v>38839.29</v>
      </c>
      <c r="K392" s="6"/>
      <c r="L392" s="5">
        <v>0</v>
      </c>
      <c r="M392" s="5">
        <v>0</v>
      </c>
      <c r="N392" s="6"/>
      <c r="O392" s="6">
        <f t="shared" si="13"/>
        <v>38839.29</v>
      </c>
      <c r="P392" s="6">
        <f t="shared" si="14"/>
        <v>-38839.29</v>
      </c>
    </row>
    <row r="393" spans="2:16" x14ac:dyDescent="0.35">
      <c r="B393" t="s">
        <v>218</v>
      </c>
      <c r="C393" s="2" t="s">
        <v>219</v>
      </c>
      <c r="D393" s="4">
        <v>81111101</v>
      </c>
      <c r="E393" s="4">
        <v>61959202</v>
      </c>
      <c r="F393" s="4"/>
      <c r="G393" s="5"/>
      <c r="H393" s="5"/>
      <c r="I393" s="5"/>
      <c r="J393" s="5">
        <v>400499.99</v>
      </c>
      <c r="K393" s="5">
        <v>-400499.99</v>
      </c>
      <c r="L393" s="5">
        <v>0</v>
      </c>
      <c r="M393" s="5">
        <v>0</v>
      </c>
      <c r="N393" s="5"/>
      <c r="O393" s="6">
        <f t="shared" si="13"/>
        <v>0</v>
      </c>
      <c r="P393" s="6">
        <f t="shared" si="14"/>
        <v>0</v>
      </c>
    </row>
  </sheetData>
  <autoFilter ref="B2:P393" xr:uid="{38754C59-A0A8-45DC-BDCD-F22DF35019B4}"/>
  <conditionalFormatting sqref="D385:F386">
    <cfRule type="duplicateValues" dxfId="7" priority="5"/>
    <cfRule type="duplicateValues" dxfId="6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8A73-D08D-4DCA-85D0-51A1B7CE6DE1}">
  <dimension ref="A1:U800"/>
  <sheetViews>
    <sheetView tabSelected="1" zoomScale="60" zoomScaleNormal="60" workbookViewId="0">
      <pane xSplit="5" ySplit="3" topLeftCell="K4" activePane="bottomRight" state="frozen"/>
      <selection pane="topRight" activeCell="F1" sqref="F1"/>
      <selection pane="bottomLeft" activeCell="A4" sqref="A4"/>
      <selection pane="bottomRight" activeCell="U2" sqref="U2"/>
    </sheetView>
  </sheetViews>
  <sheetFormatPr defaultColWidth="10.08984375" defaultRowHeight="14.5" x14ac:dyDescent="0.35"/>
  <cols>
    <col min="1" max="1" width="15.54296875" customWidth="1"/>
    <col min="2" max="2" width="14.1796875" hidden="1" customWidth="1"/>
    <col min="3" max="3" width="22.7265625" hidden="1" customWidth="1"/>
    <col min="4" max="4" width="24" customWidth="1"/>
    <col min="5" max="5" width="24.7265625" customWidth="1"/>
    <col min="6" max="7" width="18.08984375" customWidth="1"/>
    <col min="8" max="8" width="17.26953125" style="27" customWidth="1"/>
    <col min="9" max="9" width="16.7265625" style="10" customWidth="1"/>
    <col min="10" max="20" width="16.1796875" style="10" customWidth="1"/>
    <col min="21" max="21" width="15.7265625" style="10" bestFit="1" customWidth="1"/>
  </cols>
  <sheetData>
    <row r="1" spans="1:21" x14ac:dyDescent="0.35">
      <c r="A1" s="13"/>
      <c r="D1" s="13"/>
      <c r="E1" s="13"/>
      <c r="F1" s="6"/>
      <c r="G1" s="6"/>
      <c r="H1" s="6"/>
      <c r="I1" s="6"/>
      <c r="O1" s="6"/>
      <c r="Q1" s="6"/>
      <c r="R1" s="6"/>
      <c r="S1" s="6"/>
      <c r="T1" s="6"/>
      <c r="U1" s="6"/>
    </row>
    <row r="2" spans="1:21" x14ac:dyDescent="0.35">
      <c r="B2" s="6"/>
      <c r="F2" s="21"/>
      <c r="G2" s="21"/>
      <c r="H2" s="16">
        <f t="shared" ref="H2:U2" si="0">SUBTOTAL(9,H4:H1048576)</f>
        <v>855489740.91994035</v>
      </c>
      <c r="I2" s="16">
        <f t="shared" si="0"/>
        <v>44131509.370166667</v>
      </c>
      <c r="J2" s="16">
        <f t="shared" si="0"/>
        <v>50116693.070166677</v>
      </c>
      <c r="K2" s="16">
        <f t="shared" si="0"/>
        <v>47324638.870166667</v>
      </c>
      <c r="L2" s="16">
        <f t="shared" si="0"/>
        <v>68972771.509166658</v>
      </c>
      <c r="M2" s="16">
        <f t="shared" si="0"/>
        <v>45648824.029166646</v>
      </c>
      <c r="N2" s="16">
        <f t="shared" si="0"/>
        <v>56556587.009166665</v>
      </c>
      <c r="O2" s="16">
        <f t="shared" si="0"/>
        <v>48232846.859166667</v>
      </c>
      <c r="P2" s="16">
        <f t="shared" si="0"/>
        <v>62206177.979166679</v>
      </c>
      <c r="Q2" s="16">
        <f t="shared" si="0"/>
        <v>49859757.169166654</v>
      </c>
      <c r="R2" s="16">
        <f t="shared" si="0"/>
        <v>51702061.617540002</v>
      </c>
      <c r="S2" s="16">
        <f t="shared" si="0"/>
        <v>49293568.317540005</v>
      </c>
      <c r="T2" s="16">
        <f>SUBTOTAL(9,T4:T1048576)</f>
        <v>152050912.17528349</v>
      </c>
      <c r="U2" s="16">
        <f>SUBTOTAL(9,U4:U1048576)</f>
        <v>726096347.97586346</v>
      </c>
    </row>
    <row r="3" spans="1:21" s="26" customFormat="1" x14ac:dyDescent="0.35">
      <c r="A3" s="1" t="s">
        <v>227</v>
      </c>
      <c r="B3" s="1" t="s">
        <v>257</v>
      </c>
      <c r="C3" s="1" t="s">
        <v>258</v>
      </c>
      <c r="D3" s="1" t="s">
        <v>0</v>
      </c>
      <c r="E3" s="1" t="s">
        <v>1265</v>
      </c>
      <c r="F3" s="1" t="s">
        <v>229</v>
      </c>
      <c r="G3" s="1" t="s">
        <v>228</v>
      </c>
      <c r="H3" s="23" t="s">
        <v>251</v>
      </c>
      <c r="I3" s="1" t="s">
        <v>220</v>
      </c>
      <c r="J3" s="1" t="s">
        <v>221</v>
      </c>
      <c r="K3" s="1" t="s">
        <v>222</v>
      </c>
      <c r="L3" s="1" t="s">
        <v>223</v>
      </c>
      <c r="M3" s="1" t="s">
        <v>224</v>
      </c>
      <c r="N3" s="1" t="s">
        <v>225</v>
      </c>
      <c r="O3" s="1" t="s">
        <v>226</v>
      </c>
      <c r="P3" s="1" t="s">
        <v>232</v>
      </c>
      <c r="Q3" s="1" t="s">
        <v>266</v>
      </c>
      <c r="R3" s="1" t="s">
        <v>262</v>
      </c>
      <c r="S3" s="1" t="s">
        <v>263</v>
      </c>
      <c r="T3" s="1" t="s">
        <v>264</v>
      </c>
      <c r="U3" s="1" t="s">
        <v>265</v>
      </c>
    </row>
    <row r="4" spans="1:21" x14ac:dyDescent="0.35">
      <c r="B4" t="s">
        <v>6</v>
      </c>
      <c r="C4" t="s">
        <v>2</v>
      </c>
      <c r="D4" t="s">
        <v>2</v>
      </c>
      <c r="E4" s="2" t="s">
        <v>2</v>
      </c>
      <c r="F4">
        <v>80123102</v>
      </c>
      <c r="G4">
        <v>61041101</v>
      </c>
      <c r="H4" s="27">
        <v>3192840</v>
      </c>
      <c r="I4" s="10">
        <v>175386.96</v>
      </c>
      <c r="J4" s="10">
        <v>142443.14000000001</v>
      </c>
      <c r="K4" s="10">
        <v>156890.70000000001</v>
      </c>
      <c r="L4" s="10">
        <v>159280.65</v>
      </c>
      <c r="M4" s="10">
        <v>235666.05</v>
      </c>
      <c r="N4" s="10">
        <v>300879.45</v>
      </c>
      <c r="O4" s="10">
        <v>281486.09999999998</v>
      </c>
      <c r="P4" s="10">
        <v>249940.55</v>
      </c>
      <c r="Q4" s="6">
        <v>195832.5</v>
      </c>
      <c r="R4" s="6">
        <v>250000</v>
      </c>
      <c r="S4" s="6">
        <v>250000</v>
      </c>
      <c r="T4" s="6">
        <v>250000</v>
      </c>
      <c r="U4" s="6">
        <f>SUM(I4:T4)</f>
        <v>2647806.0999999996</v>
      </c>
    </row>
    <row r="5" spans="1:21" x14ac:dyDescent="0.35">
      <c r="B5" t="s">
        <v>6</v>
      </c>
      <c r="C5" t="s">
        <v>2</v>
      </c>
      <c r="D5" t="s">
        <v>2</v>
      </c>
      <c r="E5" s="2" t="s">
        <v>2</v>
      </c>
      <c r="F5">
        <v>80123102</v>
      </c>
      <c r="G5">
        <v>61041201</v>
      </c>
      <c r="H5" s="27">
        <v>199985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6">
        <v>0</v>
      </c>
      <c r="R5" s="6">
        <v>0</v>
      </c>
      <c r="S5" s="6">
        <v>0</v>
      </c>
      <c r="T5" s="6">
        <v>0</v>
      </c>
      <c r="U5" s="6">
        <f t="shared" ref="U5:U68" si="1">SUM(I5:T5)</f>
        <v>0</v>
      </c>
    </row>
    <row r="6" spans="1:21" x14ac:dyDescent="0.35">
      <c r="B6" t="s">
        <v>6</v>
      </c>
      <c r="C6" t="s">
        <v>22</v>
      </c>
      <c r="D6" t="s">
        <v>3</v>
      </c>
      <c r="E6" s="2" t="s">
        <v>4</v>
      </c>
      <c r="F6">
        <v>80123102</v>
      </c>
      <c r="G6">
        <v>61111101</v>
      </c>
      <c r="H6" s="27">
        <v>480186.43979692634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6">
        <v>0</v>
      </c>
      <c r="R6" s="6">
        <v>300000</v>
      </c>
      <c r="S6" s="6">
        <v>300000</v>
      </c>
      <c r="T6" s="6">
        <v>300000</v>
      </c>
      <c r="U6" s="6">
        <f t="shared" si="1"/>
        <v>900000</v>
      </c>
    </row>
    <row r="7" spans="1:21" x14ac:dyDescent="0.35">
      <c r="B7" t="s">
        <v>6</v>
      </c>
      <c r="C7" t="s">
        <v>22</v>
      </c>
      <c r="D7" t="s">
        <v>3</v>
      </c>
      <c r="E7" s="2" t="s">
        <v>4</v>
      </c>
      <c r="F7" s="2">
        <v>81123102</v>
      </c>
      <c r="G7" s="2">
        <v>52111101</v>
      </c>
      <c r="H7" s="27">
        <v>0</v>
      </c>
      <c r="I7" s="10">
        <v>0</v>
      </c>
      <c r="J7" s="10">
        <v>33392.86</v>
      </c>
      <c r="K7" s="10">
        <v>126250.00000000003</v>
      </c>
      <c r="L7" s="10">
        <v>89897.299999999988</v>
      </c>
      <c r="M7" s="10">
        <v>37946.43</v>
      </c>
      <c r="N7" s="10">
        <v>5000</v>
      </c>
      <c r="O7" s="10">
        <v>147232.15</v>
      </c>
      <c r="P7" s="10">
        <v>26785.71</v>
      </c>
      <c r="Q7" s="6">
        <v>15178.56</v>
      </c>
      <c r="R7" s="6"/>
      <c r="S7" s="6"/>
      <c r="T7" s="6"/>
      <c r="U7" s="6">
        <f t="shared" si="1"/>
        <v>481683.01</v>
      </c>
    </row>
    <row r="8" spans="1:21" x14ac:dyDescent="0.35">
      <c r="B8" t="s">
        <v>6</v>
      </c>
      <c r="C8" t="s">
        <v>22</v>
      </c>
      <c r="D8" t="s">
        <v>5</v>
      </c>
      <c r="E8" s="2" t="s">
        <v>6</v>
      </c>
      <c r="F8">
        <v>80123102</v>
      </c>
      <c r="G8">
        <v>61111101</v>
      </c>
      <c r="H8" s="27">
        <v>624242.37173600402</v>
      </c>
      <c r="I8" s="10">
        <v>0</v>
      </c>
      <c r="J8" s="10">
        <v>6455.36</v>
      </c>
      <c r="K8" s="10">
        <v>120</v>
      </c>
      <c r="L8" s="10">
        <v>0</v>
      </c>
      <c r="M8" s="10">
        <v>400</v>
      </c>
      <c r="N8" s="10">
        <v>522</v>
      </c>
      <c r="O8" s="10">
        <v>3125</v>
      </c>
      <c r="P8" s="10">
        <v>162</v>
      </c>
      <c r="Q8" s="6">
        <v>1111.1600000000001</v>
      </c>
      <c r="R8" s="6"/>
      <c r="S8" s="6"/>
      <c r="T8" s="6"/>
      <c r="U8" s="6">
        <f t="shared" si="1"/>
        <v>11895.52</v>
      </c>
    </row>
    <row r="9" spans="1:21" x14ac:dyDescent="0.35">
      <c r="B9" t="s">
        <v>6</v>
      </c>
      <c r="C9" t="s">
        <v>22</v>
      </c>
      <c r="D9" t="s">
        <v>7</v>
      </c>
      <c r="E9" s="2" t="s">
        <v>6</v>
      </c>
      <c r="F9" s="2">
        <v>81123102</v>
      </c>
      <c r="G9" s="2">
        <v>52111101</v>
      </c>
      <c r="H9" s="27">
        <v>0</v>
      </c>
      <c r="I9" s="10">
        <v>0</v>
      </c>
      <c r="J9" s="10">
        <v>117689.73</v>
      </c>
      <c r="K9" s="10">
        <v>107517.47000000006</v>
      </c>
      <c r="L9" s="10">
        <v>62112.43</v>
      </c>
      <c r="M9" s="10">
        <v>55074.650000000009</v>
      </c>
      <c r="N9" s="10">
        <v>151002.12</v>
      </c>
      <c r="O9" s="10">
        <v>49534.86</v>
      </c>
      <c r="P9" s="10">
        <v>111235.44999999998</v>
      </c>
      <c r="Q9" s="6">
        <v>106480.57999999999</v>
      </c>
      <c r="R9" s="6"/>
      <c r="S9" s="6"/>
      <c r="T9" s="6"/>
      <c r="U9" s="6">
        <f t="shared" si="1"/>
        <v>760647.29</v>
      </c>
    </row>
    <row r="10" spans="1:21" x14ac:dyDescent="0.35">
      <c r="B10" t="s">
        <v>6</v>
      </c>
      <c r="C10" t="s">
        <v>22</v>
      </c>
      <c r="D10" t="s">
        <v>8</v>
      </c>
      <c r="E10" s="2" t="s">
        <v>9</v>
      </c>
      <c r="F10">
        <v>80123102</v>
      </c>
      <c r="G10">
        <v>61111102</v>
      </c>
      <c r="H10" s="27">
        <v>48018.643979692606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6">
        <v>0</v>
      </c>
      <c r="R10" s="6"/>
      <c r="S10" s="6"/>
      <c r="T10" s="6"/>
      <c r="U10" s="6">
        <f t="shared" si="1"/>
        <v>0</v>
      </c>
    </row>
    <row r="11" spans="1:21" x14ac:dyDescent="0.35">
      <c r="B11" t="s">
        <v>6</v>
      </c>
      <c r="C11" t="s">
        <v>22</v>
      </c>
      <c r="D11" t="s">
        <v>8</v>
      </c>
      <c r="E11" s="2" t="s">
        <v>9</v>
      </c>
      <c r="F11" s="2">
        <v>81123102</v>
      </c>
      <c r="G11" s="2">
        <v>52111102</v>
      </c>
      <c r="H11" s="27">
        <v>0</v>
      </c>
      <c r="I11" s="10">
        <v>8916.9599999999991</v>
      </c>
      <c r="J11" s="10">
        <v>0</v>
      </c>
      <c r="K11" s="10">
        <v>0</v>
      </c>
      <c r="L11" s="10">
        <v>0</v>
      </c>
      <c r="M11" s="10">
        <v>1798</v>
      </c>
      <c r="N11" s="10">
        <v>0</v>
      </c>
      <c r="O11" s="10">
        <v>0</v>
      </c>
      <c r="P11" s="10">
        <v>0</v>
      </c>
      <c r="Q11" s="6">
        <v>2799.11</v>
      </c>
      <c r="R11" s="6"/>
      <c r="S11" s="6"/>
      <c r="T11" s="6"/>
      <c r="U11" s="6">
        <f t="shared" si="1"/>
        <v>13514.07</v>
      </c>
    </row>
    <row r="12" spans="1:21" x14ac:dyDescent="0.35">
      <c r="B12" t="s">
        <v>6</v>
      </c>
      <c r="C12" t="s">
        <v>22</v>
      </c>
      <c r="D12" t="s">
        <v>10</v>
      </c>
      <c r="E12" s="2" t="s">
        <v>12</v>
      </c>
      <c r="F12">
        <v>80123102</v>
      </c>
      <c r="G12">
        <v>61111201</v>
      </c>
      <c r="H12" s="27">
        <v>86433.559163446713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6">
        <v>0</v>
      </c>
      <c r="R12" s="6"/>
      <c r="S12" s="6"/>
      <c r="T12" s="6"/>
      <c r="U12" s="6">
        <f t="shared" si="1"/>
        <v>0</v>
      </c>
    </row>
    <row r="13" spans="1:21" x14ac:dyDescent="0.35">
      <c r="B13" t="s">
        <v>6</v>
      </c>
      <c r="C13" t="s">
        <v>22</v>
      </c>
      <c r="D13" t="s">
        <v>10</v>
      </c>
      <c r="E13" s="2" t="s">
        <v>11</v>
      </c>
      <c r="F13">
        <v>80123102</v>
      </c>
      <c r="G13">
        <v>61111201</v>
      </c>
      <c r="H13" s="27">
        <v>576223.7277563113</v>
      </c>
      <c r="I13" s="10">
        <v>48012.45</v>
      </c>
      <c r="J13" s="10">
        <v>77544.69</v>
      </c>
      <c r="K13" s="10">
        <v>102713.66</v>
      </c>
      <c r="L13" s="10">
        <v>103946.2</v>
      </c>
      <c r="M13" s="10">
        <v>118138.21</v>
      </c>
      <c r="N13" s="10">
        <v>66950.689999999988</v>
      </c>
      <c r="O13" s="10">
        <v>83494.149999999994</v>
      </c>
      <c r="P13" s="10">
        <v>80868.01999999999</v>
      </c>
      <c r="Q13" s="6">
        <v>36505.899999999994</v>
      </c>
      <c r="R13" s="6"/>
      <c r="S13" s="6"/>
      <c r="T13" s="6"/>
      <c r="U13" s="6">
        <f t="shared" si="1"/>
        <v>718173.97000000009</v>
      </c>
    </row>
    <row r="14" spans="1:21" x14ac:dyDescent="0.35">
      <c r="B14" t="s">
        <v>6</v>
      </c>
      <c r="C14" t="s">
        <v>22</v>
      </c>
      <c r="D14" t="s">
        <v>10</v>
      </c>
      <c r="E14" s="2" t="s">
        <v>12</v>
      </c>
      <c r="F14" s="2">
        <v>81123102</v>
      </c>
      <c r="G14" s="2">
        <v>52119101</v>
      </c>
      <c r="H14" s="27">
        <v>0</v>
      </c>
      <c r="I14" s="10">
        <v>0</v>
      </c>
      <c r="J14" s="10">
        <v>0</v>
      </c>
      <c r="K14" s="10">
        <v>0</v>
      </c>
      <c r="L14" s="10">
        <v>6606.96</v>
      </c>
      <c r="M14" s="10">
        <v>14250.56</v>
      </c>
      <c r="N14" s="10">
        <v>8190</v>
      </c>
      <c r="O14" s="10">
        <v>10181</v>
      </c>
      <c r="P14" s="10">
        <v>5823</v>
      </c>
      <c r="Q14" s="6">
        <v>7518</v>
      </c>
      <c r="R14" s="6"/>
      <c r="S14" s="6"/>
      <c r="T14" s="6"/>
      <c r="U14" s="6">
        <f t="shared" si="1"/>
        <v>52569.520000000004</v>
      </c>
    </row>
    <row r="15" spans="1:21" x14ac:dyDescent="0.35">
      <c r="B15" t="s">
        <v>6</v>
      </c>
      <c r="C15" t="s">
        <v>22</v>
      </c>
      <c r="D15" t="s">
        <v>13</v>
      </c>
      <c r="E15" s="2" t="s">
        <v>14</v>
      </c>
      <c r="F15">
        <v>81221201</v>
      </c>
      <c r="G15">
        <v>61111101</v>
      </c>
      <c r="H15" s="27">
        <v>0</v>
      </c>
      <c r="I15" s="10">
        <v>20914.28</v>
      </c>
      <c r="J15" s="10">
        <v>0</v>
      </c>
      <c r="K15" s="10">
        <v>0</v>
      </c>
      <c r="L15" s="10">
        <v>0</v>
      </c>
      <c r="M15" s="10">
        <v>15445.169999999998</v>
      </c>
      <c r="N15" s="10">
        <v>0</v>
      </c>
      <c r="O15" s="10">
        <v>0</v>
      </c>
      <c r="P15" s="10">
        <v>0</v>
      </c>
      <c r="Q15" s="6">
        <v>0</v>
      </c>
      <c r="R15" s="6"/>
      <c r="S15" s="6"/>
      <c r="T15" s="6"/>
      <c r="U15" s="6">
        <f t="shared" si="1"/>
        <v>36359.449999999997</v>
      </c>
    </row>
    <row r="16" spans="1:21" x14ac:dyDescent="0.35">
      <c r="B16" t="s">
        <v>6</v>
      </c>
      <c r="C16" t="s">
        <v>22</v>
      </c>
      <c r="D16" t="s">
        <v>7</v>
      </c>
      <c r="E16" s="2" t="s">
        <v>6</v>
      </c>
      <c r="F16">
        <v>81221201</v>
      </c>
      <c r="G16">
        <v>61111101</v>
      </c>
      <c r="H16" s="27">
        <v>0</v>
      </c>
      <c r="O16" s="10">
        <v>-566.15000000000271</v>
      </c>
      <c r="P16" s="10">
        <v>0</v>
      </c>
      <c r="Q16" s="6">
        <v>0</v>
      </c>
      <c r="R16" s="6"/>
      <c r="S16" s="6"/>
      <c r="T16" s="6"/>
      <c r="U16" s="6">
        <f t="shared" si="1"/>
        <v>-566.15000000000271</v>
      </c>
    </row>
    <row r="17" spans="2:21" x14ac:dyDescent="0.35">
      <c r="B17" t="s">
        <v>6</v>
      </c>
      <c r="C17" t="s">
        <v>22</v>
      </c>
      <c r="D17" s="37" t="s">
        <v>13</v>
      </c>
      <c r="E17" s="37" t="s">
        <v>292</v>
      </c>
      <c r="F17" s="2">
        <v>81319101</v>
      </c>
      <c r="G17" s="2">
        <v>52111101</v>
      </c>
      <c r="H17" s="27">
        <v>0</v>
      </c>
      <c r="M17" s="10">
        <v>98214.29</v>
      </c>
      <c r="N17" s="10">
        <v>0</v>
      </c>
      <c r="O17" s="10">
        <v>0</v>
      </c>
      <c r="P17" s="10">
        <v>0</v>
      </c>
      <c r="Q17" s="6">
        <v>0</v>
      </c>
      <c r="R17" s="6"/>
      <c r="S17" s="6"/>
      <c r="T17" s="6"/>
      <c r="U17" s="6">
        <f t="shared" si="1"/>
        <v>98214.29</v>
      </c>
    </row>
    <row r="18" spans="2:21" x14ac:dyDescent="0.35">
      <c r="B18" t="s">
        <v>6</v>
      </c>
      <c r="C18" t="s">
        <v>22</v>
      </c>
      <c r="D18" t="s">
        <v>13</v>
      </c>
      <c r="E18" s="2" t="s">
        <v>14</v>
      </c>
      <c r="F18" s="2">
        <v>81319101</v>
      </c>
      <c r="G18" s="2">
        <v>52111101</v>
      </c>
      <c r="H18" s="27">
        <v>0</v>
      </c>
      <c r="M18" s="10">
        <v>16071.43</v>
      </c>
      <c r="N18" s="10">
        <v>0</v>
      </c>
      <c r="O18" s="10">
        <v>0</v>
      </c>
      <c r="P18" s="10">
        <v>0</v>
      </c>
      <c r="Q18" s="6">
        <v>16071.43</v>
      </c>
      <c r="R18" s="6"/>
      <c r="S18" s="6"/>
      <c r="T18" s="6"/>
      <c r="U18" s="6">
        <f t="shared" si="1"/>
        <v>32142.86</v>
      </c>
    </row>
    <row r="19" spans="2:21" x14ac:dyDescent="0.35">
      <c r="B19" t="s">
        <v>6</v>
      </c>
      <c r="C19" t="s">
        <v>1266</v>
      </c>
      <c r="D19" t="s">
        <v>15</v>
      </c>
      <c r="E19" s="2" t="s">
        <v>16</v>
      </c>
      <c r="F19">
        <v>80123102</v>
      </c>
      <c r="G19">
        <v>61081101</v>
      </c>
      <c r="H19" s="27">
        <v>150000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6">
        <v>0</v>
      </c>
      <c r="R19" s="6">
        <v>20000</v>
      </c>
      <c r="S19" s="6">
        <v>20000</v>
      </c>
      <c r="T19" s="6">
        <v>20000</v>
      </c>
      <c r="U19" s="6">
        <f t="shared" si="1"/>
        <v>60000</v>
      </c>
    </row>
    <row r="20" spans="2:21" x14ac:dyDescent="0.35">
      <c r="B20" t="s">
        <v>6</v>
      </c>
      <c r="C20" t="s">
        <v>1266</v>
      </c>
      <c r="D20" t="s">
        <v>15</v>
      </c>
      <c r="E20" s="2" t="s">
        <v>18</v>
      </c>
      <c r="F20">
        <v>80123102</v>
      </c>
      <c r="G20">
        <v>61081101</v>
      </c>
      <c r="H20" s="27">
        <v>30000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6">
        <v>0</v>
      </c>
      <c r="R20" s="6"/>
      <c r="S20" s="6"/>
      <c r="T20" s="6"/>
      <c r="U20" s="6">
        <f t="shared" si="1"/>
        <v>0</v>
      </c>
    </row>
    <row r="21" spans="2:21" x14ac:dyDescent="0.35">
      <c r="B21" t="s">
        <v>6</v>
      </c>
      <c r="C21" t="s">
        <v>1266</v>
      </c>
      <c r="D21" t="s">
        <v>15</v>
      </c>
      <c r="E21" s="2" t="s">
        <v>16</v>
      </c>
      <c r="F21">
        <v>80123102</v>
      </c>
      <c r="G21">
        <v>61081101</v>
      </c>
      <c r="H21" s="27">
        <v>24500</v>
      </c>
      <c r="I21" s="10">
        <v>0</v>
      </c>
      <c r="J21" s="10">
        <v>0</v>
      </c>
      <c r="K21" s="10">
        <v>0</v>
      </c>
      <c r="L21" s="10">
        <v>38725.06</v>
      </c>
      <c r="M21" s="10">
        <v>0</v>
      </c>
      <c r="N21" s="10">
        <v>8400</v>
      </c>
      <c r="O21" s="10">
        <v>0</v>
      </c>
      <c r="P21" s="10">
        <v>0</v>
      </c>
      <c r="Q21" s="6">
        <v>0</v>
      </c>
      <c r="R21" s="6"/>
      <c r="S21" s="6"/>
      <c r="T21" s="6"/>
      <c r="U21" s="6">
        <f t="shared" si="1"/>
        <v>47125.06</v>
      </c>
    </row>
    <row r="22" spans="2:21" x14ac:dyDescent="0.35">
      <c r="B22" t="s">
        <v>6</v>
      </c>
      <c r="C22" t="s">
        <v>1266</v>
      </c>
      <c r="D22" t="s">
        <v>15</v>
      </c>
      <c r="E22" s="2" t="s">
        <v>298</v>
      </c>
      <c r="F22">
        <v>80123102</v>
      </c>
      <c r="G22">
        <v>61081101</v>
      </c>
      <c r="H22" s="27">
        <v>60000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6">
        <v>0</v>
      </c>
      <c r="R22" s="6"/>
      <c r="S22" s="6"/>
      <c r="T22" s="6"/>
      <c r="U22" s="6">
        <f t="shared" si="1"/>
        <v>0</v>
      </c>
    </row>
    <row r="23" spans="2:21" x14ac:dyDescent="0.35">
      <c r="B23" t="s">
        <v>6</v>
      </c>
      <c r="C23" t="s">
        <v>1266</v>
      </c>
      <c r="D23" t="s">
        <v>17</v>
      </c>
      <c r="E23" s="2" t="s">
        <v>17</v>
      </c>
      <c r="F23">
        <v>80123102</v>
      </c>
      <c r="G23">
        <v>61081101</v>
      </c>
      <c r="H23" s="27">
        <v>48000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6">
        <v>0</v>
      </c>
      <c r="R23" s="6"/>
      <c r="S23" s="6"/>
      <c r="T23" s="6"/>
      <c r="U23" s="6">
        <f t="shared" si="1"/>
        <v>0</v>
      </c>
    </row>
    <row r="24" spans="2:21" x14ac:dyDescent="0.35">
      <c r="B24" t="s">
        <v>6</v>
      </c>
      <c r="C24" t="s">
        <v>1266</v>
      </c>
      <c r="D24" t="s">
        <v>17</v>
      </c>
      <c r="E24" s="2" t="s">
        <v>17</v>
      </c>
      <c r="F24" s="2">
        <v>81123102</v>
      </c>
      <c r="G24" s="2">
        <v>52081103</v>
      </c>
      <c r="H24" s="27">
        <v>0</v>
      </c>
      <c r="I24" s="10">
        <v>0</v>
      </c>
      <c r="J24" s="10">
        <v>0</v>
      </c>
      <c r="K24" s="10">
        <v>0</v>
      </c>
      <c r="L24" s="10">
        <v>150</v>
      </c>
      <c r="M24" s="10">
        <v>1700</v>
      </c>
      <c r="N24" s="10">
        <v>900</v>
      </c>
      <c r="O24" s="10">
        <v>450</v>
      </c>
      <c r="P24" s="10">
        <v>1050</v>
      </c>
      <c r="Q24" s="6">
        <v>750</v>
      </c>
      <c r="R24" s="6"/>
      <c r="S24" s="6"/>
      <c r="T24" s="6"/>
      <c r="U24" s="6">
        <f t="shared" si="1"/>
        <v>5000</v>
      </c>
    </row>
    <row r="25" spans="2:21" x14ac:dyDescent="0.35">
      <c r="B25" t="s">
        <v>6</v>
      </c>
      <c r="C25" t="s">
        <v>1266</v>
      </c>
      <c r="D25" t="s">
        <v>17</v>
      </c>
      <c r="E25" s="2" t="s">
        <v>17</v>
      </c>
      <c r="F25" s="2">
        <v>90111101</v>
      </c>
      <c r="G25" s="2">
        <v>52081103</v>
      </c>
      <c r="H25" s="27">
        <v>0</v>
      </c>
      <c r="I25" s="10">
        <v>0</v>
      </c>
      <c r="J25" s="10">
        <v>0</v>
      </c>
      <c r="K25" s="10">
        <v>0</v>
      </c>
      <c r="L25" s="10">
        <v>8400</v>
      </c>
      <c r="M25" s="10">
        <v>24975</v>
      </c>
      <c r="N25" s="10">
        <v>8550</v>
      </c>
      <c r="O25" s="10">
        <v>6450</v>
      </c>
      <c r="P25" s="10">
        <v>9150</v>
      </c>
      <c r="Q25" s="6">
        <v>7950</v>
      </c>
      <c r="R25" s="6"/>
      <c r="S25" s="6"/>
      <c r="T25" s="6"/>
      <c r="U25" s="6">
        <f t="shared" si="1"/>
        <v>65475</v>
      </c>
    </row>
    <row r="26" spans="2:21" x14ac:dyDescent="0.35">
      <c r="B26" t="s">
        <v>6</v>
      </c>
      <c r="C26" t="s">
        <v>1266</v>
      </c>
      <c r="D26" t="s">
        <v>303</v>
      </c>
      <c r="E26" t="s">
        <v>303</v>
      </c>
      <c r="F26">
        <v>80123102</v>
      </c>
      <c r="G26">
        <v>61081101</v>
      </c>
      <c r="H26" s="27">
        <v>6500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6">
        <v>0</v>
      </c>
      <c r="R26" s="6"/>
      <c r="S26" s="6"/>
      <c r="T26" s="6"/>
      <c r="U26" s="6">
        <f t="shared" si="1"/>
        <v>0</v>
      </c>
    </row>
    <row r="27" spans="2:21" x14ac:dyDescent="0.35">
      <c r="B27" t="s">
        <v>6</v>
      </c>
      <c r="C27" t="s">
        <v>1266</v>
      </c>
      <c r="D27" t="s">
        <v>303</v>
      </c>
      <c r="E27" t="s">
        <v>303</v>
      </c>
      <c r="F27">
        <v>80123102</v>
      </c>
      <c r="G27">
        <v>61081101</v>
      </c>
      <c r="H27" s="27">
        <v>6500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6">
        <v>0</v>
      </c>
      <c r="R27" s="6"/>
      <c r="S27" s="6"/>
      <c r="T27" s="6"/>
      <c r="U27" s="6">
        <f t="shared" si="1"/>
        <v>0</v>
      </c>
    </row>
    <row r="28" spans="2:21" x14ac:dyDescent="0.35">
      <c r="B28" t="s">
        <v>6</v>
      </c>
      <c r="C28" t="s">
        <v>1266</v>
      </c>
      <c r="D28" t="s">
        <v>303</v>
      </c>
      <c r="E28" t="s">
        <v>303</v>
      </c>
      <c r="F28">
        <v>80123102</v>
      </c>
      <c r="G28">
        <v>61081101</v>
      </c>
      <c r="H28" s="27">
        <v>6500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6">
        <v>0</v>
      </c>
      <c r="R28" s="6"/>
      <c r="S28" s="6"/>
      <c r="T28" s="6"/>
      <c r="U28" s="6">
        <f t="shared" si="1"/>
        <v>0</v>
      </c>
    </row>
    <row r="29" spans="2:21" x14ac:dyDescent="0.35">
      <c r="B29" t="s">
        <v>6</v>
      </c>
      <c r="C29" t="s">
        <v>1266</v>
      </c>
      <c r="D29" t="s">
        <v>303</v>
      </c>
      <c r="E29" t="s">
        <v>303</v>
      </c>
      <c r="F29">
        <v>80123102</v>
      </c>
      <c r="G29">
        <v>61081101</v>
      </c>
      <c r="H29" s="27">
        <v>6500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6">
        <v>0</v>
      </c>
      <c r="R29" s="6"/>
      <c r="S29" s="6"/>
      <c r="T29" s="6"/>
      <c r="U29" s="6">
        <f t="shared" si="1"/>
        <v>0</v>
      </c>
    </row>
    <row r="30" spans="2:21" x14ac:dyDescent="0.35">
      <c r="B30" t="s">
        <v>6</v>
      </c>
      <c r="C30" t="s">
        <v>1266</v>
      </c>
      <c r="D30" t="s">
        <v>303</v>
      </c>
      <c r="E30" t="s">
        <v>303</v>
      </c>
      <c r="F30">
        <v>80123102</v>
      </c>
      <c r="G30">
        <v>61081101</v>
      </c>
      <c r="H30" s="27">
        <v>6500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6">
        <v>0</v>
      </c>
      <c r="R30" s="6"/>
      <c r="S30" s="6"/>
      <c r="T30" s="6"/>
      <c r="U30" s="6">
        <f t="shared" si="1"/>
        <v>0</v>
      </c>
    </row>
    <row r="31" spans="2:21" x14ac:dyDescent="0.35">
      <c r="B31" t="s">
        <v>6</v>
      </c>
      <c r="C31" t="s">
        <v>1266</v>
      </c>
      <c r="D31" t="s">
        <v>303</v>
      </c>
      <c r="E31" t="s">
        <v>303</v>
      </c>
      <c r="F31">
        <v>80123102</v>
      </c>
      <c r="G31">
        <v>61081101</v>
      </c>
      <c r="H31" s="27">
        <v>6500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6">
        <v>0</v>
      </c>
      <c r="R31" s="6"/>
      <c r="S31" s="6"/>
      <c r="T31" s="6"/>
      <c r="U31" s="6">
        <f t="shared" si="1"/>
        <v>0</v>
      </c>
    </row>
    <row r="32" spans="2:21" x14ac:dyDescent="0.35">
      <c r="B32" t="s">
        <v>6</v>
      </c>
      <c r="C32" t="s">
        <v>1266</v>
      </c>
      <c r="D32" t="s">
        <v>303</v>
      </c>
      <c r="E32" t="s">
        <v>303</v>
      </c>
      <c r="F32">
        <v>80123102</v>
      </c>
      <c r="G32">
        <v>61081101</v>
      </c>
      <c r="H32" s="27">
        <v>6500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6">
        <v>0</v>
      </c>
      <c r="R32" s="6"/>
      <c r="S32" s="6"/>
      <c r="T32" s="6"/>
      <c r="U32" s="6">
        <f t="shared" si="1"/>
        <v>0</v>
      </c>
    </row>
    <row r="33" spans="2:21" x14ac:dyDescent="0.35">
      <c r="B33" t="s">
        <v>6</v>
      </c>
      <c r="C33" t="s">
        <v>1266</v>
      </c>
      <c r="D33" t="s">
        <v>303</v>
      </c>
      <c r="E33" t="s">
        <v>303</v>
      </c>
      <c r="F33">
        <v>80123102</v>
      </c>
      <c r="G33">
        <v>61081101</v>
      </c>
      <c r="H33" s="27">
        <v>6500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6">
        <v>0</v>
      </c>
      <c r="R33" s="6"/>
      <c r="S33" s="6"/>
      <c r="T33" s="6"/>
      <c r="U33" s="6">
        <f t="shared" si="1"/>
        <v>0</v>
      </c>
    </row>
    <row r="34" spans="2:21" x14ac:dyDescent="0.35">
      <c r="B34" t="s">
        <v>6</v>
      </c>
      <c r="C34" t="s">
        <v>1266</v>
      </c>
      <c r="D34" t="s">
        <v>303</v>
      </c>
      <c r="E34" t="s">
        <v>303</v>
      </c>
      <c r="F34">
        <v>80123102</v>
      </c>
      <c r="G34">
        <v>61081101</v>
      </c>
      <c r="H34" s="27">
        <v>6500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6">
        <v>0</v>
      </c>
      <c r="R34" s="6"/>
      <c r="S34" s="6"/>
      <c r="T34" s="6"/>
      <c r="U34" s="6">
        <f t="shared" si="1"/>
        <v>0</v>
      </c>
    </row>
    <row r="35" spans="2:21" x14ac:dyDescent="0.35">
      <c r="B35" t="s">
        <v>6</v>
      </c>
      <c r="C35" t="s">
        <v>1266</v>
      </c>
      <c r="D35" t="s">
        <v>303</v>
      </c>
      <c r="E35" t="s">
        <v>303</v>
      </c>
      <c r="F35">
        <v>80123102</v>
      </c>
      <c r="G35">
        <v>61081101</v>
      </c>
      <c r="H35" s="27">
        <v>6500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6">
        <v>0</v>
      </c>
      <c r="R35" s="6"/>
      <c r="S35" s="6"/>
      <c r="T35" s="6"/>
      <c r="U35" s="6">
        <f t="shared" si="1"/>
        <v>0</v>
      </c>
    </row>
    <row r="36" spans="2:21" x14ac:dyDescent="0.35">
      <c r="B36" t="s">
        <v>6</v>
      </c>
      <c r="C36" t="s">
        <v>1266</v>
      </c>
      <c r="D36" t="s">
        <v>303</v>
      </c>
      <c r="E36" t="s">
        <v>303</v>
      </c>
      <c r="F36">
        <v>80123102</v>
      </c>
      <c r="G36">
        <v>61081101</v>
      </c>
      <c r="H36" s="27">
        <v>6500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6">
        <v>0</v>
      </c>
      <c r="R36" s="6"/>
      <c r="S36" s="6"/>
      <c r="T36" s="6"/>
      <c r="U36" s="6">
        <f t="shared" si="1"/>
        <v>0</v>
      </c>
    </row>
    <row r="37" spans="2:21" x14ac:dyDescent="0.35">
      <c r="B37" t="s">
        <v>6</v>
      </c>
      <c r="C37" t="s">
        <v>1266</v>
      </c>
      <c r="D37" t="s">
        <v>303</v>
      </c>
      <c r="E37" t="s">
        <v>303</v>
      </c>
      <c r="F37">
        <v>80123102</v>
      </c>
      <c r="G37">
        <v>61081101</v>
      </c>
      <c r="H37" s="27">
        <v>6500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6">
        <v>0</v>
      </c>
      <c r="R37" s="6"/>
      <c r="S37" s="6"/>
      <c r="T37" s="6"/>
      <c r="U37" s="6">
        <f t="shared" si="1"/>
        <v>0</v>
      </c>
    </row>
    <row r="38" spans="2:21" x14ac:dyDescent="0.35">
      <c r="B38" t="s">
        <v>6</v>
      </c>
      <c r="C38" t="s">
        <v>1266</v>
      </c>
      <c r="D38" t="s">
        <v>303</v>
      </c>
      <c r="E38" t="s">
        <v>303</v>
      </c>
      <c r="F38">
        <v>80123102</v>
      </c>
      <c r="G38">
        <v>61081101</v>
      </c>
      <c r="H38" s="27">
        <v>6500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6">
        <v>0</v>
      </c>
      <c r="R38" s="6"/>
      <c r="S38" s="6"/>
      <c r="T38" s="6"/>
      <c r="U38" s="6">
        <f t="shared" si="1"/>
        <v>0</v>
      </c>
    </row>
    <row r="39" spans="2:21" x14ac:dyDescent="0.35">
      <c r="B39" t="s">
        <v>6</v>
      </c>
      <c r="C39" t="s">
        <v>1266</v>
      </c>
      <c r="D39" t="s">
        <v>303</v>
      </c>
      <c r="E39" t="s">
        <v>303</v>
      </c>
      <c r="F39">
        <v>80123102</v>
      </c>
      <c r="G39">
        <v>61081101</v>
      </c>
      <c r="H39" s="27">
        <v>6500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6">
        <v>0</v>
      </c>
      <c r="R39" s="6"/>
      <c r="S39" s="6"/>
      <c r="T39" s="6"/>
      <c r="U39" s="6">
        <f t="shared" si="1"/>
        <v>0</v>
      </c>
    </row>
    <row r="40" spans="2:21" x14ac:dyDescent="0.35">
      <c r="B40" t="s">
        <v>6</v>
      </c>
      <c r="C40" t="s">
        <v>1266</v>
      </c>
      <c r="D40" t="s">
        <v>303</v>
      </c>
      <c r="E40" t="s">
        <v>303</v>
      </c>
      <c r="F40">
        <v>80123102</v>
      </c>
      <c r="G40">
        <v>61081101</v>
      </c>
      <c r="H40" s="27">
        <v>6500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6">
        <v>0</v>
      </c>
      <c r="R40" s="6"/>
      <c r="S40" s="6"/>
      <c r="T40" s="6"/>
      <c r="U40" s="6">
        <f t="shared" si="1"/>
        <v>0</v>
      </c>
    </row>
    <row r="41" spans="2:21" x14ac:dyDescent="0.35">
      <c r="B41" t="s">
        <v>6</v>
      </c>
      <c r="C41" t="s">
        <v>1266</v>
      </c>
      <c r="D41" t="s">
        <v>303</v>
      </c>
      <c r="E41" t="s">
        <v>303</v>
      </c>
      <c r="F41">
        <v>80123102</v>
      </c>
      <c r="G41">
        <v>61081101</v>
      </c>
      <c r="H41" s="27">
        <v>6500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6">
        <v>0</v>
      </c>
      <c r="R41" s="6"/>
      <c r="S41" s="6"/>
      <c r="T41" s="6"/>
      <c r="U41" s="6">
        <f t="shared" si="1"/>
        <v>0</v>
      </c>
    </row>
    <row r="42" spans="2:21" x14ac:dyDescent="0.35">
      <c r="B42" t="s">
        <v>6</v>
      </c>
      <c r="C42" t="s">
        <v>1266</v>
      </c>
      <c r="D42" t="s">
        <v>303</v>
      </c>
      <c r="E42" t="s">
        <v>303</v>
      </c>
      <c r="F42">
        <v>80123102</v>
      </c>
      <c r="G42">
        <v>61081101</v>
      </c>
      <c r="H42" s="27">
        <v>6500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6">
        <v>0</v>
      </c>
      <c r="R42" s="6"/>
      <c r="S42" s="6"/>
      <c r="T42" s="6"/>
      <c r="U42" s="6">
        <f t="shared" si="1"/>
        <v>0</v>
      </c>
    </row>
    <row r="43" spans="2:21" x14ac:dyDescent="0.35">
      <c r="B43" t="s">
        <v>6</v>
      </c>
      <c r="C43" t="s">
        <v>1266</v>
      </c>
      <c r="D43" t="s">
        <v>303</v>
      </c>
      <c r="E43" t="s">
        <v>303</v>
      </c>
      <c r="F43">
        <v>80123102</v>
      </c>
      <c r="G43">
        <v>61081101</v>
      </c>
      <c r="H43" s="27">
        <v>6500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6">
        <v>0</v>
      </c>
      <c r="R43" s="6"/>
      <c r="S43" s="6"/>
      <c r="T43" s="6"/>
      <c r="U43" s="6">
        <f t="shared" si="1"/>
        <v>0</v>
      </c>
    </row>
    <row r="44" spans="2:21" x14ac:dyDescent="0.35">
      <c r="B44" t="s">
        <v>6</v>
      </c>
      <c r="C44" t="s">
        <v>1266</v>
      </c>
      <c r="D44" t="s">
        <v>303</v>
      </c>
      <c r="E44" t="s">
        <v>303</v>
      </c>
      <c r="F44">
        <v>80123102</v>
      </c>
      <c r="G44">
        <v>61081101</v>
      </c>
      <c r="H44" s="27">
        <v>6500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6">
        <v>0</v>
      </c>
      <c r="R44" s="6"/>
      <c r="S44" s="6"/>
      <c r="T44" s="6"/>
      <c r="U44" s="6">
        <f t="shared" si="1"/>
        <v>0</v>
      </c>
    </row>
    <row r="45" spans="2:21" x14ac:dyDescent="0.35">
      <c r="B45" t="s">
        <v>6</v>
      </c>
      <c r="C45" t="s">
        <v>1266</v>
      </c>
      <c r="D45" t="s">
        <v>303</v>
      </c>
      <c r="E45" t="s">
        <v>303</v>
      </c>
      <c r="F45">
        <v>80123102</v>
      </c>
      <c r="G45">
        <v>61081101</v>
      </c>
      <c r="H45" s="27">
        <v>6500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6">
        <v>0</v>
      </c>
      <c r="R45" s="6"/>
      <c r="S45" s="6"/>
      <c r="T45" s="6"/>
      <c r="U45" s="6">
        <f t="shared" si="1"/>
        <v>0</v>
      </c>
    </row>
    <row r="46" spans="2:21" x14ac:dyDescent="0.35">
      <c r="B46" t="s">
        <v>6</v>
      </c>
      <c r="C46" t="s">
        <v>1266</v>
      </c>
      <c r="D46" t="s">
        <v>303</v>
      </c>
      <c r="E46" t="s">
        <v>303</v>
      </c>
      <c r="F46">
        <v>80123102</v>
      </c>
      <c r="G46">
        <v>61081101</v>
      </c>
      <c r="H46" s="27">
        <v>6500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6">
        <v>0</v>
      </c>
      <c r="R46" s="6"/>
      <c r="S46" s="6"/>
      <c r="T46" s="6"/>
      <c r="U46" s="6">
        <f t="shared" si="1"/>
        <v>0</v>
      </c>
    </row>
    <row r="47" spans="2:21" x14ac:dyDescent="0.35">
      <c r="B47" t="s">
        <v>6</v>
      </c>
      <c r="C47" t="s">
        <v>1266</v>
      </c>
      <c r="D47" t="s">
        <v>303</v>
      </c>
      <c r="E47" t="s">
        <v>303</v>
      </c>
      <c r="F47">
        <v>80123102</v>
      </c>
      <c r="G47">
        <v>61081101</v>
      </c>
      <c r="H47" s="27">
        <v>6500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6">
        <v>0</v>
      </c>
      <c r="R47" s="6"/>
      <c r="S47" s="6"/>
      <c r="T47" s="6"/>
      <c r="U47" s="6">
        <f t="shared" si="1"/>
        <v>0</v>
      </c>
    </row>
    <row r="48" spans="2:21" x14ac:dyDescent="0.35">
      <c r="B48" t="s">
        <v>6</v>
      </c>
      <c r="C48" t="s">
        <v>1266</v>
      </c>
      <c r="D48" t="s">
        <v>303</v>
      </c>
      <c r="E48" t="s">
        <v>303</v>
      </c>
      <c r="F48">
        <v>80123102</v>
      </c>
      <c r="G48">
        <v>61081101</v>
      </c>
      <c r="H48" s="27">
        <v>6500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6">
        <v>0</v>
      </c>
      <c r="R48" s="6"/>
      <c r="S48" s="6"/>
      <c r="T48" s="6"/>
      <c r="U48" s="6">
        <f t="shared" si="1"/>
        <v>0</v>
      </c>
    </row>
    <row r="49" spans="2:21" x14ac:dyDescent="0.35">
      <c r="B49" t="s">
        <v>6</v>
      </c>
      <c r="C49" t="s">
        <v>1266</v>
      </c>
      <c r="D49" t="s">
        <v>303</v>
      </c>
      <c r="E49" t="s">
        <v>303</v>
      </c>
      <c r="F49">
        <v>80123102</v>
      </c>
      <c r="G49">
        <v>61081101</v>
      </c>
      <c r="H49" s="27">
        <v>6500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6">
        <v>0</v>
      </c>
      <c r="R49" s="6"/>
      <c r="S49" s="6"/>
      <c r="T49" s="6"/>
      <c r="U49" s="6">
        <f t="shared" si="1"/>
        <v>0</v>
      </c>
    </row>
    <row r="50" spans="2:21" x14ac:dyDescent="0.35">
      <c r="B50" t="s">
        <v>6</v>
      </c>
      <c r="C50" t="s">
        <v>1266</v>
      </c>
      <c r="D50" t="s">
        <v>303</v>
      </c>
      <c r="E50" t="s">
        <v>303</v>
      </c>
      <c r="F50">
        <v>80123102</v>
      </c>
      <c r="G50">
        <v>61081101</v>
      </c>
      <c r="H50" s="27">
        <v>6500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6">
        <v>0</v>
      </c>
      <c r="R50" s="6"/>
      <c r="S50" s="6"/>
      <c r="T50" s="6"/>
      <c r="U50" s="6">
        <f t="shared" si="1"/>
        <v>0</v>
      </c>
    </row>
    <row r="51" spans="2:21" x14ac:dyDescent="0.35">
      <c r="B51" t="s">
        <v>6</v>
      </c>
      <c r="C51" t="s">
        <v>1266</v>
      </c>
      <c r="D51" t="s">
        <v>303</v>
      </c>
      <c r="E51" t="s">
        <v>303</v>
      </c>
      <c r="F51">
        <v>80123102</v>
      </c>
      <c r="G51">
        <v>61081101</v>
      </c>
      <c r="H51" s="27">
        <v>6500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6">
        <v>0</v>
      </c>
      <c r="R51" s="6"/>
      <c r="S51" s="6"/>
      <c r="T51" s="6"/>
      <c r="U51" s="6">
        <f t="shared" si="1"/>
        <v>0</v>
      </c>
    </row>
    <row r="52" spans="2:21" x14ac:dyDescent="0.35">
      <c r="B52" t="s">
        <v>6</v>
      </c>
      <c r="C52" t="s">
        <v>1266</v>
      </c>
      <c r="D52" t="s">
        <v>303</v>
      </c>
      <c r="E52" t="s">
        <v>303</v>
      </c>
      <c r="F52">
        <v>80123102</v>
      </c>
      <c r="G52">
        <v>61081101</v>
      </c>
      <c r="H52" s="27">
        <v>6500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6">
        <v>0</v>
      </c>
      <c r="R52" s="6"/>
      <c r="S52" s="6"/>
      <c r="T52" s="6"/>
      <c r="U52" s="6">
        <f t="shared" si="1"/>
        <v>0</v>
      </c>
    </row>
    <row r="53" spans="2:21" x14ac:dyDescent="0.35">
      <c r="B53" t="s">
        <v>6</v>
      </c>
      <c r="C53" t="s">
        <v>1266</v>
      </c>
      <c r="D53" t="s">
        <v>303</v>
      </c>
      <c r="E53" t="s">
        <v>303</v>
      </c>
      <c r="F53">
        <v>80123102</v>
      </c>
      <c r="G53">
        <v>61081101</v>
      </c>
      <c r="H53" s="27">
        <v>6500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6">
        <v>0</v>
      </c>
      <c r="R53" s="6"/>
      <c r="S53" s="6"/>
      <c r="T53" s="6"/>
      <c r="U53" s="6">
        <f t="shared" si="1"/>
        <v>0</v>
      </c>
    </row>
    <row r="54" spans="2:21" x14ac:dyDescent="0.35">
      <c r="B54" t="s">
        <v>6</v>
      </c>
      <c r="C54" t="s">
        <v>1266</v>
      </c>
      <c r="D54" t="s">
        <v>303</v>
      </c>
      <c r="E54" t="s">
        <v>303</v>
      </c>
      <c r="F54">
        <v>80123102</v>
      </c>
      <c r="G54">
        <v>61081101</v>
      </c>
      <c r="H54" s="27">
        <v>6500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6">
        <v>0</v>
      </c>
      <c r="R54" s="6"/>
      <c r="S54" s="6"/>
      <c r="T54" s="6"/>
      <c r="U54" s="6">
        <f t="shared" si="1"/>
        <v>0</v>
      </c>
    </row>
    <row r="55" spans="2:21" x14ac:dyDescent="0.35">
      <c r="B55" t="s">
        <v>6</v>
      </c>
      <c r="C55" t="s">
        <v>1266</v>
      </c>
      <c r="D55" t="s">
        <v>303</v>
      </c>
      <c r="E55" t="s">
        <v>303</v>
      </c>
      <c r="F55">
        <v>80123102</v>
      </c>
      <c r="G55">
        <v>61081101</v>
      </c>
      <c r="H55" s="27">
        <v>6500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6">
        <v>0</v>
      </c>
      <c r="R55" s="6"/>
      <c r="S55" s="6"/>
      <c r="T55" s="6"/>
      <c r="U55" s="6">
        <f t="shared" si="1"/>
        <v>0</v>
      </c>
    </row>
    <row r="56" spans="2:21" x14ac:dyDescent="0.35">
      <c r="B56" t="s">
        <v>6</v>
      </c>
      <c r="C56" t="s">
        <v>1266</v>
      </c>
      <c r="D56" t="s">
        <v>303</v>
      </c>
      <c r="E56" t="s">
        <v>303</v>
      </c>
      <c r="F56">
        <v>80123102</v>
      </c>
      <c r="G56">
        <v>61081101</v>
      </c>
      <c r="H56" s="27">
        <v>6500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6">
        <v>0</v>
      </c>
      <c r="R56" s="6"/>
      <c r="S56" s="6"/>
      <c r="T56" s="6"/>
      <c r="U56" s="6">
        <f t="shared" si="1"/>
        <v>0</v>
      </c>
    </row>
    <row r="57" spans="2:21" x14ac:dyDescent="0.35">
      <c r="B57" t="s">
        <v>6</v>
      </c>
      <c r="C57" t="s">
        <v>1266</v>
      </c>
      <c r="D57" t="s">
        <v>303</v>
      </c>
      <c r="E57" t="s">
        <v>303</v>
      </c>
      <c r="F57">
        <v>80123102</v>
      </c>
      <c r="G57">
        <v>61081101</v>
      </c>
      <c r="H57" s="27">
        <v>6500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6">
        <v>0</v>
      </c>
      <c r="R57" s="6"/>
      <c r="S57" s="6"/>
      <c r="T57" s="6"/>
      <c r="U57" s="6">
        <f t="shared" si="1"/>
        <v>0</v>
      </c>
    </row>
    <row r="58" spans="2:21" x14ac:dyDescent="0.35">
      <c r="B58" t="s">
        <v>6</v>
      </c>
      <c r="C58" t="s">
        <v>1266</v>
      </c>
      <c r="D58" t="s">
        <v>303</v>
      </c>
      <c r="E58" t="s">
        <v>303</v>
      </c>
      <c r="F58">
        <v>80123102</v>
      </c>
      <c r="G58">
        <v>61081101</v>
      </c>
      <c r="H58" s="27">
        <v>6500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6">
        <v>0</v>
      </c>
      <c r="R58" s="6"/>
      <c r="S58" s="6"/>
      <c r="T58" s="6"/>
      <c r="U58" s="6">
        <f t="shared" si="1"/>
        <v>0</v>
      </c>
    </row>
    <row r="59" spans="2:21" x14ac:dyDescent="0.35">
      <c r="B59" t="s">
        <v>6</v>
      </c>
      <c r="C59" t="s">
        <v>1266</v>
      </c>
      <c r="D59" t="s">
        <v>303</v>
      </c>
      <c r="E59" t="s">
        <v>303</v>
      </c>
      <c r="F59">
        <v>80123102</v>
      </c>
      <c r="G59">
        <v>61081101</v>
      </c>
      <c r="H59" s="27">
        <v>6500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6">
        <v>0</v>
      </c>
      <c r="R59" s="6"/>
      <c r="S59" s="6"/>
      <c r="T59" s="6"/>
      <c r="U59" s="6">
        <f t="shared" si="1"/>
        <v>0</v>
      </c>
    </row>
    <row r="60" spans="2:21" x14ac:dyDescent="0.35">
      <c r="B60" t="s">
        <v>6</v>
      </c>
      <c r="C60" t="s">
        <v>1266</v>
      </c>
      <c r="D60" t="s">
        <v>303</v>
      </c>
      <c r="E60" t="s">
        <v>303</v>
      </c>
      <c r="F60">
        <v>80123102</v>
      </c>
      <c r="G60">
        <v>61081101</v>
      </c>
      <c r="H60" s="27">
        <v>6500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6">
        <v>0</v>
      </c>
      <c r="R60" s="6"/>
      <c r="S60" s="6"/>
      <c r="T60" s="6"/>
      <c r="U60" s="6">
        <f t="shared" si="1"/>
        <v>0</v>
      </c>
    </row>
    <row r="61" spans="2:21" x14ac:dyDescent="0.35">
      <c r="B61" t="s">
        <v>6</v>
      </c>
      <c r="C61" t="s">
        <v>1266</v>
      </c>
      <c r="D61" t="s">
        <v>15</v>
      </c>
      <c r="E61" s="2" t="s">
        <v>18</v>
      </c>
      <c r="F61">
        <v>81123102</v>
      </c>
      <c r="G61">
        <v>52081101</v>
      </c>
      <c r="H61" s="27">
        <v>0</v>
      </c>
      <c r="I61" s="10">
        <v>1005</v>
      </c>
      <c r="J61" s="10">
        <v>1025</v>
      </c>
      <c r="K61" s="10">
        <v>1110</v>
      </c>
      <c r="L61" s="10">
        <v>810</v>
      </c>
      <c r="M61" s="10">
        <v>1595</v>
      </c>
      <c r="N61" s="10">
        <v>600</v>
      </c>
      <c r="O61" s="10">
        <v>1225</v>
      </c>
      <c r="P61" s="10">
        <v>590</v>
      </c>
      <c r="Q61" s="6">
        <v>926</v>
      </c>
      <c r="R61" s="6"/>
      <c r="S61" s="6"/>
      <c r="T61" s="6"/>
      <c r="U61" s="6">
        <f t="shared" si="1"/>
        <v>8886</v>
      </c>
    </row>
    <row r="62" spans="2:21" x14ac:dyDescent="0.35">
      <c r="B62" t="s">
        <v>6</v>
      </c>
      <c r="C62" t="s">
        <v>1266</v>
      </c>
      <c r="D62" t="s">
        <v>15</v>
      </c>
      <c r="E62" s="2" t="s">
        <v>18</v>
      </c>
      <c r="F62">
        <v>81123102</v>
      </c>
      <c r="G62">
        <v>52081101</v>
      </c>
      <c r="H62" s="27">
        <v>0</v>
      </c>
      <c r="I62" s="10">
        <v>300</v>
      </c>
      <c r="J62" s="10">
        <v>295</v>
      </c>
      <c r="K62" s="10">
        <v>859</v>
      </c>
      <c r="L62" s="10">
        <v>0</v>
      </c>
      <c r="M62" s="10">
        <v>632</v>
      </c>
      <c r="N62" s="10">
        <v>0</v>
      </c>
      <c r="O62" s="10">
        <v>0</v>
      </c>
      <c r="P62" s="10">
        <v>0</v>
      </c>
      <c r="Q62" s="6">
        <v>0</v>
      </c>
      <c r="R62" s="6"/>
      <c r="S62" s="6"/>
      <c r="T62" s="6"/>
      <c r="U62" s="6">
        <f t="shared" si="1"/>
        <v>2086</v>
      </c>
    </row>
    <row r="63" spans="2:21" x14ac:dyDescent="0.35">
      <c r="B63" t="s">
        <v>6</v>
      </c>
      <c r="C63" t="s">
        <v>1266</v>
      </c>
      <c r="D63" t="s">
        <v>15</v>
      </c>
      <c r="E63" s="2" t="s">
        <v>16</v>
      </c>
      <c r="F63">
        <v>81123102</v>
      </c>
      <c r="G63">
        <v>52081101</v>
      </c>
      <c r="H63" s="27">
        <v>0</v>
      </c>
      <c r="I63" s="10">
        <v>44</v>
      </c>
      <c r="J63" s="10">
        <v>0</v>
      </c>
      <c r="K63" s="10">
        <v>0</v>
      </c>
      <c r="L63" s="10">
        <v>0</v>
      </c>
      <c r="M63" s="10">
        <v>2000</v>
      </c>
      <c r="N63" s="10">
        <v>2000</v>
      </c>
      <c r="O63" s="10">
        <v>0</v>
      </c>
      <c r="P63" s="10">
        <v>60000</v>
      </c>
      <c r="Q63" s="6">
        <v>0</v>
      </c>
      <c r="R63" s="6"/>
      <c r="S63" s="6"/>
      <c r="T63" s="6"/>
      <c r="U63" s="6">
        <f t="shared" si="1"/>
        <v>64044</v>
      </c>
    </row>
    <row r="64" spans="2:21" x14ac:dyDescent="0.35">
      <c r="B64" t="s">
        <v>6</v>
      </c>
      <c r="C64" t="s">
        <v>1266</v>
      </c>
      <c r="D64" t="s">
        <v>15</v>
      </c>
      <c r="E64" s="2" t="s">
        <v>16</v>
      </c>
      <c r="F64">
        <v>81319101</v>
      </c>
      <c r="G64">
        <v>52081101</v>
      </c>
      <c r="H64" s="27">
        <v>0</v>
      </c>
      <c r="J64" s="10">
        <v>2026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6">
        <v>0</v>
      </c>
      <c r="R64" s="6"/>
      <c r="S64" s="6"/>
      <c r="T64" s="6"/>
      <c r="U64" s="6">
        <f t="shared" si="1"/>
        <v>2026</v>
      </c>
    </row>
    <row r="65" spans="2:21" x14ac:dyDescent="0.35">
      <c r="B65" t="s">
        <v>6</v>
      </c>
      <c r="C65" t="s">
        <v>1266</v>
      </c>
      <c r="D65" t="s">
        <v>15</v>
      </c>
      <c r="E65" s="2" t="s">
        <v>18</v>
      </c>
      <c r="F65">
        <v>81319101</v>
      </c>
      <c r="G65">
        <v>52081101</v>
      </c>
      <c r="H65" s="27">
        <v>0</v>
      </c>
      <c r="K65" s="10">
        <v>286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6">
        <v>0</v>
      </c>
      <c r="R65" s="6"/>
      <c r="S65" s="6"/>
      <c r="T65" s="6"/>
      <c r="U65" s="6">
        <f t="shared" si="1"/>
        <v>286</v>
      </c>
    </row>
    <row r="66" spans="2:21" x14ac:dyDescent="0.35">
      <c r="B66" t="s">
        <v>6</v>
      </c>
      <c r="C66" t="s">
        <v>7</v>
      </c>
      <c r="D66" t="s">
        <v>7</v>
      </c>
      <c r="E66" t="s">
        <v>346</v>
      </c>
      <c r="F66">
        <v>80123102</v>
      </c>
      <c r="G66">
        <v>61711101</v>
      </c>
      <c r="H66" s="27">
        <v>120000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6">
        <v>0</v>
      </c>
      <c r="R66" s="6">
        <v>30000</v>
      </c>
      <c r="S66" s="6">
        <v>30000</v>
      </c>
      <c r="T66" s="6">
        <v>30000</v>
      </c>
      <c r="U66" s="6">
        <f t="shared" si="1"/>
        <v>90000</v>
      </c>
    </row>
    <row r="67" spans="2:21" x14ac:dyDescent="0.35">
      <c r="B67" t="s">
        <v>6</v>
      </c>
      <c r="C67" t="s">
        <v>1267</v>
      </c>
      <c r="D67" t="s">
        <v>19</v>
      </c>
      <c r="E67" s="2" t="s">
        <v>20</v>
      </c>
      <c r="F67">
        <v>80123102</v>
      </c>
      <c r="G67">
        <v>61061101</v>
      </c>
      <c r="H67" s="27">
        <v>700000.00000000012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6">
        <v>0</v>
      </c>
      <c r="R67" s="6">
        <v>100000</v>
      </c>
      <c r="S67" s="6">
        <v>100000</v>
      </c>
      <c r="T67" s="6">
        <v>100000</v>
      </c>
      <c r="U67" s="6">
        <f t="shared" si="1"/>
        <v>300000</v>
      </c>
    </row>
    <row r="68" spans="2:21" x14ac:dyDescent="0.35">
      <c r="B68" t="s">
        <v>6</v>
      </c>
      <c r="C68" t="s">
        <v>1267</v>
      </c>
      <c r="D68" t="s">
        <v>19</v>
      </c>
      <c r="E68" s="2" t="s">
        <v>20</v>
      </c>
      <c r="F68" s="2">
        <v>81123102</v>
      </c>
      <c r="G68" s="2">
        <v>52061103</v>
      </c>
      <c r="H68" s="27">
        <v>0</v>
      </c>
      <c r="I68" s="10">
        <v>0</v>
      </c>
      <c r="J68" s="10">
        <v>0</v>
      </c>
      <c r="K68" s="10">
        <v>0</v>
      </c>
      <c r="L68" s="10">
        <v>8973.2099999999991</v>
      </c>
      <c r="M68" s="10">
        <v>-7477.6699999999983</v>
      </c>
      <c r="N68" s="10">
        <v>2243.3000000000002</v>
      </c>
      <c r="O68" s="10">
        <v>4486.6099999999997</v>
      </c>
      <c r="P68" s="10">
        <v>747.77</v>
      </c>
      <c r="Q68" s="6">
        <v>425970.9800000001</v>
      </c>
      <c r="R68" s="6"/>
      <c r="S68" s="6"/>
      <c r="T68" s="6"/>
      <c r="U68" s="6">
        <f t="shared" si="1"/>
        <v>434944.20000000007</v>
      </c>
    </row>
    <row r="69" spans="2:21" x14ac:dyDescent="0.35">
      <c r="B69" t="s">
        <v>6</v>
      </c>
      <c r="C69" t="s">
        <v>1267</v>
      </c>
      <c r="D69" t="s">
        <v>19</v>
      </c>
      <c r="E69" s="2" t="s">
        <v>21</v>
      </c>
      <c r="F69">
        <v>80123102</v>
      </c>
      <c r="G69">
        <v>61061102</v>
      </c>
      <c r="H69" s="27">
        <v>600000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6">
        <v>0</v>
      </c>
      <c r="R69" s="6"/>
      <c r="S69" s="6"/>
      <c r="T69" s="6"/>
      <c r="U69" s="6">
        <f t="shared" ref="U69:U132" si="2">SUM(I69:T69)</f>
        <v>0</v>
      </c>
    </row>
    <row r="70" spans="2:21" x14ac:dyDescent="0.35">
      <c r="B70" t="s">
        <v>6</v>
      </c>
      <c r="C70" t="s">
        <v>1267</v>
      </c>
      <c r="D70" t="s">
        <v>19</v>
      </c>
      <c r="E70" s="2" t="s">
        <v>21</v>
      </c>
      <c r="F70" s="2">
        <v>81123102</v>
      </c>
      <c r="G70" s="2">
        <v>52061103</v>
      </c>
      <c r="H70" s="27">
        <v>0</v>
      </c>
      <c r="I70" s="10">
        <v>0</v>
      </c>
      <c r="J70" s="10">
        <v>0</v>
      </c>
      <c r="K70" s="10">
        <v>0</v>
      </c>
      <c r="L70" s="10">
        <v>61607.14</v>
      </c>
      <c r="M70" s="10">
        <v>428214.28</v>
      </c>
      <c r="N70" s="10">
        <v>8839.2999999999993</v>
      </c>
      <c r="O70" s="10">
        <v>19464.29</v>
      </c>
      <c r="P70" s="10">
        <v>0</v>
      </c>
      <c r="Q70" s="6">
        <v>72321.429999999993</v>
      </c>
      <c r="R70" s="6"/>
      <c r="S70" s="6"/>
      <c r="T70" s="6"/>
      <c r="U70" s="6">
        <f t="shared" si="2"/>
        <v>590446.43999999994</v>
      </c>
    </row>
    <row r="71" spans="2:21" x14ac:dyDescent="0.35">
      <c r="B71" t="s">
        <v>6</v>
      </c>
      <c r="C71" t="s">
        <v>1267</v>
      </c>
      <c r="D71" t="s">
        <v>182</v>
      </c>
      <c r="E71" s="2" t="s">
        <v>22</v>
      </c>
      <c r="F71">
        <v>80123102</v>
      </c>
      <c r="G71">
        <v>61031201</v>
      </c>
      <c r="H71" s="27">
        <v>240000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6">
        <v>0</v>
      </c>
      <c r="R71" s="6"/>
      <c r="S71" s="6"/>
      <c r="T71" s="6"/>
      <c r="U71" s="6">
        <f t="shared" si="2"/>
        <v>0</v>
      </c>
    </row>
    <row r="72" spans="2:21" x14ac:dyDescent="0.35">
      <c r="B72" t="s">
        <v>6</v>
      </c>
      <c r="C72" t="s">
        <v>1267</v>
      </c>
      <c r="D72" t="s">
        <v>182</v>
      </c>
      <c r="E72" s="2" t="s">
        <v>22</v>
      </c>
      <c r="F72">
        <v>81123102</v>
      </c>
      <c r="G72">
        <v>52061111</v>
      </c>
      <c r="H72" s="27">
        <v>0</v>
      </c>
      <c r="I72" s="10">
        <v>960</v>
      </c>
      <c r="J72" s="10">
        <v>70952.2</v>
      </c>
      <c r="K72" s="10">
        <v>229.01</v>
      </c>
      <c r="L72" s="10">
        <v>13490</v>
      </c>
      <c r="M72" s="10">
        <v>12105.72</v>
      </c>
      <c r="N72" s="10">
        <v>13843.210000000003</v>
      </c>
      <c r="O72" s="10">
        <v>91090.76</v>
      </c>
      <c r="P72" s="10">
        <v>4017.86</v>
      </c>
      <c r="Q72" s="6">
        <v>6337.8700000000008</v>
      </c>
      <c r="R72" s="6"/>
      <c r="S72" s="6"/>
      <c r="T72" s="6"/>
      <c r="U72" s="6">
        <f t="shared" si="2"/>
        <v>213026.62999999998</v>
      </c>
    </row>
    <row r="73" spans="2:21" x14ac:dyDescent="0.35">
      <c r="B73" t="s">
        <v>6</v>
      </c>
      <c r="C73" t="s">
        <v>1267</v>
      </c>
      <c r="D73" t="s">
        <v>182</v>
      </c>
      <c r="E73" s="2" t="s">
        <v>22</v>
      </c>
      <c r="F73" s="2">
        <v>81123102</v>
      </c>
      <c r="G73" s="2">
        <v>61031201</v>
      </c>
      <c r="H73" s="27">
        <v>0</v>
      </c>
      <c r="I73" s="10">
        <v>0</v>
      </c>
      <c r="J73" s="10">
        <v>4017.86</v>
      </c>
      <c r="K73" s="10">
        <v>-4017.86</v>
      </c>
      <c r="L73" s="10">
        <v>0</v>
      </c>
      <c r="M73" s="10">
        <v>0</v>
      </c>
      <c r="N73" s="10">
        <v>4017.86</v>
      </c>
      <c r="O73" s="10">
        <v>0</v>
      </c>
      <c r="P73" s="10">
        <v>4017.86</v>
      </c>
      <c r="Q73" s="6">
        <v>0</v>
      </c>
      <c r="R73" s="6"/>
      <c r="S73" s="6"/>
      <c r="T73" s="6"/>
      <c r="U73" s="6">
        <f t="shared" si="2"/>
        <v>8035.72</v>
      </c>
    </row>
    <row r="74" spans="2:21" x14ac:dyDescent="0.35">
      <c r="B74" t="s">
        <v>6</v>
      </c>
      <c r="C74" t="s">
        <v>1267</v>
      </c>
      <c r="D74" t="s">
        <v>19</v>
      </c>
      <c r="E74" s="2" t="s">
        <v>21</v>
      </c>
      <c r="F74" s="2">
        <v>81123102</v>
      </c>
      <c r="G74" s="2">
        <v>52061101</v>
      </c>
      <c r="H74" s="27">
        <v>0</v>
      </c>
      <c r="I74" s="10">
        <v>0</v>
      </c>
      <c r="J74" s="10">
        <v>5000</v>
      </c>
      <c r="K74" s="10">
        <v>0</v>
      </c>
      <c r="L74" s="10">
        <v>0</v>
      </c>
      <c r="M74" s="10">
        <v>15178.57</v>
      </c>
      <c r="N74" s="10">
        <v>0</v>
      </c>
      <c r="O74" s="10">
        <v>12366.07</v>
      </c>
      <c r="P74" s="10">
        <v>0</v>
      </c>
      <c r="Q74" s="6">
        <v>0</v>
      </c>
      <c r="R74" s="6"/>
      <c r="S74" s="6"/>
      <c r="T74" s="6"/>
      <c r="U74" s="6">
        <f t="shared" si="2"/>
        <v>32544.639999999999</v>
      </c>
    </row>
    <row r="75" spans="2:21" x14ac:dyDescent="0.35">
      <c r="B75" t="s">
        <v>6</v>
      </c>
      <c r="C75" t="s">
        <v>1268</v>
      </c>
      <c r="D75" t="s">
        <v>19</v>
      </c>
      <c r="E75" s="2" t="s">
        <v>23</v>
      </c>
      <c r="F75">
        <v>80123102</v>
      </c>
      <c r="G75">
        <v>61061104</v>
      </c>
      <c r="H75" s="27">
        <v>30000</v>
      </c>
      <c r="I75" s="10">
        <v>0</v>
      </c>
      <c r="J75" s="10">
        <v>0</v>
      </c>
      <c r="K75" s="10">
        <v>-20170.079999999994</v>
      </c>
      <c r="L75" s="10">
        <v>0</v>
      </c>
      <c r="M75" s="10">
        <v>0</v>
      </c>
      <c r="N75" s="10">
        <v>41347.93</v>
      </c>
      <c r="O75" s="10">
        <v>14794.630000000001</v>
      </c>
      <c r="P75" s="10">
        <v>55393.67</v>
      </c>
      <c r="Q75" s="6">
        <v>85236.419999999984</v>
      </c>
      <c r="R75" s="6">
        <v>60000</v>
      </c>
      <c r="S75" s="6">
        <v>60000</v>
      </c>
      <c r="T75" s="6">
        <v>60000</v>
      </c>
      <c r="U75" s="6">
        <f t="shared" si="2"/>
        <v>356602.57</v>
      </c>
    </row>
    <row r="76" spans="2:21" x14ac:dyDescent="0.35">
      <c r="B76" t="s">
        <v>6</v>
      </c>
      <c r="C76" t="s">
        <v>1268</v>
      </c>
      <c r="D76" t="s">
        <v>19</v>
      </c>
      <c r="E76" s="2" t="s">
        <v>23</v>
      </c>
      <c r="F76">
        <v>80123102</v>
      </c>
      <c r="G76">
        <v>61061104</v>
      </c>
      <c r="H76" s="27">
        <v>30000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6">
        <v>0</v>
      </c>
      <c r="R76" s="6"/>
      <c r="S76" s="6"/>
      <c r="T76" s="6"/>
      <c r="U76" s="6">
        <f t="shared" si="2"/>
        <v>0</v>
      </c>
    </row>
    <row r="77" spans="2:21" x14ac:dyDescent="0.35">
      <c r="B77" t="s">
        <v>6</v>
      </c>
      <c r="C77" t="s">
        <v>1268</v>
      </c>
      <c r="D77" t="s">
        <v>19</v>
      </c>
      <c r="E77" s="2" t="s">
        <v>23</v>
      </c>
      <c r="F77">
        <v>80123102</v>
      </c>
      <c r="G77">
        <v>61061104</v>
      </c>
      <c r="H77" s="27">
        <v>30000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6">
        <v>0</v>
      </c>
      <c r="R77" s="6"/>
      <c r="S77" s="6"/>
      <c r="T77" s="6"/>
      <c r="U77" s="6">
        <f t="shared" si="2"/>
        <v>0</v>
      </c>
    </row>
    <row r="78" spans="2:21" x14ac:dyDescent="0.35">
      <c r="B78" t="s">
        <v>6</v>
      </c>
      <c r="C78" t="s">
        <v>1268</v>
      </c>
      <c r="D78" t="s">
        <v>19</v>
      </c>
      <c r="E78" s="2" t="s">
        <v>23</v>
      </c>
      <c r="F78">
        <v>80123102</v>
      </c>
      <c r="G78">
        <v>61061104</v>
      </c>
      <c r="H78" s="27">
        <v>30000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6">
        <v>0</v>
      </c>
      <c r="R78" s="6"/>
      <c r="S78" s="6"/>
      <c r="T78" s="6"/>
      <c r="U78" s="6">
        <f t="shared" si="2"/>
        <v>0</v>
      </c>
    </row>
    <row r="79" spans="2:21" x14ac:dyDescent="0.35">
      <c r="B79" t="s">
        <v>6</v>
      </c>
      <c r="C79" t="s">
        <v>1268</v>
      </c>
      <c r="D79" t="s">
        <v>19</v>
      </c>
      <c r="E79" t="s">
        <v>23</v>
      </c>
      <c r="F79">
        <v>80123102</v>
      </c>
      <c r="G79">
        <v>61061104</v>
      </c>
      <c r="H79" s="27">
        <v>30000</v>
      </c>
      <c r="I79" s="10">
        <v>5714.29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6">
        <v>0</v>
      </c>
      <c r="R79" s="6"/>
      <c r="S79" s="6"/>
      <c r="T79" s="6"/>
      <c r="U79" s="6">
        <f t="shared" si="2"/>
        <v>5714.29</v>
      </c>
    </row>
    <row r="80" spans="2:21" x14ac:dyDescent="0.35">
      <c r="B80" t="s">
        <v>6</v>
      </c>
      <c r="C80" t="s">
        <v>1268</v>
      </c>
      <c r="D80" t="s">
        <v>19</v>
      </c>
      <c r="E80" s="2" t="s">
        <v>23</v>
      </c>
      <c r="F80">
        <v>80123102</v>
      </c>
      <c r="G80">
        <v>61061104</v>
      </c>
      <c r="H80" s="27">
        <v>30000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6">
        <v>0</v>
      </c>
      <c r="R80" s="6"/>
      <c r="S80" s="6"/>
      <c r="T80" s="6"/>
      <c r="U80" s="6">
        <f t="shared" si="2"/>
        <v>0</v>
      </c>
    </row>
    <row r="81" spans="2:21" x14ac:dyDescent="0.35">
      <c r="B81" t="s">
        <v>6</v>
      </c>
      <c r="C81" t="s">
        <v>1268</v>
      </c>
      <c r="D81" t="s">
        <v>19</v>
      </c>
      <c r="E81" s="2" t="s">
        <v>23</v>
      </c>
      <c r="F81">
        <v>80123102</v>
      </c>
      <c r="G81">
        <v>61061104</v>
      </c>
      <c r="H81" s="27">
        <v>30000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6">
        <v>0</v>
      </c>
      <c r="R81" s="6"/>
      <c r="S81" s="6"/>
      <c r="T81" s="6"/>
      <c r="U81" s="6">
        <f t="shared" si="2"/>
        <v>0</v>
      </c>
    </row>
    <row r="82" spans="2:21" x14ac:dyDescent="0.35">
      <c r="B82" t="s">
        <v>6</v>
      </c>
      <c r="C82" t="s">
        <v>1268</v>
      </c>
      <c r="D82" t="s">
        <v>19</v>
      </c>
      <c r="E82" s="2" t="s">
        <v>23</v>
      </c>
      <c r="F82">
        <v>80123102</v>
      </c>
      <c r="G82">
        <v>61061104</v>
      </c>
      <c r="H82" s="27">
        <v>40000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6">
        <v>0</v>
      </c>
      <c r="R82" s="6"/>
      <c r="S82" s="6"/>
      <c r="T82" s="6"/>
      <c r="U82" s="6">
        <f t="shared" si="2"/>
        <v>0</v>
      </c>
    </row>
    <row r="83" spans="2:21" x14ac:dyDescent="0.35">
      <c r="B83" t="s">
        <v>6</v>
      </c>
      <c r="C83" t="s">
        <v>1268</v>
      </c>
      <c r="D83" t="s">
        <v>19</v>
      </c>
      <c r="E83" s="2" t="s">
        <v>23</v>
      </c>
      <c r="F83">
        <v>80123102</v>
      </c>
      <c r="G83">
        <v>61061104</v>
      </c>
      <c r="H83" s="27">
        <v>30000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6">
        <v>0</v>
      </c>
      <c r="R83" s="6"/>
      <c r="S83" s="6"/>
      <c r="T83" s="6"/>
      <c r="U83" s="6">
        <f t="shared" si="2"/>
        <v>0</v>
      </c>
    </row>
    <row r="84" spans="2:21" x14ac:dyDescent="0.35">
      <c r="B84" t="s">
        <v>6</v>
      </c>
      <c r="C84" t="s">
        <v>1268</v>
      </c>
      <c r="D84" t="s">
        <v>19</v>
      </c>
      <c r="E84" s="2" t="s">
        <v>23</v>
      </c>
      <c r="F84">
        <v>80123102</v>
      </c>
      <c r="G84">
        <v>61061104</v>
      </c>
      <c r="H84" s="27">
        <v>30000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6">
        <v>0</v>
      </c>
      <c r="R84" s="6"/>
      <c r="S84" s="6"/>
      <c r="T84" s="6"/>
      <c r="U84" s="6">
        <f t="shared" si="2"/>
        <v>0</v>
      </c>
    </row>
    <row r="85" spans="2:21" x14ac:dyDescent="0.35">
      <c r="B85" t="s">
        <v>6</v>
      </c>
      <c r="C85" t="s">
        <v>1268</v>
      </c>
      <c r="D85" t="s">
        <v>19</v>
      </c>
      <c r="E85" s="2" t="s">
        <v>23</v>
      </c>
      <c r="F85">
        <v>80123102</v>
      </c>
      <c r="G85">
        <v>61061104</v>
      </c>
      <c r="H85" s="27">
        <v>30000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6">
        <v>0</v>
      </c>
      <c r="R85" s="6"/>
      <c r="S85" s="6"/>
      <c r="T85" s="6"/>
      <c r="U85" s="6">
        <f t="shared" si="2"/>
        <v>0</v>
      </c>
    </row>
    <row r="86" spans="2:21" x14ac:dyDescent="0.35">
      <c r="B86" t="s">
        <v>6</v>
      </c>
      <c r="C86" t="s">
        <v>1268</v>
      </c>
      <c r="D86" t="s">
        <v>19</v>
      </c>
      <c r="E86" t="s">
        <v>23</v>
      </c>
      <c r="F86">
        <v>80123102</v>
      </c>
      <c r="G86">
        <v>61061104</v>
      </c>
      <c r="H86" s="27">
        <v>40000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17863.95</v>
      </c>
      <c r="O86" s="10">
        <v>0</v>
      </c>
      <c r="P86" s="10">
        <v>0</v>
      </c>
      <c r="Q86" s="6">
        <v>0</v>
      </c>
      <c r="R86" s="6"/>
      <c r="S86" s="6"/>
      <c r="T86" s="6"/>
      <c r="U86" s="6">
        <f t="shared" si="2"/>
        <v>17863.95</v>
      </c>
    </row>
    <row r="87" spans="2:21" x14ac:dyDescent="0.35">
      <c r="B87" t="s">
        <v>6</v>
      </c>
      <c r="C87" t="s">
        <v>1268</v>
      </c>
      <c r="D87" t="s">
        <v>19</v>
      </c>
      <c r="E87" s="2" t="s">
        <v>23</v>
      </c>
      <c r="F87">
        <v>80123102</v>
      </c>
      <c r="G87">
        <v>61061104</v>
      </c>
      <c r="H87" s="27">
        <v>30000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6">
        <v>0</v>
      </c>
      <c r="R87" s="6"/>
      <c r="S87" s="6"/>
      <c r="T87" s="6"/>
      <c r="U87" s="6">
        <f t="shared" si="2"/>
        <v>0</v>
      </c>
    </row>
    <row r="88" spans="2:21" x14ac:dyDescent="0.35">
      <c r="B88" t="s">
        <v>6</v>
      </c>
      <c r="C88" t="s">
        <v>1268</v>
      </c>
      <c r="D88" t="s">
        <v>19</v>
      </c>
      <c r="E88" s="2" t="s">
        <v>23</v>
      </c>
      <c r="F88">
        <v>80123102</v>
      </c>
      <c r="G88">
        <v>61061104</v>
      </c>
      <c r="H88" s="27">
        <v>40000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6">
        <v>0</v>
      </c>
      <c r="R88" s="6"/>
      <c r="S88" s="6"/>
      <c r="T88" s="6"/>
      <c r="U88" s="6">
        <f t="shared" si="2"/>
        <v>0</v>
      </c>
    </row>
    <row r="89" spans="2:21" x14ac:dyDescent="0.35">
      <c r="B89" t="s">
        <v>6</v>
      </c>
      <c r="C89" t="s">
        <v>1268</v>
      </c>
      <c r="D89" t="s">
        <v>19</v>
      </c>
      <c r="E89" s="2" t="s">
        <v>23</v>
      </c>
      <c r="F89">
        <v>80123102</v>
      </c>
      <c r="G89">
        <v>61061104</v>
      </c>
      <c r="H89" s="27">
        <v>30000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6">
        <v>0</v>
      </c>
      <c r="R89" s="6"/>
      <c r="S89" s="6"/>
      <c r="T89" s="6"/>
      <c r="U89" s="6">
        <f t="shared" si="2"/>
        <v>0</v>
      </c>
    </row>
    <row r="90" spans="2:21" x14ac:dyDescent="0.35">
      <c r="B90" t="s">
        <v>6</v>
      </c>
      <c r="C90" t="s">
        <v>1268</v>
      </c>
      <c r="D90" t="s">
        <v>19</v>
      </c>
      <c r="E90" s="2" t="s">
        <v>23</v>
      </c>
      <c r="F90">
        <v>80123102</v>
      </c>
      <c r="G90">
        <v>61061104</v>
      </c>
      <c r="H90" s="27">
        <v>30000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6">
        <v>0</v>
      </c>
      <c r="R90" s="6"/>
      <c r="S90" s="6"/>
      <c r="T90" s="6"/>
      <c r="U90" s="6">
        <f t="shared" si="2"/>
        <v>0</v>
      </c>
    </row>
    <row r="91" spans="2:21" x14ac:dyDescent="0.35">
      <c r="B91" t="s">
        <v>6</v>
      </c>
      <c r="C91" t="s">
        <v>1268</v>
      </c>
      <c r="D91" t="s">
        <v>19</v>
      </c>
      <c r="E91" s="2" t="s">
        <v>23</v>
      </c>
      <c r="F91">
        <v>80123102</v>
      </c>
      <c r="G91">
        <v>61061104</v>
      </c>
      <c r="H91" s="27">
        <v>30000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6">
        <v>0</v>
      </c>
      <c r="R91" s="6"/>
      <c r="S91" s="6"/>
      <c r="T91" s="6"/>
      <c r="U91" s="6">
        <f t="shared" si="2"/>
        <v>0</v>
      </c>
    </row>
    <row r="92" spans="2:21" x14ac:dyDescent="0.35">
      <c r="B92" t="s">
        <v>6</v>
      </c>
      <c r="C92" t="s">
        <v>1268</v>
      </c>
      <c r="D92" t="s">
        <v>19</v>
      </c>
      <c r="E92" s="2" t="s">
        <v>23</v>
      </c>
      <c r="F92">
        <v>80123102</v>
      </c>
      <c r="G92">
        <v>61061104</v>
      </c>
      <c r="H92" s="27">
        <v>30000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6">
        <v>0</v>
      </c>
      <c r="R92" s="6"/>
      <c r="S92" s="6"/>
      <c r="T92" s="6"/>
      <c r="U92" s="6">
        <f t="shared" si="2"/>
        <v>0</v>
      </c>
    </row>
    <row r="93" spans="2:21" x14ac:dyDescent="0.35">
      <c r="B93" t="s">
        <v>6</v>
      </c>
      <c r="C93" t="s">
        <v>1268</v>
      </c>
      <c r="D93" t="s">
        <v>19</v>
      </c>
      <c r="E93" s="2" t="s">
        <v>23</v>
      </c>
      <c r="F93">
        <v>80123102</v>
      </c>
      <c r="G93">
        <v>61061104</v>
      </c>
      <c r="H93" s="27">
        <v>30000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6">
        <v>0</v>
      </c>
      <c r="R93" s="6"/>
      <c r="S93" s="6"/>
      <c r="T93" s="6"/>
      <c r="U93" s="6">
        <f t="shared" si="2"/>
        <v>0</v>
      </c>
    </row>
    <row r="94" spans="2:21" x14ac:dyDescent="0.35">
      <c r="B94" t="s">
        <v>6</v>
      </c>
      <c r="C94" t="s">
        <v>1268</v>
      </c>
      <c r="D94" t="s">
        <v>19</v>
      </c>
      <c r="E94" s="2" t="s">
        <v>23</v>
      </c>
      <c r="F94">
        <v>80123102</v>
      </c>
      <c r="G94">
        <v>61061104</v>
      </c>
      <c r="H94" s="27">
        <v>40000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6">
        <v>0</v>
      </c>
      <c r="R94" s="6"/>
      <c r="S94" s="6"/>
      <c r="T94" s="6"/>
      <c r="U94" s="6">
        <f t="shared" si="2"/>
        <v>0</v>
      </c>
    </row>
    <row r="95" spans="2:21" x14ac:dyDescent="0.35">
      <c r="B95" t="s">
        <v>6</v>
      </c>
      <c r="C95" t="s">
        <v>1268</v>
      </c>
      <c r="D95" t="s">
        <v>19</v>
      </c>
      <c r="E95" s="2" t="s">
        <v>23</v>
      </c>
      <c r="F95">
        <v>80123102</v>
      </c>
      <c r="G95">
        <v>61061104</v>
      </c>
      <c r="H95" s="27">
        <v>40000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6">
        <v>0</v>
      </c>
      <c r="R95" s="6"/>
      <c r="S95" s="6"/>
      <c r="T95" s="6"/>
      <c r="U95" s="6">
        <f t="shared" si="2"/>
        <v>0</v>
      </c>
    </row>
    <row r="96" spans="2:21" x14ac:dyDescent="0.35">
      <c r="B96" t="s">
        <v>6</v>
      </c>
      <c r="C96" t="s">
        <v>1268</v>
      </c>
      <c r="D96" t="s">
        <v>19</v>
      </c>
      <c r="E96" s="2" t="s">
        <v>23</v>
      </c>
      <c r="F96">
        <v>80123102</v>
      </c>
      <c r="G96">
        <v>61061104</v>
      </c>
      <c r="H96" s="27">
        <v>40000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6">
        <v>0</v>
      </c>
      <c r="R96" s="6"/>
      <c r="S96" s="6"/>
      <c r="T96" s="6"/>
      <c r="U96" s="6">
        <f t="shared" si="2"/>
        <v>0</v>
      </c>
    </row>
    <row r="97" spans="2:21" x14ac:dyDescent="0.35">
      <c r="B97" t="s">
        <v>6</v>
      </c>
      <c r="C97" t="s">
        <v>1268</v>
      </c>
      <c r="D97" t="s">
        <v>19</v>
      </c>
      <c r="E97" t="s">
        <v>23</v>
      </c>
      <c r="F97">
        <v>80123102</v>
      </c>
      <c r="G97">
        <v>61061104</v>
      </c>
      <c r="H97" s="27">
        <v>30000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4464.29</v>
      </c>
      <c r="P97" s="10">
        <v>0</v>
      </c>
      <c r="Q97" s="6">
        <v>0</v>
      </c>
      <c r="R97" s="6"/>
      <c r="S97" s="6"/>
      <c r="T97" s="6"/>
      <c r="U97" s="6">
        <f t="shared" si="2"/>
        <v>4464.29</v>
      </c>
    </row>
    <row r="98" spans="2:21" x14ac:dyDescent="0.35">
      <c r="B98" t="s">
        <v>6</v>
      </c>
      <c r="C98" t="s">
        <v>1268</v>
      </c>
      <c r="D98" t="s">
        <v>19</v>
      </c>
      <c r="E98" t="s">
        <v>23</v>
      </c>
      <c r="F98">
        <v>80123102</v>
      </c>
      <c r="G98">
        <v>61061104</v>
      </c>
      <c r="H98" s="27">
        <v>30000</v>
      </c>
      <c r="I98" s="10">
        <v>0</v>
      </c>
      <c r="J98" s="10">
        <v>0</v>
      </c>
      <c r="K98" s="10">
        <v>0</v>
      </c>
      <c r="L98" s="10">
        <v>0</v>
      </c>
      <c r="M98" s="10">
        <v>15628.85</v>
      </c>
      <c r="N98" s="10">
        <v>0</v>
      </c>
      <c r="O98" s="10">
        <v>0</v>
      </c>
      <c r="P98" s="10">
        <v>0</v>
      </c>
      <c r="Q98" s="6">
        <v>0</v>
      </c>
      <c r="R98" s="6"/>
      <c r="S98" s="6"/>
      <c r="T98" s="6"/>
      <c r="U98" s="6">
        <f t="shared" si="2"/>
        <v>15628.85</v>
      </c>
    </row>
    <row r="99" spans="2:21" x14ac:dyDescent="0.35">
      <c r="B99" t="s">
        <v>6</v>
      </c>
      <c r="C99" t="s">
        <v>1268</v>
      </c>
      <c r="D99" t="s">
        <v>19</v>
      </c>
      <c r="E99" s="2" t="s">
        <v>23</v>
      </c>
      <c r="F99">
        <v>80123102</v>
      </c>
      <c r="G99">
        <v>61061104</v>
      </c>
      <c r="H99" s="27">
        <v>30000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6">
        <v>0</v>
      </c>
      <c r="R99" s="6"/>
      <c r="S99" s="6"/>
      <c r="T99" s="6"/>
      <c r="U99" s="6">
        <f t="shared" si="2"/>
        <v>0</v>
      </c>
    </row>
    <row r="100" spans="2:21" x14ac:dyDescent="0.35">
      <c r="B100" t="s">
        <v>6</v>
      </c>
      <c r="C100" t="s">
        <v>1268</v>
      </c>
      <c r="D100" t="s">
        <v>19</v>
      </c>
      <c r="E100" s="2" t="s">
        <v>23</v>
      </c>
      <c r="F100">
        <v>80123102</v>
      </c>
      <c r="G100">
        <v>61061104</v>
      </c>
      <c r="H100" s="27">
        <v>30000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6">
        <v>0</v>
      </c>
      <c r="R100" s="6"/>
      <c r="S100" s="6"/>
      <c r="T100" s="6"/>
      <c r="U100" s="6">
        <f t="shared" si="2"/>
        <v>0</v>
      </c>
    </row>
    <row r="101" spans="2:21" x14ac:dyDescent="0.35">
      <c r="B101" t="s">
        <v>6</v>
      </c>
      <c r="C101" t="s">
        <v>1268</v>
      </c>
      <c r="D101" t="s">
        <v>19</v>
      </c>
      <c r="E101" t="s">
        <v>23</v>
      </c>
      <c r="F101">
        <v>80123102</v>
      </c>
      <c r="G101">
        <v>61061104</v>
      </c>
      <c r="H101" s="27">
        <v>30000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23278.92</v>
      </c>
      <c r="O101" s="10">
        <v>0</v>
      </c>
      <c r="P101" s="10">
        <v>0</v>
      </c>
      <c r="Q101" s="6">
        <v>0</v>
      </c>
      <c r="R101" s="6"/>
      <c r="S101" s="6"/>
      <c r="T101" s="6"/>
      <c r="U101" s="6">
        <f t="shared" si="2"/>
        <v>23278.92</v>
      </c>
    </row>
    <row r="102" spans="2:21" x14ac:dyDescent="0.35">
      <c r="B102" t="s">
        <v>6</v>
      </c>
      <c r="C102" t="s">
        <v>1268</v>
      </c>
      <c r="D102" t="s">
        <v>19</v>
      </c>
      <c r="E102" t="s">
        <v>23</v>
      </c>
      <c r="F102">
        <v>80123102</v>
      </c>
      <c r="G102">
        <v>61061104</v>
      </c>
      <c r="H102" s="27">
        <v>30000</v>
      </c>
      <c r="I102" s="10">
        <v>21041.51</v>
      </c>
      <c r="J102" s="10">
        <v>0</v>
      </c>
      <c r="K102" s="10">
        <v>0</v>
      </c>
      <c r="L102" s="10">
        <v>0</v>
      </c>
      <c r="M102" s="10">
        <v>23920.33</v>
      </c>
      <c r="N102" s="10">
        <v>0</v>
      </c>
      <c r="O102" s="10">
        <v>0</v>
      </c>
      <c r="P102" s="10">
        <v>0</v>
      </c>
      <c r="Q102" s="6">
        <v>0</v>
      </c>
      <c r="R102" s="6"/>
      <c r="S102" s="6"/>
      <c r="T102" s="6"/>
      <c r="U102" s="6">
        <f t="shared" si="2"/>
        <v>44961.84</v>
      </c>
    </row>
    <row r="103" spans="2:21" x14ac:dyDescent="0.35">
      <c r="B103" t="s">
        <v>6</v>
      </c>
      <c r="C103" t="s">
        <v>1268</v>
      </c>
      <c r="D103" t="s">
        <v>19</v>
      </c>
      <c r="E103" t="s">
        <v>23</v>
      </c>
      <c r="F103">
        <v>80123102</v>
      </c>
      <c r="G103">
        <v>61061104</v>
      </c>
      <c r="H103" s="27">
        <v>30000</v>
      </c>
      <c r="I103" s="10">
        <v>0</v>
      </c>
      <c r="J103" s="10">
        <v>0</v>
      </c>
      <c r="K103" s="10">
        <v>13704.02</v>
      </c>
      <c r="L103" s="10">
        <v>0</v>
      </c>
      <c r="M103" s="10">
        <v>0</v>
      </c>
      <c r="N103" s="10">
        <v>10210.709999999999</v>
      </c>
      <c r="O103" s="10">
        <v>0</v>
      </c>
      <c r="P103" s="10">
        <v>0</v>
      </c>
      <c r="Q103" s="6">
        <v>0</v>
      </c>
      <c r="R103" s="6"/>
      <c r="S103" s="6"/>
      <c r="T103" s="6"/>
      <c r="U103" s="6">
        <f t="shared" si="2"/>
        <v>23914.73</v>
      </c>
    </row>
    <row r="104" spans="2:21" x14ac:dyDescent="0.35">
      <c r="B104" t="s">
        <v>6</v>
      </c>
      <c r="C104" t="s">
        <v>1268</v>
      </c>
      <c r="D104" t="s">
        <v>19</v>
      </c>
      <c r="E104" s="2" t="s">
        <v>23</v>
      </c>
      <c r="F104">
        <v>80123102</v>
      </c>
      <c r="G104">
        <v>61061104</v>
      </c>
      <c r="H104" s="27">
        <v>30000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6">
        <v>0</v>
      </c>
      <c r="R104" s="6"/>
      <c r="S104" s="6"/>
      <c r="T104" s="6"/>
      <c r="U104" s="6">
        <f t="shared" si="2"/>
        <v>0</v>
      </c>
    </row>
    <row r="105" spans="2:21" x14ac:dyDescent="0.35">
      <c r="B105" t="s">
        <v>6</v>
      </c>
      <c r="C105" t="s">
        <v>1268</v>
      </c>
      <c r="D105" t="s">
        <v>19</v>
      </c>
      <c r="E105" s="2" t="s">
        <v>23</v>
      </c>
      <c r="F105">
        <v>80123102</v>
      </c>
      <c r="G105">
        <v>61061104</v>
      </c>
      <c r="H105" s="27">
        <v>30000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6">
        <v>0</v>
      </c>
      <c r="R105" s="6"/>
      <c r="S105" s="6"/>
      <c r="T105" s="6"/>
      <c r="U105" s="6">
        <f t="shared" si="2"/>
        <v>0</v>
      </c>
    </row>
    <row r="106" spans="2:21" x14ac:dyDescent="0.35">
      <c r="B106" t="s">
        <v>6</v>
      </c>
      <c r="C106" t="s">
        <v>1268</v>
      </c>
      <c r="D106" t="s">
        <v>19</v>
      </c>
      <c r="E106" t="s">
        <v>23</v>
      </c>
      <c r="F106">
        <v>80123102</v>
      </c>
      <c r="G106">
        <v>61061104</v>
      </c>
      <c r="H106" s="27">
        <v>30000</v>
      </c>
      <c r="I106" s="10">
        <v>0</v>
      </c>
      <c r="J106" s="10">
        <v>0</v>
      </c>
      <c r="K106" s="10">
        <v>0</v>
      </c>
      <c r="L106" s="10">
        <v>0</v>
      </c>
      <c r="M106" s="10">
        <v>21996.92</v>
      </c>
      <c r="N106" s="10">
        <v>24336.13</v>
      </c>
      <c r="O106" s="10">
        <v>0</v>
      </c>
      <c r="P106" s="10">
        <v>0</v>
      </c>
      <c r="Q106" s="6">
        <v>0</v>
      </c>
      <c r="R106" s="6"/>
      <c r="S106" s="6"/>
      <c r="T106" s="6"/>
      <c r="U106" s="6">
        <f t="shared" si="2"/>
        <v>46333.05</v>
      </c>
    </row>
    <row r="107" spans="2:21" x14ac:dyDescent="0.35">
      <c r="B107" t="s">
        <v>6</v>
      </c>
      <c r="C107" t="s">
        <v>1268</v>
      </c>
      <c r="D107" t="s">
        <v>19</v>
      </c>
      <c r="E107" t="s">
        <v>23</v>
      </c>
      <c r="F107">
        <v>80123102</v>
      </c>
      <c r="G107">
        <v>61061104</v>
      </c>
      <c r="H107" s="27">
        <v>30000</v>
      </c>
      <c r="I107" s="10">
        <v>0</v>
      </c>
      <c r="J107" s="10">
        <v>0</v>
      </c>
      <c r="K107" s="10">
        <v>0</v>
      </c>
      <c r="L107" s="10">
        <v>9324.5400000000009</v>
      </c>
      <c r="M107" s="10">
        <v>0</v>
      </c>
      <c r="N107" s="10">
        <v>0</v>
      </c>
      <c r="O107" s="10">
        <v>0</v>
      </c>
      <c r="P107" s="10">
        <v>0</v>
      </c>
      <c r="Q107" s="6">
        <v>0</v>
      </c>
      <c r="R107" s="6"/>
      <c r="S107" s="6"/>
      <c r="T107" s="6"/>
      <c r="U107" s="6">
        <f t="shared" si="2"/>
        <v>9324.5400000000009</v>
      </c>
    </row>
    <row r="108" spans="2:21" x14ac:dyDescent="0.35">
      <c r="B108" t="s">
        <v>6</v>
      </c>
      <c r="C108" t="s">
        <v>1268</v>
      </c>
      <c r="D108" t="s">
        <v>19</v>
      </c>
      <c r="E108" t="s">
        <v>23</v>
      </c>
      <c r="F108">
        <v>80123102</v>
      </c>
      <c r="G108">
        <v>61061104</v>
      </c>
      <c r="H108" s="27">
        <v>30000</v>
      </c>
      <c r="I108" s="10">
        <v>0</v>
      </c>
      <c r="J108" s="10">
        <v>0</v>
      </c>
      <c r="K108" s="10">
        <v>10357.14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6">
        <v>0</v>
      </c>
      <c r="R108" s="6"/>
      <c r="S108" s="6"/>
      <c r="T108" s="6"/>
      <c r="U108" s="6">
        <f t="shared" si="2"/>
        <v>10357.14</v>
      </c>
    </row>
    <row r="109" spans="2:21" x14ac:dyDescent="0.35">
      <c r="B109" t="s">
        <v>6</v>
      </c>
      <c r="C109" t="s">
        <v>1268</v>
      </c>
      <c r="D109" t="s">
        <v>19</v>
      </c>
      <c r="E109" t="s">
        <v>23</v>
      </c>
      <c r="F109">
        <v>80123102</v>
      </c>
      <c r="G109">
        <v>61061104</v>
      </c>
      <c r="H109" s="27">
        <v>30000</v>
      </c>
      <c r="I109" s="10">
        <v>0</v>
      </c>
      <c r="J109" s="10">
        <v>0</v>
      </c>
      <c r="K109" s="10">
        <v>-11964.29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6">
        <v>0</v>
      </c>
      <c r="R109" s="6"/>
      <c r="S109" s="6"/>
      <c r="T109" s="6"/>
      <c r="U109" s="6">
        <f t="shared" si="2"/>
        <v>-11964.29</v>
      </c>
    </row>
    <row r="110" spans="2:21" x14ac:dyDescent="0.35">
      <c r="B110" t="s">
        <v>6</v>
      </c>
      <c r="C110" t="s">
        <v>1268</v>
      </c>
      <c r="D110" t="s">
        <v>19</v>
      </c>
      <c r="E110" t="s">
        <v>23</v>
      </c>
      <c r="F110">
        <v>80123102</v>
      </c>
      <c r="G110">
        <v>61061104</v>
      </c>
      <c r="H110" s="27">
        <v>30000</v>
      </c>
      <c r="I110" s="10">
        <v>0</v>
      </c>
      <c r="J110" s="10">
        <v>0</v>
      </c>
      <c r="K110" s="10">
        <v>19135.95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6">
        <v>0</v>
      </c>
      <c r="R110" s="6"/>
      <c r="S110" s="6"/>
      <c r="T110" s="6"/>
      <c r="U110" s="6">
        <f t="shared" si="2"/>
        <v>19135.95</v>
      </c>
    </row>
    <row r="111" spans="2:21" x14ac:dyDescent="0.35">
      <c r="B111" t="s">
        <v>6</v>
      </c>
      <c r="C111" t="s">
        <v>1268</v>
      </c>
      <c r="D111" t="s">
        <v>19</v>
      </c>
      <c r="E111" t="s">
        <v>23</v>
      </c>
      <c r="F111">
        <v>80123102</v>
      </c>
      <c r="G111">
        <v>61061104</v>
      </c>
      <c r="H111" s="27">
        <v>30000</v>
      </c>
      <c r="I111" s="10">
        <v>0</v>
      </c>
      <c r="J111" s="10">
        <v>7399.88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6">
        <v>0</v>
      </c>
      <c r="R111" s="6"/>
      <c r="S111" s="6"/>
      <c r="T111" s="6"/>
      <c r="U111" s="6">
        <f t="shared" si="2"/>
        <v>7399.88</v>
      </c>
    </row>
    <row r="112" spans="2:21" x14ac:dyDescent="0.35">
      <c r="B112" t="s">
        <v>6</v>
      </c>
      <c r="C112" t="s">
        <v>1268</v>
      </c>
      <c r="D112" t="s">
        <v>19</v>
      </c>
      <c r="E112" t="s">
        <v>23</v>
      </c>
      <c r="F112">
        <v>80123102</v>
      </c>
      <c r="G112">
        <v>61061104</v>
      </c>
      <c r="H112" s="27">
        <v>30000</v>
      </c>
      <c r="I112" s="10">
        <v>0</v>
      </c>
      <c r="J112" s="10">
        <v>18090.91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6">
        <v>0</v>
      </c>
      <c r="R112" s="6"/>
      <c r="S112" s="6"/>
      <c r="T112" s="6"/>
      <c r="U112" s="6">
        <f t="shared" si="2"/>
        <v>18090.91</v>
      </c>
    </row>
    <row r="113" spans="2:21" x14ac:dyDescent="0.35">
      <c r="B113" t="s">
        <v>6</v>
      </c>
      <c r="C113" t="s">
        <v>1268</v>
      </c>
      <c r="D113" t="s">
        <v>19</v>
      </c>
      <c r="E113" t="s">
        <v>23</v>
      </c>
      <c r="F113">
        <v>80123102</v>
      </c>
      <c r="G113">
        <v>61061104</v>
      </c>
      <c r="H113" s="27">
        <v>30000</v>
      </c>
      <c r="I113" s="10">
        <v>6700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6">
        <v>0</v>
      </c>
      <c r="R113" s="6"/>
      <c r="S113" s="6"/>
      <c r="T113" s="6"/>
      <c r="U113" s="6">
        <f t="shared" si="2"/>
        <v>6700</v>
      </c>
    </row>
    <row r="114" spans="2:21" x14ac:dyDescent="0.35">
      <c r="B114" t="s">
        <v>6</v>
      </c>
      <c r="C114" t="s">
        <v>1267</v>
      </c>
      <c r="D114" t="s">
        <v>19</v>
      </c>
      <c r="E114" t="s">
        <v>23</v>
      </c>
      <c r="F114" s="2">
        <v>81123102</v>
      </c>
      <c r="G114" s="2">
        <v>52061105</v>
      </c>
      <c r="H114" s="27">
        <v>0</v>
      </c>
      <c r="M114" s="10">
        <v>10250</v>
      </c>
      <c r="N114" s="10">
        <v>400</v>
      </c>
      <c r="O114" s="10">
        <v>0</v>
      </c>
      <c r="P114" s="10">
        <v>4492</v>
      </c>
      <c r="Q114" s="6">
        <v>2529.6</v>
      </c>
      <c r="R114" s="6"/>
      <c r="S114" s="6"/>
      <c r="T114" s="6"/>
      <c r="U114" s="6">
        <f t="shared" si="2"/>
        <v>17671.599999999999</v>
      </c>
    </row>
    <row r="115" spans="2:21" x14ac:dyDescent="0.35">
      <c r="B115" t="s">
        <v>6</v>
      </c>
      <c r="C115" t="s">
        <v>25</v>
      </c>
      <c r="D115" t="s">
        <v>24</v>
      </c>
      <c r="E115" s="2" t="s">
        <v>24</v>
      </c>
      <c r="F115">
        <v>81123102</v>
      </c>
      <c r="G115">
        <v>52101112</v>
      </c>
      <c r="H115" s="27">
        <v>15000</v>
      </c>
      <c r="I115" s="10">
        <v>0</v>
      </c>
      <c r="J115" s="10">
        <v>400.16</v>
      </c>
      <c r="K115" s="10">
        <v>0</v>
      </c>
      <c r="L115" s="10">
        <v>11768.15</v>
      </c>
      <c r="M115" s="10">
        <v>0</v>
      </c>
      <c r="N115" s="10">
        <v>37755.71</v>
      </c>
      <c r="O115" s="10">
        <v>0</v>
      </c>
      <c r="P115" s="10">
        <v>0</v>
      </c>
      <c r="Q115" s="6">
        <v>116518.75000000001</v>
      </c>
      <c r="R115" s="6">
        <v>110000</v>
      </c>
      <c r="S115" s="6">
        <v>110000</v>
      </c>
      <c r="T115" s="6">
        <v>110000</v>
      </c>
      <c r="U115" s="6">
        <f t="shared" si="2"/>
        <v>496442.77</v>
      </c>
    </row>
    <row r="116" spans="2:21" x14ac:dyDescent="0.35">
      <c r="B116" t="s">
        <v>6</v>
      </c>
      <c r="C116" t="s">
        <v>25</v>
      </c>
      <c r="D116" t="s">
        <v>24</v>
      </c>
      <c r="E116" s="2" t="s">
        <v>24</v>
      </c>
      <c r="F116">
        <v>81123102</v>
      </c>
      <c r="G116">
        <v>52101112</v>
      </c>
      <c r="H116" s="27">
        <v>30000</v>
      </c>
      <c r="I116" s="10">
        <v>0</v>
      </c>
      <c r="J116" s="10">
        <v>0</v>
      </c>
      <c r="K116" s="10">
        <v>0</v>
      </c>
      <c r="L116" s="10">
        <v>0</v>
      </c>
      <c r="M116" s="6"/>
      <c r="N116" s="10">
        <v>0</v>
      </c>
      <c r="O116" s="10">
        <v>0</v>
      </c>
      <c r="P116" s="10">
        <v>0</v>
      </c>
      <c r="Q116" s="6"/>
      <c r="R116" s="6"/>
      <c r="S116" s="6"/>
      <c r="T116" s="6"/>
      <c r="U116" s="6">
        <f t="shared" si="2"/>
        <v>0</v>
      </c>
    </row>
    <row r="117" spans="2:21" x14ac:dyDescent="0.35">
      <c r="B117" t="s">
        <v>6</v>
      </c>
      <c r="C117" t="s">
        <v>25</v>
      </c>
      <c r="D117" t="s">
        <v>24</v>
      </c>
      <c r="E117" s="2" t="s">
        <v>24</v>
      </c>
      <c r="F117">
        <v>81123102</v>
      </c>
      <c r="G117">
        <v>52101112</v>
      </c>
      <c r="H117" s="27">
        <v>15000</v>
      </c>
      <c r="I117" s="10">
        <v>0</v>
      </c>
      <c r="J117" s="10">
        <v>0</v>
      </c>
      <c r="K117" s="10">
        <v>0</v>
      </c>
      <c r="L117" s="10">
        <v>0</v>
      </c>
      <c r="M117" s="6"/>
      <c r="N117" s="10">
        <v>0</v>
      </c>
      <c r="O117" s="10">
        <v>0</v>
      </c>
      <c r="P117" s="10">
        <v>0</v>
      </c>
      <c r="Q117" s="6"/>
      <c r="R117" s="6"/>
      <c r="S117" s="6"/>
      <c r="T117" s="6"/>
      <c r="U117" s="6">
        <f t="shared" si="2"/>
        <v>0</v>
      </c>
    </row>
    <row r="118" spans="2:21" x14ac:dyDescent="0.35">
      <c r="B118" t="s">
        <v>6</v>
      </c>
      <c r="C118" t="s">
        <v>25</v>
      </c>
      <c r="D118" t="s">
        <v>24</v>
      </c>
      <c r="E118" s="2" t="s">
        <v>24</v>
      </c>
      <c r="F118">
        <v>81123102</v>
      </c>
      <c r="G118">
        <v>52101112</v>
      </c>
      <c r="H118" s="27">
        <v>30000</v>
      </c>
      <c r="I118" s="10">
        <v>0</v>
      </c>
      <c r="J118" s="10">
        <v>0</v>
      </c>
      <c r="K118" s="10">
        <v>0</v>
      </c>
      <c r="L118" s="10">
        <v>0</v>
      </c>
      <c r="M118" s="6"/>
      <c r="N118" s="10">
        <v>0</v>
      </c>
      <c r="O118" s="10">
        <v>0</v>
      </c>
      <c r="P118" s="10">
        <v>0</v>
      </c>
      <c r="Q118" s="6"/>
      <c r="R118" s="6"/>
      <c r="S118" s="6"/>
      <c r="T118" s="6"/>
      <c r="U118" s="6">
        <f t="shared" si="2"/>
        <v>0</v>
      </c>
    </row>
    <row r="119" spans="2:21" x14ac:dyDescent="0.35">
      <c r="B119" t="s">
        <v>6</v>
      </c>
      <c r="C119" t="s">
        <v>25</v>
      </c>
      <c r="D119" t="s">
        <v>24</v>
      </c>
      <c r="E119" s="2" t="s">
        <v>24</v>
      </c>
      <c r="F119">
        <v>81123102</v>
      </c>
      <c r="G119">
        <v>52101112</v>
      </c>
      <c r="H119" s="27">
        <v>15000</v>
      </c>
      <c r="I119" s="10">
        <v>0</v>
      </c>
      <c r="J119" s="10">
        <v>0</v>
      </c>
      <c r="K119" s="10">
        <v>0</v>
      </c>
      <c r="L119" s="10">
        <v>0</v>
      </c>
      <c r="M119" s="6"/>
      <c r="N119" s="10">
        <v>0</v>
      </c>
      <c r="O119" s="10">
        <v>0</v>
      </c>
      <c r="P119" s="10">
        <v>0</v>
      </c>
      <c r="Q119" s="6"/>
      <c r="R119" s="6"/>
      <c r="S119" s="6"/>
      <c r="T119" s="6"/>
      <c r="U119" s="6">
        <f t="shared" si="2"/>
        <v>0</v>
      </c>
    </row>
    <row r="120" spans="2:21" x14ac:dyDescent="0.35">
      <c r="B120" t="s">
        <v>6</v>
      </c>
      <c r="C120" t="s">
        <v>25</v>
      </c>
      <c r="D120" t="s">
        <v>24</v>
      </c>
      <c r="E120" s="2" t="s">
        <v>24</v>
      </c>
      <c r="F120">
        <v>81123102</v>
      </c>
      <c r="G120">
        <v>52101112</v>
      </c>
      <c r="H120" s="27">
        <v>30000</v>
      </c>
      <c r="I120" s="10">
        <v>0</v>
      </c>
      <c r="J120" s="10">
        <v>0</v>
      </c>
      <c r="K120" s="10">
        <v>0</v>
      </c>
      <c r="L120" s="10">
        <v>0</v>
      </c>
      <c r="M120" s="6"/>
      <c r="N120" s="10">
        <v>0</v>
      </c>
      <c r="O120" s="10">
        <v>0</v>
      </c>
      <c r="P120" s="10">
        <v>0</v>
      </c>
      <c r="Q120" s="6"/>
      <c r="R120" s="6"/>
      <c r="S120" s="6"/>
      <c r="T120" s="6"/>
      <c r="U120" s="6">
        <f t="shared" si="2"/>
        <v>0</v>
      </c>
    </row>
    <row r="121" spans="2:21" x14ac:dyDescent="0.35">
      <c r="B121" t="s">
        <v>6</v>
      </c>
      <c r="C121" t="s">
        <v>25</v>
      </c>
      <c r="D121" t="s">
        <v>24</v>
      </c>
      <c r="E121" s="2" t="s">
        <v>24</v>
      </c>
      <c r="F121">
        <v>81123102</v>
      </c>
      <c r="G121">
        <v>52101112</v>
      </c>
      <c r="H121" s="27">
        <v>30000</v>
      </c>
      <c r="I121" s="10">
        <v>0</v>
      </c>
      <c r="J121" s="10">
        <v>0</v>
      </c>
      <c r="K121" s="10">
        <v>0</v>
      </c>
      <c r="L121" s="10">
        <v>0</v>
      </c>
      <c r="M121" s="6"/>
      <c r="N121" s="10">
        <v>0</v>
      </c>
      <c r="O121" s="10">
        <v>0</v>
      </c>
      <c r="P121" s="10">
        <v>0</v>
      </c>
      <c r="Q121" s="6"/>
      <c r="R121" s="6"/>
      <c r="S121" s="6"/>
      <c r="T121" s="6"/>
      <c r="U121" s="6">
        <f t="shared" si="2"/>
        <v>0</v>
      </c>
    </row>
    <row r="122" spans="2:21" x14ac:dyDescent="0.35">
      <c r="B122" t="s">
        <v>6</v>
      </c>
      <c r="C122" t="s">
        <v>25</v>
      </c>
      <c r="D122" t="s">
        <v>24</v>
      </c>
      <c r="E122" s="2" t="s">
        <v>24</v>
      </c>
      <c r="F122">
        <v>80123102</v>
      </c>
      <c r="G122">
        <v>61101104</v>
      </c>
      <c r="H122" s="27">
        <v>30000</v>
      </c>
      <c r="I122" s="10">
        <v>0</v>
      </c>
      <c r="J122" s="10">
        <v>0</v>
      </c>
      <c r="K122" s="10">
        <v>0</v>
      </c>
      <c r="L122" s="10">
        <v>0</v>
      </c>
      <c r="M122" s="6"/>
      <c r="N122" s="10">
        <v>0</v>
      </c>
      <c r="O122" s="10">
        <v>0</v>
      </c>
      <c r="P122" s="10">
        <v>0</v>
      </c>
      <c r="Q122" s="6"/>
      <c r="R122" s="6"/>
      <c r="S122" s="6"/>
      <c r="T122" s="6"/>
      <c r="U122" s="6">
        <f t="shared" si="2"/>
        <v>0</v>
      </c>
    </row>
    <row r="123" spans="2:21" x14ac:dyDescent="0.35">
      <c r="B123" t="s">
        <v>6</v>
      </c>
      <c r="C123" t="s">
        <v>25</v>
      </c>
      <c r="D123" t="s">
        <v>24</v>
      </c>
      <c r="E123" s="2" t="s">
        <v>24</v>
      </c>
      <c r="F123">
        <v>80123102</v>
      </c>
      <c r="G123">
        <v>61101104</v>
      </c>
      <c r="H123" s="27">
        <v>15000</v>
      </c>
      <c r="I123" s="10">
        <v>0</v>
      </c>
      <c r="J123" s="10">
        <v>0</v>
      </c>
      <c r="K123" s="10">
        <v>0</v>
      </c>
      <c r="L123" s="10">
        <v>0</v>
      </c>
      <c r="M123" s="6"/>
      <c r="N123" s="10">
        <v>0</v>
      </c>
      <c r="O123" s="10">
        <v>0</v>
      </c>
      <c r="P123" s="10">
        <v>0</v>
      </c>
      <c r="Q123" s="6"/>
      <c r="R123" s="6"/>
      <c r="S123" s="6"/>
      <c r="T123" s="6"/>
      <c r="U123" s="6">
        <f t="shared" si="2"/>
        <v>0</v>
      </c>
    </row>
    <row r="124" spans="2:21" x14ac:dyDescent="0.35">
      <c r="B124" t="s">
        <v>6</v>
      </c>
      <c r="C124" t="s">
        <v>25</v>
      </c>
      <c r="D124" t="s">
        <v>24</v>
      </c>
      <c r="E124" s="2" t="s">
        <v>24</v>
      </c>
      <c r="F124">
        <v>81123102</v>
      </c>
      <c r="G124">
        <v>52101112</v>
      </c>
      <c r="H124" s="27">
        <v>30000</v>
      </c>
      <c r="I124" s="10">
        <v>0</v>
      </c>
      <c r="J124" s="10">
        <v>0</v>
      </c>
      <c r="K124" s="10">
        <v>0</v>
      </c>
      <c r="L124" s="10">
        <v>0</v>
      </c>
      <c r="M124" s="6"/>
      <c r="N124" s="10">
        <v>0</v>
      </c>
      <c r="O124" s="10">
        <v>0</v>
      </c>
      <c r="P124" s="10">
        <v>0</v>
      </c>
      <c r="Q124" s="6"/>
      <c r="R124" s="6"/>
      <c r="S124" s="6"/>
      <c r="T124" s="6"/>
      <c r="U124" s="6">
        <f t="shared" si="2"/>
        <v>0</v>
      </c>
    </row>
    <row r="125" spans="2:21" x14ac:dyDescent="0.35">
      <c r="B125" t="s">
        <v>6</v>
      </c>
      <c r="C125" t="s">
        <v>25</v>
      </c>
      <c r="D125" t="s">
        <v>24</v>
      </c>
      <c r="E125" s="2" t="s">
        <v>24</v>
      </c>
      <c r="F125">
        <v>81123102</v>
      </c>
      <c r="G125">
        <v>52101112</v>
      </c>
      <c r="H125" s="27">
        <v>30000</v>
      </c>
      <c r="I125" s="10">
        <v>0</v>
      </c>
      <c r="J125" s="10">
        <v>0</v>
      </c>
      <c r="K125" s="10">
        <v>0</v>
      </c>
      <c r="L125" s="10">
        <v>0</v>
      </c>
      <c r="M125" s="6"/>
      <c r="N125" s="10">
        <v>0</v>
      </c>
      <c r="O125" s="10">
        <v>0</v>
      </c>
      <c r="P125" s="10">
        <v>0</v>
      </c>
      <c r="Q125" s="6"/>
      <c r="R125" s="6"/>
      <c r="S125" s="6"/>
      <c r="T125" s="6"/>
      <c r="U125" s="6">
        <f t="shared" si="2"/>
        <v>0</v>
      </c>
    </row>
    <row r="126" spans="2:21" x14ac:dyDescent="0.35">
      <c r="B126" t="s">
        <v>6</v>
      </c>
      <c r="C126" t="s">
        <v>25</v>
      </c>
      <c r="D126" t="s">
        <v>24</v>
      </c>
      <c r="E126" s="2" t="s">
        <v>24</v>
      </c>
      <c r="F126">
        <v>81123102</v>
      </c>
      <c r="G126">
        <v>52101112</v>
      </c>
      <c r="H126" s="27">
        <v>30000</v>
      </c>
      <c r="I126" s="10">
        <v>0</v>
      </c>
      <c r="J126" s="10">
        <v>0</v>
      </c>
      <c r="K126" s="10">
        <v>0</v>
      </c>
      <c r="L126" s="10">
        <v>0</v>
      </c>
      <c r="M126" s="6"/>
      <c r="N126" s="10">
        <v>0</v>
      </c>
      <c r="O126" s="10">
        <v>0</v>
      </c>
      <c r="P126" s="10">
        <v>0</v>
      </c>
      <c r="Q126" s="6"/>
      <c r="R126" s="6"/>
      <c r="S126" s="6"/>
      <c r="T126" s="6"/>
      <c r="U126" s="6">
        <f t="shared" si="2"/>
        <v>0</v>
      </c>
    </row>
    <row r="127" spans="2:21" x14ac:dyDescent="0.35">
      <c r="B127" t="s">
        <v>6</v>
      </c>
      <c r="C127" t="s">
        <v>25</v>
      </c>
      <c r="D127" t="s">
        <v>24</v>
      </c>
      <c r="E127" s="2" t="s">
        <v>24</v>
      </c>
      <c r="F127">
        <v>81123102</v>
      </c>
      <c r="G127">
        <v>52101112</v>
      </c>
      <c r="H127" s="27">
        <v>15000</v>
      </c>
      <c r="I127" s="10">
        <v>0</v>
      </c>
      <c r="J127" s="10">
        <v>0</v>
      </c>
      <c r="K127" s="10">
        <v>0</v>
      </c>
      <c r="L127" s="10">
        <v>0</v>
      </c>
      <c r="M127" s="6"/>
      <c r="N127" s="10">
        <v>0</v>
      </c>
      <c r="O127" s="10">
        <v>0</v>
      </c>
      <c r="P127" s="10">
        <v>0</v>
      </c>
      <c r="Q127" s="6"/>
      <c r="R127" s="6"/>
      <c r="S127" s="6"/>
      <c r="T127" s="6"/>
      <c r="U127" s="6">
        <f t="shared" si="2"/>
        <v>0</v>
      </c>
    </row>
    <row r="128" spans="2:21" x14ac:dyDescent="0.35">
      <c r="B128" t="s">
        <v>6</v>
      </c>
      <c r="C128" t="s">
        <v>25</v>
      </c>
      <c r="D128" t="s">
        <v>24</v>
      </c>
      <c r="E128" s="2" t="s">
        <v>24</v>
      </c>
      <c r="F128">
        <v>81123102</v>
      </c>
      <c r="G128">
        <v>52101112</v>
      </c>
      <c r="H128" s="27">
        <v>30000</v>
      </c>
      <c r="I128" s="10">
        <v>0</v>
      </c>
      <c r="J128" s="10">
        <v>0</v>
      </c>
      <c r="K128" s="10">
        <v>0</v>
      </c>
      <c r="L128" s="10">
        <v>0</v>
      </c>
      <c r="M128" s="6"/>
      <c r="N128" s="10">
        <v>0</v>
      </c>
      <c r="O128" s="10">
        <v>0</v>
      </c>
      <c r="P128" s="10">
        <v>0</v>
      </c>
      <c r="Q128" s="6"/>
      <c r="R128" s="6"/>
      <c r="S128" s="6"/>
      <c r="T128" s="6"/>
      <c r="U128" s="6">
        <f t="shared" si="2"/>
        <v>0</v>
      </c>
    </row>
    <row r="129" spans="2:21" x14ac:dyDescent="0.35">
      <c r="B129" t="s">
        <v>6</v>
      </c>
      <c r="C129" t="s">
        <v>25</v>
      </c>
      <c r="D129" t="s">
        <v>24</v>
      </c>
      <c r="E129" s="2" t="s">
        <v>24</v>
      </c>
      <c r="F129">
        <v>81123102</v>
      </c>
      <c r="G129">
        <v>52101112</v>
      </c>
      <c r="H129" s="27">
        <v>30000</v>
      </c>
      <c r="I129" s="10">
        <v>0</v>
      </c>
      <c r="J129" s="10">
        <v>0</v>
      </c>
      <c r="K129" s="10">
        <v>0</v>
      </c>
      <c r="L129" s="10">
        <v>0</v>
      </c>
      <c r="M129" s="6"/>
      <c r="N129" s="10">
        <v>0</v>
      </c>
      <c r="O129" s="10">
        <v>0</v>
      </c>
      <c r="P129" s="10">
        <v>0</v>
      </c>
      <c r="Q129" s="6"/>
      <c r="R129" s="6"/>
      <c r="S129" s="6"/>
      <c r="T129" s="6"/>
      <c r="U129" s="6">
        <f t="shared" si="2"/>
        <v>0</v>
      </c>
    </row>
    <row r="130" spans="2:21" x14ac:dyDescent="0.35">
      <c r="B130" t="s">
        <v>6</v>
      </c>
      <c r="C130" t="s">
        <v>25</v>
      </c>
      <c r="D130" t="s">
        <v>24</v>
      </c>
      <c r="E130" s="2" t="s">
        <v>24</v>
      </c>
      <c r="F130">
        <v>81123102</v>
      </c>
      <c r="G130">
        <v>52101112</v>
      </c>
      <c r="H130" s="27">
        <v>30000</v>
      </c>
      <c r="I130" s="10">
        <v>0</v>
      </c>
      <c r="J130" s="10">
        <v>0</v>
      </c>
      <c r="K130" s="10">
        <v>0</v>
      </c>
      <c r="L130" s="10">
        <v>0</v>
      </c>
      <c r="M130" s="6"/>
      <c r="N130" s="10">
        <v>0</v>
      </c>
      <c r="O130" s="10">
        <v>0</v>
      </c>
      <c r="P130" s="10">
        <v>0</v>
      </c>
      <c r="Q130" s="6"/>
      <c r="R130" s="6"/>
      <c r="S130" s="6"/>
      <c r="T130" s="6"/>
      <c r="U130" s="6">
        <f t="shared" si="2"/>
        <v>0</v>
      </c>
    </row>
    <row r="131" spans="2:21" x14ac:dyDescent="0.35">
      <c r="B131" t="s">
        <v>6</v>
      </c>
      <c r="C131" t="s">
        <v>25</v>
      </c>
      <c r="D131" t="s">
        <v>24</v>
      </c>
      <c r="E131" s="2" t="s">
        <v>24</v>
      </c>
      <c r="F131">
        <v>81123102</v>
      </c>
      <c r="G131">
        <v>52101112</v>
      </c>
      <c r="H131" s="27">
        <v>30000</v>
      </c>
      <c r="I131" s="10">
        <v>0</v>
      </c>
      <c r="J131" s="10">
        <v>0</v>
      </c>
      <c r="K131" s="10">
        <v>0</v>
      </c>
      <c r="L131" s="10">
        <v>0</v>
      </c>
      <c r="M131" s="6"/>
      <c r="N131" s="10">
        <v>0</v>
      </c>
      <c r="O131" s="10">
        <v>0</v>
      </c>
      <c r="P131" s="10">
        <v>0</v>
      </c>
      <c r="Q131" s="6"/>
      <c r="R131" s="6"/>
      <c r="S131" s="6"/>
      <c r="T131" s="6"/>
      <c r="U131" s="6">
        <f t="shared" si="2"/>
        <v>0</v>
      </c>
    </row>
    <row r="132" spans="2:21" x14ac:dyDescent="0.35">
      <c r="B132" t="s">
        <v>6</v>
      </c>
      <c r="C132" t="s">
        <v>25</v>
      </c>
      <c r="D132" t="s">
        <v>24</v>
      </c>
      <c r="E132" s="2" t="s">
        <v>24</v>
      </c>
      <c r="F132">
        <v>81123102</v>
      </c>
      <c r="G132">
        <v>52101112</v>
      </c>
      <c r="H132" s="27">
        <v>30000</v>
      </c>
      <c r="I132" s="10">
        <v>0</v>
      </c>
      <c r="J132" s="10">
        <v>0</v>
      </c>
      <c r="K132" s="10">
        <v>0</v>
      </c>
      <c r="L132" s="10">
        <v>0</v>
      </c>
      <c r="M132" s="6"/>
      <c r="N132" s="10">
        <v>0</v>
      </c>
      <c r="O132" s="10">
        <v>0</v>
      </c>
      <c r="P132" s="10">
        <v>0</v>
      </c>
      <c r="Q132" s="6"/>
      <c r="R132" s="6"/>
      <c r="S132" s="6"/>
      <c r="T132" s="6"/>
      <c r="U132" s="6">
        <f t="shared" si="2"/>
        <v>0</v>
      </c>
    </row>
    <row r="133" spans="2:21" x14ac:dyDescent="0.35">
      <c r="B133" t="s">
        <v>6</v>
      </c>
      <c r="C133" t="s">
        <v>25</v>
      </c>
      <c r="D133" t="s">
        <v>24</v>
      </c>
      <c r="E133" s="2" t="s">
        <v>24</v>
      </c>
      <c r="F133">
        <v>81123102</v>
      </c>
      <c r="G133">
        <v>52101112</v>
      </c>
      <c r="H133" s="27">
        <v>15000</v>
      </c>
      <c r="I133" s="10">
        <v>0</v>
      </c>
      <c r="J133" s="10">
        <v>0</v>
      </c>
      <c r="K133" s="10">
        <v>0</v>
      </c>
      <c r="L133" s="10">
        <v>0</v>
      </c>
      <c r="M133" s="6"/>
      <c r="N133" s="10">
        <v>0</v>
      </c>
      <c r="O133" s="10">
        <v>0</v>
      </c>
      <c r="P133" s="10">
        <v>0</v>
      </c>
      <c r="Q133" s="6"/>
      <c r="R133" s="6"/>
      <c r="S133" s="6"/>
      <c r="T133" s="6"/>
      <c r="U133" s="6">
        <f t="shared" ref="U133:U196" si="3">SUM(I133:T133)</f>
        <v>0</v>
      </c>
    </row>
    <row r="134" spans="2:21" x14ac:dyDescent="0.35">
      <c r="B134" t="s">
        <v>6</v>
      </c>
      <c r="C134" t="s">
        <v>25</v>
      </c>
      <c r="D134" t="s">
        <v>24</v>
      </c>
      <c r="E134" s="2" t="s">
        <v>24</v>
      </c>
      <c r="F134">
        <v>81123102</v>
      </c>
      <c r="G134">
        <v>52101112</v>
      </c>
      <c r="H134" s="27">
        <v>30000</v>
      </c>
      <c r="I134" s="10">
        <v>0</v>
      </c>
      <c r="J134" s="10">
        <v>0</v>
      </c>
      <c r="K134" s="10">
        <v>0</v>
      </c>
      <c r="L134" s="10">
        <v>0</v>
      </c>
      <c r="M134" s="6"/>
      <c r="N134" s="10">
        <v>0</v>
      </c>
      <c r="O134" s="10">
        <v>0</v>
      </c>
      <c r="P134" s="10">
        <v>0</v>
      </c>
      <c r="Q134" s="6"/>
      <c r="R134" s="6"/>
      <c r="S134" s="6"/>
      <c r="T134" s="6"/>
      <c r="U134" s="6">
        <f t="shared" si="3"/>
        <v>0</v>
      </c>
    </row>
    <row r="135" spans="2:21" x14ac:dyDescent="0.35">
      <c r="B135" t="s">
        <v>6</v>
      </c>
      <c r="C135" t="s">
        <v>25</v>
      </c>
      <c r="D135" t="s">
        <v>24</v>
      </c>
      <c r="E135" s="2" t="s">
        <v>24</v>
      </c>
      <c r="F135">
        <v>81123102</v>
      </c>
      <c r="G135">
        <v>52101112</v>
      </c>
      <c r="H135" s="27">
        <v>15000</v>
      </c>
      <c r="I135" s="10">
        <v>0</v>
      </c>
      <c r="J135" s="10">
        <v>0</v>
      </c>
      <c r="K135" s="10">
        <v>0</v>
      </c>
      <c r="L135" s="10">
        <v>0</v>
      </c>
      <c r="M135" s="6"/>
      <c r="N135" s="10">
        <v>0</v>
      </c>
      <c r="O135" s="10">
        <v>0</v>
      </c>
      <c r="P135" s="10">
        <v>0</v>
      </c>
      <c r="Q135" s="6"/>
      <c r="R135" s="6"/>
      <c r="S135" s="6"/>
      <c r="T135" s="6"/>
      <c r="U135" s="6">
        <f t="shared" si="3"/>
        <v>0</v>
      </c>
    </row>
    <row r="136" spans="2:21" x14ac:dyDescent="0.35">
      <c r="B136" t="s">
        <v>6</v>
      </c>
      <c r="C136" t="s">
        <v>25</v>
      </c>
      <c r="D136" t="s">
        <v>24</v>
      </c>
      <c r="E136" s="2" t="s">
        <v>24</v>
      </c>
      <c r="F136">
        <v>81123102</v>
      </c>
      <c r="G136">
        <v>52101112</v>
      </c>
      <c r="H136" s="27">
        <v>30000</v>
      </c>
      <c r="I136" s="10">
        <v>0</v>
      </c>
      <c r="J136" s="10">
        <v>0</v>
      </c>
      <c r="K136" s="10">
        <v>0</v>
      </c>
      <c r="L136" s="10">
        <v>0</v>
      </c>
      <c r="M136" s="6"/>
      <c r="N136" s="10">
        <v>0</v>
      </c>
      <c r="O136" s="10">
        <v>0</v>
      </c>
      <c r="P136" s="10">
        <v>0</v>
      </c>
      <c r="Q136" s="6"/>
      <c r="R136" s="6"/>
      <c r="S136" s="6"/>
      <c r="T136" s="6"/>
      <c r="U136" s="6">
        <f t="shared" si="3"/>
        <v>0</v>
      </c>
    </row>
    <row r="137" spans="2:21" x14ac:dyDescent="0.35">
      <c r="B137" t="s">
        <v>6</v>
      </c>
      <c r="C137" t="s">
        <v>25</v>
      </c>
      <c r="D137" t="s">
        <v>24</v>
      </c>
      <c r="E137" s="2" t="s">
        <v>24</v>
      </c>
      <c r="F137">
        <v>81123102</v>
      </c>
      <c r="G137">
        <v>52101112</v>
      </c>
      <c r="H137" s="27">
        <v>15000</v>
      </c>
      <c r="I137" s="10">
        <v>0</v>
      </c>
      <c r="J137" s="10">
        <v>0</v>
      </c>
      <c r="K137" s="10">
        <v>0</v>
      </c>
      <c r="L137" s="10">
        <v>0</v>
      </c>
      <c r="M137" s="6"/>
      <c r="N137" s="10">
        <v>0</v>
      </c>
      <c r="O137" s="10">
        <v>0</v>
      </c>
      <c r="P137" s="10">
        <v>0</v>
      </c>
      <c r="Q137" s="6"/>
      <c r="R137" s="6"/>
      <c r="S137" s="6"/>
      <c r="T137" s="6"/>
      <c r="U137" s="6">
        <f t="shared" si="3"/>
        <v>0</v>
      </c>
    </row>
    <row r="138" spans="2:21" x14ac:dyDescent="0.35">
      <c r="B138" t="s">
        <v>6</v>
      </c>
      <c r="C138" t="s">
        <v>25</v>
      </c>
      <c r="D138" t="s">
        <v>24</v>
      </c>
      <c r="E138" s="2" t="s">
        <v>24</v>
      </c>
      <c r="F138">
        <v>81123102</v>
      </c>
      <c r="G138">
        <v>52101112</v>
      </c>
      <c r="H138" s="27">
        <v>30000</v>
      </c>
      <c r="I138" s="10">
        <v>0</v>
      </c>
      <c r="J138" s="10">
        <v>0</v>
      </c>
      <c r="K138" s="10">
        <v>0</v>
      </c>
      <c r="L138" s="10">
        <v>0</v>
      </c>
      <c r="M138" s="6"/>
      <c r="N138" s="10">
        <v>0</v>
      </c>
      <c r="O138" s="10">
        <v>0</v>
      </c>
      <c r="P138" s="10">
        <v>0</v>
      </c>
      <c r="Q138" s="6"/>
      <c r="R138" s="6"/>
      <c r="S138" s="6"/>
      <c r="T138" s="6"/>
      <c r="U138" s="6">
        <f t="shared" si="3"/>
        <v>0</v>
      </c>
    </row>
    <row r="139" spans="2:21" x14ac:dyDescent="0.35">
      <c r="B139" t="s">
        <v>6</v>
      </c>
      <c r="C139" t="s">
        <v>25</v>
      </c>
      <c r="D139" t="s">
        <v>24</v>
      </c>
      <c r="E139" s="2" t="s">
        <v>24</v>
      </c>
      <c r="F139">
        <v>81123102</v>
      </c>
      <c r="G139">
        <v>52101112</v>
      </c>
      <c r="H139" s="27">
        <v>15000</v>
      </c>
      <c r="I139" s="10">
        <v>0</v>
      </c>
      <c r="J139" s="10">
        <v>0</v>
      </c>
      <c r="K139" s="10">
        <v>0</v>
      </c>
      <c r="L139" s="10">
        <v>0</v>
      </c>
      <c r="M139" s="6"/>
      <c r="N139" s="10">
        <v>0</v>
      </c>
      <c r="O139" s="10">
        <v>0</v>
      </c>
      <c r="P139" s="10">
        <v>0</v>
      </c>
      <c r="Q139" s="6"/>
      <c r="R139" s="6"/>
      <c r="S139" s="6"/>
      <c r="T139" s="6"/>
      <c r="U139" s="6">
        <f t="shared" si="3"/>
        <v>0</v>
      </c>
    </row>
    <row r="140" spans="2:21" x14ac:dyDescent="0.35">
      <c r="B140" t="s">
        <v>6</v>
      </c>
      <c r="C140" t="s">
        <v>25</v>
      </c>
      <c r="D140" t="s">
        <v>24</v>
      </c>
      <c r="E140" s="2" t="s">
        <v>24</v>
      </c>
      <c r="F140">
        <v>81123102</v>
      </c>
      <c r="G140">
        <v>52101112</v>
      </c>
      <c r="H140" s="27">
        <v>15000</v>
      </c>
      <c r="I140" s="10">
        <v>0</v>
      </c>
      <c r="J140" s="10">
        <v>0</v>
      </c>
      <c r="K140" s="10">
        <v>0</v>
      </c>
      <c r="L140" s="10">
        <v>0</v>
      </c>
      <c r="M140" s="6"/>
      <c r="N140" s="10">
        <v>0</v>
      </c>
      <c r="O140" s="10">
        <v>0</v>
      </c>
      <c r="P140" s="10">
        <v>0</v>
      </c>
      <c r="Q140" s="6"/>
      <c r="R140" s="6"/>
      <c r="S140" s="6"/>
      <c r="T140" s="6"/>
      <c r="U140" s="6">
        <f t="shared" si="3"/>
        <v>0</v>
      </c>
    </row>
    <row r="141" spans="2:21" x14ac:dyDescent="0.35">
      <c r="B141" t="s">
        <v>6</v>
      </c>
      <c r="C141" t="s">
        <v>25</v>
      </c>
      <c r="D141" t="s">
        <v>24</v>
      </c>
      <c r="E141" s="2" t="s">
        <v>24</v>
      </c>
      <c r="F141">
        <v>81123102</v>
      </c>
      <c r="G141">
        <v>52101112</v>
      </c>
      <c r="H141" s="27">
        <v>30000</v>
      </c>
      <c r="I141" s="10">
        <v>0</v>
      </c>
      <c r="J141" s="10">
        <v>0</v>
      </c>
      <c r="K141" s="10">
        <v>0</v>
      </c>
      <c r="L141" s="10">
        <v>0</v>
      </c>
      <c r="M141" s="6"/>
      <c r="N141" s="10">
        <v>0</v>
      </c>
      <c r="O141" s="10">
        <v>0</v>
      </c>
      <c r="P141" s="10">
        <v>0</v>
      </c>
      <c r="Q141" s="6"/>
      <c r="R141" s="6"/>
      <c r="S141" s="6"/>
      <c r="T141" s="6"/>
      <c r="U141" s="6">
        <f t="shared" si="3"/>
        <v>0</v>
      </c>
    </row>
    <row r="142" spans="2:21" x14ac:dyDescent="0.35">
      <c r="B142" t="s">
        <v>6</v>
      </c>
      <c r="C142" t="s">
        <v>25</v>
      </c>
      <c r="D142" t="s">
        <v>24</v>
      </c>
      <c r="E142" s="2" t="s">
        <v>24</v>
      </c>
      <c r="F142">
        <v>81123102</v>
      </c>
      <c r="G142">
        <v>52101112</v>
      </c>
      <c r="H142" s="27">
        <v>15000</v>
      </c>
      <c r="I142" s="10">
        <v>0</v>
      </c>
      <c r="J142" s="10">
        <v>0</v>
      </c>
      <c r="K142" s="10">
        <v>0</v>
      </c>
      <c r="L142" s="10">
        <v>0</v>
      </c>
      <c r="M142" s="6"/>
      <c r="N142" s="10">
        <v>0</v>
      </c>
      <c r="O142" s="10">
        <v>0</v>
      </c>
      <c r="P142" s="10">
        <v>0</v>
      </c>
      <c r="Q142" s="6"/>
      <c r="R142" s="6"/>
      <c r="S142" s="6"/>
      <c r="T142" s="6"/>
      <c r="U142" s="6">
        <f t="shared" si="3"/>
        <v>0</v>
      </c>
    </row>
    <row r="143" spans="2:21" x14ac:dyDescent="0.35">
      <c r="B143" t="s">
        <v>6</v>
      </c>
      <c r="C143" t="s">
        <v>25</v>
      </c>
      <c r="D143" t="s">
        <v>24</v>
      </c>
      <c r="E143" s="2" t="s">
        <v>24</v>
      </c>
      <c r="F143">
        <v>81123102</v>
      </c>
      <c r="G143">
        <v>52101112</v>
      </c>
      <c r="H143" s="27">
        <v>15000</v>
      </c>
      <c r="I143" s="10">
        <v>0</v>
      </c>
      <c r="J143" s="10">
        <v>0</v>
      </c>
      <c r="K143" s="10">
        <v>0</v>
      </c>
      <c r="L143" s="10">
        <v>0</v>
      </c>
      <c r="M143" s="6"/>
      <c r="N143" s="10">
        <v>0</v>
      </c>
      <c r="O143" s="10">
        <v>0</v>
      </c>
      <c r="P143" s="10">
        <v>0</v>
      </c>
      <c r="Q143" s="6"/>
      <c r="R143" s="6"/>
      <c r="S143" s="6"/>
      <c r="T143" s="6"/>
      <c r="U143" s="6">
        <f t="shared" si="3"/>
        <v>0</v>
      </c>
    </row>
    <row r="144" spans="2:21" x14ac:dyDescent="0.35">
      <c r="B144" t="s">
        <v>6</v>
      </c>
      <c r="C144" t="s">
        <v>25</v>
      </c>
      <c r="D144" t="s">
        <v>24</v>
      </c>
      <c r="E144" s="2" t="s">
        <v>24</v>
      </c>
      <c r="F144">
        <v>81123102</v>
      </c>
      <c r="G144">
        <v>52101112</v>
      </c>
      <c r="H144" s="27">
        <v>30000</v>
      </c>
      <c r="I144" s="10">
        <v>0</v>
      </c>
      <c r="J144" s="10">
        <v>0</v>
      </c>
      <c r="K144" s="10">
        <v>0</v>
      </c>
      <c r="L144" s="10">
        <v>0</v>
      </c>
      <c r="M144" s="6"/>
      <c r="N144" s="10">
        <v>0</v>
      </c>
      <c r="O144" s="10">
        <v>0</v>
      </c>
      <c r="P144" s="10">
        <v>0</v>
      </c>
      <c r="Q144" s="6"/>
      <c r="R144" s="6"/>
      <c r="S144" s="6"/>
      <c r="T144" s="6"/>
      <c r="U144" s="6">
        <f t="shared" si="3"/>
        <v>0</v>
      </c>
    </row>
    <row r="145" spans="2:21" x14ac:dyDescent="0.35">
      <c r="B145" t="s">
        <v>6</v>
      </c>
      <c r="C145" t="s">
        <v>25</v>
      </c>
      <c r="D145" t="s">
        <v>24</v>
      </c>
      <c r="E145" s="2" t="s">
        <v>24</v>
      </c>
      <c r="F145">
        <v>81123102</v>
      </c>
      <c r="G145">
        <v>52101112</v>
      </c>
      <c r="H145" s="27">
        <v>30000</v>
      </c>
      <c r="I145" s="10">
        <v>0</v>
      </c>
      <c r="J145" s="10">
        <v>0</v>
      </c>
      <c r="K145" s="10">
        <v>0</v>
      </c>
      <c r="L145" s="10">
        <v>0</v>
      </c>
      <c r="M145" s="6"/>
      <c r="N145" s="10">
        <v>0</v>
      </c>
      <c r="O145" s="10">
        <v>0</v>
      </c>
      <c r="P145" s="10">
        <v>0</v>
      </c>
      <c r="Q145" s="6"/>
      <c r="R145" s="6"/>
      <c r="S145" s="6"/>
      <c r="T145" s="6"/>
      <c r="U145" s="6">
        <f t="shared" si="3"/>
        <v>0</v>
      </c>
    </row>
    <row r="146" spans="2:21" x14ac:dyDescent="0.35">
      <c r="B146" t="s">
        <v>6</v>
      </c>
      <c r="C146" t="s">
        <v>25</v>
      </c>
      <c r="D146" t="s">
        <v>24</v>
      </c>
      <c r="E146" s="2" t="s">
        <v>24</v>
      </c>
      <c r="F146">
        <v>81123102</v>
      </c>
      <c r="G146">
        <v>52101112</v>
      </c>
      <c r="H146" s="27">
        <v>30000</v>
      </c>
      <c r="I146" s="10">
        <v>0</v>
      </c>
      <c r="J146" s="10">
        <v>0</v>
      </c>
      <c r="K146" s="10">
        <v>0</v>
      </c>
      <c r="L146" s="10">
        <v>0</v>
      </c>
      <c r="M146" s="6"/>
      <c r="N146" s="10">
        <v>0</v>
      </c>
      <c r="O146" s="10">
        <v>0</v>
      </c>
      <c r="P146" s="10">
        <v>0</v>
      </c>
      <c r="Q146" s="6"/>
      <c r="R146" s="6"/>
      <c r="S146" s="6"/>
      <c r="T146" s="6"/>
      <c r="U146" s="6">
        <f t="shared" si="3"/>
        <v>0</v>
      </c>
    </row>
    <row r="147" spans="2:21" x14ac:dyDescent="0.35">
      <c r="B147" t="s">
        <v>6</v>
      </c>
      <c r="C147" t="s">
        <v>25</v>
      </c>
      <c r="D147" t="s">
        <v>24</v>
      </c>
      <c r="E147" s="2" t="s">
        <v>24</v>
      </c>
      <c r="F147">
        <v>80123102</v>
      </c>
      <c r="G147">
        <v>61101104</v>
      </c>
      <c r="H147" s="27">
        <v>15000</v>
      </c>
      <c r="I147" s="10">
        <v>0</v>
      </c>
      <c r="J147" s="10">
        <v>0</v>
      </c>
      <c r="K147" s="10">
        <v>0</v>
      </c>
      <c r="L147" s="10">
        <v>0</v>
      </c>
      <c r="M147" s="6"/>
      <c r="N147" s="10">
        <v>0</v>
      </c>
      <c r="O147" s="10">
        <v>0</v>
      </c>
      <c r="P147" s="10">
        <v>0</v>
      </c>
      <c r="Q147" s="6"/>
      <c r="R147" s="6"/>
      <c r="S147" s="6"/>
      <c r="T147" s="6"/>
      <c r="U147" s="6">
        <f t="shared" si="3"/>
        <v>0</v>
      </c>
    </row>
    <row r="148" spans="2:21" x14ac:dyDescent="0.35">
      <c r="B148" t="s">
        <v>6</v>
      </c>
      <c r="C148" t="s">
        <v>25</v>
      </c>
      <c r="D148" t="s">
        <v>24</v>
      </c>
      <c r="E148" s="2" t="s">
        <v>24</v>
      </c>
      <c r="F148">
        <v>80123102</v>
      </c>
      <c r="G148">
        <v>61101104</v>
      </c>
      <c r="H148" s="27">
        <v>15000</v>
      </c>
      <c r="I148" s="10">
        <v>0</v>
      </c>
      <c r="J148" s="10">
        <v>0</v>
      </c>
      <c r="K148" s="10">
        <v>0</v>
      </c>
      <c r="L148" s="10">
        <v>0</v>
      </c>
      <c r="M148" s="6"/>
      <c r="N148" s="10">
        <v>0</v>
      </c>
      <c r="O148" s="10">
        <v>0</v>
      </c>
      <c r="P148" s="10">
        <v>0</v>
      </c>
      <c r="Q148" s="6"/>
      <c r="R148" s="6"/>
      <c r="S148" s="6"/>
      <c r="T148" s="6"/>
      <c r="U148" s="6">
        <f t="shared" si="3"/>
        <v>0</v>
      </c>
    </row>
    <row r="149" spans="2:21" x14ac:dyDescent="0.35">
      <c r="B149" t="s">
        <v>6</v>
      </c>
      <c r="C149" t="s">
        <v>25</v>
      </c>
      <c r="D149" t="s">
        <v>24</v>
      </c>
      <c r="E149" s="2" t="s">
        <v>24</v>
      </c>
      <c r="F149">
        <v>81123102</v>
      </c>
      <c r="G149">
        <v>52101112</v>
      </c>
      <c r="H149" s="27">
        <v>30000</v>
      </c>
      <c r="I149" s="10">
        <v>0</v>
      </c>
      <c r="J149" s="10">
        <v>0</v>
      </c>
      <c r="K149" s="10">
        <v>0</v>
      </c>
      <c r="L149" s="10">
        <v>0</v>
      </c>
      <c r="M149" s="6"/>
      <c r="N149" s="10">
        <v>0</v>
      </c>
      <c r="O149" s="10">
        <v>0</v>
      </c>
      <c r="P149" s="10">
        <v>0</v>
      </c>
      <c r="Q149" s="6"/>
      <c r="R149" s="6"/>
      <c r="S149" s="6"/>
      <c r="T149" s="6"/>
      <c r="U149" s="6">
        <f t="shared" si="3"/>
        <v>0</v>
      </c>
    </row>
    <row r="150" spans="2:21" x14ac:dyDescent="0.35">
      <c r="B150" t="s">
        <v>6</v>
      </c>
      <c r="C150" t="s">
        <v>25</v>
      </c>
      <c r="D150" t="s">
        <v>24</v>
      </c>
      <c r="E150" s="2" t="s">
        <v>24</v>
      </c>
      <c r="F150">
        <v>81123102</v>
      </c>
      <c r="G150">
        <v>52101112</v>
      </c>
      <c r="H150" s="27">
        <v>15000</v>
      </c>
      <c r="I150" s="10">
        <v>0</v>
      </c>
      <c r="J150" s="10">
        <v>0</v>
      </c>
      <c r="K150" s="10">
        <v>0</v>
      </c>
      <c r="L150" s="10">
        <v>0</v>
      </c>
      <c r="M150" s="6"/>
      <c r="N150" s="10">
        <v>0</v>
      </c>
      <c r="O150" s="10">
        <v>0</v>
      </c>
      <c r="P150" s="10">
        <v>0</v>
      </c>
      <c r="Q150" s="6"/>
      <c r="R150" s="6"/>
      <c r="S150" s="6"/>
      <c r="T150" s="6"/>
      <c r="U150" s="6">
        <f t="shared" si="3"/>
        <v>0</v>
      </c>
    </row>
    <row r="151" spans="2:21" x14ac:dyDescent="0.35">
      <c r="B151" t="s">
        <v>6</v>
      </c>
      <c r="C151" t="s">
        <v>25</v>
      </c>
      <c r="D151" t="s">
        <v>24</v>
      </c>
      <c r="E151" s="2" t="s">
        <v>24</v>
      </c>
      <c r="F151">
        <v>81123102</v>
      </c>
      <c r="G151">
        <v>52101112</v>
      </c>
      <c r="H151" s="27">
        <v>15000</v>
      </c>
      <c r="I151" s="10">
        <v>0</v>
      </c>
      <c r="J151" s="10">
        <v>0</v>
      </c>
      <c r="K151" s="10">
        <v>0</v>
      </c>
      <c r="L151" s="10">
        <v>0</v>
      </c>
      <c r="M151" s="6"/>
      <c r="N151" s="10">
        <v>0</v>
      </c>
      <c r="O151" s="10">
        <v>0</v>
      </c>
      <c r="P151" s="10">
        <v>0</v>
      </c>
      <c r="Q151" s="6"/>
      <c r="R151" s="6"/>
      <c r="S151" s="6"/>
      <c r="T151" s="6"/>
      <c r="U151" s="6">
        <f t="shared" si="3"/>
        <v>0</v>
      </c>
    </row>
    <row r="152" spans="2:21" x14ac:dyDescent="0.35">
      <c r="B152" t="s">
        <v>6</v>
      </c>
      <c r="C152" t="s">
        <v>25</v>
      </c>
      <c r="D152" t="s">
        <v>24</v>
      </c>
      <c r="E152" s="2" t="s">
        <v>24</v>
      </c>
      <c r="F152">
        <v>81123102</v>
      </c>
      <c r="G152">
        <v>52101112</v>
      </c>
      <c r="H152" s="27">
        <v>30000</v>
      </c>
      <c r="I152" s="10">
        <v>0</v>
      </c>
      <c r="J152" s="10">
        <v>0</v>
      </c>
      <c r="K152" s="10">
        <v>0</v>
      </c>
      <c r="L152" s="10">
        <v>0</v>
      </c>
      <c r="M152" s="6"/>
      <c r="N152" s="10">
        <v>0</v>
      </c>
      <c r="O152" s="10">
        <v>0</v>
      </c>
      <c r="P152" s="10">
        <v>0</v>
      </c>
      <c r="Q152" s="6"/>
      <c r="R152" s="6"/>
      <c r="S152" s="6"/>
      <c r="T152" s="6"/>
      <c r="U152" s="6">
        <f t="shared" si="3"/>
        <v>0</v>
      </c>
    </row>
    <row r="153" spans="2:21" x14ac:dyDescent="0.35">
      <c r="B153" t="s">
        <v>6</v>
      </c>
      <c r="C153" t="s">
        <v>25</v>
      </c>
      <c r="D153" t="s">
        <v>24</v>
      </c>
      <c r="E153" s="2" t="s">
        <v>24</v>
      </c>
      <c r="F153">
        <v>81123102</v>
      </c>
      <c r="G153">
        <v>52101112</v>
      </c>
      <c r="H153" s="27">
        <v>30000</v>
      </c>
      <c r="I153" s="10">
        <v>0</v>
      </c>
      <c r="J153" s="10">
        <v>0</v>
      </c>
      <c r="K153" s="10">
        <v>0</v>
      </c>
      <c r="L153" s="10">
        <v>0</v>
      </c>
      <c r="M153" s="6"/>
      <c r="N153" s="10">
        <v>0</v>
      </c>
      <c r="O153" s="10">
        <v>0</v>
      </c>
      <c r="P153" s="10">
        <v>0</v>
      </c>
      <c r="Q153" s="6"/>
      <c r="R153" s="6"/>
      <c r="S153" s="6"/>
      <c r="T153" s="6"/>
      <c r="U153" s="6">
        <f t="shared" si="3"/>
        <v>0</v>
      </c>
    </row>
    <row r="154" spans="2:21" x14ac:dyDescent="0.35">
      <c r="B154" t="s">
        <v>6</v>
      </c>
      <c r="C154" t="s">
        <v>25</v>
      </c>
      <c r="D154" t="s">
        <v>24</v>
      </c>
      <c r="E154" s="2" t="s">
        <v>24</v>
      </c>
      <c r="F154">
        <v>81123102</v>
      </c>
      <c r="G154">
        <v>52101112</v>
      </c>
      <c r="H154" s="27">
        <v>15000</v>
      </c>
      <c r="I154" s="10">
        <v>0</v>
      </c>
      <c r="J154" s="10">
        <v>0</v>
      </c>
      <c r="K154" s="10">
        <v>0</v>
      </c>
      <c r="L154" s="10">
        <v>0</v>
      </c>
      <c r="M154" s="6"/>
      <c r="N154" s="10">
        <v>0</v>
      </c>
      <c r="O154" s="10">
        <v>0</v>
      </c>
      <c r="P154" s="10">
        <v>0</v>
      </c>
      <c r="Q154" s="6"/>
      <c r="R154" s="6"/>
      <c r="S154" s="6"/>
      <c r="T154" s="6"/>
      <c r="U154" s="6">
        <f t="shared" si="3"/>
        <v>0</v>
      </c>
    </row>
    <row r="155" spans="2:21" x14ac:dyDescent="0.35">
      <c r="B155" t="s">
        <v>6</v>
      </c>
      <c r="C155" t="s">
        <v>25</v>
      </c>
      <c r="D155" t="s">
        <v>24</v>
      </c>
      <c r="E155" s="2" t="s">
        <v>24</v>
      </c>
      <c r="F155">
        <v>81123102</v>
      </c>
      <c r="G155">
        <v>52101112</v>
      </c>
      <c r="H155" s="27">
        <v>15000</v>
      </c>
      <c r="I155" s="10">
        <v>0</v>
      </c>
      <c r="J155" s="10">
        <v>0</v>
      </c>
      <c r="K155" s="10">
        <v>0</v>
      </c>
      <c r="L155" s="10">
        <v>0</v>
      </c>
      <c r="M155" s="6"/>
      <c r="N155" s="10">
        <v>0</v>
      </c>
      <c r="O155" s="10">
        <v>0</v>
      </c>
      <c r="P155" s="10">
        <v>0</v>
      </c>
      <c r="Q155" s="6"/>
      <c r="R155" s="6"/>
      <c r="S155" s="6"/>
      <c r="T155" s="6"/>
      <c r="U155" s="6">
        <f t="shared" si="3"/>
        <v>0</v>
      </c>
    </row>
    <row r="156" spans="2:21" x14ac:dyDescent="0.35">
      <c r="B156" t="s">
        <v>6</v>
      </c>
      <c r="C156" t="s">
        <v>25</v>
      </c>
      <c r="D156" t="s">
        <v>24</v>
      </c>
      <c r="E156" s="2" t="s">
        <v>24</v>
      </c>
      <c r="F156">
        <v>81123102</v>
      </c>
      <c r="G156">
        <v>52101112</v>
      </c>
      <c r="H156" s="27">
        <v>30000</v>
      </c>
      <c r="I156" s="10">
        <v>0</v>
      </c>
      <c r="J156" s="10">
        <v>0</v>
      </c>
      <c r="K156" s="10">
        <v>0</v>
      </c>
      <c r="L156" s="10">
        <v>0</v>
      </c>
      <c r="M156" s="6"/>
      <c r="N156" s="10">
        <v>0</v>
      </c>
      <c r="O156" s="10">
        <v>0</v>
      </c>
      <c r="P156" s="10">
        <v>0</v>
      </c>
      <c r="Q156" s="6"/>
      <c r="R156" s="6"/>
      <c r="S156" s="6"/>
      <c r="T156" s="6"/>
      <c r="U156" s="6">
        <f t="shared" si="3"/>
        <v>0</v>
      </c>
    </row>
    <row r="157" spans="2:21" x14ac:dyDescent="0.35">
      <c r="B157" t="s">
        <v>6</v>
      </c>
      <c r="C157" t="s">
        <v>25</v>
      </c>
      <c r="D157" t="s">
        <v>24</v>
      </c>
      <c r="E157" s="2" t="s">
        <v>24</v>
      </c>
      <c r="F157">
        <v>81123102</v>
      </c>
      <c r="G157">
        <v>52101112</v>
      </c>
      <c r="H157" s="27">
        <v>15000</v>
      </c>
      <c r="I157" s="10">
        <v>0</v>
      </c>
      <c r="J157" s="10">
        <v>0</v>
      </c>
      <c r="K157" s="10">
        <v>0</v>
      </c>
      <c r="L157" s="10">
        <v>0</v>
      </c>
      <c r="M157" s="6"/>
      <c r="N157" s="10">
        <v>0</v>
      </c>
      <c r="O157" s="10">
        <v>0</v>
      </c>
      <c r="P157" s="10">
        <v>0</v>
      </c>
      <c r="Q157" s="6"/>
      <c r="R157" s="6"/>
      <c r="S157" s="6"/>
      <c r="T157" s="6"/>
      <c r="U157" s="6">
        <f t="shared" si="3"/>
        <v>0</v>
      </c>
    </row>
    <row r="158" spans="2:21" x14ac:dyDescent="0.35">
      <c r="B158" t="s">
        <v>6</v>
      </c>
      <c r="C158" t="s">
        <v>25</v>
      </c>
      <c r="D158" t="s">
        <v>24</v>
      </c>
      <c r="E158" s="2" t="s">
        <v>24</v>
      </c>
      <c r="F158">
        <v>81123102</v>
      </c>
      <c r="G158">
        <v>52101112</v>
      </c>
      <c r="H158" s="27">
        <v>30000</v>
      </c>
      <c r="I158" s="10">
        <v>0</v>
      </c>
      <c r="J158" s="10">
        <v>0</v>
      </c>
      <c r="K158" s="10">
        <v>0</v>
      </c>
      <c r="L158" s="10">
        <v>0</v>
      </c>
      <c r="M158" s="6"/>
      <c r="N158" s="10">
        <v>0</v>
      </c>
      <c r="O158" s="10">
        <v>0</v>
      </c>
      <c r="P158" s="10">
        <v>0</v>
      </c>
      <c r="Q158" s="6"/>
      <c r="R158" s="6"/>
      <c r="S158" s="6"/>
      <c r="T158" s="6"/>
      <c r="U158" s="6">
        <f t="shared" si="3"/>
        <v>0</v>
      </c>
    </row>
    <row r="159" spans="2:21" x14ac:dyDescent="0.35">
      <c r="B159" t="s">
        <v>6</v>
      </c>
      <c r="C159" t="s">
        <v>25</v>
      </c>
      <c r="D159" t="s">
        <v>24</v>
      </c>
      <c r="E159" s="2" t="s">
        <v>24</v>
      </c>
      <c r="F159">
        <v>81123102</v>
      </c>
      <c r="G159">
        <v>52101112</v>
      </c>
      <c r="H159" s="27">
        <v>15000</v>
      </c>
      <c r="I159" s="10">
        <v>0</v>
      </c>
      <c r="J159" s="10">
        <v>0</v>
      </c>
      <c r="K159" s="10">
        <v>0</v>
      </c>
      <c r="L159" s="10">
        <v>0</v>
      </c>
      <c r="M159" s="6"/>
      <c r="N159" s="10">
        <v>0</v>
      </c>
      <c r="O159" s="10">
        <v>0</v>
      </c>
      <c r="P159" s="10">
        <v>0</v>
      </c>
      <c r="Q159" s="6"/>
      <c r="R159" s="6"/>
      <c r="S159" s="6"/>
      <c r="T159" s="6"/>
      <c r="U159" s="6">
        <f t="shared" si="3"/>
        <v>0</v>
      </c>
    </row>
    <row r="160" spans="2:21" x14ac:dyDescent="0.35">
      <c r="B160" t="s">
        <v>6</v>
      </c>
      <c r="C160" t="s">
        <v>25</v>
      </c>
      <c r="D160" t="s">
        <v>24</v>
      </c>
      <c r="E160" s="2" t="s">
        <v>24</v>
      </c>
      <c r="F160">
        <v>81123102</v>
      </c>
      <c r="G160">
        <v>52101112</v>
      </c>
      <c r="H160" s="27">
        <v>15000</v>
      </c>
      <c r="I160" s="10">
        <v>0</v>
      </c>
      <c r="J160" s="10">
        <v>0</v>
      </c>
      <c r="K160" s="10">
        <v>0</v>
      </c>
      <c r="L160" s="10">
        <v>0</v>
      </c>
      <c r="M160" s="6"/>
      <c r="N160" s="10">
        <v>0</v>
      </c>
      <c r="O160" s="10">
        <v>0</v>
      </c>
      <c r="P160" s="10">
        <v>0</v>
      </c>
      <c r="Q160" s="6"/>
      <c r="R160" s="6"/>
      <c r="S160" s="6"/>
      <c r="T160" s="6"/>
      <c r="U160" s="6">
        <f t="shared" si="3"/>
        <v>0</v>
      </c>
    </row>
    <row r="161" spans="2:21" x14ac:dyDescent="0.35">
      <c r="B161" t="s">
        <v>6</v>
      </c>
      <c r="C161" t="s">
        <v>25</v>
      </c>
      <c r="D161" t="s">
        <v>24</v>
      </c>
      <c r="E161" s="2" t="s">
        <v>24</v>
      </c>
      <c r="F161">
        <v>81123102</v>
      </c>
      <c r="G161">
        <v>52101112</v>
      </c>
      <c r="H161" s="27">
        <v>15000</v>
      </c>
      <c r="I161" s="10">
        <v>0</v>
      </c>
      <c r="J161" s="10">
        <v>0</v>
      </c>
      <c r="K161" s="10">
        <v>0</v>
      </c>
      <c r="L161" s="10">
        <v>0</v>
      </c>
      <c r="M161" s="6"/>
      <c r="N161" s="10">
        <v>0</v>
      </c>
      <c r="O161" s="10">
        <v>0</v>
      </c>
      <c r="P161" s="10">
        <v>0</v>
      </c>
      <c r="Q161" s="6"/>
      <c r="R161" s="6"/>
      <c r="S161" s="6"/>
      <c r="T161" s="6"/>
      <c r="U161" s="6">
        <f t="shared" si="3"/>
        <v>0</v>
      </c>
    </row>
    <row r="162" spans="2:21" x14ac:dyDescent="0.35">
      <c r="B162" t="s">
        <v>6</v>
      </c>
      <c r="C162" t="s">
        <v>25</v>
      </c>
      <c r="D162" t="s">
        <v>24</v>
      </c>
      <c r="E162" s="2" t="s">
        <v>24</v>
      </c>
      <c r="F162">
        <v>81123102</v>
      </c>
      <c r="G162">
        <v>52101112</v>
      </c>
      <c r="H162" s="27">
        <v>15000</v>
      </c>
      <c r="I162" s="10">
        <v>0</v>
      </c>
      <c r="J162" s="10">
        <v>0</v>
      </c>
      <c r="K162" s="10">
        <v>0</v>
      </c>
      <c r="L162" s="10">
        <v>0</v>
      </c>
      <c r="M162" s="6"/>
      <c r="N162" s="10">
        <v>0</v>
      </c>
      <c r="O162" s="10">
        <v>0</v>
      </c>
      <c r="P162" s="10">
        <v>0</v>
      </c>
      <c r="Q162" s="6"/>
      <c r="R162" s="6"/>
      <c r="S162" s="6"/>
      <c r="T162" s="6"/>
      <c r="U162" s="6">
        <f t="shared" si="3"/>
        <v>0</v>
      </c>
    </row>
    <row r="163" spans="2:21" x14ac:dyDescent="0.35">
      <c r="B163" t="s">
        <v>6</v>
      </c>
      <c r="C163" t="s">
        <v>25</v>
      </c>
      <c r="D163" t="s">
        <v>24</v>
      </c>
      <c r="E163" s="2" t="s">
        <v>24</v>
      </c>
      <c r="F163">
        <v>80123102</v>
      </c>
      <c r="G163">
        <v>61101104</v>
      </c>
      <c r="H163" s="27">
        <v>15000</v>
      </c>
      <c r="I163" s="10">
        <v>0</v>
      </c>
      <c r="J163" s="10">
        <v>0</v>
      </c>
      <c r="K163" s="10">
        <v>0</v>
      </c>
      <c r="L163" s="10">
        <v>0</v>
      </c>
      <c r="M163" s="6"/>
      <c r="N163" s="10">
        <v>0</v>
      </c>
      <c r="O163" s="10">
        <v>0</v>
      </c>
      <c r="P163" s="10">
        <v>0</v>
      </c>
      <c r="Q163" s="6"/>
      <c r="R163" s="6"/>
      <c r="S163" s="6"/>
      <c r="T163" s="6"/>
      <c r="U163" s="6">
        <f t="shared" si="3"/>
        <v>0</v>
      </c>
    </row>
    <row r="164" spans="2:21" x14ac:dyDescent="0.35">
      <c r="B164" t="s">
        <v>6</v>
      </c>
      <c r="C164" t="s">
        <v>25</v>
      </c>
      <c r="D164" t="s">
        <v>24</v>
      </c>
      <c r="E164" s="2" t="s">
        <v>24</v>
      </c>
      <c r="F164">
        <v>80123102</v>
      </c>
      <c r="G164">
        <v>61101104</v>
      </c>
      <c r="H164" s="27">
        <v>15000</v>
      </c>
      <c r="I164" s="10">
        <v>0</v>
      </c>
      <c r="J164" s="10">
        <v>0</v>
      </c>
      <c r="K164" s="10">
        <v>0</v>
      </c>
      <c r="L164" s="10">
        <v>0</v>
      </c>
      <c r="M164" s="6"/>
      <c r="N164" s="10">
        <v>13038.65</v>
      </c>
      <c r="O164" s="10">
        <v>0</v>
      </c>
      <c r="P164" s="10">
        <v>0</v>
      </c>
      <c r="Q164" s="6">
        <v>0</v>
      </c>
      <c r="R164" s="6"/>
      <c r="S164" s="6"/>
      <c r="T164" s="6"/>
      <c r="U164" s="6">
        <f t="shared" si="3"/>
        <v>13038.65</v>
      </c>
    </row>
    <row r="165" spans="2:21" x14ac:dyDescent="0.35">
      <c r="B165" t="s">
        <v>6</v>
      </c>
      <c r="C165" t="s">
        <v>25</v>
      </c>
      <c r="D165" t="s">
        <v>24</v>
      </c>
      <c r="E165" s="2" t="s">
        <v>24</v>
      </c>
      <c r="F165">
        <v>81123102</v>
      </c>
      <c r="G165">
        <v>52101112</v>
      </c>
      <c r="H165" s="27">
        <v>30000</v>
      </c>
      <c r="I165" s="10">
        <v>0</v>
      </c>
      <c r="J165" s="10">
        <v>0</v>
      </c>
      <c r="K165" s="10">
        <v>0</v>
      </c>
      <c r="L165" s="10">
        <v>0</v>
      </c>
      <c r="M165" s="6"/>
      <c r="N165" s="10">
        <v>0</v>
      </c>
      <c r="O165" s="10">
        <v>0</v>
      </c>
      <c r="P165" s="10">
        <v>0</v>
      </c>
      <c r="Q165" s="6"/>
      <c r="R165" s="6"/>
      <c r="S165" s="6"/>
      <c r="T165" s="6"/>
      <c r="U165" s="6">
        <f t="shared" si="3"/>
        <v>0</v>
      </c>
    </row>
    <row r="166" spans="2:21" x14ac:dyDescent="0.35">
      <c r="B166" t="s">
        <v>6</v>
      </c>
      <c r="C166" t="s">
        <v>25</v>
      </c>
      <c r="D166" t="s">
        <v>24</v>
      </c>
      <c r="E166" s="2" t="s">
        <v>24</v>
      </c>
      <c r="F166">
        <v>81123102</v>
      </c>
      <c r="G166">
        <v>52101112</v>
      </c>
      <c r="H166" s="27">
        <v>15000</v>
      </c>
      <c r="I166" s="10">
        <v>0</v>
      </c>
      <c r="J166" s="10">
        <v>0</v>
      </c>
      <c r="K166" s="10">
        <v>0</v>
      </c>
      <c r="L166" s="10">
        <v>0</v>
      </c>
      <c r="M166" s="6"/>
      <c r="N166" s="10">
        <v>0</v>
      </c>
      <c r="O166" s="10">
        <v>0</v>
      </c>
      <c r="P166" s="10">
        <v>0</v>
      </c>
      <c r="Q166" s="6"/>
      <c r="R166" s="6"/>
      <c r="S166" s="6"/>
      <c r="T166" s="6"/>
      <c r="U166" s="6">
        <f t="shared" si="3"/>
        <v>0</v>
      </c>
    </row>
    <row r="167" spans="2:21" x14ac:dyDescent="0.35">
      <c r="B167" t="s">
        <v>6</v>
      </c>
      <c r="C167" t="s">
        <v>25</v>
      </c>
      <c r="D167" t="s">
        <v>24</v>
      </c>
      <c r="E167" s="2" t="s">
        <v>24</v>
      </c>
      <c r="F167">
        <v>81123102</v>
      </c>
      <c r="G167">
        <v>52101112</v>
      </c>
      <c r="H167" s="27">
        <v>15000</v>
      </c>
      <c r="I167" s="10">
        <v>0</v>
      </c>
      <c r="J167" s="10">
        <v>0</v>
      </c>
      <c r="K167" s="10">
        <v>0</v>
      </c>
      <c r="L167" s="10">
        <v>0</v>
      </c>
      <c r="M167" s="6"/>
      <c r="N167" s="10">
        <v>0</v>
      </c>
      <c r="O167" s="10">
        <v>0</v>
      </c>
      <c r="P167" s="10">
        <v>0</v>
      </c>
      <c r="Q167" s="6"/>
      <c r="R167" s="6"/>
      <c r="S167" s="6"/>
      <c r="T167" s="6"/>
      <c r="U167" s="6">
        <f t="shared" si="3"/>
        <v>0</v>
      </c>
    </row>
    <row r="168" spans="2:21" x14ac:dyDescent="0.35">
      <c r="B168" t="s">
        <v>6</v>
      </c>
      <c r="C168" t="s">
        <v>25</v>
      </c>
      <c r="D168" t="s">
        <v>24</v>
      </c>
      <c r="E168" s="2" t="s">
        <v>24</v>
      </c>
      <c r="F168">
        <v>81123102</v>
      </c>
      <c r="G168">
        <v>52101112</v>
      </c>
      <c r="H168" s="27">
        <v>15000</v>
      </c>
      <c r="I168" s="10">
        <v>0</v>
      </c>
      <c r="J168" s="10">
        <v>0</v>
      </c>
      <c r="K168" s="10">
        <v>0</v>
      </c>
      <c r="L168" s="10">
        <v>0</v>
      </c>
      <c r="M168" s="6"/>
      <c r="N168" s="10">
        <v>0</v>
      </c>
      <c r="O168" s="10">
        <v>0</v>
      </c>
      <c r="P168" s="10">
        <v>0</v>
      </c>
      <c r="Q168" s="6"/>
      <c r="R168" s="6"/>
      <c r="S168" s="6"/>
      <c r="T168" s="6"/>
      <c r="U168" s="6">
        <f t="shared" si="3"/>
        <v>0</v>
      </c>
    </row>
    <row r="169" spans="2:21" x14ac:dyDescent="0.35">
      <c r="B169" t="s">
        <v>6</v>
      </c>
      <c r="C169" t="s">
        <v>25</v>
      </c>
      <c r="D169" t="s">
        <v>24</v>
      </c>
      <c r="E169" s="2" t="s">
        <v>24</v>
      </c>
      <c r="F169">
        <v>80123102</v>
      </c>
      <c r="G169">
        <v>61101104</v>
      </c>
      <c r="H169" s="27">
        <v>15000</v>
      </c>
      <c r="I169" s="10">
        <v>1502.2600000000002</v>
      </c>
      <c r="J169" s="10">
        <v>0</v>
      </c>
      <c r="K169" s="10">
        <v>0</v>
      </c>
      <c r="L169" s="10">
        <v>0</v>
      </c>
      <c r="M169" s="6"/>
      <c r="N169" s="10">
        <v>0</v>
      </c>
      <c r="O169" s="10">
        <v>0</v>
      </c>
      <c r="P169" s="10">
        <v>0</v>
      </c>
      <c r="Q169" s="6">
        <v>0</v>
      </c>
      <c r="R169" s="6"/>
      <c r="S169" s="6"/>
      <c r="T169" s="6"/>
      <c r="U169" s="6">
        <f t="shared" si="3"/>
        <v>1502.2600000000002</v>
      </c>
    </row>
    <row r="170" spans="2:21" x14ac:dyDescent="0.35">
      <c r="B170" t="s">
        <v>6</v>
      </c>
      <c r="C170" t="s">
        <v>25</v>
      </c>
      <c r="D170" t="s">
        <v>24</v>
      </c>
      <c r="E170" s="2" t="s">
        <v>24</v>
      </c>
      <c r="F170">
        <v>81123102</v>
      </c>
      <c r="G170">
        <v>52101112</v>
      </c>
      <c r="H170" s="27">
        <v>15000</v>
      </c>
      <c r="I170" s="10">
        <v>0</v>
      </c>
      <c r="J170" s="10">
        <v>0</v>
      </c>
      <c r="K170" s="10">
        <v>0</v>
      </c>
      <c r="L170" s="10">
        <v>0</v>
      </c>
      <c r="M170" s="6"/>
      <c r="N170" s="10">
        <v>0</v>
      </c>
      <c r="O170" s="10">
        <v>0</v>
      </c>
      <c r="P170" s="10">
        <v>0</v>
      </c>
      <c r="Q170" s="6"/>
      <c r="R170" s="6"/>
      <c r="S170" s="6"/>
      <c r="T170" s="6"/>
      <c r="U170" s="6">
        <f t="shared" si="3"/>
        <v>0</v>
      </c>
    </row>
    <row r="171" spans="2:21" x14ac:dyDescent="0.35">
      <c r="B171" t="s">
        <v>6</v>
      </c>
      <c r="C171" t="s">
        <v>25</v>
      </c>
      <c r="D171" t="s">
        <v>24</v>
      </c>
      <c r="E171" s="2" t="s">
        <v>24</v>
      </c>
      <c r="F171">
        <v>81123102</v>
      </c>
      <c r="G171">
        <v>52101112</v>
      </c>
      <c r="H171" s="27">
        <v>15000</v>
      </c>
      <c r="I171" s="10">
        <v>0</v>
      </c>
      <c r="J171" s="10">
        <v>0</v>
      </c>
      <c r="K171" s="10">
        <v>0</v>
      </c>
      <c r="L171" s="10">
        <v>0</v>
      </c>
      <c r="M171" s="6"/>
      <c r="N171" s="10">
        <v>0</v>
      </c>
      <c r="O171" s="10">
        <v>0</v>
      </c>
      <c r="P171" s="10">
        <v>0</v>
      </c>
      <c r="Q171" s="6"/>
      <c r="R171" s="6"/>
      <c r="S171" s="6"/>
      <c r="T171" s="6"/>
      <c r="U171" s="6">
        <f t="shared" si="3"/>
        <v>0</v>
      </c>
    </row>
    <row r="172" spans="2:21" x14ac:dyDescent="0.35">
      <c r="B172" t="s">
        <v>6</v>
      </c>
      <c r="C172" t="s">
        <v>25</v>
      </c>
      <c r="D172" t="s">
        <v>24</v>
      </c>
      <c r="E172" s="2" t="s">
        <v>24</v>
      </c>
      <c r="F172">
        <v>81123102</v>
      </c>
      <c r="G172">
        <v>52101112</v>
      </c>
      <c r="H172" s="27">
        <v>15000</v>
      </c>
      <c r="I172" s="10">
        <v>0</v>
      </c>
      <c r="J172" s="10">
        <v>0</v>
      </c>
      <c r="K172" s="10">
        <v>0</v>
      </c>
      <c r="L172" s="10">
        <v>0</v>
      </c>
      <c r="M172" s="6"/>
      <c r="N172" s="10">
        <v>0</v>
      </c>
      <c r="O172" s="10">
        <v>0</v>
      </c>
      <c r="P172" s="10">
        <v>0</v>
      </c>
      <c r="Q172" s="6"/>
      <c r="R172" s="6"/>
      <c r="S172" s="6"/>
      <c r="T172" s="6"/>
      <c r="U172" s="6">
        <f t="shared" si="3"/>
        <v>0</v>
      </c>
    </row>
    <row r="173" spans="2:21" x14ac:dyDescent="0.35">
      <c r="B173" t="s">
        <v>6</v>
      </c>
      <c r="C173" t="s">
        <v>25</v>
      </c>
      <c r="D173" t="s">
        <v>24</v>
      </c>
      <c r="E173" s="2" t="s">
        <v>24</v>
      </c>
      <c r="F173">
        <v>80123102</v>
      </c>
      <c r="G173">
        <v>61101104</v>
      </c>
      <c r="H173" s="27">
        <v>15000</v>
      </c>
      <c r="I173" s="10">
        <v>75334.399999999994</v>
      </c>
      <c r="J173" s="10">
        <v>4363.289999999979</v>
      </c>
      <c r="K173" s="10">
        <v>91889.290000000008</v>
      </c>
      <c r="L173" s="10">
        <v>86396.669999999984</v>
      </c>
      <c r="M173" s="10">
        <v>81353.47</v>
      </c>
      <c r="N173" s="10">
        <v>88471.430000000008</v>
      </c>
      <c r="O173" s="10">
        <v>81353.47</v>
      </c>
      <c r="P173" s="10">
        <v>81353.47</v>
      </c>
      <c r="Q173" s="6">
        <v>81353.47</v>
      </c>
      <c r="R173" s="6"/>
      <c r="S173" s="6"/>
      <c r="T173" s="6"/>
      <c r="U173" s="6">
        <f t="shared" si="3"/>
        <v>671868.96</v>
      </c>
    </row>
    <row r="174" spans="2:21" x14ac:dyDescent="0.35">
      <c r="B174" t="s">
        <v>6</v>
      </c>
      <c r="C174" t="s">
        <v>25</v>
      </c>
      <c r="D174" t="s">
        <v>24</v>
      </c>
      <c r="E174" s="2" t="s">
        <v>24</v>
      </c>
      <c r="F174">
        <v>80123102</v>
      </c>
      <c r="G174">
        <v>61101104</v>
      </c>
      <c r="H174" s="27">
        <v>15000</v>
      </c>
      <c r="I174" s="10">
        <v>0</v>
      </c>
      <c r="J174" s="10">
        <v>0</v>
      </c>
      <c r="K174" s="10">
        <v>0</v>
      </c>
      <c r="L174" s="10">
        <v>0</v>
      </c>
      <c r="M174" s="6"/>
      <c r="N174" s="10">
        <v>0</v>
      </c>
      <c r="O174" s="10">
        <v>0</v>
      </c>
      <c r="P174" s="10">
        <v>0</v>
      </c>
      <c r="Q174" s="6"/>
      <c r="R174" s="6"/>
      <c r="S174" s="6"/>
      <c r="T174" s="6"/>
      <c r="U174" s="6">
        <f t="shared" si="3"/>
        <v>0</v>
      </c>
    </row>
    <row r="175" spans="2:21" x14ac:dyDescent="0.35">
      <c r="B175" t="s">
        <v>6</v>
      </c>
      <c r="C175" t="s">
        <v>25</v>
      </c>
      <c r="D175" t="s">
        <v>24</v>
      </c>
      <c r="E175" s="2" t="s">
        <v>24</v>
      </c>
      <c r="F175">
        <v>80123102</v>
      </c>
      <c r="G175">
        <v>61101104</v>
      </c>
      <c r="H175" s="27">
        <v>15000</v>
      </c>
      <c r="I175" s="10">
        <v>0</v>
      </c>
      <c r="J175" s="10">
        <v>0</v>
      </c>
      <c r="K175" s="10">
        <v>0</v>
      </c>
      <c r="L175" s="10">
        <v>0</v>
      </c>
      <c r="M175" s="6"/>
      <c r="N175" s="10">
        <v>0</v>
      </c>
      <c r="O175" s="10">
        <v>0</v>
      </c>
      <c r="P175" s="10">
        <v>0</v>
      </c>
      <c r="Q175" s="6"/>
      <c r="R175" s="6"/>
      <c r="S175" s="6"/>
      <c r="T175" s="6"/>
      <c r="U175" s="6">
        <f t="shared" si="3"/>
        <v>0</v>
      </c>
    </row>
    <row r="176" spans="2:21" x14ac:dyDescent="0.35">
      <c r="B176" t="s">
        <v>6</v>
      </c>
      <c r="C176" t="s">
        <v>25</v>
      </c>
      <c r="D176" t="s">
        <v>24</v>
      </c>
      <c r="E176" s="2" t="s">
        <v>24</v>
      </c>
      <c r="F176">
        <v>80123102</v>
      </c>
      <c r="G176">
        <v>61101104</v>
      </c>
      <c r="H176" s="27">
        <v>30000</v>
      </c>
      <c r="I176" s="10">
        <v>0</v>
      </c>
      <c r="J176" s="10">
        <v>0</v>
      </c>
      <c r="K176" s="10">
        <v>0</v>
      </c>
      <c r="L176" s="10">
        <v>0</v>
      </c>
      <c r="M176" s="6"/>
      <c r="N176" s="10">
        <v>0</v>
      </c>
      <c r="O176" s="10">
        <v>0</v>
      </c>
      <c r="P176" s="10">
        <v>0</v>
      </c>
      <c r="Q176" s="6"/>
      <c r="R176" s="6"/>
      <c r="S176" s="6"/>
      <c r="T176" s="6"/>
      <c r="U176" s="6">
        <f t="shared" si="3"/>
        <v>0</v>
      </c>
    </row>
    <row r="177" spans="2:21" x14ac:dyDescent="0.35">
      <c r="B177" t="s">
        <v>6</v>
      </c>
      <c r="C177" t="s">
        <v>25</v>
      </c>
      <c r="D177" t="s">
        <v>24</v>
      </c>
      <c r="E177" s="2" t="s">
        <v>24</v>
      </c>
      <c r="F177">
        <v>80123102</v>
      </c>
      <c r="G177">
        <v>61101104</v>
      </c>
      <c r="H177" s="27">
        <v>30000</v>
      </c>
      <c r="I177" s="10">
        <v>0</v>
      </c>
      <c r="J177" s="10">
        <v>0</v>
      </c>
      <c r="K177" s="10">
        <v>0</v>
      </c>
      <c r="L177" s="10">
        <v>0</v>
      </c>
      <c r="M177" s="6"/>
      <c r="N177" s="10">
        <v>0</v>
      </c>
      <c r="O177" s="10">
        <v>0</v>
      </c>
      <c r="P177" s="10">
        <v>0</v>
      </c>
      <c r="Q177" s="6"/>
      <c r="R177" s="6"/>
      <c r="S177" s="6"/>
      <c r="T177" s="6"/>
      <c r="U177" s="6">
        <f t="shared" si="3"/>
        <v>0</v>
      </c>
    </row>
    <row r="178" spans="2:21" x14ac:dyDescent="0.35">
      <c r="B178" t="s">
        <v>6</v>
      </c>
      <c r="C178" t="s">
        <v>25</v>
      </c>
      <c r="D178" t="s">
        <v>24</v>
      </c>
      <c r="E178" s="2" t="s">
        <v>24</v>
      </c>
      <c r="F178">
        <v>80123102</v>
      </c>
      <c r="G178">
        <v>61101104</v>
      </c>
      <c r="H178" s="27">
        <v>30000</v>
      </c>
      <c r="I178" s="10">
        <v>0</v>
      </c>
      <c r="J178" s="10">
        <v>0</v>
      </c>
      <c r="K178" s="10">
        <v>0</v>
      </c>
      <c r="L178" s="10">
        <v>0</v>
      </c>
      <c r="M178" s="6"/>
      <c r="N178" s="10">
        <v>0</v>
      </c>
      <c r="O178" s="10">
        <v>0</v>
      </c>
      <c r="P178" s="10">
        <v>0</v>
      </c>
      <c r="Q178" s="6"/>
      <c r="R178" s="6"/>
      <c r="S178" s="6"/>
      <c r="T178" s="6"/>
      <c r="U178" s="6">
        <f t="shared" si="3"/>
        <v>0</v>
      </c>
    </row>
    <row r="179" spans="2:21" x14ac:dyDescent="0.35">
      <c r="B179" t="s">
        <v>6</v>
      </c>
      <c r="C179" t="s">
        <v>25</v>
      </c>
      <c r="D179" t="s">
        <v>24</v>
      </c>
      <c r="E179" s="2" t="s">
        <v>24</v>
      </c>
      <c r="F179">
        <v>80123102</v>
      </c>
      <c r="G179">
        <v>61101104</v>
      </c>
      <c r="H179" s="27">
        <v>30000</v>
      </c>
      <c r="I179" s="10">
        <v>0</v>
      </c>
      <c r="J179" s="10">
        <v>0</v>
      </c>
      <c r="K179" s="10">
        <v>0</v>
      </c>
      <c r="L179" s="10">
        <v>0</v>
      </c>
      <c r="M179" s="6"/>
      <c r="N179" s="10">
        <v>0</v>
      </c>
      <c r="O179" s="10">
        <v>0</v>
      </c>
      <c r="P179" s="10">
        <v>0</v>
      </c>
      <c r="Q179" s="6"/>
      <c r="R179" s="6"/>
      <c r="S179" s="6"/>
      <c r="T179" s="6"/>
      <c r="U179" s="6">
        <f t="shared" si="3"/>
        <v>0</v>
      </c>
    </row>
    <row r="180" spans="2:21" x14ac:dyDescent="0.35">
      <c r="B180" t="s">
        <v>6</v>
      </c>
      <c r="C180" t="s">
        <v>25</v>
      </c>
      <c r="D180" t="s">
        <v>24</v>
      </c>
      <c r="E180" s="2" t="s">
        <v>24</v>
      </c>
      <c r="F180">
        <v>80123102</v>
      </c>
      <c r="G180">
        <v>61101104</v>
      </c>
      <c r="H180" s="27">
        <v>30000</v>
      </c>
      <c r="I180" s="10">
        <v>0</v>
      </c>
      <c r="J180" s="10">
        <v>0</v>
      </c>
      <c r="K180" s="10">
        <v>0</v>
      </c>
      <c r="L180" s="10">
        <v>0</v>
      </c>
      <c r="M180" s="6"/>
      <c r="N180" s="10">
        <v>0</v>
      </c>
      <c r="O180" s="10">
        <v>0</v>
      </c>
      <c r="P180" s="10">
        <v>0</v>
      </c>
      <c r="Q180" s="6"/>
      <c r="R180" s="6"/>
      <c r="S180" s="6"/>
      <c r="T180" s="6"/>
      <c r="U180" s="6">
        <f t="shared" si="3"/>
        <v>0</v>
      </c>
    </row>
    <row r="181" spans="2:21" x14ac:dyDescent="0.35">
      <c r="B181" t="s">
        <v>6</v>
      </c>
      <c r="C181" t="s">
        <v>25</v>
      </c>
      <c r="D181" t="s">
        <v>24</v>
      </c>
      <c r="E181" s="2" t="s">
        <v>24</v>
      </c>
      <c r="F181">
        <v>80123102</v>
      </c>
      <c r="G181">
        <v>61101104</v>
      </c>
      <c r="H181" s="27">
        <v>15000</v>
      </c>
      <c r="I181" s="10">
        <v>0</v>
      </c>
      <c r="J181" s="10">
        <v>0</v>
      </c>
      <c r="K181" s="10">
        <v>0</v>
      </c>
      <c r="L181" s="10">
        <v>0</v>
      </c>
      <c r="M181" s="6"/>
      <c r="N181" s="10">
        <v>0</v>
      </c>
      <c r="O181" s="10">
        <v>0</v>
      </c>
      <c r="P181" s="10">
        <v>0</v>
      </c>
      <c r="Q181" s="6"/>
      <c r="R181" s="6"/>
      <c r="S181" s="6"/>
      <c r="T181" s="6"/>
      <c r="U181" s="6">
        <f t="shared" si="3"/>
        <v>0</v>
      </c>
    </row>
    <row r="182" spans="2:21" x14ac:dyDescent="0.35">
      <c r="B182" t="s">
        <v>6</v>
      </c>
      <c r="C182" t="s">
        <v>25</v>
      </c>
      <c r="D182" t="s">
        <v>24</v>
      </c>
      <c r="E182" s="2" t="s">
        <v>24</v>
      </c>
      <c r="F182">
        <v>80123102</v>
      </c>
      <c r="G182">
        <v>61101104</v>
      </c>
      <c r="H182" s="27">
        <v>15000</v>
      </c>
      <c r="I182" s="10">
        <v>0</v>
      </c>
      <c r="J182" s="10">
        <v>0</v>
      </c>
      <c r="K182" s="10">
        <v>0</v>
      </c>
      <c r="L182" s="10">
        <v>0</v>
      </c>
      <c r="M182" s="6"/>
      <c r="N182" s="10">
        <v>0</v>
      </c>
      <c r="O182" s="10">
        <v>0</v>
      </c>
      <c r="P182" s="10">
        <v>0</v>
      </c>
      <c r="Q182" s="6"/>
      <c r="R182" s="6"/>
      <c r="S182" s="6"/>
      <c r="T182" s="6"/>
      <c r="U182" s="6">
        <f t="shared" si="3"/>
        <v>0</v>
      </c>
    </row>
    <row r="183" spans="2:21" x14ac:dyDescent="0.35">
      <c r="B183" t="s">
        <v>6</v>
      </c>
      <c r="C183" t="s">
        <v>25</v>
      </c>
      <c r="D183" t="s">
        <v>24</v>
      </c>
      <c r="E183" s="2" t="s">
        <v>24</v>
      </c>
      <c r="F183">
        <v>80123102</v>
      </c>
      <c r="G183">
        <v>61101104</v>
      </c>
      <c r="H183" s="27">
        <v>15000</v>
      </c>
      <c r="I183" s="10">
        <v>0</v>
      </c>
      <c r="J183" s="10">
        <v>0</v>
      </c>
      <c r="K183" s="10">
        <v>0</v>
      </c>
      <c r="L183" s="10">
        <v>0</v>
      </c>
      <c r="M183" s="6"/>
      <c r="N183" s="10">
        <v>0</v>
      </c>
      <c r="O183" s="10">
        <v>0</v>
      </c>
      <c r="P183" s="10">
        <v>0</v>
      </c>
      <c r="Q183" s="6"/>
      <c r="R183" s="6"/>
      <c r="S183" s="6"/>
      <c r="T183" s="6"/>
      <c r="U183" s="6">
        <f t="shared" si="3"/>
        <v>0</v>
      </c>
    </row>
    <row r="184" spans="2:21" x14ac:dyDescent="0.35">
      <c r="B184" t="s">
        <v>6</v>
      </c>
      <c r="C184" t="s">
        <v>25</v>
      </c>
      <c r="D184" t="s">
        <v>24</v>
      </c>
      <c r="E184" s="2" t="s">
        <v>24</v>
      </c>
      <c r="F184">
        <v>80123102</v>
      </c>
      <c r="G184">
        <v>61101104</v>
      </c>
      <c r="H184" s="27">
        <v>15000</v>
      </c>
      <c r="I184" s="10">
        <v>0</v>
      </c>
      <c r="J184" s="10">
        <v>0</v>
      </c>
      <c r="K184" s="10">
        <v>0</v>
      </c>
      <c r="L184" s="10">
        <v>0</v>
      </c>
      <c r="M184" s="6"/>
      <c r="N184" s="10">
        <v>0</v>
      </c>
      <c r="O184" s="10">
        <v>0</v>
      </c>
      <c r="P184" s="10">
        <v>0</v>
      </c>
      <c r="Q184" s="6"/>
      <c r="R184" s="6"/>
      <c r="S184" s="6"/>
      <c r="T184" s="6"/>
      <c r="U184" s="6">
        <f t="shared" si="3"/>
        <v>0</v>
      </c>
    </row>
    <row r="185" spans="2:21" x14ac:dyDescent="0.35">
      <c r="B185" t="s">
        <v>6</v>
      </c>
      <c r="C185" t="s">
        <v>25</v>
      </c>
      <c r="D185" t="s">
        <v>24</v>
      </c>
      <c r="E185" s="2" t="s">
        <v>24</v>
      </c>
      <c r="F185">
        <v>80123102</v>
      </c>
      <c r="G185">
        <v>61101104</v>
      </c>
      <c r="H185" s="27">
        <v>15000</v>
      </c>
      <c r="I185" s="10">
        <v>0</v>
      </c>
      <c r="J185" s="10">
        <v>0</v>
      </c>
      <c r="K185" s="10">
        <v>0</v>
      </c>
      <c r="L185" s="10">
        <v>0</v>
      </c>
      <c r="M185" s="6"/>
      <c r="N185" s="10">
        <v>0</v>
      </c>
      <c r="O185" s="10">
        <v>0</v>
      </c>
      <c r="P185" s="10">
        <v>0</v>
      </c>
      <c r="Q185" s="6"/>
      <c r="R185" s="6"/>
      <c r="S185" s="6"/>
      <c r="T185" s="6"/>
      <c r="U185" s="6">
        <f t="shared" si="3"/>
        <v>0</v>
      </c>
    </row>
    <row r="186" spans="2:21" x14ac:dyDescent="0.35">
      <c r="B186" t="s">
        <v>6</v>
      </c>
      <c r="C186" t="s">
        <v>25</v>
      </c>
      <c r="D186" t="s">
        <v>24</v>
      </c>
      <c r="E186" s="2" t="s">
        <v>24</v>
      </c>
      <c r="F186">
        <v>80123102</v>
      </c>
      <c r="G186">
        <v>61101104</v>
      </c>
      <c r="H186" s="27">
        <v>15000</v>
      </c>
      <c r="I186" s="10">
        <v>0</v>
      </c>
      <c r="J186" s="10">
        <v>0</v>
      </c>
      <c r="K186" s="10">
        <v>0</v>
      </c>
      <c r="L186" s="10">
        <v>0</v>
      </c>
      <c r="M186" s="6"/>
      <c r="N186" s="10">
        <v>0</v>
      </c>
      <c r="O186" s="10">
        <v>0</v>
      </c>
      <c r="P186" s="10">
        <v>0</v>
      </c>
      <c r="Q186" s="6"/>
      <c r="R186" s="6"/>
      <c r="S186" s="6"/>
      <c r="T186" s="6"/>
      <c r="U186" s="6">
        <f t="shared" si="3"/>
        <v>0</v>
      </c>
    </row>
    <row r="187" spans="2:21" x14ac:dyDescent="0.35">
      <c r="B187" t="s">
        <v>6</v>
      </c>
      <c r="C187" t="s">
        <v>25</v>
      </c>
      <c r="D187" t="s">
        <v>24</v>
      </c>
      <c r="E187" s="2" t="s">
        <v>24</v>
      </c>
      <c r="F187">
        <v>80123102</v>
      </c>
      <c r="G187">
        <v>61101104</v>
      </c>
      <c r="H187" s="27">
        <v>15000</v>
      </c>
      <c r="I187" s="10">
        <v>0</v>
      </c>
      <c r="J187" s="10">
        <v>0</v>
      </c>
      <c r="K187" s="10">
        <v>0</v>
      </c>
      <c r="L187" s="10">
        <v>0</v>
      </c>
      <c r="M187" s="6"/>
      <c r="N187" s="10">
        <v>0</v>
      </c>
      <c r="O187" s="10">
        <v>0</v>
      </c>
      <c r="P187" s="10">
        <v>0</v>
      </c>
      <c r="Q187" s="6"/>
      <c r="R187" s="6"/>
      <c r="S187" s="6"/>
      <c r="T187" s="6"/>
      <c r="U187" s="6">
        <f t="shared" si="3"/>
        <v>0</v>
      </c>
    </row>
    <row r="188" spans="2:21" x14ac:dyDescent="0.35">
      <c r="B188" t="s">
        <v>6</v>
      </c>
      <c r="C188" t="s">
        <v>25</v>
      </c>
      <c r="D188" t="s">
        <v>24</v>
      </c>
      <c r="E188" s="2" t="s">
        <v>24</v>
      </c>
      <c r="F188">
        <v>80123102</v>
      </c>
      <c r="G188">
        <v>61101104</v>
      </c>
      <c r="H188" s="27">
        <v>15000</v>
      </c>
      <c r="I188" s="10">
        <v>0</v>
      </c>
      <c r="J188" s="10">
        <v>0</v>
      </c>
      <c r="K188" s="10">
        <v>0</v>
      </c>
      <c r="L188" s="10">
        <v>0</v>
      </c>
      <c r="M188" s="6"/>
      <c r="N188" s="10">
        <v>0</v>
      </c>
      <c r="O188" s="10">
        <v>0</v>
      </c>
      <c r="P188" s="10">
        <v>0</v>
      </c>
      <c r="Q188" s="6"/>
      <c r="R188" s="6"/>
      <c r="S188" s="6"/>
      <c r="T188" s="6"/>
      <c r="U188" s="6">
        <f t="shared" si="3"/>
        <v>0</v>
      </c>
    </row>
    <row r="189" spans="2:21" x14ac:dyDescent="0.35">
      <c r="B189" t="s">
        <v>6</v>
      </c>
      <c r="C189" t="s">
        <v>25</v>
      </c>
      <c r="D189" t="s">
        <v>24</v>
      </c>
      <c r="E189" s="2" t="s">
        <v>24</v>
      </c>
      <c r="F189">
        <v>80123102</v>
      </c>
      <c r="G189">
        <v>61101104</v>
      </c>
      <c r="H189" s="27">
        <v>15000</v>
      </c>
      <c r="I189" s="10">
        <v>0</v>
      </c>
      <c r="J189" s="10">
        <v>0</v>
      </c>
      <c r="K189" s="10">
        <v>0</v>
      </c>
      <c r="L189" s="10">
        <v>0</v>
      </c>
      <c r="M189" s="6"/>
      <c r="N189" s="10">
        <v>0</v>
      </c>
      <c r="O189" s="10">
        <v>0</v>
      </c>
      <c r="P189" s="10">
        <v>0</v>
      </c>
      <c r="Q189" s="6"/>
      <c r="R189" s="6"/>
      <c r="S189" s="6"/>
      <c r="T189" s="6"/>
      <c r="U189" s="6">
        <f t="shared" si="3"/>
        <v>0</v>
      </c>
    </row>
    <row r="190" spans="2:21" x14ac:dyDescent="0.35">
      <c r="B190" t="s">
        <v>6</v>
      </c>
      <c r="C190" t="s">
        <v>25</v>
      </c>
      <c r="D190" t="s">
        <v>24</v>
      </c>
      <c r="E190" s="2" t="s">
        <v>24</v>
      </c>
      <c r="F190">
        <v>80123102</v>
      </c>
      <c r="G190">
        <v>61101104</v>
      </c>
      <c r="H190" s="27">
        <v>15000</v>
      </c>
      <c r="I190" s="10">
        <v>0</v>
      </c>
      <c r="J190" s="10">
        <v>0</v>
      </c>
      <c r="K190" s="10">
        <v>0</v>
      </c>
      <c r="L190" s="10">
        <v>0</v>
      </c>
      <c r="M190" s="6"/>
      <c r="N190" s="10">
        <v>0</v>
      </c>
      <c r="O190" s="10">
        <v>0</v>
      </c>
      <c r="P190" s="10">
        <v>0</v>
      </c>
      <c r="Q190" s="6"/>
      <c r="R190" s="6"/>
      <c r="S190" s="6"/>
      <c r="T190" s="6"/>
      <c r="U190" s="6">
        <f t="shared" si="3"/>
        <v>0</v>
      </c>
    </row>
    <row r="191" spans="2:21" x14ac:dyDescent="0.35">
      <c r="B191" t="s">
        <v>6</v>
      </c>
      <c r="C191" t="s">
        <v>25</v>
      </c>
      <c r="D191" t="s">
        <v>24</v>
      </c>
      <c r="E191" s="2" t="s">
        <v>24</v>
      </c>
      <c r="F191">
        <v>80123102</v>
      </c>
      <c r="G191">
        <v>61101104</v>
      </c>
      <c r="H191" s="27">
        <v>15000</v>
      </c>
      <c r="I191" s="10">
        <v>0</v>
      </c>
      <c r="J191" s="10">
        <v>0</v>
      </c>
      <c r="K191" s="10">
        <v>0</v>
      </c>
      <c r="L191" s="10">
        <v>0</v>
      </c>
      <c r="M191" s="6"/>
      <c r="N191" s="10">
        <v>0</v>
      </c>
      <c r="O191" s="10">
        <v>0</v>
      </c>
      <c r="P191" s="10">
        <v>0</v>
      </c>
      <c r="Q191" s="6"/>
      <c r="R191" s="6"/>
      <c r="S191" s="6"/>
      <c r="T191" s="6"/>
      <c r="U191" s="6">
        <f t="shared" si="3"/>
        <v>0</v>
      </c>
    </row>
    <row r="192" spans="2:21" x14ac:dyDescent="0.35">
      <c r="B192" t="s">
        <v>6</v>
      </c>
      <c r="C192" t="s">
        <v>25</v>
      </c>
      <c r="D192" t="s">
        <v>24</v>
      </c>
      <c r="E192" s="2" t="s">
        <v>24</v>
      </c>
      <c r="F192">
        <v>80123102</v>
      </c>
      <c r="G192">
        <v>61101104</v>
      </c>
      <c r="H192" s="27">
        <v>15000</v>
      </c>
      <c r="I192" s="10">
        <v>0</v>
      </c>
      <c r="J192" s="10">
        <v>0</v>
      </c>
      <c r="K192" s="10">
        <v>0</v>
      </c>
      <c r="L192" s="10">
        <v>0</v>
      </c>
      <c r="M192" s="6"/>
      <c r="N192" s="10">
        <v>0</v>
      </c>
      <c r="O192" s="10">
        <v>0</v>
      </c>
      <c r="P192" s="10">
        <v>0</v>
      </c>
      <c r="Q192" s="6"/>
      <c r="R192" s="6"/>
      <c r="S192" s="6"/>
      <c r="T192" s="6"/>
      <c r="U192" s="6">
        <f t="shared" si="3"/>
        <v>0</v>
      </c>
    </row>
    <row r="193" spans="2:21" x14ac:dyDescent="0.35">
      <c r="B193" t="s">
        <v>6</v>
      </c>
      <c r="C193" t="s">
        <v>25</v>
      </c>
      <c r="D193" t="s">
        <v>24</v>
      </c>
      <c r="E193" s="2" t="s">
        <v>24</v>
      </c>
      <c r="F193">
        <v>80123102</v>
      </c>
      <c r="G193">
        <v>61101104</v>
      </c>
      <c r="H193" s="27">
        <v>15000</v>
      </c>
      <c r="I193" s="10">
        <v>0</v>
      </c>
      <c r="J193" s="10">
        <v>0</v>
      </c>
      <c r="K193" s="10">
        <v>0</v>
      </c>
      <c r="L193" s="10">
        <v>0</v>
      </c>
      <c r="M193" s="6"/>
      <c r="N193" s="10">
        <v>0</v>
      </c>
      <c r="O193" s="10">
        <v>0</v>
      </c>
      <c r="P193" s="10">
        <v>0</v>
      </c>
      <c r="Q193" s="6"/>
      <c r="R193" s="6"/>
      <c r="S193" s="6"/>
      <c r="T193" s="6"/>
      <c r="U193" s="6">
        <f t="shared" si="3"/>
        <v>0</v>
      </c>
    </row>
    <row r="194" spans="2:21" x14ac:dyDescent="0.35">
      <c r="B194" t="s">
        <v>6</v>
      </c>
      <c r="C194" t="s">
        <v>25</v>
      </c>
      <c r="D194" t="s">
        <v>24</v>
      </c>
      <c r="E194" s="2" t="s">
        <v>24</v>
      </c>
      <c r="F194">
        <v>80123102</v>
      </c>
      <c r="G194">
        <v>61101104</v>
      </c>
      <c r="H194" s="27">
        <v>15000</v>
      </c>
      <c r="I194" s="10">
        <v>0</v>
      </c>
      <c r="J194" s="10">
        <v>0</v>
      </c>
      <c r="K194" s="10">
        <v>0</v>
      </c>
      <c r="L194" s="10">
        <v>0</v>
      </c>
      <c r="M194" s="6"/>
      <c r="N194" s="10">
        <v>0</v>
      </c>
      <c r="O194" s="10">
        <v>0</v>
      </c>
      <c r="P194" s="10">
        <v>0</v>
      </c>
      <c r="Q194" s="6"/>
      <c r="R194" s="6"/>
      <c r="S194" s="6"/>
      <c r="T194" s="6"/>
      <c r="U194" s="6">
        <f t="shared" si="3"/>
        <v>0</v>
      </c>
    </row>
    <row r="195" spans="2:21" x14ac:dyDescent="0.35">
      <c r="B195" t="s">
        <v>6</v>
      </c>
      <c r="C195" t="s">
        <v>25</v>
      </c>
      <c r="D195" t="s">
        <v>24</v>
      </c>
      <c r="E195" s="2" t="s">
        <v>24</v>
      </c>
      <c r="F195">
        <v>80123102</v>
      </c>
      <c r="G195">
        <v>61101104</v>
      </c>
      <c r="H195" s="27">
        <v>15000</v>
      </c>
      <c r="I195" s="10">
        <v>0</v>
      </c>
      <c r="J195" s="10">
        <v>0</v>
      </c>
      <c r="K195" s="10">
        <v>0</v>
      </c>
      <c r="L195" s="10">
        <v>0</v>
      </c>
      <c r="M195" s="6"/>
      <c r="N195" s="10">
        <v>0</v>
      </c>
      <c r="O195" s="10">
        <v>0</v>
      </c>
      <c r="P195" s="10">
        <v>0</v>
      </c>
      <c r="Q195" s="6"/>
      <c r="R195" s="6"/>
      <c r="S195" s="6"/>
      <c r="T195" s="6"/>
      <c r="U195" s="6">
        <f t="shared" si="3"/>
        <v>0</v>
      </c>
    </row>
    <row r="196" spans="2:21" x14ac:dyDescent="0.35">
      <c r="B196" t="s">
        <v>6</v>
      </c>
      <c r="C196" t="s">
        <v>25</v>
      </c>
      <c r="D196" t="s">
        <v>24</v>
      </c>
      <c r="E196" s="2" t="s">
        <v>24</v>
      </c>
      <c r="F196">
        <v>80123102</v>
      </c>
      <c r="G196">
        <v>61101104</v>
      </c>
      <c r="H196" s="27">
        <v>15000</v>
      </c>
      <c r="I196" s="10">
        <v>0</v>
      </c>
      <c r="J196" s="10">
        <v>0</v>
      </c>
      <c r="K196" s="10">
        <v>0</v>
      </c>
      <c r="L196" s="10">
        <v>0</v>
      </c>
      <c r="M196" s="6"/>
      <c r="N196" s="10">
        <v>0</v>
      </c>
      <c r="O196" s="10">
        <v>0</v>
      </c>
      <c r="P196" s="10">
        <v>0</v>
      </c>
      <c r="Q196" s="6"/>
      <c r="R196" s="6"/>
      <c r="S196" s="6"/>
      <c r="T196" s="6"/>
      <c r="U196" s="6">
        <f t="shared" si="3"/>
        <v>0</v>
      </c>
    </row>
    <row r="197" spans="2:21" x14ac:dyDescent="0.35">
      <c r="B197" t="s">
        <v>6</v>
      </c>
      <c r="C197" t="s">
        <v>25</v>
      </c>
      <c r="D197" t="s">
        <v>24</v>
      </c>
      <c r="E197" s="2" t="s">
        <v>24</v>
      </c>
      <c r="F197">
        <v>80123102</v>
      </c>
      <c r="G197">
        <v>61101104</v>
      </c>
      <c r="H197" s="27">
        <v>15000</v>
      </c>
      <c r="I197" s="10">
        <v>0</v>
      </c>
      <c r="J197" s="10">
        <v>0</v>
      </c>
      <c r="K197" s="10">
        <v>0</v>
      </c>
      <c r="L197" s="10">
        <v>0</v>
      </c>
      <c r="M197" s="6"/>
      <c r="N197" s="10">
        <v>0</v>
      </c>
      <c r="O197" s="10">
        <v>0</v>
      </c>
      <c r="P197" s="10">
        <v>0</v>
      </c>
      <c r="Q197" s="6"/>
      <c r="R197" s="6"/>
      <c r="S197" s="6"/>
      <c r="T197" s="6"/>
      <c r="U197" s="6">
        <f t="shared" ref="U197:U260" si="4">SUM(I197:T197)</f>
        <v>0</v>
      </c>
    </row>
    <row r="198" spans="2:21" x14ac:dyDescent="0.35">
      <c r="B198" t="s">
        <v>6</v>
      </c>
      <c r="C198" t="s">
        <v>25</v>
      </c>
      <c r="D198" t="s">
        <v>25</v>
      </c>
      <c r="E198" s="2" t="s">
        <v>26</v>
      </c>
      <c r="F198">
        <v>80111101</v>
      </c>
      <c r="G198">
        <v>52101101</v>
      </c>
      <c r="H198" s="27">
        <v>150000</v>
      </c>
      <c r="I198" s="10">
        <v>10701.02</v>
      </c>
      <c r="J198" s="10">
        <v>10701.02</v>
      </c>
      <c r="K198" s="10">
        <v>9665.44</v>
      </c>
      <c r="L198" s="10">
        <v>5177.8999999999996</v>
      </c>
      <c r="M198" s="10">
        <v>5819.65</v>
      </c>
      <c r="N198" s="10">
        <v>3487</v>
      </c>
      <c r="O198" s="10">
        <v>8668.27</v>
      </c>
      <c r="P198" s="10">
        <v>0</v>
      </c>
      <c r="Q198" s="6">
        <v>3470.2</v>
      </c>
      <c r="R198" s="6">
        <v>1735.1</v>
      </c>
      <c r="S198" s="6">
        <v>1735.1</v>
      </c>
      <c r="T198" s="6">
        <v>1735.1</v>
      </c>
      <c r="U198" s="6">
        <f t="shared" si="4"/>
        <v>62895.799999999996</v>
      </c>
    </row>
    <row r="199" spans="2:21" x14ac:dyDescent="0.35">
      <c r="B199" t="s">
        <v>6</v>
      </c>
      <c r="C199" t="s">
        <v>25</v>
      </c>
      <c r="D199" t="s">
        <v>25</v>
      </c>
      <c r="E199" s="2" t="s">
        <v>26</v>
      </c>
      <c r="F199">
        <v>81111101</v>
      </c>
      <c r="G199">
        <v>52101101</v>
      </c>
      <c r="H199" s="27">
        <v>85000</v>
      </c>
      <c r="I199" s="10">
        <v>6244.97</v>
      </c>
      <c r="J199" s="10">
        <v>6244.97</v>
      </c>
      <c r="K199" s="10">
        <v>5640.6000000000013</v>
      </c>
      <c r="L199" s="10">
        <v>3021.77</v>
      </c>
      <c r="M199" s="10">
        <v>11398.76</v>
      </c>
      <c r="N199" s="10">
        <v>11078.05</v>
      </c>
      <c r="O199" s="10">
        <v>14855.660000000003</v>
      </c>
      <c r="P199" s="10">
        <v>11184.27</v>
      </c>
      <c r="Q199" s="6">
        <v>11184.27</v>
      </c>
      <c r="R199" s="6">
        <v>11078.05</v>
      </c>
      <c r="S199" s="6">
        <v>11078.05</v>
      </c>
      <c r="T199" s="6">
        <v>11078.05</v>
      </c>
      <c r="U199" s="6">
        <f t="shared" si="4"/>
        <v>114087.47000000002</v>
      </c>
    </row>
    <row r="200" spans="2:21" x14ac:dyDescent="0.35">
      <c r="B200" t="s">
        <v>6</v>
      </c>
      <c r="C200" t="s">
        <v>25</v>
      </c>
      <c r="D200" t="s">
        <v>25</v>
      </c>
      <c r="E200" s="2" t="s">
        <v>27</v>
      </c>
      <c r="F200">
        <v>80111101</v>
      </c>
      <c r="G200">
        <v>52101105</v>
      </c>
      <c r="H200" s="27">
        <v>28817.3</v>
      </c>
      <c r="I200" s="10">
        <v>1973.9</v>
      </c>
      <c r="J200" s="10">
        <v>0</v>
      </c>
      <c r="K200" s="10">
        <v>0</v>
      </c>
      <c r="L200" s="10">
        <v>5921.7000000000007</v>
      </c>
      <c r="M200" s="10">
        <v>0</v>
      </c>
      <c r="N200" s="10">
        <v>3947.8</v>
      </c>
      <c r="O200" s="10">
        <v>1973.9</v>
      </c>
      <c r="P200" s="10">
        <v>0</v>
      </c>
      <c r="Q200" s="6">
        <v>225.82</v>
      </c>
      <c r="R200" s="6">
        <v>112.91</v>
      </c>
      <c r="S200" s="6">
        <v>112.91</v>
      </c>
      <c r="T200" s="6">
        <v>112.91</v>
      </c>
      <c r="U200" s="6">
        <f t="shared" si="4"/>
        <v>14381.85</v>
      </c>
    </row>
    <row r="201" spans="2:21" x14ac:dyDescent="0.35">
      <c r="B201" t="s">
        <v>6</v>
      </c>
      <c r="C201" t="s">
        <v>25</v>
      </c>
      <c r="D201" t="s">
        <v>25</v>
      </c>
      <c r="E201" s="2" t="s">
        <v>27</v>
      </c>
      <c r="F201">
        <v>81111101</v>
      </c>
      <c r="G201">
        <v>52101105</v>
      </c>
      <c r="H201" s="27">
        <v>18063.440000000002</v>
      </c>
      <c r="I201" s="10">
        <v>1151.92</v>
      </c>
      <c r="J201" s="10">
        <v>1151.92</v>
      </c>
      <c r="K201" s="10">
        <v>1151.92</v>
      </c>
      <c r="L201" s="10">
        <v>1151.92</v>
      </c>
      <c r="M201" s="10">
        <v>1151.92</v>
      </c>
      <c r="N201" s="10">
        <v>1151.92</v>
      </c>
      <c r="O201" s="10">
        <v>1151.92</v>
      </c>
      <c r="P201" s="10">
        <v>1151.92</v>
      </c>
      <c r="Q201" s="6">
        <v>2403.86</v>
      </c>
      <c r="R201" s="6">
        <v>1201.93</v>
      </c>
      <c r="S201" s="6">
        <v>1201.93</v>
      </c>
      <c r="T201" s="6">
        <v>1201.93</v>
      </c>
      <c r="U201" s="6">
        <f t="shared" si="4"/>
        <v>15225.010000000002</v>
      </c>
    </row>
    <row r="202" spans="2:21" x14ac:dyDescent="0.35">
      <c r="B202" t="s">
        <v>6</v>
      </c>
      <c r="C202" t="s">
        <v>25</v>
      </c>
      <c r="D202" t="s">
        <v>25</v>
      </c>
      <c r="E202" s="2" t="s">
        <v>28</v>
      </c>
      <c r="F202">
        <v>90111101</v>
      </c>
      <c r="G202">
        <v>61101106</v>
      </c>
      <c r="H202" s="27">
        <v>14000</v>
      </c>
      <c r="I202" s="10">
        <v>0</v>
      </c>
      <c r="J202" s="10">
        <v>0</v>
      </c>
      <c r="K202" s="10">
        <v>0</v>
      </c>
      <c r="L202" s="10">
        <v>0</v>
      </c>
      <c r="M202" s="10">
        <v>13285.9</v>
      </c>
      <c r="N202" s="10">
        <v>0</v>
      </c>
      <c r="O202" s="10">
        <v>0</v>
      </c>
      <c r="P202" s="10">
        <v>0</v>
      </c>
      <c r="Q202" s="6">
        <v>0</v>
      </c>
      <c r="R202" s="6">
        <v>0</v>
      </c>
      <c r="S202" s="6">
        <v>0</v>
      </c>
      <c r="T202" s="6">
        <v>0</v>
      </c>
      <c r="U202" s="6">
        <f t="shared" si="4"/>
        <v>13285.9</v>
      </c>
    </row>
    <row r="203" spans="2:21" x14ac:dyDescent="0.35">
      <c r="B203" t="s">
        <v>6</v>
      </c>
      <c r="C203" t="s">
        <v>25</v>
      </c>
      <c r="D203" t="s">
        <v>25</v>
      </c>
      <c r="E203" s="2" t="s">
        <v>29</v>
      </c>
      <c r="F203">
        <v>90111101</v>
      </c>
      <c r="G203">
        <v>52101107</v>
      </c>
      <c r="H203" s="27">
        <v>423695.6088000001</v>
      </c>
      <c r="I203" s="10">
        <v>34279.620000000003</v>
      </c>
      <c r="J203" s="10">
        <v>34279.58</v>
      </c>
      <c r="K203" s="10">
        <v>34279.58</v>
      </c>
      <c r="L203" s="10">
        <v>34279.58</v>
      </c>
      <c r="M203" s="10">
        <v>34279.58</v>
      </c>
      <c r="N203" s="10">
        <v>34279.58</v>
      </c>
      <c r="O203" s="10">
        <v>34279.58</v>
      </c>
      <c r="P203" s="10">
        <v>34279.58</v>
      </c>
      <c r="Q203" s="6">
        <v>34279.58</v>
      </c>
      <c r="R203" s="6">
        <v>34279.58</v>
      </c>
      <c r="S203" s="6">
        <v>34279.58</v>
      </c>
      <c r="T203" s="6">
        <v>34279.58</v>
      </c>
      <c r="U203" s="6">
        <f t="shared" si="4"/>
        <v>411355.00000000012</v>
      </c>
    </row>
    <row r="204" spans="2:21" x14ac:dyDescent="0.35">
      <c r="B204" t="s">
        <v>6</v>
      </c>
      <c r="C204" t="s">
        <v>1269</v>
      </c>
      <c r="D204" t="s">
        <v>508</v>
      </c>
      <c r="E204" t="s">
        <v>509</v>
      </c>
      <c r="F204">
        <v>80123102</v>
      </c>
      <c r="G204">
        <v>61721101</v>
      </c>
      <c r="H204" s="27">
        <v>128394.24000000003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6">
        <v>0</v>
      </c>
      <c r="R204" s="6">
        <v>0</v>
      </c>
      <c r="S204" s="6">
        <v>0</v>
      </c>
      <c r="T204" s="6">
        <v>0</v>
      </c>
      <c r="U204" s="6">
        <f t="shared" si="4"/>
        <v>0</v>
      </c>
    </row>
    <row r="205" spans="2:21" x14ac:dyDescent="0.35">
      <c r="B205" t="s">
        <v>6</v>
      </c>
      <c r="C205" t="s">
        <v>1269</v>
      </c>
      <c r="D205" t="s">
        <v>508</v>
      </c>
      <c r="E205" t="s">
        <v>509</v>
      </c>
      <c r="F205">
        <v>80123102</v>
      </c>
      <c r="G205">
        <v>61721101</v>
      </c>
      <c r="H205" s="27">
        <v>29179.560000000009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6">
        <v>0</v>
      </c>
      <c r="R205" s="6">
        <v>0</v>
      </c>
      <c r="S205" s="6">
        <v>0</v>
      </c>
      <c r="T205" s="6">
        <v>0</v>
      </c>
      <c r="U205" s="6">
        <f t="shared" si="4"/>
        <v>0</v>
      </c>
    </row>
    <row r="206" spans="2:21" x14ac:dyDescent="0.35">
      <c r="B206" t="s">
        <v>6</v>
      </c>
      <c r="C206" t="s">
        <v>1269</v>
      </c>
      <c r="D206" t="s">
        <v>508</v>
      </c>
      <c r="E206" t="s">
        <v>509</v>
      </c>
      <c r="F206">
        <v>80123102</v>
      </c>
      <c r="G206">
        <v>61721101</v>
      </c>
      <c r="H206" s="27">
        <v>23345.039999999994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6">
        <v>0</v>
      </c>
      <c r="R206" s="6">
        <v>0</v>
      </c>
      <c r="S206" s="6">
        <v>0</v>
      </c>
      <c r="T206" s="6">
        <v>0</v>
      </c>
      <c r="U206" s="6">
        <f t="shared" si="4"/>
        <v>0</v>
      </c>
    </row>
    <row r="207" spans="2:21" x14ac:dyDescent="0.35">
      <c r="B207" t="s">
        <v>6</v>
      </c>
      <c r="C207" t="s">
        <v>1269</v>
      </c>
      <c r="D207" t="s">
        <v>508</v>
      </c>
      <c r="E207" t="s">
        <v>509</v>
      </c>
      <c r="F207">
        <v>80123102</v>
      </c>
      <c r="G207">
        <v>61721101</v>
      </c>
      <c r="H207" s="27">
        <v>23345.039999999994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6">
        <v>0</v>
      </c>
      <c r="R207" s="6">
        <v>0</v>
      </c>
      <c r="S207" s="6">
        <v>0</v>
      </c>
      <c r="T207" s="6">
        <v>0</v>
      </c>
      <c r="U207" s="6">
        <f t="shared" si="4"/>
        <v>0</v>
      </c>
    </row>
    <row r="208" spans="2:21" x14ac:dyDescent="0.35">
      <c r="B208" t="s">
        <v>6</v>
      </c>
      <c r="C208" t="s">
        <v>1269</v>
      </c>
      <c r="D208" t="s">
        <v>508</v>
      </c>
      <c r="E208" t="s">
        <v>509</v>
      </c>
      <c r="F208">
        <v>80123102</v>
      </c>
      <c r="G208">
        <v>61721101</v>
      </c>
      <c r="H208" s="27">
        <v>23345.039999999994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6">
        <v>0</v>
      </c>
      <c r="R208" s="6">
        <v>0</v>
      </c>
      <c r="S208" s="6">
        <v>0</v>
      </c>
      <c r="T208" s="6">
        <v>0</v>
      </c>
      <c r="U208" s="6">
        <f t="shared" si="4"/>
        <v>0</v>
      </c>
    </row>
    <row r="209" spans="2:21" x14ac:dyDescent="0.35">
      <c r="B209" t="s">
        <v>6</v>
      </c>
      <c r="C209" t="s">
        <v>1269</v>
      </c>
      <c r="D209" t="s">
        <v>508</v>
      </c>
      <c r="E209" t="s">
        <v>509</v>
      </c>
      <c r="F209">
        <v>80123102</v>
      </c>
      <c r="G209">
        <v>61721101</v>
      </c>
      <c r="H209" s="27">
        <v>23345.039999999994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6">
        <v>0</v>
      </c>
      <c r="R209" s="6">
        <v>0</v>
      </c>
      <c r="S209" s="6">
        <v>0</v>
      </c>
      <c r="T209" s="6">
        <v>0</v>
      </c>
      <c r="U209" s="6">
        <f t="shared" si="4"/>
        <v>0</v>
      </c>
    </row>
    <row r="210" spans="2:21" x14ac:dyDescent="0.35">
      <c r="B210" t="s">
        <v>6</v>
      </c>
      <c r="C210" t="s">
        <v>1269</v>
      </c>
      <c r="D210" t="s">
        <v>508</v>
      </c>
      <c r="E210" t="s">
        <v>509</v>
      </c>
      <c r="F210">
        <v>80123102</v>
      </c>
      <c r="G210">
        <v>61721101</v>
      </c>
      <c r="H210" s="27">
        <v>23345.039999999994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6">
        <v>0</v>
      </c>
      <c r="R210" s="6">
        <v>0</v>
      </c>
      <c r="S210" s="6">
        <v>0</v>
      </c>
      <c r="T210" s="6">
        <v>0</v>
      </c>
      <c r="U210" s="6">
        <f t="shared" si="4"/>
        <v>0</v>
      </c>
    </row>
    <row r="211" spans="2:21" x14ac:dyDescent="0.35">
      <c r="B211" t="s">
        <v>6</v>
      </c>
      <c r="C211" t="s">
        <v>1269</v>
      </c>
      <c r="D211" t="s">
        <v>508</v>
      </c>
      <c r="E211" t="s">
        <v>509</v>
      </c>
      <c r="F211">
        <v>80123102</v>
      </c>
      <c r="G211">
        <v>61721101</v>
      </c>
      <c r="H211" s="27">
        <v>23345.039999999994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6">
        <v>0</v>
      </c>
      <c r="R211" s="6">
        <v>0</v>
      </c>
      <c r="S211" s="6">
        <v>0</v>
      </c>
      <c r="T211" s="6">
        <v>0</v>
      </c>
      <c r="U211" s="6">
        <f t="shared" si="4"/>
        <v>0</v>
      </c>
    </row>
    <row r="212" spans="2:21" x14ac:dyDescent="0.35">
      <c r="B212" t="s">
        <v>6</v>
      </c>
      <c r="C212" t="s">
        <v>1269</v>
      </c>
      <c r="D212" t="s">
        <v>508</v>
      </c>
      <c r="E212" t="s">
        <v>509</v>
      </c>
      <c r="F212">
        <v>80123102</v>
      </c>
      <c r="G212">
        <v>61721101</v>
      </c>
      <c r="H212" s="27">
        <v>16921.8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6">
        <v>0</v>
      </c>
      <c r="R212" s="6">
        <v>0</v>
      </c>
      <c r="S212" s="6">
        <v>0</v>
      </c>
      <c r="T212" s="6">
        <v>0</v>
      </c>
      <c r="U212" s="6">
        <f t="shared" si="4"/>
        <v>0</v>
      </c>
    </row>
    <row r="213" spans="2:21" x14ac:dyDescent="0.35">
      <c r="B213" t="s">
        <v>6</v>
      </c>
      <c r="C213" t="s">
        <v>1269</v>
      </c>
      <c r="D213" t="s">
        <v>508</v>
      </c>
      <c r="E213" t="s">
        <v>509</v>
      </c>
      <c r="F213">
        <v>80123102</v>
      </c>
      <c r="G213">
        <v>61721101</v>
      </c>
      <c r="H213" s="27">
        <v>3000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6">
        <v>0</v>
      </c>
      <c r="R213" s="6">
        <v>0</v>
      </c>
      <c r="S213" s="6">
        <v>0</v>
      </c>
      <c r="T213" s="6">
        <v>0</v>
      </c>
      <c r="U213" s="6">
        <f t="shared" si="4"/>
        <v>0</v>
      </c>
    </row>
    <row r="214" spans="2:21" x14ac:dyDescent="0.35">
      <c r="B214" t="s">
        <v>6</v>
      </c>
      <c r="C214" t="s">
        <v>1269</v>
      </c>
      <c r="D214" t="s">
        <v>508</v>
      </c>
      <c r="E214" t="s">
        <v>509</v>
      </c>
      <c r="F214">
        <v>80123102</v>
      </c>
      <c r="G214">
        <v>61721101</v>
      </c>
      <c r="H214" s="27">
        <v>20649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6">
        <v>0</v>
      </c>
      <c r="R214" s="6">
        <v>0</v>
      </c>
      <c r="S214" s="6">
        <v>0</v>
      </c>
      <c r="T214" s="6">
        <v>0</v>
      </c>
      <c r="U214" s="6">
        <f t="shared" si="4"/>
        <v>0</v>
      </c>
    </row>
    <row r="215" spans="2:21" x14ac:dyDescent="0.35">
      <c r="B215" t="s">
        <v>6</v>
      </c>
      <c r="C215" t="s">
        <v>1269</v>
      </c>
      <c r="D215" t="s">
        <v>508</v>
      </c>
      <c r="E215" s="2" t="s">
        <v>31</v>
      </c>
      <c r="F215">
        <v>80123102</v>
      </c>
      <c r="G215">
        <v>61721101</v>
      </c>
      <c r="H215" s="27">
        <v>16921.8</v>
      </c>
      <c r="I215" s="10">
        <v>4640.18</v>
      </c>
      <c r="J215" s="10">
        <v>0</v>
      </c>
      <c r="K215" s="10">
        <v>4462.5</v>
      </c>
      <c r="L215" s="10">
        <v>0</v>
      </c>
      <c r="M215" s="10">
        <v>2231.25</v>
      </c>
      <c r="N215" s="10">
        <v>2231.25</v>
      </c>
      <c r="O215" s="10">
        <v>0</v>
      </c>
      <c r="P215" s="10">
        <v>2231.25</v>
      </c>
      <c r="Q215" s="10">
        <v>2231.25</v>
      </c>
      <c r="R215" s="10">
        <v>2231.25</v>
      </c>
      <c r="S215" s="10">
        <v>2231.25</v>
      </c>
      <c r="T215" s="10">
        <v>2231.25</v>
      </c>
      <c r="U215" s="6">
        <f t="shared" si="4"/>
        <v>24721.43</v>
      </c>
    </row>
    <row r="216" spans="2:21" x14ac:dyDescent="0.35">
      <c r="B216" t="s">
        <v>6</v>
      </c>
      <c r="C216" t="s">
        <v>1269</v>
      </c>
      <c r="D216" t="s">
        <v>508</v>
      </c>
      <c r="E216" t="s">
        <v>509</v>
      </c>
      <c r="F216">
        <v>80123102</v>
      </c>
      <c r="G216">
        <v>61721101</v>
      </c>
      <c r="H216" s="27">
        <v>60000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6">
        <v>0</v>
      </c>
      <c r="R216" s="6">
        <v>0</v>
      </c>
      <c r="S216" s="6">
        <v>0</v>
      </c>
      <c r="T216" s="6">
        <v>0</v>
      </c>
      <c r="U216" s="6">
        <f t="shared" si="4"/>
        <v>0</v>
      </c>
    </row>
    <row r="217" spans="2:21" x14ac:dyDescent="0.35">
      <c r="B217" t="s">
        <v>6</v>
      </c>
      <c r="C217" t="s">
        <v>1269</v>
      </c>
      <c r="D217" t="s">
        <v>508</v>
      </c>
      <c r="E217" t="s">
        <v>509</v>
      </c>
      <c r="F217">
        <v>80123102</v>
      </c>
      <c r="G217">
        <v>61721101</v>
      </c>
      <c r="H217" s="27">
        <v>17532.599999999995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6">
        <v>0</v>
      </c>
      <c r="R217" s="6">
        <v>0</v>
      </c>
      <c r="S217" s="6">
        <v>0</v>
      </c>
      <c r="T217" s="6">
        <v>0</v>
      </c>
      <c r="U217" s="6">
        <f t="shared" si="4"/>
        <v>0</v>
      </c>
    </row>
    <row r="218" spans="2:21" x14ac:dyDescent="0.35">
      <c r="B218" t="s">
        <v>6</v>
      </c>
      <c r="C218" t="s">
        <v>1269</v>
      </c>
      <c r="D218" t="s">
        <v>508</v>
      </c>
      <c r="E218" s="2" t="s">
        <v>32</v>
      </c>
      <c r="F218">
        <v>80123102</v>
      </c>
      <c r="G218">
        <v>61721101</v>
      </c>
      <c r="H218" s="27">
        <v>16921.8</v>
      </c>
      <c r="I218" s="10">
        <v>3213.39</v>
      </c>
      <c r="J218" s="10">
        <v>0</v>
      </c>
      <c r="K218" s="10">
        <v>4462.5</v>
      </c>
      <c r="L218" s="10">
        <v>0</v>
      </c>
      <c r="M218" s="10">
        <v>2231.25</v>
      </c>
      <c r="N218" s="10">
        <v>2231.25</v>
      </c>
      <c r="O218" s="10">
        <v>0</v>
      </c>
      <c r="P218" s="10">
        <v>2231.25</v>
      </c>
      <c r="Q218" s="6">
        <v>2231.25</v>
      </c>
      <c r="R218" s="6">
        <v>2231.25</v>
      </c>
      <c r="S218" s="6">
        <v>2231.25</v>
      </c>
      <c r="T218" s="6">
        <v>2231.25</v>
      </c>
      <c r="U218" s="6">
        <f t="shared" si="4"/>
        <v>23294.639999999999</v>
      </c>
    </row>
    <row r="219" spans="2:21" x14ac:dyDescent="0.35">
      <c r="B219" t="s">
        <v>6</v>
      </c>
      <c r="C219" t="s">
        <v>1269</v>
      </c>
      <c r="D219" t="s">
        <v>33</v>
      </c>
      <c r="E219" s="2" t="s">
        <v>33</v>
      </c>
      <c r="F219">
        <v>80123102</v>
      </c>
      <c r="G219">
        <v>61721103</v>
      </c>
      <c r="H219" s="27">
        <v>60000</v>
      </c>
      <c r="I219" s="10">
        <v>0</v>
      </c>
      <c r="J219" s="10">
        <v>0</v>
      </c>
      <c r="K219" s="10">
        <v>1485</v>
      </c>
      <c r="L219" s="10">
        <v>0</v>
      </c>
      <c r="M219" s="10">
        <v>1569</v>
      </c>
      <c r="N219" s="10">
        <v>708</v>
      </c>
      <c r="O219" s="10">
        <v>708</v>
      </c>
      <c r="P219" s="10">
        <v>0</v>
      </c>
      <c r="Q219" s="6">
        <v>1797</v>
      </c>
      <c r="R219" s="6">
        <v>1000</v>
      </c>
      <c r="S219" s="6">
        <v>1000</v>
      </c>
      <c r="T219" s="6">
        <v>1000</v>
      </c>
      <c r="U219" s="6">
        <f t="shared" si="4"/>
        <v>9267</v>
      </c>
    </row>
    <row r="220" spans="2:21" x14ac:dyDescent="0.35">
      <c r="B220" t="s">
        <v>1270</v>
      </c>
      <c r="C220" t="s">
        <v>34</v>
      </c>
      <c r="D220" t="s">
        <v>34</v>
      </c>
      <c r="E220" t="s">
        <v>1257</v>
      </c>
      <c r="F220">
        <v>81123102</v>
      </c>
      <c r="G220">
        <v>52041499</v>
      </c>
      <c r="H220" s="27">
        <v>2584893.1121999999</v>
      </c>
      <c r="I220" s="10">
        <v>0</v>
      </c>
      <c r="J220" s="10">
        <v>205446.96</v>
      </c>
      <c r="K220" s="10">
        <v>167572.49999999997</v>
      </c>
      <c r="L220" s="10">
        <v>348461.00999999995</v>
      </c>
      <c r="M220" s="10">
        <v>0</v>
      </c>
      <c r="N220" s="10">
        <v>199667.33</v>
      </c>
      <c r="O220" s="10">
        <v>226192.28999999998</v>
      </c>
      <c r="P220" s="10">
        <v>0</v>
      </c>
      <c r="Q220" s="6">
        <v>440634.20999999996</v>
      </c>
      <c r="R220" s="6">
        <v>250000</v>
      </c>
      <c r="S220" s="6">
        <v>250000</v>
      </c>
      <c r="T220" s="6">
        <v>250000</v>
      </c>
      <c r="U220" s="6">
        <f t="shared" si="4"/>
        <v>2337974.2999999998</v>
      </c>
    </row>
    <row r="221" spans="2:21" x14ac:dyDescent="0.35">
      <c r="B221" t="s">
        <v>1270</v>
      </c>
      <c r="C221" t="s">
        <v>34</v>
      </c>
      <c r="D221" t="s">
        <v>34</v>
      </c>
      <c r="E221" t="s">
        <v>1257</v>
      </c>
      <c r="F221">
        <v>81123102</v>
      </c>
      <c r="G221">
        <v>52041499</v>
      </c>
      <c r="H221" s="27">
        <v>149223.45060000004</v>
      </c>
      <c r="I221" s="10">
        <v>0</v>
      </c>
      <c r="J221" s="10">
        <v>41835.5</v>
      </c>
      <c r="K221" s="10">
        <v>54772.020000000004</v>
      </c>
      <c r="L221" s="10">
        <v>0</v>
      </c>
      <c r="M221" s="10">
        <v>103664.57</v>
      </c>
      <c r="N221" s="10">
        <v>0</v>
      </c>
      <c r="O221" s="10">
        <v>54663.55000000001</v>
      </c>
      <c r="P221" s="10">
        <v>0</v>
      </c>
      <c r="Q221" s="6">
        <v>0</v>
      </c>
      <c r="R221" s="6">
        <v>60000</v>
      </c>
      <c r="S221" s="6">
        <v>60000</v>
      </c>
      <c r="T221" s="6">
        <v>120000</v>
      </c>
      <c r="U221" s="6">
        <f t="shared" si="4"/>
        <v>494935.64</v>
      </c>
    </row>
    <row r="222" spans="2:21" x14ac:dyDescent="0.35">
      <c r="B222" t="s">
        <v>1270</v>
      </c>
      <c r="C222" t="s">
        <v>34</v>
      </c>
      <c r="D222" t="s">
        <v>34</v>
      </c>
      <c r="E222" t="s">
        <v>1257</v>
      </c>
      <c r="F222">
        <v>81111101</v>
      </c>
      <c r="G222">
        <v>52041499</v>
      </c>
      <c r="H222" s="27">
        <v>0</v>
      </c>
      <c r="I222" s="10">
        <v>210000</v>
      </c>
      <c r="J222" s="10">
        <v>-4500</v>
      </c>
      <c r="K222" s="10">
        <v>-31293.649999999994</v>
      </c>
      <c r="L222" s="10">
        <v>-174206.35</v>
      </c>
      <c r="M222" s="10">
        <v>178503.87</v>
      </c>
      <c r="N222" s="10">
        <v>0</v>
      </c>
      <c r="O222" s="10">
        <v>-136437.35</v>
      </c>
      <c r="P222" s="10">
        <v>180000</v>
      </c>
      <c r="Q222" s="6">
        <v>-180000</v>
      </c>
      <c r="R222" s="6">
        <v>180000</v>
      </c>
      <c r="S222" s="6">
        <v>180000</v>
      </c>
      <c r="T222" s="6">
        <v>180000</v>
      </c>
      <c r="U222" s="6">
        <f t="shared" si="4"/>
        <v>582066.52</v>
      </c>
    </row>
    <row r="223" spans="2:21" x14ac:dyDescent="0.35">
      <c r="B223" t="s">
        <v>1270</v>
      </c>
      <c r="C223" t="s">
        <v>34</v>
      </c>
      <c r="D223" t="s">
        <v>34</v>
      </c>
      <c r="E223" t="s">
        <v>1257</v>
      </c>
      <c r="F223">
        <v>81111101</v>
      </c>
      <c r="G223">
        <v>52041499</v>
      </c>
      <c r="H223" s="27">
        <v>0</v>
      </c>
      <c r="I223" s="10">
        <v>45000</v>
      </c>
      <c r="J223" s="10">
        <v>500</v>
      </c>
      <c r="K223" s="10">
        <v>31791.790000000005</v>
      </c>
      <c r="L223" s="10">
        <v>26372.780000000013</v>
      </c>
      <c r="M223" s="10">
        <v>45499.74</v>
      </c>
      <c r="N223" s="10">
        <v>58271.94</v>
      </c>
      <c r="O223" s="10">
        <v>-124538.89000000001</v>
      </c>
      <c r="P223" s="10">
        <v>-3.637978807091713E-12</v>
      </c>
      <c r="Q223" s="6">
        <v>45499.740000000005</v>
      </c>
      <c r="R223" s="6"/>
      <c r="S223" s="6"/>
      <c r="T223" s="6"/>
      <c r="U223" s="6">
        <f t="shared" si="4"/>
        <v>128397.10000000002</v>
      </c>
    </row>
    <row r="224" spans="2:21" x14ac:dyDescent="0.35">
      <c r="B224" t="s">
        <v>1270</v>
      </c>
      <c r="C224" t="s">
        <v>34</v>
      </c>
      <c r="D224" t="s">
        <v>34</v>
      </c>
      <c r="E224" t="s">
        <v>1257</v>
      </c>
      <c r="F224">
        <v>81111101</v>
      </c>
      <c r="G224">
        <v>52041499</v>
      </c>
      <c r="H224" s="27">
        <v>0</v>
      </c>
      <c r="I224" s="10">
        <v>46000</v>
      </c>
      <c r="J224" s="10">
        <v>43000</v>
      </c>
      <c r="K224" s="10">
        <v>32246.909999999996</v>
      </c>
      <c r="L224" s="10">
        <v>50943.040000000001</v>
      </c>
      <c r="M224" s="10">
        <v>-136970.19</v>
      </c>
      <c r="N224" s="10">
        <v>46072.84</v>
      </c>
      <c r="O224" s="10">
        <v>-88139.359999999986</v>
      </c>
      <c r="P224" s="10">
        <v>42066.52</v>
      </c>
      <c r="Q224" s="6">
        <v>42066.52</v>
      </c>
      <c r="R224" s="6">
        <v>50000</v>
      </c>
      <c r="S224" s="6">
        <v>50000</v>
      </c>
      <c r="T224" s="6">
        <v>100000</v>
      </c>
      <c r="U224" s="6">
        <f t="shared" si="4"/>
        <v>277286.28000000003</v>
      </c>
    </row>
    <row r="225" spans="2:21" x14ac:dyDescent="0.35">
      <c r="B225" t="s">
        <v>1270</v>
      </c>
      <c r="C225" t="s">
        <v>34</v>
      </c>
      <c r="D225" t="s">
        <v>34</v>
      </c>
      <c r="E225" t="s">
        <v>1257</v>
      </c>
      <c r="F225" s="2">
        <v>81111101</v>
      </c>
      <c r="G225" s="2">
        <v>52041499</v>
      </c>
      <c r="H225" s="27">
        <v>0</v>
      </c>
      <c r="I225" s="10">
        <v>0</v>
      </c>
      <c r="J225" s="10">
        <v>0</v>
      </c>
      <c r="K225" s="10">
        <v>6846.76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6">
        <v>0</v>
      </c>
      <c r="R225" s="6">
        <v>0</v>
      </c>
      <c r="S225" s="6">
        <v>0</v>
      </c>
      <c r="T225" s="6">
        <v>0</v>
      </c>
      <c r="U225" s="6">
        <f t="shared" si="4"/>
        <v>6846.76</v>
      </c>
    </row>
    <row r="226" spans="2:21" x14ac:dyDescent="0.35">
      <c r="B226" t="s">
        <v>1270</v>
      </c>
      <c r="C226" t="s">
        <v>34</v>
      </c>
      <c r="D226" t="s">
        <v>34</v>
      </c>
      <c r="E226" t="s">
        <v>1257</v>
      </c>
      <c r="F226">
        <v>81123102</v>
      </c>
      <c r="G226">
        <v>52041499</v>
      </c>
      <c r="H226" s="27">
        <v>0</v>
      </c>
      <c r="M226" s="10">
        <v>179036.71</v>
      </c>
      <c r="N226" s="10">
        <v>0</v>
      </c>
      <c r="O226" s="10">
        <v>88139.359999999986</v>
      </c>
      <c r="P226" s="10">
        <v>0</v>
      </c>
      <c r="Q226" s="6">
        <v>0</v>
      </c>
      <c r="R226" s="6"/>
      <c r="S226" s="6"/>
      <c r="T226" s="6"/>
      <c r="U226" s="6">
        <f t="shared" si="4"/>
        <v>267176.06999999995</v>
      </c>
    </row>
    <row r="227" spans="2:21" x14ac:dyDescent="0.35">
      <c r="B227" t="s">
        <v>1270</v>
      </c>
      <c r="C227" t="s">
        <v>34</v>
      </c>
      <c r="D227" t="s">
        <v>34</v>
      </c>
      <c r="E227" t="s">
        <v>1257</v>
      </c>
      <c r="F227">
        <v>81123102</v>
      </c>
      <c r="G227">
        <v>52041499</v>
      </c>
      <c r="H227" s="27">
        <v>0</v>
      </c>
      <c r="J227" s="10">
        <v>13511.039999999997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6">
        <v>0</v>
      </c>
      <c r="R227" s="6">
        <v>0</v>
      </c>
      <c r="S227" s="6">
        <v>0</v>
      </c>
      <c r="T227" s="6">
        <v>0</v>
      </c>
      <c r="U227" s="6">
        <f t="shared" si="4"/>
        <v>13511.039999999997</v>
      </c>
    </row>
    <row r="228" spans="2:21" x14ac:dyDescent="0.35">
      <c r="B228" t="s">
        <v>1270</v>
      </c>
      <c r="C228" t="s">
        <v>34</v>
      </c>
      <c r="D228" t="s">
        <v>34</v>
      </c>
      <c r="E228" t="s">
        <v>1257</v>
      </c>
      <c r="F228">
        <v>81123102</v>
      </c>
      <c r="G228">
        <v>52041499</v>
      </c>
      <c r="H228" s="27">
        <v>580517.7840000001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6">
        <v>0</v>
      </c>
      <c r="R228" s="6">
        <v>0</v>
      </c>
      <c r="S228" s="6">
        <v>0</v>
      </c>
      <c r="T228" s="6">
        <v>0</v>
      </c>
      <c r="U228" s="6">
        <f t="shared" si="4"/>
        <v>0</v>
      </c>
    </row>
    <row r="229" spans="2:21" x14ac:dyDescent="0.35">
      <c r="B229" t="s">
        <v>1270</v>
      </c>
      <c r="C229" t="s">
        <v>34</v>
      </c>
      <c r="D229" t="s">
        <v>34</v>
      </c>
      <c r="E229" t="s">
        <v>1257</v>
      </c>
      <c r="F229">
        <v>81123102</v>
      </c>
      <c r="G229">
        <v>52041499</v>
      </c>
      <c r="H229" s="27">
        <v>34689.95459999999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6">
        <v>0</v>
      </c>
      <c r="R229" s="6">
        <v>0</v>
      </c>
      <c r="S229" s="6">
        <v>0</v>
      </c>
      <c r="T229" s="6">
        <v>0</v>
      </c>
      <c r="U229" s="6">
        <f t="shared" si="4"/>
        <v>0</v>
      </c>
    </row>
    <row r="230" spans="2:21" x14ac:dyDescent="0.35">
      <c r="B230" t="s">
        <v>1270</v>
      </c>
      <c r="C230" t="s">
        <v>34</v>
      </c>
      <c r="D230" t="s">
        <v>34</v>
      </c>
      <c r="E230" t="s">
        <v>1257</v>
      </c>
      <c r="F230">
        <v>81123102</v>
      </c>
      <c r="G230">
        <v>52041499</v>
      </c>
      <c r="H230" s="27">
        <v>1054254.6000000001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6">
        <v>0</v>
      </c>
      <c r="R230" s="6">
        <v>0</v>
      </c>
      <c r="S230" s="6">
        <v>0</v>
      </c>
      <c r="T230" s="6">
        <v>0</v>
      </c>
      <c r="U230" s="6">
        <f t="shared" si="4"/>
        <v>0</v>
      </c>
    </row>
    <row r="231" spans="2:21" x14ac:dyDescent="0.35">
      <c r="B231" t="s">
        <v>1270</v>
      </c>
      <c r="C231" t="s">
        <v>34</v>
      </c>
      <c r="D231" t="s">
        <v>34</v>
      </c>
      <c r="E231" t="s">
        <v>1257</v>
      </c>
      <c r="F231">
        <v>81123102</v>
      </c>
      <c r="G231">
        <v>52041499</v>
      </c>
      <c r="H231" s="27">
        <v>398847.76020000008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6">
        <v>0</v>
      </c>
      <c r="R231" s="6">
        <v>0</v>
      </c>
      <c r="S231" s="6">
        <v>0</v>
      </c>
      <c r="T231" s="6">
        <v>0</v>
      </c>
      <c r="U231" s="6">
        <f t="shared" si="4"/>
        <v>0</v>
      </c>
    </row>
    <row r="232" spans="2:21" x14ac:dyDescent="0.35">
      <c r="B232" t="s">
        <v>1270</v>
      </c>
      <c r="C232" t="s">
        <v>34</v>
      </c>
      <c r="D232" t="s">
        <v>34</v>
      </c>
      <c r="E232" t="s">
        <v>1257</v>
      </c>
      <c r="F232">
        <v>81123102</v>
      </c>
      <c r="G232">
        <v>52041499</v>
      </c>
      <c r="H232" s="27">
        <v>363105.03600000008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6">
        <v>0</v>
      </c>
      <c r="R232" s="6">
        <v>0</v>
      </c>
      <c r="S232" s="6">
        <v>0</v>
      </c>
      <c r="T232" s="6">
        <v>0</v>
      </c>
      <c r="U232" s="6">
        <f t="shared" si="4"/>
        <v>0</v>
      </c>
    </row>
    <row r="233" spans="2:21" x14ac:dyDescent="0.35">
      <c r="B233" t="s">
        <v>1270</v>
      </c>
      <c r="C233" t="s">
        <v>34</v>
      </c>
      <c r="D233" t="s">
        <v>34</v>
      </c>
      <c r="E233" t="s">
        <v>1257</v>
      </c>
      <c r="F233">
        <v>81123102</v>
      </c>
      <c r="G233">
        <v>52041499</v>
      </c>
      <c r="H233" s="27">
        <v>108931.51079999999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6">
        <v>0</v>
      </c>
      <c r="R233" s="6">
        <v>0</v>
      </c>
      <c r="S233" s="6">
        <v>0</v>
      </c>
      <c r="T233" s="6">
        <v>0</v>
      </c>
      <c r="U233" s="6">
        <f t="shared" si="4"/>
        <v>0</v>
      </c>
    </row>
    <row r="234" spans="2:21" x14ac:dyDescent="0.35">
      <c r="B234" t="s">
        <v>1270</v>
      </c>
      <c r="C234" t="s">
        <v>34</v>
      </c>
      <c r="D234" t="s">
        <v>35</v>
      </c>
      <c r="E234" t="s">
        <v>35</v>
      </c>
      <c r="F234">
        <v>81123102</v>
      </c>
      <c r="G234">
        <v>52041499</v>
      </c>
      <c r="H234" s="27">
        <v>1000000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6">
        <v>0</v>
      </c>
      <c r="R234" s="6">
        <v>0</v>
      </c>
      <c r="S234" s="6">
        <v>0</v>
      </c>
      <c r="T234" s="6">
        <v>0</v>
      </c>
      <c r="U234" s="6">
        <f t="shared" si="4"/>
        <v>0</v>
      </c>
    </row>
    <row r="235" spans="2:21" x14ac:dyDescent="0.35">
      <c r="B235" t="s">
        <v>1271</v>
      </c>
      <c r="C235" t="s">
        <v>1272</v>
      </c>
      <c r="D235" t="s">
        <v>35</v>
      </c>
      <c r="E235" s="2" t="s">
        <v>35</v>
      </c>
      <c r="F235">
        <v>80123102</v>
      </c>
      <c r="G235">
        <v>61071099</v>
      </c>
      <c r="H235" s="27">
        <v>0</v>
      </c>
      <c r="I235" s="10">
        <v>139285.71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6">
        <v>150000</v>
      </c>
      <c r="R235" s="6"/>
      <c r="S235" s="6"/>
      <c r="T235" s="6"/>
      <c r="U235" s="6">
        <f t="shared" si="4"/>
        <v>289285.70999999996</v>
      </c>
    </row>
    <row r="236" spans="2:21" x14ac:dyDescent="0.35">
      <c r="B236" t="s">
        <v>1270</v>
      </c>
      <c r="C236" t="s">
        <v>34</v>
      </c>
      <c r="D236" t="s">
        <v>34</v>
      </c>
      <c r="E236" t="s">
        <v>1258</v>
      </c>
      <c r="F236">
        <v>81319101</v>
      </c>
      <c r="G236">
        <v>52041499</v>
      </c>
      <c r="H236" s="27">
        <v>0</v>
      </c>
      <c r="I236" s="10">
        <v>0</v>
      </c>
      <c r="J236" s="10">
        <v>0</v>
      </c>
      <c r="K236" s="10">
        <v>173658.40000000002</v>
      </c>
      <c r="L236" s="10">
        <v>72695.100000000006</v>
      </c>
      <c r="M236" s="10">
        <v>56354.7</v>
      </c>
      <c r="N236" s="10">
        <v>59245.52</v>
      </c>
      <c r="O236" s="10">
        <v>67471.98</v>
      </c>
      <c r="P236" s="10">
        <v>0</v>
      </c>
      <c r="Q236" s="7">
        <v>32609.48</v>
      </c>
      <c r="R236" s="7">
        <v>65000</v>
      </c>
      <c r="S236" s="7">
        <v>65000</v>
      </c>
      <c r="T236" s="7">
        <v>130000</v>
      </c>
      <c r="U236" s="6">
        <f t="shared" si="4"/>
        <v>722035.17999999993</v>
      </c>
    </row>
    <row r="237" spans="2:21" x14ac:dyDescent="0.35">
      <c r="B237" t="s">
        <v>1270</v>
      </c>
      <c r="C237" t="s">
        <v>34</v>
      </c>
      <c r="D237" t="s">
        <v>34</v>
      </c>
      <c r="E237" t="s">
        <v>1258</v>
      </c>
      <c r="F237">
        <v>81319101</v>
      </c>
      <c r="G237">
        <v>52041499</v>
      </c>
      <c r="H237" s="27">
        <v>0</v>
      </c>
      <c r="I237" s="10">
        <v>40418.32</v>
      </c>
      <c r="J237" s="10">
        <v>69347.47</v>
      </c>
      <c r="K237" s="10">
        <v>173108.88</v>
      </c>
      <c r="L237" s="10">
        <v>183854.28999999998</v>
      </c>
      <c r="M237" s="10">
        <v>126790.27</v>
      </c>
      <c r="N237" s="10">
        <v>200621.91999999998</v>
      </c>
      <c r="O237" s="10">
        <v>126290.06</v>
      </c>
      <c r="P237" s="10">
        <v>124102.7</v>
      </c>
      <c r="Q237" s="6">
        <v>101848.01000000001</v>
      </c>
      <c r="R237" s="6">
        <v>135000</v>
      </c>
      <c r="S237" s="6">
        <v>135000</v>
      </c>
      <c r="T237" s="6">
        <v>135000</v>
      </c>
      <c r="U237" s="6">
        <f t="shared" si="4"/>
        <v>1551381.92</v>
      </c>
    </row>
    <row r="238" spans="2:21" x14ac:dyDescent="0.35">
      <c r="B238" t="s">
        <v>1270</v>
      </c>
      <c r="C238" t="s">
        <v>34</v>
      </c>
      <c r="D238" t="s">
        <v>34</v>
      </c>
      <c r="E238" t="s">
        <v>1258</v>
      </c>
      <c r="F238">
        <v>81319101</v>
      </c>
      <c r="G238">
        <v>52041499</v>
      </c>
      <c r="H238" s="27">
        <v>0</v>
      </c>
      <c r="I238" s="10">
        <v>0</v>
      </c>
      <c r="J238" s="10">
        <v>0</v>
      </c>
      <c r="K238" s="10">
        <v>80041</v>
      </c>
      <c r="L238" s="10">
        <v>0</v>
      </c>
      <c r="M238" s="10">
        <v>28490.26</v>
      </c>
      <c r="N238" s="10">
        <v>90858.470000000016</v>
      </c>
      <c r="O238" s="10">
        <v>33048.699999999997</v>
      </c>
      <c r="P238" s="10">
        <v>22561.9</v>
      </c>
      <c r="Q238" s="6">
        <v>21994.48</v>
      </c>
      <c r="R238" s="6">
        <v>30000</v>
      </c>
      <c r="S238" s="6">
        <v>30000</v>
      </c>
      <c r="T238" s="6">
        <v>30000</v>
      </c>
      <c r="U238" s="6">
        <f t="shared" si="4"/>
        <v>366994.81</v>
      </c>
    </row>
    <row r="239" spans="2:21" x14ac:dyDescent="0.35">
      <c r="B239" t="s">
        <v>1270</v>
      </c>
      <c r="C239" t="s">
        <v>34</v>
      </c>
      <c r="D239" t="s">
        <v>34</v>
      </c>
      <c r="E239" t="s">
        <v>1258</v>
      </c>
      <c r="F239">
        <v>81319101</v>
      </c>
      <c r="G239">
        <v>52041499</v>
      </c>
      <c r="H239" s="27">
        <v>0</v>
      </c>
      <c r="I239" s="10">
        <v>49107.19</v>
      </c>
      <c r="J239" s="10">
        <v>0</v>
      </c>
      <c r="K239" s="10">
        <v>62977.97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6">
        <v>0</v>
      </c>
      <c r="R239" s="6">
        <v>0</v>
      </c>
      <c r="S239" s="6">
        <v>0</v>
      </c>
      <c r="T239" s="6">
        <v>0</v>
      </c>
      <c r="U239" s="6">
        <f t="shared" si="4"/>
        <v>112085.16</v>
      </c>
    </row>
    <row r="240" spans="2:21" x14ac:dyDescent="0.35">
      <c r="B240" t="s">
        <v>1270</v>
      </c>
      <c r="C240" t="s">
        <v>34</v>
      </c>
      <c r="D240" t="s">
        <v>34</v>
      </c>
      <c r="E240" t="s">
        <v>1258</v>
      </c>
      <c r="F240" s="2">
        <v>81319101</v>
      </c>
      <c r="G240" s="2">
        <v>52041499</v>
      </c>
      <c r="H240" s="27">
        <v>0</v>
      </c>
      <c r="I240" s="10">
        <v>0</v>
      </c>
      <c r="J240" s="10">
        <v>0</v>
      </c>
      <c r="K240" s="10">
        <v>0</v>
      </c>
      <c r="L240" s="10">
        <v>77460.06</v>
      </c>
      <c r="M240" s="10">
        <v>78231.520000000004</v>
      </c>
      <c r="N240" s="10">
        <v>191941.05</v>
      </c>
      <c r="O240" s="10">
        <v>0</v>
      </c>
      <c r="P240" s="10">
        <v>0</v>
      </c>
      <c r="Q240" s="6">
        <v>0</v>
      </c>
      <c r="R240" s="6"/>
      <c r="S240" s="6"/>
      <c r="T240" s="6"/>
      <c r="U240" s="6">
        <f t="shared" si="4"/>
        <v>347632.63</v>
      </c>
    </row>
    <row r="241" spans="2:21" x14ac:dyDescent="0.35">
      <c r="B241" t="s">
        <v>1270</v>
      </c>
      <c r="C241" t="s">
        <v>1273</v>
      </c>
      <c r="D241" t="s">
        <v>36</v>
      </c>
      <c r="E241" s="2" t="s">
        <v>37</v>
      </c>
      <c r="F241">
        <v>90122101</v>
      </c>
      <c r="G241">
        <v>52041499</v>
      </c>
      <c r="H241" s="27">
        <v>780000</v>
      </c>
      <c r="I241" s="10">
        <v>0</v>
      </c>
      <c r="J241" s="10">
        <v>0</v>
      </c>
      <c r="K241" s="10">
        <v>42208.2</v>
      </c>
      <c r="L241" s="10">
        <v>77381.7</v>
      </c>
      <c r="M241" s="10">
        <v>0</v>
      </c>
      <c r="N241" s="10">
        <v>46898</v>
      </c>
      <c r="O241" s="10">
        <v>46898</v>
      </c>
      <c r="P241" s="10">
        <v>86761.299999999988</v>
      </c>
      <c r="Q241" s="6">
        <v>0</v>
      </c>
      <c r="R241" s="6">
        <v>46898</v>
      </c>
      <c r="S241" s="6">
        <v>46898</v>
      </c>
      <c r="T241" s="6">
        <v>46898</v>
      </c>
      <c r="U241" s="6">
        <f t="shared" si="4"/>
        <v>440841.19999999995</v>
      </c>
    </row>
    <row r="242" spans="2:21" x14ac:dyDescent="0.35">
      <c r="B242" t="s">
        <v>1270</v>
      </c>
      <c r="C242" t="s">
        <v>1273</v>
      </c>
      <c r="D242" t="s">
        <v>36</v>
      </c>
      <c r="E242" t="s">
        <v>559</v>
      </c>
      <c r="F242">
        <v>90122101</v>
      </c>
      <c r="G242">
        <v>52041499</v>
      </c>
      <c r="H242" s="27">
        <v>40000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6">
        <v>0</v>
      </c>
      <c r="R242" s="6">
        <v>0</v>
      </c>
      <c r="S242" s="6">
        <v>0</v>
      </c>
      <c r="T242" s="6">
        <v>0</v>
      </c>
      <c r="U242" s="6">
        <f t="shared" si="4"/>
        <v>0</v>
      </c>
    </row>
    <row r="243" spans="2:21" x14ac:dyDescent="0.35">
      <c r="B243" t="s">
        <v>1270</v>
      </c>
      <c r="C243" t="s">
        <v>1273</v>
      </c>
      <c r="D243" t="s">
        <v>38</v>
      </c>
      <c r="E243" s="2" t="s">
        <v>562</v>
      </c>
      <c r="F243">
        <v>80133102</v>
      </c>
      <c r="G243">
        <v>61051199</v>
      </c>
      <c r="H243" s="27">
        <v>722399.99999999988</v>
      </c>
      <c r="I243" s="10">
        <v>253750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51520</v>
      </c>
      <c r="P243" s="10">
        <v>0</v>
      </c>
      <c r="Q243" s="6">
        <v>0</v>
      </c>
      <c r="R243" s="6">
        <v>0</v>
      </c>
      <c r="S243" s="6">
        <v>0</v>
      </c>
      <c r="T243" s="6">
        <v>330000</v>
      </c>
      <c r="U243" s="6">
        <f t="shared" si="4"/>
        <v>635270</v>
      </c>
    </row>
    <row r="244" spans="2:21" x14ac:dyDescent="0.35">
      <c r="B244" t="s">
        <v>1270</v>
      </c>
      <c r="C244" t="s">
        <v>40</v>
      </c>
      <c r="D244" t="s">
        <v>40</v>
      </c>
      <c r="E244" t="s">
        <v>40</v>
      </c>
      <c r="F244">
        <v>81123102</v>
      </c>
      <c r="G244">
        <v>52041405</v>
      </c>
      <c r="H244" s="27">
        <v>375262.48619999993</v>
      </c>
      <c r="I244" s="10">
        <v>0</v>
      </c>
      <c r="J244" s="10">
        <v>24581.99</v>
      </c>
      <c r="K244" s="10">
        <v>42906.81</v>
      </c>
      <c r="L244" s="10">
        <v>0</v>
      </c>
      <c r="M244" s="10">
        <v>85700.040000000008</v>
      </c>
      <c r="N244" s="10">
        <v>0</v>
      </c>
      <c r="O244" s="10">
        <v>49380.06</v>
      </c>
      <c r="P244" s="10">
        <v>0</v>
      </c>
      <c r="Q244" s="6">
        <v>0</v>
      </c>
      <c r="R244" s="6">
        <v>30000</v>
      </c>
      <c r="S244" s="6">
        <v>30000</v>
      </c>
      <c r="T244" s="6">
        <v>30000</v>
      </c>
      <c r="U244" s="6">
        <f t="shared" si="4"/>
        <v>292568.90000000002</v>
      </c>
    </row>
    <row r="245" spans="2:21" x14ac:dyDescent="0.35">
      <c r="B245" t="s">
        <v>1270</v>
      </c>
      <c r="C245" t="s">
        <v>40</v>
      </c>
      <c r="D245" t="s">
        <v>40</v>
      </c>
      <c r="E245" t="s">
        <v>40</v>
      </c>
      <c r="F245">
        <v>81123102</v>
      </c>
      <c r="G245">
        <v>52041405</v>
      </c>
      <c r="H245" s="27">
        <v>375262.02000000008</v>
      </c>
      <c r="I245" s="10">
        <v>0</v>
      </c>
      <c r="J245" s="10">
        <v>182261.86</v>
      </c>
      <c r="K245" s="10">
        <v>273918.73</v>
      </c>
      <c r="L245" s="10">
        <v>441069.27999999997</v>
      </c>
      <c r="M245" s="10">
        <v>0</v>
      </c>
      <c r="N245" s="10">
        <v>180770.87</v>
      </c>
      <c r="O245" s="10">
        <v>244048.72</v>
      </c>
      <c r="P245" s="10">
        <v>0</v>
      </c>
      <c r="Q245" s="6">
        <v>506651.12000000005</v>
      </c>
      <c r="R245" s="6">
        <v>215000</v>
      </c>
      <c r="S245" s="6">
        <v>215000</v>
      </c>
      <c r="T245" s="6">
        <v>215000</v>
      </c>
      <c r="U245" s="6">
        <f t="shared" si="4"/>
        <v>2473720.58</v>
      </c>
    </row>
    <row r="246" spans="2:21" x14ac:dyDescent="0.35">
      <c r="B246" t="s">
        <v>1270</v>
      </c>
      <c r="C246" t="s">
        <v>40</v>
      </c>
      <c r="D246" t="s">
        <v>40</v>
      </c>
      <c r="E246" t="s">
        <v>40</v>
      </c>
      <c r="F246">
        <v>81123102</v>
      </c>
      <c r="G246">
        <v>52041405</v>
      </c>
      <c r="H246" s="27">
        <v>0</v>
      </c>
      <c r="I246" s="10">
        <v>0</v>
      </c>
      <c r="J246" s="10">
        <v>0</v>
      </c>
      <c r="K246" s="10">
        <v>57308.44</v>
      </c>
      <c r="L246" s="10">
        <v>0</v>
      </c>
      <c r="M246" s="10">
        <v>171925.32</v>
      </c>
      <c r="N246" s="10">
        <v>0</v>
      </c>
      <c r="O246" s="10">
        <v>57308.44</v>
      </c>
      <c r="P246" s="10">
        <v>0</v>
      </c>
      <c r="Q246" s="6">
        <v>0</v>
      </c>
      <c r="R246" s="6">
        <v>0</v>
      </c>
      <c r="S246" s="6">
        <v>0</v>
      </c>
      <c r="T246" s="6">
        <v>0</v>
      </c>
      <c r="U246" s="6">
        <f t="shared" si="4"/>
        <v>286542.2</v>
      </c>
    </row>
    <row r="247" spans="2:21" x14ac:dyDescent="0.35">
      <c r="B247" t="s">
        <v>1270</v>
      </c>
      <c r="C247" t="s">
        <v>40</v>
      </c>
      <c r="D247" t="s">
        <v>40</v>
      </c>
      <c r="E247" t="s">
        <v>40</v>
      </c>
      <c r="F247">
        <v>81111101</v>
      </c>
      <c r="G247">
        <v>52041405</v>
      </c>
      <c r="H247" s="27">
        <v>0</v>
      </c>
      <c r="I247" s="10">
        <v>44000</v>
      </c>
      <c r="J247" s="10">
        <v>-24000</v>
      </c>
      <c r="K247" s="10">
        <v>-20000</v>
      </c>
      <c r="L247" s="10">
        <v>63483.650000000009</v>
      </c>
      <c r="M247" s="10">
        <v>24581.99</v>
      </c>
      <c r="N247" s="10">
        <v>73724.55</v>
      </c>
      <c r="O247" s="10">
        <v>-129863.45000000003</v>
      </c>
      <c r="P247" s="10">
        <v>0</v>
      </c>
      <c r="Q247" s="6">
        <v>24581.99</v>
      </c>
      <c r="R247" s="6"/>
      <c r="S247" s="6"/>
      <c r="T247" s="6"/>
      <c r="U247" s="6">
        <f t="shared" si="4"/>
        <v>56508.729999999981</v>
      </c>
    </row>
    <row r="248" spans="2:21" x14ac:dyDescent="0.35">
      <c r="B248" t="s">
        <v>1270</v>
      </c>
      <c r="C248" t="s">
        <v>40</v>
      </c>
      <c r="D248" t="s">
        <v>40</v>
      </c>
      <c r="E248" t="s">
        <v>40</v>
      </c>
      <c r="F248">
        <v>81111101</v>
      </c>
      <c r="G248">
        <v>52041405</v>
      </c>
      <c r="H248" s="27">
        <v>0</v>
      </c>
      <c r="I248" s="10">
        <v>183000</v>
      </c>
      <c r="J248" s="10">
        <v>-500</v>
      </c>
      <c r="K248" s="10">
        <v>-182500</v>
      </c>
      <c r="L248" s="10">
        <v>-182261.86</v>
      </c>
      <c r="M248" s="10">
        <v>282617.03999999998</v>
      </c>
      <c r="N248" s="10">
        <v>22899.279999999999</v>
      </c>
      <c r="O248" s="10">
        <v>-305516.32</v>
      </c>
      <c r="P248" s="10">
        <v>245000</v>
      </c>
      <c r="Q248" s="6">
        <v>-220000</v>
      </c>
      <c r="R248" s="6"/>
      <c r="S248" s="6"/>
      <c r="T248" s="6"/>
      <c r="U248" s="6">
        <f t="shared" si="4"/>
        <v>-157261.86000000002</v>
      </c>
    </row>
    <row r="249" spans="2:21" x14ac:dyDescent="0.35">
      <c r="B249" t="s">
        <v>1270</v>
      </c>
      <c r="C249" t="s">
        <v>40</v>
      </c>
      <c r="D249" t="s">
        <v>40</v>
      </c>
      <c r="E249" t="s">
        <v>40</v>
      </c>
      <c r="F249">
        <v>81111101</v>
      </c>
      <c r="G249">
        <v>52041405</v>
      </c>
      <c r="H249" s="27">
        <v>0</v>
      </c>
      <c r="I249" s="10">
        <v>58000</v>
      </c>
      <c r="J249" s="10">
        <v>57000</v>
      </c>
      <c r="K249" s="10">
        <v>-383.11999999999534</v>
      </c>
      <c r="L249" s="10">
        <v>57308.44</v>
      </c>
      <c r="M249" s="10">
        <v>-137132.10999999999</v>
      </c>
      <c r="N249" s="10">
        <v>57308.44</v>
      </c>
      <c r="O249" s="10">
        <v>0</v>
      </c>
      <c r="P249" s="10">
        <v>57308.44</v>
      </c>
      <c r="Q249" s="6">
        <v>57308.44</v>
      </c>
      <c r="R249" s="6">
        <v>58000</v>
      </c>
      <c r="S249" s="6">
        <v>58000</v>
      </c>
      <c r="T249" s="6">
        <v>58000</v>
      </c>
      <c r="U249" s="6">
        <f t="shared" si="4"/>
        <v>380718.53</v>
      </c>
    </row>
    <row r="250" spans="2:21" x14ac:dyDescent="0.35">
      <c r="B250" t="s">
        <v>1270</v>
      </c>
      <c r="C250" t="s">
        <v>40</v>
      </c>
      <c r="D250" t="s">
        <v>40</v>
      </c>
      <c r="E250" t="s">
        <v>40</v>
      </c>
      <c r="F250">
        <v>81123102</v>
      </c>
      <c r="G250">
        <v>52041405</v>
      </c>
      <c r="H250" s="27">
        <v>354221.33040000009</v>
      </c>
      <c r="I250" s="10">
        <v>0</v>
      </c>
      <c r="J250" s="10">
        <v>0</v>
      </c>
      <c r="K250" s="6"/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6">
        <v>0</v>
      </c>
      <c r="R250" s="6">
        <v>0</v>
      </c>
      <c r="S250" s="6">
        <v>0</v>
      </c>
      <c r="T250" s="6">
        <v>0</v>
      </c>
      <c r="U250" s="6">
        <f t="shared" si="4"/>
        <v>0</v>
      </c>
    </row>
    <row r="251" spans="2:21" x14ac:dyDescent="0.35">
      <c r="B251" t="s">
        <v>1270</v>
      </c>
      <c r="C251" t="s">
        <v>40</v>
      </c>
      <c r="D251" t="s">
        <v>40</v>
      </c>
      <c r="E251" t="s">
        <v>40</v>
      </c>
      <c r="F251">
        <v>81123102</v>
      </c>
      <c r="G251">
        <v>52041405</v>
      </c>
      <c r="H251" s="27">
        <v>354221.27999999997</v>
      </c>
      <c r="I251" s="10">
        <v>0</v>
      </c>
      <c r="J251" s="10">
        <v>0</v>
      </c>
      <c r="K251" s="6"/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6">
        <v>0</v>
      </c>
      <c r="R251" s="6">
        <v>0</v>
      </c>
      <c r="S251" s="6">
        <v>0</v>
      </c>
      <c r="T251" s="6">
        <v>0</v>
      </c>
      <c r="U251" s="6">
        <f t="shared" si="4"/>
        <v>0</v>
      </c>
    </row>
    <row r="252" spans="2:21" x14ac:dyDescent="0.35">
      <c r="B252" t="s">
        <v>1270</v>
      </c>
      <c r="C252" t="s">
        <v>40</v>
      </c>
      <c r="D252" t="s">
        <v>40</v>
      </c>
      <c r="E252" t="s">
        <v>40</v>
      </c>
      <c r="F252">
        <v>81123102</v>
      </c>
      <c r="G252">
        <v>52041405</v>
      </c>
      <c r="H252" s="27">
        <v>345825.52200000011</v>
      </c>
      <c r="I252" s="10">
        <v>0</v>
      </c>
      <c r="J252" s="10">
        <v>0</v>
      </c>
      <c r="K252" s="6"/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6">
        <v>0</v>
      </c>
      <c r="R252" s="6">
        <v>0</v>
      </c>
      <c r="S252" s="6">
        <v>0</v>
      </c>
      <c r="T252" s="6">
        <v>0</v>
      </c>
      <c r="U252" s="6">
        <f t="shared" si="4"/>
        <v>0</v>
      </c>
    </row>
    <row r="253" spans="2:21" x14ac:dyDescent="0.35">
      <c r="B253" t="s">
        <v>1270</v>
      </c>
      <c r="C253" t="s">
        <v>40</v>
      </c>
      <c r="D253" t="s">
        <v>40</v>
      </c>
      <c r="E253" t="s">
        <v>40</v>
      </c>
      <c r="F253">
        <v>81123102</v>
      </c>
      <c r="G253">
        <v>52041405</v>
      </c>
      <c r="H253" s="27">
        <v>346899.54600000003</v>
      </c>
      <c r="I253" s="10">
        <v>0</v>
      </c>
      <c r="J253" s="10">
        <v>0</v>
      </c>
      <c r="K253" s="6"/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6">
        <v>0</v>
      </c>
      <c r="R253" s="6">
        <v>0</v>
      </c>
      <c r="S253" s="6">
        <v>0</v>
      </c>
      <c r="T253" s="6">
        <v>0</v>
      </c>
      <c r="U253" s="6">
        <f t="shared" si="4"/>
        <v>0</v>
      </c>
    </row>
    <row r="254" spans="2:21" x14ac:dyDescent="0.35">
      <c r="B254" t="s">
        <v>1270</v>
      </c>
      <c r="C254" t="s">
        <v>40</v>
      </c>
      <c r="D254" t="s">
        <v>40</v>
      </c>
      <c r="E254" t="s">
        <v>40</v>
      </c>
      <c r="F254">
        <v>81123102</v>
      </c>
      <c r="G254">
        <v>52041405</v>
      </c>
      <c r="H254" s="27">
        <v>364087.36979999999</v>
      </c>
      <c r="I254" s="10">
        <v>0</v>
      </c>
      <c r="J254" s="10">
        <v>0</v>
      </c>
      <c r="K254" s="6"/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6">
        <v>0</v>
      </c>
      <c r="R254" s="6">
        <v>0</v>
      </c>
      <c r="S254" s="6">
        <v>0</v>
      </c>
      <c r="T254" s="6">
        <v>0</v>
      </c>
      <c r="U254" s="6">
        <f t="shared" si="4"/>
        <v>0</v>
      </c>
    </row>
    <row r="255" spans="2:21" x14ac:dyDescent="0.35">
      <c r="B255" t="s">
        <v>1270</v>
      </c>
      <c r="C255" t="s">
        <v>40</v>
      </c>
      <c r="D255" t="s">
        <v>40</v>
      </c>
      <c r="E255" t="s">
        <v>40</v>
      </c>
      <c r="F255">
        <v>81123102</v>
      </c>
      <c r="G255">
        <v>52041405</v>
      </c>
      <c r="H255" s="27">
        <v>346899.54600000003</v>
      </c>
      <c r="I255" s="10">
        <v>0</v>
      </c>
      <c r="J255" s="10">
        <v>0</v>
      </c>
      <c r="K255" s="6"/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6">
        <v>0</v>
      </c>
      <c r="R255" s="6">
        <v>0</v>
      </c>
      <c r="S255" s="6">
        <v>0</v>
      </c>
      <c r="T255" s="6">
        <v>0</v>
      </c>
      <c r="U255" s="6">
        <f t="shared" si="4"/>
        <v>0</v>
      </c>
    </row>
    <row r="256" spans="2:21" x14ac:dyDescent="0.35">
      <c r="B256" t="s">
        <v>1270</v>
      </c>
      <c r="C256" t="s">
        <v>40</v>
      </c>
      <c r="D256" t="s">
        <v>40</v>
      </c>
      <c r="E256" t="s">
        <v>40</v>
      </c>
      <c r="F256">
        <v>81123102</v>
      </c>
      <c r="G256">
        <v>52041405</v>
      </c>
      <c r="H256" s="27">
        <v>346899.54600000003</v>
      </c>
      <c r="I256" s="10">
        <v>0</v>
      </c>
      <c r="J256" s="10">
        <v>0</v>
      </c>
      <c r="K256" s="6"/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6">
        <v>0</v>
      </c>
      <c r="R256" s="6">
        <v>0</v>
      </c>
      <c r="S256" s="6">
        <v>0</v>
      </c>
      <c r="T256" s="6">
        <v>0</v>
      </c>
      <c r="U256" s="6">
        <f t="shared" si="4"/>
        <v>0</v>
      </c>
    </row>
    <row r="257" spans="2:21" x14ac:dyDescent="0.35">
      <c r="B257" t="s">
        <v>1270</v>
      </c>
      <c r="C257" t="s">
        <v>40</v>
      </c>
      <c r="D257" t="s">
        <v>40</v>
      </c>
      <c r="E257" t="s">
        <v>40</v>
      </c>
      <c r="F257">
        <v>81123102</v>
      </c>
      <c r="G257">
        <v>52041405</v>
      </c>
      <c r="H257" s="27">
        <v>46907.810774999991</v>
      </c>
      <c r="I257" s="10">
        <v>0</v>
      </c>
      <c r="J257" s="10">
        <v>0</v>
      </c>
      <c r="K257" s="6"/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6">
        <v>0</v>
      </c>
      <c r="R257" s="6">
        <v>0</v>
      </c>
      <c r="S257" s="6">
        <v>0</v>
      </c>
      <c r="T257" s="6">
        <v>0</v>
      </c>
      <c r="U257" s="6">
        <f t="shared" si="4"/>
        <v>0</v>
      </c>
    </row>
    <row r="258" spans="2:21" x14ac:dyDescent="0.35">
      <c r="B258" t="s">
        <v>1270</v>
      </c>
      <c r="C258" t="s">
        <v>40</v>
      </c>
      <c r="D258" t="s">
        <v>40</v>
      </c>
      <c r="E258" t="s">
        <v>40</v>
      </c>
      <c r="F258">
        <v>81123102</v>
      </c>
      <c r="G258">
        <v>52041405</v>
      </c>
      <c r="H258" s="27">
        <v>140723.25750000001</v>
      </c>
      <c r="I258" s="10">
        <v>0</v>
      </c>
      <c r="J258" s="10">
        <v>0</v>
      </c>
      <c r="K258" s="6"/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6">
        <v>0</v>
      </c>
      <c r="R258" s="6">
        <v>0</v>
      </c>
      <c r="S258" s="6">
        <v>0</v>
      </c>
      <c r="T258" s="6">
        <v>0</v>
      </c>
      <c r="U258" s="6">
        <f t="shared" si="4"/>
        <v>0</v>
      </c>
    </row>
    <row r="259" spans="2:21" x14ac:dyDescent="0.35">
      <c r="B259" t="s">
        <v>1270</v>
      </c>
      <c r="C259" t="s">
        <v>40</v>
      </c>
      <c r="D259" t="s">
        <v>40</v>
      </c>
      <c r="E259" t="s">
        <v>40</v>
      </c>
      <c r="F259">
        <v>81123102</v>
      </c>
      <c r="G259">
        <v>52041405</v>
      </c>
      <c r="H259" s="27">
        <v>88555.332600000023</v>
      </c>
      <c r="I259" s="10">
        <v>0</v>
      </c>
      <c r="J259" s="10">
        <v>0</v>
      </c>
      <c r="K259" s="6"/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6">
        <v>0</v>
      </c>
      <c r="R259" s="6">
        <v>0</v>
      </c>
      <c r="S259" s="6">
        <v>0</v>
      </c>
      <c r="T259" s="6">
        <v>0</v>
      </c>
      <c r="U259" s="6">
        <f t="shared" si="4"/>
        <v>0</v>
      </c>
    </row>
    <row r="260" spans="2:21" x14ac:dyDescent="0.35">
      <c r="B260" t="s">
        <v>1270</v>
      </c>
      <c r="C260" t="s">
        <v>40</v>
      </c>
      <c r="D260" t="s">
        <v>40</v>
      </c>
      <c r="E260" t="s">
        <v>40</v>
      </c>
      <c r="F260">
        <v>81123102</v>
      </c>
      <c r="G260">
        <v>52041405</v>
      </c>
      <c r="H260" s="27">
        <v>88555.319999999992</v>
      </c>
      <c r="I260" s="10">
        <v>0</v>
      </c>
      <c r="J260" s="10">
        <v>0</v>
      </c>
      <c r="K260" s="6"/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6">
        <v>0</v>
      </c>
      <c r="R260" s="6">
        <v>0</v>
      </c>
      <c r="S260" s="6">
        <v>0</v>
      </c>
      <c r="T260" s="6">
        <v>0</v>
      </c>
      <c r="U260" s="6">
        <f t="shared" si="4"/>
        <v>0</v>
      </c>
    </row>
    <row r="261" spans="2:21" x14ac:dyDescent="0.35">
      <c r="B261" t="s">
        <v>1270</v>
      </c>
      <c r="C261" t="s">
        <v>40</v>
      </c>
      <c r="D261" t="s">
        <v>40</v>
      </c>
      <c r="E261" t="s">
        <v>40</v>
      </c>
      <c r="F261">
        <v>81123102</v>
      </c>
      <c r="G261">
        <v>52041405</v>
      </c>
      <c r="H261" s="27">
        <v>86456.380500000028</v>
      </c>
      <c r="I261" s="10">
        <v>0</v>
      </c>
      <c r="J261" s="10">
        <v>0</v>
      </c>
      <c r="K261" s="6"/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6">
        <v>0</v>
      </c>
      <c r="R261" s="6">
        <v>0</v>
      </c>
      <c r="S261" s="6">
        <v>0</v>
      </c>
      <c r="T261" s="6">
        <v>0</v>
      </c>
      <c r="U261" s="6">
        <f t="shared" ref="U261:U324" si="5">SUM(I261:T261)</f>
        <v>0</v>
      </c>
    </row>
    <row r="262" spans="2:21" x14ac:dyDescent="0.35">
      <c r="B262" t="s">
        <v>6</v>
      </c>
      <c r="C262" t="s">
        <v>1269</v>
      </c>
      <c r="D262" t="s">
        <v>508</v>
      </c>
      <c r="E262" s="2" t="s">
        <v>30</v>
      </c>
      <c r="F262">
        <v>81123102</v>
      </c>
      <c r="G262">
        <v>52951101</v>
      </c>
      <c r="H262" s="27">
        <v>1546120</v>
      </c>
      <c r="I262" s="10">
        <v>139401.9500000001</v>
      </c>
      <c r="J262" s="10">
        <v>100098.10000000012</v>
      </c>
      <c r="K262" s="10">
        <v>152674.64000000036</v>
      </c>
      <c r="L262" s="10">
        <v>149027.81000000011</v>
      </c>
      <c r="M262" s="10">
        <v>110554.60000000011</v>
      </c>
      <c r="N262" s="10">
        <v>148827.77000000014</v>
      </c>
      <c r="O262" s="10">
        <v>34828.220000000147</v>
      </c>
      <c r="P262" s="10">
        <v>299819.83000000101</v>
      </c>
      <c r="Q262" s="6">
        <v>105327.97000000019</v>
      </c>
      <c r="R262" s="6">
        <v>150000</v>
      </c>
      <c r="S262" s="6">
        <v>150000</v>
      </c>
      <c r="T262" s="6">
        <v>150000</v>
      </c>
      <c r="U262" s="6">
        <f t="shared" si="5"/>
        <v>1690560.8900000022</v>
      </c>
    </row>
    <row r="263" spans="2:21" x14ac:dyDescent="0.35">
      <c r="B263" t="s">
        <v>6</v>
      </c>
      <c r="C263" t="s">
        <v>22</v>
      </c>
      <c r="D263" t="s">
        <v>8</v>
      </c>
      <c r="E263" t="s">
        <v>9</v>
      </c>
      <c r="F263">
        <v>80124101</v>
      </c>
      <c r="G263">
        <v>61111102</v>
      </c>
      <c r="H263" s="27">
        <v>480.18643979692615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6"/>
      <c r="R263" s="6"/>
      <c r="S263" s="6"/>
      <c r="T263" s="6"/>
      <c r="U263" s="6">
        <f t="shared" si="5"/>
        <v>0</v>
      </c>
    </row>
    <row r="264" spans="2:21" x14ac:dyDescent="0.35">
      <c r="B264" t="s">
        <v>6</v>
      </c>
      <c r="C264" t="s">
        <v>22</v>
      </c>
      <c r="D264" t="s">
        <v>8</v>
      </c>
      <c r="E264" t="s">
        <v>9</v>
      </c>
      <c r="F264">
        <v>81124101</v>
      </c>
      <c r="G264">
        <v>52111102</v>
      </c>
      <c r="H264" s="27">
        <v>480.18643979692615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6"/>
      <c r="R264" s="6"/>
      <c r="S264" s="6"/>
      <c r="T264" s="6"/>
      <c r="U264" s="6">
        <f t="shared" si="5"/>
        <v>0</v>
      </c>
    </row>
    <row r="265" spans="2:21" x14ac:dyDescent="0.35">
      <c r="B265" t="s">
        <v>1274</v>
      </c>
      <c r="D265" t="s">
        <v>42</v>
      </c>
      <c r="E265" s="2" t="s">
        <v>43</v>
      </c>
      <c r="F265">
        <v>80124101</v>
      </c>
      <c r="G265">
        <v>61711102</v>
      </c>
      <c r="H265" s="27">
        <v>268950.88570595952</v>
      </c>
      <c r="I265" s="10">
        <v>21123.95</v>
      </c>
      <c r="J265" s="10">
        <v>21123.95</v>
      </c>
      <c r="K265" s="10">
        <v>14309.77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6">
        <v>0</v>
      </c>
      <c r="R265" s="6">
        <v>19866.400000000001</v>
      </c>
      <c r="S265" s="6">
        <v>19866.400000000001</v>
      </c>
      <c r="T265" s="6">
        <v>19866.400000000001</v>
      </c>
      <c r="U265" s="6">
        <f t="shared" si="5"/>
        <v>116156.87</v>
      </c>
    </row>
    <row r="266" spans="2:21" x14ac:dyDescent="0.35">
      <c r="B266" t="s">
        <v>1274</v>
      </c>
      <c r="D266" t="s">
        <v>42</v>
      </c>
      <c r="E266" s="2" t="s">
        <v>43</v>
      </c>
      <c r="F266" s="2">
        <v>81124101</v>
      </c>
      <c r="G266" s="2">
        <v>52952103</v>
      </c>
      <c r="H266" s="27">
        <v>0</v>
      </c>
      <c r="O266" s="10">
        <v>59599.200000000004</v>
      </c>
      <c r="P266" s="10">
        <v>19866.400000000001</v>
      </c>
      <c r="Q266" s="6">
        <v>19866.400000000001</v>
      </c>
      <c r="R266" s="6"/>
      <c r="S266" s="6"/>
      <c r="T266" s="6"/>
      <c r="U266" s="6">
        <f t="shared" si="5"/>
        <v>99332</v>
      </c>
    </row>
    <row r="267" spans="2:21" x14ac:dyDescent="0.35">
      <c r="B267" t="s">
        <v>1274</v>
      </c>
      <c r="D267" t="s">
        <v>609</v>
      </c>
      <c r="E267" s="2" t="s">
        <v>44</v>
      </c>
      <c r="F267">
        <v>80124101</v>
      </c>
      <c r="G267">
        <v>61711102</v>
      </c>
      <c r="H267" s="27">
        <v>192107.77550425674</v>
      </c>
      <c r="I267" s="10">
        <v>0</v>
      </c>
      <c r="J267" s="10">
        <v>0</v>
      </c>
      <c r="K267" s="10">
        <v>0</v>
      </c>
      <c r="L267" s="10">
        <v>0</v>
      </c>
      <c r="M267" s="10">
        <v>141467.35999999999</v>
      </c>
      <c r="N267" s="10">
        <v>0</v>
      </c>
      <c r="O267" s="10">
        <v>0</v>
      </c>
      <c r="P267" s="10">
        <v>0</v>
      </c>
      <c r="Q267" s="6">
        <v>0</v>
      </c>
      <c r="R267" s="6"/>
      <c r="S267" s="6"/>
      <c r="T267" s="6"/>
      <c r="U267" s="6">
        <f t="shared" si="5"/>
        <v>141467.35999999999</v>
      </c>
    </row>
    <row r="268" spans="2:21" x14ac:dyDescent="0.35">
      <c r="B268" t="s">
        <v>1274</v>
      </c>
      <c r="D268" t="s">
        <v>609</v>
      </c>
      <c r="E268" s="2" t="s">
        <v>45</v>
      </c>
      <c r="F268">
        <v>80124101</v>
      </c>
      <c r="G268">
        <v>61711102</v>
      </c>
      <c r="H268" s="27">
        <v>288160.70271750767</v>
      </c>
      <c r="I268" s="10">
        <v>25669.64</v>
      </c>
      <c r="J268" s="10">
        <v>25669.64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6">
        <v>0</v>
      </c>
      <c r="R268" s="6"/>
      <c r="S268" s="6"/>
      <c r="T268" s="6"/>
      <c r="U268" s="6">
        <f t="shared" si="5"/>
        <v>51339.28</v>
      </c>
    </row>
    <row r="269" spans="2:21" x14ac:dyDescent="0.35">
      <c r="B269" t="s">
        <v>1274</v>
      </c>
      <c r="D269" t="s">
        <v>609</v>
      </c>
      <c r="E269" s="2" t="s">
        <v>45</v>
      </c>
      <c r="F269">
        <v>80124101</v>
      </c>
      <c r="G269">
        <v>61711102</v>
      </c>
      <c r="H269" s="27">
        <v>93172.271119564524</v>
      </c>
      <c r="I269" s="10">
        <v>0</v>
      </c>
      <c r="J269" s="10">
        <v>0</v>
      </c>
      <c r="K269" s="10">
        <v>0</v>
      </c>
      <c r="L269" s="10">
        <v>0</v>
      </c>
      <c r="M269" s="10">
        <v>56143.7</v>
      </c>
      <c r="N269" s="10">
        <v>0</v>
      </c>
      <c r="O269" s="10">
        <v>0</v>
      </c>
      <c r="P269" s="10">
        <v>0</v>
      </c>
      <c r="Q269" s="6">
        <v>0</v>
      </c>
      <c r="R269" s="6"/>
      <c r="S269" s="6"/>
      <c r="T269" s="6"/>
      <c r="U269" s="6">
        <f t="shared" si="5"/>
        <v>56143.7</v>
      </c>
    </row>
    <row r="270" spans="2:21" x14ac:dyDescent="0.35">
      <c r="B270" t="s">
        <v>1274</v>
      </c>
      <c r="D270" t="s">
        <v>609</v>
      </c>
      <c r="E270" s="2" t="s">
        <v>45</v>
      </c>
      <c r="F270">
        <v>80124101</v>
      </c>
      <c r="G270">
        <v>61711102</v>
      </c>
      <c r="H270" s="27">
        <v>336188.6071324494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6">
        <v>0</v>
      </c>
      <c r="R270" s="6">
        <v>0</v>
      </c>
      <c r="S270" s="6">
        <v>0</v>
      </c>
      <c r="T270" s="6">
        <v>0</v>
      </c>
      <c r="U270" s="6">
        <f t="shared" si="5"/>
        <v>0</v>
      </c>
    </row>
    <row r="271" spans="2:21" x14ac:dyDescent="0.35">
      <c r="B271" t="s">
        <v>1274</v>
      </c>
      <c r="D271" t="s">
        <v>609</v>
      </c>
      <c r="E271" s="2" t="s">
        <v>45</v>
      </c>
      <c r="F271">
        <v>80124101</v>
      </c>
      <c r="G271">
        <v>61711102</v>
      </c>
      <c r="H271" s="27">
        <v>93172.271119564524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6">
        <v>0</v>
      </c>
      <c r="R271" s="6">
        <v>0</v>
      </c>
      <c r="S271" s="6">
        <v>0</v>
      </c>
      <c r="T271" s="6">
        <v>0</v>
      </c>
      <c r="U271" s="6">
        <f t="shared" si="5"/>
        <v>0</v>
      </c>
    </row>
    <row r="272" spans="2:21" x14ac:dyDescent="0.35">
      <c r="B272" t="s">
        <v>1274</v>
      </c>
      <c r="D272" t="s">
        <v>609</v>
      </c>
      <c r="E272" s="2" t="s">
        <v>46</v>
      </c>
      <c r="F272">
        <v>80124101</v>
      </c>
      <c r="G272">
        <v>61711102</v>
      </c>
      <c r="H272" s="27">
        <v>345793.9959076622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6">
        <v>0</v>
      </c>
      <c r="R272" s="6">
        <v>0</v>
      </c>
      <c r="S272" s="6">
        <v>0</v>
      </c>
      <c r="T272" s="6">
        <v>0</v>
      </c>
      <c r="U272" s="6">
        <f t="shared" si="5"/>
        <v>0</v>
      </c>
    </row>
    <row r="273" spans="2:21" x14ac:dyDescent="0.35">
      <c r="B273" t="s">
        <v>1274</v>
      </c>
      <c r="D273" t="s">
        <v>609</v>
      </c>
      <c r="E273" s="2" t="s">
        <v>46</v>
      </c>
      <c r="F273" s="2">
        <v>81124101</v>
      </c>
      <c r="G273" s="2">
        <v>52952103</v>
      </c>
      <c r="H273" s="27">
        <v>0</v>
      </c>
      <c r="I273" s="10">
        <v>0</v>
      </c>
      <c r="J273" s="10">
        <v>0</v>
      </c>
      <c r="K273" s="10">
        <v>0</v>
      </c>
      <c r="L273" s="10">
        <v>128303.54999999999</v>
      </c>
      <c r="M273" s="10">
        <v>25660.71</v>
      </c>
      <c r="N273" s="10">
        <v>25660.71</v>
      </c>
      <c r="O273" s="10">
        <v>25660.71</v>
      </c>
      <c r="P273" s="10">
        <v>25660.71</v>
      </c>
      <c r="Q273" s="6">
        <v>25660.71</v>
      </c>
      <c r="R273" s="6">
        <v>25660.71</v>
      </c>
      <c r="S273" s="6">
        <v>25660.71</v>
      </c>
      <c r="T273" s="6">
        <v>25660.71</v>
      </c>
      <c r="U273" s="6">
        <f t="shared" si="5"/>
        <v>333589.23</v>
      </c>
    </row>
    <row r="274" spans="2:21" x14ac:dyDescent="0.35">
      <c r="B274" t="s">
        <v>1274</v>
      </c>
      <c r="D274" t="s">
        <v>612</v>
      </c>
      <c r="E274" s="2" t="s">
        <v>47</v>
      </c>
      <c r="F274">
        <v>80124101</v>
      </c>
      <c r="G274">
        <v>61711102</v>
      </c>
      <c r="H274" s="27">
        <v>643218.00108454225</v>
      </c>
      <c r="I274" s="10">
        <v>55803.57</v>
      </c>
      <c r="J274" s="10">
        <v>55803.57</v>
      </c>
      <c r="K274" s="10">
        <v>55803.57</v>
      </c>
      <c r="L274" s="10">
        <v>55803.57</v>
      </c>
      <c r="M274" s="10">
        <v>55803.57</v>
      </c>
      <c r="N274" s="10">
        <v>55803.57</v>
      </c>
      <c r="O274" s="10">
        <v>55803.59</v>
      </c>
      <c r="P274" s="10">
        <v>41447.79</v>
      </c>
      <c r="Q274" s="6">
        <v>41447.79</v>
      </c>
      <c r="R274" s="6">
        <v>55803.57</v>
      </c>
      <c r="S274" s="6">
        <v>55803.57</v>
      </c>
      <c r="T274" s="6">
        <v>55803.57</v>
      </c>
      <c r="U274" s="6">
        <f t="shared" si="5"/>
        <v>640931.29999999981</v>
      </c>
    </row>
    <row r="275" spans="2:21" x14ac:dyDescent="0.35">
      <c r="B275" t="s">
        <v>1274</v>
      </c>
      <c r="D275" t="s">
        <v>615</v>
      </c>
      <c r="E275" t="s">
        <v>49</v>
      </c>
      <c r="F275">
        <v>80124101</v>
      </c>
      <c r="G275">
        <v>61711102</v>
      </c>
      <c r="H275" s="27">
        <v>768431.10201702698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6">
        <v>0</v>
      </c>
      <c r="R275" s="6">
        <v>0</v>
      </c>
      <c r="S275" s="6">
        <v>0</v>
      </c>
      <c r="T275" s="6">
        <v>0</v>
      </c>
      <c r="U275" s="6">
        <f t="shared" si="5"/>
        <v>0</v>
      </c>
    </row>
    <row r="276" spans="2:21" x14ac:dyDescent="0.35">
      <c r="B276" t="s">
        <v>1274</v>
      </c>
      <c r="D276" t="s">
        <v>615</v>
      </c>
      <c r="E276" t="s">
        <v>49</v>
      </c>
      <c r="F276">
        <v>81124101</v>
      </c>
      <c r="G276">
        <v>52952103</v>
      </c>
      <c r="H276" s="27">
        <v>0</v>
      </c>
      <c r="I276" s="10">
        <v>39285.71</v>
      </c>
      <c r="J276" s="10">
        <v>39285.71</v>
      </c>
      <c r="K276" s="10">
        <v>39285.71</v>
      </c>
      <c r="L276" s="10">
        <v>39285.71</v>
      </c>
      <c r="M276" s="10">
        <v>39285.71</v>
      </c>
      <c r="N276" s="10">
        <v>39285.71</v>
      </c>
      <c r="O276" s="10">
        <v>39285.71</v>
      </c>
      <c r="P276" s="10">
        <v>39285.71</v>
      </c>
      <c r="Q276" s="6">
        <v>39285.71</v>
      </c>
      <c r="R276" s="6">
        <v>39285.71</v>
      </c>
      <c r="S276" s="6">
        <v>39285.71</v>
      </c>
      <c r="T276" s="6">
        <v>39285.71</v>
      </c>
      <c r="U276" s="6">
        <f t="shared" si="5"/>
        <v>471428.52000000008</v>
      </c>
    </row>
    <row r="277" spans="2:21" x14ac:dyDescent="0.35">
      <c r="B277" t="s">
        <v>1274</v>
      </c>
      <c r="D277" t="s">
        <v>1256</v>
      </c>
      <c r="E277" s="37" t="s">
        <v>50</v>
      </c>
      <c r="F277">
        <v>81124101</v>
      </c>
      <c r="G277">
        <v>52061109</v>
      </c>
      <c r="H277" s="27">
        <v>99999.999999999985</v>
      </c>
      <c r="I277" s="10">
        <v>0</v>
      </c>
      <c r="J277" s="10">
        <v>0</v>
      </c>
      <c r="K277" s="10">
        <v>34089.29</v>
      </c>
      <c r="L277" s="10">
        <v>227678.57</v>
      </c>
      <c r="M277" s="10">
        <v>1148</v>
      </c>
      <c r="N277" s="10">
        <v>0</v>
      </c>
      <c r="O277" s="10">
        <v>0</v>
      </c>
      <c r="P277" s="10">
        <v>0</v>
      </c>
      <c r="Q277" s="6">
        <v>2625</v>
      </c>
      <c r="R277" s="6"/>
      <c r="S277" s="6"/>
      <c r="T277" s="6"/>
      <c r="U277" s="6">
        <f t="shared" si="5"/>
        <v>265540.86</v>
      </c>
    </row>
    <row r="278" spans="2:21" x14ac:dyDescent="0.35">
      <c r="B278" t="s">
        <v>1274</v>
      </c>
      <c r="D278" t="s">
        <v>1256</v>
      </c>
      <c r="E278" s="2" t="s">
        <v>51</v>
      </c>
      <c r="F278" s="2">
        <v>81124101</v>
      </c>
      <c r="G278" s="2">
        <v>52952103</v>
      </c>
      <c r="H278" s="27">
        <v>0</v>
      </c>
      <c r="I278" s="10">
        <v>15557.36</v>
      </c>
      <c r="J278" s="10">
        <v>15557.36</v>
      </c>
      <c r="K278" s="10">
        <v>15557.36</v>
      </c>
      <c r="L278" s="10">
        <v>15557.36</v>
      </c>
      <c r="M278" s="10">
        <v>15557.36</v>
      </c>
      <c r="N278" s="10">
        <v>15557.36</v>
      </c>
      <c r="O278" s="10">
        <v>15557.36</v>
      </c>
      <c r="P278" s="10">
        <v>15557.36</v>
      </c>
      <c r="Q278" s="6">
        <v>15557.36</v>
      </c>
      <c r="R278" s="6">
        <v>15557.36</v>
      </c>
      <c r="S278" s="6">
        <v>15557.36</v>
      </c>
      <c r="T278" s="6">
        <v>15557.36</v>
      </c>
      <c r="U278" s="6">
        <f t="shared" si="5"/>
        <v>186688.31999999995</v>
      </c>
    </row>
    <row r="279" spans="2:21" x14ac:dyDescent="0.35">
      <c r="B279" t="s">
        <v>1274</v>
      </c>
      <c r="D279" t="s">
        <v>624</v>
      </c>
      <c r="E279" s="37" t="s">
        <v>625</v>
      </c>
      <c r="F279">
        <v>81124101</v>
      </c>
      <c r="G279">
        <v>52061109</v>
      </c>
      <c r="H279" s="27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6">
        <v>17857.150000000001</v>
      </c>
      <c r="R279" s="6"/>
      <c r="S279" s="6"/>
      <c r="T279" s="6"/>
      <c r="U279" s="6">
        <f t="shared" si="5"/>
        <v>17857.150000000001</v>
      </c>
    </row>
    <row r="280" spans="2:21" x14ac:dyDescent="0.35">
      <c r="B280" t="s">
        <v>1274</v>
      </c>
      <c r="D280" t="s">
        <v>624</v>
      </c>
      <c r="E280" s="37" t="s">
        <v>625</v>
      </c>
      <c r="F280">
        <v>81124101</v>
      </c>
      <c r="G280">
        <v>52061109</v>
      </c>
      <c r="H280" s="27">
        <v>97974.965507170957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6">
        <v>0</v>
      </c>
      <c r="R280" s="6">
        <v>0</v>
      </c>
      <c r="S280" s="6">
        <v>0</v>
      </c>
      <c r="T280" s="6">
        <v>0</v>
      </c>
      <c r="U280" s="6">
        <f t="shared" si="5"/>
        <v>0</v>
      </c>
    </row>
    <row r="281" spans="2:21" x14ac:dyDescent="0.35">
      <c r="B281" t="s">
        <v>1274</v>
      </c>
      <c r="D281" t="s">
        <v>624</v>
      </c>
      <c r="E281" s="37" t="s">
        <v>625</v>
      </c>
      <c r="F281">
        <v>81124101</v>
      </c>
      <c r="G281">
        <v>52061109</v>
      </c>
      <c r="H281" s="27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6">
        <v>0</v>
      </c>
      <c r="R281" s="6">
        <v>0</v>
      </c>
      <c r="S281" s="6">
        <v>0</v>
      </c>
      <c r="T281" s="6">
        <v>0</v>
      </c>
      <c r="U281" s="6">
        <f t="shared" si="5"/>
        <v>0</v>
      </c>
    </row>
    <row r="282" spans="2:21" x14ac:dyDescent="0.35">
      <c r="D282" s="37" t="s">
        <v>1263</v>
      </c>
      <c r="E282" s="37" t="s">
        <v>1263</v>
      </c>
      <c r="F282">
        <v>81124101</v>
      </c>
      <c r="G282">
        <v>52061109</v>
      </c>
      <c r="H282" s="27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6">
        <v>0</v>
      </c>
      <c r="R282" s="6">
        <v>0</v>
      </c>
      <c r="S282" s="6">
        <v>0</v>
      </c>
      <c r="T282" s="6">
        <v>0</v>
      </c>
      <c r="U282" s="6">
        <f t="shared" si="5"/>
        <v>0</v>
      </c>
    </row>
    <row r="283" spans="2:21" x14ac:dyDescent="0.35">
      <c r="B283" t="s">
        <v>1274</v>
      </c>
      <c r="D283" t="s">
        <v>612</v>
      </c>
      <c r="E283" s="37" t="s">
        <v>629</v>
      </c>
      <c r="F283">
        <v>80124101</v>
      </c>
      <c r="G283">
        <v>61711102</v>
      </c>
      <c r="H283" s="27">
        <v>4380057.2814970547</v>
      </c>
      <c r="I283" s="10">
        <v>365145.17</v>
      </c>
      <c r="J283" s="10">
        <v>365145.17</v>
      </c>
      <c r="K283" s="10">
        <v>365145.17</v>
      </c>
      <c r="L283" s="10">
        <v>365145.17</v>
      </c>
      <c r="M283" s="10">
        <v>0</v>
      </c>
      <c r="N283" s="10">
        <v>0</v>
      </c>
      <c r="O283" s="10">
        <v>0</v>
      </c>
      <c r="P283" s="10">
        <v>0</v>
      </c>
      <c r="Q283" s="6">
        <v>0</v>
      </c>
      <c r="R283" s="6">
        <v>0</v>
      </c>
      <c r="S283" s="6">
        <v>0</v>
      </c>
      <c r="T283" s="6">
        <v>0</v>
      </c>
      <c r="U283" s="6">
        <f t="shared" si="5"/>
        <v>1460580.68</v>
      </c>
    </row>
    <row r="284" spans="2:21" x14ac:dyDescent="0.35">
      <c r="B284" t="s">
        <v>1274</v>
      </c>
      <c r="D284" t="s">
        <v>612</v>
      </c>
      <c r="E284" s="37" t="s">
        <v>629</v>
      </c>
      <c r="F284">
        <v>81124101</v>
      </c>
      <c r="G284">
        <v>52952103</v>
      </c>
      <c r="H284" s="27">
        <v>1267911.3183280947</v>
      </c>
      <c r="I284" s="10">
        <v>117682.35</v>
      </c>
      <c r="J284" s="10">
        <v>117682.35</v>
      </c>
      <c r="K284" s="10">
        <v>117682.35</v>
      </c>
      <c r="L284" s="10">
        <v>117682.35</v>
      </c>
      <c r="M284" s="10">
        <v>0</v>
      </c>
      <c r="N284" s="10">
        <v>895014.42</v>
      </c>
      <c r="O284" s="10">
        <v>447507.21</v>
      </c>
      <c r="P284" s="10">
        <v>447507.21</v>
      </c>
      <c r="Q284" s="6">
        <v>447507.21</v>
      </c>
      <c r="R284" s="6">
        <v>447507.21</v>
      </c>
      <c r="S284" s="6">
        <v>447507.21</v>
      </c>
      <c r="T284" s="6">
        <v>447507.21</v>
      </c>
      <c r="U284" s="6">
        <f t="shared" si="5"/>
        <v>4050787.08</v>
      </c>
    </row>
    <row r="285" spans="2:21" x14ac:dyDescent="0.35">
      <c r="B285" t="s">
        <v>1274</v>
      </c>
      <c r="D285" t="s">
        <v>612</v>
      </c>
      <c r="E285" s="2" t="s">
        <v>53</v>
      </c>
      <c r="F285">
        <v>80124101</v>
      </c>
      <c r="G285">
        <v>61711102</v>
      </c>
      <c r="H285" s="27">
        <v>1152646.6530255408</v>
      </c>
      <c r="I285" s="10">
        <v>87944.48</v>
      </c>
      <c r="J285" s="10">
        <v>87944.5</v>
      </c>
      <c r="K285" s="10">
        <v>87944.49</v>
      </c>
      <c r="L285" s="10">
        <v>87944.49</v>
      </c>
      <c r="M285" s="10">
        <v>424720.45999999996</v>
      </c>
      <c r="N285" s="10">
        <v>-274113.12</v>
      </c>
      <c r="O285" s="10">
        <v>91032.05</v>
      </c>
      <c r="P285" s="10">
        <v>91032.05</v>
      </c>
      <c r="Q285" s="6">
        <v>91032.05</v>
      </c>
      <c r="R285" s="6">
        <v>91032.05</v>
      </c>
      <c r="S285" s="6">
        <v>91032.05</v>
      </c>
      <c r="T285" s="6">
        <v>91032.05</v>
      </c>
      <c r="U285" s="6">
        <f t="shared" si="5"/>
        <v>1048577.6000000001</v>
      </c>
    </row>
    <row r="286" spans="2:21" x14ac:dyDescent="0.35">
      <c r="B286" t="s">
        <v>1274</v>
      </c>
      <c r="D286" t="s">
        <v>612</v>
      </c>
      <c r="E286" s="37" t="s">
        <v>54</v>
      </c>
      <c r="F286">
        <v>80124101</v>
      </c>
      <c r="G286">
        <v>61711102</v>
      </c>
      <c r="H286" s="27">
        <v>242055.79713536354</v>
      </c>
      <c r="I286" s="10">
        <v>20571.43</v>
      </c>
      <c r="J286" s="10">
        <v>10285.709999999999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6">
        <v>0</v>
      </c>
      <c r="R286" s="6">
        <v>0</v>
      </c>
      <c r="S286" s="6">
        <v>0</v>
      </c>
      <c r="T286" s="6">
        <v>0</v>
      </c>
      <c r="U286" s="6">
        <f t="shared" si="5"/>
        <v>30857.14</v>
      </c>
    </row>
    <row r="287" spans="2:21" x14ac:dyDescent="0.35">
      <c r="B287" t="s">
        <v>1274</v>
      </c>
      <c r="D287" t="s">
        <v>612</v>
      </c>
      <c r="E287" s="37" t="s">
        <v>54</v>
      </c>
      <c r="F287">
        <v>81124101</v>
      </c>
      <c r="G287">
        <v>52952103</v>
      </c>
      <c r="H287" s="27">
        <v>0</v>
      </c>
      <c r="L287" s="10">
        <v>187885.71</v>
      </c>
      <c r="M287" s="10">
        <v>146133.32999999999</v>
      </c>
      <c r="N287" s="10">
        <v>83504.759999999995</v>
      </c>
      <c r="O287" s="10">
        <v>83504.759999999995</v>
      </c>
      <c r="P287" s="10">
        <v>83504.759999999995</v>
      </c>
      <c r="Q287" s="6">
        <v>83504.759999999995</v>
      </c>
      <c r="R287" s="6">
        <v>83504.759999999995</v>
      </c>
      <c r="S287" s="6">
        <v>83504.759999999995</v>
      </c>
      <c r="T287" s="6">
        <v>83504.759999999995</v>
      </c>
      <c r="U287" s="6">
        <f t="shared" si="5"/>
        <v>918552.36</v>
      </c>
    </row>
    <row r="288" spans="2:21" x14ac:dyDescent="0.35">
      <c r="B288" t="s">
        <v>1274</v>
      </c>
      <c r="D288" t="s">
        <v>42</v>
      </c>
      <c r="E288" s="37" t="s">
        <v>55</v>
      </c>
      <c r="F288">
        <v>80124101</v>
      </c>
      <c r="G288">
        <v>61711102</v>
      </c>
      <c r="H288" s="27">
        <v>624350.27038883453</v>
      </c>
      <c r="I288" s="10">
        <v>56333.18</v>
      </c>
      <c r="J288" s="10">
        <v>56333.18</v>
      </c>
      <c r="K288" s="10">
        <v>43612.79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6">
        <v>0</v>
      </c>
      <c r="R288" s="6"/>
      <c r="S288" s="6"/>
      <c r="T288" s="6"/>
      <c r="U288" s="6">
        <f t="shared" si="5"/>
        <v>156279.15</v>
      </c>
    </row>
    <row r="289" spans="2:21" x14ac:dyDescent="0.35">
      <c r="B289" t="s">
        <v>1274</v>
      </c>
      <c r="D289" t="s">
        <v>609</v>
      </c>
      <c r="E289" s="37" t="s">
        <v>57</v>
      </c>
      <c r="F289">
        <v>80124101</v>
      </c>
      <c r="G289">
        <v>61711102</v>
      </c>
      <c r="H289" s="27">
        <v>1536862.204034054</v>
      </c>
      <c r="I289" s="10">
        <v>117708.11</v>
      </c>
      <c r="J289" s="10">
        <v>117708.11</v>
      </c>
      <c r="K289" s="10">
        <v>117708.11</v>
      </c>
      <c r="L289" s="10">
        <v>117708.11</v>
      </c>
      <c r="M289" s="10">
        <v>117708.11</v>
      </c>
      <c r="N289" s="10">
        <v>98090.09</v>
      </c>
      <c r="O289" s="10">
        <v>122908.59</v>
      </c>
      <c r="P289" s="10">
        <v>122908.59</v>
      </c>
      <c r="Q289" s="6">
        <v>122908.59</v>
      </c>
      <c r="R289" s="6">
        <v>122908.59</v>
      </c>
      <c r="S289" s="6">
        <v>122908.59</v>
      </c>
      <c r="T289" s="6">
        <v>122908.59</v>
      </c>
      <c r="U289" s="6">
        <f t="shared" si="5"/>
        <v>1424082.1800000002</v>
      </c>
    </row>
    <row r="290" spans="2:21" ht="29" x14ac:dyDescent="0.35">
      <c r="B290" t="s">
        <v>1274</v>
      </c>
      <c r="D290" t="s">
        <v>609</v>
      </c>
      <c r="E290" s="37" t="s">
        <v>59</v>
      </c>
      <c r="F290">
        <v>80124101</v>
      </c>
      <c r="G290">
        <v>61711102</v>
      </c>
      <c r="H290" s="27">
        <v>1100000</v>
      </c>
      <c r="I290" s="10">
        <v>80512.86</v>
      </c>
      <c r="J290" s="10">
        <v>80512.86</v>
      </c>
      <c r="K290" s="10">
        <v>80512.86</v>
      </c>
      <c r="L290" s="10">
        <v>80512.86</v>
      </c>
      <c r="M290" s="10">
        <v>80512.86</v>
      </c>
      <c r="N290" s="10">
        <v>80512.86</v>
      </c>
      <c r="O290" s="10">
        <v>64929.72</v>
      </c>
      <c r="P290" s="10">
        <v>84070.01</v>
      </c>
      <c r="Q290" s="6">
        <v>84070.01</v>
      </c>
      <c r="R290" s="6">
        <v>84070.01</v>
      </c>
      <c r="S290" s="6">
        <v>84070.01</v>
      </c>
      <c r="T290" s="6">
        <v>84070.01</v>
      </c>
      <c r="U290" s="6">
        <f t="shared" si="5"/>
        <v>968356.93</v>
      </c>
    </row>
    <row r="291" spans="2:21" x14ac:dyDescent="0.35">
      <c r="B291" t="s">
        <v>1274</v>
      </c>
      <c r="D291" t="s">
        <v>609</v>
      </c>
      <c r="E291" s="37" t="s">
        <v>61</v>
      </c>
      <c r="F291">
        <v>80124101</v>
      </c>
      <c r="G291">
        <v>61711102</v>
      </c>
      <c r="H291" s="27">
        <v>378452.31774338579</v>
      </c>
      <c r="I291" s="10">
        <v>0</v>
      </c>
      <c r="J291" s="10">
        <v>0</v>
      </c>
      <c r="K291" s="10">
        <v>0</v>
      </c>
      <c r="L291" s="10">
        <v>0</v>
      </c>
      <c r="M291" s="10">
        <v>267421.34000000003</v>
      </c>
      <c r="N291" s="10">
        <v>0</v>
      </c>
      <c r="O291" s="10">
        <v>0</v>
      </c>
      <c r="P291" s="10">
        <v>0</v>
      </c>
      <c r="Q291" s="6">
        <v>0</v>
      </c>
      <c r="R291" s="6">
        <v>0</v>
      </c>
      <c r="S291" s="6">
        <v>0</v>
      </c>
      <c r="T291" s="6">
        <v>0</v>
      </c>
      <c r="U291" s="6">
        <f t="shared" si="5"/>
        <v>267421.34000000003</v>
      </c>
    </row>
    <row r="292" spans="2:21" ht="29" x14ac:dyDescent="0.35">
      <c r="B292" t="s">
        <v>1274</v>
      </c>
      <c r="D292" t="s">
        <v>609</v>
      </c>
      <c r="E292" s="37" t="s">
        <v>62</v>
      </c>
      <c r="F292">
        <v>80124101</v>
      </c>
      <c r="G292">
        <v>61711102</v>
      </c>
      <c r="H292" s="27">
        <v>922117.32242043247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6">
        <v>0</v>
      </c>
      <c r="R292" s="6">
        <v>0</v>
      </c>
      <c r="S292" s="6">
        <v>0</v>
      </c>
      <c r="T292" s="6">
        <v>0</v>
      </c>
      <c r="U292" s="6">
        <f t="shared" si="5"/>
        <v>0</v>
      </c>
    </row>
    <row r="293" spans="2:21" ht="29" x14ac:dyDescent="0.35">
      <c r="B293" t="s">
        <v>1274</v>
      </c>
      <c r="D293" t="s">
        <v>609</v>
      </c>
      <c r="E293" s="37" t="s">
        <v>62</v>
      </c>
      <c r="F293" s="2">
        <v>81124101</v>
      </c>
      <c r="G293" s="2">
        <v>52952103</v>
      </c>
      <c r="H293" s="27">
        <v>0</v>
      </c>
      <c r="I293" s="10">
        <v>73422.720000000001</v>
      </c>
      <c r="J293" s="10">
        <v>73422.720000000001</v>
      </c>
      <c r="K293" s="10">
        <v>73422.720000000001</v>
      </c>
      <c r="L293" s="10">
        <v>73422.720000000001</v>
      </c>
      <c r="M293" s="10">
        <v>73422.720000000001</v>
      </c>
      <c r="N293" s="10">
        <v>73422.720000000001</v>
      </c>
      <c r="O293" s="10">
        <v>73422.720000000001</v>
      </c>
      <c r="P293" s="10">
        <v>73422.720000000001</v>
      </c>
      <c r="Q293" s="10">
        <v>73422.720000000001</v>
      </c>
      <c r="R293" s="10">
        <v>73422.720000000001</v>
      </c>
      <c r="S293" s="10">
        <v>73422.720000000001</v>
      </c>
      <c r="T293" s="10">
        <v>73422.720000000001</v>
      </c>
      <c r="U293" s="6">
        <f t="shared" si="5"/>
        <v>881072.63999999978</v>
      </c>
    </row>
    <row r="294" spans="2:21" x14ac:dyDescent="0.35">
      <c r="B294" t="s">
        <v>1274</v>
      </c>
      <c r="D294" t="s">
        <v>609</v>
      </c>
      <c r="E294" s="37" t="s">
        <v>63</v>
      </c>
      <c r="F294">
        <v>81124101</v>
      </c>
      <c r="G294">
        <v>52952103</v>
      </c>
      <c r="H294" s="27">
        <v>749999.99999999988</v>
      </c>
      <c r="I294" s="10">
        <v>44642.86</v>
      </c>
      <c r="J294" s="10">
        <v>44642.86</v>
      </c>
      <c r="K294" s="10">
        <v>44642.86</v>
      </c>
      <c r="L294" s="10">
        <v>44642.86</v>
      </c>
      <c r="M294" s="10">
        <v>44642.86</v>
      </c>
      <c r="N294" s="10">
        <v>44642.86</v>
      </c>
      <c r="O294" s="10">
        <v>44642.86</v>
      </c>
      <c r="P294" s="10">
        <v>0</v>
      </c>
      <c r="Q294" s="6">
        <v>0</v>
      </c>
      <c r="R294" s="6">
        <v>44642.86</v>
      </c>
      <c r="S294" s="6">
        <v>44642.86</v>
      </c>
      <c r="T294" s="6">
        <v>44642.86</v>
      </c>
      <c r="U294" s="6">
        <f t="shared" si="5"/>
        <v>446428.59999999992</v>
      </c>
    </row>
    <row r="295" spans="2:21" x14ac:dyDescent="0.35">
      <c r="B295" t="s">
        <v>1274</v>
      </c>
      <c r="D295" t="s">
        <v>609</v>
      </c>
      <c r="E295" s="37" t="s">
        <v>63</v>
      </c>
      <c r="F295" s="2">
        <v>80124101</v>
      </c>
      <c r="G295" s="2">
        <v>61711102</v>
      </c>
      <c r="H295" s="27">
        <v>0</v>
      </c>
      <c r="M295" s="10">
        <v>412154.62</v>
      </c>
      <c r="N295" s="10">
        <v>0</v>
      </c>
      <c r="O295" s="10">
        <v>0</v>
      </c>
      <c r="P295" s="10">
        <v>0</v>
      </c>
      <c r="Q295" s="6"/>
      <c r="R295" s="6"/>
      <c r="S295" s="6"/>
      <c r="T295" s="6"/>
      <c r="U295" s="6">
        <f t="shared" si="5"/>
        <v>412154.62</v>
      </c>
    </row>
    <row r="296" spans="2:21" x14ac:dyDescent="0.35">
      <c r="B296" t="s">
        <v>1274</v>
      </c>
      <c r="D296" t="s">
        <v>42</v>
      </c>
      <c r="E296" s="37" t="s">
        <v>64</v>
      </c>
      <c r="F296">
        <v>80124101</v>
      </c>
      <c r="G296">
        <v>61711102</v>
      </c>
      <c r="H296" s="27">
        <v>163291.60917861827</v>
      </c>
      <c r="I296" s="10">
        <v>8900.91</v>
      </c>
      <c r="J296" s="10">
        <v>8900.91</v>
      </c>
      <c r="K296" s="10">
        <v>8900.91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6">
        <v>0</v>
      </c>
      <c r="R296" s="6"/>
      <c r="S296" s="6"/>
      <c r="T296" s="6"/>
      <c r="U296" s="6">
        <f t="shared" si="5"/>
        <v>26702.73</v>
      </c>
    </row>
    <row r="297" spans="2:21" x14ac:dyDescent="0.35">
      <c r="B297" t="s">
        <v>1274</v>
      </c>
      <c r="D297" t="s">
        <v>42</v>
      </c>
      <c r="E297" s="37" t="s">
        <v>64</v>
      </c>
      <c r="F297" s="2">
        <v>81124101</v>
      </c>
      <c r="G297" s="2">
        <v>52952103</v>
      </c>
      <c r="H297" s="27">
        <v>0</v>
      </c>
      <c r="M297" s="10">
        <v>17801.82</v>
      </c>
      <c r="N297" s="10">
        <v>8900.91</v>
      </c>
      <c r="O297" s="10">
        <v>8900.91</v>
      </c>
      <c r="P297" s="10">
        <v>8900.91</v>
      </c>
      <c r="Q297" s="6">
        <v>8900.91</v>
      </c>
      <c r="R297" s="6">
        <v>8900.91</v>
      </c>
      <c r="S297" s="6">
        <v>8900.91</v>
      </c>
      <c r="T297" s="6">
        <v>8900.91</v>
      </c>
      <c r="U297" s="6">
        <f t="shared" si="5"/>
        <v>80108.190000000017</v>
      </c>
    </row>
    <row r="298" spans="2:21" x14ac:dyDescent="0.35">
      <c r="B298" t="s">
        <v>1274</v>
      </c>
      <c r="D298" t="s">
        <v>609</v>
      </c>
      <c r="E298" t="s">
        <v>65</v>
      </c>
      <c r="F298">
        <v>80124101</v>
      </c>
      <c r="G298">
        <v>61711102</v>
      </c>
      <c r="H298" s="27">
        <v>768431.10201702698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6">
        <v>0</v>
      </c>
      <c r="R298" s="6">
        <v>0</v>
      </c>
      <c r="S298" s="6">
        <v>0</v>
      </c>
      <c r="T298" s="6">
        <v>0</v>
      </c>
      <c r="U298" s="6">
        <f t="shared" si="5"/>
        <v>0</v>
      </c>
    </row>
    <row r="299" spans="2:21" x14ac:dyDescent="0.35">
      <c r="B299" t="s">
        <v>1274</v>
      </c>
      <c r="D299" t="s">
        <v>609</v>
      </c>
      <c r="E299" t="s">
        <v>65</v>
      </c>
      <c r="F299">
        <v>81124101</v>
      </c>
      <c r="G299">
        <v>52952103</v>
      </c>
      <c r="H299" s="27">
        <v>0</v>
      </c>
      <c r="I299" s="10">
        <v>48771.32</v>
      </c>
      <c r="J299" s="10">
        <v>48771.32</v>
      </c>
      <c r="K299" s="10">
        <v>48771.32</v>
      </c>
      <c r="L299" s="10">
        <v>48771.32</v>
      </c>
      <c r="M299" s="10">
        <v>48771.32</v>
      </c>
      <c r="N299" s="10">
        <v>48771.32</v>
      </c>
      <c r="O299" s="10">
        <v>48771.32</v>
      </c>
      <c r="P299" s="10">
        <v>48771.32</v>
      </c>
      <c r="Q299" s="6">
        <v>48771.32</v>
      </c>
      <c r="R299" s="6">
        <v>48771.32</v>
      </c>
      <c r="S299" s="6">
        <v>48771.32</v>
      </c>
      <c r="T299" s="6">
        <v>48771.32</v>
      </c>
      <c r="U299" s="6">
        <f t="shared" si="5"/>
        <v>585255.84</v>
      </c>
    </row>
    <row r="300" spans="2:21" x14ac:dyDescent="0.35">
      <c r="B300" t="s">
        <v>1274</v>
      </c>
      <c r="D300" t="s">
        <v>612</v>
      </c>
      <c r="E300" s="37" t="s">
        <v>66</v>
      </c>
      <c r="F300">
        <v>80124101</v>
      </c>
      <c r="G300">
        <v>61711102</v>
      </c>
      <c r="H300" s="27">
        <v>3842.1555100851356</v>
      </c>
      <c r="I300" s="10">
        <v>0</v>
      </c>
      <c r="J300" s="10">
        <v>0</v>
      </c>
      <c r="K300" s="10">
        <v>2554.15</v>
      </c>
      <c r="L300" s="10">
        <v>0</v>
      </c>
      <c r="M300" s="10">
        <v>0</v>
      </c>
      <c r="N300" s="10">
        <v>0</v>
      </c>
      <c r="O300" s="10">
        <v>768.41</v>
      </c>
      <c r="P300" s="10">
        <v>4940.9400000000005</v>
      </c>
      <c r="Q300" s="6">
        <v>0</v>
      </c>
      <c r="R300" s="6">
        <v>4940.9400000000005</v>
      </c>
      <c r="S300" s="6">
        <v>4940.9400000000005</v>
      </c>
      <c r="T300" s="6">
        <v>4940.9400000000005</v>
      </c>
      <c r="U300" s="6">
        <f t="shared" si="5"/>
        <v>23086.32</v>
      </c>
    </row>
    <row r="301" spans="2:21" x14ac:dyDescent="0.35">
      <c r="B301" t="s">
        <v>1274</v>
      </c>
      <c r="D301" t="s">
        <v>612</v>
      </c>
      <c r="E301" s="37" t="s">
        <v>66</v>
      </c>
      <c r="F301">
        <v>80124101</v>
      </c>
      <c r="G301">
        <v>61711102</v>
      </c>
      <c r="H301" s="27">
        <v>3842.1555100851356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6">
        <v>0</v>
      </c>
      <c r="R301" s="6">
        <v>0</v>
      </c>
      <c r="S301" s="6">
        <v>0</v>
      </c>
      <c r="T301" s="6">
        <v>0</v>
      </c>
      <c r="U301" s="6">
        <f t="shared" si="5"/>
        <v>0</v>
      </c>
    </row>
    <row r="302" spans="2:21" x14ac:dyDescent="0.35">
      <c r="B302" t="s">
        <v>1274</v>
      </c>
      <c r="D302" t="s">
        <v>612</v>
      </c>
      <c r="E302" s="37" t="s">
        <v>66</v>
      </c>
      <c r="F302">
        <v>80124101</v>
      </c>
      <c r="G302">
        <v>61711102</v>
      </c>
      <c r="H302" s="27">
        <v>3842.1555100851356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6">
        <v>0</v>
      </c>
      <c r="R302" s="6">
        <v>0</v>
      </c>
      <c r="S302" s="6">
        <v>0</v>
      </c>
      <c r="T302" s="6">
        <v>0</v>
      </c>
      <c r="U302" s="6">
        <f t="shared" si="5"/>
        <v>0</v>
      </c>
    </row>
    <row r="303" spans="2:21" x14ac:dyDescent="0.35">
      <c r="B303" t="s">
        <v>1274</v>
      </c>
      <c r="D303" t="s">
        <v>612</v>
      </c>
      <c r="E303" s="37" t="s">
        <v>66</v>
      </c>
      <c r="F303">
        <v>81124101</v>
      </c>
      <c r="G303">
        <v>52952103</v>
      </c>
      <c r="H303" s="27">
        <v>0</v>
      </c>
      <c r="K303" s="10">
        <v>2554.15</v>
      </c>
      <c r="L303" s="10">
        <v>0</v>
      </c>
      <c r="M303" s="10">
        <v>27233.53</v>
      </c>
      <c r="N303" s="10">
        <v>20961.259999999998</v>
      </c>
      <c r="O303" s="10">
        <v>2692.74</v>
      </c>
      <c r="P303" s="10">
        <v>22217.980000000003</v>
      </c>
      <c r="Q303" s="6">
        <v>2699.06</v>
      </c>
      <c r="R303" s="6">
        <v>20961.259999999998</v>
      </c>
      <c r="S303" s="6">
        <v>20961.259999999998</v>
      </c>
      <c r="T303" s="6">
        <v>20961.259999999998</v>
      </c>
      <c r="U303" s="6">
        <f t="shared" si="5"/>
        <v>141242.5</v>
      </c>
    </row>
    <row r="304" spans="2:21" x14ac:dyDescent="0.35">
      <c r="B304" t="s">
        <v>1274</v>
      </c>
      <c r="D304" t="s">
        <v>612</v>
      </c>
      <c r="E304" s="37" t="s">
        <v>66</v>
      </c>
      <c r="F304">
        <v>80124101</v>
      </c>
      <c r="G304">
        <v>61711102</v>
      </c>
      <c r="H304" s="27">
        <v>24013.471938032097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6">
        <v>0</v>
      </c>
      <c r="R304" s="6">
        <v>0</v>
      </c>
      <c r="S304" s="6">
        <v>0</v>
      </c>
      <c r="T304" s="6">
        <v>0</v>
      </c>
      <c r="U304" s="6">
        <f t="shared" si="5"/>
        <v>0</v>
      </c>
    </row>
    <row r="305" spans="2:21" x14ac:dyDescent="0.35">
      <c r="B305" t="s">
        <v>1274</v>
      </c>
      <c r="D305" t="s">
        <v>612</v>
      </c>
      <c r="E305" s="37" t="s">
        <v>66</v>
      </c>
      <c r="F305">
        <v>80124101</v>
      </c>
      <c r="G305">
        <v>61711102</v>
      </c>
      <c r="H305" s="27">
        <v>24013.471938032097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6">
        <v>0</v>
      </c>
      <c r="R305" s="6">
        <v>0</v>
      </c>
      <c r="S305" s="6">
        <v>0</v>
      </c>
      <c r="T305" s="6">
        <v>0</v>
      </c>
      <c r="U305" s="6">
        <f t="shared" si="5"/>
        <v>0</v>
      </c>
    </row>
    <row r="306" spans="2:21" x14ac:dyDescent="0.35">
      <c r="B306" t="s">
        <v>1274</v>
      </c>
      <c r="D306" t="s">
        <v>612</v>
      </c>
      <c r="E306" s="37" t="s">
        <v>66</v>
      </c>
      <c r="F306">
        <v>80124101</v>
      </c>
      <c r="G306">
        <v>61711102</v>
      </c>
      <c r="H306" s="27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6">
        <v>0</v>
      </c>
      <c r="R306" s="6">
        <v>0</v>
      </c>
      <c r="S306" s="6">
        <v>0</v>
      </c>
      <c r="T306" s="6">
        <v>0</v>
      </c>
      <c r="U306" s="6">
        <f t="shared" si="5"/>
        <v>0</v>
      </c>
    </row>
    <row r="307" spans="2:21" x14ac:dyDescent="0.35">
      <c r="B307" t="s">
        <v>1274</v>
      </c>
      <c r="D307" t="s">
        <v>612</v>
      </c>
      <c r="E307" s="37" t="s">
        <v>67</v>
      </c>
      <c r="F307">
        <v>80124101</v>
      </c>
      <c r="G307">
        <v>61711102</v>
      </c>
      <c r="H307" s="27">
        <v>57632.332651277029</v>
      </c>
      <c r="I307" s="10">
        <v>0</v>
      </c>
      <c r="J307" s="10">
        <v>9400.17</v>
      </c>
      <c r="K307" s="10">
        <v>9257.9700000000012</v>
      </c>
      <c r="L307" s="10">
        <v>9425.4700000000012</v>
      </c>
      <c r="M307" s="10">
        <v>9531.0300000000007</v>
      </c>
      <c r="N307" s="10">
        <v>9682.880000000001</v>
      </c>
      <c r="O307" s="10">
        <v>9734.630000000001</v>
      </c>
      <c r="P307" s="10">
        <v>9755.6899999999987</v>
      </c>
      <c r="Q307" s="6">
        <v>22413.389999999996</v>
      </c>
      <c r="R307" s="6">
        <v>15000</v>
      </c>
      <c r="S307" s="6">
        <v>15000</v>
      </c>
      <c r="T307" s="6">
        <v>15000</v>
      </c>
      <c r="U307" s="6">
        <f t="shared" si="5"/>
        <v>134201.23000000001</v>
      </c>
    </row>
    <row r="308" spans="2:21" x14ac:dyDescent="0.35">
      <c r="B308" t="s">
        <v>1274</v>
      </c>
      <c r="D308" t="s">
        <v>666</v>
      </c>
      <c r="E308" s="37" t="s">
        <v>69</v>
      </c>
      <c r="F308">
        <v>80124101</v>
      </c>
      <c r="G308">
        <v>61711102</v>
      </c>
      <c r="H308" s="27">
        <v>1440808.3162819259</v>
      </c>
      <c r="I308" s="10">
        <v>0</v>
      </c>
      <c r="J308" s="10">
        <v>141610.01999999999</v>
      </c>
      <c r="K308" s="10">
        <v>0</v>
      </c>
      <c r="L308" s="10">
        <v>137353.44</v>
      </c>
      <c r="M308" s="10">
        <v>130164.24</v>
      </c>
      <c r="N308" s="10">
        <v>139161.01999999999</v>
      </c>
      <c r="O308" s="10">
        <v>121207.87</v>
      </c>
      <c r="P308" s="10">
        <v>140258.38999999998</v>
      </c>
      <c r="Q308" s="6">
        <v>142669.09</v>
      </c>
      <c r="R308" s="6">
        <v>142669.09</v>
      </c>
      <c r="S308" s="6">
        <v>142669.09</v>
      </c>
      <c r="T308" s="6">
        <v>142669.09</v>
      </c>
      <c r="U308" s="6">
        <f t="shared" si="5"/>
        <v>1380431.34</v>
      </c>
    </row>
    <row r="309" spans="2:21" x14ac:dyDescent="0.35">
      <c r="B309" t="s">
        <v>1274</v>
      </c>
      <c r="D309" t="s">
        <v>609</v>
      </c>
      <c r="E309" t="s">
        <v>70</v>
      </c>
      <c r="F309">
        <v>80124101</v>
      </c>
      <c r="G309">
        <v>61711102</v>
      </c>
      <c r="H309" s="27">
        <v>3588048.1774475095</v>
      </c>
      <c r="I309" s="10">
        <v>311287.78000000003</v>
      </c>
      <c r="J309" s="10">
        <v>0</v>
      </c>
      <c r="K309" s="10">
        <v>622575.56000000006</v>
      </c>
      <c r="L309" s="10">
        <v>311287.78000000003</v>
      </c>
      <c r="M309" s="10">
        <v>311287.78000000003</v>
      </c>
      <c r="N309" s="10">
        <v>311287.78000000003</v>
      </c>
      <c r="O309" s="10">
        <v>0</v>
      </c>
      <c r="P309" s="10">
        <v>0</v>
      </c>
      <c r="Q309" s="6">
        <v>311287.78000000003</v>
      </c>
      <c r="R309" s="6">
        <v>311287.78000000003</v>
      </c>
      <c r="S309" s="6">
        <v>311287.78000000003</v>
      </c>
      <c r="T309" s="6">
        <v>311287.78000000003</v>
      </c>
      <c r="U309" s="6">
        <f t="shared" si="5"/>
        <v>3112877.8000000007</v>
      </c>
    </row>
    <row r="310" spans="2:21" x14ac:dyDescent="0.35">
      <c r="B310" t="s">
        <v>1274</v>
      </c>
      <c r="D310" t="s">
        <v>612</v>
      </c>
      <c r="E310" s="37" t="s">
        <v>71</v>
      </c>
      <c r="F310">
        <v>80124101</v>
      </c>
      <c r="G310">
        <v>61711102</v>
      </c>
      <c r="H310" s="27">
        <v>26895.088570595944</v>
      </c>
      <c r="I310" s="10">
        <v>0</v>
      </c>
      <c r="J310" s="10">
        <v>2677.68</v>
      </c>
      <c r="K310" s="10">
        <v>2651.76</v>
      </c>
      <c r="L310" s="10">
        <v>2679.57</v>
      </c>
      <c r="M310" s="10">
        <v>2720.1</v>
      </c>
      <c r="N310" s="10">
        <v>2745.57</v>
      </c>
      <c r="O310" s="10">
        <v>2782.58</v>
      </c>
      <c r="P310" s="10">
        <v>2775.09</v>
      </c>
      <c r="Q310" s="6">
        <v>2753.05</v>
      </c>
      <c r="R310" s="6">
        <v>2753.05</v>
      </c>
      <c r="S310" s="6">
        <v>2753.05</v>
      </c>
      <c r="T310" s="6">
        <v>2753.05</v>
      </c>
      <c r="U310" s="6">
        <f t="shared" si="5"/>
        <v>30044.549999999996</v>
      </c>
    </row>
    <row r="311" spans="2:21" x14ac:dyDescent="0.35">
      <c r="B311" t="s">
        <v>1274</v>
      </c>
      <c r="D311" t="s">
        <v>612</v>
      </c>
      <c r="E311" s="37" t="s">
        <v>72</v>
      </c>
      <c r="F311">
        <v>80124101</v>
      </c>
      <c r="G311">
        <v>61711102</v>
      </c>
      <c r="H311" s="27">
        <v>5763.2332651277029</v>
      </c>
      <c r="I311" s="10">
        <v>0</v>
      </c>
      <c r="J311" s="10">
        <v>732.28</v>
      </c>
      <c r="K311" s="10">
        <v>800.06</v>
      </c>
      <c r="L311" s="10">
        <v>827.25</v>
      </c>
      <c r="M311" s="10">
        <v>829.72</v>
      </c>
      <c r="N311" s="10">
        <v>851.31</v>
      </c>
      <c r="O311" s="10">
        <v>1159.76</v>
      </c>
      <c r="P311" s="10">
        <v>1133.03</v>
      </c>
      <c r="Q311" s="6">
        <v>1135.8399999999999</v>
      </c>
      <c r="R311" s="6">
        <v>1135.8399999999999</v>
      </c>
      <c r="S311" s="6">
        <v>1135.8399999999999</v>
      </c>
      <c r="T311" s="6">
        <v>1135.8399999999999</v>
      </c>
      <c r="U311" s="6">
        <f t="shared" si="5"/>
        <v>10876.77</v>
      </c>
    </row>
    <row r="312" spans="2:21" x14ac:dyDescent="0.35">
      <c r="B312" t="s">
        <v>1274</v>
      </c>
      <c r="D312" t="s">
        <v>612</v>
      </c>
      <c r="E312" s="37" t="s">
        <v>73</v>
      </c>
      <c r="F312">
        <v>81124101</v>
      </c>
      <c r="G312">
        <v>52952103</v>
      </c>
      <c r="H312" s="27">
        <v>307372.44080681086</v>
      </c>
      <c r="I312" s="10">
        <v>20203.89</v>
      </c>
      <c r="J312" s="10">
        <v>20203.89</v>
      </c>
      <c r="K312" s="10">
        <v>20203.89</v>
      </c>
      <c r="L312" s="10">
        <v>20203.89</v>
      </c>
      <c r="M312" s="10">
        <v>20203.89</v>
      </c>
      <c r="N312" s="10">
        <v>20203.89</v>
      </c>
      <c r="O312" s="10">
        <v>20203.89</v>
      </c>
      <c r="P312" s="10">
        <v>0</v>
      </c>
      <c r="Q312" s="6">
        <v>0</v>
      </c>
      <c r="R312" s="6">
        <v>20203.89</v>
      </c>
      <c r="S312" s="6">
        <v>20203.89</v>
      </c>
      <c r="T312" s="6">
        <v>20203.89</v>
      </c>
      <c r="U312" s="6">
        <f t="shared" si="5"/>
        <v>202038.90000000002</v>
      </c>
    </row>
    <row r="313" spans="2:21" x14ac:dyDescent="0.35">
      <c r="B313" t="s">
        <v>1274</v>
      </c>
      <c r="D313" t="s">
        <v>42</v>
      </c>
      <c r="E313" s="37" t="s">
        <v>74</v>
      </c>
      <c r="F313">
        <v>80124101</v>
      </c>
      <c r="G313">
        <v>61711102</v>
      </c>
      <c r="H313" s="27">
        <v>262517.69578453817</v>
      </c>
      <c r="I313" s="10">
        <v>4453.13</v>
      </c>
      <c r="J313" s="10">
        <v>4453.13</v>
      </c>
      <c r="K313" s="10">
        <v>4453.13</v>
      </c>
      <c r="L313" s="10">
        <v>4453.13</v>
      </c>
      <c r="M313" s="10">
        <v>0</v>
      </c>
      <c r="N313" s="10">
        <v>0</v>
      </c>
      <c r="O313" s="10">
        <v>0</v>
      </c>
      <c r="P313" s="10">
        <v>0</v>
      </c>
      <c r="Q313" s="6">
        <v>0</v>
      </c>
      <c r="R313" s="6">
        <v>4453.13</v>
      </c>
      <c r="S313" s="6">
        <v>4453.13</v>
      </c>
      <c r="T313" s="6">
        <v>4453.13</v>
      </c>
      <c r="U313" s="6">
        <f t="shared" si="5"/>
        <v>31171.910000000003</v>
      </c>
    </row>
    <row r="314" spans="2:21" x14ac:dyDescent="0.35">
      <c r="B314" t="s">
        <v>1274</v>
      </c>
      <c r="D314" t="s">
        <v>42</v>
      </c>
      <c r="E314" s="37" t="s">
        <v>74</v>
      </c>
      <c r="F314" s="2">
        <v>81124101</v>
      </c>
      <c r="G314" s="2">
        <v>52952103</v>
      </c>
      <c r="H314" s="27">
        <v>0</v>
      </c>
      <c r="J314" s="10">
        <v>5937.5</v>
      </c>
      <c r="K314" s="10">
        <v>0</v>
      </c>
      <c r="L314" s="10">
        <v>0</v>
      </c>
      <c r="M314" s="6"/>
      <c r="N314" s="10">
        <v>0</v>
      </c>
      <c r="O314" s="10">
        <v>0</v>
      </c>
      <c r="P314" s="10">
        <v>0</v>
      </c>
      <c r="Q314" s="6"/>
      <c r="R314" s="6"/>
      <c r="S314" s="6"/>
      <c r="T314" s="6"/>
      <c r="U314" s="6">
        <f t="shared" si="5"/>
        <v>5937.5</v>
      </c>
    </row>
    <row r="315" spans="2:21" x14ac:dyDescent="0.35">
      <c r="B315" t="s">
        <v>1274</v>
      </c>
      <c r="D315" t="s">
        <v>42</v>
      </c>
      <c r="E315" s="37" t="s">
        <v>74</v>
      </c>
      <c r="F315" s="2">
        <v>81124101</v>
      </c>
      <c r="G315" s="2">
        <v>52952103</v>
      </c>
      <c r="H315" s="27">
        <v>0</v>
      </c>
      <c r="J315" s="10">
        <v>5937.5</v>
      </c>
      <c r="K315" s="10">
        <v>0</v>
      </c>
      <c r="L315" s="10">
        <v>0</v>
      </c>
      <c r="M315" s="6"/>
      <c r="N315" s="10">
        <v>0</v>
      </c>
      <c r="O315" s="10">
        <v>0</v>
      </c>
      <c r="P315" s="10">
        <v>0</v>
      </c>
      <c r="Q315" s="6"/>
      <c r="R315" s="6"/>
      <c r="S315" s="6"/>
      <c r="T315" s="6"/>
      <c r="U315" s="6">
        <f t="shared" si="5"/>
        <v>5937.5</v>
      </c>
    </row>
    <row r="316" spans="2:21" x14ac:dyDescent="0.35">
      <c r="B316" t="s">
        <v>1274</v>
      </c>
      <c r="D316" t="s">
        <v>42</v>
      </c>
      <c r="E316" s="37" t="s">
        <v>74</v>
      </c>
      <c r="F316" s="2">
        <v>81124101</v>
      </c>
      <c r="G316" s="2">
        <v>52952103</v>
      </c>
      <c r="H316" s="27">
        <v>0</v>
      </c>
      <c r="I316" s="10">
        <v>0</v>
      </c>
      <c r="J316" s="10">
        <v>0</v>
      </c>
      <c r="K316" s="10">
        <v>130625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6">
        <v>0</v>
      </c>
      <c r="R316" s="6">
        <v>0</v>
      </c>
      <c r="S316" s="6">
        <v>0</v>
      </c>
      <c r="T316" s="6">
        <v>0</v>
      </c>
      <c r="U316" s="6">
        <f t="shared" si="5"/>
        <v>130625</v>
      </c>
    </row>
    <row r="317" spans="2:21" x14ac:dyDescent="0.35">
      <c r="B317" t="s">
        <v>1274</v>
      </c>
      <c r="D317" t="s">
        <v>612</v>
      </c>
      <c r="E317" s="37" t="s">
        <v>75</v>
      </c>
      <c r="F317">
        <v>80124101</v>
      </c>
      <c r="G317">
        <v>61711102</v>
      </c>
      <c r="H317" s="27">
        <v>5000000</v>
      </c>
      <c r="I317" s="10">
        <v>427336.76</v>
      </c>
      <c r="J317" s="10">
        <v>335764.54000000004</v>
      </c>
      <c r="K317" s="10">
        <v>381550.68</v>
      </c>
      <c r="L317" s="10">
        <v>381550.68</v>
      </c>
      <c r="M317" s="10">
        <v>381550.68</v>
      </c>
      <c r="N317" s="10">
        <v>381550.68</v>
      </c>
      <c r="O317" s="10">
        <v>381550.68</v>
      </c>
      <c r="P317" s="10">
        <v>381550.68</v>
      </c>
      <c r="Q317" s="6">
        <v>381550.68</v>
      </c>
      <c r="R317" s="6">
        <v>381550.68</v>
      </c>
      <c r="S317" s="6">
        <v>381550.68</v>
      </c>
      <c r="T317" s="6">
        <v>381550.68</v>
      </c>
      <c r="U317" s="6">
        <f t="shared" si="5"/>
        <v>4578608.1000000006</v>
      </c>
    </row>
    <row r="318" spans="2:21" x14ac:dyDescent="0.35">
      <c r="B318" t="s">
        <v>1274</v>
      </c>
      <c r="D318" t="s">
        <v>612</v>
      </c>
      <c r="E318" s="37" t="s">
        <v>683</v>
      </c>
      <c r="F318">
        <v>80124101</v>
      </c>
      <c r="G318">
        <v>61711102</v>
      </c>
      <c r="H318" s="27">
        <v>605000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6">
        <v>0</v>
      </c>
      <c r="R318" s="6">
        <v>0</v>
      </c>
      <c r="S318" s="6">
        <v>0</v>
      </c>
      <c r="T318" s="6">
        <v>0</v>
      </c>
      <c r="U318" s="6">
        <f t="shared" si="5"/>
        <v>0</v>
      </c>
    </row>
    <row r="319" spans="2:21" x14ac:dyDescent="0.35">
      <c r="B319" t="s">
        <v>1274</v>
      </c>
      <c r="D319" t="s">
        <v>612</v>
      </c>
      <c r="E319" s="37" t="s">
        <v>76</v>
      </c>
      <c r="F319">
        <v>81124101</v>
      </c>
      <c r="G319">
        <v>52952103</v>
      </c>
      <c r="H319" s="27">
        <v>192107.77550425674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6">
        <v>30569.54</v>
      </c>
      <c r="R319" s="6">
        <v>30000</v>
      </c>
      <c r="S319" s="6">
        <v>30000</v>
      </c>
      <c r="T319" s="6">
        <v>30000</v>
      </c>
      <c r="U319" s="6">
        <f t="shared" si="5"/>
        <v>120569.54000000001</v>
      </c>
    </row>
    <row r="320" spans="2:21" x14ac:dyDescent="0.35">
      <c r="B320" t="s">
        <v>1274</v>
      </c>
      <c r="D320" t="s">
        <v>612</v>
      </c>
      <c r="E320" s="37" t="s">
        <v>76</v>
      </c>
      <c r="F320">
        <v>80124101</v>
      </c>
      <c r="G320">
        <v>61711102</v>
      </c>
      <c r="H320" s="27">
        <v>0</v>
      </c>
      <c r="K320" s="10">
        <v>15284.77</v>
      </c>
      <c r="L320" s="10">
        <v>0</v>
      </c>
      <c r="M320" s="10">
        <v>15284.77</v>
      </c>
      <c r="N320" s="10">
        <v>0</v>
      </c>
      <c r="O320" s="10">
        <v>0</v>
      </c>
      <c r="P320" s="10">
        <v>0</v>
      </c>
      <c r="Q320" s="6">
        <v>0</v>
      </c>
      <c r="R320" s="6"/>
      <c r="S320" s="6"/>
      <c r="T320" s="6"/>
      <c r="U320" s="6">
        <f t="shared" si="5"/>
        <v>30569.54</v>
      </c>
    </row>
    <row r="321" spans="2:21" x14ac:dyDescent="0.35">
      <c r="B321" t="s">
        <v>1274</v>
      </c>
      <c r="D321" t="s">
        <v>612</v>
      </c>
      <c r="E321" s="37" t="s">
        <v>77</v>
      </c>
      <c r="F321">
        <v>80124101</v>
      </c>
      <c r="G321">
        <v>61711102</v>
      </c>
      <c r="H321" s="27">
        <v>299999.99999999994</v>
      </c>
      <c r="I321" s="10">
        <v>8809.5300000000007</v>
      </c>
      <c r="J321" s="10">
        <v>8809.5300000000007</v>
      </c>
      <c r="K321" s="10">
        <v>8809.5300000000007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6">
        <v>0</v>
      </c>
      <c r="R321" s="6">
        <v>0</v>
      </c>
      <c r="S321" s="6">
        <v>0</v>
      </c>
      <c r="T321" s="6">
        <v>0</v>
      </c>
      <c r="U321" s="6">
        <f t="shared" si="5"/>
        <v>26428.590000000004</v>
      </c>
    </row>
    <row r="322" spans="2:21" x14ac:dyDescent="0.35">
      <c r="B322" t="s">
        <v>1274</v>
      </c>
      <c r="D322" t="s">
        <v>612</v>
      </c>
      <c r="E322" s="37" t="s">
        <v>77</v>
      </c>
      <c r="F322">
        <v>81124101</v>
      </c>
      <c r="G322">
        <v>52952103</v>
      </c>
      <c r="H322" s="27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112142.86</v>
      </c>
      <c r="O322" s="10">
        <v>0</v>
      </c>
      <c r="P322" s="10">
        <v>0</v>
      </c>
      <c r="Q322" s="6">
        <v>29415.18</v>
      </c>
      <c r="R322" s="6">
        <v>30000</v>
      </c>
      <c r="S322" s="6">
        <v>30000</v>
      </c>
      <c r="T322" s="6">
        <v>30000</v>
      </c>
      <c r="U322" s="6">
        <f t="shared" si="5"/>
        <v>231558.04</v>
      </c>
    </row>
    <row r="323" spans="2:21" x14ac:dyDescent="0.35">
      <c r="B323" t="s">
        <v>1274</v>
      </c>
      <c r="D323" t="s">
        <v>612</v>
      </c>
      <c r="E323" s="37" t="s">
        <v>78</v>
      </c>
      <c r="F323">
        <v>81124101</v>
      </c>
      <c r="G323">
        <v>52952103</v>
      </c>
      <c r="H323" s="27">
        <v>576323.32651277038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6">
        <v>0</v>
      </c>
      <c r="R323" s="6">
        <v>0</v>
      </c>
      <c r="S323" s="6">
        <v>0</v>
      </c>
      <c r="T323" s="6">
        <v>0</v>
      </c>
      <c r="U323" s="6">
        <f t="shared" si="5"/>
        <v>0</v>
      </c>
    </row>
    <row r="324" spans="2:21" x14ac:dyDescent="0.35">
      <c r="B324" t="s">
        <v>1274</v>
      </c>
      <c r="D324" t="s">
        <v>612</v>
      </c>
      <c r="E324" s="37" t="s">
        <v>78</v>
      </c>
      <c r="F324">
        <v>81124101</v>
      </c>
      <c r="G324">
        <v>52952103</v>
      </c>
      <c r="H324" s="27">
        <v>192107.77550425674</v>
      </c>
      <c r="I324" s="10">
        <v>0</v>
      </c>
      <c r="J324" s="10">
        <v>26785.71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6">
        <v>185446.41999999998</v>
      </c>
      <c r="R324" s="6">
        <v>31116.07</v>
      </c>
      <c r="S324" s="6">
        <v>31116.07</v>
      </c>
      <c r="T324" s="6">
        <v>31116.07</v>
      </c>
      <c r="U324" s="6">
        <f t="shared" si="5"/>
        <v>305580.33999999997</v>
      </c>
    </row>
    <row r="325" spans="2:21" x14ac:dyDescent="0.35">
      <c r="B325" t="s">
        <v>1274</v>
      </c>
      <c r="D325" t="s">
        <v>612</v>
      </c>
      <c r="E325" s="37" t="s">
        <v>78</v>
      </c>
      <c r="F325" s="2">
        <v>80124101</v>
      </c>
      <c r="G325" s="2">
        <v>61711102</v>
      </c>
      <c r="H325" s="27">
        <v>0</v>
      </c>
      <c r="M325" s="10">
        <v>133195.31</v>
      </c>
      <c r="N325" s="10">
        <v>0</v>
      </c>
      <c r="O325" s="10">
        <v>0</v>
      </c>
      <c r="P325" s="10">
        <v>0</v>
      </c>
      <c r="Q325" s="6">
        <v>0</v>
      </c>
      <c r="R325" s="6">
        <v>0</v>
      </c>
      <c r="S325" s="6">
        <v>0</v>
      </c>
      <c r="T325" s="6">
        <v>0</v>
      </c>
      <c r="U325" s="6">
        <f t="shared" ref="U325:U388" si="6">SUM(I325:T325)</f>
        <v>133195.31</v>
      </c>
    </row>
    <row r="326" spans="2:21" x14ac:dyDescent="0.35">
      <c r="B326" t="s">
        <v>1274</v>
      </c>
      <c r="D326" t="s">
        <v>612</v>
      </c>
      <c r="E326" s="37" t="s">
        <v>695</v>
      </c>
      <c r="F326">
        <v>80124101</v>
      </c>
      <c r="G326">
        <v>61711102</v>
      </c>
      <c r="H326" s="27">
        <v>9605.3887752128394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6">
        <v>0</v>
      </c>
      <c r="R326" s="6">
        <v>0</v>
      </c>
      <c r="S326" s="6">
        <v>0</v>
      </c>
      <c r="T326" s="6">
        <v>0</v>
      </c>
      <c r="U326" s="6">
        <f t="shared" si="6"/>
        <v>0</v>
      </c>
    </row>
    <row r="327" spans="2:21" x14ac:dyDescent="0.35">
      <c r="B327" t="s">
        <v>1274</v>
      </c>
      <c r="D327" t="s">
        <v>612</v>
      </c>
      <c r="E327" s="37" t="s">
        <v>79</v>
      </c>
      <c r="F327">
        <v>80124101</v>
      </c>
      <c r="G327">
        <v>61711102</v>
      </c>
      <c r="H327" s="27">
        <v>172896.9979538311</v>
      </c>
      <c r="I327" s="10">
        <v>12343.75</v>
      </c>
      <c r="J327" s="10">
        <v>6171.88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6">
        <v>0</v>
      </c>
      <c r="R327" s="6">
        <v>0</v>
      </c>
      <c r="S327" s="6">
        <v>0</v>
      </c>
      <c r="T327" s="6">
        <v>0</v>
      </c>
      <c r="U327" s="6">
        <f t="shared" si="6"/>
        <v>18515.63</v>
      </c>
    </row>
    <row r="328" spans="2:21" x14ac:dyDescent="0.35">
      <c r="B328" t="s">
        <v>1274</v>
      </c>
      <c r="D328" t="s">
        <v>612</v>
      </c>
      <c r="E328" s="37" t="s">
        <v>79</v>
      </c>
      <c r="F328" s="2">
        <v>81124101</v>
      </c>
      <c r="G328" s="2">
        <v>52952103</v>
      </c>
      <c r="H328" s="27">
        <v>0</v>
      </c>
      <c r="K328" s="10">
        <v>148125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6">
        <v>24107.14</v>
      </c>
      <c r="R328" s="6"/>
      <c r="S328" s="6"/>
      <c r="T328" s="6"/>
      <c r="U328" s="6">
        <f t="shared" si="6"/>
        <v>172232.14</v>
      </c>
    </row>
    <row r="329" spans="2:21" x14ac:dyDescent="0.35">
      <c r="B329" t="s">
        <v>1274</v>
      </c>
      <c r="D329" t="s">
        <v>612</v>
      </c>
      <c r="E329" s="37" t="s">
        <v>80</v>
      </c>
      <c r="F329">
        <v>80124101</v>
      </c>
      <c r="G329">
        <v>61711102</v>
      </c>
      <c r="H329" s="27">
        <v>245000</v>
      </c>
      <c r="I329" s="10">
        <v>10937.5</v>
      </c>
      <c r="J329" s="10">
        <v>5468.75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6">
        <v>0</v>
      </c>
      <c r="R329" s="6">
        <v>0</v>
      </c>
      <c r="S329" s="6">
        <v>0</v>
      </c>
      <c r="T329" s="6">
        <v>0</v>
      </c>
      <c r="U329" s="6">
        <f t="shared" si="6"/>
        <v>16406.25</v>
      </c>
    </row>
    <row r="330" spans="2:21" x14ac:dyDescent="0.35">
      <c r="B330" t="s">
        <v>1274</v>
      </c>
      <c r="D330" t="s">
        <v>612</v>
      </c>
      <c r="E330" s="37" t="s">
        <v>80</v>
      </c>
      <c r="F330" s="2">
        <v>81124101</v>
      </c>
      <c r="G330" s="2">
        <v>52952103</v>
      </c>
      <c r="H330" s="27">
        <v>0</v>
      </c>
      <c r="K330" s="10">
        <v>155625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6">
        <v>26339.29</v>
      </c>
      <c r="R330" s="6"/>
      <c r="S330" s="6"/>
      <c r="T330" s="6"/>
      <c r="U330" s="6">
        <f t="shared" si="6"/>
        <v>181964.29</v>
      </c>
    </row>
    <row r="331" spans="2:21" x14ac:dyDescent="0.35">
      <c r="B331" t="s">
        <v>1274</v>
      </c>
      <c r="D331" t="s">
        <v>1256</v>
      </c>
      <c r="E331" s="37" t="s">
        <v>50</v>
      </c>
      <c r="F331">
        <v>80124101</v>
      </c>
      <c r="G331">
        <v>61711102</v>
      </c>
      <c r="H331" s="27">
        <v>576323.32651277038</v>
      </c>
      <c r="I331" s="10">
        <v>18973.21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6">
        <v>0</v>
      </c>
      <c r="R331" s="6">
        <v>0</v>
      </c>
      <c r="S331" s="6">
        <v>0</v>
      </c>
      <c r="T331" s="6">
        <v>0</v>
      </c>
      <c r="U331" s="6">
        <f t="shared" si="6"/>
        <v>18973.21</v>
      </c>
    </row>
    <row r="332" spans="2:21" x14ac:dyDescent="0.35">
      <c r="B332" t="s">
        <v>1274</v>
      </c>
      <c r="D332" t="s">
        <v>612</v>
      </c>
      <c r="E332" s="37" t="s">
        <v>702</v>
      </c>
      <c r="F332">
        <v>80124101</v>
      </c>
      <c r="G332">
        <v>61711102</v>
      </c>
      <c r="H332" s="27">
        <v>54174.39269220041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6">
        <v>0</v>
      </c>
      <c r="R332" s="6">
        <v>0</v>
      </c>
      <c r="S332" s="6">
        <v>0</v>
      </c>
      <c r="T332" s="6">
        <v>0</v>
      </c>
      <c r="U332" s="6">
        <f t="shared" si="6"/>
        <v>0</v>
      </c>
    </row>
    <row r="333" spans="2:21" x14ac:dyDescent="0.35">
      <c r="B333" t="s">
        <v>1274</v>
      </c>
      <c r="D333" t="s">
        <v>612</v>
      </c>
      <c r="E333" s="37" t="s">
        <v>705</v>
      </c>
      <c r="F333">
        <v>80124101</v>
      </c>
      <c r="G333">
        <v>61711102</v>
      </c>
      <c r="H333" s="27">
        <v>672377.21426489868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6">
        <v>0</v>
      </c>
      <c r="R333" s="6">
        <v>0</v>
      </c>
      <c r="S333" s="6">
        <v>0</v>
      </c>
      <c r="T333" s="6">
        <v>0</v>
      </c>
      <c r="U333" s="6">
        <f t="shared" si="6"/>
        <v>0</v>
      </c>
    </row>
    <row r="334" spans="2:21" x14ac:dyDescent="0.35">
      <c r="B334" t="s">
        <v>1274</v>
      </c>
      <c r="D334" t="s">
        <v>612</v>
      </c>
      <c r="E334" s="37" t="s">
        <v>81</v>
      </c>
      <c r="F334">
        <v>80124101</v>
      </c>
      <c r="G334">
        <v>61711102</v>
      </c>
      <c r="H334" s="27">
        <v>14408.083162819257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6">
        <v>0</v>
      </c>
      <c r="R334" s="6">
        <v>0</v>
      </c>
      <c r="S334" s="6">
        <v>0</v>
      </c>
      <c r="T334" s="6">
        <v>0</v>
      </c>
      <c r="U334" s="6">
        <f t="shared" si="6"/>
        <v>0</v>
      </c>
    </row>
    <row r="335" spans="2:21" x14ac:dyDescent="0.35">
      <c r="B335" t="s">
        <v>1274</v>
      </c>
      <c r="D335" t="s">
        <v>612</v>
      </c>
      <c r="E335" s="37" t="s">
        <v>81</v>
      </c>
      <c r="F335" s="2">
        <v>90124101</v>
      </c>
      <c r="G335" s="2">
        <v>52952103</v>
      </c>
      <c r="H335" s="27">
        <v>0</v>
      </c>
      <c r="N335" s="10">
        <v>4029.9</v>
      </c>
      <c r="O335" s="10">
        <v>0</v>
      </c>
      <c r="P335" s="10">
        <v>0</v>
      </c>
      <c r="Q335" s="6"/>
      <c r="R335" s="6"/>
      <c r="S335" s="6"/>
      <c r="T335" s="6"/>
      <c r="U335" s="6">
        <f t="shared" si="6"/>
        <v>4029.9</v>
      </c>
    </row>
    <row r="336" spans="2:21" x14ac:dyDescent="0.35">
      <c r="B336" t="s">
        <v>1274</v>
      </c>
      <c r="D336" t="s">
        <v>710</v>
      </c>
      <c r="E336" s="37" t="s">
        <v>83</v>
      </c>
      <c r="F336">
        <v>81124101</v>
      </c>
      <c r="G336">
        <v>52952103</v>
      </c>
      <c r="H336" s="27">
        <v>922117.32242043247</v>
      </c>
      <c r="I336" s="10">
        <v>0</v>
      </c>
      <c r="J336" s="10">
        <v>14558.28</v>
      </c>
      <c r="K336" s="10">
        <v>14317.2</v>
      </c>
      <c r="L336" s="10">
        <v>14877.59</v>
      </c>
      <c r="M336" s="10">
        <v>10692.94</v>
      </c>
      <c r="N336" s="10">
        <v>9485.2999999999993</v>
      </c>
      <c r="O336" s="10">
        <v>9444.1</v>
      </c>
      <c r="P336" s="10">
        <v>6344.34</v>
      </c>
      <c r="Q336" s="6">
        <v>3165.56</v>
      </c>
      <c r="R336" s="6">
        <v>10000</v>
      </c>
      <c r="S336" s="6">
        <v>10000</v>
      </c>
      <c r="T336" s="6">
        <v>10000</v>
      </c>
      <c r="U336" s="6">
        <f t="shared" si="6"/>
        <v>112885.31000000001</v>
      </c>
    </row>
    <row r="337" spans="2:21" x14ac:dyDescent="0.35">
      <c r="B337" t="s">
        <v>1274</v>
      </c>
      <c r="D337" t="s">
        <v>710</v>
      </c>
      <c r="E337" s="37" t="s">
        <v>83</v>
      </c>
      <c r="F337" s="2">
        <v>81124101</v>
      </c>
      <c r="G337" s="2">
        <v>52952103</v>
      </c>
      <c r="H337" s="27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7109.31</v>
      </c>
      <c r="O337" s="10">
        <v>16997.82</v>
      </c>
      <c r="P337" s="10">
        <v>24191.149999999998</v>
      </c>
      <c r="Q337" s="6">
        <v>42830.89</v>
      </c>
      <c r="R337" s="6">
        <v>50000</v>
      </c>
      <c r="S337" s="6">
        <v>50000</v>
      </c>
      <c r="T337" s="6">
        <v>50000</v>
      </c>
      <c r="U337" s="6">
        <f t="shared" si="6"/>
        <v>241129.16999999998</v>
      </c>
    </row>
    <row r="338" spans="2:21" x14ac:dyDescent="0.35">
      <c r="B338" t="s">
        <v>1274</v>
      </c>
      <c r="D338" t="s">
        <v>710</v>
      </c>
      <c r="E338" s="37" t="s">
        <v>83</v>
      </c>
      <c r="F338" s="2">
        <v>80124101</v>
      </c>
      <c r="G338" s="2">
        <v>61711102</v>
      </c>
      <c r="H338" s="27">
        <v>0</v>
      </c>
      <c r="P338" s="10">
        <v>20753.62</v>
      </c>
      <c r="Q338" s="6">
        <v>7090.85</v>
      </c>
      <c r="R338" s="6"/>
      <c r="S338" s="6"/>
      <c r="T338" s="6"/>
      <c r="U338" s="6">
        <f t="shared" si="6"/>
        <v>27844.47</v>
      </c>
    </row>
    <row r="339" spans="2:21" x14ac:dyDescent="0.35">
      <c r="B339" t="s">
        <v>1274</v>
      </c>
      <c r="D339" t="s">
        <v>710</v>
      </c>
      <c r="E339" s="37" t="s">
        <v>83</v>
      </c>
      <c r="F339">
        <v>80124101</v>
      </c>
      <c r="G339">
        <v>61711102</v>
      </c>
      <c r="H339" s="27">
        <v>0</v>
      </c>
      <c r="I339" s="10">
        <v>0</v>
      </c>
      <c r="J339" s="10">
        <v>6393.4</v>
      </c>
      <c r="K339" s="10">
        <v>6407.84</v>
      </c>
      <c r="L339" s="10">
        <v>6268.1</v>
      </c>
      <c r="M339" s="10">
        <v>6607.44</v>
      </c>
      <c r="N339" s="10">
        <v>6694.45</v>
      </c>
      <c r="O339" s="10">
        <v>6989.66</v>
      </c>
      <c r="P339" s="10">
        <v>8876.0400000000009</v>
      </c>
      <c r="Q339" s="6">
        <v>8918.85</v>
      </c>
      <c r="R339" s="6">
        <v>8918.85</v>
      </c>
      <c r="S339" s="6">
        <v>8918.85</v>
      </c>
      <c r="T339" s="6">
        <v>8918.85</v>
      </c>
      <c r="U339" s="6">
        <f t="shared" si="6"/>
        <v>83912.330000000016</v>
      </c>
    </row>
    <row r="340" spans="2:21" x14ac:dyDescent="0.35">
      <c r="B340" t="s">
        <v>1274</v>
      </c>
      <c r="D340" t="s">
        <v>710</v>
      </c>
      <c r="E340" s="37" t="s">
        <v>83</v>
      </c>
      <c r="F340">
        <v>80124101</v>
      </c>
      <c r="G340">
        <v>61711102</v>
      </c>
      <c r="H340" s="27">
        <v>0</v>
      </c>
      <c r="I340" s="10">
        <v>0</v>
      </c>
      <c r="J340" s="10">
        <v>35741.910000000003</v>
      </c>
      <c r="K340" s="10">
        <v>35287.480000000003</v>
      </c>
      <c r="L340" s="10">
        <v>35755.18</v>
      </c>
      <c r="M340" s="10">
        <v>36181.29</v>
      </c>
      <c r="N340" s="10">
        <v>37183.58</v>
      </c>
      <c r="O340" s="10">
        <v>36661.629999999997</v>
      </c>
      <c r="P340" s="10">
        <v>37307.74</v>
      </c>
      <c r="Q340" s="6">
        <v>37060.019999999997</v>
      </c>
      <c r="R340" s="6">
        <v>37183.58</v>
      </c>
      <c r="S340" s="6">
        <v>37183.58</v>
      </c>
      <c r="T340" s="6">
        <v>37183.58</v>
      </c>
      <c r="U340" s="6">
        <f t="shared" si="6"/>
        <v>402729.57000000007</v>
      </c>
    </row>
    <row r="341" spans="2:21" x14ac:dyDescent="0.35">
      <c r="B341" t="s">
        <v>1274</v>
      </c>
      <c r="D341" t="s">
        <v>612</v>
      </c>
      <c r="E341" t="s">
        <v>84</v>
      </c>
      <c r="F341" s="2">
        <v>80124101</v>
      </c>
      <c r="G341" s="2">
        <v>61711102</v>
      </c>
      <c r="H341" s="27">
        <v>0</v>
      </c>
      <c r="J341" s="10">
        <v>2132.0700000000002</v>
      </c>
      <c r="K341" s="10">
        <v>2132.37</v>
      </c>
      <c r="L341" s="10">
        <v>2108.61</v>
      </c>
      <c r="M341" s="10">
        <v>2195.9</v>
      </c>
      <c r="N341" s="10">
        <v>2226.0700000000002</v>
      </c>
      <c r="O341" s="10">
        <v>2239.37</v>
      </c>
      <c r="P341" s="10">
        <v>2231.23</v>
      </c>
      <c r="Q341" s="6">
        <v>2227.58</v>
      </c>
      <c r="R341" s="6">
        <v>2226.0700000000002</v>
      </c>
      <c r="S341" s="6">
        <v>2226.0700000000002</v>
      </c>
      <c r="T341" s="6">
        <v>2226.0700000000002</v>
      </c>
      <c r="U341" s="6">
        <f t="shared" si="6"/>
        <v>24171.409999999996</v>
      </c>
    </row>
    <row r="342" spans="2:21" x14ac:dyDescent="0.35">
      <c r="B342" t="s">
        <v>1274</v>
      </c>
      <c r="D342" t="s">
        <v>612</v>
      </c>
      <c r="E342" s="37" t="s">
        <v>85</v>
      </c>
      <c r="F342" s="2">
        <v>80124101</v>
      </c>
      <c r="G342" s="2">
        <v>61711102</v>
      </c>
      <c r="H342" s="27">
        <v>0</v>
      </c>
      <c r="J342" s="10">
        <v>135192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6">
        <v>0</v>
      </c>
      <c r="R342" s="6">
        <v>0</v>
      </c>
      <c r="S342" s="6">
        <v>0</v>
      </c>
      <c r="T342" s="6">
        <v>0</v>
      </c>
      <c r="U342" s="6">
        <f t="shared" si="6"/>
        <v>135192</v>
      </c>
    </row>
    <row r="343" spans="2:21" ht="29" x14ac:dyDescent="0.35">
      <c r="B343" t="s">
        <v>1274</v>
      </c>
      <c r="D343" t="s">
        <v>612</v>
      </c>
      <c r="E343" s="37" t="s">
        <v>84</v>
      </c>
      <c r="F343">
        <v>81124101</v>
      </c>
      <c r="G343">
        <v>52952103</v>
      </c>
      <c r="H343" s="27">
        <v>20747.639754459731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6">
        <v>0</v>
      </c>
      <c r="R343" s="6">
        <v>0</v>
      </c>
      <c r="S343" s="6">
        <v>0</v>
      </c>
      <c r="T343" s="6">
        <v>0</v>
      </c>
      <c r="U343" s="6">
        <f t="shared" si="6"/>
        <v>0</v>
      </c>
    </row>
    <row r="344" spans="2:21" x14ac:dyDescent="0.35">
      <c r="B344" t="s">
        <v>1274</v>
      </c>
      <c r="D344" t="s">
        <v>612</v>
      </c>
      <c r="E344" s="37" t="s">
        <v>78</v>
      </c>
      <c r="F344">
        <v>81124101</v>
      </c>
      <c r="G344">
        <v>52952103</v>
      </c>
      <c r="H344" s="27">
        <v>449532.19467996084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6">
        <v>0</v>
      </c>
      <c r="R344" s="6">
        <v>0</v>
      </c>
      <c r="S344" s="6">
        <v>0</v>
      </c>
      <c r="T344" s="6">
        <v>0</v>
      </c>
      <c r="U344" s="6">
        <f t="shared" si="6"/>
        <v>0</v>
      </c>
    </row>
    <row r="345" spans="2:21" x14ac:dyDescent="0.35">
      <c r="B345" t="s">
        <v>1274</v>
      </c>
      <c r="D345" t="s">
        <v>612</v>
      </c>
      <c r="E345" s="37" t="s">
        <v>722</v>
      </c>
      <c r="F345">
        <v>81124101</v>
      </c>
      <c r="G345">
        <v>52952103</v>
      </c>
      <c r="H345" s="27">
        <v>153686.22040340543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6">
        <v>0</v>
      </c>
      <c r="R345" s="6">
        <v>0</v>
      </c>
      <c r="S345" s="6">
        <v>0</v>
      </c>
      <c r="T345" s="6">
        <v>0</v>
      </c>
      <c r="U345" s="6">
        <f t="shared" si="6"/>
        <v>0</v>
      </c>
    </row>
    <row r="346" spans="2:21" x14ac:dyDescent="0.35">
      <c r="B346" t="s">
        <v>1274</v>
      </c>
      <c r="D346" t="s">
        <v>612</v>
      </c>
      <c r="E346" t="s">
        <v>84</v>
      </c>
      <c r="F346">
        <v>81124101</v>
      </c>
      <c r="G346">
        <v>52952103</v>
      </c>
      <c r="H346" s="27">
        <v>23052.933060510812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6">
        <v>0</v>
      </c>
      <c r="R346" s="6">
        <v>0</v>
      </c>
      <c r="S346" s="6">
        <v>0</v>
      </c>
      <c r="T346" s="6">
        <v>0</v>
      </c>
      <c r="U346" s="6">
        <f t="shared" si="6"/>
        <v>0</v>
      </c>
    </row>
    <row r="347" spans="2:21" x14ac:dyDescent="0.35">
      <c r="B347" t="s">
        <v>1274</v>
      </c>
      <c r="D347" t="s">
        <v>612</v>
      </c>
      <c r="E347" s="37" t="s">
        <v>629</v>
      </c>
      <c r="F347" s="2">
        <v>80124101</v>
      </c>
      <c r="G347" s="2">
        <v>61711102</v>
      </c>
      <c r="H347" s="27">
        <v>0</v>
      </c>
      <c r="M347" s="10">
        <v>97332.6</v>
      </c>
      <c r="N347" s="10">
        <v>0</v>
      </c>
      <c r="O347" s="10">
        <v>0</v>
      </c>
      <c r="P347" s="10">
        <v>0</v>
      </c>
      <c r="Q347" s="6"/>
      <c r="R347" s="6"/>
      <c r="S347" s="6"/>
      <c r="T347" s="6"/>
      <c r="U347" s="6">
        <f t="shared" si="6"/>
        <v>97332.6</v>
      </c>
    </row>
    <row r="348" spans="2:21" x14ac:dyDescent="0.35">
      <c r="B348" t="s">
        <v>1274</v>
      </c>
      <c r="D348" t="s">
        <v>612</v>
      </c>
      <c r="E348" s="37" t="s">
        <v>629</v>
      </c>
      <c r="F348" s="2">
        <v>80124101</v>
      </c>
      <c r="G348" s="2">
        <v>61711102</v>
      </c>
      <c r="H348" s="27">
        <v>0</v>
      </c>
      <c r="M348" s="10">
        <v>-1017384.9</v>
      </c>
      <c r="N348" s="10">
        <v>0</v>
      </c>
      <c r="O348" s="10">
        <v>0</v>
      </c>
      <c r="P348" s="10">
        <v>0</v>
      </c>
      <c r="Q348" s="6"/>
      <c r="R348" s="6"/>
      <c r="S348" s="6"/>
      <c r="T348" s="6"/>
      <c r="U348" s="6">
        <f t="shared" si="6"/>
        <v>-1017384.9</v>
      </c>
    </row>
    <row r="349" spans="2:21" x14ac:dyDescent="0.35">
      <c r="B349" t="s">
        <v>1271</v>
      </c>
      <c r="C349" t="s">
        <v>1272</v>
      </c>
      <c r="D349" t="s">
        <v>93</v>
      </c>
      <c r="E349" s="37" t="s">
        <v>730</v>
      </c>
      <c r="F349">
        <v>81124101</v>
      </c>
      <c r="G349">
        <v>52071104</v>
      </c>
      <c r="H349" s="27">
        <v>1440000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6">
        <v>0</v>
      </c>
      <c r="R349" s="6">
        <v>0</v>
      </c>
      <c r="S349" s="6">
        <v>0</v>
      </c>
      <c r="T349" s="6">
        <v>0</v>
      </c>
      <c r="U349" s="6">
        <f t="shared" si="6"/>
        <v>0</v>
      </c>
    </row>
    <row r="350" spans="2:21" x14ac:dyDescent="0.35">
      <c r="B350" t="s">
        <v>1271</v>
      </c>
      <c r="C350" t="s">
        <v>1272</v>
      </c>
      <c r="D350" t="s">
        <v>93</v>
      </c>
      <c r="E350" s="37" t="s">
        <v>731</v>
      </c>
      <c r="F350">
        <v>81124101</v>
      </c>
      <c r="G350">
        <v>52071104</v>
      </c>
      <c r="H350" s="27">
        <v>720000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6">
        <v>0</v>
      </c>
      <c r="R350" s="6"/>
      <c r="S350" s="6"/>
      <c r="T350" s="6"/>
      <c r="U350" s="6">
        <f t="shared" si="6"/>
        <v>0</v>
      </c>
    </row>
    <row r="351" spans="2:21" x14ac:dyDescent="0.35">
      <c r="B351" t="s">
        <v>1271</v>
      </c>
      <c r="C351" t="s">
        <v>1272</v>
      </c>
      <c r="D351" t="s">
        <v>93</v>
      </c>
      <c r="E351" s="37" t="s">
        <v>733</v>
      </c>
      <c r="F351">
        <v>81124101</v>
      </c>
      <c r="G351">
        <v>52071104</v>
      </c>
      <c r="H351" s="27">
        <v>280000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6">
        <v>0</v>
      </c>
      <c r="R351" s="6">
        <v>0</v>
      </c>
      <c r="S351" s="6">
        <v>0</v>
      </c>
      <c r="T351" s="6">
        <v>0</v>
      </c>
      <c r="U351" s="6">
        <f t="shared" si="6"/>
        <v>0</v>
      </c>
    </row>
    <row r="352" spans="2:21" x14ac:dyDescent="0.35">
      <c r="B352" t="s">
        <v>1271</v>
      </c>
      <c r="C352" t="s">
        <v>1272</v>
      </c>
      <c r="D352" t="s">
        <v>93</v>
      </c>
      <c r="E352" s="37" t="s">
        <v>735</v>
      </c>
      <c r="F352">
        <v>81124101</v>
      </c>
      <c r="G352">
        <v>52071104</v>
      </c>
      <c r="H352" s="27">
        <v>900000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6">
        <v>0</v>
      </c>
      <c r="R352" s="6">
        <v>0</v>
      </c>
      <c r="S352" s="6">
        <v>0</v>
      </c>
      <c r="T352" s="6">
        <v>0</v>
      </c>
      <c r="U352" s="6">
        <f t="shared" si="6"/>
        <v>0</v>
      </c>
    </row>
    <row r="353" spans="2:21" x14ac:dyDescent="0.35">
      <c r="B353" t="s">
        <v>1271</v>
      </c>
      <c r="C353" t="s">
        <v>1272</v>
      </c>
      <c r="D353" t="s">
        <v>93</v>
      </c>
      <c r="E353" s="37" t="s">
        <v>737</v>
      </c>
      <c r="F353">
        <v>81124101</v>
      </c>
      <c r="G353">
        <v>52071104</v>
      </c>
      <c r="H353" s="27">
        <v>350000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6">
        <v>0</v>
      </c>
      <c r="R353" s="6">
        <v>0</v>
      </c>
      <c r="S353" s="6">
        <v>0</v>
      </c>
      <c r="T353" s="6">
        <v>0</v>
      </c>
      <c r="U353" s="6">
        <f t="shared" si="6"/>
        <v>0</v>
      </c>
    </row>
    <row r="354" spans="2:21" x14ac:dyDescent="0.35">
      <c r="B354" t="s">
        <v>1271</v>
      </c>
      <c r="C354" t="s">
        <v>1272</v>
      </c>
      <c r="D354" t="s">
        <v>93</v>
      </c>
      <c r="E354" s="37" t="s">
        <v>739</v>
      </c>
      <c r="F354">
        <v>81124101</v>
      </c>
      <c r="G354">
        <v>52071104</v>
      </c>
      <c r="H354" s="27">
        <v>300000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6">
        <v>0</v>
      </c>
      <c r="R354" s="6">
        <v>0</v>
      </c>
      <c r="S354" s="6">
        <v>0</v>
      </c>
      <c r="T354" s="6">
        <v>0</v>
      </c>
      <c r="U354" s="6">
        <f t="shared" si="6"/>
        <v>0</v>
      </c>
    </row>
    <row r="355" spans="2:21" x14ac:dyDescent="0.35">
      <c r="B355" t="s">
        <v>1271</v>
      </c>
      <c r="C355" t="s">
        <v>1272</v>
      </c>
      <c r="D355" s="37" t="s">
        <v>1263</v>
      </c>
      <c r="E355" s="37" t="s">
        <v>1263</v>
      </c>
      <c r="F355">
        <v>81124101</v>
      </c>
      <c r="G355">
        <v>52071104</v>
      </c>
      <c r="H355" s="27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6">
        <v>0</v>
      </c>
      <c r="R355" s="6">
        <v>0</v>
      </c>
      <c r="S355" s="6">
        <v>0</v>
      </c>
      <c r="T355" s="6">
        <v>0</v>
      </c>
      <c r="U355" s="6">
        <f t="shared" si="6"/>
        <v>0</v>
      </c>
    </row>
    <row r="356" spans="2:21" x14ac:dyDescent="0.35">
      <c r="B356" t="s">
        <v>6</v>
      </c>
      <c r="C356" t="s">
        <v>1269</v>
      </c>
      <c r="D356" t="s">
        <v>508</v>
      </c>
      <c r="E356" t="s">
        <v>30</v>
      </c>
      <c r="F356">
        <v>80123102</v>
      </c>
      <c r="G356">
        <v>61721101</v>
      </c>
      <c r="H356" s="27">
        <v>1000000.0000000001</v>
      </c>
      <c r="I356" s="10">
        <v>48004.35</v>
      </c>
      <c r="J356" s="10">
        <v>78305.610000000059</v>
      </c>
      <c r="K356" s="10">
        <v>76806.760000000038</v>
      </c>
      <c r="L356" s="10">
        <v>74313.800000000047</v>
      </c>
      <c r="M356" s="10">
        <v>72410.310000000027</v>
      </c>
      <c r="N356" s="10">
        <v>70409.73</v>
      </c>
      <c r="O356" s="10">
        <v>28382.89999999998</v>
      </c>
      <c r="P356" s="10">
        <v>86017.990000000136</v>
      </c>
      <c r="Q356" s="6">
        <v>14696.249999999987</v>
      </c>
      <c r="R356" s="6">
        <v>80000</v>
      </c>
      <c r="S356" s="6">
        <v>80000</v>
      </c>
      <c r="T356" s="6">
        <v>80000</v>
      </c>
      <c r="U356" s="6">
        <f t="shared" si="6"/>
        <v>789347.7000000003</v>
      </c>
    </row>
    <row r="357" spans="2:21" x14ac:dyDescent="0.35">
      <c r="B357" t="s">
        <v>6</v>
      </c>
      <c r="C357" t="s">
        <v>1269</v>
      </c>
      <c r="D357" s="37" t="s">
        <v>508</v>
      </c>
      <c r="E357" s="37" t="s">
        <v>744</v>
      </c>
      <c r="F357">
        <v>80124101</v>
      </c>
      <c r="G357">
        <v>61721105</v>
      </c>
      <c r="H357" s="27">
        <v>0</v>
      </c>
      <c r="I357" s="10">
        <v>0</v>
      </c>
      <c r="J357" s="10">
        <v>0</v>
      </c>
      <c r="K357" s="10">
        <v>1209.289999999979</v>
      </c>
      <c r="L357" s="10">
        <v>1383.93</v>
      </c>
      <c r="M357" s="10">
        <v>3422.5</v>
      </c>
      <c r="N357" s="10">
        <v>7270.3600000000006</v>
      </c>
      <c r="O357" s="10">
        <v>0</v>
      </c>
      <c r="P357" s="10">
        <v>5626.79</v>
      </c>
      <c r="Q357" s="6">
        <v>10466.43</v>
      </c>
      <c r="R357" s="6">
        <v>5000</v>
      </c>
      <c r="S357" s="6">
        <v>5000</v>
      </c>
      <c r="T357" s="6">
        <v>5000</v>
      </c>
      <c r="U357" s="6">
        <f t="shared" si="6"/>
        <v>44379.299999999981</v>
      </c>
    </row>
    <row r="358" spans="2:21" x14ac:dyDescent="0.35">
      <c r="B358" t="s">
        <v>6</v>
      </c>
      <c r="C358" t="s">
        <v>1269</v>
      </c>
      <c r="D358" t="s">
        <v>86</v>
      </c>
      <c r="E358" s="2" t="s">
        <v>87</v>
      </c>
      <c r="F358">
        <v>80124101</v>
      </c>
      <c r="G358">
        <v>61721105</v>
      </c>
      <c r="H358" s="27">
        <v>1980000</v>
      </c>
      <c r="I358" s="10">
        <v>165000</v>
      </c>
      <c r="J358" s="10">
        <v>165000</v>
      </c>
      <c r="K358" s="10">
        <v>165000</v>
      </c>
      <c r="L358" s="10">
        <v>165000</v>
      </c>
      <c r="M358" s="10">
        <v>165000</v>
      </c>
      <c r="N358" s="10">
        <v>165000</v>
      </c>
      <c r="O358" s="10">
        <v>165000</v>
      </c>
      <c r="P358" s="10">
        <v>165000</v>
      </c>
      <c r="Q358" s="6">
        <v>165000</v>
      </c>
      <c r="R358" s="6">
        <v>165000</v>
      </c>
      <c r="S358" s="6">
        <v>165000</v>
      </c>
      <c r="T358" s="6">
        <v>165000</v>
      </c>
      <c r="U358" s="6">
        <f t="shared" si="6"/>
        <v>1980000</v>
      </c>
    </row>
    <row r="359" spans="2:21" x14ac:dyDescent="0.35">
      <c r="B359" t="s">
        <v>6</v>
      </c>
      <c r="C359" t="s">
        <v>1269</v>
      </c>
      <c r="D359" t="s">
        <v>86</v>
      </c>
      <c r="E359" s="2" t="s">
        <v>88</v>
      </c>
      <c r="F359">
        <v>80124101</v>
      </c>
      <c r="G359">
        <v>61721105</v>
      </c>
      <c r="H359" s="27">
        <v>1380000</v>
      </c>
      <c r="I359" s="10">
        <v>115000</v>
      </c>
      <c r="J359" s="10">
        <v>115000</v>
      </c>
      <c r="K359" s="10">
        <v>115000</v>
      </c>
      <c r="L359" s="10">
        <v>115000</v>
      </c>
      <c r="M359" s="10">
        <v>115000</v>
      </c>
      <c r="N359" s="10">
        <v>115000</v>
      </c>
      <c r="O359" s="10">
        <v>115000</v>
      </c>
      <c r="P359" s="10">
        <v>115000</v>
      </c>
      <c r="Q359" s="6">
        <v>115000</v>
      </c>
      <c r="R359" s="6">
        <v>115000</v>
      </c>
      <c r="S359" s="6">
        <v>115000</v>
      </c>
      <c r="T359" s="6">
        <v>115000</v>
      </c>
      <c r="U359" s="6">
        <f t="shared" si="6"/>
        <v>1380000</v>
      </c>
    </row>
    <row r="360" spans="2:21" x14ac:dyDescent="0.35">
      <c r="B360" t="s">
        <v>6</v>
      </c>
      <c r="C360" t="s">
        <v>1269</v>
      </c>
      <c r="D360" t="s">
        <v>86</v>
      </c>
      <c r="E360" s="2" t="s">
        <v>89</v>
      </c>
      <c r="F360">
        <v>80124101</v>
      </c>
      <c r="G360">
        <v>61721105</v>
      </c>
      <c r="H360" s="27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6">
        <v>0</v>
      </c>
      <c r="R360" s="6">
        <v>0</v>
      </c>
      <c r="S360" s="6">
        <v>0</v>
      </c>
      <c r="T360" s="6">
        <v>0</v>
      </c>
      <c r="U360" s="6">
        <f t="shared" si="6"/>
        <v>0</v>
      </c>
    </row>
    <row r="361" spans="2:21" x14ac:dyDescent="0.35">
      <c r="B361" t="s">
        <v>6</v>
      </c>
      <c r="C361" t="s">
        <v>1269</v>
      </c>
      <c r="D361" t="s">
        <v>86</v>
      </c>
      <c r="E361" s="2" t="s">
        <v>90</v>
      </c>
      <c r="F361">
        <v>80124101</v>
      </c>
      <c r="G361">
        <v>61721105</v>
      </c>
      <c r="H361" s="27">
        <v>0</v>
      </c>
      <c r="I361" s="10">
        <v>41530</v>
      </c>
      <c r="J361" s="10">
        <v>41530</v>
      </c>
      <c r="K361" s="10">
        <v>41530</v>
      </c>
      <c r="L361" s="10">
        <v>41530</v>
      </c>
      <c r="M361" s="10">
        <v>41530</v>
      </c>
      <c r="N361" s="10">
        <v>41530</v>
      </c>
      <c r="O361" s="10">
        <v>41530</v>
      </c>
      <c r="P361" s="10">
        <v>41530</v>
      </c>
      <c r="Q361" s="6">
        <v>41530</v>
      </c>
      <c r="R361" s="6">
        <v>41530</v>
      </c>
      <c r="S361" s="6">
        <v>41530</v>
      </c>
      <c r="T361" s="6">
        <v>41530</v>
      </c>
      <c r="U361" s="6">
        <f t="shared" si="6"/>
        <v>498360</v>
      </c>
    </row>
    <row r="362" spans="2:21" x14ac:dyDescent="0.35">
      <c r="B362" t="s">
        <v>6</v>
      </c>
      <c r="C362" t="s">
        <v>1269</v>
      </c>
      <c r="D362" t="s">
        <v>86</v>
      </c>
      <c r="E362" s="2" t="s">
        <v>90</v>
      </c>
      <c r="F362">
        <v>80124101</v>
      </c>
      <c r="G362">
        <v>61721105</v>
      </c>
      <c r="H362" s="27">
        <v>0</v>
      </c>
      <c r="I362" s="10">
        <v>0</v>
      </c>
      <c r="J362" s="10">
        <v>53022</v>
      </c>
      <c r="K362" s="10">
        <v>53022</v>
      </c>
      <c r="L362" s="10">
        <v>53022</v>
      </c>
      <c r="M362" s="6">
        <v>53022</v>
      </c>
      <c r="N362" s="10">
        <v>53022</v>
      </c>
      <c r="O362" s="10">
        <v>53022</v>
      </c>
      <c r="P362" s="10">
        <v>106044</v>
      </c>
      <c r="Q362" s="6">
        <v>53022</v>
      </c>
      <c r="R362" s="6">
        <v>106044</v>
      </c>
      <c r="S362" s="6">
        <v>106044</v>
      </c>
      <c r="T362" s="6">
        <v>106044</v>
      </c>
      <c r="U362" s="6">
        <f t="shared" si="6"/>
        <v>795330</v>
      </c>
    </row>
    <row r="363" spans="2:21" x14ac:dyDescent="0.35">
      <c r="B363" t="s">
        <v>6</v>
      </c>
      <c r="C363" t="s">
        <v>1269</v>
      </c>
      <c r="D363" t="s">
        <v>86</v>
      </c>
      <c r="E363" s="2" t="s">
        <v>91</v>
      </c>
      <c r="F363">
        <v>80123102</v>
      </c>
      <c r="G363">
        <v>61721105</v>
      </c>
      <c r="H363" s="27">
        <v>0</v>
      </c>
      <c r="I363" s="10">
        <v>53022</v>
      </c>
      <c r="J363" s="10">
        <v>0</v>
      </c>
      <c r="K363" s="10">
        <v>0</v>
      </c>
      <c r="L363" s="10">
        <v>0</v>
      </c>
      <c r="N363" s="10">
        <v>0</v>
      </c>
      <c r="O363" s="10">
        <v>0</v>
      </c>
      <c r="P363" s="10">
        <v>-53022</v>
      </c>
      <c r="Q363" s="6">
        <v>0</v>
      </c>
      <c r="R363" s="6"/>
      <c r="S363" s="6"/>
      <c r="T363" s="6"/>
      <c r="U363" s="6">
        <f t="shared" si="6"/>
        <v>0</v>
      </c>
    </row>
    <row r="364" spans="2:21" x14ac:dyDescent="0.35">
      <c r="B364" t="s">
        <v>6</v>
      </c>
      <c r="C364" t="s">
        <v>1269</v>
      </c>
      <c r="D364" t="s">
        <v>86</v>
      </c>
      <c r="E364" s="2" t="s">
        <v>92</v>
      </c>
      <c r="F364">
        <v>80124101</v>
      </c>
      <c r="G364">
        <v>61721105</v>
      </c>
      <c r="H364" s="27">
        <v>780000</v>
      </c>
      <c r="I364" s="10">
        <v>50000</v>
      </c>
      <c r="J364" s="10">
        <v>50000</v>
      </c>
      <c r="K364" s="10">
        <v>50000</v>
      </c>
      <c r="L364" s="10">
        <v>50000</v>
      </c>
      <c r="M364" s="10">
        <v>50000</v>
      </c>
      <c r="N364" s="10">
        <v>50000</v>
      </c>
      <c r="O364" s="10">
        <v>50000</v>
      </c>
      <c r="P364" s="10">
        <v>50000</v>
      </c>
      <c r="Q364" s="6">
        <v>50000</v>
      </c>
      <c r="R364" s="6">
        <v>50000</v>
      </c>
      <c r="S364" s="6">
        <v>50000</v>
      </c>
      <c r="T364" s="6">
        <v>50000</v>
      </c>
      <c r="U364" s="6">
        <f t="shared" si="6"/>
        <v>600000</v>
      </c>
    </row>
    <row r="365" spans="2:21" x14ac:dyDescent="0.35">
      <c r="D365" s="37" t="s">
        <v>86</v>
      </c>
      <c r="E365" s="37" t="s">
        <v>92</v>
      </c>
      <c r="F365">
        <v>80124101</v>
      </c>
      <c r="G365">
        <v>61721105</v>
      </c>
      <c r="H365" s="27">
        <v>0</v>
      </c>
      <c r="I365" s="10">
        <v>45000</v>
      </c>
      <c r="J365" s="10">
        <v>45000</v>
      </c>
      <c r="K365" s="10">
        <v>45000</v>
      </c>
      <c r="L365" s="10">
        <v>45000</v>
      </c>
      <c r="M365" s="10">
        <v>45000</v>
      </c>
      <c r="N365" s="10">
        <v>45000</v>
      </c>
      <c r="O365" s="10">
        <v>45000</v>
      </c>
      <c r="P365" s="10">
        <v>45000</v>
      </c>
      <c r="Q365" s="6">
        <v>45000</v>
      </c>
      <c r="R365" s="6">
        <v>45000</v>
      </c>
      <c r="S365" s="6">
        <v>45000</v>
      </c>
      <c r="T365" s="6">
        <v>45000</v>
      </c>
      <c r="U365" s="6">
        <f t="shared" si="6"/>
        <v>540000</v>
      </c>
    </row>
    <row r="366" spans="2:21" x14ac:dyDescent="0.35">
      <c r="B366" t="s">
        <v>1271</v>
      </c>
      <c r="C366" t="s">
        <v>1272</v>
      </c>
      <c r="D366" t="s">
        <v>93</v>
      </c>
      <c r="E366" s="37" t="s">
        <v>756</v>
      </c>
      <c r="F366">
        <v>90122101</v>
      </c>
      <c r="G366">
        <v>52071104</v>
      </c>
      <c r="H366" s="27">
        <v>300000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6"/>
      <c r="R366" s="6"/>
      <c r="S366" s="6"/>
      <c r="T366" s="6"/>
      <c r="U366" s="6">
        <f t="shared" si="6"/>
        <v>0</v>
      </c>
    </row>
    <row r="367" spans="2:21" x14ac:dyDescent="0.35">
      <c r="B367" t="s">
        <v>1271</v>
      </c>
      <c r="C367" t="s">
        <v>1272</v>
      </c>
      <c r="D367" t="s">
        <v>93</v>
      </c>
      <c r="E367" s="2" t="s">
        <v>1260</v>
      </c>
      <c r="F367">
        <v>90122101</v>
      </c>
      <c r="G367">
        <v>61071099</v>
      </c>
      <c r="H367" s="27">
        <v>55000</v>
      </c>
      <c r="I367" s="10">
        <v>0</v>
      </c>
      <c r="J367" s="10">
        <v>0</v>
      </c>
      <c r="K367" s="10">
        <v>75000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6">
        <v>0</v>
      </c>
      <c r="R367" s="6">
        <v>-6666.666666666667</v>
      </c>
      <c r="S367" s="6">
        <v>-6666.666666666667</v>
      </c>
      <c r="T367" s="6">
        <v>-6666.666666666667</v>
      </c>
      <c r="U367" s="6">
        <f t="shared" si="6"/>
        <v>55000</v>
      </c>
    </row>
    <row r="368" spans="2:21" x14ac:dyDescent="0.35">
      <c r="B368" t="s">
        <v>1271</v>
      </c>
      <c r="C368" t="s">
        <v>1272</v>
      </c>
      <c r="D368" t="s">
        <v>93</v>
      </c>
      <c r="E368" s="2" t="s">
        <v>1260</v>
      </c>
      <c r="F368">
        <v>81122101</v>
      </c>
      <c r="G368">
        <v>52071199</v>
      </c>
      <c r="H368" s="27">
        <v>40000</v>
      </c>
      <c r="I368" s="10">
        <v>0</v>
      </c>
      <c r="J368" s="10">
        <v>0</v>
      </c>
      <c r="K368" s="10">
        <v>55000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6">
        <v>0</v>
      </c>
      <c r="R368" s="6">
        <v>-5000</v>
      </c>
      <c r="S368" s="6">
        <v>-5000</v>
      </c>
      <c r="T368" s="6">
        <v>-5000</v>
      </c>
      <c r="U368" s="6">
        <f t="shared" si="6"/>
        <v>40000</v>
      </c>
    </row>
    <row r="369" spans="2:21" x14ac:dyDescent="0.35">
      <c r="B369" t="s">
        <v>1271</v>
      </c>
      <c r="C369" t="s">
        <v>1272</v>
      </c>
      <c r="D369" t="s">
        <v>93</v>
      </c>
      <c r="E369" s="2" t="s">
        <v>1260</v>
      </c>
      <c r="F369">
        <v>80122101</v>
      </c>
      <c r="G369">
        <v>61071099</v>
      </c>
      <c r="H369" s="27">
        <v>40000</v>
      </c>
      <c r="I369" s="10">
        <v>0</v>
      </c>
      <c r="J369" s="10">
        <v>100</v>
      </c>
      <c r="K369" s="10">
        <v>38191.67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6">
        <v>0</v>
      </c>
      <c r="R369" s="6">
        <v>569.44333333333395</v>
      </c>
      <c r="S369" s="6">
        <v>569.44333333333395</v>
      </c>
      <c r="T369" s="6">
        <v>569.44333333333395</v>
      </c>
      <c r="U369" s="6">
        <f t="shared" si="6"/>
        <v>40000.000000000007</v>
      </c>
    </row>
    <row r="370" spans="2:21" x14ac:dyDescent="0.35">
      <c r="B370" t="s">
        <v>1271</v>
      </c>
      <c r="C370" t="s">
        <v>1272</v>
      </c>
      <c r="D370" t="s">
        <v>93</v>
      </c>
      <c r="E370" s="2" t="s">
        <v>1260</v>
      </c>
      <c r="F370">
        <v>90122101</v>
      </c>
      <c r="G370">
        <v>61071099</v>
      </c>
      <c r="H370" s="27">
        <v>55000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6">
        <v>0</v>
      </c>
      <c r="R370" s="6">
        <v>18333.333333333332</v>
      </c>
      <c r="S370" s="6">
        <v>18333.333333333332</v>
      </c>
      <c r="T370" s="6">
        <v>18333.333333333332</v>
      </c>
      <c r="U370" s="6">
        <f t="shared" si="6"/>
        <v>55000</v>
      </c>
    </row>
    <row r="371" spans="2:21" x14ac:dyDescent="0.35">
      <c r="B371" t="s">
        <v>1271</v>
      </c>
      <c r="C371" t="s">
        <v>1272</v>
      </c>
      <c r="D371" t="s">
        <v>93</v>
      </c>
      <c r="E371" s="2" t="s">
        <v>1260</v>
      </c>
      <c r="F371">
        <v>81122101</v>
      </c>
      <c r="G371">
        <v>52071199</v>
      </c>
      <c r="H371" s="27">
        <v>40000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6">
        <v>0</v>
      </c>
      <c r="R371" s="6">
        <v>13333.333333333334</v>
      </c>
      <c r="S371" s="6">
        <v>13333.333333333334</v>
      </c>
      <c r="T371" s="6">
        <v>13333.333333333334</v>
      </c>
      <c r="U371" s="6">
        <f t="shared" si="6"/>
        <v>40000</v>
      </c>
    </row>
    <row r="372" spans="2:21" x14ac:dyDescent="0.35">
      <c r="B372" t="s">
        <v>1271</v>
      </c>
      <c r="C372" t="s">
        <v>1272</v>
      </c>
      <c r="D372" t="s">
        <v>93</v>
      </c>
      <c r="E372" s="2" t="s">
        <v>1260</v>
      </c>
      <c r="F372">
        <v>80122101</v>
      </c>
      <c r="G372">
        <v>61071099</v>
      </c>
      <c r="H372" s="27">
        <v>40000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6">
        <v>0</v>
      </c>
      <c r="R372" s="6">
        <v>13333.333333333334</v>
      </c>
      <c r="S372" s="6">
        <v>13333.333333333334</v>
      </c>
      <c r="T372" s="6">
        <v>13333.333333333334</v>
      </c>
      <c r="U372" s="6">
        <f t="shared" si="6"/>
        <v>40000</v>
      </c>
    </row>
    <row r="373" spans="2:21" x14ac:dyDescent="0.35">
      <c r="B373" t="s">
        <v>1271</v>
      </c>
      <c r="C373" t="s">
        <v>1272</v>
      </c>
      <c r="D373" t="s">
        <v>93</v>
      </c>
      <c r="E373" s="2" t="s">
        <v>1260</v>
      </c>
      <c r="F373">
        <v>90122101</v>
      </c>
      <c r="G373">
        <v>61071099</v>
      </c>
      <c r="H373" s="27">
        <v>55000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6">
        <v>0</v>
      </c>
      <c r="R373" s="6">
        <v>18333.333333333332</v>
      </c>
      <c r="S373" s="6">
        <v>18333.333333333332</v>
      </c>
      <c r="T373" s="6">
        <v>18333.333333333332</v>
      </c>
      <c r="U373" s="6">
        <f t="shared" si="6"/>
        <v>55000</v>
      </c>
    </row>
    <row r="374" spans="2:21" x14ac:dyDescent="0.35">
      <c r="B374" t="s">
        <v>1271</v>
      </c>
      <c r="C374" t="s">
        <v>1272</v>
      </c>
      <c r="D374" t="s">
        <v>93</v>
      </c>
      <c r="E374" s="2" t="s">
        <v>1260</v>
      </c>
      <c r="F374">
        <v>81122101</v>
      </c>
      <c r="G374">
        <v>52071199</v>
      </c>
      <c r="H374" s="27">
        <v>40000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6">
        <v>0</v>
      </c>
      <c r="R374" s="6">
        <v>13333.333333333334</v>
      </c>
      <c r="S374" s="6">
        <v>13333.333333333334</v>
      </c>
      <c r="T374" s="6">
        <v>13333.333333333334</v>
      </c>
      <c r="U374" s="6">
        <f t="shared" si="6"/>
        <v>40000</v>
      </c>
    </row>
    <row r="375" spans="2:21" x14ac:dyDescent="0.35">
      <c r="B375" t="s">
        <v>1271</v>
      </c>
      <c r="C375" t="s">
        <v>1272</v>
      </c>
      <c r="D375" t="s">
        <v>93</v>
      </c>
      <c r="E375" s="2" t="s">
        <v>1260</v>
      </c>
      <c r="F375">
        <v>80122101</v>
      </c>
      <c r="G375">
        <v>61071099</v>
      </c>
      <c r="H375" s="27">
        <v>40000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6">
        <v>0</v>
      </c>
      <c r="R375" s="6">
        <v>13333.333333333334</v>
      </c>
      <c r="S375" s="6">
        <v>13333.333333333334</v>
      </c>
      <c r="T375" s="6">
        <v>13333.333333333334</v>
      </c>
      <c r="U375" s="6">
        <f t="shared" si="6"/>
        <v>40000</v>
      </c>
    </row>
    <row r="376" spans="2:21" x14ac:dyDescent="0.35">
      <c r="B376" t="s">
        <v>1271</v>
      </c>
      <c r="C376" t="s">
        <v>1272</v>
      </c>
      <c r="D376" t="s">
        <v>93</v>
      </c>
      <c r="E376" s="3" t="s">
        <v>766</v>
      </c>
      <c r="F376">
        <v>90122101</v>
      </c>
      <c r="G376">
        <v>61071099</v>
      </c>
      <c r="H376" s="27">
        <v>55000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6">
        <v>0</v>
      </c>
      <c r="R376" s="6">
        <v>0</v>
      </c>
      <c r="S376" s="6">
        <v>0</v>
      </c>
      <c r="T376" s="6">
        <v>0</v>
      </c>
      <c r="U376" s="6">
        <f t="shared" si="6"/>
        <v>0</v>
      </c>
    </row>
    <row r="377" spans="2:21" x14ac:dyDescent="0.35">
      <c r="B377" t="s">
        <v>1271</v>
      </c>
      <c r="C377" t="s">
        <v>1272</v>
      </c>
      <c r="D377" t="s">
        <v>93</v>
      </c>
      <c r="E377" s="2" t="s">
        <v>95</v>
      </c>
      <c r="F377">
        <v>90122101</v>
      </c>
      <c r="G377">
        <v>52071104</v>
      </c>
      <c r="H377" s="27">
        <v>470400</v>
      </c>
      <c r="I377" s="10">
        <v>0</v>
      </c>
      <c r="J377" s="10">
        <v>73684.22</v>
      </c>
      <c r="K377" s="10">
        <v>147368.44</v>
      </c>
      <c r="L377" s="10">
        <v>-184210.55</v>
      </c>
      <c r="M377" s="10">
        <v>-36842.11</v>
      </c>
      <c r="N377" s="10">
        <v>36842.1</v>
      </c>
      <c r="O377" s="10">
        <v>0</v>
      </c>
      <c r="P377" s="10">
        <v>0</v>
      </c>
      <c r="Q377" s="6">
        <v>36842.11</v>
      </c>
      <c r="R377" s="6">
        <v>36842.11</v>
      </c>
      <c r="S377" s="6">
        <v>36842.11</v>
      </c>
      <c r="T377" s="6">
        <v>36842.11</v>
      </c>
      <c r="U377" s="6">
        <f t="shared" si="6"/>
        <v>184210.54000000004</v>
      </c>
    </row>
    <row r="378" spans="2:21" x14ac:dyDescent="0.35">
      <c r="B378" t="s">
        <v>1270</v>
      </c>
      <c r="C378" t="s">
        <v>1273</v>
      </c>
      <c r="D378" t="s">
        <v>93</v>
      </c>
      <c r="E378" s="2" t="s">
        <v>95</v>
      </c>
      <c r="F378" s="2">
        <v>90122101</v>
      </c>
      <c r="G378" s="2">
        <v>52041499</v>
      </c>
      <c r="H378" s="27">
        <v>0</v>
      </c>
      <c r="I378" s="10">
        <v>0</v>
      </c>
      <c r="J378" s="10">
        <v>0</v>
      </c>
      <c r="K378" s="10">
        <v>-110526.33</v>
      </c>
      <c r="L378" s="10">
        <v>221052.65999999997</v>
      </c>
      <c r="M378" s="10">
        <v>73684.209999999992</v>
      </c>
      <c r="N378" s="10">
        <v>0</v>
      </c>
      <c r="O378" s="10">
        <v>0</v>
      </c>
      <c r="P378" s="10">
        <v>0</v>
      </c>
      <c r="Q378" s="6">
        <v>0</v>
      </c>
      <c r="R378" s="6">
        <v>36842.11</v>
      </c>
      <c r="S378" s="6">
        <v>36842.11</v>
      </c>
      <c r="T378" s="6">
        <v>110526.33</v>
      </c>
      <c r="U378" s="6">
        <f t="shared" si="6"/>
        <v>368421.08999999997</v>
      </c>
    </row>
    <row r="379" spans="2:21" x14ac:dyDescent="0.35">
      <c r="B379" t="s">
        <v>1271</v>
      </c>
      <c r="C379" t="s">
        <v>1272</v>
      </c>
      <c r="D379" t="s">
        <v>7</v>
      </c>
      <c r="E379" s="2" t="s">
        <v>6</v>
      </c>
      <c r="F379">
        <v>90122101</v>
      </c>
      <c r="G379" s="2">
        <v>52071104</v>
      </c>
      <c r="H379" s="27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6">
        <v>0</v>
      </c>
      <c r="R379" s="6">
        <v>0</v>
      </c>
      <c r="S379" s="6">
        <v>0</v>
      </c>
      <c r="T379" s="6">
        <v>0</v>
      </c>
      <c r="U379" s="6">
        <f t="shared" si="6"/>
        <v>0</v>
      </c>
    </row>
    <row r="380" spans="2:21" x14ac:dyDescent="0.35">
      <c r="D380" t="s">
        <v>6</v>
      </c>
      <c r="E380" t="s">
        <v>6</v>
      </c>
      <c r="F380" s="2">
        <v>81122101</v>
      </c>
      <c r="G380" s="2">
        <v>52071199</v>
      </c>
      <c r="H380" s="27">
        <v>0</v>
      </c>
      <c r="M380" s="10">
        <v>100</v>
      </c>
      <c r="N380" s="10">
        <v>0</v>
      </c>
      <c r="O380" s="10">
        <v>0</v>
      </c>
      <c r="P380" s="10">
        <v>0</v>
      </c>
      <c r="Q380" s="6"/>
      <c r="R380" s="6"/>
      <c r="S380" s="6"/>
      <c r="T380" s="6"/>
      <c r="U380" s="6">
        <f t="shared" si="6"/>
        <v>100</v>
      </c>
    </row>
    <row r="381" spans="2:21" x14ac:dyDescent="0.35">
      <c r="B381" t="s">
        <v>1275</v>
      </c>
      <c r="C381" t="s">
        <v>96</v>
      </c>
      <c r="D381" t="s">
        <v>96</v>
      </c>
      <c r="E381" s="3" t="s">
        <v>97</v>
      </c>
      <c r="F381">
        <v>81122101</v>
      </c>
      <c r="G381">
        <v>52121315</v>
      </c>
      <c r="H381" s="27">
        <v>690000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6">
        <v>0</v>
      </c>
      <c r="R381" s="6">
        <v>0</v>
      </c>
      <c r="S381" s="6">
        <v>0</v>
      </c>
      <c r="T381" s="6">
        <v>0</v>
      </c>
      <c r="U381" s="6">
        <f t="shared" si="6"/>
        <v>0</v>
      </c>
    </row>
    <row r="382" spans="2:21" x14ac:dyDescent="0.35">
      <c r="B382" t="s">
        <v>1275</v>
      </c>
      <c r="C382" t="s">
        <v>96</v>
      </c>
      <c r="D382" t="s">
        <v>96</v>
      </c>
      <c r="E382" s="2" t="s">
        <v>97</v>
      </c>
      <c r="F382">
        <v>90122101</v>
      </c>
      <c r="G382">
        <v>52121315</v>
      </c>
      <c r="H382" s="27">
        <v>0</v>
      </c>
      <c r="I382" s="10">
        <v>48635.38</v>
      </c>
      <c r="J382" s="10">
        <v>48635.42</v>
      </c>
      <c r="K382" s="10">
        <v>48635.42</v>
      </c>
      <c r="L382" s="10">
        <v>48635.42</v>
      </c>
      <c r="M382" s="10">
        <v>48635.42</v>
      </c>
      <c r="N382" s="10">
        <v>48635.42</v>
      </c>
      <c r="O382" s="10">
        <v>48635.42</v>
      </c>
      <c r="P382" s="10">
        <v>48635.42</v>
      </c>
      <c r="Q382" s="6">
        <v>48635.42</v>
      </c>
      <c r="R382" s="6">
        <v>48635.42</v>
      </c>
      <c r="S382" s="6">
        <v>48635.42</v>
      </c>
      <c r="T382" s="6">
        <v>48635.42</v>
      </c>
      <c r="U382" s="6">
        <f t="shared" si="6"/>
        <v>583624.99999999988</v>
      </c>
    </row>
    <row r="383" spans="2:21" x14ac:dyDescent="0.35">
      <c r="B383" t="s">
        <v>1275</v>
      </c>
      <c r="C383" t="s">
        <v>96</v>
      </c>
      <c r="D383" t="s">
        <v>96</v>
      </c>
      <c r="E383" s="3" t="s">
        <v>775</v>
      </c>
      <c r="F383">
        <v>81122101</v>
      </c>
      <c r="G383">
        <v>52121315</v>
      </c>
      <c r="H383" s="27">
        <v>13208.431446168055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6">
        <v>0</v>
      </c>
      <c r="R383" s="6">
        <v>0</v>
      </c>
      <c r="S383" s="6">
        <v>0</v>
      </c>
      <c r="T383" s="6">
        <v>0</v>
      </c>
      <c r="U383" s="6">
        <f t="shared" si="6"/>
        <v>0</v>
      </c>
    </row>
    <row r="384" spans="2:21" x14ac:dyDescent="0.35">
      <c r="B384" t="s">
        <v>1275</v>
      </c>
      <c r="C384" t="s">
        <v>96</v>
      </c>
      <c r="D384" t="s">
        <v>96</v>
      </c>
      <c r="E384" s="3" t="s">
        <v>777</v>
      </c>
      <c r="F384">
        <v>81122101</v>
      </c>
      <c r="G384">
        <v>52121315</v>
      </c>
      <c r="H384" s="27">
        <v>3773.8375560480144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6">
        <v>0</v>
      </c>
      <c r="R384" s="6">
        <v>0</v>
      </c>
      <c r="S384" s="6">
        <v>0</v>
      </c>
      <c r="T384" s="6">
        <v>0</v>
      </c>
      <c r="U384" s="6">
        <f t="shared" si="6"/>
        <v>0</v>
      </c>
    </row>
    <row r="385" spans="2:21" x14ac:dyDescent="0.35">
      <c r="B385" t="s">
        <v>1275</v>
      </c>
      <c r="C385" t="s">
        <v>96</v>
      </c>
      <c r="D385" t="s">
        <v>106</v>
      </c>
      <c r="E385" s="3" t="s">
        <v>778</v>
      </c>
      <c r="F385">
        <v>80122101</v>
      </c>
      <c r="G385">
        <v>61021316</v>
      </c>
      <c r="H385" s="27">
        <v>11321.512668144023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6">
        <v>0</v>
      </c>
      <c r="R385" s="6">
        <v>0</v>
      </c>
      <c r="S385" s="6">
        <v>0</v>
      </c>
      <c r="T385" s="6">
        <v>0</v>
      </c>
      <c r="U385" s="6">
        <f t="shared" si="6"/>
        <v>0</v>
      </c>
    </row>
    <row r="386" spans="2:21" x14ac:dyDescent="0.35">
      <c r="B386" t="s">
        <v>1275</v>
      </c>
      <c r="C386" t="s">
        <v>96</v>
      </c>
      <c r="D386" t="s">
        <v>106</v>
      </c>
      <c r="E386" s="3" t="s">
        <v>778</v>
      </c>
      <c r="F386">
        <v>81122101</v>
      </c>
      <c r="G386">
        <v>52121315</v>
      </c>
      <c r="H386" s="27">
        <v>11321.512668144023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6">
        <v>3000</v>
      </c>
      <c r="R386" s="6">
        <v>1000</v>
      </c>
      <c r="S386" s="6">
        <v>1000</v>
      </c>
      <c r="T386" s="6">
        <v>1000</v>
      </c>
      <c r="U386" s="6">
        <f t="shared" si="6"/>
        <v>6000</v>
      </c>
    </row>
    <row r="387" spans="2:21" x14ac:dyDescent="0.35">
      <c r="B387" t="s">
        <v>1275</v>
      </c>
      <c r="C387" t="s">
        <v>96</v>
      </c>
      <c r="D387" t="s">
        <v>106</v>
      </c>
      <c r="E387" s="3" t="s">
        <v>778</v>
      </c>
      <c r="F387">
        <v>90122101</v>
      </c>
      <c r="G387">
        <v>52121315</v>
      </c>
      <c r="H387" s="27">
        <v>11321.512668144023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6">
        <v>0</v>
      </c>
      <c r="R387" s="6">
        <v>0</v>
      </c>
      <c r="S387" s="6">
        <v>0</v>
      </c>
      <c r="T387" s="6">
        <v>0</v>
      </c>
      <c r="U387" s="6">
        <f t="shared" si="6"/>
        <v>0</v>
      </c>
    </row>
    <row r="388" spans="2:21" x14ac:dyDescent="0.35">
      <c r="B388" t="s">
        <v>1275</v>
      </c>
      <c r="C388" t="s">
        <v>96</v>
      </c>
      <c r="D388" t="s">
        <v>96</v>
      </c>
      <c r="E388" s="3" t="s">
        <v>780</v>
      </c>
      <c r="F388">
        <v>81122101</v>
      </c>
      <c r="G388">
        <v>52121315</v>
      </c>
      <c r="H388" s="27">
        <v>188691.8778024005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6">
        <v>0</v>
      </c>
      <c r="R388" s="6">
        <v>0</v>
      </c>
      <c r="S388" s="6">
        <v>0</v>
      </c>
      <c r="T388" s="6">
        <v>0</v>
      </c>
      <c r="U388" s="6">
        <f t="shared" si="6"/>
        <v>0</v>
      </c>
    </row>
    <row r="389" spans="2:21" x14ac:dyDescent="0.35">
      <c r="B389" t="s">
        <v>1275</v>
      </c>
      <c r="C389" t="s">
        <v>96</v>
      </c>
      <c r="D389" t="s">
        <v>96</v>
      </c>
      <c r="E389" s="3" t="s">
        <v>781</v>
      </c>
      <c r="F389">
        <v>80122101</v>
      </c>
      <c r="G389">
        <v>61021316</v>
      </c>
      <c r="H389" s="27">
        <v>11321.512668144023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6">
        <v>0</v>
      </c>
      <c r="R389" s="6">
        <v>0</v>
      </c>
      <c r="S389" s="6">
        <v>0</v>
      </c>
      <c r="T389" s="6">
        <v>0</v>
      </c>
      <c r="U389" s="6">
        <f t="shared" ref="U389:U452" si="7">SUM(I389:T389)</f>
        <v>0</v>
      </c>
    </row>
    <row r="390" spans="2:21" x14ac:dyDescent="0.35">
      <c r="B390" t="s">
        <v>1275</v>
      </c>
      <c r="C390" t="s">
        <v>96</v>
      </c>
      <c r="D390" t="s">
        <v>96</v>
      </c>
      <c r="E390" s="3" t="s">
        <v>781</v>
      </c>
      <c r="F390">
        <v>81122101</v>
      </c>
      <c r="G390">
        <v>52121315</v>
      </c>
      <c r="H390" s="27">
        <v>11321.512668144023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6">
        <v>0</v>
      </c>
      <c r="R390" s="6">
        <v>0</v>
      </c>
      <c r="S390" s="6">
        <v>0</v>
      </c>
      <c r="T390" s="6">
        <v>0</v>
      </c>
      <c r="U390" s="6">
        <f t="shared" si="7"/>
        <v>0</v>
      </c>
    </row>
    <row r="391" spans="2:21" x14ac:dyDescent="0.35">
      <c r="B391" t="s">
        <v>1275</v>
      </c>
      <c r="C391" t="s">
        <v>96</v>
      </c>
      <c r="D391" t="s">
        <v>96</v>
      </c>
      <c r="E391" s="3" t="s">
        <v>781</v>
      </c>
      <c r="F391">
        <v>90122101</v>
      </c>
      <c r="G391">
        <v>52121315</v>
      </c>
      <c r="H391" s="27">
        <v>11321.512668144023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6">
        <v>0</v>
      </c>
      <c r="R391" s="6">
        <v>0</v>
      </c>
      <c r="S391" s="6">
        <v>0</v>
      </c>
      <c r="T391" s="6">
        <v>0</v>
      </c>
      <c r="U391" s="6">
        <f t="shared" si="7"/>
        <v>0</v>
      </c>
    </row>
    <row r="392" spans="2:21" x14ac:dyDescent="0.35">
      <c r="B392" t="s">
        <v>1275</v>
      </c>
      <c r="C392" t="s">
        <v>96</v>
      </c>
      <c r="D392" t="s">
        <v>96</v>
      </c>
      <c r="E392" s="3" t="s">
        <v>782</v>
      </c>
      <c r="F392">
        <v>81122101</v>
      </c>
      <c r="G392">
        <v>52121315</v>
      </c>
      <c r="H392" s="27">
        <v>47172.969450600009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6">
        <v>0</v>
      </c>
      <c r="R392" s="6">
        <v>0</v>
      </c>
      <c r="S392" s="6">
        <v>0</v>
      </c>
      <c r="T392" s="6">
        <v>0</v>
      </c>
      <c r="U392" s="6">
        <f t="shared" si="7"/>
        <v>0</v>
      </c>
    </row>
    <row r="393" spans="2:21" x14ac:dyDescent="0.35">
      <c r="B393" t="s">
        <v>1275</v>
      </c>
      <c r="C393" t="s">
        <v>96</v>
      </c>
      <c r="D393" t="s">
        <v>96</v>
      </c>
      <c r="E393" s="3" t="s">
        <v>783</v>
      </c>
      <c r="F393">
        <v>81122101</v>
      </c>
      <c r="G393">
        <v>52121315</v>
      </c>
      <c r="H393" s="27">
        <v>-132827.03054939999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6">
        <v>0</v>
      </c>
      <c r="R393" s="6">
        <v>0</v>
      </c>
      <c r="S393" s="6">
        <v>0</v>
      </c>
      <c r="T393" s="6">
        <v>0</v>
      </c>
      <c r="U393" s="6">
        <f t="shared" si="7"/>
        <v>0</v>
      </c>
    </row>
    <row r="394" spans="2:21" x14ac:dyDescent="0.35">
      <c r="B394" t="s">
        <v>1275</v>
      </c>
      <c r="C394" t="s">
        <v>96</v>
      </c>
      <c r="D394" t="s">
        <v>96</v>
      </c>
      <c r="E394" s="2" t="s">
        <v>98</v>
      </c>
      <c r="F394">
        <v>80122101</v>
      </c>
      <c r="G394">
        <v>61021316</v>
      </c>
      <c r="H394" s="27">
        <v>21699.565947276031</v>
      </c>
      <c r="I394" s="10">
        <v>0</v>
      </c>
      <c r="J394" s="10">
        <v>0</v>
      </c>
      <c r="K394" s="10">
        <v>5220</v>
      </c>
      <c r="L394" s="10">
        <v>0</v>
      </c>
      <c r="M394" s="10">
        <v>0</v>
      </c>
      <c r="N394" s="10">
        <v>0</v>
      </c>
      <c r="O394" s="10">
        <v>10440</v>
      </c>
      <c r="P394" s="10">
        <v>0</v>
      </c>
      <c r="Q394" s="6">
        <v>1740</v>
      </c>
      <c r="R394" s="6">
        <v>3480</v>
      </c>
      <c r="S394" s="6">
        <v>3480</v>
      </c>
      <c r="T394" s="6">
        <v>3480</v>
      </c>
      <c r="U394" s="6">
        <f t="shared" si="7"/>
        <v>27840</v>
      </c>
    </row>
    <row r="395" spans="2:21" x14ac:dyDescent="0.35">
      <c r="B395" t="s">
        <v>1275</v>
      </c>
      <c r="C395" t="s">
        <v>96</v>
      </c>
      <c r="D395" t="s">
        <v>96</v>
      </c>
      <c r="E395" s="2" t="s">
        <v>98</v>
      </c>
      <c r="F395">
        <v>81122101</v>
      </c>
      <c r="G395">
        <v>52121315</v>
      </c>
      <c r="H395" s="27">
        <v>21699.565947276031</v>
      </c>
      <c r="I395" s="10">
        <v>0</v>
      </c>
      <c r="J395" s="10">
        <v>0</v>
      </c>
      <c r="K395" s="10">
        <v>3480</v>
      </c>
      <c r="L395" s="10">
        <v>0</v>
      </c>
      <c r="M395" s="10">
        <v>0</v>
      </c>
      <c r="N395" s="10">
        <v>1740</v>
      </c>
      <c r="O395" s="10">
        <v>0</v>
      </c>
      <c r="P395" s="10">
        <v>0</v>
      </c>
      <c r="Q395" s="6">
        <v>10440</v>
      </c>
      <c r="R395" s="6">
        <v>3480</v>
      </c>
      <c r="S395" s="6">
        <v>3480</v>
      </c>
      <c r="T395" s="6">
        <v>3480</v>
      </c>
      <c r="U395" s="6">
        <f t="shared" si="7"/>
        <v>26100</v>
      </c>
    </row>
    <row r="396" spans="2:21" x14ac:dyDescent="0.35">
      <c r="B396" t="s">
        <v>1275</v>
      </c>
      <c r="C396" t="s">
        <v>96</v>
      </c>
      <c r="D396" t="s">
        <v>96</v>
      </c>
      <c r="E396" s="2" t="s">
        <v>98</v>
      </c>
      <c r="F396">
        <v>90122101</v>
      </c>
      <c r="G396">
        <v>52121315</v>
      </c>
      <c r="H396" s="27">
        <v>22643.025336288047</v>
      </c>
      <c r="I396" s="10">
        <v>0</v>
      </c>
      <c r="J396" s="10">
        <v>0</v>
      </c>
      <c r="K396" s="10">
        <v>0</v>
      </c>
      <c r="L396" s="10">
        <v>5220</v>
      </c>
      <c r="M396" s="10">
        <v>1740</v>
      </c>
      <c r="N396" s="10">
        <v>3480</v>
      </c>
      <c r="O396" s="10">
        <v>0</v>
      </c>
      <c r="P396" s="10">
        <v>3480</v>
      </c>
      <c r="Q396" s="6">
        <v>3480</v>
      </c>
      <c r="R396" s="6">
        <v>3480</v>
      </c>
      <c r="S396" s="6">
        <v>3480</v>
      </c>
      <c r="T396" s="6">
        <v>3480</v>
      </c>
      <c r="U396" s="6">
        <f t="shared" si="7"/>
        <v>27840</v>
      </c>
    </row>
    <row r="397" spans="2:21" x14ac:dyDescent="0.35">
      <c r="B397" t="s">
        <v>1275</v>
      </c>
      <c r="C397" t="s">
        <v>96</v>
      </c>
      <c r="D397" t="s">
        <v>96</v>
      </c>
      <c r="E397" s="3" t="s">
        <v>785</v>
      </c>
      <c r="F397">
        <v>90122101</v>
      </c>
      <c r="G397">
        <v>52121315</v>
      </c>
      <c r="H397" s="27">
        <v>264168.62892336049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6">
        <v>0</v>
      </c>
      <c r="R397" s="6">
        <v>0</v>
      </c>
      <c r="S397" s="6">
        <v>0</v>
      </c>
      <c r="T397" s="6">
        <v>0</v>
      </c>
      <c r="U397" s="6">
        <f t="shared" si="7"/>
        <v>0</v>
      </c>
    </row>
    <row r="398" spans="2:21" x14ac:dyDescent="0.35">
      <c r="B398" t="s">
        <v>1275</v>
      </c>
      <c r="C398" t="s">
        <v>96</v>
      </c>
      <c r="D398" t="s">
        <v>93</v>
      </c>
      <c r="E398" s="2" t="s">
        <v>100</v>
      </c>
      <c r="F398" s="2">
        <v>90122101</v>
      </c>
      <c r="G398" s="2">
        <v>52121315</v>
      </c>
      <c r="H398" s="27">
        <v>0</v>
      </c>
      <c r="M398" s="10">
        <v>54000</v>
      </c>
      <c r="N398" s="10">
        <v>0</v>
      </c>
      <c r="O398" s="10">
        <v>0</v>
      </c>
      <c r="P398" s="10">
        <v>0</v>
      </c>
      <c r="Q398" s="6">
        <v>0</v>
      </c>
      <c r="R398" s="6"/>
      <c r="S398" s="6"/>
      <c r="T398" s="6"/>
      <c r="U398" s="6">
        <f t="shared" si="7"/>
        <v>54000</v>
      </c>
    </row>
    <row r="399" spans="2:21" x14ac:dyDescent="0.35">
      <c r="B399" t="s">
        <v>1276</v>
      </c>
      <c r="C399" t="s">
        <v>788</v>
      </c>
      <c r="D399" t="s">
        <v>101</v>
      </c>
      <c r="E399" s="2" t="s">
        <v>102</v>
      </c>
      <c r="F399">
        <v>90111101</v>
      </c>
      <c r="G399">
        <v>61021206</v>
      </c>
      <c r="H399" s="27">
        <v>400000</v>
      </c>
      <c r="I399" s="10">
        <v>0</v>
      </c>
      <c r="J399" s="10">
        <v>0</v>
      </c>
      <c r="K399" s="10">
        <v>26593.63</v>
      </c>
      <c r="L399" s="10">
        <v>20835.63</v>
      </c>
      <c r="M399" s="10">
        <v>0</v>
      </c>
      <c r="N399" s="10">
        <v>20890.260000000002</v>
      </c>
      <c r="O399" s="10">
        <v>18233.759999999998</v>
      </c>
      <c r="P399" s="10">
        <v>12811.5</v>
      </c>
      <c r="Q399" s="6">
        <v>21971.25</v>
      </c>
      <c r="R399" s="6">
        <v>25000</v>
      </c>
      <c r="S399" s="6">
        <v>25000</v>
      </c>
      <c r="T399" s="6">
        <v>25000</v>
      </c>
      <c r="U399" s="6">
        <f t="shared" si="7"/>
        <v>196336.03</v>
      </c>
    </row>
    <row r="400" spans="2:21" x14ac:dyDescent="0.35">
      <c r="B400" t="s">
        <v>1275</v>
      </c>
      <c r="C400" t="s">
        <v>1277</v>
      </c>
      <c r="D400" t="s">
        <v>103</v>
      </c>
      <c r="E400" s="3" t="s">
        <v>789</v>
      </c>
      <c r="F400">
        <v>81122101</v>
      </c>
      <c r="G400">
        <v>52121401</v>
      </c>
      <c r="H400" s="27">
        <v>-2025894.4526685402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6">
        <v>0</v>
      </c>
      <c r="R400" s="6"/>
      <c r="S400" s="6"/>
      <c r="T400" s="6">
        <v>700000</v>
      </c>
      <c r="U400" s="6">
        <f t="shared" si="7"/>
        <v>700000</v>
      </c>
    </row>
    <row r="401" spans="2:21" x14ac:dyDescent="0.35">
      <c r="B401" t="s">
        <v>1275</v>
      </c>
      <c r="C401" t="s">
        <v>1277</v>
      </c>
      <c r="D401" t="s">
        <v>103</v>
      </c>
      <c r="E401" s="3" t="s">
        <v>792</v>
      </c>
      <c r="F401">
        <v>81122101</v>
      </c>
      <c r="G401">
        <v>52121401</v>
      </c>
      <c r="H401" s="27">
        <v>200000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6">
        <v>0</v>
      </c>
      <c r="R401" s="6">
        <v>0</v>
      </c>
      <c r="S401" s="6">
        <v>0</v>
      </c>
      <c r="T401" s="6">
        <v>0</v>
      </c>
      <c r="U401" s="6">
        <f t="shared" si="7"/>
        <v>0</v>
      </c>
    </row>
    <row r="402" spans="2:21" x14ac:dyDescent="0.35">
      <c r="B402" t="s">
        <v>1275</v>
      </c>
      <c r="C402" t="s">
        <v>1277</v>
      </c>
      <c r="D402" t="s">
        <v>103</v>
      </c>
      <c r="E402" s="3" t="s">
        <v>794</v>
      </c>
      <c r="F402">
        <v>81122101</v>
      </c>
      <c r="G402">
        <v>52121401</v>
      </c>
      <c r="H402" s="27">
        <v>371000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6">
        <v>0</v>
      </c>
      <c r="R402" s="6">
        <v>0</v>
      </c>
      <c r="S402" s="6">
        <v>0</v>
      </c>
      <c r="T402" s="6">
        <v>0</v>
      </c>
      <c r="U402" s="6">
        <f t="shared" si="7"/>
        <v>0</v>
      </c>
    </row>
    <row r="403" spans="2:21" x14ac:dyDescent="0.35">
      <c r="B403" t="s">
        <v>1275</v>
      </c>
      <c r="C403" t="s">
        <v>1277</v>
      </c>
      <c r="D403" t="s">
        <v>103</v>
      </c>
      <c r="E403" s="3" t="s">
        <v>796</v>
      </c>
      <c r="F403">
        <v>81122101</v>
      </c>
      <c r="G403">
        <v>52121401</v>
      </c>
      <c r="H403" s="27">
        <v>15000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6">
        <v>0</v>
      </c>
      <c r="R403" s="6">
        <v>0</v>
      </c>
      <c r="S403" s="6">
        <v>0</v>
      </c>
      <c r="T403" s="6">
        <v>0</v>
      </c>
      <c r="U403" s="6">
        <f t="shared" si="7"/>
        <v>0</v>
      </c>
    </row>
    <row r="404" spans="2:21" x14ac:dyDescent="0.35">
      <c r="B404" t="s">
        <v>1275</v>
      </c>
      <c r="C404" t="s">
        <v>1277</v>
      </c>
      <c r="D404" t="s">
        <v>103</v>
      </c>
      <c r="E404" t="s">
        <v>104</v>
      </c>
      <c r="F404">
        <v>81122101</v>
      </c>
      <c r="G404">
        <v>52121401</v>
      </c>
      <c r="H404" s="27">
        <v>4000000</v>
      </c>
      <c r="I404" s="10">
        <v>0</v>
      </c>
      <c r="J404" s="10">
        <v>0</v>
      </c>
      <c r="K404" s="10">
        <v>0</v>
      </c>
      <c r="L404" s="10">
        <v>0</v>
      </c>
      <c r="M404" s="10">
        <v>2289544.64</v>
      </c>
      <c r="N404" s="10">
        <v>42074.11</v>
      </c>
      <c r="O404" s="10">
        <v>0</v>
      </c>
      <c r="P404" s="10">
        <v>0</v>
      </c>
      <c r="Q404" s="6">
        <v>0</v>
      </c>
      <c r="R404" s="6">
        <v>0</v>
      </c>
      <c r="S404" s="6">
        <v>0</v>
      </c>
      <c r="T404" s="6">
        <v>130000</v>
      </c>
      <c r="U404" s="6">
        <f t="shared" si="7"/>
        <v>2461618.75</v>
      </c>
    </row>
    <row r="405" spans="2:21" x14ac:dyDescent="0.35">
      <c r="B405" t="s">
        <v>1275</v>
      </c>
      <c r="C405" t="s">
        <v>1277</v>
      </c>
      <c r="D405" t="s">
        <v>103</v>
      </c>
      <c r="E405" s="3" t="s">
        <v>800</v>
      </c>
      <c r="F405">
        <v>81122101</v>
      </c>
      <c r="G405">
        <v>52121401</v>
      </c>
      <c r="H405" s="27">
        <v>3200000</v>
      </c>
      <c r="I405" s="10">
        <v>0</v>
      </c>
      <c r="J405" s="10">
        <v>0</v>
      </c>
      <c r="K405" s="10">
        <v>64396.86</v>
      </c>
      <c r="L405" s="10">
        <v>0</v>
      </c>
      <c r="M405" s="6"/>
      <c r="N405" s="10">
        <v>0</v>
      </c>
      <c r="O405" s="10">
        <v>0</v>
      </c>
      <c r="P405" s="10">
        <v>0</v>
      </c>
      <c r="Q405" s="6">
        <v>0</v>
      </c>
      <c r="R405" s="6"/>
      <c r="S405" s="6">
        <v>1600000</v>
      </c>
      <c r="T405" s="6">
        <v>1600000</v>
      </c>
      <c r="U405" s="6">
        <f t="shared" si="7"/>
        <v>3264396.8600000003</v>
      </c>
    </row>
    <row r="406" spans="2:21" x14ac:dyDescent="0.35">
      <c r="B406" t="s">
        <v>1275</v>
      </c>
      <c r="C406" t="s">
        <v>1277</v>
      </c>
      <c r="D406" t="s">
        <v>106</v>
      </c>
      <c r="E406" s="3" t="s">
        <v>802</v>
      </c>
      <c r="F406">
        <v>90122101</v>
      </c>
      <c r="G406">
        <v>52121310</v>
      </c>
      <c r="H406" s="27">
        <v>648000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6">
        <v>0</v>
      </c>
      <c r="R406" s="6">
        <v>0</v>
      </c>
      <c r="S406" s="6">
        <v>0</v>
      </c>
      <c r="T406" s="6">
        <v>648000</v>
      </c>
      <c r="U406" s="6">
        <f t="shared" si="7"/>
        <v>648000</v>
      </c>
    </row>
    <row r="407" spans="2:21" x14ac:dyDescent="0.35">
      <c r="B407" t="s">
        <v>1275</v>
      </c>
      <c r="C407" t="s">
        <v>1277</v>
      </c>
      <c r="D407" t="s">
        <v>106</v>
      </c>
      <c r="E407" s="3" t="s">
        <v>802</v>
      </c>
      <c r="F407">
        <v>81122101</v>
      </c>
      <c r="G407">
        <v>52121310</v>
      </c>
      <c r="H407" s="27">
        <v>279000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6">
        <v>0</v>
      </c>
      <c r="R407" s="6">
        <v>0</v>
      </c>
      <c r="S407" s="6">
        <v>0</v>
      </c>
      <c r="T407" s="6">
        <v>279000</v>
      </c>
      <c r="U407" s="6">
        <f t="shared" si="7"/>
        <v>279000</v>
      </c>
    </row>
    <row r="408" spans="2:21" x14ac:dyDescent="0.35">
      <c r="B408" t="s">
        <v>1275</v>
      </c>
      <c r="C408" t="s">
        <v>1277</v>
      </c>
      <c r="D408" t="s">
        <v>106</v>
      </c>
      <c r="E408" s="3" t="s">
        <v>802</v>
      </c>
      <c r="F408">
        <v>80122101</v>
      </c>
      <c r="G408">
        <v>61021311</v>
      </c>
      <c r="H408" s="27">
        <v>213000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6">
        <v>0</v>
      </c>
      <c r="R408" s="6">
        <v>0</v>
      </c>
      <c r="S408" s="6">
        <v>0</v>
      </c>
      <c r="T408" s="6">
        <v>213000</v>
      </c>
      <c r="U408" s="6">
        <f t="shared" si="7"/>
        <v>213000</v>
      </c>
    </row>
    <row r="409" spans="2:21" x14ac:dyDescent="0.35">
      <c r="B409" t="s">
        <v>1275</v>
      </c>
      <c r="C409" t="s">
        <v>1277</v>
      </c>
      <c r="D409" t="s">
        <v>7</v>
      </c>
      <c r="E409" s="2" t="s">
        <v>6</v>
      </c>
      <c r="F409">
        <v>81122101</v>
      </c>
      <c r="G409">
        <v>52121402</v>
      </c>
      <c r="H409" s="27">
        <v>-505084.50767862797</v>
      </c>
      <c r="I409" s="10">
        <v>0</v>
      </c>
      <c r="J409" s="10">
        <v>0</v>
      </c>
      <c r="K409" s="10">
        <v>0</v>
      </c>
      <c r="L409" s="10">
        <v>900</v>
      </c>
      <c r="M409" s="10">
        <v>0</v>
      </c>
      <c r="N409" s="10">
        <v>0</v>
      </c>
      <c r="O409" s="10">
        <v>0</v>
      </c>
      <c r="P409" s="10">
        <v>0</v>
      </c>
      <c r="Q409" s="6">
        <v>0</v>
      </c>
      <c r="R409" s="6">
        <v>0</v>
      </c>
      <c r="S409" s="6">
        <v>0</v>
      </c>
      <c r="T409" s="6">
        <v>0</v>
      </c>
      <c r="U409" s="6">
        <f t="shared" si="7"/>
        <v>900</v>
      </c>
    </row>
    <row r="410" spans="2:21" x14ac:dyDescent="0.35">
      <c r="B410" t="s">
        <v>1275</v>
      </c>
      <c r="C410" t="s">
        <v>1277</v>
      </c>
      <c r="D410" t="s">
        <v>106</v>
      </c>
      <c r="E410" s="3" t="s">
        <v>812</v>
      </c>
      <c r="F410">
        <v>81122101</v>
      </c>
      <c r="G410">
        <v>52121402</v>
      </c>
      <c r="H410" s="27">
        <v>250000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6">
        <v>0</v>
      </c>
      <c r="R410" s="6">
        <v>0</v>
      </c>
      <c r="S410" s="6">
        <v>0</v>
      </c>
      <c r="T410" s="6">
        <v>0</v>
      </c>
      <c r="U410" s="6">
        <f t="shared" si="7"/>
        <v>0</v>
      </c>
    </row>
    <row r="411" spans="2:21" x14ac:dyDescent="0.35">
      <c r="B411" t="s">
        <v>1275</v>
      </c>
      <c r="C411" t="s">
        <v>1277</v>
      </c>
      <c r="D411" t="s">
        <v>103</v>
      </c>
      <c r="E411" s="3" t="s">
        <v>813</v>
      </c>
      <c r="F411">
        <v>81122101</v>
      </c>
      <c r="G411">
        <v>52121401</v>
      </c>
      <c r="H411" s="27">
        <v>30000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6">
        <v>0</v>
      </c>
      <c r="R411" s="6">
        <v>0</v>
      </c>
      <c r="S411" s="6">
        <v>0</v>
      </c>
      <c r="T411" s="6">
        <v>0</v>
      </c>
      <c r="U411" s="6">
        <f t="shared" si="7"/>
        <v>0</v>
      </c>
    </row>
    <row r="412" spans="2:21" x14ac:dyDescent="0.35">
      <c r="B412" t="s">
        <v>1275</v>
      </c>
      <c r="C412" t="s">
        <v>1277</v>
      </c>
      <c r="D412" t="s">
        <v>103</v>
      </c>
      <c r="E412" s="3" t="s">
        <v>814</v>
      </c>
      <c r="F412">
        <v>81122101</v>
      </c>
      <c r="G412">
        <v>52121401</v>
      </c>
      <c r="H412" s="27">
        <v>30000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6">
        <v>0</v>
      </c>
      <c r="R412" s="6">
        <v>0</v>
      </c>
      <c r="S412" s="6">
        <v>0</v>
      </c>
      <c r="T412" s="6">
        <v>0</v>
      </c>
      <c r="U412" s="6">
        <f t="shared" si="7"/>
        <v>0</v>
      </c>
    </row>
    <row r="413" spans="2:21" x14ac:dyDescent="0.35">
      <c r="B413" t="s">
        <v>1275</v>
      </c>
      <c r="C413" t="s">
        <v>1277</v>
      </c>
      <c r="D413" t="s">
        <v>103</v>
      </c>
      <c r="E413" s="3" t="s">
        <v>815</v>
      </c>
      <c r="F413">
        <v>81122101</v>
      </c>
      <c r="G413">
        <v>52121401</v>
      </c>
      <c r="H413" s="27">
        <v>20000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6">
        <v>0</v>
      </c>
      <c r="R413" s="6">
        <v>0</v>
      </c>
      <c r="S413" s="6">
        <v>0</v>
      </c>
      <c r="T413" s="6">
        <v>0</v>
      </c>
      <c r="U413" s="6">
        <f t="shared" si="7"/>
        <v>0</v>
      </c>
    </row>
    <row r="414" spans="2:21" x14ac:dyDescent="0.35">
      <c r="B414" t="s">
        <v>1275</v>
      </c>
      <c r="C414" t="s">
        <v>1277</v>
      </c>
      <c r="D414" t="s">
        <v>103</v>
      </c>
      <c r="E414" s="3" t="s">
        <v>816</v>
      </c>
      <c r="F414">
        <v>81122101</v>
      </c>
      <c r="G414">
        <v>52121401</v>
      </c>
      <c r="H414" s="27">
        <v>30000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6">
        <v>0</v>
      </c>
      <c r="R414" s="6"/>
      <c r="S414" s="6"/>
      <c r="T414" s="6"/>
      <c r="U414" s="6">
        <f t="shared" si="7"/>
        <v>0</v>
      </c>
    </row>
    <row r="415" spans="2:21" x14ac:dyDescent="0.35">
      <c r="B415" t="s">
        <v>1275</v>
      </c>
      <c r="C415" t="s">
        <v>1277</v>
      </c>
      <c r="D415" t="s">
        <v>103</v>
      </c>
      <c r="E415" s="3" t="s">
        <v>817</v>
      </c>
      <c r="F415">
        <v>81122101</v>
      </c>
      <c r="G415">
        <v>52121401</v>
      </c>
      <c r="H415" s="27">
        <v>30000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6">
        <v>0</v>
      </c>
      <c r="R415" s="6"/>
      <c r="S415" s="6"/>
      <c r="T415" s="6"/>
      <c r="U415" s="6">
        <f t="shared" si="7"/>
        <v>0</v>
      </c>
    </row>
    <row r="416" spans="2:21" x14ac:dyDescent="0.35">
      <c r="B416" t="s">
        <v>1275</v>
      </c>
      <c r="C416" t="s">
        <v>1277</v>
      </c>
      <c r="D416" t="s">
        <v>103</v>
      </c>
      <c r="E416" s="3" t="s">
        <v>818</v>
      </c>
      <c r="F416">
        <v>81122101</v>
      </c>
      <c r="G416">
        <v>52121401</v>
      </c>
      <c r="H416" s="27">
        <v>30000</v>
      </c>
      <c r="I416" s="10">
        <v>0</v>
      </c>
      <c r="J416" s="10">
        <v>0</v>
      </c>
      <c r="K416" s="10">
        <v>0</v>
      </c>
      <c r="L416" s="10">
        <v>0</v>
      </c>
      <c r="M416" s="6"/>
      <c r="N416" s="10">
        <v>0</v>
      </c>
      <c r="O416" s="10">
        <v>0</v>
      </c>
      <c r="P416" s="10">
        <v>0</v>
      </c>
      <c r="Q416" s="6">
        <v>0</v>
      </c>
      <c r="R416" s="6"/>
      <c r="S416" s="6"/>
      <c r="T416" s="6"/>
      <c r="U416" s="6">
        <f t="shared" si="7"/>
        <v>0</v>
      </c>
    </row>
    <row r="417" spans="2:21" x14ac:dyDescent="0.35">
      <c r="B417" t="s">
        <v>1275</v>
      </c>
      <c r="C417" t="s">
        <v>1277</v>
      </c>
      <c r="D417" t="s">
        <v>103</v>
      </c>
      <c r="E417" s="3" t="s">
        <v>819</v>
      </c>
      <c r="F417">
        <v>81122101</v>
      </c>
      <c r="G417">
        <v>52121401</v>
      </c>
      <c r="H417" s="27">
        <v>20000</v>
      </c>
      <c r="I417" s="10">
        <v>0</v>
      </c>
      <c r="J417" s="10">
        <v>0</v>
      </c>
      <c r="K417" s="10">
        <v>0</v>
      </c>
      <c r="L417" s="10">
        <v>0</v>
      </c>
      <c r="M417" s="6"/>
      <c r="N417" s="10">
        <v>0</v>
      </c>
      <c r="O417" s="10">
        <v>0</v>
      </c>
      <c r="P417" s="10">
        <v>0</v>
      </c>
      <c r="Q417" s="6">
        <v>0</v>
      </c>
      <c r="R417" s="6"/>
      <c r="S417" s="6"/>
      <c r="T417" s="6"/>
      <c r="U417" s="6">
        <f t="shared" si="7"/>
        <v>0</v>
      </c>
    </row>
    <row r="418" spans="2:21" x14ac:dyDescent="0.35">
      <c r="B418" t="s">
        <v>1275</v>
      </c>
      <c r="C418" t="s">
        <v>1277</v>
      </c>
      <c r="D418" t="s">
        <v>103</v>
      </c>
      <c r="E418" s="3" t="s">
        <v>820</v>
      </c>
      <c r="F418">
        <v>81122101</v>
      </c>
      <c r="G418">
        <v>52121401</v>
      </c>
      <c r="H418" s="27">
        <v>30000</v>
      </c>
      <c r="I418" s="10">
        <v>0</v>
      </c>
      <c r="J418" s="10">
        <v>0</v>
      </c>
      <c r="K418" s="10">
        <v>0</v>
      </c>
      <c r="L418" s="10">
        <v>0</v>
      </c>
      <c r="M418" s="6"/>
      <c r="N418" s="10">
        <v>0</v>
      </c>
      <c r="O418" s="10">
        <v>0</v>
      </c>
      <c r="P418" s="10">
        <v>0</v>
      </c>
      <c r="Q418" s="6">
        <v>0</v>
      </c>
      <c r="R418" s="6"/>
      <c r="S418" s="6"/>
      <c r="T418" s="6"/>
      <c r="U418" s="6">
        <f t="shared" si="7"/>
        <v>0</v>
      </c>
    </row>
    <row r="419" spans="2:21" x14ac:dyDescent="0.35">
      <c r="B419" t="s">
        <v>1275</v>
      </c>
      <c r="C419" t="s">
        <v>1277</v>
      </c>
      <c r="D419" t="s">
        <v>103</v>
      </c>
      <c r="E419" s="3" t="s">
        <v>821</v>
      </c>
      <c r="F419">
        <v>81122101</v>
      </c>
      <c r="G419">
        <v>52121401</v>
      </c>
      <c r="H419" s="27">
        <v>50000</v>
      </c>
      <c r="I419" s="10">
        <v>0</v>
      </c>
      <c r="J419" s="10">
        <v>0</v>
      </c>
      <c r="K419" s="10">
        <v>0</v>
      </c>
      <c r="L419" s="10">
        <v>0</v>
      </c>
      <c r="M419" s="6"/>
      <c r="N419" s="10">
        <v>0</v>
      </c>
      <c r="O419" s="10">
        <v>0</v>
      </c>
      <c r="P419" s="10">
        <v>0</v>
      </c>
      <c r="Q419" s="6">
        <v>0</v>
      </c>
      <c r="R419" s="6"/>
      <c r="S419" s="6"/>
      <c r="T419" s="6"/>
      <c r="U419" s="6">
        <f t="shared" si="7"/>
        <v>0</v>
      </c>
    </row>
    <row r="420" spans="2:21" x14ac:dyDescent="0.35">
      <c r="B420" t="s">
        <v>1275</v>
      </c>
      <c r="C420" t="s">
        <v>1277</v>
      </c>
      <c r="D420" t="s">
        <v>103</v>
      </c>
      <c r="E420" s="3" t="s">
        <v>822</v>
      </c>
      <c r="F420">
        <v>81122101</v>
      </c>
      <c r="G420">
        <v>52121401</v>
      </c>
      <c r="H420" s="27">
        <v>20000</v>
      </c>
      <c r="I420" s="10">
        <v>0</v>
      </c>
      <c r="J420" s="10">
        <v>0</v>
      </c>
      <c r="K420" s="10">
        <v>0</v>
      </c>
      <c r="L420" s="10">
        <v>0</v>
      </c>
      <c r="M420" s="6"/>
      <c r="N420" s="10">
        <v>0</v>
      </c>
      <c r="O420" s="10">
        <v>0</v>
      </c>
      <c r="P420" s="10">
        <v>0</v>
      </c>
      <c r="Q420" s="6">
        <v>0</v>
      </c>
      <c r="R420" s="6"/>
      <c r="S420" s="6"/>
      <c r="T420" s="6"/>
      <c r="U420" s="6">
        <f t="shared" si="7"/>
        <v>0</v>
      </c>
    </row>
    <row r="421" spans="2:21" x14ac:dyDescent="0.35">
      <c r="B421" t="s">
        <v>1275</v>
      </c>
      <c r="C421" t="s">
        <v>1277</v>
      </c>
      <c r="D421" t="s">
        <v>103</v>
      </c>
      <c r="E421" t="s">
        <v>824</v>
      </c>
      <c r="F421">
        <v>81122101</v>
      </c>
      <c r="G421">
        <v>52121401</v>
      </c>
      <c r="H421" s="27">
        <v>30000</v>
      </c>
      <c r="I421" s="10">
        <v>0</v>
      </c>
      <c r="J421" s="10">
        <v>0</v>
      </c>
      <c r="K421" s="10">
        <v>0</v>
      </c>
      <c r="L421" s="10">
        <v>0</v>
      </c>
      <c r="M421" s="6"/>
      <c r="N421" s="10">
        <v>0</v>
      </c>
      <c r="O421" s="10">
        <v>0</v>
      </c>
      <c r="P421" s="10">
        <v>0</v>
      </c>
      <c r="Q421" s="6">
        <v>0</v>
      </c>
      <c r="R421" s="6"/>
      <c r="S421" s="6">
        <v>60000</v>
      </c>
      <c r="T421" s="6"/>
      <c r="U421" s="6">
        <f t="shared" si="7"/>
        <v>60000</v>
      </c>
    </row>
    <row r="422" spans="2:21" x14ac:dyDescent="0.35">
      <c r="B422" t="s">
        <v>1275</v>
      </c>
      <c r="C422" t="s">
        <v>1277</v>
      </c>
      <c r="D422" t="s">
        <v>103</v>
      </c>
      <c r="E422" s="2" t="s">
        <v>824</v>
      </c>
      <c r="F422">
        <v>81122101</v>
      </c>
      <c r="G422">
        <v>52121401</v>
      </c>
      <c r="H422" s="27">
        <v>0</v>
      </c>
      <c r="K422" s="10">
        <v>5010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6">
        <v>0</v>
      </c>
      <c r="R422" s="6">
        <v>0</v>
      </c>
      <c r="S422" s="6">
        <v>0</v>
      </c>
      <c r="T422" s="6">
        <v>0</v>
      </c>
      <c r="U422" s="6">
        <f t="shared" si="7"/>
        <v>5010</v>
      </c>
    </row>
    <row r="423" spans="2:21" x14ac:dyDescent="0.35">
      <c r="B423" t="s">
        <v>1275</v>
      </c>
      <c r="C423" t="s">
        <v>1277</v>
      </c>
      <c r="D423" t="s">
        <v>106</v>
      </c>
      <c r="E423" t="s">
        <v>107</v>
      </c>
      <c r="F423">
        <v>81122101</v>
      </c>
      <c r="G423">
        <v>52121402</v>
      </c>
      <c r="H423" s="27">
        <v>160000</v>
      </c>
      <c r="I423" s="10">
        <v>0</v>
      </c>
      <c r="J423" s="10">
        <v>1000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6">
        <v>0</v>
      </c>
      <c r="R423" s="6">
        <v>0</v>
      </c>
      <c r="S423" s="6">
        <v>0</v>
      </c>
      <c r="T423" s="6">
        <v>0</v>
      </c>
      <c r="U423" s="6">
        <f t="shared" si="7"/>
        <v>1000</v>
      </c>
    </row>
    <row r="424" spans="2:21" x14ac:dyDescent="0.35">
      <c r="B424" t="s">
        <v>1275</v>
      </c>
      <c r="C424" t="s">
        <v>1277</v>
      </c>
      <c r="D424" t="s">
        <v>106</v>
      </c>
      <c r="E424" t="s">
        <v>107</v>
      </c>
      <c r="F424">
        <v>81122101</v>
      </c>
      <c r="G424">
        <v>52121401</v>
      </c>
      <c r="H424" s="27">
        <v>0</v>
      </c>
      <c r="K424" s="10">
        <v>16601.29</v>
      </c>
      <c r="L424" s="10">
        <v>0</v>
      </c>
      <c r="M424" s="6"/>
      <c r="N424" s="10">
        <v>0</v>
      </c>
      <c r="O424" s="10">
        <v>0</v>
      </c>
      <c r="P424" s="10">
        <v>0</v>
      </c>
      <c r="Q424" s="6">
        <v>0</v>
      </c>
      <c r="R424" s="6"/>
      <c r="S424" s="6"/>
      <c r="T424" s="6">
        <v>129200</v>
      </c>
      <c r="U424" s="6">
        <f t="shared" si="7"/>
        <v>145801.29</v>
      </c>
    </row>
    <row r="425" spans="2:21" x14ac:dyDescent="0.35">
      <c r="B425" t="s">
        <v>1275</v>
      </c>
      <c r="C425" t="s">
        <v>1277</v>
      </c>
      <c r="D425" t="s">
        <v>103</v>
      </c>
      <c r="E425" s="3" t="s">
        <v>826</v>
      </c>
      <c r="F425">
        <v>81122101</v>
      </c>
      <c r="G425">
        <v>52121401</v>
      </c>
      <c r="H425" s="27">
        <v>300000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6">
        <v>0</v>
      </c>
      <c r="R425" s="6">
        <v>0</v>
      </c>
      <c r="S425" s="6">
        <v>0</v>
      </c>
      <c r="T425" s="6">
        <v>16000</v>
      </c>
      <c r="U425" s="6">
        <f t="shared" si="7"/>
        <v>16000</v>
      </c>
    </row>
    <row r="426" spans="2:21" x14ac:dyDescent="0.35">
      <c r="B426" t="s">
        <v>1275</v>
      </c>
      <c r="C426" t="s">
        <v>1277</v>
      </c>
      <c r="D426" t="s">
        <v>106</v>
      </c>
      <c r="E426" s="3" t="s">
        <v>828</v>
      </c>
      <c r="F426">
        <v>81122101</v>
      </c>
      <c r="G426">
        <v>52121402</v>
      </c>
      <c r="H426" s="27">
        <v>50000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6">
        <v>0</v>
      </c>
      <c r="R426" s="6"/>
      <c r="S426" s="6"/>
      <c r="T426" s="6"/>
      <c r="U426" s="6">
        <f t="shared" si="7"/>
        <v>0</v>
      </c>
    </row>
    <row r="427" spans="2:21" x14ac:dyDescent="0.35">
      <c r="B427" t="s">
        <v>1275</v>
      </c>
      <c r="C427" t="s">
        <v>1277</v>
      </c>
      <c r="D427" t="s">
        <v>106</v>
      </c>
      <c r="E427" t="s">
        <v>108</v>
      </c>
      <c r="F427">
        <v>81122101</v>
      </c>
      <c r="G427">
        <v>52121402</v>
      </c>
      <c r="H427" s="27">
        <v>275000</v>
      </c>
      <c r="I427" s="10">
        <v>0</v>
      </c>
      <c r="J427" s="10">
        <v>0</v>
      </c>
      <c r="K427" s="10">
        <v>0</v>
      </c>
      <c r="L427" s="10">
        <v>214285.71</v>
      </c>
      <c r="M427" s="6"/>
      <c r="N427" s="10">
        <v>0</v>
      </c>
      <c r="O427" s="10">
        <v>0</v>
      </c>
      <c r="P427" s="10">
        <v>0</v>
      </c>
      <c r="Q427" s="6">
        <v>0</v>
      </c>
      <c r="R427" s="6"/>
      <c r="S427" s="6"/>
      <c r="T427" s="6">
        <v>30000</v>
      </c>
      <c r="U427" s="6">
        <f t="shared" si="7"/>
        <v>244285.71</v>
      </c>
    </row>
    <row r="428" spans="2:21" x14ac:dyDescent="0.35">
      <c r="B428" t="s">
        <v>1275</v>
      </c>
      <c r="C428" t="s">
        <v>1277</v>
      </c>
      <c r="D428" t="s">
        <v>13</v>
      </c>
      <c r="E428" t="s">
        <v>109</v>
      </c>
      <c r="F428">
        <v>81122101</v>
      </c>
      <c r="G428">
        <v>52111101</v>
      </c>
      <c r="H428" s="27">
        <v>120000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6">
        <v>0</v>
      </c>
      <c r="R428" s="6">
        <v>0</v>
      </c>
      <c r="S428" s="6">
        <v>0</v>
      </c>
      <c r="T428" s="6">
        <v>0</v>
      </c>
      <c r="U428" s="6">
        <f t="shared" si="7"/>
        <v>0</v>
      </c>
    </row>
    <row r="429" spans="2:21" x14ac:dyDescent="0.35">
      <c r="B429" t="s">
        <v>1275</v>
      </c>
      <c r="C429" t="s">
        <v>1277</v>
      </c>
      <c r="D429" t="s">
        <v>13</v>
      </c>
      <c r="E429" t="s">
        <v>109</v>
      </c>
      <c r="F429">
        <v>90122101</v>
      </c>
      <c r="G429">
        <v>52121402</v>
      </c>
      <c r="H429" s="27">
        <v>0</v>
      </c>
      <c r="I429" s="10">
        <v>89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6">
        <v>0</v>
      </c>
      <c r="R429" s="6">
        <v>0</v>
      </c>
      <c r="S429" s="6">
        <v>0</v>
      </c>
      <c r="T429" s="6">
        <v>0</v>
      </c>
      <c r="U429" s="6">
        <f t="shared" si="7"/>
        <v>89</v>
      </c>
    </row>
    <row r="430" spans="2:21" x14ac:dyDescent="0.35">
      <c r="B430" t="s">
        <v>1275</v>
      </c>
      <c r="C430" t="s">
        <v>1277</v>
      </c>
      <c r="D430" t="s">
        <v>13</v>
      </c>
      <c r="E430" t="s">
        <v>109</v>
      </c>
      <c r="F430">
        <v>81122101</v>
      </c>
      <c r="G430">
        <v>52121402</v>
      </c>
      <c r="H430" s="27">
        <v>0</v>
      </c>
      <c r="I430" s="10">
        <v>95</v>
      </c>
      <c r="J430" s="10">
        <v>2967</v>
      </c>
      <c r="K430" s="10">
        <v>13029.46</v>
      </c>
      <c r="L430" s="10">
        <v>0</v>
      </c>
      <c r="M430" s="10">
        <v>2095</v>
      </c>
      <c r="N430" s="10">
        <v>0</v>
      </c>
      <c r="O430" s="10">
        <v>13326.98</v>
      </c>
      <c r="P430" s="10">
        <v>0</v>
      </c>
      <c r="Q430" s="6">
        <v>0</v>
      </c>
      <c r="R430" s="6">
        <v>0</v>
      </c>
      <c r="S430" s="6">
        <v>0</v>
      </c>
      <c r="T430" s="6">
        <v>15000</v>
      </c>
      <c r="U430" s="6">
        <f t="shared" si="7"/>
        <v>46513.440000000002</v>
      </c>
    </row>
    <row r="431" spans="2:21" x14ac:dyDescent="0.35">
      <c r="B431" t="s">
        <v>1275</v>
      </c>
      <c r="C431" t="s">
        <v>1277</v>
      </c>
      <c r="D431" t="s">
        <v>106</v>
      </c>
      <c r="E431" t="s">
        <v>110</v>
      </c>
      <c r="F431">
        <v>90122101</v>
      </c>
      <c r="G431">
        <v>52121402</v>
      </c>
      <c r="H431" s="27">
        <v>162000</v>
      </c>
      <c r="I431" s="10">
        <v>0</v>
      </c>
      <c r="J431" s="10">
        <v>0</v>
      </c>
      <c r="K431" s="10">
        <v>30000</v>
      </c>
      <c r="L431" s="10">
        <v>0</v>
      </c>
      <c r="M431" s="10">
        <v>0</v>
      </c>
      <c r="N431" s="10">
        <v>0</v>
      </c>
      <c r="O431" s="10">
        <v>10000</v>
      </c>
      <c r="P431" s="10">
        <v>13900</v>
      </c>
      <c r="Q431" s="6">
        <v>30000</v>
      </c>
      <c r="R431" s="6">
        <v>10000</v>
      </c>
      <c r="S431" s="6">
        <v>10000</v>
      </c>
      <c r="T431" s="6">
        <v>10000</v>
      </c>
      <c r="U431" s="6">
        <f t="shared" si="7"/>
        <v>113900</v>
      </c>
    </row>
    <row r="432" spans="2:21" x14ac:dyDescent="0.35">
      <c r="B432" t="s">
        <v>1275</v>
      </c>
      <c r="C432" t="s">
        <v>1277</v>
      </c>
      <c r="D432" t="s">
        <v>106</v>
      </c>
      <c r="E432" t="s">
        <v>110</v>
      </c>
      <c r="F432">
        <v>81122101</v>
      </c>
      <c r="G432">
        <v>52121402</v>
      </c>
      <c r="H432" s="27">
        <v>79800</v>
      </c>
      <c r="I432" s="10">
        <v>3000</v>
      </c>
      <c r="J432" s="10">
        <v>0</v>
      </c>
      <c r="K432" s="10">
        <v>3900</v>
      </c>
      <c r="L432" s="10">
        <v>0</v>
      </c>
      <c r="M432" s="10">
        <v>3700</v>
      </c>
      <c r="N432" s="10">
        <v>0</v>
      </c>
      <c r="O432" s="10">
        <v>6000</v>
      </c>
      <c r="P432" s="10">
        <v>13450</v>
      </c>
      <c r="Q432" s="6">
        <v>6785.72</v>
      </c>
      <c r="R432" s="6">
        <v>10000</v>
      </c>
      <c r="S432" s="6">
        <v>10000</v>
      </c>
      <c r="T432" s="6">
        <v>10000</v>
      </c>
      <c r="U432" s="6">
        <f t="shared" si="7"/>
        <v>66835.72</v>
      </c>
    </row>
    <row r="433" spans="2:21" x14ac:dyDescent="0.35">
      <c r="B433" t="s">
        <v>1275</v>
      </c>
      <c r="C433" t="s">
        <v>1277</v>
      </c>
      <c r="D433" t="s">
        <v>106</v>
      </c>
      <c r="E433" t="s">
        <v>110</v>
      </c>
      <c r="F433">
        <v>80122101</v>
      </c>
      <c r="G433">
        <v>61021403</v>
      </c>
      <c r="H433" s="27">
        <v>58200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6">
        <v>0</v>
      </c>
      <c r="R433" s="6">
        <v>10000</v>
      </c>
      <c r="S433" s="6">
        <v>10000</v>
      </c>
      <c r="T433" s="6">
        <v>10000</v>
      </c>
      <c r="U433" s="6">
        <f t="shared" si="7"/>
        <v>30000</v>
      </c>
    </row>
    <row r="434" spans="2:21" x14ac:dyDescent="0.35">
      <c r="B434" t="s">
        <v>1275</v>
      </c>
      <c r="C434" t="s">
        <v>1277</v>
      </c>
      <c r="D434" t="s">
        <v>106</v>
      </c>
      <c r="E434" t="s">
        <v>111</v>
      </c>
      <c r="F434">
        <v>90122101</v>
      </c>
      <c r="G434">
        <v>52121402</v>
      </c>
      <c r="H434" s="27">
        <v>64800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6">
        <v>0</v>
      </c>
      <c r="R434" s="6">
        <v>1000</v>
      </c>
      <c r="S434" s="6">
        <v>1000</v>
      </c>
      <c r="T434" s="6">
        <v>1000</v>
      </c>
      <c r="U434" s="6">
        <f t="shared" si="7"/>
        <v>3000</v>
      </c>
    </row>
    <row r="435" spans="2:21" x14ac:dyDescent="0.35">
      <c r="B435" t="s">
        <v>1275</v>
      </c>
      <c r="C435" t="s">
        <v>1277</v>
      </c>
      <c r="D435" t="s">
        <v>106</v>
      </c>
      <c r="E435" t="s">
        <v>111</v>
      </c>
      <c r="F435">
        <v>81122101</v>
      </c>
      <c r="G435">
        <v>52121402</v>
      </c>
      <c r="H435" s="27">
        <v>31920</v>
      </c>
      <c r="I435" s="10">
        <v>0</v>
      </c>
      <c r="J435" s="10">
        <v>925</v>
      </c>
      <c r="K435" s="10">
        <v>0</v>
      </c>
      <c r="L435" s="10">
        <v>0</v>
      </c>
      <c r="M435" s="10">
        <v>0</v>
      </c>
      <c r="N435" s="10">
        <v>0</v>
      </c>
      <c r="O435" s="10">
        <v>986.85</v>
      </c>
      <c r="P435" s="10">
        <v>0</v>
      </c>
      <c r="Q435" s="6">
        <v>0</v>
      </c>
      <c r="R435" s="6">
        <v>0</v>
      </c>
      <c r="S435" s="6">
        <v>0</v>
      </c>
      <c r="T435" s="6">
        <v>0</v>
      </c>
      <c r="U435" s="6">
        <f t="shared" si="7"/>
        <v>1911.85</v>
      </c>
    </row>
    <row r="436" spans="2:21" x14ac:dyDescent="0.35">
      <c r="B436" t="s">
        <v>1275</v>
      </c>
      <c r="C436" t="s">
        <v>1277</v>
      </c>
      <c r="D436" t="s">
        <v>106</v>
      </c>
      <c r="E436" t="s">
        <v>111</v>
      </c>
      <c r="F436">
        <v>80122101</v>
      </c>
      <c r="G436">
        <v>61021403</v>
      </c>
      <c r="H436" s="27">
        <v>23280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6">
        <v>0</v>
      </c>
      <c r="R436" s="6">
        <v>0</v>
      </c>
      <c r="S436" s="6">
        <v>0</v>
      </c>
      <c r="T436" s="6">
        <v>0</v>
      </c>
      <c r="U436" s="6">
        <f t="shared" si="7"/>
        <v>0</v>
      </c>
    </row>
    <row r="437" spans="2:21" x14ac:dyDescent="0.35">
      <c r="B437" t="s">
        <v>1275</v>
      </c>
      <c r="C437" t="s">
        <v>1277</v>
      </c>
      <c r="D437" t="s">
        <v>106</v>
      </c>
      <c r="E437" t="s">
        <v>835</v>
      </c>
      <c r="F437">
        <v>81122101</v>
      </c>
      <c r="G437">
        <v>52111101</v>
      </c>
      <c r="H437" s="27">
        <v>90000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6">
        <v>0</v>
      </c>
      <c r="R437" s="6">
        <v>0</v>
      </c>
      <c r="S437" s="6">
        <v>0</v>
      </c>
      <c r="T437" s="6">
        <v>0</v>
      </c>
      <c r="U437" s="6">
        <f t="shared" si="7"/>
        <v>0</v>
      </c>
    </row>
    <row r="438" spans="2:21" x14ac:dyDescent="0.35">
      <c r="B438" t="s">
        <v>1275</v>
      </c>
      <c r="C438" t="s">
        <v>1277</v>
      </c>
      <c r="D438" t="s">
        <v>106</v>
      </c>
      <c r="E438" t="s">
        <v>835</v>
      </c>
      <c r="F438">
        <v>90122101</v>
      </c>
      <c r="G438">
        <v>52121402</v>
      </c>
      <c r="H438" s="27">
        <v>0</v>
      </c>
      <c r="K438" s="10">
        <v>28960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6">
        <v>0</v>
      </c>
      <c r="R438" s="6">
        <v>10000</v>
      </c>
      <c r="S438" s="6">
        <v>10000</v>
      </c>
      <c r="T438" s="6">
        <v>10000</v>
      </c>
      <c r="U438" s="6">
        <f t="shared" si="7"/>
        <v>58960</v>
      </c>
    </row>
    <row r="439" spans="2:21" x14ac:dyDescent="0.35">
      <c r="B439" t="s">
        <v>1275</v>
      </c>
      <c r="C439" t="s">
        <v>1277</v>
      </c>
      <c r="D439" t="s">
        <v>106</v>
      </c>
      <c r="E439" t="s">
        <v>835</v>
      </c>
      <c r="F439" s="2">
        <v>81122101</v>
      </c>
      <c r="G439" s="2">
        <v>52121402</v>
      </c>
      <c r="H439" s="27">
        <v>0</v>
      </c>
      <c r="I439" s="10">
        <v>0</v>
      </c>
      <c r="J439" s="10">
        <v>0</v>
      </c>
      <c r="K439" s="10">
        <v>0</v>
      </c>
      <c r="L439" s="10">
        <v>13880</v>
      </c>
      <c r="M439" s="10">
        <v>14280</v>
      </c>
      <c r="N439" s="10">
        <v>0</v>
      </c>
      <c r="O439" s="10">
        <v>19040</v>
      </c>
      <c r="P439" s="10">
        <v>0</v>
      </c>
      <c r="Q439" s="6">
        <v>27040</v>
      </c>
      <c r="R439" s="6">
        <v>20000</v>
      </c>
      <c r="S439" s="6">
        <v>20000</v>
      </c>
      <c r="T439" s="6">
        <v>20000</v>
      </c>
      <c r="U439" s="6">
        <f t="shared" si="7"/>
        <v>134240</v>
      </c>
    </row>
    <row r="440" spans="2:21" x14ac:dyDescent="0.35">
      <c r="B440" t="s">
        <v>1275</v>
      </c>
      <c r="C440" t="s">
        <v>1277</v>
      </c>
      <c r="D440" t="s">
        <v>13</v>
      </c>
      <c r="E440" t="s">
        <v>14</v>
      </c>
      <c r="F440">
        <v>81122101</v>
      </c>
      <c r="G440">
        <v>52111101</v>
      </c>
      <c r="H440" s="27">
        <v>60000</v>
      </c>
      <c r="I440" s="10">
        <v>0</v>
      </c>
      <c r="J440" s="10">
        <v>0</v>
      </c>
      <c r="K440" s="10">
        <v>0</v>
      </c>
      <c r="L440" s="10">
        <v>17236.61</v>
      </c>
      <c r="M440" s="10">
        <v>17236.62</v>
      </c>
      <c r="N440" s="10">
        <v>11491.08</v>
      </c>
      <c r="O440" s="10">
        <v>11810.27</v>
      </c>
      <c r="P440" s="10">
        <v>0</v>
      </c>
      <c r="Q440" s="6">
        <v>0</v>
      </c>
      <c r="R440" s="6">
        <v>15000</v>
      </c>
      <c r="S440" s="6">
        <v>15000</v>
      </c>
      <c r="T440" s="6">
        <v>15000</v>
      </c>
      <c r="U440" s="6">
        <f t="shared" si="7"/>
        <v>102774.58</v>
      </c>
    </row>
    <row r="441" spans="2:21" x14ac:dyDescent="0.35">
      <c r="B441" t="s">
        <v>1275</v>
      </c>
      <c r="C441" t="s">
        <v>1277</v>
      </c>
      <c r="D441" t="s">
        <v>13</v>
      </c>
      <c r="E441" t="s">
        <v>113</v>
      </c>
      <c r="F441">
        <v>81122101</v>
      </c>
      <c r="G441">
        <v>52111101</v>
      </c>
      <c r="H441" s="27">
        <v>150000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6">
        <v>0</v>
      </c>
      <c r="R441" s="6">
        <v>0</v>
      </c>
      <c r="S441" s="6">
        <v>0</v>
      </c>
      <c r="T441" s="6">
        <v>0</v>
      </c>
      <c r="U441" s="6">
        <f t="shared" si="7"/>
        <v>0</v>
      </c>
    </row>
    <row r="442" spans="2:21" x14ac:dyDescent="0.35">
      <c r="B442" t="s">
        <v>1275</v>
      </c>
      <c r="C442" t="s">
        <v>1277</v>
      </c>
      <c r="D442" t="s">
        <v>13</v>
      </c>
      <c r="E442" t="s">
        <v>113</v>
      </c>
      <c r="F442" s="2">
        <v>90122101</v>
      </c>
      <c r="G442" s="2">
        <v>52121402</v>
      </c>
      <c r="H442" s="27">
        <v>0</v>
      </c>
      <c r="I442" s="10">
        <v>0</v>
      </c>
      <c r="J442" s="10">
        <v>0</v>
      </c>
      <c r="K442" s="10">
        <v>-1214.29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6">
        <v>0</v>
      </c>
      <c r="R442" s="6">
        <v>0</v>
      </c>
      <c r="S442" s="6">
        <v>0</v>
      </c>
      <c r="T442" s="6">
        <v>0</v>
      </c>
      <c r="U442" s="6">
        <f t="shared" si="7"/>
        <v>-1214.29</v>
      </c>
    </row>
    <row r="443" spans="2:21" x14ac:dyDescent="0.35">
      <c r="B443" t="s">
        <v>1275</v>
      </c>
      <c r="C443" t="s">
        <v>1277</v>
      </c>
      <c r="D443" t="s">
        <v>13</v>
      </c>
      <c r="E443" t="s">
        <v>113</v>
      </c>
      <c r="F443" s="2">
        <v>90111101</v>
      </c>
      <c r="G443" s="2">
        <v>61021403</v>
      </c>
      <c r="H443" s="27">
        <v>0</v>
      </c>
      <c r="I443" s="10">
        <v>0</v>
      </c>
      <c r="J443" s="10">
        <v>0</v>
      </c>
      <c r="K443" s="10">
        <v>-10500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6">
        <v>0</v>
      </c>
      <c r="R443" s="6">
        <v>0</v>
      </c>
      <c r="S443" s="6">
        <v>0</v>
      </c>
      <c r="T443" s="6">
        <v>0</v>
      </c>
      <c r="U443" s="6">
        <f t="shared" si="7"/>
        <v>-10500</v>
      </c>
    </row>
    <row r="444" spans="2:21" x14ac:dyDescent="0.35">
      <c r="B444" t="s">
        <v>1275</v>
      </c>
      <c r="C444" t="s">
        <v>1277</v>
      </c>
      <c r="D444" t="s">
        <v>7</v>
      </c>
      <c r="E444" t="s">
        <v>6</v>
      </c>
      <c r="F444" s="2">
        <v>90111101</v>
      </c>
      <c r="G444" s="2">
        <v>61021403</v>
      </c>
      <c r="H444" s="27">
        <v>0</v>
      </c>
      <c r="M444" s="10">
        <v>-47949.210000000006</v>
      </c>
      <c r="N444" s="10">
        <v>0</v>
      </c>
      <c r="O444" s="10">
        <v>0</v>
      </c>
      <c r="P444" s="10">
        <v>0</v>
      </c>
      <c r="Q444" s="6">
        <v>0</v>
      </c>
      <c r="R444" s="6">
        <v>0</v>
      </c>
      <c r="S444" s="6">
        <v>0</v>
      </c>
      <c r="T444" s="6">
        <v>0</v>
      </c>
      <c r="U444" s="6">
        <f t="shared" si="7"/>
        <v>-47949.210000000006</v>
      </c>
    </row>
    <row r="445" spans="2:21" x14ac:dyDescent="0.35">
      <c r="B445" t="s">
        <v>1275</v>
      </c>
      <c r="C445" t="s">
        <v>1277</v>
      </c>
      <c r="D445" t="s">
        <v>106</v>
      </c>
      <c r="E445" s="3" t="s">
        <v>837</v>
      </c>
      <c r="F445">
        <v>81122101</v>
      </c>
      <c r="G445">
        <v>52121402</v>
      </c>
      <c r="H445" s="27">
        <v>100000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6">
        <v>0</v>
      </c>
      <c r="R445" s="6">
        <v>0</v>
      </c>
      <c r="S445" s="6">
        <v>0</v>
      </c>
      <c r="T445" s="6">
        <v>0</v>
      </c>
      <c r="U445" s="6">
        <f t="shared" si="7"/>
        <v>0</v>
      </c>
    </row>
    <row r="446" spans="2:21" x14ac:dyDescent="0.35">
      <c r="B446" t="s">
        <v>1275</v>
      </c>
      <c r="C446" t="s">
        <v>1277</v>
      </c>
      <c r="D446" t="s">
        <v>106</v>
      </c>
      <c r="E446" s="3" t="s">
        <v>114</v>
      </c>
      <c r="F446">
        <v>81122101</v>
      </c>
      <c r="G446">
        <v>52121402</v>
      </c>
      <c r="H446" s="27">
        <v>120000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6">
        <v>0</v>
      </c>
      <c r="R446" s="6">
        <v>0</v>
      </c>
      <c r="S446" s="6">
        <v>0</v>
      </c>
      <c r="T446" s="6">
        <v>0</v>
      </c>
      <c r="U446" s="6">
        <f t="shared" si="7"/>
        <v>0</v>
      </c>
    </row>
    <row r="447" spans="2:21" x14ac:dyDescent="0.35">
      <c r="B447" t="s">
        <v>1275</v>
      </c>
      <c r="C447" t="s">
        <v>1277</v>
      </c>
      <c r="D447" t="s">
        <v>106</v>
      </c>
      <c r="E447" t="s">
        <v>114</v>
      </c>
      <c r="F447">
        <v>81122101</v>
      </c>
      <c r="G447">
        <v>52121401</v>
      </c>
      <c r="H447" s="27">
        <v>0</v>
      </c>
      <c r="K447" s="10">
        <v>37990.519999999997</v>
      </c>
      <c r="L447" s="10">
        <v>0</v>
      </c>
      <c r="M447" s="10">
        <v>0</v>
      </c>
      <c r="N447" s="10">
        <v>0</v>
      </c>
      <c r="O447" s="10">
        <v>0</v>
      </c>
      <c r="P447" s="10">
        <v>106909.92</v>
      </c>
      <c r="Q447" s="6">
        <v>0</v>
      </c>
      <c r="R447" s="6"/>
      <c r="S447" s="6"/>
      <c r="T447" s="6">
        <v>25000</v>
      </c>
      <c r="U447" s="6">
        <f t="shared" si="7"/>
        <v>169900.44</v>
      </c>
    </row>
    <row r="448" spans="2:21" x14ac:dyDescent="0.35">
      <c r="B448" t="s">
        <v>1275</v>
      </c>
      <c r="C448" t="s">
        <v>1277</v>
      </c>
      <c r="D448" t="s">
        <v>13</v>
      </c>
      <c r="E448" t="s">
        <v>115</v>
      </c>
      <c r="F448">
        <v>81122101</v>
      </c>
      <c r="G448">
        <v>52111101</v>
      </c>
      <c r="H448" s="27">
        <v>45000</v>
      </c>
      <c r="I448" s="10">
        <v>0</v>
      </c>
      <c r="J448" s="10">
        <v>0</v>
      </c>
      <c r="K448" s="10">
        <v>0</v>
      </c>
      <c r="L448" s="10">
        <v>7741.07</v>
      </c>
      <c r="M448" s="10">
        <v>0</v>
      </c>
      <c r="N448" s="10">
        <v>0</v>
      </c>
      <c r="O448" s="10">
        <v>30964.29</v>
      </c>
      <c r="P448" s="10">
        <v>0</v>
      </c>
      <c r="Q448" s="6">
        <v>0</v>
      </c>
      <c r="R448" s="6">
        <v>0</v>
      </c>
      <c r="S448" s="6">
        <v>0</v>
      </c>
      <c r="T448" s="6">
        <v>40000</v>
      </c>
      <c r="U448" s="6">
        <f t="shared" si="7"/>
        <v>78705.36</v>
      </c>
    </row>
    <row r="449" spans="2:21" x14ac:dyDescent="0.35">
      <c r="B449" t="s">
        <v>1275</v>
      </c>
      <c r="C449" t="s">
        <v>1277</v>
      </c>
      <c r="D449" t="s">
        <v>13</v>
      </c>
      <c r="E449" s="3" t="s">
        <v>841</v>
      </c>
      <c r="F449">
        <v>81122101</v>
      </c>
      <c r="G449">
        <v>52111101</v>
      </c>
      <c r="H449" s="27">
        <v>25000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6">
        <v>0</v>
      </c>
      <c r="R449" s="6">
        <v>0</v>
      </c>
      <c r="S449" s="6">
        <v>0</v>
      </c>
      <c r="T449" s="6">
        <v>0</v>
      </c>
      <c r="U449" s="6">
        <f t="shared" si="7"/>
        <v>0</v>
      </c>
    </row>
    <row r="450" spans="2:21" x14ac:dyDescent="0.35">
      <c r="B450" t="s">
        <v>1275</v>
      </c>
      <c r="C450" t="s">
        <v>1277</v>
      </c>
      <c r="D450" t="s">
        <v>13</v>
      </c>
      <c r="E450" s="3" t="s">
        <v>842</v>
      </c>
      <c r="F450">
        <v>81122101</v>
      </c>
      <c r="G450">
        <v>52111101</v>
      </c>
      <c r="H450" s="27">
        <v>20000</v>
      </c>
      <c r="I450" s="10">
        <v>0</v>
      </c>
      <c r="J450" s="10">
        <v>0</v>
      </c>
      <c r="K450" s="10">
        <v>0</v>
      </c>
      <c r="L450" s="10">
        <v>0</v>
      </c>
      <c r="M450" s="10">
        <v>120</v>
      </c>
      <c r="N450" s="10">
        <v>0</v>
      </c>
      <c r="O450" s="10">
        <v>0</v>
      </c>
      <c r="P450" s="10">
        <v>0</v>
      </c>
      <c r="Q450" s="6">
        <v>0</v>
      </c>
      <c r="R450" s="6">
        <v>100</v>
      </c>
      <c r="S450" s="6">
        <v>100</v>
      </c>
      <c r="T450" s="6">
        <v>100</v>
      </c>
      <c r="U450" s="6">
        <f t="shared" si="7"/>
        <v>420</v>
      </c>
    </row>
    <row r="451" spans="2:21" x14ac:dyDescent="0.35">
      <c r="B451" t="s">
        <v>1275</v>
      </c>
      <c r="C451" t="s">
        <v>1277</v>
      </c>
      <c r="D451" t="s">
        <v>103</v>
      </c>
      <c r="E451" s="3" t="s">
        <v>844</v>
      </c>
      <c r="F451">
        <v>81122101</v>
      </c>
      <c r="G451">
        <v>52121402</v>
      </c>
      <c r="H451" s="27">
        <v>450000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6">
        <v>0</v>
      </c>
      <c r="R451" s="6"/>
      <c r="S451" s="6">
        <v>0</v>
      </c>
      <c r="T451" s="6">
        <v>0</v>
      </c>
      <c r="U451" s="6">
        <f t="shared" si="7"/>
        <v>0</v>
      </c>
    </row>
    <row r="452" spans="2:21" x14ac:dyDescent="0.35">
      <c r="B452" t="s">
        <v>1275</v>
      </c>
      <c r="C452" t="s">
        <v>1277</v>
      </c>
      <c r="D452" t="s">
        <v>106</v>
      </c>
      <c r="E452" s="3" t="s">
        <v>845</v>
      </c>
      <c r="F452">
        <v>90111101</v>
      </c>
      <c r="G452">
        <v>52121314</v>
      </c>
      <c r="H452" s="27">
        <v>900000</v>
      </c>
      <c r="I452" s="10">
        <v>0</v>
      </c>
      <c r="J452" s="10">
        <v>0</v>
      </c>
      <c r="K452" s="10">
        <v>0</v>
      </c>
      <c r="L452" s="10">
        <v>0</v>
      </c>
      <c r="M452" s="6"/>
      <c r="N452" s="10">
        <v>0</v>
      </c>
      <c r="O452" s="10">
        <v>0</v>
      </c>
      <c r="P452" s="10">
        <v>0</v>
      </c>
      <c r="Q452" s="6">
        <v>0</v>
      </c>
      <c r="R452" s="6"/>
      <c r="S452" s="6"/>
      <c r="T452" s="6">
        <v>900000</v>
      </c>
      <c r="U452" s="6">
        <f t="shared" si="7"/>
        <v>900000</v>
      </c>
    </row>
    <row r="453" spans="2:21" x14ac:dyDescent="0.35">
      <c r="B453" t="s">
        <v>1275</v>
      </c>
      <c r="C453" t="s">
        <v>1277</v>
      </c>
      <c r="D453" t="s">
        <v>106</v>
      </c>
      <c r="E453" s="3" t="s">
        <v>845</v>
      </c>
      <c r="F453">
        <v>80111101</v>
      </c>
      <c r="G453">
        <v>61021315</v>
      </c>
      <c r="H453" s="27">
        <v>35000</v>
      </c>
      <c r="I453" s="10">
        <v>0</v>
      </c>
      <c r="J453" s="10">
        <v>0</v>
      </c>
      <c r="K453" s="10">
        <v>0</v>
      </c>
      <c r="L453" s="10">
        <v>0</v>
      </c>
      <c r="M453" s="6"/>
      <c r="N453" s="10">
        <v>0</v>
      </c>
      <c r="O453" s="10">
        <v>0</v>
      </c>
      <c r="P453" s="10">
        <v>0</v>
      </c>
      <c r="Q453" s="6">
        <v>0</v>
      </c>
      <c r="R453" s="6"/>
      <c r="S453" s="6"/>
      <c r="T453" s="6">
        <v>35000</v>
      </c>
      <c r="U453" s="6">
        <f t="shared" ref="U453:U516" si="8">SUM(I453:T453)</f>
        <v>35000</v>
      </c>
    </row>
    <row r="454" spans="2:21" x14ac:dyDescent="0.35">
      <c r="B454" t="s">
        <v>1275</v>
      </c>
      <c r="C454" t="s">
        <v>1277</v>
      </c>
      <c r="D454" t="s">
        <v>106</v>
      </c>
      <c r="E454" s="3" t="s">
        <v>845</v>
      </c>
      <c r="F454">
        <v>81111101</v>
      </c>
      <c r="G454">
        <v>52121314</v>
      </c>
      <c r="H454" s="27">
        <v>35000</v>
      </c>
      <c r="I454" s="10">
        <v>0</v>
      </c>
      <c r="J454" s="10">
        <v>0</v>
      </c>
      <c r="K454" s="10">
        <v>0</v>
      </c>
      <c r="L454" s="10">
        <v>0</v>
      </c>
      <c r="M454" s="6"/>
      <c r="N454" s="10">
        <v>0</v>
      </c>
      <c r="O454" s="10">
        <v>0</v>
      </c>
      <c r="P454" s="10">
        <v>0</v>
      </c>
      <c r="Q454" s="6">
        <v>0</v>
      </c>
      <c r="R454" s="6"/>
      <c r="S454" s="6"/>
      <c r="T454" s="6">
        <v>35000</v>
      </c>
      <c r="U454" s="6">
        <f t="shared" si="8"/>
        <v>35000</v>
      </c>
    </row>
    <row r="455" spans="2:21" x14ac:dyDescent="0.35">
      <c r="B455" t="s">
        <v>1275</v>
      </c>
      <c r="C455" t="s">
        <v>1277</v>
      </c>
      <c r="D455" t="s">
        <v>106</v>
      </c>
      <c r="E455" t="s">
        <v>116</v>
      </c>
      <c r="F455">
        <v>90122101</v>
      </c>
      <c r="G455">
        <v>52121402</v>
      </c>
      <c r="H455" s="27">
        <v>243000</v>
      </c>
      <c r="I455" s="10">
        <v>0</v>
      </c>
      <c r="J455" s="10">
        <v>0</v>
      </c>
      <c r="K455" s="10">
        <v>0</v>
      </c>
      <c r="L455" s="10">
        <v>6616.09</v>
      </c>
      <c r="M455" s="10">
        <v>0</v>
      </c>
      <c r="N455" s="10">
        <v>126542.68</v>
      </c>
      <c r="O455" s="10">
        <v>0</v>
      </c>
      <c r="P455" s="10">
        <v>0</v>
      </c>
      <c r="Q455" s="6">
        <v>0</v>
      </c>
      <c r="R455" s="6"/>
      <c r="S455" s="6"/>
      <c r="T455" s="6">
        <v>0</v>
      </c>
      <c r="U455" s="6">
        <f t="shared" si="8"/>
        <v>133158.76999999999</v>
      </c>
    </row>
    <row r="456" spans="2:21" x14ac:dyDescent="0.35">
      <c r="B456" t="s">
        <v>1275</v>
      </c>
      <c r="C456" t="s">
        <v>1277</v>
      </c>
      <c r="D456" t="s">
        <v>106</v>
      </c>
      <c r="E456" t="s">
        <v>116</v>
      </c>
      <c r="F456">
        <v>80122101</v>
      </c>
      <c r="G456">
        <v>61021403</v>
      </c>
      <c r="H456" s="27">
        <v>87300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42180.89</v>
      </c>
      <c r="O456" s="10">
        <v>0</v>
      </c>
      <c r="P456" s="10">
        <v>0</v>
      </c>
      <c r="Q456" s="6">
        <v>0</v>
      </c>
      <c r="R456" s="6"/>
      <c r="S456" s="6"/>
      <c r="T456" s="6">
        <v>0</v>
      </c>
      <c r="U456" s="6">
        <f t="shared" si="8"/>
        <v>42180.89</v>
      </c>
    </row>
    <row r="457" spans="2:21" x14ac:dyDescent="0.35">
      <c r="B457" t="s">
        <v>1275</v>
      </c>
      <c r="C457" t="s">
        <v>1277</v>
      </c>
      <c r="D457" t="s">
        <v>106</v>
      </c>
      <c r="E457" t="s">
        <v>116</v>
      </c>
      <c r="F457">
        <v>81122101</v>
      </c>
      <c r="G457">
        <v>52121402</v>
      </c>
      <c r="H457" s="27">
        <v>119700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36317.5</v>
      </c>
      <c r="Q457" s="6">
        <v>23986.61</v>
      </c>
      <c r="R457" s="6"/>
      <c r="S457" s="6"/>
      <c r="T457" s="6">
        <v>0</v>
      </c>
      <c r="U457" s="6">
        <f t="shared" si="8"/>
        <v>60304.11</v>
      </c>
    </row>
    <row r="458" spans="2:21" x14ac:dyDescent="0.35">
      <c r="B458" t="s">
        <v>1275</v>
      </c>
      <c r="C458" t="s">
        <v>1277</v>
      </c>
      <c r="D458" t="s">
        <v>106</v>
      </c>
      <c r="E458" t="s">
        <v>850</v>
      </c>
      <c r="F458">
        <v>81122101</v>
      </c>
      <c r="G458">
        <v>52121402</v>
      </c>
      <c r="H458" s="27">
        <v>36000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6">
        <v>0</v>
      </c>
      <c r="R458" s="6">
        <v>0</v>
      </c>
      <c r="S458" s="6">
        <v>0</v>
      </c>
      <c r="T458" s="6">
        <v>0</v>
      </c>
      <c r="U458" s="6">
        <f t="shared" si="8"/>
        <v>0</v>
      </c>
    </row>
    <row r="459" spans="2:21" x14ac:dyDescent="0.35">
      <c r="B459" t="s">
        <v>1275</v>
      </c>
      <c r="C459" t="s">
        <v>1277</v>
      </c>
      <c r="D459" t="s">
        <v>106</v>
      </c>
      <c r="E459" s="3" t="s">
        <v>851</v>
      </c>
      <c r="F459">
        <v>81122101</v>
      </c>
      <c r="G459">
        <v>52121402</v>
      </c>
      <c r="H459" s="27">
        <v>60000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6">
        <v>0</v>
      </c>
      <c r="R459" s="6">
        <v>60000</v>
      </c>
      <c r="S459" s="6"/>
      <c r="T459" s="6"/>
      <c r="U459" s="6">
        <f t="shared" si="8"/>
        <v>60000</v>
      </c>
    </row>
    <row r="460" spans="2:21" x14ac:dyDescent="0.35">
      <c r="B460" t="s">
        <v>1275</v>
      </c>
      <c r="C460" t="s">
        <v>1277</v>
      </c>
      <c r="D460" t="s">
        <v>106</v>
      </c>
      <c r="E460" s="3" t="s">
        <v>852</v>
      </c>
      <c r="F460">
        <v>90122101</v>
      </c>
      <c r="G460">
        <v>52121402</v>
      </c>
      <c r="H460" s="27">
        <v>50000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6">
        <v>0</v>
      </c>
      <c r="R460" s="6">
        <v>0</v>
      </c>
      <c r="S460" s="6">
        <v>0</v>
      </c>
      <c r="T460" s="6">
        <v>0</v>
      </c>
      <c r="U460" s="6">
        <f t="shared" si="8"/>
        <v>0</v>
      </c>
    </row>
    <row r="461" spans="2:21" x14ac:dyDescent="0.35">
      <c r="B461" t="s">
        <v>1275</v>
      </c>
      <c r="C461" t="s">
        <v>1277</v>
      </c>
      <c r="D461" t="s">
        <v>106</v>
      </c>
      <c r="E461" s="3" t="s">
        <v>852</v>
      </c>
      <c r="F461">
        <v>80122101</v>
      </c>
      <c r="G461">
        <v>61021403</v>
      </c>
      <c r="H461" s="27">
        <v>50000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6">
        <v>0</v>
      </c>
      <c r="R461" s="6">
        <v>0</v>
      </c>
      <c r="S461" s="6">
        <v>0</v>
      </c>
      <c r="T461" s="6">
        <v>0</v>
      </c>
      <c r="U461" s="6">
        <f t="shared" si="8"/>
        <v>0</v>
      </c>
    </row>
    <row r="462" spans="2:21" x14ac:dyDescent="0.35">
      <c r="B462" t="s">
        <v>1275</v>
      </c>
      <c r="C462" t="s">
        <v>1277</v>
      </c>
      <c r="D462" t="s">
        <v>106</v>
      </c>
      <c r="E462" s="3" t="s">
        <v>852</v>
      </c>
      <c r="F462">
        <v>81122101</v>
      </c>
      <c r="G462">
        <v>52121402</v>
      </c>
      <c r="H462" s="27">
        <v>50000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6">
        <v>0</v>
      </c>
      <c r="R462" s="6">
        <v>0</v>
      </c>
      <c r="S462" s="6">
        <v>0</v>
      </c>
      <c r="T462" s="6">
        <v>0</v>
      </c>
      <c r="U462" s="6">
        <f t="shared" si="8"/>
        <v>0</v>
      </c>
    </row>
    <row r="463" spans="2:21" x14ac:dyDescent="0.35">
      <c r="B463" t="s">
        <v>1275</v>
      </c>
      <c r="C463" t="s">
        <v>1277</v>
      </c>
      <c r="D463" t="s">
        <v>106</v>
      </c>
      <c r="E463" s="35" t="s">
        <v>6</v>
      </c>
      <c r="F463">
        <v>90122101</v>
      </c>
      <c r="G463">
        <v>52121402</v>
      </c>
      <c r="H463" s="27">
        <v>0</v>
      </c>
      <c r="I463" s="10">
        <v>0</v>
      </c>
      <c r="J463" s="10">
        <v>0</v>
      </c>
      <c r="K463" s="10">
        <v>0</v>
      </c>
      <c r="L463" s="10">
        <v>-5812.3000000000011</v>
      </c>
      <c r="M463" s="10">
        <v>0</v>
      </c>
      <c r="N463" s="10">
        <v>0</v>
      </c>
      <c r="O463" s="10">
        <v>0</v>
      </c>
      <c r="P463" s="10">
        <v>0</v>
      </c>
      <c r="Q463" s="6">
        <v>0</v>
      </c>
      <c r="R463" s="6">
        <v>0</v>
      </c>
      <c r="S463" s="6">
        <v>0</v>
      </c>
      <c r="T463" s="6">
        <v>0</v>
      </c>
      <c r="U463" s="6">
        <f t="shared" si="8"/>
        <v>-5812.3000000000011</v>
      </c>
    </row>
    <row r="464" spans="2:21" x14ac:dyDescent="0.35">
      <c r="B464" t="s">
        <v>1275</v>
      </c>
      <c r="C464" t="s">
        <v>1277</v>
      </c>
      <c r="D464" t="s">
        <v>106</v>
      </c>
      <c r="E464" s="3" t="s">
        <v>854</v>
      </c>
      <c r="F464">
        <v>81122101</v>
      </c>
      <c r="G464">
        <v>52121402</v>
      </c>
      <c r="H464" s="27">
        <v>150000</v>
      </c>
      <c r="I464" s="10">
        <v>0</v>
      </c>
      <c r="J464" s="10">
        <v>0</v>
      </c>
      <c r="K464" s="10">
        <v>0</v>
      </c>
      <c r="L464" s="10">
        <v>0</v>
      </c>
      <c r="M464" s="6"/>
      <c r="N464" s="10">
        <v>0</v>
      </c>
      <c r="O464" s="10">
        <v>0</v>
      </c>
      <c r="P464" s="10">
        <v>0</v>
      </c>
      <c r="Q464" s="6">
        <v>0</v>
      </c>
      <c r="R464" s="6"/>
      <c r="S464" s="6">
        <v>200000</v>
      </c>
      <c r="T464" s="6"/>
      <c r="U464" s="6">
        <f t="shared" si="8"/>
        <v>200000</v>
      </c>
    </row>
    <row r="465" spans="2:21" x14ac:dyDescent="0.35">
      <c r="B465" t="s">
        <v>1275</v>
      </c>
      <c r="C465" t="s">
        <v>1277</v>
      </c>
      <c r="D465" s="37" t="s">
        <v>1263</v>
      </c>
      <c r="E465" s="37" t="s">
        <v>1263</v>
      </c>
      <c r="F465">
        <v>90122101</v>
      </c>
      <c r="G465">
        <v>61111101</v>
      </c>
      <c r="H465" s="27">
        <v>0</v>
      </c>
      <c r="K465" s="10">
        <v>120</v>
      </c>
      <c r="L465" s="10">
        <v>-120</v>
      </c>
      <c r="M465" s="6"/>
      <c r="N465" s="10">
        <v>0</v>
      </c>
      <c r="O465" s="10">
        <v>0</v>
      </c>
      <c r="P465" s="10">
        <v>0</v>
      </c>
      <c r="Q465" s="6"/>
      <c r="R465" s="6"/>
      <c r="S465" s="6"/>
      <c r="T465" s="6"/>
      <c r="U465" s="6">
        <f t="shared" si="8"/>
        <v>0</v>
      </c>
    </row>
    <row r="466" spans="2:21" x14ac:dyDescent="0.35">
      <c r="B466" t="s">
        <v>1275</v>
      </c>
      <c r="C466" t="s">
        <v>1277</v>
      </c>
      <c r="D466" s="37" t="s">
        <v>508</v>
      </c>
      <c r="E466" t="s">
        <v>744</v>
      </c>
      <c r="F466">
        <v>80111101</v>
      </c>
      <c r="G466">
        <v>61021403</v>
      </c>
      <c r="H466" s="27">
        <v>0</v>
      </c>
      <c r="I466" s="10">
        <v>0</v>
      </c>
      <c r="J466" s="10">
        <v>0</v>
      </c>
      <c r="K466" s="10">
        <v>-141366.07</v>
      </c>
      <c r="L466" s="10">
        <v>0</v>
      </c>
      <c r="M466" s="6"/>
      <c r="N466" s="10">
        <v>0</v>
      </c>
      <c r="O466" s="10">
        <v>0</v>
      </c>
      <c r="P466" s="10">
        <v>0</v>
      </c>
      <c r="Q466" s="6"/>
      <c r="R466" s="6"/>
      <c r="S466" s="6"/>
      <c r="T466" s="6"/>
      <c r="U466" s="6">
        <f t="shared" si="8"/>
        <v>-141366.07</v>
      </c>
    </row>
    <row r="467" spans="2:21" x14ac:dyDescent="0.35">
      <c r="B467" t="s">
        <v>1275</v>
      </c>
      <c r="C467" t="s">
        <v>1277</v>
      </c>
      <c r="D467" t="s">
        <v>7</v>
      </c>
      <c r="E467" s="2" t="s">
        <v>6</v>
      </c>
      <c r="F467" s="2">
        <v>90311101</v>
      </c>
      <c r="G467" s="2">
        <v>52121402</v>
      </c>
      <c r="H467" s="27">
        <v>0</v>
      </c>
      <c r="I467" s="10">
        <v>0</v>
      </c>
      <c r="J467" s="10">
        <v>0</v>
      </c>
      <c r="K467" s="10">
        <v>0</v>
      </c>
      <c r="L467" s="10">
        <v>-874</v>
      </c>
      <c r="M467" s="6"/>
      <c r="N467" s="10">
        <v>0</v>
      </c>
      <c r="O467" s="10">
        <v>0</v>
      </c>
      <c r="P467" s="10">
        <v>0</v>
      </c>
      <c r="Q467" s="6"/>
      <c r="R467" s="6"/>
      <c r="S467" s="6"/>
      <c r="T467" s="6"/>
      <c r="U467" s="6">
        <f t="shared" si="8"/>
        <v>-874</v>
      </c>
    </row>
    <row r="468" spans="2:21" x14ac:dyDescent="0.35">
      <c r="B468" t="s">
        <v>1275</v>
      </c>
      <c r="C468" t="s">
        <v>117</v>
      </c>
      <c r="D468" t="s">
        <v>117</v>
      </c>
      <c r="E468" s="2" t="s">
        <v>118</v>
      </c>
      <c r="F468">
        <v>90122101</v>
      </c>
      <c r="G468">
        <v>52121502</v>
      </c>
      <c r="H468" s="27">
        <v>288865.86501076585</v>
      </c>
      <c r="I468" s="10">
        <v>39232</v>
      </c>
      <c r="J468" s="10">
        <v>11500</v>
      </c>
      <c r="K468" s="10">
        <v>0</v>
      </c>
      <c r="L468" s="10">
        <v>0</v>
      </c>
      <c r="M468" s="10">
        <v>0</v>
      </c>
      <c r="N468" s="10">
        <v>15000</v>
      </c>
      <c r="O468" s="10">
        <v>0</v>
      </c>
      <c r="P468" s="10">
        <v>0</v>
      </c>
      <c r="Q468" s="6"/>
      <c r="R468" s="6"/>
      <c r="S468" s="6"/>
      <c r="T468" s="6">
        <v>250000</v>
      </c>
      <c r="U468" s="6">
        <f t="shared" si="8"/>
        <v>315732</v>
      </c>
    </row>
    <row r="469" spans="2:21" x14ac:dyDescent="0.35">
      <c r="B469" t="s">
        <v>1275</v>
      </c>
      <c r="C469" t="s">
        <v>117</v>
      </c>
      <c r="D469" t="s">
        <v>117</v>
      </c>
      <c r="E469" s="2" t="s">
        <v>118</v>
      </c>
      <c r="F469">
        <v>81122101</v>
      </c>
      <c r="G469">
        <v>52121502</v>
      </c>
      <c r="H469" s="27">
        <v>86659.759503229725</v>
      </c>
      <c r="I469" s="10">
        <v>0</v>
      </c>
      <c r="J469" s="10">
        <v>0</v>
      </c>
      <c r="K469" s="10">
        <v>8000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6">
        <v>4500</v>
      </c>
      <c r="R469" s="6"/>
      <c r="S469" s="6"/>
      <c r="T469" s="6"/>
      <c r="U469" s="6">
        <f t="shared" si="8"/>
        <v>12500</v>
      </c>
    </row>
    <row r="470" spans="2:21" x14ac:dyDescent="0.35">
      <c r="B470" t="s">
        <v>1275</v>
      </c>
      <c r="C470" t="s">
        <v>117</v>
      </c>
      <c r="D470" t="s">
        <v>117</v>
      </c>
      <c r="E470" s="2" t="s">
        <v>118</v>
      </c>
      <c r="F470">
        <v>80122101</v>
      </c>
      <c r="G470">
        <v>61021502</v>
      </c>
      <c r="H470" s="27">
        <v>57773.173002153111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6"/>
      <c r="R470" s="6"/>
      <c r="S470" s="6"/>
      <c r="T470" s="6"/>
      <c r="U470" s="6">
        <f t="shared" si="8"/>
        <v>0</v>
      </c>
    </row>
    <row r="471" spans="2:21" x14ac:dyDescent="0.35">
      <c r="B471" t="s">
        <v>1275</v>
      </c>
      <c r="C471" t="s">
        <v>117</v>
      </c>
      <c r="D471" t="s">
        <v>117</v>
      </c>
      <c r="E471" t="s">
        <v>865</v>
      </c>
      <c r="F471">
        <v>90122101</v>
      </c>
      <c r="G471">
        <v>52121502</v>
      </c>
      <c r="H471" s="27">
        <v>231092.69200861244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6"/>
      <c r="R471" s="6"/>
      <c r="S471" s="6"/>
      <c r="T471" s="6"/>
      <c r="U471" s="6">
        <f t="shared" si="8"/>
        <v>0</v>
      </c>
    </row>
    <row r="472" spans="2:21" x14ac:dyDescent="0.35">
      <c r="B472" t="s">
        <v>1275</v>
      </c>
      <c r="C472" t="s">
        <v>117</v>
      </c>
      <c r="D472" t="s">
        <v>117</v>
      </c>
      <c r="E472" t="s">
        <v>865</v>
      </c>
      <c r="F472">
        <v>81122101</v>
      </c>
      <c r="G472">
        <v>52121502</v>
      </c>
      <c r="H472" s="27">
        <v>86659.759503229725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6">
        <v>0</v>
      </c>
      <c r="R472" s="6"/>
      <c r="S472" s="6"/>
      <c r="T472" s="6"/>
      <c r="U472" s="6">
        <f t="shared" si="8"/>
        <v>0</v>
      </c>
    </row>
    <row r="473" spans="2:21" x14ac:dyDescent="0.35">
      <c r="B473" t="s">
        <v>1275</v>
      </c>
      <c r="C473" t="s">
        <v>117</v>
      </c>
      <c r="D473" t="s">
        <v>117</v>
      </c>
      <c r="E473" t="s">
        <v>865</v>
      </c>
      <c r="F473">
        <v>80122101</v>
      </c>
      <c r="G473">
        <v>61021502</v>
      </c>
      <c r="H473" s="27">
        <v>57773.173002153111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6"/>
      <c r="R473" s="6"/>
      <c r="S473" s="6"/>
      <c r="T473" s="6"/>
      <c r="U473" s="6">
        <f t="shared" si="8"/>
        <v>0</v>
      </c>
    </row>
    <row r="474" spans="2:21" x14ac:dyDescent="0.35">
      <c r="B474" t="s">
        <v>1275</v>
      </c>
      <c r="C474" t="s">
        <v>117</v>
      </c>
      <c r="D474" t="s">
        <v>117</v>
      </c>
      <c r="E474" t="s">
        <v>866</v>
      </c>
      <c r="F474">
        <v>90122101</v>
      </c>
      <c r="G474">
        <v>52121502</v>
      </c>
      <c r="H474" s="27">
        <v>86659.759503229725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6"/>
      <c r="R474" s="6"/>
      <c r="S474" s="6"/>
      <c r="T474" s="6"/>
      <c r="U474" s="6">
        <f t="shared" si="8"/>
        <v>0</v>
      </c>
    </row>
    <row r="475" spans="2:21" x14ac:dyDescent="0.35">
      <c r="B475" t="s">
        <v>1275</v>
      </c>
      <c r="C475" t="s">
        <v>117</v>
      </c>
      <c r="D475" t="s">
        <v>117</v>
      </c>
      <c r="E475" t="s">
        <v>866</v>
      </c>
      <c r="F475">
        <v>81122101</v>
      </c>
      <c r="G475">
        <v>52121502</v>
      </c>
      <c r="H475" s="27">
        <v>8665.9759503229616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6">
        <v>0</v>
      </c>
      <c r="R475" s="6"/>
      <c r="S475" s="6"/>
      <c r="T475" s="6"/>
      <c r="U475" s="6">
        <f t="shared" si="8"/>
        <v>0</v>
      </c>
    </row>
    <row r="476" spans="2:21" x14ac:dyDescent="0.35">
      <c r="B476" t="s">
        <v>1275</v>
      </c>
      <c r="C476" t="s">
        <v>117</v>
      </c>
      <c r="D476" t="s">
        <v>117</v>
      </c>
      <c r="E476" t="s">
        <v>866</v>
      </c>
      <c r="F476">
        <v>80122101</v>
      </c>
      <c r="G476">
        <v>61021502</v>
      </c>
      <c r="H476" s="27">
        <v>8665.9759503229616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6"/>
      <c r="R476" s="6"/>
      <c r="S476" s="6"/>
      <c r="T476" s="6"/>
      <c r="U476" s="6">
        <f t="shared" si="8"/>
        <v>0</v>
      </c>
    </row>
    <row r="477" spans="2:21" x14ac:dyDescent="0.35">
      <c r="B477" t="s">
        <v>1275</v>
      </c>
      <c r="C477" t="s">
        <v>117</v>
      </c>
      <c r="D477" t="s">
        <v>117</v>
      </c>
      <c r="E477" t="s">
        <v>1241</v>
      </c>
      <c r="F477">
        <v>81122101</v>
      </c>
      <c r="G477">
        <v>52121502</v>
      </c>
      <c r="H477" s="27">
        <v>187762.81225699763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6">
        <v>0</v>
      </c>
      <c r="R477" s="6"/>
      <c r="S477" s="6"/>
      <c r="T477" s="6"/>
      <c r="U477" s="6">
        <f t="shared" si="8"/>
        <v>0</v>
      </c>
    </row>
    <row r="478" spans="2:21" x14ac:dyDescent="0.35">
      <c r="B478" t="s">
        <v>1275</v>
      </c>
      <c r="C478" t="s">
        <v>117</v>
      </c>
      <c r="D478" t="s">
        <v>117</v>
      </c>
      <c r="E478" t="s">
        <v>868</v>
      </c>
      <c r="F478">
        <v>81122101</v>
      </c>
      <c r="G478">
        <v>52121502</v>
      </c>
      <c r="H478" s="27">
        <v>115546.34600430622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6">
        <v>0</v>
      </c>
      <c r="R478" s="6"/>
      <c r="S478" s="6"/>
      <c r="T478" s="6"/>
      <c r="U478" s="6">
        <f t="shared" si="8"/>
        <v>0</v>
      </c>
    </row>
    <row r="479" spans="2:21" x14ac:dyDescent="0.35">
      <c r="B479" t="s">
        <v>1275</v>
      </c>
      <c r="C479" t="s">
        <v>117</v>
      </c>
      <c r="D479" t="s">
        <v>117</v>
      </c>
      <c r="E479" t="s">
        <v>869</v>
      </c>
      <c r="F479">
        <v>81122101</v>
      </c>
      <c r="G479">
        <v>52121502</v>
      </c>
      <c r="H479" s="27">
        <v>6932.7807602583744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6">
        <v>0</v>
      </c>
      <c r="R479" s="6"/>
      <c r="S479" s="6"/>
      <c r="T479" s="6"/>
      <c r="U479" s="6">
        <f t="shared" si="8"/>
        <v>0</v>
      </c>
    </row>
    <row r="480" spans="2:21" x14ac:dyDescent="0.35">
      <c r="B480" t="s">
        <v>1275</v>
      </c>
      <c r="C480" t="s">
        <v>117</v>
      </c>
      <c r="D480" t="s">
        <v>124</v>
      </c>
      <c r="E480" t="s">
        <v>130</v>
      </c>
      <c r="F480">
        <v>90122101</v>
      </c>
      <c r="G480">
        <v>52121502</v>
      </c>
      <c r="H480" s="27">
        <v>14443.293250538278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6"/>
      <c r="R480" s="6"/>
      <c r="S480" s="6"/>
      <c r="T480" s="6"/>
      <c r="U480" s="6">
        <f t="shared" si="8"/>
        <v>0</v>
      </c>
    </row>
    <row r="481" spans="2:21" x14ac:dyDescent="0.35">
      <c r="B481" t="s">
        <v>1275</v>
      </c>
      <c r="C481" t="s">
        <v>120</v>
      </c>
      <c r="D481" t="s">
        <v>119</v>
      </c>
      <c r="E481" t="s">
        <v>120</v>
      </c>
      <c r="F481">
        <v>80111101</v>
      </c>
      <c r="G481">
        <v>61021314</v>
      </c>
      <c r="H481" s="27">
        <v>249258.9803983233</v>
      </c>
      <c r="I481" s="10">
        <v>0</v>
      </c>
      <c r="J481" s="10">
        <v>0</v>
      </c>
      <c r="K481" s="10">
        <v>0</v>
      </c>
      <c r="L481" s="10">
        <v>0</v>
      </c>
      <c r="M481" s="10">
        <v>51868.89</v>
      </c>
      <c r="N481" s="10">
        <v>0</v>
      </c>
      <c r="O481" s="10">
        <v>0</v>
      </c>
      <c r="P481" s="10">
        <v>68006.720000000001</v>
      </c>
      <c r="Q481" s="6">
        <v>0</v>
      </c>
      <c r="R481" s="6">
        <v>68006.720000000001</v>
      </c>
      <c r="S481" s="6"/>
      <c r="T481" s="6">
        <v>55000</v>
      </c>
      <c r="U481" s="6">
        <f t="shared" si="8"/>
        <v>242882.33000000002</v>
      </c>
    </row>
    <row r="482" spans="2:21" x14ac:dyDescent="0.35">
      <c r="B482" t="s">
        <v>1275</v>
      </c>
      <c r="C482" t="s">
        <v>120</v>
      </c>
      <c r="D482" t="s">
        <v>119</v>
      </c>
      <c r="E482" t="s">
        <v>120</v>
      </c>
      <c r="F482">
        <v>90111101</v>
      </c>
      <c r="G482">
        <v>52121313</v>
      </c>
      <c r="H482" s="27">
        <v>3513494.776507712</v>
      </c>
      <c r="I482" s="10">
        <v>0</v>
      </c>
      <c r="J482" s="10">
        <v>0</v>
      </c>
      <c r="K482" s="10">
        <v>1051640.8500000001</v>
      </c>
      <c r="L482" s="10">
        <v>136398</v>
      </c>
      <c r="M482" s="10">
        <v>0.47999999998137355</v>
      </c>
      <c r="N482" s="10">
        <v>1051640.8500000001</v>
      </c>
      <c r="O482" s="10">
        <v>0</v>
      </c>
      <c r="P482" s="10">
        <v>166681.55999999982</v>
      </c>
      <c r="Q482" s="6">
        <v>0</v>
      </c>
      <c r="R482" s="6">
        <v>1218322.4099999999</v>
      </c>
      <c r="S482" s="6"/>
      <c r="T482" s="6">
        <v>1200000</v>
      </c>
      <c r="U482" s="6">
        <f t="shared" si="8"/>
        <v>4824684.1500000004</v>
      </c>
    </row>
    <row r="483" spans="2:21" x14ac:dyDescent="0.35">
      <c r="B483" t="s">
        <v>1275</v>
      </c>
      <c r="C483" t="s">
        <v>120</v>
      </c>
      <c r="D483" t="s">
        <v>119</v>
      </c>
      <c r="E483" t="s">
        <v>120</v>
      </c>
      <c r="F483">
        <v>81111101</v>
      </c>
      <c r="G483">
        <v>52121313</v>
      </c>
      <c r="H483" s="27">
        <v>564016.67097430828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97568.11</v>
      </c>
      <c r="O483" s="10">
        <v>0</v>
      </c>
      <c r="P483" s="10">
        <v>112274.64</v>
      </c>
      <c r="Q483" s="6">
        <v>0</v>
      </c>
      <c r="R483" s="6">
        <v>209842.75</v>
      </c>
      <c r="S483" s="6"/>
      <c r="T483" s="6">
        <v>141004.16774357707</v>
      </c>
      <c r="U483" s="6">
        <f t="shared" si="8"/>
        <v>560689.66774357704</v>
      </c>
    </row>
    <row r="484" spans="2:21" x14ac:dyDescent="0.35">
      <c r="B484" t="s">
        <v>1275</v>
      </c>
      <c r="C484" t="s">
        <v>120</v>
      </c>
      <c r="D484" s="37" t="s">
        <v>1263</v>
      </c>
      <c r="E484" s="37" t="s">
        <v>1263</v>
      </c>
      <c r="F484">
        <v>81111101</v>
      </c>
      <c r="G484">
        <v>52121313</v>
      </c>
      <c r="H484" s="27">
        <v>0</v>
      </c>
      <c r="K484" s="10">
        <v>0</v>
      </c>
      <c r="L484" s="10">
        <v>0</v>
      </c>
      <c r="M484" s="6"/>
      <c r="N484" s="10">
        <v>0</v>
      </c>
      <c r="O484" s="10">
        <v>0</v>
      </c>
      <c r="P484" s="10">
        <v>0</v>
      </c>
      <c r="Q484" s="6">
        <v>0</v>
      </c>
      <c r="R484" s="6">
        <v>0</v>
      </c>
      <c r="S484" s="6"/>
      <c r="T484" s="6"/>
      <c r="U484" s="6">
        <f t="shared" si="8"/>
        <v>0</v>
      </c>
    </row>
    <row r="485" spans="2:21" x14ac:dyDescent="0.35">
      <c r="B485" t="s">
        <v>1270</v>
      </c>
      <c r="C485" t="s">
        <v>40</v>
      </c>
      <c r="D485" t="s">
        <v>40</v>
      </c>
      <c r="E485" t="s">
        <v>40</v>
      </c>
      <c r="F485">
        <v>81123102</v>
      </c>
      <c r="G485">
        <v>52041405</v>
      </c>
      <c r="H485" s="27">
        <v>86724.886500000008</v>
      </c>
      <c r="I485" s="10">
        <v>0</v>
      </c>
      <c r="J485" s="10">
        <v>0</v>
      </c>
      <c r="K485" s="6"/>
      <c r="L485" s="10">
        <v>0</v>
      </c>
      <c r="M485" s="6"/>
      <c r="N485" s="10">
        <v>0</v>
      </c>
      <c r="O485" s="10">
        <v>0</v>
      </c>
      <c r="P485" s="10">
        <v>0</v>
      </c>
      <c r="Q485" s="6">
        <v>0</v>
      </c>
      <c r="R485" s="6"/>
      <c r="S485" s="6"/>
      <c r="T485" s="6"/>
      <c r="U485" s="6">
        <f t="shared" si="8"/>
        <v>0</v>
      </c>
    </row>
    <row r="486" spans="2:21" x14ac:dyDescent="0.35">
      <c r="B486" t="s">
        <v>1270</v>
      </c>
      <c r="C486" t="s">
        <v>40</v>
      </c>
      <c r="D486" t="s">
        <v>40</v>
      </c>
      <c r="E486" t="s">
        <v>40</v>
      </c>
      <c r="F486">
        <v>81123102</v>
      </c>
      <c r="G486">
        <v>52041405</v>
      </c>
      <c r="H486" s="27">
        <v>72817.473960000003</v>
      </c>
      <c r="I486" s="10">
        <v>0</v>
      </c>
      <c r="J486" s="10">
        <v>0</v>
      </c>
      <c r="K486" s="6"/>
      <c r="L486" s="10">
        <v>0</v>
      </c>
      <c r="M486" s="6"/>
      <c r="N486" s="10">
        <v>0</v>
      </c>
      <c r="O486" s="10">
        <v>0</v>
      </c>
      <c r="P486" s="10">
        <v>0</v>
      </c>
      <c r="Q486" s="6">
        <v>0</v>
      </c>
      <c r="R486" s="6"/>
      <c r="S486" s="6"/>
      <c r="T486" s="6"/>
      <c r="U486" s="6">
        <f t="shared" si="8"/>
        <v>0</v>
      </c>
    </row>
    <row r="487" spans="2:21" x14ac:dyDescent="0.35">
      <c r="B487" t="s">
        <v>1271</v>
      </c>
      <c r="C487" t="s">
        <v>1272</v>
      </c>
      <c r="D487" t="s">
        <v>93</v>
      </c>
      <c r="E487" s="2" t="s">
        <v>121</v>
      </c>
      <c r="F487">
        <v>90122101</v>
      </c>
      <c r="G487">
        <v>52071104</v>
      </c>
      <c r="H487" s="27">
        <v>842000</v>
      </c>
      <c r="I487" s="10">
        <v>0</v>
      </c>
      <c r="J487" s="10">
        <v>12000</v>
      </c>
      <c r="K487" s="10">
        <v>12000</v>
      </c>
      <c r="L487" s="10">
        <v>16600</v>
      </c>
      <c r="M487" s="10">
        <v>16400</v>
      </c>
      <c r="N487" s="10">
        <v>12000</v>
      </c>
      <c r="O487" s="10">
        <v>12000</v>
      </c>
      <c r="P487" s="10">
        <v>12000</v>
      </c>
      <c r="Q487" s="6">
        <v>12000</v>
      </c>
      <c r="R487" s="6">
        <v>12000</v>
      </c>
      <c r="S487" s="6">
        <v>12000</v>
      </c>
      <c r="T487" s="6">
        <v>12000</v>
      </c>
      <c r="U487" s="6">
        <f t="shared" si="8"/>
        <v>141000</v>
      </c>
    </row>
    <row r="488" spans="2:21" x14ac:dyDescent="0.35">
      <c r="B488" t="s">
        <v>1271</v>
      </c>
      <c r="C488" t="s">
        <v>1272</v>
      </c>
      <c r="D488" t="s">
        <v>93</v>
      </c>
      <c r="E488" s="2" t="s">
        <v>121</v>
      </c>
      <c r="F488">
        <v>90122101</v>
      </c>
      <c r="G488">
        <v>52071104</v>
      </c>
      <c r="H488" s="27">
        <v>240000</v>
      </c>
      <c r="I488" s="10">
        <v>0</v>
      </c>
      <c r="J488" s="10">
        <v>0</v>
      </c>
      <c r="K488" s="6"/>
      <c r="L488" s="10">
        <v>0</v>
      </c>
      <c r="M488" s="6"/>
      <c r="N488" s="10">
        <v>0</v>
      </c>
      <c r="O488" s="10">
        <v>0</v>
      </c>
      <c r="P488" s="10">
        <v>0</v>
      </c>
      <c r="Q488" s="6"/>
      <c r="R488" s="6"/>
      <c r="S488" s="6"/>
      <c r="T488" s="6"/>
      <c r="U488" s="6">
        <f t="shared" si="8"/>
        <v>0</v>
      </c>
    </row>
    <row r="489" spans="2:21" x14ac:dyDescent="0.35">
      <c r="B489" t="s">
        <v>1271</v>
      </c>
      <c r="C489" t="s">
        <v>1272</v>
      </c>
      <c r="D489" t="s">
        <v>93</v>
      </c>
      <c r="E489" s="2" t="s">
        <v>121</v>
      </c>
      <c r="F489" s="2">
        <v>90122101</v>
      </c>
      <c r="G489" s="2">
        <v>52071104</v>
      </c>
      <c r="H489" s="27">
        <v>0</v>
      </c>
      <c r="J489" s="10">
        <v>315846.84999999998</v>
      </c>
      <c r="K489" s="10">
        <v>0</v>
      </c>
      <c r="L489" s="10">
        <v>0</v>
      </c>
      <c r="M489" s="6"/>
      <c r="N489" s="10">
        <v>0</v>
      </c>
      <c r="O489" s="10">
        <v>0</v>
      </c>
      <c r="P489" s="10">
        <v>0</v>
      </c>
      <c r="Q489" s="6"/>
      <c r="R489" s="6"/>
      <c r="S489" s="6"/>
      <c r="T489" s="6"/>
      <c r="U489" s="6">
        <f t="shared" si="8"/>
        <v>315846.84999999998</v>
      </c>
    </row>
    <row r="490" spans="2:21" x14ac:dyDescent="0.35">
      <c r="B490" t="s">
        <v>1271</v>
      </c>
      <c r="C490" t="s">
        <v>1272</v>
      </c>
      <c r="D490" t="s">
        <v>889</v>
      </c>
      <c r="E490" s="2" t="s">
        <v>123</v>
      </c>
      <c r="F490">
        <v>81122101</v>
      </c>
      <c r="G490">
        <v>52071104</v>
      </c>
      <c r="H490" s="27">
        <v>8400000</v>
      </c>
      <c r="I490" s="10">
        <v>514038.93</v>
      </c>
      <c r="J490" s="10">
        <v>521069.46</v>
      </c>
      <c r="K490" s="10">
        <v>523038.93</v>
      </c>
      <c r="L490" s="10">
        <v>513008.39</v>
      </c>
      <c r="M490" s="10">
        <v>685588.54999999993</v>
      </c>
      <c r="N490" s="10">
        <v>657347.32000000007</v>
      </c>
      <c r="O490" s="10">
        <v>1121347.3299999998</v>
      </c>
      <c r="P490" s="10">
        <v>1077538.93</v>
      </c>
      <c r="Q490" s="6">
        <v>1007303.0499999999</v>
      </c>
      <c r="R490" s="6">
        <v>1100000</v>
      </c>
      <c r="S490" s="6">
        <v>1100000</v>
      </c>
      <c r="T490" s="6">
        <v>1100000</v>
      </c>
      <c r="U490" s="6">
        <f t="shared" si="8"/>
        <v>9920280.8900000006</v>
      </c>
    </row>
    <row r="491" spans="2:21" x14ac:dyDescent="0.35">
      <c r="B491" t="s">
        <v>1271</v>
      </c>
      <c r="C491" t="s">
        <v>1272</v>
      </c>
      <c r="D491" s="37" t="s">
        <v>93</v>
      </c>
      <c r="E491" s="2" t="s">
        <v>887</v>
      </c>
      <c r="F491">
        <v>81122101</v>
      </c>
      <c r="G491">
        <v>52071104</v>
      </c>
      <c r="H491" s="27">
        <v>0</v>
      </c>
      <c r="J491" s="10">
        <v>58946.559999999998</v>
      </c>
      <c r="K491" s="10">
        <v>0</v>
      </c>
      <c r="L491" s="10">
        <v>0</v>
      </c>
      <c r="M491" s="6"/>
      <c r="N491" s="10">
        <v>0</v>
      </c>
      <c r="O491" s="10">
        <v>0</v>
      </c>
      <c r="P491" s="10">
        <v>0</v>
      </c>
      <c r="Q491" s="6"/>
      <c r="R491" s="6"/>
      <c r="S491" s="6"/>
      <c r="T491" s="6"/>
      <c r="U491" s="6">
        <f t="shared" si="8"/>
        <v>58946.559999999998</v>
      </c>
    </row>
    <row r="492" spans="2:21" x14ac:dyDescent="0.35">
      <c r="B492" t="s">
        <v>1271</v>
      </c>
      <c r="C492" t="s">
        <v>889</v>
      </c>
      <c r="D492" t="s">
        <v>889</v>
      </c>
      <c r="E492" s="2" t="s">
        <v>123</v>
      </c>
      <c r="F492">
        <v>90122101</v>
      </c>
      <c r="G492">
        <v>52071104</v>
      </c>
      <c r="H492" s="27">
        <v>37000000</v>
      </c>
      <c r="I492" s="10">
        <v>2599422.79</v>
      </c>
      <c r="J492" s="10">
        <v>2599422.79</v>
      </c>
      <c r="K492" s="10">
        <v>2969716.91</v>
      </c>
      <c r="L492" s="10">
        <v>2599422.79</v>
      </c>
      <c r="M492" s="10">
        <v>2011187.5</v>
      </c>
      <c r="N492" s="10">
        <v>2011187.5</v>
      </c>
      <c r="O492" s="10">
        <v>2011187.5</v>
      </c>
      <c r="P492" s="10">
        <v>2084871.72</v>
      </c>
      <c r="Q492" s="6">
        <v>2011187.5</v>
      </c>
      <c r="R492" s="6">
        <v>2100000</v>
      </c>
      <c r="S492" s="6">
        <v>2100000</v>
      </c>
      <c r="T492" s="6">
        <v>2415000</v>
      </c>
      <c r="U492" s="6">
        <f t="shared" si="8"/>
        <v>27512607</v>
      </c>
    </row>
    <row r="493" spans="2:21" x14ac:dyDescent="0.35">
      <c r="B493" t="s">
        <v>6</v>
      </c>
      <c r="C493" t="s">
        <v>7</v>
      </c>
      <c r="D493" t="s">
        <v>124</v>
      </c>
      <c r="E493" t="s">
        <v>891</v>
      </c>
      <c r="F493">
        <v>81122101</v>
      </c>
      <c r="G493">
        <v>52952101</v>
      </c>
      <c r="H493" s="27">
        <v>15000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6">
        <v>0</v>
      </c>
      <c r="R493" s="6"/>
      <c r="S493" s="6"/>
      <c r="T493" s="6"/>
      <c r="U493" s="6">
        <f t="shared" si="8"/>
        <v>0</v>
      </c>
    </row>
    <row r="494" spans="2:21" x14ac:dyDescent="0.35">
      <c r="B494" t="s">
        <v>6</v>
      </c>
      <c r="C494" t="s">
        <v>7</v>
      </c>
      <c r="D494" t="s">
        <v>124</v>
      </c>
      <c r="E494" s="2" t="s">
        <v>1259</v>
      </c>
      <c r="F494">
        <v>81122101</v>
      </c>
      <c r="G494">
        <v>52952101</v>
      </c>
      <c r="H494" s="27">
        <v>75000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530</v>
      </c>
      <c r="P494" s="10">
        <v>0</v>
      </c>
      <c r="Q494" s="6">
        <v>0</v>
      </c>
      <c r="R494" s="6"/>
      <c r="S494" s="6"/>
      <c r="T494" s="6"/>
      <c r="U494" s="6">
        <f t="shared" si="8"/>
        <v>530</v>
      </c>
    </row>
    <row r="495" spans="2:21" x14ac:dyDescent="0.35">
      <c r="B495" t="s">
        <v>6</v>
      </c>
      <c r="C495" t="s">
        <v>7</v>
      </c>
      <c r="D495" t="s">
        <v>124</v>
      </c>
      <c r="E495" t="s">
        <v>894</v>
      </c>
      <c r="F495">
        <v>90122101</v>
      </c>
      <c r="G495">
        <v>52952101</v>
      </c>
      <c r="H495" s="27">
        <v>20000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6"/>
      <c r="R495" s="6"/>
      <c r="S495" s="6"/>
      <c r="T495" s="6"/>
      <c r="U495" s="6">
        <f t="shared" si="8"/>
        <v>0</v>
      </c>
    </row>
    <row r="496" spans="2:21" x14ac:dyDescent="0.35">
      <c r="B496" t="s">
        <v>6</v>
      </c>
      <c r="C496" t="s">
        <v>7</v>
      </c>
      <c r="D496" t="s">
        <v>124</v>
      </c>
      <c r="E496" s="2" t="s">
        <v>126</v>
      </c>
      <c r="F496">
        <v>90122101</v>
      </c>
      <c r="G496">
        <v>61711101</v>
      </c>
      <c r="H496" s="27">
        <v>18000</v>
      </c>
      <c r="I496" s="10">
        <v>0</v>
      </c>
      <c r="J496" s="10">
        <v>0</v>
      </c>
      <c r="K496" s="10">
        <v>0</v>
      </c>
      <c r="L496" s="10">
        <v>0</v>
      </c>
      <c r="M496" s="10">
        <v>450</v>
      </c>
      <c r="N496" s="10">
        <v>2200</v>
      </c>
      <c r="O496" s="10">
        <v>0</v>
      </c>
      <c r="P496" s="10">
        <v>0</v>
      </c>
      <c r="Q496" s="6">
        <v>1400</v>
      </c>
      <c r="R496" s="6"/>
      <c r="S496" s="6"/>
      <c r="T496" s="6"/>
      <c r="U496" s="6">
        <f t="shared" si="8"/>
        <v>4050</v>
      </c>
    </row>
    <row r="497" spans="2:21" x14ac:dyDescent="0.35">
      <c r="B497" t="s">
        <v>6</v>
      </c>
      <c r="C497" t="s">
        <v>7</v>
      </c>
      <c r="D497" t="s">
        <v>124</v>
      </c>
      <c r="E497" t="s">
        <v>126</v>
      </c>
      <c r="F497">
        <v>81122101</v>
      </c>
      <c r="G497">
        <v>52952101</v>
      </c>
      <c r="H497" s="27">
        <v>18000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6">
        <v>643</v>
      </c>
      <c r="R497" s="6"/>
      <c r="S497" s="6"/>
      <c r="T497" s="6"/>
      <c r="U497" s="6">
        <f t="shared" si="8"/>
        <v>643</v>
      </c>
    </row>
    <row r="498" spans="2:21" x14ac:dyDescent="0.35">
      <c r="B498" t="s">
        <v>6</v>
      </c>
      <c r="C498" t="s">
        <v>7</v>
      </c>
      <c r="D498" t="s">
        <v>124</v>
      </c>
      <c r="E498" s="2" t="s">
        <v>126</v>
      </c>
      <c r="F498">
        <v>80122101</v>
      </c>
      <c r="G498">
        <v>61711101</v>
      </c>
      <c r="H498" s="27">
        <v>18000</v>
      </c>
      <c r="I498" s="10">
        <v>0</v>
      </c>
      <c r="J498" s="10">
        <v>0</v>
      </c>
      <c r="K498" s="10">
        <v>3628</v>
      </c>
      <c r="L498" s="10">
        <v>0</v>
      </c>
      <c r="M498" s="10">
        <v>0</v>
      </c>
      <c r="N498" s="10">
        <v>530</v>
      </c>
      <c r="O498" s="10">
        <v>1500</v>
      </c>
      <c r="P498" s="10">
        <v>0</v>
      </c>
      <c r="Q498" s="6">
        <v>0</v>
      </c>
      <c r="R498" s="6"/>
      <c r="S498" s="6"/>
      <c r="T498" s="6"/>
      <c r="U498" s="6">
        <f t="shared" si="8"/>
        <v>5658</v>
      </c>
    </row>
    <row r="499" spans="2:21" x14ac:dyDescent="0.35">
      <c r="B499" t="s">
        <v>6</v>
      </c>
      <c r="C499" t="s">
        <v>7</v>
      </c>
      <c r="D499" t="s">
        <v>124</v>
      </c>
      <c r="E499" s="2" t="s">
        <v>1261</v>
      </c>
      <c r="F499">
        <v>90122101</v>
      </c>
      <c r="G499">
        <v>61711101</v>
      </c>
      <c r="H499" s="27">
        <v>20000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21589.29</v>
      </c>
      <c r="P499" s="10">
        <v>0</v>
      </c>
      <c r="Q499" s="6">
        <v>-3500</v>
      </c>
      <c r="R499" s="6"/>
      <c r="S499" s="6"/>
      <c r="T499" s="6"/>
      <c r="U499" s="6">
        <f t="shared" si="8"/>
        <v>18089.29</v>
      </c>
    </row>
    <row r="500" spans="2:21" x14ac:dyDescent="0.35">
      <c r="B500" t="s">
        <v>6</v>
      </c>
      <c r="C500" t="s">
        <v>7</v>
      </c>
      <c r="D500" t="s">
        <v>124</v>
      </c>
      <c r="E500" t="s">
        <v>894</v>
      </c>
      <c r="F500">
        <v>81122101</v>
      </c>
      <c r="G500">
        <v>52952101</v>
      </c>
      <c r="H500" s="27">
        <v>20000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6">
        <v>0</v>
      </c>
      <c r="R500" s="6"/>
      <c r="S500" s="6"/>
      <c r="T500" s="6"/>
      <c r="U500" s="6">
        <f t="shared" si="8"/>
        <v>0</v>
      </c>
    </row>
    <row r="501" spans="2:21" x14ac:dyDescent="0.35">
      <c r="B501" t="s">
        <v>6</v>
      </c>
      <c r="C501" t="s">
        <v>7</v>
      </c>
      <c r="D501" t="s">
        <v>124</v>
      </c>
      <c r="E501" s="2" t="s">
        <v>128</v>
      </c>
      <c r="F501">
        <v>90122101</v>
      </c>
      <c r="G501">
        <v>61711101</v>
      </c>
      <c r="H501" s="27">
        <v>10000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6"/>
      <c r="R501" s="6"/>
      <c r="S501" s="6"/>
      <c r="T501" s="6"/>
      <c r="U501" s="6">
        <f t="shared" si="8"/>
        <v>0</v>
      </c>
    </row>
    <row r="502" spans="2:21" x14ac:dyDescent="0.35">
      <c r="B502" t="s">
        <v>6</v>
      </c>
      <c r="C502" t="s">
        <v>7</v>
      </c>
      <c r="D502" t="s">
        <v>124</v>
      </c>
      <c r="E502" s="2" t="s">
        <v>128</v>
      </c>
      <c r="F502">
        <v>90123101</v>
      </c>
      <c r="G502">
        <v>61711101</v>
      </c>
      <c r="H502" s="27">
        <v>0</v>
      </c>
      <c r="K502" s="10">
        <v>20000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6">
        <v>0</v>
      </c>
      <c r="R502" s="6"/>
      <c r="S502" s="6"/>
      <c r="T502" s="6"/>
      <c r="U502" s="6">
        <f t="shared" si="8"/>
        <v>20000</v>
      </c>
    </row>
    <row r="503" spans="2:21" x14ac:dyDescent="0.35">
      <c r="B503" t="s">
        <v>6</v>
      </c>
      <c r="C503" t="s">
        <v>7</v>
      </c>
      <c r="D503" t="s">
        <v>124</v>
      </c>
      <c r="E503" s="2" t="s">
        <v>129</v>
      </c>
      <c r="F503">
        <v>90122101</v>
      </c>
      <c r="G503">
        <v>61711101</v>
      </c>
      <c r="H503" s="27">
        <v>5000</v>
      </c>
      <c r="I503" s="10">
        <v>0</v>
      </c>
      <c r="J503" s="10">
        <v>0</v>
      </c>
      <c r="K503" s="10">
        <v>0</v>
      </c>
      <c r="L503" s="10">
        <v>0</v>
      </c>
      <c r="M503" s="10">
        <v>660</v>
      </c>
      <c r="N503" s="10">
        <v>0</v>
      </c>
      <c r="O503" s="10">
        <v>0</v>
      </c>
      <c r="P503" s="10">
        <v>0</v>
      </c>
      <c r="Q503" s="6">
        <v>0</v>
      </c>
      <c r="R503" s="6"/>
      <c r="S503" s="6"/>
      <c r="T503" s="6"/>
      <c r="U503" s="6">
        <f t="shared" si="8"/>
        <v>660</v>
      </c>
    </row>
    <row r="504" spans="2:21" x14ac:dyDescent="0.35">
      <c r="B504" t="s">
        <v>6</v>
      </c>
      <c r="C504" t="s">
        <v>7</v>
      </c>
      <c r="D504" t="s">
        <v>124</v>
      </c>
      <c r="E504" s="2" t="s">
        <v>129</v>
      </c>
      <c r="F504">
        <v>90122101</v>
      </c>
      <c r="G504">
        <v>61711101</v>
      </c>
      <c r="H504" s="27">
        <v>5000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6"/>
      <c r="R504" s="6"/>
      <c r="S504" s="6"/>
      <c r="T504" s="6"/>
      <c r="U504" s="6">
        <f t="shared" si="8"/>
        <v>0</v>
      </c>
    </row>
    <row r="505" spans="2:21" x14ac:dyDescent="0.35">
      <c r="B505" t="s">
        <v>6</v>
      </c>
      <c r="C505" t="s">
        <v>7</v>
      </c>
      <c r="D505" t="s">
        <v>124</v>
      </c>
      <c r="E505" s="2" t="s">
        <v>129</v>
      </c>
      <c r="F505">
        <v>90122101</v>
      </c>
      <c r="G505">
        <v>61711101</v>
      </c>
      <c r="H505" s="27">
        <v>5000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6"/>
      <c r="R505" s="6"/>
      <c r="S505" s="6"/>
      <c r="T505" s="6"/>
      <c r="U505" s="6">
        <f t="shared" si="8"/>
        <v>0</v>
      </c>
    </row>
    <row r="506" spans="2:21" x14ac:dyDescent="0.35">
      <c r="B506" t="s">
        <v>6</v>
      </c>
      <c r="C506" t="s">
        <v>7</v>
      </c>
      <c r="D506" t="s">
        <v>96</v>
      </c>
      <c r="E506" s="2" t="s">
        <v>903</v>
      </c>
      <c r="F506">
        <v>81122101</v>
      </c>
      <c r="G506">
        <v>52952101</v>
      </c>
      <c r="H506" s="27">
        <v>9000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6">
        <v>0</v>
      </c>
      <c r="R506" s="6"/>
      <c r="S506" s="6"/>
      <c r="T506" s="6"/>
      <c r="U506" s="6">
        <f t="shared" si="8"/>
        <v>0</v>
      </c>
    </row>
    <row r="507" spans="2:21" x14ac:dyDescent="0.35">
      <c r="B507" t="s">
        <v>6</v>
      </c>
      <c r="C507" t="s">
        <v>7</v>
      </c>
      <c r="D507" t="s">
        <v>124</v>
      </c>
      <c r="E507" s="2" t="s">
        <v>130</v>
      </c>
      <c r="F507">
        <v>90122101</v>
      </c>
      <c r="G507">
        <v>61711101</v>
      </c>
      <c r="H507" s="27">
        <v>15000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13000</v>
      </c>
      <c r="O507" s="10">
        <v>0</v>
      </c>
      <c r="P507" s="10">
        <v>0</v>
      </c>
      <c r="Q507" s="6">
        <v>0</v>
      </c>
      <c r="R507" s="6"/>
      <c r="S507" s="6"/>
      <c r="T507" s="6"/>
      <c r="U507" s="6">
        <f t="shared" si="8"/>
        <v>13000</v>
      </c>
    </row>
    <row r="508" spans="2:21" x14ac:dyDescent="0.35">
      <c r="B508" t="s">
        <v>6</v>
      </c>
      <c r="C508" t="s">
        <v>7</v>
      </c>
      <c r="D508" t="s">
        <v>124</v>
      </c>
      <c r="E508" s="2" t="s">
        <v>131</v>
      </c>
      <c r="F508">
        <v>90122101</v>
      </c>
      <c r="G508">
        <v>61711101</v>
      </c>
      <c r="H508" s="27">
        <v>15000</v>
      </c>
      <c r="I508" s="10">
        <v>10000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6">
        <v>0</v>
      </c>
      <c r="R508" s="6"/>
      <c r="S508" s="6"/>
      <c r="T508" s="6"/>
      <c r="U508" s="6">
        <f t="shared" si="8"/>
        <v>10000</v>
      </c>
    </row>
    <row r="509" spans="2:21" x14ac:dyDescent="0.35">
      <c r="B509" t="s">
        <v>6</v>
      </c>
      <c r="C509" t="s">
        <v>7</v>
      </c>
      <c r="D509" t="s">
        <v>96</v>
      </c>
      <c r="E509" s="3" t="s">
        <v>909</v>
      </c>
      <c r="F509">
        <v>90122101</v>
      </c>
      <c r="G509">
        <v>61711101</v>
      </c>
      <c r="H509" s="27">
        <v>20000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6"/>
      <c r="R509" s="6"/>
      <c r="S509" s="6"/>
      <c r="T509" s="6"/>
      <c r="U509" s="6">
        <f t="shared" si="8"/>
        <v>0</v>
      </c>
    </row>
    <row r="510" spans="2:21" x14ac:dyDescent="0.35">
      <c r="B510" t="s">
        <v>6</v>
      </c>
      <c r="C510" t="s">
        <v>7</v>
      </c>
      <c r="D510" t="s">
        <v>101</v>
      </c>
      <c r="E510" t="s">
        <v>1242</v>
      </c>
      <c r="F510">
        <v>90122101</v>
      </c>
      <c r="G510">
        <v>61711101</v>
      </c>
      <c r="H510" s="27">
        <v>420000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6"/>
      <c r="R510" s="6"/>
      <c r="S510" s="6"/>
      <c r="T510" s="6"/>
      <c r="U510" s="6">
        <f t="shared" si="8"/>
        <v>0</v>
      </c>
    </row>
    <row r="511" spans="2:21" x14ac:dyDescent="0.35">
      <c r="B511" t="s">
        <v>6</v>
      </c>
      <c r="C511" t="s">
        <v>7</v>
      </c>
      <c r="D511" t="s">
        <v>101</v>
      </c>
      <c r="E511" s="2" t="s">
        <v>132</v>
      </c>
      <c r="F511">
        <v>90122101</v>
      </c>
      <c r="G511">
        <v>61711101</v>
      </c>
      <c r="H511" s="27">
        <v>420000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6"/>
      <c r="R511" s="6"/>
      <c r="S511" s="6"/>
      <c r="T511" s="6"/>
      <c r="U511" s="6">
        <f t="shared" si="8"/>
        <v>0</v>
      </c>
    </row>
    <row r="512" spans="2:21" x14ac:dyDescent="0.35">
      <c r="B512" t="s">
        <v>1275</v>
      </c>
      <c r="C512" t="s">
        <v>1278</v>
      </c>
      <c r="D512" t="s">
        <v>101</v>
      </c>
      <c r="E512" s="2" t="s">
        <v>132</v>
      </c>
      <c r="F512">
        <v>90111101</v>
      </c>
      <c r="G512">
        <v>52121303</v>
      </c>
      <c r="H512" s="27">
        <v>0</v>
      </c>
      <c r="I512" s="10">
        <v>38124.080000000002</v>
      </c>
      <c r="J512" s="10">
        <v>38124.080000000002</v>
      </c>
      <c r="K512" s="10">
        <v>38124.080000000002</v>
      </c>
      <c r="L512" s="10">
        <v>38124.080000000002</v>
      </c>
      <c r="M512" s="10">
        <v>38124.080000000002</v>
      </c>
      <c r="N512" s="10">
        <v>38124.080000000002</v>
      </c>
      <c r="O512" s="10">
        <v>38124.080000000002</v>
      </c>
      <c r="P512" s="10">
        <v>38124.080000000002</v>
      </c>
      <c r="Q512" s="6">
        <v>38124.080000000002</v>
      </c>
      <c r="R512" s="6">
        <v>38124.080000000002</v>
      </c>
      <c r="S512" s="6">
        <v>38124.080000000002</v>
      </c>
      <c r="T512" s="6">
        <v>38124.080000000002</v>
      </c>
      <c r="U512" s="6">
        <f t="shared" si="8"/>
        <v>457488.96000000014</v>
      </c>
    </row>
    <row r="513" spans="2:21" x14ac:dyDescent="0.35">
      <c r="B513" t="s">
        <v>6</v>
      </c>
      <c r="C513" t="s">
        <v>7</v>
      </c>
      <c r="D513" t="s">
        <v>101</v>
      </c>
      <c r="E513" s="2" t="s">
        <v>133</v>
      </c>
      <c r="F513">
        <v>90122101</v>
      </c>
      <c r="G513">
        <v>61711101</v>
      </c>
      <c r="H513" s="27">
        <v>201805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6"/>
      <c r="R513" s="6"/>
      <c r="S513" s="6"/>
      <c r="T513" s="6"/>
      <c r="U513" s="6">
        <f t="shared" si="8"/>
        <v>0</v>
      </c>
    </row>
    <row r="514" spans="2:21" x14ac:dyDescent="0.35">
      <c r="B514" t="s">
        <v>1275</v>
      </c>
      <c r="C514" t="s">
        <v>1278</v>
      </c>
      <c r="D514" t="s">
        <v>101</v>
      </c>
      <c r="E514" s="2" t="s">
        <v>133</v>
      </c>
      <c r="F514">
        <v>90111101</v>
      </c>
      <c r="G514">
        <v>52121301</v>
      </c>
      <c r="H514" s="27">
        <v>0</v>
      </c>
      <c r="I514" s="10">
        <v>16817.080000000002</v>
      </c>
      <c r="J514" s="10">
        <v>16817.080000000002</v>
      </c>
      <c r="K514" s="10">
        <v>16817.080000000002</v>
      </c>
      <c r="L514" s="10">
        <v>16817.080000000002</v>
      </c>
      <c r="M514" s="10">
        <v>16817.080000000002</v>
      </c>
      <c r="N514" s="10">
        <v>16817.080000000002</v>
      </c>
      <c r="O514" s="10">
        <v>16817.080000000002</v>
      </c>
      <c r="P514" s="10">
        <v>16817.12</v>
      </c>
      <c r="Q514" s="6">
        <v>16817.080000000002</v>
      </c>
      <c r="R514" s="6">
        <v>16817.080000000002</v>
      </c>
      <c r="S514" s="6">
        <v>16817.080000000002</v>
      </c>
      <c r="T514" s="6">
        <v>16817.080000000002</v>
      </c>
      <c r="U514" s="6">
        <f t="shared" si="8"/>
        <v>201805.00000000006</v>
      </c>
    </row>
    <row r="515" spans="2:21" x14ac:dyDescent="0.35">
      <c r="B515" t="s">
        <v>6</v>
      </c>
      <c r="C515" t="s">
        <v>7</v>
      </c>
      <c r="D515" t="s">
        <v>124</v>
      </c>
      <c r="E515" t="s">
        <v>1243</v>
      </c>
      <c r="F515">
        <v>90122101</v>
      </c>
      <c r="G515">
        <v>61711101</v>
      </c>
      <c r="H515" s="27">
        <v>50000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6"/>
      <c r="R515" s="6"/>
      <c r="S515" s="6"/>
      <c r="T515" s="6"/>
      <c r="U515" s="6">
        <f t="shared" si="8"/>
        <v>0</v>
      </c>
    </row>
    <row r="516" spans="2:21" x14ac:dyDescent="0.35">
      <c r="B516" t="s">
        <v>6</v>
      </c>
      <c r="C516" t="s">
        <v>917</v>
      </c>
      <c r="D516" t="s">
        <v>134</v>
      </c>
      <c r="E516" s="2" t="s">
        <v>135</v>
      </c>
      <c r="F516">
        <v>90134102</v>
      </c>
      <c r="G516">
        <v>52091103</v>
      </c>
      <c r="H516" s="27">
        <v>3689285.7</v>
      </c>
      <c r="I516" s="10">
        <v>0</v>
      </c>
      <c r="J516" s="10">
        <v>0</v>
      </c>
      <c r="K516" s="10">
        <v>737857.14</v>
      </c>
      <c r="L516" s="10">
        <v>0</v>
      </c>
      <c r="M516" s="10">
        <v>0</v>
      </c>
      <c r="N516" s="10">
        <v>0</v>
      </c>
      <c r="O516" s="10">
        <v>737857.14</v>
      </c>
      <c r="P516" s="10">
        <v>0</v>
      </c>
      <c r="Q516" s="6">
        <v>0</v>
      </c>
      <c r="R516" s="6">
        <v>737857.14</v>
      </c>
      <c r="S516" s="6">
        <v>0</v>
      </c>
      <c r="T516" s="6">
        <v>737857.14</v>
      </c>
      <c r="U516" s="6">
        <f t="shared" si="8"/>
        <v>2951428.56</v>
      </c>
    </row>
    <row r="517" spans="2:21" x14ac:dyDescent="0.35">
      <c r="B517" t="s">
        <v>1271</v>
      </c>
      <c r="C517" t="s">
        <v>920</v>
      </c>
      <c r="D517" t="s">
        <v>134</v>
      </c>
      <c r="E517" s="2" t="s">
        <v>136</v>
      </c>
      <c r="F517">
        <v>90134102</v>
      </c>
      <c r="G517">
        <v>52071103</v>
      </c>
      <c r="H517" s="27">
        <v>5863392.8399999999</v>
      </c>
      <c r="I517" s="10">
        <v>0</v>
      </c>
      <c r="J517" s="10">
        <v>0</v>
      </c>
      <c r="K517" s="10">
        <v>1954464.28</v>
      </c>
      <c r="L517" s="10">
        <v>0</v>
      </c>
      <c r="M517" s="10">
        <v>0</v>
      </c>
      <c r="N517" s="10">
        <v>0</v>
      </c>
      <c r="O517" s="10">
        <v>1954464.28</v>
      </c>
      <c r="P517" s="10">
        <v>0</v>
      </c>
      <c r="Q517" s="6">
        <v>0</v>
      </c>
      <c r="R517" s="6">
        <v>1954464.28</v>
      </c>
      <c r="S517" s="6">
        <v>0</v>
      </c>
      <c r="T517" s="6">
        <v>1954464.28</v>
      </c>
      <c r="U517" s="6">
        <f t="shared" ref="U517:U580" si="9">SUM(I517:T517)</f>
        <v>7817857.1200000001</v>
      </c>
    </row>
    <row r="518" spans="2:21" x14ac:dyDescent="0.35">
      <c r="B518" t="s">
        <v>38</v>
      </c>
      <c r="D518" t="s">
        <v>38</v>
      </c>
      <c r="E518" s="2" t="s">
        <v>137</v>
      </c>
      <c r="F518">
        <v>81134102</v>
      </c>
      <c r="G518">
        <v>52031103</v>
      </c>
      <c r="H518" s="27">
        <v>1500000</v>
      </c>
      <c r="I518" s="10">
        <v>0</v>
      </c>
      <c r="J518" s="10">
        <v>0</v>
      </c>
      <c r="K518" s="10">
        <v>0</v>
      </c>
      <c r="L518" s="10">
        <v>0</v>
      </c>
      <c r="M518" s="6"/>
      <c r="N518" s="10">
        <v>0</v>
      </c>
      <c r="O518" s="10">
        <v>0</v>
      </c>
      <c r="P518" s="10">
        <v>0</v>
      </c>
      <c r="Q518" s="6"/>
      <c r="R518" s="6"/>
      <c r="S518" s="6"/>
      <c r="T518" s="6"/>
      <c r="U518" s="6">
        <f t="shared" si="9"/>
        <v>0</v>
      </c>
    </row>
    <row r="519" spans="2:21" x14ac:dyDescent="0.35">
      <c r="B519" t="s">
        <v>6</v>
      </c>
      <c r="C519" t="s">
        <v>138</v>
      </c>
      <c r="D519" t="s">
        <v>138</v>
      </c>
      <c r="E519" s="2" t="s">
        <v>139</v>
      </c>
      <c r="F519">
        <v>80134102</v>
      </c>
      <c r="G519">
        <v>61711101</v>
      </c>
      <c r="H519" s="27">
        <v>696000</v>
      </c>
      <c r="I519" s="10">
        <v>57589.24</v>
      </c>
      <c r="J519" s="10">
        <v>57589.29</v>
      </c>
      <c r="K519" s="10">
        <v>57589.29</v>
      </c>
      <c r="L519" s="10">
        <v>57589.29</v>
      </c>
      <c r="M519" s="10">
        <v>57589.29</v>
      </c>
      <c r="N519" s="10">
        <v>57589.29</v>
      </c>
      <c r="O519" s="10">
        <v>57589.29</v>
      </c>
      <c r="P519" s="10">
        <v>57589.29</v>
      </c>
      <c r="Q519" s="6">
        <v>57589.29</v>
      </c>
      <c r="R519" s="6">
        <v>57589.29</v>
      </c>
      <c r="S519" s="6">
        <v>57589.29</v>
      </c>
      <c r="T519" s="6">
        <v>57589.29</v>
      </c>
      <c r="U519" s="6">
        <f t="shared" si="9"/>
        <v>691071.43</v>
      </c>
    </row>
    <row r="520" spans="2:21" x14ac:dyDescent="0.35">
      <c r="B520" t="s">
        <v>6</v>
      </c>
      <c r="C520" t="s">
        <v>138</v>
      </c>
      <c r="D520" t="s">
        <v>138</v>
      </c>
      <c r="E520" s="2" t="s">
        <v>140</v>
      </c>
      <c r="F520">
        <v>80134102</v>
      </c>
      <c r="G520">
        <v>61711101</v>
      </c>
      <c r="H520" s="27">
        <v>1728000</v>
      </c>
      <c r="I520" s="10">
        <v>125625</v>
      </c>
      <c r="J520" s="10">
        <v>126375</v>
      </c>
      <c r="K520" s="10">
        <v>125625</v>
      </c>
      <c r="L520" s="10">
        <v>125625</v>
      </c>
      <c r="M520" s="10">
        <v>125625</v>
      </c>
      <c r="N520" s="10">
        <v>125625</v>
      </c>
      <c r="O520" s="10">
        <v>125625</v>
      </c>
      <c r="P520" s="10">
        <v>125625</v>
      </c>
      <c r="Q520" s="6">
        <v>125625</v>
      </c>
      <c r="R520" s="6">
        <v>125625</v>
      </c>
      <c r="S520" s="6">
        <v>125625</v>
      </c>
      <c r="T520" s="6">
        <v>125625</v>
      </c>
      <c r="U520" s="6">
        <f t="shared" si="9"/>
        <v>1508250</v>
      </c>
    </row>
    <row r="521" spans="2:21" x14ac:dyDescent="0.35">
      <c r="B521" t="s">
        <v>6</v>
      </c>
      <c r="C521" t="s">
        <v>138</v>
      </c>
      <c r="D521" t="s">
        <v>138</v>
      </c>
      <c r="E521" s="2" t="s">
        <v>141</v>
      </c>
      <c r="F521">
        <v>80134102</v>
      </c>
      <c r="G521">
        <v>61711101</v>
      </c>
      <c r="H521" s="27">
        <v>4164000</v>
      </c>
      <c r="I521" s="10">
        <v>346041.63</v>
      </c>
      <c r="J521" s="10">
        <v>346041.67</v>
      </c>
      <c r="K521" s="10">
        <v>346041.67</v>
      </c>
      <c r="L521" s="10">
        <v>346041.67</v>
      </c>
      <c r="M521" s="10">
        <v>346041.67</v>
      </c>
      <c r="N521" s="10">
        <v>346041.67</v>
      </c>
      <c r="O521" s="10">
        <v>346041.67</v>
      </c>
      <c r="P521" s="10">
        <v>346041.67</v>
      </c>
      <c r="Q521" s="6">
        <v>346041.67</v>
      </c>
      <c r="R521" s="6">
        <v>346041.67</v>
      </c>
      <c r="S521" s="6">
        <v>346041.67</v>
      </c>
      <c r="T521" s="6">
        <v>346041.67</v>
      </c>
      <c r="U521" s="6">
        <f t="shared" si="9"/>
        <v>4152499.9999999995</v>
      </c>
    </row>
    <row r="522" spans="2:21" x14ac:dyDescent="0.35">
      <c r="B522" t="s">
        <v>6</v>
      </c>
      <c r="C522" t="s">
        <v>138</v>
      </c>
      <c r="D522" t="s">
        <v>138</v>
      </c>
      <c r="E522" s="2" t="s">
        <v>930</v>
      </c>
      <c r="F522">
        <v>80134102</v>
      </c>
      <c r="G522">
        <v>61711101</v>
      </c>
      <c r="H522" s="27">
        <v>528500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6">
        <v>0</v>
      </c>
      <c r="R522" s="6">
        <v>0</v>
      </c>
      <c r="S522" s="6">
        <v>0</v>
      </c>
      <c r="T522" s="6">
        <v>0</v>
      </c>
      <c r="U522" s="6">
        <f t="shared" si="9"/>
        <v>0</v>
      </c>
    </row>
    <row r="523" spans="2:21" x14ac:dyDescent="0.35">
      <c r="B523" t="s">
        <v>6</v>
      </c>
      <c r="C523" t="s">
        <v>7</v>
      </c>
      <c r="D523" t="s">
        <v>7</v>
      </c>
      <c r="E523" s="2" t="s">
        <v>1244</v>
      </c>
      <c r="F523">
        <v>81134102</v>
      </c>
      <c r="G523">
        <v>52952101</v>
      </c>
      <c r="H523" s="27">
        <v>300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6"/>
      <c r="R523" s="6"/>
      <c r="S523" s="6"/>
      <c r="T523" s="6"/>
      <c r="U523" s="6">
        <f t="shared" si="9"/>
        <v>0</v>
      </c>
    </row>
    <row r="524" spans="2:21" x14ac:dyDescent="0.35">
      <c r="B524" t="s">
        <v>6</v>
      </c>
      <c r="C524" t="s">
        <v>7</v>
      </c>
      <c r="D524" t="s">
        <v>7</v>
      </c>
      <c r="E524" s="2" t="s">
        <v>1244</v>
      </c>
      <c r="F524">
        <v>90134102</v>
      </c>
      <c r="G524">
        <v>52952101</v>
      </c>
      <c r="H524" s="27">
        <v>300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6"/>
      <c r="R524" s="6"/>
      <c r="S524" s="6"/>
      <c r="T524" s="6"/>
      <c r="U524" s="6">
        <f t="shared" si="9"/>
        <v>0</v>
      </c>
    </row>
    <row r="525" spans="2:21" x14ac:dyDescent="0.35">
      <c r="B525" t="s">
        <v>6</v>
      </c>
      <c r="C525" t="s">
        <v>7</v>
      </c>
      <c r="D525" t="s">
        <v>7</v>
      </c>
      <c r="E525" s="2" t="s">
        <v>1244</v>
      </c>
      <c r="F525">
        <v>90134102</v>
      </c>
      <c r="G525">
        <v>52952101</v>
      </c>
      <c r="H525" s="27">
        <v>1600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6"/>
      <c r="R525" s="6"/>
      <c r="S525" s="6"/>
      <c r="T525" s="6"/>
      <c r="U525" s="6">
        <f t="shared" si="9"/>
        <v>0</v>
      </c>
    </row>
    <row r="526" spans="2:21" x14ac:dyDescent="0.35">
      <c r="B526" t="s">
        <v>6</v>
      </c>
      <c r="C526" t="s">
        <v>7</v>
      </c>
      <c r="D526" t="s">
        <v>7</v>
      </c>
      <c r="E526" s="2" t="s">
        <v>1244</v>
      </c>
      <c r="F526">
        <v>81134102</v>
      </c>
      <c r="G526">
        <v>52952101</v>
      </c>
      <c r="H526" s="27">
        <v>1600</v>
      </c>
      <c r="I526" s="10">
        <v>0</v>
      </c>
      <c r="J526" s="10">
        <v>1000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6">
        <v>0</v>
      </c>
      <c r="R526" s="6"/>
      <c r="S526" s="6"/>
      <c r="T526" s="6"/>
      <c r="U526" s="6">
        <f t="shared" si="9"/>
        <v>1000</v>
      </c>
    </row>
    <row r="527" spans="2:21" x14ac:dyDescent="0.35">
      <c r="B527" t="s">
        <v>6</v>
      </c>
      <c r="C527" t="s">
        <v>7</v>
      </c>
      <c r="D527" t="s">
        <v>7</v>
      </c>
      <c r="E527" s="2" t="s">
        <v>1244</v>
      </c>
      <c r="F527">
        <v>90134102</v>
      </c>
      <c r="G527">
        <v>52952101</v>
      </c>
      <c r="H527" s="27">
        <v>1600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6"/>
      <c r="R527" s="6"/>
      <c r="S527" s="6"/>
      <c r="T527" s="6"/>
      <c r="U527" s="6">
        <f t="shared" si="9"/>
        <v>0</v>
      </c>
    </row>
    <row r="528" spans="2:21" x14ac:dyDescent="0.35">
      <c r="B528" t="s">
        <v>6</v>
      </c>
      <c r="C528" t="s">
        <v>7</v>
      </c>
      <c r="D528" t="s">
        <v>124</v>
      </c>
      <c r="E528" s="2" t="s">
        <v>143</v>
      </c>
      <c r="F528">
        <v>90111204</v>
      </c>
      <c r="G528">
        <v>61711101</v>
      </c>
      <c r="H528" s="27">
        <v>22500</v>
      </c>
      <c r="I528" s="10">
        <v>20089.29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6"/>
      <c r="R528" s="6"/>
      <c r="S528" s="6"/>
      <c r="T528" s="6"/>
      <c r="U528" s="6">
        <f t="shared" si="9"/>
        <v>20089.29</v>
      </c>
    </row>
    <row r="529" spans="2:21" x14ac:dyDescent="0.35">
      <c r="B529" t="s">
        <v>1271</v>
      </c>
      <c r="C529" t="s">
        <v>1279</v>
      </c>
      <c r="D529" t="s">
        <v>7</v>
      </c>
      <c r="E529" t="s">
        <v>1287</v>
      </c>
      <c r="F529" s="2">
        <v>81319101</v>
      </c>
      <c r="G529">
        <v>52952101</v>
      </c>
      <c r="H529" s="27">
        <v>0</v>
      </c>
      <c r="Q529" s="6">
        <v>59375</v>
      </c>
      <c r="R529" s="6"/>
      <c r="S529" s="6"/>
      <c r="T529" s="6"/>
      <c r="U529" s="6">
        <f t="shared" si="9"/>
        <v>59375</v>
      </c>
    </row>
    <row r="530" spans="2:21" x14ac:dyDescent="0.35">
      <c r="B530" t="s">
        <v>1271</v>
      </c>
      <c r="C530" t="s">
        <v>1279</v>
      </c>
      <c r="D530" t="s">
        <v>1247</v>
      </c>
      <c r="E530" t="s">
        <v>1245</v>
      </c>
      <c r="F530">
        <v>90134102</v>
      </c>
      <c r="G530">
        <v>52041494</v>
      </c>
      <c r="H530" s="27">
        <v>67000000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6">
        <v>0</v>
      </c>
      <c r="R530" s="6">
        <v>0</v>
      </c>
      <c r="S530" s="6">
        <v>0</v>
      </c>
      <c r="T530" s="6">
        <v>67000000</v>
      </c>
      <c r="U530" s="6">
        <f t="shared" si="9"/>
        <v>67000000</v>
      </c>
    </row>
    <row r="531" spans="2:21" x14ac:dyDescent="0.35">
      <c r="B531" t="s">
        <v>1280</v>
      </c>
      <c r="D531" t="s">
        <v>1247</v>
      </c>
      <c r="E531" t="s">
        <v>1246</v>
      </c>
      <c r="F531">
        <v>90134102</v>
      </c>
      <c r="G531" s="3">
        <v>52041494</v>
      </c>
      <c r="H531" s="27">
        <v>12000000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6">
        <v>0</v>
      </c>
      <c r="R531" s="6">
        <v>0</v>
      </c>
      <c r="S531" s="6">
        <v>0</v>
      </c>
      <c r="T531" s="6">
        <v>12000000</v>
      </c>
      <c r="U531" s="6">
        <f t="shared" si="9"/>
        <v>12000000</v>
      </c>
    </row>
    <row r="532" spans="2:21" x14ac:dyDescent="0.35">
      <c r="B532" t="s">
        <v>1280</v>
      </c>
      <c r="D532" s="37" t="s">
        <v>148</v>
      </c>
      <c r="E532" s="37" t="s">
        <v>152</v>
      </c>
      <c r="F532" s="3">
        <v>81314101</v>
      </c>
      <c r="G532" s="3">
        <v>52551201</v>
      </c>
      <c r="H532" s="27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6">
        <v>0</v>
      </c>
      <c r="R532" s="6">
        <v>0</v>
      </c>
      <c r="S532" s="6">
        <v>0</v>
      </c>
      <c r="T532" s="6">
        <v>1456026.8000000007</v>
      </c>
      <c r="U532" s="6">
        <f t="shared" si="9"/>
        <v>1456026.8000000007</v>
      </c>
    </row>
    <row r="533" spans="2:21" x14ac:dyDescent="0.35">
      <c r="B533" t="s">
        <v>1280</v>
      </c>
      <c r="D533" s="37" t="s">
        <v>1263</v>
      </c>
      <c r="E533" s="37" t="s">
        <v>1263</v>
      </c>
      <c r="F533" s="3">
        <v>81314101</v>
      </c>
      <c r="G533" s="3">
        <v>52551201</v>
      </c>
      <c r="H533" s="27">
        <v>0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6">
        <v>0</v>
      </c>
      <c r="R533" s="6"/>
      <c r="S533" s="6"/>
      <c r="T533" s="6"/>
      <c r="U533" s="6">
        <f t="shared" si="9"/>
        <v>0</v>
      </c>
    </row>
    <row r="534" spans="2:21" x14ac:dyDescent="0.35">
      <c r="B534" t="s">
        <v>1280</v>
      </c>
      <c r="D534" s="37" t="s">
        <v>1263</v>
      </c>
      <c r="E534" s="37" t="s">
        <v>1263</v>
      </c>
      <c r="F534" s="3">
        <v>81314101</v>
      </c>
      <c r="G534" s="3">
        <v>52551201</v>
      </c>
      <c r="H534" s="27">
        <v>0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6">
        <v>0</v>
      </c>
      <c r="R534" s="6"/>
      <c r="S534" s="6"/>
      <c r="T534" s="6"/>
      <c r="U534" s="6">
        <f t="shared" si="9"/>
        <v>0</v>
      </c>
    </row>
    <row r="535" spans="2:21" x14ac:dyDescent="0.35">
      <c r="B535" t="s">
        <v>1280</v>
      </c>
      <c r="D535" s="37" t="s">
        <v>1263</v>
      </c>
      <c r="E535" s="37" t="s">
        <v>1263</v>
      </c>
      <c r="F535" s="3">
        <v>81314101</v>
      </c>
      <c r="G535" s="3">
        <v>52551201</v>
      </c>
      <c r="H535" s="27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6">
        <v>0</v>
      </c>
      <c r="R535" s="6"/>
      <c r="S535" s="6"/>
      <c r="T535" s="6"/>
      <c r="U535" s="6">
        <f t="shared" si="9"/>
        <v>0</v>
      </c>
    </row>
    <row r="536" spans="2:21" x14ac:dyDescent="0.35">
      <c r="B536" t="s">
        <v>1280</v>
      </c>
      <c r="D536" s="37" t="s">
        <v>1263</v>
      </c>
      <c r="E536" s="37" t="s">
        <v>1263</v>
      </c>
      <c r="F536" s="3">
        <v>81314101</v>
      </c>
      <c r="G536" s="3">
        <v>52551201</v>
      </c>
      <c r="H536" s="27">
        <v>0</v>
      </c>
      <c r="I536" s="10">
        <v>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6">
        <v>0</v>
      </c>
      <c r="R536" s="6"/>
      <c r="S536" s="6"/>
      <c r="T536" s="6"/>
      <c r="U536" s="6">
        <f t="shared" si="9"/>
        <v>0</v>
      </c>
    </row>
    <row r="537" spans="2:21" x14ac:dyDescent="0.35">
      <c r="B537" t="s">
        <v>1280</v>
      </c>
      <c r="D537" t="s">
        <v>144</v>
      </c>
      <c r="E537" t="s">
        <v>145</v>
      </c>
      <c r="F537" s="3">
        <v>80314101</v>
      </c>
      <c r="G537" s="3">
        <v>61731103</v>
      </c>
      <c r="H537" s="27">
        <v>0</v>
      </c>
      <c r="I537" s="10">
        <v>30000</v>
      </c>
      <c r="J537" s="10">
        <v>0</v>
      </c>
      <c r="K537" s="10">
        <v>0</v>
      </c>
      <c r="L537" s="10">
        <v>0</v>
      </c>
      <c r="M537" s="10">
        <v>67500</v>
      </c>
      <c r="N537" s="10">
        <v>0</v>
      </c>
      <c r="O537" s="10">
        <v>0</v>
      </c>
      <c r="P537" s="10">
        <v>0</v>
      </c>
      <c r="Q537" s="6">
        <v>0</v>
      </c>
      <c r="R537" s="6"/>
      <c r="S537" s="6"/>
      <c r="T537" s="6"/>
      <c r="U537" s="6">
        <f t="shared" si="9"/>
        <v>97500</v>
      </c>
    </row>
    <row r="538" spans="2:21" x14ac:dyDescent="0.35">
      <c r="B538" t="s">
        <v>1280</v>
      </c>
      <c r="D538" t="s">
        <v>144</v>
      </c>
      <c r="E538" t="s">
        <v>146</v>
      </c>
      <c r="F538" s="3">
        <v>80314101</v>
      </c>
      <c r="G538" s="3">
        <v>61731103</v>
      </c>
      <c r="H538" s="27">
        <v>0</v>
      </c>
      <c r="I538" s="10">
        <v>37500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6">
        <v>0</v>
      </c>
      <c r="R538" s="6"/>
      <c r="S538" s="6"/>
      <c r="T538" s="6"/>
      <c r="U538" s="6">
        <f t="shared" si="9"/>
        <v>37500</v>
      </c>
    </row>
    <row r="539" spans="2:21" x14ac:dyDescent="0.35">
      <c r="B539" t="s">
        <v>1280</v>
      </c>
      <c r="D539" t="s">
        <v>144</v>
      </c>
      <c r="E539" t="s">
        <v>146</v>
      </c>
      <c r="F539" s="3">
        <v>80314101</v>
      </c>
      <c r="G539" s="3">
        <v>61731103</v>
      </c>
      <c r="H539" s="27">
        <v>0</v>
      </c>
      <c r="I539" s="10">
        <v>37500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6">
        <v>0</v>
      </c>
      <c r="R539" s="6"/>
      <c r="S539" s="6"/>
      <c r="T539" s="6"/>
      <c r="U539" s="6">
        <f t="shared" si="9"/>
        <v>37500</v>
      </c>
    </row>
    <row r="540" spans="2:21" x14ac:dyDescent="0.35">
      <c r="B540" t="s">
        <v>1280</v>
      </c>
      <c r="D540" t="s">
        <v>144</v>
      </c>
      <c r="E540" t="s">
        <v>147</v>
      </c>
      <c r="F540" s="3">
        <v>80314101</v>
      </c>
      <c r="G540" s="3">
        <v>61731103</v>
      </c>
      <c r="H540" s="27">
        <v>0</v>
      </c>
      <c r="I540" s="10">
        <v>148809.53</v>
      </c>
      <c r="J540" s="10">
        <v>148809.53</v>
      </c>
      <c r="K540" s="10">
        <v>148809.53</v>
      </c>
      <c r="L540" s="10">
        <v>0</v>
      </c>
      <c r="M540" s="6">
        <v>0</v>
      </c>
      <c r="N540" s="10">
        <v>0</v>
      </c>
      <c r="O540" s="10">
        <v>0</v>
      </c>
      <c r="P540" s="10">
        <v>0</v>
      </c>
      <c r="Q540" s="6">
        <v>0</v>
      </c>
      <c r="R540" s="6"/>
      <c r="S540" s="6"/>
      <c r="T540" s="6"/>
      <c r="U540" s="6">
        <f t="shared" si="9"/>
        <v>446428.58999999997</v>
      </c>
    </row>
    <row r="541" spans="2:21" x14ac:dyDescent="0.35">
      <c r="B541" t="s">
        <v>1280</v>
      </c>
      <c r="D541" t="s">
        <v>148</v>
      </c>
      <c r="E541" t="s">
        <v>149</v>
      </c>
      <c r="F541" s="3">
        <v>80314101</v>
      </c>
      <c r="G541" s="3">
        <v>61731103</v>
      </c>
      <c r="H541" s="27">
        <v>0</v>
      </c>
      <c r="I541" s="10">
        <v>0</v>
      </c>
      <c r="J541" s="10">
        <v>13767.12</v>
      </c>
      <c r="K541" s="10">
        <v>-13767.13</v>
      </c>
      <c r="L541" s="10">
        <v>10054.290000000001</v>
      </c>
      <c r="N541" s="10">
        <v>0</v>
      </c>
      <c r="O541" s="10">
        <v>0</v>
      </c>
      <c r="P541" s="10">
        <v>0</v>
      </c>
      <c r="Q541" s="6">
        <v>0</v>
      </c>
      <c r="R541" s="6"/>
      <c r="S541" s="6"/>
      <c r="T541" s="6"/>
      <c r="U541" s="6">
        <f t="shared" si="9"/>
        <v>10054.280000000002</v>
      </c>
    </row>
    <row r="542" spans="2:21" x14ac:dyDescent="0.35">
      <c r="B542" t="s">
        <v>1280</v>
      </c>
      <c r="D542" t="s">
        <v>150</v>
      </c>
      <c r="E542" t="s">
        <v>151</v>
      </c>
      <c r="F542" s="3">
        <v>80314101</v>
      </c>
      <c r="G542" s="3">
        <v>61731103</v>
      </c>
      <c r="H542" s="27">
        <v>0</v>
      </c>
      <c r="I542" s="10">
        <v>0</v>
      </c>
      <c r="J542" s="10">
        <v>1245.6600000000001</v>
      </c>
      <c r="K542" s="10">
        <v>1245.6600000000001</v>
      </c>
      <c r="L542" s="10">
        <v>1245.6600000000001</v>
      </c>
      <c r="M542" s="10">
        <v>1245.6600000000001</v>
      </c>
      <c r="N542" s="10">
        <v>1384.01</v>
      </c>
      <c r="O542" s="10">
        <v>1384.01</v>
      </c>
      <c r="P542" s="10">
        <v>1384.01</v>
      </c>
      <c r="Q542" s="6">
        <v>1384.01</v>
      </c>
      <c r="R542" s="6"/>
      <c r="S542" s="6"/>
      <c r="T542" s="6"/>
      <c r="U542" s="6">
        <f t="shared" si="9"/>
        <v>10518.68</v>
      </c>
    </row>
    <row r="543" spans="2:21" x14ac:dyDescent="0.35">
      <c r="B543" t="s">
        <v>1280</v>
      </c>
      <c r="D543" t="s">
        <v>612</v>
      </c>
      <c r="E543" t="s">
        <v>81</v>
      </c>
      <c r="F543" s="3">
        <v>80314101</v>
      </c>
      <c r="G543" s="3">
        <v>61731103</v>
      </c>
      <c r="H543" s="27">
        <v>0</v>
      </c>
      <c r="I543" s="10">
        <v>0</v>
      </c>
      <c r="J543" s="10">
        <v>6969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6">
        <v>0</v>
      </c>
      <c r="R543" s="6"/>
      <c r="S543" s="6"/>
      <c r="T543" s="6"/>
      <c r="U543" s="6">
        <f t="shared" si="9"/>
        <v>6969</v>
      </c>
    </row>
    <row r="544" spans="2:21" x14ac:dyDescent="0.35">
      <c r="B544" t="s">
        <v>1280</v>
      </c>
      <c r="D544" t="s">
        <v>148</v>
      </c>
      <c r="E544" t="s">
        <v>152</v>
      </c>
      <c r="F544" s="3">
        <v>80314101</v>
      </c>
      <c r="G544" s="3">
        <v>61731103</v>
      </c>
      <c r="H544" s="27">
        <v>0</v>
      </c>
      <c r="I544" s="10">
        <v>0</v>
      </c>
      <c r="J544" s="10">
        <v>375000</v>
      </c>
      <c r="K544" s="10">
        <v>-375000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6">
        <v>0</v>
      </c>
      <c r="R544" s="6"/>
      <c r="S544" s="6"/>
      <c r="T544" s="6"/>
      <c r="U544" s="6">
        <f t="shared" si="9"/>
        <v>0</v>
      </c>
    </row>
    <row r="545" spans="2:21" x14ac:dyDescent="0.35">
      <c r="B545" t="s">
        <v>1280</v>
      </c>
      <c r="D545" s="37" t="s">
        <v>1263</v>
      </c>
      <c r="E545" s="37" t="s">
        <v>1263</v>
      </c>
      <c r="F545" s="3">
        <v>80314101</v>
      </c>
      <c r="G545" s="3">
        <v>61731103</v>
      </c>
      <c r="H545" s="27">
        <v>0</v>
      </c>
      <c r="I545" s="10">
        <v>0</v>
      </c>
      <c r="J545" s="10">
        <v>0</v>
      </c>
      <c r="K545" s="10">
        <v>0</v>
      </c>
      <c r="L545" s="10">
        <v>0</v>
      </c>
      <c r="M545" s="6">
        <v>0</v>
      </c>
      <c r="N545" s="10">
        <v>0</v>
      </c>
      <c r="O545" s="10">
        <v>0</v>
      </c>
      <c r="P545" s="10">
        <v>0</v>
      </c>
      <c r="Q545" s="6">
        <v>0</v>
      </c>
      <c r="R545" s="6"/>
      <c r="S545" s="6"/>
      <c r="T545" s="6"/>
      <c r="U545" s="6">
        <f t="shared" si="9"/>
        <v>0</v>
      </c>
    </row>
    <row r="546" spans="2:21" x14ac:dyDescent="0.35">
      <c r="B546" t="s">
        <v>1280</v>
      </c>
      <c r="D546" t="s">
        <v>150</v>
      </c>
      <c r="E546" t="s">
        <v>153</v>
      </c>
      <c r="F546" s="3">
        <v>80314101</v>
      </c>
      <c r="G546" s="2">
        <v>61731103</v>
      </c>
      <c r="H546" s="27">
        <v>0</v>
      </c>
      <c r="I546" s="10">
        <v>0</v>
      </c>
      <c r="J546" s="10">
        <v>0</v>
      </c>
      <c r="K546" s="10">
        <v>0</v>
      </c>
      <c r="L546" s="10">
        <v>1733.16</v>
      </c>
      <c r="M546" s="6">
        <v>0</v>
      </c>
      <c r="N546" s="10">
        <v>0</v>
      </c>
      <c r="O546" s="10">
        <v>0</v>
      </c>
      <c r="P546" s="10">
        <v>0</v>
      </c>
      <c r="Q546" s="6">
        <v>0</v>
      </c>
      <c r="R546" s="6"/>
      <c r="S546" s="6"/>
      <c r="T546" s="6"/>
      <c r="U546" s="6">
        <f t="shared" si="9"/>
        <v>1733.16</v>
      </c>
    </row>
    <row r="547" spans="2:21" x14ac:dyDescent="0.35">
      <c r="B547" t="s">
        <v>1280</v>
      </c>
      <c r="D547" t="s">
        <v>150</v>
      </c>
      <c r="E547" s="2" t="s">
        <v>154</v>
      </c>
      <c r="F547" s="2">
        <v>80314101</v>
      </c>
      <c r="G547" s="2">
        <v>61731103</v>
      </c>
      <c r="H547" s="27">
        <v>0</v>
      </c>
      <c r="I547" s="10">
        <v>0</v>
      </c>
      <c r="J547" s="10">
        <v>0</v>
      </c>
      <c r="K547" s="10">
        <v>0</v>
      </c>
      <c r="L547" s="10">
        <v>0</v>
      </c>
      <c r="M547" s="6">
        <v>0</v>
      </c>
      <c r="N547" s="10">
        <v>2171.5</v>
      </c>
      <c r="O547" s="10">
        <v>0</v>
      </c>
      <c r="P547" s="10">
        <v>0</v>
      </c>
      <c r="Q547" s="6">
        <v>0</v>
      </c>
      <c r="R547" s="6"/>
      <c r="S547" s="6"/>
      <c r="T547" s="6"/>
      <c r="U547" s="6">
        <f t="shared" si="9"/>
        <v>2171.5</v>
      </c>
    </row>
    <row r="548" spans="2:21" x14ac:dyDescent="0.35">
      <c r="B548" t="s">
        <v>6</v>
      </c>
      <c r="C548" t="s">
        <v>1281</v>
      </c>
      <c r="D548" t="s">
        <v>148</v>
      </c>
      <c r="E548" t="s">
        <v>155</v>
      </c>
      <c r="F548" s="2">
        <v>80314101</v>
      </c>
      <c r="G548">
        <v>52551201</v>
      </c>
      <c r="H548" s="27">
        <v>0</v>
      </c>
      <c r="I548" s="10">
        <v>0</v>
      </c>
      <c r="J548" s="10">
        <v>0</v>
      </c>
      <c r="K548" s="10">
        <v>105000</v>
      </c>
      <c r="L548" s="10">
        <v>-105000</v>
      </c>
      <c r="M548" s="10">
        <v>0</v>
      </c>
      <c r="N548" s="10">
        <v>0</v>
      </c>
      <c r="O548" s="10">
        <v>0</v>
      </c>
      <c r="P548" s="10">
        <v>0</v>
      </c>
      <c r="Q548" s="6">
        <v>0</v>
      </c>
      <c r="R548" s="6"/>
      <c r="S548" s="6"/>
      <c r="T548" s="6"/>
      <c r="U548" s="6">
        <f t="shared" si="9"/>
        <v>0</v>
      </c>
    </row>
    <row r="549" spans="2:21" x14ac:dyDescent="0.35">
      <c r="B549" t="s">
        <v>6</v>
      </c>
      <c r="C549" t="s">
        <v>1281</v>
      </c>
      <c r="D549" t="s">
        <v>1249</v>
      </c>
      <c r="E549" t="s">
        <v>1248</v>
      </c>
      <c r="F549">
        <v>80125101</v>
      </c>
      <c r="G549">
        <v>61959102</v>
      </c>
      <c r="H549" s="27">
        <v>3000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6">
        <v>0</v>
      </c>
      <c r="R549" s="6">
        <v>1000</v>
      </c>
      <c r="S549" s="6">
        <v>1000</v>
      </c>
      <c r="T549" s="6">
        <v>1000</v>
      </c>
      <c r="U549" s="6">
        <f t="shared" si="9"/>
        <v>3000</v>
      </c>
    </row>
    <row r="550" spans="2:21" x14ac:dyDescent="0.35">
      <c r="B550" t="s">
        <v>6</v>
      </c>
      <c r="C550" t="s">
        <v>1282</v>
      </c>
      <c r="D550" t="s">
        <v>1249</v>
      </c>
      <c r="E550" t="s">
        <v>1248</v>
      </c>
      <c r="F550">
        <v>80125101</v>
      </c>
      <c r="G550">
        <v>61959102</v>
      </c>
      <c r="H550" s="27">
        <v>400000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6">
        <v>0</v>
      </c>
      <c r="R550" s="6">
        <v>133333.33333333334</v>
      </c>
      <c r="S550" s="6">
        <v>133333.33333333334</v>
      </c>
      <c r="T550" s="6">
        <v>133333.33333333334</v>
      </c>
      <c r="U550" s="6">
        <f t="shared" si="9"/>
        <v>400000</v>
      </c>
    </row>
    <row r="551" spans="2:21" x14ac:dyDescent="0.35">
      <c r="B551" t="s">
        <v>6</v>
      </c>
      <c r="C551" t="s">
        <v>1281</v>
      </c>
      <c r="D551" t="s">
        <v>156</v>
      </c>
      <c r="E551" s="2" t="s">
        <v>156</v>
      </c>
      <c r="F551">
        <v>80125101</v>
      </c>
      <c r="G551">
        <v>61091101</v>
      </c>
      <c r="H551" s="27">
        <v>100000</v>
      </c>
      <c r="I551" s="10">
        <v>0</v>
      </c>
      <c r="J551" s="10">
        <v>0</v>
      </c>
      <c r="K551" s="10">
        <v>0</v>
      </c>
      <c r="L551" s="10">
        <v>14687.68</v>
      </c>
      <c r="M551" s="10">
        <v>3906</v>
      </c>
      <c r="N551" s="10">
        <v>0</v>
      </c>
      <c r="O551" s="10">
        <v>0</v>
      </c>
      <c r="P551" s="10">
        <v>6441.27</v>
      </c>
      <c r="Q551" s="6">
        <v>2755</v>
      </c>
      <c r="R551" s="6">
        <v>10000</v>
      </c>
      <c r="S551" s="6">
        <v>10000</v>
      </c>
      <c r="T551" s="6">
        <v>10000</v>
      </c>
      <c r="U551" s="6">
        <f t="shared" si="9"/>
        <v>57789.95</v>
      </c>
    </row>
    <row r="552" spans="2:21" x14ac:dyDescent="0.35">
      <c r="B552" t="s">
        <v>6</v>
      </c>
      <c r="C552" t="s">
        <v>1282</v>
      </c>
      <c r="D552" t="s">
        <v>1249</v>
      </c>
      <c r="E552" t="s">
        <v>1248</v>
      </c>
      <c r="F552">
        <v>81125101</v>
      </c>
      <c r="G552">
        <v>52959903</v>
      </c>
      <c r="H552" s="27">
        <v>350000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6">
        <v>0</v>
      </c>
      <c r="R552" s="6">
        <v>116666.66666666667</v>
      </c>
      <c r="S552" s="6">
        <v>116666.66666666667</v>
      </c>
      <c r="T552" s="6">
        <v>116666.66666666667</v>
      </c>
      <c r="U552" s="6">
        <f t="shared" si="9"/>
        <v>350000</v>
      </c>
    </row>
    <row r="553" spans="2:21" x14ac:dyDescent="0.35">
      <c r="B553" t="s">
        <v>6</v>
      </c>
      <c r="C553" t="s">
        <v>1282</v>
      </c>
      <c r="D553" t="s">
        <v>176</v>
      </c>
      <c r="E553" t="s">
        <v>1250</v>
      </c>
      <c r="F553">
        <v>81125101</v>
      </c>
      <c r="G553">
        <v>52091101</v>
      </c>
      <c r="H553" s="27">
        <v>40000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6"/>
      <c r="R553" s="6"/>
      <c r="S553" s="6"/>
      <c r="T553" s="6"/>
      <c r="U553" s="6">
        <f t="shared" si="9"/>
        <v>0</v>
      </c>
    </row>
    <row r="554" spans="2:21" x14ac:dyDescent="0.35">
      <c r="B554" t="s">
        <v>1271</v>
      </c>
      <c r="C554" t="s">
        <v>1272</v>
      </c>
      <c r="D554" t="s">
        <v>176</v>
      </c>
      <c r="E554" t="s">
        <v>1250</v>
      </c>
      <c r="F554">
        <v>90125101</v>
      </c>
      <c r="G554">
        <v>61091101</v>
      </c>
      <c r="H554" s="27">
        <v>40000</v>
      </c>
      <c r="I554" s="10">
        <v>0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6"/>
      <c r="R554" s="6"/>
      <c r="S554" s="6"/>
      <c r="T554" s="6"/>
      <c r="U554" s="6">
        <f t="shared" si="9"/>
        <v>0</v>
      </c>
    </row>
    <row r="555" spans="2:21" x14ac:dyDescent="0.35">
      <c r="B555" t="s">
        <v>1271</v>
      </c>
      <c r="C555" t="s">
        <v>1272</v>
      </c>
      <c r="D555" t="s">
        <v>157</v>
      </c>
      <c r="E555" s="2" t="s">
        <v>157</v>
      </c>
      <c r="F555">
        <v>80123101</v>
      </c>
      <c r="G555">
        <v>61071099</v>
      </c>
      <c r="H555" s="27">
        <v>81000</v>
      </c>
      <c r="I555" s="10">
        <v>0</v>
      </c>
      <c r="J555" s="10">
        <v>5550</v>
      </c>
      <c r="K555" s="10">
        <v>2850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6">
        <v>0</v>
      </c>
      <c r="R555" s="6">
        <v>0</v>
      </c>
      <c r="S555" s="6">
        <v>0</v>
      </c>
      <c r="T555" s="6">
        <v>0</v>
      </c>
      <c r="U555" s="6">
        <f t="shared" si="9"/>
        <v>8400</v>
      </c>
    </row>
    <row r="556" spans="2:21" x14ac:dyDescent="0.35">
      <c r="B556" t="s">
        <v>1271</v>
      </c>
      <c r="C556" t="s">
        <v>1272</v>
      </c>
      <c r="D556" t="s">
        <v>157</v>
      </c>
      <c r="E556" s="2" t="s">
        <v>157</v>
      </c>
      <c r="F556">
        <v>81123101</v>
      </c>
      <c r="G556">
        <v>61071099</v>
      </c>
      <c r="H556" s="27">
        <v>54000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6">
        <v>0</v>
      </c>
      <c r="R556" s="6">
        <v>0</v>
      </c>
      <c r="S556" s="6">
        <v>0</v>
      </c>
      <c r="T556" s="6">
        <v>0</v>
      </c>
      <c r="U556" s="6">
        <f t="shared" si="9"/>
        <v>0</v>
      </c>
    </row>
    <row r="557" spans="2:21" x14ac:dyDescent="0.35">
      <c r="B557" t="s">
        <v>6</v>
      </c>
      <c r="C557" t="s">
        <v>7</v>
      </c>
      <c r="D557" t="s">
        <v>157</v>
      </c>
      <c r="E557" s="2" t="s">
        <v>157</v>
      </c>
      <c r="F557">
        <v>90122101</v>
      </c>
      <c r="G557">
        <v>61071099</v>
      </c>
      <c r="H557" s="27">
        <v>0</v>
      </c>
      <c r="I557" s="10">
        <v>100</v>
      </c>
      <c r="J557" s="10">
        <v>0</v>
      </c>
      <c r="K557" s="10">
        <v>100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6">
        <v>0</v>
      </c>
      <c r="R557" s="6">
        <v>0</v>
      </c>
      <c r="S557" s="6">
        <v>0</v>
      </c>
      <c r="T557" s="6">
        <v>0</v>
      </c>
      <c r="U557" s="6">
        <f t="shared" si="9"/>
        <v>200</v>
      </c>
    </row>
    <row r="558" spans="2:21" x14ac:dyDescent="0.35">
      <c r="B558" t="s">
        <v>6</v>
      </c>
      <c r="C558" t="s">
        <v>7</v>
      </c>
      <c r="D558" t="s">
        <v>124</v>
      </c>
      <c r="E558" s="2" t="s">
        <v>158</v>
      </c>
      <c r="F558">
        <v>80123101</v>
      </c>
      <c r="G558">
        <v>61711101</v>
      </c>
      <c r="H558" s="27">
        <v>90000</v>
      </c>
      <c r="I558" s="10">
        <v>32</v>
      </c>
      <c r="J558" s="10">
        <v>9000</v>
      </c>
      <c r="K558" s="10">
        <v>4564</v>
      </c>
      <c r="L558" s="10">
        <v>4629.71</v>
      </c>
      <c r="M558" s="10">
        <v>8485.92</v>
      </c>
      <c r="N558" s="10">
        <v>4693.09</v>
      </c>
      <c r="O558" s="10">
        <v>4500</v>
      </c>
      <c r="P558" s="10">
        <v>4792</v>
      </c>
      <c r="Q558" s="6">
        <v>4500</v>
      </c>
      <c r="R558" s="6">
        <v>5000</v>
      </c>
      <c r="S558" s="6">
        <v>5000</v>
      </c>
      <c r="T558" s="6">
        <v>5000</v>
      </c>
      <c r="U558" s="6">
        <f t="shared" si="9"/>
        <v>60196.72</v>
      </c>
    </row>
    <row r="559" spans="2:21" x14ac:dyDescent="0.35">
      <c r="B559" t="s">
        <v>6</v>
      </c>
      <c r="C559" t="s">
        <v>7</v>
      </c>
      <c r="D559" t="s">
        <v>124</v>
      </c>
      <c r="E559" s="2" t="s">
        <v>159</v>
      </c>
      <c r="F559">
        <v>90123101</v>
      </c>
      <c r="G559">
        <v>61711101</v>
      </c>
      <c r="H559" s="27">
        <v>20000</v>
      </c>
      <c r="I559" s="10">
        <v>19000</v>
      </c>
      <c r="J559" s="10">
        <v>0</v>
      </c>
      <c r="K559" s="6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6">
        <v>0</v>
      </c>
      <c r="R559" s="6"/>
      <c r="S559" s="6"/>
      <c r="T559" s="6"/>
      <c r="U559" s="6">
        <f t="shared" si="9"/>
        <v>19000</v>
      </c>
    </row>
    <row r="560" spans="2:21" x14ac:dyDescent="0.35">
      <c r="B560" t="s">
        <v>6</v>
      </c>
      <c r="C560" t="s">
        <v>7</v>
      </c>
      <c r="D560" t="s">
        <v>124</v>
      </c>
      <c r="E560" s="2" t="s">
        <v>142</v>
      </c>
      <c r="F560">
        <v>90123101</v>
      </c>
      <c r="G560">
        <v>61711101</v>
      </c>
      <c r="H560" s="27">
        <v>52000</v>
      </c>
      <c r="I560" s="10">
        <v>0</v>
      </c>
      <c r="J560" s="10">
        <v>0</v>
      </c>
      <c r="L560" s="10">
        <v>0</v>
      </c>
      <c r="M560" s="10">
        <v>0</v>
      </c>
      <c r="N560" s="10">
        <v>400</v>
      </c>
      <c r="O560" s="10">
        <v>0</v>
      </c>
      <c r="P560" s="10">
        <v>0</v>
      </c>
      <c r="Q560" s="6">
        <v>0</v>
      </c>
      <c r="R560" s="6"/>
      <c r="S560" s="6"/>
      <c r="T560" s="6"/>
      <c r="U560" s="6">
        <f t="shared" si="9"/>
        <v>400</v>
      </c>
    </row>
    <row r="561" spans="2:21" x14ac:dyDescent="0.35">
      <c r="B561" t="s">
        <v>6</v>
      </c>
      <c r="C561" t="s">
        <v>7</v>
      </c>
      <c r="D561" t="s">
        <v>7</v>
      </c>
      <c r="E561" t="s">
        <v>1251</v>
      </c>
      <c r="F561">
        <v>90123101</v>
      </c>
      <c r="G561">
        <v>61711101</v>
      </c>
      <c r="H561" s="27">
        <v>3000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6"/>
      <c r="R561" s="6"/>
      <c r="S561" s="6"/>
      <c r="T561" s="6"/>
      <c r="U561" s="6">
        <f t="shared" si="9"/>
        <v>0</v>
      </c>
    </row>
    <row r="562" spans="2:21" x14ac:dyDescent="0.35">
      <c r="B562" t="s">
        <v>1271</v>
      </c>
      <c r="C562" t="s">
        <v>162</v>
      </c>
      <c r="D562" t="s">
        <v>124</v>
      </c>
      <c r="E562" s="2" t="s">
        <v>160</v>
      </c>
      <c r="F562">
        <v>90122101</v>
      </c>
      <c r="G562">
        <v>61711101</v>
      </c>
      <c r="H562" s="27">
        <v>0</v>
      </c>
      <c r="I562" s="10">
        <v>50000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6">
        <v>0</v>
      </c>
      <c r="R562" s="6"/>
      <c r="S562" s="6"/>
      <c r="T562" s="6"/>
      <c r="U562" s="6">
        <f t="shared" si="9"/>
        <v>50000</v>
      </c>
    </row>
    <row r="563" spans="2:21" x14ac:dyDescent="0.35">
      <c r="B563" t="s">
        <v>1271</v>
      </c>
      <c r="C563" t="s">
        <v>162</v>
      </c>
      <c r="D563" t="s">
        <v>161</v>
      </c>
      <c r="E563" s="2" t="s">
        <v>162</v>
      </c>
      <c r="F563">
        <v>80123101</v>
      </c>
      <c r="G563">
        <v>61071002</v>
      </c>
      <c r="H563" s="27">
        <v>1702941.0000000088</v>
      </c>
      <c r="I563" s="10">
        <v>3018048</v>
      </c>
      <c r="J563" s="10">
        <v>-1500</v>
      </c>
      <c r="K563" s="10">
        <v>68343.600000000093</v>
      </c>
      <c r="L563" s="10">
        <v>10898.610000000002</v>
      </c>
      <c r="M563" s="10">
        <v>6352</v>
      </c>
      <c r="N563" s="10">
        <v>307054.8</v>
      </c>
      <c r="O563" s="10">
        <v>14868.75</v>
      </c>
      <c r="P563" s="10">
        <v>41277.599999999999</v>
      </c>
      <c r="Q563" s="6">
        <v>8650</v>
      </c>
      <c r="R563" s="6">
        <v>-590350.78666666371</v>
      </c>
      <c r="S563" s="6">
        <v>-590350.78666666371</v>
      </c>
      <c r="T563" s="6">
        <v>-590350.78666666371</v>
      </c>
      <c r="U563" s="6">
        <f t="shared" si="9"/>
        <v>1702941.0000000084</v>
      </c>
    </row>
    <row r="564" spans="2:21" x14ac:dyDescent="0.35">
      <c r="B564" t="s">
        <v>1271</v>
      </c>
      <c r="C564" t="s">
        <v>162</v>
      </c>
      <c r="D564" t="s">
        <v>161</v>
      </c>
      <c r="E564" s="2" t="s">
        <v>162</v>
      </c>
      <c r="F564">
        <v>90123101</v>
      </c>
      <c r="G564">
        <v>61071002</v>
      </c>
      <c r="H564" s="27">
        <v>600000</v>
      </c>
      <c r="I564" s="10">
        <v>265000</v>
      </c>
      <c r="J564" s="10">
        <v>107550</v>
      </c>
      <c r="K564" s="10">
        <v>0</v>
      </c>
      <c r="L564" s="10">
        <v>0</v>
      </c>
      <c r="M564" s="10">
        <v>0</v>
      </c>
      <c r="N564" s="10">
        <v>200000</v>
      </c>
      <c r="O564" s="10">
        <v>0</v>
      </c>
      <c r="P564" s="10">
        <v>0</v>
      </c>
      <c r="Q564" s="6">
        <v>0</v>
      </c>
      <c r="R564" s="6">
        <v>9150</v>
      </c>
      <c r="S564" s="6">
        <v>9150</v>
      </c>
      <c r="T564" s="6">
        <v>9150</v>
      </c>
      <c r="U564" s="6">
        <f t="shared" si="9"/>
        <v>600000</v>
      </c>
    </row>
    <row r="565" spans="2:21" x14ac:dyDescent="0.35">
      <c r="B565" t="s">
        <v>1271</v>
      </c>
      <c r="C565" t="s">
        <v>162</v>
      </c>
      <c r="D565" t="s">
        <v>161</v>
      </c>
      <c r="E565" s="2" t="s">
        <v>162</v>
      </c>
      <c r="F565">
        <v>81123101</v>
      </c>
      <c r="G565">
        <v>52071102</v>
      </c>
      <c r="H565" s="27">
        <v>1500000</v>
      </c>
      <c r="I565" s="10">
        <v>0</v>
      </c>
      <c r="J565" s="10">
        <v>0</v>
      </c>
      <c r="K565" s="10">
        <v>529090</v>
      </c>
      <c r="L565" s="10">
        <v>75000</v>
      </c>
      <c r="M565" s="6">
        <v>85150</v>
      </c>
      <c r="N565" s="10">
        <v>6995</v>
      </c>
      <c r="O565" s="10">
        <v>10600</v>
      </c>
      <c r="P565" s="10">
        <v>0</v>
      </c>
      <c r="Q565" s="6">
        <v>42978</v>
      </c>
      <c r="R565" s="6">
        <v>250062.33333333334</v>
      </c>
      <c r="S565" s="6">
        <v>250062.33333333334</v>
      </c>
      <c r="T565" s="6">
        <v>250062.33333333334</v>
      </c>
      <c r="U565" s="6">
        <f t="shared" si="9"/>
        <v>1500000</v>
      </c>
    </row>
    <row r="566" spans="2:21" x14ac:dyDescent="0.35">
      <c r="B566" t="s">
        <v>1271</v>
      </c>
      <c r="C566" t="s">
        <v>1283</v>
      </c>
      <c r="D566" t="s">
        <v>161</v>
      </c>
      <c r="E566" s="2" t="s">
        <v>162</v>
      </c>
      <c r="F566">
        <v>80123101</v>
      </c>
      <c r="G566">
        <v>61071002</v>
      </c>
      <c r="H566" s="27">
        <v>949999.99999999988</v>
      </c>
      <c r="I566" s="10">
        <v>0</v>
      </c>
      <c r="J566" s="10">
        <v>0</v>
      </c>
      <c r="K566" s="10">
        <v>0</v>
      </c>
      <c r="L566" s="10">
        <v>0</v>
      </c>
      <c r="N566" s="10">
        <v>0</v>
      </c>
      <c r="O566" s="10">
        <v>0</v>
      </c>
      <c r="P566" s="10">
        <v>0</v>
      </c>
      <c r="Q566" s="6">
        <v>0</v>
      </c>
      <c r="R566" s="6">
        <v>316666.66666666663</v>
      </c>
      <c r="S566" s="6">
        <v>316666.66666666663</v>
      </c>
      <c r="T566" s="6">
        <v>316666.66666666663</v>
      </c>
      <c r="U566" s="6">
        <f t="shared" si="9"/>
        <v>949999.99999999988</v>
      </c>
    </row>
    <row r="567" spans="2:21" x14ac:dyDescent="0.35">
      <c r="B567" t="s">
        <v>1271</v>
      </c>
      <c r="C567" t="s">
        <v>1283</v>
      </c>
      <c r="D567" t="s">
        <v>161</v>
      </c>
      <c r="E567" t="s">
        <v>1252</v>
      </c>
      <c r="F567">
        <v>80123101</v>
      </c>
      <c r="G567">
        <v>61071005</v>
      </c>
      <c r="H567" s="27">
        <v>250000.00000000003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6"/>
      <c r="R567" s="6"/>
      <c r="S567" s="6"/>
      <c r="T567" s="6"/>
      <c r="U567" s="6">
        <f t="shared" si="9"/>
        <v>0</v>
      </c>
    </row>
    <row r="568" spans="2:21" x14ac:dyDescent="0.35">
      <c r="B568" t="s">
        <v>1271</v>
      </c>
      <c r="C568" t="s">
        <v>1283</v>
      </c>
      <c r="D568" t="s">
        <v>161</v>
      </c>
      <c r="E568" s="2" t="s">
        <v>163</v>
      </c>
      <c r="F568">
        <v>80123101</v>
      </c>
      <c r="G568">
        <v>61071005</v>
      </c>
      <c r="H568" s="27">
        <v>144000</v>
      </c>
      <c r="I568" s="10">
        <v>20000</v>
      </c>
      <c r="J568" s="10">
        <v>20000</v>
      </c>
      <c r="K568" s="10">
        <v>0</v>
      </c>
      <c r="L568" s="10">
        <v>40000</v>
      </c>
      <c r="M568" s="10">
        <v>20000</v>
      </c>
      <c r="N568" s="10">
        <v>20000</v>
      </c>
      <c r="O568" s="10">
        <v>20000</v>
      </c>
      <c r="P568" s="10">
        <v>20000</v>
      </c>
      <c r="Q568" s="6">
        <v>0</v>
      </c>
      <c r="R568" s="6">
        <v>20000</v>
      </c>
      <c r="S568" s="6">
        <v>20000</v>
      </c>
      <c r="T568" s="6">
        <v>20000</v>
      </c>
      <c r="U568" s="6">
        <f t="shared" si="9"/>
        <v>220000</v>
      </c>
    </row>
    <row r="569" spans="2:21" x14ac:dyDescent="0.35">
      <c r="B569" t="s">
        <v>1271</v>
      </c>
      <c r="C569" t="s">
        <v>1283</v>
      </c>
      <c r="D569" t="s">
        <v>161</v>
      </c>
      <c r="E569" s="2" t="s">
        <v>164</v>
      </c>
      <c r="F569">
        <v>80123101</v>
      </c>
      <c r="G569">
        <v>61071005</v>
      </c>
      <c r="H569" s="27">
        <v>84000</v>
      </c>
      <c r="I569" s="10">
        <v>7000</v>
      </c>
      <c r="J569" s="10">
        <v>7000</v>
      </c>
      <c r="K569" s="6">
        <v>7000</v>
      </c>
      <c r="L569" s="10">
        <v>7000</v>
      </c>
      <c r="M569" s="6">
        <v>7000</v>
      </c>
      <c r="N569" s="10">
        <v>7000</v>
      </c>
      <c r="O569" s="10">
        <v>7000</v>
      </c>
      <c r="P569" s="10">
        <v>7000</v>
      </c>
      <c r="Q569" s="6">
        <v>7000</v>
      </c>
      <c r="R569" s="6">
        <v>7000</v>
      </c>
      <c r="S569" s="6">
        <v>7000</v>
      </c>
      <c r="T569" s="6">
        <v>7000</v>
      </c>
      <c r="U569" s="6">
        <f t="shared" si="9"/>
        <v>84000</v>
      </c>
    </row>
    <row r="570" spans="2:21" x14ac:dyDescent="0.35">
      <c r="B570" t="s">
        <v>1271</v>
      </c>
      <c r="C570" t="s">
        <v>1283</v>
      </c>
      <c r="D570" t="s">
        <v>161</v>
      </c>
      <c r="E570" t="s">
        <v>1252</v>
      </c>
      <c r="F570">
        <v>80123101</v>
      </c>
      <c r="G570">
        <v>61071005</v>
      </c>
      <c r="H570" s="27">
        <v>120000</v>
      </c>
      <c r="I570" s="10">
        <v>0</v>
      </c>
      <c r="J570" s="10">
        <v>0</v>
      </c>
      <c r="L570" s="10">
        <v>0</v>
      </c>
      <c r="N570" s="10">
        <v>0</v>
      </c>
      <c r="O570" s="10">
        <v>0</v>
      </c>
      <c r="P570" s="10">
        <v>0</v>
      </c>
      <c r="Q570" s="6"/>
      <c r="R570" s="6"/>
      <c r="S570" s="6"/>
      <c r="T570" s="6"/>
      <c r="U570" s="6">
        <f t="shared" si="9"/>
        <v>0</v>
      </c>
    </row>
    <row r="571" spans="2:21" x14ac:dyDescent="0.35">
      <c r="B571" t="s">
        <v>1271</v>
      </c>
      <c r="C571" t="s">
        <v>1283</v>
      </c>
      <c r="D571" t="s">
        <v>161</v>
      </c>
      <c r="E571" s="2" t="s">
        <v>165</v>
      </c>
      <c r="F571">
        <v>80123101</v>
      </c>
      <c r="G571">
        <v>61071005</v>
      </c>
      <c r="H571" s="27">
        <v>240000</v>
      </c>
      <c r="I571" s="10">
        <v>20000</v>
      </c>
      <c r="J571" s="10">
        <v>20000</v>
      </c>
      <c r="K571" s="10">
        <v>20000</v>
      </c>
      <c r="L571" s="10">
        <v>20000</v>
      </c>
      <c r="M571" s="10">
        <v>20000</v>
      </c>
      <c r="N571" s="10">
        <v>0</v>
      </c>
      <c r="O571" s="10">
        <v>40000</v>
      </c>
      <c r="P571" s="10">
        <v>20000</v>
      </c>
      <c r="Q571" s="6">
        <v>20000</v>
      </c>
      <c r="R571" s="6">
        <v>20000</v>
      </c>
      <c r="S571" s="6">
        <v>20000</v>
      </c>
      <c r="T571" s="6">
        <v>20000</v>
      </c>
      <c r="U571" s="6">
        <f t="shared" si="9"/>
        <v>240000</v>
      </c>
    </row>
    <row r="572" spans="2:21" x14ac:dyDescent="0.35">
      <c r="B572" t="s">
        <v>1271</v>
      </c>
      <c r="C572" t="s">
        <v>1283</v>
      </c>
      <c r="D572" t="s">
        <v>161</v>
      </c>
      <c r="E572" s="2" t="s">
        <v>166</v>
      </c>
      <c r="F572">
        <v>80123101</v>
      </c>
      <c r="G572">
        <v>61071005</v>
      </c>
      <c r="H572" s="27">
        <v>120000</v>
      </c>
      <c r="I572" s="10">
        <v>10000</v>
      </c>
      <c r="J572" s="10">
        <v>10000</v>
      </c>
      <c r="K572" s="10">
        <v>0</v>
      </c>
      <c r="L572" s="10">
        <v>20000</v>
      </c>
      <c r="M572" s="10">
        <v>10000</v>
      </c>
      <c r="N572" s="10">
        <v>0</v>
      </c>
      <c r="O572" s="10">
        <v>20000</v>
      </c>
      <c r="P572" s="10">
        <v>10000</v>
      </c>
      <c r="Q572" s="6">
        <v>0</v>
      </c>
      <c r="R572" s="6">
        <v>10000</v>
      </c>
      <c r="S572" s="6">
        <v>10000</v>
      </c>
      <c r="T572" s="6">
        <v>10000</v>
      </c>
      <c r="U572" s="6">
        <f t="shared" si="9"/>
        <v>110000</v>
      </c>
    </row>
    <row r="573" spans="2:21" x14ac:dyDescent="0.35">
      <c r="B573" t="s">
        <v>1271</v>
      </c>
      <c r="C573" t="s">
        <v>162</v>
      </c>
      <c r="D573" t="s">
        <v>161</v>
      </c>
      <c r="E573" s="2" t="s">
        <v>167</v>
      </c>
      <c r="F573">
        <v>80123101</v>
      </c>
      <c r="G573">
        <v>61071005</v>
      </c>
      <c r="H573" s="27">
        <v>120000</v>
      </c>
      <c r="I573" s="10">
        <v>10000</v>
      </c>
      <c r="J573" s="10">
        <v>10000</v>
      </c>
      <c r="K573" s="10">
        <v>0</v>
      </c>
      <c r="L573" s="10">
        <v>20000</v>
      </c>
      <c r="M573" s="6">
        <v>10000</v>
      </c>
      <c r="N573" s="10">
        <v>10000</v>
      </c>
      <c r="O573" s="10">
        <v>10000</v>
      </c>
      <c r="P573" s="10">
        <v>10000</v>
      </c>
      <c r="Q573" s="6">
        <v>10000</v>
      </c>
      <c r="R573" s="6">
        <v>10000</v>
      </c>
      <c r="S573" s="6">
        <v>10000</v>
      </c>
      <c r="T573" s="6">
        <v>10000</v>
      </c>
      <c r="U573" s="6">
        <f t="shared" si="9"/>
        <v>120000</v>
      </c>
    </row>
    <row r="574" spans="2:21" x14ac:dyDescent="0.35">
      <c r="B574" t="s">
        <v>1271</v>
      </c>
      <c r="C574" t="s">
        <v>162</v>
      </c>
      <c r="D574" t="s">
        <v>161</v>
      </c>
      <c r="E574" s="37" t="s">
        <v>162</v>
      </c>
      <c r="F574">
        <v>80123101</v>
      </c>
      <c r="G574">
        <v>61071002</v>
      </c>
      <c r="H574" s="27">
        <v>66000</v>
      </c>
      <c r="I574" s="10">
        <v>0</v>
      </c>
      <c r="J574" s="10">
        <v>0</v>
      </c>
      <c r="K574" s="10">
        <v>0</v>
      </c>
      <c r="L574" s="10">
        <v>0</v>
      </c>
      <c r="N574" s="10">
        <v>0</v>
      </c>
      <c r="O574" s="10">
        <v>0</v>
      </c>
      <c r="P574" s="10">
        <v>0</v>
      </c>
      <c r="Q574" s="6">
        <v>0</v>
      </c>
      <c r="R574" s="6">
        <v>22000</v>
      </c>
      <c r="S574" s="6">
        <v>22000</v>
      </c>
      <c r="T574" s="6">
        <v>22000</v>
      </c>
      <c r="U574" s="6">
        <f t="shared" si="9"/>
        <v>66000</v>
      </c>
    </row>
    <row r="575" spans="2:21" x14ac:dyDescent="0.35">
      <c r="B575" t="s">
        <v>1271</v>
      </c>
      <c r="C575" t="s">
        <v>162</v>
      </c>
      <c r="D575" t="s">
        <v>161</v>
      </c>
      <c r="E575" s="37" t="s">
        <v>162</v>
      </c>
      <c r="F575">
        <v>81123101</v>
      </c>
      <c r="G575">
        <v>52071102</v>
      </c>
      <c r="H575" s="27">
        <v>30000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6">
        <v>0</v>
      </c>
      <c r="R575" s="6">
        <v>10000</v>
      </c>
      <c r="S575" s="6">
        <v>10000</v>
      </c>
      <c r="T575" s="6">
        <v>10000</v>
      </c>
      <c r="U575" s="6">
        <f t="shared" si="9"/>
        <v>30000</v>
      </c>
    </row>
    <row r="576" spans="2:21" x14ac:dyDescent="0.35">
      <c r="B576" t="s">
        <v>1271</v>
      </c>
      <c r="C576" t="s">
        <v>162</v>
      </c>
      <c r="D576" t="s">
        <v>161</v>
      </c>
      <c r="E576" s="2" t="s">
        <v>162</v>
      </c>
      <c r="F576">
        <v>90123101</v>
      </c>
      <c r="G576">
        <v>61071002</v>
      </c>
      <c r="H576" s="27">
        <v>30000</v>
      </c>
      <c r="I576" s="10">
        <v>0</v>
      </c>
      <c r="J576" s="10">
        <v>8645</v>
      </c>
      <c r="K576" s="10">
        <v>0</v>
      </c>
      <c r="L576" s="10">
        <v>3040</v>
      </c>
      <c r="M576" s="6">
        <v>0</v>
      </c>
      <c r="N576" s="10">
        <v>0</v>
      </c>
      <c r="O576" s="10">
        <v>0</v>
      </c>
      <c r="P576" s="10">
        <v>0</v>
      </c>
      <c r="Q576" s="6">
        <v>0</v>
      </c>
      <c r="R576" s="6">
        <v>6105</v>
      </c>
      <c r="S576" s="6">
        <v>6105</v>
      </c>
      <c r="T576" s="6">
        <v>6105</v>
      </c>
      <c r="U576" s="6">
        <f t="shared" si="9"/>
        <v>30000</v>
      </c>
    </row>
    <row r="577" spans="2:21" x14ac:dyDescent="0.35">
      <c r="B577" t="s">
        <v>1271</v>
      </c>
      <c r="C577" t="s">
        <v>162</v>
      </c>
      <c r="D577" t="s">
        <v>161</v>
      </c>
      <c r="E577" s="37" t="s">
        <v>162</v>
      </c>
      <c r="F577">
        <v>80123101</v>
      </c>
      <c r="G577">
        <v>61071002</v>
      </c>
      <c r="H577" s="27">
        <v>99999.999999999985</v>
      </c>
      <c r="I577" s="10">
        <v>0</v>
      </c>
      <c r="J577" s="10">
        <v>0</v>
      </c>
      <c r="K577" s="10">
        <v>0</v>
      </c>
      <c r="L577" s="10">
        <v>0</v>
      </c>
      <c r="N577" s="10">
        <v>0</v>
      </c>
      <c r="O577" s="10">
        <v>0</v>
      </c>
      <c r="P577" s="10">
        <v>0</v>
      </c>
      <c r="Q577" s="6">
        <v>0</v>
      </c>
      <c r="R577" s="6">
        <v>33333.333333333328</v>
      </c>
      <c r="S577" s="6">
        <v>33333.333333333328</v>
      </c>
      <c r="T577" s="6">
        <v>33333.333333333328</v>
      </c>
      <c r="U577" s="6">
        <f t="shared" si="9"/>
        <v>99999.999999999985</v>
      </c>
    </row>
    <row r="578" spans="2:21" x14ac:dyDescent="0.35">
      <c r="B578" t="s">
        <v>1271</v>
      </c>
      <c r="C578" t="s">
        <v>162</v>
      </c>
      <c r="D578" t="s">
        <v>161</v>
      </c>
      <c r="E578" s="37" t="s">
        <v>162</v>
      </c>
      <c r="F578">
        <v>90123101</v>
      </c>
      <c r="G578">
        <v>61071002</v>
      </c>
      <c r="H578" s="27">
        <v>49999.999999999993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6">
        <v>0</v>
      </c>
      <c r="R578" s="6">
        <v>16666.666666666664</v>
      </c>
      <c r="S578" s="6">
        <v>16666.666666666664</v>
      </c>
      <c r="T578" s="6">
        <v>16666.666666666664</v>
      </c>
      <c r="U578" s="6">
        <f t="shared" si="9"/>
        <v>49999.999999999993</v>
      </c>
    </row>
    <row r="579" spans="2:21" x14ac:dyDescent="0.35">
      <c r="B579" t="s">
        <v>1271</v>
      </c>
      <c r="C579" t="s">
        <v>162</v>
      </c>
      <c r="D579" t="s">
        <v>161</v>
      </c>
      <c r="E579" s="37" t="s">
        <v>162</v>
      </c>
      <c r="F579">
        <v>81123101</v>
      </c>
      <c r="G579">
        <v>52071102</v>
      </c>
      <c r="H579" s="27">
        <v>99999.999999999985</v>
      </c>
      <c r="I579" s="10">
        <v>0</v>
      </c>
      <c r="J579" s="10">
        <v>0</v>
      </c>
      <c r="K579" s="10">
        <v>0</v>
      </c>
      <c r="L579" s="10">
        <v>0</v>
      </c>
      <c r="M579" s="6">
        <v>0</v>
      </c>
      <c r="N579" s="10">
        <v>0</v>
      </c>
      <c r="O579" s="10">
        <v>0</v>
      </c>
      <c r="P579" s="10">
        <v>0</v>
      </c>
      <c r="Q579" s="6">
        <v>0</v>
      </c>
      <c r="R579" s="6">
        <v>33333.333333333328</v>
      </c>
      <c r="S579" s="6">
        <v>33333.333333333328</v>
      </c>
      <c r="T579" s="6">
        <v>33333.333333333328</v>
      </c>
      <c r="U579" s="6">
        <f t="shared" si="9"/>
        <v>99999.999999999985</v>
      </c>
    </row>
    <row r="580" spans="2:21" x14ac:dyDescent="0.35">
      <c r="B580" t="s">
        <v>1271</v>
      </c>
      <c r="C580" t="s">
        <v>1283</v>
      </c>
      <c r="D580" t="s">
        <v>161</v>
      </c>
      <c r="E580" s="37" t="s">
        <v>162</v>
      </c>
      <c r="F580">
        <v>80123101</v>
      </c>
      <c r="G580">
        <v>61071002</v>
      </c>
      <c r="H580" s="27">
        <v>49999.999999999993</v>
      </c>
      <c r="I580" s="10">
        <v>0</v>
      </c>
      <c r="J580" s="10">
        <v>0</v>
      </c>
      <c r="K580" s="10">
        <v>0</v>
      </c>
      <c r="L580" s="10">
        <v>0</v>
      </c>
      <c r="N580" s="10">
        <v>0</v>
      </c>
      <c r="O580" s="10">
        <v>0</v>
      </c>
      <c r="P580" s="10">
        <v>0</v>
      </c>
      <c r="Q580" s="6">
        <v>0</v>
      </c>
      <c r="R580" s="6">
        <v>16666.666666666664</v>
      </c>
      <c r="S580" s="6">
        <v>16666.666666666664</v>
      </c>
      <c r="T580" s="6">
        <v>16666.666666666664</v>
      </c>
      <c r="U580" s="6">
        <f t="shared" si="9"/>
        <v>49999.999999999993</v>
      </c>
    </row>
    <row r="581" spans="2:21" x14ac:dyDescent="0.35">
      <c r="B581" t="s">
        <v>1271</v>
      </c>
      <c r="C581" t="s">
        <v>1283</v>
      </c>
      <c r="D581" t="s">
        <v>161</v>
      </c>
      <c r="E581" t="s">
        <v>1252</v>
      </c>
      <c r="F581">
        <v>80123101</v>
      </c>
      <c r="G581">
        <v>61071005</v>
      </c>
      <c r="H581" s="27">
        <v>49999.999999999993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6"/>
      <c r="R581" s="6"/>
      <c r="S581" s="6"/>
      <c r="T581" s="6"/>
      <c r="U581" s="6">
        <f t="shared" ref="U581:U644" si="10">SUM(I581:T581)</f>
        <v>0</v>
      </c>
    </row>
    <row r="582" spans="2:21" x14ac:dyDescent="0.35">
      <c r="B582" t="s">
        <v>1271</v>
      </c>
      <c r="C582" t="s">
        <v>1272</v>
      </c>
      <c r="D582" t="s">
        <v>161</v>
      </c>
      <c r="E582" t="s">
        <v>1252</v>
      </c>
      <c r="F582">
        <v>80123101</v>
      </c>
      <c r="G582">
        <v>61071005</v>
      </c>
      <c r="H582" s="27">
        <v>20000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6"/>
      <c r="R582" s="6"/>
      <c r="S582" s="6"/>
      <c r="T582" s="6"/>
      <c r="U582" s="6">
        <f t="shared" si="10"/>
        <v>0</v>
      </c>
    </row>
    <row r="583" spans="2:21" x14ac:dyDescent="0.35">
      <c r="B583" t="s">
        <v>1271</v>
      </c>
      <c r="C583" t="s">
        <v>1272</v>
      </c>
      <c r="D583" t="s">
        <v>93</v>
      </c>
      <c r="E583" s="2" t="s">
        <v>168</v>
      </c>
      <c r="F583">
        <v>80134102</v>
      </c>
      <c r="G583">
        <v>61071001</v>
      </c>
      <c r="H583" s="27">
        <v>1074276</v>
      </c>
      <c r="I583" s="10">
        <v>0</v>
      </c>
      <c r="J583" s="10">
        <v>0</v>
      </c>
      <c r="K583" s="10">
        <v>0</v>
      </c>
      <c r="L583" s="10">
        <v>487200</v>
      </c>
      <c r="M583" s="10">
        <v>0</v>
      </c>
      <c r="N583" s="10">
        <v>584640</v>
      </c>
      <c r="O583" s="10">
        <v>0</v>
      </c>
      <c r="P583" s="10">
        <v>0</v>
      </c>
      <c r="Q583" s="6"/>
      <c r="R583" s="6"/>
      <c r="S583" s="6"/>
      <c r="T583" s="6"/>
      <c r="U583" s="6">
        <f t="shared" si="10"/>
        <v>1071840</v>
      </c>
    </row>
    <row r="584" spans="2:21" x14ac:dyDescent="0.35">
      <c r="B584" t="s">
        <v>1271</v>
      </c>
      <c r="C584" t="s">
        <v>1272</v>
      </c>
      <c r="D584" t="s">
        <v>93</v>
      </c>
      <c r="E584" s="2" t="s">
        <v>168</v>
      </c>
      <c r="F584">
        <v>81134102</v>
      </c>
      <c r="G584">
        <v>61071001</v>
      </c>
      <c r="H584" s="27">
        <v>336042</v>
      </c>
      <c r="I584" s="10">
        <v>0</v>
      </c>
      <c r="J584" s="10">
        <v>0</v>
      </c>
      <c r="K584" s="10">
        <v>0</v>
      </c>
      <c r="L584" s="10">
        <v>0</v>
      </c>
      <c r="M584" s="10">
        <v>341376</v>
      </c>
      <c r="N584" s="10">
        <v>0</v>
      </c>
      <c r="O584" s="10">
        <v>0</v>
      </c>
      <c r="P584" s="10">
        <v>0</v>
      </c>
      <c r="Q584" s="6"/>
      <c r="R584" s="6"/>
      <c r="S584" s="6"/>
      <c r="T584" s="6"/>
      <c r="U584" s="6">
        <f t="shared" si="10"/>
        <v>341376</v>
      </c>
    </row>
    <row r="585" spans="2:21" x14ac:dyDescent="0.35">
      <c r="B585" t="s">
        <v>1271</v>
      </c>
      <c r="C585" t="s">
        <v>1272</v>
      </c>
      <c r="D585" t="s">
        <v>93</v>
      </c>
      <c r="E585" s="2" t="s">
        <v>168</v>
      </c>
      <c r="F585">
        <v>90134102</v>
      </c>
      <c r="G585">
        <v>61071001</v>
      </c>
      <c r="H585" s="27">
        <v>264600</v>
      </c>
      <c r="I585" s="10">
        <v>0</v>
      </c>
      <c r="J585" s="10">
        <v>0</v>
      </c>
      <c r="K585" s="10">
        <v>0</v>
      </c>
      <c r="L585" s="10">
        <v>0</v>
      </c>
      <c r="M585" s="10">
        <v>240000</v>
      </c>
      <c r="N585" s="10">
        <v>0</v>
      </c>
      <c r="O585" s="10">
        <v>0</v>
      </c>
      <c r="P585" s="10">
        <v>0</v>
      </c>
      <c r="Q585" s="6"/>
      <c r="R585" s="6"/>
      <c r="S585" s="6"/>
      <c r="T585" s="6"/>
      <c r="U585" s="6">
        <f t="shared" si="10"/>
        <v>240000</v>
      </c>
    </row>
    <row r="586" spans="2:21" x14ac:dyDescent="0.35">
      <c r="B586" t="s">
        <v>1271</v>
      </c>
      <c r="C586" t="s">
        <v>1272</v>
      </c>
      <c r="D586" t="s">
        <v>93</v>
      </c>
      <c r="E586" s="2" t="s">
        <v>169</v>
      </c>
      <c r="F586">
        <v>80134102</v>
      </c>
      <c r="G586">
        <v>61071006</v>
      </c>
      <c r="H586" s="27">
        <v>107427.6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107184</v>
      </c>
      <c r="O586" s="10">
        <v>0</v>
      </c>
      <c r="P586" s="10">
        <v>0</v>
      </c>
      <c r="Q586" s="6"/>
      <c r="R586" s="6"/>
      <c r="S586" s="6"/>
      <c r="T586" s="6"/>
      <c r="U586" s="6">
        <f t="shared" si="10"/>
        <v>107184</v>
      </c>
    </row>
    <row r="587" spans="2:21" x14ac:dyDescent="0.35">
      <c r="B587" t="s">
        <v>1271</v>
      </c>
      <c r="C587" t="s">
        <v>1272</v>
      </c>
      <c r="D587" t="s">
        <v>93</v>
      </c>
      <c r="E587" s="2" t="s">
        <v>168</v>
      </c>
      <c r="F587">
        <v>81134102</v>
      </c>
      <c r="G587">
        <v>61071006</v>
      </c>
      <c r="H587" s="27">
        <v>33604.199999999997</v>
      </c>
      <c r="I587" s="10">
        <v>0</v>
      </c>
      <c r="J587" s="10">
        <v>0</v>
      </c>
      <c r="K587" s="10">
        <v>0</v>
      </c>
      <c r="L587" s="10">
        <v>0</v>
      </c>
      <c r="M587" s="10">
        <v>34137.599999999999</v>
      </c>
      <c r="N587" s="10">
        <v>0</v>
      </c>
      <c r="O587" s="10">
        <v>0</v>
      </c>
      <c r="P587" s="10">
        <v>0</v>
      </c>
      <c r="Q587" s="6"/>
      <c r="R587" s="6"/>
      <c r="S587" s="6"/>
      <c r="T587" s="6"/>
      <c r="U587" s="6">
        <f t="shared" si="10"/>
        <v>34137.599999999999</v>
      </c>
    </row>
    <row r="588" spans="2:21" x14ac:dyDescent="0.35">
      <c r="B588" t="s">
        <v>1271</v>
      </c>
      <c r="C588" t="s">
        <v>1272</v>
      </c>
      <c r="D588" t="s">
        <v>93</v>
      </c>
      <c r="E588" s="2" t="s">
        <v>168</v>
      </c>
      <c r="F588">
        <v>90134102</v>
      </c>
      <c r="G588">
        <v>61071006</v>
      </c>
      <c r="H588" s="27">
        <v>26460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6"/>
      <c r="R588" s="6"/>
      <c r="S588" s="6"/>
      <c r="T588" s="6"/>
      <c r="U588" s="6">
        <f t="shared" si="10"/>
        <v>0</v>
      </c>
    </row>
    <row r="589" spans="2:21" x14ac:dyDescent="0.35">
      <c r="B589" t="s">
        <v>1271</v>
      </c>
      <c r="C589" t="s">
        <v>1272</v>
      </c>
      <c r="D589" t="s">
        <v>93</v>
      </c>
      <c r="E589" t="s">
        <v>172</v>
      </c>
      <c r="F589">
        <v>90134102</v>
      </c>
      <c r="G589">
        <v>61071001</v>
      </c>
      <c r="H589" s="27">
        <v>500000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6">
        <v>0</v>
      </c>
      <c r="R589" s="6">
        <v>0</v>
      </c>
      <c r="S589" s="6">
        <v>0</v>
      </c>
      <c r="T589" s="6">
        <v>0</v>
      </c>
      <c r="U589" s="6">
        <f t="shared" si="10"/>
        <v>0</v>
      </c>
    </row>
    <row r="590" spans="2:21" x14ac:dyDescent="0.35">
      <c r="B590" t="s">
        <v>1271</v>
      </c>
      <c r="C590" t="s">
        <v>1272</v>
      </c>
      <c r="D590" t="s">
        <v>93</v>
      </c>
      <c r="E590" t="s">
        <v>172</v>
      </c>
      <c r="F590">
        <v>90134102</v>
      </c>
      <c r="G590">
        <v>61071006</v>
      </c>
      <c r="H590" s="27">
        <v>75000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6">
        <v>0</v>
      </c>
      <c r="R590" s="6">
        <v>0</v>
      </c>
      <c r="S590" s="6">
        <v>0</v>
      </c>
      <c r="T590" s="6">
        <v>0</v>
      </c>
      <c r="U590" s="6">
        <f t="shared" si="10"/>
        <v>0</v>
      </c>
    </row>
    <row r="591" spans="2:21" x14ac:dyDescent="0.35">
      <c r="B591" t="s">
        <v>1271</v>
      </c>
      <c r="C591" t="s">
        <v>1272</v>
      </c>
      <c r="D591" t="s">
        <v>93</v>
      </c>
      <c r="E591" t="s">
        <v>172</v>
      </c>
      <c r="F591">
        <v>80134102</v>
      </c>
      <c r="G591">
        <v>61071001</v>
      </c>
      <c r="H591" s="27">
        <v>500000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6">
        <v>0</v>
      </c>
      <c r="R591" s="6">
        <v>0</v>
      </c>
      <c r="S591" s="6">
        <v>0</v>
      </c>
      <c r="T591" s="6">
        <v>0</v>
      </c>
      <c r="U591" s="6">
        <f t="shared" si="10"/>
        <v>0</v>
      </c>
    </row>
    <row r="592" spans="2:21" x14ac:dyDescent="0.35">
      <c r="B592" t="s">
        <v>1271</v>
      </c>
      <c r="C592" t="s">
        <v>1272</v>
      </c>
      <c r="D592" t="s">
        <v>93</v>
      </c>
      <c r="E592" t="s">
        <v>172</v>
      </c>
      <c r="F592">
        <v>80134102</v>
      </c>
      <c r="G592" s="2">
        <v>61071006</v>
      </c>
      <c r="H592" s="27">
        <v>75000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6">
        <v>0</v>
      </c>
      <c r="R592" s="6">
        <v>0</v>
      </c>
      <c r="S592" s="6">
        <v>0</v>
      </c>
      <c r="T592" s="6">
        <v>0</v>
      </c>
      <c r="U592" s="6">
        <f t="shared" si="10"/>
        <v>0</v>
      </c>
    </row>
    <row r="593" spans="2:21" x14ac:dyDescent="0.35">
      <c r="B593" t="s">
        <v>1271</v>
      </c>
      <c r="C593" t="s">
        <v>1272</v>
      </c>
      <c r="D593" t="s">
        <v>93</v>
      </c>
      <c r="E593" s="2" t="s">
        <v>172</v>
      </c>
      <c r="F593" s="2">
        <v>90134102</v>
      </c>
      <c r="G593">
        <v>52071104</v>
      </c>
      <c r="H593" s="27">
        <v>0</v>
      </c>
      <c r="I593" s="10">
        <v>0</v>
      </c>
      <c r="J593" s="10">
        <v>47000</v>
      </c>
      <c r="K593" s="10">
        <v>46000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6">
        <v>0</v>
      </c>
      <c r="R593" s="6">
        <v>0</v>
      </c>
      <c r="S593" s="6">
        <v>0</v>
      </c>
      <c r="T593" s="6">
        <v>0</v>
      </c>
      <c r="U593" s="6">
        <f t="shared" si="10"/>
        <v>93000</v>
      </c>
    </row>
    <row r="594" spans="2:21" x14ac:dyDescent="0.35">
      <c r="B594" t="s">
        <v>1271</v>
      </c>
      <c r="C594" t="s">
        <v>1272</v>
      </c>
      <c r="D594" t="s">
        <v>93</v>
      </c>
      <c r="E594" s="2" t="s">
        <v>173</v>
      </c>
      <c r="F594">
        <v>80133102</v>
      </c>
      <c r="G594">
        <v>61071004</v>
      </c>
      <c r="H594" s="27">
        <v>249999.99999999997</v>
      </c>
      <c r="I594" s="10">
        <v>0</v>
      </c>
      <c r="J594" s="10">
        <v>0</v>
      </c>
      <c r="K594" s="10">
        <v>0</v>
      </c>
      <c r="L594" s="10">
        <v>0</v>
      </c>
      <c r="M594" s="10">
        <v>250000</v>
      </c>
      <c r="N594" s="10">
        <v>250000</v>
      </c>
      <c r="O594" s="10">
        <v>0</v>
      </c>
      <c r="P594" s="10">
        <v>0</v>
      </c>
      <c r="Q594" s="6"/>
      <c r="R594" s="6"/>
      <c r="S594" s="6"/>
      <c r="T594" s="6"/>
      <c r="U594" s="6">
        <f t="shared" si="10"/>
        <v>500000</v>
      </c>
    </row>
    <row r="595" spans="2:21" x14ac:dyDescent="0.35">
      <c r="B595" t="s">
        <v>1271</v>
      </c>
      <c r="C595" t="s">
        <v>1272</v>
      </c>
      <c r="D595" t="s">
        <v>93</v>
      </c>
      <c r="E595" s="2" t="s">
        <v>173</v>
      </c>
      <c r="F595">
        <v>80133102</v>
      </c>
      <c r="G595">
        <v>61071004</v>
      </c>
      <c r="H595" s="27">
        <v>249999.99999999997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6">
        <v>0</v>
      </c>
      <c r="R595" s="6"/>
      <c r="S595" s="6"/>
      <c r="T595" s="6"/>
      <c r="U595" s="6">
        <f t="shared" si="10"/>
        <v>0</v>
      </c>
    </row>
    <row r="596" spans="2:21" x14ac:dyDescent="0.35">
      <c r="B596" t="s">
        <v>1271</v>
      </c>
      <c r="C596" t="s">
        <v>1272</v>
      </c>
      <c r="D596" t="s">
        <v>93</v>
      </c>
      <c r="E596" s="2" t="s">
        <v>173</v>
      </c>
      <c r="F596">
        <v>81133102</v>
      </c>
      <c r="G596">
        <v>52071104</v>
      </c>
      <c r="H596" s="27">
        <v>249999.99999999997</v>
      </c>
      <c r="I596" s="10">
        <v>0</v>
      </c>
      <c r="J596" s="10">
        <v>0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6">
        <v>0</v>
      </c>
      <c r="R596" s="6"/>
      <c r="S596" s="6"/>
      <c r="T596" s="6"/>
      <c r="U596" s="6">
        <f t="shared" si="10"/>
        <v>0</v>
      </c>
    </row>
    <row r="597" spans="2:21" x14ac:dyDescent="0.35">
      <c r="B597" t="s">
        <v>1271</v>
      </c>
      <c r="C597" t="s">
        <v>1272</v>
      </c>
      <c r="D597" t="s">
        <v>93</v>
      </c>
      <c r="E597" s="2" t="s">
        <v>173</v>
      </c>
      <c r="F597">
        <v>81133102</v>
      </c>
      <c r="G597">
        <v>52071104</v>
      </c>
      <c r="H597" s="27">
        <v>249999.99999999997</v>
      </c>
      <c r="I597" s="10">
        <v>0</v>
      </c>
      <c r="J597" s="10">
        <v>0</v>
      </c>
      <c r="K597" s="10">
        <v>0</v>
      </c>
      <c r="L597" s="10">
        <v>250000</v>
      </c>
      <c r="M597" s="10">
        <v>0</v>
      </c>
      <c r="N597" s="10">
        <v>250000</v>
      </c>
      <c r="O597" s="10">
        <v>0</v>
      </c>
      <c r="P597" s="10">
        <v>250000</v>
      </c>
      <c r="Q597" s="6"/>
      <c r="R597" s="6"/>
      <c r="S597" s="6"/>
      <c r="T597" s="6"/>
      <c r="U597" s="6">
        <f t="shared" si="10"/>
        <v>750000</v>
      </c>
    </row>
    <row r="598" spans="2:21" x14ac:dyDescent="0.35">
      <c r="B598" t="s">
        <v>1271</v>
      </c>
      <c r="C598" t="s">
        <v>1272</v>
      </c>
      <c r="D598" t="s">
        <v>93</v>
      </c>
      <c r="E598" s="2" t="s">
        <v>173</v>
      </c>
      <c r="F598">
        <v>90133102</v>
      </c>
      <c r="G598">
        <v>52071104</v>
      </c>
      <c r="H598" s="27">
        <v>225000</v>
      </c>
      <c r="I598" s="10">
        <v>250000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6">
        <v>57500</v>
      </c>
      <c r="R598" s="6"/>
      <c r="S598" s="6"/>
      <c r="T598" s="6"/>
      <c r="U598" s="6">
        <f t="shared" si="10"/>
        <v>307500</v>
      </c>
    </row>
    <row r="599" spans="2:21" x14ac:dyDescent="0.35">
      <c r="B599" t="s">
        <v>1271</v>
      </c>
      <c r="C599" t="s">
        <v>1272</v>
      </c>
      <c r="D599" t="s">
        <v>93</v>
      </c>
      <c r="E599" s="2" t="s">
        <v>173</v>
      </c>
      <c r="F599">
        <v>90133102</v>
      </c>
      <c r="G599">
        <v>52071104</v>
      </c>
      <c r="H599" s="27">
        <v>225000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6">
        <v>0</v>
      </c>
      <c r="R599" s="6"/>
      <c r="S599" s="6"/>
      <c r="T599" s="6"/>
      <c r="U599" s="6">
        <f t="shared" si="10"/>
        <v>0</v>
      </c>
    </row>
    <row r="600" spans="2:21" x14ac:dyDescent="0.35">
      <c r="B600" t="s">
        <v>1271</v>
      </c>
      <c r="C600" t="s">
        <v>1272</v>
      </c>
      <c r="D600" t="s">
        <v>93</v>
      </c>
      <c r="E600" s="2" t="s">
        <v>173</v>
      </c>
      <c r="F600">
        <v>80133102</v>
      </c>
      <c r="G600">
        <v>61071006</v>
      </c>
      <c r="H600" s="27">
        <v>50000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6">
        <v>0</v>
      </c>
      <c r="R600" s="6"/>
      <c r="S600" s="6"/>
      <c r="T600" s="6"/>
      <c r="U600" s="6">
        <f t="shared" si="10"/>
        <v>0</v>
      </c>
    </row>
    <row r="601" spans="2:21" x14ac:dyDescent="0.35">
      <c r="B601" t="s">
        <v>1271</v>
      </c>
      <c r="C601" t="s">
        <v>1272</v>
      </c>
      <c r="D601" t="s">
        <v>93</v>
      </c>
      <c r="E601" s="2" t="s">
        <v>173</v>
      </c>
      <c r="F601">
        <v>90133102</v>
      </c>
      <c r="G601" s="2">
        <v>52071106</v>
      </c>
      <c r="H601" s="27">
        <v>50000</v>
      </c>
      <c r="I601" s="10">
        <v>0</v>
      </c>
      <c r="J601" s="10">
        <v>0</v>
      </c>
      <c r="K601" s="10">
        <v>0</v>
      </c>
      <c r="L601" s="10">
        <v>0</v>
      </c>
      <c r="M601" s="6">
        <v>0</v>
      </c>
      <c r="N601" s="10">
        <v>0</v>
      </c>
      <c r="O601" s="10">
        <v>0</v>
      </c>
      <c r="P601" s="10">
        <v>0</v>
      </c>
      <c r="Q601" s="6">
        <v>0</v>
      </c>
      <c r="R601" s="6"/>
      <c r="S601" s="6"/>
      <c r="T601" s="6"/>
      <c r="U601" s="6">
        <f t="shared" si="10"/>
        <v>0</v>
      </c>
    </row>
    <row r="602" spans="2:21" x14ac:dyDescent="0.35">
      <c r="B602" t="s">
        <v>1271</v>
      </c>
      <c r="C602" t="s">
        <v>1272</v>
      </c>
      <c r="D602" t="s">
        <v>93</v>
      </c>
      <c r="E602" s="2" t="s">
        <v>173</v>
      </c>
      <c r="F602" s="2">
        <v>81133102</v>
      </c>
      <c r="G602">
        <v>52071106</v>
      </c>
      <c r="H602" s="27">
        <v>0</v>
      </c>
      <c r="I602" s="10">
        <v>0</v>
      </c>
      <c r="J602" s="10">
        <v>0</v>
      </c>
      <c r="K602" s="10">
        <v>0</v>
      </c>
      <c r="L602" s="10">
        <v>-42000</v>
      </c>
      <c r="N602" s="10">
        <v>0</v>
      </c>
      <c r="O602" s="10">
        <v>0</v>
      </c>
      <c r="P602" s="10">
        <v>0</v>
      </c>
      <c r="Q602" s="6">
        <v>0</v>
      </c>
      <c r="R602" s="6"/>
      <c r="S602" s="6"/>
      <c r="T602" s="6"/>
      <c r="U602" s="6">
        <f t="shared" si="10"/>
        <v>-42000</v>
      </c>
    </row>
    <row r="603" spans="2:21" x14ac:dyDescent="0.35">
      <c r="B603" t="s">
        <v>1271</v>
      </c>
      <c r="C603" t="s">
        <v>1272</v>
      </c>
      <c r="D603" s="37" t="s">
        <v>1263</v>
      </c>
      <c r="E603" s="37" t="s">
        <v>1263</v>
      </c>
      <c r="F603">
        <v>80215106</v>
      </c>
      <c r="G603">
        <v>61071004</v>
      </c>
      <c r="H603" s="27">
        <v>0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6">
        <v>0</v>
      </c>
      <c r="R603" s="6">
        <v>0</v>
      </c>
      <c r="S603" s="6">
        <v>0</v>
      </c>
      <c r="T603" s="6">
        <v>0</v>
      </c>
      <c r="U603" s="6">
        <f t="shared" si="10"/>
        <v>0</v>
      </c>
    </row>
    <row r="604" spans="2:21" x14ac:dyDescent="0.35">
      <c r="B604" t="s">
        <v>1271</v>
      </c>
      <c r="C604" t="s">
        <v>1272</v>
      </c>
      <c r="D604" s="37" t="s">
        <v>1263</v>
      </c>
      <c r="E604" s="37" t="s">
        <v>1263</v>
      </c>
      <c r="F604">
        <v>80215106</v>
      </c>
      <c r="G604">
        <v>61071004</v>
      </c>
      <c r="H604" s="27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6">
        <v>0</v>
      </c>
      <c r="R604" s="6">
        <v>0</v>
      </c>
      <c r="S604" s="6">
        <v>0</v>
      </c>
      <c r="T604" s="6">
        <v>0</v>
      </c>
      <c r="U604" s="6">
        <f t="shared" si="10"/>
        <v>0</v>
      </c>
    </row>
    <row r="605" spans="2:21" x14ac:dyDescent="0.35">
      <c r="B605" t="s">
        <v>1271</v>
      </c>
      <c r="C605" t="s">
        <v>1272</v>
      </c>
      <c r="D605" s="37" t="s">
        <v>1263</v>
      </c>
      <c r="E605" s="37" t="s">
        <v>1263</v>
      </c>
      <c r="F605">
        <v>80215106</v>
      </c>
      <c r="G605">
        <v>61071004</v>
      </c>
      <c r="H605" s="27">
        <v>0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6">
        <v>0</v>
      </c>
      <c r="R605" s="6">
        <v>0</v>
      </c>
      <c r="S605" s="6">
        <v>0</v>
      </c>
      <c r="T605" s="6">
        <v>0</v>
      </c>
      <c r="U605" s="6">
        <f t="shared" si="10"/>
        <v>0</v>
      </c>
    </row>
    <row r="606" spans="2:21" x14ac:dyDescent="0.35">
      <c r="B606" t="s">
        <v>1271</v>
      </c>
      <c r="C606" t="s">
        <v>1272</v>
      </c>
      <c r="D606" s="37" t="s">
        <v>1263</v>
      </c>
      <c r="E606" s="37" t="s">
        <v>1263</v>
      </c>
      <c r="F606">
        <v>80215106</v>
      </c>
      <c r="G606">
        <v>61071004</v>
      </c>
      <c r="H606" s="27">
        <v>0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6">
        <v>0</v>
      </c>
      <c r="R606" s="6">
        <v>0</v>
      </c>
      <c r="S606" s="6">
        <v>0</v>
      </c>
      <c r="T606" s="6">
        <v>0</v>
      </c>
      <c r="U606" s="6">
        <f t="shared" si="10"/>
        <v>0</v>
      </c>
    </row>
    <row r="607" spans="2:21" x14ac:dyDescent="0.35">
      <c r="B607" t="s">
        <v>1271</v>
      </c>
      <c r="C607" t="s">
        <v>1272</v>
      </c>
      <c r="D607" s="37" t="s">
        <v>1263</v>
      </c>
      <c r="E607" s="37" t="s">
        <v>1263</v>
      </c>
      <c r="F607">
        <v>80215106</v>
      </c>
      <c r="G607">
        <v>61071004</v>
      </c>
      <c r="H607" s="27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6">
        <v>0</v>
      </c>
      <c r="R607" s="6">
        <v>0</v>
      </c>
      <c r="S607" s="6">
        <v>0</v>
      </c>
      <c r="T607" s="6">
        <v>0</v>
      </c>
      <c r="U607" s="6">
        <f t="shared" si="10"/>
        <v>0</v>
      </c>
    </row>
    <row r="608" spans="2:21" x14ac:dyDescent="0.35">
      <c r="B608" t="s">
        <v>1271</v>
      </c>
      <c r="C608" t="s">
        <v>1272</v>
      </c>
      <c r="D608" s="37" t="s">
        <v>1263</v>
      </c>
      <c r="E608" s="37" t="s">
        <v>1263</v>
      </c>
      <c r="F608">
        <v>80215106</v>
      </c>
      <c r="G608">
        <v>61071004</v>
      </c>
      <c r="H608" s="27">
        <v>0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6">
        <v>0</v>
      </c>
      <c r="R608" s="6">
        <v>0</v>
      </c>
      <c r="S608" s="6">
        <v>0</v>
      </c>
      <c r="T608" s="6">
        <v>0</v>
      </c>
      <c r="U608" s="6">
        <f t="shared" si="10"/>
        <v>0</v>
      </c>
    </row>
    <row r="609" spans="2:21" x14ac:dyDescent="0.35">
      <c r="B609" t="s">
        <v>1271</v>
      </c>
      <c r="C609" t="s">
        <v>1272</v>
      </c>
      <c r="D609" t="s">
        <v>93</v>
      </c>
      <c r="E609" t="s">
        <v>1041</v>
      </c>
      <c r="F609">
        <v>80215106</v>
      </c>
      <c r="G609">
        <v>61071004</v>
      </c>
      <c r="H609" s="27">
        <v>1500000</v>
      </c>
      <c r="I609" s="10">
        <v>0</v>
      </c>
      <c r="J609" s="10">
        <v>0</v>
      </c>
      <c r="K609" s="10">
        <v>642857.14</v>
      </c>
      <c r="L609" s="10">
        <v>0</v>
      </c>
      <c r="M609" s="6">
        <v>160714.29</v>
      </c>
      <c r="N609" s="10">
        <v>0</v>
      </c>
      <c r="O609" s="10">
        <v>0</v>
      </c>
      <c r="P609" s="10">
        <v>0</v>
      </c>
      <c r="Q609" s="6">
        <v>0</v>
      </c>
      <c r="R609" s="6">
        <v>0</v>
      </c>
      <c r="S609" s="6">
        <v>0</v>
      </c>
      <c r="T609" s="6">
        <v>0</v>
      </c>
      <c r="U609" s="6">
        <f t="shared" si="10"/>
        <v>803571.43</v>
      </c>
    </row>
    <row r="610" spans="2:21" x14ac:dyDescent="0.35">
      <c r="B610" t="s">
        <v>1271</v>
      </c>
      <c r="C610" t="s">
        <v>1272</v>
      </c>
      <c r="D610" s="37" t="s">
        <v>93</v>
      </c>
      <c r="E610" s="37" t="s">
        <v>1042</v>
      </c>
      <c r="F610">
        <v>81111202</v>
      </c>
      <c r="G610">
        <v>61071001</v>
      </c>
      <c r="H610" s="27">
        <v>0</v>
      </c>
      <c r="K610" s="10">
        <f>53292.12+45892.12</f>
        <v>99184.24</v>
      </c>
      <c r="L610" s="10">
        <v>0</v>
      </c>
      <c r="M610" s="6"/>
      <c r="N610" s="10">
        <v>0</v>
      </c>
      <c r="O610" s="10">
        <v>0</v>
      </c>
      <c r="P610" s="10">
        <v>0</v>
      </c>
      <c r="Q610" s="6"/>
      <c r="R610" s="6"/>
      <c r="S610" s="6"/>
      <c r="T610" s="6"/>
      <c r="U610" s="6">
        <f t="shared" si="10"/>
        <v>99184.24</v>
      </c>
    </row>
    <row r="611" spans="2:21" x14ac:dyDescent="0.35">
      <c r="B611" t="s">
        <v>1271</v>
      </c>
      <c r="C611" t="s">
        <v>1272</v>
      </c>
      <c r="D611" t="s">
        <v>93</v>
      </c>
      <c r="E611" s="2" t="s">
        <v>174</v>
      </c>
      <c r="F611">
        <v>90111101</v>
      </c>
      <c r="G611">
        <v>52071199</v>
      </c>
      <c r="H611" s="27">
        <v>0</v>
      </c>
      <c r="I611" s="10">
        <v>61588.54</v>
      </c>
      <c r="J611" s="10">
        <v>61588.54</v>
      </c>
      <c r="K611" s="10">
        <v>-123177.08</v>
      </c>
      <c r="L611" s="10">
        <v>246354.16</v>
      </c>
      <c r="M611" s="6">
        <v>-246354.16</v>
      </c>
      <c r="N611" s="10">
        <v>184765.62</v>
      </c>
      <c r="O611" s="10">
        <v>246354.15999999997</v>
      </c>
      <c r="P611" s="10">
        <v>61588.54</v>
      </c>
      <c r="Q611" s="6">
        <v>61588.54</v>
      </c>
      <c r="R611" s="6">
        <v>61588.54</v>
      </c>
      <c r="S611" s="6">
        <v>61588.54</v>
      </c>
      <c r="T611" s="6">
        <v>61588.54</v>
      </c>
      <c r="U611" s="6">
        <f t="shared" si="10"/>
        <v>739062.4800000001</v>
      </c>
    </row>
    <row r="612" spans="2:21" x14ac:dyDescent="0.35">
      <c r="B612" t="s">
        <v>1276</v>
      </c>
      <c r="C612" t="s">
        <v>1284</v>
      </c>
      <c r="D612" s="37" t="s">
        <v>1047</v>
      </c>
      <c r="E612" s="37" t="s">
        <v>1047</v>
      </c>
      <c r="F612">
        <v>80122101</v>
      </c>
      <c r="G612">
        <v>61071099</v>
      </c>
      <c r="H612" s="27">
        <v>0</v>
      </c>
      <c r="K612" s="10">
        <v>10680</v>
      </c>
      <c r="L612" s="10">
        <v>0</v>
      </c>
      <c r="N612" s="10">
        <v>0</v>
      </c>
      <c r="O612" s="10">
        <v>0</v>
      </c>
      <c r="P612" s="10">
        <v>0</v>
      </c>
      <c r="Q612" s="6"/>
      <c r="R612" s="6"/>
      <c r="S612" s="6"/>
      <c r="T612" s="6"/>
      <c r="U612" s="6">
        <f t="shared" si="10"/>
        <v>10680</v>
      </c>
    </row>
    <row r="613" spans="2:21" x14ac:dyDescent="0.35">
      <c r="B613" t="s">
        <v>1276</v>
      </c>
      <c r="C613" t="s">
        <v>1284</v>
      </c>
      <c r="D613" t="s">
        <v>36</v>
      </c>
      <c r="E613" s="2" t="s">
        <v>175</v>
      </c>
      <c r="F613">
        <v>90111101</v>
      </c>
      <c r="G613">
        <v>52041495</v>
      </c>
      <c r="H613" s="27">
        <v>660240</v>
      </c>
      <c r="I613" s="10">
        <v>0</v>
      </c>
      <c r="J613" s="10">
        <v>90906.64</v>
      </c>
      <c r="K613" s="6">
        <v>11036.68</v>
      </c>
      <c r="L613" s="10">
        <v>56910</v>
      </c>
      <c r="M613" s="6">
        <v>113190</v>
      </c>
      <c r="N613" s="10">
        <v>50156.84</v>
      </c>
      <c r="O613" s="10">
        <v>51490.01</v>
      </c>
      <c r="P613" s="10">
        <v>52554.78</v>
      </c>
      <c r="Q613" s="6">
        <v>55580.92</v>
      </c>
      <c r="R613" s="6">
        <v>55580.92</v>
      </c>
      <c r="S613" s="6">
        <v>55580.92</v>
      </c>
      <c r="T613" s="6">
        <v>55580.92</v>
      </c>
      <c r="U613" s="6">
        <f t="shared" si="10"/>
        <v>648568.63000000012</v>
      </c>
    </row>
    <row r="614" spans="2:21" x14ac:dyDescent="0.35">
      <c r="B614" t="s">
        <v>1271</v>
      </c>
      <c r="C614" t="s">
        <v>162</v>
      </c>
      <c r="D614" t="s">
        <v>36</v>
      </c>
      <c r="E614" s="2" t="s">
        <v>175</v>
      </c>
      <c r="F614">
        <v>90111101</v>
      </c>
      <c r="G614">
        <v>52041495</v>
      </c>
      <c r="H614" s="27">
        <v>0</v>
      </c>
      <c r="I614" s="10">
        <v>50037.27</v>
      </c>
      <c r="J614" s="10">
        <v>0</v>
      </c>
      <c r="L614" s="10">
        <v>0</v>
      </c>
      <c r="M614" s="6"/>
      <c r="N614" s="10">
        <v>0</v>
      </c>
      <c r="O614" s="10">
        <v>0</v>
      </c>
      <c r="P614" s="10">
        <v>0</v>
      </c>
      <c r="Q614" s="6"/>
      <c r="R614" s="6"/>
      <c r="S614" s="6"/>
      <c r="T614" s="6"/>
      <c r="U614" s="6">
        <f t="shared" si="10"/>
        <v>50037.27</v>
      </c>
    </row>
    <row r="615" spans="2:21" x14ac:dyDescent="0.35">
      <c r="B615" t="s">
        <v>1271</v>
      </c>
      <c r="C615" t="s">
        <v>162</v>
      </c>
      <c r="D615" t="s">
        <v>161</v>
      </c>
      <c r="E615" t="s">
        <v>162</v>
      </c>
      <c r="F615">
        <v>80123101</v>
      </c>
      <c r="G615">
        <v>61071002</v>
      </c>
      <c r="H615" s="27">
        <v>24999.999999999996</v>
      </c>
      <c r="I615" s="10">
        <v>0</v>
      </c>
      <c r="J615" s="10">
        <v>0</v>
      </c>
      <c r="K615" s="10">
        <v>0</v>
      </c>
      <c r="L615" s="10">
        <v>0</v>
      </c>
      <c r="N615" s="10">
        <v>0</v>
      </c>
      <c r="O615" s="10">
        <v>0</v>
      </c>
      <c r="P615" s="10">
        <v>0</v>
      </c>
      <c r="Q615" s="6">
        <v>0</v>
      </c>
      <c r="R615" s="6">
        <v>8333.3333333333321</v>
      </c>
      <c r="S615" s="6">
        <v>8333.3333333333321</v>
      </c>
      <c r="T615" s="6">
        <v>8333.3333333333321</v>
      </c>
      <c r="U615" s="6">
        <f t="shared" si="10"/>
        <v>24999.999999999996</v>
      </c>
    </row>
    <row r="616" spans="2:21" x14ac:dyDescent="0.35">
      <c r="B616" t="s">
        <v>1271</v>
      </c>
      <c r="C616" t="s">
        <v>162</v>
      </c>
      <c r="D616" t="s">
        <v>161</v>
      </c>
      <c r="E616" t="s">
        <v>162</v>
      </c>
      <c r="F616">
        <v>81123101</v>
      </c>
      <c r="G616">
        <v>52071102</v>
      </c>
      <c r="H616" s="27">
        <v>15000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6">
        <v>0</v>
      </c>
      <c r="R616" s="6">
        <v>5000</v>
      </c>
      <c r="S616" s="6">
        <v>5000</v>
      </c>
      <c r="T616" s="6">
        <v>5000</v>
      </c>
      <c r="U616" s="6">
        <f t="shared" si="10"/>
        <v>15000</v>
      </c>
    </row>
    <row r="617" spans="2:21" x14ac:dyDescent="0.35">
      <c r="B617" t="s">
        <v>1271</v>
      </c>
      <c r="C617" t="s">
        <v>162</v>
      </c>
      <c r="D617" t="s">
        <v>161</v>
      </c>
      <c r="E617" t="s">
        <v>162</v>
      </c>
      <c r="F617">
        <v>90123101</v>
      </c>
      <c r="G617">
        <v>61071002</v>
      </c>
      <c r="H617" s="27">
        <v>15000</v>
      </c>
      <c r="I617" s="10">
        <v>0</v>
      </c>
      <c r="J617" s="10">
        <v>0</v>
      </c>
      <c r="K617" s="10">
        <v>0</v>
      </c>
      <c r="L617" s="10">
        <v>0</v>
      </c>
      <c r="M617" s="6">
        <v>0</v>
      </c>
      <c r="N617" s="10">
        <v>0</v>
      </c>
      <c r="O617" s="10">
        <v>0</v>
      </c>
      <c r="P617" s="10">
        <v>0</v>
      </c>
      <c r="Q617" s="6">
        <v>0</v>
      </c>
      <c r="R617" s="6">
        <v>5000</v>
      </c>
      <c r="S617" s="6">
        <v>5000</v>
      </c>
      <c r="T617" s="6">
        <v>5000</v>
      </c>
      <c r="U617" s="6">
        <f t="shared" si="10"/>
        <v>15000</v>
      </c>
    </row>
    <row r="618" spans="2:21" x14ac:dyDescent="0.35">
      <c r="B618" t="s">
        <v>1271</v>
      </c>
      <c r="C618" t="s">
        <v>162</v>
      </c>
      <c r="D618" t="s">
        <v>161</v>
      </c>
      <c r="E618" t="s">
        <v>162</v>
      </c>
      <c r="F618">
        <v>80123101</v>
      </c>
      <c r="G618">
        <v>61071002</v>
      </c>
      <c r="H618" s="27">
        <v>36000</v>
      </c>
      <c r="I618" s="10">
        <v>0</v>
      </c>
      <c r="J618" s="10">
        <v>0</v>
      </c>
      <c r="K618" s="10">
        <v>0</v>
      </c>
      <c r="L618" s="10">
        <v>0</v>
      </c>
      <c r="N618" s="10">
        <v>0</v>
      </c>
      <c r="O618" s="10">
        <v>0</v>
      </c>
      <c r="P618" s="10">
        <v>0</v>
      </c>
      <c r="Q618" s="6">
        <v>0</v>
      </c>
      <c r="R618" s="6">
        <v>12000</v>
      </c>
      <c r="S618" s="6">
        <v>12000</v>
      </c>
      <c r="T618" s="6">
        <v>12000</v>
      </c>
      <c r="U618" s="6">
        <f t="shared" si="10"/>
        <v>36000</v>
      </c>
    </row>
    <row r="619" spans="2:21" x14ac:dyDescent="0.35">
      <c r="B619" t="s">
        <v>1271</v>
      </c>
      <c r="C619" t="s">
        <v>162</v>
      </c>
      <c r="D619" t="s">
        <v>157</v>
      </c>
      <c r="E619" s="2" t="s">
        <v>157</v>
      </c>
      <c r="F619">
        <v>80123101</v>
      </c>
      <c r="G619">
        <v>61071002</v>
      </c>
      <c r="H619" s="27">
        <v>24999.999999999996</v>
      </c>
      <c r="I619" s="10">
        <v>0</v>
      </c>
      <c r="J619" s="10">
        <v>8200</v>
      </c>
      <c r="K619" s="10">
        <v>5900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6">
        <v>0</v>
      </c>
      <c r="R619" s="6">
        <v>3633.3333333333321</v>
      </c>
      <c r="S619" s="6">
        <v>3633.3333333333321</v>
      </c>
      <c r="T619" s="6">
        <v>3633.3333333333321</v>
      </c>
      <c r="U619" s="6">
        <f t="shared" si="10"/>
        <v>24999.999999999996</v>
      </c>
    </row>
    <row r="620" spans="2:21" x14ac:dyDescent="0.35">
      <c r="B620" t="s">
        <v>1271</v>
      </c>
      <c r="C620" t="s">
        <v>162</v>
      </c>
      <c r="D620" t="s">
        <v>157</v>
      </c>
      <c r="E620" s="2" t="s">
        <v>157</v>
      </c>
      <c r="F620">
        <v>81123101</v>
      </c>
      <c r="G620">
        <v>52071102</v>
      </c>
      <c r="H620" s="27">
        <v>24999.999999999996</v>
      </c>
      <c r="I620" s="10">
        <v>0</v>
      </c>
      <c r="J620" s="10">
        <v>4200</v>
      </c>
      <c r="K620" s="10">
        <v>5500</v>
      </c>
      <c r="L620" s="10">
        <v>0</v>
      </c>
      <c r="M620" s="10">
        <v>4500</v>
      </c>
      <c r="N620" s="10">
        <v>0</v>
      </c>
      <c r="O620" s="10">
        <v>0</v>
      </c>
      <c r="P620" s="10">
        <v>0</v>
      </c>
      <c r="Q620" s="6">
        <v>0</v>
      </c>
      <c r="R620" s="6">
        <v>3599.9999999999986</v>
      </c>
      <c r="S620" s="6">
        <v>3599.9999999999986</v>
      </c>
      <c r="T620" s="6">
        <v>3599.9999999999986</v>
      </c>
      <c r="U620" s="6">
        <f t="shared" si="10"/>
        <v>25000</v>
      </c>
    </row>
    <row r="621" spans="2:21" x14ac:dyDescent="0.35">
      <c r="B621" t="s">
        <v>6</v>
      </c>
      <c r="C621" t="s">
        <v>1282</v>
      </c>
      <c r="D621" t="s">
        <v>157</v>
      </c>
      <c r="E621" s="2" t="s">
        <v>157</v>
      </c>
      <c r="F621">
        <v>90123101</v>
      </c>
      <c r="G621">
        <v>61071002</v>
      </c>
      <c r="H621" s="27">
        <v>24999.999999999996</v>
      </c>
      <c r="I621" s="10">
        <v>0</v>
      </c>
      <c r="J621" s="10">
        <v>4150</v>
      </c>
      <c r="K621" s="10">
        <v>3000</v>
      </c>
      <c r="L621" s="10">
        <v>2500</v>
      </c>
      <c r="M621" s="10">
        <v>500</v>
      </c>
      <c r="N621" s="10">
        <v>1500</v>
      </c>
      <c r="O621" s="10">
        <v>250</v>
      </c>
      <c r="P621" s="10">
        <v>1250</v>
      </c>
      <c r="Q621" s="6">
        <v>1250</v>
      </c>
      <c r="R621" s="6">
        <v>3533.3333333333321</v>
      </c>
      <c r="S621" s="6">
        <v>3533.3333333333321</v>
      </c>
      <c r="T621" s="6">
        <v>3533.3333333333321</v>
      </c>
      <c r="U621" s="6">
        <f t="shared" si="10"/>
        <v>24999.999999999996</v>
      </c>
    </row>
    <row r="622" spans="2:21" x14ac:dyDescent="0.35">
      <c r="B622" t="s">
        <v>6</v>
      </c>
      <c r="C622" t="s">
        <v>1282</v>
      </c>
      <c r="D622" t="s">
        <v>176</v>
      </c>
      <c r="E622" s="2" t="s">
        <v>1250</v>
      </c>
      <c r="F622">
        <v>81111204</v>
      </c>
      <c r="G622">
        <v>52091101</v>
      </c>
      <c r="H622" s="27">
        <v>58628.841607565009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1165</v>
      </c>
      <c r="Q622" s="6">
        <v>0</v>
      </c>
      <c r="R622" s="6"/>
      <c r="S622" s="6"/>
      <c r="T622" s="6"/>
      <c r="U622" s="6">
        <f t="shared" si="10"/>
        <v>1165</v>
      </c>
    </row>
    <row r="623" spans="2:21" x14ac:dyDescent="0.35">
      <c r="B623" t="s">
        <v>6</v>
      </c>
      <c r="C623" t="s">
        <v>1282</v>
      </c>
      <c r="D623" t="s">
        <v>176</v>
      </c>
      <c r="E623" s="2" t="s">
        <v>1250</v>
      </c>
      <c r="F623">
        <v>90111204</v>
      </c>
      <c r="G623">
        <v>61091101</v>
      </c>
      <c r="H623" s="27">
        <v>117730.49645390071</v>
      </c>
      <c r="I623" s="10">
        <v>5503.75</v>
      </c>
      <c r="J623" s="10">
        <v>0</v>
      </c>
      <c r="K623" s="10">
        <v>9324.91</v>
      </c>
      <c r="L623" s="10">
        <v>8707.75</v>
      </c>
      <c r="M623" s="10">
        <v>300</v>
      </c>
      <c r="N623" s="10">
        <v>0</v>
      </c>
      <c r="O623" s="10">
        <v>1605.8</v>
      </c>
      <c r="P623" s="10">
        <v>880</v>
      </c>
      <c r="Q623" s="6">
        <v>5792.16</v>
      </c>
      <c r="R623" s="6">
        <v>10000</v>
      </c>
      <c r="S623" s="6">
        <v>10000</v>
      </c>
      <c r="T623" s="6">
        <v>10000</v>
      </c>
      <c r="U623" s="6">
        <f t="shared" si="10"/>
        <v>62114.369999999995</v>
      </c>
    </row>
    <row r="624" spans="2:21" x14ac:dyDescent="0.35">
      <c r="B624" t="s">
        <v>6</v>
      </c>
      <c r="C624" t="s">
        <v>1282</v>
      </c>
      <c r="D624" t="s">
        <v>176</v>
      </c>
      <c r="E624" s="2" t="s">
        <v>1250</v>
      </c>
      <c r="F624">
        <v>80111204</v>
      </c>
      <c r="G624">
        <v>61091101</v>
      </c>
      <c r="H624" s="27">
        <v>23640.661938534275</v>
      </c>
      <c r="I624" s="10">
        <v>0</v>
      </c>
      <c r="J624" s="10">
        <v>2036.98</v>
      </c>
      <c r="K624" s="10">
        <v>0</v>
      </c>
      <c r="L624" s="10">
        <v>0</v>
      </c>
      <c r="M624" s="10">
        <v>3718.29</v>
      </c>
      <c r="N624" s="10">
        <v>0</v>
      </c>
      <c r="O624" s="10">
        <v>0</v>
      </c>
      <c r="P624" s="10">
        <v>0</v>
      </c>
      <c r="Q624" s="6">
        <v>12147.810000000001</v>
      </c>
      <c r="R624" s="6">
        <v>3000</v>
      </c>
      <c r="S624" s="6">
        <v>3000</v>
      </c>
      <c r="T624" s="6">
        <v>3000</v>
      </c>
      <c r="U624" s="6">
        <f t="shared" si="10"/>
        <v>26903.08</v>
      </c>
    </row>
    <row r="625" spans="2:21" x14ac:dyDescent="0.35">
      <c r="B625" t="s">
        <v>6</v>
      </c>
      <c r="C625" t="s">
        <v>1282</v>
      </c>
      <c r="D625" t="s">
        <v>156</v>
      </c>
      <c r="E625" s="2" t="s">
        <v>156</v>
      </c>
      <c r="F625">
        <v>81111204</v>
      </c>
      <c r="G625">
        <v>52091102</v>
      </c>
      <c r="H625" s="27">
        <v>87943.262411347532</v>
      </c>
      <c r="I625" s="10">
        <v>598</v>
      </c>
      <c r="J625" s="10">
        <v>5555.64</v>
      </c>
      <c r="K625" s="10">
        <v>1382.15</v>
      </c>
      <c r="L625" s="10">
        <v>294</v>
      </c>
      <c r="M625" s="10">
        <v>1883.89</v>
      </c>
      <c r="N625" s="10">
        <v>3611.52</v>
      </c>
      <c r="O625" s="10">
        <v>0</v>
      </c>
      <c r="P625" s="10">
        <v>22133.37</v>
      </c>
      <c r="Q625" s="6">
        <v>0</v>
      </c>
      <c r="R625" s="6">
        <v>25000</v>
      </c>
      <c r="S625" s="6">
        <v>5000</v>
      </c>
      <c r="T625" s="6">
        <v>5000</v>
      </c>
      <c r="U625" s="6">
        <f t="shared" si="10"/>
        <v>70458.570000000007</v>
      </c>
    </row>
    <row r="626" spans="2:21" x14ac:dyDescent="0.35">
      <c r="B626" t="s">
        <v>6</v>
      </c>
      <c r="C626" t="s">
        <v>1282</v>
      </c>
      <c r="D626" t="s">
        <v>156</v>
      </c>
      <c r="E626" s="2" t="s">
        <v>156</v>
      </c>
      <c r="F626">
        <v>90111204</v>
      </c>
      <c r="G626">
        <v>61091102</v>
      </c>
      <c r="H626" s="27">
        <v>35460.992907801425</v>
      </c>
      <c r="I626" s="10">
        <v>5268</v>
      </c>
      <c r="J626" s="10">
        <v>4320</v>
      </c>
      <c r="K626" s="10">
        <v>17382.990000000002</v>
      </c>
      <c r="L626" s="10">
        <v>11106.71</v>
      </c>
      <c r="M626" s="10">
        <v>1220</v>
      </c>
      <c r="N626" s="10">
        <v>3335</v>
      </c>
      <c r="O626" s="10">
        <v>5993.2600000000011</v>
      </c>
      <c r="P626" s="10">
        <v>4229.05</v>
      </c>
      <c r="Q626" s="6">
        <v>826</v>
      </c>
      <c r="R626" s="6"/>
      <c r="S626" s="6"/>
      <c r="T626" s="6"/>
      <c r="U626" s="6">
        <f t="shared" si="10"/>
        <v>53681.01</v>
      </c>
    </row>
    <row r="627" spans="2:21" x14ac:dyDescent="0.35">
      <c r="B627" t="s">
        <v>6</v>
      </c>
      <c r="C627" t="s">
        <v>1282</v>
      </c>
      <c r="D627" t="s">
        <v>156</v>
      </c>
      <c r="E627" s="2" t="s">
        <v>156</v>
      </c>
      <c r="F627">
        <v>80111204</v>
      </c>
      <c r="G627">
        <v>61091102</v>
      </c>
      <c r="H627" s="27">
        <v>176595.74468085112</v>
      </c>
      <c r="I627" s="10">
        <v>0</v>
      </c>
      <c r="J627" s="10">
        <v>3463.93</v>
      </c>
      <c r="K627" s="10">
        <v>6295.36</v>
      </c>
      <c r="L627" s="10">
        <v>0</v>
      </c>
      <c r="M627" s="10">
        <v>658.93</v>
      </c>
      <c r="N627" s="10">
        <v>4499</v>
      </c>
      <c r="O627" s="10">
        <v>0</v>
      </c>
      <c r="P627" s="10">
        <v>12826.82</v>
      </c>
      <c r="Q627" s="6">
        <v>42428.24</v>
      </c>
      <c r="R627" s="6">
        <v>12000</v>
      </c>
      <c r="S627" s="6">
        <v>12000</v>
      </c>
      <c r="T627" s="6">
        <v>12000</v>
      </c>
      <c r="U627" s="6">
        <f t="shared" si="10"/>
        <v>106172.28</v>
      </c>
    </row>
    <row r="628" spans="2:21" x14ac:dyDescent="0.35">
      <c r="B628" t="s">
        <v>6</v>
      </c>
      <c r="C628" t="s">
        <v>1282</v>
      </c>
      <c r="D628" t="s">
        <v>156</v>
      </c>
      <c r="E628" s="2" t="s">
        <v>156</v>
      </c>
      <c r="F628">
        <v>80123101</v>
      </c>
      <c r="G628">
        <v>61091101</v>
      </c>
      <c r="H628" s="27">
        <v>0</v>
      </c>
      <c r="I628" s="10">
        <v>484.73</v>
      </c>
      <c r="J628" s="10">
        <v>289.73</v>
      </c>
      <c r="K628" s="10">
        <v>4741.58</v>
      </c>
      <c r="L628" s="10">
        <v>10985.07</v>
      </c>
      <c r="M628" s="10">
        <v>5116.83</v>
      </c>
      <c r="N628" s="10">
        <v>5342.95</v>
      </c>
      <c r="O628" s="10">
        <v>2962.88</v>
      </c>
      <c r="P628" s="10">
        <v>780</v>
      </c>
      <c r="Q628" s="6">
        <v>8834.11</v>
      </c>
      <c r="R628" s="6"/>
      <c r="S628" s="6"/>
      <c r="T628" s="6"/>
      <c r="U628" s="6">
        <f t="shared" si="10"/>
        <v>39537.880000000005</v>
      </c>
    </row>
    <row r="629" spans="2:21" x14ac:dyDescent="0.35">
      <c r="B629" t="s">
        <v>6</v>
      </c>
      <c r="C629" t="s">
        <v>1282</v>
      </c>
      <c r="D629" t="s">
        <v>156</v>
      </c>
      <c r="E629" s="2" t="s">
        <v>156</v>
      </c>
      <c r="F629">
        <v>81123102</v>
      </c>
      <c r="G629" s="2">
        <v>52091102</v>
      </c>
      <c r="H629" s="27">
        <v>0</v>
      </c>
      <c r="I629" s="10">
        <v>0</v>
      </c>
      <c r="J629" s="10">
        <v>0</v>
      </c>
      <c r="K629" s="10">
        <v>15612.41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6">
        <v>0</v>
      </c>
      <c r="R629" s="6"/>
      <c r="S629" s="6"/>
      <c r="T629" s="6"/>
      <c r="U629" s="6">
        <f t="shared" si="10"/>
        <v>15612.41</v>
      </c>
    </row>
    <row r="630" spans="2:21" x14ac:dyDescent="0.35">
      <c r="B630" t="s">
        <v>6</v>
      </c>
      <c r="C630" t="s">
        <v>7</v>
      </c>
      <c r="D630" t="s">
        <v>156</v>
      </c>
      <c r="E630" s="2" t="s">
        <v>156</v>
      </c>
      <c r="F630" s="2">
        <v>81319101</v>
      </c>
      <c r="G630">
        <v>52091102</v>
      </c>
      <c r="H630" s="27">
        <v>0</v>
      </c>
      <c r="M630" s="10">
        <v>1140</v>
      </c>
      <c r="N630" s="10">
        <v>0</v>
      </c>
      <c r="O630" s="10">
        <v>0</v>
      </c>
      <c r="P630" s="10">
        <v>0</v>
      </c>
      <c r="Q630" s="6">
        <v>0</v>
      </c>
      <c r="R630" s="6"/>
      <c r="S630" s="6"/>
      <c r="T630" s="6"/>
      <c r="U630" s="6">
        <f t="shared" si="10"/>
        <v>1140</v>
      </c>
    </row>
    <row r="631" spans="2:21" x14ac:dyDescent="0.35">
      <c r="B631" t="s">
        <v>6</v>
      </c>
      <c r="C631" t="s">
        <v>7</v>
      </c>
      <c r="D631" t="s">
        <v>124</v>
      </c>
      <c r="E631" t="s">
        <v>177</v>
      </c>
      <c r="F631">
        <v>81133103</v>
      </c>
      <c r="G631">
        <v>52952101</v>
      </c>
      <c r="H631" s="27">
        <v>3000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6"/>
      <c r="R631" s="6"/>
      <c r="S631" s="6"/>
      <c r="T631" s="6"/>
      <c r="U631" s="6">
        <f t="shared" si="10"/>
        <v>0</v>
      </c>
    </row>
    <row r="632" spans="2:21" x14ac:dyDescent="0.35">
      <c r="B632" t="s">
        <v>6</v>
      </c>
      <c r="C632" t="s">
        <v>7</v>
      </c>
      <c r="D632" t="s">
        <v>124</v>
      </c>
      <c r="E632" s="2" t="s">
        <v>177</v>
      </c>
      <c r="F632">
        <v>81133103</v>
      </c>
      <c r="G632">
        <v>52952101</v>
      </c>
      <c r="H632" s="27">
        <v>20000</v>
      </c>
      <c r="I632" s="10">
        <v>0</v>
      </c>
      <c r="J632" s="10">
        <v>0</v>
      </c>
      <c r="K632" s="10">
        <v>0</v>
      </c>
      <c r="L632" s="10">
        <v>0</v>
      </c>
      <c r="M632" s="10">
        <v>17020</v>
      </c>
      <c r="N632" s="10">
        <v>0</v>
      </c>
      <c r="O632" s="10">
        <v>0</v>
      </c>
      <c r="P632" s="10">
        <v>0</v>
      </c>
      <c r="Q632" s="6"/>
      <c r="R632" s="6"/>
      <c r="S632" s="6"/>
      <c r="T632" s="6"/>
      <c r="U632" s="6">
        <f t="shared" si="10"/>
        <v>17020</v>
      </c>
    </row>
    <row r="633" spans="2:21" x14ac:dyDescent="0.35">
      <c r="B633" t="s">
        <v>6</v>
      </c>
      <c r="C633" t="s">
        <v>7</v>
      </c>
      <c r="D633" t="s">
        <v>7</v>
      </c>
      <c r="E633" s="2" t="s">
        <v>1253</v>
      </c>
      <c r="F633">
        <v>80133103</v>
      </c>
      <c r="G633">
        <v>61711101</v>
      </c>
      <c r="H633" s="27">
        <v>3000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6"/>
      <c r="R633" s="6"/>
      <c r="S633" s="6"/>
      <c r="T633" s="6"/>
      <c r="U633" s="6">
        <f t="shared" si="10"/>
        <v>0</v>
      </c>
    </row>
    <row r="634" spans="2:21" x14ac:dyDescent="0.35">
      <c r="B634" t="s">
        <v>1270</v>
      </c>
      <c r="C634" t="s">
        <v>40</v>
      </c>
      <c r="D634" t="s">
        <v>124</v>
      </c>
      <c r="E634" s="2" t="s">
        <v>177</v>
      </c>
      <c r="F634">
        <v>80133103</v>
      </c>
      <c r="G634">
        <v>61711101</v>
      </c>
      <c r="H634" s="27">
        <v>20000</v>
      </c>
      <c r="I634" s="10">
        <v>0</v>
      </c>
      <c r="J634" s="10">
        <v>0</v>
      </c>
      <c r="K634" s="6">
        <v>0</v>
      </c>
      <c r="L634" s="10">
        <v>17020</v>
      </c>
      <c r="M634" s="6">
        <v>0</v>
      </c>
      <c r="N634" s="10">
        <v>0</v>
      </c>
      <c r="O634" s="10">
        <v>0</v>
      </c>
      <c r="P634" s="10">
        <v>0</v>
      </c>
      <c r="Q634" s="6"/>
      <c r="R634" s="6"/>
      <c r="S634" s="6"/>
      <c r="T634" s="6"/>
      <c r="U634" s="6">
        <f t="shared" si="10"/>
        <v>17020</v>
      </c>
    </row>
    <row r="635" spans="2:21" x14ac:dyDescent="0.35">
      <c r="B635" t="s">
        <v>6</v>
      </c>
      <c r="C635" t="s">
        <v>1281</v>
      </c>
      <c r="D635" t="s">
        <v>40</v>
      </c>
      <c r="E635" t="s">
        <v>40</v>
      </c>
      <c r="F635">
        <v>81123102</v>
      </c>
      <c r="G635">
        <v>52041405</v>
      </c>
      <c r="H635" s="27">
        <v>86724.886500000008</v>
      </c>
      <c r="I635" s="10">
        <v>0</v>
      </c>
      <c r="J635" s="10">
        <v>0</v>
      </c>
      <c r="L635" s="10">
        <v>0</v>
      </c>
      <c r="N635" s="10">
        <v>0</v>
      </c>
      <c r="O635" s="10">
        <v>0</v>
      </c>
      <c r="P635" s="10">
        <v>0</v>
      </c>
      <c r="Q635" s="6">
        <v>0</v>
      </c>
      <c r="R635" s="6"/>
      <c r="S635" s="6"/>
      <c r="T635" s="6"/>
      <c r="U635" s="6">
        <f t="shared" si="10"/>
        <v>0</v>
      </c>
    </row>
    <row r="636" spans="2:21" x14ac:dyDescent="0.35">
      <c r="B636" t="s">
        <v>6</v>
      </c>
      <c r="C636" t="s">
        <v>1281</v>
      </c>
      <c r="D636" t="s">
        <v>38</v>
      </c>
      <c r="E636" t="s">
        <v>1254</v>
      </c>
      <c r="F636">
        <v>80133102</v>
      </c>
      <c r="G636">
        <v>61959201</v>
      </c>
      <c r="H636" s="27">
        <v>3000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6">
        <v>0</v>
      </c>
      <c r="R636" s="6">
        <v>1000</v>
      </c>
      <c r="S636" s="6">
        <v>1000</v>
      </c>
      <c r="T636" s="6">
        <v>1000</v>
      </c>
      <c r="U636" s="6">
        <f t="shared" si="10"/>
        <v>3000</v>
      </c>
    </row>
    <row r="637" spans="2:21" x14ac:dyDescent="0.35">
      <c r="B637" t="s">
        <v>6</v>
      </c>
      <c r="C637" t="s">
        <v>1281</v>
      </c>
      <c r="D637" t="s">
        <v>38</v>
      </c>
      <c r="E637" t="s">
        <v>1254</v>
      </c>
      <c r="F637">
        <v>81133102</v>
      </c>
      <c r="G637">
        <v>61959201</v>
      </c>
      <c r="H637" s="27">
        <v>3000</v>
      </c>
      <c r="I637" s="10">
        <v>0</v>
      </c>
      <c r="J637" s="10">
        <v>0</v>
      </c>
      <c r="K637" s="10">
        <v>0</v>
      </c>
      <c r="L637" s="10">
        <v>0</v>
      </c>
      <c r="M637" s="10">
        <v>300</v>
      </c>
      <c r="N637" s="10">
        <v>0</v>
      </c>
      <c r="O637" s="10">
        <v>0</v>
      </c>
      <c r="P637" s="10">
        <v>0</v>
      </c>
      <c r="Q637" s="6">
        <v>0</v>
      </c>
      <c r="R637" s="6">
        <v>900</v>
      </c>
      <c r="S637" s="6">
        <v>900</v>
      </c>
      <c r="T637" s="6">
        <v>900</v>
      </c>
      <c r="U637" s="6">
        <f t="shared" si="10"/>
        <v>3000</v>
      </c>
    </row>
    <row r="638" spans="2:21" x14ac:dyDescent="0.35">
      <c r="B638" t="s">
        <v>6</v>
      </c>
      <c r="C638" t="s">
        <v>7</v>
      </c>
      <c r="D638" t="s">
        <v>38</v>
      </c>
      <c r="E638" t="s">
        <v>1254</v>
      </c>
      <c r="F638">
        <v>90133102</v>
      </c>
      <c r="G638">
        <v>61959201</v>
      </c>
      <c r="H638" s="27">
        <v>3000</v>
      </c>
      <c r="I638" s="10">
        <v>0</v>
      </c>
      <c r="J638" s="10">
        <v>0</v>
      </c>
      <c r="K638" s="10">
        <v>300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6">
        <v>0</v>
      </c>
      <c r="R638" s="6">
        <v>900</v>
      </c>
      <c r="S638" s="6">
        <v>900</v>
      </c>
      <c r="T638" s="6">
        <v>900</v>
      </c>
      <c r="U638" s="6">
        <f t="shared" si="10"/>
        <v>3000</v>
      </c>
    </row>
    <row r="639" spans="2:21" x14ac:dyDescent="0.35">
      <c r="B639" t="s">
        <v>6</v>
      </c>
      <c r="C639" t="s">
        <v>22</v>
      </c>
      <c r="D639" t="s">
        <v>38</v>
      </c>
      <c r="E639" t="s">
        <v>1255</v>
      </c>
      <c r="F639">
        <v>90133102</v>
      </c>
      <c r="G639">
        <v>52952101</v>
      </c>
      <c r="H639" s="27">
        <v>1200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6"/>
      <c r="R639" s="6"/>
      <c r="S639" s="6"/>
      <c r="T639" s="6"/>
      <c r="U639" s="6">
        <f t="shared" si="10"/>
        <v>0</v>
      </c>
    </row>
    <row r="640" spans="2:21" x14ac:dyDescent="0.35">
      <c r="B640" t="s">
        <v>1270</v>
      </c>
      <c r="C640" t="s">
        <v>40</v>
      </c>
      <c r="D640" t="s">
        <v>179</v>
      </c>
      <c r="E640" s="2" t="s">
        <v>6</v>
      </c>
      <c r="F640">
        <v>81319101</v>
      </c>
      <c r="G640">
        <v>52111101</v>
      </c>
      <c r="H640" s="27">
        <v>107705.8184464505</v>
      </c>
      <c r="I640" s="10">
        <v>17410.71</v>
      </c>
      <c r="J640" s="10">
        <v>8660.43</v>
      </c>
      <c r="K640" s="10">
        <v>0</v>
      </c>
      <c r="L640" s="10">
        <v>0</v>
      </c>
      <c r="M640" s="6">
        <v>0</v>
      </c>
      <c r="N640" s="10">
        <v>0</v>
      </c>
      <c r="O640" s="10">
        <v>0</v>
      </c>
      <c r="P640" s="10">
        <v>0</v>
      </c>
      <c r="Q640" s="6">
        <v>0</v>
      </c>
      <c r="R640" s="6"/>
      <c r="S640" s="6"/>
      <c r="T640" s="6"/>
      <c r="U640" s="6">
        <f t="shared" si="10"/>
        <v>26071.14</v>
      </c>
    </row>
    <row r="641" spans="2:21" x14ac:dyDescent="0.35">
      <c r="B641" t="s">
        <v>1270</v>
      </c>
      <c r="C641" t="s">
        <v>40</v>
      </c>
      <c r="D641" t="s">
        <v>40</v>
      </c>
      <c r="E641" t="s">
        <v>40</v>
      </c>
      <c r="F641">
        <v>81123102</v>
      </c>
      <c r="G641">
        <v>52041405</v>
      </c>
      <c r="H641" s="27">
        <v>0</v>
      </c>
      <c r="I641" s="10">
        <v>0</v>
      </c>
      <c r="J641" s="10">
        <v>74615.570000000007</v>
      </c>
      <c r="K641" s="6">
        <v>-11816.85</v>
      </c>
      <c r="L641" s="10">
        <v>0</v>
      </c>
      <c r="M641" s="6"/>
      <c r="N641" s="10">
        <v>0</v>
      </c>
      <c r="O641" s="10">
        <v>0</v>
      </c>
      <c r="P641" s="10">
        <v>0</v>
      </c>
      <c r="Q641" s="6">
        <v>0</v>
      </c>
      <c r="R641" s="6"/>
      <c r="S641" s="6"/>
      <c r="T641" s="6"/>
      <c r="U641" s="6">
        <f t="shared" si="10"/>
        <v>62798.720000000008</v>
      </c>
    </row>
    <row r="642" spans="2:21" x14ac:dyDescent="0.35">
      <c r="B642" t="s">
        <v>1270</v>
      </c>
      <c r="C642" t="s">
        <v>40</v>
      </c>
      <c r="D642" t="s">
        <v>40</v>
      </c>
      <c r="E642" t="s">
        <v>40</v>
      </c>
      <c r="F642">
        <v>81123102</v>
      </c>
      <c r="G642">
        <v>52041405</v>
      </c>
      <c r="H642" s="27">
        <v>86724.886500000008</v>
      </c>
      <c r="I642" s="10">
        <v>0</v>
      </c>
      <c r="J642" s="10">
        <v>0</v>
      </c>
      <c r="L642" s="10">
        <v>0</v>
      </c>
      <c r="N642" s="10">
        <v>0</v>
      </c>
      <c r="O642" s="10">
        <v>0</v>
      </c>
      <c r="P642" s="10">
        <v>0</v>
      </c>
      <c r="Q642" s="6">
        <v>0</v>
      </c>
      <c r="R642" s="6"/>
      <c r="S642" s="6"/>
      <c r="T642" s="6"/>
      <c r="U642" s="6">
        <f t="shared" si="10"/>
        <v>0</v>
      </c>
    </row>
    <row r="643" spans="2:21" x14ac:dyDescent="0.35">
      <c r="B643" t="s">
        <v>1270</v>
      </c>
      <c r="C643" t="s">
        <v>40</v>
      </c>
      <c r="D643" t="s">
        <v>40</v>
      </c>
      <c r="E643" t="s">
        <v>40</v>
      </c>
      <c r="F643">
        <v>81319101</v>
      </c>
      <c r="G643">
        <v>52041405</v>
      </c>
      <c r="H643" s="27">
        <v>0</v>
      </c>
      <c r="I643" s="10">
        <v>0</v>
      </c>
      <c r="J643" s="10">
        <v>0</v>
      </c>
      <c r="K643" s="10">
        <v>105718.83</v>
      </c>
      <c r="L643" s="10">
        <v>34488.36</v>
      </c>
      <c r="M643" s="10">
        <v>39261.07</v>
      </c>
      <c r="N643" s="10">
        <v>41513.54</v>
      </c>
      <c r="O643" s="10">
        <v>34221.040000000001</v>
      </c>
      <c r="P643" s="10">
        <v>35239.61</v>
      </c>
      <c r="Q643" s="6">
        <v>29393.57</v>
      </c>
      <c r="R643" s="6">
        <v>40000</v>
      </c>
      <c r="S643" s="6">
        <v>40000</v>
      </c>
      <c r="T643" s="6">
        <v>40000</v>
      </c>
      <c r="U643" s="6">
        <f t="shared" si="10"/>
        <v>439836.02</v>
      </c>
    </row>
    <row r="644" spans="2:21" x14ac:dyDescent="0.35">
      <c r="B644" t="s">
        <v>1270</v>
      </c>
      <c r="C644" t="s">
        <v>40</v>
      </c>
      <c r="D644" t="s">
        <v>40</v>
      </c>
      <c r="E644" t="s">
        <v>40</v>
      </c>
      <c r="F644">
        <v>81319101</v>
      </c>
      <c r="G644">
        <v>52041405</v>
      </c>
      <c r="H644" s="27">
        <v>0</v>
      </c>
      <c r="I644" s="10">
        <v>22090.58</v>
      </c>
      <c r="J644" s="10">
        <v>31378.760000000002</v>
      </c>
      <c r="K644" s="10">
        <v>28977.4</v>
      </c>
      <c r="L644" s="10">
        <v>31282.61</v>
      </c>
      <c r="M644" s="10">
        <v>24011.5</v>
      </c>
      <c r="N644" s="10">
        <v>41055.009999999995</v>
      </c>
      <c r="O644" s="10">
        <v>30206.89</v>
      </c>
      <c r="P644" s="10">
        <v>28621.71</v>
      </c>
      <c r="Q644" s="6">
        <v>31052.21</v>
      </c>
      <c r="R644" s="6">
        <v>30000</v>
      </c>
      <c r="S644" s="6">
        <v>30000</v>
      </c>
      <c r="T644" s="6">
        <v>30000</v>
      </c>
      <c r="U644" s="6">
        <f t="shared" si="10"/>
        <v>358676.67</v>
      </c>
    </row>
    <row r="645" spans="2:21" x14ac:dyDescent="0.35">
      <c r="B645" t="s">
        <v>1270</v>
      </c>
      <c r="C645" t="s">
        <v>40</v>
      </c>
      <c r="D645" t="s">
        <v>40</v>
      </c>
      <c r="E645" t="s">
        <v>40</v>
      </c>
      <c r="F645">
        <v>81319101</v>
      </c>
      <c r="G645">
        <v>52041405</v>
      </c>
      <c r="H645" s="27">
        <v>0</v>
      </c>
      <c r="I645" s="10">
        <v>106448.6</v>
      </c>
      <c r="J645" s="10">
        <v>103794.73</v>
      </c>
      <c r="K645" s="10">
        <v>109157.77</v>
      </c>
      <c r="L645" s="10">
        <v>109726.66</v>
      </c>
      <c r="M645" s="6">
        <v>0</v>
      </c>
      <c r="N645" s="10">
        <v>319345.8</v>
      </c>
      <c r="O645" s="10">
        <v>106448.6</v>
      </c>
      <c r="P645" s="10">
        <v>0</v>
      </c>
      <c r="Q645" s="6">
        <v>0</v>
      </c>
      <c r="R645" s="6">
        <v>120000</v>
      </c>
      <c r="S645" s="6">
        <v>120000</v>
      </c>
      <c r="T645" s="6">
        <v>120000</v>
      </c>
      <c r="U645" s="6">
        <f t="shared" ref="U645:U708" si="11">SUM(I645:T645)</f>
        <v>1214922.1600000001</v>
      </c>
    </row>
    <row r="646" spans="2:21" x14ac:dyDescent="0.35">
      <c r="B646" t="s">
        <v>1270</v>
      </c>
      <c r="C646" t="s">
        <v>180</v>
      </c>
      <c r="D646" t="s">
        <v>40</v>
      </c>
      <c r="E646" t="s">
        <v>40</v>
      </c>
      <c r="F646">
        <v>81319101</v>
      </c>
      <c r="G646">
        <v>52041405</v>
      </c>
      <c r="H646" s="27">
        <v>0</v>
      </c>
      <c r="I646" s="10">
        <v>-83341.95</v>
      </c>
      <c r="J646" s="10">
        <v>5330.77</v>
      </c>
      <c r="K646" s="10">
        <v>0</v>
      </c>
      <c r="L646" s="10">
        <v>0</v>
      </c>
      <c r="N646" s="10">
        <v>0</v>
      </c>
      <c r="O646" s="10">
        <v>0</v>
      </c>
      <c r="P646" s="10">
        <v>0</v>
      </c>
      <c r="Q646" s="6">
        <v>0</v>
      </c>
      <c r="R646" s="6"/>
      <c r="S646" s="6"/>
      <c r="T646" s="6"/>
      <c r="U646" s="6">
        <f t="shared" si="11"/>
        <v>-78011.179999999993</v>
      </c>
    </row>
    <row r="647" spans="2:21" x14ac:dyDescent="0.35">
      <c r="B647" t="s">
        <v>1270</v>
      </c>
      <c r="C647" t="s">
        <v>180</v>
      </c>
      <c r="D647" t="s">
        <v>1262</v>
      </c>
      <c r="E647" s="2" t="s">
        <v>1262</v>
      </c>
      <c r="F647">
        <v>81123102</v>
      </c>
      <c r="G647">
        <v>52041401</v>
      </c>
      <c r="H647" s="27">
        <v>1958108.763</v>
      </c>
      <c r="I647" s="10">
        <v>0</v>
      </c>
      <c r="J647" s="10">
        <v>162252.37</v>
      </c>
      <c r="K647" s="10">
        <v>146550.53</v>
      </c>
      <c r="L647" s="10">
        <v>0</v>
      </c>
      <c r="M647" s="10">
        <v>501098.35000000003</v>
      </c>
      <c r="N647" s="10">
        <v>0</v>
      </c>
      <c r="O647" s="10">
        <v>361749.30000000005</v>
      </c>
      <c r="P647" s="10">
        <v>0</v>
      </c>
      <c r="Q647" s="6">
        <v>281611.04999999993</v>
      </c>
      <c r="R647" s="6">
        <v>281611.04999999993</v>
      </c>
      <c r="S647" s="6">
        <v>281611.04999999993</v>
      </c>
      <c r="T647" s="6">
        <v>281611.04999999993</v>
      </c>
      <c r="U647" s="6">
        <f t="shared" si="11"/>
        <v>2298094.7499999995</v>
      </c>
    </row>
    <row r="648" spans="2:21" x14ac:dyDescent="0.35">
      <c r="B648" t="s">
        <v>1270</v>
      </c>
      <c r="C648" t="s">
        <v>180</v>
      </c>
      <c r="D648" t="s">
        <v>1262</v>
      </c>
      <c r="E648" s="2" t="s">
        <v>1262</v>
      </c>
      <c r="F648">
        <v>81111101</v>
      </c>
      <c r="G648">
        <v>52041401</v>
      </c>
      <c r="H648" s="27">
        <v>0</v>
      </c>
      <c r="I648" s="10">
        <v>258000</v>
      </c>
      <c r="J648" s="10">
        <v>123500</v>
      </c>
      <c r="K648" s="10">
        <v>-59717.189999999951</v>
      </c>
      <c r="L648" s="10">
        <v>179315.49</v>
      </c>
      <c r="M648" s="10">
        <v>-103990.95000000007</v>
      </c>
      <c r="N648" s="10">
        <v>229132.72999999998</v>
      </c>
      <c r="O648" s="10">
        <v>-43576.680000000051</v>
      </c>
      <c r="P648" s="10">
        <v>159438.44</v>
      </c>
      <c r="Q648" s="6">
        <v>-26592.62999999999</v>
      </c>
      <c r="R648" s="6">
        <v>250000</v>
      </c>
      <c r="S648" s="6">
        <v>250000</v>
      </c>
      <c r="T648" s="6">
        <v>250000</v>
      </c>
      <c r="U648" s="6">
        <f t="shared" si="11"/>
        <v>1465509.21</v>
      </c>
    </row>
    <row r="649" spans="2:21" x14ac:dyDescent="0.35">
      <c r="B649" t="s">
        <v>1270</v>
      </c>
      <c r="C649" t="s">
        <v>180</v>
      </c>
      <c r="D649" t="s">
        <v>1262</v>
      </c>
      <c r="E649" s="2" t="s">
        <v>1262</v>
      </c>
      <c r="F649">
        <v>81319101</v>
      </c>
      <c r="G649">
        <v>52041401</v>
      </c>
      <c r="H649" s="27">
        <v>0</v>
      </c>
      <c r="I649" s="10">
        <v>109062.95999999999</v>
      </c>
      <c r="J649" s="10">
        <v>0</v>
      </c>
      <c r="K649" s="10">
        <v>207854.53999999998</v>
      </c>
      <c r="L649" s="10">
        <v>105258.84</v>
      </c>
      <c r="M649" s="10">
        <v>109062.95999999999</v>
      </c>
      <c r="N649" s="10">
        <v>105544.79999999999</v>
      </c>
      <c r="O649" s="10">
        <v>109062.95999999999</v>
      </c>
      <c r="P649" s="10">
        <v>109062.95999999999</v>
      </c>
      <c r="Q649" s="6">
        <v>105544.79999999999</v>
      </c>
      <c r="R649" s="6">
        <v>110000</v>
      </c>
      <c r="S649" s="6">
        <v>110000</v>
      </c>
      <c r="T649" s="6">
        <v>110000</v>
      </c>
      <c r="U649" s="6">
        <f t="shared" si="11"/>
        <v>1290454.8199999998</v>
      </c>
    </row>
    <row r="650" spans="2:21" x14ac:dyDescent="0.35">
      <c r="B650" t="s">
        <v>1270</v>
      </c>
      <c r="C650" t="s">
        <v>180</v>
      </c>
      <c r="D650" t="s">
        <v>1262</v>
      </c>
      <c r="E650" s="2" t="s">
        <v>1262</v>
      </c>
      <c r="F650">
        <v>81319101</v>
      </c>
      <c r="G650" s="2">
        <v>52041401</v>
      </c>
      <c r="H650" s="27">
        <v>0</v>
      </c>
      <c r="I650" s="10">
        <v>53188.189999999995</v>
      </c>
      <c r="J650" s="10">
        <v>0</v>
      </c>
      <c r="K650" s="10">
        <v>73777.16</v>
      </c>
      <c r="L650" s="10">
        <v>53872.070000000007</v>
      </c>
      <c r="M650" s="10">
        <v>25736.22</v>
      </c>
      <c r="N650" s="10">
        <v>75480.040000000008</v>
      </c>
      <c r="O650" s="10">
        <v>25736.22</v>
      </c>
      <c r="P650" s="10">
        <v>53181.039999999994</v>
      </c>
      <c r="Q650" s="6">
        <v>53042.349999999991</v>
      </c>
      <c r="R650" s="6">
        <v>53000</v>
      </c>
      <c r="S650" s="6">
        <v>53000</v>
      </c>
      <c r="T650" s="6">
        <v>53000</v>
      </c>
      <c r="U650" s="6">
        <f t="shared" si="11"/>
        <v>573013.29</v>
      </c>
    </row>
    <row r="651" spans="2:21" x14ac:dyDescent="0.35">
      <c r="B651" t="s">
        <v>6</v>
      </c>
      <c r="C651" t="s">
        <v>22</v>
      </c>
      <c r="D651" t="s">
        <v>1262</v>
      </c>
      <c r="E651" s="2" t="s">
        <v>1262</v>
      </c>
      <c r="F651" s="2">
        <v>81319101</v>
      </c>
      <c r="G651">
        <v>52041401</v>
      </c>
      <c r="H651" s="27">
        <v>0</v>
      </c>
      <c r="I651" s="10">
        <v>0</v>
      </c>
      <c r="J651" s="10">
        <v>214072.71000000002</v>
      </c>
      <c r="K651" s="10">
        <v>24857.9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6">
        <v>0</v>
      </c>
      <c r="R651" s="6">
        <v>0</v>
      </c>
      <c r="S651" s="6">
        <v>0</v>
      </c>
      <c r="T651" s="6">
        <v>0</v>
      </c>
      <c r="U651" s="6">
        <f t="shared" si="11"/>
        <v>238930.61000000002</v>
      </c>
    </row>
    <row r="652" spans="2:21" x14ac:dyDescent="0.35">
      <c r="B652" t="s">
        <v>1270</v>
      </c>
      <c r="C652" t="s">
        <v>180</v>
      </c>
      <c r="D652" t="s">
        <v>179</v>
      </c>
      <c r="E652" s="2" t="s">
        <v>6</v>
      </c>
      <c r="F652">
        <v>81319101</v>
      </c>
      <c r="G652">
        <v>52111101</v>
      </c>
      <c r="H652" s="27">
        <v>33372.957565886361</v>
      </c>
      <c r="I652" s="10">
        <v>6792.4900000000007</v>
      </c>
      <c r="J652" s="10">
        <v>0.01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6">
        <v>0</v>
      </c>
      <c r="R652" s="6"/>
      <c r="S652" s="6"/>
      <c r="T652" s="6"/>
      <c r="U652" s="6">
        <f t="shared" si="11"/>
        <v>6792.5000000000009</v>
      </c>
    </row>
    <row r="653" spans="2:21" x14ac:dyDescent="0.35">
      <c r="B653" t="s">
        <v>1270</v>
      </c>
      <c r="C653" t="s">
        <v>180</v>
      </c>
      <c r="D653" t="s">
        <v>1262</v>
      </c>
      <c r="E653" s="2" t="s">
        <v>1262</v>
      </c>
      <c r="F653">
        <v>81319101</v>
      </c>
      <c r="G653">
        <v>52041401</v>
      </c>
      <c r="H653" s="27">
        <v>0</v>
      </c>
      <c r="I653" s="10">
        <v>53188.189999999995</v>
      </c>
      <c r="J653" s="10">
        <v>48040.87</v>
      </c>
      <c r="K653" s="10">
        <v>51995.779999999992</v>
      </c>
      <c r="L653" s="10">
        <v>25736.22</v>
      </c>
      <c r="M653" s="10">
        <v>50811.880000000005</v>
      </c>
      <c r="N653" s="10">
        <v>51072.100000000006</v>
      </c>
      <c r="O653" s="10">
        <v>25736.22</v>
      </c>
      <c r="P653" s="10">
        <v>105677.22</v>
      </c>
      <c r="Q653" s="6">
        <v>51472.4</v>
      </c>
      <c r="R653" s="6">
        <v>52000</v>
      </c>
      <c r="S653" s="6">
        <v>52000</v>
      </c>
      <c r="T653" s="6">
        <v>52000</v>
      </c>
      <c r="U653" s="6">
        <f t="shared" si="11"/>
        <v>619730.88</v>
      </c>
    </row>
    <row r="654" spans="2:21" x14ac:dyDescent="0.35">
      <c r="B654" t="s">
        <v>1270</v>
      </c>
      <c r="C654" t="s">
        <v>180</v>
      </c>
      <c r="D654" t="s">
        <v>1262</v>
      </c>
      <c r="E654" s="2" t="s">
        <v>1262</v>
      </c>
      <c r="F654">
        <v>81319101</v>
      </c>
      <c r="G654" s="2">
        <v>52041401</v>
      </c>
      <c r="H654" s="27">
        <v>0</v>
      </c>
      <c r="I654" s="10">
        <v>159234.43</v>
      </c>
      <c r="J654" s="10">
        <v>159234.43</v>
      </c>
      <c r="K654" s="10">
        <v>159234.43</v>
      </c>
      <c r="L654" s="10">
        <v>159234.43</v>
      </c>
      <c r="M654" s="10">
        <v>159234.43</v>
      </c>
      <c r="N654" s="10">
        <v>159234.43</v>
      </c>
      <c r="O654" s="10">
        <v>146582.92000000001</v>
      </c>
      <c r="P654" s="10">
        <v>159234.4</v>
      </c>
      <c r="Q654" s="6">
        <v>159234.43</v>
      </c>
      <c r="R654" s="6">
        <v>160000</v>
      </c>
      <c r="S654" s="6">
        <v>160000</v>
      </c>
      <c r="T654" s="6">
        <v>160000</v>
      </c>
      <c r="U654" s="6">
        <f t="shared" si="11"/>
        <v>1900458.3299999996</v>
      </c>
    </row>
    <row r="655" spans="2:21" x14ac:dyDescent="0.35">
      <c r="B655" t="s">
        <v>6</v>
      </c>
      <c r="C655" t="s">
        <v>22</v>
      </c>
      <c r="D655" t="s">
        <v>1262</v>
      </c>
      <c r="E655" s="2" t="s">
        <v>1262</v>
      </c>
      <c r="F655" s="2">
        <v>81123102</v>
      </c>
      <c r="G655">
        <v>52041401</v>
      </c>
      <c r="H655" s="27">
        <v>0</v>
      </c>
      <c r="I655" s="10">
        <v>0</v>
      </c>
      <c r="J655" s="10">
        <v>0</v>
      </c>
      <c r="K655" s="10">
        <v>-25736.219999999994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6">
        <v>0</v>
      </c>
      <c r="R655" s="6">
        <v>0</v>
      </c>
      <c r="S655" s="6">
        <v>0</v>
      </c>
      <c r="T655" s="6">
        <v>0</v>
      </c>
      <c r="U655" s="6">
        <f t="shared" si="11"/>
        <v>-25736.219999999994</v>
      </c>
    </row>
    <row r="656" spans="2:21" x14ac:dyDescent="0.35">
      <c r="B656" t="s">
        <v>6</v>
      </c>
      <c r="C656" t="s">
        <v>22</v>
      </c>
      <c r="D656" t="s">
        <v>179</v>
      </c>
      <c r="E656" s="2" t="s">
        <v>6</v>
      </c>
      <c r="F656">
        <v>81319101</v>
      </c>
      <c r="G656">
        <v>52111101</v>
      </c>
      <c r="H656" s="27">
        <v>454736.55848768901</v>
      </c>
      <c r="I656" s="10">
        <v>11164.29</v>
      </c>
      <c r="J656" s="10">
        <v>9384.7099999999991</v>
      </c>
      <c r="K656" s="10">
        <v>25892.86</v>
      </c>
      <c r="L656" s="10">
        <v>26833.48</v>
      </c>
      <c r="M656" s="10">
        <v>6500</v>
      </c>
      <c r="N656" s="10">
        <v>57142.859999999993</v>
      </c>
      <c r="O656" s="10">
        <v>8839.2900000000009</v>
      </c>
      <c r="P656" s="10">
        <v>33529.920000000006</v>
      </c>
      <c r="Q656" s="6">
        <v>34062.5</v>
      </c>
      <c r="R656" s="6"/>
      <c r="S656" s="6"/>
      <c r="T656" s="6"/>
      <c r="U656" s="6">
        <f t="shared" si="11"/>
        <v>213349.91</v>
      </c>
    </row>
    <row r="657" spans="2:21" x14ac:dyDescent="0.35">
      <c r="B657" t="s">
        <v>6</v>
      </c>
      <c r="C657" t="s">
        <v>22</v>
      </c>
      <c r="D657" t="s">
        <v>179</v>
      </c>
      <c r="E657" s="2" t="s">
        <v>6</v>
      </c>
      <c r="F657">
        <v>81319101</v>
      </c>
      <c r="G657">
        <v>52111101</v>
      </c>
      <c r="H657" s="27">
        <v>340212.09259612218</v>
      </c>
      <c r="I657" s="10">
        <v>19420.47</v>
      </c>
      <c r="J657" s="10">
        <v>2142.86</v>
      </c>
      <c r="K657" s="10">
        <v>51431.970000000008</v>
      </c>
      <c r="L657" s="10">
        <v>48240.18</v>
      </c>
      <c r="M657" s="10">
        <v>295.31</v>
      </c>
      <c r="N657" s="10">
        <v>0</v>
      </c>
      <c r="O657" s="10">
        <v>53292.09</v>
      </c>
      <c r="P657" s="10">
        <v>3999.99</v>
      </c>
      <c r="Q657" s="6">
        <v>3200</v>
      </c>
      <c r="R657" s="6"/>
      <c r="S657" s="6"/>
      <c r="T657" s="6"/>
      <c r="U657" s="6">
        <f t="shared" si="11"/>
        <v>182022.87</v>
      </c>
    </row>
    <row r="658" spans="2:21" x14ac:dyDescent="0.35">
      <c r="B658" t="s">
        <v>6</v>
      </c>
      <c r="C658" t="s">
        <v>22</v>
      </c>
      <c r="D658" t="s">
        <v>8</v>
      </c>
      <c r="E658" s="2" t="s">
        <v>9</v>
      </c>
      <c r="F658">
        <v>81319101</v>
      </c>
      <c r="G658">
        <v>52111102</v>
      </c>
      <c r="H658" s="27">
        <v>0</v>
      </c>
      <c r="K658" s="10">
        <v>9821.43</v>
      </c>
      <c r="L658" s="10">
        <v>1694.64</v>
      </c>
      <c r="M658" s="10">
        <v>0</v>
      </c>
      <c r="N658" s="10">
        <v>0</v>
      </c>
      <c r="O658" s="10">
        <v>0</v>
      </c>
      <c r="P658" s="10">
        <v>0</v>
      </c>
      <c r="Q658" s="6">
        <v>0</v>
      </c>
      <c r="R658" s="6"/>
      <c r="S658" s="6"/>
      <c r="T658" s="6"/>
      <c r="U658" s="6">
        <f t="shared" si="11"/>
        <v>11516.07</v>
      </c>
    </row>
    <row r="659" spans="2:21" x14ac:dyDescent="0.35">
      <c r="B659" t="s">
        <v>6</v>
      </c>
      <c r="C659" t="s">
        <v>1267</v>
      </c>
      <c r="D659" t="s">
        <v>179</v>
      </c>
      <c r="E659" s="2" t="s">
        <v>6</v>
      </c>
      <c r="F659">
        <v>81319101</v>
      </c>
      <c r="G659">
        <v>52111101</v>
      </c>
      <c r="H659" s="27">
        <v>19207.457591877046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6">
        <v>0</v>
      </c>
      <c r="R659" s="6"/>
      <c r="S659" s="6"/>
      <c r="T659" s="6"/>
      <c r="U659" s="6">
        <f t="shared" si="11"/>
        <v>0</v>
      </c>
    </row>
    <row r="660" spans="2:21" x14ac:dyDescent="0.35">
      <c r="B660" t="s">
        <v>6</v>
      </c>
      <c r="C660" t="s">
        <v>1267</v>
      </c>
      <c r="D660" t="s">
        <v>19</v>
      </c>
      <c r="E660" s="2" t="s">
        <v>20</v>
      </c>
      <c r="F660">
        <v>81319101</v>
      </c>
      <c r="G660">
        <v>52061103</v>
      </c>
      <c r="H660" s="27">
        <v>0</v>
      </c>
      <c r="I660" s="10">
        <v>22409.16</v>
      </c>
      <c r="J660" s="10">
        <v>0</v>
      </c>
      <c r="K660" s="10">
        <v>803.57</v>
      </c>
      <c r="L660" s="10">
        <v>6785.71</v>
      </c>
      <c r="M660" s="10">
        <v>0</v>
      </c>
      <c r="N660" s="10">
        <v>20153.57</v>
      </c>
      <c r="O660" s="10">
        <v>12500</v>
      </c>
      <c r="P660" s="10">
        <v>0</v>
      </c>
      <c r="Q660" s="6">
        <v>0</v>
      </c>
      <c r="R660" s="6"/>
      <c r="S660" s="6"/>
      <c r="T660" s="6"/>
      <c r="U660" s="6">
        <f t="shared" si="11"/>
        <v>62652.009999999995</v>
      </c>
    </row>
    <row r="661" spans="2:21" x14ac:dyDescent="0.35">
      <c r="B661" t="s">
        <v>6</v>
      </c>
      <c r="C661" t="s">
        <v>1267</v>
      </c>
      <c r="D661" t="s">
        <v>19</v>
      </c>
      <c r="E661" s="2" t="s">
        <v>21</v>
      </c>
      <c r="F661">
        <v>81319101</v>
      </c>
      <c r="G661">
        <v>52061101</v>
      </c>
      <c r="H661" s="27">
        <v>477000</v>
      </c>
      <c r="I661" s="10">
        <v>0</v>
      </c>
      <c r="J661" s="10">
        <v>0</v>
      </c>
      <c r="K661" s="10">
        <v>0</v>
      </c>
      <c r="L661" s="10">
        <v>5133.93</v>
      </c>
      <c r="M661" s="10">
        <v>0</v>
      </c>
      <c r="N661" s="10">
        <v>0</v>
      </c>
      <c r="O661" s="10">
        <v>0</v>
      </c>
      <c r="P661" s="10">
        <v>5996.43</v>
      </c>
      <c r="Q661" s="6">
        <v>0</v>
      </c>
      <c r="R661" s="6"/>
      <c r="S661" s="6"/>
      <c r="T661" s="6"/>
      <c r="U661" s="6">
        <f t="shared" si="11"/>
        <v>11130.36</v>
      </c>
    </row>
    <row r="662" spans="2:21" x14ac:dyDescent="0.35">
      <c r="B662" t="s">
        <v>6</v>
      </c>
      <c r="C662" t="s">
        <v>1267</v>
      </c>
      <c r="D662" t="s">
        <v>19</v>
      </c>
      <c r="E662" s="2" t="s">
        <v>23</v>
      </c>
      <c r="F662">
        <v>81319101</v>
      </c>
      <c r="G662">
        <v>52061105</v>
      </c>
      <c r="H662" s="27">
        <v>0</v>
      </c>
      <c r="K662" s="10">
        <v>28545.09</v>
      </c>
      <c r="L662" s="10">
        <v>0</v>
      </c>
      <c r="M662" s="10">
        <v>0</v>
      </c>
      <c r="N662" s="10">
        <v>10482.73</v>
      </c>
      <c r="O662" s="10">
        <v>0</v>
      </c>
      <c r="P662" s="10">
        <v>0</v>
      </c>
      <c r="Q662" s="6">
        <v>0</v>
      </c>
      <c r="R662" s="6"/>
      <c r="S662" s="6"/>
      <c r="T662" s="6"/>
      <c r="U662" s="6">
        <f t="shared" si="11"/>
        <v>39027.82</v>
      </c>
    </row>
    <row r="663" spans="2:21" x14ac:dyDescent="0.35">
      <c r="B663" t="s">
        <v>6</v>
      </c>
      <c r="C663" t="s">
        <v>1267</v>
      </c>
      <c r="D663" t="s">
        <v>19</v>
      </c>
      <c r="E663" s="2" t="s">
        <v>21</v>
      </c>
      <c r="F663">
        <v>81319101</v>
      </c>
      <c r="G663">
        <v>52061101</v>
      </c>
      <c r="H663" s="27">
        <v>129999.99999999999</v>
      </c>
      <c r="I663" s="10">
        <v>0</v>
      </c>
      <c r="J663" s="10">
        <v>-1061.94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6">
        <v>0</v>
      </c>
      <c r="R663" s="6"/>
      <c r="S663" s="6"/>
      <c r="T663" s="6"/>
      <c r="U663" s="6">
        <f t="shared" si="11"/>
        <v>-1061.94</v>
      </c>
    </row>
    <row r="664" spans="2:21" x14ac:dyDescent="0.35">
      <c r="B664" t="s">
        <v>6</v>
      </c>
      <c r="C664" t="s">
        <v>1267</v>
      </c>
      <c r="D664" t="s">
        <v>19</v>
      </c>
      <c r="E664" s="2" t="s">
        <v>23</v>
      </c>
      <c r="F664">
        <v>81319101</v>
      </c>
      <c r="G664">
        <v>52061105</v>
      </c>
      <c r="H664" s="27">
        <v>0</v>
      </c>
      <c r="I664" s="10">
        <v>0</v>
      </c>
      <c r="J664" s="10">
        <v>6450</v>
      </c>
      <c r="K664" s="10">
        <v>12350</v>
      </c>
      <c r="L664" s="10">
        <v>0</v>
      </c>
      <c r="M664" s="10">
        <v>-2.9200000000000728</v>
      </c>
      <c r="N664" s="10">
        <v>0</v>
      </c>
      <c r="O664" s="10">
        <v>5250</v>
      </c>
      <c r="P664" s="10">
        <v>13500</v>
      </c>
      <c r="Q664" s="6">
        <v>0</v>
      </c>
      <c r="R664" s="6"/>
      <c r="S664" s="6"/>
      <c r="T664" s="6"/>
      <c r="U664" s="6">
        <f t="shared" si="11"/>
        <v>37547.08</v>
      </c>
    </row>
    <row r="665" spans="2:21" x14ac:dyDescent="0.35">
      <c r="B665" t="s">
        <v>38</v>
      </c>
      <c r="D665" t="s">
        <v>19</v>
      </c>
      <c r="E665" s="2" t="s">
        <v>21</v>
      </c>
      <c r="F665">
        <v>81319101</v>
      </c>
      <c r="G665">
        <v>52061101</v>
      </c>
      <c r="H665" s="27">
        <v>214000.00000000003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6">
        <v>0</v>
      </c>
      <c r="R665" s="6"/>
      <c r="S665" s="6"/>
      <c r="T665" s="6"/>
      <c r="U665" s="6">
        <f t="shared" si="11"/>
        <v>0</v>
      </c>
    </row>
    <row r="666" spans="2:21" x14ac:dyDescent="0.35">
      <c r="B666" t="s">
        <v>38</v>
      </c>
      <c r="D666" t="s">
        <v>38</v>
      </c>
      <c r="E666" s="2" t="s">
        <v>137</v>
      </c>
      <c r="F666">
        <v>80111101</v>
      </c>
      <c r="G666">
        <v>52031101</v>
      </c>
      <c r="H666" s="27">
        <v>120000</v>
      </c>
      <c r="I666" s="10">
        <v>26000</v>
      </c>
      <c r="J666" s="10">
        <v>0</v>
      </c>
      <c r="K666" s="10">
        <v>12282</v>
      </c>
      <c r="L666" s="10">
        <v>0</v>
      </c>
      <c r="M666" s="10">
        <v>0</v>
      </c>
      <c r="N666" s="10">
        <v>2300</v>
      </c>
      <c r="O666" s="10">
        <v>0</v>
      </c>
      <c r="P666" s="10">
        <v>0</v>
      </c>
      <c r="Q666" s="6">
        <v>0</v>
      </c>
      <c r="R666" s="6">
        <v>0</v>
      </c>
      <c r="S666" s="6">
        <v>0</v>
      </c>
      <c r="T666" s="6">
        <v>0</v>
      </c>
      <c r="U666" s="6">
        <f t="shared" si="11"/>
        <v>40582</v>
      </c>
    </row>
    <row r="667" spans="2:21" x14ac:dyDescent="0.35">
      <c r="B667" t="s">
        <v>38</v>
      </c>
      <c r="D667" t="s">
        <v>38</v>
      </c>
      <c r="E667" s="2" t="s">
        <v>137</v>
      </c>
      <c r="F667">
        <v>81111101</v>
      </c>
      <c r="G667">
        <v>52031101</v>
      </c>
      <c r="H667" s="27">
        <v>120000</v>
      </c>
      <c r="I667" s="10">
        <v>30021.119999999999</v>
      </c>
      <c r="J667" s="10">
        <v>4021.12</v>
      </c>
      <c r="K667" s="10">
        <v>44371.12</v>
      </c>
      <c r="L667" s="10">
        <v>4021.12</v>
      </c>
      <c r="M667" s="6">
        <v>4021.12</v>
      </c>
      <c r="N667" s="10">
        <v>9321.119999999999</v>
      </c>
      <c r="O667" s="10">
        <v>16000</v>
      </c>
      <c r="P667" s="10">
        <v>8042.24</v>
      </c>
      <c r="Q667" s="6">
        <v>4021.12</v>
      </c>
      <c r="R667" s="6">
        <v>15000</v>
      </c>
      <c r="S667" s="6">
        <v>15000</v>
      </c>
      <c r="T667" s="6">
        <v>15000</v>
      </c>
      <c r="U667" s="6">
        <f t="shared" si="11"/>
        <v>168840.08</v>
      </c>
    </row>
    <row r="668" spans="2:21" x14ac:dyDescent="0.35">
      <c r="B668" t="s">
        <v>38</v>
      </c>
      <c r="D668" t="s">
        <v>38</v>
      </c>
      <c r="E668" s="2" t="s">
        <v>137</v>
      </c>
      <c r="F668">
        <v>90111101</v>
      </c>
      <c r="G668">
        <v>52031101</v>
      </c>
      <c r="H668" s="27">
        <v>120000</v>
      </c>
      <c r="I668" s="10">
        <v>0</v>
      </c>
      <c r="J668" s="10">
        <v>0</v>
      </c>
      <c r="K668" s="10">
        <v>0</v>
      </c>
      <c r="L668" s="10">
        <v>0</v>
      </c>
      <c r="N668" s="10">
        <v>0</v>
      </c>
      <c r="O668" s="10">
        <v>0</v>
      </c>
      <c r="P668" s="10">
        <v>0</v>
      </c>
      <c r="Q668" s="6"/>
      <c r="R668" s="6"/>
      <c r="S668" s="6"/>
      <c r="T668" s="6"/>
      <c r="U668" s="6">
        <f t="shared" si="11"/>
        <v>0</v>
      </c>
    </row>
    <row r="669" spans="2:21" x14ac:dyDescent="0.35">
      <c r="B669" t="s">
        <v>38</v>
      </c>
      <c r="D669" t="s">
        <v>38</v>
      </c>
      <c r="E669" s="2" t="s">
        <v>137</v>
      </c>
      <c r="F669">
        <v>90111101</v>
      </c>
      <c r="G669">
        <v>52031101</v>
      </c>
      <c r="H669" s="27">
        <v>4800000</v>
      </c>
      <c r="I669" s="10">
        <v>434700.47999999992</v>
      </c>
      <c r="J669" s="10">
        <v>374398.32999999996</v>
      </c>
      <c r="K669" s="10">
        <v>374398.32999999996</v>
      </c>
      <c r="L669" s="10">
        <v>374398.31999999995</v>
      </c>
      <c r="M669" s="10">
        <v>374398.32999999996</v>
      </c>
      <c r="N669" s="10">
        <v>374398.33000000007</v>
      </c>
      <c r="O669" s="10">
        <v>374398.32999999996</v>
      </c>
      <c r="P669" s="10">
        <v>374398.32999999996</v>
      </c>
      <c r="Q669" s="6">
        <v>374398.32999999996</v>
      </c>
      <c r="R669" s="6">
        <v>374398.32999999996</v>
      </c>
      <c r="S669" s="6">
        <v>374398.32999999996</v>
      </c>
      <c r="T669" s="6">
        <v>374398.32999999996</v>
      </c>
      <c r="U669" s="6">
        <f t="shared" si="11"/>
        <v>4553082.0999999996</v>
      </c>
    </row>
    <row r="670" spans="2:21" x14ac:dyDescent="0.35">
      <c r="B670" t="s">
        <v>38</v>
      </c>
      <c r="D670" t="s">
        <v>38</v>
      </c>
      <c r="E670" s="2" t="s">
        <v>183</v>
      </c>
      <c r="F670">
        <v>80111101</v>
      </c>
      <c r="G670">
        <v>52031103</v>
      </c>
      <c r="H670" s="27">
        <v>12000</v>
      </c>
      <c r="I670" s="10">
        <v>0</v>
      </c>
      <c r="J670" s="10">
        <v>0</v>
      </c>
      <c r="K670" s="10">
        <v>114417.41</v>
      </c>
      <c r="L670" s="10">
        <v>114351.49</v>
      </c>
      <c r="M670" s="10">
        <v>0</v>
      </c>
      <c r="N670" s="10">
        <v>0</v>
      </c>
      <c r="O670" s="10">
        <v>0</v>
      </c>
      <c r="P670" s="10">
        <v>3135.2</v>
      </c>
      <c r="Q670" s="6">
        <v>0</v>
      </c>
      <c r="R670" s="6">
        <v>10000</v>
      </c>
      <c r="S670" s="6">
        <v>10000</v>
      </c>
      <c r="T670" s="6">
        <v>10000</v>
      </c>
      <c r="U670" s="6">
        <f t="shared" si="11"/>
        <v>261904.10000000003</v>
      </c>
    </row>
    <row r="671" spans="2:21" x14ac:dyDescent="0.35">
      <c r="B671" t="s">
        <v>38</v>
      </c>
      <c r="D671" t="s">
        <v>38</v>
      </c>
      <c r="E671" s="2" t="s">
        <v>183</v>
      </c>
      <c r="F671">
        <v>81111101</v>
      </c>
      <c r="G671">
        <v>52031103</v>
      </c>
      <c r="H671" s="27">
        <v>30000</v>
      </c>
      <c r="I671" s="10">
        <v>0</v>
      </c>
      <c r="J671" s="10">
        <v>330</v>
      </c>
      <c r="K671" s="10">
        <v>330</v>
      </c>
      <c r="L671" s="10">
        <v>0</v>
      </c>
      <c r="M671" s="10">
        <v>0</v>
      </c>
      <c r="N671" s="10">
        <v>23401.9</v>
      </c>
      <c r="O671" s="10">
        <v>270</v>
      </c>
      <c r="P671" s="10">
        <v>0</v>
      </c>
      <c r="Q671" s="6">
        <v>0</v>
      </c>
      <c r="R671" s="6"/>
      <c r="S671" s="6"/>
      <c r="T671" s="6"/>
      <c r="U671" s="6">
        <f t="shared" si="11"/>
        <v>24331.9</v>
      </c>
    </row>
    <row r="672" spans="2:21" x14ac:dyDescent="0.35">
      <c r="B672" t="s">
        <v>1130</v>
      </c>
      <c r="D672" t="s">
        <v>38</v>
      </c>
      <c r="E672" s="2" t="s">
        <v>183</v>
      </c>
      <c r="F672">
        <v>90111101</v>
      </c>
      <c r="G672">
        <v>61031101</v>
      </c>
      <c r="H672" s="27">
        <v>3000</v>
      </c>
      <c r="I672" s="10">
        <v>0</v>
      </c>
      <c r="J672" s="10">
        <v>0</v>
      </c>
      <c r="K672" s="10">
        <v>180</v>
      </c>
      <c r="L672" s="10">
        <v>90</v>
      </c>
      <c r="M672" s="10">
        <v>180</v>
      </c>
      <c r="N672" s="10">
        <v>120</v>
      </c>
      <c r="O672" s="10">
        <v>150</v>
      </c>
      <c r="P672" s="10">
        <v>150</v>
      </c>
      <c r="Q672" s="10">
        <v>0</v>
      </c>
      <c r="U672" s="6">
        <f t="shared" si="11"/>
        <v>870</v>
      </c>
    </row>
    <row r="673" spans="2:21" x14ac:dyDescent="0.35">
      <c r="B673" t="s">
        <v>1276</v>
      </c>
      <c r="C673" t="s">
        <v>1135</v>
      </c>
      <c r="D673" t="s">
        <v>1130</v>
      </c>
      <c r="E673" t="s">
        <v>1130</v>
      </c>
      <c r="F673">
        <v>80134103</v>
      </c>
      <c r="G673">
        <v>61901109</v>
      </c>
      <c r="H673" s="27">
        <v>19131996.629999999</v>
      </c>
      <c r="I673" s="10">
        <v>1407501.8601666668</v>
      </c>
      <c r="J673" s="10">
        <v>1407501.8601666668</v>
      </c>
      <c r="K673" s="10">
        <v>1437978.0501666667</v>
      </c>
      <c r="L673" s="10">
        <v>1486351.0691666666</v>
      </c>
      <c r="M673" s="10">
        <v>1450071.3091666666</v>
      </c>
      <c r="N673" s="10">
        <v>1538984.0391666666</v>
      </c>
      <c r="O673" s="10">
        <v>1526067.3791666664</v>
      </c>
      <c r="P673" s="10">
        <v>1687297.5391666663</v>
      </c>
      <c r="Q673" s="6">
        <v>1613140.7991666663</v>
      </c>
      <c r="R673" s="6">
        <v>1656474.1324999996</v>
      </c>
      <c r="S673" s="6">
        <v>1656474.1324999996</v>
      </c>
      <c r="T673" s="6">
        <v>1656474.1324999996</v>
      </c>
      <c r="U673" s="6">
        <f t="shared" si="11"/>
        <v>18524316.302999999</v>
      </c>
    </row>
    <row r="674" spans="2:21" x14ac:dyDescent="0.35">
      <c r="B674" t="s">
        <v>1276</v>
      </c>
      <c r="C674" t="s">
        <v>186</v>
      </c>
      <c r="D674" t="s">
        <v>184</v>
      </c>
      <c r="E674" s="2" t="s">
        <v>185</v>
      </c>
      <c r="F674">
        <v>81111101</v>
      </c>
      <c r="G674">
        <v>52121101</v>
      </c>
      <c r="H674" s="27">
        <v>47079264</v>
      </c>
      <c r="I674" s="10">
        <v>3311803.4299999997</v>
      </c>
      <c r="J674" s="10">
        <v>3333124.5500000003</v>
      </c>
      <c r="K674" s="10">
        <v>3351038.2600000007</v>
      </c>
      <c r="L674" s="10">
        <v>4200905.1000000015</v>
      </c>
      <c r="M674" s="10">
        <v>3471452.9100000006</v>
      </c>
      <c r="N674" s="10">
        <v>3592320.3800000008</v>
      </c>
      <c r="O674" s="10">
        <v>3333240.12</v>
      </c>
      <c r="P674" s="10">
        <v>3290168.14</v>
      </c>
      <c r="Q674" s="6">
        <v>3417740.8299999991</v>
      </c>
      <c r="R674" s="6">
        <v>3500000</v>
      </c>
      <c r="S674" s="6">
        <v>3500000</v>
      </c>
      <c r="T674" s="6">
        <v>3500000</v>
      </c>
      <c r="U674" s="6">
        <f t="shared" si="11"/>
        <v>41801793.719999999</v>
      </c>
    </row>
    <row r="675" spans="2:21" x14ac:dyDescent="0.35">
      <c r="B675" t="s">
        <v>1276</v>
      </c>
      <c r="C675" t="s">
        <v>1138</v>
      </c>
      <c r="D675" t="s">
        <v>184</v>
      </c>
      <c r="E675" s="2" t="s">
        <v>186</v>
      </c>
      <c r="F675">
        <v>81111101</v>
      </c>
      <c r="G675">
        <v>52121104</v>
      </c>
      <c r="H675" s="27">
        <v>8287075.7599999998</v>
      </c>
      <c r="I675" s="10">
        <v>0</v>
      </c>
      <c r="J675" s="10">
        <v>0</v>
      </c>
      <c r="K675" s="10">
        <v>5350</v>
      </c>
      <c r="L675" s="10">
        <v>2204516</v>
      </c>
      <c r="M675" s="10">
        <v>0</v>
      </c>
      <c r="N675" s="10">
        <v>53700</v>
      </c>
      <c r="O675" s="10">
        <v>0</v>
      </c>
      <c r="P675" s="10">
        <v>1104282.5</v>
      </c>
      <c r="Q675" s="6">
        <v>37682.33</v>
      </c>
      <c r="R675" s="6">
        <v>100000</v>
      </c>
      <c r="S675" s="6">
        <v>100000</v>
      </c>
      <c r="T675" s="6">
        <v>1104282.5</v>
      </c>
      <c r="U675" s="6">
        <f t="shared" si="11"/>
        <v>4709813.33</v>
      </c>
    </row>
    <row r="676" spans="2:21" x14ac:dyDescent="0.35">
      <c r="B676" t="s">
        <v>1276</v>
      </c>
      <c r="C676" t="s">
        <v>188</v>
      </c>
      <c r="D676" t="s">
        <v>101</v>
      </c>
      <c r="E676" s="2" t="s">
        <v>187</v>
      </c>
      <c r="F676">
        <v>81111101</v>
      </c>
      <c r="G676">
        <v>52121106</v>
      </c>
      <c r="H676" s="27">
        <v>85000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-10380.92</v>
      </c>
      <c r="O676" s="10">
        <v>0</v>
      </c>
      <c r="P676" s="10">
        <v>0</v>
      </c>
      <c r="Q676" s="6">
        <v>7625.95</v>
      </c>
      <c r="R676" s="6"/>
      <c r="S676" s="6"/>
      <c r="T676" s="6"/>
      <c r="U676" s="6">
        <f t="shared" si="11"/>
        <v>-2754.9700000000003</v>
      </c>
    </row>
    <row r="677" spans="2:21" x14ac:dyDescent="0.35">
      <c r="B677" t="s">
        <v>1276</v>
      </c>
      <c r="C677" t="s">
        <v>188</v>
      </c>
      <c r="D677" t="s">
        <v>101</v>
      </c>
      <c r="E677" s="2" t="s">
        <v>188</v>
      </c>
      <c r="F677">
        <v>81111101</v>
      </c>
      <c r="G677">
        <v>52121102</v>
      </c>
      <c r="H677" s="27">
        <v>933801.00887999928</v>
      </c>
      <c r="I677" s="10">
        <v>115912.66</v>
      </c>
      <c r="J677" s="10">
        <v>57523.67</v>
      </c>
      <c r="K677" s="10">
        <v>51297.390000000007</v>
      </c>
      <c r="L677" s="10">
        <v>205505.6</v>
      </c>
      <c r="M677" s="10">
        <v>49909.46</v>
      </c>
      <c r="N677" s="10">
        <v>92957.450000000012</v>
      </c>
      <c r="O677" s="10">
        <v>45481.29</v>
      </c>
      <c r="P677" s="10">
        <v>24554.809999999998</v>
      </c>
      <c r="Q677" s="6">
        <v>48978.5</v>
      </c>
      <c r="R677" s="6">
        <v>80560.059626666407</v>
      </c>
      <c r="S677" s="6">
        <v>80560.059626666407</v>
      </c>
      <c r="T677" s="6">
        <v>80560.059626666407</v>
      </c>
      <c r="U677" s="6">
        <f t="shared" si="11"/>
        <v>933801.00887999916</v>
      </c>
    </row>
    <row r="678" spans="2:21" x14ac:dyDescent="0.35">
      <c r="B678" t="s">
        <v>1275</v>
      </c>
      <c r="C678" t="s">
        <v>1285</v>
      </c>
      <c r="D678" t="s">
        <v>101</v>
      </c>
      <c r="E678" s="2" t="s">
        <v>188</v>
      </c>
      <c r="F678">
        <v>81111101</v>
      </c>
      <c r="G678">
        <v>52121103</v>
      </c>
      <c r="H678" s="27">
        <v>568180.80000000016</v>
      </c>
      <c r="I678" s="10">
        <v>24200</v>
      </c>
      <c r="J678" s="10">
        <v>58200</v>
      </c>
      <c r="K678" s="10">
        <v>48200</v>
      </c>
      <c r="L678" s="10">
        <v>55400</v>
      </c>
      <c r="M678" s="10">
        <v>46400</v>
      </c>
      <c r="N678" s="10">
        <v>57400</v>
      </c>
      <c r="O678" s="10">
        <v>65800</v>
      </c>
      <c r="P678" s="10">
        <v>42600</v>
      </c>
      <c r="Q678" s="6">
        <v>68000</v>
      </c>
      <c r="R678" s="6">
        <v>33993.600000000057</v>
      </c>
      <c r="S678" s="6">
        <v>33993.600000000057</v>
      </c>
      <c r="T678" s="6">
        <v>33993.600000000057</v>
      </c>
      <c r="U678" s="6">
        <f t="shared" si="11"/>
        <v>568180.80000000016</v>
      </c>
    </row>
    <row r="679" spans="2:21" x14ac:dyDescent="0.35">
      <c r="B679" t="s">
        <v>1275</v>
      </c>
      <c r="C679" t="s">
        <v>1285</v>
      </c>
      <c r="D679" t="s">
        <v>184</v>
      </c>
      <c r="E679" s="2" t="s">
        <v>189</v>
      </c>
      <c r="F679">
        <v>81111101</v>
      </c>
      <c r="G679">
        <v>52121305</v>
      </c>
      <c r="H679" s="27">
        <v>3770414.8700676016</v>
      </c>
      <c r="I679" s="10">
        <v>256630</v>
      </c>
      <c r="J679" s="10">
        <v>253400</v>
      </c>
      <c r="K679" s="10">
        <v>256010</v>
      </c>
      <c r="L679" s="10">
        <v>302030</v>
      </c>
      <c r="M679" s="10">
        <v>262280</v>
      </c>
      <c r="N679" s="10">
        <v>287110</v>
      </c>
      <c r="O679" s="10">
        <v>258330</v>
      </c>
      <c r="P679" s="10">
        <v>288380</v>
      </c>
      <c r="Q679" s="6">
        <v>276250</v>
      </c>
      <c r="R679" s="6">
        <v>288380</v>
      </c>
      <c r="S679" s="6">
        <v>288380</v>
      </c>
      <c r="T679" s="6">
        <v>288380</v>
      </c>
      <c r="U679" s="6">
        <f t="shared" si="11"/>
        <v>3305560</v>
      </c>
    </row>
    <row r="680" spans="2:21" x14ac:dyDescent="0.35">
      <c r="B680" t="s">
        <v>1275</v>
      </c>
      <c r="C680" t="s">
        <v>1285</v>
      </c>
      <c r="D680" t="s">
        <v>184</v>
      </c>
      <c r="E680" s="2" t="s">
        <v>191</v>
      </c>
      <c r="F680">
        <v>81111101</v>
      </c>
      <c r="G680">
        <v>52121305</v>
      </c>
      <c r="H680" s="27">
        <v>213621.23909731454</v>
      </c>
      <c r="I680" s="10">
        <v>17200</v>
      </c>
      <c r="J680" s="10">
        <v>17000</v>
      </c>
      <c r="K680" s="10">
        <v>17200</v>
      </c>
      <c r="L680" s="10">
        <v>17200</v>
      </c>
      <c r="M680" s="10">
        <v>17400</v>
      </c>
      <c r="N680" s="10">
        <v>17400</v>
      </c>
      <c r="O680" s="10">
        <v>17000</v>
      </c>
      <c r="P680" s="10">
        <v>17000</v>
      </c>
      <c r="Q680" s="6">
        <v>17000</v>
      </c>
      <c r="R680" s="6">
        <v>17400</v>
      </c>
      <c r="S680" s="6">
        <v>17400</v>
      </c>
      <c r="T680" s="6">
        <v>17400</v>
      </c>
      <c r="U680" s="6">
        <f t="shared" si="11"/>
        <v>206600</v>
      </c>
    </row>
    <row r="681" spans="2:21" x14ac:dyDescent="0.35">
      <c r="B681" t="s">
        <v>1275</v>
      </c>
      <c r="C681" t="s">
        <v>195</v>
      </c>
      <c r="D681" t="s">
        <v>184</v>
      </c>
      <c r="E681" s="2" t="s">
        <v>193</v>
      </c>
      <c r="F681">
        <v>81111101</v>
      </c>
      <c r="G681">
        <v>52121305</v>
      </c>
      <c r="H681" s="27">
        <v>1077387.3565554393</v>
      </c>
      <c r="I681" s="10">
        <v>81785</v>
      </c>
      <c r="J681" s="10">
        <v>80982.5</v>
      </c>
      <c r="K681" s="10">
        <v>81457.5</v>
      </c>
      <c r="L681" s="10">
        <v>86610</v>
      </c>
      <c r="M681" s="10">
        <v>86810</v>
      </c>
      <c r="N681" s="10">
        <v>86810</v>
      </c>
      <c r="O681" s="10">
        <v>82705</v>
      </c>
      <c r="P681" s="10">
        <v>82502.5</v>
      </c>
      <c r="Q681" s="6">
        <v>81922.5</v>
      </c>
      <c r="R681" s="6">
        <v>86810</v>
      </c>
      <c r="S681" s="6">
        <v>86810</v>
      </c>
      <c r="T681" s="6">
        <v>86810</v>
      </c>
      <c r="U681" s="6">
        <f t="shared" si="11"/>
        <v>1012015</v>
      </c>
    </row>
    <row r="682" spans="2:21" x14ac:dyDescent="0.35">
      <c r="B682" t="s">
        <v>1275</v>
      </c>
      <c r="C682" t="s">
        <v>1278</v>
      </c>
      <c r="D682" t="s">
        <v>101</v>
      </c>
      <c r="E682" s="2" t="s">
        <v>195</v>
      </c>
      <c r="F682">
        <v>81111101</v>
      </c>
      <c r="G682">
        <v>52121308</v>
      </c>
      <c r="H682" s="27">
        <v>889505.93115735101</v>
      </c>
      <c r="I682" s="10">
        <v>30000</v>
      </c>
      <c r="J682" s="10">
        <v>30000</v>
      </c>
      <c r="K682" s="6">
        <v>30000</v>
      </c>
      <c r="L682" s="10">
        <v>50000</v>
      </c>
      <c r="M682" s="6">
        <v>35000</v>
      </c>
      <c r="N682" s="10">
        <v>35000</v>
      </c>
      <c r="O682" s="10">
        <v>35000</v>
      </c>
      <c r="P682" s="10">
        <v>35000</v>
      </c>
      <c r="Q682" s="6">
        <v>35000</v>
      </c>
      <c r="R682" s="6">
        <v>35000</v>
      </c>
      <c r="S682" s="6">
        <v>35000</v>
      </c>
      <c r="T682" s="6">
        <v>35000</v>
      </c>
      <c r="U682" s="6">
        <f t="shared" si="11"/>
        <v>420000</v>
      </c>
    </row>
    <row r="683" spans="2:21" x14ac:dyDescent="0.35">
      <c r="B683" t="s">
        <v>1275</v>
      </c>
      <c r="C683" t="s">
        <v>1146</v>
      </c>
      <c r="D683" t="s">
        <v>101</v>
      </c>
      <c r="E683" s="2" t="s">
        <v>196</v>
      </c>
      <c r="F683">
        <v>81111101</v>
      </c>
      <c r="G683">
        <v>52121302</v>
      </c>
      <c r="H683" s="27">
        <v>470000.00000000006</v>
      </c>
      <c r="I683" s="10">
        <v>0</v>
      </c>
      <c r="J683" s="10">
        <v>0</v>
      </c>
      <c r="L683" s="10">
        <v>0</v>
      </c>
      <c r="M683" s="6"/>
      <c r="N683" s="10">
        <v>0</v>
      </c>
      <c r="O683" s="10">
        <v>0</v>
      </c>
      <c r="P683" s="10">
        <v>0</v>
      </c>
      <c r="Q683" s="6">
        <v>387916.67</v>
      </c>
      <c r="R683" s="6"/>
      <c r="S683" s="6"/>
      <c r="T683" s="6"/>
      <c r="U683" s="6">
        <f t="shared" si="11"/>
        <v>387916.67</v>
      </c>
    </row>
    <row r="684" spans="2:21" x14ac:dyDescent="0.35">
      <c r="B684" t="s">
        <v>1275</v>
      </c>
      <c r="C684" t="s">
        <v>1146</v>
      </c>
      <c r="D684" t="s">
        <v>101</v>
      </c>
      <c r="E684" s="2" t="s">
        <v>197</v>
      </c>
      <c r="F684">
        <v>81111101</v>
      </c>
      <c r="G684" s="2">
        <v>52121306</v>
      </c>
      <c r="H684" s="27">
        <v>343693.90951761609</v>
      </c>
      <c r="I684" s="10">
        <v>0</v>
      </c>
      <c r="J684" s="10">
        <v>0</v>
      </c>
      <c r="K684" s="10">
        <v>0</v>
      </c>
      <c r="L684" s="10">
        <v>0</v>
      </c>
      <c r="M684" s="6"/>
      <c r="N684" s="10">
        <v>293540</v>
      </c>
      <c r="O684" s="10">
        <v>0</v>
      </c>
      <c r="P684" s="10">
        <v>0</v>
      </c>
      <c r="Q684" s="6">
        <v>0</v>
      </c>
      <c r="R684" s="6"/>
      <c r="S684" s="6"/>
      <c r="T684" s="6"/>
      <c r="U684" s="6">
        <f t="shared" si="11"/>
        <v>293540</v>
      </c>
    </row>
    <row r="685" spans="2:21" x14ac:dyDescent="0.35">
      <c r="B685" t="s">
        <v>1275</v>
      </c>
      <c r="C685" t="s">
        <v>1278</v>
      </c>
      <c r="D685" t="s">
        <v>101</v>
      </c>
      <c r="E685" s="2" t="s">
        <v>197</v>
      </c>
      <c r="F685" s="2">
        <v>81111101</v>
      </c>
      <c r="G685">
        <v>52121309</v>
      </c>
      <c r="H685" s="27">
        <v>0</v>
      </c>
      <c r="P685" s="10">
        <v>1300000</v>
      </c>
      <c r="Q685" s="6">
        <v>0</v>
      </c>
      <c r="R685" s="6"/>
      <c r="S685" s="6"/>
      <c r="T685" s="6"/>
      <c r="U685" s="6">
        <f t="shared" si="11"/>
        <v>1300000</v>
      </c>
    </row>
    <row r="686" spans="2:21" x14ac:dyDescent="0.35">
      <c r="B686" t="s">
        <v>1275</v>
      </c>
      <c r="C686" t="s">
        <v>1278</v>
      </c>
      <c r="D686" t="s">
        <v>101</v>
      </c>
      <c r="E686" s="2" t="s">
        <v>198</v>
      </c>
      <c r="F686">
        <v>81111101</v>
      </c>
      <c r="G686">
        <v>52121301</v>
      </c>
      <c r="H686" s="27">
        <v>57600</v>
      </c>
      <c r="I686" s="10">
        <v>12604.3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6">
        <v>0</v>
      </c>
      <c r="R686" s="6">
        <v>0</v>
      </c>
      <c r="S686" s="6">
        <v>0</v>
      </c>
      <c r="T686" s="6">
        <v>0</v>
      </c>
      <c r="U686" s="6">
        <f t="shared" si="11"/>
        <v>12604.3</v>
      </c>
    </row>
    <row r="687" spans="2:21" x14ac:dyDescent="0.35">
      <c r="B687" t="s">
        <v>1275</v>
      </c>
      <c r="C687" t="s">
        <v>1278</v>
      </c>
      <c r="D687" t="s">
        <v>101</v>
      </c>
      <c r="E687" s="2" t="s">
        <v>199</v>
      </c>
      <c r="F687">
        <v>81111101</v>
      </c>
      <c r="G687">
        <v>52121301</v>
      </c>
      <c r="H687" s="27">
        <v>478197.50000000006</v>
      </c>
      <c r="I687" s="10">
        <v>6240</v>
      </c>
      <c r="J687" s="10">
        <v>6240</v>
      </c>
      <c r="K687" s="10">
        <v>12337.5</v>
      </c>
      <c r="L687" s="10">
        <v>8272.5</v>
      </c>
      <c r="M687" s="6">
        <v>8272.5</v>
      </c>
      <c r="N687" s="10">
        <v>8272.5</v>
      </c>
      <c r="O687" s="10">
        <v>8272.5</v>
      </c>
      <c r="P687" s="10">
        <v>8272.5</v>
      </c>
      <c r="Q687" s="6">
        <v>8272.5</v>
      </c>
      <c r="R687" s="6">
        <v>8272.5</v>
      </c>
      <c r="S687" s="6">
        <v>8272.5</v>
      </c>
      <c r="T687" s="6">
        <v>8272.5</v>
      </c>
      <c r="U687" s="6">
        <f t="shared" si="11"/>
        <v>99270</v>
      </c>
    </row>
    <row r="688" spans="2:21" x14ac:dyDescent="0.35">
      <c r="B688" t="s">
        <v>1275</v>
      </c>
      <c r="C688" t="s">
        <v>1278</v>
      </c>
      <c r="D688" t="s">
        <v>101</v>
      </c>
      <c r="E688" s="2" t="s">
        <v>200</v>
      </c>
      <c r="F688">
        <v>81111101</v>
      </c>
      <c r="G688">
        <v>52121303</v>
      </c>
      <c r="H688" s="27">
        <v>637476.7919200788</v>
      </c>
      <c r="L688" s="10">
        <v>0</v>
      </c>
      <c r="N688" s="10">
        <v>0</v>
      </c>
      <c r="O688" s="10">
        <v>0</v>
      </c>
      <c r="P688" s="10">
        <v>0</v>
      </c>
      <c r="Q688" s="6">
        <v>0</v>
      </c>
      <c r="R688" s="6"/>
      <c r="S688" s="6"/>
      <c r="T688" s="6">
        <v>100000</v>
      </c>
      <c r="U688" s="6">
        <f t="shared" si="11"/>
        <v>100000</v>
      </c>
    </row>
    <row r="689" spans="2:21" x14ac:dyDescent="0.35">
      <c r="B689" t="s">
        <v>1276</v>
      </c>
      <c r="C689" t="s">
        <v>1135</v>
      </c>
      <c r="D689" t="s">
        <v>101</v>
      </c>
      <c r="E689" s="2" t="s">
        <v>201</v>
      </c>
      <c r="F689">
        <v>81111101</v>
      </c>
      <c r="G689">
        <v>52121303</v>
      </c>
      <c r="H689" s="27">
        <v>4587304.9527853625</v>
      </c>
      <c r="I689" s="10">
        <v>185998.25</v>
      </c>
      <c r="J689" s="10">
        <v>185998.25</v>
      </c>
      <c r="K689" s="10">
        <v>185998.25</v>
      </c>
      <c r="L689" s="10">
        <v>185998.25</v>
      </c>
      <c r="M689" s="10">
        <v>546585.11999999988</v>
      </c>
      <c r="N689" s="10">
        <v>282386.47999999992</v>
      </c>
      <c r="O689" s="10">
        <v>259209.38</v>
      </c>
      <c r="P689" s="10">
        <v>259209.38</v>
      </c>
      <c r="Q689" s="6">
        <v>259209.38</v>
      </c>
      <c r="R689" s="6">
        <v>259209.38</v>
      </c>
      <c r="S689" s="6">
        <v>259209.38</v>
      </c>
      <c r="T689" s="6">
        <v>259209.38</v>
      </c>
      <c r="U689" s="6">
        <f t="shared" si="11"/>
        <v>3128220.8799999994</v>
      </c>
    </row>
    <row r="690" spans="2:21" x14ac:dyDescent="0.35">
      <c r="B690" t="s">
        <v>1276</v>
      </c>
      <c r="C690" t="s">
        <v>186</v>
      </c>
      <c r="D690" t="s">
        <v>184</v>
      </c>
      <c r="E690" s="2" t="s">
        <v>185</v>
      </c>
      <c r="F690">
        <v>80111101</v>
      </c>
      <c r="G690">
        <v>61021102</v>
      </c>
      <c r="H690" s="27">
        <v>27168648</v>
      </c>
      <c r="I690" s="10">
        <v>1945568.18</v>
      </c>
      <c r="J690" s="10">
        <v>1967943.2300000002</v>
      </c>
      <c r="K690" s="10">
        <v>1989801.22</v>
      </c>
      <c r="L690" s="10">
        <v>2462455.04</v>
      </c>
      <c r="M690" s="10">
        <v>2102319.79</v>
      </c>
      <c r="N690" s="10">
        <v>2137206.2999999993</v>
      </c>
      <c r="O690" s="10">
        <v>2061033.5</v>
      </c>
      <c r="P690" s="10">
        <v>2099734.1300000004</v>
      </c>
      <c r="Q690" s="6">
        <v>2074772.1900000002</v>
      </c>
      <c r="R690" s="6">
        <v>2100000</v>
      </c>
      <c r="S690" s="6">
        <v>2100000</v>
      </c>
      <c r="T690" s="6">
        <v>2100000</v>
      </c>
      <c r="U690" s="6">
        <f t="shared" si="11"/>
        <v>25140833.580000002</v>
      </c>
    </row>
    <row r="691" spans="2:21" x14ac:dyDescent="0.35">
      <c r="B691" t="s">
        <v>1276</v>
      </c>
      <c r="C691" t="s">
        <v>186</v>
      </c>
      <c r="D691" t="s">
        <v>184</v>
      </c>
      <c r="E691" s="2" t="s">
        <v>186</v>
      </c>
      <c r="F691">
        <v>80111101</v>
      </c>
      <c r="G691" s="2">
        <v>61021105</v>
      </c>
      <c r="H691" s="27">
        <v>4788193.84</v>
      </c>
      <c r="I691" s="10">
        <v>0</v>
      </c>
      <c r="J691" s="10">
        <v>0</v>
      </c>
      <c r="K691" s="10">
        <v>0</v>
      </c>
      <c r="L691" s="10">
        <v>1320203</v>
      </c>
      <c r="M691" s="10">
        <v>0</v>
      </c>
      <c r="N691" s="10">
        <v>6666.67</v>
      </c>
      <c r="O691" s="10">
        <v>0</v>
      </c>
      <c r="P691" s="10">
        <v>716038.05000000016</v>
      </c>
      <c r="Q691" s="6">
        <v>0</v>
      </c>
      <c r="R691" s="6">
        <v>0</v>
      </c>
      <c r="S691" s="6">
        <v>0</v>
      </c>
      <c r="T691" s="6">
        <v>716038.05000000016</v>
      </c>
      <c r="U691" s="6">
        <f t="shared" si="11"/>
        <v>2758945.7700000005</v>
      </c>
    </row>
    <row r="692" spans="2:21" x14ac:dyDescent="0.35">
      <c r="B692" t="s">
        <v>1276</v>
      </c>
      <c r="C692" t="s">
        <v>1138</v>
      </c>
      <c r="D692" t="s">
        <v>184</v>
      </c>
      <c r="E692" s="2" t="s">
        <v>186</v>
      </c>
      <c r="F692" s="2">
        <v>80311101</v>
      </c>
      <c r="G692">
        <v>61021317</v>
      </c>
      <c r="H692" s="27">
        <v>0</v>
      </c>
      <c r="I692" s="10">
        <v>0</v>
      </c>
      <c r="J692" s="10">
        <v>0</v>
      </c>
      <c r="K692" s="10">
        <v>0</v>
      </c>
      <c r="L692" s="10">
        <v>107895.83</v>
      </c>
      <c r="M692" s="10">
        <v>0</v>
      </c>
      <c r="N692" s="10">
        <v>0</v>
      </c>
      <c r="O692" s="10">
        <v>0</v>
      </c>
      <c r="P692" s="10">
        <v>0</v>
      </c>
      <c r="Q692" s="6">
        <v>0</v>
      </c>
      <c r="R692" s="6">
        <v>0</v>
      </c>
      <c r="S692" s="6">
        <v>0</v>
      </c>
      <c r="T692" s="6">
        <v>0</v>
      </c>
      <c r="U692" s="6">
        <f t="shared" si="11"/>
        <v>107895.83</v>
      </c>
    </row>
    <row r="693" spans="2:21" x14ac:dyDescent="0.35">
      <c r="B693" t="s">
        <v>1276</v>
      </c>
      <c r="C693" t="s">
        <v>188</v>
      </c>
      <c r="D693" t="s">
        <v>101</v>
      </c>
      <c r="E693" t="s">
        <v>187</v>
      </c>
      <c r="F693">
        <v>80111101</v>
      </c>
      <c r="G693">
        <v>61021107</v>
      </c>
      <c r="H693" s="27">
        <v>98000.000000000015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-549.61999999999989</v>
      </c>
      <c r="Q693" s="6">
        <v>0</v>
      </c>
      <c r="R693" s="6"/>
      <c r="S693" s="6"/>
      <c r="T693" s="6"/>
      <c r="U693" s="6">
        <f t="shared" si="11"/>
        <v>-549.61999999999989</v>
      </c>
    </row>
    <row r="694" spans="2:21" x14ac:dyDescent="0.35">
      <c r="B694" t="s">
        <v>1276</v>
      </c>
      <c r="C694" t="s">
        <v>188</v>
      </c>
      <c r="D694" t="s">
        <v>101</v>
      </c>
      <c r="E694" s="2" t="s">
        <v>188</v>
      </c>
      <c r="F694">
        <v>80111101</v>
      </c>
      <c r="G694">
        <v>61021103</v>
      </c>
      <c r="H694" s="27">
        <v>396170.97624000005</v>
      </c>
      <c r="I694" s="10">
        <v>45082.909999999996</v>
      </c>
      <c r="J694" s="10">
        <v>37057.440000000002</v>
      </c>
      <c r="K694" s="10">
        <v>40365.96</v>
      </c>
      <c r="L694" s="10">
        <v>40416.379999999997</v>
      </c>
      <c r="M694" s="10">
        <v>18507.22</v>
      </c>
      <c r="N694" s="10">
        <v>28178.28</v>
      </c>
      <c r="O694" s="10">
        <v>37074.490000000005</v>
      </c>
      <c r="P694" s="10">
        <v>29949.82</v>
      </c>
      <c r="Q694" s="6">
        <v>17153.829999999998</v>
      </c>
      <c r="R694" s="6">
        <v>34128.215413333346</v>
      </c>
      <c r="S694" s="6">
        <v>34128.215413333346</v>
      </c>
      <c r="T694" s="6">
        <v>34128.215413333346</v>
      </c>
      <c r="U694" s="6">
        <f t="shared" si="11"/>
        <v>396170.97623999999</v>
      </c>
    </row>
    <row r="695" spans="2:21" x14ac:dyDescent="0.35">
      <c r="B695" t="s">
        <v>1275</v>
      </c>
      <c r="C695" t="s">
        <v>1285</v>
      </c>
      <c r="D695" t="s">
        <v>101</v>
      </c>
      <c r="E695" s="2" t="s">
        <v>188</v>
      </c>
      <c r="F695">
        <v>80111101</v>
      </c>
      <c r="G695">
        <v>61021104</v>
      </c>
      <c r="H695" s="27">
        <v>299990.40000000008</v>
      </c>
      <c r="I695" s="10">
        <v>23400</v>
      </c>
      <c r="J695" s="10">
        <v>12600</v>
      </c>
      <c r="K695" s="10">
        <v>13800</v>
      </c>
      <c r="L695" s="10">
        <v>8200</v>
      </c>
      <c r="M695" s="10">
        <v>10968</v>
      </c>
      <c r="N695" s="10">
        <v>13200</v>
      </c>
      <c r="O695" s="10">
        <v>23400</v>
      </c>
      <c r="P695" s="10">
        <v>15600</v>
      </c>
      <c r="Q695" s="6">
        <v>21600</v>
      </c>
      <c r="R695" s="6">
        <v>52407.466666666696</v>
      </c>
      <c r="S695" s="6">
        <v>52407.466666666696</v>
      </c>
      <c r="T695" s="6">
        <v>52407.466666666696</v>
      </c>
      <c r="U695" s="6">
        <f t="shared" si="11"/>
        <v>299990.40000000008</v>
      </c>
    </row>
    <row r="696" spans="2:21" x14ac:dyDescent="0.35">
      <c r="B696" t="s">
        <v>1275</v>
      </c>
      <c r="C696" t="s">
        <v>1285</v>
      </c>
      <c r="D696" t="s">
        <v>184</v>
      </c>
      <c r="E696" s="2" t="s">
        <v>189</v>
      </c>
      <c r="F696">
        <v>80111101</v>
      </c>
      <c r="G696">
        <v>61021306</v>
      </c>
      <c r="H696" s="27">
        <v>2045650.6209941243</v>
      </c>
      <c r="I696" s="10">
        <v>171560</v>
      </c>
      <c r="J696" s="10">
        <v>179710</v>
      </c>
      <c r="K696" s="10">
        <v>188490</v>
      </c>
      <c r="L696" s="10">
        <v>215960</v>
      </c>
      <c r="M696" s="10">
        <v>192670</v>
      </c>
      <c r="N696" s="10">
        <v>204040</v>
      </c>
      <c r="O696" s="10">
        <v>188190</v>
      </c>
      <c r="P696" s="10">
        <v>204630</v>
      </c>
      <c r="Q696" s="6">
        <v>194930</v>
      </c>
      <c r="R696" s="6">
        <v>204630</v>
      </c>
      <c r="S696" s="6">
        <v>204630</v>
      </c>
      <c r="T696" s="6">
        <v>204630</v>
      </c>
      <c r="U696" s="6">
        <f t="shared" si="11"/>
        <v>2354070</v>
      </c>
    </row>
    <row r="697" spans="2:21" x14ac:dyDescent="0.35">
      <c r="B697" t="s">
        <v>1275</v>
      </c>
      <c r="C697" t="s">
        <v>1285</v>
      </c>
      <c r="D697" t="s">
        <v>184</v>
      </c>
      <c r="E697" s="2" t="s">
        <v>191</v>
      </c>
      <c r="F697">
        <v>80111101</v>
      </c>
      <c r="G697">
        <v>61021306</v>
      </c>
      <c r="H697" s="27">
        <v>115900.88504216002</v>
      </c>
      <c r="I697" s="10">
        <v>12000</v>
      </c>
      <c r="J697" s="10">
        <v>12200</v>
      </c>
      <c r="K697" s="10">
        <v>12600</v>
      </c>
      <c r="L697" s="10">
        <v>12400</v>
      </c>
      <c r="M697" s="10">
        <v>12600</v>
      </c>
      <c r="N697" s="10">
        <v>12600</v>
      </c>
      <c r="O697" s="10">
        <v>12800</v>
      </c>
      <c r="P697" s="10">
        <v>12200</v>
      </c>
      <c r="Q697" s="6">
        <v>12200</v>
      </c>
      <c r="R697" s="6">
        <v>12600</v>
      </c>
      <c r="S697" s="6">
        <v>12600</v>
      </c>
      <c r="T697" s="6">
        <v>12600</v>
      </c>
      <c r="U697" s="6">
        <f t="shared" si="11"/>
        <v>149400</v>
      </c>
    </row>
    <row r="698" spans="2:21" x14ac:dyDescent="0.35">
      <c r="B698" t="s">
        <v>1275</v>
      </c>
      <c r="C698" t="s">
        <v>195</v>
      </c>
      <c r="D698" t="s">
        <v>184</v>
      </c>
      <c r="E698" s="2" t="s">
        <v>193</v>
      </c>
      <c r="F698">
        <v>80111101</v>
      </c>
      <c r="G698">
        <v>61021306</v>
      </c>
      <c r="H698" s="27">
        <v>601478.43761656282</v>
      </c>
      <c r="I698" s="10">
        <v>55002.5</v>
      </c>
      <c r="J698" s="10">
        <v>55802.5</v>
      </c>
      <c r="K698" s="10">
        <v>57202.5</v>
      </c>
      <c r="L698" s="10">
        <v>59257.5</v>
      </c>
      <c r="M698" s="10">
        <v>59707.5</v>
      </c>
      <c r="N698" s="10">
        <v>59707.5</v>
      </c>
      <c r="O698" s="10">
        <v>60407.5</v>
      </c>
      <c r="P698" s="10">
        <v>58527.5</v>
      </c>
      <c r="Q698" s="6">
        <v>58527.5</v>
      </c>
      <c r="R698" s="6">
        <v>59707.5</v>
      </c>
      <c r="S698" s="6">
        <v>59707.5</v>
      </c>
      <c r="T698" s="6">
        <v>59707.5</v>
      </c>
      <c r="U698" s="6">
        <f t="shared" si="11"/>
        <v>703265</v>
      </c>
    </row>
    <row r="699" spans="2:21" x14ac:dyDescent="0.35">
      <c r="B699" t="s">
        <v>1275</v>
      </c>
      <c r="C699" t="s">
        <v>1278</v>
      </c>
      <c r="D699" t="s">
        <v>101</v>
      </c>
      <c r="E699" s="2" t="s">
        <v>195</v>
      </c>
      <c r="F699">
        <v>80111101</v>
      </c>
      <c r="G699">
        <v>61021309</v>
      </c>
      <c r="H699" s="27">
        <v>650743.81279406219</v>
      </c>
      <c r="I699" s="10">
        <v>30000</v>
      </c>
      <c r="J699" s="10">
        <v>30000</v>
      </c>
      <c r="K699" s="6">
        <v>30000</v>
      </c>
      <c r="L699" s="10">
        <v>50000</v>
      </c>
      <c r="M699" s="6">
        <v>35000</v>
      </c>
      <c r="N699" s="10">
        <v>35000</v>
      </c>
      <c r="O699" s="10">
        <v>35000</v>
      </c>
      <c r="P699" s="10">
        <v>35000</v>
      </c>
      <c r="Q699" s="6">
        <v>35000</v>
      </c>
      <c r="R699" s="6">
        <v>35000</v>
      </c>
      <c r="S699" s="6">
        <v>35000</v>
      </c>
      <c r="T699" s="6">
        <v>35000</v>
      </c>
      <c r="U699" s="6">
        <f t="shared" si="11"/>
        <v>420000</v>
      </c>
    </row>
    <row r="700" spans="2:21" x14ac:dyDescent="0.35">
      <c r="B700" t="s">
        <v>1275</v>
      </c>
      <c r="C700" t="s">
        <v>1146</v>
      </c>
      <c r="D700" t="s">
        <v>101</v>
      </c>
      <c r="E700" s="2" t="s">
        <v>196</v>
      </c>
      <c r="F700">
        <v>80111101</v>
      </c>
      <c r="G700">
        <v>61021302</v>
      </c>
      <c r="H700" s="27">
        <v>255000</v>
      </c>
      <c r="I700" s="10">
        <v>0</v>
      </c>
      <c r="J700" s="10">
        <v>0</v>
      </c>
      <c r="L700" s="10">
        <v>0</v>
      </c>
      <c r="M700" s="6"/>
      <c r="N700" s="10">
        <v>0</v>
      </c>
      <c r="O700" s="10">
        <v>0</v>
      </c>
      <c r="P700" s="10">
        <v>0</v>
      </c>
      <c r="Q700" s="6">
        <v>225000</v>
      </c>
      <c r="R700" s="6"/>
      <c r="S700" s="6"/>
      <c r="T700" s="6"/>
      <c r="U700" s="6">
        <f t="shared" si="11"/>
        <v>225000</v>
      </c>
    </row>
    <row r="701" spans="2:21" x14ac:dyDescent="0.35">
      <c r="B701" t="s">
        <v>1275</v>
      </c>
      <c r="C701" t="s">
        <v>1146</v>
      </c>
      <c r="D701" t="s">
        <v>101</v>
      </c>
      <c r="E701" s="2" t="s">
        <v>197</v>
      </c>
      <c r="F701">
        <v>80111101</v>
      </c>
      <c r="G701" s="2">
        <v>61021307</v>
      </c>
      <c r="H701" s="27">
        <v>177772.7118194566</v>
      </c>
      <c r="I701" s="10">
        <v>0</v>
      </c>
      <c r="J701" s="10">
        <v>0</v>
      </c>
      <c r="K701" s="10">
        <v>0</v>
      </c>
      <c r="L701" s="10">
        <v>0</v>
      </c>
      <c r="M701" s="6"/>
      <c r="N701" s="10">
        <v>190000</v>
      </c>
      <c r="O701" s="10">
        <v>0</v>
      </c>
      <c r="P701" s="10">
        <v>0</v>
      </c>
      <c r="Q701" s="6"/>
      <c r="R701" s="6"/>
      <c r="S701" s="6"/>
      <c r="T701" s="6"/>
      <c r="U701" s="6">
        <f t="shared" si="11"/>
        <v>190000</v>
      </c>
    </row>
    <row r="702" spans="2:21" x14ac:dyDescent="0.35">
      <c r="B702" t="s">
        <v>1276</v>
      </c>
      <c r="C702" t="s">
        <v>188</v>
      </c>
      <c r="D702" t="s">
        <v>101</v>
      </c>
      <c r="E702" s="2" t="s">
        <v>197</v>
      </c>
      <c r="F702" s="2">
        <v>80111101</v>
      </c>
      <c r="G702">
        <v>61021310</v>
      </c>
      <c r="H702" s="27">
        <v>0</v>
      </c>
      <c r="P702" s="10">
        <v>770000</v>
      </c>
      <c r="Q702" s="6"/>
      <c r="R702" s="6"/>
      <c r="S702" s="6"/>
      <c r="T702" s="6"/>
      <c r="U702" s="6">
        <f t="shared" si="11"/>
        <v>770000</v>
      </c>
    </row>
    <row r="703" spans="2:21" x14ac:dyDescent="0.35">
      <c r="B703" t="s">
        <v>1276</v>
      </c>
      <c r="C703" t="s">
        <v>188</v>
      </c>
      <c r="D703" t="s">
        <v>101</v>
      </c>
      <c r="E703" t="s">
        <v>188</v>
      </c>
      <c r="F703">
        <v>80111101</v>
      </c>
      <c r="G703">
        <v>61021104</v>
      </c>
      <c r="H703" s="27">
        <v>49999.999999999993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6">
        <v>0</v>
      </c>
      <c r="R703" s="6">
        <v>16666.666666666664</v>
      </c>
      <c r="S703" s="6">
        <v>16666.666666666664</v>
      </c>
      <c r="T703" s="6">
        <v>16666.666666666664</v>
      </c>
      <c r="U703" s="6">
        <f t="shared" si="11"/>
        <v>49999.999999999993</v>
      </c>
    </row>
    <row r="704" spans="2:21" x14ac:dyDescent="0.35">
      <c r="B704" t="s">
        <v>1275</v>
      </c>
      <c r="C704" t="s">
        <v>1278</v>
      </c>
      <c r="D704" t="s">
        <v>101</v>
      </c>
      <c r="E704" t="s">
        <v>188</v>
      </c>
      <c r="F704">
        <v>80111101</v>
      </c>
      <c r="G704">
        <v>61021104</v>
      </c>
      <c r="H704" s="27">
        <v>20000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6">
        <v>0</v>
      </c>
      <c r="R704" s="6">
        <v>6666.666666666667</v>
      </c>
      <c r="S704" s="6">
        <v>6666.666666666667</v>
      </c>
      <c r="T704" s="6">
        <v>6666.666666666667</v>
      </c>
      <c r="U704" s="6">
        <f t="shared" si="11"/>
        <v>20000</v>
      </c>
    </row>
    <row r="705" spans="2:21" x14ac:dyDescent="0.35">
      <c r="B705" t="s">
        <v>1275</v>
      </c>
      <c r="C705" t="s">
        <v>1278</v>
      </c>
      <c r="D705" t="s">
        <v>101</v>
      </c>
      <c r="E705" s="2" t="s">
        <v>198</v>
      </c>
      <c r="F705">
        <v>80111101</v>
      </c>
      <c r="G705">
        <v>61021301</v>
      </c>
      <c r="H705" s="27">
        <v>30360</v>
      </c>
      <c r="I705" s="10">
        <v>7632.5700000000006</v>
      </c>
      <c r="J705" s="10">
        <v>0</v>
      </c>
      <c r="K705" s="10">
        <v>0</v>
      </c>
      <c r="L705" s="10">
        <v>0</v>
      </c>
      <c r="M705" s="10">
        <v>-674.61000000000013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6">
        <f t="shared" si="11"/>
        <v>6957.9600000000009</v>
      </c>
    </row>
    <row r="706" spans="2:21" x14ac:dyDescent="0.35">
      <c r="B706" t="s">
        <v>1275</v>
      </c>
      <c r="C706" t="s">
        <v>1278</v>
      </c>
      <c r="D706" t="s">
        <v>101</v>
      </c>
      <c r="E706" s="2" t="s">
        <v>199</v>
      </c>
      <c r="F706">
        <v>80111101</v>
      </c>
      <c r="G706">
        <v>61021301</v>
      </c>
      <c r="H706" s="27">
        <v>254760</v>
      </c>
      <c r="I706" s="10">
        <v>0</v>
      </c>
      <c r="J706" s="10">
        <v>0</v>
      </c>
      <c r="K706" s="10">
        <v>14445</v>
      </c>
      <c r="L706" s="10">
        <v>8000</v>
      </c>
      <c r="M706" s="6">
        <v>4815</v>
      </c>
      <c r="N706" s="10">
        <v>4815</v>
      </c>
      <c r="O706" s="10">
        <v>4815</v>
      </c>
      <c r="P706" s="10">
        <v>4815</v>
      </c>
      <c r="Q706" s="6">
        <v>4815</v>
      </c>
      <c r="R706" s="6">
        <v>4815</v>
      </c>
      <c r="S706" s="6">
        <v>4815</v>
      </c>
      <c r="T706" s="6">
        <v>4815</v>
      </c>
      <c r="U706" s="6">
        <f t="shared" si="11"/>
        <v>60965</v>
      </c>
    </row>
    <row r="707" spans="2:21" x14ac:dyDescent="0.35">
      <c r="B707" t="s">
        <v>1275</v>
      </c>
      <c r="C707" t="s">
        <v>1278</v>
      </c>
      <c r="D707" t="s">
        <v>101</v>
      </c>
      <c r="E707" s="2" t="s">
        <v>200</v>
      </c>
      <c r="F707">
        <v>80111101</v>
      </c>
      <c r="G707">
        <v>61021303</v>
      </c>
      <c r="H707" s="27">
        <v>450489.88753960078</v>
      </c>
      <c r="I707" s="10">
        <v>0</v>
      </c>
      <c r="J707" s="10">
        <v>0</v>
      </c>
      <c r="L707" s="10">
        <v>0</v>
      </c>
      <c r="N707" s="10">
        <v>0</v>
      </c>
      <c r="O707" s="10">
        <v>0</v>
      </c>
      <c r="P707" s="10">
        <v>0</v>
      </c>
      <c r="Q707" s="6">
        <v>0</v>
      </c>
      <c r="R707" s="6"/>
      <c r="S707" s="6"/>
      <c r="T707" s="6">
        <v>100000</v>
      </c>
      <c r="U707" s="6">
        <f t="shared" si="11"/>
        <v>100000</v>
      </c>
    </row>
    <row r="708" spans="2:21" x14ac:dyDescent="0.35">
      <c r="B708" t="s">
        <v>1276</v>
      </c>
      <c r="C708" t="s">
        <v>1135</v>
      </c>
      <c r="D708" t="s">
        <v>101</v>
      </c>
      <c r="E708" s="2" t="s">
        <v>201</v>
      </c>
      <c r="F708">
        <v>80111101</v>
      </c>
      <c r="G708">
        <v>61021303</v>
      </c>
      <c r="H708" s="27">
        <v>2476755.6342921718</v>
      </c>
      <c r="I708" s="10">
        <v>138149.38</v>
      </c>
      <c r="J708" s="10">
        <v>138149.39000000001</v>
      </c>
      <c r="K708" s="6">
        <v>131914.25</v>
      </c>
      <c r="L708" s="10">
        <v>138149.39000000001</v>
      </c>
      <c r="M708" s="6">
        <v>138149.38</v>
      </c>
      <c r="N708" s="10">
        <v>138149.40999999992</v>
      </c>
      <c r="O708" s="10">
        <v>138149.38</v>
      </c>
      <c r="P708" s="10">
        <v>138149.38</v>
      </c>
      <c r="Q708" s="6">
        <v>138149.38</v>
      </c>
      <c r="R708" s="6">
        <v>138149.40999999992</v>
      </c>
      <c r="S708" s="6">
        <v>138149.40999999992</v>
      </c>
      <c r="T708" s="6">
        <v>138149.40999999992</v>
      </c>
      <c r="U708" s="6">
        <f t="shared" si="11"/>
        <v>1651557.5699999996</v>
      </c>
    </row>
    <row r="709" spans="2:21" x14ac:dyDescent="0.35">
      <c r="B709" t="s">
        <v>1276</v>
      </c>
      <c r="C709" t="s">
        <v>186</v>
      </c>
      <c r="D709" t="s">
        <v>184</v>
      </c>
      <c r="E709" s="2" t="s">
        <v>185</v>
      </c>
      <c r="F709">
        <v>90111101</v>
      </c>
      <c r="G709">
        <v>52121101</v>
      </c>
      <c r="H709" s="27">
        <v>192378976.00000003</v>
      </c>
      <c r="I709" s="10">
        <v>16087334.160000004</v>
      </c>
      <c r="J709" s="10">
        <v>16619519.539999999</v>
      </c>
      <c r="K709" s="10">
        <v>16663458.709999997</v>
      </c>
      <c r="L709" s="10">
        <v>19851815.429999992</v>
      </c>
      <c r="M709" s="10">
        <v>17364548.219999995</v>
      </c>
      <c r="N709" s="10">
        <v>17451570.93</v>
      </c>
      <c r="O709" s="10">
        <v>16900831.199999992</v>
      </c>
      <c r="P709" s="10">
        <v>16991394.810000006</v>
      </c>
      <c r="Q709" s="6">
        <v>16639560.439999999</v>
      </c>
      <c r="R709" s="6">
        <v>17000000</v>
      </c>
      <c r="S709" s="6">
        <v>17000000</v>
      </c>
      <c r="T709" s="6">
        <v>17000000</v>
      </c>
      <c r="U709" s="6">
        <f t="shared" ref="U709:U772" si="12">SUM(I709:T709)</f>
        <v>205570033.43999997</v>
      </c>
    </row>
    <row r="710" spans="2:21" x14ac:dyDescent="0.35">
      <c r="B710" t="s">
        <v>1276</v>
      </c>
      <c r="C710" t="s">
        <v>1138</v>
      </c>
      <c r="D710" t="s">
        <v>184</v>
      </c>
      <c r="E710" s="2" t="s">
        <v>186</v>
      </c>
      <c r="F710">
        <v>90111101</v>
      </c>
      <c r="G710">
        <v>52121104</v>
      </c>
      <c r="H710" s="27">
        <v>45998547.359999999</v>
      </c>
      <c r="I710" s="10">
        <v>0</v>
      </c>
      <c r="J710" s="10">
        <v>0</v>
      </c>
      <c r="K710" s="6">
        <v>14550</v>
      </c>
      <c r="L710" s="10">
        <v>14096582.33</v>
      </c>
      <c r="M710" s="10">
        <v>11750</v>
      </c>
      <c r="N710" s="10">
        <v>29116</v>
      </c>
      <c r="O710" s="10">
        <v>0</v>
      </c>
      <c r="P710" s="10">
        <v>11713786.699999999</v>
      </c>
      <c r="Q710" s="6">
        <v>159333</v>
      </c>
      <c r="R710" s="6">
        <v>0</v>
      </c>
      <c r="S710" s="6"/>
      <c r="T710" s="6">
        <v>11713786.699999999</v>
      </c>
      <c r="U710" s="6">
        <f t="shared" si="12"/>
        <v>37738904.730000004</v>
      </c>
    </row>
    <row r="711" spans="2:21" x14ac:dyDescent="0.35">
      <c r="B711" t="s">
        <v>1276</v>
      </c>
      <c r="C711" t="s">
        <v>1138</v>
      </c>
      <c r="D711" t="s">
        <v>101</v>
      </c>
      <c r="E711" s="2" t="s">
        <v>202</v>
      </c>
      <c r="F711">
        <v>90111101</v>
      </c>
      <c r="G711">
        <v>52121106</v>
      </c>
      <c r="H711" s="27">
        <v>4970983.9849999994</v>
      </c>
      <c r="I711" s="10">
        <v>0</v>
      </c>
      <c r="J711" s="10">
        <v>4828922.51</v>
      </c>
      <c r="L711" s="10">
        <v>0</v>
      </c>
      <c r="M711" s="10">
        <v>3551.91</v>
      </c>
      <c r="N711" s="10">
        <v>-39068.720000000001</v>
      </c>
      <c r="O711" s="10">
        <v>0</v>
      </c>
      <c r="P711" s="10">
        <v>0</v>
      </c>
      <c r="Q711" s="6">
        <v>380885.5</v>
      </c>
      <c r="R711" s="6"/>
      <c r="S711" s="6"/>
      <c r="T711" s="6"/>
      <c r="U711" s="6">
        <f t="shared" si="12"/>
        <v>5174291.2</v>
      </c>
    </row>
    <row r="712" spans="2:21" x14ac:dyDescent="0.35">
      <c r="B712" t="s">
        <v>1276</v>
      </c>
      <c r="C712" t="s">
        <v>188</v>
      </c>
      <c r="D712" t="s">
        <v>101</v>
      </c>
      <c r="E712" t="s">
        <v>187</v>
      </c>
      <c r="F712">
        <v>90111101</v>
      </c>
      <c r="G712">
        <v>52121106</v>
      </c>
      <c r="H712" s="27">
        <v>350000.00000000006</v>
      </c>
      <c r="I712" s="10">
        <v>0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6">
        <v>0</v>
      </c>
      <c r="R712" s="6"/>
      <c r="S712" s="6"/>
      <c r="T712" s="6"/>
      <c r="U712" s="6">
        <f t="shared" si="12"/>
        <v>0</v>
      </c>
    </row>
    <row r="713" spans="2:21" x14ac:dyDescent="0.35">
      <c r="B713" t="s">
        <v>1276</v>
      </c>
      <c r="C713" t="s">
        <v>188</v>
      </c>
      <c r="D713" t="s">
        <v>101</v>
      </c>
      <c r="E713" s="2" t="s">
        <v>188</v>
      </c>
      <c r="F713">
        <v>90111101</v>
      </c>
      <c r="G713">
        <v>52121102</v>
      </c>
      <c r="H713" s="27">
        <v>687954.52199999988</v>
      </c>
      <c r="I713" s="10">
        <v>57068.439999999995</v>
      </c>
      <c r="J713" s="10">
        <v>71288.73</v>
      </c>
      <c r="K713" s="10">
        <v>73475.430000000008</v>
      </c>
      <c r="L713" s="10">
        <v>139058.74</v>
      </c>
      <c r="M713" s="10">
        <v>71173.759999999995</v>
      </c>
      <c r="N713" s="10">
        <v>83233.059999999983</v>
      </c>
      <c r="O713" s="10">
        <v>83146.570000000007</v>
      </c>
      <c r="P713" s="10">
        <v>74751.77</v>
      </c>
      <c r="Q713" s="6">
        <v>95429.19</v>
      </c>
      <c r="R713" s="6">
        <v>-20223.722666666687</v>
      </c>
      <c r="S713" s="6">
        <v>-20223.722666666687</v>
      </c>
      <c r="T713" s="6">
        <v>-20223.722666666687</v>
      </c>
      <c r="U713" s="6">
        <f t="shared" si="12"/>
        <v>687954.52199999976</v>
      </c>
    </row>
    <row r="714" spans="2:21" x14ac:dyDescent="0.35">
      <c r="B714" t="s">
        <v>1275</v>
      </c>
      <c r="C714" t="s">
        <v>1285</v>
      </c>
      <c r="D714" t="s">
        <v>101</v>
      </c>
      <c r="E714" s="2" t="s">
        <v>188</v>
      </c>
      <c r="F714">
        <v>90111101</v>
      </c>
      <c r="G714">
        <v>52121103</v>
      </c>
      <c r="H714" s="27">
        <v>241169.92800000004</v>
      </c>
      <c r="I714" s="10">
        <v>17200</v>
      </c>
      <c r="J714" s="10">
        <v>800</v>
      </c>
      <c r="K714" s="10">
        <v>7200</v>
      </c>
      <c r="L714" s="10">
        <v>4800</v>
      </c>
      <c r="M714" s="10">
        <v>1400</v>
      </c>
      <c r="N714" s="10">
        <v>15200</v>
      </c>
      <c r="O714" s="10">
        <v>15600</v>
      </c>
      <c r="P714" s="10">
        <v>32400</v>
      </c>
      <c r="Q714" s="6">
        <v>10000</v>
      </c>
      <c r="R714" s="6">
        <v>45523.309333333345</v>
      </c>
      <c r="S714" s="6">
        <v>45523.309333333345</v>
      </c>
      <c r="T714" s="6">
        <v>45523.309333333345</v>
      </c>
      <c r="U714" s="6">
        <f t="shared" si="12"/>
        <v>241169.92800000001</v>
      </c>
    </row>
    <row r="715" spans="2:21" x14ac:dyDescent="0.35">
      <c r="B715" t="s">
        <v>1275</v>
      </c>
      <c r="C715" t="s">
        <v>1285</v>
      </c>
      <c r="D715" t="s">
        <v>184</v>
      </c>
      <c r="E715" s="2" t="s">
        <v>189</v>
      </c>
      <c r="F715">
        <v>90111101</v>
      </c>
      <c r="G715">
        <v>52121305</v>
      </c>
      <c r="H715" s="27">
        <v>7340275.7576847989</v>
      </c>
      <c r="I715" s="10">
        <v>583390</v>
      </c>
      <c r="J715" s="10">
        <v>583940</v>
      </c>
      <c r="K715" s="10">
        <v>579820</v>
      </c>
      <c r="L715" s="10">
        <v>614220</v>
      </c>
      <c r="M715" s="10">
        <v>582630</v>
      </c>
      <c r="N715" s="10">
        <v>598350</v>
      </c>
      <c r="O715" s="10">
        <v>585290</v>
      </c>
      <c r="P715" s="10">
        <v>608680</v>
      </c>
      <c r="Q715" s="6">
        <v>594050</v>
      </c>
      <c r="R715" s="6">
        <v>608680</v>
      </c>
      <c r="S715" s="6">
        <v>608680</v>
      </c>
      <c r="T715" s="6">
        <v>608680</v>
      </c>
      <c r="U715" s="6">
        <f t="shared" si="12"/>
        <v>7156410</v>
      </c>
    </row>
    <row r="716" spans="2:21" x14ac:dyDescent="0.35">
      <c r="B716" t="s">
        <v>1275</v>
      </c>
      <c r="C716" t="s">
        <v>1285</v>
      </c>
      <c r="D716" t="s">
        <v>184</v>
      </c>
      <c r="E716" s="2" t="s">
        <v>191</v>
      </c>
      <c r="F716">
        <v>90111101</v>
      </c>
      <c r="G716">
        <v>52121305</v>
      </c>
      <c r="H716" s="27">
        <v>415879.64632775064</v>
      </c>
      <c r="I716" s="10">
        <v>35400</v>
      </c>
      <c r="J716" s="10">
        <v>35200</v>
      </c>
      <c r="K716" s="10">
        <v>34800</v>
      </c>
      <c r="L716" s="10">
        <v>34800</v>
      </c>
      <c r="M716" s="10">
        <v>35200</v>
      </c>
      <c r="N716" s="10">
        <v>35000</v>
      </c>
      <c r="O716" s="10">
        <v>35200</v>
      </c>
      <c r="P716" s="10">
        <v>35000</v>
      </c>
      <c r="Q716" s="6">
        <v>35000</v>
      </c>
      <c r="R716" s="6">
        <v>35200</v>
      </c>
      <c r="S716" s="6">
        <v>35200</v>
      </c>
      <c r="T716" s="6">
        <v>35200</v>
      </c>
      <c r="U716" s="6">
        <f t="shared" si="12"/>
        <v>421200</v>
      </c>
    </row>
    <row r="717" spans="2:21" x14ac:dyDescent="0.35">
      <c r="B717" t="s">
        <v>1275</v>
      </c>
      <c r="C717" t="s">
        <v>195</v>
      </c>
      <c r="D717" t="s">
        <v>184</v>
      </c>
      <c r="E717" s="2" t="s">
        <v>193</v>
      </c>
      <c r="F717">
        <v>90111101</v>
      </c>
      <c r="G717">
        <v>52121305</v>
      </c>
      <c r="H717" s="27">
        <v>3222853.637800971</v>
      </c>
      <c r="I717" s="10">
        <v>258472.5</v>
      </c>
      <c r="J717" s="10">
        <v>257627.5</v>
      </c>
      <c r="K717" s="10">
        <v>256090</v>
      </c>
      <c r="L717" s="10">
        <v>265360</v>
      </c>
      <c r="M717" s="10">
        <v>265870</v>
      </c>
      <c r="N717" s="10">
        <v>265417.5</v>
      </c>
      <c r="O717" s="10">
        <v>264017.5</v>
      </c>
      <c r="P717" s="10">
        <v>263492.5</v>
      </c>
      <c r="Q717" s="6">
        <v>262935</v>
      </c>
      <c r="R717" s="6">
        <v>265870</v>
      </c>
      <c r="S717" s="6">
        <v>265870</v>
      </c>
      <c r="T717" s="6">
        <v>265870</v>
      </c>
      <c r="U717" s="6">
        <f t="shared" si="12"/>
        <v>3156892.5</v>
      </c>
    </row>
    <row r="718" spans="2:21" x14ac:dyDescent="0.35">
      <c r="B718" t="s">
        <v>1275</v>
      </c>
      <c r="C718" t="s">
        <v>1278</v>
      </c>
      <c r="D718" t="s">
        <v>101</v>
      </c>
      <c r="E718" s="2" t="s">
        <v>195</v>
      </c>
      <c r="F718">
        <v>90111101</v>
      </c>
      <c r="G718">
        <v>52121308</v>
      </c>
      <c r="H718" s="27">
        <v>6862304.1783707645</v>
      </c>
      <c r="I718" s="10">
        <v>562750</v>
      </c>
      <c r="J718" s="10">
        <v>566750</v>
      </c>
      <c r="K718" s="6">
        <v>566750</v>
      </c>
      <c r="L718" s="10">
        <v>670000</v>
      </c>
      <c r="M718" s="6">
        <v>603500</v>
      </c>
      <c r="N718" s="10">
        <v>594750</v>
      </c>
      <c r="O718" s="10">
        <v>586750</v>
      </c>
      <c r="P718" s="10">
        <v>586750</v>
      </c>
      <c r="Q718" s="6">
        <v>573000</v>
      </c>
      <c r="R718" s="6">
        <v>600000</v>
      </c>
      <c r="S718" s="6">
        <v>600000</v>
      </c>
      <c r="T718" s="6">
        <v>600000</v>
      </c>
      <c r="U718" s="6">
        <f t="shared" si="12"/>
        <v>7111000</v>
      </c>
    </row>
    <row r="719" spans="2:21" x14ac:dyDescent="0.35">
      <c r="B719" t="s">
        <v>1275</v>
      </c>
      <c r="C719" t="s">
        <v>1146</v>
      </c>
      <c r="D719" t="s">
        <v>101</v>
      </c>
      <c r="E719" s="2" t="s">
        <v>196</v>
      </c>
      <c r="F719">
        <v>90111101</v>
      </c>
      <c r="G719">
        <v>52121302</v>
      </c>
      <c r="H719" s="27">
        <v>1310000</v>
      </c>
      <c r="I719" s="10">
        <v>0</v>
      </c>
      <c r="J719" s="10">
        <v>0</v>
      </c>
      <c r="L719" s="10">
        <v>0</v>
      </c>
      <c r="M719" s="6"/>
      <c r="N719" s="10">
        <v>0</v>
      </c>
      <c r="O719" s="10">
        <v>0</v>
      </c>
      <c r="P719" s="10">
        <v>0</v>
      </c>
      <c r="Q719" s="6">
        <v>1202500</v>
      </c>
      <c r="R719" s="6"/>
      <c r="S719" s="6"/>
      <c r="T719" s="6"/>
      <c r="U719" s="6">
        <f t="shared" si="12"/>
        <v>1202500</v>
      </c>
    </row>
    <row r="720" spans="2:21" x14ac:dyDescent="0.35">
      <c r="B720" t="s">
        <v>1275</v>
      </c>
      <c r="C720" t="s">
        <v>1146</v>
      </c>
      <c r="D720" t="s">
        <v>101</v>
      </c>
      <c r="E720" s="2" t="s">
        <v>197</v>
      </c>
      <c r="F720">
        <v>90111101</v>
      </c>
      <c r="G720">
        <v>52121306</v>
      </c>
      <c r="H720" s="27">
        <v>734793.87552042073</v>
      </c>
      <c r="I720" s="10">
        <v>152000</v>
      </c>
      <c r="J720" s="10">
        <v>0</v>
      </c>
      <c r="K720" s="10">
        <v>0</v>
      </c>
      <c r="L720" s="10">
        <v>0</v>
      </c>
      <c r="M720" s="6"/>
      <c r="N720" s="10">
        <v>716560</v>
      </c>
      <c r="O720" s="10">
        <v>0</v>
      </c>
      <c r="P720" s="10">
        <v>0</v>
      </c>
      <c r="Q720" s="6"/>
      <c r="R720" s="6"/>
      <c r="S720" s="6"/>
      <c r="T720" s="6"/>
      <c r="U720" s="6">
        <f t="shared" si="12"/>
        <v>868560</v>
      </c>
    </row>
    <row r="721" spans="2:21" x14ac:dyDescent="0.35">
      <c r="B721" t="s">
        <v>1276</v>
      </c>
      <c r="C721" t="s">
        <v>188</v>
      </c>
      <c r="D721" t="s">
        <v>101</v>
      </c>
      <c r="E721" s="2" t="s">
        <v>197</v>
      </c>
      <c r="F721">
        <v>90111101</v>
      </c>
      <c r="G721">
        <v>52121309</v>
      </c>
      <c r="H721" s="27">
        <v>730843.37081332202</v>
      </c>
      <c r="I721" s="10">
        <v>38000</v>
      </c>
      <c r="J721" s="10">
        <v>0</v>
      </c>
      <c r="K721" s="10">
        <v>0</v>
      </c>
      <c r="L721" s="10">
        <v>0</v>
      </c>
      <c r="N721" s="10">
        <v>0</v>
      </c>
      <c r="O721" s="10">
        <v>0</v>
      </c>
      <c r="P721" s="10">
        <v>3440000</v>
      </c>
      <c r="Q721" s="6"/>
      <c r="R721" s="6"/>
      <c r="S721" s="6"/>
      <c r="T721" s="6"/>
      <c r="U721" s="6">
        <f t="shared" si="12"/>
        <v>3478000</v>
      </c>
    </row>
    <row r="722" spans="2:21" x14ac:dyDescent="0.35">
      <c r="B722" t="s">
        <v>1276</v>
      </c>
      <c r="C722" t="s">
        <v>188</v>
      </c>
      <c r="D722" t="s">
        <v>101</v>
      </c>
      <c r="E722" t="s">
        <v>188</v>
      </c>
      <c r="F722">
        <v>90111101</v>
      </c>
      <c r="G722">
        <v>52121103</v>
      </c>
      <c r="H722" s="27">
        <v>60000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6">
        <v>0</v>
      </c>
      <c r="R722" s="6">
        <v>20000</v>
      </c>
      <c r="S722" s="6">
        <v>20000</v>
      </c>
      <c r="T722" s="6">
        <v>20000</v>
      </c>
      <c r="U722" s="6">
        <f t="shared" si="12"/>
        <v>60000</v>
      </c>
    </row>
    <row r="723" spans="2:21" x14ac:dyDescent="0.35">
      <c r="B723" t="s">
        <v>1275</v>
      </c>
      <c r="C723" t="s">
        <v>1278</v>
      </c>
      <c r="D723" t="s">
        <v>101</v>
      </c>
      <c r="E723" t="s">
        <v>188</v>
      </c>
      <c r="F723">
        <v>90111101</v>
      </c>
      <c r="G723">
        <v>52121103</v>
      </c>
      <c r="H723" s="27">
        <v>96000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6">
        <v>0</v>
      </c>
      <c r="R723" s="6">
        <v>32000</v>
      </c>
      <c r="S723" s="6">
        <v>32000</v>
      </c>
      <c r="T723" s="6">
        <v>32000</v>
      </c>
      <c r="U723" s="6">
        <f t="shared" si="12"/>
        <v>96000</v>
      </c>
    </row>
    <row r="724" spans="2:21" x14ac:dyDescent="0.35">
      <c r="B724" t="s">
        <v>1275</v>
      </c>
      <c r="C724" t="s">
        <v>1278</v>
      </c>
      <c r="D724" t="s">
        <v>101</v>
      </c>
      <c r="E724" s="2" t="s">
        <v>198</v>
      </c>
      <c r="F724">
        <v>90111101</v>
      </c>
      <c r="G724">
        <v>52121301</v>
      </c>
      <c r="H724" s="27">
        <v>162090</v>
      </c>
      <c r="I724" s="10">
        <v>37546.26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6">
        <v>0</v>
      </c>
      <c r="R724" s="6">
        <v>0</v>
      </c>
      <c r="S724" s="6">
        <v>0</v>
      </c>
      <c r="T724" s="6">
        <v>0</v>
      </c>
      <c r="U724" s="6">
        <f t="shared" si="12"/>
        <v>37546.26</v>
      </c>
    </row>
    <row r="725" spans="2:21" x14ac:dyDescent="0.35">
      <c r="B725" t="s">
        <v>1275</v>
      </c>
      <c r="C725" t="s">
        <v>1278</v>
      </c>
      <c r="D725" t="s">
        <v>101</v>
      </c>
      <c r="E725" s="2" t="s">
        <v>199</v>
      </c>
      <c r="F725">
        <v>90111101</v>
      </c>
      <c r="G725">
        <v>52121301</v>
      </c>
      <c r="H725" s="27">
        <v>4153380</v>
      </c>
      <c r="I725" s="10">
        <v>0</v>
      </c>
      <c r="J725" s="10">
        <v>0</v>
      </c>
      <c r="K725" s="10">
        <v>78232.5</v>
      </c>
      <c r="L725" s="10">
        <v>29961.06</v>
      </c>
      <c r="M725" s="6">
        <v>26077.5</v>
      </c>
      <c r="N725" s="10">
        <v>26077.5</v>
      </c>
      <c r="O725" s="10">
        <v>26077.5</v>
      </c>
      <c r="P725" s="10">
        <v>26077.5</v>
      </c>
      <c r="Q725" s="6">
        <v>26077.5</v>
      </c>
      <c r="R725" s="6">
        <v>26077.5</v>
      </c>
      <c r="S725" s="6">
        <v>26077.5</v>
      </c>
      <c r="T725" s="6">
        <v>26077.5</v>
      </c>
      <c r="U725" s="6">
        <f t="shared" si="12"/>
        <v>316813.56</v>
      </c>
    </row>
    <row r="726" spans="2:21" x14ac:dyDescent="0.35">
      <c r="B726" t="s">
        <v>1275</v>
      </c>
      <c r="C726" t="s">
        <v>1278</v>
      </c>
      <c r="D726" t="s">
        <v>101</v>
      </c>
      <c r="E726" s="2" t="s">
        <v>200</v>
      </c>
      <c r="F726">
        <v>90111101</v>
      </c>
      <c r="G726">
        <v>52121303</v>
      </c>
      <c r="H726" s="27">
        <v>2774149.9748251261</v>
      </c>
      <c r="I726" s="10">
        <v>0</v>
      </c>
      <c r="J726" s="10">
        <v>0</v>
      </c>
      <c r="L726" s="10">
        <v>0</v>
      </c>
      <c r="N726" s="10">
        <v>0</v>
      </c>
      <c r="O726" s="10">
        <v>0</v>
      </c>
      <c r="P726" s="10">
        <v>0</v>
      </c>
      <c r="Q726" s="6">
        <v>0</v>
      </c>
      <c r="R726" s="6"/>
      <c r="S726" s="6"/>
      <c r="T726" s="6">
        <v>500000</v>
      </c>
      <c r="U726" s="6">
        <f t="shared" si="12"/>
        <v>500000</v>
      </c>
    </row>
    <row r="727" spans="2:21" x14ac:dyDescent="0.35">
      <c r="B727" t="s">
        <v>1276</v>
      </c>
      <c r="C727" t="s">
        <v>203</v>
      </c>
      <c r="D727" t="s">
        <v>101</v>
      </c>
      <c r="E727" s="2" t="s">
        <v>201</v>
      </c>
      <c r="F727">
        <v>90111101</v>
      </c>
      <c r="G727">
        <v>52121303</v>
      </c>
      <c r="H727" s="27">
        <v>10364794.854522647</v>
      </c>
      <c r="I727" s="10">
        <v>860276.7</v>
      </c>
      <c r="J727" s="10">
        <v>1023819.4500000001</v>
      </c>
      <c r="K727" s="10">
        <v>-965764.41999999993</v>
      </c>
      <c r="L727" s="10">
        <v>273932.28000000014</v>
      </c>
      <c r="M727" s="10">
        <v>306110.5299999998</v>
      </c>
      <c r="N727" s="10">
        <v>2213923.08</v>
      </c>
      <c r="O727" s="10">
        <v>2849860.58</v>
      </c>
      <c r="P727" s="10">
        <v>942048.08</v>
      </c>
      <c r="Q727" s="6">
        <v>942048.08</v>
      </c>
      <c r="R727" s="6">
        <v>942048.08000000007</v>
      </c>
      <c r="S727" s="6">
        <v>942048.08000000007</v>
      </c>
      <c r="T727" s="6">
        <v>942048.08000000007</v>
      </c>
      <c r="U727" s="6">
        <f t="shared" si="12"/>
        <v>11272398.6</v>
      </c>
    </row>
    <row r="728" spans="2:21" x14ac:dyDescent="0.35">
      <c r="B728" t="s">
        <v>1276</v>
      </c>
      <c r="C728" t="s">
        <v>203</v>
      </c>
      <c r="D728" t="s">
        <v>184</v>
      </c>
      <c r="E728" s="2" t="s">
        <v>203</v>
      </c>
      <c r="F728">
        <v>80111101</v>
      </c>
      <c r="G728">
        <v>61021201</v>
      </c>
      <c r="H728" s="27">
        <v>5469600</v>
      </c>
      <c r="I728" s="10">
        <v>305871.74000000005</v>
      </c>
      <c r="J728" s="10">
        <v>390000.60000000003</v>
      </c>
      <c r="K728" s="10">
        <v>410120.24</v>
      </c>
      <c r="L728" s="10">
        <v>417061.46</v>
      </c>
      <c r="M728" s="10">
        <v>423803.51</v>
      </c>
      <c r="N728" s="10">
        <v>417320.03000000009</v>
      </c>
      <c r="O728" s="10">
        <v>403783.27</v>
      </c>
      <c r="P728" s="10">
        <v>380672.98000000004</v>
      </c>
      <c r="Q728" s="6">
        <v>370938.02999999997</v>
      </c>
      <c r="R728" s="6">
        <v>430000</v>
      </c>
      <c r="S728" s="6">
        <v>430000</v>
      </c>
      <c r="T728" s="6">
        <v>430000</v>
      </c>
      <c r="U728" s="6">
        <f t="shared" si="12"/>
        <v>4809571.8599999994</v>
      </c>
    </row>
    <row r="729" spans="2:21" x14ac:dyDescent="0.35">
      <c r="B729" t="s">
        <v>1276</v>
      </c>
      <c r="C729" t="s">
        <v>1138</v>
      </c>
      <c r="D729" t="s">
        <v>184</v>
      </c>
      <c r="E729" t="s">
        <v>186</v>
      </c>
      <c r="F729">
        <v>80111101</v>
      </c>
      <c r="G729">
        <v>61021203</v>
      </c>
      <c r="H729" s="27">
        <v>474243.99999999994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31500</v>
      </c>
      <c r="Q729" s="6"/>
      <c r="R729" s="6"/>
      <c r="S729" s="6"/>
      <c r="T729" s="6"/>
      <c r="U729" s="6">
        <f t="shared" si="12"/>
        <v>31500</v>
      </c>
    </row>
    <row r="730" spans="2:21" x14ac:dyDescent="0.35">
      <c r="B730" t="s">
        <v>1276</v>
      </c>
      <c r="C730" t="s">
        <v>203</v>
      </c>
      <c r="D730" t="s">
        <v>101</v>
      </c>
      <c r="E730" t="s">
        <v>187</v>
      </c>
      <c r="F730">
        <v>80111101</v>
      </c>
      <c r="G730">
        <v>61021107</v>
      </c>
      <c r="H730" s="27">
        <v>12000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6">
        <v>0</v>
      </c>
      <c r="R730" s="6">
        <v>0</v>
      </c>
      <c r="S730" s="6">
        <v>0</v>
      </c>
      <c r="T730" s="6">
        <v>0</v>
      </c>
      <c r="U730" s="6">
        <f t="shared" si="12"/>
        <v>0</v>
      </c>
    </row>
    <row r="731" spans="2:21" x14ac:dyDescent="0.35">
      <c r="B731" t="s">
        <v>1275</v>
      </c>
      <c r="C731" t="s">
        <v>1285</v>
      </c>
      <c r="D731" t="s">
        <v>101</v>
      </c>
      <c r="E731" s="2" t="s">
        <v>204</v>
      </c>
      <c r="F731">
        <v>80111101</v>
      </c>
      <c r="G731">
        <v>61021202</v>
      </c>
      <c r="H731" s="27">
        <v>54696</v>
      </c>
      <c r="I731" s="10">
        <v>87876.9</v>
      </c>
      <c r="J731" s="10">
        <v>67623.67</v>
      </c>
      <c r="K731" s="10">
        <v>100118.54000000001</v>
      </c>
      <c r="L731" s="10">
        <v>117163.56</v>
      </c>
      <c r="M731" s="10">
        <v>89812.260000000009</v>
      </c>
      <c r="N731" s="10">
        <v>92193.159999999989</v>
      </c>
      <c r="O731" s="10">
        <v>85649.700000000012</v>
      </c>
      <c r="P731" s="10">
        <v>94388.35</v>
      </c>
      <c r="Q731" s="6">
        <v>72507.839999999997</v>
      </c>
      <c r="R731" s="6">
        <v>100000</v>
      </c>
      <c r="S731" s="6">
        <v>100000</v>
      </c>
      <c r="T731" s="6">
        <v>100000</v>
      </c>
      <c r="U731" s="6">
        <f t="shared" si="12"/>
        <v>1107333.98</v>
      </c>
    </row>
    <row r="732" spans="2:21" x14ac:dyDescent="0.35">
      <c r="B732" t="s">
        <v>1275</v>
      </c>
      <c r="C732" t="s">
        <v>1285</v>
      </c>
      <c r="D732" t="s">
        <v>184</v>
      </c>
      <c r="E732" t="s">
        <v>189</v>
      </c>
      <c r="F732">
        <v>90111101</v>
      </c>
      <c r="G732">
        <v>52121305</v>
      </c>
      <c r="H732" s="27">
        <v>582913.27477086359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6">
        <v>0</v>
      </c>
      <c r="R732" s="6">
        <v>0</v>
      </c>
      <c r="S732" s="6">
        <v>0</v>
      </c>
      <c r="T732" s="6">
        <v>0</v>
      </c>
      <c r="U732" s="6">
        <f t="shared" si="12"/>
        <v>0</v>
      </c>
    </row>
    <row r="733" spans="2:21" x14ac:dyDescent="0.35">
      <c r="B733" t="s">
        <v>1275</v>
      </c>
      <c r="C733" t="s">
        <v>1285</v>
      </c>
      <c r="D733" t="s">
        <v>184</v>
      </c>
      <c r="E733" t="s">
        <v>191</v>
      </c>
      <c r="F733">
        <v>90111101</v>
      </c>
      <c r="G733">
        <v>52121305</v>
      </c>
      <c r="H733" s="27">
        <v>20453.09736038118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6">
        <v>0</v>
      </c>
      <c r="R733" s="6">
        <v>0</v>
      </c>
      <c r="S733" s="6">
        <v>0</v>
      </c>
      <c r="T733" s="6">
        <v>0</v>
      </c>
      <c r="U733" s="6">
        <f t="shared" si="12"/>
        <v>0</v>
      </c>
    </row>
    <row r="734" spans="2:21" x14ac:dyDescent="0.35">
      <c r="B734" t="s">
        <v>1275</v>
      </c>
      <c r="C734" t="s">
        <v>1278</v>
      </c>
      <c r="D734" t="s">
        <v>184</v>
      </c>
      <c r="E734" t="s">
        <v>193</v>
      </c>
      <c r="F734">
        <v>90111101</v>
      </c>
      <c r="G734">
        <v>52121305</v>
      </c>
      <c r="H734" s="27">
        <v>156278.70808111253</v>
      </c>
      <c r="I734" s="10">
        <v>0</v>
      </c>
      <c r="J734" s="10">
        <v>0</v>
      </c>
      <c r="K734" s="6">
        <v>0</v>
      </c>
      <c r="L734" s="10">
        <v>0</v>
      </c>
      <c r="M734" s="6">
        <v>0</v>
      </c>
      <c r="N734" s="10">
        <v>0</v>
      </c>
      <c r="O734" s="10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f t="shared" si="12"/>
        <v>0</v>
      </c>
    </row>
    <row r="735" spans="2:21" x14ac:dyDescent="0.35">
      <c r="B735" t="s">
        <v>1275</v>
      </c>
      <c r="C735" t="s">
        <v>1278</v>
      </c>
      <c r="D735" t="s">
        <v>101</v>
      </c>
      <c r="E735" s="2" t="s">
        <v>198</v>
      </c>
      <c r="F735">
        <v>80111101</v>
      </c>
      <c r="G735">
        <v>61021301</v>
      </c>
      <c r="H735" s="27">
        <v>11520</v>
      </c>
      <c r="K735" s="6"/>
      <c r="M735" s="6"/>
      <c r="P735" s="6"/>
      <c r="Q735" s="6"/>
      <c r="R735" s="6"/>
      <c r="S735" s="6"/>
      <c r="T735" s="6"/>
      <c r="U735" s="6">
        <f t="shared" si="12"/>
        <v>0</v>
      </c>
    </row>
    <row r="736" spans="2:21" x14ac:dyDescent="0.35">
      <c r="B736" t="s">
        <v>1275</v>
      </c>
      <c r="C736" t="s">
        <v>1278</v>
      </c>
      <c r="D736" t="s">
        <v>101</v>
      </c>
      <c r="E736" s="2" t="s">
        <v>199</v>
      </c>
      <c r="F736">
        <v>80111101</v>
      </c>
      <c r="G736">
        <v>61021301</v>
      </c>
      <c r="H736" s="27">
        <v>36960</v>
      </c>
      <c r="K736" s="6"/>
      <c r="M736" s="6"/>
      <c r="P736" s="6"/>
      <c r="Q736" s="6"/>
      <c r="R736" s="6"/>
      <c r="S736" s="6"/>
      <c r="T736" s="6"/>
      <c r="U736" s="6">
        <f t="shared" si="12"/>
        <v>0</v>
      </c>
    </row>
    <row r="737" spans="2:21" x14ac:dyDescent="0.35">
      <c r="B737" t="s">
        <v>1275</v>
      </c>
      <c r="C737" t="s">
        <v>1278</v>
      </c>
      <c r="D737" t="s">
        <v>101</v>
      </c>
      <c r="E737" s="2" t="s">
        <v>201</v>
      </c>
      <c r="F737">
        <v>80111101</v>
      </c>
      <c r="G737">
        <v>61021303</v>
      </c>
      <c r="H737" s="27">
        <v>43999.999999999993</v>
      </c>
      <c r="K737" s="6"/>
      <c r="M737" s="6"/>
      <c r="P737" s="6"/>
      <c r="Q737" s="6"/>
      <c r="R737" s="6"/>
      <c r="S737" s="6"/>
      <c r="T737" s="6"/>
      <c r="U737" s="6">
        <f t="shared" si="12"/>
        <v>0</v>
      </c>
    </row>
    <row r="738" spans="2:21" x14ac:dyDescent="0.35">
      <c r="B738" t="s">
        <v>1276</v>
      </c>
      <c r="C738" t="s">
        <v>203</v>
      </c>
      <c r="D738" t="s">
        <v>101</v>
      </c>
      <c r="E738" s="2" t="s">
        <v>201</v>
      </c>
      <c r="F738">
        <v>80111101</v>
      </c>
      <c r="G738">
        <v>61021303</v>
      </c>
      <c r="H738" s="27">
        <v>806945.04000000015</v>
      </c>
      <c r="M738" s="6"/>
      <c r="Q738" s="6"/>
      <c r="R738" s="6"/>
      <c r="S738" s="6"/>
      <c r="T738" s="6"/>
      <c r="U738" s="6">
        <f t="shared" si="12"/>
        <v>0</v>
      </c>
    </row>
    <row r="739" spans="2:21" x14ac:dyDescent="0.35">
      <c r="B739" t="s">
        <v>1276</v>
      </c>
      <c r="C739" t="s">
        <v>203</v>
      </c>
      <c r="D739" t="s">
        <v>184</v>
      </c>
      <c r="E739" t="s">
        <v>203</v>
      </c>
      <c r="F739">
        <v>90111101</v>
      </c>
      <c r="G739">
        <v>52121201</v>
      </c>
      <c r="H739" s="27">
        <v>1310160</v>
      </c>
      <c r="I739" s="10">
        <v>0</v>
      </c>
      <c r="J739" s="10">
        <v>0</v>
      </c>
      <c r="K739" s="10">
        <v>0</v>
      </c>
      <c r="L739" s="10">
        <v>0</v>
      </c>
      <c r="M739" s="6"/>
      <c r="N739" s="10">
        <v>0</v>
      </c>
      <c r="O739" s="10">
        <v>0</v>
      </c>
      <c r="P739" s="10">
        <v>0</v>
      </c>
      <c r="Q739" s="6"/>
      <c r="R739" s="6"/>
      <c r="S739" s="6"/>
      <c r="T739" s="6"/>
      <c r="U739" s="6">
        <f t="shared" si="12"/>
        <v>0</v>
      </c>
    </row>
    <row r="740" spans="2:21" x14ac:dyDescent="0.35">
      <c r="B740" t="s">
        <v>1276</v>
      </c>
      <c r="C740" t="s">
        <v>1138</v>
      </c>
      <c r="D740" t="s">
        <v>184</v>
      </c>
      <c r="E740" t="s">
        <v>1186</v>
      </c>
      <c r="F740">
        <v>90111101</v>
      </c>
      <c r="G740">
        <v>52121203</v>
      </c>
      <c r="H740" s="27">
        <v>115730.80000000003</v>
      </c>
      <c r="I740" s="10">
        <v>0</v>
      </c>
      <c r="J740" s="10">
        <v>0</v>
      </c>
      <c r="K740" s="10">
        <v>0</v>
      </c>
      <c r="L740" s="10">
        <v>0</v>
      </c>
      <c r="N740" s="10">
        <v>0</v>
      </c>
      <c r="O740" s="10">
        <v>0</v>
      </c>
      <c r="P740" s="10">
        <v>0</v>
      </c>
      <c r="Q740" s="6"/>
      <c r="R740" s="6"/>
      <c r="S740" s="6"/>
      <c r="T740" s="6"/>
      <c r="U740" s="6">
        <f t="shared" si="12"/>
        <v>0</v>
      </c>
    </row>
    <row r="741" spans="2:21" x14ac:dyDescent="0.35">
      <c r="B741" t="s">
        <v>1276</v>
      </c>
      <c r="C741" t="s">
        <v>203</v>
      </c>
      <c r="D741" t="s">
        <v>101</v>
      </c>
      <c r="E741" t="s">
        <v>187</v>
      </c>
      <c r="F741">
        <v>90111101</v>
      </c>
      <c r="G741">
        <v>52121106</v>
      </c>
      <c r="H741" s="27">
        <v>10000</v>
      </c>
      <c r="I741" s="10">
        <v>0</v>
      </c>
      <c r="J741" s="10">
        <v>0</v>
      </c>
      <c r="K741" s="10">
        <v>0</v>
      </c>
      <c r="L741" s="10">
        <v>0</v>
      </c>
      <c r="M741" s="6">
        <v>0</v>
      </c>
      <c r="N741" s="10">
        <v>0</v>
      </c>
      <c r="O741" s="10">
        <v>0</v>
      </c>
      <c r="P741" s="10">
        <v>0</v>
      </c>
      <c r="Q741" s="6">
        <v>0</v>
      </c>
      <c r="R741" s="6"/>
      <c r="S741" s="6"/>
      <c r="T741" s="6"/>
      <c r="U741" s="6">
        <f t="shared" si="12"/>
        <v>0</v>
      </c>
    </row>
    <row r="742" spans="2:21" x14ac:dyDescent="0.35">
      <c r="B742" t="s">
        <v>1275</v>
      </c>
      <c r="C742" t="s">
        <v>1278</v>
      </c>
      <c r="D742" t="s">
        <v>101</v>
      </c>
      <c r="E742" t="s">
        <v>204</v>
      </c>
      <c r="F742">
        <v>90111101</v>
      </c>
      <c r="G742">
        <v>52121202</v>
      </c>
      <c r="H742" s="27">
        <v>13101.599999999997</v>
      </c>
      <c r="I742" s="10">
        <v>0</v>
      </c>
      <c r="J742" s="10">
        <v>0</v>
      </c>
      <c r="K742" s="6">
        <v>0</v>
      </c>
      <c r="L742" s="10">
        <v>0</v>
      </c>
      <c r="M742" s="6"/>
      <c r="N742" s="10">
        <v>0</v>
      </c>
      <c r="O742" s="10">
        <v>0</v>
      </c>
      <c r="P742" s="6">
        <v>0</v>
      </c>
      <c r="Q742" s="6"/>
      <c r="R742" s="6"/>
      <c r="S742" s="6"/>
      <c r="T742" s="6"/>
      <c r="U742" s="6">
        <f t="shared" si="12"/>
        <v>0</v>
      </c>
    </row>
    <row r="743" spans="2:21" x14ac:dyDescent="0.35">
      <c r="B743" t="s">
        <v>1275</v>
      </c>
      <c r="C743" t="s">
        <v>1278</v>
      </c>
      <c r="D743" t="s">
        <v>101</v>
      </c>
      <c r="E743" s="2" t="s">
        <v>198</v>
      </c>
      <c r="F743">
        <v>90111101</v>
      </c>
      <c r="G743">
        <v>52121301</v>
      </c>
      <c r="H743" s="27">
        <v>1440</v>
      </c>
      <c r="K743" s="6"/>
      <c r="M743" s="6"/>
      <c r="P743" s="6"/>
      <c r="Q743" s="6"/>
      <c r="R743" s="6"/>
      <c r="S743" s="6"/>
      <c r="T743" s="6"/>
      <c r="U743" s="6">
        <f t="shared" si="12"/>
        <v>0</v>
      </c>
    </row>
    <row r="744" spans="2:21" x14ac:dyDescent="0.35">
      <c r="B744" t="s">
        <v>1275</v>
      </c>
      <c r="C744" t="s">
        <v>1278</v>
      </c>
      <c r="D744" t="s">
        <v>101</v>
      </c>
      <c r="E744" s="2" t="s">
        <v>199</v>
      </c>
      <c r="F744">
        <v>90111101</v>
      </c>
      <c r="G744">
        <v>52121301</v>
      </c>
      <c r="H744" s="27">
        <v>4620</v>
      </c>
      <c r="K744" s="6"/>
      <c r="M744" s="6"/>
      <c r="P744" s="6"/>
      <c r="Q744" s="6"/>
      <c r="R744" s="6"/>
      <c r="S744" s="6"/>
      <c r="T744" s="6"/>
      <c r="U744" s="6">
        <f t="shared" si="12"/>
        <v>0</v>
      </c>
    </row>
    <row r="745" spans="2:21" x14ac:dyDescent="0.35">
      <c r="B745" t="s">
        <v>1275</v>
      </c>
      <c r="C745" t="s">
        <v>1278</v>
      </c>
      <c r="D745" t="s">
        <v>101</v>
      </c>
      <c r="E745" s="2" t="s">
        <v>201</v>
      </c>
      <c r="F745">
        <v>90111101</v>
      </c>
      <c r="G745">
        <v>52121303</v>
      </c>
      <c r="H745" s="27">
        <v>5499.9999999999991</v>
      </c>
      <c r="K745" s="6"/>
      <c r="M745" s="6"/>
      <c r="P745" s="6"/>
      <c r="Q745" s="6"/>
      <c r="R745" s="6"/>
      <c r="S745" s="6"/>
      <c r="T745" s="6"/>
      <c r="U745" s="6">
        <f t="shared" si="12"/>
        <v>0</v>
      </c>
    </row>
    <row r="746" spans="2:21" x14ac:dyDescent="0.35">
      <c r="B746" t="s">
        <v>1276</v>
      </c>
      <c r="C746" t="s">
        <v>1284</v>
      </c>
      <c r="D746" t="s">
        <v>101</v>
      </c>
      <c r="E746" s="2" t="s">
        <v>201</v>
      </c>
      <c r="F746">
        <v>90111101</v>
      </c>
      <c r="G746">
        <v>52121303</v>
      </c>
      <c r="H746" s="27">
        <v>100868.13000000002</v>
      </c>
      <c r="Q746" s="6"/>
      <c r="R746" s="6"/>
      <c r="S746" s="6"/>
      <c r="T746" s="6"/>
      <c r="U746" s="6">
        <f t="shared" si="12"/>
        <v>0</v>
      </c>
    </row>
    <row r="747" spans="2:21" x14ac:dyDescent="0.35">
      <c r="B747" t="s">
        <v>1276</v>
      </c>
      <c r="C747" t="s">
        <v>1284</v>
      </c>
      <c r="D747" t="s">
        <v>184</v>
      </c>
      <c r="E747" s="2" t="s">
        <v>205</v>
      </c>
      <c r="F747">
        <v>81111101</v>
      </c>
      <c r="G747">
        <v>52041495</v>
      </c>
      <c r="H747" s="27">
        <v>10084000</v>
      </c>
      <c r="I747" s="10">
        <v>540593.93999999994</v>
      </c>
      <c r="J747" s="10">
        <v>509422.96</v>
      </c>
      <c r="K747" s="6">
        <v>107926.67000000006</v>
      </c>
      <c r="L747" s="10">
        <v>575387.94000000006</v>
      </c>
      <c r="M747" s="6">
        <v>652257.68999999994</v>
      </c>
      <c r="N747" s="10">
        <v>780427.74</v>
      </c>
      <c r="O747" s="10">
        <v>-302921.68</v>
      </c>
      <c r="P747" s="10">
        <v>581320.79</v>
      </c>
      <c r="Q747" s="6">
        <v>300103.91000000009</v>
      </c>
      <c r="R747" s="6">
        <v>600000</v>
      </c>
      <c r="S747" s="6">
        <v>600000</v>
      </c>
      <c r="T747" s="6">
        <v>600000</v>
      </c>
      <c r="U747" s="6">
        <f t="shared" si="12"/>
        <v>5544519.9600000009</v>
      </c>
    </row>
    <row r="748" spans="2:21" x14ac:dyDescent="0.35">
      <c r="B748" t="s">
        <v>1276</v>
      </c>
      <c r="C748" t="s">
        <v>1284</v>
      </c>
      <c r="D748" t="s">
        <v>184</v>
      </c>
      <c r="E748" s="2" t="s">
        <v>205</v>
      </c>
      <c r="F748">
        <v>81111101</v>
      </c>
      <c r="G748">
        <v>52041495</v>
      </c>
      <c r="H748" s="27">
        <v>648000</v>
      </c>
      <c r="I748" s="10">
        <v>0</v>
      </c>
      <c r="J748" s="10">
        <v>0</v>
      </c>
      <c r="K748" s="6"/>
      <c r="L748" s="10">
        <v>0</v>
      </c>
      <c r="M748" s="6"/>
      <c r="N748" s="10">
        <v>0</v>
      </c>
      <c r="O748" s="10">
        <v>0</v>
      </c>
      <c r="P748" s="10">
        <v>0</v>
      </c>
      <c r="Q748" s="6"/>
      <c r="R748" s="6"/>
      <c r="S748" s="6"/>
      <c r="T748" s="6"/>
      <c r="U748" s="6">
        <f t="shared" si="12"/>
        <v>0</v>
      </c>
    </row>
    <row r="749" spans="2:21" x14ac:dyDescent="0.35">
      <c r="B749" t="s">
        <v>1238</v>
      </c>
      <c r="D749" t="s">
        <v>184</v>
      </c>
      <c r="E749" s="2" t="s">
        <v>205</v>
      </c>
      <c r="F749">
        <v>81111101</v>
      </c>
      <c r="G749">
        <v>52041495</v>
      </c>
      <c r="H749" s="27">
        <v>0</v>
      </c>
      <c r="J749" s="10">
        <v>358611.4</v>
      </c>
      <c r="L749" s="10">
        <v>0</v>
      </c>
      <c r="M749" s="6"/>
      <c r="N749" s="10">
        <v>0</v>
      </c>
      <c r="O749" s="10">
        <v>0</v>
      </c>
      <c r="P749" s="10">
        <v>0</v>
      </c>
      <c r="Q749" s="6"/>
      <c r="R749" s="6"/>
      <c r="S749" s="6"/>
      <c r="T749" s="6"/>
      <c r="U749" s="6">
        <f t="shared" si="12"/>
        <v>358611.4</v>
      </c>
    </row>
    <row r="750" spans="2:21" x14ac:dyDescent="0.35">
      <c r="B750" t="s">
        <v>1238</v>
      </c>
      <c r="D750" t="s">
        <v>1206</v>
      </c>
      <c r="E750" t="s">
        <v>1206</v>
      </c>
      <c r="F750">
        <v>80111101</v>
      </c>
      <c r="G750">
        <v>61021317</v>
      </c>
      <c r="H750" s="27">
        <v>64386000</v>
      </c>
      <c r="I750" s="10">
        <v>0</v>
      </c>
      <c r="J750" s="10">
        <v>0</v>
      </c>
      <c r="K750" s="10">
        <v>0</v>
      </c>
      <c r="L750" s="10">
        <v>0</v>
      </c>
      <c r="M750" s="6"/>
      <c r="N750" s="10">
        <v>0</v>
      </c>
      <c r="O750" s="10">
        <v>0</v>
      </c>
      <c r="P750" s="10">
        <v>0</v>
      </c>
      <c r="Q750" s="6"/>
      <c r="R750" s="6"/>
      <c r="S750" s="6"/>
      <c r="T750" s="6"/>
      <c r="U750" s="6">
        <f t="shared" si="12"/>
        <v>0</v>
      </c>
    </row>
    <row r="751" spans="2:21" x14ac:dyDescent="0.35">
      <c r="B751" t="s">
        <v>1238</v>
      </c>
      <c r="D751" t="s">
        <v>1206</v>
      </c>
      <c r="E751" t="s">
        <v>1206</v>
      </c>
      <c r="F751">
        <v>81111101</v>
      </c>
      <c r="G751">
        <v>52121316</v>
      </c>
      <c r="H751" s="27">
        <v>14994000.000000002</v>
      </c>
      <c r="I751" s="10">
        <v>0</v>
      </c>
      <c r="J751" s="10">
        <v>0</v>
      </c>
      <c r="K751" s="10">
        <v>0</v>
      </c>
      <c r="L751" s="10">
        <v>0</v>
      </c>
      <c r="M751" s="6"/>
      <c r="N751" s="10">
        <v>0</v>
      </c>
      <c r="O751" s="10">
        <v>0</v>
      </c>
      <c r="P751" s="10">
        <v>0</v>
      </c>
      <c r="Q751" s="6"/>
      <c r="R751" s="6"/>
      <c r="S751" s="6"/>
      <c r="T751" s="6"/>
      <c r="U751" s="6">
        <f t="shared" si="12"/>
        <v>0</v>
      </c>
    </row>
    <row r="752" spans="2:21" x14ac:dyDescent="0.35">
      <c r="B752" t="s">
        <v>206</v>
      </c>
      <c r="D752" t="s">
        <v>1206</v>
      </c>
      <c r="E752" t="s">
        <v>1206</v>
      </c>
      <c r="F752">
        <v>90111101</v>
      </c>
      <c r="G752">
        <v>52121316</v>
      </c>
      <c r="H752" s="27">
        <v>8820000</v>
      </c>
      <c r="I752" s="10">
        <v>0</v>
      </c>
      <c r="J752" s="10">
        <v>0</v>
      </c>
      <c r="K752" s="10">
        <v>0</v>
      </c>
      <c r="L752" s="10">
        <v>0</v>
      </c>
      <c r="N752" s="10">
        <v>0</v>
      </c>
      <c r="O752" s="10">
        <v>0</v>
      </c>
      <c r="P752" s="10">
        <v>0</v>
      </c>
      <c r="Q752" s="6"/>
      <c r="R752" s="6"/>
      <c r="S752" s="6"/>
      <c r="T752" s="6"/>
      <c r="U752" s="6">
        <f t="shared" si="12"/>
        <v>0</v>
      </c>
    </row>
    <row r="753" spans="2:21" x14ac:dyDescent="0.35">
      <c r="B753" t="s">
        <v>206</v>
      </c>
      <c r="D753" t="s">
        <v>101</v>
      </c>
      <c r="E753" s="2" t="s">
        <v>206</v>
      </c>
      <c r="F753">
        <v>80111101</v>
      </c>
      <c r="G753">
        <v>61021304</v>
      </c>
      <c r="H753" s="27">
        <v>2781476.0399999996</v>
      </c>
      <c r="I753" s="10">
        <v>231789.67</v>
      </c>
      <c r="J753" s="10">
        <v>231789.67</v>
      </c>
      <c r="K753" s="10">
        <v>231789.67</v>
      </c>
      <c r="L753" s="10">
        <v>231789.67</v>
      </c>
      <c r="M753" s="10">
        <v>231789.67</v>
      </c>
      <c r="N753" s="10">
        <v>231789.67</v>
      </c>
      <c r="O753" s="10">
        <v>231789.67</v>
      </c>
      <c r="P753" s="10">
        <v>231789.67</v>
      </c>
      <c r="Q753" s="6">
        <v>231789.67</v>
      </c>
      <c r="R753" s="6">
        <v>231789.67</v>
      </c>
      <c r="S753" s="6">
        <v>231789.67</v>
      </c>
      <c r="T753" s="6">
        <v>231789.67</v>
      </c>
      <c r="U753" s="6">
        <f t="shared" si="12"/>
        <v>2781476.0399999996</v>
      </c>
    </row>
    <row r="754" spans="2:21" x14ac:dyDescent="0.35">
      <c r="B754" t="s">
        <v>206</v>
      </c>
      <c r="D754" t="s">
        <v>101</v>
      </c>
      <c r="E754" s="2" t="s">
        <v>206</v>
      </c>
      <c r="F754">
        <v>81111101</v>
      </c>
      <c r="G754">
        <v>52121304</v>
      </c>
      <c r="H754" s="27">
        <v>3637070.0399999996</v>
      </c>
      <c r="I754" s="10">
        <v>303089.17</v>
      </c>
      <c r="J754" s="10">
        <v>303089.17</v>
      </c>
      <c r="K754" s="10">
        <v>303089.17</v>
      </c>
      <c r="L754" s="10">
        <v>303089.17</v>
      </c>
      <c r="M754" s="10">
        <v>303089.17</v>
      </c>
      <c r="N754" s="10">
        <v>303089.17</v>
      </c>
      <c r="O754" s="10">
        <v>303089.17</v>
      </c>
      <c r="P754" s="10">
        <v>303089.17</v>
      </c>
      <c r="Q754" s="6">
        <v>303089.17</v>
      </c>
      <c r="R754" s="6">
        <v>303089.17</v>
      </c>
      <c r="S754" s="6">
        <v>303089.17</v>
      </c>
      <c r="T754" s="6">
        <v>303089.17</v>
      </c>
      <c r="U754" s="6">
        <f t="shared" si="12"/>
        <v>3637070.0399999996</v>
      </c>
    </row>
    <row r="755" spans="2:21" x14ac:dyDescent="0.35">
      <c r="B755" t="s">
        <v>6</v>
      </c>
      <c r="C755" t="s">
        <v>1286</v>
      </c>
      <c r="D755" t="s">
        <v>101</v>
      </c>
      <c r="E755" s="2" t="s">
        <v>206</v>
      </c>
      <c r="F755">
        <v>90111101</v>
      </c>
      <c r="G755">
        <v>52121304</v>
      </c>
      <c r="H755" s="27">
        <v>38812275.959999993</v>
      </c>
      <c r="I755" s="10">
        <v>3234356.33</v>
      </c>
      <c r="J755" s="10">
        <v>3234356.33</v>
      </c>
      <c r="K755" s="10">
        <v>3234356.33</v>
      </c>
      <c r="L755" s="10">
        <v>4023631.0100000002</v>
      </c>
      <c r="M755" s="10">
        <v>3431675</v>
      </c>
      <c r="N755" s="10">
        <v>3431675</v>
      </c>
      <c r="O755" s="10">
        <v>3431675</v>
      </c>
      <c r="P755" s="10">
        <v>3431675</v>
      </c>
      <c r="Q755" s="6">
        <v>3431675</v>
      </c>
      <c r="R755" s="6">
        <v>3431675</v>
      </c>
      <c r="S755" s="6">
        <v>3431675</v>
      </c>
      <c r="T755" s="6">
        <v>3431675</v>
      </c>
      <c r="U755" s="6">
        <f t="shared" si="12"/>
        <v>41180100</v>
      </c>
    </row>
    <row r="756" spans="2:21" x14ac:dyDescent="0.35">
      <c r="B756" t="s">
        <v>6</v>
      </c>
      <c r="C756" t="s">
        <v>1286</v>
      </c>
      <c r="D756" t="s">
        <v>207</v>
      </c>
      <c r="E756" s="2" t="s">
        <v>208</v>
      </c>
      <c r="F756">
        <v>80349101</v>
      </c>
      <c r="G756" s="39">
        <v>61959994</v>
      </c>
      <c r="H756" s="27">
        <v>3550000</v>
      </c>
      <c r="I756" s="10">
        <v>0</v>
      </c>
      <c r="J756" s="10">
        <v>1490425.02</v>
      </c>
      <c r="K756" s="10">
        <v>101785.71</v>
      </c>
      <c r="L756" s="10">
        <v>401785.71</v>
      </c>
      <c r="M756" s="10">
        <v>0</v>
      </c>
      <c r="N756" s="10">
        <v>0</v>
      </c>
      <c r="O756" s="10">
        <v>641639.29</v>
      </c>
      <c r="P756" s="10">
        <v>0</v>
      </c>
      <c r="Q756" s="6">
        <v>0</v>
      </c>
      <c r="R756" s="6">
        <v>304788.09000000003</v>
      </c>
      <c r="S756" s="6">
        <v>304788.09000000003</v>
      </c>
      <c r="T756" s="6">
        <v>304788.09000000003</v>
      </c>
      <c r="U756" s="6">
        <f t="shared" si="12"/>
        <v>3549999.9999999995</v>
      </c>
    </row>
    <row r="757" spans="2:21" x14ac:dyDescent="0.35">
      <c r="B757" t="s">
        <v>6</v>
      </c>
      <c r="C757" t="s">
        <v>1286</v>
      </c>
      <c r="D757" t="s">
        <v>207</v>
      </c>
      <c r="E757" s="2" t="s">
        <v>1217</v>
      </c>
      <c r="F757" s="39">
        <v>80349101</v>
      </c>
      <c r="G757">
        <v>61959994</v>
      </c>
      <c r="H757" s="27">
        <v>2124814.9900000002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6"/>
      <c r="R757" s="6">
        <v>708271.66333333345</v>
      </c>
      <c r="S757" s="6">
        <v>708271.66333333345</v>
      </c>
      <c r="T757" s="6">
        <v>708271.66333333345</v>
      </c>
      <c r="U757" s="6">
        <f t="shared" si="12"/>
        <v>2124814.9900000002</v>
      </c>
    </row>
    <row r="758" spans="2:21" x14ac:dyDescent="0.35">
      <c r="B758" t="s">
        <v>6</v>
      </c>
      <c r="C758" t="s">
        <v>6</v>
      </c>
      <c r="D758" t="s">
        <v>207</v>
      </c>
      <c r="E758" s="2" t="s">
        <v>209</v>
      </c>
      <c r="F758">
        <v>81349101</v>
      </c>
      <c r="G758">
        <v>52959901</v>
      </c>
      <c r="H758" s="27">
        <v>4000000</v>
      </c>
      <c r="I758" s="10">
        <v>-460808.4</v>
      </c>
      <c r="J758" s="10">
        <v>0</v>
      </c>
      <c r="K758" s="10">
        <v>459022.2</v>
      </c>
      <c r="L758" s="10">
        <v>0</v>
      </c>
      <c r="M758" s="10">
        <v>0</v>
      </c>
      <c r="N758" s="10">
        <v>1606577.7</v>
      </c>
      <c r="O758" s="10">
        <v>0</v>
      </c>
      <c r="P758" s="10">
        <v>0</v>
      </c>
      <c r="Q758" s="6">
        <v>0</v>
      </c>
      <c r="R758" s="6">
        <v>798402.83333333337</v>
      </c>
      <c r="S758" s="6">
        <v>798402.83333333337</v>
      </c>
      <c r="T758" s="6">
        <v>798402.83333333337</v>
      </c>
      <c r="U758" s="6">
        <f t="shared" si="12"/>
        <v>4000000.0000000005</v>
      </c>
    </row>
    <row r="759" spans="2:21" x14ac:dyDescent="0.35">
      <c r="B759" t="s">
        <v>6</v>
      </c>
      <c r="C759" t="s">
        <v>1286</v>
      </c>
      <c r="D759" t="s">
        <v>207</v>
      </c>
      <c r="E759" s="2" t="s">
        <v>209</v>
      </c>
      <c r="F759">
        <v>81221201</v>
      </c>
      <c r="G759" s="2">
        <v>61959999</v>
      </c>
      <c r="H759" s="27">
        <v>500000</v>
      </c>
      <c r="I759" s="10">
        <v>0</v>
      </c>
      <c r="J759" s="10">
        <v>459022.2</v>
      </c>
      <c r="K759" s="10">
        <v>-459022.2</v>
      </c>
      <c r="L759" s="10">
        <v>918044.4</v>
      </c>
      <c r="M759" s="10">
        <v>0</v>
      </c>
      <c r="N759" s="10">
        <v>-918044.39999999991</v>
      </c>
      <c r="O759" s="10">
        <v>0</v>
      </c>
      <c r="P759" s="10">
        <v>0</v>
      </c>
      <c r="Q759" s="6">
        <v>1377066.6</v>
      </c>
      <c r="R759" s="6">
        <v>-292355.53333333338</v>
      </c>
      <c r="S759" s="6">
        <v>-292355.53333333338</v>
      </c>
      <c r="T759" s="6">
        <v>-292355.53333333338</v>
      </c>
      <c r="U759" s="6">
        <f t="shared" si="12"/>
        <v>499999.99999999983</v>
      </c>
    </row>
    <row r="760" spans="2:21" x14ac:dyDescent="0.35">
      <c r="B760" t="s">
        <v>6</v>
      </c>
      <c r="C760" t="s">
        <v>1286</v>
      </c>
      <c r="D760" t="s">
        <v>207</v>
      </c>
      <c r="E760" s="2" t="s">
        <v>210</v>
      </c>
      <c r="F760" s="2">
        <v>81349101</v>
      </c>
      <c r="G760" s="2">
        <v>52959901</v>
      </c>
      <c r="H760" s="27">
        <v>1000000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892857.14</v>
      </c>
      <c r="O760" s="10">
        <v>0</v>
      </c>
      <c r="P760" s="10">
        <v>0</v>
      </c>
      <c r="Q760" s="6">
        <v>0</v>
      </c>
      <c r="R760" s="6">
        <v>35714.28666666666</v>
      </c>
      <c r="S760" s="6">
        <v>35714.28666666666</v>
      </c>
      <c r="T760" s="6">
        <v>35714.28666666666</v>
      </c>
      <c r="U760" s="6">
        <f t="shared" si="12"/>
        <v>999999.99999999988</v>
      </c>
    </row>
    <row r="761" spans="2:21" x14ac:dyDescent="0.35">
      <c r="B761" t="s">
        <v>6</v>
      </c>
      <c r="C761" t="s">
        <v>1286</v>
      </c>
      <c r="D761" t="s">
        <v>207</v>
      </c>
      <c r="E761" s="2" t="s">
        <v>211</v>
      </c>
      <c r="F761" s="2">
        <v>80349101</v>
      </c>
      <c r="G761" s="2">
        <v>61959994</v>
      </c>
      <c r="H761" s="27">
        <v>3000000</v>
      </c>
      <c r="I761" s="10">
        <v>0</v>
      </c>
      <c r="J761" s="10">
        <v>0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6">
        <v>1104522.17</v>
      </c>
      <c r="R761" s="6">
        <v>631825.94333333336</v>
      </c>
      <c r="S761" s="6">
        <v>631825.94333333336</v>
      </c>
      <c r="T761" s="6">
        <v>631825.94333333336</v>
      </c>
      <c r="U761" s="6">
        <f t="shared" si="12"/>
        <v>3000000</v>
      </c>
    </row>
    <row r="762" spans="2:21" x14ac:dyDescent="0.35">
      <c r="B762" t="s">
        <v>6</v>
      </c>
      <c r="C762" t="s">
        <v>1286</v>
      </c>
      <c r="D762" t="s">
        <v>207</v>
      </c>
      <c r="E762" s="2" t="s">
        <v>212</v>
      </c>
      <c r="F762" s="2">
        <v>81349101</v>
      </c>
      <c r="G762">
        <v>52959901</v>
      </c>
      <c r="H762" s="27">
        <v>0</v>
      </c>
      <c r="N762" s="10">
        <v>0</v>
      </c>
      <c r="O762" s="10">
        <v>0</v>
      </c>
      <c r="P762" s="10">
        <v>0</v>
      </c>
      <c r="Q762" s="6">
        <v>0</v>
      </c>
      <c r="R762" s="6">
        <v>0</v>
      </c>
      <c r="S762" s="6">
        <v>0</v>
      </c>
      <c r="T762" s="6">
        <v>0</v>
      </c>
      <c r="U762" s="6">
        <f t="shared" si="12"/>
        <v>0</v>
      </c>
    </row>
    <row r="763" spans="2:21" x14ac:dyDescent="0.35">
      <c r="B763" t="s">
        <v>6</v>
      </c>
      <c r="C763" t="s">
        <v>1286</v>
      </c>
      <c r="D763" t="s">
        <v>207</v>
      </c>
      <c r="E763" s="2" t="s">
        <v>213</v>
      </c>
      <c r="F763">
        <v>81222101</v>
      </c>
      <c r="G763">
        <v>61959994</v>
      </c>
      <c r="H763" s="27">
        <v>3825185.01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1721333.26</v>
      </c>
      <c r="P763" s="10">
        <v>-898918.48</v>
      </c>
      <c r="Q763" s="6">
        <v>956296.25</v>
      </c>
      <c r="R763" s="6">
        <v>682157.99333333329</v>
      </c>
      <c r="S763" s="6">
        <v>682157.99333333329</v>
      </c>
      <c r="T763" s="6">
        <v>682157.99333333329</v>
      </c>
      <c r="U763" s="6">
        <f t="shared" si="12"/>
        <v>3825185.01</v>
      </c>
    </row>
    <row r="764" spans="2:21" x14ac:dyDescent="0.35">
      <c r="B764" t="s">
        <v>6</v>
      </c>
      <c r="C764" t="s">
        <v>7</v>
      </c>
      <c r="D764" t="s">
        <v>207</v>
      </c>
      <c r="E764" s="2" t="s">
        <v>213</v>
      </c>
      <c r="F764">
        <v>81349101</v>
      </c>
      <c r="G764">
        <v>52959901</v>
      </c>
      <c r="H764" s="27">
        <v>0</v>
      </c>
      <c r="I764" s="10">
        <v>0</v>
      </c>
      <c r="J764" s="10">
        <v>0</v>
      </c>
      <c r="K764" s="10">
        <v>0</v>
      </c>
      <c r="L764" s="10">
        <v>0</v>
      </c>
      <c r="M764" s="6">
        <v>0</v>
      </c>
      <c r="N764" s="10">
        <v>898918.48</v>
      </c>
      <c r="O764" s="10">
        <v>-898918.48</v>
      </c>
      <c r="P764" s="10">
        <v>898918.48</v>
      </c>
      <c r="Q764" s="6">
        <v>0</v>
      </c>
      <c r="R764" s="6">
        <v>-299639.49333333335</v>
      </c>
      <c r="S764" s="6">
        <v>-299639.49333333335</v>
      </c>
      <c r="T764" s="6">
        <v>-299639.49333333335</v>
      </c>
      <c r="U764" s="6">
        <f t="shared" si="12"/>
        <v>0</v>
      </c>
    </row>
    <row r="765" spans="2:21" x14ac:dyDescent="0.35">
      <c r="B765" t="s">
        <v>1274</v>
      </c>
      <c r="D765" t="s">
        <v>7</v>
      </c>
      <c r="E765" s="2" t="s">
        <v>1226</v>
      </c>
      <c r="F765">
        <v>80134103</v>
      </c>
      <c r="G765">
        <v>61711101</v>
      </c>
      <c r="H765" s="27">
        <v>7692377.0800000001</v>
      </c>
      <c r="I765" s="10">
        <v>0</v>
      </c>
      <c r="J765" s="10">
        <v>0</v>
      </c>
      <c r="K765" s="10">
        <v>0</v>
      </c>
      <c r="L765" s="10">
        <v>0</v>
      </c>
      <c r="N765" s="10">
        <v>0</v>
      </c>
      <c r="O765" s="10">
        <v>0</v>
      </c>
      <c r="P765" s="10">
        <v>0</v>
      </c>
      <c r="Q765" s="6"/>
      <c r="R765" s="6"/>
      <c r="S765" s="6"/>
      <c r="T765" s="6"/>
      <c r="U765" s="6">
        <f t="shared" si="12"/>
        <v>0</v>
      </c>
    </row>
    <row r="766" spans="2:21" x14ac:dyDescent="0.35">
      <c r="B766" t="s">
        <v>1274</v>
      </c>
      <c r="D766" t="s">
        <v>7</v>
      </c>
      <c r="E766" s="2" t="s">
        <v>6</v>
      </c>
      <c r="F766">
        <v>80124101</v>
      </c>
      <c r="G766">
        <v>61061105</v>
      </c>
      <c r="H766" s="27">
        <v>0</v>
      </c>
      <c r="I766" s="10">
        <v>12000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6">
        <v>0</v>
      </c>
      <c r="R766" s="6">
        <v>0</v>
      </c>
      <c r="S766" s="6">
        <v>0</v>
      </c>
      <c r="T766" s="6">
        <v>0</v>
      </c>
      <c r="U766" s="6">
        <f t="shared" si="12"/>
        <v>12000</v>
      </c>
    </row>
    <row r="767" spans="2:21" x14ac:dyDescent="0.35">
      <c r="B767" t="s">
        <v>1274</v>
      </c>
      <c r="D767" t="s">
        <v>609</v>
      </c>
      <c r="E767" s="2" t="s">
        <v>45</v>
      </c>
      <c r="F767">
        <v>81124101</v>
      </c>
      <c r="G767" s="2">
        <v>52952103</v>
      </c>
      <c r="H767" s="27">
        <v>0</v>
      </c>
      <c r="I767" s="10">
        <v>50994.16</v>
      </c>
      <c r="J767" s="10">
        <v>39684.639999999999</v>
      </c>
      <c r="K767" s="10">
        <v>19223.330000000002</v>
      </c>
      <c r="L767" s="10">
        <v>19223.330000000002</v>
      </c>
      <c r="M767" s="10">
        <v>19223.330000000002</v>
      </c>
      <c r="N767" s="10">
        <v>36187.61</v>
      </c>
      <c r="O767" s="10">
        <v>276068.56</v>
      </c>
      <c r="P767" s="10">
        <v>24878.090000000004</v>
      </c>
      <c r="Q767" s="6">
        <v>213419.72999999998</v>
      </c>
      <c r="R767" s="6">
        <v>50994.16</v>
      </c>
      <c r="S767" s="6">
        <v>50994.16</v>
      </c>
      <c r="T767" s="6">
        <v>50994.16</v>
      </c>
      <c r="U767" s="6">
        <f t="shared" si="12"/>
        <v>851885.26000000013</v>
      </c>
    </row>
    <row r="768" spans="2:21" x14ac:dyDescent="0.35">
      <c r="B768" t="s">
        <v>1274</v>
      </c>
      <c r="D768" t="s">
        <v>612</v>
      </c>
      <c r="E768" s="2" t="s">
        <v>214</v>
      </c>
      <c r="F768" s="2">
        <v>81124101</v>
      </c>
      <c r="G768" s="2">
        <v>52952103</v>
      </c>
      <c r="H768" s="27">
        <v>0</v>
      </c>
      <c r="J768" s="10">
        <v>8852.61</v>
      </c>
      <c r="K768" s="10">
        <v>12201.68</v>
      </c>
      <c r="L768" s="10">
        <v>11939.24</v>
      </c>
      <c r="M768" s="10">
        <v>12573.43</v>
      </c>
      <c r="N768" s="10">
        <v>12769.73</v>
      </c>
      <c r="O768" s="10">
        <v>10948.15</v>
      </c>
      <c r="P768" s="10">
        <v>9805.7099999999991</v>
      </c>
      <c r="Q768" s="6">
        <v>9136.16</v>
      </c>
      <c r="R768" s="6">
        <v>10948.15</v>
      </c>
      <c r="S768" s="6">
        <v>10948.15</v>
      </c>
      <c r="T768" s="6">
        <v>10948.15</v>
      </c>
      <c r="U768" s="6">
        <f t="shared" si="12"/>
        <v>121071.15999999997</v>
      </c>
    </row>
    <row r="769" spans="1:21" x14ac:dyDescent="0.35">
      <c r="B769" t="s">
        <v>1274</v>
      </c>
      <c r="D769" t="s">
        <v>609</v>
      </c>
      <c r="E769" s="2" t="s">
        <v>215</v>
      </c>
      <c r="F769" s="2">
        <v>80124101</v>
      </c>
      <c r="G769" s="2">
        <v>61061105</v>
      </c>
      <c r="H769" s="27">
        <v>0</v>
      </c>
      <c r="J769" s="10">
        <v>62500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6">
        <v>0</v>
      </c>
      <c r="R769" s="6">
        <v>0</v>
      </c>
      <c r="S769" s="6">
        <v>0</v>
      </c>
      <c r="T769" s="6">
        <v>0</v>
      </c>
      <c r="U769" s="6">
        <f t="shared" si="12"/>
        <v>62500</v>
      </c>
    </row>
    <row r="770" spans="1:21" x14ac:dyDescent="0.35">
      <c r="B770" t="s">
        <v>1274</v>
      </c>
      <c r="D770" t="s">
        <v>612</v>
      </c>
      <c r="E770" s="2" t="s">
        <v>216</v>
      </c>
      <c r="F770" s="2">
        <v>80124101</v>
      </c>
      <c r="G770" s="2">
        <v>61711102</v>
      </c>
      <c r="H770" s="27">
        <v>0</v>
      </c>
      <c r="L770" s="10">
        <v>19975.97</v>
      </c>
      <c r="M770" s="6">
        <v>0</v>
      </c>
      <c r="N770" s="10">
        <v>0</v>
      </c>
      <c r="O770" s="10">
        <v>0</v>
      </c>
      <c r="P770" s="10">
        <v>0</v>
      </c>
      <c r="Q770" s="6">
        <v>0</v>
      </c>
      <c r="R770" s="6"/>
      <c r="S770" s="6"/>
      <c r="T770" s="6"/>
      <c r="U770" s="6">
        <f t="shared" si="12"/>
        <v>19975.97</v>
      </c>
    </row>
    <row r="771" spans="1:21" x14ac:dyDescent="0.35">
      <c r="B771" t="s">
        <v>1274</v>
      </c>
      <c r="D771" t="s">
        <v>612</v>
      </c>
      <c r="E771" s="2" t="s">
        <v>217</v>
      </c>
      <c r="F771" s="2">
        <v>81124101</v>
      </c>
      <c r="G771" s="2">
        <v>52952103</v>
      </c>
      <c r="H771" s="27">
        <v>0</v>
      </c>
      <c r="L771" s="10">
        <v>38839.29</v>
      </c>
      <c r="M771" s="6"/>
      <c r="N771" s="10">
        <v>0</v>
      </c>
      <c r="O771" s="10">
        <v>0</v>
      </c>
      <c r="P771" s="10">
        <v>0</v>
      </c>
      <c r="Q771" s="6">
        <v>0</v>
      </c>
      <c r="R771" s="6"/>
      <c r="S771" s="6"/>
      <c r="T771" s="6"/>
      <c r="U771" s="6">
        <f t="shared" si="12"/>
        <v>38839.29</v>
      </c>
    </row>
    <row r="772" spans="1:21" s="10" customFormat="1" x14ac:dyDescent="0.35">
      <c r="A772"/>
      <c r="B772" t="s">
        <v>1130</v>
      </c>
      <c r="C772"/>
      <c r="D772" t="s">
        <v>612</v>
      </c>
      <c r="E772" s="2" t="s">
        <v>1231</v>
      </c>
      <c r="F772" s="2">
        <v>80124101</v>
      </c>
      <c r="G772" s="2">
        <v>61711102</v>
      </c>
      <c r="H772" s="27">
        <v>0</v>
      </c>
      <c r="O772" s="10">
        <v>502.23</v>
      </c>
      <c r="P772" s="10">
        <v>596.15</v>
      </c>
      <c r="Q772" s="6">
        <v>595.76</v>
      </c>
      <c r="R772" s="6">
        <v>595.76</v>
      </c>
      <c r="S772" s="6">
        <v>595.76</v>
      </c>
      <c r="T772" s="6">
        <v>595.76</v>
      </c>
      <c r="U772" s="6">
        <f t="shared" si="12"/>
        <v>3481.42</v>
      </c>
    </row>
    <row r="773" spans="1:21" x14ac:dyDescent="0.35">
      <c r="B773" t="s">
        <v>1130</v>
      </c>
      <c r="D773" t="s">
        <v>1263</v>
      </c>
      <c r="E773" t="s">
        <v>1263</v>
      </c>
      <c r="F773" s="2">
        <v>81123102</v>
      </c>
      <c r="G773" s="2">
        <v>61961302</v>
      </c>
      <c r="H773" s="27">
        <v>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6">
        <v>0</v>
      </c>
      <c r="R773" s="6">
        <v>0</v>
      </c>
      <c r="S773" s="6">
        <v>0</v>
      </c>
      <c r="T773" s="6">
        <v>0</v>
      </c>
      <c r="U773" s="6">
        <f t="shared" ref="U773:U800" si="13">SUM(I773:T773)</f>
        <v>0</v>
      </c>
    </row>
    <row r="774" spans="1:21" x14ac:dyDescent="0.35">
      <c r="B774" t="s">
        <v>1130</v>
      </c>
      <c r="D774" t="s">
        <v>1130</v>
      </c>
      <c r="E774" t="s">
        <v>1233</v>
      </c>
      <c r="F774" s="2">
        <v>81123102</v>
      </c>
      <c r="G774" s="2">
        <v>52041502</v>
      </c>
      <c r="H774" s="27">
        <v>0</v>
      </c>
      <c r="I774" s="10">
        <v>0</v>
      </c>
      <c r="J774" s="10">
        <v>-400000</v>
      </c>
      <c r="K774" s="10">
        <v>0</v>
      </c>
      <c r="L774" s="10">
        <v>-416071.43</v>
      </c>
      <c r="M774" s="10">
        <v>0</v>
      </c>
      <c r="N774" s="10">
        <v>0</v>
      </c>
      <c r="O774" s="10">
        <v>-319642.86</v>
      </c>
      <c r="P774" s="10">
        <v>0</v>
      </c>
      <c r="Q774" s="6"/>
      <c r="R774" s="6"/>
      <c r="S774" s="6"/>
      <c r="T774" s="6"/>
      <c r="U774" s="6">
        <f t="shared" si="13"/>
        <v>-1135714.29</v>
      </c>
    </row>
    <row r="775" spans="1:21" x14ac:dyDescent="0.35">
      <c r="B775" t="s">
        <v>6</v>
      </c>
      <c r="C775" t="s">
        <v>6</v>
      </c>
      <c r="D775" t="s">
        <v>1130</v>
      </c>
      <c r="E775" t="s">
        <v>1233</v>
      </c>
      <c r="F775" s="2">
        <v>80123102</v>
      </c>
      <c r="G775" s="4">
        <v>61961302</v>
      </c>
      <c r="H775" s="27">
        <v>0</v>
      </c>
      <c r="M775" s="10">
        <v>-685714.29</v>
      </c>
      <c r="N775" s="10">
        <v>0</v>
      </c>
      <c r="O775" s="10">
        <v>0</v>
      </c>
      <c r="P775" s="10">
        <v>0</v>
      </c>
      <c r="U775" s="6">
        <f t="shared" si="13"/>
        <v>-685714.29</v>
      </c>
    </row>
    <row r="776" spans="1:21" x14ac:dyDescent="0.35">
      <c r="B776" t="s">
        <v>1238</v>
      </c>
      <c r="C776">
        <v>0</v>
      </c>
      <c r="D776" t="s">
        <v>218</v>
      </c>
      <c r="E776" s="2" t="s">
        <v>219</v>
      </c>
      <c r="F776" s="4">
        <v>81111101</v>
      </c>
      <c r="G776" s="2">
        <v>61959202</v>
      </c>
      <c r="H776" s="27">
        <v>0</v>
      </c>
      <c r="L776" s="10">
        <v>400499.99</v>
      </c>
      <c r="M776" s="10">
        <v>-400499.99</v>
      </c>
      <c r="N776" s="10">
        <v>0</v>
      </c>
      <c r="O776" s="10">
        <v>0</v>
      </c>
      <c r="P776" s="10">
        <v>0</v>
      </c>
      <c r="Q776" s="10">
        <v>0</v>
      </c>
      <c r="U776" s="6">
        <f t="shared" si="13"/>
        <v>0</v>
      </c>
    </row>
    <row r="777" spans="1:21" x14ac:dyDescent="0.35">
      <c r="B777" t="s">
        <v>1274</v>
      </c>
      <c r="C777">
        <v>0</v>
      </c>
      <c r="D777" t="s">
        <v>184</v>
      </c>
      <c r="E777" s="2" t="s">
        <v>186</v>
      </c>
      <c r="F777" s="2">
        <v>80111101</v>
      </c>
      <c r="G777" s="2">
        <v>61021317</v>
      </c>
      <c r="H777" s="27">
        <v>0</v>
      </c>
      <c r="I777" s="10">
        <v>0</v>
      </c>
      <c r="J777" s="10">
        <v>0</v>
      </c>
      <c r="K777" s="10">
        <v>0</v>
      </c>
      <c r="L777" s="10">
        <v>-107895.83</v>
      </c>
      <c r="N777" s="10">
        <v>0</v>
      </c>
      <c r="O777" s="10">
        <v>0</v>
      </c>
      <c r="P777" s="10">
        <v>0</v>
      </c>
      <c r="U777" s="6">
        <f t="shared" si="13"/>
        <v>-107895.83</v>
      </c>
    </row>
    <row r="778" spans="1:21" x14ac:dyDescent="0.35">
      <c r="B778" t="s">
        <v>1274</v>
      </c>
      <c r="C778">
        <v>0</v>
      </c>
      <c r="D778" t="s">
        <v>1256</v>
      </c>
      <c r="E778" t="s">
        <v>1239</v>
      </c>
      <c r="F778" s="2">
        <v>80124101</v>
      </c>
      <c r="G778">
        <v>61711102</v>
      </c>
      <c r="H778" s="27">
        <v>0</v>
      </c>
      <c r="P778" s="10">
        <v>6540.28</v>
      </c>
      <c r="Q778" s="10">
        <v>6540.28</v>
      </c>
      <c r="R778" s="10">
        <v>6540.28</v>
      </c>
      <c r="S778" s="10">
        <v>6540.28</v>
      </c>
      <c r="T778" s="10">
        <v>6540.28</v>
      </c>
      <c r="U778" s="6">
        <f t="shared" si="13"/>
        <v>32701.399999999998</v>
      </c>
    </row>
    <row r="779" spans="1:21" x14ac:dyDescent="0.35">
      <c r="D779" t="s">
        <v>609</v>
      </c>
      <c r="E779" t="s">
        <v>1240</v>
      </c>
      <c r="F779">
        <v>80124101</v>
      </c>
      <c r="G779" s="2">
        <v>61711102</v>
      </c>
      <c r="H779" s="27">
        <v>0</v>
      </c>
      <c r="P779" s="10">
        <v>7815.5</v>
      </c>
      <c r="Q779" s="10">
        <v>7815.5</v>
      </c>
      <c r="R779" s="10">
        <v>7815.5</v>
      </c>
      <c r="S779" s="10">
        <v>7815.5</v>
      </c>
      <c r="T779" s="10">
        <v>7815.5</v>
      </c>
      <c r="U779" s="6">
        <f t="shared" si="13"/>
        <v>39077.5</v>
      </c>
    </row>
    <row r="780" spans="1:21" x14ac:dyDescent="0.35">
      <c r="D780" t="s">
        <v>612</v>
      </c>
      <c r="E780" s="2" t="s">
        <v>695</v>
      </c>
      <c r="F780">
        <v>81124101</v>
      </c>
      <c r="G780">
        <v>52952103</v>
      </c>
      <c r="H780" s="27">
        <v>0</v>
      </c>
      <c r="Q780" s="10">
        <v>9678.57</v>
      </c>
      <c r="U780" s="6">
        <f t="shared" si="13"/>
        <v>9678.57</v>
      </c>
    </row>
    <row r="781" spans="1:21" x14ac:dyDescent="0.35">
      <c r="D781" t="s">
        <v>1288</v>
      </c>
      <c r="E781" s="2" t="s">
        <v>1289</v>
      </c>
      <c r="F781" s="2">
        <v>81124101</v>
      </c>
      <c r="G781">
        <v>52952103</v>
      </c>
      <c r="H781" s="27">
        <v>0</v>
      </c>
      <c r="Q781" s="10">
        <v>44642.86</v>
      </c>
      <c r="R781" s="10">
        <v>44642.86</v>
      </c>
      <c r="S781" s="10">
        <v>44642.86</v>
      </c>
      <c r="T781" s="10">
        <v>44642.86</v>
      </c>
      <c r="U781" s="6">
        <f t="shared" si="13"/>
        <v>178571.44</v>
      </c>
    </row>
    <row r="782" spans="1:21" x14ac:dyDescent="0.35">
      <c r="D782" t="s">
        <v>612</v>
      </c>
      <c r="E782" s="2" t="s">
        <v>66</v>
      </c>
      <c r="F782">
        <v>80123101</v>
      </c>
      <c r="G782">
        <v>61711102</v>
      </c>
      <c r="H782" s="27">
        <v>0</v>
      </c>
      <c r="Q782" s="10">
        <v>2333.3000000000002</v>
      </c>
      <c r="U782" s="6">
        <f t="shared" si="13"/>
        <v>2333.3000000000002</v>
      </c>
    </row>
    <row r="783" spans="1:21" x14ac:dyDescent="0.35">
      <c r="C783" s="2"/>
      <c r="D783" t="s">
        <v>609</v>
      </c>
      <c r="E783" t="s">
        <v>602</v>
      </c>
      <c r="F783">
        <v>81124101</v>
      </c>
      <c r="G783">
        <v>52952103</v>
      </c>
      <c r="H783" s="27">
        <v>0</v>
      </c>
      <c r="Q783" s="10">
        <v>67857.14</v>
      </c>
      <c r="U783" s="6">
        <f t="shared" si="13"/>
        <v>67857.14</v>
      </c>
    </row>
    <row r="784" spans="1:21" x14ac:dyDescent="0.35">
      <c r="C784" s="2"/>
      <c r="D784" t="s">
        <v>609</v>
      </c>
      <c r="E784" t="s">
        <v>599</v>
      </c>
      <c r="F784">
        <v>81124101</v>
      </c>
      <c r="G784">
        <v>52952103</v>
      </c>
      <c r="H784" s="27">
        <v>0</v>
      </c>
      <c r="Q784" s="10">
        <v>247544.62000000005</v>
      </c>
      <c r="R784" s="10">
        <v>25669.64</v>
      </c>
      <c r="S784" s="10">
        <v>25669.64</v>
      </c>
      <c r="T784" s="10">
        <v>25669.64</v>
      </c>
      <c r="U784" s="6">
        <f t="shared" si="13"/>
        <v>324553.5400000001</v>
      </c>
    </row>
    <row r="785" spans="3:21" x14ac:dyDescent="0.35">
      <c r="C785" s="2"/>
      <c r="D785" t="s">
        <v>609</v>
      </c>
      <c r="E785" t="s">
        <v>44</v>
      </c>
      <c r="F785">
        <v>81124101</v>
      </c>
      <c r="G785">
        <v>52952103</v>
      </c>
      <c r="H785" s="27">
        <v>0</v>
      </c>
      <c r="Q785" s="10">
        <v>99739.569999999992</v>
      </c>
      <c r="R785" s="10">
        <v>14248.51</v>
      </c>
      <c r="S785" s="10">
        <v>14248.51</v>
      </c>
      <c r="T785" s="10">
        <v>14248.51</v>
      </c>
      <c r="U785" s="6">
        <f t="shared" si="13"/>
        <v>142485.09999999998</v>
      </c>
    </row>
    <row r="786" spans="3:21" x14ac:dyDescent="0.35">
      <c r="C786" s="2"/>
      <c r="D786" t="s">
        <v>148</v>
      </c>
      <c r="E786" t="s">
        <v>1290</v>
      </c>
      <c r="F786">
        <v>81111101</v>
      </c>
      <c r="G786">
        <v>52551201</v>
      </c>
      <c r="H786" s="27">
        <v>10000000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4067187.5</v>
      </c>
      <c r="O786" s="10">
        <v>0</v>
      </c>
      <c r="P786" s="10">
        <v>0</v>
      </c>
      <c r="Q786" s="10">
        <v>0</v>
      </c>
      <c r="U786" s="6">
        <f t="shared" si="13"/>
        <v>4067187.5</v>
      </c>
    </row>
    <row r="787" spans="3:21" x14ac:dyDescent="0.35">
      <c r="D787" t="s">
        <v>148</v>
      </c>
      <c r="E787" t="s">
        <v>1291</v>
      </c>
      <c r="F787">
        <v>81111101</v>
      </c>
      <c r="G787">
        <v>52551201</v>
      </c>
      <c r="H787" s="27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3125</v>
      </c>
      <c r="P787" s="10">
        <v>0</v>
      </c>
      <c r="Q787" s="10">
        <v>334796</v>
      </c>
      <c r="U787" s="6">
        <f t="shared" si="13"/>
        <v>337921</v>
      </c>
    </row>
    <row r="788" spans="3:21" x14ac:dyDescent="0.35">
      <c r="D788" t="s">
        <v>148</v>
      </c>
      <c r="E788" t="s">
        <v>1292</v>
      </c>
      <c r="F788">
        <v>81111101</v>
      </c>
      <c r="G788">
        <v>52551201</v>
      </c>
      <c r="H788" s="27">
        <v>0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769783.71</v>
      </c>
      <c r="P788" s="12">
        <v>0</v>
      </c>
      <c r="Q788" s="10">
        <v>0</v>
      </c>
      <c r="U788" s="6">
        <f t="shared" si="13"/>
        <v>769783.71</v>
      </c>
    </row>
    <row r="789" spans="3:21" x14ac:dyDescent="0.35">
      <c r="D789" t="s">
        <v>148</v>
      </c>
      <c r="E789" t="s">
        <v>1293</v>
      </c>
      <c r="F789">
        <v>81111101</v>
      </c>
      <c r="G789">
        <v>52551201</v>
      </c>
      <c r="H789" s="27">
        <v>0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500000</v>
      </c>
      <c r="P789" s="10">
        <v>0</v>
      </c>
      <c r="Q789" s="10">
        <v>0</v>
      </c>
      <c r="U789" s="6">
        <f t="shared" si="13"/>
        <v>500000</v>
      </c>
    </row>
    <row r="790" spans="3:21" x14ac:dyDescent="0.35">
      <c r="D790" t="s">
        <v>148</v>
      </c>
      <c r="E790" s="2" t="s">
        <v>1294</v>
      </c>
      <c r="F790">
        <v>80134103</v>
      </c>
      <c r="G790">
        <v>52551201</v>
      </c>
      <c r="H790" s="27">
        <v>0</v>
      </c>
      <c r="I790" s="10">
        <v>0</v>
      </c>
      <c r="J790" s="10">
        <v>1241001.5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U790" s="6">
        <f t="shared" si="13"/>
        <v>1241001.5</v>
      </c>
    </row>
    <row r="791" spans="3:21" x14ac:dyDescent="0.35">
      <c r="D791" t="s">
        <v>148</v>
      </c>
      <c r="E791" s="2" t="s">
        <v>1295</v>
      </c>
      <c r="F791">
        <v>80134103</v>
      </c>
      <c r="G791">
        <v>52551201</v>
      </c>
      <c r="H791" s="27">
        <v>0</v>
      </c>
      <c r="I791" s="10">
        <v>0</v>
      </c>
      <c r="J791" s="10">
        <v>0</v>
      </c>
      <c r="K791" s="10">
        <v>375000</v>
      </c>
      <c r="L791" s="10">
        <v>187500</v>
      </c>
      <c r="M791" s="10">
        <v>187500</v>
      </c>
      <c r="N791" s="10">
        <v>0</v>
      </c>
      <c r="O791" s="10">
        <v>0</v>
      </c>
      <c r="P791" s="10">
        <v>0</v>
      </c>
      <c r="Q791" s="10">
        <v>0</v>
      </c>
      <c r="U791" s="6">
        <f t="shared" si="13"/>
        <v>750000</v>
      </c>
    </row>
    <row r="792" spans="3:21" x14ac:dyDescent="0.35">
      <c r="D792" t="s">
        <v>144</v>
      </c>
      <c r="E792" s="2" t="s">
        <v>1296</v>
      </c>
      <c r="F792">
        <v>80134103</v>
      </c>
      <c r="G792">
        <v>52551201</v>
      </c>
      <c r="H792" s="27">
        <v>0</v>
      </c>
      <c r="I792" s="10">
        <v>0</v>
      </c>
      <c r="J792" s="10">
        <v>0</v>
      </c>
      <c r="K792" s="10">
        <v>50000</v>
      </c>
      <c r="L792" s="10">
        <v>50000</v>
      </c>
      <c r="M792" s="10">
        <v>50000</v>
      </c>
      <c r="N792" s="10">
        <v>50000</v>
      </c>
      <c r="O792" s="10">
        <v>50000</v>
      </c>
      <c r="P792" s="10">
        <v>0</v>
      </c>
      <c r="Q792" s="10">
        <v>50000</v>
      </c>
      <c r="U792" s="6">
        <f t="shared" si="13"/>
        <v>300000</v>
      </c>
    </row>
    <row r="793" spans="3:21" x14ac:dyDescent="0.35">
      <c r="D793" t="s">
        <v>148</v>
      </c>
      <c r="E793" s="2" t="s">
        <v>1297</v>
      </c>
      <c r="F793">
        <v>80134103</v>
      </c>
      <c r="G793">
        <v>52551201</v>
      </c>
      <c r="H793" s="27">
        <v>0</v>
      </c>
      <c r="I793" s="10">
        <v>0</v>
      </c>
      <c r="J793" s="10">
        <v>0</v>
      </c>
      <c r="K793" s="10">
        <v>1011225</v>
      </c>
      <c r="L793" s="10">
        <v>674150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U793" s="6">
        <f t="shared" si="13"/>
        <v>1685375</v>
      </c>
    </row>
    <row r="794" spans="3:21" x14ac:dyDescent="0.35">
      <c r="D794" t="s">
        <v>148</v>
      </c>
      <c r="E794" t="s">
        <v>1298</v>
      </c>
      <c r="F794">
        <v>80134103</v>
      </c>
      <c r="G794">
        <v>52551201</v>
      </c>
      <c r="H794" s="27">
        <v>0</v>
      </c>
      <c r="I794" s="10">
        <v>0</v>
      </c>
      <c r="J794" s="10">
        <v>0</v>
      </c>
      <c r="K794" s="10">
        <v>0</v>
      </c>
      <c r="L794" s="10">
        <v>0</v>
      </c>
      <c r="M794" s="10">
        <v>56623.210000000006</v>
      </c>
      <c r="N794" s="10">
        <v>0</v>
      </c>
      <c r="O794" s="10">
        <v>0</v>
      </c>
      <c r="P794" s="10">
        <v>0</v>
      </c>
      <c r="Q794" s="10">
        <v>74731.740000000005</v>
      </c>
      <c r="U794" s="6">
        <f t="shared" si="13"/>
        <v>131354.95000000001</v>
      </c>
    </row>
    <row r="795" spans="3:21" x14ac:dyDescent="0.35">
      <c r="D795" t="s">
        <v>148</v>
      </c>
      <c r="E795" s="2" t="s">
        <v>155</v>
      </c>
      <c r="F795">
        <v>80134103</v>
      </c>
      <c r="G795">
        <v>52551201</v>
      </c>
      <c r="H795" s="27">
        <v>0</v>
      </c>
      <c r="I795" s="10">
        <v>0</v>
      </c>
      <c r="J795" s="10">
        <v>0</v>
      </c>
      <c r="K795" s="10">
        <v>43750</v>
      </c>
      <c r="L795" s="10">
        <v>127544.64</v>
      </c>
      <c r="M795" s="10">
        <v>0</v>
      </c>
      <c r="N795" s="10">
        <v>0</v>
      </c>
      <c r="O795" s="10">
        <v>8749.380000000001</v>
      </c>
      <c r="P795" s="10">
        <v>0</v>
      </c>
      <c r="Q795" s="10">
        <v>0</v>
      </c>
      <c r="U795" s="6">
        <f t="shared" si="13"/>
        <v>180044.02000000002</v>
      </c>
    </row>
    <row r="796" spans="3:21" x14ac:dyDescent="0.35">
      <c r="D796" t="s">
        <v>148</v>
      </c>
      <c r="E796" s="2" t="s">
        <v>953</v>
      </c>
      <c r="F796">
        <v>80134103</v>
      </c>
      <c r="G796">
        <v>52551201</v>
      </c>
      <c r="H796" s="27">
        <v>0</v>
      </c>
      <c r="I796" s="10">
        <v>0</v>
      </c>
      <c r="J796" s="10">
        <v>0</v>
      </c>
      <c r="K796" s="10">
        <v>87500</v>
      </c>
      <c r="L796" s="10">
        <v>140000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U796" s="6">
        <f t="shared" si="13"/>
        <v>227500</v>
      </c>
    </row>
    <row r="797" spans="3:21" x14ac:dyDescent="0.35">
      <c r="D797" t="s">
        <v>148</v>
      </c>
      <c r="E797" s="2" t="s">
        <v>1291</v>
      </c>
      <c r="F797">
        <v>80134103</v>
      </c>
      <c r="G797">
        <v>52551201</v>
      </c>
      <c r="H797" s="27">
        <v>0</v>
      </c>
      <c r="I797" s="10">
        <v>0</v>
      </c>
      <c r="J797" s="10">
        <v>0</v>
      </c>
      <c r="K797" s="10">
        <v>0</v>
      </c>
      <c r="L797" s="10">
        <v>0</v>
      </c>
      <c r="M797" s="10">
        <v>75000</v>
      </c>
      <c r="N797" s="10">
        <v>75000</v>
      </c>
      <c r="O797" s="10">
        <v>0</v>
      </c>
      <c r="P797" s="10">
        <v>3403</v>
      </c>
      <c r="Q797" s="10">
        <v>0</v>
      </c>
      <c r="U797" s="6">
        <f t="shared" si="13"/>
        <v>153403</v>
      </c>
    </row>
    <row r="798" spans="3:21" x14ac:dyDescent="0.35">
      <c r="D798" t="s">
        <v>148</v>
      </c>
      <c r="E798" s="2" t="s">
        <v>1299</v>
      </c>
      <c r="F798">
        <v>80134103</v>
      </c>
      <c r="G798">
        <v>52551201</v>
      </c>
      <c r="H798" s="27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75000</v>
      </c>
      <c r="N798" s="10">
        <v>0</v>
      </c>
      <c r="O798" s="10">
        <v>0</v>
      </c>
      <c r="P798" s="10">
        <v>0</v>
      </c>
      <c r="Q798" s="10">
        <v>0</v>
      </c>
      <c r="U798" s="6">
        <f t="shared" si="13"/>
        <v>75000</v>
      </c>
    </row>
    <row r="799" spans="3:21" x14ac:dyDescent="0.35">
      <c r="D799" t="s">
        <v>148</v>
      </c>
      <c r="E799" s="2" t="s">
        <v>1292</v>
      </c>
      <c r="F799">
        <v>80134103</v>
      </c>
      <c r="G799">
        <v>52551201</v>
      </c>
      <c r="H799" s="27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38000</v>
      </c>
      <c r="O799" s="10">
        <v>0</v>
      </c>
      <c r="P799" s="10">
        <v>0</v>
      </c>
      <c r="Q799" s="10">
        <v>0</v>
      </c>
      <c r="U799" s="6">
        <f t="shared" si="13"/>
        <v>38000</v>
      </c>
    </row>
    <row r="800" spans="3:21" x14ac:dyDescent="0.35">
      <c r="D800" t="s">
        <v>148</v>
      </c>
      <c r="E800" s="2" t="s">
        <v>1300</v>
      </c>
      <c r="F800">
        <v>80134103</v>
      </c>
      <c r="G800">
        <v>52551201</v>
      </c>
      <c r="H800" s="27">
        <v>0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68580.740000000005</v>
      </c>
      <c r="Q800" s="10">
        <v>0</v>
      </c>
      <c r="U800" s="6">
        <f t="shared" si="13"/>
        <v>68580.740000000005</v>
      </c>
    </row>
  </sheetData>
  <autoFilter ref="A3:CI800" xr:uid="{4D688A73-D08D-4DCA-85D0-51A1B7CE6DE1}"/>
  <conditionalFormatting sqref="F763:F764">
    <cfRule type="duplicateValues" dxfId="5" priority="1"/>
    <cfRule type="duplicateValues" dxfId="4" priority="2"/>
  </conditionalFormatting>
  <conditionalFormatting sqref="G762:G763">
    <cfRule type="duplicateValues" dxfId="3" priority="9"/>
    <cfRule type="duplicateValues" dxfId="2" priority="10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E75D-101B-4231-B00F-42F820D91112}">
  <sheetPr filterMode="1">
    <tabColor theme="8" tint="0.39997558519241921"/>
  </sheetPr>
  <dimension ref="A1:CK791"/>
  <sheetViews>
    <sheetView zoomScale="60" zoomScaleNormal="60" workbookViewId="0">
      <pane xSplit="1" ySplit="3" topLeftCell="AN317" activePane="bottomRight" state="frozen"/>
      <selection pane="topRight" activeCell="B1" sqref="B1"/>
      <selection pane="bottomLeft" activeCell="A3" sqref="A3"/>
      <selection pane="bottomRight" activeCell="BD774" sqref="BD774"/>
    </sheetView>
  </sheetViews>
  <sheetFormatPr defaultColWidth="10.08984375" defaultRowHeight="14.5" outlineLevelCol="2" x14ac:dyDescent="0.35"/>
  <cols>
    <col min="1" max="1" width="45.90625" style="3" customWidth="1"/>
    <col min="2" max="2" width="14.453125" style="10" hidden="1" customWidth="1" outlineLevel="1"/>
    <col min="3" max="3" width="14.7265625" style="10" hidden="1" customWidth="1" outlineLevel="1"/>
    <col min="4" max="4" width="14.54296875" style="10" hidden="1" customWidth="1" outlineLevel="1"/>
    <col min="5" max="5" width="15.7265625" style="10" hidden="1" customWidth="1" outlineLevel="1"/>
    <col min="6" max="12" width="14.54296875" style="10" hidden="1" customWidth="1" outlineLevel="1"/>
    <col min="13" max="13" width="15.36328125" style="10" hidden="1" customWidth="1" outlineLevel="1"/>
    <col min="14" max="14" width="17.08984375" style="27" bestFit="1" customWidth="1" collapsed="1"/>
    <col min="15" max="15" width="14.453125" style="10" hidden="1" customWidth="1" outlineLevel="1"/>
    <col min="16" max="26" width="11.90625" style="10" hidden="1" customWidth="1" outlineLevel="1"/>
    <col min="27" max="27" width="15.90625" style="27" bestFit="1" customWidth="1" collapsed="1"/>
    <col min="28" max="30" width="14.36328125" style="10" hidden="1" customWidth="1" outlineLevel="1"/>
    <col min="31" max="31" width="15.36328125" style="10" hidden="1" customWidth="1" outlineLevel="1"/>
    <col min="32" max="38" width="14.36328125" style="10" hidden="1" customWidth="1" outlineLevel="1"/>
    <col min="39" max="39" width="13.6328125" style="10" hidden="1" customWidth="1" outlineLevel="1"/>
    <col min="40" max="40" width="17.26953125" style="27" customWidth="1" collapsed="1"/>
    <col min="41" max="41" width="17.26953125" style="28" hidden="1" customWidth="1" outlineLevel="2"/>
    <col min="42" max="42" width="21.1796875" hidden="1" customWidth="1" outlineLevel="2"/>
    <col min="43" max="43" width="15.81640625" hidden="1" customWidth="1" outlineLevel="2"/>
    <col min="44" max="44" width="30.453125" hidden="1" customWidth="1" outlineLevel="2"/>
    <col min="45" max="45" width="14.36328125" customWidth="1" outlineLevel="1" collapsed="1"/>
    <col min="46" max="46" width="19.54296875" customWidth="1" outlineLevel="1"/>
    <col min="47" max="49" width="18.08984375" customWidth="1" outlineLevel="1"/>
    <col min="50" max="50" width="14.1796875" customWidth="1"/>
    <col min="51" max="51" width="22.7265625" customWidth="1"/>
    <col min="52" max="52" width="24" hidden="1" customWidth="1"/>
    <col min="53" max="53" width="27.1796875" hidden="1" customWidth="1"/>
    <col min="54" max="54" width="2.36328125" customWidth="1"/>
    <col min="55" max="55" width="17.26953125" hidden="1" customWidth="1"/>
    <col min="56" max="57" width="16.453125" customWidth="1"/>
    <col min="58" max="58" width="29.1796875" customWidth="1"/>
    <col min="59" max="59" width="29.453125" customWidth="1"/>
    <col min="60" max="60" width="16.7265625" style="10" customWidth="1" outlineLevel="1"/>
    <col min="61" max="64" width="16.1796875" style="10" customWidth="1" outlineLevel="1"/>
    <col min="65" max="71" width="16.1796875" style="10" customWidth="1"/>
    <col min="72" max="72" width="15.7265625" style="10" bestFit="1" customWidth="1"/>
    <col min="73" max="73" width="2.90625" customWidth="1"/>
    <col min="74" max="76" width="14.36328125" hidden="1" customWidth="1" outlineLevel="1"/>
    <col min="77" max="77" width="16.453125" hidden="1" customWidth="1" outlineLevel="1"/>
    <col min="78" max="84" width="14.36328125" hidden="1" customWidth="1" outlineLevel="1"/>
    <col min="85" max="85" width="16.453125" hidden="1" customWidth="1" outlineLevel="1"/>
    <col min="86" max="86" width="21.6328125" bestFit="1" customWidth="1" collapsed="1"/>
    <col min="87" max="87" width="64.1796875" customWidth="1"/>
    <col min="88" max="88" width="12.81640625" bestFit="1" customWidth="1"/>
    <col min="89" max="89" width="12.54296875" bestFit="1" customWidth="1"/>
  </cols>
  <sheetData>
    <row r="1" spans="1:87" x14ac:dyDescent="0.35">
      <c r="A1" s="9" t="s">
        <v>234</v>
      </c>
      <c r="N1" s="6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 s="6"/>
      <c r="AO1" s="11"/>
      <c r="AS1" s="12"/>
      <c r="AT1" s="6"/>
      <c r="AU1" s="6"/>
      <c r="AV1" s="6"/>
      <c r="AW1" s="6"/>
      <c r="BD1" s="13" t="s">
        <v>235</v>
      </c>
      <c r="BE1" s="13"/>
      <c r="BF1" s="13"/>
      <c r="BG1" s="13"/>
      <c r="BH1" s="6"/>
      <c r="BN1" s="6"/>
      <c r="BO1" s="10">
        <f>SUMIFS('[1]2026'!$K:$K,'[1]2026'!$T:$T,$BD1,'[1]2026'!$S:$S,BO$3,'[1]2026'!$P:$P,$AU1)</f>
        <v>0</v>
      </c>
      <c r="BP1" s="6">
        <f>($AN1-($BH1+$BI1+$BJ1+$BK1+$BL1+$BM1+$BN1+$BO1))/4</f>
        <v>0</v>
      </c>
      <c r="BQ1" s="6">
        <f t="shared" ref="BQ1:BS1" si="0">BP1</f>
        <v>0</v>
      </c>
      <c r="BR1" s="6">
        <f t="shared" si="0"/>
        <v>0</v>
      </c>
      <c r="BS1" s="6">
        <f t="shared" si="0"/>
        <v>0</v>
      </c>
      <c r="BT1" s="6"/>
      <c r="CH1" s="14"/>
    </row>
    <row r="2" spans="1:87" x14ac:dyDescent="0.35">
      <c r="B2" s="15">
        <f t="shared" ref="B2:N2" si="1">SUBTOTAL(9,B4:B1048576)</f>
        <v>2375316.4783333335</v>
      </c>
      <c r="C2" s="15">
        <f t="shared" si="1"/>
        <v>2375316.4783333335</v>
      </c>
      <c r="D2" s="15">
        <f t="shared" si="1"/>
        <v>2485316.4783333335</v>
      </c>
      <c r="E2" s="15">
        <f t="shared" si="1"/>
        <v>3675316.4783333335</v>
      </c>
      <c r="F2" s="15">
        <f t="shared" si="1"/>
        <v>2375316.4783333335</v>
      </c>
      <c r="G2" s="15">
        <f t="shared" si="1"/>
        <v>2437316.4783333335</v>
      </c>
      <c r="H2" s="15">
        <f t="shared" si="1"/>
        <v>2390316.4783333335</v>
      </c>
      <c r="I2" s="15">
        <f t="shared" si="1"/>
        <v>2375316.4783333335</v>
      </c>
      <c r="J2" s="15">
        <f t="shared" si="1"/>
        <v>2375316.4783333335</v>
      </c>
      <c r="K2" s="15">
        <f t="shared" si="1"/>
        <v>2375316.4783333335</v>
      </c>
      <c r="L2" s="15">
        <f t="shared" si="1"/>
        <v>2375316.4783333335</v>
      </c>
      <c r="M2" s="15">
        <f t="shared" si="1"/>
        <v>2375316.4783333335</v>
      </c>
      <c r="N2" s="16">
        <f t="shared" si="1"/>
        <v>29990797.739999998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6">
        <f t="shared" ref="AA2:AO2" si="2">SUBTOTAL(9,AA4:AA1048576)</f>
        <v>2602333.9124821303</v>
      </c>
      <c r="AB2" s="16">
        <f t="shared" si="2"/>
        <v>2163016.3670329871</v>
      </c>
      <c r="AC2" s="16">
        <f t="shared" si="2"/>
        <v>2163016.3670329871</v>
      </c>
      <c r="AD2" s="16">
        <f t="shared" si="2"/>
        <v>2272621.7558081998</v>
      </c>
      <c r="AE2" s="16">
        <f t="shared" si="2"/>
        <v>3411716.9078106559</v>
      </c>
      <c r="AF2" s="16">
        <f t="shared" si="2"/>
        <v>2163016.3670329871</v>
      </c>
      <c r="AG2" s="16">
        <f t="shared" si="2"/>
        <v>2222569.777439307</v>
      </c>
      <c r="AH2" s="16">
        <f t="shared" si="2"/>
        <v>2177424.4501958061</v>
      </c>
      <c r="AI2" s="16">
        <f t="shared" si="2"/>
        <v>2163016.3670329871</v>
      </c>
      <c r="AJ2" s="16">
        <f t="shared" si="2"/>
        <v>2163016.3670329871</v>
      </c>
      <c r="AK2" s="16">
        <f t="shared" si="2"/>
        <v>2163016.3670329871</v>
      </c>
      <c r="AL2" s="16">
        <f t="shared" si="2"/>
        <v>2163016.3670329871</v>
      </c>
      <c r="AM2" s="16">
        <f t="shared" si="2"/>
        <v>2163016.3670329871</v>
      </c>
      <c r="AN2" s="16">
        <f>SUBTOTAL(9,AN4:AN1048576)</f>
        <v>27388463.827517871</v>
      </c>
      <c r="AO2" s="18" t="e">
        <f t="shared" si="2"/>
        <v>#VALUE!</v>
      </c>
      <c r="AP2" s="6" t="e">
        <f>AN2-AO2</f>
        <v>#VALUE!</v>
      </c>
      <c r="AQ2" s="6"/>
      <c r="AS2" s="19"/>
      <c r="AT2" s="20"/>
      <c r="AU2" s="21"/>
      <c r="AV2" s="21"/>
      <c r="AW2" s="21"/>
      <c r="AX2" s="6"/>
      <c r="BH2" s="16">
        <f t="shared" ref="BH2:BT2" si="3">SUBTOTAL(9,BH4:BH1048576)</f>
        <v>1633854.96</v>
      </c>
      <c r="BI2" s="16">
        <f t="shared" si="3"/>
        <v>1523974.96</v>
      </c>
      <c r="BJ2" s="16">
        <f t="shared" si="3"/>
        <v>1865702.9700000002</v>
      </c>
      <c r="BK2" s="16">
        <f t="shared" si="3"/>
        <v>1618799.38</v>
      </c>
      <c r="BL2" s="16">
        <f t="shared" si="3"/>
        <v>1665427.9800000004</v>
      </c>
      <c r="BM2" s="16">
        <f t="shared" si="3"/>
        <v>851676.73999999987</v>
      </c>
      <c r="BN2" s="16">
        <f t="shared" si="3"/>
        <v>898270.7699999999</v>
      </c>
      <c r="BO2" s="16">
        <f t="shared" si="3"/>
        <v>963992.82000000007</v>
      </c>
      <c r="BP2" s="16">
        <f t="shared" si="3"/>
        <v>1394079.84</v>
      </c>
      <c r="BQ2" s="16">
        <f t="shared" si="3"/>
        <v>1394079.84</v>
      </c>
      <c r="BR2" s="16">
        <f t="shared" si="3"/>
        <v>1394079.84</v>
      </c>
      <c r="BS2" s="16">
        <f t="shared" si="3"/>
        <v>1396432.2219047619</v>
      </c>
      <c r="BT2" s="16">
        <f t="shared" si="3"/>
        <v>16579618.701904766</v>
      </c>
      <c r="BV2" s="16">
        <f t="shared" ref="BV2:CH2" si="4">SUBTOTAL(9,BV4:BV1048576)</f>
        <v>-529161.40703298745</v>
      </c>
      <c r="BW2" s="16">
        <f t="shared" si="4"/>
        <v>-674783.31703298748</v>
      </c>
      <c r="BX2" s="16">
        <f t="shared" si="4"/>
        <v>-442206.26580820029</v>
      </c>
      <c r="BY2" s="16">
        <f t="shared" si="4"/>
        <v>-1848648.6778106566</v>
      </c>
      <c r="BZ2" s="16">
        <f t="shared" si="4"/>
        <v>-159067.30703298753</v>
      </c>
      <c r="CA2" s="16">
        <f t="shared" si="4"/>
        <v>-1408076.617439307</v>
      </c>
      <c r="CB2" s="16">
        <f t="shared" si="4"/>
        <v>-1316317.5401958062</v>
      </c>
      <c r="CC2" s="16">
        <f t="shared" si="4"/>
        <v>-1272036.837032987</v>
      </c>
      <c r="CD2" s="16">
        <f t="shared" si="4"/>
        <v>-806120.10703298741</v>
      </c>
      <c r="CE2" s="16">
        <f t="shared" si="4"/>
        <v>-806120.10703298741</v>
      </c>
      <c r="CF2" s="16">
        <f t="shared" si="4"/>
        <v>-806120.10703298741</v>
      </c>
      <c r="CG2" s="16">
        <f t="shared" si="4"/>
        <v>-803767.7251282254</v>
      </c>
      <c r="CH2" s="16">
        <f t="shared" si="4"/>
        <v>-10808845.125613105</v>
      </c>
    </row>
    <row r="3" spans="1:87" s="26" customFormat="1" x14ac:dyDescent="0.35">
      <c r="A3" s="22" t="s">
        <v>236</v>
      </c>
      <c r="B3" s="1" t="s">
        <v>237</v>
      </c>
      <c r="C3" s="1" t="s">
        <v>238</v>
      </c>
      <c r="D3" s="1" t="s">
        <v>239</v>
      </c>
      <c r="E3" s="1" t="s">
        <v>240</v>
      </c>
      <c r="F3" s="1" t="s">
        <v>241</v>
      </c>
      <c r="G3" s="1" t="s">
        <v>242</v>
      </c>
      <c r="H3" s="1" t="s">
        <v>243</v>
      </c>
      <c r="I3" s="1" t="s">
        <v>244</v>
      </c>
      <c r="J3" s="1" t="s">
        <v>245</v>
      </c>
      <c r="K3" s="1" t="s">
        <v>246</v>
      </c>
      <c r="L3" s="1" t="s">
        <v>247</v>
      </c>
      <c r="M3" s="1" t="s">
        <v>248</v>
      </c>
      <c r="N3" s="23" t="s">
        <v>249</v>
      </c>
      <c r="O3" s="1" t="s">
        <v>237</v>
      </c>
      <c r="P3" s="1" t="s">
        <v>238</v>
      </c>
      <c r="Q3" s="1" t="s">
        <v>239</v>
      </c>
      <c r="R3" s="1" t="s">
        <v>240</v>
      </c>
      <c r="S3" s="1" t="s">
        <v>241</v>
      </c>
      <c r="T3" s="1" t="s">
        <v>242</v>
      </c>
      <c r="U3" s="1" t="s">
        <v>243</v>
      </c>
      <c r="V3" s="1" t="s">
        <v>244</v>
      </c>
      <c r="W3" s="1" t="s">
        <v>245</v>
      </c>
      <c r="X3" s="1" t="s">
        <v>246</v>
      </c>
      <c r="Y3" s="1" t="s">
        <v>247</v>
      </c>
      <c r="Z3" s="1" t="s">
        <v>248</v>
      </c>
      <c r="AA3" s="23" t="s">
        <v>250</v>
      </c>
      <c r="AB3" s="1" t="s">
        <v>237</v>
      </c>
      <c r="AC3" s="1" t="s">
        <v>238</v>
      </c>
      <c r="AD3" s="1" t="s">
        <v>239</v>
      </c>
      <c r="AE3" s="1" t="s">
        <v>240</v>
      </c>
      <c r="AF3" s="1" t="s">
        <v>241</v>
      </c>
      <c r="AG3" s="1" t="s">
        <v>242</v>
      </c>
      <c r="AH3" s="1" t="s">
        <v>243</v>
      </c>
      <c r="AI3" s="1" t="s">
        <v>244</v>
      </c>
      <c r="AJ3" s="1" t="s">
        <v>245</v>
      </c>
      <c r="AK3" s="1" t="s">
        <v>246</v>
      </c>
      <c r="AL3" s="1" t="s">
        <v>247</v>
      </c>
      <c r="AM3" s="1" t="s">
        <v>248</v>
      </c>
      <c r="AN3" s="23" t="s">
        <v>251</v>
      </c>
      <c r="AO3" s="24" t="s">
        <v>252</v>
      </c>
      <c r="AP3" s="1" t="s">
        <v>253</v>
      </c>
      <c r="AQ3" s="1" t="s">
        <v>254</v>
      </c>
      <c r="AR3" s="1" t="s">
        <v>255</v>
      </c>
      <c r="AS3" s="1" t="s">
        <v>229</v>
      </c>
      <c r="AT3" s="1" t="s">
        <v>228</v>
      </c>
      <c r="AU3" s="1" t="s">
        <v>256</v>
      </c>
      <c r="AV3" s="1"/>
      <c r="AW3" s="1"/>
      <c r="AX3" s="1" t="s">
        <v>257</v>
      </c>
      <c r="AY3" s="1" t="s">
        <v>258</v>
      </c>
      <c r="AZ3" s="25" t="s">
        <v>259</v>
      </c>
      <c r="BA3" s="25" t="s">
        <v>255</v>
      </c>
      <c r="BC3" s="1" t="s">
        <v>236</v>
      </c>
      <c r="BD3" s="1" t="s">
        <v>260</v>
      </c>
      <c r="BE3" s="1" t="s">
        <v>227</v>
      </c>
      <c r="BF3" s="1" t="s">
        <v>0</v>
      </c>
      <c r="BG3" s="1" t="s">
        <v>1</v>
      </c>
      <c r="BH3" s="1" t="s">
        <v>220</v>
      </c>
      <c r="BI3" s="1" t="s">
        <v>221</v>
      </c>
      <c r="BJ3" s="1" t="s">
        <v>222</v>
      </c>
      <c r="BK3" s="1" t="s">
        <v>223</v>
      </c>
      <c r="BL3" s="1" t="s">
        <v>224</v>
      </c>
      <c r="BM3" s="1" t="s">
        <v>225</v>
      </c>
      <c r="BN3" s="1" t="s">
        <v>226</v>
      </c>
      <c r="BO3" s="1" t="s">
        <v>232</v>
      </c>
      <c r="BP3" s="1" t="s">
        <v>261</v>
      </c>
      <c r="BQ3" s="1" t="s">
        <v>262</v>
      </c>
      <c r="BR3" s="1" t="s">
        <v>263</v>
      </c>
      <c r="BS3" s="1" t="s">
        <v>264</v>
      </c>
      <c r="BT3" s="1" t="s">
        <v>265</v>
      </c>
      <c r="BV3" s="1" t="s">
        <v>220</v>
      </c>
      <c r="BW3" s="1" t="s">
        <v>221</v>
      </c>
      <c r="BX3" s="1" t="s">
        <v>222</v>
      </c>
      <c r="BY3" s="1" t="s">
        <v>223</v>
      </c>
      <c r="BZ3" s="1" t="s">
        <v>224</v>
      </c>
      <c r="CA3" s="1" t="s">
        <v>225</v>
      </c>
      <c r="CB3" s="1" t="s">
        <v>226</v>
      </c>
      <c r="CC3" s="1" t="s">
        <v>232</v>
      </c>
      <c r="CD3" s="1" t="s">
        <v>266</v>
      </c>
      <c r="CE3" s="1" t="s">
        <v>267</v>
      </c>
      <c r="CF3" s="1" t="s">
        <v>268</v>
      </c>
      <c r="CG3" s="1" t="s">
        <v>269</v>
      </c>
      <c r="CH3" s="1" t="s">
        <v>270</v>
      </c>
      <c r="CI3" s="1" t="s">
        <v>255</v>
      </c>
    </row>
    <row r="4" spans="1:87" hidden="1" x14ac:dyDescent="0.35">
      <c r="A4" s="3" t="s">
        <v>271</v>
      </c>
      <c r="B4" s="10">
        <v>247608</v>
      </c>
      <c r="C4" s="10">
        <v>246996</v>
      </c>
      <c r="D4" s="10">
        <v>255663</v>
      </c>
      <c r="E4" s="10">
        <v>266805</v>
      </c>
      <c r="F4" s="10">
        <v>324675</v>
      </c>
      <c r="G4" s="10">
        <v>291096</v>
      </c>
      <c r="H4" s="10">
        <v>272610</v>
      </c>
      <c r="I4" s="10">
        <v>273987</v>
      </c>
      <c r="J4" s="10">
        <v>241569</v>
      </c>
      <c r="K4" s="10">
        <v>257175</v>
      </c>
      <c r="L4" s="10">
        <v>252315</v>
      </c>
      <c r="M4" s="10">
        <v>262341</v>
      </c>
      <c r="N4" s="27">
        <f t="shared" ref="N4:N67" si="5">SUM(B4:M4)</f>
        <v>3192840</v>
      </c>
      <c r="AA4" s="27">
        <f t="shared" ref="AA4:AA87" si="6">SUM(O4:Z4)</f>
        <v>0</v>
      </c>
      <c r="AB4" s="10">
        <f t="shared" ref="AB4:AN33" si="7">B4-O4</f>
        <v>247608</v>
      </c>
      <c r="AC4" s="10">
        <f t="shared" si="7"/>
        <v>246996</v>
      </c>
      <c r="AD4" s="10">
        <f t="shared" si="7"/>
        <v>255663</v>
      </c>
      <c r="AE4" s="10">
        <f t="shared" si="7"/>
        <v>266805</v>
      </c>
      <c r="AF4" s="10">
        <f t="shared" si="7"/>
        <v>324675</v>
      </c>
      <c r="AG4" s="10">
        <f t="shared" si="7"/>
        <v>291096</v>
      </c>
      <c r="AH4" s="10">
        <f t="shared" si="7"/>
        <v>272610</v>
      </c>
      <c r="AI4" s="10">
        <f t="shared" si="7"/>
        <v>273987</v>
      </c>
      <c r="AJ4" s="10">
        <f t="shared" si="7"/>
        <v>241569</v>
      </c>
      <c r="AK4" s="10">
        <f t="shared" si="7"/>
        <v>257175</v>
      </c>
      <c r="AL4" s="10">
        <f t="shared" si="7"/>
        <v>252315</v>
      </c>
      <c r="AM4" s="10">
        <f t="shared" si="7"/>
        <v>262341</v>
      </c>
      <c r="AN4" s="27">
        <f t="shared" si="7"/>
        <v>3192840</v>
      </c>
      <c r="AO4" s="28">
        <v>2550695.4499999997</v>
      </c>
      <c r="AP4" t="s">
        <v>271</v>
      </c>
      <c r="AQ4" s="29" t="s">
        <v>2</v>
      </c>
      <c r="AR4" s="29"/>
      <c r="AS4" t="str">
        <f>_xlfn.XLOOKUP(AU4,[2]GAE!HZ:HZ,[2]GAE!IA:IA)</f>
        <v>ADMIN SERVICES</v>
      </c>
      <c r="AT4" t="str">
        <f>_xlfn.XLOOKUP(AU4,[2]GAE!HZ:HZ,[2]GAE!IB:IB)</f>
        <v>GAE - Light &amp; Power</v>
      </c>
      <c r="AU4" t="s">
        <v>272</v>
      </c>
      <c r="AV4">
        <v>80123102</v>
      </c>
      <c r="AW4">
        <v>61041101</v>
      </c>
      <c r="AX4" t="str">
        <f>_xlfn.XLOOKUP(AU4,[2]GAE!HZ:HZ,[2]GAE!IF:IF)</f>
        <v>Others</v>
      </c>
      <c r="AY4" t="str">
        <f>_xlfn.XLOOKUP(AU4,[2]GAE!HZ:HZ,[2]GAE!IG:IG)</f>
        <v>Electricity &amp; Water</v>
      </c>
      <c r="BC4" t="s">
        <v>2</v>
      </c>
      <c r="BD4" t="s">
        <v>2</v>
      </c>
      <c r="BF4" t="s">
        <v>2</v>
      </c>
      <c r="BG4" s="2" t="s">
        <v>2</v>
      </c>
      <c r="BH4" s="10">
        <f>SUMIFS('[1]2026'!$K:$K,'[1]2026'!$T:$T,BD4,'[1]2026'!$S:$S,BH$3,'[1]2026'!$P:$P,AU4)</f>
        <v>175386.96</v>
      </c>
      <c r="BI4" s="10">
        <f>SUMIFS('[1]2026'!$K:$K,'[1]2026'!$T:$T,$BD4,'[1]2026'!$S:$S,BI$3,'[1]2026'!$P:$P,$AU4)</f>
        <v>142443.14000000001</v>
      </c>
      <c r="BJ4" s="10">
        <f>SUMIFS('[1]2026'!$K:$K,'[1]2026'!$T:$T,$BD4,'[1]2026'!$S:$S,BJ$3,'[1]2026'!$P:$P,$AU4)</f>
        <v>156890.70000000001</v>
      </c>
      <c r="BK4" s="10">
        <f>SUMIFS('[1]2026'!$K:$K,'[1]2026'!$T:$T,$BD4,'[1]2026'!$S:$S,BK$3,'[1]2026'!$P:$P,$AU4)</f>
        <v>159280.65</v>
      </c>
      <c r="BL4" s="10">
        <f>SUMIFS('[1]2026'!$K:$K,'[1]2026'!$T:$T,$BD4,'[1]2026'!$S:$S,BL$3,'[1]2026'!$P:$P,$AU4)</f>
        <v>235666.05</v>
      </c>
      <c r="BM4" s="10">
        <f>SUMIFS('[1]2026'!$K:$K,'[1]2026'!$T:$T,$BD4,'[1]2026'!$S:$S,BM$3,'[1]2026'!$P:$P,$AU4)</f>
        <v>300879.45</v>
      </c>
      <c r="BN4" s="10">
        <f>SUMIFS('[1]2026'!$K:$K,'[1]2026'!$T:$T,$BD4,'[1]2026'!$S:$S,BN$3,'[1]2026'!$P:$P,$AU4)</f>
        <v>281486.09999999998</v>
      </c>
      <c r="BO4" s="10">
        <f>SUMIFS('[1]2026'!$K:$K,'[1]2026'!$T:$T,$BD4,'[1]2026'!$S:$S,BO$3,'[1]2026'!$P:$P,$AU4)</f>
        <v>249940.55</v>
      </c>
      <c r="BP4" s="6">
        <v>280000</v>
      </c>
      <c r="BQ4" s="6">
        <v>280000</v>
      </c>
      <c r="BR4" s="6">
        <v>280000</v>
      </c>
      <c r="BS4" s="6">
        <v>280000</v>
      </c>
      <c r="BT4" s="6">
        <f>SUM(BH4:BS4)</f>
        <v>2821973.5999999996</v>
      </c>
      <c r="BV4" s="6">
        <f t="shared" ref="BV4:CH6" si="8">BH4-AB4</f>
        <v>-72221.040000000008</v>
      </c>
      <c r="BW4" s="6">
        <f t="shared" si="8"/>
        <v>-104552.85999999999</v>
      </c>
      <c r="BX4" s="6">
        <f t="shared" si="8"/>
        <v>-98772.299999999988</v>
      </c>
      <c r="BY4" s="6">
        <f t="shared" si="8"/>
        <v>-107524.35</v>
      </c>
      <c r="BZ4" s="6">
        <f t="shared" si="8"/>
        <v>-89008.950000000012</v>
      </c>
      <c r="CA4" s="6">
        <f t="shared" si="8"/>
        <v>9783.4500000000116</v>
      </c>
      <c r="CB4" s="6">
        <f t="shared" si="8"/>
        <v>8876.0999999999767</v>
      </c>
      <c r="CC4" s="6">
        <f t="shared" si="8"/>
        <v>-24046.450000000012</v>
      </c>
      <c r="CD4" s="6">
        <f t="shared" si="8"/>
        <v>38431</v>
      </c>
      <c r="CE4" s="6">
        <f t="shared" si="8"/>
        <v>22825</v>
      </c>
      <c r="CF4" s="6">
        <f t="shared" si="8"/>
        <v>27685</v>
      </c>
      <c r="CG4" s="6">
        <f t="shared" si="8"/>
        <v>17659</v>
      </c>
      <c r="CH4" s="6">
        <f t="shared" si="8"/>
        <v>-370866.40000000037</v>
      </c>
    </row>
    <row r="5" spans="1:87" hidden="1" x14ac:dyDescent="0.35">
      <c r="A5" s="3" t="s">
        <v>273</v>
      </c>
      <c r="B5" s="10">
        <v>16445</v>
      </c>
      <c r="C5" s="10">
        <v>16560</v>
      </c>
      <c r="D5" s="10">
        <v>16445</v>
      </c>
      <c r="E5" s="10">
        <v>16445</v>
      </c>
      <c r="F5" s="10">
        <v>16445</v>
      </c>
      <c r="G5" s="10">
        <v>16445</v>
      </c>
      <c r="H5" s="10">
        <v>16445</v>
      </c>
      <c r="I5" s="10">
        <v>16560</v>
      </c>
      <c r="J5" s="10">
        <v>16905</v>
      </c>
      <c r="K5" s="10">
        <v>17250</v>
      </c>
      <c r="L5" s="10">
        <v>17020</v>
      </c>
      <c r="M5" s="10">
        <v>17020</v>
      </c>
      <c r="N5" s="27">
        <f t="shared" si="5"/>
        <v>199985</v>
      </c>
      <c r="AA5" s="27">
        <f t="shared" si="6"/>
        <v>0</v>
      </c>
      <c r="AB5" s="10">
        <f t="shared" si="7"/>
        <v>16445</v>
      </c>
      <c r="AC5" s="10">
        <f t="shared" si="7"/>
        <v>16560</v>
      </c>
      <c r="AD5" s="10">
        <f t="shared" si="7"/>
        <v>16445</v>
      </c>
      <c r="AE5" s="10">
        <f t="shared" si="7"/>
        <v>16445</v>
      </c>
      <c r="AF5" s="10">
        <f t="shared" si="7"/>
        <v>16445</v>
      </c>
      <c r="AG5" s="10">
        <f t="shared" si="7"/>
        <v>16445</v>
      </c>
      <c r="AH5" s="10">
        <f t="shared" si="7"/>
        <v>16445</v>
      </c>
      <c r="AI5" s="10">
        <f t="shared" si="7"/>
        <v>16560</v>
      </c>
      <c r="AJ5" s="10">
        <f t="shared" si="7"/>
        <v>16905</v>
      </c>
      <c r="AK5" s="10">
        <f t="shared" si="7"/>
        <v>17250</v>
      </c>
      <c r="AL5" s="10">
        <f t="shared" si="7"/>
        <v>17020</v>
      </c>
      <c r="AM5" s="10">
        <f t="shared" si="7"/>
        <v>17020</v>
      </c>
      <c r="AN5" s="27">
        <f t="shared" si="7"/>
        <v>199985</v>
      </c>
      <c r="AQ5" s="29" t="s">
        <v>2</v>
      </c>
      <c r="AR5" s="29"/>
      <c r="AS5" t="str">
        <f>_xlfn.XLOOKUP(AU5,[2]GAE!HZ:HZ,[2]GAE!IA:IA)</f>
        <v>ADMIN SERVICES</v>
      </c>
      <c r="AT5" t="str">
        <f>_xlfn.XLOOKUP(AU5,[2]GAE!HZ:HZ,[2]GAE!IB:IB)</f>
        <v>GAE - Water</v>
      </c>
      <c r="AU5" t="s">
        <v>274</v>
      </c>
      <c r="AV5">
        <v>80123102</v>
      </c>
      <c r="AW5">
        <v>61041201</v>
      </c>
      <c r="AX5" t="str">
        <f>_xlfn.XLOOKUP(AU5,[2]GAE!HZ:HZ,[2]GAE!IF:IF)</f>
        <v>Others</v>
      </c>
      <c r="AY5" t="str">
        <f>_xlfn.XLOOKUP(AU5,[2]GAE!HZ:HZ,[2]GAE!IG:IG)</f>
        <v>Electricity &amp; Water</v>
      </c>
      <c r="BF5" t="s">
        <v>2</v>
      </c>
      <c r="BG5" s="2" t="s">
        <v>2</v>
      </c>
      <c r="BH5" s="10">
        <f>SUMIFS('[1]2026'!$K:$K,'[1]2026'!$T:$T,BD5,'[1]2026'!$S:$S,BH$3,'[1]2026'!$P:$P,AU5)</f>
        <v>0</v>
      </c>
      <c r="BI5" s="10">
        <f>SUMIFS('[1]2026'!$K:$K,'[1]2026'!$T:$T,$BD5,'[1]2026'!$S:$S,BI$3,'[1]2026'!$P:$P,$AU5)</f>
        <v>0</v>
      </c>
      <c r="BJ5" s="10">
        <f>SUMIFS('[1]2026'!$K:$K,'[1]2026'!$T:$T,$BD5,'[1]2026'!$S:$S,BJ$3,'[1]2026'!$P:$P,$AU5)</f>
        <v>0</v>
      </c>
      <c r="BK5" s="10">
        <f>SUMIFS('[1]2026'!$K:$K,'[1]2026'!$T:$T,$BD5,'[1]2026'!$S:$S,BK$3,'[1]2026'!$P:$P,$AU5)</f>
        <v>0</v>
      </c>
      <c r="BL5" s="10">
        <f>SUMIFS('[1]2026'!$K:$K,'[1]2026'!$T:$T,$BD5,'[1]2026'!$S:$S,BL$3,'[1]2026'!$P:$P,$AU5)</f>
        <v>0</v>
      </c>
      <c r="BM5" s="10">
        <f>SUMIFS('[1]2026'!$K:$K,'[1]2026'!$T:$T,$BD5,'[1]2026'!$S:$S,BM$3,'[1]2026'!$P:$P,$AU5)</f>
        <v>0</v>
      </c>
      <c r="BN5" s="10">
        <f>SUMIFS('[1]2026'!$K:$K,'[1]2026'!$T:$T,$BD5,'[1]2026'!$S:$S,BN$3,'[1]2026'!$P:$P,$AU5)</f>
        <v>0</v>
      </c>
      <c r="BO5" s="10">
        <f>SUMIFS('[1]2026'!$K:$K,'[1]2026'!$T:$T,$BD5,'[1]2026'!$S:$S,BO$3,'[1]2026'!$P:$P,$AU5)</f>
        <v>0</v>
      </c>
      <c r="BP5" s="6">
        <f t="shared" ref="BP5:BS5" si="9">BO5</f>
        <v>0</v>
      </c>
      <c r="BQ5" s="6">
        <f t="shared" si="9"/>
        <v>0</v>
      </c>
      <c r="BR5" s="6">
        <f t="shared" si="9"/>
        <v>0</v>
      </c>
      <c r="BS5" s="6">
        <f t="shared" si="9"/>
        <v>0</v>
      </c>
      <c r="BT5" s="6">
        <f t="shared" ref="BT5:BT75" si="10">SUM(BH5:BS5)</f>
        <v>0</v>
      </c>
      <c r="BV5" s="6">
        <f t="shared" si="8"/>
        <v>-16445</v>
      </c>
      <c r="BW5" s="6">
        <f t="shared" si="8"/>
        <v>-16560</v>
      </c>
      <c r="BX5" s="6">
        <f t="shared" si="8"/>
        <v>-16445</v>
      </c>
      <c r="BY5" s="6">
        <f t="shared" si="8"/>
        <v>-16445</v>
      </c>
      <c r="BZ5" s="6">
        <f t="shared" si="8"/>
        <v>-16445</v>
      </c>
      <c r="CA5" s="6">
        <f t="shared" si="8"/>
        <v>-16445</v>
      </c>
      <c r="CB5" s="6">
        <f t="shared" si="8"/>
        <v>-16445</v>
      </c>
      <c r="CC5" s="6">
        <f t="shared" si="8"/>
        <v>-16560</v>
      </c>
      <c r="CD5" s="6">
        <f t="shared" si="8"/>
        <v>-16905</v>
      </c>
      <c r="CE5" s="6">
        <f t="shared" si="8"/>
        <v>-17250</v>
      </c>
      <c r="CF5" s="6">
        <f t="shared" si="8"/>
        <v>-17020</v>
      </c>
      <c r="CG5" s="6">
        <f t="shared" si="8"/>
        <v>-17020</v>
      </c>
      <c r="CH5" s="6">
        <f t="shared" si="8"/>
        <v>-199985</v>
      </c>
    </row>
    <row r="6" spans="1:87" hidden="1" x14ac:dyDescent="0.35">
      <c r="A6" s="3" t="s">
        <v>275</v>
      </c>
      <c r="B6" s="10">
        <v>83333.333333333328</v>
      </c>
      <c r="C6" s="10">
        <v>83333.333333333328</v>
      </c>
      <c r="D6" s="10">
        <v>83333.333333333328</v>
      </c>
      <c r="E6" s="10">
        <v>83333.333333333328</v>
      </c>
      <c r="F6" s="10">
        <v>83333.333333333328</v>
      </c>
      <c r="G6" s="10">
        <v>83333.333333333328</v>
      </c>
      <c r="H6" s="10">
        <v>83333.333333333328</v>
      </c>
      <c r="I6" s="10">
        <v>83333.333333333328</v>
      </c>
      <c r="J6" s="10">
        <v>83333.333333333328</v>
      </c>
      <c r="K6" s="10">
        <v>83333.333333333328</v>
      </c>
      <c r="L6" s="10">
        <v>83333.333333333328</v>
      </c>
      <c r="M6" s="10">
        <v>83333.333333333328</v>
      </c>
      <c r="N6" s="27">
        <f t="shared" si="5"/>
        <v>1000000.0000000001</v>
      </c>
      <c r="O6" s="10">
        <v>43317.796683589491</v>
      </c>
      <c r="P6" s="10">
        <v>43317.796683589491</v>
      </c>
      <c r="Q6" s="10">
        <v>43317.796683589491</v>
      </c>
      <c r="R6" s="10">
        <v>43317.796683589491</v>
      </c>
      <c r="S6" s="10">
        <v>43317.796683589491</v>
      </c>
      <c r="T6" s="10">
        <v>43317.796683589491</v>
      </c>
      <c r="U6" s="10">
        <v>43317.796683589491</v>
      </c>
      <c r="V6" s="10">
        <v>43317.796683589491</v>
      </c>
      <c r="W6" s="10">
        <v>43317.796683589491</v>
      </c>
      <c r="X6" s="10">
        <v>43317.796683589491</v>
      </c>
      <c r="Y6" s="10">
        <v>43317.796683589491</v>
      </c>
      <c r="Z6" s="10">
        <v>43317.796683589491</v>
      </c>
      <c r="AA6" s="27">
        <f t="shared" si="6"/>
        <v>519813.56020307378</v>
      </c>
      <c r="AB6" s="10">
        <f t="shared" si="7"/>
        <v>40015.536649743837</v>
      </c>
      <c r="AC6" s="10">
        <f t="shared" si="7"/>
        <v>40015.536649743837</v>
      </c>
      <c r="AD6" s="10">
        <f t="shared" si="7"/>
        <v>40015.536649743837</v>
      </c>
      <c r="AE6" s="10">
        <f t="shared" si="7"/>
        <v>40015.536649743837</v>
      </c>
      <c r="AF6" s="10">
        <f t="shared" si="7"/>
        <v>40015.536649743837</v>
      </c>
      <c r="AG6" s="10">
        <f t="shared" si="7"/>
        <v>40015.536649743837</v>
      </c>
      <c r="AH6" s="10">
        <f t="shared" si="7"/>
        <v>40015.536649743837</v>
      </c>
      <c r="AI6" s="10">
        <f t="shared" si="7"/>
        <v>40015.536649743837</v>
      </c>
      <c r="AJ6" s="10">
        <f t="shared" si="7"/>
        <v>40015.536649743837</v>
      </c>
      <c r="AK6" s="10">
        <f t="shared" si="7"/>
        <v>40015.536649743837</v>
      </c>
      <c r="AL6" s="10">
        <f t="shared" si="7"/>
        <v>40015.536649743837</v>
      </c>
      <c r="AM6" s="10">
        <f t="shared" si="7"/>
        <v>40015.536649743837</v>
      </c>
      <c r="AN6" s="27">
        <f>N6-AA6</f>
        <v>480186.43979692634</v>
      </c>
      <c r="AO6" s="28">
        <v>3265828.9499999997</v>
      </c>
      <c r="AS6" t="str">
        <f>_xlfn.XLOOKUP(AU6,[2]GAE!HZ:HZ,[2]GAE!IA:IA)</f>
        <v>ADMIN SERVICES</v>
      </c>
      <c r="AT6" t="str">
        <f>_xlfn.XLOOKUP(AU6,[2]GAE!HZ:HZ,[2]GAE!IB:IB)</f>
        <v>GAE - Office Supplies</v>
      </c>
      <c r="AU6" t="s">
        <v>276</v>
      </c>
      <c r="AV6">
        <v>80123102</v>
      </c>
      <c r="AW6">
        <v>61111101</v>
      </c>
      <c r="AX6" t="str">
        <f>_xlfn.XLOOKUP(AU6,[2]GAE!HZ:HZ,[2]GAE!IF:IF)</f>
        <v>Others</v>
      </c>
      <c r="AY6" t="str">
        <f>_xlfn.XLOOKUP(AU6,[2]GAE!HZ:HZ,[2]GAE!IG:IG)</f>
        <v>Supplies</v>
      </c>
      <c r="BF6" t="s">
        <v>3</v>
      </c>
      <c r="BG6" s="2" t="s">
        <v>4</v>
      </c>
      <c r="BH6" s="10">
        <f>SUMIFS('[1]2026'!$K:$K,'[1]2026'!$T:$T,BD6,'[1]2026'!$S:$S,BH$3,'[1]2026'!$P:$P,AU6)</f>
        <v>0</v>
      </c>
      <c r="BI6" s="10">
        <f>SUMIFS('[1]2026'!$K:$K,'[1]2026'!$T:$T,$BD6,'[1]2026'!$S:$S,BI$3,'[1]2026'!$P:$P,$AU6)</f>
        <v>0</v>
      </c>
      <c r="BJ6" s="10">
        <f>SUMIFS('[1]2026'!$K:$K,'[1]2026'!$T:$T,$BD6,'[1]2026'!$S:$S,BJ$3,'[1]2026'!$P:$P,$AU6)</f>
        <v>0</v>
      </c>
      <c r="BK6" s="10">
        <f>SUMIFS('[1]2026'!$K:$K,'[1]2026'!$T:$T,$BD6,'[1]2026'!$S:$S,BK$3,'[1]2026'!$P:$P,$AU6)</f>
        <v>0</v>
      </c>
      <c r="BL6" s="10">
        <f>SUMIFS('[1]2026'!$K:$K,'[1]2026'!$T:$T,$BD6,'[1]2026'!$S:$S,BL$3,'[1]2026'!$P:$P,$AU6)</f>
        <v>0</v>
      </c>
      <c r="BM6" s="10">
        <f>SUMIFS('[1]2026'!$K:$K,'[1]2026'!$T:$T,$BD6,'[1]2026'!$S:$S,BM$3,'[1]2026'!$P:$P,$AU6)</f>
        <v>0</v>
      </c>
      <c r="BN6" s="10">
        <f>SUMIFS('[1]2026'!$K:$K,'[1]2026'!$T:$T,$BD6,'[1]2026'!$S:$S,BN$3,'[1]2026'!$P:$P,$AU6)</f>
        <v>0</v>
      </c>
      <c r="BO6" s="10">
        <f>SUMIFS('[1]2026'!$K:$K,'[1]2026'!$T:$T,$BD6,'[1]2026'!$S:$S,BO$3,'[1]2026'!$P:$P,$AU6)</f>
        <v>0</v>
      </c>
      <c r="BP6" s="6">
        <v>300000</v>
      </c>
      <c r="BQ6" s="6">
        <v>300000</v>
      </c>
      <c r="BR6" s="6">
        <v>300000</v>
      </c>
      <c r="BS6" s="6">
        <v>300000</v>
      </c>
      <c r="BT6" s="6">
        <f t="shared" si="10"/>
        <v>1200000</v>
      </c>
      <c r="BV6" s="6">
        <f t="shared" si="8"/>
        <v>-40015.536649743837</v>
      </c>
      <c r="BW6" s="6">
        <f t="shared" si="8"/>
        <v>-40015.536649743837</v>
      </c>
      <c r="BX6" s="6">
        <f t="shared" si="8"/>
        <v>-40015.536649743837</v>
      </c>
      <c r="BY6" s="6">
        <f t="shared" si="8"/>
        <v>-40015.536649743837</v>
      </c>
      <c r="BZ6" s="6">
        <f t="shared" si="8"/>
        <v>-40015.536649743837</v>
      </c>
      <c r="CA6" s="6">
        <f t="shared" si="8"/>
        <v>-40015.536649743837</v>
      </c>
      <c r="CB6" s="6">
        <f t="shared" si="8"/>
        <v>-40015.536649743837</v>
      </c>
      <c r="CC6" s="6">
        <f t="shared" si="8"/>
        <v>-40015.536649743837</v>
      </c>
      <c r="CD6" s="6">
        <f t="shared" si="8"/>
        <v>259984.46335025615</v>
      </c>
      <c r="CE6" s="6">
        <f t="shared" si="8"/>
        <v>259984.46335025615</v>
      </c>
      <c r="CF6" s="6">
        <f t="shared" si="8"/>
        <v>259984.46335025615</v>
      </c>
      <c r="CG6" s="6">
        <f t="shared" si="8"/>
        <v>259984.46335025615</v>
      </c>
      <c r="CH6" s="6">
        <f t="shared" si="8"/>
        <v>719813.56020307366</v>
      </c>
    </row>
    <row r="7" spans="1:87" hidden="1" x14ac:dyDescent="0.35">
      <c r="A7" t="s">
        <v>277</v>
      </c>
      <c r="AN7" s="27">
        <f>N7-AA7</f>
        <v>0</v>
      </c>
      <c r="AS7" t="str">
        <f>_xlfn.XLOOKUP(AU7,[2]GAE!HZ:HZ,[2]GAE!IA:IA)</f>
        <v>ADMIN SERVICES</v>
      </c>
      <c r="AT7" t="str">
        <f>_xlfn.XLOOKUP(AU7,[2]GAE!HZ:HZ,[2]GAE!IB:IB)</f>
        <v>DOE - Supplies</v>
      </c>
      <c r="AU7" s="2" t="s">
        <v>278</v>
      </c>
      <c r="AV7" s="2">
        <v>81123102</v>
      </c>
      <c r="AW7" s="2">
        <v>52111101</v>
      </c>
      <c r="AX7" t="str">
        <f>_xlfn.XLOOKUP(AU7,[2]GAE!HZ:HZ,[2]GAE!IF:IF)</f>
        <v>Others</v>
      </c>
      <c r="AY7" t="str">
        <f>_xlfn.XLOOKUP(AU7,[2]GAE!HZ:HZ,[2]GAE!IG:IG)</f>
        <v>Supplies</v>
      </c>
      <c r="BC7" t="s">
        <v>4</v>
      </c>
      <c r="BD7" t="s">
        <v>277</v>
      </c>
      <c r="BF7" t="s">
        <v>3</v>
      </c>
      <c r="BG7" s="2" t="s">
        <v>4</v>
      </c>
      <c r="BH7" s="10">
        <f>SUMIFS('[1]2026'!$K:$K,'[1]2026'!$T:$T,BD7,'[1]2026'!$S:$S,BH$3,'[1]2026'!$P:$P,AU7)</f>
        <v>0</v>
      </c>
      <c r="BI7" s="10">
        <f>SUMIFS('[1]2026'!$K:$K,'[1]2026'!$T:$T,$BD7,'[1]2026'!$S:$S,BI$3,'[1]2026'!$P:$P,$AU7)</f>
        <v>33392.86</v>
      </c>
      <c r="BJ7" s="10">
        <f>SUMIFS('[1]2026'!$K:$K,'[1]2026'!$T:$T,$BD7,'[1]2026'!$S:$S,BJ$3,'[1]2026'!$P:$P,$AU7)</f>
        <v>126250.00000000003</v>
      </c>
      <c r="BK7" s="10">
        <f>SUMIFS('[1]2026'!$K:$K,'[1]2026'!$T:$T,$BD7,'[1]2026'!$S:$S,BK$3,'[1]2026'!$P:$P,$AU7)</f>
        <v>89897.299999999988</v>
      </c>
      <c r="BL7" s="10">
        <f>SUMIFS('[1]2026'!$K:$K,'[1]2026'!$T:$T,$BD7,'[1]2026'!$S:$S,BL$3,'[1]2026'!$P:$P,$AU7)</f>
        <v>37946.43</v>
      </c>
      <c r="BM7" s="10">
        <f>SUMIFS('[1]2026'!$K:$K,'[1]2026'!$T:$T,$BD7,'[1]2026'!$S:$S,BM$3,'[1]2026'!$P:$P,$AU7)</f>
        <v>5000</v>
      </c>
      <c r="BN7" s="10">
        <f>SUMIFS('[1]2026'!$K:$K,'[1]2026'!$T:$T,$BD7,'[1]2026'!$S:$S,BN$3,'[1]2026'!$P:$P,$AU7)</f>
        <v>147232.15</v>
      </c>
      <c r="BO7" s="10">
        <f>SUMIFS('[1]2026'!$K:$K,'[1]2026'!$T:$T,$BD7,'[1]2026'!$S:$S,BO$3,'[1]2026'!$P:$P,$AU7)</f>
        <v>26785.71</v>
      </c>
      <c r="BP7" s="6"/>
      <c r="BQ7" s="6"/>
      <c r="BR7" s="6"/>
      <c r="BS7" s="6"/>
      <c r="BT7" s="6">
        <f t="shared" si="10"/>
        <v>466504.45</v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>
        <f t="shared" ref="CH7:CH38" si="11">BT7-AN7</f>
        <v>466504.45</v>
      </c>
    </row>
    <row r="8" spans="1:87" hidden="1" x14ac:dyDescent="0.35">
      <c r="A8" s="3" t="s">
        <v>279</v>
      </c>
      <c r="B8" s="10">
        <v>108333.33333333333</v>
      </c>
      <c r="C8" s="10">
        <v>108333.33333333333</v>
      </c>
      <c r="D8" s="10">
        <v>108333.33333333333</v>
      </c>
      <c r="E8" s="10">
        <v>108333.33333333333</v>
      </c>
      <c r="F8" s="10">
        <v>108333.33333333333</v>
      </c>
      <c r="G8" s="10">
        <v>108333.33333333333</v>
      </c>
      <c r="H8" s="10">
        <v>108333.33333333333</v>
      </c>
      <c r="I8" s="10">
        <v>108333.33333333333</v>
      </c>
      <c r="J8" s="10">
        <v>108333.33333333333</v>
      </c>
      <c r="K8" s="10">
        <v>108333.33333333333</v>
      </c>
      <c r="L8" s="10">
        <v>108333.33333333333</v>
      </c>
      <c r="M8" s="10">
        <v>108333.33333333333</v>
      </c>
      <c r="N8" s="27">
        <f t="shared" si="5"/>
        <v>1300000</v>
      </c>
      <c r="O8" s="10">
        <v>56313.135688666334</v>
      </c>
      <c r="P8" s="10">
        <v>56313.135688666334</v>
      </c>
      <c r="Q8" s="10">
        <v>56313.135688666334</v>
      </c>
      <c r="R8" s="10">
        <v>56313.135688666334</v>
      </c>
      <c r="S8" s="10">
        <v>56313.135688666334</v>
      </c>
      <c r="T8" s="10">
        <v>56313.135688666334</v>
      </c>
      <c r="U8" s="10">
        <v>56313.135688666334</v>
      </c>
      <c r="V8" s="10">
        <v>56313.135688666334</v>
      </c>
      <c r="W8" s="10">
        <v>56313.135688666334</v>
      </c>
      <c r="X8" s="10">
        <v>56313.135688666334</v>
      </c>
      <c r="Y8" s="10">
        <v>56313.135688666334</v>
      </c>
      <c r="Z8" s="10">
        <v>56313.135688666334</v>
      </c>
      <c r="AA8" s="27">
        <f t="shared" si="6"/>
        <v>675757.62826399598</v>
      </c>
      <c r="AB8" s="10">
        <f t="shared" si="7"/>
        <v>52020.197644666994</v>
      </c>
      <c r="AC8" s="10">
        <f t="shared" si="7"/>
        <v>52020.197644666994</v>
      </c>
      <c r="AD8" s="10">
        <f t="shared" si="7"/>
        <v>52020.197644666994</v>
      </c>
      <c r="AE8" s="10">
        <f t="shared" si="7"/>
        <v>52020.197644666994</v>
      </c>
      <c r="AF8" s="10">
        <f t="shared" si="7"/>
        <v>52020.197644666994</v>
      </c>
      <c r="AG8" s="10">
        <f t="shared" si="7"/>
        <v>52020.197644666994</v>
      </c>
      <c r="AH8" s="10">
        <f t="shared" si="7"/>
        <v>52020.197644666994</v>
      </c>
      <c r="AI8" s="10">
        <f t="shared" si="7"/>
        <v>52020.197644666994</v>
      </c>
      <c r="AJ8" s="10">
        <f t="shared" si="7"/>
        <v>52020.197644666994</v>
      </c>
      <c r="AK8" s="10">
        <f t="shared" si="7"/>
        <v>52020.197644666994</v>
      </c>
      <c r="AL8" s="10">
        <f t="shared" si="7"/>
        <v>52020.197644666994</v>
      </c>
      <c r="AM8" s="10">
        <f t="shared" si="7"/>
        <v>52020.197644666994</v>
      </c>
      <c r="AN8" s="27">
        <f t="shared" si="7"/>
        <v>624242.37173600402</v>
      </c>
      <c r="AS8" t="str">
        <f>_xlfn.XLOOKUP(AU8,[2]GAE!HZ:HZ,[2]GAE!IA:IA)</f>
        <v>ADMIN SERVICES</v>
      </c>
      <c r="AT8" t="str">
        <f>_xlfn.XLOOKUP(AU8,[2]GAE!HZ:HZ,[2]GAE!IB:IB)</f>
        <v>GAE - Office Supplies</v>
      </c>
      <c r="AU8" t="s">
        <v>276</v>
      </c>
      <c r="AV8">
        <v>80123102</v>
      </c>
      <c r="AW8">
        <v>61111101</v>
      </c>
      <c r="AX8" t="str">
        <f>_xlfn.XLOOKUP(AU8,[2]GAE!HZ:HZ,[2]GAE!IF:IF)</f>
        <v>Others</v>
      </c>
      <c r="AY8" t="str">
        <f>_xlfn.XLOOKUP(AU8,[2]GAE!HZ:HZ,[2]GAE!IG:IG)</f>
        <v>Supplies</v>
      </c>
      <c r="BC8" t="s">
        <v>6</v>
      </c>
      <c r="BD8" t="s">
        <v>279</v>
      </c>
      <c r="BF8" t="s">
        <v>5</v>
      </c>
      <c r="BG8" s="2" t="s">
        <v>6</v>
      </c>
      <c r="BH8" s="10">
        <f>SUMIFS('[1]2026'!$K:$K,'[1]2026'!$T:$T,BD8,'[1]2026'!$S:$S,BH$3,'[1]2026'!$P:$P,AU8)</f>
        <v>0</v>
      </c>
      <c r="BI8" s="10">
        <f>SUMIFS('[1]2026'!$K:$K,'[1]2026'!$T:$T,$BD8,'[1]2026'!$S:$S,BI$3,'[1]2026'!$P:$P,$AU8)</f>
        <v>6455.36</v>
      </c>
      <c r="BJ8" s="10">
        <f>SUMIFS('[1]2026'!$K:$K,'[1]2026'!$T:$T,$BD8,'[1]2026'!$S:$S,BJ$3,'[1]2026'!$P:$P,$AU8)</f>
        <v>120</v>
      </c>
      <c r="BK8" s="10">
        <f>SUMIFS('[1]2026'!$K:$K,'[1]2026'!$T:$T,$BD8,'[1]2026'!$S:$S,BK$3,'[1]2026'!$P:$P,$AU8)</f>
        <v>0</v>
      </c>
      <c r="BL8" s="10">
        <f>SUMIFS('[1]2026'!$K:$K,'[1]2026'!$T:$T,$BD8,'[1]2026'!$S:$S,BL$3,'[1]2026'!$P:$P,$AU8)</f>
        <v>400</v>
      </c>
      <c r="BM8" s="10">
        <f>SUMIFS('[1]2026'!$K:$K,'[1]2026'!$T:$T,$BD8,'[1]2026'!$S:$S,BM$3,'[1]2026'!$P:$P,$AU8)</f>
        <v>522</v>
      </c>
      <c r="BN8" s="10">
        <f>SUMIFS('[1]2026'!$K:$K,'[1]2026'!$T:$T,$BD8,'[1]2026'!$S:$S,BN$3,'[1]2026'!$P:$P,$AU8)</f>
        <v>3125</v>
      </c>
      <c r="BO8" s="10">
        <f>SUMIFS('[1]2026'!$K:$K,'[1]2026'!$T:$T,$BD8,'[1]2026'!$S:$S,BO$3,'[1]2026'!$P:$P,$AU8)</f>
        <v>162</v>
      </c>
      <c r="BP8" s="6"/>
      <c r="BQ8" s="6"/>
      <c r="BR8" s="6"/>
      <c r="BS8" s="6"/>
      <c r="BT8" s="6">
        <f t="shared" si="10"/>
        <v>10784.36</v>
      </c>
      <c r="BV8" s="6">
        <f t="shared" ref="BV8:CG8" si="12">BH8-AB8</f>
        <v>-52020.197644666994</v>
      </c>
      <c r="BW8" s="6">
        <f t="shared" si="12"/>
        <v>-45564.837644666994</v>
      </c>
      <c r="BX8" s="6">
        <f t="shared" si="12"/>
        <v>-51900.197644666994</v>
      </c>
      <c r="BY8" s="6">
        <f t="shared" si="12"/>
        <v>-52020.197644666994</v>
      </c>
      <c r="BZ8" s="6">
        <f t="shared" si="12"/>
        <v>-51620.197644666994</v>
      </c>
      <c r="CA8" s="6">
        <f t="shared" si="12"/>
        <v>-51498.197644666994</v>
      </c>
      <c r="CB8" s="6">
        <f t="shared" si="12"/>
        <v>-48895.197644666994</v>
      </c>
      <c r="CC8" s="6">
        <f t="shared" si="12"/>
        <v>-51858.197644666994</v>
      </c>
      <c r="CD8" s="6">
        <f t="shared" si="12"/>
        <v>-52020.197644666994</v>
      </c>
      <c r="CE8" s="6">
        <f t="shared" si="12"/>
        <v>-52020.197644666994</v>
      </c>
      <c r="CF8" s="6">
        <f t="shared" si="12"/>
        <v>-52020.197644666994</v>
      </c>
      <c r="CG8" s="6">
        <f t="shared" si="12"/>
        <v>-52020.197644666994</v>
      </c>
      <c r="CH8" s="6">
        <f t="shared" si="11"/>
        <v>-613458.01173600403</v>
      </c>
    </row>
    <row r="9" spans="1:87" hidden="1" x14ac:dyDescent="0.35">
      <c r="A9" t="s">
        <v>279</v>
      </c>
      <c r="AN9" s="27">
        <f>N9-AA9</f>
        <v>0</v>
      </c>
      <c r="AS9" t="str">
        <f>_xlfn.XLOOKUP(AU9,[2]GAE!HZ:HZ,[2]GAE!IA:IA)</f>
        <v>ADMIN SERVICES</v>
      </c>
      <c r="AT9" t="str">
        <f>_xlfn.XLOOKUP(AU9,[2]GAE!HZ:HZ,[2]GAE!IB:IB)</f>
        <v>DOE - Supplies</v>
      </c>
      <c r="AU9" s="2" t="s">
        <v>278</v>
      </c>
      <c r="AV9" s="2">
        <v>81123102</v>
      </c>
      <c r="AW9" s="2">
        <v>52111101</v>
      </c>
      <c r="AX9" t="str">
        <f>_xlfn.XLOOKUP(AU9,[2]GAE!HZ:HZ,[2]GAE!IF:IF)</f>
        <v>Others</v>
      </c>
      <c r="AY9" t="str">
        <f>_xlfn.XLOOKUP(AU9,[2]GAE!HZ:HZ,[2]GAE!IG:IG)</f>
        <v>Supplies</v>
      </c>
      <c r="BC9" t="s">
        <v>6</v>
      </c>
      <c r="BD9" t="s">
        <v>279</v>
      </c>
      <c r="BF9" t="s">
        <v>7</v>
      </c>
      <c r="BG9" s="2" t="s">
        <v>6</v>
      </c>
      <c r="BH9" s="10">
        <f>SUMIFS('[1]2026'!$K:$K,'[1]2026'!$T:$T,BD9,'[1]2026'!$S:$S,BH$3,'[1]2026'!$P:$P,AU9)</f>
        <v>0</v>
      </c>
      <c r="BI9" s="10">
        <f>SUMIFS('[1]2026'!$K:$K,'[1]2026'!$T:$T,$BD9,'[1]2026'!$S:$S,BI$3,'[1]2026'!$P:$P,$AU9)</f>
        <v>117689.73</v>
      </c>
      <c r="BJ9" s="10">
        <f>SUMIFS('[1]2026'!$K:$K,'[1]2026'!$T:$T,$BD9,'[1]2026'!$S:$S,BJ$3,'[1]2026'!$P:$P,$AU9)</f>
        <v>107517.47000000006</v>
      </c>
      <c r="BK9" s="10">
        <f>SUMIFS('[1]2026'!$K:$K,'[1]2026'!$T:$T,$BD9,'[1]2026'!$S:$S,BK$3,'[1]2026'!$P:$P,$AU9)</f>
        <v>62112.43</v>
      </c>
      <c r="BL9" s="10">
        <f>SUMIFS('[1]2026'!$K:$K,'[1]2026'!$T:$T,$BD9,'[1]2026'!$S:$S,BL$3,'[1]2026'!$P:$P,$AU9)</f>
        <v>55074.650000000009</v>
      </c>
      <c r="BM9" s="10">
        <f>SUMIFS('[1]2026'!$K:$K,'[1]2026'!$T:$T,$BD9,'[1]2026'!$S:$S,BM$3,'[1]2026'!$P:$P,$AU9)</f>
        <v>151002.12</v>
      </c>
      <c r="BN9" s="10">
        <f>SUMIFS('[1]2026'!$K:$K,'[1]2026'!$T:$T,$BD9,'[1]2026'!$S:$S,BN$3,'[1]2026'!$P:$P,$AU9)</f>
        <v>49534.86</v>
      </c>
      <c r="BO9" s="10">
        <f>SUMIFS('[1]2026'!$K:$K,'[1]2026'!$T:$T,$BD9,'[1]2026'!$S:$S,BO$3,'[1]2026'!$P:$P,$AU9)</f>
        <v>111235.44999999998</v>
      </c>
      <c r="BP9" s="6"/>
      <c r="BQ9" s="6"/>
      <c r="BR9" s="6"/>
      <c r="BS9" s="6"/>
      <c r="BT9" s="6">
        <f t="shared" si="10"/>
        <v>654166.71000000008</v>
      </c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>
        <f t="shared" si="11"/>
        <v>654166.71000000008</v>
      </c>
    </row>
    <row r="10" spans="1:87" hidden="1" x14ac:dyDescent="0.35">
      <c r="A10" s="3" t="s">
        <v>280</v>
      </c>
      <c r="B10" s="10">
        <v>8333.3333333333339</v>
      </c>
      <c r="C10" s="10">
        <v>8333.3333333333339</v>
      </c>
      <c r="D10" s="10">
        <v>8333.3333333333339</v>
      </c>
      <c r="E10" s="10">
        <v>8333.3333333333339</v>
      </c>
      <c r="F10" s="10">
        <v>8333.3333333333339</v>
      </c>
      <c r="G10" s="10">
        <v>8333.3333333333339</v>
      </c>
      <c r="H10" s="10">
        <v>8333.3333333333339</v>
      </c>
      <c r="I10" s="10">
        <v>8333.3333333333339</v>
      </c>
      <c r="J10" s="10">
        <v>8333.3333333333339</v>
      </c>
      <c r="K10" s="10">
        <v>8333.3333333333339</v>
      </c>
      <c r="L10" s="10">
        <v>8333.3333333333339</v>
      </c>
      <c r="M10" s="10">
        <v>8333.3333333333339</v>
      </c>
      <c r="N10" s="27">
        <f t="shared" si="5"/>
        <v>99999.999999999985</v>
      </c>
      <c r="O10" s="10">
        <v>4331.7796683589486</v>
      </c>
      <c r="P10" s="10">
        <v>4331.7796683589486</v>
      </c>
      <c r="Q10" s="10">
        <v>4331.7796683589486</v>
      </c>
      <c r="R10" s="10">
        <v>4331.7796683589486</v>
      </c>
      <c r="S10" s="10">
        <v>4331.7796683589486</v>
      </c>
      <c r="T10" s="10">
        <v>4331.7796683589486</v>
      </c>
      <c r="U10" s="10">
        <v>4331.7796683589486</v>
      </c>
      <c r="V10" s="10">
        <v>4331.7796683589486</v>
      </c>
      <c r="W10" s="10">
        <v>4331.7796683589486</v>
      </c>
      <c r="X10" s="10">
        <v>4331.7796683589486</v>
      </c>
      <c r="Y10" s="10">
        <v>4331.7796683589486</v>
      </c>
      <c r="Z10" s="10">
        <v>4331.7796683589486</v>
      </c>
      <c r="AA10" s="27">
        <f t="shared" si="6"/>
        <v>51981.356020307379</v>
      </c>
      <c r="AB10" s="10">
        <f t="shared" si="7"/>
        <v>4001.5536649743854</v>
      </c>
      <c r="AC10" s="10">
        <f t="shared" si="7"/>
        <v>4001.5536649743854</v>
      </c>
      <c r="AD10" s="10">
        <f t="shared" si="7"/>
        <v>4001.5536649743854</v>
      </c>
      <c r="AE10" s="10">
        <f t="shared" si="7"/>
        <v>4001.5536649743854</v>
      </c>
      <c r="AF10" s="10">
        <f t="shared" si="7"/>
        <v>4001.5536649743854</v>
      </c>
      <c r="AG10" s="10">
        <f t="shared" si="7"/>
        <v>4001.5536649743854</v>
      </c>
      <c r="AH10" s="10">
        <f t="shared" si="7"/>
        <v>4001.5536649743854</v>
      </c>
      <c r="AI10" s="10">
        <f t="shared" si="7"/>
        <v>4001.5536649743854</v>
      </c>
      <c r="AJ10" s="10">
        <f t="shared" si="7"/>
        <v>4001.5536649743854</v>
      </c>
      <c r="AK10" s="10">
        <f t="shared" si="7"/>
        <v>4001.5536649743854</v>
      </c>
      <c r="AL10" s="10">
        <f t="shared" si="7"/>
        <v>4001.5536649743854</v>
      </c>
      <c r="AM10" s="10">
        <f t="shared" si="7"/>
        <v>4001.5536649743854</v>
      </c>
      <c r="AN10" s="27">
        <f t="shared" si="7"/>
        <v>48018.643979692606</v>
      </c>
      <c r="AS10" t="str">
        <f>_xlfn.XLOOKUP(AU10,[2]GAE!HZ:HZ,[2]GAE!IA:IA)</f>
        <v>ADMIN SERVICES</v>
      </c>
      <c r="AT10" t="str">
        <f>_xlfn.XLOOKUP(AU10,[2]GAE!HZ:HZ,[2]GAE!IB:IB)</f>
        <v>GAE - Low Value Assets</v>
      </c>
      <c r="AU10" t="s">
        <v>281</v>
      </c>
      <c r="AV10">
        <v>80123102</v>
      </c>
      <c r="AW10">
        <v>61111102</v>
      </c>
      <c r="AX10" t="str">
        <f>_xlfn.XLOOKUP(AU10,[2]GAE!HZ:HZ,[2]GAE!IF:IF)</f>
        <v>Others</v>
      </c>
      <c r="AY10" t="str">
        <f>_xlfn.XLOOKUP(AU10,[2]GAE!HZ:HZ,[2]GAE!IG:IG)</f>
        <v>Supplies</v>
      </c>
      <c r="BF10" t="s">
        <v>8</v>
      </c>
      <c r="BG10" s="2" t="s">
        <v>9</v>
      </c>
      <c r="BH10" s="10">
        <f>SUMIFS('[1]2026'!$K:$K,'[1]2026'!$T:$T,BD10,'[1]2026'!$S:$S,BH$3,'[1]2026'!$P:$P,AU10)</f>
        <v>0</v>
      </c>
      <c r="BI10" s="10">
        <f>SUMIFS('[1]2026'!$K:$K,'[1]2026'!$T:$T,$BD10,'[1]2026'!$S:$S,BI$3,'[1]2026'!$P:$P,$AU10)</f>
        <v>0</v>
      </c>
      <c r="BJ10" s="10">
        <f>SUMIFS('[1]2026'!$K:$K,'[1]2026'!$T:$T,$BD10,'[1]2026'!$S:$S,BJ$3,'[1]2026'!$P:$P,$AU10)</f>
        <v>0</v>
      </c>
      <c r="BK10" s="10">
        <f>SUMIFS('[1]2026'!$K:$K,'[1]2026'!$T:$T,$BD10,'[1]2026'!$S:$S,BK$3,'[1]2026'!$P:$P,$AU10)</f>
        <v>0</v>
      </c>
      <c r="BL10" s="10">
        <f>SUMIFS('[1]2026'!$K:$K,'[1]2026'!$T:$T,$BD10,'[1]2026'!$S:$S,BL$3,'[1]2026'!$P:$P,$AU10)</f>
        <v>0</v>
      </c>
      <c r="BM10" s="10">
        <f>SUMIFS('[1]2026'!$K:$K,'[1]2026'!$T:$T,$BD10,'[1]2026'!$S:$S,BM$3,'[1]2026'!$P:$P,$AU10)</f>
        <v>0</v>
      </c>
      <c r="BN10" s="10">
        <f>SUMIFS('[1]2026'!$K:$K,'[1]2026'!$T:$T,$BD10,'[1]2026'!$S:$S,BN$3,'[1]2026'!$P:$P,$AU10)</f>
        <v>0</v>
      </c>
      <c r="BO10" s="10">
        <f>SUMIFS('[1]2026'!$K:$K,'[1]2026'!$T:$T,$BD10,'[1]2026'!$S:$S,BO$3,'[1]2026'!$P:$P,$AU10)</f>
        <v>0</v>
      </c>
      <c r="BP10" s="6"/>
      <c r="BQ10" s="6"/>
      <c r="BR10" s="6"/>
      <c r="BS10" s="6"/>
      <c r="BT10" s="6">
        <f t="shared" si="10"/>
        <v>0</v>
      </c>
      <c r="BV10" s="6">
        <f t="shared" ref="BV10:CG10" si="13">BH10-AB10</f>
        <v>-4001.5536649743854</v>
      </c>
      <c r="BW10" s="6">
        <f t="shared" si="13"/>
        <v>-4001.5536649743854</v>
      </c>
      <c r="BX10" s="6">
        <f t="shared" si="13"/>
        <v>-4001.5536649743854</v>
      </c>
      <c r="BY10" s="6">
        <f t="shared" si="13"/>
        <v>-4001.5536649743854</v>
      </c>
      <c r="BZ10" s="6">
        <f t="shared" si="13"/>
        <v>-4001.5536649743854</v>
      </c>
      <c r="CA10" s="6">
        <f t="shared" si="13"/>
        <v>-4001.5536649743854</v>
      </c>
      <c r="CB10" s="6">
        <f t="shared" si="13"/>
        <v>-4001.5536649743854</v>
      </c>
      <c r="CC10" s="6">
        <f t="shared" si="13"/>
        <v>-4001.5536649743854</v>
      </c>
      <c r="CD10" s="6">
        <f t="shared" si="13"/>
        <v>-4001.5536649743854</v>
      </c>
      <c r="CE10" s="6">
        <f t="shared" si="13"/>
        <v>-4001.5536649743854</v>
      </c>
      <c r="CF10" s="6">
        <f t="shared" si="13"/>
        <v>-4001.5536649743854</v>
      </c>
      <c r="CG10" s="6">
        <f t="shared" si="13"/>
        <v>-4001.5536649743854</v>
      </c>
      <c r="CH10" s="6">
        <f t="shared" si="11"/>
        <v>-48018.643979692606</v>
      </c>
    </row>
    <row r="11" spans="1:87" hidden="1" x14ac:dyDescent="0.35">
      <c r="A11" t="s">
        <v>282</v>
      </c>
      <c r="AN11" s="27">
        <f>N11-AA11</f>
        <v>0</v>
      </c>
      <c r="AS11" t="str">
        <f>_xlfn.XLOOKUP(AU11,[2]GAE!HZ:HZ,[2]GAE!IA:IA)</f>
        <v>ADMIN SERVICES</v>
      </c>
      <c r="AT11" t="str">
        <f>_xlfn.XLOOKUP(AU11,[2]GAE!HZ:HZ,[2]GAE!IB:IB)</f>
        <v>DOE - Low Value Assets</v>
      </c>
      <c r="AU11" s="2" t="s">
        <v>283</v>
      </c>
      <c r="AV11" s="2">
        <v>81123102</v>
      </c>
      <c r="AW11" s="2">
        <v>52111102</v>
      </c>
      <c r="AX11" t="str">
        <f>_xlfn.XLOOKUP(AU11,[2]GAE!HZ:HZ,[2]GAE!IF:IF)</f>
        <v>Others</v>
      </c>
      <c r="AY11" t="str">
        <f>_xlfn.XLOOKUP(AU11,[2]GAE!HZ:HZ,[2]GAE!IG:IG)</f>
        <v>Supplies</v>
      </c>
      <c r="BC11" t="s">
        <v>9</v>
      </c>
      <c r="BD11" t="s">
        <v>282</v>
      </c>
      <c r="BF11" t="s">
        <v>8</v>
      </c>
      <c r="BG11" s="2" t="s">
        <v>9</v>
      </c>
      <c r="BH11" s="10">
        <f>SUMIFS('[1]2026'!$K:$K,'[1]2026'!$T:$T,BD11,'[1]2026'!$S:$S,BH$3,'[1]2026'!$P:$P,AU11)</f>
        <v>8916.9599999999991</v>
      </c>
      <c r="BI11" s="10">
        <f>SUMIFS('[1]2026'!$K:$K,'[1]2026'!$T:$T,$BD11,'[1]2026'!$S:$S,BI$3,'[1]2026'!$P:$P,$AU11)</f>
        <v>0</v>
      </c>
      <c r="BJ11" s="10">
        <f>SUMIFS('[1]2026'!$K:$K,'[1]2026'!$T:$T,$BD11,'[1]2026'!$S:$S,BJ$3,'[1]2026'!$P:$P,$AU11)</f>
        <v>0</v>
      </c>
      <c r="BK11" s="10">
        <f>SUMIFS('[1]2026'!$K:$K,'[1]2026'!$T:$T,$BD11,'[1]2026'!$S:$S,BK$3,'[1]2026'!$P:$P,$AU11)</f>
        <v>0</v>
      </c>
      <c r="BL11" s="10">
        <f>SUMIFS('[1]2026'!$K:$K,'[1]2026'!$T:$T,$BD11,'[1]2026'!$S:$S,BL$3,'[1]2026'!$P:$P,$AU11)</f>
        <v>1798</v>
      </c>
      <c r="BM11" s="10">
        <f>SUMIFS('[1]2026'!$K:$K,'[1]2026'!$T:$T,$BD11,'[1]2026'!$S:$S,BM$3,'[1]2026'!$P:$P,$AU11)</f>
        <v>0</v>
      </c>
      <c r="BN11" s="10">
        <f>SUMIFS('[1]2026'!$K:$K,'[1]2026'!$T:$T,$BD11,'[1]2026'!$S:$S,BN$3,'[1]2026'!$P:$P,$AU11)</f>
        <v>0</v>
      </c>
      <c r="BO11" s="10">
        <f>SUMIFS('[1]2026'!$K:$K,'[1]2026'!$T:$T,$BD11,'[1]2026'!$S:$S,BO$3,'[1]2026'!$P:$P,$AU11)</f>
        <v>0</v>
      </c>
      <c r="BP11" s="6"/>
      <c r="BQ11" s="6"/>
      <c r="BR11" s="6"/>
      <c r="BS11" s="6"/>
      <c r="BT11" s="6">
        <f t="shared" si="10"/>
        <v>10714.96</v>
      </c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f t="shared" si="11"/>
        <v>10714.96</v>
      </c>
    </row>
    <row r="12" spans="1:87" hidden="1" x14ac:dyDescent="0.35">
      <c r="A12" s="3" t="s">
        <v>284</v>
      </c>
      <c r="B12" s="10">
        <v>15000</v>
      </c>
      <c r="C12" s="10">
        <v>15000</v>
      </c>
      <c r="D12" s="10">
        <v>15000</v>
      </c>
      <c r="E12" s="10">
        <v>15000</v>
      </c>
      <c r="F12" s="10">
        <v>15000</v>
      </c>
      <c r="G12" s="10">
        <v>15000</v>
      </c>
      <c r="H12" s="10">
        <v>15000</v>
      </c>
      <c r="I12" s="10">
        <v>15000</v>
      </c>
      <c r="J12" s="10">
        <v>15000</v>
      </c>
      <c r="K12" s="10">
        <v>15000</v>
      </c>
      <c r="L12" s="10">
        <v>15000</v>
      </c>
      <c r="M12" s="10">
        <v>15000</v>
      </c>
      <c r="N12" s="27">
        <f t="shared" si="5"/>
        <v>180000</v>
      </c>
      <c r="O12" s="10">
        <v>7797.2034030461073</v>
      </c>
      <c r="P12" s="10">
        <v>7797.2034030461073</v>
      </c>
      <c r="Q12" s="10">
        <v>7797.2034030461073</v>
      </c>
      <c r="R12" s="10">
        <v>7797.2034030461073</v>
      </c>
      <c r="S12" s="10">
        <v>7797.2034030461073</v>
      </c>
      <c r="T12" s="10">
        <v>7797.2034030461073</v>
      </c>
      <c r="U12" s="10">
        <v>7797.2034030461073</v>
      </c>
      <c r="V12" s="10">
        <v>7797.2034030461073</v>
      </c>
      <c r="W12" s="10">
        <v>7797.2034030461073</v>
      </c>
      <c r="X12" s="10">
        <v>7797.2034030461073</v>
      </c>
      <c r="Y12" s="10">
        <v>7797.2034030461073</v>
      </c>
      <c r="Z12" s="10">
        <v>7797.2034030461073</v>
      </c>
      <c r="AA12" s="27">
        <f t="shared" si="6"/>
        <v>93566.440836553287</v>
      </c>
      <c r="AB12" s="10">
        <f t="shared" si="7"/>
        <v>7202.7965969538927</v>
      </c>
      <c r="AC12" s="10">
        <f t="shared" si="7"/>
        <v>7202.7965969538927</v>
      </c>
      <c r="AD12" s="10">
        <f t="shared" si="7"/>
        <v>7202.7965969538927</v>
      </c>
      <c r="AE12" s="10">
        <f t="shared" si="7"/>
        <v>7202.7965969538927</v>
      </c>
      <c r="AF12" s="10">
        <f t="shared" si="7"/>
        <v>7202.7965969538927</v>
      </c>
      <c r="AG12" s="10">
        <f t="shared" si="7"/>
        <v>7202.7965969538927</v>
      </c>
      <c r="AH12" s="10">
        <f t="shared" si="7"/>
        <v>7202.7965969538927</v>
      </c>
      <c r="AI12" s="10">
        <f t="shared" si="7"/>
        <v>7202.7965969538927</v>
      </c>
      <c r="AJ12" s="10">
        <f t="shared" si="7"/>
        <v>7202.7965969538927</v>
      </c>
      <c r="AK12" s="10">
        <f t="shared" si="7"/>
        <v>7202.7965969538927</v>
      </c>
      <c r="AL12" s="10">
        <f t="shared" si="7"/>
        <v>7202.7965969538927</v>
      </c>
      <c r="AM12" s="10">
        <f t="shared" si="7"/>
        <v>7202.7965969538927</v>
      </c>
      <c r="AN12" s="27">
        <f t="shared" si="7"/>
        <v>86433.559163446713</v>
      </c>
      <c r="AS12" t="str">
        <f>_xlfn.XLOOKUP(AU12,[2]GAE!HZ:HZ,[2]GAE!IA:IA)</f>
        <v>ADMIN SERVICES</v>
      </c>
      <c r="AT12" t="str">
        <f>_xlfn.XLOOKUP(AU12,[2]GAE!HZ:HZ,[2]GAE!IB:IB)</f>
        <v>GAE - Fuel &amp; Lubricants</v>
      </c>
      <c r="AU12" t="s">
        <v>285</v>
      </c>
      <c r="AV12">
        <v>80123102</v>
      </c>
      <c r="AW12">
        <v>61111201</v>
      </c>
      <c r="AX12" t="str">
        <f>_xlfn.XLOOKUP(AU12,[2]GAE!HZ:HZ,[2]GAE!IF:IF)</f>
        <v>Others</v>
      </c>
      <c r="AY12" t="str">
        <f>_xlfn.XLOOKUP(AU12,[2]GAE!HZ:HZ,[2]GAE!IG:IG)</f>
        <v>Supplies</v>
      </c>
      <c r="BF12" t="s">
        <v>10</v>
      </c>
      <c r="BG12" s="2" t="s">
        <v>12</v>
      </c>
      <c r="BH12" s="10">
        <f>SUMIFS('[1]2026'!$K:$K,'[1]2026'!$T:$T,BD12,'[1]2026'!$S:$S,BH$3,'[1]2026'!$P:$P,AU12)</f>
        <v>0</v>
      </c>
      <c r="BI12" s="10">
        <f>SUMIFS('[1]2026'!$K:$K,'[1]2026'!$T:$T,$BD12,'[1]2026'!$S:$S,BI$3,'[1]2026'!$P:$P,$AU12)</f>
        <v>0</v>
      </c>
      <c r="BJ12" s="10">
        <f>SUMIFS('[1]2026'!$K:$K,'[1]2026'!$T:$T,$BD12,'[1]2026'!$S:$S,BJ$3,'[1]2026'!$P:$P,$AU12)</f>
        <v>0</v>
      </c>
      <c r="BK12" s="10">
        <f>SUMIFS('[1]2026'!$K:$K,'[1]2026'!$T:$T,$BD12,'[1]2026'!$S:$S,BK$3,'[1]2026'!$P:$P,$AU12)</f>
        <v>0</v>
      </c>
      <c r="BL12" s="10">
        <f>SUMIFS('[1]2026'!$K:$K,'[1]2026'!$T:$T,$BD12,'[1]2026'!$S:$S,BL$3,'[1]2026'!$P:$P,$AU12)</f>
        <v>0</v>
      </c>
      <c r="BM12" s="10">
        <f>SUMIFS('[1]2026'!$K:$K,'[1]2026'!$T:$T,$BD12,'[1]2026'!$S:$S,BM$3,'[1]2026'!$P:$P,$AU12)</f>
        <v>0</v>
      </c>
      <c r="BN12" s="10">
        <f>SUMIFS('[1]2026'!$K:$K,'[1]2026'!$T:$T,$BD12,'[1]2026'!$S:$S,BN$3,'[1]2026'!$P:$P,$AU12)</f>
        <v>0</v>
      </c>
      <c r="BO12" s="10">
        <f>SUMIFS('[1]2026'!$K:$K,'[1]2026'!$T:$T,$BD12,'[1]2026'!$S:$S,BO$3,'[1]2026'!$P:$P,$AU12)</f>
        <v>0</v>
      </c>
      <c r="BP12" s="6"/>
      <c r="BQ12" s="6"/>
      <c r="BR12" s="6"/>
      <c r="BS12" s="6"/>
      <c r="BT12" s="6">
        <f t="shared" si="10"/>
        <v>0</v>
      </c>
      <c r="BV12" s="6">
        <f t="shared" ref="BV12:CG13" si="14">BH12-AB12</f>
        <v>-7202.7965969538927</v>
      </c>
      <c r="BW12" s="6">
        <f t="shared" si="14"/>
        <v>-7202.7965969538927</v>
      </c>
      <c r="BX12" s="6">
        <f t="shared" si="14"/>
        <v>-7202.7965969538927</v>
      </c>
      <c r="BY12" s="6">
        <f t="shared" si="14"/>
        <v>-7202.7965969538927</v>
      </c>
      <c r="BZ12" s="6">
        <f t="shared" si="14"/>
        <v>-7202.7965969538927</v>
      </c>
      <c r="CA12" s="6">
        <f t="shared" si="14"/>
        <v>-7202.7965969538927</v>
      </c>
      <c r="CB12" s="6">
        <f t="shared" si="14"/>
        <v>-7202.7965969538927</v>
      </c>
      <c r="CC12" s="6">
        <f t="shared" si="14"/>
        <v>-7202.7965969538927</v>
      </c>
      <c r="CD12" s="6">
        <f t="shared" si="14"/>
        <v>-7202.7965969538927</v>
      </c>
      <c r="CE12" s="6">
        <f t="shared" si="14"/>
        <v>-7202.7965969538927</v>
      </c>
      <c r="CF12" s="6">
        <f t="shared" si="14"/>
        <v>-7202.7965969538927</v>
      </c>
      <c r="CG12" s="6">
        <f t="shared" si="14"/>
        <v>-7202.7965969538927</v>
      </c>
      <c r="CH12" s="6">
        <f t="shared" si="11"/>
        <v>-86433.559163446713</v>
      </c>
    </row>
    <row r="13" spans="1:87" hidden="1" x14ac:dyDescent="0.35">
      <c r="A13" s="3" t="s">
        <v>286</v>
      </c>
      <c r="B13" s="10">
        <v>100000</v>
      </c>
      <c r="C13" s="10">
        <v>100000</v>
      </c>
      <c r="D13" s="10">
        <v>100000</v>
      </c>
      <c r="E13" s="10">
        <v>100000</v>
      </c>
      <c r="F13" s="10">
        <v>100000</v>
      </c>
      <c r="G13" s="10">
        <v>100000</v>
      </c>
      <c r="H13" s="10">
        <v>100000</v>
      </c>
      <c r="I13" s="10">
        <v>100000</v>
      </c>
      <c r="J13" s="10">
        <v>100000</v>
      </c>
      <c r="K13" s="10">
        <v>100000</v>
      </c>
      <c r="L13" s="10">
        <v>100000</v>
      </c>
      <c r="M13" s="10">
        <v>100000</v>
      </c>
      <c r="N13" s="27">
        <f t="shared" si="5"/>
        <v>1200000</v>
      </c>
      <c r="O13" s="10">
        <v>51981.356020307379</v>
      </c>
      <c r="P13" s="10">
        <v>51981.356020307379</v>
      </c>
      <c r="Q13" s="10">
        <v>51981.356020307379</v>
      </c>
      <c r="R13" s="10">
        <v>51981.356020307379</v>
      </c>
      <c r="S13" s="10">
        <v>51981.356020307379</v>
      </c>
      <c r="T13" s="10">
        <v>51981.356020307379</v>
      </c>
      <c r="U13" s="10">
        <v>51981.356020307379</v>
      </c>
      <c r="V13" s="10">
        <v>51981.356020307379</v>
      </c>
      <c r="W13" s="10">
        <v>51981.356020307379</v>
      </c>
      <c r="X13" s="10">
        <v>51981.356020307379</v>
      </c>
      <c r="Y13" s="10">
        <v>51981.356020307379</v>
      </c>
      <c r="Z13" s="10">
        <v>51981.356020307379</v>
      </c>
      <c r="AA13" s="27">
        <f t="shared" si="6"/>
        <v>623776.2722436887</v>
      </c>
      <c r="AB13" s="10">
        <f t="shared" si="7"/>
        <v>48018.643979692621</v>
      </c>
      <c r="AC13" s="10">
        <f t="shared" si="7"/>
        <v>48018.643979692621</v>
      </c>
      <c r="AD13" s="10">
        <f t="shared" si="7"/>
        <v>48018.643979692621</v>
      </c>
      <c r="AE13" s="10">
        <f t="shared" si="7"/>
        <v>48018.643979692621</v>
      </c>
      <c r="AF13" s="10">
        <f t="shared" si="7"/>
        <v>48018.643979692621</v>
      </c>
      <c r="AG13" s="10">
        <f t="shared" si="7"/>
        <v>48018.643979692621</v>
      </c>
      <c r="AH13" s="10">
        <f t="shared" si="7"/>
        <v>48018.643979692621</v>
      </c>
      <c r="AI13" s="10">
        <f t="shared" si="7"/>
        <v>48018.643979692621</v>
      </c>
      <c r="AJ13" s="10">
        <f t="shared" si="7"/>
        <v>48018.643979692621</v>
      </c>
      <c r="AK13" s="10">
        <f t="shared" si="7"/>
        <v>48018.643979692621</v>
      </c>
      <c r="AL13" s="10">
        <f t="shared" si="7"/>
        <v>48018.643979692621</v>
      </c>
      <c r="AM13" s="10">
        <f t="shared" si="7"/>
        <v>48018.643979692621</v>
      </c>
      <c r="AN13" s="27">
        <f t="shared" si="7"/>
        <v>576223.7277563113</v>
      </c>
      <c r="AS13" t="str">
        <f>_xlfn.XLOOKUP(AU13,[2]GAE!HZ:HZ,[2]GAE!IA:IA)</f>
        <v>ADMIN SERVICES</v>
      </c>
      <c r="AT13" t="str">
        <f>_xlfn.XLOOKUP(AU13,[2]GAE!HZ:HZ,[2]GAE!IB:IB)</f>
        <v>GAE - Fuel &amp; Lubricants</v>
      </c>
      <c r="AU13" t="s">
        <v>285</v>
      </c>
      <c r="AV13">
        <v>80123102</v>
      </c>
      <c r="AW13">
        <v>61111201</v>
      </c>
      <c r="AX13" t="str">
        <f>_xlfn.XLOOKUP(AU13,[2]GAE!HZ:HZ,[2]GAE!IF:IF)</f>
        <v>Others</v>
      </c>
      <c r="AY13" t="str">
        <f>_xlfn.XLOOKUP(AU13,[2]GAE!HZ:HZ,[2]GAE!IG:IG)</f>
        <v>Supplies</v>
      </c>
      <c r="BC13" t="s">
        <v>11</v>
      </c>
      <c r="BD13" t="s">
        <v>287</v>
      </c>
      <c r="BF13" t="s">
        <v>10</v>
      </c>
      <c r="BG13" s="2" t="s">
        <v>11</v>
      </c>
      <c r="BH13" s="10">
        <f>SUMIFS('[1]2026'!$K:$K,'[1]2026'!$T:$T,BD13,'[1]2026'!$S:$S,BH$3,'[1]2026'!$P:$P,AU13)</f>
        <v>48012.45</v>
      </c>
      <c r="BI13" s="10">
        <f>SUMIFS('[1]2026'!$K:$K,'[1]2026'!$T:$T,$BD13,'[1]2026'!$S:$S,BI$3,'[1]2026'!$P:$P,$AU13)</f>
        <v>77544.69</v>
      </c>
      <c r="BJ13" s="10">
        <f>SUMIFS('[1]2026'!$K:$K,'[1]2026'!$T:$T,$BD13,'[1]2026'!$S:$S,BJ$3,'[1]2026'!$P:$P,$AU13)</f>
        <v>102713.66</v>
      </c>
      <c r="BK13" s="10">
        <f>SUMIFS('[1]2026'!$K:$K,'[1]2026'!$T:$T,$BD13,'[1]2026'!$S:$S,BK$3,'[1]2026'!$P:$P,$AU13)</f>
        <v>103946.2</v>
      </c>
      <c r="BL13" s="10">
        <f>SUMIFS('[1]2026'!$K:$K,'[1]2026'!$T:$T,$BD13,'[1]2026'!$S:$S,BL$3,'[1]2026'!$P:$P,$AU13)</f>
        <v>118138.21</v>
      </c>
      <c r="BM13" s="10">
        <f>SUMIFS('[1]2026'!$K:$K,'[1]2026'!$T:$T,$BD13,'[1]2026'!$S:$S,BM$3,'[1]2026'!$P:$P,$AU13)</f>
        <v>66950.689999999988</v>
      </c>
      <c r="BN13" s="10">
        <f>SUMIFS('[1]2026'!$K:$K,'[1]2026'!$T:$T,$BD13,'[1]2026'!$S:$S,BN$3,'[1]2026'!$P:$P,$AU13)</f>
        <v>83494.149999999994</v>
      </c>
      <c r="BO13" s="10">
        <f>SUMIFS('[1]2026'!$K:$K,'[1]2026'!$T:$T,$BD13,'[1]2026'!$S:$S,BO$3,'[1]2026'!$P:$P,$AU13)</f>
        <v>80868.01999999999</v>
      </c>
      <c r="BP13" s="6"/>
      <c r="BQ13" s="6"/>
      <c r="BR13" s="6"/>
      <c r="BS13" s="6"/>
      <c r="BT13" s="6">
        <f t="shared" si="10"/>
        <v>681668.07000000007</v>
      </c>
      <c r="BV13" s="6">
        <f t="shared" si="14"/>
        <v>-6.1939796926235431</v>
      </c>
      <c r="BW13" s="6">
        <f t="shared" si="14"/>
        <v>29526.046020307382</v>
      </c>
      <c r="BX13" s="6">
        <f t="shared" si="14"/>
        <v>54695.016020307383</v>
      </c>
      <c r="BY13" s="6">
        <f t="shared" si="14"/>
        <v>55927.556020307376</v>
      </c>
      <c r="BZ13" s="6">
        <f t="shared" si="14"/>
        <v>70119.566020307393</v>
      </c>
      <c r="CA13" s="6">
        <f t="shared" si="14"/>
        <v>18932.046020307367</v>
      </c>
      <c r="CB13" s="6">
        <f t="shared" si="14"/>
        <v>35475.506020307374</v>
      </c>
      <c r="CC13" s="6">
        <f t="shared" si="14"/>
        <v>32849.376020307369</v>
      </c>
      <c r="CD13" s="6">
        <f t="shared" si="14"/>
        <v>-48018.643979692621</v>
      </c>
      <c r="CE13" s="6">
        <f t="shared" si="14"/>
        <v>-48018.643979692621</v>
      </c>
      <c r="CF13" s="6">
        <f t="shared" si="14"/>
        <v>-48018.643979692621</v>
      </c>
      <c r="CG13" s="6">
        <f t="shared" si="14"/>
        <v>-48018.643979692621</v>
      </c>
      <c r="CH13" s="6">
        <f t="shared" si="11"/>
        <v>105444.34224368876</v>
      </c>
    </row>
    <row r="14" spans="1:87" hidden="1" x14ac:dyDescent="0.35">
      <c r="A14" s="2" t="s">
        <v>288</v>
      </c>
      <c r="AN14" s="27">
        <f t="shared" si="7"/>
        <v>0</v>
      </c>
      <c r="AS14" t="str">
        <f>_xlfn.XLOOKUP(AU14,[2]GAE!HZ:HZ,[2]GAE!IA:IA)</f>
        <v>ADMIN SERVICES</v>
      </c>
      <c r="AT14" t="str">
        <f>_xlfn.XLOOKUP(AU14,[2]GAE!HZ:HZ,[2]GAE!IB:IB)</f>
        <v>DOE - Fuel &amp; Lubricants</v>
      </c>
      <c r="AU14" s="2" t="s">
        <v>289</v>
      </c>
      <c r="AV14" s="2">
        <v>81123102</v>
      </c>
      <c r="AW14" s="2">
        <v>52119101</v>
      </c>
      <c r="AX14" t="str">
        <f>_xlfn.XLOOKUP(AU14,[2]GAE!HZ:HZ,[2]GAE!IF:IF)</f>
        <v>Others</v>
      </c>
      <c r="AY14" t="str">
        <f>_xlfn.XLOOKUP(AU14,[2]GAE!HZ:HZ,[2]GAE!IG:IG)</f>
        <v>Supplies</v>
      </c>
      <c r="BC14" t="s">
        <v>12</v>
      </c>
      <c r="BD14" s="2" t="s">
        <v>288</v>
      </c>
      <c r="BE14" s="2"/>
      <c r="BF14" t="s">
        <v>10</v>
      </c>
      <c r="BG14" s="2" t="s">
        <v>12</v>
      </c>
      <c r="BH14" s="10">
        <f>SUMIFS('[1]2026'!$K:$K,'[1]2026'!$T:$T,BD14,'[1]2026'!$S:$S,BH$3,'[1]2026'!$P:$P,AU14)</f>
        <v>0</v>
      </c>
      <c r="BI14" s="10">
        <f>SUMIFS('[1]2026'!$K:$K,'[1]2026'!$T:$T,$BD14,'[1]2026'!$S:$S,BI$3,'[1]2026'!$P:$P,$AU14)</f>
        <v>0</v>
      </c>
      <c r="BJ14" s="10">
        <f>SUMIFS('[1]2026'!$K:$K,'[1]2026'!$T:$T,$BD14,'[1]2026'!$S:$S,BJ$3,'[1]2026'!$P:$P,$AU14)</f>
        <v>0</v>
      </c>
      <c r="BK14" s="10">
        <f>SUMIFS('[1]2026'!$K:$K,'[1]2026'!$T:$T,$BD14,'[1]2026'!$S:$S,BK$3,'[1]2026'!$P:$P,$AU14)</f>
        <v>6606.96</v>
      </c>
      <c r="BL14" s="10">
        <f>SUMIFS('[1]2026'!$K:$K,'[1]2026'!$T:$T,$BD14,'[1]2026'!$S:$S,BL$3,'[1]2026'!$P:$P,$AU14)</f>
        <v>14250.56</v>
      </c>
      <c r="BM14" s="10">
        <f>SUMIFS('[1]2026'!$K:$K,'[1]2026'!$T:$T,$BD14,'[1]2026'!$S:$S,BM$3,'[1]2026'!$P:$P,$AU14)</f>
        <v>8190</v>
      </c>
      <c r="BN14" s="10">
        <f>SUMIFS('[1]2026'!$K:$K,'[1]2026'!$T:$T,$BD14,'[1]2026'!$S:$S,BN$3,'[1]2026'!$P:$P,$AU14)</f>
        <v>10181</v>
      </c>
      <c r="BO14" s="10">
        <f>SUMIFS('[1]2026'!$K:$K,'[1]2026'!$T:$T,$BD14,'[1]2026'!$S:$S,BO$3,'[1]2026'!$P:$P,$AU14)</f>
        <v>5823</v>
      </c>
      <c r="BP14" s="6"/>
      <c r="BQ14" s="6"/>
      <c r="BR14" s="6"/>
      <c r="BS14" s="6"/>
      <c r="BT14" s="6">
        <f t="shared" si="10"/>
        <v>45051.520000000004</v>
      </c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f t="shared" si="11"/>
        <v>45051.520000000004</v>
      </c>
    </row>
    <row r="15" spans="1:87" hidden="1" x14ac:dyDescent="0.35">
      <c r="A15" t="s">
        <v>290</v>
      </c>
      <c r="AN15" s="27">
        <f t="shared" si="7"/>
        <v>0</v>
      </c>
      <c r="AS15" t="str">
        <f>_xlfn.XLOOKUP(AU15,[2]GAE!HZ:HZ,[2]GAE!IA:IA)</f>
        <v>GSC OLD BLDGS</v>
      </c>
      <c r="AT15" t="str">
        <f>_xlfn.XLOOKUP(AU15,[2]GAE!HZ:HZ,[2]GAE!IB:IB)</f>
        <v>GAE - Office Supplies</v>
      </c>
      <c r="AU15" t="s">
        <v>291</v>
      </c>
      <c r="AV15">
        <v>81221201</v>
      </c>
      <c r="AW15">
        <v>61111101</v>
      </c>
      <c r="AX15" t="str">
        <f>_xlfn.XLOOKUP(AU15,[2]GAE!HZ:HZ,[2]GAE!IF:IF)</f>
        <v>Others</v>
      </c>
      <c r="AY15" t="str">
        <f>_xlfn.XLOOKUP(AU15,[2]GAE!HZ:HZ,[2]GAE!IG:IG)</f>
        <v>Supplies</v>
      </c>
      <c r="BC15" t="s">
        <v>14</v>
      </c>
      <c r="BD15" t="s">
        <v>290</v>
      </c>
      <c r="BF15" t="s">
        <v>13</v>
      </c>
      <c r="BG15" s="2" t="s">
        <v>14</v>
      </c>
      <c r="BH15" s="10">
        <f>SUMIFS('[1]2026'!$K:$K,'[1]2026'!$T:$T,BD15,'[1]2026'!$S:$S,BH$3,'[1]2026'!$P:$P,AU15)</f>
        <v>20914.28</v>
      </c>
      <c r="BI15" s="10">
        <f>SUMIFS('[1]2026'!$K:$K,'[1]2026'!$T:$T,$BD15,'[1]2026'!$S:$S,BI$3,'[1]2026'!$P:$P,$AU15)</f>
        <v>0</v>
      </c>
      <c r="BJ15" s="10">
        <f>SUMIFS('[1]2026'!$K:$K,'[1]2026'!$T:$T,$BD15,'[1]2026'!$S:$S,BJ$3,'[1]2026'!$P:$P,$AU15)</f>
        <v>0</v>
      </c>
      <c r="BK15" s="10">
        <f>SUMIFS('[1]2026'!$K:$K,'[1]2026'!$T:$T,$BD15,'[1]2026'!$S:$S,BK$3,'[1]2026'!$P:$P,$AU15)</f>
        <v>0</v>
      </c>
      <c r="BL15" s="10">
        <f>SUMIFS('[1]2026'!$K:$K,'[1]2026'!$T:$T,$BD15,'[1]2026'!$S:$S,BL$3,'[1]2026'!$P:$P,$AU15)</f>
        <v>15445.169999999998</v>
      </c>
      <c r="BM15" s="10">
        <f>SUMIFS('[1]2026'!$K:$K,'[1]2026'!$T:$T,$BD15,'[1]2026'!$S:$S,BM$3,'[1]2026'!$P:$P,$AU15)</f>
        <v>0</v>
      </c>
      <c r="BN15" s="10">
        <f>SUMIFS('[1]2026'!$K:$K,'[1]2026'!$T:$T,$BD15,'[1]2026'!$S:$S,BN$3,'[1]2026'!$P:$P,$AU15)</f>
        <v>0</v>
      </c>
      <c r="BO15" s="10">
        <f>SUMIFS('[1]2026'!$K:$K,'[1]2026'!$T:$T,$BD15,'[1]2026'!$S:$S,BO$3,'[1]2026'!$P:$P,$AU15)</f>
        <v>0</v>
      </c>
      <c r="BP15" s="6"/>
      <c r="BQ15" s="6"/>
      <c r="BR15" s="6"/>
      <c r="BS15" s="6"/>
      <c r="BT15" s="6">
        <f t="shared" si="10"/>
        <v>36359.449999999997</v>
      </c>
      <c r="BV15" s="6">
        <f t="shared" ref="BV15:CG15" si="15">BH15-AB15</f>
        <v>20914.28</v>
      </c>
      <c r="BW15" s="6">
        <f t="shared" si="15"/>
        <v>0</v>
      </c>
      <c r="BX15" s="6">
        <f t="shared" si="15"/>
        <v>0</v>
      </c>
      <c r="BY15" s="6">
        <f t="shared" si="15"/>
        <v>0</v>
      </c>
      <c r="BZ15" s="6">
        <f t="shared" si="15"/>
        <v>15445.169999999998</v>
      </c>
      <c r="CA15" s="6">
        <f t="shared" si="15"/>
        <v>0</v>
      </c>
      <c r="CB15" s="6">
        <f t="shared" si="15"/>
        <v>0</v>
      </c>
      <c r="CC15" s="6">
        <f t="shared" si="15"/>
        <v>0</v>
      </c>
      <c r="CD15" s="6">
        <f t="shared" si="15"/>
        <v>0</v>
      </c>
      <c r="CE15" s="6">
        <f t="shared" si="15"/>
        <v>0</v>
      </c>
      <c r="CF15" s="6">
        <f t="shared" si="15"/>
        <v>0</v>
      </c>
      <c r="CG15" s="6">
        <f t="shared" si="15"/>
        <v>0</v>
      </c>
      <c r="CH15" s="6">
        <f t="shared" si="11"/>
        <v>36359.449999999997</v>
      </c>
    </row>
    <row r="16" spans="1:87" hidden="1" x14ac:dyDescent="0.35">
      <c r="A16"/>
      <c r="AN16" s="27">
        <f t="shared" si="7"/>
        <v>0</v>
      </c>
      <c r="AS16" t="str">
        <f>_xlfn.XLOOKUP(AU16,[2]GAE!HZ:HZ,[2]GAE!IA:IA)</f>
        <v>GSC OLD BLDGS</v>
      </c>
      <c r="AT16" t="str">
        <f>_xlfn.XLOOKUP(AU16,[2]GAE!HZ:HZ,[2]GAE!IB:IB)</f>
        <v>GAE - Office Supplies</v>
      </c>
      <c r="AU16" t="s">
        <v>291</v>
      </c>
      <c r="AV16">
        <v>81221201</v>
      </c>
      <c r="AW16">
        <v>61111101</v>
      </c>
      <c r="AX16" t="str">
        <f>_xlfn.XLOOKUP(AU16,[2]GAE!HZ:HZ,[2]GAE!IF:IF)</f>
        <v>Others</v>
      </c>
      <c r="AY16" t="str">
        <f>_xlfn.XLOOKUP(AU16,[2]GAE!HZ:HZ,[2]GAE!IG:IG)</f>
        <v>Supplies</v>
      </c>
      <c r="BC16" t="s">
        <v>6</v>
      </c>
      <c r="BD16" t="s">
        <v>6</v>
      </c>
      <c r="BF16" t="s">
        <v>7</v>
      </c>
      <c r="BG16" s="2" t="s">
        <v>6</v>
      </c>
      <c r="BN16" s="10">
        <f>SUMIFS('[1]2026'!$K:$K,'[1]2026'!$T:$T,$BD16,'[1]2026'!$S:$S,BN$3,'[1]2026'!$P:$P,$AU16)</f>
        <v>-566.15000000000271</v>
      </c>
      <c r="BO16" s="10">
        <f>SUMIFS('[1]2026'!$K:$K,'[1]2026'!$T:$T,$BD16,'[1]2026'!$S:$S,BO$3,'[1]2026'!$P:$P,$AU16)</f>
        <v>0</v>
      </c>
      <c r="BP16" s="6"/>
      <c r="BQ16" s="6"/>
      <c r="BR16" s="6"/>
      <c r="BS16" s="6"/>
      <c r="BT16" s="6">
        <f t="shared" si="10"/>
        <v>-566.15000000000271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>
        <f t="shared" si="11"/>
        <v>-566.15000000000271</v>
      </c>
    </row>
    <row r="17" spans="1:86" hidden="1" x14ac:dyDescent="0.35">
      <c r="A17" s="3" t="s">
        <v>292</v>
      </c>
      <c r="AN17" s="27">
        <f t="shared" si="7"/>
        <v>0</v>
      </c>
      <c r="AS17" t="str">
        <f>_xlfn.XLOOKUP(AU17,[2]GAE!HZ:HZ,[2]GAE!IA:IA)</f>
        <v>OMD OPERATIONS</v>
      </c>
      <c r="AT17" t="str">
        <f>_xlfn.XLOOKUP(AU17,[2]GAE!HZ:HZ,[2]GAE!IB:IB)</f>
        <v>DOE - Supplies</v>
      </c>
      <c r="AU17" s="2" t="s">
        <v>293</v>
      </c>
      <c r="AV17" s="2">
        <v>81319101</v>
      </c>
      <c r="AW17" s="2">
        <v>52111101</v>
      </c>
      <c r="AX17" t="str">
        <f>_xlfn.XLOOKUP(AU17,[2]GAE!HZ:HZ,[2]GAE!IF:IF)</f>
        <v>Others</v>
      </c>
      <c r="AY17" t="str">
        <f>_xlfn.XLOOKUP(AU17,[2]GAE!HZ:HZ,[2]GAE!IG:IG)</f>
        <v>Supplies</v>
      </c>
      <c r="BC17" t="s">
        <v>294</v>
      </c>
      <c r="BD17" t="s">
        <v>292</v>
      </c>
      <c r="BF17" s="37" t="s">
        <v>1263</v>
      </c>
      <c r="BG17" s="37" t="s">
        <v>1263</v>
      </c>
      <c r="BL17" s="10">
        <f>SUMIFS('[1]2026'!$K:$K,'[1]2026'!$T:$T,$BD17,'[1]2026'!$S:$S,BL$3,'[1]2026'!$P:$P,$AU17)</f>
        <v>98214.29</v>
      </c>
      <c r="BM17" s="10">
        <f>SUMIFS('[1]2026'!$K:$K,'[1]2026'!$T:$T,$BD17,'[1]2026'!$S:$S,BM$3,'[1]2026'!$P:$P,$AU17)</f>
        <v>0</v>
      </c>
      <c r="BN17" s="10">
        <f>SUMIFS('[1]2026'!$K:$K,'[1]2026'!$T:$T,$BD17,'[1]2026'!$S:$S,BN$3,'[1]2026'!$P:$P,$AU17)</f>
        <v>0</v>
      </c>
      <c r="BO17" s="10">
        <f>SUMIFS('[1]2026'!$K:$K,'[1]2026'!$T:$T,$BD17,'[1]2026'!$S:$S,BO$3,'[1]2026'!$P:$P,$AU17)</f>
        <v>0</v>
      </c>
      <c r="BP17" s="6"/>
      <c r="BQ17" s="6"/>
      <c r="BR17" s="6"/>
      <c r="BS17" s="6"/>
      <c r="BT17" s="6">
        <f t="shared" si="10"/>
        <v>98214.29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f t="shared" si="11"/>
        <v>98214.29</v>
      </c>
    </row>
    <row r="18" spans="1:86" hidden="1" x14ac:dyDescent="0.35">
      <c r="A18" t="s">
        <v>290</v>
      </c>
      <c r="AN18" s="27">
        <f t="shared" si="7"/>
        <v>0</v>
      </c>
      <c r="AS18" t="str">
        <f>_xlfn.XLOOKUP(AU18,[2]GAE!HZ:HZ,[2]GAE!IA:IA)</f>
        <v>OMD OPERATIONS</v>
      </c>
      <c r="AT18" t="str">
        <f>_xlfn.XLOOKUP(AU18,[2]GAE!HZ:HZ,[2]GAE!IB:IB)</f>
        <v>DOE - Supplies</v>
      </c>
      <c r="AU18" s="2" t="s">
        <v>293</v>
      </c>
      <c r="AV18" s="2">
        <v>81319101</v>
      </c>
      <c r="AW18" s="2">
        <v>52111101</v>
      </c>
      <c r="AX18" t="str">
        <f>_xlfn.XLOOKUP(AU18,[2]GAE!HZ:HZ,[2]GAE!IF:IF)</f>
        <v>Others</v>
      </c>
      <c r="AY18" t="str">
        <f>_xlfn.XLOOKUP(AU18,[2]GAE!HZ:HZ,[2]GAE!IG:IG)</f>
        <v>Supplies</v>
      </c>
      <c r="BC18" t="s">
        <v>14</v>
      </c>
      <c r="BD18" t="s">
        <v>290</v>
      </c>
      <c r="BF18" t="s">
        <v>13</v>
      </c>
      <c r="BG18" s="2" t="s">
        <v>14</v>
      </c>
      <c r="BL18" s="10">
        <f>SUMIFS('[1]2026'!$K:$K,'[1]2026'!$T:$T,$BD18,'[1]2026'!$S:$S,BL$3,'[1]2026'!$P:$P,$AU18)</f>
        <v>16071.43</v>
      </c>
      <c r="BM18" s="10">
        <f>SUMIFS('[1]2026'!$K:$K,'[1]2026'!$T:$T,$BD18,'[1]2026'!$S:$S,BM$3,'[1]2026'!$P:$P,$AU18)</f>
        <v>0</v>
      </c>
      <c r="BN18" s="10">
        <f>SUMIFS('[1]2026'!$K:$K,'[1]2026'!$T:$T,$BD18,'[1]2026'!$S:$S,BN$3,'[1]2026'!$P:$P,$AU18)</f>
        <v>0</v>
      </c>
      <c r="BO18" s="10">
        <f>SUMIFS('[1]2026'!$K:$K,'[1]2026'!$T:$T,$BD18,'[1]2026'!$S:$S,BO$3,'[1]2026'!$P:$P,$AU18)</f>
        <v>0</v>
      </c>
      <c r="BP18" s="6"/>
      <c r="BQ18" s="6"/>
      <c r="BR18" s="6"/>
      <c r="BS18" s="6"/>
      <c r="BT18" s="6">
        <f t="shared" si="10"/>
        <v>16071.43</v>
      </c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>
        <f t="shared" si="11"/>
        <v>16071.43</v>
      </c>
    </row>
    <row r="19" spans="1:86" hidden="1" x14ac:dyDescent="0.35">
      <c r="A19" s="3" t="s">
        <v>16</v>
      </c>
      <c r="B19" s="10">
        <v>10000</v>
      </c>
      <c r="C19" s="10">
        <v>10000</v>
      </c>
      <c r="D19" s="10">
        <v>10000</v>
      </c>
      <c r="E19" s="10">
        <v>10000</v>
      </c>
      <c r="F19" s="10">
        <v>10000</v>
      </c>
      <c r="G19" s="10">
        <v>10000</v>
      </c>
      <c r="H19" s="10">
        <v>10000</v>
      </c>
      <c r="I19" s="10">
        <v>10000</v>
      </c>
      <c r="J19" s="10">
        <v>10000</v>
      </c>
      <c r="K19" s="10">
        <v>10000</v>
      </c>
      <c r="L19" s="10">
        <v>10000</v>
      </c>
      <c r="M19" s="10">
        <v>40000</v>
      </c>
      <c r="N19" s="27">
        <f t="shared" si="5"/>
        <v>150000</v>
      </c>
      <c r="AA19" s="27">
        <f t="shared" si="6"/>
        <v>0</v>
      </c>
      <c r="AB19" s="10">
        <f t="shared" si="7"/>
        <v>10000</v>
      </c>
      <c r="AC19" s="10">
        <f t="shared" si="7"/>
        <v>10000</v>
      </c>
      <c r="AD19" s="10">
        <f t="shared" si="7"/>
        <v>10000</v>
      </c>
      <c r="AE19" s="10">
        <f t="shared" si="7"/>
        <v>10000</v>
      </c>
      <c r="AF19" s="10">
        <f t="shared" si="7"/>
        <v>10000</v>
      </c>
      <c r="AG19" s="10">
        <f t="shared" si="7"/>
        <v>10000</v>
      </c>
      <c r="AH19" s="10">
        <f t="shared" si="7"/>
        <v>10000</v>
      </c>
      <c r="AI19" s="10">
        <f t="shared" si="7"/>
        <v>10000</v>
      </c>
      <c r="AJ19" s="10">
        <f t="shared" si="7"/>
        <v>10000</v>
      </c>
      <c r="AK19" s="10">
        <f t="shared" si="7"/>
        <v>10000</v>
      </c>
      <c r="AL19" s="10">
        <f t="shared" si="7"/>
        <v>10000</v>
      </c>
      <c r="AM19" s="10">
        <f t="shared" si="7"/>
        <v>40000</v>
      </c>
      <c r="AN19" s="27">
        <f t="shared" si="7"/>
        <v>150000</v>
      </c>
      <c r="AO19" s="28">
        <v>518367.47</v>
      </c>
      <c r="AS19" t="str">
        <f>_xlfn.XLOOKUP(AU19,[2]GAE!HZ:HZ,[2]GAE!IA:IA)</f>
        <v>ADMIN SERVICES</v>
      </c>
      <c r="AT19" t="str">
        <f>_xlfn.XLOOKUP(AU19,[2]GAE!HZ:HZ,[2]GAE!IB:IB)</f>
        <v>GAE - Transportation</v>
      </c>
      <c r="AU19" t="s">
        <v>295</v>
      </c>
      <c r="AV19">
        <v>80123102</v>
      </c>
      <c r="AW19">
        <v>61081101</v>
      </c>
      <c r="AX19" t="str">
        <f>_xlfn.XLOOKUP(AU19,[2]GAE!HZ:HZ,[2]GAE!IF:IF)</f>
        <v>Others</v>
      </c>
      <c r="AY19" t="str">
        <f>_xlfn.XLOOKUP(AU19,[2]GAE!HZ:HZ,[2]GAE!IG:IG)</f>
        <v>Transportation &amp; Travel</v>
      </c>
      <c r="BF19" t="s">
        <v>15</v>
      </c>
      <c r="BG19" s="2" t="s">
        <v>16</v>
      </c>
      <c r="BH19" s="10">
        <f>SUMIFS('[1]2026'!$K:$K,'[1]2026'!$T:$T,BD19,'[1]2026'!$S:$S,BH$3,'[1]2026'!$P:$P,AU19)</f>
        <v>0</v>
      </c>
      <c r="BI19" s="10">
        <f>SUMIFS('[1]2026'!$K:$K,'[1]2026'!$T:$T,$BD19,'[1]2026'!$S:$S,BI$3,'[1]2026'!$P:$P,$AU19)</f>
        <v>0</v>
      </c>
      <c r="BJ19" s="10">
        <f>SUMIFS('[1]2026'!$K:$K,'[1]2026'!$T:$T,$BD19,'[1]2026'!$S:$S,BJ$3,'[1]2026'!$P:$P,$AU19)</f>
        <v>0</v>
      </c>
      <c r="BK19" s="10">
        <f>SUMIFS('[1]2026'!$K:$K,'[1]2026'!$T:$T,$BD19,'[1]2026'!$S:$S,BK$3,'[1]2026'!$P:$P,$AU19)</f>
        <v>0</v>
      </c>
      <c r="BL19" s="10">
        <f>SUMIFS('[1]2026'!$K:$K,'[1]2026'!$T:$T,$BD19,'[1]2026'!$S:$S,BL$3,'[1]2026'!$P:$P,$AU19)</f>
        <v>0</v>
      </c>
      <c r="BM19" s="10">
        <f>SUMIFS('[1]2026'!$K:$K,'[1]2026'!$T:$T,$BD19,'[1]2026'!$S:$S,BM$3,'[1]2026'!$P:$P,$AU19)</f>
        <v>0</v>
      </c>
      <c r="BN19" s="10">
        <f>SUMIFS('[1]2026'!$K:$K,'[1]2026'!$T:$T,$BD19,'[1]2026'!$S:$S,BN$3,'[1]2026'!$P:$P,$AU19)</f>
        <v>0</v>
      </c>
      <c r="BO19" s="10">
        <f>SUMIFS('[1]2026'!$K:$K,'[1]2026'!$T:$T,$BD19,'[1]2026'!$S:$S,BO$3,'[1]2026'!$P:$P,$AU19)</f>
        <v>0</v>
      </c>
      <c r="BP19" s="6">
        <v>20000</v>
      </c>
      <c r="BQ19" s="6">
        <v>20000</v>
      </c>
      <c r="BR19" s="6">
        <v>20000</v>
      </c>
      <c r="BS19" s="6">
        <v>20000</v>
      </c>
      <c r="BT19" s="6">
        <f t="shared" si="10"/>
        <v>80000</v>
      </c>
      <c r="BV19" s="6">
        <f t="shared" ref="BV19:CG23" si="16">BH19-AB19</f>
        <v>-10000</v>
      </c>
      <c r="BW19" s="6">
        <f t="shared" si="16"/>
        <v>-10000</v>
      </c>
      <c r="BX19" s="6">
        <f t="shared" si="16"/>
        <v>-10000</v>
      </c>
      <c r="BY19" s="6">
        <f t="shared" si="16"/>
        <v>-10000</v>
      </c>
      <c r="BZ19" s="6">
        <f t="shared" si="16"/>
        <v>-10000</v>
      </c>
      <c r="CA19" s="6">
        <f t="shared" si="16"/>
        <v>-10000</v>
      </c>
      <c r="CB19" s="6">
        <f t="shared" si="16"/>
        <v>-10000</v>
      </c>
      <c r="CC19" s="6">
        <f t="shared" si="16"/>
        <v>-10000</v>
      </c>
      <c r="CD19" s="6">
        <f t="shared" si="16"/>
        <v>10000</v>
      </c>
      <c r="CE19" s="6">
        <f t="shared" si="16"/>
        <v>10000</v>
      </c>
      <c r="CF19" s="6">
        <f t="shared" si="16"/>
        <v>10000</v>
      </c>
      <c r="CG19" s="6">
        <f t="shared" si="16"/>
        <v>-20000</v>
      </c>
      <c r="CH19" s="6">
        <f t="shared" si="11"/>
        <v>-70000</v>
      </c>
    </row>
    <row r="20" spans="1:86" hidden="1" x14ac:dyDescent="0.35">
      <c r="A20" s="3" t="s">
        <v>18</v>
      </c>
      <c r="B20" s="10">
        <v>2500</v>
      </c>
      <c r="C20" s="10">
        <v>2500</v>
      </c>
      <c r="D20" s="10">
        <v>2500</v>
      </c>
      <c r="E20" s="10">
        <v>2500</v>
      </c>
      <c r="F20" s="10">
        <v>2500</v>
      </c>
      <c r="G20" s="10">
        <v>2500</v>
      </c>
      <c r="H20" s="10">
        <v>2500</v>
      </c>
      <c r="I20" s="10">
        <v>2500</v>
      </c>
      <c r="J20" s="10">
        <v>2500</v>
      </c>
      <c r="K20" s="10">
        <v>2500</v>
      </c>
      <c r="L20" s="10">
        <v>2500</v>
      </c>
      <c r="M20" s="10">
        <v>2500</v>
      </c>
      <c r="N20" s="27">
        <f t="shared" si="5"/>
        <v>30000</v>
      </c>
      <c r="AA20" s="27">
        <f t="shared" si="6"/>
        <v>0</v>
      </c>
      <c r="AB20" s="10">
        <f t="shared" si="7"/>
        <v>2500</v>
      </c>
      <c r="AC20" s="10">
        <f t="shared" si="7"/>
        <v>2500</v>
      </c>
      <c r="AD20" s="10">
        <f t="shared" si="7"/>
        <v>2500</v>
      </c>
      <c r="AE20" s="10">
        <f t="shared" si="7"/>
        <v>2500</v>
      </c>
      <c r="AF20" s="10">
        <f t="shared" si="7"/>
        <v>2500</v>
      </c>
      <c r="AG20" s="10">
        <f t="shared" si="7"/>
        <v>2500</v>
      </c>
      <c r="AH20" s="10">
        <f t="shared" si="7"/>
        <v>2500</v>
      </c>
      <c r="AI20" s="10">
        <f t="shared" si="7"/>
        <v>2500</v>
      </c>
      <c r="AJ20" s="10">
        <f t="shared" si="7"/>
        <v>2500</v>
      </c>
      <c r="AK20" s="10">
        <f t="shared" si="7"/>
        <v>2500</v>
      </c>
      <c r="AL20" s="10">
        <f t="shared" si="7"/>
        <v>2500</v>
      </c>
      <c r="AM20" s="10">
        <f t="shared" si="7"/>
        <v>2500</v>
      </c>
      <c r="AN20" s="27">
        <f t="shared" si="7"/>
        <v>30000</v>
      </c>
      <c r="AS20" t="str">
        <f>_xlfn.XLOOKUP(AU20,[2]GAE!HZ:HZ,[2]GAE!IA:IA)</f>
        <v>ADMIN SERVICES</v>
      </c>
      <c r="AT20" t="str">
        <f>_xlfn.XLOOKUP(AU20,[2]GAE!HZ:HZ,[2]GAE!IB:IB)</f>
        <v>GAE - Transportation</v>
      </c>
      <c r="AU20" t="s">
        <v>295</v>
      </c>
      <c r="AV20">
        <v>80123102</v>
      </c>
      <c r="AW20">
        <v>61081101</v>
      </c>
      <c r="AX20" t="str">
        <f>_xlfn.XLOOKUP(AU20,[2]GAE!HZ:HZ,[2]GAE!IF:IF)</f>
        <v>Others</v>
      </c>
      <c r="AY20" t="str">
        <f>_xlfn.XLOOKUP(AU20,[2]GAE!HZ:HZ,[2]GAE!IG:IG)</f>
        <v>Transportation &amp; Travel</v>
      </c>
      <c r="BF20" t="s">
        <v>15</v>
      </c>
      <c r="BG20" s="2" t="s">
        <v>18</v>
      </c>
      <c r="BH20" s="10">
        <f>SUMIFS('[1]2026'!$K:$K,'[1]2026'!$T:$T,BD20,'[1]2026'!$S:$S,BH$3,'[1]2026'!$P:$P,AU20)</f>
        <v>0</v>
      </c>
      <c r="BI20" s="10">
        <f>SUMIFS('[1]2026'!$K:$K,'[1]2026'!$T:$T,$BD20,'[1]2026'!$S:$S,BI$3,'[1]2026'!$P:$P,$AU20)</f>
        <v>0</v>
      </c>
      <c r="BJ20" s="10">
        <f>SUMIFS('[1]2026'!$K:$K,'[1]2026'!$T:$T,$BD20,'[1]2026'!$S:$S,BJ$3,'[1]2026'!$P:$P,$AU20)</f>
        <v>0</v>
      </c>
      <c r="BK20" s="10">
        <f>SUMIFS('[1]2026'!$K:$K,'[1]2026'!$T:$T,$BD20,'[1]2026'!$S:$S,BK$3,'[1]2026'!$P:$P,$AU20)</f>
        <v>0</v>
      </c>
      <c r="BL20" s="10">
        <f>SUMIFS('[1]2026'!$K:$K,'[1]2026'!$T:$T,$BD20,'[1]2026'!$S:$S,BL$3,'[1]2026'!$P:$P,$AU20)</f>
        <v>0</v>
      </c>
      <c r="BM20" s="10">
        <f>SUMIFS('[1]2026'!$K:$K,'[1]2026'!$T:$T,$BD20,'[1]2026'!$S:$S,BM$3,'[1]2026'!$P:$P,$AU20)</f>
        <v>0</v>
      </c>
      <c r="BN20" s="10">
        <f>SUMIFS('[1]2026'!$K:$K,'[1]2026'!$T:$T,$BD20,'[1]2026'!$S:$S,BN$3,'[1]2026'!$P:$P,$AU20)</f>
        <v>0</v>
      </c>
      <c r="BO20" s="10">
        <f>SUMIFS('[1]2026'!$K:$K,'[1]2026'!$T:$T,$BD20,'[1]2026'!$S:$S,BO$3,'[1]2026'!$P:$P,$AU20)</f>
        <v>0</v>
      </c>
      <c r="BP20" s="6"/>
      <c r="BQ20" s="6"/>
      <c r="BR20" s="6"/>
      <c r="BS20" s="6"/>
      <c r="BT20" s="6">
        <f t="shared" si="10"/>
        <v>0</v>
      </c>
      <c r="BV20" s="6">
        <f t="shared" si="16"/>
        <v>-2500</v>
      </c>
      <c r="BW20" s="6">
        <f t="shared" si="16"/>
        <v>-2500</v>
      </c>
      <c r="BX20" s="6">
        <f t="shared" si="16"/>
        <v>-2500</v>
      </c>
      <c r="BY20" s="6">
        <f t="shared" si="16"/>
        <v>-2500</v>
      </c>
      <c r="BZ20" s="6">
        <f t="shared" si="16"/>
        <v>-2500</v>
      </c>
      <c r="CA20" s="6">
        <f t="shared" si="16"/>
        <v>-2500</v>
      </c>
      <c r="CB20" s="6">
        <f t="shared" si="16"/>
        <v>-2500</v>
      </c>
      <c r="CC20" s="6">
        <f t="shared" si="16"/>
        <v>-2500</v>
      </c>
      <c r="CD20" s="6">
        <f t="shared" si="16"/>
        <v>-2500</v>
      </c>
      <c r="CE20" s="6">
        <f t="shared" si="16"/>
        <v>-2500</v>
      </c>
      <c r="CF20" s="6">
        <f t="shared" si="16"/>
        <v>-2500</v>
      </c>
      <c r="CG20" s="6">
        <f t="shared" si="16"/>
        <v>-2500</v>
      </c>
      <c r="CH20" s="6">
        <f t="shared" si="11"/>
        <v>-30000</v>
      </c>
    </row>
    <row r="21" spans="1:86" hidden="1" x14ac:dyDescent="0.35">
      <c r="A21" s="3" t="s">
        <v>296</v>
      </c>
      <c r="B21" s="10">
        <v>2500</v>
      </c>
      <c r="C21" s="10">
        <v>2000</v>
      </c>
      <c r="D21" s="10">
        <v>2000</v>
      </c>
      <c r="E21" s="10">
        <v>2000</v>
      </c>
      <c r="F21" s="10">
        <v>2000</v>
      </c>
      <c r="G21" s="10">
        <v>2000</v>
      </c>
      <c r="H21" s="10">
        <v>2000</v>
      </c>
      <c r="I21" s="10">
        <v>2000</v>
      </c>
      <c r="J21" s="10">
        <v>2000</v>
      </c>
      <c r="K21" s="10">
        <v>2000</v>
      </c>
      <c r="L21" s="10">
        <v>2000</v>
      </c>
      <c r="M21" s="10">
        <v>2000</v>
      </c>
      <c r="N21" s="27">
        <f t="shared" si="5"/>
        <v>24500</v>
      </c>
      <c r="AA21" s="27">
        <f t="shared" si="6"/>
        <v>0</v>
      </c>
      <c r="AB21" s="10">
        <f t="shared" si="7"/>
        <v>2500</v>
      </c>
      <c r="AC21" s="10">
        <f t="shared" si="7"/>
        <v>2000</v>
      </c>
      <c r="AD21" s="10">
        <f t="shared" si="7"/>
        <v>2000</v>
      </c>
      <c r="AE21" s="10">
        <f t="shared" si="7"/>
        <v>2000</v>
      </c>
      <c r="AF21" s="10">
        <f t="shared" si="7"/>
        <v>2000</v>
      </c>
      <c r="AG21" s="10">
        <f t="shared" si="7"/>
        <v>2000</v>
      </c>
      <c r="AH21" s="10">
        <f t="shared" si="7"/>
        <v>2000</v>
      </c>
      <c r="AI21" s="10">
        <f t="shared" si="7"/>
        <v>2000</v>
      </c>
      <c r="AJ21" s="10">
        <f t="shared" si="7"/>
        <v>2000</v>
      </c>
      <c r="AK21" s="10">
        <f t="shared" si="7"/>
        <v>2000</v>
      </c>
      <c r="AL21" s="10">
        <f t="shared" si="7"/>
        <v>2000</v>
      </c>
      <c r="AM21" s="10">
        <f t="shared" si="7"/>
        <v>2000</v>
      </c>
      <c r="AN21" s="27">
        <f t="shared" si="7"/>
        <v>24500</v>
      </c>
      <c r="AS21" t="str">
        <f>_xlfn.XLOOKUP(AU21,[2]GAE!HZ:HZ,[2]GAE!IA:IA)</f>
        <v>ADMIN SERVICES</v>
      </c>
      <c r="AT21" t="str">
        <f>_xlfn.XLOOKUP(AU21,[2]GAE!HZ:HZ,[2]GAE!IB:IB)</f>
        <v>GAE - Transportation</v>
      </c>
      <c r="AU21" t="s">
        <v>295</v>
      </c>
      <c r="AV21">
        <v>80123102</v>
      </c>
      <c r="AW21">
        <v>61081101</v>
      </c>
      <c r="AX21" t="str">
        <f>_xlfn.XLOOKUP(AU21,[2]GAE!HZ:HZ,[2]GAE!IF:IF)</f>
        <v>Others</v>
      </c>
      <c r="AY21" t="str">
        <f>_xlfn.XLOOKUP(AU21,[2]GAE!HZ:HZ,[2]GAE!IG:IG)</f>
        <v>Transportation &amp; Travel</v>
      </c>
      <c r="BC21" t="s">
        <v>16</v>
      </c>
      <c r="BD21" s="2" t="s">
        <v>297</v>
      </c>
      <c r="BE21" s="2"/>
      <c r="BF21" t="s">
        <v>15</v>
      </c>
      <c r="BG21" s="2" t="s">
        <v>16</v>
      </c>
      <c r="BH21" s="10">
        <f>SUMIFS('[1]2026'!$K:$K,'[1]2026'!$T:$T,BD21,'[1]2026'!$S:$S,BH$3,'[1]2026'!$P:$P,AU21)</f>
        <v>0</v>
      </c>
      <c r="BI21" s="10">
        <f>SUMIFS('[1]2026'!$K:$K,'[1]2026'!$T:$T,$BD21,'[1]2026'!$S:$S,BI$3,'[1]2026'!$P:$P,$AU21)</f>
        <v>0</v>
      </c>
      <c r="BJ21" s="10">
        <f>SUMIFS('[1]2026'!$K:$K,'[1]2026'!$T:$T,$BD21,'[1]2026'!$S:$S,BJ$3,'[1]2026'!$P:$P,$AU21)</f>
        <v>0</v>
      </c>
      <c r="BK21" s="10">
        <f>SUMIFS('[1]2026'!$K:$K,'[1]2026'!$T:$T,$BD21,'[1]2026'!$S:$S,BK$3,'[1]2026'!$P:$P,$AU21)</f>
        <v>38725.06</v>
      </c>
      <c r="BL21" s="10">
        <f>SUMIFS('[1]2026'!$K:$K,'[1]2026'!$T:$T,$BD21,'[1]2026'!$S:$S,BL$3,'[1]2026'!$P:$P,$AU21)</f>
        <v>0</v>
      </c>
      <c r="BM21" s="10">
        <f>SUMIFS('[1]2026'!$K:$K,'[1]2026'!$T:$T,$BD21,'[1]2026'!$S:$S,BM$3,'[1]2026'!$P:$P,$AU21)</f>
        <v>8400</v>
      </c>
      <c r="BN21" s="10">
        <f>SUMIFS('[1]2026'!$K:$K,'[1]2026'!$T:$T,$BD21,'[1]2026'!$S:$S,BN$3,'[1]2026'!$P:$P,$AU21)</f>
        <v>0</v>
      </c>
      <c r="BO21" s="10">
        <f>SUMIFS('[1]2026'!$K:$K,'[1]2026'!$T:$T,$BD21,'[1]2026'!$S:$S,BO$3,'[1]2026'!$P:$P,$AU21)</f>
        <v>0</v>
      </c>
      <c r="BP21" s="6"/>
      <c r="BQ21" s="6"/>
      <c r="BR21" s="6"/>
      <c r="BS21" s="6"/>
      <c r="BT21" s="6">
        <f t="shared" si="10"/>
        <v>47125.06</v>
      </c>
      <c r="BV21" s="6">
        <f t="shared" si="16"/>
        <v>-2500</v>
      </c>
      <c r="BW21" s="6">
        <f t="shared" si="16"/>
        <v>-2000</v>
      </c>
      <c r="BX21" s="6">
        <f t="shared" si="16"/>
        <v>-2000</v>
      </c>
      <c r="BY21" s="6">
        <f t="shared" si="16"/>
        <v>36725.06</v>
      </c>
      <c r="BZ21" s="6">
        <f t="shared" si="16"/>
        <v>-2000</v>
      </c>
      <c r="CA21" s="6">
        <f t="shared" si="16"/>
        <v>6400</v>
      </c>
      <c r="CB21" s="6">
        <f t="shared" si="16"/>
        <v>-2000</v>
      </c>
      <c r="CC21" s="6">
        <f t="shared" si="16"/>
        <v>-2000</v>
      </c>
      <c r="CD21" s="6">
        <f t="shared" si="16"/>
        <v>-2000</v>
      </c>
      <c r="CE21" s="6">
        <f t="shared" si="16"/>
        <v>-2000</v>
      </c>
      <c r="CF21" s="6">
        <f t="shared" si="16"/>
        <v>-2000</v>
      </c>
      <c r="CG21" s="6">
        <f t="shared" si="16"/>
        <v>-2000</v>
      </c>
      <c r="CH21" s="6">
        <f t="shared" si="11"/>
        <v>22625.059999999998</v>
      </c>
    </row>
    <row r="22" spans="1:86" hidden="1" x14ac:dyDescent="0.35">
      <c r="A22" s="3" t="s">
        <v>298</v>
      </c>
      <c r="B22" s="10">
        <v>5000</v>
      </c>
      <c r="C22" s="10">
        <v>5000</v>
      </c>
      <c r="D22" s="10">
        <v>5000</v>
      </c>
      <c r="E22" s="10">
        <v>5000</v>
      </c>
      <c r="F22" s="10">
        <v>5000</v>
      </c>
      <c r="G22" s="10">
        <v>5000</v>
      </c>
      <c r="H22" s="10">
        <v>5000</v>
      </c>
      <c r="I22" s="10">
        <v>5000</v>
      </c>
      <c r="J22" s="10">
        <v>5000</v>
      </c>
      <c r="K22" s="10">
        <v>5000</v>
      </c>
      <c r="L22" s="10">
        <v>5000</v>
      </c>
      <c r="M22" s="10">
        <v>5000</v>
      </c>
      <c r="N22" s="27">
        <f t="shared" si="5"/>
        <v>60000</v>
      </c>
      <c r="AA22" s="27">
        <f t="shared" si="6"/>
        <v>0</v>
      </c>
      <c r="AB22" s="10">
        <f t="shared" si="7"/>
        <v>5000</v>
      </c>
      <c r="AC22" s="10">
        <f t="shared" si="7"/>
        <v>5000</v>
      </c>
      <c r="AD22" s="10">
        <f t="shared" si="7"/>
        <v>5000</v>
      </c>
      <c r="AE22" s="10">
        <f t="shared" si="7"/>
        <v>5000</v>
      </c>
      <c r="AF22" s="10">
        <f t="shared" si="7"/>
        <v>5000</v>
      </c>
      <c r="AG22" s="10">
        <f t="shared" si="7"/>
        <v>5000</v>
      </c>
      <c r="AH22" s="10">
        <f t="shared" si="7"/>
        <v>5000</v>
      </c>
      <c r="AI22" s="10">
        <f t="shared" si="7"/>
        <v>5000</v>
      </c>
      <c r="AJ22" s="10">
        <f t="shared" si="7"/>
        <v>5000</v>
      </c>
      <c r="AK22" s="10">
        <f t="shared" si="7"/>
        <v>5000</v>
      </c>
      <c r="AL22" s="10">
        <f t="shared" si="7"/>
        <v>5000</v>
      </c>
      <c r="AM22" s="10">
        <f t="shared" si="7"/>
        <v>5000</v>
      </c>
      <c r="AN22" s="27">
        <f t="shared" si="7"/>
        <v>60000</v>
      </c>
      <c r="AS22" t="str">
        <f>_xlfn.XLOOKUP(AU22,[2]GAE!HZ:HZ,[2]GAE!IA:IA)</f>
        <v>ADMIN SERVICES</v>
      </c>
      <c r="AT22" t="str">
        <f>_xlfn.XLOOKUP(AU22,[2]GAE!HZ:HZ,[2]GAE!IB:IB)</f>
        <v>GAE - Transportation</v>
      </c>
      <c r="AU22" t="s">
        <v>295</v>
      </c>
      <c r="AV22">
        <v>80123102</v>
      </c>
      <c r="AW22">
        <v>61081101</v>
      </c>
      <c r="AX22" t="str">
        <f>_xlfn.XLOOKUP(AU22,[2]GAE!HZ:HZ,[2]GAE!IF:IF)</f>
        <v>Others</v>
      </c>
      <c r="AY22" t="str">
        <f>_xlfn.XLOOKUP(AU22,[2]GAE!HZ:HZ,[2]GAE!IG:IG)</f>
        <v>Transportation &amp; Travel</v>
      </c>
      <c r="BF22" t="s">
        <v>15</v>
      </c>
      <c r="BG22" s="2" t="s">
        <v>298</v>
      </c>
      <c r="BH22" s="10">
        <f>SUMIFS('[1]2026'!$K:$K,'[1]2026'!$T:$T,BD22,'[1]2026'!$S:$S,BH$3,'[1]2026'!$P:$P,AU22)</f>
        <v>0</v>
      </c>
      <c r="BI22" s="10">
        <f>SUMIFS('[1]2026'!$K:$K,'[1]2026'!$T:$T,$BD22,'[1]2026'!$S:$S,BI$3,'[1]2026'!$P:$P,$AU22)</f>
        <v>0</v>
      </c>
      <c r="BJ22" s="10">
        <f>SUMIFS('[1]2026'!$K:$K,'[1]2026'!$T:$T,$BD22,'[1]2026'!$S:$S,BJ$3,'[1]2026'!$P:$P,$AU22)</f>
        <v>0</v>
      </c>
      <c r="BK22" s="10">
        <f>SUMIFS('[1]2026'!$K:$K,'[1]2026'!$T:$T,$BD22,'[1]2026'!$S:$S,BK$3,'[1]2026'!$P:$P,$AU22)</f>
        <v>0</v>
      </c>
      <c r="BL22" s="10">
        <f>SUMIFS('[1]2026'!$K:$K,'[1]2026'!$T:$T,$BD22,'[1]2026'!$S:$S,BL$3,'[1]2026'!$P:$P,$AU22)</f>
        <v>0</v>
      </c>
      <c r="BM22" s="10">
        <f>SUMIFS('[1]2026'!$K:$K,'[1]2026'!$T:$T,$BD22,'[1]2026'!$S:$S,BM$3,'[1]2026'!$P:$P,$AU22)</f>
        <v>0</v>
      </c>
      <c r="BN22" s="10">
        <f>SUMIFS('[1]2026'!$K:$K,'[1]2026'!$T:$T,$BD22,'[1]2026'!$S:$S,BN$3,'[1]2026'!$P:$P,$AU22)</f>
        <v>0</v>
      </c>
      <c r="BO22" s="10">
        <f>SUMIFS('[1]2026'!$K:$K,'[1]2026'!$T:$T,$BD22,'[1]2026'!$S:$S,BO$3,'[1]2026'!$P:$P,$AU22)</f>
        <v>0</v>
      </c>
      <c r="BP22" s="6"/>
      <c r="BQ22" s="6"/>
      <c r="BR22" s="6"/>
      <c r="BS22" s="6"/>
      <c r="BT22" s="6">
        <f t="shared" si="10"/>
        <v>0</v>
      </c>
      <c r="BV22" s="6">
        <f t="shared" si="16"/>
        <v>-5000</v>
      </c>
      <c r="BW22" s="6">
        <f t="shared" si="16"/>
        <v>-5000</v>
      </c>
      <c r="BX22" s="6">
        <f t="shared" si="16"/>
        <v>-5000</v>
      </c>
      <c r="BY22" s="6">
        <f t="shared" si="16"/>
        <v>-5000</v>
      </c>
      <c r="BZ22" s="6">
        <f t="shared" si="16"/>
        <v>-5000</v>
      </c>
      <c r="CA22" s="6">
        <f t="shared" si="16"/>
        <v>-5000</v>
      </c>
      <c r="CB22" s="6">
        <f t="shared" si="16"/>
        <v>-5000</v>
      </c>
      <c r="CC22" s="6">
        <f t="shared" si="16"/>
        <v>-5000</v>
      </c>
      <c r="CD22" s="6">
        <f t="shared" si="16"/>
        <v>-5000</v>
      </c>
      <c r="CE22" s="6">
        <f t="shared" si="16"/>
        <v>-5000</v>
      </c>
      <c r="CF22" s="6">
        <f t="shared" si="16"/>
        <v>-5000</v>
      </c>
      <c r="CG22" s="6">
        <f t="shared" si="16"/>
        <v>-5000</v>
      </c>
      <c r="CH22" s="6">
        <f t="shared" si="11"/>
        <v>-60000</v>
      </c>
    </row>
    <row r="23" spans="1:86" hidden="1" x14ac:dyDescent="0.35">
      <c r="A23" s="3" t="s">
        <v>17</v>
      </c>
      <c r="B23" s="10">
        <v>4000</v>
      </c>
      <c r="C23" s="10">
        <v>4000</v>
      </c>
      <c r="D23" s="10">
        <v>4000</v>
      </c>
      <c r="E23" s="10">
        <v>4000</v>
      </c>
      <c r="F23" s="10">
        <v>4000</v>
      </c>
      <c r="G23" s="10">
        <v>4000</v>
      </c>
      <c r="H23" s="10">
        <v>4000</v>
      </c>
      <c r="I23" s="10">
        <v>4000</v>
      </c>
      <c r="J23" s="10">
        <v>4000</v>
      </c>
      <c r="K23" s="10">
        <v>4000</v>
      </c>
      <c r="L23" s="10">
        <v>4000</v>
      </c>
      <c r="M23" s="10">
        <v>4000</v>
      </c>
      <c r="N23" s="27">
        <f t="shared" si="5"/>
        <v>48000</v>
      </c>
      <c r="AA23" s="27">
        <f t="shared" si="6"/>
        <v>0</v>
      </c>
      <c r="AB23" s="10">
        <f t="shared" si="7"/>
        <v>4000</v>
      </c>
      <c r="AC23" s="10">
        <f t="shared" si="7"/>
        <v>4000</v>
      </c>
      <c r="AD23" s="10">
        <f t="shared" si="7"/>
        <v>4000</v>
      </c>
      <c r="AE23" s="10">
        <f t="shared" si="7"/>
        <v>4000</v>
      </c>
      <c r="AF23" s="10">
        <f t="shared" si="7"/>
        <v>4000</v>
      </c>
      <c r="AG23" s="10">
        <f t="shared" si="7"/>
        <v>4000</v>
      </c>
      <c r="AH23" s="10">
        <f t="shared" si="7"/>
        <v>4000</v>
      </c>
      <c r="AI23" s="10">
        <f t="shared" si="7"/>
        <v>4000</v>
      </c>
      <c r="AJ23" s="10">
        <f t="shared" si="7"/>
        <v>4000</v>
      </c>
      <c r="AK23" s="10">
        <f t="shared" si="7"/>
        <v>4000</v>
      </c>
      <c r="AL23" s="10">
        <f t="shared" si="7"/>
        <v>4000</v>
      </c>
      <c r="AM23" s="10">
        <f t="shared" si="7"/>
        <v>4000</v>
      </c>
      <c r="AN23" s="27">
        <f t="shared" si="7"/>
        <v>48000</v>
      </c>
      <c r="AS23" t="str">
        <f>_xlfn.XLOOKUP(AU23,[2]GAE!HZ:HZ,[2]GAE!IA:IA)</f>
        <v>ADMIN SERVICES</v>
      </c>
      <c r="AT23" t="str">
        <f>_xlfn.XLOOKUP(AU23,[2]GAE!HZ:HZ,[2]GAE!IB:IB)</f>
        <v>GAE - Transportation</v>
      </c>
      <c r="AU23" t="s">
        <v>295</v>
      </c>
      <c r="AV23">
        <v>80123102</v>
      </c>
      <c r="AW23">
        <v>61081101</v>
      </c>
      <c r="AX23" t="str">
        <f>_xlfn.XLOOKUP(AU23,[2]GAE!HZ:HZ,[2]GAE!IF:IF)</f>
        <v>Others</v>
      </c>
      <c r="AY23" t="str">
        <f>_xlfn.XLOOKUP(AU23,[2]GAE!HZ:HZ,[2]GAE!IG:IG)</f>
        <v>Transportation &amp; Travel</v>
      </c>
      <c r="BD23" t="s">
        <v>299</v>
      </c>
      <c r="BF23" t="s">
        <v>17</v>
      </c>
      <c r="BG23" s="2" t="s">
        <v>17</v>
      </c>
      <c r="BH23" s="10">
        <f>SUMIFS('[1]2026'!$K:$K,'[1]2026'!$T:$T,BD23,'[1]2026'!$S:$S,BH$3,'[1]2026'!$P:$P,AU23)</f>
        <v>0</v>
      </c>
      <c r="BI23" s="10">
        <f>SUMIFS('[1]2026'!$K:$K,'[1]2026'!$T:$T,$BD23,'[1]2026'!$S:$S,BI$3,'[1]2026'!$P:$P,$AU23)</f>
        <v>0</v>
      </c>
      <c r="BJ23" s="10">
        <f>SUMIFS('[1]2026'!$K:$K,'[1]2026'!$T:$T,$BD23,'[1]2026'!$S:$S,BJ$3,'[1]2026'!$P:$P,$AU23)</f>
        <v>0</v>
      </c>
      <c r="BK23" s="10">
        <f>SUMIFS('[1]2026'!$K:$K,'[1]2026'!$T:$T,$BD23,'[1]2026'!$S:$S,BK$3,'[1]2026'!$P:$P,$AU23)</f>
        <v>0</v>
      </c>
      <c r="BL23" s="10">
        <f>SUMIFS('[1]2026'!$K:$K,'[1]2026'!$T:$T,$BD23,'[1]2026'!$S:$S,BL$3,'[1]2026'!$P:$P,$AU23)</f>
        <v>0</v>
      </c>
      <c r="BM23" s="10">
        <f>SUMIFS('[1]2026'!$K:$K,'[1]2026'!$T:$T,$BD23,'[1]2026'!$S:$S,BM$3,'[1]2026'!$P:$P,$AU23)</f>
        <v>0</v>
      </c>
      <c r="BN23" s="10">
        <f>SUMIFS('[1]2026'!$K:$K,'[1]2026'!$T:$T,$BD23,'[1]2026'!$S:$S,BN$3,'[1]2026'!$P:$P,$AU23)</f>
        <v>0</v>
      </c>
      <c r="BO23" s="10">
        <f>SUMIFS('[1]2026'!$K:$K,'[1]2026'!$T:$T,$BD23,'[1]2026'!$S:$S,BO$3,'[1]2026'!$P:$P,$AU23)</f>
        <v>0</v>
      </c>
      <c r="BP23" s="6"/>
      <c r="BQ23" s="6"/>
      <c r="BR23" s="6"/>
      <c r="BS23" s="6"/>
      <c r="BT23" s="6">
        <f t="shared" si="10"/>
        <v>0</v>
      </c>
      <c r="BV23" s="6">
        <f t="shared" si="16"/>
        <v>-4000</v>
      </c>
      <c r="BW23" s="6">
        <f t="shared" si="16"/>
        <v>-4000</v>
      </c>
      <c r="BX23" s="6">
        <f t="shared" si="16"/>
        <v>-4000</v>
      </c>
      <c r="BY23" s="6">
        <f t="shared" si="16"/>
        <v>-4000</v>
      </c>
      <c r="BZ23" s="6">
        <f t="shared" si="16"/>
        <v>-4000</v>
      </c>
      <c r="CA23" s="6">
        <f t="shared" si="16"/>
        <v>-4000</v>
      </c>
      <c r="CB23" s="6">
        <f t="shared" si="16"/>
        <v>-4000</v>
      </c>
      <c r="CC23" s="6">
        <f t="shared" si="16"/>
        <v>-4000</v>
      </c>
      <c r="CD23" s="6">
        <f t="shared" si="16"/>
        <v>-4000</v>
      </c>
      <c r="CE23" s="6">
        <f t="shared" si="16"/>
        <v>-4000</v>
      </c>
      <c r="CF23" s="6">
        <f t="shared" si="16"/>
        <v>-4000</v>
      </c>
      <c r="CG23" s="6">
        <f t="shared" si="16"/>
        <v>-4000</v>
      </c>
      <c r="CH23" s="6">
        <f t="shared" si="11"/>
        <v>-48000</v>
      </c>
    </row>
    <row r="24" spans="1:86" hidden="1" x14ac:dyDescent="0.35">
      <c r="A24" t="s">
        <v>299</v>
      </c>
      <c r="AN24" s="27">
        <f t="shared" si="7"/>
        <v>0</v>
      </c>
      <c r="AS24" t="str">
        <f>_xlfn.XLOOKUP(AU24,[2]GAE!HZ:HZ,[2]GAE!IA:IA)</f>
        <v>ADMIN SERVICES</v>
      </c>
      <c r="AT24" t="str">
        <f>_xlfn.XLOOKUP(AU24,[2]GAE!HZ:HZ,[2]GAE!IB:IB)</f>
        <v>DOE - Travel - OBT</v>
      </c>
      <c r="AU24" s="2" t="s">
        <v>300</v>
      </c>
      <c r="AV24" s="2">
        <v>81123102</v>
      </c>
      <c r="AW24" s="2">
        <v>52081103</v>
      </c>
      <c r="AX24" t="str">
        <f>_xlfn.XLOOKUP(AU24,[2]GAE!HZ:HZ,[2]GAE!IF:IF)</f>
        <v>Others</v>
      </c>
      <c r="AY24" t="str">
        <f>_xlfn.XLOOKUP(AU24,[2]GAE!HZ:HZ,[2]GAE!IG:IG)</f>
        <v>Transportation &amp; Travel</v>
      </c>
      <c r="BC24" t="s">
        <v>17</v>
      </c>
      <c r="BD24" t="s">
        <v>299</v>
      </c>
      <c r="BF24" t="s">
        <v>17</v>
      </c>
      <c r="BG24" s="2" t="s">
        <v>17</v>
      </c>
      <c r="BH24" s="10">
        <f>SUMIFS('[1]2026'!$K:$K,'[1]2026'!$T:$T,BD24,'[1]2026'!$S:$S,BH$3,'[1]2026'!$P:$P,AU24)</f>
        <v>0</v>
      </c>
      <c r="BI24" s="10">
        <f>SUMIFS('[1]2026'!$K:$K,'[1]2026'!$T:$T,$BD24,'[1]2026'!$S:$S,BI$3,'[1]2026'!$P:$P,$AU24)</f>
        <v>0</v>
      </c>
      <c r="BJ24" s="10">
        <f>SUMIFS('[1]2026'!$K:$K,'[1]2026'!$T:$T,$BD24,'[1]2026'!$S:$S,BJ$3,'[1]2026'!$P:$P,$AU24)</f>
        <v>0</v>
      </c>
      <c r="BK24" s="10">
        <f>SUMIFS('[1]2026'!$K:$K,'[1]2026'!$T:$T,$BD24,'[1]2026'!$S:$S,BK$3,'[1]2026'!$P:$P,$AU24)</f>
        <v>150</v>
      </c>
      <c r="BL24" s="10">
        <f>SUMIFS('[1]2026'!$K:$K,'[1]2026'!$T:$T,$BD24,'[1]2026'!$S:$S,BL$3,'[1]2026'!$P:$P,$AU24)</f>
        <v>1700</v>
      </c>
      <c r="BM24" s="10">
        <f>SUMIFS('[1]2026'!$K:$K,'[1]2026'!$T:$T,$BD24,'[1]2026'!$S:$S,BM$3,'[1]2026'!$P:$P,$AU24)</f>
        <v>900</v>
      </c>
      <c r="BN24" s="10">
        <f>SUMIFS('[1]2026'!$K:$K,'[1]2026'!$T:$T,$BD24,'[1]2026'!$S:$S,BN$3,'[1]2026'!$P:$P,$AU24)</f>
        <v>450</v>
      </c>
      <c r="BO24" s="10">
        <f>SUMIFS('[1]2026'!$K:$K,'[1]2026'!$T:$T,$BD24,'[1]2026'!$S:$S,BO$3,'[1]2026'!$P:$P,$AU24)</f>
        <v>1050</v>
      </c>
      <c r="BP24" s="6"/>
      <c r="BQ24" s="6"/>
      <c r="BR24" s="6"/>
      <c r="BS24" s="6"/>
      <c r="BT24" s="6">
        <f t="shared" si="10"/>
        <v>4250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f t="shared" si="11"/>
        <v>4250</v>
      </c>
    </row>
    <row r="25" spans="1:86" hidden="1" x14ac:dyDescent="0.35">
      <c r="A25" t="s">
        <v>299</v>
      </c>
      <c r="AN25" s="27">
        <f t="shared" si="7"/>
        <v>0</v>
      </c>
      <c r="AS25" t="str">
        <f>_xlfn.XLOOKUP(AU25,[2]GAE!HZ:HZ,[2]GAE!IA:IA)</f>
        <v>OHI-COMMON</v>
      </c>
      <c r="AT25" t="str">
        <f>_xlfn.XLOOKUP(AU25,[2]GAE!HZ:HZ,[2]GAE!IB:IB)</f>
        <v>DOE - Travel - OBT</v>
      </c>
      <c r="AU25" s="2" t="s">
        <v>301</v>
      </c>
      <c r="AV25" s="2">
        <v>90111101</v>
      </c>
      <c r="AW25" s="2">
        <v>52081103</v>
      </c>
      <c r="AX25" t="str">
        <f>_xlfn.XLOOKUP(AU25,[2]GAE!HZ:HZ,[2]GAE!IF:IF)</f>
        <v>Others</v>
      </c>
      <c r="AY25" t="str">
        <f>_xlfn.XLOOKUP(AU25,[2]GAE!HZ:HZ,[2]GAE!IG:IG)</f>
        <v>Transportation &amp; Travel</v>
      </c>
      <c r="BC25" t="s">
        <v>17</v>
      </c>
      <c r="BD25" t="s">
        <v>299</v>
      </c>
      <c r="BF25" t="s">
        <v>17</v>
      </c>
      <c r="BG25" s="2" t="s">
        <v>17</v>
      </c>
      <c r="BH25" s="10">
        <f>SUMIFS('[1]2026'!$K:$K,'[1]2026'!$T:$T,BD25,'[1]2026'!$S:$S,BH$3,'[1]2026'!$P:$P,AU25)</f>
        <v>0</v>
      </c>
      <c r="BI25" s="10">
        <f>SUMIFS('[1]2026'!$K:$K,'[1]2026'!$T:$T,$BD25,'[1]2026'!$S:$S,BI$3,'[1]2026'!$P:$P,$AU25)</f>
        <v>0</v>
      </c>
      <c r="BJ25" s="10">
        <f>SUMIFS('[1]2026'!$K:$K,'[1]2026'!$T:$T,$BD25,'[1]2026'!$S:$S,BJ$3,'[1]2026'!$P:$P,$AU25)</f>
        <v>0</v>
      </c>
      <c r="BK25" s="10">
        <f>SUMIFS('[1]2026'!$K:$K,'[1]2026'!$T:$T,$BD25,'[1]2026'!$S:$S,BK$3,'[1]2026'!$P:$P,$AU25)</f>
        <v>8400</v>
      </c>
      <c r="BL25" s="10">
        <f>SUMIFS('[1]2026'!$K:$K,'[1]2026'!$T:$T,$BD25,'[1]2026'!$S:$S,BL$3,'[1]2026'!$P:$P,$AU25)</f>
        <v>24975</v>
      </c>
      <c r="BM25" s="10">
        <f>SUMIFS('[1]2026'!$K:$K,'[1]2026'!$T:$T,$BD25,'[1]2026'!$S:$S,BM$3,'[1]2026'!$P:$P,$AU25)</f>
        <v>8550</v>
      </c>
      <c r="BN25" s="10">
        <f>SUMIFS('[1]2026'!$K:$K,'[1]2026'!$T:$T,$BD25,'[1]2026'!$S:$S,BN$3,'[1]2026'!$P:$P,$AU25)</f>
        <v>6450</v>
      </c>
      <c r="BO25" s="10">
        <f>SUMIFS('[1]2026'!$K:$K,'[1]2026'!$T:$T,$BD25,'[1]2026'!$S:$S,BO$3,'[1]2026'!$P:$P,$AU25)</f>
        <v>9150</v>
      </c>
      <c r="BP25" s="6"/>
      <c r="BQ25" s="6"/>
      <c r="BR25" s="6"/>
      <c r="BS25" s="6"/>
      <c r="BT25" s="6">
        <f t="shared" si="10"/>
        <v>57525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>
        <f t="shared" si="11"/>
        <v>57525</v>
      </c>
    </row>
    <row r="26" spans="1:86" hidden="1" x14ac:dyDescent="0.35">
      <c r="A26" s="3" t="s">
        <v>302</v>
      </c>
      <c r="B26" s="10">
        <v>6500</v>
      </c>
      <c r="N26" s="27">
        <f t="shared" si="5"/>
        <v>6500</v>
      </c>
      <c r="AA26" s="27">
        <f t="shared" si="6"/>
        <v>0</v>
      </c>
      <c r="AB26" s="10">
        <f t="shared" si="7"/>
        <v>6500</v>
      </c>
      <c r="AC26" s="10">
        <f t="shared" si="7"/>
        <v>0</v>
      </c>
      <c r="AD26" s="10">
        <f t="shared" si="7"/>
        <v>0</v>
      </c>
      <c r="AE26" s="10">
        <f t="shared" si="7"/>
        <v>0</v>
      </c>
      <c r="AF26" s="10">
        <f t="shared" si="7"/>
        <v>0</v>
      </c>
      <c r="AG26" s="10">
        <f t="shared" si="7"/>
        <v>0</v>
      </c>
      <c r="AH26" s="10">
        <f t="shared" si="7"/>
        <v>0</v>
      </c>
      <c r="AI26" s="10">
        <f t="shared" si="7"/>
        <v>0</v>
      </c>
      <c r="AJ26" s="10">
        <f t="shared" si="7"/>
        <v>0</v>
      </c>
      <c r="AK26" s="10">
        <f t="shared" si="7"/>
        <v>0</v>
      </c>
      <c r="AL26" s="10">
        <f t="shared" si="7"/>
        <v>0</v>
      </c>
      <c r="AM26" s="10">
        <f t="shared" si="7"/>
        <v>0</v>
      </c>
      <c r="AN26" s="27">
        <f t="shared" si="7"/>
        <v>6500</v>
      </c>
      <c r="AS26" t="str">
        <f>_xlfn.XLOOKUP(AU26,[2]GAE!HZ:HZ,[2]GAE!IA:IA)</f>
        <v>ADMIN SERVICES</v>
      </c>
      <c r="AT26" t="str">
        <f>_xlfn.XLOOKUP(AU26,[2]GAE!HZ:HZ,[2]GAE!IB:IB)</f>
        <v>GAE - Transportation</v>
      </c>
      <c r="AU26" t="s">
        <v>295</v>
      </c>
      <c r="AV26">
        <v>80123102</v>
      </c>
      <c r="AW26">
        <v>61081101</v>
      </c>
      <c r="AX26" t="str">
        <f>_xlfn.XLOOKUP(AU26,[2]GAE!HZ:HZ,[2]GAE!IF:IF)</f>
        <v>Others</v>
      </c>
      <c r="AY26" t="str">
        <f>_xlfn.XLOOKUP(AU26,[2]GAE!HZ:HZ,[2]GAE!IG:IG)</f>
        <v>Transportation &amp; Travel</v>
      </c>
      <c r="BF26" t="s">
        <v>303</v>
      </c>
      <c r="BG26" t="s">
        <v>303</v>
      </c>
      <c r="BH26" s="10">
        <f>SUMIFS('[1]2026'!$K:$K,'[1]2026'!$T:$T,BD26,'[1]2026'!$S:$S,BH$3,'[1]2026'!$P:$P,AU26)</f>
        <v>0</v>
      </c>
      <c r="BI26" s="10">
        <f>SUMIFS('[1]2026'!$K:$K,'[1]2026'!$T:$T,$BD26,'[1]2026'!$S:$S,BI$3,'[1]2026'!$P:$P,$AU26)</f>
        <v>0</v>
      </c>
      <c r="BJ26" s="10">
        <f>SUMIFS('[1]2026'!$K:$K,'[1]2026'!$T:$T,$BD26,'[1]2026'!$S:$S,BJ$3,'[1]2026'!$P:$P,$AU26)</f>
        <v>0</v>
      </c>
      <c r="BK26" s="10">
        <f>SUMIFS('[1]2026'!$K:$K,'[1]2026'!$T:$T,$BD26,'[1]2026'!$S:$S,BK$3,'[1]2026'!$P:$P,$AU26)</f>
        <v>0</v>
      </c>
      <c r="BL26" s="10">
        <f>SUMIFS('[1]2026'!$K:$K,'[1]2026'!$T:$T,$BD26,'[1]2026'!$S:$S,BL$3,'[1]2026'!$P:$P,$AU26)</f>
        <v>0</v>
      </c>
      <c r="BM26" s="10">
        <f>SUMIFS('[1]2026'!$K:$K,'[1]2026'!$T:$T,$BD26,'[1]2026'!$S:$S,BM$3,'[1]2026'!$P:$P,$AU26)</f>
        <v>0</v>
      </c>
      <c r="BN26" s="10">
        <f>SUMIFS('[1]2026'!$K:$K,'[1]2026'!$T:$T,$BD26,'[1]2026'!$S:$S,BN$3,'[1]2026'!$P:$P,$AU26)</f>
        <v>0</v>
      </c>
      <c r="BO26" s="10">
        <f>SUMIFS('[1]2026'!$K:$K,'[1]2026'!$T:$T,$BD26,'[1]2026'!$S:$S,BO$3,'[1]2026'!$P:$P,$AU26)</f>
        <v>0</v>
      </c>
      <c r="BP26" s="6"/>
      <c r="BQ26" s="6"/>
      <c r="BR26" s="6"/>
      <c r="BS26" s="6"/>
      <c r="BT26" s="6">
        <f t="shared" si="10"/>
        <v>0</v>
      </c>
      <c r="BV26" s="6">
        <f t="shared" ref="BV26:BV67" si="17">BH26-AB26</f>
        <v>-6500</v>
      </c>
      <c r="BW26" s="6">
        <f t="shared" ref="BW26:BW67" si="18">BI26-AC26</f>
        <v>0</v>
      </c>
      <c r="BX26" s="6">
        <f t="shared" ref="BX26:BX67" si="19">BJ26-AD26</f>
        <v>0</v>
      </c>
      <c r="BY26" s="6">
        <f t="shared" ref="BY26:BY67" si="20">BK26-AE26</f>
        <v>0</v>
      </c>
      <c r="BZ26" s="6">
        <f t="shared" ref="BZ26:BZ67" si="21">BL26-AF26</f>
        <v>0</v>
      </c>
      <c r="CA26" s="6">
        <f t="shared" ref="CA26:CA67" si="22">BM26-AG26</f>
        <v>0</v>
      </c>
      <c r="CB26" s="6">
        <f t="shared" ref="CB26:CB67" si="23">BN26-AH26</f>
        <v>0</v>
      </c>
      <c r="CC26" s="6">
        <f t="shared" ref="CC26:CC67" si="24">BO26-AI26</f>
        <v>0</v>
      </c>
      <c r="CD26" s="6">
        <f t="shared" ref="CD26:CD67" si="25">BP26-AJ26</f>
        <v>0</v>
      </c>
      <c r="CE26" s="6">
        <f t="shared" ref="CE26:CE67" si="26">BQ26-AK26</f>
        <v>0</v>
      </c>
      <c r="CF26" s="6">
        <f t="shared" ref="CF26:CF67" si="27">BR26-AL26</f>
        <v>0</v>
      </c>
      <c r="CG26" s="6">
        <f t="shared" ref="CG26:CG67" si="28">BS26-AM26</f>
        <v>0</v>
      </c>
      <c r="CH26" s="6">
        <f t="shared" si="11"/>
        <v>-6500</v>
      </c>
    </row>
    <row r="27" spans="1:86" hidden="1" x14ac:dyDescent="0.35">
      <c r="A27" s="3" t="s">
        <v>304</v>
      </c>
      <c r="B27" s="10">
        <v>6500</v>
      </c>
      <c r="N27" s="27">
        <f t="shared" si="5"/>
        <v>6500</v>
      </c>
      <c r="AA27" s="27">
        <f t="shared" si="6"/>
        <v>0</v>
      </c>
      <c r="AB27" s="10">
        <f t="shared" si="7"/>
        <v>6500</v>
      </c>
      <c r="AC27" s="10">
        <f t="shared" si="7"/>
        <v>0</v>
      </c>
      <c r="AD27" s="10">
        <f t="shared" si="7"/>
        <v>0</v>
      </c>
      <c r="AE27" s="10">
        <f t="shared" si="7"/>
        <v>0</v>
      </c>
      <c r="AF27" s="10">
        <f t="shared" si="7"/>
        <v>0</v>
      </c>
      <c r="AG27" s="10">
        <f t="shared" si="7"/>
        <v>0</v>
      </c>
      <c r="AH27" s="10">
        <f t="shared" si="7"/>
        <v>0</v>
      </c>
      <c r="AI27" s="10">
        <f t="shared" si="7"/>
        <v>0</v>
      </c>
      <c r="AJ27" s="10">
        <f t="shared" si="7"/>
        <v>0</v>
      </c>
      <c r="AK27" s="10">
        <f t="shared" si="7"/>
        <v>0</v>
      </c>
      <c r="AL27" s="10">
        <f t="shared" si="7"/>
        <v>0</v>
      </c>
      <c r="AM27" s="10">
        <f t="shared" si="7"/>
        <v>0</v>
      </c>
      <c r="AN27" s="27">
        <f t="shared" si="7"/>
        <v>6500</v>
      </c>
      <c r="AS27" t="str">
        <f>_xlfn.XLOOKUP(AU27,[2]GAE!HZ:HZ,[2]GAE!IA:IA)</f>
        <v>ADMIN SERVICES</v>
      </c>
      <c r="AT27" t="str">
        <f>_xlfn.XLOOKUP(AU27,[2]GAE!HZ:HZ,[2]GAE!IB:IB)</f>
        <v>GAE - Transportation</v>
      </c>
      <c r="AU27" t="s">
        <v>295</v>
      </c>
      <c r="AV27">
        <v>80123102</v>
      </c>
      <c r="AW27">
        <v>61081101</v>
      </c>
      <c r="AX27" t="str">
        <f>_xlfn.XLOOKUP(AU27,[2]GAE!HZ:HZ,[2]GAE!IF:IF)</f>
        <v>Others</v>
      </c>
      <c r="AY27" t="str">
        <f>_xlfn.XLOOKUP(AU27,[2]GAE!HZ:HZ,[2]GAE!IG:IG)</f>
        <v>Transportation &amp; Travel</v>
      </c>
      <c r="BF27" t="s">
        <v>303</v>
      </c>
      <c r="BG27" t="s">
        <v>303</v>
      </c>
      <c r="BH27" s="10">
        <f>SUMIFS('[1]2026'!$K:$K,'[1]2026'!$T:$T,BD27,'[1]2026'!$S:$S,BH$3,'[1]2026'!$P:$P,AU27)</f>
        <v>0</v>
      </c>
      <c r="BI27" s="10">
        <f>SUMIFS('[1]2026'!$K:$K,'[1]2026'!$T:$T,$BD27,'[1]2026'!$S:$S,BI$3,'[1]2026'!$P:$P,$AU27)</f>
        <v>0</v>
      </c>
      <c r="BJ27" s="10">
        <f>SUMIFS('[1]2026'!$K:$K,'[1]2026'!$T:$T,$BD27,'[1]2026'!$S:$S,BJ$3,'[1]2026'!$P:$P,$AU27)</f>
        <v>0</v>
      </c>
      <c r="BK27" s="10">
        <f>SUMIFS('[1]2026'!$K:$K,'[1]2026'!$T:$T,$BD27,'[1]2026'!$S:$S,BK$3,'[1]2026'!$P:$P,$AU27)</f>
        <v>0</v>
      </c>
      <c r="BL27" s="10">
        <f>SUMIFS('[1]2026'!$K:$K,'[1]2026'!$T:$T,$BD27,'[1]2026'!$S:$S,BL$3,'[1]2026'!$P:$P,$AU27)</f>
        <v>0</v>
      </c>
      <c r="BM27" s="10">
        <f>SUMIFS('[1]2026'!$K:$K,'[1]2026'!$T:$T,$BD27,'[1]2026'!$S:$S,BM$3,'[1]2026'!$P:$P,$AU27)</f>
        <v>0</v>
      </c>
      <c r="BN27" s="10">
        <f>SUMIFS('[1]2026'!$K:$K,'[1]2026'!$T:$T,$BD27,'[1]2026'!$S:$S,BN$3,'[1]2026'!$P:$P,$AU27)</f>
        <v>0</v>
      </c>
      <c r="BO27" s="10">
        <f>SUMIFS('[1]2026'!$K:$K,'[1]2026'!$T:$T,$BD27,'[1]2026'!$S:$S,BO$3,'[1]2026'!$P:$P,$AU27)</f>
        <v>0</v>
      </c>
      <c r="BP27" s="6"/>
      <c r="BQ27" s="6"/>
      <c r="BR27" s="6"/>
      <c r="BS27" s="6"/>
      <c r="BT27" s="6">
        <f t="shared" si="10"/>
        <v>0</v>
      </c>
      <c r="BV27" s="6">
        <f t="shared" si="17"/>
        <v>-6500</v>
      </c>
      <c r="BW27" s="6">
        <f t="shared" si="18"/>
        <v>0</v>
      </c>
      <c r="BX27" s="6">
        <f t="shared" si="19"/>
        <v>0</v>
      </c>
      <c r="BY27" s="6">
        <f t="shared" si="20"/>
        <v>0</v>
      </c>
      <c r="BZ27" s="6">
        <f t="shared" si="21"/>
        <v>0</v>
      </c>
      <c r="CA27" s="6">
        <f t="shared" si="22"/>
        <v>0</v>
      </c>
      <c r="CB27" s="6">
        <f t="shared" si="23"/>
        <v>0</v>
      </c>
      <c r="CC27" s="6">
        <f t="shared" si="24"/>
        <v>0</v>
      </c>
      <c r="CD27" s="6">
        <f t="shared" si="25"/>
        <v>0</v>
      </c>
      <c r="CE27" s="6">
        <f t="shared" si="26"/>
        <v>0</v>
      </c>
      <c r="CF27" s="6">
        <f t="shared" si="27"/>
        <v>0</v>
      </c>
      <c r="CG27" s="6">
        <f t="shared" si="28"/>
        <v>0</v>
      </c>
      <c r="CH27" s="6">
        <f t="shared" si="11"/>
        <v>-6500</v>
      </c>
    </row>
    <row r="28" spans="1:86" hidden="1" x14ac:dyDescent="0.35">
      <c r="A28" s="3" t="s">
        <v>305</v>
      </c>
      <c r="B28" s="10">
        <v>6500</v>
      </c>
      <c r="N28" s="27">
        <f t="shared" si="5"/>
        <v>6500</v>
      </c>
      <c r="AA28" s="27">
        <f t="shared" si="6"/>
        <v>0</v>
      </c>
      <c r="AB28" s="10">
        <f t="shared" si="7"/>
        <v>6500</v>
      </c>
      <c r="AC28" s="10">
        <f t="shared" si="7"/>
        <v>0</v>
      </c>
      <c r="AD28" s="10">
        <f t="shared" si="7"/>
        <v>0</v>
      </c>
      <c r="AE28" s="10">
        <f t="shared" si="7"/>
        <v>0</v>
      </c>
      <c r="AF28" s="10">
        <f t="shared" si="7"/>
        <v>0</v>
      </c>
      <c r="AG28" s="10">
        <f t="shared" si="7"/>
        <v>0</v>
      </c>
      <c r="AH28" s="10">
        <f t="shared" si="7"/>
        <v>0</v>
      </c>
      <c r="AI28" s="10">
        <f t="shared" si="7"/>
        <v>0</v>
      </c>
      <c r="AJ28" s="10">
        <f t="shared" si="7"/>
        <v>0</v>
      </c>
      <c r="AK28" s="10">
        <f t="shared" si="7"/>
        <v>0</v>
      </c>
      <c r="AL28" s="10">
        <f t="shared" si="7"/>
        <v>0</v>
      </c>
      <c r="AM28" s="10">
        <f t="shared" si="7"/>
        <v>0</v>
      </c>
      <c r="AN28" s="27">
        <f t="shared" si="7"/>
        <v>6500</v>
      </c>
      <c r="AS28" t="str">
        <f>_xlfn.XLOOKUP(AU28,[2]GAE!HZ:HZ,[2]GAE!IA:IA)</f>
        <v>ADMIN SERVICES</v>
      </c>
      <c r="AT28" t="str">
        <f>_xlfn.XLOOKUP(AU28,[2]GAE!HZ:HZ,[2]GAE!IB:IB)</f>
        <v>GAE - Transportation</v>
      </c>
      <c r="AU28" t="s">
        <v>295</v>
      </c>
      <c r="AV28">
        <v>80123102</v>
      </c>
      <c r="AW28">
        <v>61081101</v>
      </c>
      <c r="AX28" t="str">
        <f>_xlfn.XLOOKUP(AU28,[2]GAE!HZ:HZ,[2]GAE!IF:IF)</f>
        <v>Others</v>
      </c>
      <c r="AY28" t="str">
        <f>_xlfn.XLOOKUP(AU28,[2]GAE!HZ:HZ,[2]GAE!IG:IG)</f>
        <v>Transportation &amp; Travel</v>
      </c>
      <c r="BF28" t="s">
        <v>303</v>
      </c>
      <c r="BG28" t="s">
        <v>303</v>
      </c>
      <c r="BH28" s="10">
        <f>SUMIFS('[1]2026'!$K:$K,'[1]2026'!$T:$T,BD28,'[1]2026'!$S:$S,BH$3,'[1]2026'!$P:$P,AU28)</f>
        <v>0</v>
      </c>
      <c r="BI28" s="10">
        <f>SUMIFS('[1]2026'!$K:$K,'[1]2026'!$T:$T,$BD28,'[1]2026'!$S:$S,BI$3,'[1]2026'!$P:$P,$AU28)</f>
        <v>0</v>
      </c>
      <c r="BJ28" s="10">
        <f>SUMIFS('[1]2026'!$K:$K,'[1]2026'!$T:$T,$BD28,'[1]2026'!$S:$S,BJ$3,'[1]2026'!$P:$P,$AU28)</f>
        <v>0</v>
      </c>
      <c r="BK28" s="10">
        <f>SUMIFS('[1]2026'!$K:$K,'[1]2026'!$T:$T,$BD28,'[1]2026'!$S:$S,BK$3,'[1]2026'!$P:$P,$AU28)</f>
        <v>0</v>
      </c>
      <c r="BL28" s="10">
        <f>SUMIFS('[1]2026'!$K:$K,'[1]2026'!$T:$T,$BD28,'[1]2026'!$S:$S,BL$3,'[1]2026'!$P:$P,$AU28)</f>
        <v>0</v>
      </c>
      <c r="BM28" s="10">
        <f>SUMIFS('[1]2026'!$K:$K,'[1]2026'!$T:$T,$BD28,'[1]2026'!$S:$S,BM$3,'[1]2026'!$P:$P,$AU28)</f>
        <v>0</v>
      </c>
      <c r="BN28" s="10">
        <f>SUMIFS('[1]2026'!$K:$K,'[1]2026'!$T:$T,$BD28,'[1]2026'!$S:$S,BN$3,'[1]2026'!$P:$P,$AU28)</f>
        <v>0</v>
      </c>
      <c r="BO28" s="10">
        <f>SUMIFS('[1]2026'!$K:$K,'[1]2026'!$T:$T,$BD28,'[1]2026'!$S:$S,BO$3,'[1]2026'!$P:$P,$AU28)</f>
        <v>0</v>
      </c>
      <c r="BP28" s="6"/>
      <c r="BQ28" s="6"/>
      <c r="BR28" s="6"/>
      <c r="BS28" s="6"/>
      <c r="BT28" s="6">
        <f t="shared" si="10"/>
        <v>0</v>
      </c>
      <c r="BV28" s="6">
        <f t="shared" si="17"/>
        <v>-6500</v>
      </c>
      <c r="BW28" s="6">
        <f t="shared" si="18"/>
        <v>0</v>
      </c>
      <c r="BX28" s="6">
        <f t="shared" si="19"/>
        <v>0</v>
      </c>
      <c r="BY28" s="6">
        <f t="shared" si="20"/>
        <v>0</v>
      </c>
      <c r="BZ28" s="6">
        <f t="shared" si="21"/>
        <v>0</v>
      </c>
      <c r="CA28" s="6">
        <f t="shared" si="22"/>
        <v>0</v>
      </c>
      <c r="CB28" s="6">
        <f t="shared" si="23"/>
        <v>0</v>
      </c>
      <c r="CC28" s="6">
        <f t="shared" si="24"/>
        <v>0</v>
      </c>
      <c r="CD28" s="6">
        <f t="shared" si="25"/>
        <v>0</v>
      </c>
      <c r="CE28" s="6">
        <f t="shared" si="26"/>
        <v>0</v>
      </c>
      <c r="CF28" s="6">
        <f t="shared" si="27"/>
        <v>0</v>
      </c>
      <c r="CG28" s="6">
        <f t="shared" si="28"/>
        <v>0</v>
      </c>
      <c r="CH28" s="6">
        <f t="shared" si="11"/>
        <v>-6500</v>
      </c>
    </row>
    <row r="29" spans="1:86" hidden="1" x14ac:dyDescent="0.35">
      <c r="A29" s="3" t="s">
        <v>306</v>
      </c>
      <c r="B29" s="10">
        <v>6500</v>
      </c>
      <c r="N29" s="27">
        <f t="shared" si="5"/>
        <v>6500</v>
      </c>
      <c r="AA29" s="27">
        <f t="shared" si="6"/>
        <v>0</v>
      </c>
      <c r="AB29" s="10">
        <f t="shared" si="7"/>
        <v>6500</v>
      </c>
      <c r="AC29" s="10">
        <f t="shared" si="7"/>
        <v>0</v>
      </c>
      <c r="AD29" s="10">
        <f t="shared" si="7"/>
        <v>0</v>
      </c>
      <c r="AE29" s="10">
        <f t="shared" si="7"/>
        <v>0</v>
      </c>
      <c r="AF29" s="10">
        <f t="shared" si="7"/>
        <v>0</v>
      </c>
      <c r="AG29" s="10">
        <f t="shared" si="7"/>
        <v>0</v>
      </c>
      <c r="AH29" s="10">
        <f t="shared" si="7"/>
        <v>0</v>
      </c>
      <c r="AI29" s="10">
        <f t="shared" si="7"/>
        <v>0</v>
      </c>
      <c r="AJ29" s="10">
        <f t="shared" si="7"/>
        <v>0</v>
      </c>
      <c r="AK29" s="10">
        <f t="shared" si="7"/>
        <v>0</v>
      </c>
      <c r="AL29" s="10">
        <f t="shared" si="7"/>
        <v>0</v>
      </c>
      <c r="AM29" s="10">
        <f t="shared" si="7"/>
        <v>0</v>
      </c>
      <c r="AN29" s="27">
        <f t="shared" si="7"/>
        <v>6500</v>
      </c>
      <c r="AS29" t="str">
        <f>_xlfn.XLOOKUP(AU29,[2]GAE!HZ:HZ,[2]GAE!IA:IA)</f>
        <v>ADMIN SERVICES</v>
      </c>
      <c r="AT29" t="str">
        <f>_xlfn.XLOOKUP(AU29,[2]GAE!HZ:HZ,[2]GAE!IB:IB)</f>
        <v>GAE - Transportation</v>
      </c>
      <c r="AU29" t="s">
        <v>295</v>
      </c>
      <c r="AV29">
        <v>80123102</v>
      </c>
      <c r="AW29">
        <v>61081101</v>
      </c>
      <c r="AX29" t="str">
        <f>_xlfn.XLOOKUP(AU29,[2]GAE!HZ:HZ,[2]GAE!IF:IF)</f>
        <v>Others</v>
      </c>
      <c r="AY29" t="str">
        <f>_xlfn.XLOOKUP(AU29,[2]GAE!HZ:HZ,[2]GAE!IG:IG)</f>
        <v>Transportation &amp; Travel</v>
      </c>
      <c r="BF29" t="s">
        <v>303</v>
      </c>
      <c r="BG29" t="s">
        <v>303</v>
      </c>
      <c r="BH29" s="10">
        <f>SUMIFS('[1]2026'!$K:$K,'[1]2026'!$T:$T,BD29,'[1]2026'!$S:$S,BH$3,'[1]2026'!$P:$P,AU29)</f>
        <v>0</v>
      </c>
      <c r="BI29" s="10">
        <f>SUMIFS('[1]2026'!$K:$K,'[1]2026'!$T:$T,$BD29,'[1]2026'!$S:$S,BI$3,'[1]2026'!$P:$P,$AU29)</f>
        <v>0</v>
      </c>
      <c r="BJ29" s="10">
        <f>SUMIFS('[1]2026'!$K:$K,'[1]2026'!$T:$T,$BD29,'[1]2026'!$S:$S,BJ$3,'[1]2026'!$P:$P,$AU29)</f>
        <v>0</v>
      </c>
      <c r="BK29" s="10">
        <f>SUMIFS('[1]2026'!$K:$K,'[1]2026'!$T:$T,$BD29,'[1]2026'!$S:$S,BK$3,'[1]2026'!$P:$P,$AU29)</f>
        <v>0</v>
      </c>
      <c r="BL29" s="10">
        <f>SUMIFS('[1]2026'!$K:$K,'[1]2026'!$T:$T,$BD29,'[1]2026'!$S:$S,BL$3,'[1]2026'!$P:$P,$AU29)</f>
        <v>0</v>
      </c>
      <c r="BM29" s="10">
        <f>SUMIFS('[1]2026'!$K:$K,'[1]2026'!$T:$T,$BD29,'[1]2026'!$S:$S,BM$3,'[1]2026'!$P:$P,$AU29)</f>
        <v>0</v>
      </c>
      <c r="BN29" s="10">
        <f>SUMIFS('[1]2026'!$K:$K,'[1]2026'!$T:$T,$BD29,'[1]2026'!$S:$S,BN$3,'[1]2026'!$P:$P,$AU29)</f>
        <v>0</v>
      </c>
      <c r="BO29" s="10">
        <f>SUMIFS('[1]2026'!$K:$K,'[1]2026'!$T:$T,$BD29,'[1]2026'!$S:$S,BO$3,'[1]2026'!$P:$P,$AU29)</f>
        <v>0</v>
      </c>
      <c r="BP29" s="6"/>
      <c r="BQ29" s="6"/>
      <c r="BR29" s="6"/>
      <c r="BS29" s="6"/>
      <c r="BT29" s="6">
        <f t="shared" si="10"/>
        <v>0</v>
      </c>
      <c r="BV29" s="6">
        <f t="shared" si="17"/>
        <v>-6500</v>
      </c>
      <c r="BW29" s="6">
        <f t="shared" si="18"/>
        <v>0</v>
      </c>
      <c r="BX29" s="6">
        <f t="shared" si="19"/>
        <v>0</v>
      </c>
      <c r="BY29" s="6">
        <f t="shared" si="20"/>
        <v>0</v>
      </c>
      <c r="BZ29" s="6">
        <f t="shared" si="21"/>
        <v>0</v>
      </c>
      <c r="CA29" s="6">
        <f t="shared" si="22"/>
        <v>0</v>
      </c>
      <c r="CB29" s="6">
        <f t="shared" si="23"/>
        <v>0</v>
      </c>
      <c r="CC29" s="6">
        <f t="shared" si="24"/>
        <v>0</v>
      </c>
      <c r="CD29" s="6">
        <f t="shared" si="25"/>
        <v>0</v>
      </c>
      <c r="CE29" s="6">
        <f t="shared" si="26"/>
        <v>0</v>
      </c>
      <c r="CF29" s="6">
        <f t="shared" si="27"/>
        <v>0</v>
      </c>
      <c r="CG29" s="6">
        <f t="shared" si="28"/>
        <v>0</v>
      </c>
      <c r="CH29" s="6">
        <f t="shared" si="11"/>
        <v>-6500</v>
      </c>
    </row>
    <row r="30" spans="1:86" hidden="1" x14ac:dyDescent="0.35">
      <c r="A30" s="3" t="s">
        <v>307</v>
      </c>
      <c r="B30" s="10">
        <v>6500</v>
      </c>
      <c r="N30" s="27">
        <f t="shared" si="5"/>
        <v>6500</v>
      </c>
      <c r="AA30" s="27">
        <f t="shared" si="6"/>
        <v>0</v>
      </c>
      <c r="AB30" s="10">
        <f t="shared" si="7"/>
        <v>6500</v>
      </c>
      <c r="AC30" s="10">
        <f t="shared" si="7"/>
        <v>0</v>
      </c>
      <c r="AD30" s="10">
        <f t="shared" si="7"/>
        <v>0</v>
      </c>
      <c r="AE30" s="10">
        <f t="shared" si="7"/>
        <v>0</v>
      </c>
      <c r="AF30" s="10">
        <f t="shared" si="7"/>
        <v>0</v>
      </c>
      <c r="AG30" s="10">
        <f t="shared" si="7"/>
        <v>0</v>
      </c>
      <c r="AH30" s="10">
        <f t="shared" si="7"/>
        <v>0</v>
      </c>
      <c r="AI30" s="10">
        <f t="shared" si="7"/>
        <v>0</v>
      </c>
      <c r="AJ30" s="10">
        <f t="shared" si="7"/>
        <v>0</v>
      </c>
      <c r="AK30" s="10">
        <f t="shared" si="7"/>
        <v>0</v>
      </c>
      <c r="AL30" s="10">
        <f t="shared" si="7"/>
        <v>0</v>
      </c>
      <c r="AM30" s="10">
        <f t="shared" si="7"/>
        <v>0</v>
      </c>
      <c r="AN30" s="27">
        <f t="shared" si="7"/>
        <v>6500</v>
      </c>
      <c r="AS30" t="str">
        <f>_xlfn.XLOOKUP(AU30,[2]GAE!HZ:HZ,[2]GAE!IA:IA)</f>
        <v>ADMIN SERVICES</v>
      </c>
      <c r="AT30" t="str">
        <f>_xlfn.XLOOKUP(AU30,[2]GAE!HZ:HZ,[2]GAE!IB:IB)</f>
        <v>GAE - Transportation</v>
      </c>
      <c r="AU30" t="s">
        <v>295</v>
      </c>
      <c r="AV30">
        <v>80123102</v>
      </c>
      <c r="AW30">
        <v>61081101</v>
      </c>
      <c r="AX30" t="str">
        <f>_xlfn.XLOOKUP(AU30,[2]GAE!HZ:HZ,[2]GAE!IF:IF)</f>
        <v>Others</v>
      </c>
      <c r="AY30" t="str">
        <f>_xlfn.XLOOKUP(AU30,[2]GAE!HZ:HZ,[2]GAE!IG:IG)</f>
        <v>Transportation &amp; Travel</v>
      </c>
      <c r="BF30" t="s">
        <v>303</v>
      </c>
      <c r="BG30" t="s">
        <v>303</v>
      </c>
      <c r="BH30" s="10">
        <f>SUMIFS('[1]2026'!$K:$K,'[1]2026'!$T:$T,BD30,'[1]2026'!$S:$S,BH$3,'[1]2026'!$P:$P,AU30)</f>
        <v>0</v>
      </c>
      <c r="BI30" s="10">
        <f>SUMIFS('[1]2026'!$K:$K,'[1]2026'!$T:$T,$BD30,'[1]2026'!$S:$S,BI$3,'[1]2026'!$P:$P,$AU30)</f>
        <v>0</v>
      </c>
      <c r="BJ30" s="10">
        <f>SUMIFS('[1]2026'!$K:$K,'[1]2026'!$T:$T,$BD30,'[1]2026'!$S:$S,BJ$3,'[1]2026'!$P:$P,$AU30)</f>
        <v>0</v>
      </c>
      <c r="BK30" s="10">
        <f>SUMIFS('[1]2026'!$K:$K,'[1]2026'!$T:$T,$BD30,'[1]2026'!$S:$S,BK$3,'[1]2026'!$P:$P,$AU30)</f>
        <v>0</v>
      </c>
      <c r="BL30" s="10">
        <f>SUMIFS('[1]2026'!$K:$K,'[1]2026'!$T:$T,$BD30,'[1]2026'!$S:$S,BL$3,'[1]2026'!$P:$P,$AU30)</f>
        <v>0</v>
      </c>
      <c r="BM30" s="10">
        <f>SUMIFS('[1]2026'!$K:$K,'[1]2026'!$T:$T,$BD30,'[1]2026'!$S:$S,BM$3,'[1]2026'!$P:$P,$AU30)</f>
        <v>0</v>
      </c>
      <c r="BN30" s="10">
        <f>SUMIFS('[1]2026'!$K:$K,'[1]2026'!$T:$T,$BD30,'[1]2026'!$S:$S,BN$3,'[1]2026'!$P:$P,$AU30)</f>
        <v>0</v>
      </c>
      <c r="BO30" s="10">
        <f>SUMIFS('[1]2026'!$K:$K,'[1]2026'!$T:$T,$BD30,'[1]2026'!$S:$S,BO$3,'[1]2026'!$P:$P,$AU30)</f>
        <v>0</v>
      </c>
      <c r="BP30" s="6"/>
      <c r="BQ30" s="6"/>
      <c r="BR30" s="6"/>
      <c r="BS30" s="6"/>
      <c r="BT30" s="6">
        <f t="shared" si="10"/>
        <v>0</v>
      </c>
      <c r="BV30" s="6">
        <f t="shared" si="17"/>
        <v>-6500</v>
      </c>
      <c r="BW30" s="6">
        <f t="shared" si="18"/>
        <v>0</v>
      </c>
      <c r="BX30" s="6">
        <f t="shared" si="19"/>
        <v>0</v>
      </c>
      <c r="BY30" s="6">
        <f t="shared" si="20"/>
        <v>0</v>
      </c>
      <c r="BZ30" s="6">
        <f t="shared" si="21"/>
        <v>0</v>
      </c>
      <c r="CA30" s="6">
        <f t="shared" si="22"/>
        <v>0</v>
      </c>
      <c r="CB30" s="6">
        <f t="shared" si="23"/>
        <v>0</v>
      </c>
      <c r="CC30" s="6">
        <f t="shared" si="24"/>
        <v>0</v>
      </c>
      <c r="CD30" s="6">
        <f t="shared" si="25"/>
        <v>0</v>
      </c>
      <c r="CE30" s="6">
        <f t="shared" si="26"/>
        <v>0</v>
      </c>
      <c r="CF30" s="6">
        <f t="shared" si="27"/>
        <v>0</v>
      </c>
      <c r="CG30" s="6">
        <f t="shared" si="28"/>
        <v>0</v>
      </c>
      <c r="CH30" s="6">
        <f t="shared" si="11"/>
        <v>-6500</v>
      </c>
    </row>
    <row r="31" spans="1:86" hidden="1" x14ac:dyDescent="0.35">
      <c r="A31" s="3" t="s">
        <v>308</v>
      </c>
      <c r="B31" s="10">
        <v>6500</v>
      </c>
      <c r="N31" s="27">
        <f t="shared" si="5"/>
        <v>6500</v>
      </c>
      <c r="AA31" s="27">
        <f t="shared" si="6"/>
        <v>0</v>
      </c>
      <c r="AB31" s="10">
        <f t="shared" si="7"/>
        <v>6500</v>
      </c>
      <c r="AC31" s="10">
        <f t="shared" si="7"/>
        <v>0</v>
      </c>
      <c r="AD31" s="10">
        <f t="shared" si="7"/>
        <v>0</v>
      </c>
      <c r="AE31" s="10">
        <f t="shared" si="7"/>
        <v>0</v>
      </c>
      <c r="AF31" s="10">
        <f t="shared" si="7"/>
        <v>0</v>
      </c>
      <c r="AG31" s="10">
        <f t="shared" si="7"/>
        <v>0</v>
      </c>
      <c r="AH31" s="10">
        <f t="shared" si="7"/>
        <v>0</v>
      </c>
      <c r="AI31" s="10">
        <f t="shared" si="7"/>
        <v>0</v>
      </c>
      <c r="AJ31" s="10">
        <f t="shared" si="7"/>
        <v>0</v>
      </c>
      <c r="AK31" s="10">
        <f t="shared" si="7"/>
        <v>0</v>
      </c>
      <c r="AL31" s="10">
        <f t="shared" si="7"/>
        <v>0</v>
      </c>
      <c r="AM31" s="10">
        <f t="shared" si="7"/>
        <v>0</v>
      </c>
      <c r="AN31" s="27">
        <f t="shared" si="7"/>
        <v>6500</v>
      </c>
      <c r="AS31" t="str">
        <f>_xlfn.XLOOKUP(AU31,[2]GAE!HZ:HZ,[2]GAE!IA:IA)</f>
        <v>ADMIN SERVICES</v>
      </c>
      <c r="AT31" t="str">
        <f>_xlfn.XLOOKUP(AU31,[2]GAE!HZ:HZ,[2]GAE!IB:IB)</f>
        <v>GAE - Transportation</v>
      </c>
      <c r="AU31" t="s">
        <v>295</v>
      </c>
      <c r="AV31">
        <v>80123102</v>
      </c>
      <c r="AW31">
        <v>61081101</v>
      </c>
      <c r="AX31" t="str">
        <f>_xlfn.XLOOKUP(AU31,[2]GAE!HZ:HZ,[2]GAE!IF:IF)</f>
        <v>Others</v>
      </c>
      <c r="AY31" t="str">
        <f>_xlfn.XLOOKUP(AU31,[2]GAE!HZ:HZ,[2]GAE!IG:IG)</f>
        <v>Transportation &amp; Travel</v>
      </c>
      <c r="BF31" t="s">
        <v>303</v>
      </c>
      <c r="BG31" t="s">
        <v>303</v>
      </c>
      <c r="BH31" s="10">
        <f>SUMIFS('[1]2026'!$K:$K,'[1]2026'!$T:$T,BD31,'[1]2026'!$S:$S,BH$3,'[1]2026'!$P:$P,AU31)</f>
        <v>0</v>
      </c>
      <c r="BI31" s="10">
        <f>SUMIFS('[1]2026'!$K:$K,'[1]2026'!$T:$T,$BD31,'[1]2026'!$S:$S,BI$3,'[1]2026'!$P:$P,$AU31)</f>
        <v>0</v>
      </c>
      <c r="BJ31" s="10">
        <f>SUMIFS('[1]2026'!$K:$K,'[1]2026'!$T:$T,$BD31,'[1]2026'!$S:$S,BJ$3,'[1]2026'!$P:$P,$AU31)</f>
        <v>0</v>
      </c>
      <c r="BK31" s="10">
        <f>SUMIFS('[1]2026'!$K:$K,'[1]2026'!$T:$T,$BD31,'[1]2026'!$S:$S,BK$3,'[1]2026'!$P:$P,$AU31)</f>
        <v>0</v>
      </c>
      <c r="BL31" s="10">
        <f>SUMIFS('[1]2026'!$K:$K,'[1]2026'!$T:$T,$BD31,'[1]2026'!$S:$S,BL$3,'[1]2026'!$P:$P,$AU31)</f>
        <v>0</v>
      </c>
      <c r="BM31" s="10">
        <f>SUMIFS('[1]2026'!$K:$K,'[1]2026'!$T:$T,$BD31,'[1]2026'!$S:$S,BM$3,'[1]2026'!$P:$P,$AU31)</f>
        <v>0</v>
      </c>
      <c r="BN31" s="10">
        <f>SUMIFS('[1]2026'!$K:$K,'[1]2026'!$T:$T,$BD31,'[1]2026'!$S:$S,BN$3,'[1]2026'!$P:$P,$AU31)</f>
        <v>0</v>
      </c>
      <c r="BO31" s="10">
        <f>SUMIFS('[1]2026'!$K:$K,'[1]2026'!$T:$T,$BD31,'[1]2026'!$S:$S,BO$3,'[1]2026'!$P:$P,$AU31)</f>
        <v>0</v>
      </c>
      <c r="BP31" s="6"/>
      <c r="BQ31" s="6"/>
      <c r="BR31" s="6"/>
      <c r="BS31" s="6"/>
      <c r="BT31" s="6">
        <f t="shared" si="10"/>
        <v>0</v>
      </c>
      <c r="BV31" s="6">
        <f t="shared" si="17"/>
        <v>-6500</v>
      </c>
      <c r="BW31" s="6">
        <f t="shared" si="18"/>
        <v>0</v>
      </c>
      <c r="BX31" s="6">
        <f t="shared" si="19"/>
        <v>0</v>
      </c>
      <c r="BY31" s="6">
        <f t="shared" si="20"/>
        <v>0</v>
      </c>
      <c r="BZ31" s="6">
        <f t="shared" si="21"/>
        <v>0</v>
      </c>
      <c r="CA31" s="6">
        <f t="shared" si="22"/>
        <v>0</v>
      </c>
      <c r="CB31" s="6">
        <f t="shared" si="23"/>
        <v>0</v>
      </c>
      <c r="CC31" s="6">
        <f t="shared" si="24"/>
        <v>0</v>
      </c>
      <c r="CD31" s="6">
        <f t="shared" si="25"/>
        <v>0</v>
      </c>
      <c r="CE31" s="6">
        <f t="shared" si="26"/>
        <v>0</v>
      </c>
      <c r="CF31" s="6">
        <f t="shared" si="27"/>
        <v>0</v>
      </c>
      <c r="CG31" s="6">
        <f t="shared" si="28"/>
        <v>0</v>
      </c>
      <c r="CH31" s="6">
        <f t="shared" si="11"/>
        <v>-6500</v>
      </c>
    </row>
    <row r="32" spans="1:86" hidden="1" x14ac:dyDescent="0.35">
      <c r="A32" s="3" t="s">
        <v>309</v>
      </c>
      <c r="B32" s="10">
        <v>6500</v>
      </c>
      <c r="N32" s="27">
        <f t="shared" si="5"/>
        <v>6500</v>
      </c>
      <c r="AA32" s="27">
        <f t="shared" si="6"/>
        <v>0</v>
      </c>
      <c r="AB32" s="10">
        <f t="shared" si="7"/>
        <v>6500</v>
      </c>
      <c r="AC32" s="10">
        <f t="shared" si="7"/>
        <v>0</v>
      </c>
      <c r="AD32" s="10">
        <f t="shared" si="7"/>
        <v>0</v>
      </c>
      <c r="AE32" s="10">
        <f t="shared" si="7"/>
        <v>0</v>
      </c>
      <c r="AF32" s="10">
        <f t="shared" si="7"/>
        <v>0</v>
      </c>
      <c r="AG32" s="10">
        <f t="shared" si="7"/>
        <v>0</v>
      </c>
      <c r="AH32" s="10">
        <f t="shared" si="7"/>
        <v>0</v>
      </c>
      <c r="AI32" s="10">
        <f t="shared" si="7"/>
        <v>0</v>
      </c>
      <c r="AJ32" s="10">
        <f t="shared" si="7"/>
        <v>0</v>
      </c>
      <c r="AK32" s="10">
        <f t="shared" si="7"/>
        <v>0</v>
      </c>
      <c r="AL32" s="10">
        <f t="shared" si="7"/>
        <v>0</v>
      </c>
      <c r="AM32" s="10">
        <f t="shared" si="7"/>
        <v>0</v>
      </c>
      <c r="AN32" s="27">
        <f t="shared" si="7"/>
        <v>6500</v>
      </c>
      <c r="AS32" t="str">
        <f>_xlfn.XLOOKUP(AU32,[2]GAE!HZ:HZ,[2]GAE!IA:IA)</f>
        <v>ADMIN SERVICES</v>
      </c>
      <c r="AT32" t="str">
        <f>_xlfn.XLOOKUP(AU32,[2]GAE!HZ:HZ,[2]GAE!IB:IB)</f>
        <v>GAE - Transportation</v>
      </c>
      <c r="AU32" t="s">
        <v>295</v>
      </c>
      <c r="AV32">
        <v>80123102</v>
      </c>
      <c r="AW32">
        <v>61081101</v>
      </c>
      <c r="AX32" t="str">
        <f>_xlfn.XLOOKUP(AU32,[2]GAE!HZ:HZ,[2]GAE!IF:IF)</f>
        <v>Others</v>
      </c>
      <c r="AY32" t="str">
        <f>_xlfn.XLOOKUP(AU32,[2]GAE!HZ:HZ,[2]GAE!IG:IG)</f>
        <v>Transportation &amp; Travel</v>
      </c>
      <c r="BF32" t="s">
        <v>303</v>
      </c>
      <c r="BG32" t="s">
        <v>303</v>
      </c>
      <c r="BH32" s="10">
        <f>SUMIFS('[1]2026'!$K:$K,'[1]2026'!$T:$T,BD32,'[1]2026'!$S:$S,BH$3,'[1]2026'!$P:$P,AU32)</f>
        <v>0</v>
      </c>
      <c r="BI32" s="10">
        <f>SUMIFS('[1]2026'!$K:$K,'[1]2026'!$T:$T,$BD32,'[1]2026'!$S:$S,BI$3,'[1]2026'!$P:$P,$AU32)</f>
        <v>0</v>
      </c>
      <c r="BJ32" s="10">
        <f>SUMIFS('[1]2026'!$K:$K,'[1]2026'!$T:$T,$BD32,'[1]2026'!$S:$S,BJ$3,'[1]2026'!$P:$P,$AU32)</f>
        <v>0</v>
      </c>
      <c r="BK32" s="10">
        <f>SUMIFS('[1]2026'!$K:$K,'[1]2026'!$T:$T,$BD32,'[1]2026'!$S:$S,BK$3,'[1]2026'!$P:$P,$AU32)</f>
        <v>0</v>
      </c>
      <c r="BL32" s="10">
        <f>SUMIFS('[1]2026'!$K:$K,'[1]2026'!$T:$T,$BD32,'[1]2026'!$S:$S,BL$3,'[1]2026'!$P:$P,$AU32)</f>
        <v>0</v>
      </c>
      <c r="BM32" s="10">
        <f>SUMIFS('[1]2026'!$K:$K,'[1]2026'!$T:$T,$BD32,'[1]2026'!$S:$S,BM$3,'[1]2026'!$P:$P,$AU32)</f>
        <v>0</v>
      </c>
      <c r="BN32" s="10">
        <f>SUMIFS('[1]2026'!$K:$K,'[1]2026'!$T:$T,$BD32,'[1]2026'!$S:$S,BN$3,'[1]2026'!$P:$P,$AU32)</f>
        <v>0</v>
      </c>
      <c r="BO32" s="10">
        <f>SUMIFS('[1]2026'!$K:$K,'[1]2026'!$T:$T,$BD32,'[1]2026'!$S:$S,BO$3,'[1]2026'!$P:$P,$AU32)</f>
        <v>0</v>
      </c>
      <c r="BP32" s="6"/>
      <c r="BQ32" s="6"/>
      <c r="BR32" s="6"/>
      <c r="BS32" s="6"/>
      <c r="BT32" s="6">
        <f t="shared" si="10"/>
        <v>0</v>
      </c>
      <c r="BV32" s="6">
        <f t="shared" si="17"/>
        <v>-6500</v>
      </c>
      <c r="BW32" s="6">
        <f t="shared" si="18"/>
        <v>0</v>
      </c>
      <c r="BX32" s="6">
        <f t="shared" si="19"/>
        <v>0</v>
      </c>
      <c r="BY32" s="6">
        <f t="shared" si="20"/>
        <v>0</v>
      </c>
      <c r="BZ32" s="6">
        <f t="shared" si="21"/>
        <v>0</v>
      </c>
      <c r="CA32" s="6">
        <f t="shared" si="22"/>
        <v>0</v>
      </c>
      <c r="CB32" s="6">
        <f t="shared" si="23"/>
        <v>0</v>
      </c>
      <c r="CC32" s="6">
        <f t="shared" si="24"/>
        <v>0</v>
      </c>
      <c r="CD32" s="6">
        <f t="shared" si="25"/>
        <v>0</v>
      </c>
      <c r="CE32" s="6">
        <f t="shared" si="26"/>
        <v>0</v>
      </c>
      <c r="CF32" s="6">
        <f t="shared" si="27"/>
        <v>0</v>
      </c>
      <c r="CG32" s="6">
        <f t="shared" si="28"/>
        <v>0</v>
      </c>
      <c r="CH32" s="6">
        <f t="shared" si="11"/>
        <v>-6500</v>
      </c>
    </row>
    <row r="33" spans="1:86" hidden="1" x14ac:dyDescent="0.35">
      <c r="A33" s="3" t="s">
        <v>310</v>
      </c>
      <c r="B33" s="10">
        <v>6500</v>
      </c>
      <c r="N33" s="27">
        <f t="shared" si="5"/>
        <v>6500</v>
      </c>
      <c r="AA33" s="27">
        <f t="shared" si="6"/>
        <v>0</v>
      </c>
      <c r="AB33" s="10">
        <f t="shared" si="7"/>
        <v>6500</v>
      </c>
      <c r="AC33" s="10">
        <f t="shared" si="7"/>
        <v>0</v>
      </c>
      <c r="AD33" s="10">
        <f t="shared" ref="AD33:AN62" si="29">D33-Q33</f>
        <v>0</v>
      </c>
      <c r="AE33" s="10">
        <f t="shared" si="29"/>
        <v>0</v>
      </c>
      <c r="AF33" s="10">
        <f t="shared" si="29"/>
        <v>0</v>
      </c>
      <c r="AG33" s="10">
        <f t="shared" si="29"/>
        <v>0</v>
      </c>
      <c r="AH33" s="10">
        <f t="shared" si="29"/>
        <v>0</v>
      </c>
      <c r="AI33" s="10">
        <f t="shared" si="29"/>
        <v>0</v>
      </c>
      <c r="AJ33" s="10">
        <f t="shared" si="29"/>
        <v>0</v>
      </c>
      <c r="AK33" s="10">
        <f t="shared" si="29"/>
        <v>0</v>
      </c>
      <c r="AL33" s="10">
        <f t="shared" si="29"/>
        <v>0</v>
      </c>
      <c r="AM33" s="10">
        <f t="shared" si="29"/>
        <v>0</v>
      </c>
      <c r="AN33" s="27">
        <f t="shared" si="29"/>
        <v>6500</v>
      </c>
      <c r="AS33" t="str">
        <f>_xlfn.XLOOKUP(AU33,[2]GAE!HZ:HZ,[2]GAE!IA:IA)</f>
        <v>ADMIN SERVICES</v>
      </c>
      <c r="AT33" t="str">
        <f>_xlfn.XLOOKUP(AU33,[2]GAE!HZ:HZ,[2]GAE!IB:IB)</f>
        <v>GAE - Transportation</v>
      </c>
      <c r="AU33" t="s">
        <v>295</v>
      </c>
      <c r="AV33">
        <v>80123102</v>
      </c>
      <c r="AW33">
        <v>61081101</v>
      </c>
      <c r="AX33" t="str">
        <f>_xlfn.XLOOKUP(AU33,[2]GAE!HZ:HZ,[2]GAE!IF:IF)</f>
        <v>Others</v>
      </c>
      <c r="AY33" t="str">
        <f>_xlfn.XLOOKUP(AU33,[2]GAE!HZ:HZ,[2]GAE!IG:IG)</f>
        <v>Transportation &amp; Travel</v>
      </c>
      <c r="BF33" t="s">
        <v>303</v>
      </c>
      <c r="BG33" t="s">
        <v>303</v>
      </c>
      <c r="BH33" s="10">
        <f>SUMIFS('[1]2026'!$K:$K,'[1]2026'!$T:$T,BD33,'[1]2026'!$S:$S,BH$3,'[1]2026'!$P:$P,AU33)</f>
        <v>0</v>
      </c>
      <c r="BI33" s="10">
        <f>SUMIFS('[1]2026'!$K:$K,'[1]2026'!$T:$T,$BD33,'[1]2026'!$S:$S,BI$3,'[1]2026'!$P:$P,$AU33)</f>
        <v>0</v>
      </c>
      <c r="BJ33" s="10">
        <f>SUMIFS('[1]2026'!$K:$K,'[1]2026'!$T:$T,$BD33,'[1]2026'!$S:$S,BJ$3,'[1]2026'!$P:$P,$AU33)</f>
        <v>0</v>
      </c>
      <c r="BK33" s="10">
        <f>SUMIFS('[1]2026'!$K:$K,'[1]2026'!$T:$T,$BD33,'[1]2026'!$S:$S,BK$3,'[1]2026'!$P:$P,$AU33)</f>
        <v>0</v>
      </c>
      <c r="BL33" s="10">
        <f>SUMIFS('[1]2026'!$K:$K,'[1]2026'!$T:$T,$BD33,'[1]2026'!$S:$S,BL$3,'[1]2026'!$P:$P,$AU33)</f>
        <v>0</v>
      </c>
      <c r="BM33" s="10">
        <f>SUMIFS('[1]2026'!$K:$K,'[1]2026'!$T:$T,$BD33,'[1]2026'!$S:$S,BM$3,'[1]2026'!$P:$P,$AU33)</f>
        <v>0</v>
      </c>
      <c r="BN33" s="10">
        <f>SUMIFS('[1]2026'!$K:$K,'[1]2026'!$T:$T,$BD33,'[1]2026'!$S:$S,BN$3,'[1]2026'!$P:$P,$AU33)</f>
        <v>0</v>
      </c>
      <c r="BO33" s="10">
        <f>SUMIFS('[1]2026'!$K:$K,'[1]2026'!$T:$T,$BD33,'[1]2026'!$S:$S,BO$3,'[1]2026'!$P:$P,$AU33)</f>
        <v>0</v>
      </c>
      <c r="BP33" s="6"/>
      <c r="BQ33" s="6"/>
      <c r="BR33" s="6"/>
      <c r="BS33" s="6"/>
      <c r="BT33" s="6">
        <f t="shared" si="10"/>
        <v>0</v>
      </c>
      <c r="BV33" s="6">
        <f t="shared" si="17"/>
        <v>-6500</v>
      </c>
      <c r="BW33" s="6">
        <f t="shared" si="18"/>
        <v>0</v>
      </c>
      <c r="BX33" s="6">
        <f t="shared" si="19"/>
        <v>0</v>
      </c>
      <c r="BY33" s="6">
        <f t="shared" si="20"/>
        <v>0</v>
      </c>
      <c r="BZ33" s="6">
        <f t="shared" si="21"/>
        <v>0</v>
      </c>
      <c r="CA33" s="6">
        <f t="shared" si="22"/>
        <v>0</v>
      </c>
      <c r="CB33" s="6">
        <f t="shared" si="23"/>
        <v>0</v>
      </c>
      <c r="CC33" s="6">
        <f t="shared" si="24"/>
        <v>0</v>
      </c>
      <c r="CD33" s="6">
        <f t="shared" si="25"/>
        <v>0</v>
      </c>
      <c r="CE33" s="6">
        <f t="shared" si="26"/>
        <v>0</v>
      </c>
      <c r="CF33" s="6">
        <f t="shared" si="27"/>
        <v>0</v>
      </c>
      <c r="CG33" s="6">
        <f t="shared" si="28"/>
        <v>0</v>
      </c>
      <c r="CH33" s="6">
        <f t="shared" si="11"/>
        <v>-6500</v>
      </c>
    </row>
    <row r="34" spans="1:86" hidden="1" x14ac:dyDescent="0.35">
      <c r="A34" s="3" t="s">
        <v>311</v>
      </c>
      <c r="B34" s="10">
        <v>6500</v>
      </c>
      <c r="N34" s="27">
        <f t="shared" si="5"/>
        <v>6500</v>
      </c>
      <c r="AA34" s="27">
        <f t="shared" si="6"/>
        <v>0</v>
      </c>
      <c r="AB34" s="10">
        <f t="shared" ref="AB34:AN69" si="30">B34-O34</f>
        <v>6500</v>
      </c>
      <c r="AC34" s="10">
        <f t="shared" si="30"/>
        <v>0</v>
      </c>
      <c r="AD34" s="10">
        <f t="shared" si="30"/>
        <v>0</v>
      </c>
      <c r="AE34" s="10">
        <f t="shared" si="30"/>
        <v>0</v>
      </c>
      <c r="AF34" s="10">
        <f t="shared" si="30"/>
        <v>0</v>
      </c>
      <c r="AG34" s="10">
        <f t="shared" si="30"/>
        <v>0</v>
      </c>
      <c r="AH34" s="10">
        <f t="shared" si="30"/>
        <v>0</v>
      </c>
      <c r="AI34" s="10">
        <f t="shared" si="30"/>
        <v>0</v>
      </c>
      <c r="AJ34" s="10">
        <f t="shared" si="29"/>
        <v>0</v>
      </c>
      <c r="AK34" s="10">
        <f t="shared" si="29"/>
        <v>0</v>
      </c>
      <c r="AL34" s="10">
        <f t="shared" si="29"/>
        <v>0</v>
      </c>
      <c r="AM34" s="10">
        <f t="shared" si="29"/>
        <v>0</v>
      </c>
      <c r="AN34" s="27">
        <f t="shared" si="29"/>
        <v>6500</v>
      </c>
      <c r="AS34" t="str">
        <f>_xlfn.XLOOKUP(AU34,[2]GAE!HZ:HZ,[2]GAE!IA:IA)</f>
        <v>ADMIN SERVICES</v>
      </c>
      <c r="AT34" t="str">
        <f>_xlfn.XLOOKUP(AU34,[2]GAE!HZ:HZ,[2]GAE!IB:IB)</f>
        <v>GAE - Transportation</v>
      </c>
      <c r="AU34" t="s">
        <v>295</v>
      </c>
      <c r="AV34">
        <v>80123102</v>
      </c>
      <c r="AW34">
        <v>61081101</v>
      </c>
      <c r="AX34" t="str">
        <f>_xlfn.XLOOKUP(AU34,[2]GAE!HZ:HZ,[2]GAE!IF:IF)</f>
        <v>Others</v>
      </c>
      <c r="AY34" t="str">
        <f>_xlfn.XLOOKUP(AU34,[2]GAE!HZ:HZ,[2]GAE!IG:IG)</f>
        <v>Transportation &amp; Travel</v>
      </c>
      <c r="BF34" t="s">
        <v>303</v>
      </c>
      <c r="BG34" t="s">
        <v>303</v>
      </c>
      <c r="BH34" s="10">
        <f>SUMIFS('[1]2026'!$K:$K,'[1]2026'!$T:$T,BD34,'[1]2026'!$S:$S,BH$3,'[1]2026'!$P:$P,AU34)</f>
        <v>0</v>
      </c>
      <c r="BI34" s="10">
        <f>SUMIFS('[1]2026'!$K:$K,'[1]2026'!$T:$T,$BD34,'[1]2026'!$S:$S,BI$3,'[1]2026'!$P:$P,$AU34)</f>
        <v>0</v>
      </c>
      <c r="BJ34" s="10">
        <f>SUMIFS('[1]2026'!$K:$K,'[1]2026'!$T:$T,$BD34,'[1]2026'!$S:$S,BJ$3,'[1]2026'!$P:$P,$AU34)</f>
        <v>0</v>
      </c>
      <c r="BK34" s="10">
        <f>SUMIFS('[1]2026'!$K:$K,'[1]2026'!$T:$T,$BD34,'[1]2026'!$S:$S,BK$3,'[1]2026'!$P:$P,$AU34)</f>
        <v>0</v>
      </c>
      <c r="BL34" s="10">
        <f>SUMIFS('[1]2026'!$K:$K,'[1]2026'!$T:$T,$BD34,'[1]2026'!$S:$S,BL$3,'[1]2026'!$P:$P,$AU34)</f>
        <v>0</v>
      </c>
      <c r="BM34" s="10">
        <f>SUMIFS('[1]2026'!$K:$K,'[1]2026'!$T:$T,$BD34,'[1]2026'!$S:$S,BM$3,'[1]2026'!$P:$P,$AU34)</f>
        <v>0</v>
      </c>
      <c r="BN34" s="10">
        <f>SUMIFS('[1]2026'!$K:$K,'[1]2026'!$T:$T,$BD34,'[1]2026'!$S:$S,BN$3,'[1]2026'!$P:$P,$AU34)</f>
        <v>0</v>
      </c>
      <c r="BO34" s="10">
        <f>SUMIFS('[1]2026'!$K:$K,'[1]2026'!$T:$T,$BD34,'[1]2026'!$S:$S,BO$3,'[1]2026'!$P:$P,$AU34)</f>
        <v>0</v>
      </c>
      <c r="BP34" s="6"/>
      <c r="BQ34" s="6"/>
      <c r="BR34" s="6"/>
      <c r="BS34" s="6"/>
      <c r="BT34" s="6">
        <f t="shared" si="10"/>
        <v>0</v>
      </c>
      <c r="BV34" s="6">
        <f t="shared" si="17"/>
        <v>-6500</v>
      </c>
      <c r="BW34" s="6">
        <f t="shared" si="18"/>
        <v>0</v>
      </c>
      <c r="BX34" s="6">
        <f t="shared" si="19"/>
        <v>0</v>
      </c>
      <c r="BY34" s="6">
        <f t="shared" si="20"/>
        <v>0</v>
      </c>
      <c r="BZ34" s="6">
        <f t="shared" si="21"/>
        <v>0</v>
      </c>
      <c r="CA34" s="6">
        <f t="shared" si="22"/>
        <v>0</v>
      </c>
      <c r="CB34" s="6">
        <f t="shared" si="23"/>
        <v>0</v>
      </c>
      <c r="CC34" s="6">
        <f t="shared" si="24"/>
        <v>0</v>
      </c>
      <c r="CD34" s="6">
        <f t="shared" si="25"/>
        <v>0</v>
      </c>
      <c r="CE34" s="6">
        <f t="shared" si="26"/>
        <v>0</v>
      </c>
      <c r="CF34" s="6">
        <f t="shared" si="27"/>
        <v>0</v>
      </c>
      <c r="CG34" s="6">
        <f t="shared" si="28"/>
        <v>0</v>
      </c>
      <c r="CH34" s="6">
        <f t="shared" si="11"/>
        <v>-6500</v>
      </c>
    </row>
    <row r="35" spans="1:86" hidden="1" x14ac:dyDescent="0.35">
      <c r="A35" s="3" t="s">
        <v>312</v>
      </c>
      <c r="B35" s="10">
        <v>6500</v>
      </c>
      <c r="N35" s="27">
        <f t="shared" si="5"/>
        <v>6500</v>
      </c>
      <c r="AA35" s="27">
        <f t="shared" si="6"/>
        <v>0</v>
      </c>
      <c r="AB35" s="10">
        <f t="shared" si="30"/>
        <v>6500</v>
      </c>
      <c r="AC35" s="10">
        <f t="shared" si="30"/>
        <v>0</v>
      </c>
      <c r="AD35" s="10">
        <f t="shared" si="30"/>
        <v>0</v>
      </c>
      <c r="AE35" s="10">
        <f t="shared" si="30"/>
        <v>0</v>
      </c>
      <c r="AF35" s="10">
        <f t="shared" si="30"/>
        <v>0</v>
      </c>
      <c r="AG35" s="10">
        <f t="shared" si="30"/>
        <v>0</v>
      </c>
      <c r="AH35" s="10">
        <f t="shared" si="30"/>
        <v>0</v>
      </c>
      <c r="AI35" s="10">
        <f t="shared" si="30"/>
        <v>0</v>
      </c>
      <c r="AJ35" s="10">
        <f t="shared" si="29"/>
        <v>0</v>
      </c>
      <c r="AK35" s="10">
        <f t="shared" si="29"/>
        <v>0</v>
      </c>
      <c r="AL35" s="10">
        <f t="shared" si="29"/>
        <v>0</v>
      </c>
      <c r="AM35" s="10">
        <f t="shared" si="29"/>
        <v>0</v>
      </c>
      <c r="AN35" s="27">
        <f t="shared" si="29"/>
        <v>6500</v>
      </c>
      <c r="AS35" t="str">
        <f>_xlfn.XLOOKUP(AU35,[2]GAE!HZ:HZ,[2]GAE!IA:IA)</f>
        <v>ADMIN SERVICES</v>
      </c>
      <c r="AT35" t="str">
        <f>_xlfn.XLOOKUP(AU35,[2]GAE!HZ:HZ,[2]GAE!IB:IB)</f>
        <v>GAE - Transportation</v>
      </c>
      <c r="AU35" t="s">
        <v>295</v>
      </c>
      <c r="AV35">
        <v>80123102</v>
      </c>
      <c r="AW35">
        <v>61081101</v>
      </c>
      <c r="AX35" t="str">
        <f>_xlfn.XLOOKUP(AU35,[2]GAE!HZ:HZ,[2]GAE!IF:IF)</f>
        <v>Others</v>
      </c>
      <c r="AY35" t="str">
        <f>_xlfn.XLOOKUP(AU35,[2]GAE!HZ:HZ,[2]GAE!IG:IG)</f>
        <v>Transportation &amp; Travel</v>
      </c>
      <c r="BF35" t="s">
        <v>303</v>
      </c>
      <c r="BG35" t="s">
        <v>303</v>
      </c>
      <c r="BH35" s="10">
        <f>SUMIFS('[1]2026'!$K:$K,'[1]2026'!$T:$T,BD35,'[1]2026'!$S:$S,BH$3,'[1]2026'!$P:$P,AU35)</f>
        <v>0</v>
      </c>
      <c r="BI35" s="10">
        <f>SUMIFS('[1]2026'!$K:$K,'[1]2026'!$T:$T,$BD35,'[1]2026'!$S:$S,BI$3,'[1]2026'!$P:$P,$AU35)</f>
        <v>0</v>
      </c>
      <c r="BJ35" s="10">
        <f>SUMIFS('[1]2026'!$K:$K,'[1]2026'!$T:$T,$BD35,'[1]2026'!$S:$S,BJ$3,'[1]2026'!$P:$P,$AU35)</f>
        <v>0</v>
      </c>
      <c r="BK35" s="10">
        <f>SUMIFS('[1]2026'!$K:$K,'[1]2026'!$T:$T,$BD35,'[1]2026'!$S:$S,BK$3,'[1]2026'!$P:$P,$AU35)</f>
        <v>0</v>
      </c>
      <c r="BL35" s="10">
        <f>SUMIFS('[1]2026'!$K:$K,'[1]2026'!$T:$T,$BD35,'[1]2026'!$S:$S,BL$3,'[1]2026'!$P:$P,$AU35)</f>
        <v>0</v>
      </c>
      <c r="BM35" s="10">
        <f>SUMIFS('[1]2026'!$K:$K,'[1]2026'!$T:$T,$BD35,'[1]2026'!$S:$S,BM$3,'[1]2026'!$P:$P,$AU35)</f>
        <v>0</v>
      </c>
      <c r="BN35" s="10">
        <f>SUMIFS('[1]2026'!$K:$K,'[1]2026'!$T:$T,$BD35,'[1]2026'!$S:$S,BN$3,'[1]2026'!$P:$P,$AU35)</f>
        <v>0</v>
      </c>
      <c r="BO35" s="10">
        <f>SUMIFS('[1]2026'!$K:$K,'[1]2026'!$T:$T,$BD35,'[1]2026'!$S:$S,BO$3,'[1]2026'!$P:$P,$AU35)</f>
        <v>0</v>
      </c>
      <c r="BP35" s="6"/>
      <c r="BQ35" s="6"/>
      <c r="BR35" s="6"/>
      <c r="BS35" s="6"/>
      <c r="BT35" s="6">
        <f t="shared" si="10"/>
        <v>0</v>
      </c>
      <c r="BV35" s="6">
        <f t="shared" si="17"/>
        <v>-6500</v>
      </c>
      <c r="BW35" s="6">
        <f t="shared" si="18"/>
        <v>0</v>
      </c>
      <c r="BX35" s="6">
        <f t="shared" si="19"/>
        <v>0</v>
      </c>
      <c r="BY35" s="6">
        <f t="shared" si="20"/>
        <v>0</v>
      </c>
      <c r="BZ35" s="6">
        <f t="shared" si="21"/>
        <v>0</v>
      </c>
      <c r="CA35" s="6">
        <f t="shared" si="22"/>
        <v>0</v>
      </c>
      <c r="CB35" s="6">
        <f t="shared" si="23"/>
        <v>0</v>
      </c>
      <c r="CC35" s="6">
        <f t="shared" si="24"/>
        <v>0</v>
      </c>
      <c r="CD35" s="6">
        <f t="shared" si="25"/>
        <v>0</v>
      </c>
      <c r="CE35" s="6">
        <f t="shared" si="26"/>
        <v>0</v>
      </c>
      <c r="CF35" s="6">
        <f t="shared" si="27"/>
        <v>0</v>
      </c>
      <c r="CG35" s="6">
        <f t="shared" si="28"/>
        <v>0</v>
      </c>
      <c r="CH35" s="6">
        <f t="shared" si="11"/>
        <v>-6500</v>
      </c>
    </row>
    <row r="36" spans="1:86" hidden="1" x14ac:dyDescent="0.35">
      <c r="A36" s="3" t="s">
        <v>313</v>
      </c>
      <c r="B36" s="10">
        <v>6500</v>
      </c>
      <c r="N36" s="27">
        <f t="shared" si="5"/>
        <v>6500</v>
      </c>
      <c r="AA36" s="27">
        <f t="shared" si="6"/>
        <v>0</v>
      </c>
      <c r="AB36" s="10">
        <f t="shared" si="30"/>
        <v>6500</v>
      </c>
      <c r="AC36" s="10">
        <f t="shared" si="30"/>
        <v>0</v>
      </c>
      <c r="AD36" s="10">
        <f t="shared" si="30"/>
        <v>0</v>
      </c>
      <c r="AE36" s="10">
        <f t="shared" si="30"/>
        <v>0</v>
      </c>
      <c r="AF36" s="10">
        <f t="shared" si="30"/>
        <v>0</v>
      </c>
      <c r="AG36" s="10">
        <f t="shared" si="30"/>
        <v>0</v>
      </c>
      <c r="AH36" s="10">
        <f t="shared" si="30"/>
        <v>0</v>
      </c>
      <c r="AI36" s="10">
        <f t="shared" si="30"/>
        <v>0</v>
      </c>
      <c r="AJ36" s="10">
        <f t="shared" si="29"/>
        <v>0</v>
      </c>
      <c r="AK36" s="10">
        <f t="shared" si="29"/>
        <v>0</v>
      </c>
      <c r="AL36" s="10">
        <f t="shared" si="29"/>
        <v>0</v>
      </c>
      <c r="AM36" s="10">
        <f t="shared" si="29"/>
        <v>0</v>
      </c>
      <c r="AN36" s="27">
        <f t="shared" si="29"/>
        <v>6500</v>
      </c>
      <c r="AS36" t="str">
        <f>_xlfn.XLOOKUP(AU36,[2]GAE!HZ:HZ,[2]GAE!IA:IA)</f>
        <v>ADMIN SERVICES</v>
      </c>
      <c r="AT36" t="str">
        <f>_xlfn.XLOOKUP(AU36,[2]GAE!HZ:HZ,[2]GAE!IB:IB)</f>
        <v>GAE - Transportation</v>
      </c>
      <c r="AU36" t="s">
        <v>295</v>
      </c>
      <c r="AV36">
        <v>80123102</v>
      </c>
      <c r="AW36">
        <v>61081101</v>
      </c>
      <c r="AX36" t="str">
        <f>_xlfn.XLOOKUP(AU36,[2]GAE!HZ:HZ,[2]GAE!IF:IF)</f>
        <v>Others</v>
      </c>
      <c r="AY36" t="str">
        <f>_xlfn.XLOOKUP(AU36,[2]GAE!HZ:HZ,[2]GAE!IG:IG)</f>
        <v>Transportation &amp; Travel</v>
      </c>
      <c r="BF36" t="s">
        <v>303</v>
      </c>
      <c r="BG36" t="s">
        <v>303</v>
      </c>
      <c r="BH36" s="10">
        <f>SUMIFS('[1]2026'!$K:$K,'[1]2026'!$T:$T,BD36,'[1]2026'!$S:$S,BH$3,'[1]2026'!$P:$P,AU36)</f>
        <v>0</v>
      </c>
      <c r="BI36" s="10">
        <f>SUMIFS('[1]2026'!$K:$K,'[1]2026'!$T:$T,$BD36,'[1]2026'!$S:$S,BI$3,'[1]2026'!$P:$P,$AU36)</f>
        <v>0</v>
      </c>
      <c r="BJ36" s="10">
        <f>SUMIFS('[1]2026'!$K:$K,'[1]2026'!$T:$T,$BD36,'[1]2026'!$S:$S,BJ$3,'[1]2026'!$P:$P,$AU36)</f>
        <v>0</v>
      </c>
      <c r="BK36" s="10">
        <f>SUMIFS('[1]2026'!$K:$K,'[1]2026'!$T:$T,$BD36,'[1]2026'!$S:$S,BK$3,'[1]2026'!$P:$P,$AU36)</f>
        <v>0</v>
      </c>
      <c r="BL36" s="10">
        <f>SUMIFS('[1]2026'!$K:$K,'[1]2026'!$T:$T,$BD36,'[1]2026'!$S:$S,BL$3,'[1]2026'!$P:$P,$AU36)</f>
        <v>0</v>
      </c>
      <c r="BM36" s="10">
        <f>SUMIFS('[1]2026'!$K:$K,'[1]2026'!$T:$T,$BD36,'[1]2026'!$S:$S,BM$3,'[1]2026'!$P:$P,$AU36)</f>
        <v>0</v>
      </c>
      <c r="BN36" s="10">
        <f>SUMIFS('[1]2026'!$K:$K,'[1]2026'!$T:$T,$BD36,'[1]2026'!$S:$S,BN$3,'[1]2026'!$P:$P,$AU36)</f>
        <v>0</v>
      </c>
      <c r="BO36" s="10">
        <f>SUMIFS('[1]2026'!$K:$K,'[1]2026'!$T:$T,$BD36,'[1]2026'!$S:$S,BO$3,'[1]2026'!$P:$P,$AU36)</f>
        <v>0</v>
      </c>
      <c r="BP36" s="6"/>
      <c r="BQ36" s="6"/>
      <c r="BR36" s="6"/>
      <c r="BS36" s="6"/>
      <c r="BT36" s="6">
        <f t="shared" si="10"/>
        <v>0</v>
      </c>
      <c r="BV36" s="6">
        <f t="shared" si="17"/>
        <v>-6500</v>
      </c>
      <c r="BW36" s="6">
        <f t="shared" si="18"/>
        <v>0</v>
      </c>
      <c r="BX36" s="6">
        <f t="shared" si="19"/>
        <v>0</v>
      </c>
      <c r="BY36" s="6">
        <f t="shared" si="20"/>
        <v>0</v>
      </c>
      <c r="BZ36" s="6">
        <f t="shared" si="21"/>
        <v>0</v>
      </c>
      <c r="CA36" s="6">
        <f t="shared" si="22"/>
        <v>0</v>
      </c>
      <c r="CB36" s="6">
        <f t="shared" si="23"/>
        <v>0</v>
      </c>
      <c r="CC36" s="6">
        <f t="shared" si="24"/>
        <v>0</v>
      </c>
      <c r="CD36" s="6">
        <f t="shared" si="25"/>
        <v>0</v>
      </c>
      <c r="CE36" s="6">
        <f t="shared" si="26"/>
        <v>0</v>
      </c>
      <c r="CF36" s="6">
        <f t="shared" si="27"/>
        <v>0</v>
      </c>
      <c r="CG36" s="6">
        <f t="shared" si="28"/>
        <v>0</v>
      </c>
      <c r="CH36" s="6">
        <f t="shared" si="11"/>
        <v>-6500</v>
      </c>
    </row>
    <row r="37" spans="1:86" hidden="1" x14ac:dyDescent="0.35">
      <c r="A37" s="3" t="s">
        <v>314</v>
      </c>
      <c r="B37" s="10">
        <v>6500</v>
      </c>
      <c r="N37" s="27">
        <f t="shared" si="5"/>
        <v>6500</v>
      </c>
      <c r="AA37" s="27">
        <f t="shared" si="6"/>
        <v>0</v>
      </c>
      <c r="AB37" s="10">
        <f t="shared" si="30"/>
        <v>6500</v>
      </c>
      <c r="AC37" s="10">
        <f t="shared" si="30"/>
        <v>0</v>
      </c>
      <c r="AD37" s="10">
        <f t="shared" si="30"/>
        <v>0</v>
      </c>
      <c r="AE37" s="10">
        <f t="shared" si="30"/>
        <v>0</v>
      </c>
      <c r="AF37" s="10">
        <f t="shared" si="30"/>
        <v>0</v>
      </c>
      <c r="AG37" s="10">
        <f t="shared" si="30"/>
        <v>0</v>
      </c>
      <c r="AH37" s="10">
        <f t="shared" si="30"/>
        <v>0</v>
      </c>
      <c r="AI37" s="10">
        <f t="shared" si="30"/>
        <v>0</v>
      </c>
      <c r="AJ37" s="10">
        <f t="shared" si="29"/>
        <v>0</v>
      </c>
      <c r="AK37" s="10">
        <f t="shared" si="29"/>
        <v>0</v>
      </c>
      <c r="AL37" s="10">
        <f t="shared" si="29"/>
        <v>0</v>
      </c>
      <c r="AM37" s="10">
        <f t="shared" si="29"/>
        <v>0</v>
      </c>
      <c r="AN37" s="27">
        <f t="shared" si="29"/>
        <v>6500</v>
      </c>
      <c r="AS37" t="str">
        <f>_xlfn.XLOOKUP(AU37,[2]GAE!HZ:HZ,[2]GAE!IA:IA)</f>
        <v>ADMIN SERVICES</v>
      </c>
      <c r="AT37" t="str">
        <f>_xlfn.XLOOKUP(AU37,[2]GAE!HZ:HZ,[2]GAE!IB:IB)</f>
        <v>GAE - Transportation</v>
      </c>
      <c r="AU37" t="s">
        <v>295</v>
      </c>
      <c r="AV37">
        <v>80123102</v>
      </c>
      <c r="AW37">
        <v>61081101</v>
      </c>
      <c r="AX37" t="str">
        <f>_xlfn.XLOOKUP(AU37,[2]GAE!HZ:HZ,[2]GAE!IF:IF)</f>
        <v>Others</v>
      </c>
      <c r="AY37" t="str">
        <f>_xlfn.XLOOKUP(AU37,[2]GAE!HZ:HZ,[2]GAE!IG:IG)</f>
        <v>Transportation &amp; Travel</v>
      </c>
      <c r="BF37" t="s">
        <v>303</v>
      </c>
      <c r="BG37" t="s">
        <v>303</v>
      </c>
      <c r="BH37" s="10">
        <f>SUMIFS('[1]2026'!$K:$K,'[1]2026'!$T:$T,BD37,'[1]2026'!$S:$S,BH$3,'[1]2026'!$P:$P,AU37)</f>
        <v>0</v>
      </c>
      <c r="BI37" s="10">
        <f>SUMIFS('[1]2026'!$K:$K,'[1]2026'!$T:$T,$BD37,'[1]2026'!$S:$S,BI$3,'[1]2026'!$P:$P,$AU37)</f>
        <v>0</v>
      </c>
      <c r="BJ37" s="10">
        <f>SUMIFS('[1]2026'!$K:$K,'[1]2026'!$T:$T,$BD37,'[1]2026'!$S:$S,BJ$3,'[1]2026'!$P:$P,$AU37)</f>
        <v>0</v>
      </c>
      <c r="BK37" s="10">
        <f>SUMIFS('[1]2026'!$K:$K,'[1]2026'!$T:$T,$BD37,'[1]2026'!$S:$S,BK$3,'[1]2026'!$P:$P,$AU37)</f>
        <v>0</v>
      </c>
      <c r="BL37" s="10">
        <f>SUMIFS('[1]2026'!$K:$K,'[1]2026'!$T:$T,$BD37,'[1]2026'!$S:$S,BL$3,'[1]2026'!$P:$P,$AU37)</f>
        <v>0</v>
      </c>
      <c r="BM37" s="10">
        <f>SUMIFS('[1]2026'!$K:$K,'[1]2026'!$T:$T,$BD37,'[1]2026'!$S:$S,BM$3,'[1]2026'!$P:$P,$AU37)</f>
        <v>0</v>
      </c>
      <c r="BN37" s="10">
        <f>SUMIFS('[1]2026'!$K:$K,'[1]2026'!$T:$T,$BD37,'[1]2026'!$S:$S,BN$3,'[1]2026'!$P:$P,$AU37)</f>
        <v>0</v>
      </c>
      <c r="BO37" s="10">
        <f>SUMIFS('[1]2026'!$K:$K,'[1]2026'!$T:$T,$BD37,'[1]2026'!$S:$S,BO$3,'[1]2026'!$P:$P,$AU37)</f>
        <v>0</v>
      </c>
      <c r="BP37" s="6"/>
      <c r="BQ37" s="6"/>
      <c r="BR37" s="6"/>
      <c r="BS37" s="6"/>
      <c r="BT37" s="6">
        <f t="shared" si="10"/>
        <v>0</v>
      </c>
      <c r="BV37" s="6">
        <f t="shared" si="17"/>
        <v>-6500</v>
      </c>
      <c r="BW37" s="6">
        <f t="shared" si="18"/>
        <v>0</v>
      </c>
      <c r="BX37" s="6">
        <f t="shared" si="19"/>
        <v>0</v>
      </c>
      <c r="BY37" s="6">
        <f t="shared" si="20"/>
        <v>0</v>
      </c>
      <c r="BZ37" s="6">
        <f t="shared" si="21"/>
        <v>0</v>
      </c>
      <c r="CA37" s="6">
        <f t="shared" si="22"/>
        <v>0</v>
      </c>
      <c r="CB37" s="6">
        <f t="shared" si="23"/>
        <v>0</v>
      </c>
      <c r="CC37" s="6">
        <f t="shared" si="24"/>
        <v>0</v>
      </c>
      <c r="CD37" s="6">
        <f t="shared" si="25"/>
        <v>0</v>
      </c>
      <c r="CE37" s="6">
        <f t="shared" si="26"/>
        <v>0</v>
      </c>
      <c r="CF37" s="6">
        <f t="shared" si="27"/>
        <v>0</v>
      </c>
      <c r="CG37" s="6">
        <f t="shared" si="28"/>
        <v>0</v>
      </c>
      <c r="CH37" s="6">
        <f t="shared" si="11"/>
        <v>-6500</v>
      </c>
    </row>
    <row r="38" spans="1:86" hidden="1" x14ac:dyDescent="0.35">
      <c r="A38" s="3" t="s">
        <v>315</v>
      </c>
      <c r="B38" s="10">
        <v>6500</v>
      </c>
      <c r="N38" s="27">
        <f t="shared" si="5"/>
        <v>6500</v>
      </c>
      <c r="AA38" s="27">
        <f t="shared" si="6"/>
        <v>0</v>
      </c>
      <c r="AB38" s="10">
        <f t="shared" si="30"/>
        <v>6500</v>
      </c>
      <c r="AC38" s="10">
        <f t="shared" si="30"/>
        <v>0</v>
      </c>
      <c r="AD38" s="10">
        <f t="shared" si="30"/>
        <v>0</v>
      </c>
      <c r="AE38" s="10">
        <f t="shared" si="30"/>
        <v>0</v>
      </c>
      <c r="AF38" s="10">
        <f t="shared" si="30"/>
        <v>0</v>
      </c>
      <c r="AG38" s="10">
        <f t="shared" si="30"/>
        <v>0</v>
      </c>
      <c r="AH38" s="10">
        <f t="shared" si="30"/>
        <v>0</v>
      </c>
      <c r="AI38" s="10">
        <f t="shared" si="30"/>
        <v>0</v>
      </c>
      <c r="AJ38" s="10">
        <f t="shared" si="29"/>
        <v>0</v>
      </c>
      <c r="AK38" s="10">
        <f t="shared" si="29"/>
        <v>0</v>
      </c>
      <c r="AL38" s="10">
        <f t="shared" si="29"/>
        <v>0</v>
      </c>
      <c r="AM38" s="10">
        <f t="shared" si="29"/>
        <v>0</v>
      </c>
      <c r="AN38" s="27">
        <f t="shared" si="29"/>
        <v>6500</v>
      </c>
      <c r="AS38" t="str">
        <f>_xlfn.XLOOKUP(AU38,[2]GAE!HZ:HZ,[2]GAE!IA:IA)</f>
        <v>ADMIN SERVICES</v>
      </c>
      <c r="AT38" t="str">
        <f>_xlfn.XLOOKUP(AU38,[2]GAE!HZ:HZ,[2]GAE!IB:IB)</f>
        <v>GAE - Transportation</v>
      </c>
      <c r="AU38" t="s">
        <v>295</v>
      </c>
      <c r="AV38">
        <v>80123102</v>
      </c>
      <c r="AW38">
        <v>61081101</v>
      </c>
      <c r="AX38" t="str">
        <f>_xlfn.XLOOKUP(AU38,[2]GAE!HZ:HZ,[2]GAE!IF:IF)</f>
        <v>Others</v>
      </c>
      <c r="AY38" t="str">
        <f>_xlfn.XLOOKUP(AU38,[2]GAE!HZ:HZ,[2]GAE!IG:IG)</f>
        <v>Transportation &amp; Travel</v>
      </c>
      <c r="BF38" t="s">
        <v>303</v>
      </c>
      <c r="BG38" t="s">
        <v>303</v>
      </c>
      <c r="BH38" s="10">
        <f>SUMIFS('[1]2026'!$K:$K,'[1]2026'!$T:$T,BD38,'[1]2026'!$S:$S,BH$3,'[1]2026'!$P:$P,AU38)</f>
        <v>0</v>
      </c>
      <c r="BI38" s="10">
        <f>SUMIFS('[1]2026'!$K:$K,'[1]2026'!$T:$T,$BD38,'[1]2026'!$S:$S,BI$3,'[1]2026'!$P:$P,$AU38)</f>
        <v>0</v>
      </c>
      <c r="BJ38" s="10">
        <f>SUMIFS('[1]2026'!$K:$K,'[1]2026'!$T:$T,$BD38,'[1]2026'!$S:$S,BJ$3,'[1]2026'!$P:$P,$AU38)</f>
        <v>0</v>
      </c>
      <c r="BK38" s="10">
        <f>SUMIFS('[1]2026'!$K:$K,'[1]2026'!$T:$T,$BD38,'[1]2026'!$S:$S,BK$3,'[1]2026'!$P:$P,$AU38)</f>
        <v>0</v>
      </c>
      <c r="BL38" s="10">
        <f>SUMIFS('[1]2026'!$K:$K,'[1]2026'!$T:$T,$BD38,'[1]2026'!$S:$S,BL$3,'[1]2026'!$P:$P,$AU38)</f>
        <v>0</v>
      </c>
      <c r="BM38" s="10">
        <f>SUMIFS('[1]2026'!$K:$K,'[1]2026'!$T:$T,$BD38,'[1]2026'!$S:$S,BM$3,'[1]2026'!$P:$P,$AU38)</f>
        <v>0</v>
      </c>
      <c r="BN38" s="10">
        <f>SUMIFS('[1]2026'!$K:$K,'[1]2026'!$T:$T,$BD38,'[1]2026'!$S:$S,BN$3,'[1]2026'!$P:$P,$AU38)</f>
        <v>0</v>
      </c>
      <c r="BO38" s="10">
        <f>SUMIFS('[1]2026'!$K:$K,'[1]2026'!$T:$T,$BD38,'[1]2026'!$S:$S,BO$3,'[1]2026'!$P:$P,$AU38)</f>
        <v>0</v>
      </c>
      <c r="BP38" s="6"/>
      <c r="BQ38" s="6"/>
      <c r="BR38" s="6"/>
      <c r="BS38" s="6"/>
      <c r="BT38" s="6">
        <f t="shared" si="10"/>
        <v>0</v>
      </c>
      <c r="BV38" s="6">
        <f t="shared" si="17"/>
        <v>-6500</v>
      </c>
      <c r="BW38" s="6">
        <f t="shared" si="18"/>
        <v>0</v>
      </c>
      <c r="BX38" s="6">
        <f t="shared" si="19"/>
        <v>0</v>
      </c>
      <c r="BY38" s="6">
        <f t="shared" si="20"/>
        <v>0</v>
      </c>
      <c r="BZ38" s="6">
        <f t="shared" si="21"/>
        <v>0</v>
      </c>
      <c r="CA38" s="6">
        <f t="shared" si="22"/>
        <v>0</v>
      </c>
      <c r="CB38" s="6">
        <f t="shared" si="23"/>
        <v>0</v>
      </c>
      <c r="CC38" s="6">
        <f t="shared" si="24"/>
        <v>0</v>
      </c>
      <c r="CD38" s="6">
        <f t="shared" si="25"/>
        <v>0</v>
      </c>
      <c r="CE38" s="6">
        <f t="shared" si="26"/>
        <v>0</v>
      </c>
      <c r="CF38" s="6">
        <f t="shared" si="27"/>
        <v>0</v>
      </c>
      <c r="CG38" s="6">
        <f t="shared" si="28"/>
        <v>0</v>
      </c>
      <c r="CH38" s="6">
        <f t="shared" si="11"/>
        <v>-6500</v>
      </c>
    </row>
    <row r="39" spans="1:86" hidden="1" x14ac:dyDescent="0.35">
      <c r="A39" s="3" t="s">
        <v>316</v>
      </c>
      <c r="B39" s="10">
        <v>6500</v>
      </c>
      <c r="N39" s="27">
        <f t="shared" si="5"/>
        <v>6500</v>
      </c>
      <c r="AA39" s="27">
        <f t="shared" si="6"/>
        <v>0</v>
      </c>
      <c r="AB39" s="10">
        <f t="shared" si="30"/>
        <v>6500</v>
      </c>
      <c r="AC39" s="10">
        <f t="shared" si="30"/>
        <v>0</v>
      </c>
      <c r="AD39" s="10">
        <f t="shared" si="30"/>
        <v>0</v>
      </c>
      <c r="AE39" s="10">
        <f t="shared" si="30"/>
        <v>0</v>
      </c>
      <c r="AF39" s="10">
        <f t="shared" si="30"/>
        <v>0</v>
      </c>
      <c r="AG39" s="10">
        <f t="shared" si="30"/>
        <v>0</v>
      </c>
      <c r="AH39" s="10">
        <f t="shared" si="30"/>
        <v>0</v>
      </c>
      <c r="AI39" s="10">
        <f t="shared" si="30"/>
        <v>0</v>
      </c>
      <c r="AJ39" s="10">
        <f t="shared" si="29"/>
        <v>0</v>
      </c>
      <c r="AK39" s="10">
        <f t="shared" si="29"/>
        <v>0</v>
      </c>
      <c r="AL39" s="10">
        <f t="shared" si="29"/>
        <v>0</v>
      </c>
      <c r="AM39" s="10">
        <f t="shared" si="29"/>
        <v>0</v>
      </c>
      <c r="AN39" s="27">
        <f t="shared" si="29"/>
        <v>6500</v>
      </c>
      <c r="AS39" t="str">
        <f>_xlfn.XLOOKUP(AU39,[2]GAE!HZ:HZ,[2]GAE!IA:IA)</f>
        <v>ADMIN SERVICES</v>
      </c>
      <c r="AT39" t="str">
        <f>_xlfn.XLOOKUP(AU39,[2]GAE!HZ:HZ,[2]GAE!IB:IB)</f>
        <v>GAE - Transportation</v>
      </c>
      <c r="AU39" t="s">
        <v>295</v>
      </c>
      <c r="AV39">
        <v>80123102</v>
      </c>
      <c r="AW39">
        <v>61081101</v>
      </c>
      <c r="AX39" t="str">
        <f>_xlfn.XLOOKUP(AU39,[2]GAE!HZ:HZ,[2]GAE!IF:IF)</f>
        <v>Others</v>
      </c>
      <c r="AY39" t="str">
        <f>_xlfn.XLOOKUP(AU39,[2]GAE!HZ:HZ,[2]GAE!IG:IG)</f>
        <v>Transportation &amp; Travel</v>
      </c>
      <c r="BF39" t="s">
        <v>303</v>
      </c>
      <c r="BG39" t="s">
        <v>303</v>
      </c>
      <c r="BH39" s="10">
        <f>SUMIFS('[1]2026'!$K:$K,'[1]2026'!$T:$T,BD39,'[1]2026'!$S:$S,BH$3,'[1]2026'!$P:$P,AU39)</f>
        <v>0</v>
      </c>
      <c r="BI39" s="10">
        <f>SUMIFS('[1]2026'!$K:$K,'[1]2026'!$T:$T,$BD39,'[1]2026'!$S:$S,BI$3,'[1]2026'!$P:$P,$AU39)</f>
        <v>0</v>
      </c>
      <c r="BJ39" s="10">
        <f>SUMIFS('[1]2026'!$K:$K,'[1]2026'!$T:$T,$BD39,'[1]2026'!$S:$S,BJ$3,'[1]2026'!$P:$P,$AU39)</f>
        <v>0</v>
      </c>
      <c r="BK39" s="10">
        <f>SUMIFS('[1]2026'!$K:$K,'[1]2026'!$T:$T,$BD39,'[1]2026'!$S:$S,BK$3,'[1]2026'!$P:$P,$AU39)</f>
        <v>0</v>
      </c>
      <c r="BL39" s="10">
        <f>SUMIFS('[1]2026'!$K:$K,'[1]2026'!$T:$T,$BD39,'[1]2026'!$S:$S,BL$3,'[1]2026'!$P:$P,$AU39)</f>
        <v>0</v>
      </c>
      <c r="BM39" s="10">
        <f>SUMIFS('[1]2026'!$K:$K,'[1]2026'!$T:$T,$BD39,'[1]2026'!$S:$S,BM$3,'[1]2026'!$P:$P,$AU39)</f>
        <v>0</v>
      </c>
      <c r="BN39" s="10">
        <f>SUMIFS('[1]2026'!$K:$K,'[1]2026'!$T:$T,$BD39,'[1]2026'!$S:$S,BN$3,'[1]2026'!$P:$P,$AU39)</f>
        <v>0</v>
      </c>
      <c r="BO39" s="10">
        <f>SUMIFS('[1]2026'!$K:$K,'[1]2026'!$T:$T,$BD39,'[1]2026'!$S:$S,BO$3,'[1]2026'!$P:$P,$AU39)</f>
        <v>0</v>
      </c>
      <c r="BP39" s="6"/>
      <c r="BQ39" s="6"/>
      <c r="BR39" s="6"/>
      <c r="BS39" s="6"/>
      <c r="BT39" s="6">
        <f t="shared" si="10"/>
        <v>0</v>
      </c>
      <c r="BV39" s="6">
        <f t="shared" si="17"/>
        <v>-6500</v>
      </c>
      <c r="BW39" s="6">
        <f t="shared" si="18"/>
        <v>0</v>
      </c>
      <c r="BX39" s="6">
        <f t="shared" si="19"/>
        <v>0</v>
      </c>
      <c r="BY39" s="6">
        <f t="shared" si="20"/>
        <v>0</v>
      </c>
      <c r="BZ39" s="6">
        <f t="shared" si="21"/>
        <v>0</v>
      </c>
      <c r="CA39" s="6">
        <f t="shared" si="22"/>
        <v>0</v>
      </c>
      <c r="CB39" s="6">
        <f t="shared" si="23"/>
        <v>0</v>
      </c>
      <c r="CC39" s="6">
        <f t="shared" si="24"/>
        <v>0</v>
      </c>
      <c r="CD39" s="6">
        <f t="shared" si="25"/>
        <v>0</v>
      </c>
      <c r="CE39" s="6">
        <f t="shared" si="26"/>
        <v>0</v>
      </c>
      <c r="CF39" s="6">
        <f t="shared" si="27"/>
        <v>0</v>
      </c>
      <c r="CG39" s="6">
        <f t="shared" si="28"/>
        <v>0</v>
      </c>
      <c r="CH39" s="6">
        <f t="shared" ref="CH39:CH70" si="31">BT39-AN39</f>
        <v>-6500</v>
      </c>
    </row>
    <row r="40" spans="1:86" hidden="1" x14ac:dyDescent="0.35">
      <c r="A40" s="3" t="s">
        <v>317</v>
      </c>
      <c r="B40" s="10">
        <v>6500</v>
      </c>
      <c r="N40" s="27">
        <f t="shared" si="5"/>
        <v>6500</v>
      </c>
      <c r="AA40" s="27">
        <f t="shared" si="6"/>
        <v>0</v>
      </c>
      <c r="AB40" s="10">
        <f t="shared" si="30"/>
        <v>6500</v>
      </c>
      <c r="AC40" s="10">
        <f t="shared" si="30"/>
        <v>0</v>
      </c>
      <c r="AD40" s="10">
        <f t="shared" si="30"/>
        <v>0</v>
      </c>
      <c r="AE40" s="10">
        <f t="shared" si="30"/>
        <v>0</v>
      </c>
      <c r="AF40" s="10">
        <f t="shared" si="30"/>
        <v>0</v>
      </c>
      <c r="AG40" s="10">
        <f t="shared" si="30"/>
        <v>0</v>
      </c>
      <c r="AH40" s="10">
        <f t="shared" si="30"/>
        <v>0</v>
      </c>
      <c r="AI40" s="10">
        <f t="shared" si="30"/>
        <v>0</v>
      </c>
      <c r="AJ40" s="10">
        <f t="shared" si="29"/>
        <v>0</v>
      </c>
      <c r="AK40" s="10">
        <f t="shared" si="29"/>
        <v>0</v>
      </c>
      <c r="AL40" s="10">
        <f t="shared" si="29"/>
        <v>0</v>
      </c>
      <c r="AM40" s="10">
        <f t="shared" si="29"/>
        <v>0</v>
      </c>
      <c r="AN40" s="27">
        <f t="shared" si="29"/>
        <v>6500</v>
      </c>
      <c r="AS40" t="str">
        <f>_xlfn.XLOOKUP(AU40,[2]GAE!HZ:HZ,[2]GAE!IA:IA)</f>
        <v>ADMIN SERVICES</v>
      </c>
      <c r="AT40" t="str">
        <f>_xlfn.XLOOKUP(AU40,[2]GAE!HZ:HZ,[2]GAE!IB:IB)</f>
        <v>GAE - Transportation</v>
      </c>
      <c r="AU40" t="s">
        <v>295</v>
      </c>
      <c r="AV40">
        <v>80123102</v>
      </c>
      <c r="AW40">
        <v>61081101</v>
      </c>
      <c r="AX40" t="str">
        <f>_xlfn.XLOOKUP(AU40,[2]GAE!HZ:HZ,[2]GAE!IF:IF)</f>
        <v>Others</v>
      </c>
      <c r="AY40" t="str">
        <f>_xlfn.XLOOKUP(AU40,[2]GAE!HZ:HZ,[2]GAE!IG:IG)</f>
        <v>Transportation &amp; Travel</v>
      </c>
      <c r="BF40" t="s">
        <v>303</v>
      </c>
      <c r="BG40" t="s">
        <v>303</v>
      </c>
      <c r="BH40" s="10">
        <f>SUMIFS('[1]2026'!$K:$K,'[1]2026'!$T:$T,BD40,'[1]2026'!$S:$S,BH$3,'[1]2026'!$P:$P,AU40)</f>
        <v>0</v>
      </c>
      <c r="BI40" s="10">
        <f>SUMIFS('[1]2026'!$K:$K,'[1]2026'!$T:$T,$BD40,'[1]2026'!$S:$S,BI$3,'[1]2026'!$P:$P,$AU40)</f>
        <v>0</v>
      </c>
      <c r="BJ40" s="10">
        <f>SUMIFS('[1]2026'!$K:$K,'[1]2026'!$T:$T,$BD40,'[1]2026'!$S:$S,BJ$3,'[1]2026'!$P:$P,$AU40)</f>
        <v>0</v>
      </c>
      <c r="BK40" s="10">
        <f>SUMIFS('[1]2026'!$K:$K,'[1]2026'!$T:$T,$BD40,'[1]2026'!$S:$S,BK$3,'[1]2026'!$P:$P,$AU40)</f>
        <v>0</v>
      </c>
      <c r="BL40" s="10">
        <f>SUMIFS('[1]2026'!$K:$K,'[1]2026'!$T:$T,$BD40,'[1]2026'!$S:$S,BL$3,'[1]2026'!$P:$P,$AU40)</f>
        <v>0</v>
      </c>
      <c r="BM40" s="10">
        <f>SUMIFS('[1]2026'!$K:$K,'[1]2026'!$T:$T,$BD40,'[1]2026'!$S:$S,BM$3,'[1]2026'!$P:$P,$AU40)</f>
        <v>0</v>
      </c>
      <c r="BN40" s="10">
        <f>SUMIFS('[1]2026'!$K:$K,'[1]2026'!$T:$T,$BD40,'[1]2026'!$S:$S,BN$3,'[1]2026'!$P:$P,$AU40)</f>
        <v>0</v>
      </c>
      <c r="BO40" s="10">
        <f>SUMIFS('[1]2026'!$K:$K,'[1]2026'!$T:$T,$BD40,'[1]2026'!$S:$S,BO$3,'[1]2026'!$P:$P,$AU40)</f>
        <v>0</v>
      </c>
      <c r="BP40" s="6"/>
      <c r="BQ40" s="6"/>
      <c r="BR40" s="6"/>
      <c r="BS40" s="6"/>
      <c r="BT40" s="6">
        <f t="shared" si="10"/>
        <v>0</v>
      </c>
      <c r="BV40" s="6">
        <f t="shared" si="17"/>
        <v>-6500</v>
      </c>
      <c r="BW40" s="6">
        <f t="shared" si="18"/>
        <v>0</v>
      </c>
      <c r="BX40" s="6">
        <f t="shared" si="19"/>
        <v>0</v>
      </c>
      <c r="BY40" s="6">
        <f t="shared" si="20"/>
        <v>0</v>
      </c>
      <c r="BZ40" s="6">
        <f t="shared" si="21"/>
        <v>0</v>
      </c>
      <c r="CA40" s="6">
        <f t="shared" si="22"/>
        <v>0</v>
      </c>
      <c r="CB40" s="6">
        <f t="shared" si="23"/>
        <v>0</v>
      </c>
      <c r="CC40" s="6">
        <f t="shared" si="24"/>
        <v>0</v>
      </c>
      <c r="CD40" s="6">
        <f t="shared" si="25"/>
        <v>0</v>
      </c>
      <c r="CE40" s="6">
        <f t="shared" si="26"/>
        <v>0</v>
      </c>
      <c r="CF40" s="6">
        <f t="shared" si="27"/>
        <v>0</v>
      </c>
      <c r="CG40" s="6">
        <f t="shared" si="28"/>
        <v>0</v>
      </c>
      <c r="CH40" s="6">
        <f t="shared" si="31"/>
        <v>-6500</v>
      </c>
    </row>
    <row r="41" spans="1:86" hidden="1" x14ac:dyDescent="0.35">
      <c r="A41" s="3" t="s">
        <v>318</v>
      </c>
      <c r="B41" s="10">
        <v>6500</v>
      </c>
      <c r="N41" s="27">
        <f t="shared" si="5"/>
        <v>6500</v>
      </c>
      <c r="AA41" s="27">
        <f t="shared" si="6"/>
        <v>0</v>
      </c>
      <c r="AB41" s="10">
        <f t="shared" si="30"/>
        <v>6500</v>
      </c>
      <c r="AC41" s="10">
        <f t="shared" si="30"/>
        <v>0</v>
      </c>
      <c r="AD41" s="10">
        <f t="shared" si="30"/>
        <v>0</v>
      </c>
      <c r="AE41" s="10">
        <f t="shared" si="30"/>
        <v>0</v>
      </c>
      <c r="AF41" s="10">
        <f t="shared" si="30"/>
        <v>0</v>
      </c>
      <c r="AG41" s="10">
        <f t="shared" si="30"/>
        <v>0</v>
      </c>
      <c r="AH41" s="10">
        <f t="shared" si="30"/>
        <v>0</v>
      </c>
      <c r="AI41" s="10">
        <f t="shared" si="30"/>
        <v>0</v>
      </c>
      <c r="AJ41" s="10">
        <f t="shared" si="29"/>
        <v>0</v>
      </c>
      <c r="AK41" s="10">
        <f t="shared" si="29"/>
        <v>0</v>
      </c>
      <c r="AL41" s="10">
        <f t="shared" si="29"/>
        <v>0</v>
      </c>
      <c r="AM41" s="10">
        <f t="shared" si="29"/>
        <v>0</v>
      </c>
      <c r="AN41" s="27">
        <f t="shared" si="29"/>
        <v>6500</v>
      </c>
      <c r="AS41" t="str">
        <f>_xlfn.XLOOKUP(AU41,[2]GAE!HZ:HZ,[2]GAE!IA:IA)</f>
        <v>ADMIN SERVICES</v>
      </c>
      <c r="AT41" t="str">
        <f>_xlfn.XLOOKUP(AU41,[2]GAE!HZ:HZ,[2]GAE!IB:IB)</f>
        <v>GAE - Transportation</v>
      </c>
      <c r="AU41" t="s">
        <v>295</v>
      </c>
      <c r="AV41">
        <v>80123102</v>
      </c>
      <c r="AW41">
        <v>61081101</v>
      </c>
      <c r="AX41" t="str">
        <f>_xlfn.XLOOKUP(AU41,[2]GAE!HZ:HZ,[2]GAE!IF:IF)</f>
        <v>Others</v>
      </c>
      <c r="AY41" t="str">
        <f>_xlfn.XLOOKUP(AU41,[2]GAE!HZ:HZ,[2]GAE!IG:IG)</f>
        <v>Transportation &amp; Travel</v>
      </c>
      <c r="BF41" t="s">
        <v>303</v>
      </c>
      <c r="BG41" t="s">
        <v>303</v>
      </c>
      <c r="BH41" s="10">
        <f>SUMIFS('[1]2026'!$K:$K,'[1]2026'!$T:$T,BD41,'[1]2026'!$S:$S,BH$3,'[1]2026'!$P:$P,AU41)</f>
        <v>0</v>
      </c>
      <c r="BI41" s="10">
        <f>SUMIFS('[1]2026'!$K:$K,'[1]2026'!$T:$T,$BD41,'[1]2026'!$S:$S,BI$3,'[1]2026'!$P:$P,$AU41)</f>
        <v>0</v>
      </c>
      <c r="BJ41" s="10">
        <f>SUMIFS('[1]2026'!$K:$K,'[1]2026'!$T:$T,$BD41,'[1]2026'!$S:$S,BJ$3,'[1]2026'!$P:$P,$AU41)</f>
        <v>0</v>
      </c>
      <c r="BK41" s="10">
        <f>SUMIFS('[1]2026'!$K:$K,'[1]2026'!$T:$T,$BD41,'[1]2026'!$S:$S,BK$3,'[1]2026'!$P:$P,$AU41)</f>
        <v>0</v>
      </c>
      <c r="BL41" s="10">
        <f>SUMIFS('[1]2026'!$K:$K,'[1]2026'!$T:$T,$BD41,'[1]2026'!$S:$S,BL$3,'[1]2026'!$P:$P,$AU41)</f>
        <v>0</v>
      </c>
      <c r="BM41" s="10">
        <f>SUMIFS('[1]2026'!$K:$K,'[1]2026'!$T:$T,$BD41,'[1]2026'!$S:$S,BM$3,'[1]2026'!$P:$P,$AU41)</f>
        <v>0</v>
      </c>
      <c r="BN41" s="10">
        <f>SUMIFS('[1]2026'!$K:$K,'[1]2026'!$T:$T,$BD41,'[1]2026'!$S:$S,BN$3,'[1]2026'!$P:$P,$AU41)</f>
        <v>0</v>
      </c>
      <c r="BO41" s="10">
        <f>SUMIFS('[1]2026'!$K:$K,'[1]2026'!$T:$T,$BD41,'[1]2026'!$S:$S,BO$3,'[1]2026'!$P:$P,$AU41)</f>
        <v>0</v>
      </c>
      <c r="BP41" s="6"/>
      <c r="BQ41" s="6"/>
      <c r="BR41" s="6"/>
      <c r="BS41" s="6"/>
      <c r="BT41" s="6">
        <f t="shared" si="10"/>
        <v>0</v>
      </c>
      <c r="BV41" s="6">
        <f t="shared" si="17"/>
        <v>-6500</v>
      </c>
      <c r="BW41" s="6">
        <f t="shared" si="18"/>
        <v>0</v>
      </c>
      <c r="BX41" s="6">
        <f t="shared" si="19"/>
        <v>0</v>
      </c>
      <c r="BY41" s="6">
        <f t="shared" si="20"/>
        <v>0</v>
      </c>
      <c r="BZ41" s="6">
        <f t="shared" si="21"/>
        <v>0</v>
      </c>
      <c r="CA41" s="6">
        <f t="shared" si="22"/>
        <v>0</v>
      </c>
      <c r="CB41" s="6">
        <f t="shared" si="23"/>
        <v>0</v>
      </c>
      <c r="CC41" s="6">
        <f t="shared" si="24"/>
        <v>0</v>
      </c>
      <c r="CD41" s="6">
        <f t="shared" si="25"/>
        <v>0</v>
      </c>
      <c r="CE41" s="6">
        <f t="shared" si="26"/>
        <v>0</v>
      </c>
      <c r="CF41" s="6">
        <f t="shared" si="27"/>
        <v>0</v>
      </c>
      <c r="CG41" s="6">
        <f t="shared" si="28"/>
        <v>0</v>
      </c>
      <c r="CH41" s="6">
        <f t="shared" si="31"/>
        <v>-6500</v>
      </c>
    </row>
    <row r="42" spans="1:86" hidden="1" x14ac:dyDescent="0.35">
      <c r="A42" s="3" t="s">
        <v>319</v>
      </c>
      <c r="B42" s="10">
        <v>6500</v>
      </c>
      <c r="N42" s="27">
        <f t="shared" si="5"/>
        <v>6500</v>
      </c>
      <c r="AA42" s="27">
        <f t="shared" si="6"/>
        <v>0</v>
      </c>
      <c r="AB42" s="10">
        <f t="shared" si="30"/>
        <v>6500</v>
      </c>
      <c r="AC42" s="10">
        <f t="shared" si="30"/>
        <v>0</v>
      </c>
      <c r="AD42" s="10">
        <f t="shared" si="30"/>
        <v>0</v>
      </c>
      <c r="AE42" s="10">
        <f t="shared" si="30"/>
        <v>0</v>
      </c>
      <c r="AF42" s="10">
        <f t="shared" si="30"/>
        <v>0</v>
      </c>
      <c r="AG42" s="10">
        <f t="shared" si="30"/>
        <v>0</v>
      </c>
      <c r="AH42" s="10">
        <f t="shared" si="30"/>
        <v>0</v>
      </c>
      <c r="AI42" s="10">
        <f t="shared" si="30"/>
        <v>0</v>
      </c>
      <c r="AJ42" s="10">
        <f t="shared" si="29"/>
        <v>0</v>
      </c>
      <c r="AK42" s="10">
        <f t="shared" si="29"/>
        <v>0</v>
      </c>
      <c r="AL42" s="10">
        <f t="shared" si="29"/>
        <v>0</v>
      </c>
      <c r="AM42" s="10">
        <f t="shared" si="29"/>
        <v>0</v>
      </c>
      <c r="AN42" s="27">
        <f t="shared" si="29"/>
        <v>6500</v>
      </c>
      <c r="AS42" t="str">
        <f>_xlfn.XLOOKUP(AU42,[2]GAE!HZ:HZ,[2]GAE!IA:IA)</f>
        <v>ADMIN SERVICES</v>
      </c>
      <c r="AT42" t="str">
        <f>_xlfn.XLOOKUP(AU42,[2]GAE!HZ:HZ,[2]GAE!IB:IB)</f>
        <v>GAE - Transportation</v>
      </c>
      <c r="AU42" t="s">
        <v>295</v>
      </c>
      <c r="AV42">
        <v>80123102</v>
      </c>
      <c r="AW42">
        <v>61081101</v>
      </c>
      <c r="AX42" t="str">
        <f>_xlfn.XLOOKUP(AU42,[2]GAE!HZ:HZ,[2]GAE!IF:IF)</f>
        <v>Others</v>
      </c>
      <c r="AY42" t="str">
        <f>_xlfn.XLOOKUP(AU42,[2]GAE!HZ:HZ,[2]GAE!IG:IG)</f>
        <v>Transportation &amp; Travel</v>
      </c>
      <c r="BF42" t="s">
        <v>303</v>
      </c>
      <c r="BG42" t="s">
        <v>303</v>
      </c>
      <c r="BH42" s="10">
        <f>SUMIFS('[1]2026'!$K:$K,'[1]2026'!$T:$T,BD42,'[1]2026'!$S:$S,BH$3,'[1]2026'!$P:$P,AU42)</f>
        <v>0</v>
      </c>
      <c r="BI42" s="10">
        <f>SUMIFS('[1]2026'!$K:$K,'[1]2026'!$T:$T,$BD42,'[1]2026'!$S:$S,BI$3,'[1]2026'!$P:$P,$AU42)</f>
        <v>0</v>
      </c>
      <c r="BJ42" s="10">
        <f>SUMIFS('[1]2026'!$K:$K,'[1]2026'!$T:$T,$BD42,'[1]2026'!$S:$S,BJ$3,'[1]2026'!$P:$P,$AU42)</f>
        <v>0</v>
      </c>
      <c r="BK42" s="10">
        <f>SUMIFS('[1]2026'!$K:$K,'[1]2026'!$T:$T,$BD42,'[1]2026'!$S:$S,BK$3,'[1]2026'!$P:$P,$AU42)</f>
        <v>0</v>
      </c>
      <c r="BL42" s="10">
        <f>SUMIFS('[1]2026'!$K:$K,'[1]2026'!$T:$T,$BD42,'[1]2026'!$S:$S,BL$3,'[1]2026'!$P:$P,$AU42)</f>
        <v>0</v>
      </c>
      <c r="BM42" s="10">
        <f>SUMIFS('[1]2026'!$K:$K,'[1]2026'!$T:$T,$BD42,'[1]2026'!$S:$S,BM$3,'[1]2026'!$P:$P,$AU42)</f>
        <v>0</v>
      </c>
      <c r="BN42" s="10">
        <f>SUMIFS('[1]2026'!$K:$K,'[1]2026'!$T:$T,$BD42,'[1]2026'!$S:$S,BN$3,'[1]2026'!$P:$P,$AU42)</f>
        <v>0</v>
      </c>
      <c r="BO42" s="10">
        <f>SUMIFS('[1]2026'!$K:$K,'[1]2026'!$T:$T,$BD42,'[1]2026'!$S:$S,BO$3,'[1]2026'!$P:$P,$AU42)</f>
        <v>0</v>
      </c>
      <c r="BP42" s="6"/>
      <c r="BQ42" s="6"/>
      <c r="BR42" s="6"/>
      <c r="BS42" s="6"/>
      <c r="BT42" s="6">
        <f t="shared" si="10"/>
        <v>0</v>
      </c>
      <c r="BV42" s="6">
        <f t="shared" si="17"/>
        <v>-6500</v>
      </c>
      <c r="BW42" s="6">
        <f t="shared" si="18"/>
        <v>0</v>
      </c>
      <c r="BX42" s="6">
        <f t="shared" si="19"/>
        <v>0</v>
      </c>
      <c r="BY42" s="6">
        <f t="shared" si="20"/>
        <v>0</v>
      </c>
      <c r="BZ42" s="6">
        <f t="shared" si="21"/>
        <v>0</v>
      </c>
      <c r="CA42" s="6">
        <f t="shared" si="22"/>
        <v>0</v>
      </c>
      <c r="CB42" s="6">
        <f t="shared" si="23"/>
        <v>0</v>
      </c>
      <c r="CC42" s="6">
        <f t="shared" si="24"/>
        <v>0</v>
      </c>
      <c r="CD42" s="6">
        <f t="shared" si="25"/>
        <v>0</v>
      </c>
      <c r="CE42" s="6">
        <f t="shared" si="26"/>
        <v>0</v>
      </c>
      <c r="CF42" s="6">
        <f t="shared" si="27"/>
        <v>0</v>
      </c>
      <c r="CG42" s="6">
        <f t="shared" si="28"/>
        <v>0</v>
      </c>
      <c r="CH42" s="6">
        <f t="shared" si="31"/>
        <v>-6500</v>
      </c>
    </row>
    <row r="43" spans="1:86" hidden="1" x14ac:dyDescent="0.35">
      <c r="A43" s="3" t="s">
        <v>320</v>
      </c>
      <c r="B43" s="10">
        <v>6500</v>
      </c>
      <c r="N43" s="27">
        <f t="shared" si="5"/>
        <v>6500</v>
      </c>
      <c r="AA43" s="27">
        <f t="shared" si="6"/>
        <v>0</v>
      </c>
      <c r="AB43" s="10">
        <f t="shared" si="30"/>
        <v>6500</v>
      </c>
      <c r="AC43" s="10">
        <f t="shared" si="30"/>
        <v>0</v>
      </c>
      <c r="AD43" s="10">
        <f t="shared" si="30"/>
        <v>0</v>
      </c>
      <c r="AE43" s="10">
        <f t="shared" si="30"/>
        <v>0</v>
      </c>
      <c r="AF43" s="10">
        <f t="shared" si="30"/>
        <v>0</v>
      </c>
      <c r="AG43" s="10">
        <f t="shared" si="30"/>
        <v>0</v>
      </c>
      <c r="AH43" s="10">
        <f t="shared" si="30"/>
        <v>0</v>
      </c>
      <c r="AI43" s="10">
        <f t="shared" si="30"/>
        <v>0</v>
      </c>
      <c r="AJ43" s="10">
        <f t="shared" si="29"/>
        <v>0</v>
      </c>
      <c r="AK43" s="10">
        <f t="shared" si="29"/>
        <v>0</v>
      </c>
      <c r="AL43" s="10">
        <f t="shared" si="29"/>
        <v>0</v>
      </c>
      <c r="AM43" s="10">
        <f t="shared" si="29"/>
        <v>0</v>
      </c>
      <c r="AN43" s="27">
        <f t="shared" si="29"/>
        <v>6500</v>
      </c>
      <c r="AS43" t="str">
        <f>_xlfn.XLOOKUP(AU43,[2]GAE!HZ:HZ,[2]GAE!IA:IA)</f>
        <v>ADMIN SERVICES</v>
      </c>
      <c r="AT43" t="str">
        <f>_xlfn.XLOOKUP(AU43,[2]GAE!HZ:HZ,[2]GAE!IB:IB)</f>
        <v>GAE - Transportation</v>
      </c>
      <c r="AU43" t="s">
        <v>295</v>
      </c>
      <c r="AV43">
        <v>80123102</v>
      </c>
      <c r="AW43">
        <v>61081101</v>
      </c>
      <c r="AX43" t="str">
        <f>_xlfn.XLOOKUP(AU43,[2]GAE!HZ:HZ,[2]GAE!IF:IF)</f>
        <v>Others</v>
      </c>
      <c r="AY43" t="str">
        <f>_xlfn.XLOOKUP(AU43,[2]GAE!HZ:HZ,[2]GAE!IG:IG)</f>
        <v>Transportation &amp; Travel</v>
      </c>
      <c r="BF43" t="s">
        <v>303</v>
      </c>
      <c r="BG43" t="s">
        <v>303</v>
      </c>
      <c r="BH43" s="10">
        <f>SUMIFS('[1]2026'!$K:$K,'[1]2026'!$T:$T,BD43,'[1]2026'!$S:$S,BH$3,'[1]2026'!$P:$P,AU43)</f>
        <v>0</v>
      </c>
      <c r="BI43" s="10">
        <f>SUMIFS('[1]2026'!$K:$K,'[1]2026'!$T:$T,$BD43,'[1]2026'!$S:$S,BI$3,'[1]2026'!$P:$P,$AU43)</f>
        <v>0</v>
      </c>
      <c r="BJ43" s="10">
        <f>SUMIFS('[1]2026'!$K:$K,'[1]2026'!$T:$T,$BD43,'[1]2026'!$S:$S,BJ$3,'[1]2026'!$P:$P,$AU43)</f>
        <v>0</v>
      </c>
      <c r="BK43" s="10">
        <f>SUMIFS('[1]2026'!$K:$K,'[1]2026'!$T:$T,$BD43,'[1]2026'!$S:$S,BK$3,'[1]2026'!$P:$P,$AU43)</f>
        <v>0</v>
      </c>
      <c r="BL43" s="10">
        <f>SUMIFS('[1]2026'!$K:$K,'[1]2026'!$T:$T,$BD43,'[1]2026'!$S:$S,BL$3,'[1]2026'!$P:$P,$AU43)</f>
        <v>0</v>
      </c>
      <c r="BM43" s="10">
        <f>SUMIFS('[1]2026'!$K:$K,'[1]2026'!$T:$T,$BD43,'[1]2026'!$S:$S,BM$3,'[1]2026'!$P:$P,$AU43)</f>
        <v>0</v>
      </c>
      <c r="BN43" s="10">
        <f>SUMIFS('[1]2026'!$K:$K,'[1]2026'!$T:$T,$BD43,'[1]2026'!$S:$S,BN$3,'[1]2026'!$P:$P,$AU43)</f>
        <v>0</v>
      </c>
      <c r="BO43" s="10">
        <f>SUMIFS('[1]2026'!$K:$K,'[1]2026'!$T:$T,$BD43,'[1]2026'!$S:$S,BO$3,'[1]2026'!$P:$P,$AU43)</f>
        <v>0</v>
      </c>
      <c r="BP43" s="6"/>
      <c r="BQ43" s="6"/>
      <c r="BR43" s="6"/>
      <c r="BS43" s="6"/>
      <c r="BT43" s="6">
        <f t="shared" si="10"/>
        <v>0</v>
      </c>
      <c r="BV43" s="6">
        <f t="shared" si="17"/>
        <v>-6500</v>
      </c>
      <c r="BW43" s="6">
        <f t="shared" si="18"/>
        <v>0</v>
      </c>
      <c r="BX43" s="6">
        <f t="shared" si="19"/>
        <v>0</v>
      </c>
      <c r="BY43" s="6">
        <f t="shared" si="20"/>
        <v>0</v>
      </c>
      <c r="BZ43" s="6">
        <f t="shared" si="21"/>
        <v>0</v>
      </c>
      <c r="CA43" s="6">
        <f t="shared" si="22"/>
        <v>0</v>
      </c>
      <c r="CB43" s="6">
        <f t="shared" si="23"/>
        <v>0</v>
      </c>
      <c r="CC43" s="6">
        <f t="shared" si="24"/>
        <v>0</v>
      </c>
      <c r="CD43" s="6">
        <f t="shared" si="25"/>
        <v>0</v>
      </c>
      <c r="CE43" s="6">
        <f t="shared" si="26"/>
        <v>0</v>
      </c>
      <c r="CF43" s="6">
        <f t="shared" si="27"/>
        <v>0</v>
      </c>
      <c r="CG43" s="6">
        <f t="shared" si="28"/>
        <v>0</v>
      </c>
      <c r="CH43" s="6">
        <f t="shared" si="31"/>
        <v>-6500</v>
      </c>
    </row>
    <row r="44" spans="1:86" hidden="1" x14ac:dyDescent="0.35">
      <c r="A44" s="3" t="s">
        <v>321</v>
      </c>
      <c r="B44" s="10">
        <v>6500</v>
      </c>
      <c r="N44" s="27">
        <f t="shared" si="5"/>
        <v>6500</v>
      </c>
      <c r="AA44" s="27">
        <f t="shared" si="6"/>
        <v>0</v>
      </c>
      <c r="AB44" s="10">
        <f t="shared" si="30"/>
        <v>6500</v>
      </c>
      <c r="AC44" s="10">
        <f t="shared" si="30"/>
        <v>0</v>
      </c>
      <c r="AD44" s="10">
        <f t="shared" si="30"/>
        <v>0</v>
      </c>
      <c r="AE44" s="10">
        <f t="shared" si="30"/>
        <v>0</v>
      </c>
      <c r="AF44" s="10">
        <f t="shared" si="30"/>
        <v>0</v>
      </c>
      <c r="AG44" s="10">
        <f t="shared" si="30"/>
        <v>0</v>
      </c>
      <c r="AH44" s="10">
        <f t="shared" si="30"/>
        <v>0</v>
      </c>
      <c r="AI44" s="10">
        <f t="shared" si="30"/>
        <v>0</v>
      </c>
      <c r="AJ44" s="10">
        <f t="shared" si="29"/>
        <v>0</v>
      </c>
      <c r="AK44" s="10">
        <f t="shared" si="29"/>
        <v>0</v>
      </c>
      <c r="AL44" s="10">
        <f t="shared" si="29"/>
        <v>0</v>
      </c>
      <c r="AM44" s="10">
        <f t="shared" si="29"/>
        <v>0</v>
      </c>
      <c r="AN44" s="27">
        <f t="shared" si="29"/>
        <v>6500</v>
      </c>
      <c r="AS44" t="str">
        <f>_xlfn.XLOOKUP(AU44,[2]GAE!HZ:HZ,[2]GAE!IA:IA)</f>
        <v>ADMIN SERVICES</v>
      </c>
      <c r="AT44" t="str">
        <f>_xlfn.XLOOKUP(AU44,[2]GAE!HZ:HZ,[2]GAE!IB:IB)</f>
        <v>GAE - Transportation</v>
      </c>
      <c r="AU44" t="s">
        <v>295</v>
      </c>
      <c r="AV44">
        <v>80123102</v>
      </c>
      <c r="AW44">
        <v>61081101</v>
      </c>
      <c r="AX44" t="str">
        <f>_xlfn.XLOOKUP(AU44,[2]GAE!HZ:HZ,[2]GAE!IF:IF)</f>
        <v>Others</v>
      </c>
      <c r="AY44" t="str">
        <f>_xlfn.XLOOKUP(AU44,[2]GAE!HZ:HZ,[2]GAE!IG:IG)</f>
        <v>Transportation &amp; Travel</v>
      </c>
      <c r="BF44" t="s">
        <v>303</v>
      </c>
      <c r="BG44" t="s">
        <v>303</v>
      </c>
      <c r="BH44" s="10">
        <f>SUMIFS('[1]2026'!$K:$K,'[1]2026'!$T:$T,BD44,'[1]2026'!$S:$S,BH$3,'[1]2026'!$P:$P,AU44)</f>
        <v>0</v>
      </c>
      <c r="BI44" s="10">
        <f>SUMIFS('[1]2026'!$K:$K,'[1]2026'!$T:$T,$BD44,'[1]2026'!$S:$S,BI$3,'[1]2026'!$P:$P,$AU44)</f>
        <v>0</v>
      </c>
      <c r="BJ44" s="10">
        <f>SUMIFS('[1]2026'!$K:$K,'[1]2026'!$T:$T,$BD44,'[1]2026'!$S:$S,BJ$3,'[1]2026'!$P:$P,$AU44)</f>
        <v>0</v>
      </c>
      <c r="BK44" s="10">
        <f>SUMIFS('[1]2026'!$K:$K,'[1]2026'!$T:$T,$BD44,'[1]2026'!$S:$S,BK$3,'[1]2026'!$P:$P,$AU44)</f>
        <v>0</v>
      </c>
      <c r="BL44" s="10">
        <f>SUMIFS('[1]2026'!$K:$K,'[1]2026'!$T:$T,$BD44,'[1]2026'!$S:$S,BL$3,'[1]2026'!$P:$P,$AU44)</f>
        <v>0</v>
      </c>
      <c r="BM44" s="10">
        <f>SUMIFS('[1]2026'!$K:$K,'[1]2026'!$T:$T,$BD44,'[1]2026'!$S:$S,BM$3,'[1]2026'!$P:$P,$AU44)</f>
        <v>0</v>
      </c>
      <c r="BN44" s="10">
        <f>SUMIFS('[1]2026'!$K:$K,'[1]2026'!$T:$T,$BD44,'[1]2026'!$S:$S,BN$3,'[1]2026'!$P:$P,$AU44)</f>
        <v>0</v>
      </c>
      <c r="BO44" s="10">
        <f>SUMIFS('[1]2026'!$K:$K,'[1]2026'!$T:$T,$BD44,'[1]2026'!$S:$S,BO$3,'[1]2026'!$P:$P,$AU44)</f>
        <v>0</v>
      </c>
      <c r="BP44" s="6"/>
      <c r="BQ44" s="6"/>
      <c r="BR44" s="6"/>
      <c r="BS44" s="6"/>
      <c r="BT44" s="6">
        <f t="shared" si="10"/>
        <v>0</v>
      </c>
      <c r="BV44" s="6">
        <f t="shared" si="17"/>
        <v>-6500</v>
      </c>
      <c r="BW44" s="6">
        <f t="shared" si="18"/>
        <v>0</v>
      </c>
      <c r="BX44" s="6">
        <f t="shared" si="19"/>
        <v>0</v>
      </c>
      <c r="BY44" s="6">
        <f t="shared" si="20"/>
        <v>0</v>
      </c>
      <c r="BZ44" s="6">
        <f t="shared" si="21"/>
        <v>0</v>
      </c>
      <c r="CA44" s="6">
        <f t="shared" si="22"/>
        <v>0</v>
      </c>
      <c r="CB44" s="6">
        <f t="shared" si="23"/>
        <v>0</v>
      </c>
      <c r="CC44" s="6">
        <f t="shared" si="24"/>
        <v>0</v>
      </c>
      <c r="CD44" s="6">
        <f t="shared" si="25"/>
        <v>0</v>
      </c>
      <c r="CE44" s="6">
        <f t="shared" si="26"/>
        <v>0</v>
      </c>
      <c r="CF44" s="6">
        <f t="shared" si="27"/>
        <v>0</v>
      </c>
      <c r="CG44" s="6">
        <f t="shared" si="28"/>
        <v>0</v>
      </c>
      <c r="CH44" s="6">
        <f t="shared" si="31"/>
        <v>-6500</v>
      </c>
    </row>
    <row r="45" spans="1:86" hidden="1" x14ac:dyDescent="0.35">
      <c r="A45" s="3" t="s">
        <v>322</v>
      </c>
      <c r="B45" s="10">
        <v>6500</v>
      </c>
      <c r="N45" s="27">
        <f t="shared" si="5"/>
        <v>6500</v>
      </c>
      <c r="AA45" s="27">
        <f t="shared" si="6"/>
        <v>0</v>
      </c>
      <c r="AB45" s="10">
        <f t="shared" si="30"/>
        <v>6500</v>
      </c>
      <c r="AC45" s="10">
        <f t="shared" si="30"/>
        <v>0</v>
      </c>
      <c r="AD45" s="10">
        <f t="shared" si="30"/>
        <v>0</v>
      </c>
      <c r="AE45" s="10">
        <f t="shared" si="30"/>
        <v>0</v>
      </c>
      <c r="AF45" s="10">
        <f t="shared" si="30"/>
        <v>0</v>
      </c>
      <c r="AG45" s="10">
        <f t="shared" si="30"/>
        <v>0</v>
      </c>
      <c r="AH45" s="10">
        <f t="shared" si="30"/>
        <v>0</v>
      </c>
      <c r="AI45" s="10">
        <f t="shared" si="30"/>
        <v>0</v>
      </c>
      <c r="AJ45" s="10">
        <f t="shared" si="29"/>
        <v>0</v>
      </c>
      <c r="AK45" s="10">
        <f t="shared" si="29"/>
        <v>0</v>
      </c>
      <c r="AL45" s="10">
        <f t="shared" si="29"/>
        <v>0</v>
      </c>
      <c r="AM45" s="10">
        <f t="shared" si="29"/>
        <v>0</v>
      </c>
      <c r="AN45" s="27">
        <f t="shared" si="29"/>
        <v>6500</v>
      </c>
      <c r="AS45" t="str">
        <f>_xlfn.XLOOKUP(AU45,[2]GAE!HZ:HZ,[2]GAE!IA:IA)</f>
        <v>ADMIN SERVICES</v>
      </c>
      <c r="AT45" t="str">
        <f>_xlfn.XLOOKUP(AU45,[2]GAE!HZ:HZ,[2]GAE!IB:IB)</f>
        <v>GAE - Transportation</v>
      </c>
      <c r="AU45" t="s">
        <v>295</v>
      </c>
      <c r="AV45">
        <v>80123102</v>
      </c>
      <c r="AW45">
        <v>61081101</v>
      </c>
      <c r="AX45" t="str">
        <f>_xlfn.XLOOKUP(AU45,[2]GAE!HZ:HZ,[2]GAE!IF:IF)</f>
        <v>Others</v>
      </c>
      <c r="AY45" t="str">
        <f>_xlfn.XLOOKUP(AU45,[2]GAE!HZ:HZ,[2]GAE!IG:IG)</f>
        <v>Transportation &amp; Travel</v>
      </c>
      <c r="BF45" t="s">
        <v>303</v>
      </c>
      <c r="BG45" t="s">
        <v>303</v>
      </c>
      <c r="BH45" s="10">
        <f>SUMIFS('[1]2026'!$K:$K,'[1]2026'!$T:$T,BD45,'[1]2026'!$S:$S,BH$3,'[1]2026'!$P:$P,AU45)</f>
        <v>0</v>
      </c>
      <c r="BI45" s="10">
        <f>SUMIFS('[1]2026'!$K:$K,'[1]2026'!$T:$T,$BD45,'[1]2026'!$S:$S,BI$3,'[1]2026'!$P:$P,$AU45)</f>
        <v>0</v>
      </c>
      <c r="BJ45" s="10">
        <f>SUMIFS('[1]2026'!$K:$K,'[1]2026'!$T:$T,$BD45,'[1]2026'!$S:$S,BJ$3,'[1]2026'!$P:$P,$AU45)</f>
        <v>0</v>
      </c>
      <c r="BK45" s="10">
        <f>SUMIFS('[1]2026'!$K:$K,'[1]2026'!$T:$T,$BD45,'[1]2026'!$S:$S,BK$3,'[1]2026'!$P:$P,$AU45)</f>
        <v>0</v>
      </c>
      <c r="BL45" s="10">
        <f>SUMIFS('[1]2026'!$K:$K,'[1]2026'!$T:$T,$BD45,'[1]2026'!$S:$S,BL$3,'[1]2026'!$P:$P,$AU45)</f>
        <v>0</v>
      </c>
      <c r="BM45" s="10">
        <f>SUMIFS('[1]2026'!$K:$K,'[1]2026'!$T:$T,$BD45,'[1]2026'!$S:$S,BM$3,'[1]2026'!$P:$P,$AU45)</f>
        <v>0</v>
      </c>
      <c r="BN45" s="10">
        <f>SUMIFS('[1]2026'!$K:$K,'[1]2026'!$T:$T,$BD45,'[1]2026'!$S:$S,BN$3,'[1]2026'!$P:$P,$AU45)</f>
        <v>0</v>
      </c>
      <c r="BO45" s="10">
        <f>SUMIFS('[1]2026'!$K:$K,'[1]2026'!$T:$T,$BD45,'[1]2026'!$S:$S,BO$3,'[1]2026'!$P:$P,$AU45)</f>
        <v>0</v>
      </c>
      <c r="BP45" s="6"/>
      <c r="BQ45" s="6"/>
      <c r="BR45" s="6"/>
      <c r="BS45" s="6"/>
      <c r="BT45" s="6">
        <f t="shared" si="10"/>
        <v>0</v>
      </c>
      <c r="BV45" s="6">
        <f t="shared" si="17"/>
        <v>-6500</v>
      </c>
      <c r="BW45" s="6">
        <f t="shared" si="18"/>
        <v>0</v>
      </c>
      <c r="BX45" s="6">
        <f t="shared" si="19"/>
        <v>0</v>
      </c>
      <c r="BY45" s="6">
        <f t="shared" si="20"/>
        <v>0</v>
      </c>
      <c r="BZ45" s="6">
        <f t="shared" si="21"/>
        <v>0</v>
      </c>
      <c r="CA45" s="6">
        <f t="shared" si="22"/>
        <v>0</v>
      </c>
      <c r="CB45" s="6">
        <f t="shared" si="23"/>
        <v>0</v>
      </c>
      <c r="CC45" s="6">
        <f t="shared" si="24"/>
        <v>0</v>
      </c>
      <c r="CD45" s="6">
        <f t="shared" si="25"/>
        <v>0</v>
      </c>
      <c r="CE45" s="6">
        <f t="shared" si="26"/>
        <v>0</v>
      </c>
      <c r="CF45" s="6">
        <f t="shared" si="27"/>
        <v>0</v>
      </c>
      <c r="CG45" s="6">
        <f t="shared" si="28"/>
        <v>0</v>
      </c>
      <c r="CH45" s="6">
        <f t="shared" si="31"/>
        <v>-6500</v>
      </c>
    </row>
    <row r="46" spans="1:86" hidden="1" x14ac:dyDescent="0.35">
      <c r="A46" s="3" t="s">
        <v>323</v>
      </c>
      <c r="B46" s="10">
        <v>6500</v>
      </c>
      <c r="N46" s="27">
        <f t="shared" si="5"/>
        <v>6500</v>
      </c>
      <c r="AA46" s="27">
        <f t="shared" si="6"/>
        <v>0</v>
      </c>
      <c r="AB46" s="10">
        <f t="shared" si="30"/>
        <v>6500</v>
      </c>
      <c r="AC46" s="10">
        <f t="shared" si="30"/>
        <v>0</v>
      </c>
      <c r="AD46" s="10">
        <f t="shared" si="30"/>
        <v>0</v>
      </c>
      <c r="AE46" s="10">
        <f t="shared" si="30"/>
        <v>0</v>
      </c>
      <c r="AF46" s="10">
        <f t="shared" si="30"/>
        <v>0</v>
      </c>
      <c r="AG46" s="10">
        <f t="shared" si="30"/>
        <v>0</v>
      </c>
      <c r="AH46" s="10">
        <f t="shared" si="30"/>
        <v>0</v>
      </c>
      <c r="AI46" s="10">
        <f t="shared" si="30"/>
        <v>0</v>
      </c>
      <c r="AJ46" s="10">
        <f t="shared" si="29"/>
        <v>0</v>
      </c>
      <c r="AK46" s="10">
        <f t="shared" si="29"/>
        <v>0</v>
      </c>
      <c r="AL46" s="10">
        <f t="shared" si="29"/>
        <v>0</v>
      </c>
      <c r="AM46" s="10">
        <f t="shared" si="29"/>
        <v>0</v>
      </c>
      <c r="AN46" s="27">
        <f t="shared" si="29"/>
        <v>6500</v>
      </c>
      <c r="AS46" t="str">
        <f>_xlfn.XLOOKUP(AU46,[2]GAE!HZ:HZ,[2]GAE!IA:IA)</f>
        <v>ADMIN SERVICES</v>
      </c>
      <c r="AT46" t="str">
        <f>_xlfn.XLOOKUP(AU46,[2]GAE!HZ:HZ,[2]GAE!IB:IB)</f>
        <v>GAE - Transportation</v>
      </c>
      <c r="AU46" t="s">
        <v>295</v>
      </c>
      <c r="AV46">
        <v>80123102</v>
      </c>
      <c r="AW46">
        <v>61081101</v>
      </c>
      <c r="AX46" t="str">
        <f>_xlfn.XLOOKUP(AU46,[2]GAE!HZ:HZ,[2]GAE!IF:IF)</f>
        <v>Others</v>
      </c>
      <c r="AY46" t="str">
        <f>_xlfn.XLOOKUP(AU46,[2]GAE!HZ:HZ,[2]GAE!IG:IG)</f>
        <v>Transportation &amp; Travel</v>
      </c>
      <c r="BF46" t="s">
        <v>303</v>
      </c>
      <c r="BG46" t="s">
        <v>303</v>
      </c>
      <c r="BH46" s="10">
        <f>SUMIFS('[1]2026'!$K:$K,'[1]2026'!$T:$T,BD46,'[1]2026'!$S:$S,BH$3,'[1]2026'!$P:$P,AU46)</f>
        <v>0</v>
      </c>
      <c r="BI46" s="10">
        <f>SUMIFS('[1]2026'!$K:$K,'[1]2026'!$T:$T,$BD46,'[1]2026'!$S:$S,BI$3,'[1]2026'!$P:$P,$AU46)</f>
        <v>0</v>
      </c>
      <c r="BJ46" s="10">
        <f>SUMIFS('[1]2026'!$K:$K,'[1]2026'!$T:$T,$BD46,'[1]2026'!$S:$S,BJ$3,'[1]2026'!$P:$P,$AU46)</f>
        <v>0</v>
      </c>
      <c r="BK46" s="10">
        <f>SUMIFS('[1]2026'!$K:$K,'[1]2026'!$T:$T,$BD46,'[1]2026'!$S:$S,BK$3,'[1]2026'!$P:$P,$AU46)</f>
        <v>0</v>
      </c>
      <c r="BL46" s="10">
        <f>SUMIFS('[1]2026'!$K:$K,'[1]2026'!$T:$T,$BD46,'[1]2026'!$S:$S,BL$3,'[1]2026'!$P:$P,$AU46)</f>
        <v>0</v>
      </c>
      <c r="BM46" s="10">
        <f>SUMIFS('[1]2026'!$K:$K,'[1]2026'!$T:$T,$BD46,'[1]2026'!$S:$S,BM$3,'[1]2026'!$P:$P,$AU46)</f>
        <v>0</v>
      </c>
      <c r="BN46" s="10">
        <f>SUMIFS('[1]2026'!$K:$K,'[1]2026'!$T:$T,$BD46,'[1]2026'!$S:$S,BN$3,'[1]2026'!$P:$P,$AU46)</f>
        <v>0</v>
      </c>
      <c r="BO46" s="10">
        <f>SUMIFS('[1]2026'!$K:$K,'[1]2026'!$T:$T,$BD46,'[1]2026'!$S:$S,BO$3,'[1]2026'!$P:$P,$AU46)</f>
        <v>0</v>
      </c>
      <c r="BP46" s="6"/>
      <c r="BQ46" s="6"/>
      <c r="BR46" s="6"/>
      <c r="BS46" s="6"/>
      <c r="BT46" s="6">
        <f t="shared" si="10"/>
        <v>0</v>
      </c>
      <c r="BV46" s="6">
        <f t="shared" si="17"/>
        <v>-6500</v>
      </c>
      <c r="BW46" s="6">
        <f t="shared" si="18"/>
        <v>0</v>
      </c>
      <c r="BX46" s="6">
        <f t="shared" si="19"/>
        <v>0</v>
      </c>
      <c r="BY46" s="6">
        <f t="shared" si="20"/>
        <v>0</v>
      </c>
      <c r="BZ46" s="6">
        <f t="shared" si="21"/>
        <v>0</v>
      </c>
      <c r="CA46" s="6">
        <f t="shared" si="22"/>
        <v>0</v>
      </c>
      <c r="CB46" s="6">
        <f t="shared" si="23"/>
        <v>0</v>
      </c>
      <c r="CC46" s="6">
        <f t="shared" si="24"/>
        <v>0</v>
      </c>
      <c r="CD46" s="6">
        <f t="shared" si="25"/>
        <v>0</v>
      </c>
      <c r="CE46" s="6">
        <f t="shared" si="26"/>
        <v>0</v>
      </c>
      <c r="CF46" s="6">
        <f t="shared" si="27"/>
        <v>0</v>
      </c>
      <c r="CG46" s="6">
        <f t="shared" si="28"/>
        <v>0</v>
      </c>
      <c r="CH46" s="6">
        <f t="shared" si="31"/>
        <v>-6500</v>
      </c>
    </row>
    <row r="47" spans="1:86" hidden="1" x14ac:dyDescent="0.35">
      <c r="A47" s="3" t="s">
        <v>324</v>
      </c>
      <c r="B47" s="10">
        <v>6500</v>
      </c>
      <c r="N47" s="27">
        <f t="shared" si="5"/>
        <v>6500</v>
      </c>
      <c r="AA47" s="27">
        <f t="shared" si="6"/>
        <v>0</v>
      </c>
      <c r="AB47" s="10">
        <f t="shared" si="30"/>
        <v>6500</v>
      </c>
      <c r="AC47" s="10">
        <f t="shared" si="30"/>
        <v>0</v>
      </c>
      <c r="AD47" s="10">
        <f t="shared" si="30"/>
        <v>0</v>
      </c>
      <c r="AE47" s="10">
        <f t="shared" si="30"/>
        <v>0</v>
      </c>
      <c r="AF47" s="10">
        <f t="shared" si="30"/>
        <v>0</v>
      </c>
      <c r="AG47" s="10">
        <f t="shared" si="30"/>
        <v>0</v>
      </c>
      <c r="AH47" s="10">
        <f t="shared" si="30"/>
        <v>0</v>
      </c>
      <c r="AI47" s="10">
        <f t="shared" si="30"/>
        <v>0</v>
      </c>
      <c r="AJ47" s="10">
        <f t="shared" si="29"/>
        <v>0</v>
      </c>
      <c r="AK47" s="10">
        <f t="shared" si="29"/>
        <v>0</v>
      </c>
      <c r="AL47" s="10">
        <f t="shared" si="29"/>
        <v>0</v>
      </c>
      <c r="AM47" s="10">
        <f t="shared" si="29"/>
        <v>0</v>
      </c>
      <c r="AN47" s="27">
        <f t="shared" si="29"/>
        <v>6500</v>
      </c>
      <c r="AS47" t="str">
        <f>_xlfn.XLOOKUP(AU47,[2]GAE!HZ:HZ,[2]GAE!IA:IA)</f>
        <v>ADMIN SERVICES</v>
      </c>
      <c r="AT47" t="str">
        <f>_xlfn.XLOOKUP(AU47,[2]GAE!HZ:HZ,[2]GAE!IB:IB)</f>
        <v>GAE - Transportation</v>
      </c>
      <c r="AU47" t="s">
        <v>295</v>
      </c>
      <c r="AV47">
        <v>80123102</v>
      </c>
      <c r="AW47">
        <v>61081101</v>
      </c>
      <c r="AX47" t="str">
        <f>_xlfn.XLOOKUP(AU47,[2]GAE!HZ:HZ,[2]GAE!IF:IF)</f>
        <v>Others</v>
      </c>
      <c r="AY47" t="str">
        <f>_xlfn.XLOOKUP(AU47,[2]GAE!HZ:HZ,[2]GAE!IG:IG)</f>
        <v>Transportation &amp; Travel</v>
      </c>
      <c r="BF47" t="s">
        <v>303</v>
      </c>
      <c r="BG47" t="s">
        <v>303</v>
      </c>
      <c r="BH47" s="10">
        <f>SUMIFS('[1]2026'!$K:$K,'[1]2026'!$T:$T,BD47,'[1]2026'!$S:$S,BH$3,'[1]2026'!$P:$P,AU47)</f>
        <v>0</v>
      </c>
      <c r="BI47" s="10">
        <f>SUMIFS('[1]2026'!$K:$K,'[1]2026'!$T:$T,$BD47,'[1]2026'!$S:$S,BI$3,'[1]2026'!$P:$P,$AU47)</f>
        <v>0</v>
      </c>
      <c r="BJ47" s="10">
        <f>SUMIFS('[1]2026'!$K:$K,'[1]2026'!$T:$T,$BD47,'[1]2026'!$S:$S,BJ$3,'[1]2026'!$P:$P,$AU47)</f>
        <v>0</v>
      </c>
      <c r="BK47" s="10">
        <f>SUMIFS('[1]2026'!$K:$K,'[1]2026'!$T:$T,$BD47,'[1]2026'!$S:$S,BK$3,'[1]2026'!$P:$P,$AU47)</f>
        <v>0</v>
      </c>
      <c r="BL47" s="10">
        <f>SUMIFS('[1]2026'!$K:$K,'[1]2026'!$T:$T,$BD47,'[1]2026'!$S:$S,BL$3,'[1]2026'!$P:$P,$AU47)</f>
        <v>0</v>
      </c>
      <c r="BM47" s="10">
        <f>SUMIFS('[1]2026'!$K:$K,'[1]2026'!$T:$T,$BD47,'[1]2026'!$S:$S,BM$3,'[1]2026'!$P:$P,$AU47)</f>
        <v>0</v>
      </c>
      <c r="BN47" s="10">
        <f>SUMIFS('[1]2026'!$K:$K,'[1]2026'!$T:$T,$BD47,'[1]2026'!$S:$S,BN$3,'[1]2026'!$P:$P,$AU47)</f>
        <v>0</v>
      </c>
      <c r="BO47" s="10">
        <f>SUMIFS('[1]2026'!$K:$K,'[1]2026'!$T:$T,$BD47,'[1]2026'!$S:$S,BO$3,'[1]2026'!$P:$P,$AU47)</f>
        <v>0</v>
      </c>
      <c r="BP47" s="6"/>
      <c r="BQ47" s="6"/>
      <c r="BR47" s="6"/>
      <c r="BS47" s="6"/>
      <c r="BT47" s="6">
        <f t="shared" si="10"/>
        <v>0</v>
      </c>
      <c r="BV47" s="6">
        <f t="shared" si="17"/>
        <v>-6500</v>
      </c>
      <c r="BW47" s="6">
        <f t="shared" si="18"/>
        <v>0</v>
      </c>
      <c r="BX47" s="6">
        <f t="shared" si="19"/>
        <v>0</v>
      </c>
      <c r="BY47" s="6">
        <f t="shared" si="20"/>
        <v>0</v>
      </c>
      <c r="BZ47" s="6">
        <f t="shared" si="21"/>
        <v>0</v>
      </c>
      <c r="CA47" s="6">
        <f t="shared" si="22"/>
        <v>0</v>
      </c>
      <c r="CB47" s="6">
        <f t="shared" si="23"/>
        <v>0</v>
      </c>
      <c r="CC47" s="6">
        <f t="shared" si="24"/>
        <v>0</v>
      </c>
      <c r="CD47" s="6">
        <f t="shared" si="25"/>
        <v>0</v>
      </c>
      <c r="CE47" s="6">
        <f t="shared" si="26"/>
        <v>0</v>
      </c>
      <c r="CF47" s="6">
        <f t="shared" si="27"/>
        <v>0</v>
      </c>
      <c r="CG47" s="6">
        <f t="shared" si="28"/>
        <v>0</v>
      </c>
      <c r="CH47" s="6">
        <f t="shared" si="31"/>
        <v>-6500</v>
      </c>
    </row>
    <row r="48" spans="1:86" hidden="1" x14ac:dyDescent="0.35">
      <c r="A48" s="3" t="s">
        <v>325</v>
      </c>
      <c r="B48" s="10">
        <v>6500</v>
      </c>
      <c r="N48" s="27">
        <f t="shared" si="5"/>
        <v>6500</v>
      </c>
      <c r="AA48" s="27">
        <f t="shared" si="6"/>
        <v>0</v>
      </c>
      <c r="AB48" s="10">
        <f t="shared" si="30"/>
        <v>6500</v>
      </c>
      <c r="AC48" s="10">
        <f t="shared" si="30"/>
        <v>0</v>
      </c>
      <c r="AD48" s="10">
        <f t="shared" si="30"/>
        <v>0</v>
      </c>
      <c r="AE48" s="10">
        <f t="shared" si="30"/>
        <v>0</v>
      </c>
      <c r="AF48" s="10">
        <f t="shared" si="30"/>
        <v>0</v>
      </c>
      <c r="AG48" s="10">
        <f t="shared" si="30"/>
        <v>0</v>
      </c>
      <c r="AH48" s="10">
        <f t="shared" si="30"/>
        <v>0</v>
      </c>
      <c r="AI48" s="10">
        <f t="shared" si="30"/>
        <v>0</v>
      </c>
      <c r="AJ48" s="10">
        <f t="shared" si="29"/>
        <v>0</v>
      </c>
      <c r="AK48" s="10">
        <f t="shared" si="29"/>
        <v>0</v>
      </c>
      <c r="AL48" s="10">
        <f t="shared" si="29"/>
        <v>0</v>
      </c>
      <c r="AM48" s="10">
        <f t="shared" si="29"/>
        <v>0</v>
      </c>
      <c r="AN48" s="27">
        <f t="shared" si="29"/>
        <v>6500</v>
      </c>
      <c r="AS48" t="str">
        <f>_xlfn.XLOOKUP(AU48,[2]GAE!HZ:HZ,[2]GAE!IA:IA)</f>
        <v>ADMIN SERVICES</v>
      </c>
      <c r="AT48" t="str">
        <f>_xlfn.XLOOKUP(AU48,[2]GAE!HZ:HZ,[2]GAE!IB:IB)</f>
        <v>GAE - Transportation</v>
      </c>
      <c r="AU48" t="s">
        <v>295</v>
      </c>
      <c r="AV48">
        <v>80123102</v>
      </c>
      <c r="AW48">
        <v>61081101</v>
      </c>
      <c r="AX48" t="str">
        <f>_xlfn.XLOOKUP(AU48,[2]GAE!HZ:HZ,[2]GAE!IF:IF)</f>
        <v>Others</v>
      </c>
      <c r="AY48" t="str">
        <f>_xlfn.XLOOKUP(AU48,[2]GAE!HZ:HZ,[2]GAE!IG:IG)</f>
        <v>Transportation &amp; Travel</v>
      </c>
      <c r="BF48" t="s">
        <v>303</v>
      </c>
      <c r="BG48" t="s">
        <v>303</v>
      </c>
      <c r="BH48" s="10">
        <f>SUMIFS('[1]2026'!$K:$K,'[1]2026'!$T:$T,BD48,'[1]2026'!$S:$S,BH$3,'[1]2026'!$P:$P,AU48)</f>
        <v>0</v>
      </c>
      <c r="BI48" s="10">
        <f>SUMIFS('[1]2026'!$K:$K,'[1]2026'!$T:$T,$BD48,'[1]2026'!$S:$S,BI$3,'[1]2026'!$P:$P,$AU48)</f>
        <v>0</v>
      </c>
      <c r="BJ48" s="10">
        <f>SUMIFS('[1]2026'!$K:$K,'[1]2026'!$T:$T,$BD48,'[1]2026'!$S:$S,BJ$3,'[1]2026'!$P:$P,$AU48)</f>
        <v>0</v>
      </c>
      <c r="BK48" s="10">
        <f>SUMIFS('[1]2026'!$K:$K,'[1]2026'!$T:$T,$BD48,'[1]2026'!$S:$S,BK$3,'[1]2026'!$P:$P,$AU48)</f>
        <v>0</v>
      </c>
      <c r="BL48" s="10">
        <f>SUMIFS('[1]2026'!$K:$K,'[1]2026'!$T:$T,$BD48,'[1]2026'!$S:$S,BL$3,'[1]2026'!$P:$P,$AU48)</f>
        <v>0</v>
      </c>
      <c r="BM48" s="10">
        <f>SUMIFS('[1]2026'!$K:$K,'[1]2026'!$T:$T,$BD48,'[1]2026'!$S:$S,BM$3,'[1]2026'!$P:$P,$AU48)</f>
        <v>0</v>
      </c>
      <c r="BN48" s="10">
        <f>SUMIFS('[1]2026'!$K:$K,'[1]2026'!$T:$T,$BD48,'[1]2026'!$S:$S,BN$3,'[1]2026'!$P:$P,$AU48)</f>
        <v>0</v>
      </c>
      <c r="BO48" s="10">
        <f>SUMIFS('[1]2026'!$K:$K,'[1]2026'!$T:$T,$BD48,'[1]2026'!$S:$S,BO$3,'[1]2026'!$P:$P,$AU48)</f>
        <v>0</v>
      </c>
      <c r="BP48" s="6"/>
      <c r="BQ48" s="6"/>
      <c r="BR48" s="6"/>
      <c r="BS48" s="6"/>
      <c r="BT48" s="6">
        <f t="shared" si="10"/>
        <v>0</v>
      </c>
      <c r="BV48" s="6">
        <f t="shared" si="17"/>
        <v>-6500</v>
      </c>
      <c r="BW48" s="6">
        <f t="shared" si="18"/>
        <v>0</v>
      </c>
      <c r="BX48" s="6">
        <f t="shared" si="19"/>
        <v>0</v>
      </c>
      <c r="BY48" s="6">
        <f t="shared" si="20"/>
        <v>0</v>
      </c>
      <c r="BZ48" s="6">
        <f t="shared" si="21"/>
        <v>0</v>
      </c>
      <c r="CA48" s="6">
        <f t="shared" si="22"/>
        <v>0</v>
      </c>
      <c r="CB48" s="6">
        <f t="shared" si="23"/>
        <v>0</v>
      </c>
      <c r="CC48" s="6">
        <f t="shared" si="24"/>
        <v>0</v>
      </c>
      <c r="CD48" s="6">
        <f t="shared" si="25"/>
        <v>0</v>
      </c>
      <c r="CE48" s="6">
        <f t="shared" si="26"/>
        <v>0</v>
      </c>
      <c r="CF48" s="6">
        <f t="shared" si="27"/>
        <v>0</v>
      </c>
      <c r="CG48" s="6">
        <f t="shared" si="28"/>
        <v>0</v>
      </c>
      <c r="CH48" s="6">
        <f t="shared" si="31"/>
        <v>-6500</v>
      </c>
    </row>
    <row r="49" spans="1:86" hidden="1" x14ac:dyDescent="0.35">
      <c r="A49" s="3" t="s">
        <v>326</v>
      </c>
      <c r="B49" s="10">
        <v>6500</v>
      </c>
      <c r="N49" s="27">
        <f t="shared" si="5"/>
        <v>6500</v>
      </c>
      <c r="AA49" s="27">
        <f t="shared" si="6"/>
        <v>0</v>
      </c>
      <c r="AB49" s="10">
        <f t="shared" si="30"/>
        <v>6500</v>
      </c>
      <c r="AC49" s="10">
        <f t="shared" si="30"/>
        <v>0</v>
      </c>
      <c r="AD49" s="10">
        <f t="shared" si="30"/>
        <v>0</v>
      </c>
      <c r="AE49" s="10">
        <f t="shared" si="30"/>
        <v>0</v>
      </c>
      <c r="AF49" s="10">
        <f t="shared" si="30"/>
        <v>0</v>
      </c>
      <c r="AG49" s="10">
        <f t="shared" si="30"/>
        <v>0</v>
      </c>
      <c r="AH49" s="10">
        <f t="shared" si="30"/>
        <v>0</v>
      </c>
      <c r="AI49" s="10">
        <f t="shared" si="30"/>
        <v>0</v>
      </c>
      <c r="AJ49" s="10">
        <f t="shared" si="29"/>
        <v>0</v>
      </c>
      <c r="AK49" s="10">
        <f t="shared" si="29"/>
        <v>0</v>
      </c>
      <c r="AL49" s="10">
        <f t="shared" si="29"/>
        <v>0</v>
      </c>
      <c r="AM49" s="10">
        <f t="shared" si="29"/>
        <v>0</v>
      </c>
      <c r="AN49" s="27">
        <f t="shared" si="29"/>
        <v>6500</v>
      </c>
      <c r="AS49" t="str">
        <f>_xlfn.XLOOKUP(AU49,[2]GAE!HZ:HZ,[2]GAE!IA:IA)</f>
        <v>ADMIN SERVICES</v>
      </c>
      <c r="AT49" t="str">
        <f>_xlfn.XLOOKUP(AU49,[2]GAE!HZ:HZ,[2]GAE!IB:IB)</f>
        <v>GAE - Transportation</v>
      </c>
      <c r="AU49" t="s">
        <v>295</v>
      </c>
      <c r="AV49">
        <v>80123102</v>
      </c>
      <c r="AW49">
        <v>61081101</v>
      </c>
      <c r="AX49" t="str">
        <f>_xlfn.XLOOKUP(AU49,[2]GAE!HZ:HZ,[2]GAE!IF:IF)</f>
        <v>Others</v>
      </c>
      <c r="AY49" t="str">
        <f>_xlfn.XLOOKUP(AU49,[2]GAE!HZ:HZ,[2]GAE!IG:IG)</f>
        <v>Transportation &amp; Travel</v>
      </c>
      <c r="BF49" t="s">
        <v>303</v>
      </c>
      <c r="BG49" t="s">
        <v>303</v>
      </c>
      <c r="BH49" s="10">
        <f>SUMIFS('[1]2026'!$K:$K,'[1]2026'!$T:$T,BD49,'[1]2026'!$S:$S,BH$3,'[1]2026'!$P:$P,AU49)</f>
        <v>0</v>
      </c>
      <c r="BI49" s="10">
        <f>SUMIFS('[1]2026'!$K:$K,'[1]2026'!$T:$T,$BD49,'[1]2026'!$S:$S,BI$3,'[1]2026'!$P:$P,$AU49)</f>
        <v>0</v>
      </c>
      <c r="BJ49" s="10">
        <f>SUMIFS('[1]2026'!$K:$K,'[1]2026'!$T:$T,$BD49,'[1]2026'!$S:$S,BJ$3,'[1]2026'!$P:$P,$AU49)</f>
        <v>0</v>
      </c>
      <c r="BK49" s="10">
        <f>SUMIFS('[1]2026'!$K:$K,'[1]2026'!$T:$T,$BD49,'[1]2026'!$S:$S,BK$3,'[1]2026'!$P:$P,$AU49)</f>
        <v>0</v>
      </c>
      <c r="BL49" s="10">
        <f>SUMIFS('[1]2026'!$K:$K,'[1]2026'!$T:$T,$BD49,'[1]2026'!$S:$S,BL$3,'[1]2026'!$P:$P,$AU49)</f>
        <v>0</v>
      </c>
      <c r="BM49" s="10">
        <f>SUMIFS('[1]2026'!$K:$K,'[1]2026'!$T:$T,$BD49,'[1]2026'!$S:$S,BM$3,'[1]2026'!$P:$P,$AU49)</f>
        <v>0</v>
      </c>
      <c r="BN49" s="10">
        <f>SUMIFS('[1]2026'!$K:$K,'[1]2026'!$T:$T,$BD49,'[1]2026'!$S:$S,BN$3,'[1]2026'!$P:$P,$AU49)</f>
        <v>0</v>
      </c>
      <c r="BO49" s="10">
        <f>SUMIFS('[1]2026'!$K:$K,'[1]2026'!$T:$T,$BD49,'[1]2026'!$S:$S,BO$3,'[1]2026'!$P:$P,$AU49)</f>
        <v>0</v>
      </c>
      <c r="BP49" s="6"/>
      <c r="BQ49" s="6"/>
      <c r="BR49" s="6"/>
      <c r="BS49" s="6"/>
      <c r="BT49" s="6">
        <f t="shared" si="10"/>
        <v>0</v>
      </c>
      <c r="BV49" s="6">
        <f t="shared" si="17"/>
        <v>-6500</v>
      </c>
      <c r="BW49" s="6">
        <f t="shared" si="18"/>
        <v>0</v>
      </c>
      <c r="BX49" s="6">
        <f t="shared" si="19"/>
        <v>0</v>
      </c>
      <c r="BY49" s="6">
        <f t="shared" si="20"/>
        <v>0</v>
      </c>
      <c r="BZ49" s="6">
        <f t="shared" si="21"/>
        <v>0</v>
      </c>
      <c r="CA49" s="6">
        <f t="shared" si="22"/>
        <v>0</v>
      </c>
      <c r="CB49" s="6">
        <f t="shared" si="23"/>
        <v>0</v>
      </c>
      <c r="CC49" s="6">
        <f t="shared" si="24"/>
        <v>0</v>
      </c>
      <c r="CD49" s="6">
        <f t="shared" si="25"/>
        <v>0</v>
      </c>
      <c r="CE49" s="6">
        <f t="shared" si="26"/>
        <v>0</v>
      </c>
      <c r="CF49" s="6">
        <f t="shared" si="27"/>
        <v>0</v>
      </c>
      <c r="CG49" s="6">
        <f t="shared" si="28"/>
        <v>0</v>
      </c>
      <c r="CH49" s="6">
        <f t="shared" si="31"/>
        <v>-6500</v>
      </c>
    </row>
    <row r="50" spans="1:86" hidden="1" x14ac:dyDescent="0.35">
      <c r="A50" s="3" t="s">
        <v>327</v>
      </c>
      <c r="B50" s="10">
        <v>6500</v>
      </c>
      <c r="N50" s="27">
        <f t="shared" si="5"/>
        <v>6500</v>
      </c>
      <c r="AA50" s="27">
        <f t="shared" si="6"/>
        <v>0</v>
      </c>
      <c r="AB50" s="10">
        <f t="shared" si="30"/>
        <v>6500</v>
      </c>
      <c r="AC50" s="10">
        <f t="shared" si="30"/>
        <v>0</v>
      </c>
      <c r="AD50" s="10">
        <f t="shared" si="30"/>
        <v>0</v>
      </c>
      <c r="AE50" s="10">
        <f t="shared" si="30"/>
        <v>0</v>
      </c>
      <c r="AF50" s="10">
        <f t="shared" si="30"/>
        <v>0</v>
      </c>
      <c r="AG50" s="10">
        <f t="shared" si="30"/>
        <v>0</v>
      </c>
      <c r="AH50" s="10">
        <f t="shared" si="30"/>
        <v>0</v>
      </c>
      <c r="AI50" s="10">
        <f t="shared" si="30"/>
        <v>0</v>
      </c>
      <c r="AJ50" s="10">
        <f t="shared" si="29"/>
        <v>0</v>
      </c>
      <c r="AK50" s="10">
        <f t="shared" si="29"/>
        <v>0</v>
      </c>
      <c r="AL50" s="10">
        <f t="shared" si="29"/>
        <v>0</v>
      </c>
      <c r="AM50" s="10">
        <f t="shared" si="29"/>
        <v>0</v>
      </c>
      <c r="AN50" s="27">
        <f t="shared" si="29"/>
        <v>6500</v>
      </c>
      <c r="AS50" t="str">
        <f>_xlfn.XLOOKUP(AU50,[2]GAE!HZ:HZ,[2]GAE!IA:IA)</f>
        <v>ADMIN SERVICES</v>
      </c>
      <c r="AT50" t="str">
        <f>_xlfn.XLOOKUP(AU50,[2]GAE!HZ:HZ,[2]GAE!IB:IB)</f>
        <v>GAE - Transportation</v>
      </c>
      <c r="AU50" t="s">
        <v>295</v>
      </c>
      <c r="AV50">
        <v>80123102</v>
      </c>
      <c r="AW50">
        <v>61081101</v>
      </c>
      <c r="AX50" t="str">
        <f>_xlfn.XLOOKUP(AU50,[2]GAE!HZ:HZ,[2]GAE!IF:IF)</f>
        <v>Others</v>
      </c>
      <c r="AY50" t="str">
        <f>_xlfn.XLOOKUP(AU50,[2]GAE!HZ:HZ,[2]GAE!IG:IG)</f>
        <v>Transportation &amp; Travel</v>
      </c>
      <c r="BF50" t="s">
        <v>303</v>
      </c>
      <c r="BG50" t="s">
        <v>303</v>
      </c>
      <c r="BH50" s="10">
        <f>SUMIFS('[1]2026'!$K:$K,'[1]2026'!$T:$T,BD50,'[1]2026'!$S:$S,BH$3,'[1]2026'!$P:$P,AU50)</f>
        <v>0</v>
      </c>
      <c r="BI50" s="10">
        <f>SUMIFS('[1]2026'!$K:$K,'[1]2026'!$T:$T,$BD50,'[1]2026'!$S:$S,BI$3,'[1]2026'!$P:$P,$AU50)</f>
        <v>0</v>
      </c>
      <c r="BJ50" s="10">
        <f>SUMIFS('[1]2026'!$K:$K,'[1]2026'!$T:$T,$BD50,'[1]2026'!$S:$S,BJ$3,'[1]2026'!$P:$P,$AU50)</f>
        <v>0</v>
      </c>
      <c r="BK50" s="10">
        <f>SUMIFS('[1]2026'!$K:$K,'[1]2026'!$T:$T,$BD50,'[1]2026'!$S:$S,BK$3,'[1]2026'!$P:$P,$AU50)</f>
        <v>0</v>
      </c>
      <c r="BL50" s="10">
        <f>SUMIFS('[1]2026'!$K:$K,'[1]2026'!$T:$T,$BD50,'[1]2026'!$S:$S,BL$3,'[1]2026'!$P:$P,$AU50)</f>
        <v>0</v>
      </c>
      <c r="BM50" s="10">
        <f>SUMIFS('[1]2026'!$K:$K,'[1]2026'!$T:$T,$BD50,'[1]2026'!$S:$S,BM$3,'[1]2026'!$P:$P,$AU50)</f>
        <v>0</v>
      </c>
      <c r="BN50" s="10">
        <f>SUMIFS('[1]2026'!$K:$K,'[1]2026'!$T:$T,$BD50,'[1]2026'!$S:$S,BN$3,'[1]2026'!$P:$P,$AU50)</f>
        <v>0</v>
      </c>
      <c r="BO50" s="10">
        <f>SUMIFS('[1]2026'!$K:$K,'[1]2026'!$T:$T,$BD50,'[1]2026'!$S:$S,BO$3,'[1]2026'!$P:$P,$AU50)</f>
        <v>0</v>
      </c>
      <c r="BP50" s="6"/>
      <c r="BQ50" s="6"/>
      <c r="BR50" s="6"/>
      <c r="BS50" s="6"/>
      <c r="BT50" s="6">
        <f t="shared" si="10"/>
        <v>0</v>
      </c>
      <c r="BV50" s="6">
        <f t="shared" si="17"/>
        <v>-6500</v>
      </c>
      <c r="BW50" s="6">
        <f t="shared" si="18"/>
        <v>0</v>
      </c>
      <c r="BX50" s="6">
        <f t="shared" si="19"/>
        <v>0</v>
      </c>
      <c r="BY50" s="6">
        <f t="shared" si="20"/>
        <v>0</v>
      </c>
      <c r="BZ50" s="6">
        <f t="shared" si="21"/>
        <v>0</v>
      </c>
      <c r="CA50" s="6">
        <f t="shared" si="22"/>
        <v>0</v>
      </c>
      <c r="CB50" s="6">
        <f t="shared" si="23"/>
        <v>0</v>
      </c>
      <c r="CC50" s="6">
        <f t="shared" si="24"/>
        <v>0</v>
      </c>
      <c r="CD50" s="6">
        <f t="shared" si="25"/>
        <v>0</v>
      </c>
      <c r="CE50" s="6">
        <f t="shared" si="26"/>
        <v>0</v>
      </c>
      <c r="CF50" s="6">
        <f t="shared" si="27"/>
        <v>0</v>
      </c>
      <c r="CG50" s="6">
        <f t="shared" si="28"/>
        <v>0</v>
      </c>
      <c r="CH50" s="6">
        <f t="shared" si="31"/>
        <v>-6500</v>
      </c>
    </row>
    <row r="51" spans="1:86" hidden="1" x14ac:dyDescent="0.35">
      <c r="A51" s="3" t="s">
        <v>328</v>
      </c>
      <c r="B51" s="10">
        <v>6500</v>
      </c>
      <c r="N51" s="27">
        <f t="shared" si="5"/>
        <v>6500</v>
      </c>
      <c r="AA51" s="27">
        <f t="shared" si="6"/>
        <v>0</v>
      </c>
      <c r="AB51" s="10">
        <f t="shared" si="30"/>
        <v>6500</v>
      </c>
      <c r="AC51" s="10">
        <f t="shared" si="30"/>
        <v>0</v>
      </c>
      <c r="AD51" s="10">
        <f t="shared" si="30"/>
        <v>0</v>
      </c>
      <c r="AE51" s="10">
        <f t="shared" si="30"/>
        <v>0</v>
      </c>
      <c r="AF51" s="10">
        <f t="shared" si="30"/>
        <v>0</v>
      </c>
      <c r="AG51" s="10">
        <f t="shared" si="30"/>
        <v>0</v>
      </c>
      <c r="AH51" s="10">
        <f t="shared" si="30"/>
        <v>0</v>
      </c>
      <c r="AI51" s="10">
        <f t="shared" si="30"/>
        <v>0</v>
      </c>
      <c r="AJ51" s="10">
        <f t="shared" si="29"/>
        <v>0</v>
      </c>
      <c r="AK51" s="10">
        <f t="shared" si="29"/>
        <v>0</v>
      </c>
      <c r="AL51" s="10">
        <f t="shared" si="29"/>
        <v>0</v>
      </c>
      <c r="AM51" s="10">
        <f t="shared" si="29"/>
        <v>0</v>
      </c>
      <c r="AN51" s="27">
        <f t="shared" si="29"/>
        <v>6500</v>
      </c>
      <c r="AS51" t="str">
        <f>_xlfn.XLOOKUP(AU51,[2]GAE!HZ:HZ,[2]GAE!IA:IA)</f>
        <v>ADMIN SERVICES</v>
      </c>
      <c r="AT51" t="str">
        <f>_xlfn.XLOOKUP(AU51,[2]GAE!HZ:HZ,[2]GAE!IB:IB)</f>
        <v>GAE - Transportation</v>
      </c>
      <c r="AU51" t="s">
        <v>295</v>
      </c>
      <c r="AV51">
        <v>80123102</v>
      </c>
      <c r="AW51">
        <v>61081101</v>
      </c>
      <c r="AX51" t="str">
        <f>_xlfn.XLOOKUP(AU51,[2]GAE!HZ:HZ,[2]GAE!IF:IF)</f>
        <v>Others</v>
      </c>
      <c r="AY51" t="str">
        <f>_xlfn.XLOOKUP(AU51,[2]GAE!HZ:HZ,[2]GAE!IG:IG)</f>
        <v>Transportation &amp; Travel</v>
      </c>
      <c r="BF51" t="s">
        <v>303</v>
      </c>
      <c r="BG51" t="s">
        <v>303</v>
      </c>
      <c r="BH51" s="10">
        <f>SUMIFS('[1]2026'!$K:$K,'[1]2026'!$T:$T,BD51,'[1]2026'!$S:$S,BH$3,'[1]2026'!$P:$P,AU51)</f>
        <v>0</v>
      </c>
      <c r="BI51" s="10">
        <f>SUMIFS('[1]2026'!$K:$K,'[1]2026'!$T:$T,$BD51,'[1]2026'!$S:$S,BI$3,'[1]2026'!$P:$P,$AU51)</f>
        <v>0</v>
      </c>
      <c r="BJ51" s="10">
        <f>SUMIFS('[1]2026'!$K:$K,'[1]2026'!$T:$T,$BD51,'[1]2026'!$S:$S,BJ$3,'[1]2026'!$P:$P,$AU51)</f>
        <v>0</v>
      </c>
      <c r="BK51" s="10">
        <f>SUMIFS('[1]2026'!$K:$K,'[1]2026'!$T:$T,$BD51,'[1]2026'!$S:$S,BK$3,'[1]2026'!$P:$P,$AU51)</f>
        <v>0</v>
      </c>
      <c r="BL51" s="10">
        <f>SUMIFS('[1]2026'!$K:$K,'[1]2026'!$T:$T,$BD51,'[1]2026'!$S:$S,BL$3,'[1]2026'!$P:$P,$AU51)</f>
        <v>0</v>
      </c>
      <c r="BM51" s="10">
        <f>SUMIFS('[1]2026'!$K:$K,'[1]2026'!$T:$T,$BD51,'[1]2026'!$S:$S,BM$3,'[1]2026'!$P:$P,$AU51)</f>
        <v>0</v>
      </c>
      <c r="BN51" s="10">
        <f>SUMIFS('[1]2026'!$K:$K,'[1]2026'!$T:$T,$BD51,'[1]2026'!$S:$S,BN$3,'[1]2026'!$P:$P,$AU51)</f>
        <v>0</v>
      </c>
      <c r="BO51" s="10">
        <f>SUMIFS('[1]2026'!$K:$K,'[1]2026'!$T:$T,$BD51,'[1]2026'!$S:$S,BO$3,'[1]2026'!$P:$P,$AU51)</f>
        <v>0</v>
      </c>
      <c r="BP51" s="6"/>
      <c r="BQ51" s="6"/>
      <c r="BR51" s="6"/>
      <c r="BS51" s="6"/>
      <c r="BT51" s="6">
        <f t="shared" si="10"/>
        <v>0</v>
      </c>
      <c r="BV51" s="6">
        <f t="shared" si="17"/>
        <v>-6500</v>
      </c>
      <c r="BW51" s="6">
        <f t="shared" si="18"/>
        <v>0</v>
      </c>
      <c r="BX51" s="6">
        <f t="shared" si="19"/>
        <v>0</v>
      </c>
      <c r="BY51" s="6">
        <f t="shared" si="20"/>
        <v>0</v>
      </c>
      <c r="BZ51" s="6">
        <f t="shared" si="21"/>
        <v>0</v>
      </c>
      <c r="CA51" s="6">
        <f t="shared" si="22"/>
        <v>0</v>
      </c>
      <c r="CB51" s="6">
        <f t="shared" si="23"/>
        <v>0</v>
      </c>
      <c r="CC51" s="6">
        <f t="shared" si="24"/>
        <v>0</v>
      </c>
      <c r="CD51" s="6">
        <f t="shared" si="25"/>
        <v>0</v>
      </c>
      <c r="CE51" s="6">
        <f t="shared" si="26"/>
        <v>0</v>
      </c>
      <c r="CF51" s="6">
        <f t="shared" si="27"/>
        <v>0</v>
      </c>
      <c r="CG51" s="6">
        <f t="shared" si="28"/>
        <v>0</v>
      </c>
      <c r="CH51" s="6">
        <f t="shared" si="31"/>
        <v>-6500</v>
      </c>
    </row>
    <row r="52" spans="1:86" hidden="1" x14ac:dyDescent="0.35">
      <c r="A52" s="3" t="s">
        <v>329</v>
      </c>
      <c r="B52" s="10">
        <v>6500</v>
      </c>
      <c r="N52" s="27">
        <f t="shared" si="5"/>
        <v>6500</v>
      </c>
      <c r="AA52" s="27">
        <f t="shared" si="6"/>
        <v>0</v>
      </c>
      <c r="AB52" s="10">
        <f t="shared" si="30"/>
        <v>6500</v>
      </c>
      <c r="AC52" s="10">
        <f t="shared" si="30"/>
        <v>0</v>
      </c>
      <c r="AD52" s="10">
        <f t="shared" si="30"/>
        <v>0</v>
      </c>
      <c r="AE52" s="10">
        <f t="shared" si="30"/>
        <v>0</v>
      </c>
      <c r="AF52" s="10">
        <f t="shared" si="30"/>
        <v>0</v>
      </c>
      <c r="AG52" s="10">
        <f t="shared" si="30"/>
        <v>0</v>
      </c>
      <c r="AH52" s="10">
        <f t="shared" si="30"/>
        <v>0</v>
      </c>
      <c r="AI52" s="10">
        <f t="shared" si="30"/>
        <v>0</v>
      </c>
      <c r="AJ52" s="10">
        <f t="shared" si="29"/>
        <v>0</v>
      </c>
      <c r="AK52" s="10">
        <f t="shared" si="29"/>
        <v>0</v>
      </c>
      <c r="AL52" s="10">
        <f t="shared" si="29"/>
        <v>0</v>
      </c>
      <c r="AM52" s="10">
        <f t="shared" si="29"/>
        <v>0</v>
      </c>
      <c r="AN52" s="27">
        <f t="shared" si="29"/>
        <v>6500</v>
      </c>
      <c r="AS52" t="str">
        <f>_xlfn.XLOOKUP(AU52,[2]GAE!HZ:HZ,[2]GAE!IA:IA)</f>
        <v>ADMIN SERVICES</v>
      </c>
      <c r="AT52" t="str">
        <f>_xlfn.XLOOKUP(AU52,[2]GAE!HZ:HZ,[2]GAE!IB:IB)</f>
        <v>GAE - Transportation</v>
      </c>
      <c r="AU52" t="s">
        <v>295</v>
      </c>
      <c r="AV52">
        <v>80123102</v>
      </c>
      <c r="AW52">
        <v>61081101</v>
      </c>
      <c r="AX52" t="str">
        <f>_xlfn.XLOOKUP(AU52,[2]GAE!HZ:HZ,[2]GAE!IF:IF)</f>
        <v>Others</v>
      </c>
      <c r="AY52" t="str">
        <f>_xlfn.XLOOKUP(AU52,[2]GAE!HZ:HZ,[2]GAE!IG:IG)</f>
        <v>Transportation &amp; Travel</v>
      </c>
      <c r="BF52" t="s">
        <v>303</v>
      </c>
      <c r="BG52" t="s">
        <v>303</v>
      </c>
      <c r="BH52" s="10">
        <f>SUMIFS('[1]2026'!$K:$K,'[1]2026'!$T:$T,BD52,'[1]2026'!$S:$S,BH$3,'[1]2026'!$P:$P,AU52)</f>
        <v>0</v>
      </c>
      <c r="BI52" s="10">
        <f>SUMIFS('[1]2026'!$K:$K,'[1]2026'!$T:$T,$BD52,'[1]2026'!$S:$S,BI$3,'[1]2026'!$P:$P,$AU52)</f>
        <v>0</v>
      </c>
      <c r="BJ52" s="10">
        <f>SUMIFS('[1]2026'!$K:$K,'[1]2026'!$T:$T,$BD52,'[1]2026'!$S:$S,BJ$3,'[1]2026'!$P:$P,$AU52)</f>
        <v>0</v>
      </c>
      <c r="BK52" s="10">
        <f>SUMIFS('[1]2026'!$K:$K,'[1]2026'!$T:$T,$BD52,'[1]2026'!$S:$S,BK$3,'[1]2026'!$P:$P,$AU52)</f>
        <v>0</v>
      </c>
      <c r="BL52" s="10">
        <f>SUMIFS('[1]2026'!$K:$K,'[1]2026'!$T:$T,$BD52,'[1]2026'!$S:$S,BL$3,'[1]2026'!$P:$P,$AU52)</f>
        <v>0</v>
      </c>
      <c r="BM52" s="10">
        <f>SUMIFS('[1]2026'!$K:$K,'[1]2026'!$T:$T,$BD52,'[1]2026'!$S:$S,BM$3,'[1]2026'!$P:$P,$AU52)</f>
        <v>0</v>
      </c>
      <c r="BN52" s="10">
        <f>SUMIFS('[1]2026'!$K:$K,'[1]2026'!$T:$T,$BD52,'[1]2026'!$S:$S,BN$3,'[1]2026'!$P:$P,$AU52)</f>
        <v>0</v>
      </c>
      <c r="BO52" s="10">
        <f>SUMIFS('[1]2026'!$K:$K,'[1]2026'!$T:$T,$BD52,'[1]2026'!$S:$S,BO$3,'[1]2026'!$P:$P,$AU52)</f>
        <v>0</v>
      </c>
      <c r="BP52" s="6"/>
      <c r="BQ52" s="6"/>
      <c r="BR52" s="6"/>
      <c r="BS52" s="6"/>
      <c r="BT52" s="6">
        <f t="shared" si="10"/>
        <v>0</v>
      </c>
      <c r="BV52" s="6">
        <f t="shared" si="17"/>
        <v>-6500</v>
      </c>
      <c r="BW52" s="6">
        <f t="shared" si="18"/>
        <v>0</v>
      </c>
      <c r="BX52" s="6">
        <f t="shared" si="19"/>
        <v>0</v>
      </c>
      <c r="BY52" s="6">
        <f t="shared" si="20"/>
        <v>0</v>
      </c>
      <c r="BZ52" s="6">
        <f t="shared" si="21"/>
        <v>0</v>
      </c>
      <c r="CA52" s="6">
        <f t="shared" si="22"/>
        <v>0</v>
      </c>
      <c r="CB52" s="6">
        <f t="shared" si="23"/>
        <v>0</v>
      </c>
      <c r="CC52" s="6">
        <f t="shared" si="24"/>
        <v>0</v>
      </c>
      <c r="CD52" s="6">
        <f t="shared" si="25"/>
        <v>0</v>
      </c>
      <c r="CE52" s="6">
        <f t="shared" si="26"/>
        <v>0</v>
      </c>
      <c r="CF52" s="6">
        <f t="shared" si="27"/>
        <v>0</v>
      </c>
      <c r="CG52" s="6">
        <f t="shared" si="28"/>
        <v>0</v>
      </c>
      <c r="CH52" s="6">
        <f t="shared" si="31"/>
        <v>-6500</v>
      </c>
    </row>
    <row r="53" spans="1:86" hidden="1" x14ac:dyDescent="0.35">
      <c r="A53" s="3" t="s">
        <v>330</v>
      </c>
      <c r="B53" s="10">
        <v>6500</v>
      </c>
      <c r="N53" s="27">
        <f t="shared" si="5"/>
        <v>6500</v>
      </c>
      <c r="AA53" s="27">
        <f t="shared" si="6"/>
        <v>0</v>
      </c>
      <c r="AB53" s="10">
        <f t="shared" si="30"/>
        <v>6500</v>
      </c>
      <c r="AC53" s="10">
        <f t="shared" si="30"/>
        <v>0</v>
      </c>
      <c r="AD53" s="10">
        <f t="shared" si="30"/>
        <v>0</v>
      </c>
      <c r="AE53" s="10">
        <f t="shared" si="30"/>
        <v>0</v>
      </c>
      <c r="AF53" s="10">
        <f t="shared" si="30"/>
        <v>0</v>
      </c>
      <c r="AG53" s="10">
        <f t="shared" si="30"/>
        <v>0</v>
      </c>
      <c r="AH53" s="10">
        <f t="shared" si="30"/>
        <v>0</v>
      </c>
      <c r="AI53" s="10">
        <f t="shared" si="30"/>
        <v>0</v>
      </c>
      <c r="AJ53" s="10">
        <f t="shared" si="29"/>
        <v>0</v>
      </c>
      <c r="AK53" s="10">
        <f t="shared" si="29"/>
        <v>0</v>
      </c>
      <c r="AL53" s="10">
        <f t="shared" si="29"/>
        <v>0</v>
      </c>
      <c r="AM53" s="10">
        <f t="shared" si="29"/>
        <v>0</v>
      </c>
      <c r="AN53" s="27">
        <f t="shared" si="29"/>
        <v>6500</v>
      </c>
      <c r="AS53" t="str">
        <f>_xlfn.XLOOKUP(AU53,[2]GAE!HZ:HZ,[2]GAE!IA:IA)</f>
        <v>ADMIN SERVICES</v>
      </c>
      <c r="AT53" t="str">
        <f>_xlfn.XLOOKUP(AU53,[2]GAE!HZ:HZ,[2]GAE!IB:IB)</f>
        <v>GAE - Transportation</v>
      </c>
      <c r="AU53" t="s">
        <v>295</v>
      </c>
      <c r="AV53">
        <v>80123102</v>
      </c>
      <c r="AW53">
        <v>61081101</v>
      </c>
      <c r="AX53" t="str">
        <f>_xlfn.XLOOKUP(AU53,[2]GAE!HZ:HZ,[2]GAE!IF:IF)</f>
        <v>Others</v>
      </c>
      <c r="AY53" t="str">
        <f>_xlfn.XLOOKUP(AU53,[2]GAE!HZ:HZ,[2]GAE!IG:IG)</f>
        <v>Transportation &amp; Travel</v>
      </c>
      <c r="BF53" t="s">
        <v>303</v>
      </c>
      <c r="BG53" t="s">
        <v>303</v>
      </c>
      <c r="BH53" s="10">
        <f>SUMIFS('[1]2026'!$K:$K,'[1]2026'!$T:$T,BD53,'[1]2026'!$S:$S,BH$3,'[1]2026'!$P:$P,AU53)</f>
        <v>0</v>
      </c>
      <c r="BI53" s="10">
        <f>SUMIFS('[1]2026'!$K:$K,'[1]2026'!$T:$T,$BD53,'[1]2026'!$S:$S,BI$3,'[1]2026'!$P:$P,$AU53)</f>
        <v>0</v>
      </c>
      <c r="BJ53" s="10">
        <f>SUMIFS('[1]2026'!$K:$K,'[1]2026'!$T:$T,$BD53,'[1]2026'!$S:$S,BJ$3,'[1]2026'!$P:$P,$AU53)</f>
        <v>0</v>
      </c>
      <c r="BK53" s="10">
        <f>SUMIFS('[1]2026'!$K:$K,'[1]2026'!$T:$T,$BD53,'[1]2026'!$S:$S,BK$3,'[1]2026'!$P:$P,$AU53)</f>
        <v>0</v>
      </c>
      <c r="BL53" s="10">
        <f>SUMIFS('[1]2026'!$K:$K,'[1]2026'!$T:$T,$BD53,'[1]2026'!$S:$S,BL$3,'[1]2026'!$P:$P,$AU53)</f>
        <v>0</v>
      </c>
      <c r="BM53" s="10">
        <f>SUMIFS('[1]2026'!$K:$K,'[1]2026'!$T:$T,$BD53,'[1]2026'!$S:$S,BM$3,'[1]2026'!$P:$P,$AU53)</f>
        <v>0</v>
      </c>
      <c r="BN53" s="10">
        <f>SUMIFS('[1]2026'!$K:$K,'[1]2026'!$T:$T,$BD53,'[1]2026'!$S:$S,BN$3,'[1]2026'!$P:$P,$AU53)</f>
        <v>0</v>
      </c>
      <c r="BO53" s="10">
        <f>SUMIFS('[1]2026'!$K:$K,'[1]2026'!$T:$T,$BD53,'[1]2026'!$S:$S,BO$3,'[1]2026'!$P:$P,$AU53)</f>
        <v>0</v>
      </c>
      <c r="BP53" s="6"/>
      <c r="BQ53" s="6"/>
      <c r="BR53" s="6"/>
      <c r="BS53" s="6"/>
      <c r="BT53" s="6">
        <f t="shared" si="10"/>
        <v>0</v>
      </c>
      <c r="BV53" s="6">
        <f t="shared" si="17"/>
        <v>-6500</v>
      </c>
      <c r="BW53" s="6">
        <f t="shared" si="18"/>
        <v>0</v>
      </c>
      <c r="BX53" s="6">
        <f t="shared" si="19"/>
        <v>0</v>
      </c>
      <c r="BY53" s="6">
        <f t="shared" si="20"/>
        <v>0</v>
      </c>
      <c r="BZ53" s="6">
        <f t="shared" si="21"/>
        <v>0</v>
      </c>
      <c r="CA53" s="6">
        <f t="shared" si="22"/>
        <v>0</v>
      </c>
      <c r="CB53" s="6">
        <f t="shared" si="23"/>
        <v>0</v>
      </c>
      <c r="CC53" s="6">
        <f t="shared" si="24"/>
        <v>0</v>
      </c>
      <c r="CD53" s="6">
        <f t="shared" si="25"/>
        <v>0</v>
      </c>
      <c r="CE53" s="6">
        <f t="shared" si="26"/>
        <v>0</v>
      </c>
      <c r="CF53" s="6">
        <f t="shared" si="27"/>
        <v>0</v>
      </c>
      <c r="CG53" s="6">
        <f t="shared" si="28"/>
        <v>0</v>
      </c>
      <c r="CH53" s="6">
        <f t="shared" si="31"/>
        <v>-6500</v>
      </c>
    </row>
    <row r="54" spans="1:86" hidden="1" x14ac:dyDescent="0.35">
      <c r="A54" s="3" t="s">
        <v>331</v>
      </c>
      <c r="B54" s="10">
        <v>6500</v>
      </c>
      <c r="N54" s="27">
        <f t="shared" si="5"/>
        <v>6500</v>
      </c>
      <c r="AA54" s="27">
        <f t="shared" si="6"/>
        <v>0</v>
      </c>
      <c r="AB54" s="10">
        <f t="shared" si="30"/>
        <v>6500</v>
      </c>
      <c r="AC54" s="10">
        <f t="shared" si="30"/>
        <v>0</v>
      </c>
      <c r="AD54" s="10">
        <f t="shared" si="30"/>
        <v>0</v>
      </c>
      <c r="AE54" s="10">
        <f t="shared" si="30"/>
        <v>0</v>
      </c>
      <c r="AF54" s="10">
        <f t="shared" si="30"/>
        <v>0</v>
      </c>
      <c r="AG54" s="10">
        <f t="shared" si="30"/>
        <v>0</v>
      </c>
      <c r="AH54" s="10">
        <f t="shared" si="30"/>
        <v>0</v>
      </c>
      <c r="AI54" s="10">
        <f t="shared" si="30"/>
        <v>0</v>
      </c>
      <c r="AJ54" s="10">
        <f t="shared" si="29"/>
        <v>0</v>
      </c>
      <c r="AK54" s="10">
        <f t="shared" si="29"/>
        <v>0</v>
      </c>
      <c r="AL54" s="10">
        <f t="shared" si="29"/>
        <v>0</v>
      </c>
      <c r="AM54" s="10">
        <f t="shared" si="29"/>
        <v>0</v>
      </c>
      <c r="AN54" s="27">
        <f t="shared" si="29"/>
        <v>6500</v>
      </c>
      <c r="AS54" t="str">
        <f>_xlfn.XLOOKUP(AU54,[2]GAE!HZ:HZ,[2]GAE!IA:IA)</f>
        <v>ADMIN SERVICES</v>
      </c>
      <c r="AT54" t="str">
        <f>_xlfn.XLOOKUP(AU54,[2]GAE!HZ:HZ,[2]GAE!IB:IB)</f>
        <v>GAE - Transportation</v>
      </c>
      <c r="AU54" t="s">
        <v>295</v>
      </c>
      <c r="AV54">
        <v>80123102</v>
      </c>
      <c r="AW54">
        <v>61081101</v>
      </c>
      <c r="AX54" t="str">
        <f>_xlfn.XLOOKUP(AU54,[2]GAE!HZ:HZ,[2]GAE!IF:IF)</f>
        <v>Others</v>
      </c>
      <c r="AY54" t="str">
        <f>_xlfn.XLOOKUP(AU54,[2]GAE!HZ:HZ,[2]GAE!IG:IG)</f>
        <v>Transportation &amp; Travel</v>
      </c>
      <c r="BF54" t="s">
        <v>303</v>
      </c>
      <c r="BG54" t="s">
        <v>303</v>
      </c>
      <c r="BH54" s="10">
        <f>SUMIFS('[1]2026'!$K:$K,'[1]2026'!$T:$T,BD54,'[1]2026'!$S:$S,BH$3,'[1]2026'!$P:$P,AU54)</f>
        <v>0</v>
      </c>
      <c r="BI54" s="10">
        <f>SUMIFS('[1]2026'!$K:$K,'[1]2026'!$T:$T,$BD54,'[1]2026'!$S:$S,BI$3,'[1]2026'!$P:$P,$AU54)</f>
        <v>0</v>
      </c>
      <c r="BJ54" s="10">
        <f>SUMIFS('[1]2026'!$K:$K,'[1]2026'!$T:$T,$BD54,'[1]2026'!$S:$S,BJ$3,'[1]2026'!$P:$P,$AU54)</f>
        <v>0</v>
      </c>
      <c r="BK54" s="10">
        <f>SUMIFS('[1]2026'!$K:$K,'[1]2026'!$T:$T,$BD54,'[1]2026'!$S:$S,BK$3,'[1]2026'!$P:$P,$AU54)</f>
        <v>0</v>
      </c>
      <c r="BL54" s="10">
        <f>SUMIFS('[1]2026'!$K:$K,'[1]2026'!$T:$T,$BD54,'[1]2026'!$S:$S,BL$3,'[1]2026'!$P:$P,$AU54)</f>
        <v>0</v>
      </c>
      <c r="BM54" s="10">
        <f>SUMIFS('[1]2026'!$K:$K,'[1]2026'!$T:$T,$BD54,'[1]2026'!$S:$S,BM$3,'[1]2026'!$P:$P,$AU54)</f>
        <v>0</v>
      </c>
      <c r="BN54" s="10">
        <f>SUMIFS('[1]2026'!$K:$K,'[1]2026'!$T:$T,$BD54,'[1]2026'!$S:$S,BN$3,'[1]2026'!$P:$P,$AU54)</f>
        <v>0</v>
      </c>
      <c r="BO54" s="10">
        <f>SUMIFS('[1]2026'!$K:$K,'[1]2026'!$T:$T,$BD54,'[1]2026'!$S:$S,BO$3,'[1]2026'!$P:$P,$AU54)</f>
        <v>0</v>
      </c>
      <c r="BP54" s="6"/>
      <c r="BQ54" s="6"/>
      <c r="BR54" s="6"/>
      <c r="BS54" s="6"/>
      <c r="BT54" s="6">
        <f t="shared" si="10"/>
        <v>0</v>
      </c>
      <c r="BV54" s="6">
        <f t="shared" si="17"/>
        <v>-6500</v>
      </c>
      <c r="BW54" s="6">
        <f t="shared" si="18"/>
        <v>0</v>
      </c>
      <c r="BX54" s="6">
        <f t="shared" si="19"/>
        <v>0</v>
      </c>
      <c r="BY54" s="6">
        <f t="shared" si="20"/>
        <v>0</v>
      </c>
      <c r="BZ54" s="6">
        <f t="shared" si="21"/>
        <v>0</v>
      </c>
      <c r="CA54" s="6">
        <f t="shared" si="22"/>
        <v>0</v>
      </c>
      <c r="CB54" s="6">
        <f t="shared" si="23"/>
        <v>0</v>
      </c>
      <c r="CC54" s="6">
        <f t="shared" si="24"/>
        <v>0</v>
      </c>
      <c r="CD54" s="6">
        <f t="shared" si="25"/>
        <v>0</v>
      </c>
      <c r="CE54" s="6">
        <f t="shared" si="26"/>
        <v>0</v>
      </c>
      <c r="CF54" s="6">
        <f t="shared" si="27"/>
        <v>0</v>
      </c>
      <c r="CG54" s="6">
        <f t="shared" si="28"/>
        <v>0</v>
      </c>
      <c r="CH54" s="6">
        <f t="shared" si="31"/>
        <v>-6500</v>
      </c>
    </row>
    <row r="55" spans="1:86" hidden="1" x14ac:dyDescent="0.35">
      <c r="A55" s="3" t="s">
        <v>332</v>
      </c>
      <c r="B55" s="10">
        <v>6500</v>
      </c>
      <c r="N55" s="27">
        <f t="shared" si="5"/>
        <v>6500</v>
      </c>
      <c r="AA55" s="27">
        <f t="shared" si="6"/>
        <v>0</v>
      </c>
      <c r="AB55" s="10">
        <f t="shared" si="30"/>
        <v>6500</v>
      </c>
      <c r="AC55" s="10">
        <f t="shared" si="30"/>
        <v>0</v>
      </c>
      <c r="AD55" s="10">
        <f t="shared" si="30"/>
        <v>0</v>
      </c>
      <c r="AE55" s="10">
        <f t="shared" si="30"/>
        <v>0</v>
      </c>
      <c r="AF55" s="10">
        <f t="shared" si="30"/>
        <v>0</v>
      </c>
      <c r="AG55" s="10">
        <f t="shared" si="30"/>
        <v>0</v>
      </c>
      <c r="AH55" s="10">
        <f t="shared" si="30"/>
        <v>0</v>
      </c>
      <c r="AI55" s="10">
        <f t="shared" si="30"/>
        <v>0</v>
      </c>
      <c r="AJ55" s="10">
        <f t="shared" si="29"/>
        <v>0</v>
      </c>
      <c r="AK55" s="10">
        <f t="shared" si="29"/>
        <v>0</v>
      </c>
      <c r="AL55" s="10">
        <f t="shared" si="29"/>
        <v>0</v>
      </c>
      <c r="AM55" s="10">
        <f t="shared" si="29"/>
        <v>0</v>
      </c>
      <c r="AN55" s="27">
        <f t="shared" si="29"/>
        <v>6500</v>
      </c>
      <c r="AS55" t="str">
        <f>_xlfn.XLOOKUP(AU55,[2]GAE!HZ:HZ,[2]GAE!IA:IA)</f>
        <v>ADMIN SERVICES</v>
      </c>
      <c r="AT55" t="str">
        <f>_xlfn.XLOOKUP(AU55,[2]GAE!HZ:HZ,[2]GAE!IB:IB)</f>
        <v>GAE - Transportation</v>
      </c>
      <c r="AU55" t="s">
        <v>295</v>
      </c>
      <c r="AV55">
        <v>80123102</v>
      </c>
      <c r="AW55">
        <v>61081101</v>
      </c>
      <c r="AX55" t="str">
        <f>_xlfn.XLOOKUP(AU55,[2]GAE!HZ:HZ,[2]GAE!IF:IF)</f>
        <v>Others</v>
      </c>
      <c r="AY55" t="str">
        <f>_xlfn.XLOOKUP(AU55,[2]GAE!HZ:HZ,[2]GAE!IG:IG)</f>
        <v>Transportation &amp; Travel</v>
      </c>
      <c r="BF55" t="s">
        <v>303</v>
      </c>
      <c r="BG55" t="s">
        <v>303</v>
      </c>
      <c r="BH55" s="10">
        <f>SUMIFS('[1]2026'!$K:$K,'[1]2026'!$T:$T,BD55,'[1]2026'!$S:$S,BH$3,'[1]2026'!$P:$P,AU55)</f>
        <v>0</v>
      </c>
      <c r="BI55" s="10">
        <f>SUMIFS('[1]2026'!$K:$K,'[1]2026'!$T:$T,$BD55,'[1]2026'!$S:$S,BI$3,'[1]2026'!$P:$P,$AU55)</f>
        <v>0</v>
      </c>
      <c r="BJ55" s="10">
        <f>SUMIFS('[1]2026'!$K:$K,'[1]2026'!$T:$T,$BD55,'[1]2026'!$S:$S,BJ$3,'[1]2026'!$P:$P,$AU55)</f>
        <v>0</v>
      </c>
      <c r="BK55" s="10">
        <f>SUMIFS('[1]2026'!$K:$K,'[1]2026'!$T:$T,$BD55,'[1]2026'!$S:$S,BK$3,'[1]2026'!$P:$P,$AU55)</f>
        <v>0</v>
      </c>
      <c r="BL55" s="10">
        <f>SUMIFS('[1]2026'!$K:$K,'[1]2026'!$T:$T,$BD55,'[1]2026'!$S:$S,BL$3,'[1]2026'!$P:$P,$AU55)</f>
        <v>0</v>
      </c>
      <c r="BM55" s="10">
        <f>SUMIFS('[1]2026'!$K:$K,'[1]2026'!$T:$T,$BD55,'[1]2026'!$S:$S,BM$3,'[1]2026'!$P:$P,$AU55)</f>
        <v>0</v>
      </c>
      <c r="BN55" s="10">
        <f>SUMIFS('[1]2026'!$K:$K,'[1]2026'!$T:$T,$BD55,'[1]2026'!$S:$S,BN$3,'[1]2026'!$P:$P,$AU55)</f>
        <v>0</v>
      </c>
      <c r="BO55" s="10">
        <f>SUMIFS('[1]2026'!$K:$K,'[1]2026'!$T:$T,$BD55,'[1]2026'!$S:$S,BO$3,'[1]2026'!$P:$P,$AU55)</f>
        <v>0</v>
      </c>
      <c r="BP55" s="6"/>
      <c r="BQ55" s="6"/>
      <c r="BR55" s="6"/>
      <c r="BS55" s="6"/>
      <c r="BT55" s="6">
        <f t="shared" si="10"/>
        <v>0</v>
      </c>
      <c r="BV55" s="6">
        <f t="shared" si="17"/>
        <v>-6500</v>
      </c>
      <c r="BW55" s="6">
        <f t="shared" si="18"/>
        <v>0</v>
      </c>
      <c r="BX55" s="6">
        <f t="shared" si="19"/>
        <v>0</v>
      </c>
      <c r="BY55" s="6">
        <f t="shared" si="20"/>
        <v>0</v>
      </c>
      <c r="BZ55" s="6">
        <f t="shared" si="21"/>
        <v>0</v>
      </c>
      <c r="CA55" s="6">
        <f t="shared" si="22"/>
        <v>0</v>
      </c>
      <c r="CB55" s="6">
        <f t="shared" si="23"/>
        <v>0</v>
      </c>
      <c r="CC55" s="6">
        <f t="shared" si="24"/>
        <v>0</v>
      </c>
      <c r="CD55" s="6">
        <f t="shared" si="25"/>
        <v>0</v>
      </c>
      <c r="CE55" s="6">
        <f t="shared" si="26"/>
        <v>0</v>
      </c>
      <c r="CF55" s="6">
        <f t="shared" si="27"/>
        <v>0</v>
      </c>
      <c r="CG55" s="6">
        <f t="shared" si="28"/>
        <v>0</v>
      </c>
      <c r="CH55" s="6">
        <f t="shared" si="31"/>
        <v>-6500</v>
      </c>
    </row>
    <row r="56" spans="1:86" hidden="1" x14ac:dyDescent="0.35">
      <c r="A56" s="3" t="s">
        <v>333</v>
      </c>
      <c r="B56" s="10">
        <v>6500</v>
      </c>
      <c r="N56" s="27">
        <f t="shared" si="5"/>
        <v>6500</v>
      </c>
      <c r="AA56" s="27">
        <f t="shared" si="6"/>
        <v>0</v>
      </c>
      <c r="AB56" s="10">
        <f t="shared" si="30"/>
        <v>6500</v>
      </c>
      <c r="AC56" s="10">
        <f t="shared" si="30"/>
        <v>0</v>
      </c>
      <c r="AD56" s="10">
        <f t="shared" si="30"/>
        <v>0</v>
      </c>
      <c r="AE56" s="10">
        <f t="shared" si="30"/>
        <v>0</v>
      </c>
      <c r="AF56" s="10">
        <f t="shared" si="30"/>
        <v>0</v>
      </c>
      <c r="AG56" s="10">
        <f t="shared" si="30"/>
        <v>0</v>
      </c>
      <c r="AH56" s="10">
        <f t="shared" si="30"/>
        <v>0</v>
      </c>
      <c r="AI56" s="10">
        <f t="shared" si="30"/>
        <v>0</v>
      </c>
      <c r="AJ56" s="10">
        <f t="shared" si="29"/>
        <v>0</v>
      </c>
      <c r="AK56" s="10">
        <f t="shared" si="29"/>
        <v>0</v>
      </c>
      <c r="AL56" s="10">
        <f t="shared" si="29"/>
        <v>0</v>
      </c>
      <c r="AM56" s="10">
        <f t="shared" si="29"/>
        <v>0</v>
      </c>
      <c r="AN56" s="27">
        <f t="shared" si="29"/>
        <v>6500</v>
      </c>
      <c r="AS56" t="str">
        <f>_xlfn.XLOOKUP(AU56,[2]GAE!HZ:HZ,[2]GAE!IA:IA)</f>
        <v>ADMIN SERVICES</v>
      </c>
      <c r="AT56" t="str">
        <f>_xlfn.XLOOKUP(AU56,[2]GAE!HZ:HZ,[2]GAE!IB:IB)</f>
        <v>GAE - Transportation</v>
      </c>
      <c r="AU56" t="s">
        <v>295</v>
      </c>
      <c r="AV56">
        <v>80123102</v>
      </c>
      <c r="AW56">
        <v>61081101</v>
      </c>
      <c r="AX56" t="str">
        <f>_xlfn.XLOOKUP(AU56,[2]GAE!HZ:HZ,[2]GAE!IF:IF)</f>
        <v>Others</v>
      </c>
      <c r="AY56" t="str">
        <f>_xlfn.XLOOKUP(AU56,[2]GAE!HZ:HZ,[2]GAE!IG:IG)</f>
        <v>Transportation &amp; Travel</v>
      </c>
      <c r="BF56" t="s">
        <v>303</v>
      </c>
      <c r="BG56" t="s">
        <v>303</v>
      </c>
      <c r="BH56" s="10">
        <f>SUMIFS('[1]2026'!$K:$K,'[1]2026'!$T:$T,BD56,'[1]2026'!$S:$S,BH$3,'[1]2026'!$P:$P,AU56)</f>
        <v>0</v>
      </c>
      <c r="BI56" s="10">
        <f>SUMIFS('[1]2026'!$K:$K,'[1]2026'!$T:$T,$BD56,'[1]2026'!$S:$S,BI$3,'[1]2026'!$P:$P,$AU56)</f>
        <v>0</v>
      </c>
      <c r="BJ56" s="10">
        <f>SUMIFS('[1]2026'!$K:$K,'[1]2026'!$T:$T,$BD56,'[1]2026'!$S:$S,BJ$3,'[1]2026'!$P:$P,$AU56)</f>
        <v>0</v>
      </c>
      <c r="BK56" s="10">
        <f>SUMIFS('[1]2026'!$K:$K,'[1]2026'!$T:$T,$BD56,'[1]2026'!$S:$S,BK$3,'[1]2026'!$P:$P,$AU56)</f>
        <v>0</v>
      </c>
      <c r="BL56" s="10">
        <f>SUMIFS('[1]2026'!$K:$K,'[1]2026'!$T:$T,$BD56,'[1]2026'!$S:$S,BL$3,'[1]2026'!$P:$P,$AU56)</f>
        <v>0</v>
      </c>
      <c r="BM56" s="10">
        <f>SUMIFS('[1]2026'!$K:$K,'[1]2026'!$T:$T,$BD56,'[1]2026'!$S:$S,BM$3,'[1]2026'!$P:$P,$AU56)</f>
        <v>0</v>
      </c>
      <c r="BN56" s="10">
        <f>SUMIFS('[1]2026'!$K:$K,'[1]2026'!$T:$T,$BD56,'[1]2026'!$S:$S,BN$3,'[1]2026'!$P:$P,$AU56)</f>
        <v>0</v>
      </c>
      <c r="BO56" s="10">
        <f>SUMIFS('[1]2026'!$K:$K,'[1]2026'!$T:$T,$BD56,'[1]2026'!$S:$S,BO$3,'[1]2026'!$P:$P,$AU56)</f>
        <v>0</v>
      </c>
      <c r="BP56" s="6"/>
      <c r="BQ56" s="6"/>
      <c r="BR56" s="6"/>
      <c r="BS56" s="6"/>
      <c r="BT56" s="6">
        <f t="shared" si="10"/>
        <v>0</v>
      </c>
      <c r="BV56" s="6">
        <f t="shared" si="17"/>
        <v>-6500</v>
      </c>
      <c r="BW56" s="6">
        <f t="shared" si="18"/>
        <v>0</v>
      </c>
      <c r="BX56" s="6">
        <f t="shared" si="19"/>
        <v>0</v>
      </c>
      <c r="BY56" s="6">
        <f t="shared" si="20"/>
        <v>0</v>
      </c>
      <c r="BZ56" s="6">
        <f t="shared" si="21"/>
        <v>0</v>
      </c>
      <c r="CA56" s="6">
        <f t="shared" si="22"/>
        <v>0</v>
      </c>
      <c r="CB56" s="6">
        <f t="shared" si="23"/>
        <v>0</v>
      </c>
      <c r="CC56" s="6">
        <f t="shared" si="24"/>
        <v>0</v>
      </c>
      <c r="CD56" s="6">
        <f t="shared" si="25"/>
        <v>0</v>
      </c>
      <c r="CE56" s="6">
        <f t="shared" si="26"/>
        <v>0</v>
      </c>
      <c r="CF56" s="6">
        <f t="shared" si="27"/>
        <v>0</v>
      </c>
      <c r="CG56" s="6">
        <f t="shared" si="28"/>
        <v>0</v>
      </c>
      <c r="CH56" s="6">
        <f t="shared" si="31"/>
        <v>-6500</v>
      </c>
    </row>
    <row r="57" spans="1:86" hidden="1" x14ac:dyDescent="0.35">
      <c r="A57" s="3" t="s">
        <v>334</v>
      </c>
      <c r="B57" s="10">
        <v>6500</v>
      </c>
      <c r="N57" s="27">
        <f t="shared" si="5"/>
        <v>6500</v>
      </c>
      <c r="AA57" s="27">
        <f t="shared" si="6"/>
        <v>0</v>
      </c>
      <c r="AB57" s="10">
        <f t="shared" si="30"/>
        <v>6500</v>
      </c>
      <c r="AC57" s="10">
        <f t="shared" si="30"/>
        <v>0</v>
      </c>
      <c r="AD57" s="10">
        <f t="shared" si="30"/>
        <v>0</v>
      </c>
      <c r="AE57" s="10">
        <f t="shared" si="30"/>
        <v>0</v>
      </c>
      <c r="AF57" s="10">
        <f t="shared" si="30"/>
        <v>0</v>
      </c>
      <c r="AG57" s="10">
        <f t="shared" si="30"/>
        <v>0</v>
      </c>
      <c r="AH57" s="10">
        <f t="shared" si="30"/>
        <v>0</v>
      </c>
      <c r="AI57" s="10">
        <f t="shared" si="30"/>
        <v>0</v>
      </c>
      <c r="AJ57" s="10">
        <f t="shared" si="29"/>
        <v>0</v>
      </c>
      <c r="AK57" s="10">
        <f t="shared" si="29"/>
        <v>0</v>
      </c>
      <c r="AL57" s="10">
        <f t="shared" si="29"/>
        <v>0</v>
      </c>
      <c r="AM57" s="10">
        <f t="shared" si="29"/>
        <v>0</v>
      </c>
      <c r="AN57" s="27">
        <f t="shared" si="29"/>
        <v>6500</v>
      </c>
      <c r="AS57" t="str">
        <f>_xlfn.XLOOKUP(AU57,[2]GAE!HZ:HZ,[2]GAE!IA:IA)</f>
        <v>ADMIN SERVICES</v>
      </c>
      <c r="AT57" t="str">
        <f>_xlfn.XLOOKUP(AU57,[2]GAE!HZ:HZ,[2]GAE!IB:IB)</f>
        <v>GAE - Transportation</v>
      </c>
      <c r="AU57" t="s">
        <v>295</v>
      </c>
      <c r="AV57">
        <v>80123102</v>
      </c>
      <c r="AW57">
        <v>61081101</v>
      </c>
      <c r="AX57" t="str">
        <f>_xlfn.XLOOKUP(AU57,[2]GAE!HZ:HZ,[2]GAE!IF:IF)</f>
        <v>Others</v>
      </c>
      <c r="AY57" t="str">
        <f>_xlfn.XLOOKUP(AU57,[2]GAE!HZ:HZ,[2]GAE!IG:IG)</f>
        <v>Transportation &amp; Travel</v>
      </c>
      <c r="BF57" t="s">
        <v>303</v>
      </c>
      <c r="BG57" t="s">
        <v>303</v>
      </c>
      <c r="BH57" s="10">
        <f>SUMIFS('[1]2026'!$K:$K,'[1]2026'!$T:$T,BD57,'[1]2026'!$S:$S,BH$3,'[1]2026'!$P:$P,AU57)</f>
        <v>0</v>
      </c>
      <c r="BI57" s="10">
        <f>SUMIFS('[1]2026'!$K:$K,'[1]2026'!$T:$T,$BD57,'[1]2026'!$S:$S,BI$3,'[1]2026'!$P:$P,$AU57)</f>
        <v>0</v>
      </c>
      <c r="BJ57" s="10">
        <f>SUMIFS('[1]2026'!$K:$K,'[1]2026'!$T:$T,$BD57,'[1]2026'!$S:$S,BJ$3,'[1]2026'!$P:$P,$AU57)</f>
        <v>0</v>
      </c>
      <c r="BK57" s="10">
        <f>SUMIFS('[1]2026'!$K:$K,'[1]2026'!$T:$T,$BD57,'[1]2026'!$S:$S,BK$3,'[1]2026'!$P:$P,$AU57)</f>
        <v>0</v>
      </c>
      <c r="BL57" s="10">
        <f>SUMIFS('[1]2026'!$K:$K,'[1]2026'!$T:$T,$BD57,'[1]2026'!$S:$S,BL$3,'[1]2026'!$P:$P,$AU57)</f>
        <v>0</v>
      </c>
      <c r="BM57" s="10">
        <f>SUMIFS('[1]2026'!$K:$K,'[1]2026'!$T:$T,$BD57,'[1]2026'!$S:$S,BM$3,'[1]2026'!$P:$P,$AU57)</f>
        <v>0</v>
      </c>
      <c r="BN57" s="10">
        <f>SUMIFS('[1]2026'!$K:$K,'[1]2026'!$T:$T,$BD57,'[1]2026'!$S:$S,BN$3,'[1]2026'!$P:$P,$AU57)</f>
        <v>0</v>
      </c>
      <c r="BO57" s="10">
        <f>SUMIFS('[1]2026'!$K:$K,'[1]2026'!$T:$T,$BD57,'[1]2026'!$S:$S,BO$3,'[1]2026'!$P:$P,$AU57)</f>
        <v>0</v>
      </c>
      <c r="BP57" s="6"/>
      <c r="BQ57" s="6"/>
      <c r="BR57" s="6"/>
      <c r="BS57" s="6"/>
      <c r="BT57" s="6">
        <f t="shared" si="10"/>
        <v>0</v>
      </c>
      <c r="BV57" s="6">
        <f t="shared" si="17"/>
        <v>-6500</v>
      </c>
      <c r="BW57" s="6">
        <f t="shared" si="18"/>
        <v>0</v>
      </c>
      <c r="BX57" s="6">
        <f t="shared" si="19"/>
        <v>0</v>
      </c>
      <c r="BY57" s="6">
        <f t="shared" si="20"/>
        <v>0</v>
      </c>
      <c r="BZ57" s="6">
        <f t="shared" si="21"/>
        <v>0</v>
      </c>
      <c r="CA57" s="6">
        <f t="shared" si="22"/>
        <v>0</v>
      </c>
      <c r="CB57" s="6">
        <f t="shared" si="23"/>
        <v>0</v>
      </c>
      <c r="CC57" s="6">
        <f t="shared" si="24"/>
        <v>0</v>
      </c>
      <c r="CD57" s="6">
        <f t="shared" si="25"/>
        <v>0</v>
      </c>
      <c r="CE57" s="6">
        <f t="shared" si="26"/>
        <v>0</v>
      </c>
      <c r="CF57" s="6">
        <f t="shared" si="27"/>
        <v>0</v>
      </c>
      <c r="CG57" s="6">
        <f t="shared" si="28"/>
        <v>0</v>
      </c>
      <c r="CH57" s="6">
        <f t="shared" si="31"/>
        <v>-6500</v>
      </c>
    </row>
    <row r="58" spans="1:86" hidden="1" x14ac:dyDescent="0.35">
      <c r="A58" s="3" t="s">
        <v>335</v>
      </c>
      <c r="B58" s="10">
        <v>6500</v>
      </c>
      <c r="N58" s="27">
        <f t="shared" si="5"/>
        <v>6500</v>
      </c>
      <c r="AA58" s="27">
        <f t="shared" si="6"/>
        <v>0</v>
      </c>
      <c r="AB58" s="10">
        <f t="shared" si="30"/>
        <v>6500</v>
      </c>
      <c r="AC58" s="10">
        <f t="shared" si="30"/>
        <v>0</v>
      </c>
      <c r="AD58" s="10">
        <f t="shared" si="30"/>
        <v>0</v>
      </c>
      <c r="AE58" s="10">
        <f t="shared" si="30"/>
        <v>0</v>
      </c>
      <c r="AF58" s="10">
        <f t="shared" si="30"/>
        <v>0</v>
      </c>
      <c r="AG58" s="10">
        <f t="shared" si="30"/>
        <v>0</v>
      </c>
      <c r="AH58" s="10">
        <f t="shared" si="30"/>
        <v>0</v>
      </c>
      <c r="AI58" s="10">
        <f t="shared" si="30"/>
        <v>0</v>
      </c>
      <c r="AJ58" s="10">
        <f t="shared" si="29"/>
        <v>0</v>
      </c>
      <c r="AK58" s="10">
        <f t="shared" si="29"/>
        <v>0</v>
      </c>
      <c r="AL58" s="10">
        <f t="shared" si="29"/>
        <v>0</v>
      </c>
      <c r="AM58" s="10">
        <f t="shared" si="29"/>
        <v>0</v>
      </c>
      <c r="AN58" s="27">
        <f t="shared" si="29"/>
        <v>6500</v>
      </c>
      <c r="AS58" t="str">
        <f>_xlfn.XLOOKUP(AU58,[2]GAE!HZ:HZ,[2]GAE!IA:IA)</f>
        <v>ADMIN SERVICES</v>
      </c>
      <c r="AT58" t="str">
        <f>_xlfn.XLOOKUP(AU58,[2]GAE!HZ:HZ,[2]GAE!IB:IB)</f>
        <v>GAE - Transportation</v>
      </c>
      <c r="AU58" t="s">
        <v>295</v>
      </c>
      <c r="AV58">
        <v>80123102</v>
      </c>
      <c r="AW58">
        <v>61081101</v>
      </c>
      <c r="AX58" t="str">
        <f>_xlfn.XLOOKUP(AU58,[2]GAE!HZ:HZ,[2]GAE!IF:IF)</f>
        <v>Others</v>
      </c>
      <c r="AY58" t="str">
        <f>_xlfn.XLOOKUP(AU58,[2]GAE!HZ:HZ,[2]GAE!IG:IG)</f>
        <v>Transportation &amp; Travel</v>
      </c>
      <c r="BF58" t="s">
        <v>303</v>
      </c>
      <c r="BG58" t="s">
        <v>303</v>
      </c>
      <c r="BH58" s="10">
        <f>SUMIFS('[1]2026'!$K:$K,'[1]2026'!$T:$T,BD58,'[1]2026'!$S:$S,BH$3,'[1]2026'!$P:$P,AU58)</f>
        <v>0</v>
      </c>
      <c r="BI58" s="10">
        <f>SUMIFS('[1]2026'!$K:$K,'[1]2026'!$T:$T,$BD58,'[1]2026'!$S:$S,BI$3,'[1]2026'!$P:$P,$AU58)</f>
        <v>0</v>
      </c>
      <c r="BJ58" s="10">
        <f>SUMIFS('[1]2026'!$K:$K,'[1]2026'!$T:$T,$BD58,'[1]2026'!$S:$S,BJ$3,'[1]2026'!$P:$P,$AU58)</f>
        <v>0</v>
      </c>
      <c r="BK58" s="10">
        <f>SUMIFS('[1]2026'!$K:$K,'[1]2026'!$T:$T,$BD58,'[1]2026'!$S:$S,BK$3,'[1]2026'!$P:$P,$AU58)</f>
        <v>0</v>
      </c>
      <c r="BL58" s="10">
        <f>SUMIFS('[1]2026'!$K:$K,'[1]2026'!$T:$T,$BD58,'[1]2026'!$S:$S,BL$3,'[1]2026'!$P:$P,$AU58)</f>
        <v>0</v>
      </c>
      <c r="BM58" s="10">
        <f>SUMIFS('[1]2026'!$K:$K,'[1]2026'!$T:$T,$BD58,'[1]2026'!$S:$S,BM$3,'[1]2026'!$P:$P,$AU58)</f>
        <v>0</v>
      </c>
      <c r="BN58" s="10">
        <f>SUMIFS('[1]2026'!$K:$K,'[1]2026'!$T:$T,$BD58,'[1]2026'!$S:$S,BN$3,'[1]2026'!$P:$P,$AU58)</f>
        <v>0</v>
      </c>
      <c r="BO58" s="10">
        <f>SUMIFS('[1]2026'!$K:$K,'[1]2026'!$T:$T,$BD58,'[1]2026'!$S:$S,BO$3,'[1]2026'!$P:$P,$AU58)</f>
        <v>0</v>
      </c>
      <c r="BP58" s="6"/>
      <c r="BQ58" s="6"/>
      <c r="BR58" s="6"/>
      <c r="BS58" s="6"/>
      <c r="BT58" s="6">
        <f t="shared" si="10"/>
        <v>0</v>
      </c>
      <c r="BV58" s="6">
        <f t="shared" si="17"/>
        <v>-6500</v>
      </c>
      <c r="BW58" s="6">
        <f t="shared" si="18"/>
        <v>0</v>
      </c>
      <c r="BX58" s="6">
        <f t="shared" si="19"/>
        <v>0</v>
      </c>
      <c r="BY58" s="6">
        <f t="shared" si="20"/>
        <v>0</v>
      </c>
      <c r="BZ58" s="6">
        <f t="shared" si="21"/>
        <v>0</v>
      </c>
      <c r="CA58" s="6">
        <f t="shared" si="22"/>
        <v>0</v>
      </c>
      <c r="CB58" s="6">
        <f t="shared" si="23"/>
        <v>0</v>
      </c>
      <c r="CC58" s="6">
        <f t="shared" si="24"/>
        <v>0</v>
      </c>
      <c r="CD58" s="6">
        <f t="shared" si="25"/>
        <v>0</v>
      </c>
      <c r="CE58" s="6">
        <f t="shared" si="26"/>
        <v>0</v>
      </c>
      <c r="CF58" s="6">
        <f t="shared" si="27"/>
        <v>0</v>
      </c>
      <c r="CG58" s="6">
        <f t="shared" si="28"/>
        <v>0</v>
      </c>
      <c r="CH58" s="6">
        <f t="shared" si="31"/>
        <v>-6500</v>
      </c>
    </row>
    <row r="59" spans="1:86" hidden="1" x14ac:dyDescent="0.35">
      <c r="A59" s="3" t="s">
        <v>336</v>
      </c>
      <c r="B59" s="10">
        <v>6500</v>
      </c>
      <c r="N59" s="27">
        <f t="shared" si="5"/>
        <v>6500</v>
      </c>
      <c r="AA59" s="27">
        <f t="shared" si="6"/>
        <v>0</v>
      </c>
      <c r="AB59" s="10">
        <f t="shared" si="30"/>
        <v>6500</v>
      </c>
      <c r="AC59" s="10">
        <f t="shared" si="30"/>
        <v>0</v>
      </c>
      <c r="AD59" s="10">
        <f t="shared" si="30"/>
        <v>0</v>
      </c>
      <c r="AE59" s="10">
        <f t="shared" si="30"/>
        <v>0</v>
      </c>
      <c r="AF59" s="10">
        <f t="shared" si="30"/>
        <v>0</v>
      </c>
      <c r="AG59" s="10">
        <f t="shared" si="30"/>
        <v>0</v>
      </c>
      <c r="AH59" s="10">
        <f t="shared" si="30"/>
        <v>0</v>
      </c>
      <c r="AI59" s="10">
        <f t="shared" si="30"/>
        <v>0</v>
      </c>
      <c r="AJ59" s="10">
        <f t="shared" si="29"/>
        <v>0</v>
      </c>
      <c r="AK59" s="10">
        <f t="shared" si="29"/>
        <v>0</v>
      </c>
      <c r="AL59" s="10">
        <f t="shared" si="29"/>
        <v>0</v>
      </c>
      <c r="AM59" s="10">
        <f t="shared" si="29"/>
        <v>0</v>
      </c>
      <c r="AN59" s="27">
        <f t="shared" si="29"/>
        <v>6500</v>
      </c>
      <c r="AS59" t="str">
        <f>_xlfn.XLOOKUP(AU59,[2]GAE!HZ:HZ,[2]GAE!IA:IA)</f>
        <v>ADMIN SERVICES</v>
      </c>
      <c r="AT59" t="str">
        <f>_xlfn.XLOOKUP(AU59,[2]GAE!HZ:HZ,[2]GAE!IB:IB)</f>
        <v>GAE - Transportation</v>
      </c>
      <c r="AU59" t="s">
        <v>295</v>
      </c>
      <c r="AV59">
        <v>80123102</v>
      </c>
      <c r="AW59">
        <v>61081101</v>
      </c>
      <c r="AX59" t="str">
        <f>_xlfn.XLOOKUP(AU59,[2]GAE!HZ:HZ,[2]GAE!IF:IF)</f>
        <v>Others</v>
      </c>
      <c r="AY59" t="str">
        <f>_xlfn.XLOOKUP(AU59,[2]GAE!HZ:HZ,[2]GAE!IG:IG)</f>
        <v>Transportation &amp; Travel</v>
      </c>
      <c r="BF59" t="s">
        <v>303</v>
      </c>
      <c r="BG59" t="s">
        <v>303</v>
      </c>
      <c r="BH59" s="10">
        <f>SUMIFS('[1]2026'!$K:$K,'[1]2026'!$T:$T,BD59,'[1]2026'!$S:$S,BH$3,'[1]2026'!$P:$P,AU59)</f>
        <v>0</v>
      </c>
      <c r="BI59" s="10">
        <f>SUMIFS('[1]2026'!$K:$K,'[1]2026'!$T:$T,$BD59,'[1]2026'!$S:$S,BI$3,'[1]2026'!$P:$P,$AU59)</f>
        <v>0</v>
      </c>
      <c r="BJ59" s="10">
        <f>SUMIFS('[1]2026'!$K:$K,'[1]2026'!$T:$T,$BD59,'[1]2026'!$S:$S,BJ$3,'[1]2026'!$P:$P,$AU59)</f>
        <v>0</v>
      </c>
      <c r="BK59" s="10">
        <f>SUMIFS('[1]2026'!$K:$K,'[1]2026'!$T:$T,$BD59,'[1]2026'!$S:$S,BK$3,'[1]2026'!$P:$P,$AU59)</f>
        <v>0</v>
      </c>
      <c r="BL59" s="10">
        <f>SUMIFS('[1]2026'!$K:$K,'[1]2026'!$T:$T,$BD59,'[1]2026'!$S:$S,BL$3,'[1]2026'!$P:$P,$AU59)</f>
        <v>0</v>
      </c>
      <c r="BM59" s="10">
        <f>SUMIFS('[1]2026'!$K:$K,'[1]2026'!$T:$T,$BD59,'[1]2026'!$S:$S,BM$3,'[1]2026'!$P:$P,$AU59)</f>
        <v>0</v>
      </c>
      <c r="BN59" s="10">
        <f>SUMIFS('[1]2026'!$K:$K,'[1]2026'!$T:$T,$BD59,'[1]2026'!$S:$S,BN$3,'[1]2026'!$P:$P,$AU59)</f>
        <v>0</v>
      </c>
      <c r="BO59" s="10">
        <f>SUMIFS('[1]2026'!$K:$K,'[1]2026'!$T:$T,$BD59,'[1]2026'!$S:$S,BO$3,'[1]2026'!$P:$P,$AU59)</f>
        <v>0</v>
      </c>
      <c r="BP59" s="6"/>
      <c r="BQ59" s="6"/>
      <c r="BR59" s="6"/>
      <c r="BS59" s="6"/>
      <c r="BT59" s="6">
        <f t="shared" si="10"/>
        <v>0</v>
      </c>
      <c r="BV59" s="6">
        <f t="shared" si="17"/>
        <v>-6500</v>
      </c>
      <c r="BW59" s="6">
        <f t="shared" si="18"/>
        <v>0</v>
      </c>
      <c r="BX59" s="6">
        <f t="shared" si="19"/>
        <v>0</v>
      </c>
      <c r="BY59" s="6">
        <f t="shared" si="20"/>
        <v>0</v>
      </c>
      <c r="BZ59" s="6">
        <f t="shared" si="21"/>
        <v>0</v>
      </c>
      <c r="CA59" s="6">
        <f t="shared" si="22"/>
        <v>0</v>
      </c>
      <c r="CB59" s="6">
        <f t="shared" si="23"/>
        <v>0</v>
      </c>
      <c r="CC59" s="6">
        <f t="shared" si="24"/>
        <v>0</v>
      </c>
      <c r="CD59" s="6">
        <f t="shared" si="25"/>
        <v>0</v>
      </c>
      <c r="CE59" s="6">
        <f t="shared" si="26"/>
        <v>0</v>
      </c>
      <c r="CF59" s="6">
        <f t="shared" si="27"/>
        <v>0</v>
      </c>
      <c r="CG59" s="6">
        <f t="shared" si="28"/>
        <v>0</v>
      </c>
      <c r="CH59" s="6">
        <f t="shared" si="31"/>
        <v>-6500</v>
      </c>
    </row>
    <row r="60" spans="1:86" hidden="1" x14ac:dyDescent="0.35">
      <c r="A60" s="3" t="s">
        <v>337</v>
      </c>
      <c r="B60" s="10">
        <v>6500</v>
      </c>
      <c r="N60" s="27">
        <f t="shared" si="5"/>
        <v>6500</v>
      </c>
      <c r="AA60" s="27">
        <f t="shared" si="6"/>
        <v>0</v>
      </c>
      <c r="AB60" s="10">
        <f t="shared" si="30"/>
        <v>6500</v>
      </c>
      <c r="AC60" s="10">
        <f t="shared" si="30"/>
        <v>0</v>
      </c>
      <c r="AD60" s="10">
        <f t="shared" si="30"/>
        <v>0</v>
      </c>
      <c r="AE60" s="10">
        <f t="shared" si="30"/>
        <v>0</v>
      </c>
      <c r="AF60" s="10">
        <f t="shared" si="30"/>
        <v>0</v>
      </c>
      <c r="AG60" s="10">
        <f t="shared" si="30"/>
        <v>0</v>
      </c>
      <c r="AH60" s="10">
        <f t="shared" si="30"/>
        <v>0</v>
      </c>
      <c r="AI60" s="10">
        <f t="shared" si="30"/>
        <v>0</v>
      </c>
      <c r="AJ60" s="10">
        <f t="shared" si="29"/>
        <v>0</v>
      </c>
      <c r="AK60" s="10">
        <f t="shared" si="29"/>
        <v>0</v>
      </c>
      <c r="AL60" s="10">
        <f t="shared" si="29"/>
        <v>0</v>
      </c>
      <c r="AM60" s="10">
        <f t="shared" si="29"/>
        <v>0</v>
      </c>
      <c r="AN60" s="27">
        <f t="shared" si="29"/>
        <v>6500</v>
      </c>
      <c r="AS60" t="str">
        <f>_xlfn.XLOOKUP(AU60,[2]GAE!HZ:HZ,[2]GAE!IA:IA)</f>
        <v>ADMIN SERVICES</v>
      </c>
      <c r="AT60" t="str">
        <f>_xlfn.XLOOKUP(AU60,[2]GAE!HZ:HZ,[2]GAE!IB:IB)</f>
        <v>GAE - Transportation</v>
      </c>
      <c r="AU60" t="s">
        <v>295</v>
      </c>
      <c r="AV60">
        <v>80123102</v>
      </c>
      <c r="AW60">
        <v>61081101</v>
      </c>
      <c r="AX60" t="str">
        <f>_xlfn.XLOOKUP(AU60,[2]GAE!HZ:HZ,[2]GAE!IF:IF)</f>
        <v>Others</v>
      </c>
      <c r="AY60" t="str">
        <f>_xlfn.XLOOKUP(AU60,[2]GAE!HZ:HZ,[2]GAE!IG:IG)</f>
        <v>Transportation &amp; Travel</v>
      </c>
      <c r="BF60" t="s">
        <v>303</v>
      </c>
      <c r="BG60" t="s">
        <v>303</v>
      </c>
      <c r="BH60" s="10">
        <f>SUMIFS('[1]2026'!$K:$K,'[1]2026'!$T:$T,BD60,'[1]2026'!$S:$S,BH$3,'[1]2026'!$P:$P,AU60)</f>
        <v>0</v>
      </c>
      <c r="BI60" s="10">
        <f>SUMIFS('[1]2026'!$K:$K,'[1]2026'!$T:$T,$BD60,'[1]2026'!$S:$S,BI$3,'[1]2026'!$P:$P,$AU60)</f>
        <v>0</v>
      </c>
      <c r="BJ60" s="10">
        <f>SUMIFS('[1]2026'!$K:$K,'[1]2026'!$T:$T,$BD60,'[1]2026'!$S:$S,BJ$3,'[1]2026'!$P:$P,$AU60)</f>
        <v>0</v>
      </c>
      <c r="BK60" s="10">
        <f>SUMIFS('[1]2026'!$K:$K,'[1]2026'!$T:$T,$BD60,'[1]2026'!$S:$S,BK$3,'[1]2026'!$P:$P,$AU60)</f>
        <v>0</v>
      </c>
      <c r="BL60" s="10">
        <f>SUMIFS('[1]2026'!$K:$K,'[1]2026'!$T:$T,$BD60,'[1]2026'!$S:$S,BL$3,'[1]2026'!$P:$P,$AU60)</f>
        <v>0</v>
      </c>
      <c r="BM60" s="10">
        <f>SUMIFS('[1]2026'!$K:$K,'[1]2026'!$T:$T,$BD60,'[1]2026'!$S:$S,BM$3,'[1]2026'!$P:$P,$AU60)</f>
        <v>0</v>
      </c>
      <c r="BN60" s="10">
        <f>SUMIFS('[1]2026'!$K:$K,'[1]2026'!$T:$T,$BD60,'[1]2026'!$S:$S,BN$3,'[1]2026'!$P:$P,$AU60)</f>
        <v>0</v>
      </c>
      <c r="BO60" s="10">
        <f>SUMIFS('[1]2026'!$K:$K,'[1]2026'!$T:$T,$BD60,'[1]2026'!$S:$S,BO$3,'[1]2026'!$P:$P,$AU60)</f>
        <v>0</v>
      </c>
      <c r="BP60" s="6"/>
      <c r="BQ60" s="6"/>
      <c r="BR60" s="6"/>
      <c r="BS60" s="6"/>
      <c r="BT60" s="6">
        <f t="shared" si="10"/>
        <v>0</v>
      </c>
      <c r="BV60" s="6">
        <f t="shared" si="17"/>
        <v>-6500</v>
      </c>
      <c r="BW60" s="6">
        <f t="shared" si="18"/>
        <v>0</v>
      </c>
      <c r="BX60" s="6">
        <f t="shared" si="19"/>
        <v>0</v>
      </c>
      <c r="BY60" s="6">
        <f t="shared" si="20"/>
        <v>0</v>
      </c>
      <c r="BZ60" s="6">
        <f t="shared" si="21"/>
        <v>0</v>
      </c>
      <c r="CA60" s="6">
        <f t="shared" si="22"/>
        <v>0</v>
      </c>
      <c r="CB60" s="6">
        <f t="shared" si="23"/>
        <v>0</v>
      </c>
      <c r="CC60" s="6">
        <f t="shared" si="24"/>
        <v>0</v>
      </c>
      <c r="CD60" s="6">
        <f t="shared" si="25"/>
        <v>0</v>
      </c>
      <c r="CE60" s="6">
        <f t="shared" si="26"/>
        <v>0</v>
      </c>
      <c r="CF60" s="6">
        <f t="shared" si="27"/>
        <v>0</v>
      </c>
      <c r="CG60" s="6">
        <f t="shared" si="28"/>
        <v>0</v>
      </c>
      <c r="CH60" s="6">
        <f t="shared" si="31"/>
        <v>-6500</v>
      </c>
    </row>
    <row r="61" spans="1:86" hidden="1" x14ac:dyDescent="0.35">
      <c r="AN61" s="27">
        <f t="shared" si="29"/>
        <v>0</v>
      </c>
      <c r="AS61" t="str">
        <f>_xlfn.XLOOKUP(AU61,[2]GAE!HZ:HZ,[2]GAE!IA:IA)</f>
        <v>ADMIN SERVICES</v>
      </c>
      <c r="AT61" t="str">
        <f>_xlfn.XLOOKUP(AU61,[2]GAE!HZ:HZ,[2]GAE!IB:IB)</f>
        <v>DOE - Transportation and Travel - Local &amp; Foreign</v>
      </c>
      <c r="AU61" t="s">
        <v>338</v>
      </c>
      <c r="AV61">
        <v>81123102</v>
      </c>
      <c r="AW61">
        <v>52081101</v>
      </c>
      <c r="AX61" t="str">
        <f>_xlfn.XLOOKUP(AU61,[2]GAE!HZ:HZ,[2]GAE!IF:IF)</f>
        <v>Others</v>
      </c>
      <c r="AY61" t="str">
        <f>_xlfn.XLOOKUP(AU61,[2]GAE!HZ:HZ,[2]GAE!IG:IG)</f>
        <v>Transportation &amp; Travel</v>
      </c>
      <c r="BC61" t="s">
        <v>18</v>
      </c>
      <c r="BD61" t="s">
        <v>339</v>
      </c>
      <c r="BF61" t="s">
        <v>15</v>
      </c>
      <c r="BG61" s="2" t="s">
        <v>18</v>
      </c>
      <c r="BH61" s="10">
        <f>SUMIFS('[1]2026'!$K:$K,'[1]2026'!$T:$T,BD61,'[1]2026'!$S:$S,BH$3,'[1]2026'!$P:$P,AU61)</f>
        <v>1005</v>
      </c>
      <c r="BI61" s="10">
        <f>SUMIFS('[1]2026'!$K:$K,'[1]2026'!$T:$T,$BD61,'[1]2026'!$S:$S,BI$3,'[1]2026'!$P:$P,$AU61)</f>
        <v>1025</v>
      </c>
      <c r="BJ61" s="10">
        <f>SUMIFS('[1]2026'!$K:$K,'[1]2026'!$T:$T,$BD61,'[1]2026'!$S:$S,BJ$3,'[1]2026'!$P:$P,$AU61)</f>
        <v>1110</v>
      </c>
      <c r="BK61" s="10">
        <f>SUMIFS('[1]2026'!$K:$K,'[1]2026'!$T:$T,$BD61,'[1]2026'!$S:$S,BK$3,'[1]2026'!$P:$P,$AU61)</f>
        <v>810</v>
      </c>
      <c r="BL61" s="10">
        <f>SUMIFS('[1]2026'!$K:$K,'[1]2026'!$T:$T,$BD61,'[1]2026'!$S:$S,BL$3,'[1]2026'!$P:$P,$AU61)</f>
        <v>1595</v>
      </c>
      <c r="BM61" s="10">
        <f>SUMIFS('[1]2026'!$K:$K,'[1]2026'!$T:$T,$BD61,'[1]2026'!$S:$S,BM$3,'[1]2026'!$P:$P,$AU61)</f>
        <v>600</v>
      </c>
      <c r="BN61" s="10">
        <f>SUMIFS('[1]2026'!$K:$K,'[1]2026'!$T:$T,$BD61,'[1]2026'!$S:$S,BN$3,'[1]2026'!$P:$P,$AU61)</f>
        <v>1225</v>
      </c>
      <c r="BO61" s="10">
        <f>SUMIFS('[1]2026'!$K:$K,'[1]2026'!$T:$T,$BD61,'[1]2026'!$S:$S,BO$3,'[1]2026'!$P:$P,$AU61)</f>
        <v>590</v>
      </c>
      <c r="BP61" s="6"/>
      <c r="BQ61" s="6"/>
      <c r="BR61" s="6"/>
      <c r="BS61" s="6"/>
      <c r="BT61" s="6">
        <f t="shared" si="10"/>
        <v>7960</v>
      </c>
      <c r="BV61" s="6">
        <f t="shared" si="17"/>
        <v>1005</v>
      </c>
      <c r="BW61" s="6">
        <f t="shared" si="18"/>
        <v>1025</v>
      </c>
      <c r="BX61" s="6">
        <f t="shared" si="19"/>
        <v>1110</v>
      </c>
      <c r="BY61" s="6">
        <f t="shared" si="20"/>
        <v>810</v>
      </c>
      <c r="BZ61" s="6">
        <f t="shared" si="21"/>
        <v>1595</v>
      </c>
      <c r="CA61" s="6">
        <f t="shared" si="22"/>
        <v>600</v>
      </c>
      <c r="CB61" s="6">
        <f t="shared" si="23"/>
        <v>1225</v>
      </c>
      <c r="CC61" s="6">
        <f t="shared" si="24"/>
        <v>590</v>
      </c>
      <c r="CD61" s="6">
        <f t="shared" si="25"/>
        <v>0</v>
      </c>
      <c r="CE61" s="6">
        <f t="shared" si="26"/>
        <v>0</v>
      </c>
      <c r="CF61" s="6">
        <f t="shared" si="27"/>
        <v>0</v>
      </c>
      <c r="CG61" s="6">
        <f t="shared" si="28"/>
        <v>0</v>
      </c>
      <c r="CH61" s="6">
        <f t="shared" si="31"/>
        <v>7960</v>
      </c>
    </row>
    <row r="62" spans="1:86" hidden="1" x14ac:dyDescent="0.35">
      <c r="AN62" s="27">
        <f t="shared" si="29"/>
        <v>0</v>
      </c>
      <c r="AS62" t="str">
        <f>_xlfn.XLOOKUP(AU62,[2]GAE!HZ:HZ,[2]GAE!IA:IA)</f>
        <v>ADMIN SERVICES</v>
      </c>
      <c r="AT62" t="str">
        <f>_xlfn.XLOOKUP(AU62,[2]GAE!HZ:HZ,[2]GAE!IB:IB)</f>
        <v>DOE - Transportation and Travel - Local &amp; Foreign</v>
      </c>
      <c r="AU62" t="s">
        <v>338</v>
      </c>
      <c r="AV62">
        <v>81123102</v>
      </c>
      <c r="AW62">
        <v>52081101</v>
      </c>
      <c r="AX62" t="str">
        <f>_xlfn.XLOOKUP(AU62,[2]GAE!HZ:HZ,[2]GAE!IF:IF)</f>
        <v>Others</v>
      </c>
      <c r="AY62" t="str">
        <f>_xlfn.XLOOKUP(AU62,[2]GAE!HZ:HZ,[2]GAE!IG:IG)</f>
        <v>Transportation &amp; Travel</v>
      </c>
      <c r="BC62" t="s">
        <v>18</v>
      </c>
      <c r="BD62" t="s">
        <v>297</v>
      </c>
      <c r="BF62" t="s">
        <v>15</v>
      </c>
      <c r="BG62" s="2" t="s">
        <v>18</v>
      </c>
      <c r="BH62" s="10">
        <f>SUMIFS('[1]2026'!$K:$K,'[1]2026'!$T:$T,BD62,'[1]2026'!$S:$S,BH$3,'[1]2026'!$P:$P,AU62)</f>
        <v>300</v>
      </c>
      <c r="BI62" s="10">
        <f>SUMIFS('[1]2026'!$K:$K,'[1]2026'!$T:$T,$BD62,'[1]2026'!$S:$S,BI$3,'[1]2026'!$P:$P,$AU62)</f>
        <v>295</v>
      </c>
      <c r="BJ62" s="10">
        <f>SUMIFS('[1]2026'!$K:$K,'[1]2026'!$T:$T,$BD62,'[1]2026'!$S:$S,BJ$3,'[1]2026'!$P:$P,$AU62)</f>
        <v>859</v>
      </c>
      <c r="BK62" s="10">
        <f>SUMIFS('[1]2026'!$K:$K,'[1]2026'!$T:$T,$BD62,'[1]2026'!$S:$S,BK$3,'[1]2026'!$P:$P,$AU62)</f>
        <v>0</v>
      </c>
      <c r="BL62" s="10">
        <f>SUMIFS('[1]2026'!$K:$K,'[1]2026'!$T:$T,$BD62,'[1]2026'!$S:$S,BL$3,'[1]2026'!$P:$P,$AU62)</f>
        <v>632</v>
      </c>
      <c r="BM62" s="10">
        <f>SUMIFS('[1]2026'!$K:$K,'[1]2026'!$T:$T,$BD62,'[1]2026'!$S:$S,BM$3,'[1]2026'!$P:$P,$AU62)</f>
        <v>0</v>
      </c>
      <c r="BN62" s="10">
        <f>SUMIFS('[1]2026'!$K:$K,'[1]2026'!$T:$T,$BD62,'[1]2026'!$S:$S,BN$3,'[1]2026'!$P:$P,$AU62)</f>
        <v>0</v>
      </c>
      <c r="BO62" s="10">
        <f>SUMIFS('[1]2026'!$K:$K,'[1]2026'!$T:$T,$BD62,'[1]2026'!$S:$S,BO$3,'[1]2026'!$P:$P,$AU62)</f>
        <v>0</v>
      </c>
      <c r="BP62" s="6"/>
      <c r="BQ62" s="6"/>
      <c r="BR62" s="6"/>
      <c r="BS62" s="6"/>
      <c r="BT62" s="6">
        <f t="shared" si="10"/>
        <v>2086</v>
      </c>
      <c r="BV62" s="6">
        <f t="shared" si="17"/>
        <v>300</v>
      </c>
      <c r="BW62" s="6">
        <f t="shared" si="18"/>
        <v>295</v>
      </c>
      <c r="BX62" s="6">
        <f t="shared" si="19"/>
        <v>859</v>
      </c>
      <c r="BY62" s="6">
        <f t="shared" si="20"/>
        <v>0</v>
      </c>
      <c r="BZ62" s="6">
        <f t="shared" si="21"/>
        <v>632</v>
      </c>
      <c r="CA62" s="6">
        <f t="shared" si="22"/>
        <v>0</v>
      </c>
      <c r="CB62" s="6">
        <f t="shared" si="23"/>
        <v>0</v>
      </c>
      <c r="CC62" s="6">
        <f t="shared" si="24"/>
        <v>0</v>
      </c>
      <c r="CD62" s="6">
        <f t="shared" si="25"/>
        <v>0</v>
      </c>
      <c r="CE62" s="6">
        <f t="shared" si="26"/>
        <v>0</v>
      </c>
      <c r="CF62" s="6">
        <f t="shared" si="27"/>
        <v>0</v>
      </c>
      <c r="CG62" s="6">
        <f t="shared" si="28"/>
        <v>0</v>
      </c>
      <c r="CH62" s="6">
        <f t="shared" si="31"/>
        <v>2086</v>
      </c>
    </row>
    <row r="63" spans="1:86" hidden="1" x14ac:dyDescent="0.35">
      <c r="AN63" s="27">
        <f t="shared" ref="AN63:AN65" si="32">N63-AA63</f>
        <v>0</v>
      </c>
      <c r="AS63" t="str">
        <f>_xlfn.XLOOKUP(AU63,[2]GAE!HZ:HZ,[2]GAE!IA:IA)</f>
        <v>ADMIN SERVICES</v>
      </c>
      <c r="AT63" t="str">
        <f>_xlfn.XLOOKUP(AU63,[2]GAE!HZ:HZ,[2]GAE!IB:IB)</f>
        <v>DOE - Transportation and Travel - Local &amp; Foreign</v>
      </c>
      <c r="AU63" t="s">
        <v>338</v>
      </c>
      <c r="AV63">
        <v>81123102</v>
      </c>
      <c r="AW63">
        <v>52081101</v>
      </c>
      <c r="AX63" t="str">
        <f>_xlfn.XLOOKUP(AU63,[2]GAE!HZ:HZ,[2]GAE!IF:IF)</f>
        <v>Others</v>
      </c>
      <c r="AY63" t="str">
        <f>_xlfn.XLOOKUP(AU63,[2]GAE!HZ:HZ,[2]GAE!IG:IG)</f>
        <v>Transportation &amp; Travel</v>
      </c>
      <c r="BC63" t="s">
        <v>16</v>
      </c>
      <c r="BD63" t="s">
        <v>340</v>
      </c>
      <c r="BF63" t="s">
        <v>15</v>
      </c>
      <c r="BG63" s="2" t="s">
        <v>16</v>
      </c>
      <c r="BH63" s="10">
        <f>SUMIFS('[1]2026'!$K:$K,'[1]2026'!$T:$T,BD63,'[1]2026'!$S:$S,BH$3,'[1]2026'!$P:$P,AU63)</f>
        <v>44</v>
      </c>
      <c r="BI63" s="10">
        <f>SUMIFS('[1]2026'!$K:$K,'[1]2026'!$T:$T,$BD63,'[1]2026'!$S:$S,BI$3,'[1]2026'!$P:$P,$AU63)</f>
        <v>0</v>
      </c>
      <c r="BJ63" s="10">
        <f>SUMIFS('[1]2026'!$K:$K,'[1]2026'!$T:$T,$BD63,'[1]2026'!$S:$S,BJ$3,'[1]2026'!$P:$P,$AU63)</f>
        <v>0</v>
      </c>
      <c r="BK63" s="10">
        <f>SUMIFS('[1]2026'!$K:$K,'[1]2026'!$T:$T,$BD63,'[1]2026'!$S:$S,BK$3,'[1]2026'!$P:$P,$AU63)</f>
        <v>0</v>
      </c>
      <c r="BL63" s="10">
        <f>SUMIFS('[1]2026'!$K:$K,'[1]2026'!$T:$T,$BD63,'[1]2026'!$S:$S,BL$3,'[1]2026'!$P:$P,$AU63)</f>
        <v>2000</v>
      </c>
      <c r="BM63" s="10">
        <f>SUMIFS('[1]2026'!$K:$K,'[1]2026'!$T:$T,$BD63,'[1]2026'!$S:$S,BM$3,'[1]2026'!$P:$P,$AU63)</f>
        <v>2000</v>
      </c>
      <c r="BN63" s="10">
        <f>SUMIFS('[1]2026'!$K:$K,'[1]2026'!$T:$T,$BD63,'[1]2026'!$S:$S,BN$3,'[1]2026'!$P:$P,$AU63)</f>
        <v>0</v>
      </c>
      <c r="BO63" s="10">
        <f>SUMIFS('[1]2026'!$K:$K,'[1]2026'!$T:$T,$BD63,'[1]2026'!$S:$S,BO$3,'[1]2026'!$P:$P,$AU63)</f>
        <v>60000</v>
      </c>
      <c r="BP63" s="6"/>
      <c r="BQ63" s="6"/>
      <c r="BR63" s="6"/>
      <c r="BS63" s="6"/>
      <c r="BT63" s="6">
        <f t="shared" si="10"/>
        <v>64044</v>
      </c>
      <c r="BV63" s="6">
        <f t="shared" si="17"/>
        <v>44</v>
      </c>
      <c r="BW63" s="6">
        <f t="shared" si="18"/>
        <v>0</v>
      </c>
      <c r="BX63" s="6">
        <f t="shared" si="19"/>
        <v>0</v>
      </c>
      <c r="BY63" s="6">
        <f t="shared" si="20"/>
        <v>0</v>
      </c>
      <c r="BZ63" s="6">
        <f t="shared" si="21"/>
        <v>2000</v>
      </c>
      <c r="CA63" s="6">
        <f t="shared" si="22"/>
        <v>2000</v>
      </c>
      <c r="CB63" s="6">
        <f t="shared" si="23"/>
        <v>0</v>
      </c>
      <c r="CC63" s="6">
        <f t="shared" si="24"/>
        <v>60000</v>
      </c>
      <c r="CD63" s="6">
        <f t="shared" si="25"/>
        <v>0</v>
      </c>
      <c r="CE63" s="6">
        <f t="shared" si="26"/>
        <v>0</v>
      </c>
      <c r="CF63" s="6">
        <f t="shared" si="27"/>
        <v>0</v>
      </c>
      <c r="CG63" s="6">
        <f t="shared" si="28"/>
        <v>0</v>
      </c>
      <c r="CH63" s="6">
        <f t="shared" si="31"/>
        <v>64044</v>
      </c>
    </row>
    <row r="64" spans="1:86" hidden="1" x14ac:dyDescent="0.35">
      <c r="AN64" s="27">
        <f t="shared" si="32"/>
        <v>0</v>
      </c>
      <c r="AS64" t="str">
        <f>_xlfn.XLOOKUP(AU64,[2]GAE!HZ:HZ,[2]GAE!IA:IA)</f>
        <v>OMD OPERATIONS</v>
      </c>
      <c r="AT64" t="str">
        <f>_xlfn.XLOOKUP(AU64,[2]GAE!HZ:HZ,[2]GAE!IB:IB)</f>
        <v>DOE - Transportation and Travel - Local &amp; Foreign</v>
      </c>
      <c r="AU64" t="s">
        <v>341</v>
      </c>
      <c r="AV64">
        <v>81319101</v>
      </c>
      <c r="AW64">
        <v>52081101</v>
      </c>
      <c r="AX64" t="str">
        <f>_xlfn.XLOOKUP(AU64,[2]GAE!HZ:HZ,[2]GAE!IF:IF)</f>
        <v>Others</v>
      </c>
      <c r="AY64" t="str">
        <f>_xlfn.XLOOKUP(AU64,[2]GAE!HZ:HZ,[2]GAE!IG:IG)</f>
        <v>Transportation &amp; Travel</v>
      </c>
      <c r="BC64" t="s">
        <v>16</v>
      </c>
      <c r="BD64" s="30" t="s">
        <v>342</v>
      </c>
      <c r="BE64" s="30"/>
      <c r="BF64" t="s">
        <v>15</v>
      </c>
      <c r="BG64" s="2" t="s">
        <v>16</v>
      </c>
      <c r="BI64" s="10">
        <f>SUMIFS('[1]2026'!$K:$K,'[1]2026'!$T:$T,$BD64,'[1]2026'!$S:$S,BI$3,'[1]2026'!$P:$P,$AU64)</f>
        <v>2026</v>
      </c>
      <c r="BJ64" s="10">
        <f>SUMIFS('[1]2026'!$K:$K,'[1]2026'!$T:$T,$BD64,'[1]2026'!$S:$S,BJ$3,'[1]2026'!$P:$P,$AU64)</f>
        <v>0</v>
      </c>
      <c r="BK64" s="10">
        <f>SUMIFS('[1]2026'!$K:$K,'[1]2026'!$T:$T,$BD64,'[1]2026'!$S:$S,BK$3,'[1]2026'!$P:$P,$AU64)</f>
        <v>0</v>
      </c>
      <c r="BL64" s="10">
        <f>SUMIFS('[1]2026'!$K:$K,'[1]2026'!$T:$T,$BD64,'[1]2026'!$S:$S,BL$3,'[1]2026'!$P:$P,$AU64)</f>
        <v>0</v>
      </c>
      <c r="BM64" s="10">
        <f>SUMIFS('[1]2026'!$K:$K,'[1]2026'!$T:$T,$BD64,'[1]2026'!$S:$S,BM$3,'[1]2026'!$P:$P,$AU64)</f>
        <v>0</v>
      </c>
      <c r="BN64" s="10">
        <f>SUMIFS('[1]2026'!$K:$K,'[1]2026'!$T:$T,$BD64,'[1]2026'!$S:$S,BN$3,'[1]2026'!$P:$P,$AU64)</f>
        <v>0</v>
      </c>
      <c r="BO64" s="10">
        <f>SUMIFS('[1]2026'!$K:$K,'[1]2026'!$T:$T,$BD64,'[1]2026'!$S:$S,BO$3,'[1]2026'!$P:$P,$AU64)</f>
        <v>0</v>
      </c>
      <c r="BP64" s="6"/>
      <c r="BQ64" s="6"/>
      <c r="BR64" s="6"/>
      <c r="BS64" s="6"/>
      <c r="BT64" s="6">
        <f t="shared" si="10"/>
        <v>2026</v>
      </c>
      <c r="BV64" s="6">
        <f t="shared" si="17"/>
        <v>0</v>
      </c>
      <c r="BW64" s="6">
        <f t="shared" si="18"/>
        <v>2026</v>
      </c>
      <c r="BX64" s="6">
        <f t="shared" si="19"/>
        <v>0</v>
      </c>
      <c r="BY64" s="6">
        <f t="shared" si="20"/>
        <v>0</v>
      </c>
      <c r="BZ64" s="6">
        <f t="shared" si="21"/>
        <v>0</v>
      </c>
      <c r="CA64" s="6">
        <f t="shared" si="22"/>
        <v>0</v>
      </c>
      <c r="CB64" s="6">
        <f t="shared" si="23"/>
        <v>0</v>
      </c>
      <c r="CC64" s="6">
        <f t="shared" si="24"/>
        <v>0</v>
      </c>
      <c r="CD64" s="6">
        <f t="shared" si="25"/>
        <v>0</v>
      </c>
      <c r="CE64" s="6">
        <f t="shared" si="26"/>
        <v>0</v>
      </c>
      <c r="CF64" s="6">
        <f t="shared" si="27"/>
        <v>0</v>
      </c>
      <c r="CG64" s="6">
        <f t="shared" si="28"/>
        <v>0</v>
      </c>
      <c r="CH64" s="6">
        <f t="shared" si="31"/>
        <v>2026</v>
      </c>
    </row>
    <row r="65" spans="1:86" hidden="1" x14ac:dyDescent="0.35">
      <c r="AN65" s="27">
        <f t="shared" si="32"/>
        <v>0</v>
      </c>
      <c r="AS65" t="str">
        <f>_xlfn.XLOOKUP(AU65,[2]GAE!HZ:HZ,[2]GAE!IA:IA)</f>
        <v>OMD OPERATIONS</v>
      </c>
      <c r="AT65" t="str">
        <f>_xlfn.XLOOKUP(AU65,[2]GAE!HZ:HZ,[2]GAE!IB:IB)</f>
        <v>DOE - Transportation and Travel - Local &amp; Foreign</v>
      </c>
      <c r="AU65" t="s">
        <v>341</v>
      </c>
      <c r="AV65">
        <v>81319101</v>
      </c>
      <c r="AW65">
        <v>52081101</v>
      </c>
      <c r="AX65" t="str">
        <f>_xlfn.XLOOKUP(AU65,[2]GAE!HZ:HZ,[2]GAE!IF:IF)</f>
        <v>Others</v>
      </c>
      <c r="AY65" t="str">
        <f>_xlfn.XLOOKUP(AU65,[2]GAE!HZ:HZ,[2]GAE!IG:IG)</f>
        <v>Transportation &amp; Travel</v>
      </c>
      <c r="BC65" t="s">
        <v>18</v>
      </c>
      <c r="BD65" s="30" t="s">
        <v>297</v>
      </c>
      <c r="BE65" s="30"/>
      <c r="BF65" t="s">
        <v>15</v>
      </c>
      <c r="BG65" s="2" t="s">
        <v>18</v>
      </c>
      <c r="BJ65" s="10">
        <f>SUMIFS('[1]2026'!$K:$K,'[1]2026'!$T:$T,$BD65,'[1]2026'!$S:$S,BJ$3,'[1]2026'!$P:$P,$AU65)</f>
        <v>286</v>
      </c>
      <c r="BK65" s="10">
        <f>SUMIFS('[1]2026'!$K:$K,'[1]2026'!$T:$T,$BD65,'[1]2026'!$S:$S,BK$3,'[1]2026'!$P:$P,$AU65)</f>
        <v>0</v>
      </c>
      <c r="BL65" s="10">
        <f>SUMIFS('[1]2026'!$K:$K,'[1]2026'!$T:$T,$BD65,'[1]2026'!$S:$S,BL$3,'[1]2026'!$P:$P,$AU65)</f>
        <v>0</v>
      </c>
      <c r="BM65" s="10">
        <f>SUMIFS('[1]2026'!$K:$K,'[1]2026'!$T:$T,$BD65,'[1]2026'!$S:$S,BM$3,'[1]2026'!$P:$P,$AU65)</f>
        <v>0</v>
      </c>
      <c r="BN65" s="10">
        <f>SUMIFS('[1]2026'!$K:$K,'[1]2026'!$T:$T,$BD65,'[1]2026'!$S:$S,BN$3,'[1]2026'!$P:$P,$AU65)</f>
        <v>0</v>
      </c>
      <c r="BO65" s="10">
        <f>SUMIFS('[1]2026'!$K:$K,'[1]2026'!$T:$T,$BD65,'[1]2026'!$S:$S,BO$3,'[1]2026'!$P:$P,$AU65)</f>
        <v>0</v>
      </c>
      <c r="BP65" s="6"/>
      <c r="BQ65" s="6"/>
      <c r="BR65" s="6"/>
      <c r="BS65" s="6"/>
      <c r="BT65" s="6">
        <f t="shared" si="10"/>
        <v>286</v>
      </c>
      <c r="BV65" s="6">
        <f t="shared" si="17"/>
        <v>0</v>
      </c>
      <c r="BW65" s="6">
        <f t="shared" si="18"/>
        <v>0</v>
      </c>
      <c r="BX65" s="6">
        <f t="shared" si="19"/>
        <v>286</v>
      </c>
      <c r="BY65" s="6">
        <f t="shared" si="20"/>
        <v>0</v>
      </c>
      <c r="BZ65" s="6">
        <f t="shared" si="21"/>
        <v>0</v>
      </c>
      <c r="CA65" s="6">
        <f t="shared" si="22"/>
        <v>0</v>
      </c>
      <c r="CB65" s="6">
        <f t="shared" si="23"/>
        <v>0</v>
      </c>
      <c r="CC65" s="6">
        <f t="shared" si="24"/>
        <v>0</v>
      </c>
      <c r="CD65" s="6">
        <f t="shared" si="25"/>
        <v>0</v>
      </c>
      <c r="CE65" s="6">
        <f t="shared" si="26"/>
        <v>0</v>
      </c>
      <c r="CF65" s="6">
        <f t="shared" si="27"/>
        <v>0</v>
      </c>
      <c r="CG65" s="6">
        <f t="shared" si="28"/>
        <v>0</v>
      </c>
      <c r="CH65" s="6">
        <f t="shared" si="31"/>
        <v>286</v>
      </c>
    </row>
    <row r="66" spans="1:86" hidden="1" x14ac:dyDescent="0.35">
      <c r="A66" s="3" t="s">
        <v>343</v>
      </c>
      <c r="D66" s="10">
        <v>30000</v>
      </c>
      <c r="G66" s="10">
        <v>30000</v>
      </c>
      <c r="J66" s="10">
        <v>30000</v>
      </c>
      <c r="M66" s="10">
        <v>30000</v>
      </c>
      <c r="N66" s="27">
        <f t="shared" si="5"/>
        <v>120000</v>
      </c>
      <c r="AA66" s="27">
        <f t="shared" si="6"/>
        <v>0</v>
      </c>
      <c r="AB66" s="10">
        <f t="shared" si="30"/>
        <v>0</v>
      </c>
      <c r="AC66" s="10">
        <f t="shared" si="30"/>
        <v>0</v>
      </c>
      <c r="AD66" s="10">
        <f t="shared" si="30"/>
        <v>30000</v>
      </c>
      <c r="AE66" s="10">
        <f t="shared" si="30"/>
        <v>0</v>
      </c>
      <c r="AF66" s="10">
        <f t="shared" si="30"/>
        <v>0</v>
      </c>
      <c r="AG66" s="10">
        <f t="shared" si="30"/>
        <v>30000</v>
      </c>
      <c r="AH66" s="10">
        <f t="shared" si="30"/>
        <v>0</v>
      </c>
      <c r="AI66" s="10">
        <f t="shared" si="30"/>
        <v>0</v>
      </c>
      <c r="AJ66" s="10">
        <f t="shared" si="30"/>
        <v>30000</v>
      </c>
      <c r="AK66" s="10">
        <f t="shared" si="30"/>
        <v>0</v>
      </c>
      <c r="AL66" s="10">
        <f t="shared" si="30"/>
        <v>0</v>
      </c>
      <c r="AM66" s="10">
        <f t="shared" si="30"/>
        <v>30000</v>
      </c>
      <c r="AN66" s="27">
        <f t="shared" si="30"/>
        <v>120000</v>
      </c>
      <c r="AS66" t="str">
        <f>_xlfn.XLOOKUP(AU66,[2]GAE!HZ:HZ,[2]GAE!IA:IA)</f>
        <v>ADMIN SERVICES</v>
      </c>
      <c r="AT66" t="str">
        <f>_xlfn.XLOOKUP(AU66,[2]GAE!HZ:HZ,[2]GAE!IB:IB)</f>
        <v>GAE - Dues &amp; Fees</v>
      </c>
      <c r="AU66" t="s">
        <v>344</v>
      </c>
      <c r="AV66">
        <v>80123102</v>
      </c>
      <c r="AW66">
        <v>61711101</v>
      </c>
      <c r="AX66" t="str">
        <f>_xlfn.XLOOKUP(AU66,[2]GAE!HZ:HZ,[2]GAE!IF:IF)</f>
        <v>Others</v>
      </c>
      <c r="AY66" t="str">
        <f>_xlfn.XLOOKUP(AU66,[2]GAE!HZ:HZ,[2]GAE!IG:IG)</f>
        <v>Dues and Fees</v>
      </c>
      <c r="BA66" t="s">
        <v>345</v>
      </c>
      <c r="BF66" t="s">
        <v>7</v>
      </c>
      <c r="BG66" t="s">
        <v>346</v>
      </c>
      <c r="BH66" s="10">
        <f>SUMIFS('[1]2026'!$K:$K,'[1]2026'!$T:$T,BD66,'[1]2026'!$S:$S,BH$3,'[1]2026'!$P:$P,AU66)</f>
        <v>0</v>
      </c>
      <c r="BI66" s="10">
        <f>SUMIFS('[1]2026'!$K:$K,'[1]2026'!$T:$T,$BD66,'[1]2026'!$S:$S,BI$3,'[1]2026'!$P:$P,$AU66)</f>
        <v>0</v>
      </c>
      <c r="BJ66" s="10">
        <f>SUMIFS('[1]2026'!$K:$K,'[1]2026'!$T:$T,$BD66,'[1]2026'!$S:$S,BJ$3,'[1]2026'!$P:$P,$AU66)</f>
        <v>0</v>
      </c>
      <c r="BK66" s="10">
        <f>SUMIFS('[1]2026'!$K:$K,'[1]2026'!$T:$T,$BD66,'[1]2026'!$S:$S,BK$3,'[1]2026'!$P:$P,$AU66)</f>
        <v>0</v>
      </c>
      <c r="BL66" s="10">
        <f>SUMIFS('[1]2026'!$K:$K,'[1]2026'!$T:$T,$BD66,'[1]2026'!$S:$S,BL$3,'[1]2026'!$P:$P,$AU66)</f>
        <v>0</v>
      </c>
      <c r="BM66" s="10">
        <f>SUMIFS('[1]2026'!$K:$K,'[1]2026'!$T:$T,$BD66,'[1]2026'!$S:$S,BM$3,'[1]2026'!$P:$P,$AU66)</f>
        <v>0</v>
      </c>
      <c r="BN66" s="10">
        <f>SUMIFS('[1]2026'!$K:$K,'[1]2026'!$T:$T,$BD66,'[1]2026'!$S:$S,BN$3,'[1]2026'!$P:$P,$AU66)</f>
        <v>0</v>
      </c>
      <c r="BO66" s="10">
        <f>SUMIFS('[1]2026'!$K:$K,'[1]2026'!$T:$T,$BD66,'[1]2026'!$S:$S,BO$3,'[1]2026'!$P:$P,$AU66)</f>
        <v>0</v>
      </c>
      <c r="BP66" s="6">
        <v>30000</v>
      </c>
      <c r="BQ66" s="6">
        <v>30000</v>
      </c>
      <c r="BR66" s="6">
        <v>30000</v>
      </c>
      <c r="BS66" s="6">
        <v>30000</v>
      </c>
      <c r="BT66" s="6">
        <f t="shared" si="10"/>
        <v>120000</v>
      </c>
      <c r="BV66" s="6">
        <f t="shared" si="17"/>
        <v>0</v>
      </c>
      <c r="BW66" s="6">
        <f t="shared" si="18"/>
        <v>0</v>
      </c>
      <c r="BX66" s="6">
        <f t="shared" si="19"/>
        <v>-30000</v>
      </c>
      <c r="BY66" s="6">
        <f t="shared" si="20"/>
        <v>0</v>
      </c>
      <c r="BZ66" s="6">
        <f t="shared" si="21"/>
        <v>0</v>
      </c>
      <c r="CA66" s="6">
        <f t="shared" si="22"/>
        <v>-30000</v>
      </c>
      <c r="CB66" s="6">
        <f t="shared" si="23"/>
        <v>0</v>
      </c>
      <c r="CC66" s="6">
        <f t="shared" si="24"/>
        <v>0</v>
      </c>
      <c r="CD66" s="6">
        <f t="shared" si="25"/>
        <v>0</v>
      </c>
      <c r="CE66" s="6">
        <f t="shared" si="26"/>
        <v>30000</v>
      </c>
      <c r="CF66" s="6">
        <f t="shared" si="27"/>
        <v>30000</v>
      </c>
      <c r="CG66" s="6">
        <f t="shared" si="28"/>
        <v>0</v>
      </c>
      <c r="CH66" s="6">
        <f t="shared" si="31"/>
        <v>0</v>
      </c>
    </row>
    <row r="67" spans="1:86" hidden="1" x14ac:dyDescent="0.35">
      <c r="A67" s="3" t="s">
        <v>347</v>
      </c>
      <c r="B67" s="10">
        <v>58333.333333333336</v>
      </c>
      <c r="C67" s="10">
        <v>58333.333333333336</v>
      </c>
      <c r="D67" s="10">
        <v>58333.333333333336</v>
      </c>
      <c r="E67" s="10">
        <v>58333.333333333336</v>
      </c>
      <c r="F67" s="10">
        <v>58333.333333333336</v>
      </c>
      <c r="G67" s="10">
        <v>58333.333333333336</v>
      </c>
      <c r="H67" s="10">
        <v>58333.333333333336</v>
      </c>
      <c r="I67" s="10">
        <v>58333.333333333336</v>
      </c>
      <c r="J67" s="10">
        <v>58333.333333333336</v>
      </c>
      <c r="K67" s="10">
        <v>58333.333333333336</v>
      </c>
      <c r="L67" s="10">
        <v>58333.333333333336</v>
      </c>
      <c r="M67" s="10">
        <v>58333.333333333336</v>
      </c>
      <c r="N67" s="27">
        <f t="shared" si="5"/>
        <v>700000.00000000012</v>
      </c>
      <c r="AA67" s="27">
        <f t="shared" si="6"/>
        <v>0</v>
      </c>
      <c r="AB67" s="10">
        <f t="shared" si="30"/>
        <v>58333.333333333336</v>
      </c>
      <c r="AC67" s="10">
        <f t="shared" si="30"/>
        <v>58333.333333333336</v>
      </c>
      <c r="AD67" s="10">
        <f t="shared" si="30"/>
        <v>58333.333333333336</v>
      </c>
      <c r="AE67" s="10">
        <f t="shared" si="30"/>
        <v>58333.333333333336</v>
      </c>
      <c r="AF67" s="10">
        <f t="shared" si="30"/>
        <v>58333.333333333336</v>
      </c>
      <c r="AG67" s="10">
        <f t="shared" si="30"/>
        <v>58333.333333333336</v>
      </c>
      <c r="AH67" s="10">
        <f t="shared" si="30"/>
        <v>58333.333333333336</v>
      </c>
      <c r="AI67" s="10">
        <f t="shared" si="30"/>
        <v>58333.333333333336</v>
      </c>
      <c r="AJ67" s="10">
        <f t="shared" si="30"/>
        <v>58333.333333333336</v>
      </c>
      <c r="AK67" s="10">
        <f t="shared" si="30"/>
        <v>58333.333333333336</v>
      </c>
      <c r="AL67" s="10">
        <f t="shared" si="30"/>
        <v>58333.333333333336</v>
      </c>
      <c r="AM67" s="10">
        <f t="shared" si="30"/>
        <v>58333.333333333336</v>
      </c>
      <c r="AN67" s="27">
        <f t="shared" si="30"/>
        <v>700000.00000000012</v>
      </c>
      <c r="AO67" s="28">
        <v>1448494.72</v>
      </c>
      <c r="AS67" t="str">
        <f>_xlfn.XLOOKUP(AU67,[2]GAE!HZ:HZ,[2]GAE!IA:IA)</f>
        <v>ADMIN SERVICES</v>
      </c>
      <c r="AT67" t="str">
        <f>_xlfn.XLOOKUP(AU67,[2]GAE!HZ:HZ,[2]GAE!IB:IB)</f>
        <v>GAE - Repairs&amp; Maint. - Building &amp; Improvements</v>
      </c>
      <c r="AU67" t="s">
        <v>348</v>
      </c>
      <c r="AV67">
        <v>80123102</v>
      </c>
      <c r="AW67">
        <v>61061101</v>
      </c>
      <c r="AX67" t="str">
        <f>_xlfn.XLOOKUP(AU67,[2]GAE!HZ:HZ,[2]GAE!IF:IF)</f>
        <v>Others</v>
      </c>
      <c r="AY67" t="str">
        <f>_xlfn.XLOOKUP(AU67,[2]GAE!HZ:HZ,[2]GAE!IG:IG)</f>
        <v>Repairs &amp; Maintenance</v>
      </c>
      <c r="BA67" t="s">
        <v>349</v>
      </c>
      <c r="BC67" t="s">
        <v>20</v>
      </c>
      <c r="BD67" t="s">
        <v>347</v>
      </c>
      <c r="BF67" t="s">
        <v>19</v>
      </c>
      <c r="BG67" s="2" t="s">
        <v>20</v>
      </c>
      <c r="BH67" s="10">
        <f>SUMIFS('[1]2026'!$K:$K,'[1]2026'!$T:$T,BD67,'[1]2026'!$S:$S,BH$3,'[1]2026'!$P:$P,AU67)</f>
        <v>0</v>
      </c>
      <c r="BI67" s="10">
        <f>SUMIFS('[1]2026'!$K:$K,'[1]2026'!$T:$T,$BD67,'[1]2026'!$S:$S,BI$3,'[1]2026'!$P:$P,$AU67)</f>
        <v>0</v>
      </c>
      <c r="BJ67" s="10">
        <f>SUMIFS('[1]2026'!$K:$K,'[1]2026'!$T:$T,$BD67,'[1]2026'!$S:$S,BJ$3,'[1]2026'!$P:$P,$AU67)</f>
        <v>0</v>
      </c>
      <c r="BK67" s="10">
        <f>SUMIFS('[1]2026'!$K:$K,'[1]2026'!$T:$T,$BD67,'[1]2026'!$S:$S,BK$3,'[1]2026'!$P:$P,$AU67)</f>
        <v>0</v>
      </c>
      <c r="BL67" s="10">
        <f>SUMIFS('[1]2026'!$K:$K,'[1]2026'!$T:$T,$BD67,'[1]2026'!$S:$S,BL$3,'[1]2026'!$P:$P,$AU67)</f>
        <v>0</v>
      </c>
      <c r="BM67" s="10">
        <f>SUMIFS('[1]2026'!$K:$K,'[1]2026'!$T:$T,$BD67,'[1]2026'!$S:$S,BM$3,'[1]2026'!$P:$P,$AU67)</f>
        <v>0</v>
      </c>
      <c r="BN67" s="10">
        <f>SUMIFS('[1]2026'!$K:$K,'[1]2026'!$T:$T,$BD67,'[1]2026'!$S:$S,BN$3,'[1]2026'!$P:$P,$AU67)</f>
        <v>0</v>
      </c>
      <c r="BO67" s="10">
        <f>SUMIFS('[1]2026'!$K:$K,'[1]2026'!$T:$T,$BD67,'[1]2026'!$S:$S,BO$3,'[1]2026'!$P:$P,$AU67)</f>
        <v>0</v>
      </c>
      <c r="BP67" s="6">
        <v>100000</v>
      </c>
      <c r="BQ67" s="6">
        <v>100000</v>
      </c>
      <c r="BR67" s="6">
        <v>100000</v>
      </c>
      <c r="BS67" s="6">
        <v>100000</v>
      </c>
      <c r="BT67" s="6">
        <f t="shared" si="10"/>
        <v>400000</v>
      </c>
      <c r="BV67" s="6">
        <f t="shared" si="17"/>
        <v>-58333.333333333336</v>
      </c>
      <c r="BW67" s="6">
        <f t="shared" si="18"/>
        <v>-58333.333333333336</v>
      </c>
      <c r="BX67" s="6">
        <f t="shared" si="19"/>
        <v>-58333.333333333336</v>
      </c>
      <c r="BY67" s="6">
        <f t="shared" si="20"/>
        <v>-58333.333333333336</v>
      </c>
      <c r="BZ67" s="6">
        <f t="shared" si="21"/>
        <v>-58333.333333333336</v>
      </c>
      <c r="CA67" s="6">
        <f t="shared" si="22"/>
        <v>-58333.333333333336</v>
      </c>
      <c r="CB67" s="6">
        <f t="shared" si="23"/>
        <v>-58333.333333333336</v>
      </c>
      <c r="CC67" s="6">
        <f t="shared" si="24"/>
        <v>-58333.333333333336</v>
      </c>
      <c r="CD67" s="6">
        <f t="shared" si="25"/>
        <v>41666.666666666664</v>
      </c>
      <c r="CE67" s="6">
        <f t="shared" si="26"/>
        <v>41666.666666666664</v>
      </c>
      <c r="CF67" s="6">
        <f t="shared" si="27"/>
        <v>41666.666666666664</v>
      </c>
      <c r="CG67" s="6">
        <f t="shared" si="28"/>
        <v>41666.666666666664</v>
      </c>
      <c r="CH67" s="6">
        <f t="shared" si="31"/>
        <v>-300000.00000000012</v>
      </c>
    </row>
    <row r="68" spans="1:86" hidden="1" x14ac:dyDescent="0.35">
      <c r="A68" t="s">
        <v>347</v>
      </c>
      <c r="AN68" s="27">
        <f>N68-AA68</f>
        <v>0</v>
      </c>
      <c r="AS68" t="str">
        <f>_xlfn.XLOOKUP(AU68,[2]GAE!HZ:HZ,[2]GAE!IA:IA)</f>
        <v>ADMIN SERVICES</v>
      </c>
      <c r="AT68" t="str">
        <f>_xlfn.XLOOKUP(AU68,[2]GAE!HZ:HZ,[2]GAE!IB:IB)</f>
        <v>DOE - Repairs &amp; Maint. - Building</v>
      </c>
      <c r="AU68" s="2" t="s">
        <v>350</v>
      </c>
      <c r="AV68" s="2">
        <v>81123102</v>
      </c>
      <c r="AW68" s="2">
        <v>52061103</v>
      </c>
      <c r="AX68" t="str">
        <f>_xlfn.XLOOKUP(AU68,[2]GAE!HZ:HZ,[2]GAE!IF:IF)</f>
        <v>Others</v>
      </c>
      <c r="AY68" t="str">
        <f>_xlfn.XLOOKUP(AU68,[2]GAE!HZ:HZ,[2]GAE!IG:IG)</f>
        <v>Repairs &amp; Maintenance</v>
      </c>
      <c r="BD68" t="s">
        <v>347</v>
      </c>
      <c r="BF68" t="s">
        <v>19</v>
      </c>
      <c r="BG68" s="2" t="s">
        <v>20</v>
      </c>
      <c r="BH68" s="10">
        <f>SUMIFS('[1]2026'!$K:$K,'[1]2026'!$T:$T,BD68,'[1]2026'!$S:$S,BH$3,'[1]2026'!$P:$P,AU68)</f>
        <v>0</v>
      </c>
      <c r="BI68" s="10">
        <f>SUMIFS('[1]2026'!$K:$K,'[1]2026'!$T:$T,$BD68,'[1]2026'!$S:$S,BI$3,'[1]2026'!$P:$P,$AU68)</f>
        <v>0</v>
      </c>
      <c r="BJ68" s="10">
        <f>SUMIFS('[1]2026'!$K:$K,'[1]2026'!$T:$T,$BD68,'[1]2026'!$S:$S,BJ$3,'[1]2026'!$P:$P,$AU68)</f>
        <v>0</v>
      </c>
      <c r="BK68" s="10">
        <f>SUMIFS('[1]2026'!$K:$K,'[1]2026'!$T:$T,$BD68,'[1]2026'!$S:$S,BK$3,'[1]2026'!$P:$P,$AU68)</f>
        <v>8973.2099999999991</v>
      </c>
      <c r="BL68" s="10">
        <f>SUMIFS('[1]2026'!$K:$K,'[1]2026'!$T:$T,$BD68,'[1]2026'!$S:$S,BL$3,'[1]2026'!$P:$P,$AU68)</f>
        <v>-7477.6699999999983</v>
      </c>
      <c r="BM68" s="10">
        <f>SUMIFS('[1]2026'!$K:$K,'[1]2026'!$T:$T,$BD68,'[1]2026'!$S:$S,BM$3,'[1]2026'!$P:$P,$AU68)</f>
        <v>2243.3000000000002</v>
      </c>
      <c r="BN68" s="10">
        <f>SUMIFS('[1]2026'!$K:$K,'[1]2026'!$T:$T,$BD68,'[1]2026'!$S:$S,BN$3,'[1]2026'!$P:$P,$AU68)</f>
        <v>4486.6099999999997</v>
      </c>
      <c r="BO68" s="10">
        <f>SUMIFS('[1]2026'!$K:$K,'[1]2026'!$T:$T,$BD68,'[1]2026'!$S:$S,BO$3,'[1]2026'!$P:$P,$AU68)</f>
        <v>747.77</v>
      </c>
      <c r="BP68" s="6"/>
      <c r="BQ68" s="6"/>
      <c r="BR68" s="6"/>
      <c r="BS68" s="6"/>
      <c r="BT68" s="6">
        <f t="shared" si="10"/>
        <v>8973.2200000000012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>
        <f t="shared" si="31"/>
        <v>8973.2200000000012</v>
      </c>
    </row>
    <row r="69" spans="1:86" hidden="1" x14ac:dyDescent="0.35">
      <c r="A69" s="3" t="s">
        <v>351</v>
      </c>
      <c r="D69" s="10">
        <v>150000</v>
      </c>
      <c r="G69" s="10">
        <v>150000</v>
      </c>
      <c r="J69" s="10">
        <v>150000</v>
      </c>
      <c r="M69" s="10">
        <v>150000</v>
      </c>
      <c r="N69" s="27">
        <f t="shared" ref="N69:N95" si="33">SUM(B69:M69)</f>
        <v>600000</v>
      </c>
      <c r="AA69" s="27">
        <f t="shared" si="6"/>
        <v>0</v>
      </c>
      <c r="AB69" s="10">
        <f t="shared" si="30"/>
        <v>0</v>
      </c>
      <c r="AC69" s="10">
        <f t="shared" si="30"/>
        <v>0</v>
      </c>
      <c r="AD69" s="10">
        <f t="shared" si="30"/>
        <v>150000</v>
      </c>
      <c r="AE69" s="10">
        <f t="shared" si="30"/>
        <v>0</v>
      </c>
      <c r="AF69" s="10">
        <f t="shared" si="30"/>
        <v>0</v>
      </c>
      <c r="AG69" s="10">
        <f t="shared" si="30"/>
        <v>150000</v>
      </c>
      <c r="AH69" s="10">
        <f t="shared" si="30"/>
        <v>0</v>
      </c>
      <c r="AI69" s="10">
        <f t="shared" si="30"/>
        <v>0</v>
      </c>
      <c r="AJ69" s="10">
        <f t="shared" si="30"/>
        <v>150000</v>
      </c>
      <c r="AK69" s="10">
        <f t="shared" si="30"/>
        <v>0</v>
      </c>
      <c r="AL69" s="10">
        <f t="shared" si="30"/>
        <v>0</v>
      </c>
      <c r="AM69" s="10">
        <f t="shared" si="30"/>
        <v>150000</v>
      </c>
      <c r="AN69" s="27">
        <f t="shared" si="30"/>
        <v>600000</v>
      </c>
      <c r="AS69" t="str">
        <f>_xlfn.XLOOKUP(AU69,[2]GAE!HZ:HZ,[2]GAE!IA:IA)</f>
        <v>ADMIN SERVICES</v>
      </c>
      <c r="AT69" t="str">
        <f>_xlfn.XLOOKUP(AU69,[2]GAE!HZ:HZ,[2]GAE!IB:IB)</f>
        <v>GAE - Repairs&amp; Maint - Furniture, Fixture &amp; Equip</v>
      </c>
      <c r="AU69" t="s">
        <v>352</v>
      </c>
      <c r="AV69">
        <v>80123102</v>
      </c>
      <c r="AW69">
        <v>61061102</v>
      </c>
      <c r="AX69" t="str">
        <f>_xlfn.XLOOKUP(AU69,[2]GAE!HZ:HZ,[2]GAE!IF:IF)</f>
        <v>Others</v>
      </c>
      <c r="AY69" t="str">
        <f>_xlfn.XLOOKUP(AU69,[2]GAE!HZ:HZ,[2]GAE!IG:IG)</f>
        <v>Repairs &amp; Maintenance</v>
      </c>
      <c r="BA69" t="s">
        <v>349</v>
      </c>
      <c r="BC69" t="s">
        <v>21</v>
      </c>
      <c r="BD69" t="s">
        <v>353</v>
      </c>
      <c r="BF69" t="s">
        <v>19</v>
      </c>
      <c r="BG69" s="2" t="s">
        <v>21</v>
      </c>
      <c r="BH69" s="10">
        <f>SUMIFS('[1]2026'!$K:$K,'[1]2026'!$T:$T,BD69,'[1]2026'!$S:$S,BH$3,'[1]2026'!$P:$P,AU69)</f>
        <v>0</v>
      </c>
      <c r="BI69" s="10">
        <f>SUMIFS('[1]2026'!$K:$K,'[1]2026'!$T:$T,$BD69,'[1]2026'!$S:$S,BI$3,'[1]2026'!$P:$P,$AU69)</f>
        <v>0</v>
      </c>
      <c r="BJ69" s="10">
        <f>SUMIFS('[1]2026'!$K:$K,'[1]2026'!$T:$T,$BD69,'[1]2026'!$S:$S,BJ$3,'[1]2026'!$P:$P,$AU69)</f>
        <v>0</v>
      </c>
      <c r="BK69" s="10">
        <f>SUMIFS('[1]2026'!$K:$K,'[1]2026'!$T:$T,$BD69,'[1]2026'!$S:$S,BK$3,'[1]2026'!$P:$P,$AU69)</f>
        <v>0</v>
      </c>
      <c r="BL69" s="10">
        <f>SUMIFS('[1]2026'!$K:$K,'[1]2026'!$T:$T,$BD69,'[1]2026'!$S:$S,BL$3,'[1]2026'!$P:$P,$AU69)</f>
        <v>0</v>
      </c>
      <c r="BM69" s="10">
        <f>SUMIFS('[1]2026'!$K:$K,'[1]2026'!$T:$T,$BD69,'[1]2026'!$S:$S,BM$3,'[1]2026'!$P:$P,$AU69)</f>
        <v>0</v>
      </c>
      <c r="BN69" s="10">
        <f>SUMIFS('[1]2026'!$K:$K,'[1]2026'!$T:$T,$BD69,'[1]2026'!$S:$S,BN$3,'[1]2026'!$P:$P,$AU69)</f>
        <v>0</v>
      </c>
      <c r="BO69" s="10">
        <f>SUMIFS('[1]2026'!$K:$K,'[1]2026'!$T:$T,$BD69,'[1]2026'!$S:$S,BO$3,'[1]2026'!$P:$P,$AU69)</f>
        <v>0</v>
      </c>
      <c r="BP69" s="6"/>
      <c r="BQ69" s="6"/>
      <c r="BR69" s="6"/>
      <c r="BS69" s="6"/>
      <c r="BT69" s="6">
        <f t="shared" si="10"/>
        <v>0</v>
      </c>
      <c r="BV69" s="6">
        <f t="shared" ref="BV69:CG69" si="34">BH69-AB69</f>
        <v>0</v>
      </c>
      <c r="BW69" s="6">
        <f t="shared" si="34"/>
        <v>0</v>
      </c>
      <c r="BX69" s="6">
        <f t="shared" si="34"/>
        <v>-150000</v>
      </c>
      <c r="BY69" s="6">
        <f t="shared" si="34"/>
        <v>0</v>
      </c>
      <c r="BZ69" s="6">
        <f t="shared" si="34"/>
        <v>0</v>
      </c>
      <c r="CA69" s="6">
        <f t="shared" si="34"/>
        <v>-150000</v>
      </c>
      <c r="CB69" s="6">
        <f t="shared" si="34"/>
        <v>0</v>
      </c>
      <c r="CC69" s="6">
        <f t="shared" si="34"/>
        <v>0</v>
      </c>
      <c r="CD69" s="6">
        <f t="shared" si="34"/>
        <v>-150000</v>
      </c>
      <c r="CE69" s="6">
        <f t="shared" si="34"/>
        <v>0</v>
      </c>
      <c r="CF69" s="6">
        <f t="shared" si="34"/>
        <v>0</v>
      </c>
      <c r="CG69" s="6">
        <f t="shared" si="34"/>
        <v>-150000</v>
      </c>
      <c r="CH69" s="6">
        <f t="shared" si="31"/>
        <v>-600000</v>
      </c>
    </row>
    <row r="70" spans="1:86" hidden="1" x14ac:dyDescent="0.35">
      <c r="A70" s="3" t="s">
        <v>351</v>
      </c>
      <c r="AN70" s="27">
        <f>N70-AA70</f>
        <v>0</v>
      </c>
      <c r="AS70" t="str">
        <f>_xlfn.XLOOKUP(AU70,[2]GAE!HZ:HZ,[2]GAE!IA:IA)</f>
        <v>ADMIN SERVICES</v>
      </c>
      <c r="AT70" t="str">
        <f>_xlfn.XLOOKUP(AU70,[2]GAE!HZ:HZ,[2]GAE!IB:IB)</f>
        <v>DOE - Repairs &amp; Maint. - Building</v>
      </c>
      <c r="AU70" s="2" t="s">
        <v>350</v>
      </c>
      <c r="AV70" s="2">
        <v>81123102</v>
      </c>
      <c r="AW70" s="2">
        <v>52061103</v>
      </c>
      <c r="AX70" t="str">
        <f>_xlfn.XLOOKUP(AU70,[2]GAE!HZ:HZ,[2]GAE!IF:IF)</f>
        <v>Others</v>
      </c>
      <c r="AY70" t="str">
        <f>_xlfn.XLOOKUP(AU70,[2]GAE!HZ:HZ,[2]GAE!IG:IG)</f>
        <v>Repairs &amp; Maintenance</v>
      </c>
      <c r="BD70" t="s">
        <v>353</v>
      </c>
      <c r="BF70" t="s">
        <v>19</v>
      </c>
      <c r="BG70" s="2" t="s">
        <v>21</v>
      </c>
      <c r="BH70" s="10">
        <f>SUMIFS('[1]2026'!$K:$K,'[1]2026'!$T:$T,BD70,'[1]2026'!$S:$S,BH$3,'[1]2026'!$P:$P,AU70)</f>
        <v>0</v>
      </c>
      <c r="BI70" s="10">
        <f>SUMIFS('[1]2026'!$K:$K,'[1]2026'!$T:$T,$BD70,'[1]2026'!$S:$S,BI$3,'[1]2026'!$P:$P,$AU70)</f>
        <v>0</v>
      </c>
      <c r="BJ70" s="10">
        <f>SUMIFS('[1]2026'!$K:$K,'[1]2026'!$T:$T,$BD70,'[1]2026'!$S:$S,BJ$3,'[1]2026'!$P:$P,$AU70)</f>
        <v>0</v>
      </c>
      <c r="BK70" s="10">
        <f>SUMIFS('[1]2026'!$K:$K,'[1]2026'!$T:$T,$BD70,'[1]2026'!$S:$S,BK$3,'[1]2026'!$P:$P,$AU70)</f>
        <v>61607.14</v>
      </c>
      <c r="BL70" s="10">
        <f>SUMIFS('[1]2026'!$K:$K,'[1]2026'!$T:$T,$BD70,'[1]2026'!$S:$S,BL$3,'[1]2026'!$P:$P,$AU70)</f>
        <v>428214.28</v>
      </c>
      <c r="BM70" s="10">
        <f>SUMIFS('[1]2026'!$K:$K,'[1]2026'!$T:$T,$BD70,'[1]2026'!$S:$S,BM$3,'[1]2026'!$P:$P,$AU70)</f>
        <v>8839.2999999999993</v>
      </c>
      <c r="BN70" s="10">
        <f>SUMIFS('[1]2026'!$K:$K,'[1]2026'!$T:$T,$BD70,'[1]2026'!$S:$S,BN$3,'[1]2026'!$P:$P,$AU70)</f>
        <v>19464.29</v>
      </c>
      <c r="BO70" s="10">
        <f>SUMIFS('[1]2026'!$K:$K,'[1]2026'!$T:$T,$BD70,'[1]2026'!$S:$S,BO$3,'[1]2026'!$P:$P,$AU70)</f>
        <v>0</v>
      </c>
      <c r="BP70" s="6"/>
      <c r="BQ70" s="6"/>
      <c r="BR70" s="6"/>
      <c r="BS70" s="6"/>
      <c r="BT70" s="6">
        <f t="shared" si="10"/>
        <v>518125.01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>
        <f t="shared" si="31"/>
        <v>518125.01</v>
      </c>
    </row>
    <row r="71" spans="1:86" hidden="1" x14ac:dyDescent="0.35">
      <c r="A71" s="3" t="s">
        <v>354</v>
      </c>
      <c r="B71" s="10">
        <v>20000</v>
      </c>
      <c r="C71" s="10">
        <v>20000</v>
      </c>
      <c r="D71" s="10">
        <v>20000</v>
      </c>
      <c r="E71" s="10">
        <v>20000</v>
      </c>
      <c r="F71" s="10">
        <v>20000</v>
      </c>
      <c r="G71" s="10">
        <v>20000</v>
      </c>
      <c r="H71" s="10">
        <v>20000</v>
      </c>
      <c r="I71" s="10">
        <v>20000</v>
      </c>
      <c r="J71" s="10">
        <v>20000</v>
      </c>
      <c r="K71" s="10">
        <v>20000</v>
      </c>
      <c r="L71" s="10">
        <v>20000</v>
      </c>
      <c r="M71" s="10">
        <v>20000</v>
      </c>
      <c r="N71" s="27">
        <f t="shared" si="33"/>
        <v>240000</v>
      </c>
      <c r="AA71" s="27">
        <f t="shared" si="6"/>
        <v>0</v>
      </c>
      <c r="AB71" s="10">
        <f t="shared" ref="AB71:AN93" si="35">B71-O71</f>
        <v>20000</v>
      </c>
      <c r="AC71" s="10">
        <f t="shared" si="35"/>
        <v>20000</v>
      </c>
      <c r="AD71" s="10">
        <f t="shared" si="35"/>
        <v>20000</v>
      </c>
      <c r="AE71" s="10">
        <f t="shared" si="35"/>
        <v>20000</v>
      </c>
      <c r="AF71" s="10">
        <f t="shared" si="35"/>
        <v>20000</v>
      </c>
      <c r="AG71" s="10">
        <f t="shared" si="35"/>
        <v>20000</v>
      </c>
      <c r="AH71" s="10">
        <f t="shared" si="35"/>
        <v>20000</v>
      </c>
      <c r="AI71" s="10">
        <f t="shared" si="35"/>
        <v>20000</v>
      </c>
      <c r="AJ71" s="10">
        <f t="shared" si="35"/>
        <v>20000</v>
      </c>
      <c r="AK71" s="10">
        <f t="shared" si="35"/>
        <v>20000</v>
      </c>
      <c r="AL71" s="10">
        <f t="shared" si="35"/>
        <v>20000</v>
      </c>
      <c r="AM71" s="10">
        <f t="shared" si="35"/>
        <v>20000</v>
      </c>
      <c r="AN71" s="27">
        <f t="shared" si="35"/>
        <v>240000</v>
      </c>
      <c r="AS71" t="str">
        <f>_xlfn.XLOOKUP(AU71,[2]GAE!HZ:HZ,[2]GAE!IA:IA)</f>
        <v>ADMIN SERVICES</v>
      </c>
      <c r="AT71" t="str">
        <f>_xlfn.XLOOKUP(AU71,[2]GAE!HZ:HZ,[2]GAE!IB:IB)</f>
        <v>GAE - Repairs &amp; Maintenance - Supplies</v>
      </c>
      <c r="AU71" t="s">
        <v>355</v>
      </c>
      <c r="AV71">
        <v>80123102</v>
      </c>
      <c r="AW71">
        <v>61031201</v>
      </c>
      <c r="AX71" t="str">
        <f>_xlfn.XLOOKUP(AU71,[2]GAE!HZ:HZ,[2]GAE!IF:IF)</f>
        <v>Others</v>
      </c>
      <c r="AY71" t="str">
        <f>_xlfn.XLOOKUP(AU71,[2]GAE!HZ:HZ,[2]GAE!IG:IG)</f>
        <v>Repairs &amp; Maintenance</v>
      </c>
      <c r="BC71" t="s">
        <v>22</v>
      </c>
      <c r="BD71" t="s">
        <v>354</v>
      </c>
      <c r="BF71" t="s">
        <v>182</v>
      </c>
      <c r="BG71" s="2" t="s">
        <v>22</v>
      </c>
      <c r="BH71" s="10">
        <f>SUMIFS('[1]2026'!$K:$K,'[1]2026'!$T:$T,BD71,'[1]2026'!$S:$S,BH$3,'[1]2026'!$P:$P,AU71)</f>
        <v>0</v>
      </c>
      <c r="BI71" s="10">
        <f>SUMIFS('[1]2026'!$K:$K,'[1]2026'!$T:$T,$BD71,'[1]2026'!$S:$S,BI$3,'[1]2026'!$P:$P,$AU71)</f>
        <v>0</v>
      </c>
      <c r="BJ71" s="10">
        <f>SUMIFS('[1]2026'!$K:$K,'[1]2026'!$T:$T,$BD71,'[1]2026'!$S:$S,BJ$3,'[1]2026'!$P:$P,$AU71)</f>
        <v>0</v>
      </c>
      <c r="BK71" s="10">
        <f>SUMIFS('[1]2026'!$K:$K,'[1]2026'!$T:$T,$BD71,'[1]2026'!$S:$S,BK$3,'[1]2026'!$P:$P,$AU71)</f>
        <v>0</v>
      </c>
      <c r="BL71" s="10">
        <f>SUMIFS('[1]2026'!$K:$K,'[1]2026'!$T:$T,$BD71,'[1]2026'!$S:$S,BL$3,'[1]2026'!$P:$P,$AU71)</f>
        <v>0</v>
      </c>
      <c r="BM71" s="10">
        <f>SUMIFS('[1]2026'!$K:$K,'[1]2026'!$T:$T,$BD71,'[1]2026'!$S:$S,BM$3,'[1]2026'!$P:$P,$AU71)</f>
        <v>0</v>
      </c>
      <c r="BN71" s="10">
        <f>SUMIFS('[1]2026'!$K:$K,'[1]2026'!$T:$T,$BD71,'[1]2026'!$S:$S,BN$3,'[1]2026'!$P:$P,$AU71)</f>
        <v>0</v>
      </c>
      <c r="BO71" s="10">
        <f>SUMIFS('[1]2026'!$K:$K,'[1]2026'!$T:$T,$BD71,'[1]2026'!$S:$S,BO$3,'[1]2026'!$P:$P,$AU71)</f>
        <v>0</v>
      </c>
      <c r="BP71" s="6"/>
      <c r="BQ71" s="6"/>
      <c r="BR71" s="6"/>
      <c r="BS71" s="6"/>
      <c r="BT71" s="6">
        <f t="shared" si="10"/>
        <v>0</v>
      </c>
      <c r="BV71" s="6">
        <f t="shared" ref="BV71:CG72" si="36">BH71-AB71</f>
        <v>-20000</v>
      </c>
      <c r="BW71" s="6">
        <f t="shared" si="36"/>
        <v>-20000</v>
      </c>
      <c r="BX71" s="6">
        <f t="shared" si="36"/>
        <v>-20000</v>
      </c>
      <c r="BY71" s="6">
        <f t="shared" si="36"/>
        <v>-20000</v>
      </c>
      <c r="BZ71" s="6">
        <f t="shared" si="36"/>
        <v>-20000</v>
      </c>
      <c r="CA71" s="6">
        <f t="shared" si="36"/>
        <v>-20000</v>
      </c>
      <c r="CB71" s="6">
        <f t="shared" si="36"/>
        <v>-20000</v>
      </c>
      <c r="CC71" s="6">
        <f t="shared" si="36"/>
        <v>-20000</v>
      </c>
      <c r="CD71" s="6">
        <f t="shared" si="36"/>
        <v>-20000</v>
      </c>
      <c r="CE71" s="6">
        <f t="shared" si="36"/>
        <v>-20000</v>
      </c>
      <c r="CF71" s="6">
        <f t="shared" si="36"/>
        <v>-20000</v>
      </c>
      <c r="CG71" s="6">
        <f t="shared" si="36"/>
        <v>-20000</v>
      </c>
      <c r="CH71" s="6">
        <f t="shared" ref="CH71:CH79" si="37">BT71-AN71</f>
        <v>-240000</v>
      </c>
    </row>
    <row r="72" spans="1:86" hidden="1" x14ac:dyDescent="0.35">
      <c r="A72" t="s">
        <v>354</v>
      </c>
      <c r="AN72" s="27">
        <f>N72-AA72</f>
        <v>0</v>
      </c>
      <c r="AS72" t="str">
        <f>_xlfn.XLOOKUP(AU72,[2]GAE!HZ:HZ,[2]GAE!IA:IA)</f>
        <v>ADMIN SERVICES</v>
      </c>
      <c r="AT72" t="str">
        <f>_xlfn.XLOOKUP(AU72,[2]GAE!HZ:HZ,[2]GAE!IB:IB)</f>
        <v>DOE - Repairs &amp; Maintenance - Supplies</v>
      </c>
      <c r="AU72" t="s">
        <v>356</v>
      </c>
      <c r="AV72">
        <v>81123102</v>
      </c>
      <c r="AW72">
        <v>52061111</v>
      </c>
      <c r="AX72" t="str">
        <f>_xlfn.XLOOKUP(AU72,[2]GAE!HZ:HZ,[2]GAE!IF:IF)</f>
        <v>Others</v>
      </c>
      <c r="AY72" t="str">
        <f>_xlfn.XLOOKUP(AU72,[2]GAE!HZ:HZ,[2]GAE!IG:IG)</f>
        <v>Repairs &amp; Maintenance</v>
      </c>
      <c r="BD72" t="s">
        <v>354</v>
      </c>
      <c r="BF72" t="s">
        <v>182</v>
      </c>
      <c r="BG72" s="2" t="s">
        <v>22</v>
      </c>
      <c r="BH72" s="10">
        <f>SUMIFS('[1]2026'!$K:$K,'[1]2026'!$T:$T,BD72,'[1]2026'!$S:$S,BH$3,'[1]2026'!$P:$P,AU72)</f>
        <v>960</v>
      </c>
      <c r="BI72" s="10">
        <f>SUMIFS('[1]2026'!$K:$K,'[1]2026'!$T:$T,$BD72,'[1]2026'!$S:$S,BI$3,'[1]2026'!$P:$P,$AU72)</f>
        <v>70952.2</v>
      </c>
      <c r="BJ72" s="10">
        <f>SUMIFS('[1]2026'!$K:$K,'[1]2026'!$T:$T,$BD72,'[1]2026'!$S:$S,BJ$3,'[1]2026'!$P:$P,$AU72)</f>
        <v>229.01</v>
      </c>
      <c r="BK72" s="10">
        <f>SUMIFS('[1]2026'!$K:$K,'[1]2026'!$T:$T,$BD72,'[1]2026'!$S:$S,BK$3,'[1]2026'!$P:$P,$AU72)</f>
        <v>13490</v>
      </c>
      <c r="BL72" s="10">
        <f>SUMIFS('[1]2026'!$K:$K,'[1]2026'!$T:$T,$BD72,'[1]2026'!$S:$S,BL$3,'[1]2026'!$P:$P,$AU72)</f>
        <v>12105.72</v>
      </c>
      <c r="BM72" s="10">
        <f>SUMIFS('[1]2026'!$K:$K,'[1]2026'!$T:$T,$BD72,'[1]2026'!$S:$S,BM$3,'[1]2026'!$P:$P,$AU72)</f>
        <v>13843.210000000003</v>
      </c>
      <c r="BN72" s="10">
        <f>SUMIFS('[1]2026'!$K:$K,'[1]2026'!$T:$T,$BD72,'[1]2026'!$S:$S,BN$3,'[1]2026'!$P:$P,$AU72)</f>
        <v>91090.76</v>
      </c>
      <c r="BO72" s="10">
        <f>SUMIFS('[1]2026'!$K:$K,'[1]2026'!$T:$T,$BD72,'[1]2026'!$S:$S,BO$3,'[1]2026'!$P:$P,$AU72)</f>
        <v>4017.86</v>
      </c>
      <c r="BP72" s="6"/>
      <c r="BQ72" s="6"/>
      <c r="BR72" s="6"/>
      <c r="BS72" s="6"/>
      <c r="BT72" s="6">
        <f t="shared" si="10"/>
        <v>206688.75999999998</v>
      </c>
      <c r="BV72" s="6">
        <f t="shared" si="36"/>
        <v>960</v>
      </c>
      <c r="BW72" s="6">
        <f t="shared" si="36"/>
        <v>70952.2</v>
      </c>
      <c r="BX72" s="6">
        <f t="shared" si="36"/>
        <v>229.01</v>
      </c>
      <c r="BY72" s="6">
        <f t="shared" si="36"/>
        <v>13490</v>
      </c>
      <c r="BZ72" s="6">
        <f t="shared" si="36"/>
        <v>12105.72</v>
      </c>
      <c r="CA72" s="6">
        <f t="shared" si="36"/>
        <v>13843.210000000003</v>
      </c>
      <c r="CB72" s="6">
        <f t="shared" si="36"/>
        <v>91090.76</v>
      </c>
      <c r="CC72" s="6">
        <f t="shared" si="36"/>
        <v>4017.86</v>
      </c>
      <c r="CD72" s="6">
        <f t="shared" si="36"/>
        <v>0</v>
      </c>
      <c r="CE72" s="6">
        <f t="shared" si="36"/>
        <v>0</v>
      </c>
      <c r="CF72" s="6">
        <f t="shared" si="36"/>
        <v>0</v>
      </c>
      <c r="CG72" s="6">
        <f t="shared" si="36"/>
        <v>0</v>
      </c>
      <c r="CH72" s="6">
        <f t="shared" si="37"/>
        <v>206688.75999999998</v>
      </c>
    </row>
    <row r="73" spans="1:86" hidden="1" x14ac:dyDescent="0.35">
      <c r="A73" t="s">
        <v>354</v>
      </c>
      <c r="AN73" s="27">
        <f t="shared" ref="AN73:AN74" si="38">N73-AA73</f>
        <v>0</v>
      </c>
      <c r="AS73" t="str">
        <f>_xlfn.XLOOKUP(AU73,[2]GAE!HZ:HZ,[2]GAE!IA:IA)</f>
        <v>ADMIN SERVICES</v>
      </c>
      <c r="AT73" t="str">
        <f>_xlfn.XLOOKUP(AU73,[2]GAE!HZ:HZ,[2]GAE!IB:IB)</f>
        <v>GAE - Repairs &amp; Maintenance - Supplies</v>
      </c>
      <c r="AU73" s="2" t="s">
        <v>357</v>
      </c>
      <c r="AV73" s="2">
        <v>81123102</v>
      </c>
      <c r="AW73" s="2">
        <v>61031201</v>
      </c>
      <c r="AX73" t="str">
        <f>_xlfn.XLOOKUP(AU73,[2]GAE!HZ:HZ,[2]GAE!IF:IF)</f>
        <v>Others</v>
      </c>
      <c r="AY73" t="str">
        <f>_xlfn.XLOOKUP(AU73,[2]GAE!HZ:HZ,[2]GAE!IG:IG)</f>
        <v>Repairs &amp; Maintenance</v>
      </c>
      <c r="BD73" t="s">
        <v>354</v>
      </c>
      <c r="BF73" t="s">
        <v>182</v>
      </c>
      <c r="BG73" s="2" t="s">
        <v>22</v>
      </c>
      <c r="BH73" s="10">
        <f>SUMIFS('[1]2026'!$K:$K,'[1]2026'!$T:$T,BD73,'[1]2026'!$S:$S,BH$3,'[1]2026'!$P:$P,AU73)</f>
        <v>0</v>
      </c>
      <c r="BI73" s="10">
        <f>SUMIFS('[1]2026'!$K:$K,'[1]2026'!$T:$T,$BD73,'[1]2026'!$S:$S,BI$3,'[1]2026'!$P:$P,$AU73)</f>
        <v>4017.86</v>
      </c>
      <c r="BJ73" s="10">
        <f>SUMIFS('[1]2026'!$K:$K,'[1]2026'!$T:$T,$BD73,'[1]2026'!$S:$S,BJ$3,'[1]2026'!$P:$P,$AU73)</f>
        <v>-4017.86</v>
      </c>
      <c r="BK73" s="10">
        <f>SUMIFS('[1]2026'!$K:$K,'[1]2026'!$T:$T,$BD73,'[1]2026'!$S:$S,BK$3,'[1]2026'!$P:$P,$AU73)</f>
        <v>0</v>
      </c>
      <c r="BL73" s="10">
        <f>SUMIFS('[1]2026'!$K:$K,'[1]2026'!$T:$T,$BD73,'[1]2026'!$S:$S,BL$3,'[1]2026'!$P:$P,$AU73)</f>
        <v>0</v>
      </c>
      <c r="BM73" s="10">
        <f>SUMIFS('[1]2026'!$K:$K,'[1]2026'!$T:$T,$BD73,'[1]2026'!$S:$S,BM$3,'[1]2026'!$P:$P,$AU73)</f>
        <v>4017.86</v>
      </c>
      <c r="BN73" s="10">
        <f>SUMIFS('[1]2026'!$K:$K,'[1]2026'!$T:$T,$BD73,'[1]2026'!$S:$S,BN$3,'[1]2026'!$P:$P,$AU73)</f>
        <v>0</v>
      </c>
      <c r="BO73" s="10">
        <f>SUMIFS('[1]2026'!$K:$K,'[1]2026'!$T:$T,$BD73,'[1]2026'!$S:$S,BO$3,'[1]2026'!$P:$P,$AU73)</f>
        <v>4017.86</v>
      </c>
      <c r="BP73" s="6"/>
      <c r="BQ73" s="6"/>
      <c r="BR73" s="6"/>
      <c r="BS73" s="6"/>
      <c r="BT73" s="6">
        <f t="shared" si="10"/>
        <v>8035.72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>
        <f t="shared" si="37"/>
        <v>8035.72</v>
      </c>
    </row>
    <row r="74" spans="1:86" hidden="1" x14ac:dyDescent="0.35">
      <c r="A74" t="s">
        <v>353</v>
      </c>
      <c r="AN74" s="27">
        <f t="shared" si="38"/>
        <v>0</v>
      </c>
      <c r="AS74" t="str">
        <f>_xlfn.XLOOKUP(AU74,[2]GAE!HZ:HZ,[2]GAE!IA:IA)</f>
        <v>ADMIN SERVICES</v>
      </c>
      <c r="AT74" t="str">
        <f>_xlfn.XLOOKUP(AU74,[2]GAE!HZ:HZ,[2]GAE!IB:IB)</f>
        <v>DOE - Repairs &amp; Maint. - Furniture &amp; Fixtures</v>
      </c>
      <c r="AU74" s="2" t="s">
        <v>358</v>
      </c>
      <c r="AV74" s="2">
        <v>81123102</v>
      </c>
      <c r="AW74" s="2">
        <v>52061101</v>
      </c>
      <c r="AX74" t="str">
        <f>_xlfn.XLOOKUP(AU74,[2]GAE!HZ:HZ,[2]GAE!IF:IF)</f>
        <v>Others</v>
      </c>
      <c r="AY74" t="str">
        <f>_xlfn.XLOOKUP(AU74,[2]GAE!HZ:HZ,[2]GAE!IG:IG)</f>
        <v>Repairs &amp; Maintenance</v>
      </c>
      <c r="BD74" t="s">
        <v>353</v>
      </c>
      <c r="BF74" t="s">
        <v>19</v>
      </c>
      <c r="BG74" s="2" t="s">
        <v>21</v>
      </c>
      <c r="BH74" s="10">
        <f>SUMIFS('[1]2026'!$K:$K,'[1]2026'!$T:$T,BD74,'[1]2026'!$S:$S,BH$3,'[1]2026'!$P:$P,AU74)</f>
        <v>0</v>
      </c>
      <c r="BI74" s="10">
        <f>SUMIFS('[1]2026'!$K:$K,'[1]2026'!$T:$T,$BD74,'[1]2026'!$S:$S,BI$3,'[1]2026'!$P:$P,$AU74)</f>
        <v>5000</v>
      </c>
      <c r="BJ74" s="10">
        <f>SUMIFS('[1]2026'!$K:$K,'[1]2026'!$T:$T,$BD74,'[1]2026'!$S:$S,BJ$3,'[1]2026'!$P:$P,$AU74)</f>
        <v>0</v>
      </c>
      <c r="BK74" s="10">
        <f>SUMIFS('[1]2026'!$K:$K,'[1]2026'!$T:$T,$BD74,'[1]2026'!$S:$S,BK$3,'[1]2026'!$P:$P,$AU74)</f>
        <v>0</v>
      </c>
      <c r="BL74" s="10">
        <f>SUMIFS('[1]2026'!$K:$K,'[1]2026'!$T:$T,$BD74,'[1]2026'!$S:$S,BL$3,'[1]2026'!$P:$P,$AU74)</f>
        <v>15178.57</v>
      </c>
      <c r="BM74" s="10">
        <f>SUMIFS('[1]2026'!$K:$K,'[1]2026'!$T:$T,$BD74,'[1]2026'!$S:$S,BM$3,'[1]2026'!$P:$P,$AU74)</f>
        <v>0</v>
      </c>
      <c r="BN74" s="10">
        <f>SUMIFS('[1]2026'!$K:$K,'[1]2026'!$T:$T,$BD74,'[1]2026'!$S:$S,BN$3,'[1]2026'!$P:$P,$AU74)</f>
        <v>12366.07</v>
      </c>
      <c r="BO74" s="10">
        <f>SUMIFS('[1]2026'!$K:$K,'[1]2026'!$T:$T,$BD74,'[1]2026'!$S:$S,BO$3,'[1]2026'!$P:$P,$AU74)</f>
        <v>0</v>
      </c>
      <c r="BP74" s="6"/>
      <c r="BQ74" s="6"/>
      <c r="BR74" s="6"/>
      <c r="BS74" s="6"/>
      <c r="BT74" s="6">
        <f t="shared" si="10"/>
        <v>32544.639999999999</v>
      </c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>
        <f t="shared" si="37"/>
        <v>32544.639999999999</v>
      </c>
    </row>
    <row r="75" spans="1:86" hidden="1" x14ac:dyDescent="0.35">
      <c r="A75" s="3" t="s">
        <v>359</v>
      </c>
      <c r="B75" s="10">
        <v>2500</v>
      </c>
      <c r="C75" s="10">
        <v>2500</v>
      </c>
      <c r="D75" s="10">
        <v>2500</v>
      </c>
      <c r="E75" s="10">
        <v>2500</v>
      </c>
      <c r="F75" s="10">
        <v>2500</v>
      </c>
      <c r="G75" s="10">
        <v>2500</v>
      </c>
      <c r="H75" s="10">
        <v>2500</v>
      </c>
      <c r="I75" s="10">
        <v>2500</v>
      </c>
      <c r="J75" s="10">
        <v>2500</v>
      </c>
      <c r="K75" s="10">
        <v>2500</v>
      </c>
      <c r="L75" s="10">
        <v>2500</v>
      </c>
      <c r="M75" s="10">
        <v>2500</v>
      </c>
      <c r="N75" s="27">
        <f t="shared" si="33"/>
        <v>30000</v>
      </c>
      <c r="AA75" s="27">
        <f t="shared" si="6"/>
        <v>0</v>
      </c>
      <c r="AB75" s="10">
        <f t="shared" si="35"/>
        <v>2500</v>
      </c>
      <c r="AC75" s="10">
        <f t="shared" si="35"/>
        <v>2500</v>
      </c>
      <c r="AD75" s="10">
        <f t="shared" si="35"/>
        <v>2500</v>
      </c>
      <c r="AE75" s="10">
        <f t="shared" si="35"/>
        <v>2500</v>
      </c>
      <c r="AF75" s="10">
        <f t="shared" si="35"/>
        <v>2500</v>
      </c>
      <c r="AG75" s="10">
        <f t="shared" si="35"/>
        <v>2500</v>
      </c>
      <c r="AH75" s="10">
        <f t="shared" si="35"/>
        <v>2500</v>
      </c>
      <c r="AI75" s="10">
        <f t="shared" si="35"/>
        <v>2500</v>
      </c>
      <c r="AJ75" s="10">
        <f t="shared" si="35"/>
        <v>2500</v>
      </c>
      <c r="AK75" s="10">
        <f t="shared" si="35"/>
        <v>2500</v>
      </c>
      <c r="AL75" s="10">
        <f t="shared" si="35"/>
        <v>2500</v>
      </c>
      <c r="AM75" s="10">
        <f t="shared" si="35"/>
        <v>2500</v>
      </c>
      <c r="AN75" s="27">
        <f t="shared" si="35"/>
        <v>30000</v>
      </c>
      <c r="AO75" s="28">
        <v>554118.62</v>
      </c>
      <c r="AS75" t="str">
        <f>_xlfn.XLOOKUP(AU75,[2]GAE!HZ:HZ,[2]GAE!IA:IA)</f>
        <v>ADMIN SERVICES</v>
      </c>
      <c r="AT75" t="str">
        <f>_xlfn.XLOOKUP(AU75,[2]GAE!HZ:HZ,[2]GAE!IB:IB)</f>
        <v>GAE - Repairs&amp; Maint. - Transportation Equipment</v>
      </c>
      <c r="AU75" t="s">
        <v>360</v>
      </c>
      <c r="AV75">
        <v>80123102</v>
      </c>
      <c r="AW75">
        <v>61061104</v>
      </c>
      <c r="AX75" t="str">
        <f>_xlfn.XLOOKUP(AU75,[2]GAE!HZ:HZ,[2]GAE!IF:IF)</f>
        <v>Others</v>
      </c>
      <c r="AY75" t="str">
        <f>_xlfn.XLOOKUP(AU75,[2]GAE!HZ:HZ,[2]GAE!IG:IG)</f>
        <v>Repairs &amp; Maintenance -  Vehicle</v>
      </c>
      <c r="BC75" t="s">
        <v>23</v>
      </c>
      <c r="BD75" t="s">
        <v>361</v>
      </c>
      <c r="BF75" t="s">
        <v>19</v>
      </c>
      <c r="BG75" s="2" t="s">
        <v>23</v>
      </c>
      <c r="BH75" s="10">
        <f>SUMIFS('[1]2026'!$K:$K,'[1]2026'!$T:$T,BD75,'[1]2026'!$S:$S,BH$3,'[1]2026'!$P:$P,AU75)</f>
        <v>0</v>
      </c>
      <c r="BI75" s="10">
        <f>SUMIFS('[1]2026'!$K:$K,'[1]2026'!$T:$T,$BD75,'[1]2026'!$S:$S,BI$3,'[1]2026'!$P:$P,$AU75)</f>
        <v>0</v>
      </c>
      <c r="BJ75" s="10">
        <f>SUMIFS('[1]2026'!$K:$K,'[1]2026'!$T:$T,$BD75,'[1]2026'!$S:$S,BJ$3,'[1]2026'!$P:$P,$AU75)</f>
        <v>-20170.079999999994</v>
      </c>
      <c r="BK75" s="10">
        <f>SUMIFS('[1]2026'!$K:$K,'[1]2026'!$T:$T,$BD75,'[1]2026'!$S:$S,BK$3,'[1]2026'!$P:$P,$AU75)</f>
        <v>0</v>
      </c>
      <c r="BL75" s="10">
        <f>SUMIFS('[1]2026'!$K:$K,'[1]2026'!$T:$T,$BD75,'[1]2026'!$S:$S,BL$3,'[1]2026'!$P:$P,$AU75)</f>
        <v>0</v>
      </c>
      <c r="BM75" s="10">
        <f>SUMIFS('[1]2026'!$K:$K,'[1]2026'!$T:$T,$BD75,'[1]2026'!$S:$S,BM$3,'[1]2026'!$P:$P,$AU75)</f>
        <v>41347.93</v>
      </c>
      <c r="BN75" s="10">
        <f>SUMIFS('[1]2026'!$K:$K,'[1]2026'!$T:$T,$BD75,'[1]2026'!$S:$S,BN$3,'[1]2026'!$P:$P,$AU75)</f>
        <v>14794.630000000001</v>
      </c>
      <c r="BO75" s="10">
        <f>SUMIFS('[1]2026'!$K:$K,'[1]2026'!$T:$T,$BD75,'[1]2026'!$S:$S,BO$3,'[1]2026'!$P:$P,$AU75)</f>
        <v>55393.67</v>
      </c>
      <c r="BP75" s="6">
        <v>60000</v>
      </c>
      <c r="BQ75" s="6">
        <v>60000</v>
      </c>
      <c r="BR75" s="6">
        <v>60000</v>
      </c>
      <c r="BS75" s="6">
        <v>60000</v>
      </c>
      <c r="BT75" s="6">
        <f t="shared" si="10"/>
        <v>331366.15000000002</v>
      </c>
      <c r="BV75" s="6">
        <f t="shared" ref="BV75:BV113" si="39">BH75-AB75</f>
        <v>-2500</v>
      </c>
      <c r="BW75" s="6">
        <f t="shared" ref="BW75:BW113" si="40">BI75-AC75</f>
        <v>-2500</v>
      </c>
      <c r="BX75" s="6">
        <f t="shared" ref="BX75:BX113" si="41">BJ75-AD75</f>
        <v>-22670.079999999994</v>
      </c>
      <c r="BY75" s="6">
        <f t="shared" ref="BY75:BY113" si="42">BK75-AE75</f>
        <v>-2500</v>
      </c>
      <c r="BZ75" s="6">
        <f t="shared" ref="BZ75:BZ113" si="43">BL75-AF75</f>
        <v>-2500</v>
      </c>
      <c r="CA75" s="6">
        <f t="shared" ref="CA75:CA113" si="44">BM75-AG75</f>
        <v>38847.93</v>
      </c>
      <c r="CB75" s="6">
        <f t="shared" ref="CB75:CB113" si="45">BN75-AH75</f>
        <v>12294.630000000001</v>
      </c>
      <c r="CC75" s="6">
        <f t="shared" ref="CC75:CC113" si="46">BO75-AI75</f>
        <v>52893.67</v>
      </c>
      <c r="CD75" s="6">
        <f t="shared" ref="CD75:CD113" si="47">BP75-AJ75</f>
        <v>57500</v>
      </c>
      <c r="CE75" s="6">
        <f t="shared" ref="CE75:CE113" si="48">BQ75-AK75</f>
        <v>57500</v>
      </c>
      <c r="CF75" s="6">
        <f t="shared" ref="CF75:CF113" si="49">BR75-AL75</f>
        <v>57500</v>
      </c>
      <c r="CG75" s="6">
        <f t="shared" ref="CG75:CG113" si="50">BS75-AM75</f>
        <v>57500</v>
      </c>
      <c r="CH75" s="6">
        <f t="shared" si="37"/>
        <v>301366.15000000002</v>
      </c>
    </row>
    <row r="76" spans="1:86" hidden="1" x14ac:dyDescent="0.35">
      <c r="A76" s="3" t="s">
        <v>362</v>
      </c>
      <c r="B76" s="10">
        <v>2500</v>
      </c>
      <c r="C76" s="10">
        <v>2500</v>
      </c>
      <c r="D76" s="10">
        <v>2500</v>
      </c>
      <c r="E76" s="10">
        <v>2500</v>
      </c>
      <c r="F76" s="10">
        <v>2500</v>
      </c>
      <c r="G76" s="10">
        <v>2500</v>
      </c>
      <c r="H76" s="10">
        <v>2500</v>
      </c>
      <c r="I76" s="10">
        <v>2500</v>
      </c>
      <c r="J76" s="10">
        <v>2500</v>
      </c>
      <c r="K76" s="10">
        <v>2500</v>
      </c>
      <c r="L76" s="10">
        <v>2500</v>
      </c>
      <c r="M76" s="10">
        <v>2500</v>
      </c>
      <c r="N76" s="27">
        <f t="shared" si="33"/>
        <v>30000</v>
      </c>
      <c r="AA76" s="27">
        <f t="shared" si="6"/>
        <v>0</v>
      </c>
      <c r="AB76" s="10">
        <f t="shared" si="35"/>
        <v>2500</v>
      </c>
      <c r="AC76" s="10">
        <f t="shared" si="35"/>
        <v>2500</v>
      </c>
      <c r="AD76" s="10">
        <f t="shared" si="35"/>
        <v>2500</v>
      </c>
      <c r="AE76" s="10">
        <f t="shared" si="35"/>
        <v>2500</v>
      </c>
      <c r="AF76" s="10">
        <f t="shared" si="35"/>
        <v>2500</v>
      </c>
      <c r="AG76" s="10">
        <f t="shared" si="35"/>
        <v>2500</v>
      </c>
      <c r="AH76" s="10">
        <f t="shared" si="35"/>
        <v>2500</v>
      </c>
      <c r="AI76" s="10">
        <f t="shared" si="35"/>
        <v>2500</v>
      </c>
      <c r="AJ76" s="10">
        <f t="shared" si="35"/>
        <v>2500</v>
      </c>
      <c r="AK76" s="10">
        <f t="shared" si="35"/>
        <v>2500</v>
      </c>
      <c r="AL76" s="10">
        <f t="shared" si="35"/>
        <v>2500</v>
      </c>
      <c r="AM76" s="10">
        <f t="shared" si="35"/>
        <v>2500</v>
      </c>
      <c r="AN76" s="27">
        <f t="shared" si="35"/>
        <v>30000</v>
      </c>
      <c r="AS76" t="str">
        <f>_xlfn.XLOOKUP(AU76,[2]GAE!HZ:HZ,[2]GAE!IA:IA)</f>
        <v>ADMIN SERVICES</v>
      </c>
      <c r="AT76" t="str">
        <f>_xlfn.XLOOKUP(AU76,[2]GAE!HZ:HZ,[2]GAE!IB:IB)</f>
        <v>GAE - Repairs&amp; Maint. - Transportation Equipment</v>
      </c>
      <c r="AU76" t="s">
        <v>360</v>
      </c>
      <c r="AV76">
        <v>80123102</v>
      </c>
      <c r="AW76">
        <v>61061104</v>
      </c>
      <c r="AX76" t="str">
        <f>_xlfn.XLOOKUP(AU76,[2]GAE!HZ:HZ,[2]GAE!IF:IF)</f>
        <v>Others</v>
      </c>
      <c r="AY76" t="str">
        <f>_xlfn.XLOOKUP(AU76,[2]GAE!HZ:HZ,[2]GAE!IG:IG)</f>
        <v>Repairs &amp; Maintenance -  Vehicle</v>
      </c>
      <c r="BF76" t="s">
        <v>19</v>
      </c>
      <c r="BG76" s="2" t="s">
        <v>23</v>
      </c>
      <c r="BH76" s="10">
        <f>SUMIFS('[1]2026'!$K:$K,'[1]2026'!$T:$T,BD76,'[1]2026'!$S:$S,BH$3,'[1]2026'!$P:$P,AU76)</f>
        <v>0</v>
      </c>
      <c r="BI76" s="10">
        <f>SUMIFS('[1]2026'!$K:$K,'[1]2026'!$T:$T,$BD76,'[1]2026'!$S:$S,BI$3,'[1]2026'!$P:$P,$AU76)</f>
        <v>0</v>
      </c>
      <c r="BJ76" s="10">
        <f>SUMIFS('[1]2026'!$K:$K,'[1]2026'!$T:$T,$BD76,'[1]2026'!$S:$S,BJ$3,'[1]2026'!$P:$P,$AU76)</f>
        <v>0</v>
      </c>
      <c r="BK76" s="10">
        <f>SUMIFS('[1]2026'!$K:$K,'[1]2026'!$T:$T,$BD76,'[1]2026'!$S:$S,BK$3,'[1]2026'!$P:$P,$AU76)</f>
        <v>0</v>
      </c>
      <c r="BL76" s="10">
        <f>SUMIFS('[1]2026'!$K:$K,'[1]2026'!$T:$T,$BD76,'[1]2026'!$S:$S,BL$3,'[1]2026'!$P:$P,$AU76)</f>
        <v>0</v>
      </c>
      <c r="BM76" s="10">
        <f>SUMIFS('[1]2026'!$K:$K,'[1]2026'!$T:$T,$BD76,'[1]2026'!$S:$S,BM$3,'[1]2026'!$P:$P,$AU76)</f>
        <v>0</v>
      </c>
      <c r="BN76" s="10">
        <f>SUMIFS('[1]2026'!$K:$K,'[1]2026'!$T:$T,$BD76,'[1]2026'!$S:$S,BN$3,'[1]2026'!$P:$P,$AU76)</f>
        <v>0</v>
      </c>
      <c r="BO76" s="10">
        <f>SUMIFS('[1]2026'!$K:$K,'[1]2026'!$T:$T,$BD76,'[1]2026'!$S:$S,BO$3,'[1]2026'!$P:$P,$AU76)</f>
        <v>0</v>
      </c>
      <c r="BP76" s="6"/>
      <c r="BQ76" s="6"/>
      <c r="BR76" s="6"/>
      <c r="BS76" s="6"/>
      <c r="BT76" s="6">
        <f t="shared" ref="BT76:BT139" si="51">SUM(BH76:BS76)</f>
        <v>0</v>
      </c>
      <c r="BV76" s="6">
        <f t="shared" si="39"/>
        <v>-2500</v>
      </c>
      <c r="BW76" s="6">
        <f t="shared" si="40"/>
        <v>-2500</v>
      </c>
      <c r="BX76" s="6">
        <f t="shared" si="41"/>
        <v>-2500</v>
      </c>
      <c r="BY76" s="6">
        <f t="shared" si="42"/>
        <v>-2500</v>
      </c>
      <c r="BZ76" s="6">
        <f t="shared" si="43"/>
        <v>-2500</v>
      </c>
      <c r="CA76" s="6">
        <f t="shared" si="44"/>
        <v>-2500</v>
      </c>
      <c r="CB76" s="6">
        <f t="shared" si="45"/>
        <v>-2500</v>
      </c>
      <c r="CC76" s="6">
        <f t="shared" si="46"/>
        <v>-2500</v>
      </c>
      <c r="CD76" s="6">
        <f t="shared" si="47"/>
        <v>-2500</v>
      </c>
      <c r="CE76" s="6">
        <f t="shared" si="48"/>
        <v>-2500</v>
      </c>
      <c r="CF76" s="6">
        <f t="shared" si="49"/>
        <v>-2500</v>
      </c>
      <c r="CG76" s="6">
        <f t="shared" si="50"/>
        <v>-2500</v>
      </c>
      <c r="CH76" s="6">
        <f t="shared" si="37"/>
        <v>-30000</v>
      </c>
    </row>
    <row r="77" spans="1:86" hidden="1" x14ac:dyDescent="0.35">
      <c r="A77" s="3" t="s">
        <v>363</v>
      </c>
      <c r="B77" s="10">
        <v>2500</v>
      </c>
      <c r="C77" s="10">
        <v>2500</v>
      </c>
      <c r="D77" s="10">
        <v>2500</v>
      </c>
      <c r="E77" s="10">
        <v>2500</v>
      </c>
      <c r="F77" s="10">
        <v>2500</v>
      </c>
      <c r="G77" s="10">
        <v>2500</v>
      </c>
      <c r="H77" s="10">
        <v>2500</v>
      </c>
      <c r="I77" s="10">
        <v>2500</v>
      </c>
      <c r="J77" s="10">
        <v>2500</v>
      </c>
      <c r="K77" s="10">
        <v>2500</v>
      </c>
      <c r="L77" s="10">
        <v>2500</v>
      </c>
      <c r="M77" s="10">
        <v>2500</v>
      </c>
      <c r="N77" s="27">
        <f t="shared" si="33"/>
        <v>30000</v>
      </c>
      <c r="AA77" s="27">
        <f t="shared" si="6"/>
        <v>0</v>
      </c>
      <c r="AB77" s="10">
        <f t="shared" si="35"/>
        <v>2500</v>
      </c>
      <c r="AC77" s="10">
        <f t="shared" si="35"/>
        <v>2500</v>
      </c>
      <c r="AD77" s="10">
        <f t="shared" si="35"/>
        <v>2500</v>
      </c>
      <c r="AE77" s="10">
        <f t="shared" si="35"/>
        <v>2500</v>
      </c>
      <c r="AF77" s="10">
        <f t="shared" si="35"/>
        <v>2500</v>
      </c>
      <c r="AG77" s="10">
        <f t="shared" si="35"/>
        <v>2500</v>
      </c>
      <c r="AH77" s="10">
        <f t="shared" si="35"/>
        <v>2500</v>
      </c>
      <c r="AI77" s="10">
        <f t="shared" si="35"/>
        <v>2500</v>
      </c>
      <c r="AJ77" s="10">
        <f t="shared" si="35"/>
        <v>2500</v>
      </c>
      <c r="AK77" s="10">
        <f t="shared" si="35"/>
        <v>2500</v>
      </c>
      <c r="AL77" s="10">
        <f t="shared" si="35"/>
        <v>2500</v>
      </c>
      <c r="AM77" s="10">
        <f t="shared" si="35"/>
        <v>2500</v>
      </c>
      <c r="AN77" s="27">
        <f t="shared" si="35"/>
        <v>30000</v>
      </c>
      <c r="AS77" t="str">
        <f>_xlfn.XLOOKUP(AU77,[2]GAE!HZ:HZ,[2]GAE!IA:IA)</f>
        <v>ADMIN SERVICES</v>
      </c>
      <c r="AT77" t="str">
        <f>_xlfn.XLOOKUP(AU77,[2]GAE!HZ:HZ,[2]GAE!IB:IB)</f>
        <v>GAE - Repairs&amp; Maint. - Transportation Equipment</v>
      </c>
      <c r="AU77" t="s">
        <v>360</v>
      </c>
      <c r="AV77">
        <v>80123102</v>
      </c>
      <c r="AW77">
        <v>61061104</v>
      </c>
      <c r="AX77" t="str">
        <f>_xlfn.XLOOKUP(AU77,[2]GAE!HZ:HZ,[2]GAE!IF:IF)</f>
        <v>Others</v>
      </c>
      <c r="AY77" t="str">
        <f>_xlfn.XLOOKUP(AU77,[2]GAE!HZ:HZ,[2]GAE!IG:IG)</f>
        <v>Repairs &amp; Maintenance -  Vehicle</v>
      </c>
      <c r="BF77" t="s">
        <v>19</v>
      </c>
      <c r="BG77" s="2" t="s">
        <v>23</v>
      </c>
      <c r="BH77" s="10">
        <f>SUMIFS('[1]2026'!$K:$K,'[1]2026'!$T:$T,BD77,'[1]2026'!$S:$S,BH$3,'[1]2026'!$P:$P,AU77)</f>
        <v>0</v>
      </c>
      <c r="BI77" s="10">
        <f>SUMIFS('[1]2026'!$K:$K,'[1]2026'!$T:$T,$BD77,'[1]2026'!$S:$S,BI$3,'[1]2026'!$P:$P,$AU77)</f>
        <v>0</v>
      </c>
      <c r="BJ77" s="10">
        <f>SUMIFS('[1]2026'!$K:$K,'[1]2026'!$T:$T,$BD77,'[1]2026'!$S:$S,BJ$3,'[1]2026'!$P:$P,$AU77)</f>
        <v>0</v>
      </c>
      <c r="BK77" s="10">
        <f>SUMIFS('[1]2026'!$K:$K,'[1]2026'!$T:$T,$BD77,'[1]2026'!$S:$S,BK$3,'[1]2026'!$P:$P,$AU77)</f>
        <v>0</v>
      </c>
      <c r="BL77" s="10">
        <f>SUMIFS('[1]2026'!$K:$K,'[1]2026'!$T:$T,$BD77,'[1]2026'!$S:$S,BL$3,'[1]2026'!$P:$P,$AU77)</f>
        <v>0</v>
      </c>
      <c r="BM77" s="10">
        <f>SUMIFS('[1]2026'!$K:$K,'[1]2026'!$T:$T,$BD77,'[1]2026'!$S:$S,BM$3,'[1]2026'!$P:$P,$AU77)</f>
        <v>0</v>
      </c>
      <c r="BN77" s="10">
        <f>SUMIFS('[1]2026'!$K:$K,'[1]2026'!$T:$T,$BD77,'[1]2026'!$S:$S,BN$3,'[1]2026'!$P:$P,$AU77)</f>
        <v>0</v>
      </c>
      <c r="BO77" s="10">
        <f>SUMIFS('[1]2026'!$K:$K,'[1]2026'!$T:$T,$BD77,'[1]2026'!$S:$S,BO$3,'[1]2026'!$P:$P,$AU77)</f>
        <v>0</v>
      </c>
      <c r="BP77" s="6"/>
      <c r="BQ77" s="6"/>
      <c r="BR77" s="6"/>
      <c r="BS77" s="6"/>
      <c r="BT77" s="6">
        <f t="shared" si="51"/>
        <v>0</v>
      </c>
      <c r="BV77" s="6">
        <f t="shared" si="39"/>
        <v>-2500</v>
      </c>
      <c r="BW77" s="6">
        <f t="shared" si="40"/>
        <v>-2500</v>
      </c>
      <c r="BX77" s="6">
        <f t="shared" si="41"/>
        <v>-2500</v>
      </c>
      <c r="BY77" s="6">
        <f t="shared" si="42"/>
        <v>-2500</v>
      </c>
      <c r="BZ77" s="6">
        <f t="shared" si="43"/>
        <v>-2500</v>
      </c>
      <c r="CA77" s="6">
        <f t="shared" si="44"/>
        <v>-2500</v>
      </c>
      <c r="CB77" s="6">
        <f t="shared" si="45"/>
        <v>-2500</v>
      </c>
      <c r="CC77" s="6">
        <f t="shared" si="46"/>
        <v>-2500</v>
      </c>
      <c r="CD77" s="6">
        <f t="shared" si="47"/>
        <v>-2500</v>
      </c>
      <c r="CE77" s="6">
        <f t="shared" si="48"/>
        <v>-2500</v>
      </c>
      <c r="CF77" s="6">
        <f t="shared" si="49"/>
        <v>-2500</v>
      </c>
      <c r="CG77" s="6">
        <f t="shared" si="50"/>
        <v>-2500</v>
      </c>
      <c r="CH77" s="6">
        <f t="shared" si="37"/>
        <v>-30000</v>
      </c>
    </row>
    <row r="78" spans="1:86" hidden="1" x14ac:dyDescent="0.35">
      <c r="A78" s="3" t="s">
        <v>364</v>
      </c>
      <c r="B78" s="10">
        <v>2500</v>
      </c>
      <c r="C78" s="10">
        <v>2500</v>
      </c>
      <c r="D78" s="10">
        <v>2500</v>
      </c>
      <c r="E78" s="10">
        <v>2500</v>
      </c>
      <c r="F78" s="10">
        <v>2500</v>
      </c>
      <c r="G78" s="10">
        <v>2500</v>
      </c>
      <c r="H78" s="10">
        <v>2500</v>
      </c>
      <c r="I78" s="10">
        <v>2500</v>
      </c>
      <c r="J78" s="10">
        <v>2500</v>
      </c>
      <c r="K78" s="10">
        <v>2500</v>
      </c>
      <c r="L78" s="10">
        <v>2500</v>
      </c>
      <c r="M78" s="10">
        <v>2500</v>
      </c>
      <c r="N78" s="27">
        <f t="shared" si="33"/>
        <v>30000</v>
      </c>
      <c r="AA78" s="27">
        <f t="shared" si="6"/>
        <v>0</v>
      </c>
      <c r="AB78" s="10">
        <f t="shared" si="35"/>
        <v>2500</v>
      </c>
      <c r="AC78" s="10">
        <f t="shared" si="35"/>
        <v>2500</v>
      </c>
      <c r="AD78" s="10">
        <f t="shared" si="35"/>
        <v>2500</v>
      </c>
      <c r="AE78" s="10">
        <f t="shared" si="35"/>
        <v>2500</v>
      </c>
      <c r="AF78" s="10">
        <f t="shared" si="35"/>
        <v>2500</v>
      </c>
      <c r="AG78" s="10">
        <f t="shared" si="35"/>
        <v>2500</v>
      </c>
      <c r="AH78" s="10">
        <f t="shared" si="35"/>
        <v>2500</v>
      </c>
      <c r="AI78" s="10">
        <f t="shared" si="35"/>
        <v>2500</v>
      </c>
      <c r="AJ78" s="10">
        <f t="shared" si="35"/>
        <v>2500</v>
      </c>
      <c r="AK78" s="10">
        <f t="shared" si="35"/>
        <v>2500</v>
      </c>
      <c r="AL78" s="10">
        <f t="shared" si="35"/>
        <v>2500</v>
      </c>
      <c r="AM78" s="10">
        <f t="shared" si="35"/>
        <v>2500</v>
      </c>
      <c r="AN78" s="27">
        <f t="shared" si="35"/>
        <v>30000</v>
      </c>
      <c r="AS78" t="str">
        <f>_xlfn.XLOOKUP(AU78,[2]GAE!HZ:HZ,[2]GAE!IA:IA)</f>
        <v>ADMIN SERVICES</v>
      </c>
      <c r="AT78" t="str">
        <f>_xlfn.XLOOKUP(AU78,[2]GAE!HZ:HZ,[2]GAE!IB:IB)</f>
        <v>GAE - Repairs&amp; Maint. - Transportation Equipment</v>
      </c>
      <c r="AU78" t="s">
        <v>360</v>
      </c>
      <c r="AV78">
        <v>80123102</v>
      </c>
      <c r="AW78">
        <v>61061104</v>
      </c>
      <c r="AX78" t="str">
        <f>_xlfn.XLOOKUP(AU78,[2]GAE!HZ:HZ,[2]GAE!IF:IF)</f>
        <v>Others</v>
      </c>
      <c r="AY78" t="str">
        <f>_xlfn.XLOOKUP(AU78,[2]GAE!HZ:HZ,[2]GAE!IG:IG)</f>
        <v>Repairs &amp; Maintenance -  Vehicle</v>
      </c>
      <c r="BF78" t="s">
        <v>19</v>
      </c>
      <c r="BG78" s="2" t="s">
        <v>23</v>
      </c>
      <c r="BH78" s="10">
        <f>SUMIFS('[1]2026'!$K:$K,'[1]2026'!$T:$T,BD78,'[1]2026'!$S:$S,BH$3,'[1]2026'!$P:$P,AU78)</f>
        <v>0</v>
      </c>
      <c r="BI78" s="10">
        <f>SUMIFS('[1]2026'!$K:$K,'[1]2026'!$T:$T,$BD78,'[1]2026'!$S:$S,BI$3,'[1]2026'!$P:$P,$AU78)</f>
        <v>0</v>
      </c>
      <c r="BJ78" s="10">
        <f>SUMIFS('[1]2026'!$K:$K,'[1]2026'!$T:$T,$BD78,'[1]2026'!$S:$S,BJ$3,'[1]2026'!$P:$P,$AU78)</f>
        <v>0</v>
      </c>
      <c r="BK78" s="10">
        <f>SUMIFS('[1]2026'!$K:$K,'[1]2026'!$T:$T,$BD78,'[1]2026'!$S:$S,BK$3,'[1]2026'!$P:$P,$AU78)</f>
        <v>0</v>
      </c>
      <c r="BL78" s="10">
        <f>SUMIFS('[1]2026'!$K:$K,'[1]2026'!$T:$T,$BD78,'[1]2026'!$S:$S,BL$3,'[1]2026'!$P:$P,$AU78)</f>
        <v>0</v>
      </c>
      <c r="BM78" s="10">
        <f>SUMIFS('[1]2026'!$K:$K,'[1]2026'!$T:$T,$BD78,'[1]2026'!$S:$S,BM$3,'[1]2026'!$P:$P,$AU78)</f>
        <v>0</v>
      </c>
      <c r="BN78" s="10">
        <f>SUMIFS('[1]2026'!$K:$K,'[1]2026'!$T:$T,$BD78,'[1]2026'!$S:$S,BN$3,'[1]2026'!$P:$P,$AU78)</f>
        <v>0</v>
      </c>
      <c r="BO78" s="10">
        <f>SUMIFS('[1]2026'!$K:$K,'[1]2026'!$T:$T,$BD78,'[1]2026'!$S:$S,BO$3,'[1]2026'!$P:$P,$AU78)</f>
        <v>0</v>
      </c>
      <c r="BP78" s="6"/>
      <c r="BQ78" s="6"/>
      <c r="BR78" s="6"/>
      <c r="BS78" s="6"/>
      <c r="BT78" s="6">
        <f t="shared" si="51"/>
        <v>0</v>
      </c>
      <c r="BV78" s="6">
        <f t="shared" si="39"/>
        <v>-2500</v>
      </c>
      <c r="BW78" s="6">
        <f t="shared" si="40"/>
        <v>-2500</v>
      </c>
      <c r="BX78" s="6">
        <f t="shared" si="41"/>
        <v>-2500</v>
      </c>
      <c r="BY78" s="6">
        <f t="shared" si="42"/>
        <v>-2500</v>
      </c>
      <c r="BZ78" s="6">
        <f t="shared" si="43"/>
        <v>-2500</v>
      </c>
      <c r="CA78" s="6">
        <f t="shared" si="44"/>
        <v>-2500</v>
      </c>
      <c r="CB78" s="6">
        <f t="shared" si="45"/>
        <v>-2500</v>
      </c>
      <c r="CC78" s="6">
        <f t="shared" si="46"/>
        <v>-2500</v>
      </c>
      <c r="CD78" s="6">
        <f t="shared" si="47"/>
        <v>-2500</v>
      </c>
      <c r="CE78" s="6">
        <f t="shared" si="48"/>
        <v>-2500</v>
      </c>
      <c r="CF78" s="6">
        <f t="shared" si="49"/>
        <v>-2500</v>
      </c>
      <c r="CG78" s="6">
        <f t="shared" si="50"/>
        <v>-2500</v>
      </c>
      <c r="CH78" s="6">
        <f t="shared" si="37"/>
        <v>-30000</v>
      </c>
    </row>
    <row r="79" spans="1:86" hidden="1" x14ac:dyDescent="0.35">
      <c r="A79" s="3" t="s">
        <v>365</v>
      </c>
      <c r="B79" s="10">
        <v>2500</v>
      </c>
      <c r="C79" s="10">
        <v>2500</v>
      </c>
      <c r="D79" s="10">
        <v>2500</v>
      </c>
      <c r="E79" s="10">
        <v>2500</v>
      </c>
      <c r="F79" s="10">
        <v>2500</v>
      </c>
      <c r="G79" s="10">
        <v>2500</v>
      </c>
      <c r="H79" s="10">
        <v>2500</v>
      </c>
      <c r="I79" s="10">
        <v>2500</v>
      </c>
      <c r="J79" s="10">
        <v>2500</v>
      </c>
      <c r="K79" s="10">
        <v>2500</v>
      </c>
      <c r="L79" s="10">
        <v>2500</v>
      </c>
      <c r="M79" s="10">
        <v>2500</v>
      </c>
      <c r="N79" s="27">
        <f t="shared" si="33"/>
        <v>30000</v>
      </c>
      <c r="AA79" s="27">
        <f t="shared" si="6"/>
        <v>0</v>
      </c>
      <c r="AB79" s="10">
        <f t="shared" si="35"/>
        <v>2500</v>
      </c>
      <c r="AC79" s="10">
        <f t="shared" si="35"/>
        <v>2500</v>
      </c>
      <c r="AD79" s="10">
        <f t="shared" si="35"/>
        <v>2500</v>
      </c>
      <c r="AE79" s="10">
        <f t="shared" si="35"/>
        <v>2500</v>
      </c>
      <c r="AF79" s="10">
        <f t="shared" si="35"/>
        <v>2500</v>
      </c>
      <c r="AG79" s="10">
        <f t="shared" si="35"/>
        <v>2500</v>
      </c>
      <c r="AH79" s="10">
        <f t="shared" si="35"/>
        <v>2500</v>
      </c>
      <c r="AI79" s="10">
        <f t="shared" si="35"/>
        <v>2500</v>
      </c>
      <c r="AJ79" s="10">
        <f t="shared" si="35"/>
        <v>2500</v>
      </c>
      <c r="AK79" s="10">
        <f t="shared" si="35"/>
        <v>2500</v>
      </c>
      <c r="AL79" s="10">
        <f t="shared" si="35"/>
        <v>2500</v>
      </c>
      <c r="AM79" s="10">
        <f t="shared" si="35"/>
        <v>2500</v>
      </c>
      <c r="AN79" s="27">
        <f t="shared" si="35"/>
        <v>30000</v>
      </c>
      <c r="AS79" t="str">
        <f>_xlfn.XLOOKUP(AU79,[2]GAE!HZ:HZ,[2]GAE!IA:IA)</f>
        <v>ADMIN SERVICES</v>
      </c>
      <c r="AT79" t="str">
        <f>_xlfn.XLOOKUP(AU79,[2]GAE!HZ:HZ,[2]GAE!IB:IB)</f>
        <v>GAE - Repairs&amp; Maint. - Transportation Equipment</v>
      </c>
      <c r="AU79" t="s">
        <v>360</v>
      </c>
      <c r="AV79">
        <v>80123102</v>
      </c>
      <c r="AW79">
        <v>61061104</v>
      </c>
      <c r="AX79" t="str">
        <f>_xlfn.XLOOKUP(AU79,[2]GAE!HZ:HZ,[2]GAE!IF:IF)</f>
        <v>Others</v>
      </c>
      <c r="AY79" t="str">
        <f>_xlfn.XLOOKUP(AU79,[2]GAE!HZ:HZ,[2]GAE!IG:IG)</f>
        <v>Repairs &amp; Maintenance -  Vehicle</v>
      </c>
      <c r="BC79" t="s">
        <v>23</v>
      </c>
      <c r="BD79" t="s">
        <v>366</v>
      </c>
      <c r="BF79" t="s">
        <v>19</v>
      </c>
      <c r="BG79" t="s">
        <v>23</v>
      </c>
      <c r="BH79" s="10">
        <f>SUMIFS('[1]2026'!$K:$K,'[1]2026'!$T:$T,BD79,'[1]2026'!$S:$S,BH$3,'[1]2026'!$P:$P,AU79)</f>
        <v>5714.29</v>
      </c>
      <c r="BI79" s="10">
        <f>SUMIFS('[1]2026'!$K:$K,'[1]2026'!$T:$T,$BD79,'[1]2026'!$S:$S,BI$3,'[1]2026'!$P:$P,$AU79)</f>
        <v>0</v>
      </c>
      <c r="BJ79" s="10">
        <f>SUMIFS('[1]2026'!$K:$K,'[1]2026'!$T:$T,$BD79,'[1]2026'!$S:$S,BJ$3,'[1]2026'!$P:$P,$AU79)</f>
        <v>0</v>
      </c>
      <c r="BK79" s="10">
        <f>SUMIFS('[1]2026'!$K:$K,'[1]2026'!$T:$T,$BD79,'[1]2026'!$S:$S,BK$3,'[1]2026'!$P:$P,$AU79)</f>
        <v>0</v>
      </c>
      <c r="BL79" s="10">
        <f>SUMIFS('[1]2026'!$K:$K,'[1]2026'!$T:$T,$BD79,'[1]2026'!$S:$S,BL$3,'[1]2026'!$P:$P,$AU79)</f>
        <v>0</v>
      </c>
      <c r="BM79" s="10">
        <f>SUMIFS('[1]2026'!$K:$K,'[1]2026'!$T:$T,$BD79,'[1]2026'!$S:$S,BM$3,'[1]2026'!$P:$P,$AU79)</f>
        <v>0</v>
      </c>
      <c r="BN79" s="10">
        <f>SUMIFS('[1]2026'!$K:$K,'[1]2026'!$T:$T,$BD79,'[1]2026'!$S:$S,BN$3,'[1]2026'!$P:$P,$AU79)</f>
        <v>0</v>
      </c>
      <c r="BO79" s="10">
        <f>SUMIFS('[1]2026'!$K:$K,'[1]2026'!$T:$T,$BD79,'[1]2026'!$S:$S,BO$3,'[1]2026'!$P:$P,$AU79)</f>
        <v>0</v>
      </c>
      <c r="BP79" s="6"/>
      <c r="BQ79" s="6"/>
      <c r="BR79" s="6"/>
      <c r="BS79" s="6"/>
      <c r="BT79" s="6">
        <f t="shared" si="51"/>
        <v>5714.29</v>
      </c>
      <c r="BV79" s="6">
        <f t="shared" si="39"/>
        <v>3214.29</v>
      </c>
      <c r="BW79" s="6">
        <f t="shared" si="40"/>
        <v>-2500</v>
      </c>
      <c r="BX79" s="6">
        <f t="shared" si="41"/>
        <v>-2500</v>
      </c>
      <c r="BY79" s="6">
        <f t="shared" si="42"/>
        <v>-2500</v>
      </c>
      <c r="BZ79" s="6">
        <f t="shared" si="43"/>
        <v>-2500</v>
      </c>
      <c r="CA79" s="6">
        <f t="shared" si="44"/>
        <v>-2500</v>
      </c>
      <c r="CB79" s="6">
        <f t="shared" si="45"/>
        <v>-2500</v>
      </c>
      <c r="CC79" s="6">
        <f t="shared" si="46"/>
        <v>-2500</v>
      </c>
      <c r="CD79" s="6">
        <f t="shared" si="47"/>
        <v>-2500</v>
      </c>
      <c r="CE79" s="6">
        <f t="shared" si="48"/>
        <v>-2500</v>
      </c>
      <c r="CF79" s="6">
        <f t="shared" si="49"/>
        <v>-2500</v>
      </c>
      <c r="CG79" s="6">
        <f t="shared" si="50"/>
        <v>-2500</v>
      </c>
      <c r="CH79" s="6">
        <f t="shared" si="37"/>
        <v>-24285.71</v>
      </c>
    </row>
    <row r="80" spans="1:86" hidden="1" x14ac:dyDescent="0.35">
      <c r="A80" s="3" t="s">
        <v>367</v>
      </c>
      <c r="B80" s="10">
        <v>2500</v>
      </c>
      <c r="C80" s="10">
        <v>2500</v>
      </c>
      <c r="D80" s="10">
        <v>2500</v>
      </c>
      <c r="E80" s="10">
        <v>2500</v>
      </c>
      <c r="F80" s="10">
        <v>2500</v>
      </c>
      <c r="G80" s="10">
        <v>2500</v>
      </c>
      <c r="H80" s="10">
        <v>2500</v>
      </c>
      <c r="I80" s="10">
        <v>2500</v>
      </c>
      <c r="J80" s="10">
        <v>2500</v>
      </c>
      <c r="K80" s="10">
        <v>2500</v>
      </c>
      <c r="L80" s="10">
        <v>2500</v>
      </c>
      <c r="M80" s="10">
        <v>2500</v>
      </c>
      <c r="N80" s="27">
        <f t="shared" si="33"/>
        <v>30000</v>
      </c>
      <c r="AA80" s="27">
        <f t="shared" si="6"/>
        <v>0</v>
      </c>
      <c r="AB80" s="10">
        <f t="shared" si="35"/>
        <v>2500</v>
      </c>
      <c r="AC80" s="10">
        <f t="shared" si="35"/>
        <v>2500</v>
      </c>
      <c r="AD80" s="10">
        <f t="shared" si="35"/>
        <v>2500</v>
      </c>
      <c r="AE80" s="10">
        <f t="shared" si="35"/>
        <v>2500</v>
      </c>
      <c r="AF80" s="10">
        <f t="shared" si="35"/>
        <v>2500</v>
      </c>
      <c r="AG80" s="10">
        <f t="shared" si="35"/>
        <v>2500</v>
      </c>
      <c r="AH80" s="10">
        <f t="shared" si="35"/>
        <v>2500</v>
      </c>
      <c r="AI80" s="10">
        <f t="shared" si="35"/>
        <v>2500</v>
      </c>
      <c r="AJ80" s="10">
        <f t="shared" si="35"/>
        <v>2500</v>
      </c>
      <c r="AK80" s="10">
        <f t="shared" si="35"/>
        <v>2500</v>
      </c>
      <c r="AL80" s="10">
        <f t="shared" si="35"/>
        <v>2500</v>
      </c>
      <c r="AM80" s="10">
        <f t="shared" si="35"/>
        <v>2500</v>
      </c>
      <c r="AN80" s="27">
        <f t="shared" si="35"/>
        <v>30000</v>
      </c>
      <c r="AS80" t="str">
        <f>_xlfn.XLOOKUP(AU80,[2]GAE!HZ:HZ,[2]GAE!IA:IA)</f>
        <v>ADMIN SERVICES</v>
      </c>
      <c r="AT80" t="str">
        <f>_xlfn.XLOOKUP(AU80,[2]GAE!HZ:HZ,[2]GAE!IB:IB)</f>
        <v>GAE - Repairs&amp; Maint. - Transportation Equipment</v>
      </c>
      <c r="AU80" t="s">
        <v>360</v>
      </c>
      <c r="AV80">
        <v>80123102</v>
      </c>
      <c r="AW80">
        <v>61061104</v>
      </c>
      <c r="AX80" t="str">
        <f>_xlfn.XLOOKUP(AU80,[2]GAE!HZ:HZ,[2]GAE!IF:IF)</f>
        <v>Others</v>
      </c>
      <c r="AY80" t="str">
        <f>_xlfn.XLOOKUP(AU80,[2]GAE!HZ:HZ,[2]GAE!IG:IG)</f>
        <v>Repairs &amp; Maintenance -  Vehicle</v>
      </c>
      <c r="BF80" t="s">
        <v>19</v>
      </c>
      <c r="BG80" s="2" t="s">
        <v>23</v>
      </c>
      <c r="BH80" s="10">
        <f>SUMIFS('[1]2026'!$K:$K,'[1]2026'!$T:$T,BD80,'[1]2026'!$S:$S,BH$3,'[1]2026'!$P:$P,AU80)</f>
        <v>0</v>
      </c>
      <c r="BI80" s="10">
        <f>SUMIFS('[1]2026'!$K:$K,'[1]2026'!$T:$T,$BD80,'[1]2026'!$S:$S,BI$3,'[1]2026'!$P:$P,$AU80)</f>
        <v>0</v>
      </c>
      <c r="BJ80" s="10">
        <f>SUMIFS('[1]2026'!$K:$K,'[1]2026'!$T:$T,$BD80,'[1]2026'!$S:$S,BJ$3,'[1]2026'!$P:$P,$AU80)</f>
        <v>0</v>
      </c>
      <c r="BK80" s="10">
        <f>SUMIFS('[1]2026'!$K:$K,'[1]2026'!$T:$T,$BD80,'[1]2026'!$S:$S,BK$3,'[1]2026'!$P:$P,$AU80)</f>
        <v>0</v>
      </c>
      <c r="BL80" s="10">
        <f>SUMIFS('[1]2026'!$K:$K,'[1]2026'!$T:$T,$BD80,'[1]2026'!$S:$S,BL$3,'[1]2026'!$P:$P,$AU80)</f>
        <v>0</v>
      </c>
      <c r="BM80" s="10">
        <f>SUMIFS('[1]2026'!$K:$K,'[1]2026'!$T:$T,$BD80,'[1]2026'!$S:$S,BM$3,'[1]2026'!$P:$P,$AU80)</f>
        <v>0</v>
      </c>
      <c r="BN80" s="10">
        <f>SUMIFS('[1]2026'!$K:$K,'[1]2026'!$T:$T,$BD80,'[1]2026'!$S:$S,BN$3,'[1]2026'!$P:$P,$AU80)</f>
        <v>0</v>
      </c>
      <c r="BO80" s="10">
        <f>SUMIFS('[1]2026'!$K:$K,'[1]2026'!$T:$T,$BD80,'[1]2026'!$S:$S,BO$3,'[1]2026'!$P:$P,$AU80)</f>
        <v>0</v>
      </c>
      <c r="BP80" s="6"/>
      <c r="BQ80" s="6"/>
      <c r="BR80" s="6"/>
      <c r="BS80" s="6"/>
      <c r="BT80" s="6">
        <f t="shared" si="51"/>
        <v>0</v>
      </c>
      <c r="BV80" s="6">
        <f t="shared" si="39"/>
        <v>-2500</v>
      </c>
      <c r="BW80" s="6">
        <f t="shared" si="40"/>
        <v>-2500</v>
      </c>
      <c r="BX80" s="6">
        <f t="shared" si="41"/>
        <v>-2500</v>
      </c>
      <c r="BY80" s="6">
        <f t="shared" si="42"/>
        <v>-2500</v>
      </c>
      <c r="BZ80" s="6">
        <f t="shared" si="43"/>
        <v>-2500</v>
      </c>
      <c r="CA80" s="6">
        <f t="shared" si="44"/>
        <v>-2500</v>
      </c>
      <c r="CB80" s="6">
        <f t="shared" si="45"/>
        <v>-2500</v>
      </c>
      <c r="CC80" s="6">
        <f t="shared" si="46"/>
        <v>-2500</v>
      </c>
      <c r="CD80" s="6">
        <f t="shared" si="47"/>
        <v>-2500</v>
      </c>
      <c r="CE80" s="6">
        <f t="shared" si="48"/>
        <v>-2500</v>
      </c>
      <c r="CF80" s="6">
        <f t="shared" si="49"/>
        <v>-2500</v>
      </c>
      <c r="CG80" s="6">
        <f t="shared" si="50"/>
        <v>-2500</v>
      </c>
      <c r="CH80" s="6">
        <f t="shared" ref="CH80:CH144" si="52">BT80-AN80</f>
        <v>-30000</v>
      </c>
    </row>
    <row r="81" spans="1:86" hidden="1" x14ac:dyDescent="0.35">
      <c r="A81" s="3" t="s">
        <v>368</v>
      </c>
      <c r="B81" s="10">
        <v>2500</v>
      </c>
      <c r="C81" s="10">
        <v>2500</v>
      </c>
      <c r="D81" s="10">
        <v>2500</v>
      </c>
      <c r="E81" s="10">
        <v>2500</v>
      </c>
      <c r="F81" s="10">
        <v>2500</v>
      </c>
      <c r="G81" s="10">
        <v>2500</v>
      </c>
      <c r="H81" s="10">
        <v>2500</v>
      </c>
      <c r="I81" s="10">
        <v>2500</v>
      </c>
      <c r="J81" s="10">
        <v>2500</v>
      </c>
      <c r="K81" s="10">
        <v>2500</v>
      </c>
      <c r="L81" s="10">
        <v>2500</v>
      </c>
      <c r="M81" s="10">
        <v>2500</v>
      </c>
      <c r="N81" s="27">
        <f t="shared" si="33"/>
        <v>30000</v>
      </c>
      <c r="AA81" s="27">
        <f t="shared" si="6"/>
        <v>0</v>
      </c>
      <c r="AB81" s="10">
        <f t="shared" si="35"/>
        <v>2500</v>
      </c>
      <c r="AC81" s="10">
        <f t="shared" si="35"/>
        <v>2500</v>
      </c>
      <c r="AD81" s="10">
        <f t="shared" si="35"/>
        <v>2500</v>
      </c>
      <c r="AE81" s="10">
        <f t="shared" si="35"/>
        <v>2500</v>
      </c>
      <c r="AF81" s="10">
        <f t="shared" si="35"/>
        <v>2500</v>
      </c>
      <c r="AG81" s="10">
        <f t="shared" si="35"/>
        <v>2500</v>
      </c>
      <c r="AH81" s="10">
        <f t="shared" si="35"/>
        <v>2500</v>
      </c>
      <c r="AI81" s="10">
        <f t="shared" si="35"/>
        <v>2500</v>
      </c>
      <c r="AJ81" s="10">
        <f t="shared" si="35"/>
        <v>2500</v>
      </c>
      <c r="AK81" s="10">
        <f t="shared" si="35"/>
        <v>2500</v>
      </c>
      <c r="AL81" s="10">
        <f t="shared" si="35"/>
        <v>2500</v>
      </c>
      <c r="AM81" s="10">
        <f t="shared" si="35"/>
        <v>2500</v>
      </c>
      <c r="AN81" s="27">
        <f t="shared" si="35"/>
        <v>30000</v>
      </c>
      <c r="AS81" t="str">
        <f>_xlfn.XLOOKUP(AU81,[2]GAE!HZ:HZ,[2]GAE!IA:IA)</f>
        <v>ADMIN SERVICES</v>
      </c>
      <c r="AT81" t="str">
        <f>_xlfn.XLOOKUP(AU81,[2]GAE!HZ:HZ,[2]GAE!IB:IB)</f>
        <v>GAE - Repairs&amp; Maint. - Transportation Equipment</v>
      </c>
      <c r="AU81" t="s">
        <v>360</v>
      </c>
      <c r="AV81">
        <v>80123102</v>
      </c>
      <c r="AW81">
        <v>61061104</v>
      </c>
      <c r="AX81" t="str">
        <f>_xlfn.XLOOKUP(AU81,[2]GAE!HZ:HZ,[2]GAE!IF:IF)</f>
        <v>Others</v>
      </c>
      <c r="AY81" t="str">
        <f>_xlfn.XLOOKUP(AU81,[2]GAE!HZ:HZ,[2]GAE!IG:IG)</f>
        <v>Repairs &amp; Maintenance -  Vehicle</v>
      </c>
      <c r="BF81" t="s">
        <v>19</v>
      </c>
      <c r="BG81" s="2" t="s">
        <v>23</v>
      </c>
      <c r="BH81" s="10">
        <f>SUMIFS('[1]2026'!$K:$K,'[1]2026'!$T:$T,BD81,'[1]2026'!$S:$S,BH$3,'[1]2026'!$P:$P,AU81)</f>
        <v>0</v>
      </c>
      <c r="BI81" s="10">
        <f>SUMIFS('[1]2026'!$K:$K,'[1]2026'!$T:$T,$BD81,'[1]2026'!$S:$S,BI$3,'[1]2026'!$P:$P,$AU81)</f>
        <v>0</v>
      </c>
      <c r="BJ81" s="10">
        <f>SUMIFS('[1]2026'!$K:$K,'[1]2026'!$T:$T,$BD81,'[1]2026'!$S:$S,BJ$3,'[1]2026'!$P:$P,$AU81)</f>
        <v>0</v>
      </c>
      <c r="BK81" s="10">
        <f>SUMIFS('[1]2026'!$K:$K,'[1]2026'!$T:$T,$BD81,'[1]2026'!$S:$S,BK$3,'[1]2026'!$P:$P,$AU81)</f>
        <v>0</v>
      </c>
      <c r="BL81" s="10">
        <f>SUMIFS('[1]2026'!$K:$K,'[1]2026'!$T:$T,$BD81,'[1]2026'!$S:$S,BL$3,'[1]2026'!$P:$P,$AU81)</f>
        <v>0</v>
      </c>
      <c r="BM81" s="10">
        <f>SUMIFS('[1]2026'!$K:$K,'[1]2026'!$T:$T,$BD81,'[1]2026'!$S:$S,BM$3,'[1]2026'!$P:$P,$AU81)</f>
        <v>0</v>
      </c>
      <c r="BN81" s="10">
        <f>SUMIFS('[1]2026'!$K:$K,'[1]2026'!$T:$T,$BD81,'[1]2026'!$S:$S,BN$3,'[1]2026'!$P:$P,$AU81)</f>
        <v>0</v>
      </c>
      <c r="BO81" s="10">
        <f>SUMIFS('[1]2026'!$K:$K,'[1]2026'!$T:$T,$BD81,'[1]2026'!$S:$S,BO$3,'[1]2026'!$P:$P,$AU81)</f>
        <v>0</v>
      </c>
      <c r="BP81" s="6"/>
      <c r="BQ81" s="6"/>
      <c r="BR81" s="6"/>
      <c r="BS81" s="6"/>
      <c r="BT81" s="6">
        <f t="shared" si="51"/>
        <v>0</v>
      </c>
      <c r="BV81" s="6">
        <f t="shared" si="39"/>
        <v>-2500</v>
      </c>
      <c r="BW81" s="6">
        <f t="shared" si="40"/>
        <v>-2500</v>
      </c>
      <c r="BX81" s="6">
        <f t="shared" si="41"/>
        <v>-2500</v>
      </c>
      <c r="BY81" s="6">
        <f t="shared" si="42"/>
        <v>-2500</v>
      </c>
      <c r="BZ81" s="6">
        <f t="shared" si="43"/>
        <v>-2500</v>
      </c>
      <c r="CA81" s="6">
        <f t="shared" si="44"/>
        <v>-2500</v>
      </c>
      <c r="CB81" s="6">
        <f t="shared" si="45"/>
        <v>-2500</v>
      </c>
      <c r="CC81" s="6">
        <f t="shared" si="46"/>
        <v>-2500</v>
      </c>
      <c r="CD81" s="6">
        <f t="shared" si="47"/>
        <v>-2500</v>
      </c>
      <c r="CE81" s="6">
        <f t="shared" si="48"/>
        <v>-2500</v>
      </c>
      <c r="CF81" s="6">
        <f t="shared" si="49"/>
        <v>-2500</v>
      </c>
      <c r="CG81" s="6">
        <f t="shared" si="50"/>
        <v>-2500</v>
      </c>
      <c r="CH81" s="6">
        <f t="shared" si="52"/>
        <v>-30000</v>
      </c>
    </row>
    <row r="82" spans="1:86" hidden="1" x14ac:dyDescent="0.35">
      <c r="A82" s="3" t="s">
        <v>369</v>
      </c>
      <c r="B82" s="10">
        <v>3333.3333333333335</v>
      </c>
      <c r="C82" s="10">
        <v>3333.3333333333335</v>
      </c>
      <c r="D82" s="10">
        <v>3333.3333333333335</v>
      </c>
      <c r="E82" s="10">
        <v>3333.3333333333335</v>
      </c>
      <c r="F82" s="10">
        <v>3333.3333333333335</v>
      </c>
      <c r="G82" s="10">
        <v>3333.3333333333335</v>
      </c>
      <c r="H82" s="10">
        <v>3333.3333333333335</v>
      </c>
      <c r="I82" s="10">
        <v>3333.3333333333335</v>
      </c>
      <c r="J82" s="10">
        <v>3333.3333333333335</v>
      </c>
      <c r="K82" s="10">
        <v>3333.3333333333335</v>
      </c>
      <c r="L82" s="10">
        <v>3333.3333333333335</v>
      </c>
      <c r="M82" s="10">
        <v>3333.3333333333335</v>
      </c>
      <c r="N82" s="27">
        <f t="shared" si="33"/>
        <v>40000</v>
      </c>
      <c r="AA82" s="27">
        <f t="shared" si="6"/>
        <v>0</v>
      </c>
      <c r="AB82" s="10">
        <f t="shared" si="35"/>
        <v>3333.3333333333335</v>
      </c>
      <c r="AC82" s="10">
        <f t="shared" si="35"/>
        <v>3333.3333333333335</v>
      </c>
      <c r="AD82" s="10">
        <f t="shared" si="35"/>
        <v>3333.3333333333335</v>
      </c>
      <c r="AE82" s="10">
        <f t="shared" si="35"/>
        <v>3333.3333333333335</v>
      </c>
      <c r="AF82" s="10">
        <f t="shared" si="35"/>
        <v>3333.3333333333335</v>
      </c>
      <c r="AG82" s="10">
        <f t="shared" si="35"/>
        <v>3333.3333333333335</v>
      </c>
      <c r="AH82" s="10">
        <f t="shared" si="35"/>
        <v>3333.3333333333335</v>
      </c>
      <c r="AI82" s="10">
        <f t="shared" si="35"/>
        <v>3333.3333333333335</v>
      </c>
      <c r="AJ82" s="10">
        <f t="shared" si="35"/>
        <v>3333.3333333333335</v>
      </c>
      <c r="AK82" s="10">
        <f t="shared" si="35"/>
        <v>3333.3333333333335</v>
      </c>
      <c r="AL82" s="10">
        <f t="shared" si="35"/>
        <v>3333.3333333333335</v>
      </c>
      <c r="AM82" s="10">
        <f t="shared" si="35"/>
        <v>3333.3333333333335</v>
      </c>
      <c r="AN82" s="27">
        <f t="shared" si="35"/>
        <v>40000</v>
      </c>
      <c r="AS82" t="str">
        <f>_xlfn.XLOOKUP(AU82,[2]GAE!HZ:HZ,[2]GAE!IA:IA)</f>
        <v>ADMIN SERVICES</v>
      </c>
      <c r="AT82" t="str">
        <f>_xlfn.XLOOKUP(AU82,[2]GAE!HZ:HZ,[2]GAE!IB:IB)</f>
        <v>GAE - Repairs&amp; Maint. - Transportation Equipment</v>
      </c>
      <c r="AU82" t="s">
        <v>360</v>
      </c>
      <c r="AV82">
        <v>80123102</v>
      </c>
      <c r="AW82">
        <v>61061104</v>
      </c>
      <c r="AX82" t="str">
        <f>_xlfn.XLOOKUP(AU82,[2]GAE!HZ:HZ,[2]GAE!IF:IF)</f>
        <v>Others</v>
      </c>
      <c r="AY82" t="str">
        <f>_xlfn.XLOOKUP(AU82,[2]GAE!HZ:HZ,[2]GAE!IG:IG)</f>
        <v>Repairs &amp; Maintenance -  Vehicle</v>
      </c>
      <c r="BF82" t="s">
        <v>19</v>
      </c>
      <c r="BG82" s="2" t="s">
        <v>23</v>
      </c>
      <c r="BH82" s="10">
        <f>SUMIFS('[1]2026'!$K:$K,'[1]2026'!$T:$T,BD82,'[1]2026'!$S:$S,BH$3,'[1]2026'!$P:$P,AU82)</f>
        <v>0</v>
      </c>
      <c r="BI82" s="10">
        <f>SUMIFS('[1]2026'!$K:$K,'[1]2026'!$T:$T,$BD82,'[1]2026'!$S:$S,BI$3,'[1]2026'!$P:$P,$AU82)</f>
        <v>0</v>
      </c>
      <c r="BJ82" s="10">
        <f>SUMIFS('[1]2026'!$K:$K,'[1]2026'!$T:$T,$BD82,'[1]2026'!$S:$S,BJ$3,'[1]2026'!$P:$P,$AU82)</f>
        <v>0</v>
      </c>
      <c r="BK82" s="10">
        <f>SUMIFS('[1]2026'!$K:$K,'[1]2026'!$T:$T,$BD82,'[1]2026'!$S:$S,BK$3,'[1]2026'!$P:$P,$AU82)</f>
        <v>0</v>
      </c>
      <c r="BL82" s="10">
        <f>SUMIFS('[1]2026'!$K:$K,'[1]2026'!$T:$T,$BD82,'[1]2026'!$S:$S,BL$3,'[1]2026'!$P:$P,$AU82)</f>
        <v>0</v>
      </c>
      <c r="BM82" s="10">
        <f>SUMIFS('[1]2026'!$K:$K,'[1]2026'!$T:$T,$BD82,'[1]2026'!$S:$S,BM$3,'[1]2026'!$P:$P,$AU82)</f>
        <v>0</v>
      </c>
      <c r="BN82" s="10">
        <f>SUMIFS('[1]2026'!$K:$K,'[1]2026'!$T:$T,$BD82,'[1]2026'!$S:$S,BN$3,'[1]2026'!$P:$P,$AU82)</f>
        <v>0</v>
      </c>
      <c r="BO82" s="10">
        <f>SUMIFS('[1]2026'!$K:$K,'[1]2026'!$T:$T,$BD82,'[1]2026'!$S:$S,BO$3,'[1]2026'!$P:$P,$AU82)</f>
        <v>0</v>
      </c>
      <c r="BP82" s="6"/>
      <c r="BQ82" s="6"/>
      <c r="BR82" s="6"/>
      <c r="BS82" s="6"/>
      <c r="BT82" s="6">
        <f t="shared" si="51"/>
        <v>0</v>
      </c>
      <c r="BV82" s="6">
        <f t="shared" si="39"/>
        <v>-3333.3333333333335</v>
      </c>
      <c r="BW82" s="6">
        <f t="shared" si="40"/>
        <v>-3333.3333333333335</v>
      </c>
      <c r="BX82" s="6">
        <f t="shared" si="41"/>
        <v>-3333.3333333333335</v>
      </c>
      <c r="BY82" s="6">
        <f t="shared" si="42"/>
        <v>-3333.3333333333335</v>
      </c>
      <c r="BZ82" s="6">
        <f t="shared" si="43"/>
        <v>-3333.3333333333335</v>
      </c>
      <c r="CA82" s="6">
        <f t="shared" si="44"/>
        <v>-3333.3333333333335</v>
      </c>
      <c r="CB82" s="6">
        <f t="shared" si="45"/>
        <v>-3333.3333333333335</v>
      </c>
      <c r="CC82" s="6">
        <f t="shared" si="46"/>
        <v>-3333.3333333333335</v>
      </c>
      <c r="CD82" s="6">
        <f t="shared" si="47"/>
        <v>-3333.3333333333335</v>
      </c>
      <c r="CE82" s="6">
        <f t="shared" si="48"/>
        <v>-3333.3333333333335</v>
      </c>
      <c r="CF82" s="6">
        <f t="shared" si="49"/>
        <v>-3333.3333333333335</v>
      </c>
      <c r="CG82" s="6">
        <f t="shared" si="50"/>
        <v>-3333.3333333333335</v>
      </c>
      <c r="CH82" s="6">
        <f t="shared" si="52"/>
        <v>-40000</v>
      </c>
    </row>
    <row r="83" spans="1:86" hidden="1" x14ac:dyDescent="0.35">
      <c r="A83" s="3" t="s">
        <v>370</v>
      </c>
      <c r="B83" s="10">
        <v>2500</v>
      </c>
      <c r="C83" s="10">
        <v>2500</v>
      </c>
      <c r="D83" s="10">
        <v>2500</v>
      </c>
      <c r="E83" s="10">
        <v>2500</v>
      </c>
      <c r="F83" s="10">
        <v>2500</v>
      </c>
      <c r="G83" s="10">
        <v>2500</v>
      </c>
      <c r="H83" s="10">
        <v>2500</v>
      </c>
      <c r="I83" s="10">
        <v>2500</v>
      </c>
      <c r="J83" s="10">
        <v>2500</v>
      </c>
      <c r="K83" s="10">
        <v>2500</v>
      </c>
      <c r="L83" s="10">
        <v>2500</v>
      </c>
      <c r="M83" s="10">
        <v>2500</v>
      </c>
      <c r="N83" s="27">
        <f t="shared" si="33"/>
        <v>30000</v>
      </c>
      <c r="AA83" s="27">
        <f t="shared" si="6"/>
        <v>0</v>
      </c>
      <c r="AB83" s="10">
        <f t="shared" si="35"/>
        <v>2500</v>
      </c>
      <c r="AC83" s="10">
        <f t="shared" si="35"/>
        <v>2500</v>
      </c>
      <c r="AD83" s="10">
        <f t="shared" si="35"/>
        <v>2500</v>
      </c>
      <c r="AE83" s="10">
        <f t="shared" si="35"/>
        <v>2500</v>
      </c>
      <c r="AF83" s="10">
        <f t="shared" si="35"/>
        <v>2500</v>
      </c>
      <c r="AG83" s="10">
        <f t="shared" si="35"/>
        <v>2500</v>
      </c>
      <c r="AH83" s="10">
        <f t="shared" si="35"/>
        <v>2500</v>
      </c>
      <c r="AI83" s="10">
        <f t="shared" si="35"/>
        <v>2500</v>
      </c>
      <c r="AJ83" s="10">
        <f t="shared" si="35"/>
        <v>2500</v>
      </c>
      <c r="AK83" s="10">
        <f t="shared" si="35"/>
        <v>2500</v>
      </c>
      <c r="AL83" s="10">
        <f t="shared" si="35"/>
        <v>2500</v>
      </c>
      <c r="AM83" s="10">
        <f t="shared" si="35"/>
        <v>2500</v>
      </c>
      <c r="AN83" s="27">
        <f t="shared" si="35"/>
        <v>30000</v>
      </c>
      <c r="AS83" t="str">
        <f>_xlfn.XLOOKUP(AU83,[2]GAE!HZ:HZ,[2]GAE!IA:IA)</f>
        <v>ADMIN SERVICES</v>
      </c>
      <c r="AT83" t="str">
        <f>_xlfn.XLOOKUP(AU83,[2]GAE!HZ:HZ,[2]GAE!IB:IB)</f>
        <v>GAE - Repairs&amp; Maint. - Transportation Equipment</v>
      </c>
      <c r="AU83" t="s">
        <v>360</v>
      </c>
      <c r="AV83">
        <v>80123102</v>
      </c>
      <c r="AW83">
        <v>61061104</v>
      </c>
      <c r="AX83" t="str">
        <f>_xlfn.XLOOKUP(AU83,[2]GAE!HZ:HZ,[2]GAE!IF:IF)</f>
        <v>Others</v>
      </c>
      <c r="AY83" t="str">
        <f>_xlfn.XLOOKUP(AU83,[2]GAE!HZ:HZ,[2]GAE!IG:IG)</f>
        <v>Repairs &amp; Maintenance -  Vehicle</v>
      </c>
      <c r="BF83" t="s">
        <v>19</v>
      </c>
      <c r="BG83" s="2" t="s">
        <v>23</v>
      </c>
      <c r="BH83" s="10">
        <f>SUMIFS('[1]2026'!$K:$K,'[1]2026'!$T:$T,BD83,'[1]2026'!$S:$S,BH$3,'[1]2026'!$P:$P,AU83)</f>
        <v>0</v>
      </c>
      <c r="BI83" s="10">
        <f>SUMIFS('[1]2026'!$K:$K,'[1]2026'!$T:$T,$BD83,'[1]2026'!$S:$S,BI$3,'[1]2026'!$P:$P,$AU83)</f>
        <v>0</v>
      </c>
      <c r="BJ83" s="10">
        <f>SUMIFS('[1]2026'!$K:$K,'[1]2026'!$T:$T,$BD83,'[1]2026'!$S:$S,BJ$3,'[1]2026'!$P:$P,$AU83)</f>
        <v>0</v>
      </c>
      <c r="BK83" s="10">
        <f>SUMIFS('[1]2026'!$K:$K,'[1]2026'!$T:$T,$BD83,'[1]2026'!$S:$S,BK$3,'[1]2026'!$P:$P,$AU83)</f>
        <v>0</v>
      </c>
      <c r="BL83" s="10">
        <f>SUMIFS('[1]2026'!$K:$K,'[1]2026'!$T:$T,$BD83,'[1]2026'!$S:$S,BL$3,'[1]2026'!$P:$P,$AU83)</f>
        <v>0</v>
      </c>
      <c r="BM83" s="10">
        <f>SUMIFS('[1]2026'!$K:$K,'[1]2026'!$T:$T,$BD83,'[1]2026'!$S:$S,BM$3,'[1]2026'!$P:$P,$AU83)</f>
        <v>0</v>
      </c>
      <c r="BN83" s="10">
        <f>SUMIFS('[1]2026'!$K:$K,'[1]2026'!$T:$T,$BD83,'[1]2026'!$S:$S,BN$3,'[1]2026'!$P:$P,$AU83)</f>
        <v>0</v>
      </c>
      <c r="BO83" s="10">
        <f>SUMIFS('[1]2026'!$K:$K,'[1]2026'!$T:$T,$BD83,'[1]2026'!$S:$S,BO$3,'[1]2026'!$P:$P,$AU83)</f>
        <v>0</v>
      </c>
      <c r="BP83" s="6"/>
      <c r="BQ83" s="6"/>
      <c r="BR83" s="6"/>
      <c r="BS83" s="6"/>
      <c r="BT83" s="6">
        <f t="shared" si="51"/>
        <v>0</v>
      </c>
      <c r="BV83" s="6">
        <f t="shared" si="39"/>
        <v>-2500</v>
      </c>
      <c r="BW83" s="6">
        <f t="shared" si="40"/>
        <v>-2500</v>
      </c>
      <c r="BX83" s="6">
        <f t="shared" si="41"/>
        <v>-2500</v>
      </c>
      <c r="BY83" s="6">
        <f t="shared" si="42"/>
        <v>-2500</v>
      </c>
      <c r="BZ83" s="6">
        <f t="shared" si="43"/>
        <v>-2500</v>
      </c>
      <c r="CA83" s="6">
        <f t="shared" si="44"/>
        <v>-2500</v>
      </c>
      <c r="CB83" s="6">
        <f t="shared" si="45"/>
        <v>-2500</v>
      </c>
      <c r="CC83" s="6">
        <f t="shared" si="46"/>
        <v>-2500</v>
      </c>
      <c r="CD83" s="6">
        <f t="shared" si="47"/>
        <v>-2500</v>
      </c>
      <c r="CE83" s="6">
        <f t="shared" si="48"/>
        <v>-2500</v>
      </c>
      <c r="CF83" s="6">
        <f t="shared" si="49"/>
        <v>-2500</v>
      </c>
      <c r="CG83" s="6">
        <f t="shared" si="50"/>
        <v>-2500</v>
      </c>
      <c r="CH83" s="6">
        <f t="shared" si="52"/>
        <v>-30000</v>
      </c>
    </row>
    <row r="84" spans="1:86" hidden="1" x14ac:dyDescent="0.35">
      <c r="A84" s="3" t="s">
        <v>371</v>
      </c>
      <c r="B84" s="10">
        <v>2500</v>
      </c>
      <c r="C84" s="10">
        <v>2500</v>
      </c>
      <c r="D84" s="10">
        <v>2500</v>
      </c>
      <c r="E84" s="10">
        <v>2500</v>
      </c>
      <c r="F84" s="10">
        <v>2500</v>
      </c>
      <c r="G84" s="10">
        <v>2500</v>
      </c>
      <c r="H84" s="10">
        <v>2500</v>
      </c>
      <c r="I84" s="10">
        <v>2500</v>
      </c>
      <c r="J84" s="10">
        <v>2500</v>
      </c>
      <c r="K84" s="10">
        <v>2500</v>
      </c>
      <c r="L84" s="10">
        <v>2500</v>
      </c>
      <c r="M84" s="10">
        <v>2500</v>
      </c>
      <c r="N84" s="27">
        <f t="shared" si="33"/>
        <v>30000</v>
      </c>
      <c r="AA84" s="27">
        <f t="shared" si="6"/>
        <v>0</v>
      </c>
      <c r="AB84" s="10">
        <f t="shared" si="35"/>
        <v>2500</v>
      </c>
      <c r="AC84" s="10">
        <f t="shared" si="35"/>
        <v>2500</v>
      </c>
      <c r="AD84" s="10">
        <f t="shared" si="35"/>
        <v>2500</v>
      </c>
      <c r="AE84" s="10">
        <f t="shared" si="35"/>
        <v>2500</v>
      </c>
      <c r="AF84" s="10">
        <f t="shared" si="35"/>
        <v>2500</v>
      </c>
      <c r="AG84" s="10">
        <f t="shared" si="35"/>
        <v>2500</v>
      </c>
      <c r="AH84" s="10">
        <f t="shared" si="35"/>
        <v>2500</v>
      </c>
      <c r="AI84" s="10">
        <f t="shared" si="35"/>
        <v>2500</v>
      </c>
      <c r="AJ84" s="10">
        <f t="shared" si="35"/>
        <v>2500</v>
      </c>
      <c r="AK84" s="10">
        <f t="shared" si="35"/>
        <v>2500</v>
      </c>
      <c r="AL84" s="10">
        <f t="shared" si="35"/>
        <v>2500</v>
      </c>
      <c r="AM84" s="10">
        <f t="shared" si="35"/>
        <v>2500</v>
      </c>
      <c r="AN84" s="27">
        <f t="shared" si="35"/>
        <v>30000</v>
      </c>
      <c r="AS84" t="str">
        <f>_xlfn.XLOOKUP(AU84,[2]GAE!HZ:HZ,[2]GAE!IA:IA)</f>
        <v>ADMIN SERVICES</v>
      </c>
      <c r="AT84" t="str">
        <f>_xlfn.XLOOKUP(AU84,[2]GAE!HZ:HZ,[2]GAE!IB:IB)</f>
        <v>GAE - Repairs&amp; Maint. - Transportation Equipment</v>
      </c>
      <c r="AU84" t="s">
        <v>360</v>
      </c>
      <c r="AV84">
        <v>80123102</v>
      </c>
      <c r="AW84">
        <v>61061104</v>
      </c>
      <c r="AX84" t="str">
        <f>_xlfn.XLOOKUP(AU84,[2]GAE!HZ:HZ,[2]GAE!IF:IF)</f>
        <v>Others</v>
      </c>
      <c r="AY84" t="str">
        <f>_xlfn.XLOOKUP(AU84,[2]GAE!HZ:HZ,[2]GAE!IG:IG)</f>
        <v>Repairs &amp; Maintenance -  Vehicle</v>
      </c>
      <c r="BF84" t="s">
        <v>19</v>
      </c>
      <c r="BG84" s="2" t="s">
        <v>23</v>
      </c>
      <c r="BH84" s="10">
        <f>SUMIFS('[1]2026'!$K:$K,'[1]2026'!$T:$T,BD84,'[1]2026'!$S:$S,BH$3,'[1]2026'!$P:$P,AU84)</f>
        <v>0</v>
      </c>
      <c r="BI84" s="10">
        <f>SUMIFS('[1]2026'!$K:$K,'[1]2026'!$T:$T,$BD84,'[1]2026'!$S:$S,BI$3,'[1]2026'!$P:$P,$AU84)</f>
        <v>0</v>
      </c>
      <c r="BJ84" s="10">
        <f>SUMIFS('[1]2026'!$K:$K,'[1]2026'!$T:$T,$BD84,'[1]2026'!$S:$S,BJ$3,'[1]2026'!$P:$P,$AU84)</f>
        <v>0</v>
      </c>
      <c r="BK84" s="10">
        <f>SUMIFS('[1]2026'!$K:$K,'[1]2026'!$T:$T,$BD84,'[1]2026'!$S:$S,BK$3,'[1]2026'!$P:$P,$AU84)</f>
        <v>0</v>
      </c>
      <c r="BL84" s="10">
        <f>SUMIFS('[1]2026'!$K:$K,'[1]2026'!$T:$T,$BD84,'[1]2026'!$S:$S,BL$3,'[1]2026'!$P:$P,$AU84)</f>
        <v>0</v>
      </c>
      <c r="BM84" s="10">
        <f>SUMIFS('[1]2026'!$K:$K,'[1]2026'!$T:$T,$BD84,'[1]2026'!$S:$S,BM$3,'[1]2026'!$P:$P,$AU84)</f>
        <v>0</v>
      </c>
      <c r="BN84" s="10">
        <f>SUMIFS('[1]2026'!$K:$K,'[1]2026'!$T:$T,$BD84,'[1]2026'!$S:$S,BN$3,'[1]2026'!$P:$P,$AU84)</f>
        <v>0</v>
      </c>
      <c r="BO84" s="10">
        <f>SUMIFS('[1]2026'!$K:$K,'[1]2026'!$T:$T,$BD84,'[1]2026'!$S:$S,BO$3,'[1]2026'!$P:$P,$AU84)</f>
        <v>0</v>
      </c>
      <c r="BP84" s="6"/>
      <c r="BQ84" s="6"/>
      <c r="BR84" s="6"/>
      <c r="BS84" s="6"/>
      <c r="BT84" s="6">
        <f t="shared" si="51"/>
        <v>0</v>
      </c>
      <c r="BV84" s="6">
        <f t="shared" si="39"/>
        <v>-2500</v>
      </c>
      <c r="BW84" s="6">
        <f t="shared" si="40"/>
        <v>-2500</v>
      </c>
      <c r="BX84" s="6">
        <f t="shared" si="41"/>
        <v>-2500</v>
      </c>
      <c r="BY84" s="6">
        <f t="shared" si="42"/>
        <v>-2500</v>
      </c>
      <c r="BZ84" s="6">
        <f t="shared" si="43"/>
        <v>-2500</v>
      </c>
      <c r="CA84" s="6">
        <f t="shared" si="44"/>
        <v>-2500</v>
      </c>
      <c r="CB84" s="6">
        <f t="shared" si="45"/>
        <v>-2500</v>
      </c>
      <c r="CC84" s="6">
        <f t="shared" si="46"/>
        <v>-2500</v>
      </c>
      <c r="CD84" s="6">
        <f t="shared" si="47"/>
        <v>-2500</v>
      </c>
      <c r="CE84" s="6">
        <f t="shared" si="48"/>
        <v>-2500</v>
      </c>
      <c r="CF84" s="6">
        <f t="shared" si="49"/>
        <v>-2500</v>
      </c>
      <c r="CG84" s="6">
        <f t="shared" si="50"/>
        <v>-2500</v>
      </c>
      <c r="CH84" s="6">
        <f t="shared" si="52"/>
        <v>-30000</v>
      </c>
    </row>
    <row r="85" spans="1:86" hidden="1" x14ac:dyDescent="0.35">
      <c r="A85" s="3" t="s">
        <v>372</v>
      </c>
      <c r="B85" s="10">
        <v>2500</v>
      </c>
      <c r="C85" s="10">
        <v>2500</v>
      </c>
      <c r="D85" s="10">
        <v>2500</v>
      </c>
      <c r="E85" s="10">
        <v>2500</v>
      </c>
      <c r="F85" s="10">
        <v>2500</v>
      </c>
      <c r="G85" s="10">
        <v>2500</v>
      </c>
      <c r="H85" s="10">
        <v>2500</v>
      </c>
      <c r="I85" s="10">
        <v>2500</v>
      </c>
      <c r="J85" s="10">
        <v>2500</v>
      </c>
      <c r="K85" s="10">
        <v>2500</v>
      </c>
      <c r="L85" s="10">
        <v>2500</v>
      </c>
      <c r="M85" s="10">
        <v>2500</v>
      </c>
      <c r="N85" s="27">
        <f t="shared" si="33"/>
        <v>30000</v>
      </c>
      <c r="AA85" s="27">
        <f t="shared" si="6"/>
        <v>0</v>
      </c>
      <c r="AB85" s="10">
        <f t="shared" si="35"/>
        <v>2500</v>
      </c>
      <c r="AC85" s="10">
        <f t="shared" si="35"/>
        <v>2500</v>
      </c>
      <c r="AD85" s="10">
        <f t="shared" si="35"/>
        <v>2500</v>
      </c>
      <c r="AE85" s="10">
        <f t="shared" si="35"/>
        <v>2500</v>
      </c>
      <c r="AF85" s="10">
        <f t="shared" si="35"/>
        <v>2500</v>
      </c>
      <c r="AG85" s="10">
        <f t="shared" si="35"/>
        <v>2500</v>
      </c>
      <c r="AH85" s="10">
        <f t="shared" si="35"/>
        <v>2500</v>
      </c>
      <c r="AI85" s="10">
        <f t="shared" si="35"/>
        <v>2500</v>
      </c>
      <c r="AJ85" s="10">
        <f t="shared" si="35"/>
        <v>2500</v>
      </c>
      <c r="AK85" s="10">
        <f t="shared" si="35"/>
        <v>2500</v>
      </c>
      <c r="AL85" s="10">
        <f t="shared" si="35"/>
        <v>2500</v>
      </c>
      <c r="AM85" s="10">
        <f t="shared" si="35"/>
        <v>2500</v>
      </c>
      <c r="AN85" s="27">
        <f t="shared" si="35"/>
        <v>30000</v>
      </c>
      <c r="AS85" t="str">
        <f>_xlfn.XLOOKUP(AU85,[2]GAE!HZ:HZ,[2]GAE!IA:IA)</f>
        <v>ADMIN SERVICES</v>
      </c>
      <c r="AT85" t="str">
        <f>_xlfn.XLOOKUP(AU85,[2]GAE!HZ:HZ,[2]GAE!IB:IB)</f>
        <v>GAE - Repairs&amp; Maint. - Transportation Equipment</v>
      </c>
      <c r="AU85" t="s">
        <v>360</v>
      </c>
      <c r="AV85">
        <v>80123102</v>
      </c>
      <c r="AW85">
        <v>61061104</v>
      </c>
      <c r="AX85" t="str">
        <f>_xlfn.XLOOKUP(AU85,[2]GAE!HZ:HZ,[2]GAE!IF:IF)</f>
        <v>Others</v>
      </c>
      <c r="AY85" t="str">
        <f>_xlfn.XLOOKUP(AU85,[2]GAE!HZ:HZ,[2]GAE!IG:IG)</f>
        <v>Repairs &amp; Maintenance -  Vehicle</v>
      </c>
      <c r="BF85" t="s">
        <v>19</v>
      </c>
      <c r="BG85" s="2" t="s">
        <v>23</v>
      </c>
      <c r="BH85" s="10">
        <f>SUMIFS('[1]2026'!$K:$K,'[1]2026'!$T:$T,BD85,'[1]2026'!$S:$S,BH$3,'[1]2026'!$P:$P,AU85)</f>
        <v>0</v>
      </c>
      <c r="BI85" s="10">
        <f>SUMIFS('[1]2026'!$K:$K,'[1]2026'!$T:$T,$BD85,'[1]2026'!$S:$S,BI$3,'[1]2026'!$P:$P,$AU85)</f>
        <v>0</v>
      </c>
      <c r="BJ85" s="10">
        <f>SUMIFS('[1]2026'!$K:$K,'[1]2026'!$T:$T,$BD85,'[1]2026'!$S:$S,BJ$3,'[1]2026'!$P:$P,$AU85)</f>
        <v>0</v>
      </c>
      <c r="BK85" s="10">
        <f>SUMIFS('[1]2026'!$K:$K,'[1]2026'!$T:$T,$BD85,'[1]2026'!$S:$S,BK$3,'[1]2026'!$P:$P,$AU85)</f>
        <v>0</v>
      </c>
      <c r="BL85" s="10">
        <f>SUMIFS('[1]2026'!$K:$K,'[1]2026'!$T:$T,$BD85,'[1]2026'!$S:$S,BL$3,'[1]2026'!$P:$P,$AU85)</f>
        <v>0</v>
      </c>
      <c r="BM85" s="10">
        <f>SUMIFS('[1]2026'!$K:$K,'[1]2026'!$T:$T,$BD85,'[1]2026'!$S:$S,BM$3,'[1]2026'!$P:$P,$AU85)</f>
        <v>0</v>
      </c>
      <c r="BN85" s="10">
        <f>SUMIFS('[1]2026'!$K:$K,'[1]2026'!$T:$T,$BD85,'[1]2026'!$S:$S,BN$3,'[1]2026'!$P:$P,$AU85)</f>
        <v>0</v>
      </c>
      <c r="BO85" s="10">
        <f>SUMIFS('[1]2026'!$K:$K,'[1]2026'!$T:$T,$BD85,'[1]2026'!$S:$S,BO$3,'[1]2026'!$P:$P,$AU85)</f>
        <v>0</v>
      </c>
      <c r="BP85" s="6"/>
      <c r="BQ85" s="6"/>
      <c r="BR85" s="6"/>
      <c r="BS85" s="6"/>
      <c r="BT85" s="6">
        <f t="shared" si="51"/>
        <v>0</v>
      </c>
      <c r="BV85" s="6">
        <f t="shared" si="39"/>
        <v>-2500</v>
      </c>
      <c r="BW85" s="6">
        <f t="shared" si="40"/>
        <v>-2500</v>
      </c>
      <c r="BX85" s="6">
        <f t="shared" si="41"/>
        <v>-2500</v>
      </c>
      <c r="BY85" s="6">
        <f t="shared" si="42"/>
        <v>-2500</v>
      </c>
      <c r="BZ85" s="6">
        <f t="shared" si="43"/>
        <v>-2500</v>
      </c>
      <c r="CA85" s="6">
        <f t="shared" si="44"/>
        <v>-2500</v>
      </c>
      <c r="CB85" s="6">
        <f t="shared" si="45"/>
        <v>-2500</v>
      </c>
      <c r="CC85" s="6">
        <f t="shared" si="46"/>
        <v>-2500</v>
      </c>
      <c r="CD85" s="6">
        <f t="shared" si="47"/>
        <v>-2500</v>
      </c>
      <c r="CE85" s="6">
        <f t="shared" si="48"/>
        <v>-2500</v>
      </c>
      <c r="CF85" s="6">
        <f t="shared" si="49"/>
        <v>-2500</v>
      </c>
      <c r="CG85" s="6">
        <f t="shared" si="50"/>
        <v>-2500</v>
      </c>
      <c r="CH85" s="6">
        <f t="shared" si="52"/>
        <v>-30000</v>
      </c>
    </row>
    <row r="86" spans="1:86" hidden="1" x14ac:dyDescent="0.35">
      <c r="A86" s="3" t="s">
        <v>373</v>
      </c>
      <c r="B86" s="10">
        <v>3333.3333333333335</v>
      </c>
      <c r="C86" s="10">
        <v>3333.3333333333335</v>
      </c>
      <c r="D86" s="10">
        <v>3333.3333333333335</v>
      </c>
      <c r="E86" s="10">
        <v>3333.3333333333335</v>
      </c>
      <c r="F86" s="10">
        <v>3333.3333333333335</v>
      </c>
      <c r="G86" s="10">
        <v>3333.3333333333335</v>
      </c>
      <c r="H86" s="10">
        <v>3333.3333333333335</v>
      </c>
      <c r="I86" s="10">
        <v>3333.3333333333335</v>
      </c>
      <c r="J86" s="10">
        <v>3333.3333333333335</v>
      </c>
      <c r="K86" s="10">
        <v>3333.3333333333335</v>
      </c>
      <c r="L86" s="10">
        <v>3333.3333333333335</v>
      </c>
      <c r="M86" s="10">
        <v>3333.3333333333335</v>
      </c>
      <c r="N86" s="27">
        <f t="shared" si="33"/>
        <v>40000</v>
      </c>
      <c r="AA86" s="27">
        <f t="shared" si="6"/>
        <v>0</v>
      </c>
      <c r="AB86" s="10">
        <f t="shared" si="35"/>
        <v>3333.3333333333335</v>
      </c>
      <c r="AC86" s="10">
        <f t="shared" si="35"/>
        <v>3333.3333333333335</v>
      </c>
      <c r="AD86" s="10">
        <f t="shared" si="35"/>
        <v>3333.3333333333335</v>
      </c>
      <c r="AE86" s="10">
        <f t="shared" si="35"/>
        <v>3333.3333333333335</v>
      </c>
      <c r="AF86" s="10">
        <f t="shared" si="35"/>
        <v>3333.3333333333335</v>
      </c>
      <c r="AG86" s="10">
        <f t="shared" si="35"/>
        <v>3333.3333333333335</v>
      </c>
      <c r="AH86" s="10">
        <f t="shared" si="35"/>
        <v>3333.3333333333335</v>
      </c>
      <c r="AI86" s="10">
        <f t="shared" si="35"/>
        <v>3333.3333333333335</v>
      </c>
      <c r="AJ86" s="10">
        <f t="shared" si="35"/>
        <v>3333.3333333333335</v>
      </c>
      <c r="AK86" s="10">
        <f t="shared" si="35"/>
        <v>3333.3333333333335</v>
      </c>
      <c r="AL86" s="10">
        <f t="shared" si="35"/>
        <v>3333.3333333333335</v>
      </c>
      <c r="AM86" s="10">
        <f t="shared" si="35"/>
        <v>3333.3333333333335</v>
      </c>
      <c r="AN86" s="27">
        <f t="shared" si="35"/>
        <v>40000</v>
      </c>
      <c r="AS86" t="str">
        <f>_xlfn.XLOOKUP(AU86,[2]GAE!HZ:HZ,[2]GAE!IA:IA)</f>
        <v>ADMIN SERVICES</v>
      </c>
      <c r="AT86" t="str">
        <f>_xlfn.XLOOKUP(AU86,[2]GAE!HZ:HZ,[2]GAE!IB:IB)</f>
        <v>GAE - Repairs&amp; Maint. - Transportation Equipment</v>
      </c>
      <c r="AU86" t="s">
        <v>360</v>
      </c>
      <c r="AV86">
        <v>80123102</v>
      </c>
      <c r="AW86">
        <v>61061104</v>
      </c>
      <c r="AX86" t="str">
        <f>_xlfn.XLOOKUP(AU86,[2]GAE!HZ:HZ,[2]GAE!IF:IF)</f>
        <v>Others</v>
      </c>
      <c r="AY86" t="str">
        <f>_xlfn.XLOOKUP(AU86,[2]GAE!HZ:HZ,[2]GAE!IG:IG)</f>
        <v>Repairs &amp; Maintenance -  Vehicle</v>
      </c>
      <c r="BC86" t="s">
        <v>23</v>
      </c>
      <c r="BD86" t="s">
        <v>374</v>
      </c>
      <c r="BF86" t="s">
        <v>19</v>
      </c>
      <c r="BG86" t="s">
        <v>23</v>
      </c>
      <c r="BH86" s="10">
        <f>SUMIFS('[1]2026'!$K:$K,'[1]2026'!$T:$T,BD86,'[1]2026'!$S:$S,BH$3,'[1]2026'!$P:$P,AU86)</f>
        <v>0</v>
      </c>
      <c r="BI86" s="10">
        <f>SUMIFS('[1]2026'!$K:$K,'[1]2026'!$T:$T,$BD86,'[1]2026'!$S:$S,BI$3,'[1]2026'!$P:$P,$AU86)</f>
        <v>0</v>
      </c>
      <c r="BJ86" s="10">
        <f>SUMIFS('[1]2026'!$K:$K,'[1]2026'!$T:$T,$BD86,'[1]2026'!$S:$S,BJ$3,'[1]2026'!$P:$P,$AU86)</f>
        <v>0</v>
      </c>
      <c r="BK86" s="10">
        <f>SUMIFS('[1]2026'!$K:$K,'[1]2026'!$T:$T,$BD86,'[1]2026'!$S:$S,BK$3,'[1]2026'!$P:$P,$AU86)</f>
        <v>0</v>
      </c>
      <c r="BL86" s="10">
        <f>SUMIFS('[1]2026'!$K:$K,'[1]2026'!$T:$T,$BD86,'[1]2026'!$S:$S,BL$3,'[1]2026'!$P:$P,$AU86)</f>
        <v>0</v>
      </c>
      <c r="BM86" s="10">
        <f>SUMIFS('[1]2026'!$K:$K,'[1]2026'!$T:$T,$BD86,'[1]2026'!$S:$S,BM$3,'[1]2026'!$P:$P,$AU86)</f>
        <v>17863.95</v>
      </c>
      <c r="BN86" s="10">
        <f>SUMIFS('[1]2026'!$K:$K,'[1]2026'!$T:$T,$BD86,'[1]2026'!$S:$S,BN$3,'[1]2026'!$P:$P,$AU86)</f>
        <v>0</v>
      </c>
      <c r="BO86" s="10">
        <f>SUMIFS('[1]2026'!$K:$K,'[1]2026'!$T:$T,$BD86,'[1]2026'!$S:$S,BO$3,'[1]2026'!$P:$P,$AU86)</f>
        <v>0</v>
      </c>
      <c r="BP86" s="6"/>
      <c r="BQ86" s="6"/>
      <c r="BR86" s="6"/>
      <c r="BS86" s="6"/>
      <c r="BT86" s="6">
        <f t="shared" si="51"/>
        <v>17863.95</v>
      </c>
      <c r="BV86" s="6">
        <f t="shared" si="39"/>
        <v>-3333.3333333333335</v>
      </c>
      <c r="BW86" s="6">
        <f t="shared" si="40"/>
        <v>-3333.3333333333335</v>
      </c>
      <c r="BX86" s="6">
        <f t="shared" si="41"/>
        <v>-3333.3333333333335</v>
      </c>
      <c r="BY86" s="6">
        <f t="shared" si="42"/>
        <v>-3333.3333333333335</v>
      </c>
      <c r="BZ86" s="6">
        <f t="shared" si="43"/>
        <v>-3333.3333333333335</v>
      </c>
      <c r="CA86" s="6">
        <f t="shared" si="44"/>
        <v>14530.616666666667</v>
      </c>
      <c r="CB86" s="6">
        <f t="shared" si="45"/>
        <v>-3333.3333333333335</v>
      </c>
      <c r="CC86" s="6">
        <f t="shared" si="46"/>
        <v>-3333.3333333333335</v>
      </c>
      <c r="CD86" s="6">
        <f t="shared" si="47"/>
        <v>-3333.3333333333335</v>
      </c>
      <c r="CE86" s="6">
        <f t="shared" si="48"/>
        <v>-3333.3333333333335</v>
      </c>
      <c r="CF86" s="6">
        <f t="shared" si="49"/>
        <v>-3333.3333333333335</v>
      </c>
      <c r="CG86" s="6">
        <f t="shared" si="50"/>
        <v>-3333.3333333333335</v>
      </c>
      <c r="CH86" s="6">
        <f t="shared" si="52"/>
        <v>-22136.05</v>
      </c>
    </row>
    <row r="87" spans="1:86" hidden="1" x14ac:dyDescent="0.35">
      <c r="A87" s="3" t="s">
        <v>375</v>
      </c>
      <c r="B87" s="10">
        <v>2500</v>
      </c>
      <c r="C87" s="10">
        <v>2500</v>
      </c>
      <c r="D87" s="10">
        <v>2500</v>
      </c>
      <c r="E87" s="10">
        <v>2500</v>
      </c>
      <c r="F87" s="10">
        <v>2500</v>
      </c>
      <c r="G87" s="10">
        <v>2500</v>
      </c>
      <c r="H87" s="10">
        <v>2500</v>
      </c>
      <c r="I87" s="10">
        <v>2500</v>
      </c>
      <c r="J87" s="10">
        <v>2500</v>
      </c>
      <c r="K87" s="10">
        <v>2500</v>
      </c>
      <c r="L87" s="10">
        <v>2500</v>
      </c>
      <c r="M87" s="10">
        <v>2500</v>
      </c>
      <c r="N87" s="27">
        <f t="shared" si="33"/>
        <v>30000</v>
      </c>
      <c r="AA87" s="27">
        <f t="shared" si="6"/>
        <v>0</v>
      </c>
      <c r="AB87" s="10">
        <f t="shared" si="35"/>
        <v>2500</v>
      </c>
      <c r="AC87" s="10">
        <f t="shared" si="35"/>
        <v>2500</v>
      </c>
      <c r="AD87" s="10">
        <f t="shared" si="35"/>
        <v>2500</v>
      </c>
      <c r="AE87" s="10">
        <f t="shared" si="35"/>
        <v>2500</v>
      </c>
      <c r="AF87" s="10">
        <f t="shared" si="35"/>
        <v>2500</v>
      </c>
      <c r="AG87" s="10">
        <f t="shared" si="35"/>
        <v>2500</v>
      </c>
      <c r="AH87" s="10">
        <f t="shared" si="35"/>
        <v>2500</v>
      </c>
      <c r="AI87" s="10">
        <f t="shared" si="35"/>
        <v>2500</v>
      </c>
      <c r="AJ87" s="10">
        <f t="shared" si="35"/>
        <v>2500</v>
      </c>
      <c r="AK87" s="10">
        <f t="shared" si="35"/>
        <v>2500</v>
      </c>
      <c r="AL87" s="10">
        <f t="shared" si="35"/>
        <v>2500</v>
      </c>
      <c r="AM87" s="10">
        <f t="shared" si="35"/>
        <v>2500</v>
      </c>
      <c r="AN87" s="27">
        <f t="shared" si="35"/>
        <v>30000</v>
      </c>
      <c r="AS87" t="str">
        <f>_xlfn.XLOOKUP(AU87,[2]GAE!HZ:HZ,[2]GAE!IA:IA)</f>
        <v>ADMIN SERVICES</v>
      </c>
      <c r="AT87" t="str">
        <f>_xlfn.XLOOKUP(AU87,[2]GAE!HZ:HZ,[2]GAE!IB:IB)</f>
        <v>GAE - Repairs&amp; Maint. - Transportation Equipment</v>
      </c>
      <c r="AU87" t="s">
        <v>360</v>
      </c>
      <c r="AV87">
        <v>80123102</v>
      </c>
      <c r="AW87">
        <v>61061104</v>
      </c>
      <c r="AX87" t="str">
        <f>_xlfn.XLOOKUP(AU87,[2]GAE!HZ:HZ,[2]GAE!IF:IF)</f>
        <v>Others</v>
      </c>
      <c r="AY87" t="str">
        <f>_xlfn.XLOOKUP(AU87,[2]GAE!HZ:HZ,[2]GAE!IG:IG)</f>
        <v>Repairs &amp; Maintenance -  Vehicle</v>
      </c>
      <c r="BF87" t="s">
        <v>19</v>
      </c>
      <c r="BG87" s="2" t="s">
        <v>23</v>
      </c>
      <c r="BH87" s="10">
        <f>SUMIFS('[1]2026'!$K:$K,'[1]2026'!$T:$T,BD87,'[1]2026'!$S:$S,BH$3,'[1]2026'!$P:$P,AU87)</f>
        <v>0</v>
      </c>
      <c r="BI87" s="10">
        <f>SUMIFS('[1]2026'!$K:$K,'[1]2026'!$T:$T,$BD87,'[1]2026'!$S:$S,BI$3,'[1]2026'!$P:$P,$AU87)</f>
        <v>0</v>
      </c>
      <c r="BJ87" s="10">
        <f>SUMIFS('[1]2026'!$K:$K,'[1]2026'!$T:$T,$BD87,'[1]2026'!$S:$S,BJ$3,'[1]2026'!$P:$P,$AU87)</f>
        <v>0</v>
      </c>
      <c r="BK87" s="10">
        <f>SUMIFS('[1]2026'!$K:$K,'[1]2026'!$T:$T,$BD87,'[1]2026'!$S:$S,BK$3,'[1]2026'!$P:$P,$AU87)</f>
        <v>0</v>
      </c>
      <c r="BL87" s="10">
        <f>SUMIFS('[1]2026'!$K:$K,'[1]2026'!$T:$T,$BD87,'[1]2026'!$S:$S,BL$3,'[1]2026'!$P:$P,$AU87)</f>
        <v>0</v>
      </c>
      <c r="BM87" s="10">
        <f>SUMIFS('[1]2026'!$K:$K,'[1]2026'!$T:$T,$BD87,'[1]2026'!$S:$S,BM$3,'[1]2026'!$P:$P,$AU87)</f>
        <v>0</v>
      </c>
      <c r="BN87" s="10">
        <f>SUMIFS('[1]2026'!$K:$K,'[1]2026'!$T:$T,$BD87,'[1]2026'!$S:$S,BN$3,'[1]2026'!$P:$P,$AU87)</f>
        <v>0</v>
      </c>
      <c r="BO87" s="10">
        <f>SUMIFS('[1]2026'!$K:$K,'[1]2026'!$T:$T,$BD87,'[1]2026'!$S:$S,BO$3,'[1]2026'!$P:$P,$AU87)</f>
        <v>0</v>
      </c>
      <c r="BP87" s="6"/>
      <c r="BQ87" s="6"/>
      <c r="BR87" s="6"/>
      <c r="BS87" s="6"/>
      <c r="BT87" s="6">
        <f t="shared" si="51"/>
        <v>0</v>
      </c>
      <c r="BV87" s="6">
        <f t="shared" si="39"/>
        <v>-2500</v>
      </c>
      <c r="BW87" s="6">
        <f t="shared" si="40"/>
        <v>-2500</v>
      </c>
      <c r="BX87" s="6">
        <f t="shared" si="41"/>
        <v>-2500</v>
      </c>
      <c r="BY87" s="6">
        <f t="shared" si="42"/>
        <v>-2500</v>
      </c>
      <c r="BZ87" s="6">
        <f t="shared" si="43"/>
        <v>-2500</v>
      </c>
      <c r="CA87" s="6">
        <f t="shared" si="44"/>
        <v>-2500</v>
      </c>
      <c r="CB87" s="6">
        <f t="shared" si="45"/>
        <v>-2500</v>
      </c>
      <c r="CC87" s="6">
        <f t="shared" si="46"/>
        <v>-2500</v>
      </c>
      <c r="CD87" s="6">
        <f t="shared" si="47"/>
        <v>-2500</v>
      </c>
      <c r="CE87" s="6">
        <f t="shared" si="48"/>
        <v>-2500</v>
      </c>
      <c r="CF87" s="6">
        <f t="shared" si="49"/>
        <v>-2500</v>
      </c>
      <c r="CG87" s="6">
        <f t="shared" si="50"/>
        <v>-2500</v>
      </c>
      <c r="CH87" s="6">
        <f t="shared" si="52"/>
        <v>-30000</v>
      </c>
    </row>
    <row r="88" spans="1:86" hidden="1" x14ac:dyDescent="0.35">
      <c r="A88" s="3" t="s">
        <v>376</v>
      </c>
      <c r="B88" s="10">
        <v>3333.3333333333335</v>
      </c>
      <c r="C88" s="10">
        <v>3333.3333333333335</v>
      </c>
      <c r="D88" s="10">
        <v>3333.3333333333335</v>
      </c>
      <c r="E88" s="10">
        <v>3333.3333333333335</v>
      </c>
      <c r="F88" s="10">
        <v>3333.3333333333335</v>
      </c>
      <c r="G88" s="10">
        <v>3333.3333333333335</v>
      </c>
      <c r="H88" s="10">
        <v>3333.3333333333335</v>
      </c>
      <c r="I88" s="10">
        <v>3333.3333333333335</v>
      </c>
      <c r="J88" s="10">
        <v>3333.3333333333335</v>
      </c>
      <c r="K88" s="10">
        <v>3333.3333333333335</v>
      </c>
      <c r="L88" s="10">
        <v>3333.3333333333335</v>
      </c>
      <c r="M88" s="10">
        <v>3333.3333333333335</v>
      </c>
      <c r="N88" s="27">
        <f t="shared" si="33"/>
        <v>40000</v>
      </c>
      <c r="AA88" s="27">
        <f t="shared" ref="AA88:AA152" si="53">SUM(O88:Z88)</f>
        <v>0</v>
      </c>
      <c r="AB88" s="10">
        <f t="shared" si="35"/>
        <v>3333.3333333333335</v>
      </c>
      <c r="AC88" s="10">
        <f t="shared" si="35"/>
        <v>3333.3333333333335</v>
      </c>
      <c r="AD88" s="10">
        <f t="shared" si="35"/>
        <v>3333.3333333333335</v>
      </c>
      <c r="AE88" s="10">
        <f t="shared" si="35"/>
        <v>3333.3333333333335</v>
      </c>
      <c r="AF88" s="10">
        <f t="shared" si="35"/>
        <v>3333.3333333333335</v>
      </c>
      <c r="AG88" s="10">
        <f t="shared" si="35"/>
        <v>3333.3333333333335</v>
      </c>
      <c r="AH88" s="10">
        <f t="shared" si="35"/>
        <v>3333.3333333333335</v>
      </c>
      <c r="AI88" s="10">
        <f t="shared" si="35"/>
        <v>3333.3333333333335</v>
      </c>
      <c r="AJ88" s="10">
        <f t="shared" si="35"/>
        <v>3333.3333333333335</v>
      </c>
      <c r="AK88" s="10">
        <f t="shared" si="35"/>
        <v>3333.3333333333335</v>
      </c>
      <c r="AL88" s="10">
        <f t="shared" si="35"/>
        <v>3333.3333333333335</v>
      </c>
      <c r="AM88" s="10">
        <f t="shared" si="35"/>
        <v>3333.3333333333335</v>
      </c>
      <c r="AN88" s="27">
        <f t="shared" si="35"/>
        <v>40000</v>
      </c>
      <c r="AS88" t="str">
        <f>_xlfn.XLOOKUP(AU88,[2]GAE!HZ:HZ,[2]GAE!IA:IA)</f>
        <v>ADMIN SERVICES</v>
      </c>
      <c r="AT88" t="str">
        <f>_xlfn.XLOOKUP(AU88,[2]GAE!HZ:HZ,[2]GAE!IB:IB)</f>
        <v>GAE - Repairs&amp; Maint. - Transportation Equipment</v>
      </c>
      <c r="AU88" t="s">
        <v>360</v>
      </c>
      <c r="AV88">
        <v>80123102</v>
      </c>
      <c r="AW88">
        <v>61061104</v>
      </c>
      <c r="AX88" t="str">
        <f>_xlfn.XLOOKUP(AU88,[2]GAE!HZ:HZ,[2]GAE!IF:IF)</f>
        <v>Others</v>
      </c>
      <c r="AY88" t="str">
        <f>_xlfn.XLOOKUP(AU88,[2]GAE!HZ:HZ,[2]GAE!IG:IG)</f>
        <v>Repairs &amp; Maintenance -  Vehicle</v>
      </c>
      <c r="BF88" t="s">
        <v>19</v>
      </c>
      <c r="BG88" s="2" t="s">
        <v>23</v>
      </c>
      <c r="BH88" s="10">
        <f>SUMIFS('[1]2026'!$K:$K,'[1]2026'!$T:$T,BD88,'[1]2026'!$S:$S,BH$3,'[1]2026'!$P:$P,AU88)</f>
        <v>0</v>
      </c>
      <c r="BI88" s="10">
        <f>SUMIFS('[1]2026'!$K:$K,'[1]2026'!$T:$T,$BD88,'[1]2026'!$S:$S,BI$3,'[1]2026'!$P:$P,$AU88)</f>
        <v>0</v>
      </c>
      <c r="BJ88" s="10">
        <f>SUMIFS('[1]2026'!$K:$K,'[1]2026'!$T:$T,$BD88,'[1]2026'!$S:$S,BJ$3,'[1]2026'!$P:$P,$AU88)</f>
        <v>0</v>
      </c>
      <c r="BK88" s="10">
        <f>SUMIFS('[1]2026'!$K:$K,'[1]2026'!$T:$T,$BD88,'[1]2026'!$S:$S,BK$3,'[1]2026'!$P:$P,$AU88)</f>
        <v>0</v>
      </c>
      <c r="BL88" s="10">
        <f>SUMIFS('[1]2026'!$K:$K,'[1]2026'!$T:$T,$BD88,'[1]2026'!$S:$S,BL$3,'[1]2026'!$P:$P,$AU88)</f>
        <v>0</v>
      </c>
      <c r="BM88" s="10">
        <f>SUMIFS('[1]2026'!$K:$K,'[1]2026'!$T:$T,$BD88,'[1]2026'!$S:$S,BM$3,'[1]2026'!$P:$P,$AU88)</f>
        <v>0</v>
      </c>
      <c r="BN88" s="10">
        <f>SUMIFS('[1]2026'!$K:$K,'[1]2026'!$T:$T,$BD88,'[1]2026'!$S:$S,BN$3,'[1]2026'!$P:$P,$AU88)</f>
        <v>0</v>
      </c>
      <c r="BO88" s="10">
        <f>SUMIFS('[1]2026'!$K:$K,'[1]2026'!$T:$T,$BD88,'[1]2026'!$S:$S,BO$3,'[1]2026'!$P:$P,$AU88)</f>
        <v>0</v>
      </c>
      <c r="BP88" s="6"/>
      <c r="BQ88" s="6"/>
      <c r="BR88" s="6"/>
      <c r="BS88" s="6"/>
      <c r="BT88" s="6">
        <f t="shared" si="51"/>
        <v>0</v>
      </c>
      <c r="BV88" s="6">
        <f t="shared" si="39"/>
        <v>-3333.3333333333335</v>
      </c>
      <c r="BW88" s="6">
        <f t="shared" si="40"/>
        <v>-3333.3333333333335</v>
      </c>
      <c r="BX88" s="6">
        <f t="shared" si="41"/>
        <v>-3333.3333333333335</v>
      </c>
      <c r="BY88" s="6">
        <f t="shared" si="42"/>
        <v>-3333.3333333333335</v>
      </c>
      <c r="BZ88" s="6">
        <f t="shared" si="43"/>
        <v>-3333.3333333333335</v>
      </c>
      <c r="CA88" s="6">
        <f t="shared" si="44"/>
        <v>-3333.3333333333335</v>
      </c>
      <c r="CB88" s="6">
        <f t="shared" si="45"/>
        <v>-3333.3333333333335</v>
      </c>
      <c r="CC88" s="6">
        <f t="shared" si="46"/>
        <v>-3333.3333333333335</v>
      </c>
      <c r="CD88" s="6">
        <f t="shared" si="47"/>
        <v>-3333.3333333333335</v>
      </c>
      <c r="CE88" s="6">
        <f t="shared" si="48"/>
        <v>-3333.3333333333335</v>
      </c>
      <c r="CF88" s="6">
        <f t="shared" si="49"/>
        <v>-3333.3333333333335</v>
      </c>
      <c r="CG88" s="6">
        <f t="shared" si="50"/>
        <v>-3333.3333333333335</v>
      </c>
      <c r="CH88" s="6">
        <f t="shared" si="52"/>
        <v>-40000</v>
      </c>
    </row>
    <row r="89" spans="1:86" hidden="1" x14ac:dyDescent="0.35">
      <c r="A89" s="3" t="s">
        <v>377</v>
      </c>
      <c r="B89" s="10">
        <v>2500</v>
      </c>
      <c r="C89" s="10">
        <v>2500</v>
      </c>
      <c r="D89" s="10">
        <v>2500</v>
      </c>
      <c r="E89" s="10">
        <v>2500</v>
      </c>
      <c r="F89" s="10">
        <v>2500</v>
      </c>
      <c r="G89" s="10">
        <v>2500</v>
      </c>
      <c r="H89" s="10">
        <v>2500</v>
      </c>
      <c r="I89" s="10">
        <v>2500</v>
      </c>
      <c r="J89" s="10">
        <v>2500</v>
      </c>
      <c r="K89" s="10">
        <v>2500</v>
      </c>
      <c r="L89" s="10">
        <v>2500</v>
      </c>
      <c r="M89" s="10">
        <v>2500</v>
      </c>
      <c r="N89" s="27">
        <f t="shared" si="33"/>
        <v>30000</v>
      </c>
      <c r="AA89" s="27">
        <f t="shared" si="53"/>
        <v>0</v>
      </c>
      <c r="AB89" s="10">
        <f t="shared" si="35"/>
        <v>2500</v>
      </c>
      <c r="AC89" s="10">
        <f t="shared" si="35"/>
        <v>2500</v>
      </c>
      <c r="AD89" s="10">
        <f t="shared" si="35"/>
        <v>2500</v>
      </c>
      <c r="AE89" s="10">
        <f t="shared" si="35"/>
        <v>2500</v>
      </c>
      <c r="AF89" s="10">
        <f t="shared" si="35"/>
        <v>2500</v>
      </c>
      <c r="AG89" s="10">
        <f t="shared" si="35"/>
        <v>2500</v>
      </c>
      <c r="AH89" s="10">
        <f t="shared" si="35"/>
        <v>2500</v>
      </c>
      <c r="AI89" s="10">
        <f t="shared" si="35"/>
        <v>2500</v>
      </c>
      <c r="AJ89" s="10">
        <f t="shared" si="35"/>
        <v>2500</v>
      </c>
      <c r="AK89" s="10">
        <f t="shared" si="35"/>
        <v>2500</v>
      </c>
      <c r="AL89" s="10">
        <f t="shared" si="35"/>
        <v>2500</v>
      </c>
      <c r="AM89" s="10">
        <f t="shared" si="35"/>
        <v>2500</v>
      </c>
      <c r="AN89" s="27">
        <f t="shared" si="35"/>
        <v>30000</v>
      </c>
      <c r="AS89" t="str">
        <f>_xlfn.XLOOKUP(AU89,[2]GAE!HZ:HZ,[2]GAE!IA:IA)</f>
        <v>ADMIN SERVICES</v>
      </c>
      <c r="AT89" t="str">
        <f>_xlfn.XLOOKUP(AU89,[2]GAE!HZ:HZ,[2]GAE!IB:IB)</f>
        <v>GAE - Repairs&amp; Maint. - Transportation Equipment</v>
      </c>
      <c r="AU89" t="s">
        <v>360</v>
      </c>
      <c r="AV89">
        <v>80123102</v>
      </c>
      <c r="AW89">
        <v>61061104</v>
      </c>
      <c r="AX89" t="str">
        <f>_xlfn.XLOOKUP(AU89,[2]GAE!HZ:HZ,[2]GAE!IF:IF)</f>
        <v>Others</v>
      </c>
      <c r="AY89" t="str">
        <f>_xlfn.XLOOKUP(AU89,[2]GAE!HZ:HZ,[2]GAE!IG:IG)</f>
        <v>Repairs &amp; Maintenance -  Vehicle</v>
      </c>
      <c r="BF89" t="s">
        <v>19</v>
      </c>
      <c r="BG89" s="2" t="s">
        <v>23</v>
      </c>
      <c r="BH89" s="10">
        <f>SUMIFS('[1]2026'!$K:$K,'[1]2026'!$T:$T,BD89,'[1]2026'!$S:$S,BH$3,'[1]2026'!$P:$P,AU89)</f>
        <v>0</v>
      </c>
      <c r="BI89" s="10">
        <f>SUMIFS('[1]2026'!$K:$K,'[1]2026'!$T:$T,$BD89,'[1]2026'!$S:$S,BI$3,'[1]2026'!$P:$P,$AU89)</f>
        <v>0</v>
      </c>
      <c r="BJ89" s="10">
        <f>SUMIFS('[1]2026'!$K:$K,'[1]2026'!$T:$T,$BD89,'[1]2026'!$S:$S,BJ$3,'[1]2026'!$P:$P,$AU89)</f>
        <v>0</v>
      </c>
      <c r="BK89" s="10">
        <f>SUMIFS('[1]2026'!$K:$K,'[1]2026'!$T:$T,$BD89,'[1]2026'!$S:$S,BK$3,'[1]2026'!$P:$P,$AU89)</f>
        <v>0</v>
      </c>
      <c r="BL89" s="10">
        <f>SUMIFS('[1]2026'!$K:$K,'[1]2026'!$T:$T,$BD89,'[1]2026'!$S:$S,BL$3,'[1]2026'!$P:$P,$AU89)</f>
        <v>0</v>
      </c>
      <c r="BM89" s="10">
        <f>SUMIFS('[1]2026'!$K:$K,'[1]2026'!$T:$T,$BD89,'[1]2026'!$S:$S,BM$3,'[1]2026'!$P:$P,$AU89)</f>
        <v>0</v>
      </c>
      <c r="BN89" s="10">
        <f>SUMIFS('[1]2026'!$K:$K,'[1]2026'!$T:$T,$BD89,'[1]2026'!$S:$S,BN$3,'[1]2026'!$P:$P,$AU89)</f>
        <v>0</v>
      </c>
      <c r="BO89" s="10">
        <f>SUMIFS('[1]2026'!$K:$K,'[1]2026'!$T:$T,$BD89,'[1]2026'!$S:$S,BO$3,'[1]2026'!$P:$P,$AU89)</f>
        <v>0</v>
      </c>
      <c r="BP89" s="6"/>
      <c r="BQ89" s="6"/>
      <c r="BR89" s="6"/>
      <c r="BS89" s="6"/>
      <c r="BT89" s="6">
        <f t="shared" si="51"/>
        <v>0</v>
      </c>
      <c r="BV89" s="6">
        <f t="shared" si="39"/>
        <v>-2500</v>
      </c>
      <c r="BW89" s="6">
        <f t="shared" si="40"/>
        <v>-2500</v>
      </c>
      <c r="BX89" s="6">
        <f t="shared" si="41"/>
        <v>-2500</v>
      </c>
      <c r="BY89" s="6">
        <f t="shared" si="42"/>
        <v>-2500</v>
      </c>
      <c r="BZ89" s="6">
        <f t="shared" si="43"/>
        <v>-2500</v>
      </c>
      <c r="CA89" s="6">
        <f t="shared" si="44"/>
        <v>-2500</v>
      </c>
      <c r="CB89" s="6">
        <f t="shared" si="45"/>
        <v>-2500</v>
      </c>
      <c r="CC89" s="6">
        <f t="shared" si="46"/>
        <v>-2500</v>
      </c>
      <c r="CD89" s="6">
        <f t="shared" si="47"/>
        <v>-2500</v>
      </c>
      <c r="CE89" s="6">
        <f t="shared" si="48"/>
        <v>-2500</v>
      </c>
      <c r="CF89" s="6">
        <f t="shared" si="49"/>
        <v>-2500</v>
      </c>
      <c r="CG89" s="6">
        <f t="shared" si="50"/>
        <v>-2500</v>
      </c>
      <c r="CH89" s="6">
        <f t="shared" si="52"/>
        <v>-30000</v>
      </c>
    </row>
    <row r="90" spans="1:86" hidden="1" x14ac:dyDescent="0.35">
      <c r="A90" s="3" t="s">
        <v>378</v>
      </c>
      <c r="B90" s="10">
        <v>2500</v>
      </c>
      <c r="C90" s="10">
        <v>2500</v>
      </c>
      <c r="D90" s="10">
        <v>2500</v>
      </c>
      <c r="E90" s="10">
        <v>2500</v>
      </c>
      <c r="F90" s="10">
        <v>2500</v>
      </c>
      <c r="G90" s="10">
        <v>2500</v>
      </c>
      <c r="H90" s="10">
        <v>2500</v>
      </c>
      <c r="I90" s="10">
        <v>2500</v>
      </c>
      <c r="J90" s="10">
        <v>2500</v>
      </c>
      <c r="K90" s="10">
        <v>2500</v>
      </c>
      <c r="L90" s="10">
        <v>2500</v>
      </c>
      <c r="M90" s="10">
        <v>2500</v>
      </c>
      <c r="N90" s="27">
        <f t="shared" si="33"/>
        <v>30000</v>
      </c>
      <c r="AA90" s="27">
        <f t="shared" si="53"/>
        <v>0</v>
      </c>
      <c r="AB90" s="10">
        <f t="shared" si="35"/>
        <v>2500</v>
      </c>
      <c r="AC90" s="10">
        <f t="shared" si="35"/>
        <v>2500</v>
      </c>
      <c r="AD90" s="10">
        <f t="shared" si="35"/>
        <v>2500</v>
      </c>
      <c r="AE90" s="10">
        <f t="shared" si="35"/>
        <v>2500</v>
      </c>
      <c r="AF90" s="10">
        <f t="shared" si="35"/>
        <v>2500</v>
      </c>
      <c r="AG90" s="10">
        <f t="shared" si="35"/>
        <v>2500</v>
      </c>
      <c r="AH90" s="10">
        <f t="shared" si="35"/>
        <v>2500</v>
      </c>
      <c r="AI90" s="10">
        <f t="shared" si="35"/>
        <v>2500</v>
      </c>
      <c r="AJ90" s="10">
        <f t="shared" si="35"/>
        <v>2500</v>
      </c>
      <c r="AK90" s="10">
        <f t="shared" si="35"/>
        <v>2500</v>
      </c>
      <c r="AL90" s="10">
        <f t="shared" si="35"/>
        <v>2500</v>
      </c>
      <c r="AM90" s="10">
        <f t="shared" si="35"/>
        <v>2500</v>
      </c>
      <c r="AN90" s="27">
        <f t="shared" si="35"/>
        <v>30000</v>
      </c>
      <c r="AS90" t="str">
        <f>_xlfn.XLOOKUP(AU90,[2]GAE!HZ:HZ,[2]GAE!IA:IA)</f>
        <v>ADMIN SERVICES</v>
      </c>
      <c r="AT90" t="str">
        <f>_xlfn.XLOOKUP(AU90,[2]GAE!HZ:HZ,[2]GAE!IB:IB)</f>
        <v>GAE - Repairs&amp; Maint. - Transportation Equipment</v>
      </c>
      <c r="AU90" t="s">
        <v>360</v>
      </c>
      <c r="AV90">
        <v>80123102</v>
      </c>
      <c r="AW90">
        <v>61061104</v>
      </c>
      <c r="AX90" t="str">
        <f>_xlfn.XLOOKUP(AU90,[2]GAE!HZ:HZ,[2]GAE!IF:IF)</f>
        <v>Others</v>
      </c>
      <c r="AY90" t="str">
        <f>_xlfn.XLOOKUP(AU90,[2]GAE!HZ:HZ,[2]GAE!IG:IG)</f>
        <v>Repairs &amp; Maintenance -  Vehicle</v>
      </c>
      <c r="BF90" t="s">
        <v>19</v>
      </c>
      <c r="BG90" s="2" t="s">
        <v>23</v>
      </c>
      <c r="BH90" s="10">
        <f>SUMIFS('[1]2026'!$K:$K,'[1]2026'!$T:$T,BD90,'[1]2026'!$S:$S,BH$3,'[1]2026'!$P:$P,AU90)</f>
        <v>0</v>
      </c>
      <c r="BI90" s="10">
        <f>SUMIFS('[1]2026'!$K:$K,'[1]2026'!$T:$T,$BD90,'[1]2026'!$S:$S,BI$3,'[1]2026'!$P:$P,$AU90)</f>
        <v>0</v>
      </c>
      <c r="BJ90" s="10">
        <f>SUMIFS('[1]2026'!$K:$K,'[1]2026'!$T:$T,$BD90,'[1]2026'!$S:$S,BJ$3,'[1]2026'!$P:$P,$AU90)</f>
        <v>0</v>
      </c>
      <c r="BK90" s="10">
        <f>SUMIFS('[1]2026'!$K:$K,'[1]2026'!$T:$T,$BD90,'[1]2026'!$S:$S,BK$3,'[1]2026'!$P:$P,$AU90)</f>
        <v>0</v>
      </c>
      <c r="BL90" s="10">
        <f>SUMIFS('[1]2026'!$K:$K,'[1]2026'!$T:$T,$BD90,'[1]2026'!$S:$S,BL$3,'[1]2026'!$P:$P,$AU90)</f>
        <v>0</v>
      </c>
      <c r="BM90" s="10">
        <f>SUMIFS('[1]2026'!$K:$K,'[1]2026'!$T:$T,$BD90,'[1]2026'!$S:$S,BM$3,'[1]2026'!$P:$P,$AU90)</f>
        <v>0</v>
      </c>
      <c r="BN90" s="10">
        <f>SUMIFS('[1]2026'!$K:$K,'[1]2026'!$T:$T,$BD90,'[1]2026'!$S:$S,BN$3,'[1]2026'!$P:$P,$AU90)</f>
        <v>0</v>
      </c>
      <c r="BO90" s="10">
        <f>SUMIFS('[1]2026'!$K:$K,'[1]2026'!$T:$T,$BD90,'[1]2026'!$S:$S,BO$3,'[1]2026'!$P:$P,$AU90)</f>
        <v>0</v>
      </c>
      <c r="BP90" s="6"/>
      <c r="BQ90" s="6"/>
      <c r="BR90" s="6"/>
      <c r="BS90" s="6"/>
      <c r="BT90" s="6">
        <f t="shared" si="51"/>
        <v>0</v>
      </c>
      <c r="BV90" s="6">
        <f t="shared" si="39"/>
        <v>-2500</v>
      </c>
      <c r="BW90" s="6">
        <f t="shared" si="40"/>
        <v>-2500</v>
      </c>
      <c r="BX90" s="6">
        <f t="shared" si="41"/>
        <v>-2500</v>
      </c>
      <c r="BY90" s="6">
        <f t="shared" si="42"/>
        <v>-2500</v>
      </c>
      <c r="BZ90" s="6">
        <f t="shared" si="43"/>
        <v>-2500</v>
      </c>
      <c r="CA90" s="6">
        <f t="shared" si="44"/>
        <v>-2500</v>
      </c>
      <c r="CB90" s="6">
        <f t="shared" si="45"/>
        <v>-2500</v>
      </c>
      <c r="CC90" s="6">
        <f t="shared" si="46"/>
        <v>-2500</v>
      </c>
      <c r="CD90" s="6">
        <f t="shared" si="47"/>
        <v>-2500</v>
      </c>
      <c r="CE90" s="6">
        <f t="shared" si="48"/>
        <v>-2500</v>
      </c>
      <c r="CF90" s="6">
        <f t="shared" si="49"/>
        <v>-2500</v>
      </c>
      <c r="CG90" s="6">
        <f t="shared" si="50"/>
        <v>-2500</v>
      </c>
      <c r="CH90" s="6">
        <f t="shared" si="52"/>
        <v>-30000</v>
      </c>
    </row>
    <row r="91" spans="1:86" hidden="1" x14ac:dyDescent="0.35">
      <c r="A91" s="3" t="s">
        <v>379</v>
      </c>
      <c r="B91" s="10">
        <v>2500</v>
      </c>
      <c r="C91" s="10">
        <v>2500</v>
      </c>
      <c r="D91" s="10">
        <v>2500</v>
      </c>
      <c r="E91" s="10">
        <v>2500</v>
      </c>
      <c r="F91" s="10">
        <v>2500</v>
      </c>
      <c r="G91" s="10">
        <v>2500</v>
      </c>
      <c r="H91" s="10">
        <v>2500</v>
      </c>
      <c r="I91" s="10">
        <v>2500</v>
      </c>
      <c r="J91" s="10">
        <v>2500</v>
      </c>
      <c r="K91" s="10">
        <v>2500</v>
      </c>
      <c r="L91" s="10">
        <v>2500</v>
      </c>
      <c r="M91" s="10">
        <v>2500</v>
      </c>
      <c r="N91" s="27">
        <f t="shared" si="33"/>
        <v>30000</v>
      </c>
      <c r="AA91" s="27">
        <f t="shared" si="53"/>
        <v>0</v>
      </c>
      <c r="AB91" s="10">
        <f t="shared" si="35"/>
        <v>2500</v>
      </c>
      <c r="AC91" s="10">
        <f t="shared" si="35"/>
        <v>2500</v>
      </c>
      <c r="AD91" s="10">
        <f t="shared" si="35"/>
        <v>2500</v>
      </c>
      <c r="AE91" s="10">
        <f t="shared" si="35"/>
        <v>2500</v>
      </c>
      <c r="AF91" s="10">
        <f t="shared" si="35"/>
        <v>2500</v>
      </c>
      <c r="AG91" s="10">
        <f t="shared" si="35"/>
        <v>2500</v>
      </c>
      <c r="AH91" s="10">
        <f t="shared" si="35"/>
        <v>2500</v>
      </c>
      <c r="AI91" s="10">
        <f t="shared" si="35"/>
        <v>2500</v>
      </c>
      <c r="AJ91" s="10">
        <f t="shared" si="35"/>
        <v>2500</v>
      </c>
      <c r="AK91" s="10">
        <f t="shared" si="35"/>
        <v>2500</v>
      </c>
      <c r="AL91" s="10">
        <f t="shared" si="35"/>
        <v>2500</v>
      </c>
      <c r="AM91" s="10">
        <f t="shared" si="35"/>
        <v>2500</v>
      </c>
      <c r="AN91" s="27">
        <f t="shared" si="35"/>
        <v>30000</v>
      </c>
      <c r="AS91" t="str">
        <f>_xlfn.XLOOKUP(AU91,[2]GAE!HZ:HZ,[2]GAE!IA:IA)</f>
        <v>ADMIN SERVICES</v>
      </c>
      <c r="AT91" t="str">
        <f>_xlfn.XLOOKUP(AU91,[2]GAE!HZ:HZ,[2]GAE!IB:IB)</f>
        <v>GAE - Repairs&amp; Maint. - Transportation Equipment</v>
      </c>
      <c r="AU91" t="s">
        <v>360</v>
      </c>
      <c r="AV91">
        <v>80123102</v>
      </c>
      <c r="AW91">
        <v>61061104</v>
      </c>
      <c r="AX91" t="str">
        <f>_xlfn.XLOOKUP(AU91,[2]GAE!HZ:HZ,[2]GAE!IF:IF)</f>
        <v>Others</v>
      </c>
      <c r="AY91" t="str">
        <f>_xlfn.XLOOKUP(AU91,[2]GAE!HZ:HZ,[2]GAE!IG:IG)</f>
        <v>Repairs &amp; Maintenance -  Vehicle</v>
      </c>
      <c r="BF91" t="s">
        <v>19</v>
      </c>
      <c r="BG91" s="2" t="s">
        <v>23</v>
      </c>
      <c r="BH91" s="10">
        <f>SUMIFS('[1]2026'!$K:$K,'[1]2026'!$T:$T,BD91,'[1]2026'!$S:$S,BH$3,'[1]2026'!$P:$P,AU91)</f>
        <v>0</v>
      </c>
      <c r="BI91" s="10">
        <f>SUMIFS('[1]2026'!$K:$K,'[1]2026'!$T:$T,$BD91,'[1]2026'!$S:$S,BI$3,'[1]2026'!$P:$P,$AU91)</f>
        <v>0</v>
      </c>
      <c r="BJ91" s="10">
        <f>SUMIFS('[1]2026'!$K:$K,'[1]2026'!$T:$T,$BD91,'[1]2026'!$S:$S,BJ$3,'[1]2026'!$P:$P,$AU91)</f>
        <v>0</v>
      </c>
      <c r="BK91" s="10">
        <f>SUMIFS('[1]2026'!$K:$K,'[1]2026'!$T:$T,$BD91,'[1]2026'!$S:$S,BK$3,'[1]2026'!$P:$P,$AU91)</f>
        <v>0</v>
      </c>
      <c r="BL91" s="10">
        <f>SUMIFS('[1]2026'!$K:$K,'[1]2026'!$T:$T,$BD91,'[1]2026'!$S:$S,BL$3,'[1]2026'!$P:$P,$AU91)</f>
        <v>0</v>
      </c>
      <c r="BM91" s="10">
        <f>SUMIFS('[1]2026'!$K:$K,'[1]2026'!$T:$T,$BD91,'[1]2026'!$S:$S,BM$3,'[1]2026'!$P:$P,$AU91)</f>
        <v>0</v>
      </c>
      <c r="BN91" s="10">
        <f>SUMIFS('[1]2026'!$K:$K,'[1]2026'!$T:$T,$BD91,'[1]2026'!$S:$S,BN$3,'[1]2026'!$P:$P,$AU91)</f>
        <v>0</v>
      </c>
      <c r="BO91" s="10">
        <f>SUMIFS('[1]2026'!$K:$K,'[1]2026'!$T:$T,$BD91,'[1]2026'!$S:$S,BO$3,'[1]2026'!$P:$P,$AU91)</f>
        <v>0</v>
      </c>
      <c r="BP91" s="6"/>
      <c r="BQ91" s="6"/>
      <c r="BR91" s="6"/>
      <c r="BS91" s="6"/>
      <c r="BT91" s="6">
        <f t="shared" si="51"/>
        <v>0</v>
      </c>
      <c r="BV91" s="6">
        <f t="shared" si="39"/>
        <v>-2500</v>
      </c>
      <c r="BW91" s="6">
        <f t="shared" si="40"/>
        <v>-2500</v>
      </c>
      <c r="BX91" s="6">
        <f t="shared" si="41"/>
        <v>-2500</v>
      </c>
      <c r="BY91" s="6">
        <f t="shared" si="42"/>
        <v>-2500</v>
      </c>
      <c r="BZ91" s="6">
        <f t="shared" si="43"/>
        <v>-2500</v>
      </c>
      <c r="CA91" s="6">
        <f t="shared" si="44"/>
        <v>-2500</v>
      </c>
      <c r="CB91" s="6">
        <f t="shared" si="45"/>
        <v>-2500</v>
      </c>
      <c r="CC91" s="6">
        <f t="shared" si="46"/>
        <v>-2500</v>
      </c>
      <c r="CD91" s="6">
        <f t="shared" si="47"/>
        <v>-2500</v>
      </c>
      <c r="CE91" s="6">
        <f t="shared" si="48"/>
        <v>-2500</v>
      </c>
      <c r="CF91" s="6">
        <f t="shared" si="49"/>
        <v>-2500</v>
      </c>
      <c r="CG91" s="6">
        <f t="shared" si="50"/>
        <v>-2500</v>
      </c>
      <c r="CH91" s="6">
        <f t="shared" si="52"/>
        <v>-30000</v>
      </c>
    </row>
    <row r="92" spans="1:86" hidden="1" x14ac:dyDescent="0.35">
      <c r="A92" s="3" t="s">
        <v>380</v>
      </c>
      <c r="B92" s="10">
        <v>2500</v>
      </c>
      <c r="C92" s="10">
        <v>2500</v>
      </c>
      <c r="D92" s="10">
        <v>2500</v>
      </c>
      <c r="E92" s="10">
        <v>2500</v>
      </c>
      <c r="F92" s="10">
        <v>2500</v>
      </c>
      <c r="G92" s="10">
        <v>2500</v>
      </c>
      <c r="H92" s="10">
        <v>2500</v>
      </c>
      <c r="I92" s="10">
        <v>2500</v>
      </c>
      <c r="J92" s="10">
        <v>2500</v>
      </c>
      <c r="K92" s="10">
        <v>2500</v>
      </c>
      <c r="L92" s="10">
        <v>2500</v>
      </c>
      <c r="M92" s="10">
        <v>2500</v>
      </c>
      <c r="N92" s="27">
        <f t="shared" si="33"/>
        <v>30000</v>
      </c>
      <c r="AA92" s="27">
        <f t="shared" si="53"/>
        <v>0</v>
      </c>
      <c r="AB92" s="10">
        <f t="shared" si="35"/>
        <v>2500</v>
      </c>
      <c r="AC92" s="10">
        <f t="shared" si="35"/>
        <v>2500</v>
      </c>
      <c r="AD92" s="10">
        <f t="shared" si="35"/>
        <v>2500</v>
      </c>
      <c r="AE92" s="10">
        <f t="shared" si="35"/>
        <v>2500</v>
      </c>
      <c r="AF92" s="10">
        <f t="shared" si="35"/>
        <v>2500</v>
      </c>
      <c r="AG92" s="10">
        <f t="shared" si="35"/>
        <v>2500</v>
      </c>
      <c r="AH92" s="10">
        <f t="shared" si="35"/>
        <v>2500</v>
      </c>
      <c r="AI92" s="10">
        <f t="shared" si="35"/>
        <v>2500</v>
      </c>
      <c r="AJ92" s="10">
        <f t="shared" si="35"/>
        <v>2500</v>
      </c>
      <c r="AK92" s="10">
        <f t="shared" si="35"/>
        <v>2500</v>
      </c>
      <c r="AL92" s="10">
        <f t="shared" si="35"/>
        <v>2500</v>
      </c>
      <c r="AM92" s="10">
        <f t="shared" si="35"/>
        <v>2500</v>
      </c>
      <c r="AN92" s="27">
        <f t="shared" si="35"/>
        <v>30000</v>
      </c>
      <c r="AS92" t="str">
        <f>_xlfn.XLOOKUP(AU92,[2]GAE!HZ:HZ,[2]GAE!IA:IA)</f>
        <v>ADMIN SERVICES</v>
      </c>
      <c r="AT92" t="str">
        <f>_xlfn.XLOOKUP(AU92,[2]GAE!HZ:HZ,[2]GAE!IB:IB)</f>
        <v>GAE - Repairs&amp; Maint. - Transportation Equipment</v>
      </c>
      <c r="AU92" t="s">
        <v>360</v>
      </c>
      <c r="AV92">
        <v>80123102</v>
      </c>
      <c r="AW92">
        <v>61061104</v>
      </c>
      <c r="AX92" t="str">
        <f>_xlfn.XLOOKUP(AU92,[2]GAE!HZ:HZ,[2]GAE!IF:IF)</f>
        <v>Others</v>
      </c>
      <c r="AY92" t="str">
        <f>_xlfn.XLOOKUP(AU92,[2]GAE!HZ:HZ,[2]GAE!IG:IG)</f>
        <v>Repairs &amp; Maintenance -  Vehicle</v>
      </c>
      <c r="BF92" t="s">
        <v>19</v>
      </c>
      <c r="BG92" s="2" t="s">
        <v>23</v>
      </c>
      <c r="BH92" s="10">
        <f>SUMIFS('[1]2026'!$K:$K,'[1]2026'!$T:$T,BD92,'[1]2026'!$S:$S,BH$3,'[1]2026'!$P:$P,AU92)</f>
        <v>0</v>
      </c>
      <c r="BI92" s="10">
        <f>SUMIFS('[1]2026'!$K:$K,'[1]2026'!$T:$T,$BD92,'[1]2026'!$S:$S,BI$3,'[1]2026'!$P:$P,$AU92)</f>
        <v>0</v>
      </c>
      <c r="BJ92" s="10">
        <f>SUMIFS('[1]2026'!$K:$K,'[1]2026'!$T:$T,$BD92,'[1]2026'!$S:$S,BJ$3,'[1]2026'!$P:$P,$AU92)</f>
        <v>0</v>
      </c>
      <c r="BK92" s="10">
        <f>SUMIFS('[1]2026'!$K:$K,'[1]2026'!$T:$T,$BD92,'[1]2026'!$S:$S,BK$3,'[1]2026'!$P:$P,$AU92)</f>
        <v>0</v>
      </c>
      <c r="BL92" s="10">
        <f>SUMIFS('[1]2026'!$K:$K,'[1]2026'!$T:$T,$BD92,'[1]2026'!$S:$S,BL$3,'[1]2026'!$P:$P,$AU92)</f>
        <v>0</v>
      </c>
      <c r="BM92" s="10">
        <f>SUMIFS('[1]2026'!$K:$K,'[1]2026'!$T:$T,$BD92,'[1]2026'!$S:$S,BM$3,'[1]2026'!$P:$P,$AU92)</f>
        <v>0</v>
      </c>
      <c r="BN92" s="10">
        <f>SUMIFS('[1]2026'!$K:$K,'[1]2026'!$T:$T,$BD92,'[1]2026'!$S:$S,BN$3,'[1]2026'!$P:$P,$AU92)</f>
        <v>0</v>
      </c>
      <c r="BO92" s="10">
        <f>SUMIFS('[1]2026'!$K:$K,'[1]2026'!$T:$T,$BD92,'[1]2026'!$S:$S,BO$3,'[1]2026'!$P:$P,$AU92)</f>
        <v>0</v>
      </c>
      <c r="BP92" s="6"/>
      <c r="BQ92" s="6"/>
      <c r="BR92" s="6"/>
      <c r="BS92" s="6"/>
      <c r="BT92" s="6">
        <f t="shared" si="51"/>
        <v>0</v>
      </c>
      <c r="BV92" s="6">
        <f t="shared" si="39"/>
        <v>-2500</v>
      </c>
      <c r="BW92" s="6">
        <f t="shared" si="40"/>
        <v>-2500</v>
      </c>
      <c r="BX92" s="6">
        <f t="shared" si="41"/>
        <v>-2500</v>
      </c>
      <c r="BY92" s="6">
        <f t="shared" si="42"/>
        <v>-2500</v>
      </c>
      <c r="BZ92" s="6">
        <f t="shared" si="43"/>
        <v>-2500</v>
      </c>
      <c r="CA92" s="6">
        <f t="shared" si="44"/>
        <v>-2500</v>
      </c>
      <c r="CB92" s="6">
        <f t="shared" si="45"/>
        <v>-2500</v>
      </c>
      <c r="CC92" s="6">
        <f t="shared" si="46"/>
        <v>-2500</v>
      </c>
      <c r="CD92" s="6">
        <f t="shared" si="47"/>
        <v>-2500</v>
      </c>
      <c r="CE92" s="6">
        <f t="shared" si="48"/>
        <v>-2500</v>
      </c>
      <c r="CF92" s="6">
        <f t="shared" si="49"/>
        <v>-2500</v>
      </c>
      <c r="CG92" s="6">
        <f t="shared" si="50"/>
        <v>-2500</v>
      </c>
      <c r="CH92" s="6">
        <f t="shared" si="52"/>
        <v>-30000</v>
      </c>
    </row>
    <row r="93" spans="1:86" hidden="1" x14ac:dyDescent="0.35">
      <c r="A93" s="3" t="s">
        <v>381</v>
      </c>
      <c r="B93" s="10">
        <v>2500</v>
      </c>
      <c r="C93" s="10">
        <v>2500</v>
      </c>
      <c r="D93" s="10">
        <v>2500</v>
      </c>
      <c r="E93" s="10">
        <v>2500</v>
      </c>
      <c r="F93" s="10">
        <v>2500</v>
      </c>
      <c r="G93" s="10">
        <v>2500</v>
      </c>
      <c r="H93" s="10">
        <v>2500</v>
      </c>
      <c r="I93" s="10">
        <v>2500</v>
      </c>
      <c r="J93" s="10">
        <v>2500</v>
      </c>
      <c r="K93" s="10">
        <v>2500</v>
      </c>
      <c r="L93" s="10">
        <v>2500</v>
      </c>
      <c r="M93" s="10">
        <v>2500</v>
      </c>
      <c r="N93" s="27">
        <f t="shared" si="33"/>
        <v>30000</v>
      </c>
      <c r="AA93" s="27">
        <f t="shared" si="53"/>
        <v>0</v>
      </c>
      <c r="AB93" s="10">
        <f t="shared" si="35"/>
        <v>2500</v>
      </c>
      <c r="AC93" s="10">
        <f t="shared" si="35"/>
        <v>2500</v>
      </c>
      <c r="AD93" s="10">
        <f t="shared" si="35"/>
        <v>2500</v>
      </c>
      <c r="AE93" s="10">
        <f t="shared" si="35"/>
        <v>2500</v>
      </c>
      <c r="AF93" s="10">
        <f t="shared" si="35"/>
        <v>2500</v>
      </c>
      <c r="AG93" s="10">
        <f t="shared" si="35"/>
        <v>2500</v>
      </c>
      <c r="AH93" s="10">
        <f t="shared" si="35"/>
        <v>2500</v>
      </c>
      <c r="AI93" s="10">
        <f t="shared" si="35"/>
        <v>2500</v>
      </c>
      <c r="AJ93" s="10">
        <f t="shared" ref="AJ93:AN93" si="54">J93-W93</f>
        <v>2500</v>
      </c>
      <c r="AK93" s="10">
        <f t="shared" si="54"/>
        <v>2500</v>
      </c>
      <c r="AL93" s="10">
        <f t="shared" si="54"/>
        <v>2500</v>
      </c>
      <c r="AM93" s="10">
        <f t="shared" si="54"/>
        <v>2500</v>
      </c>
      <c r="AN93" s="27">
        <f t="shared" si="54"/>
        <v>30000</v>
      </c>
      <c r="AS93" t="str">
        <f>_xlfn.XLOOKUP(AU93,[2]GAE!HZ:HZ,[2]GAE!IA:IA)</f>
        <v>ADMIN SERVICES</v>
      </c>
      <c r="AT93" t="str">
        <f>_xlfn.XLOOKUP(AU93,[2]GAE!HZ:HZ,[2]GAE!IB:IB)</f>
        <v>GAE - Repairs&amp; Maint. - Transportation Equipment</v>
      </c>
      <c r="AU93" t="s">
        <v>360</v>
      </c>
      <c r="AV93">
        <v>80123102</v>
      </c>
      <c r="AW93">
        <v>61061104</v>
      </c>
      <c r="AX93" t="str">
        <f>_xlfn.XLOOKUP(AU93,[2]GAE!HZ:HZ,[2]GAE!IF:IF)</f>
        <v>Others</v>
      </c>
      <c r="AY93" t="str">
        <f>_xlfn.XLOOKUP(AU93,[2]GAE!HZ:HZ,[2]GAE!IG:IG)</f>
        <v>Repairs &amp; Maintenance -  Vehicle</v>
      </c>
      <c r="BF93" t="s">
        <v>19</v>
      </c>
      <c r="BG93" s="2" t="s">
        <v>23</v>
      </c>
      <c r="BH93" s="10">
        <f>SUMIFS('[1]2026'!$K:$K,'[1]2026'!$T:$T,BD93,'[1]2026'!$S:$S,BH$3,'[1]2026'!$P:$P,AU93)</f>
        <v>0</v>
      </c>
      <c r="BI93" s="10">
        <f>SUMIFS('[1]2026'!$K:$K,'[1]2026'!$T:$T,$BD93,'[1]2026'!$S:$S,BI$3,'[1]2026'!$P:$P,$AU93)</f>
        <v>0</v>
      </c>
      <c r="BJ93" s="10">
        <f>SUMIFS('[1]2026'!$K:$K,'[1]2026'!$T:$T,$BD93,'[1]2026'!$S:$S,BJ$3,'[1]2026'!$P:$P,$AU93)</f>
        <v>0</v>
      </c>
      <c r="BK93" s="10">
        <f>SUMIFS('[1]2026'!$K:$K,'[1]2026'!$T:$T,$BD93,'[1]2026'!$S:$S,BK$3,'[1]2026'!$P:$P,$AU93)</f>
        <v>0</v>
      </c>
      <c r="BL93" s="10">
        <f>SUMIFS('[1]2026'!$K:$K,'[1]2026'!$T:$T,$BD93,'[1]2026'!$S:$S,BL$3,'[1]2026'!$P:$P,$AU93)</f>
        <v>0</v>
      </c>
      <c r="BM93" s="10">
        <f>SUMIFS('[1]2026'!$K:$K,'[1]2026'!$T:$T,$BD93,'[1]2026'!$S:$S,BM$3,'[1]2026'!$P:$P,$AU93)</f>
        <v>0</v>
      </c>
      <c r="BN93" s="10">
        <f>SUMIFS('[1]2026'!$K:$K,'[1]2026'!$T:$T,$BD93,'[1]2026'!$S:$S,BN$3,'[1]2026'!$P:$P,$AU93)</f>
        <v>0</v>
      </c>
      <c r="BO93" s="10">
        <f>SUMIFS('[1]2026'!$K:$K,'[1]2026'!$T:$T,$BD93,'[1]2026'!$S:$S,BO$3,'[1]2026'!$P:$P,$AU93)</f>
        <v>0</v>
      </c>
      <c r="BP93" s="6"/>
      <c r="BQ93" s="6"/>
      <c r="BR93" s="6"/>
      <c r="BS93" s="6"/>
      <c r="BT93" s="6">
        <f t="shared" si="51"/>
        <v>0</v>
      </c>
      <c r="BV93" s="6">
        <f t="shared" si="39"/>
        <v>-2500</v>
      </c>
      <c r="BW93" s="6">
        <f t="shared" si="40"/>
        <v>-2500</v>
      </c>
      <c r="BX93" s="6">
        <f t="shared" si="41"/>
        <v>-2500</v>
      </c>
      <c r="BY93" s="6">
        <f t="shared" si="42"/>
        <v>-2500</v>
      </c>
      <c r="BZ93" s="6">
        <f t="shared" si="43"/>
        <v>-2500</v>
      </c>
      <c r="CA93" s="6">
        <f t="shared" si="44"/>
        <v>-2500</v>
      </c>
      <c r="CB93" s="6">
        <f t="shared" si="45"/>
        <v>-2500</v>
      </c>
      <c r="CC93" s="6">
        <f t="shared" si="46"/>
        <v>-2500</v>
      </c>
      <c r="CD93" s="6">
        <f t="shared" si="47"/>
        <v>-2500</v>
      </c>
      <c r="CE93" s="6">
        <f t="shared" si="48"/>
        <v>-2500</v>
      </c>
      <c r="CF93" s="6">
        <f t="shared" si="49"/>
        <v>-2500</v>
      </c>
      <c r="CG93" s="6">
        <f t="shared" si="50"/>
        <v>-2500</v>
      </c>
      <c r="CH93" s="6">
        <f t="shared" si="52"/>
        <v>-30000</v>
      </c>
    </row>
    <row r="94" spans="1:86" hidden="1" x14ac:dyDescent="0.35">
      <c r="A94" s="3" t="s">
        <v>382</v>
      </c>
      <c r="B94" s="10">
        <v>3333.3333333333335</v>
      </c>
      <c r="C94" s="10">
        <v>3333.3333333333335</v>
      </c>
      <c r="D94" s="10">
        <v>3333.3333333333335</v>
      </c>
      <c r="E94" s="10">
        <v>3333.3333333333335</v>
      </c>
      <c r="F94" s="10">
        <v>3333.3333333333335</v>
      </c>
      <c r="G94" s="10">
        <v>3333.3333333333335</v>
      </c>
      <c r="H94" s="10">
        <v>3333.3333333333335</v>
      </c>
      <c r="I94" s="10">
        <v>3333.3333333333335</v>
      </c>
      <c r="J94" s="10">
        <v>3333.3333333333335</v>
      </c>
      <c r="K94" s="10">
        <v>3333.3333333333335</v>
      </c>
      <c r="L94" s="10">
        <v>3333.3333333333335</v>
      </c>
      <c r="M94" s="10">
        <v>3333.3333333333335</v>
      </c>
      <c r="N94" s="27">
        <f t="shared" si="33"/>
        <v>40000</v>
      </c>
      <c r="AA94" s="27">
        <f t="shared" si="53"/>
        <v>0</v>
      </c>
      <c r="AB94" s="10">
        <f t="shared" ref="AB94:AN113" si="55">B94-O94</f>
        <v>3333.3333333333335</v>
      </c>
      <c r="AC94" s="10">
        <f t="shared" si="55"/>
        <v>3333.3333333333335</v>
      </c>
      <c r="AD94" s="10">
        <f t="shared" si="55"/>
        <v>3333.3333333333335</v>
      </c>
      <c r="AE94" s="10">
        <f t="shared" si="55"/>
        <v>3333.3333333333335</v>
      </c>
      <c r="AF94" s="10">
        <f t="shared" si="55"/>
        <v>3333.3333333333335</v>
      </c>
      <c r="AG94" s="10">
        <f t="shared" si="55"/>
        <v>3333.3333333333335</v>
      </c>
      <c r="AH94" s="10">
        <f t="shared" si="55"/>
        <v>3333.3333333333335</v>
      </c>
      <c r="AI94" s="10">
        <f t="shared" si="55"/>
        <v>3333.3333333333335</v>
      </c>
      <c r="AJ94" s="10">
        <f t="shared" si="55"/>
        <v>3333.3333333333335</v>
      </c>
      <c r="AK94" s="10">
        <f t="shared" si="55"/>
        <v>3333.3333333333335</v>
      </c>
      <c r="AL94" s="10">
        <f t="shared" si="55"/>
        <v>3333.3333333333335</v>
      </c>
      <c r="AM94" s="10">
        <f t="shared" si="55"/>
        <v>3333.3333333333335</v>
      </c>
      <c r="AN94" s="27">
        <f t="shared" si="55"/>
        <v>40000</v>
      </c>
      <c r="AS94" t="str">
        <f>_xlfn.XLOOKUP(AU94,[2]GAE!HZ:HZ,[2]GAE!IA:IA)</f>
        <v>ADMIN SERVICES</v>
      </c>
      <c r="AT94" t="str">
        <f>_xlfn.XLOOKUP(AU94,[2]GAE!HZ:HZ,[2]GAE!IB:IB)</f>
        <v>GAE - Repairs&amp; Maint. - Transportation Equipment</v>
      </c>
      <c r="AU94" t="s">
        <v>360</v>
      </c>
      <c r="AV94">
        <v>80123102</v>
      </c>
      <c r="AW94">
        <v>61061104</v>
      </c>
      <c r="AX94" t="str">
        <f>_xlfn.XLOOKUP(AU94,[2]GAE!HZ:HZ,[2]GAE!IF:IF)</f>
        <v>Others</v>
      </c>
      <c r="AY94" t="str">
        <f>_xlfn.XLOOKUP(AU94,[2]GAE!HZ:HZ,[2]GAE!IG:IG)</f>
        <v>Repairs &amp; Maintenance -  Vehicle</v>
      </c>
      <c r="BF94" t="s">
        <v>19</v>
      </c>
      <c r="BG94" s="2" t="s">
        <v>23</v>
      </c>
      <c r="BH94" s="10">
        <f>SUMIFS('[1]2026'!$K:$K,'[1]2026'!$T:$T,BD94,'[1]2026'!$S:$S,BH$3,'[1]2026'!$P:$P,AU94)</f>
        <v>0</v>
      </c>
      <c r="BI94" s="10">
        <f>SUMIFS('[1]2026'!$K:$K,'[1]2026'!$T:$T,$BD94,'[1]2026'!$S:$S,BI$3,'[1]2026'!$P:$P,$AU94)</f>
        <v>0</v>
      </c>
      <c r="BJ94" s="10">
        <f>SUMIFS('[1]2026'!$K:$K,'[1]2026'!$T:$T,$BD94,'[1]2026'!$S:$S,BJ$3,'[1]2026'!$P:$P,$AU94)</f>
        <v>0</v>
      </c>
      <c r="BK94" s="10">
        <f>SUMIFS('[1]2026'!$K:$K,'[1]2026'!$T:$T,$BD94,'[1]2026'!$S:$S,BK$3,'[1]2026'!$P:$P,$AU94)</f>
        <v>0</v>
      </c>
      <c r="BL94" s="10">
        <f>SUMIFS('[1]2026'!$K:$K,'[1]2026'!$T:$T,$BD94,'[1]2026'!$S:$S,BL$3,'[1]2026'!$P:$P,$AU94)</f>
        <v>0</v>
      </c>
      <c r="BM94" s="10">
        <f>SUMIFS('[1]2026'!$K:$K,'[1]2026'!$T:$T,$BD94,'[1]2026'!$S:$S,BM$3,'[1]2026'!$P:$P,$AU94)</f>
        <v>0</v>
      </c>
      <c r="BN94" s="10">
        <f>SUMIFS('[1]2026'!$K:$K,'[1]2026'!$T:$T,$BD94,'[1]2026'!$S:$S,BN$3,'[1]2026'!$P:$P,$AU94)</f>
        <v>0</v>
      </c>
      <c r="BO94" s="10">
        <f>SUMIFS('[1]2026'!$K:$K,'[1]2026'!$T:$T,$BD94,'[1]2026'!$S:$S,BO$3,'[1]2026'!$P:$P,$AU94)</f>
        <v>0</v>
      </c>
      <c r="BP94" s="6"/>
      <c r="BQ94" s="6"/>
      <c r="BR94" s="6"/>
      <c r="BS94" s="6"/>
      <c r="BT94" s="6">
        <f t="shared" si="51"/>
        <v>0</v>
      </c>
      <c r="BV94" s="6">
        <f t="shared" si="39"/>
        <v>-3333.3333333333335</v>
      </c>
      <c r="BW94" s="6">
        <f t="shared" si="40"/>
        <v>-3333.3333333333335</v>
      </c>
      <c r="BX94" s="6">
        <f t="shared" si="41"/>
        <v>-3333.3333333333335</v>
      </c>
      <c r="BY94" s="6">
        <f t="shared" si="42"/>
        <v>-3333.3333333333335</v>
      </c>
      <c r="BZ94" s="6">
        <f t="shared" si="43"/>
        <v>-3333.3333333333335</v>
      </c>
      <c r="CA94" s="6">
        <f t="shared" si="44"/>
        <v>-3333.3333333333335</v>
      </c>
      <c r="CB94" s="6">
        <f t="shared" si="45"/>
        <v>-3333.3333333333335</v>
      </c>
      <c r="CC94" s="6">
        <f t="shared" si="46"/>
        <v>-3333.3333333333335</v>
      </c>
      <c r="CD94" s="6">
        <f t="shared" si="47"/>
        <v>-3333.3333333333335</v>
      </c>
      <c r="CE94" s="6">
        <f t="shared" si="48"/>
        <v>-3333.3333333333335</v>
      </c>
      <c r="CF94" s="6">
        <f t="shared" si="49"/>
        <v>-3333.3333333333335</v>
      </c>
      <c r="CG94" s="6">
        <f t="shared" si="50"/>
        <v>-3333.3333333333335</v>
      </c>
      <c r="CH94" s="6">
        <f t="shared" si="52"/>
        <v>-40000</v>
      </c>
    </row>
    <row r="95" spans="1:86" hidden="1" x14ac:dyDescent="0.35">
      <c r="A95" s="3" t="s">
        <v>383</v>
      </c>
      <c r="B95" s="10">
        <v>3333.3333333333335</v>
      </c>
      <c r="C95" s="10">
        <v>3333.3333333333335</v>
      </c>
      <c r="D95" s="10">
        <v>3333.3333333333335</v>
      </c>
      <c r="E95" s="10">
        <v>3333.3333333333335</v>
      </c>
      <c r="F95" s="10">
        <v>3333.3333333333335</v>
      </c>
      <c r="G95" s="10">
        <v>3333.3333333333335</v>
      </c>
      <c r="H95" s="10">
        <v>3333.3333333333335</v>
      </c>
      <c r="I95" s="10">
        <v>3333.3333333333335</v>
      </c>
      <c r="J95" s="10">
        <v>3333.3333333333335</v>
      </c>
      <c r="K95" s="10">
        <v>3333.3333333333335</v>
      </c>
      <c r="L95" s="10">
        <v>3333.3333333333335</v>
      </c>
      <c r="M95" s="10">
        <v>3333.3333333333335</v>
      </c>
      <c r="N95" s="27">
        <f t="shared" si="33"/>
        <v>40000</v>
      </c>
      <c r="AA95" s="27">
        <f t="shared" si="53"/>
        <v>0</v>
      </c>
      <c r="AB95" s="10">
        <f t="shared" si="55"/>
        <v>3333.3333333333335</v>
      </c>
      <c r="AC95" s="10">
        <f t="shared" si="55"/>
        <v>3333.3333333333335</v>
      </c>
      <c r="AD95" s="10">
        <f t="shared" si="55"/>
        <v>3333.3333333333335</v>
      </c>
      <c r="AE95" s="10">
        <f t="shared" si="55"/>
        <v>3333.3333333333335</v>
      </c>
      <c r="AF95" s="10">
        <f t="shared" si="55"/>
        <v>3333.3333333333335</v>
      </c>
      <c r="AG95" s="10">
        <f t="shared" si="55"/>
        <v>3333.3333333333335</v>
      </c>
      <c r="AH95" s="10">
        <f t="shared" si="55"/>
        <v>3333.3333333333335</v>
      </c>
      <c r="AI95" s="10">
        <f t="shared" si="55"/>
        <v>3333.3333333333335</v>
      </c>
      <c r="AJ95" s="10">
        <f t="shared" si="55"/>
        <v>3333.3333333333335</v>
      </c>
      <c r="AK95" s="10">
        <f t="shared" si="55"/>
        <v>3333.3333333333335</v>
      </c>
      <c r="AL95" s="10">
        <f t="shared" si="55"/>
        <v>3333.3333333333335</v>
      </c>
      <c r="AM95" s="10">
        <f t="shared" si="55"/>
        <v>3333.3333333333335</v>
      </c>
      <c r="AN95" s="27">
        <f t="shared" si="55"/>
        <v>40000</v>
      </c>
      <c r="AS95" t="str">
        <f>_xlfn.XLOOKUP(AU95,[2]GAE!HZ:HZ,[2]GAE!IA:IA)</f>
        <v>ADMIN SERVICES</v>
      </c>
      <c r="AT95" t="str">
        <f>_xlfn.XLOOKUP(AU95,[2]GAE!HZ:HZ,[2]GAE!IB:IB)</f>
        <v>GAE - Repairs&amp; Maint. - Transportation Equipment</v>
      </c>
      <c r="AU95" t="s">
        <v>360</v>
      </c>
      <c r="AV95">
        <v>80123102</v>
      </c>
      <c r="AW95">
        <v>61061104</v>
      </c>
      <c r="AX95" t="str">
        <f>_xlfn.XLOOKUP(AU95,[2]GAE!HZ:HZ,[2]GAE!IF:IF)</f>
        <v>Others</v>
      </c>
      <c r="AY95" t="str">
        <f>_xlfn.XLOOKUP(AU95,[2]GAE!HZ:HZ,[2]GAE!IG:IG)</f>
        <v>Repairs &amp; Maintenance -  Vehicle</v>
      </c>
      <c r="BF95" t="s">
        <v>19</v>
      </c>
      <c r="BG95" s="2" t="s">
        <v>23</v>
      </c>
      <c r="BH95" s="10">
        <f>SUMIFS('[1]2026'!$K:$K,'[1]2026'!$T:$T,BD95,'[1]2026'!$S:$S,BH$3,'[1]2026'!$P:$P,AU95)</f>
        <v>0</v>
      </c>
      <c r="BI95" s="10">
        <f>SUMIFS('[1]2026'!$K:$K,'[1]2026'!$T:$T,$BD95,'[1]2026'!$S:$S,BI$3,'[1]2026'!$P:$P,$AU95)</f>
        <v>0</v>
      </c>
      <c r="BJ95" s="10">
        <f>SUMIFS('[1]2026'!$K:$K,'[1]2026'!$T:$T,$BD95,'[1]2026'!$S:$S,BJ$3,'[1]2026'!$P:$P,$AU95)</f>
        <v>0</v>
      </c>
      <c r="BK95" s="10">
        <f>SUMIFS('[1]2026'!$K:$K,'[1]2026'!$T:$T,$BD95,'[1]2026'!$S:$S,BK$3,'[1]2026'!$P:$P,$AU95)</f>
        <v>0</v>
      </c>
      <c r="BL95" s="10">
        <f>SUMIFS('[1]2026'!$K:$K,'[1]2026'!$T:$T,$BD95,'[1]2026'!$S:$S,BL$3,'[1]2026'!$P:$P,$AU95)</f>
        <v>0</v>
      </c>
      <c r="BM95" s="10">
        <f>SUMIFS('[1]2026'!$K:$K,'[1]2026'!$T:$T,$BD95,'[1]2026'!$S:$S,BM$3,'[1]2026'!$P:$P,$AU95)</f>
        <v>0</v>
      </c>
      <c r="BN95" s="10">
        <f>SUMIFS('[1]2026'!$K:$K,'[1]2026'!$T:$T,$BD95,'[1]2026'!$S:$S,BN$3,'[1]2026'!$P:$P,$AU95)</f>
        <v>0</v>
      </c>
      <c r="BO95" s="10">
        <f>SUMIFS('[1]2026'!$K:$K,'[1]2026'!$T:$T,$BD95,'[1]2026'!$S:$S,BO$3,'[1]2026'!$P:$P,$AU95)</f>
        <v>0</v>
      </c>
      <c r="BP95" s="6"/>
      <c r="BQ95" s="6"/>
      <c r="BR95" s="6"/>
      <c r="BS95" s="6"/>
      <c r="BT95" s="6">
        <f t="shared" si="51"/>
        <v>0</v>
      </c>
      <c r="BV95" s="6">
        <f t="shared" si="39"/>
        <v>-3333.3333333333335</v>
      </c>
      <c r="BW95" s="6">
        <f t="shared" si="40"/>
        <v>-3333.3333333333335</v>
      </c>
      <c r="BX95" s="6">
        <f t="shared" si="41"/>
        <v>-3333.3333333333335</v>
      </c>
      <c r="BY95" s="6">
        <f t="shared" si="42"/>
        <v>-3333.3333333333335</v>
      </c>
      <c r="BZ95" s="6">
        <f t="shared" si="43"/>
        <v>-3333.3333333333335</v>
      </c>
      <c r="CA95" s="6">
        <f t="shared" si="44"/>
        <v>-3333.3333333333335</v>
      </c>
      <c r="CB95" s="6">
        <f t="shared" si="45"/>
        <v>-3333.3333333333335</v>
      </c>
      <c r="CC95" s="6">
        <f t="shared" si="46"/>
        <v>-3333.3333333333335</v>
      </c>
      <c r="CD95" s="6">
        <f t="shared" si="47"/>
        <v>-3333.3333333333335</v>
      </c>
      <c r="CE95" s="6">
        <f t="shared" si="48"/>
        <v>-3333.3333333333335</v>
      </c>
      <c r="CF95" s="6">
        <f t="shared" si="49"/>
        <v>-3333.3333333333335</v>
      </c>
      <c r="CG95" s="6">
        <f t="shared" si="50"/>
        <v>-3333.3333333333335</v>
      </c>
      <c r="CH95" s="6">
        <f t="shared" si="52"/>
        <v>-40000</v>
      </c>
    </row>
    <row r="96" spans="1:86" hidden="1" x14ac:dyDescent="0.35">
      <c r="A96" s="3" t="s">
        <v>384</v>
      </c>
      <c r="B96" s="10">
        <v>3333.3333333333335</v>
      </c>
      <c r="C96" s="10">
        <v>3333.3333333333335</v>
      </c>
      <c r="D96" s="10">
        <v>3333.3333333333335</v>
      </c>
      <c r="E96" s="10">
        <v>3333.3333333333335</v>
      </c>
      <c r="F96" s="10">
        <v>3333.3333333333335</v>
      </c>
      <c r="G96" s="10">
        <v>3333.3333333333335</v>
      </c>
      <c r="H96" s="10">
        <v>3333.3333333333335</v>
      </c>
      <c r="I96" s="10">
        <v>3333.3333333333335</v>
      </c>
      <c r="J96" s="10">
        <v>3333.3333333333335</v>
      </c>
      <c r="K96" s="10">
        <v>3333.3333333333335</v>
      </c>
      <c r="L96" s="10">
        <v>3333.3333333333335</v>
      </c>
      <c r="M96" s="10">
        <v>3333.3333333333335</v>
      </c>
      <c r="N96" s="27">
        <v>40000</v>
      </c>
      <c r="AA96" s="27">
        <f t="shared" si="53"/>
        <v>0</v>
      </c>
      <c r="AB96" s="10">
        <f t="shared" si="55"/>
        <v>3333.3333333333335</v>
      </c>
      <c r="AC96" s="10">
        <f t="shared" si="55"/>
        <v>3333.3333333333335</v>
      </c>
      <c r="AD96" s="10">
        <f t="shared" si="55"/>
        <v>3333.3333333333335</v>
      </c>
      <c r="AE96" s="10">
        <f t="shared" si="55"/>
        <v>3333.3333333333335</v>
      </c>
      <c r="AF96" s="10">
        <f t="shared" si="55"/>
        <v>3333.3333333333335</v>
      </c>
      <c r="AG96" s="10">
        <f t="shared" si="55"/>
        <v>3333.3333333333335</v>
      </c>
      <c r="AH96" s="10">
        <f t="shared" si="55"/>
        <v>3333.3333333333335</v>
      </c>
      <c r="AI96" s="10">
        <f t="shared" si="55"/>
        <v>3333.3333333333335</v>
      </c>
      <c r="AJ96" s="10">
        <f t="shared" si="55"/>
        <v>3333.3333333333335</v>
      </c>
      <c r="AK96" s="10">
        <f t="shared" si="55"/>
        <v>3333.3333333333335</v>
      </c>
      <c r="AL96" s="10">
        <f t="shared" si="55"/>
        <v>3333.3333333333335</v>
      </c>
      <c r="AM96" s="10">
        <f t="shared" si="55"/>
        <v>3333.3333333333335</v>
      </c>
      <c r="AN96" s="27">
        <f t="shared" si="55"/>
        <v>40000</v>
      </c>
      <c r="AS96" t="str">
        <f>_xlfn.XLOOKUP(AU96,[2]GAE!HZ:HZ,[2]GAE!IA:IA)</f>
        <v>ADMIN SERVICES</v>
      </c>
      <c r="AT96" t="str">
        <f>_xlfn.XLOOKUP(AU96,[2]GAE!HZ:HZ,[2]GAE!IB:IB)</f>
        <v>GAE - Repairs&amp; Maint. - Transportation Equipment</v>
      </c>
      <c r="AU96" t="s">
        <v>360</v>
      </c>
      <c r="AV96">
        <v>80123102</v>
      </c>
      <c r="AW96">
        <v>61061104</v>
      </c>
      <c r="AX96" t="str">
        <f>_xlfn.XLOOKUP(AU96,[2]GAE!HZ:HZ,[2]GAE!IF:IF)</f>
        <v>Others</v>
      </c>
      <c r="AY96" t="str">
        <f>_xlfn.XLOOKUP(AU96,[2]GAE!HZ:HZ,[2]GAE!IG:IG)</f>
        <v>Repairs &amp; Maintenance -  Vehicle</v>
      </c>
      <c r="BF96" t="s">
        <v>19</v>
      </c>
      <c r="BG96" s="2" t="s">
        <v>23</v>
      </c>
      <c r="BH96" s="10">
        <f>SUMIFS('[1]2026'!$K:$K,'[1]2026'!$T:$T,BD96,'[1]2026'!$S:$S,BH$3,'[1]2026'!$P:$P,AU96)</f>
        <v>0</v>
      </c>
      <c r="BI96" s="10">
        <f>SUMIFS('[1]2026'!$K:$K,'[1]2026'!$T:$T,$BD96,'[1]2026'!$S:$S,BI$3,'[1]2026'!$P:$P,$AU96)</f>
        <v>0</v>
      </c>
      <c r="BJ96" s="10">
        <f>SUMIFS('[1]2026'!$K:$K,'[1]2026'!$T:$T,$BD96,'[1]2026'!$S:$S,BJ$3,'[1]2026'!$P:$P,$AU96)</f>
        <v>0</v>
      </c>
      <c r="BK96" s="10">
        <f>SUMIFS('[1]2026'!$K:$K,'[1]2026'!$T:$T,$BD96,'[1]2026'!$S:$S,BK$3,'[1]2026'!$P:$P,$AU96)</f>
        <v>0</v>
      </c>
      <c r="BL96" s="10">
        <f>SUMIFS('[1]2026'!$K:$K,'[1]2026'!$T:$T,$BD96,'[1]2026'!$S:$S,BL$3,'[1]2026'!$P:$P,$AU96)</f>
        <v>0</v>
      </c>
      <c r="BM96" s="10">
        <f>SUMIFS('[1]2026'!$K:$K,'[1]2026'!$T:$T,$BD96,'[1]2026'!$S:$S,BM$3,'[1]2026'!$P:$P,$AU96)</f>
        <v>0</v>
      </c>
      <c r="BN96" s="10">
        <f>SUMIFS('[1]2026'!$K:$K,'[1]2026'!$T:$T,$BD96,'[1]2026'!$S:$S,BN$3,'[1]2026'!$P:$P,$AU96)</f>
        <v>0</v>
      </c>
      <c r="BO96" s="10">
        <f>SUMIFS('[1]2026'!$K:$K,'[1]2026'!$T:$T,$BD96,'[1]2026'!$S:$S,BO$3,'[1]2026'!$P:$P,$AU96)</f>
        <v>0</v>
      </c>
      <c r="BP96" s="6"/>
      <c r="BQ96" s="6"/>
      <c r="BR96" s="6"/>
      <c r="BS96" s="6"/>
      <c r="BT96" s="6">
        <f t="shared" si="51"/>
        <v>0</v>
      </c>
      <c r="BV96" s="6">
        <f t="shared" si="39"/>
        <v>-3333.3333333333335</v>
      </c>
      <c r="BW96" s="6">
        <f t="shared" si="40"/>
        <v>-3333.3333333333335</v>
      </c>
      <c r="BX96" s="6">
        <f t="shared" si="41"/>
        <v>-3333.3333333333335</v>
      </c>
      <c r="BY96" s="6">
        <f t="shared" si="42"/>
        <v>-3333.3333333333335</v>
      </c>
      <c r="BZ96" s="6">
        <f t="shared" si="43"/>
        <v>-3333.3333333333335</v>
      </c>
      <c r="CA96" s="6">
        <f t="shared" si="44"/>
        <v>-3333.3333333333335</v>
      </c>
      <c r="CB96" s="6">
        <f t="shared" si="45"/>
        <v>-3333.3333333333335</v>
      </c>
      <c r="CC96" s="6">
        <f t="shared" si="46"/>
        <v>-3333.3333333333335</v>
      </c>
      <c r="CD96" s="6">
        <f t="shared" si="47"/>
        <v>-3333.3333333333335</v>
      </c>
      <c r="CE96" s="6">
        <f t="shared" si="48"/>
        <v>-3333.3333333333335</v>
      </c>
      <c r="CF96" s="6">
        <f t="shared" si="49"/>
        <v>-3333.3333333333335</v>
      </c>
      <c r="CG96" s="6">
        <f t="shared" si="50"/>
        <v>-3333.3333333333335</v>
      </c>
      <c r="CH96" s="6">
        <f t="shared" si="52"/>
        <v>-40000</v>
      </c>
    </row>
    <row r="97" spans="1:86" hidden="1" x14ac:dyDescent="0.35">
      <c r="A97" s="3" t="s">
        <v>385</v>
      </c>
      <c r="B97" s="10">
        <v>2500</v>
      </c>
      <c r="C97" s="10">
        <v>2500</v>
      </c>
      <c r="D97" s="10">
        <v>2500</v>
      </c>
      <c r="E97" s="10">
        <v>2500</v>
      </c>
      <c r="F97" s="10">
        <v>2500</v>
      </c>
      <c r="G97" s="10">
        <v>2500</v>
      </c>
      <c r="H97" s="10">
        <v>2500</v>
      </c>
      <c r="I97" s="10">
        <v>2500</v>
      </c>
      <c r="J97" s="10">
        <v>2500</v>
      </c>
      <c r="K97" s="10">
        <v>2500</v>
      </c>
      <c r="L97" s="10">
        <v>2500</v>
      </c>
      <c r="M97" s="10">
        <v>2500</v>
      </c>
      <c r="N97" s="27">
        <f t="shared" ref="N97:N161" si="56">SUM(B97:M97)</f>
        <v>30000</v>
      </c>
      <c r="AA97" s="27">
        <f t="shared" si="53"/>
        <v>0</v>
      </c>
      <c r="AB97" s="10">
        <f t="shared" si="55"/>
        <v>2500</v>
      </c>
      <c r="AC97" s="10">
        <f t="shared" si="55"/>
        <v>2500</v>
      </c>
      <c r="AD97" s="10">
        <f t="shared" si="55"/>
        <v>2500</v>
      </c>
      <c r="AE97" s="10">
        <f t="shared" si="55"/>
        <v>2500</v>
      </c>
      <c r="AF97" s="10">
        <f t="shared" si="55"/>
        <v>2500</v>
      </c>
      <c r="AG97" s="10">
        <f t="shared" si="55"/>
        <v>2500</v>
      </c>
      <c r="AH97" s="10">
        <f t="shared" si="55"/>
        <v>2500</v>
      </c>
      <c r="AI97" s="10">
        <f t="shared" si="55"/>
        <v>2500</v>
      </c>
      <c r="AJ97" s="10">
        <f t="shared" si="55"/>
        <v>2500</v>
      </c>
      <c r="AK97" s="10">
        <f t="shared" si="55"/>
        <v>2500</v>
      </c>
      <c r="AL97" s="10">
        <f t="shared" si="55"/>
        <v>2500</v>
      </c>
      <c r="AM97" s="10">
        <f t="shared" si="55"/>
        <v>2500</v>
      </c>
      <c r="AN97" s="27">
        <f t="shared" si="55"/>
        <v>30000</v>
      </c>
      <c r="AS97" t="str">
        <f>_xlfn.XLOOKUP(AU97,[2]GAE!HZ:HZ,[2]GAE!IA:IA)</f>
        <v>ADMIN SERVICES</v>
      </c>
      <c r="AT97" t="str">
        <f>_xlfn.XLOOKUP(AU97,[2]GAE!HZ:HZ,[2]GAE!IB:IB)</f>
        <v>GAE - Repairs&amp; Maint. - Transportation Equipment</v>
      </c>
      <c r="AU97" t="s">
        <v>360</v>
      </c>
      <c r="AV97">
        <v>80123102</v>
      </c>
      <c r="AW97">
        <v>61061104</v>
      </c>
      <c r="AX97" t="str">
        <f>_xlfn.XLOOKUP(AU97,[2]GAE!HZ:HZ,[2]GAE!IF:IF)</f>
        <v>Others</v>
      </c>
      <c r="AY97" t="str">
        <f>_xlfn.XLOOKUP(AU97,[2]GAE!HZ:HZ,[2]GAE!IG:IG)</f>
        <v>Repairs &amp; Maintenance -  Vehicle</v>
      </c>
      <c r="BC97" t="s">
        <v>23</v>
      </c>
      <c r="BD97" t="s">
        <v>386</v>
      </c>
      <c r="BF97" t="s">
        <v>19</v>
      </c>
      <c r="BG97" t="s">
        <v>23</v>
      </c>
      <c r="BH97" s="10">
        <f>SUMIFS('[1]2026'!$K:$K,'[1]2026'!$T:$T,BD97,'[1]2026'!$S:$S,BH$3,'[1]2026'!$P:$P,AU97)</f>
        <v>0</v>
      </c>
      <c r="BI97" s="10">
        <f>SUMIFS('[1]2026'!$K:$K,'[1]2026'!$T:$T,$BD97,'[1]2026'!$S:$S,BI$3,'[1]2026'!$P:$P,$AU97)</f>
        <v>0</v>
      </c>
      <c r="BJ97" s="10">
        <f>SUMIFS('[1]2026'!$K:$K,'[1]2026'!$T:$T,$BD97,'[1]2026'!$S:$S,BJ$3,'[1]2026'!$P:$P,$AU97)</f>
        <v>0</v>
      </c>
      <c r="BK97" s="10">
        <f>SUMIFS('[1]2026'!$K:$K,'[1]2026'!$T:$T,$BD97,'[1]2026'!$S:$S,BK$3,'[1]2026'!$P:$P,$AU97)</f>
        <v>0</v>
      </c>
      <c r="BL97" s="10">
        <f>SUMIFS('[1]2026'!$K:$K,'[1]2026'!$T:$T,$BD97,'[1]2026'!$S:$S,BL$3,'[1]2026'!$P:$P,$AU97)</f>
        <v>0</v>
      </c>
      <c r="BM97" s="10">
        <f>SUMIFS('[1]2026'!$K:$K,'[1]2026'!$T:$T,$BD97,'[1]2026'!$S:$S,BM$3,'[1]2026'!$P:$P,$AU97)</f>
        <v>0</v>
      </c>
      <c r="BN97" s="10">
        <f>SUMIFS('[1]2026'!$K:$K,'[1]2026'!$T:$T,$BD97,'[1]2026'!$S:$S,BN$3,'[1]2026'!$P:$P,$AU97)</f>
        <v>4464.29</v>
      </c>
      <c r="BO97" s="10">
        <f>SUMIFS('[1]2026'!$K:$K,'[1]2026'!$T:$T,$BD97,'[1]2026'!$S:$S,BO$3,'[1]2026'!$P:$P,$AU97)</f>
        <v>0</v>
      </c>
      <c r="BP97" s="6"/>
      <c r="BQ97" s="6"/>
      <c r="BR97" s="6"/>
      <c r="BS97" s="6"/>
      <c r="BT97" s="6">
        <f t="shared" si="51"/>
        <v>4464.29</v>
      </c>
      <c r="BV97" s="6">
        <f t="shared" si="39"/>
        <v>-2500</v>
      </c>
      <c r="BW97" s="6">
        <f t="shared" si="40"/>
        <v>-2500</v>
      </c>
      <c r="BX97" s="6">
        <f t="shared" si="41"/>
        <v>-2500</v>
      </c>
      <c r="BY97" s="6">
        <f t="shared" si="42"/>
        <v>-2500</v>
      </c>
      <c r="BZ97" s="6">
        <f t="shared" si="43"/>
        <v>-2500</v>
      </c>
      <c r="CA97" s="6">
        <f t="shared" si="44"/>
        <v>-2500</v>
      </c>
      <c r="CB97" s="6">
        <f t="shared" si="45"/>
        <v>1964.29</v>
      </c>
      <c r="CC97" s="6">
        <f t="shared" si="46"/>
        <v>-2500</v>
      </c>
      <c r="CD97" s="6">
        <f t="shared" si="47"/>
        <v>-2500</v>
      </c>
      <c r="CE97" s="6">
        <f t="shared" si="48"/>
        <v>-2500</v>
      </c>
      <c r="CF97" s="6">
        <f t="shared" si="49"/>
        <v>-2500</v>
      </c>
      <c r="CG97" s="6">
        <f t="shared" si="50"/>
        <v>-2500</v>
      </c>
      <c r="CH97" s="6">
        <f t="shared" si="52"/>
        <v>-25535.71</v>
      </c>
    </row>
    <row r="98" spans="1:86" hidden="1" x14ac:dyDescent="0.35">
      <c r="A98" s="3" t="s">
        <v>387</v>
      </c>
      <c r="B98" s="10">
        <v>2500</v>
      </c>
      <c r="C98" s="10">
        <v>2500</v>
      </c>
      <c r="D98" s="10">
        <v>2500</v>
      </c>
      <c r="E98" s="10">
        <v>2500</v>
      </c>
      <c r="F98" s="10">
        <v>2500</v>
      </c>
      <c r="G98" s="10">
        <v>2500</v>
      </c>
      <c r="H98" s="10">
        <v>2500</v>
      </c>
      <c r="I98" s="10">
        <v>2500</v>
      </c>
      <c r="J98" s="10">
        <v>2500</v>
      </c>
      <c r="K98" s="10">
        <v>2500</v>
      </c>
      <c r="L98" s="10">
        <v>2500</v>
      </c>
      <c r="M98" s="10">
        <v>2500</v>
      </c>
      <c r="N98" s="27">
        <f t="shared" si="56"/>
        <v>30000</v>
      </c>
      <c r="AA98" s="27">
        <f t="shared" si="53"/>
        <v>0</v>
      </c>
      <c r="AB98" s="10">
        <f t="shared" si="55"/>
        <v>2500</v>
      </c>
      <c r="AC98" s="10">
        <f t="shared" si="55"/>
        <v>2500</v>
      </c>
      <c r="AD98" s="10">
        <f t="shared" si="55"/>
        <v>2500</v>
      </c>
      <c r="AE98" s="10">
        <f t="shared" si="55"/>
        <v>2500</v>
      </c>
      <c r="AF98" s="10">
        <f t="shared" si="55"/>
        <v>2500</v>
      </c>
      <c r="AG98" s="10">
        <f t="shared" si="55"/>
        <v>2500</v>
      </c>
      <c r="AH98" s="10">
        <f t="shared" si="55"/>
        <v>2500</v>
      </c>
      <c r="AI98" s="10">
        <f t="shared" si="55"/>
        <v>2500</v>
      </c>
      <c r="AJ98" s="10">
        <f t="shared" si="55"/>
        <v>2500</v>
      </c>
      <c r="AK98" s="10">
        <f t="shared" si="55"/>
        <v>2500</v>
      </c>
      <c r="AL98" s="10">
        <f t="shared" si="55"/>
        <v>2500</v>
      </c>
      <c r="AM98" s="10">
        <f t="shared" si="55"/>
        <v>2500</v>
      </c>
      <c r="AN98" s="27">
        <f t="shared" si="55"/>
        <v>30000</v>
      </c>
      <c r="AS98" t="str">
        <f>_xlfn.XLOOKUP(AU98,[2]GAE!HZ:HZ,[2]GAE!IA:IA)</f>
        <v>ADMIN SERVICES</v>
      </c>
      <c r="AT98" t="str">
        <f>_xlfn.XLOOKUP(AU98,[2]GAE!HZ:HZ,[2]GAE!IB:IB)</f>
        <v>GAE - Repairs&amp; Maint. - Transportation Equipment</v>
      </c>
      <c r="AU98" t="s">
        <v>360</v>
      </c>
      <c r="AV98">
        <v>80123102</v>
      </c>
      <c r="AW98">
        <v>61061104</v>
      </c>
      <c r="AX98" t="str">
        <f>_xlfn.XLOOKUP(AU98,[2]GAE!HZ:HZ,[2]GAE!IF:IF)</f>
        <v>Others</v>
      </c>
      <c r="AY98" t="str">
        <f>_xlfn.XLOOKUP(AU98,[2]GAE!HZ:HZ,[2]GAE!IG:IG)</f>
        <v>Repairs &amp; Maintenance -  Vehicle</v>
      </c>
      <c r="BC98" t="s">
        <v>23</v>
      </c>
      <c r="BD98" t="s">
        <v>388</v>
      </c>
      <c r="BF98" t="s">
        <v>19</v>
      </c>
      <c r="BG98" t="s">
        <v>23</v>
      </c>
      <c r="BH98" s="10">
        <f>SUMIFS('[1]2026'!$K:$K,'[1]2026'!$T:$T,BD98,'[1]2026'!$S:$S,BH$3,'[1]2026'!$P:$P,AU98)</f>
        <v>0</v>
      </c>
      <c r="BI98" s="10">
        <f>SUMIFS('[1]2026'!$K:$K,'[1]2026'!$T:$T,$BD98,'[1]2026'!$S:$S,BI$3,'[1]2026'!$P:$P,$AU98)</f>
        <v>0</v>
      </c>
      <c r="BJ98" s="10">
        <f>SUMIFS('[1]2026'!$K:$K,'[1]2026'!$T:$T,$BD98,'[1]2026'!$S:$S,BJ$3,'[1]2026'!$P:$P,$AU98)</f>
        <v>0</v>
      </c>
      <c r="BK98" s="10">
        <f>SUMIFS('[1]2026'!$K:$K,'[1]2026'!$T:$T,$BD98,'[1]2026'!$S:$S,BK$3,'[1]2026'!$P:$P,$AU98)</f>
        <v>0</v>
      </c>
      <c r="BL98" s="10">
        <f>SUMIFS('[1]2026'!$K:$K,'[1]2026'!$T:$T,$BD98,'[1]2026'!$S:$S,BL$3,'[1]2026'!$P:$P,$AU98)</f>
        <v>15628.85</v>
      </c>
      <c r="BM98" s="10">
        <f>SUMIFS('[1]2026'!$K:$K,'[1]2026'!$T:$T,$BD98,'[1]2026'!$S:$S,BM$3,'[1]2026'!$P:$P,$AU98)</f>
        <v>0</v>
      </c>
      <c r="BN98" s="10">
        <f>SUMIFS('[1]2026'!$K:$K,'[1]2026'!$T:$T,$BD98,'[1]2026'!$S:$S,BN$3,'[1]2026'!$P:$P,$AU98)</f>
        <v>0</v>
      </c>
      <c r="BO98" s="10">
        <f>SUMIFS('[1]2026'!$K:$K,'[1]2026'!$T:$T,$BD98,'[1]2026'!$S:$S,BO$3,'[1]2026'!$P:$P,$AU98)</f>
        <v>0</v>
      </c>
      <c r="BP98" s="6"/>
      <c r="BQ98" s="6"/>
      <c r="BR98" s="6"/>
      <c r="BS98" s="6"/>
      <c r="BT98" s="6">
        <f t="shared" si="51"/>
        <v>15628.85</v>
      </c>
      <c r="BV98" s="6">
        <f t="shared" si="39"/>
        <v>-2500</v>
      </c>
      <c r="BW98" s="6">
        <f t="shared" si="40"/>
        <v>-2500</v>
      </c>
      <c r="BX98" s="6">
        <f t="shared" si="41"/>
        <v>-2500</v>
      </c>
      <c r="BY98" s="6">
        <f t="shared" si="42"/>
        <v>-2500</v>
      </c>
      <c r="BZ98" s="6">
        <f t="shared" si="43"/>
        <v>13128.85</v>
      </c>
      <c r="CA98" s="6">
        <f t="shared" si="44"/>
        <v>-2500</v>
      </c>
      <c r="CB98" s="6">
        <f t="shared" si="45"/>
        <v>-2500</v>
      </c>
      <c r="CC98" s="6">
        <f t="shared" si="46"/>
        <v>-2500</v>
      </c>
      <c r="CD98" s="6">
        <f t="shared" si="47"/>
        <v>-2500</v>
      </c>
      <c r="CE98" s="6">
        <f t="shared" si="48"/>
        <v>-2500</v>
      </c>
      <c r="CF98" s="6">
        <f t="shared" si="49"/>
        <v>-2500</v>
      </c>
      <c r="CG98" s="6">
        <f t="shared" si="50"/>
        <v>-2500</v>
      </c>
      <c r="CH98" s="6">
        <f t="shared" si="52"/>
        <v>-14371.15</v>
      </c>
    </row>
    <row r="99" spans="1:86" hidden="1" x14ac:dyDescent="0.35">
      <c r="A99" s="3" t="s">
        <v>389</v>
      </c>
      <c r="B99" s="10">
        <v>2500</v>
      </c>
      <c r="C99" s="10">
        <v>2500</v>
      </c>
      <c r="D99" s="10">
        <v>2500</v>
      </c>
      <c r="E99" s="10">
        <v>2500</v>
      </c>
      <c r="F99" s="10">
        <v>2500</v>
      </c>
      <c r="G99" s="10">
        <v>2500</v>
      </c>
      <c r="H99" s="10">
        <v>2500</v>
      </c>
      <c r="I99" s="10">
        <v>2500</v>
      </c>
      <c r="J99" s="10">
        <v>2500</v>
      </c>
      <c r="K99" s="10">
        <v>2500</v>
      </c>
      <c r="L99" s="10">
        <v>2500</v>
      </c>
      <c r="M99" s="10">
        <v>2500</v>
      </c>
      <c r="N99" s="27">
        <f t="shared" si="56"/>
        <v>30000</v>
      </c>
      <c r="AA99" s="27">
        <f t="shared" si="53"/>
        <v>0</v>
      </c>
      <c r="AB99" s="10">
        <f t="shared" si="55"/>
        <v>2500</v>
      </c>
      <c r="AC99" s="10">
        <f t="shared" si="55"/>
        <v>2500</v>
      </c>
      <c r="AD99" s="10">
        <f t="shared" si="55"/>
        <v>2500</v>
      </c>
      <c r="AE99" s="10">
        <f t="shared" si="55"/>
        <v>2500</v>
      </c>
      <c r="AF99" s="10">
        <f t="shared" si="55"/>
        <v>2500</v>
      </c>
      <c r="AG99" s="10">
        <f t="shared" si="55"/>
        <v>2500</v>
      </c>
      <c r="AH99" s="10">
        <f t="shared" si="55"/>
        <v>2500</v>
      </c>
      <c r="AI99" s="10">
        <f t="shared" si="55"/>
        <v>2500</v>
      </c>
      <c r="AJ99" s="10">
        <f t="shared" si="55"/>
        <v>2500</v>
      </c>
      <c r="AK99" s="10">
        <f t="shared" si="55"/>
        <v>2500</v>
      </c>
      <c r="AL99" s="10">
        <f t="shared" si="55"/>
        <v>2500</v>
      </c>
      <c r="AM99" s="10">
        <f t="shared" si="55"/>
        <v>2500</v>
      </c>
      <c r="AN99" s="27">
        <f t="shared" si="55"/>
        <v>30000</v>
      </c>
      <c r="AS99" t="str">
        <f>_xlfn.XLOOKUP(AU99,[2]GAE!HZ:HZ,[2]GAE!IA:IA)</f>
        <v>ADMIN SERVICES</v>
      </c>
      <c r="AT99" t="str">
        <f>_xlfn.XLOOKUP(AU99,[2]GAE!HZ:HZ,[2]GAE!IB:IB)</f>
        <v>GAE - Repairs&amp; Maint. - Transportation Equipment</v>
      </c>
      <c r="AU99" t="s">
        <v>360</v>
      </c>
      <c r="AV99">
        <v>80123102</v>
      </c>
      <c r="AW99">
        <v>61061104</v>
      </c>
      <c r="AX99" t="str">
        <f>_xlfn.XLOOKUP(AU99,[2]GAE!HZ:HZ,[2]GAE!IF:IF)</f>
        <v>Others</v>
      </c>
      <c r="AY99" t="str">
        <f>_xlfn.XLOOKUP(AU99,[2]GAE!HZ:HZ,[2]GAE!IG:IG)</f>
        <v>Repairs &amp; Maintenance -  Vehicle</v>
      </c>
      <c r="BF99" t="s">
        <v>19</v>
      </c>
      <c r="BG99" s="2" t="s">
        <v>23</v>
      </c>
      <c r="BH99" s="10">
        <f>SUMIFS('[1]2026'!$K:$K,'[1]2026'!$T:$T,BD99,'[1]2026'!$S:$S,BH$3,'[1]2026'!$P:$P,AU99)</f>
        <v>0</v>
      </c>
      <c r="BI99" s="10">
        <f>SUMIFS('[1]2026'!$K:$K,'[1]2026'!$T:$T,$BD99,'[1]2026'!$S:$S,BI$3,'[1]2026'!$P:$P,$AU99)</f>
        <v>0</v>
      </c>
      <c r="BJ99" s="10">
        <f>SUMIFS('[1]2026'!$K:$K,'[1]2026'!$T:$T,$BD99,'[1]2026'!$S:$S,BJ$3,'[1]2026'!$P:$P,$AU99)</f>
        <v>0</v>
      </c>
      <c r="BK99" s="10">
        <f>SUMIFS('[1]2026'!$K:$K,'[1]2026'!$T:$T,$BD99,'[1]2026'!$S:$S,BK$3,'[1]2026'!$P:$P,$AU99)</f>
        <v>0</v>
      </c>
      <c r="BL99" s="10">
        <f>SUMIFS('[1]2026'!$K:$K,'[1]2026'!$T:$T,$BD99,'[1]2026'!$S:$S,BL$3,'[1]2026'!$P:$P,$AU99)</f>
        <v>0</v>
      </c>
      <c r="BM99" s="10">
        <f>SUMIFS('[1]2026'!$K:$K,'[1]2026'!$T:$T,$BD99,'[1]2026'!$S:$S,BM$3,'[1]2026'!$P:$P,$AU99)</f>
        <v>0</v>
      </c>
      <c r="BN99" s="10">
        <f>SUMIFS('[1]2026'!$K:$K,'[1]2026'!$T:$T,$BD99,'[1]2026'!$S:$S,BN$3,'[1]2026'!$P:$P,$AU99)</f>
        <v>0</v>
      </c>
      <c r="BO99" s="10">
        <f>SUMIFS('[1]2026'!$K:$K,'[1]2026'!$T:$T,$BD99,'[1]2026'!$S:$S,BO$3,'[1]2026'!$P:$P,$AU99)</f>
        <v>0</v>
      </c>
      <c r="BP99" s="6"/>
      <c r="BQ99" s="6"/>
      <c r="BR99" s="6"/>
      <c r="BS99" s="6"/>
      <c r="BT99" s="6">
        <f t="shared" si="51"/>
        <v>0</v>
      </c>
      <c r="BV99" s="6">
        <f t="shared" si="39"/>
        <v>-2500</v>
      </c>
      <c r="BW99" s="6">
        <f t="shared" si="40"/>
        <v>-2500</v>
      </c>
      <c r="BX99" s="6">
        <f t="shared" si="41"/>
        <v>-2500</v>
      </c>
      <c r="BY99" s="6">
        <f t="shared" si="42"/>
        <v>-2500</v>
      </c>
      <c r="BZ99" s="6">
        <f t="shared" si="43"/>
        <v>-2500</v>
      </c>
      <c r="CA99" s="6">
        <f t="shared" si="44"/>
        <v>-2500</v>
      </c>
      <c r="CB99" s="6">
        <f t="shared" si="45"/>
        <v>-2500</v>
      </c>
      <c r="CC99" s="6">
        <f t="shared" si="46"/>
        <v>-2500</v>
      </c>
      <c r="CD99" s="6">
        <f t="shared" si="47"/>
        <v>-2500</v>
      </c>
      <c r="CE99" s="6">
        <f t="shared" si="48"/>
        <v>-2500</v>
      </c>
      <c r="CF99" s="6">
        <f t="shared" si="49"/>
        <v>-2500</v>
      </c>
      <c r="CG99" s="6">
        <f t="shared" si="50"/>
        <v>-2500</v>
      </c>
      <c r="CH99" s="6">
        <f t="shared" si="52"/>
        <v>-30000</v>
      </c>
    </row>
    <row r="100" spans="1:86" hidden="1" x14ac:dyDescent="0.35">
      <c r="A100" s="3" t="s">
        <v>390</v>
      </c>
      <c r="B100" s="10">
        <v>2500</v>
      </c>
      <c r="C100" s="10">
        <v>2500</v>
      </c>
      <c r="D100" s="10">
        <v>2500</v>
      </c>
      <c r="E100" s="10">
        <v>2500</v>
      </c>
      <c r="F100" s="10">
        <v>2500</v>
      </c>
      <c r="G100" s="10">
        <v>2500</v>
      </c>
      <c r="H100" s="10">
        <v>2500</v>
      </c>
      <c r="I100" s="10">
        <v>2500</v>
      </c>
      <c r="J100" s="10">
        <v>2500</v>
      </c>
      <c r="K100" s="10">
        <v>2500</v>
      </c>
      <c r="L100" s="10">
        <v>2500</v>
      </c>
      <c r="M100" s="10">
        <v>2500</v>
      </c>
      <c r="N100" s="27">
        <f t="shared" si="56"/>
        <v>30000</v>
      </c>
      <c r="AA100" s="27">
        <f t="shared" si="53"/>
        <v>0</v>
      </c>
      <c r="AB100" s="10">
        <f t="shared" si="55"/>
        <v>2500</v>
      </c>
      <c r="AC100" s="10">
        <f t="shared" si="55"/>
        <v>2500</v>
      </c>
      <c r="AD100" s="10">
        <f t="shared" si="55"/>
        <v>2500</v>
      </c>
      <c r="AE100" s="10">
        <f t="shared" si="55"/>
        <v>2500</v>
      </c>
      <c r="AF100" s="10">
        <f t="shared" si="55"/>
        <v>2500</v>
      </c>
      <c r="AG100" s="10">
        <f t="shared" si="55"/>
        <v>2500</v>
      </c>
      <c r="AH100" s="10">
        <f t="shared" si="55"/>
        <v>2500</v>
      </c>
      <c r="AI100" s="10">
        <f t="shared" si="55"/>
        <v>2500</v>
      </c>
      <c r="AJ100" s="10">
        <f t="shared" si="55"/>
        <v>2500</v>
      </c>
      <c r="AK100" s="10">
        <f t="shared" si="55"/>
        <v>2500</v>
      </c>
      <c r="AL100" s="10">
        <f t="shared" si="55"/>
        <v>2500</v>
      </c>
      <c r="AM100" s="10">
        <f t="shared" si="55"/>
        <v>2500</v>
      </c>
      <c r="AN100" s="27">
        <f t="shared" si="55"/>
        <v>30000</v>
      </c>
      <c r="AS100" t="str">
        <f>_xlfn.XLOOKUP(AU100,[2]GAE!HZ:HZ,[2]GAE!IA:IA)</f>
        <v>ADMIN SERVICES</v>
      </c>
      <c r="AT100" t="str">
        <f>_xlfn.XLOOKUP(AU100,[2]GAE!HZ:HZ,[2]GAE!IB:IB)</f>
        <v>GAE - Repairs&amp; Maint. - Transportation Equipment</v>
      </c>
      <c r="AU100" t="s">
        <v>360</v>
      </c>
      <c r="AV100">
        <v>80123102</v>
      </c>
      <c r="AW100">
        <v>61061104</v>
      </c>
      <c r="AX100" t="str">
        <f>_xlfn.XLOOKUP(AU100,[2]GAE!HZ:HZ,[2]GAE!IF:IF)</f>
        <v>Others</v>
      </c>
      <c r="AY100" t="str">
        <f>_xlfn.XLOOKUP(AU100,[2]GAE!HZ:HZ,[2]GAE!IG:IG)</f>
        <v>Repairs &amp; Maintenance -  Vehicle</v>
      </c>
      <c r="BF100" t="s">
        <v>19</v>
      </c>
      <c r="BG100" s="2" t="s">
        <v>23</v>
      </c>
      <c r="BH100" s="10">
        <f>SUMIFS('[1]2026'!$K:$K,'[1]2026'!$T:$T,BD100,'[1]2026'!$S:$S,BH$3,'[1]2026'!$P:$P,AU100)</f>
        <v>0</v>
      </c>
      <c r="BI100" s="10">
        <f>SUMIFS('[1]2026'!$K:$K,'[1]2026'!$T:$T,$BD100,'[1]2026'!$S:$S,BI$3,'[1]2026'!$P:$P,$AU100)</f>
        <v>0</v>
      </c>
      <c r="BJ100" s="10">
        <f>SUMIFS('[1]2026'!$K:$K,'[1]2026'!$T:$T,$BD100,'[1]2026'!$S:$S,BJ$3,'[1]2026'!$P:$P,$AU100)</f>
        <v>0</v>
      </c>
      <c r="BK100" s="10">
        <f>SUMIFS('[1]2026'!$K:$K,'[1]2026'!$T:$T,$BD100,'[1]2026'!$S:$S,BK$3,'[1]2026'!$P:$P,$AU100)</f>
        <v>0</v>
      </c>
      <c r="BL100" s="10">
        <f>SUMIFS('[1]2026'!$K:$K,'[1]2026'!$T:$T,$BD100,'[1]2026'!$S:$S,BL$3,'[1]2026'!$P:$P,$AU100)</f>
        <v>0</v>
      </c>
      <c r="BM100" s="10">
        <f>SUMIFS('[1]2026'!$K:$K,'[1]2026'!$T:$T,$BD100,'[1]2026'!$S:$S,BM$3,'[1]2026'!$P:$P,$AU100)</f>
        <v>0</v>
      </c>
      <c r="BN100" s="10">
        <f>SUMIFS('[1]2026'!$K:$K,'[1]2026'!$T:$T,$BD100,'[1]2026'!$S:$S,BN$3,'[1]2026'!$P:$P,$AU100)</f>
        <v>0</v>
      </c>
      <c r="BO100" s="10">
        <f>SUMIFS('[1]2026'!$K:$K,'[1]2026'!$T:$T,$BD100,'[1]2026'!$S:$S,BO$3,'[1]2026'!$P:$P,$AU100)</f>
        <v>0</v>
      </c>
      <c r="BP100" s="6"/>
      <c r="BQ100" s="6"/>
      <c r="BR100" s="6"/>
      <c r="BS100" s="6"/>
      <c r="BT100" s="6">
        <f t="shared" si="51"/>
        <v>0</v>
      </c>
      <c r="BV100" s="6">
        <f t="shared" si="39"/>
        <v>-2500</v>
      </c>
      <c r="BW100" s="6">
        <f t="shared" si="40"/>
        <v>-2500</v>
      </c>
      <c r="BX100" s="6">
        <f t="shared" si="41"/>
        <v>-2500</v>
      </c>
      <c r="BY100" s="6">
        <f t="shared" si="42"/>
        <v>-2500</v>
      </c>
      <c r="BZ100" s="6">
        <f t="shared" si="43"/>
        <v>-2500</v>
      </c>
      <c r="CA100" s="6">
        <f t="shared" si="44"/>
        <v>-2500</v>
      </c>
      <c r="CB100" s="6">
        <f t="shared" si="45"/>
        <v>-2500</v>
      </c>
      <c r="CC100" s="6">
        <f t="shared" si="46"/>
        <v>-2500</v>
      </c>
      <c r="CD100" s="6">
        <f t="shared" si="47"/>
        <v>-2500</v>
      </c>
      <c r="CE100" s="6">
        <f t="shared" si="48"/>
        <v>-2500</v>
      </c>
      <c r="CF100" s="6">
        <f t="shared" si="49"/>
        <v>-2500</v>
      </c>
      <c r="CG100" s="6">
        <f t="shared" si="50"/>
        <v>-2500</v>
      </c>
      <c r="CH100" s="6">
        <f t="shared" si="52"/>
        <v>-30000</v>
      </c>
    </row>
    <row r="101" spans="1:86" hidden="1" x14ac:dyDescent="0.35">
      <c r="A101" s="3" t="s">
        <v>391</v>
      </c>
      <c r="B101" s="10">
        <v>2500</v>
      </c>
      <c r="C101" s="10">
        <v>2500</v>
      </c>
      <c r="D101" s="10">
        <v>2500</v>
      </c>
      <c r="E101" s="10">
        <v>2500</v>
      </c>
      <c r="F101" s="10">
        <v>2500</v>
      </c>
      <c r="G101" s="10">
        <v>2500</v>
      </c>
      <c r="H101" s="10">
        <v>2500</v>
      </c>
      <c r="I101" s="10">
        <v>2500</v>
      </c>
      <c r="J101" s="10">
        <v>2500</v>
      </c>
      <c r="K101" s="10">
        <v>2500</v>
      </c>
      <c r="L101" s="10">
        <v>2500</v>
      </c>
      <c r="M101" s="10">
        <v>2500</v>
      </c>
      <c r="N101" s="27">
        <f t="shared" si="56"/>
        <v>30000</v>
      </c>
      <c r="AA101" s="27">
        <f t="shared" si="53"/>
        <v>0</v>
      </c>
      <c r="AB101" s="10">
        <f t="shared" si="55"/>
        <v>2500</v>
      </c>
      <c r="AC101" s="10">
        <f t="shared" si="55"/>
        <v>2500</v>
      </c>
      <c r="AD101" s="10">
        <f t="shared" si="55"/>
        <v>2500</v>
      </c>
      <c r="AE101" s="10">
        <f t="shared" si="55"/>
        <v>2500</v>
      </c>
      <c r="AF101" s="10">
        <f t="shared" si="55"/>
        <v>2500</v>
      </c>
      <c r="AG101" s="10">
        <f t="shared" si="55"/>
        <v>2500</v>
      </c>
      <c r="AH101" s="10">
        <f t="shared" si="55"/>
        <v>2500</v>
      </c>
      <c r="AI101" s="10">
        <f t="shared" si="55"/>
        <v>2500</v>
      </c>
      <c r="AJ101" s="10">
        <f t="shared" si="55"/>
        <v>2500</v>
      </c>
      <c r="AK101" s="10">
        <f t="shared" si="55"/>
        <v>2500</v>
      </c>
      <c r="AL101" s="10">
        <f t="shared" si="55"/>
        <v>2500</v>
      </c>
      <c r="AM101" s="10">
        <f t="shared" si="55"/>
        <v>2500</v>
      </c>
      <c r="AN101" s="27">
        <f t="shared" si="55"/>
        <v>30000</v>
      </c>
      <c r="AS101" t="str">
        <f>_xlfn.XLOOKUP(AU101,[2]GAE!HZ:HZ,[2]GAE!IA:IA)</f>
        <v>ADMIN SERVICES</v>
      </c>
      <c r="AT101" t="str">
        <f>_xlfn.XLOOKUP(AU101,[2]GAE!HZ:HZ,[2]GAE!IB:IB)</f>
        <v>GAE - Repairs&amp; Maint. - Transportation Equipment</v>
      </c>
      <c r="AU101" t="s">
        <v>360</v>
      </c>
      <c r="AV101">
        <v>80123102</v>
      </c>
      <c r="AW101">
        <v>61061104</v>
      </c>
      <c r="AX101" t="str">
        <f>_xlfn.XLOOKUP(AU101,[2]GAE!HZ:HZ,[2]GAE!IF:IF)</f>
        <v>Others</v>
      </c>
      <c r="AY101" t="str">
        <f>_xlfn.XLOOKUP(AU101,[2]GAE!HZ:HZ,[2]GAE!IG:IG)</f>
        <v>Repairs &amp; Maintenance -  Vehicle</v>
      </c>
      <c r="BC101" t="s">
        <v>23</v>
      </c>
      <c r="BD101" t="s">
        <v>392</v>
      </c>
      <c r="BF101" t="s">
        <v>19</v>
      </c>
      <c r="BG101" t="s">
        <v>23</v>
      </c>
      <c r="BH101" s="10">
        <f>SUMIFS('[1]2026'!$K:$K,'[1]2026'!$T:$T,BD101,'[1]2026'!$S:$S,BH$3,'[1]2026'!$P:$P,AU101)</f>
        <v>0</v>
      </c>
      <c r="BI101" s="10">
        <f>SUMIFS('[1]2026'!$K:$K,'[1]2026'!$T:$T,$BD101,'[1]2026'!$S:$S,BI$3,'[1]2026'!$P:$P,$AU101)</f>
        <v>0</v>
      </c>
      <c r="BJ101" s="10">
        <f>SUMIFS('[1]2026'!$K:$K,'[1]2026'!$T:$T,$BD101,'[1]2026'!$S:$S,BJ$3,'[1]2026'!$P:$P,$AU101)</f>
        <v>0</v>
      </c>
      <c r="BK101" s="10">
        <f>SUMIFS('[1]2026'!$K:$K,'[1]2026'!$T:$T,$BD101,'[1]2026'!$S:$S,BK$3,'[1]2026'!$P:$P,$AU101)</f>
        <v>0</v>
      </c>
      <c r="BL101" s="10">
        <f>SUMIFS('[1]2026'!$K:$K,'[1]2026'!$T:$T,$BD101,'[1]2026'!$S:$S,BL$3,'[1]2026'!$P:$P,$AU101)</f>
        <v>0</v>
      </c>
      <c r="BM101" s="10">
        <f>SUMIFS('[1]2026'!$K:$K,'[1]2026'!$T:$T,$BD101,'[1]2026'!$S:$S,BM$3,'[1]2026'!$P:$P,$AU101)</f>
        <v>23278.92</v>
      </c>
      <c r="BN101" s="10">
        <f>SUMIFS('[1]2026'!$K:$K,'[1]2026'!$T:$T,$BD101,'[1]2026'!$S:$S,BN$3,'[1]2026'!$P:$P,$AU101)</f>
        <v>0</v>
      </c>
      <c r="BO101" s="10">
        <f>SUMIFS('[1]2026'!$K:$K,'[1]2026'!$T:$T,$BD101,'[1]2026'!$S:$S,BO$3,'[1]2026'!$P:$P,$AU101)</f>
        <v>0</v>
      </c>
      <c r="BP101" s="6"/>
      <c r="BQ101" s="6"/>
      <c r="BR101" s="6"/>
      <c r="BS101" s="6"/>
      <c r="BT101" s="6">
        <f t="shared" si="51"/>
        <v>23278.92</v>
      </c>
      <c r="BV101" s="6">
        <f t="shared" si="39"/>
        <v>-2500</v>
      </c>
      <c r="BW101" s="6">
        <f t="shared" si="40"/>
        <v>-2500</v>
      </c>
      <c r="BX101" s="6">
        <f t="shared" si="41"/>
        <v>-2500</v>
      </c>
      <c r="BY101" s="6">
        <f t="shared" si="42"/>
        <v>-2500</v>
      </c>
      <c r="BZ101" s="6">
        <f t="shared" si="43"/>
        <v>-2500</v>
      </c>
      <c r="CA101" s="6">
        <f t="shared" si="44"/>
        <v>20778.919999999998</v>
      </c>
      <c r="CB101" s="6">
        <f t="shared" si="45"/>
        <v>-2500</v>
      </c>
      <c r="CC101" s="6">
        <f t="shared" si="46"/>
        <v>-2500</v>
      </c>
      <c r="CD101" s="6">
        <f t="shared" si="47"/>
        <v>-2500</v>
      </c>
      <c r="CE101" s="6">
        <f t="shared" si="48"/>
        <v>-2500</v>
      </c>
      <c r="CF101" s="6">
        <f t="shared" si="49"/>
        <v>-2500</v>
      </c>
      <c r="CG101" s="6">
        <f t="shared" si="50"/>
        <v>-2500</v>
      </c>
      <c r="CH101" s="6">
        <f t="shared" si="52"/>
        <v>-6721.0800000000017</v>
      </c>
    </row>
    <row r="102" spans="1:86" hidden="1" x14ac:dyDescent="0.35">
      <c r="A102" s="3" t="s">
        <v>393</v>
      </c>
      <c r="B102" s="10">
        <v>2500</v>
      </c>
      <c r="C102" s="10">
        <v>2500</v>
      </c>
      <c r="D102" s="10">
        <v>2500</v>
      </c>
      <c r="E102" s="10">
        <v>2500</v>
      </c>
      <c r="F102" s="10">
        <v>2500</v>
      </c>
      <c r="G102" s="10">
        <v>2500</v>
      </c>
      <c r="H102" s="10">
        <v>2500</v>
      </c>
      <c r="I102" s="10">
        <v>2500</v>
      </c>
      <c r="J102" s="10">
        <v>2500</v>
      </c>
      <c r="K102" s="10">
        <v>2500</v>
      </c>
      <c r="L102" s="10">
        <v>2500</v>
      </c>
      <c r="M102" s="10">
        <v>2500</v>
      </c>
      <c r="N102" s="27">
        <f t="shared" si="56"/>
        <v>30000</v>
      </c>
      <c r="AA102" s="27">
        <f t="shared" si="53"/>
        <v>0</v>
      </c>
      <c r="AB102" s="10">
        <f t="shared" si="55"/>
        <v>2500</v>
      </c>
      <c r="AC102" s="10">
        <f t="shared" si="55"/>
        <v>2500</v>
      </c>
      <c r="AD102" s="10">
        <f t="shared" si="55"/>
        <v>2500</v>
      </c>
      <c r="AE102" s="10">
        <f t="shared" si="55"/>
        <v>2500</v>
      </c>
      <c r="AF102" s="10">
        <f t="shared" si="55"/>
        <v>2500</v>
      </c>
      <c r="AG102" s="10">
        <f t="shared" si="55"/>
        <v>2500</v>
      </c>
      <c r="AH102" s="10">
        <f t="shared" si="55"/>
        <v>2500</v>
      </c>
      <c r="AI102" s="10">
        <f t="shared" si="55"/>
        <v>2500</v>
      </c>
      <c r="AJ102" s="10">
        <f t="shared" si="55"/>
        <v>2500</v>
      </c>
      <c r="AK102" s="10">
        <f t="shared" si="55"/>
        <v>2500</v>
      </c>
      <c r="AL102" s="10">
        <f t="shared" si="55"/>
        <v>2500</v>
      </c>
      <c r="AM102" s="10">
        <f t="shared" si="55"/>
        <v>2500</v>
      </c>
      <c r="AN102" s="27">
        <f t="shared" si="55"/>
        <v>30000</v>
      </c>
      <c r="AS102" t="str">
        <f>_xlfn.XLOOKUP(AU102,[2]GAE!HZ:HZ,[2]GAE!IA:IA)</f>
        <v>ADMIN SERVICES</v>
      </c>
      <c r="AT102" t="str">
        <f>_xlfn.XLOOKUP(AU102,[2]GAE!HZ:HZ,[2]GAE!IB:IB)</f>
        <v>GAE - Repairs&amp; Maint. - Transportation Equipment</v>
      </c>
      <c r="AU102" t="s">
        <v>360</v>
      </c>
      <c r="AV102">
        <v>80123102</v>
      </c>
      <c r="AW102">
        <v>61061104</v>
      </c>
      <c r="AX102" t="str">
        <f>_xlfn.XLOOKUP(AU102,[2]GAE!HZ:HZ,[2]GAE!IF:IF)</f>
        <v>Others</v>
      </c>
      <c r="AY102" t="str">
        <f>_xlfn.XLOOKUP(AU102,[2]GAE!HZ:HZ,[2]GAE!IG:IG)</f>
        <v>Repairs &amp; Maintenance -  Vehicle</v>
      </c>
      <c r="BC102" t="s">
        <v>23</v>
      </c>
      <c r="BD102" t="s">
        <v>394</v>
      </c>
      <c r="BF102" t="s">
        <v>19</v>
      </c>
      <c r="BG102" t="s">
        <v>23</v>
      </c>
      <c r="BH102" s="10">
        <f>SUMIFS('[1]2026'!$K:$K,'[1]2026'!$T:$T,BD102,'[1]2026'!$S:$S,BH$3,'[1]2026'!$P:$P,AU102)</f>
        <v>21041.51</v>
      </c>
      <c r="BI102" s="10">
        <f>SUMIFS('[1]2026'!$K:$K,'[1]2026'!$T:$T,$BD102,'[1]2026'!$S:$S,BI$3,'[1]2026'!$P:$P,$AU102)</f>
        <v>0</v>
      </c>
      <c r="BJ102" s="10">
        <f>SUMIFS('[1]2026'!$K:$K,'[1]2026'!$T:$T,$BD102,'[1]2026'!$S:$S,BJ$3,'[1]2026'!$P:$P,$AU102)</f>
        <v>0</v>
      </c>
      <c r="BK102" s="10">
        <f>SUMIFS('[1]2026'!$K:$K,'[1]2026'!$T:$T,$BD102,'[1]2026'!$S:$S,BK$3,'[1]2026'!$P:$P,$AU102)</f>
        <v>0</v>
      </c>
      <c r="BL102" s="10">
        <f>SUMIFS('[1]2026'!$K:$K,'[1]2026'!$T:$T,$BD102,'[1]2026'!$S:$S,BL$3,'[1]2026'!$P:$P,$AU102)</f>
        <v>23920.33</v>
      </c>
      <c r="BM102" s="10">
        <f>SUMIFS('[1]2026'!$K:$K,'[1]2026'!$T:$T,$BD102,'[1]2026'!$S:$S,BM$3,'[1]2026'!$P:$P,$AU102)</f>
        <v>0</v>
      </c>
      <c r="BN102" s="10">
        <f>SUMIFS('[1]2026'!$K:$K,'[1]2026'!$T:$T,$BD102,'[1]2026'!$S:$S,BN$3,'[1]2026'!$P:$P,$AU102)</f>
        <v>0</v>
      </c>
      <c r="BO102" s="10">
        <f>SUMIFS('[1]2026'!$K:$K,'[1]2026'!$T:$T,$BD102,'[1]2026'!$S:$S,BO$3,'[1]2026'!$P:$P,$AU102)</f>
        <v>0</v>
      </c>
      <c r="BP102" s="6"/>
      <c r="BQ102" s="6"/>
      <c r="BR102" s="6"/>
      <c r="BS102" s="6"/>
      <c r="BT102" s="6">
        <f t="shared" si="51"/>
        <v>44961.84</v>
      </c>
      <c r="BV102" s="6">
        <f t="shared" si="39"/>
        <v>18541.509999999998</v>
      </c>
      <c r="BW102" s="6">
        <f t="shared" si="40"/>
        <v>-2500</v>
      </c>
      <c r="BX102" s="6">
        <f t="shared" si="41"/>
        <v>-2500</v>
      </c>
      <c r="BY102" s="6">
        <f t="shared" si="42"/>
        <v>-2500</v>
      </c>
      <c r="BZ102" s="6">
        <f t="shared" si="43"/>
        <v>21420.33</v>
      </c>
      <c r="CA102" s="6">
        <f t="shared" si="44"/>
        <v>-2500</v>
      </c>
      <c r="CB102" s="6">
        <f t="shared" si="45"/>
        <v>-2500</v>
      </c>
      <c r="CC102" s="6">
        <f t="shared" si="46"/>
        <v>-2500</v>
      </c>
      <c r="CD102" s="6">
        <f t="shared" si="47"/>
        <v>-2500</v>
      </c>
      <c r="CE102" s="6">
        <f t="shared" si="48"/>
        <v>-2500</v>
      </c>
      <c r="CF102" s="6">
        <f t="shared" si="49"/>
        <v>-2500</v>
      </c>
      <c r="CG102" s="6">
        <f t="shared" si="50"/>
        <v>-2500</v>
      </c>
      <c r="CH102" s="6">
        <f t="shared" si="52"/>
        <v>14961.839999999997</v>
      </c>
    </row>
    <row r="103" spans="1:86" hidden="1" x14ac:dyDescent="0.35">
      <c r="A103" s="3" t="s">
        <v>395</v>
      </c>
      <c r="B103" s="10">
        <v>2500</v>
      </c>
      <c r="C103" s="10">
        <v>2500</v>
      </c>
      <c r="D103" s="10">
        <v>2500</v>
      </c>
      <c r="E103" s="10">
        <v>2500</v>
      </c>
      <c r="F103" s="10">
        <v>2500</v>
      </c>
      <c r="G103" s="10">
        <v>2500</v>
      </c>
      <c r="H103" s="10">
        <v>2500</v>
      </c>
      <c r="I103" s="10">
        <v>2500</v>
      </c>
      <c r="J103" s="10">
        <v>2500</v>
      </c>
      <c r="K103" s="10">
        <v>2500</v>
      </c>
      <c r="L103" s="10">
        <v>2500</v>
      </c>
      <c r="M103" s="10">
        <v>2500</v>
      </c>
      <c r="N103" s="27">
        <f t="shared" si="56"/>
        <v>30000</v>
      </c>
      <c r="AA103" s="27">
        <f t="shared" si="53"/>
        <v>0</v>
      </c>
      <c r="AB103" s="10">
        <f t="shared" si="55"/>
        <v>2500</v>
      </c>
      <c r="AC103" s="10">
        <f t="shared" si="55"/>
        <v>2500</v>
      </c>
      <c r="AD103" s="10">
        <f t="shared" si="55"/>
        <v>2500</v>
      </c>
      <c r="AE103" s="10">
        <f t="shared" si="55"/>
        <v>2500</v>
      </c>
      <c r="AF103" s="10">
        <f t="shared" si="55"/>
        <v>2500</v>
      </c>
      <c r="AG103" s="10">
        <f t="shared" si="55"/>
        <v>2500</v>
      </c>
      <c r="AH103" s="10">
        <f t="shared" si="55"/>
        <v>2500</v>
      </c>
      <c r="AI103" s="10">
        <f t="shared" si="55"/>
        <v>2500</v>
      </c>
      <c r="AJ103" s="10">
        <f t="shared" si="55"/>
        <v>2500</v>
      </c>
      <c r="AK103" s="10">
        <f t="shared" si="55"/>
        <v>2500</v>
      </c>
      <c r="AL103" s="10">
        <f t="shared" si="55"/>
        <v>2500</v>
      </c>
      <c r="AM103" s="10">
        <f t="shared" si="55"/>
        <v>2500</v>
      </c>
      <c r="AN103" s="27">
        <f t="shared" si="55"/>
        <v>30000</v>
      </c>
      <c r="AS103" t="str">
        <f>_xlfn.XLOOKUP(AU103,[2]GAE!HZ:HZ,[2]GAE!IA:IA)</f>
        <v>ADMIN SERVICES</v>
      </c>
      <c r="AT103" t="str">
        <f>_xlfn.XLOOKUP(AU103,[2]GAE!HZ:HZ,[2]GAE!IB:IB)</f>
        <v>GAE - Repairs&amp; Maint. - Transportation Equipment</v>
      </c>
      <c r="AU103" t="s">
        <v>360</v>
      </c>
      <c r="AV103">
        <v>80123102</v>
      </c>
      <c r="AW103">
        <v>61061104</v>
      </c>
      <c r="AX103" t="str">
        <f>_xlfn.XLOOKUP(AU103,[2]GAE!HZ:HZ,[2]GAE!IF:IF)</f>
        <v>Others</v>
      </c>
      <c r="AY103" t="str">
        <f>_xlfn.XLOOKUP(AU103,[2]GAE!HZ:HZ,[2]GAE!IG:IG)</f>
        <v>Repairs &amp; Maintenance -  Vehicle</v>
      </c>
      <c r="BC103" t="s">
        <v>23</v>
      </c>
      <c r="BD103" t="s">
        <v>396</v>
      </c>
      <c r="BF103" t="s">
        <v>19</v>
      </c>
      <c r="BG103" t="s">
        <v>23</v>
      </c>
      <c r="BH103" s="10">
        <f>SUMIFS('[1]2026'!$K:$K,'[1]2026'!$T:$T,BD103,'[1]2026'!$S:$S,BH$3,'[1]2026'!$P:$P,AU103)</f>
        <v>0</v>
      </c>
      <c r="BI103" s="10">
        <f>SUMIFS('[1]2026'!$K:$K,'[1]2026'!$T:$T,$BD103,'[1]2026'!$S:$S,BI$3,'[1]2026'!$P:$P,$AU103)</f>
        <v>0</v>
      </c>
      <c r="BJ103" s="10">
        <f>SUMIFS('[1]2026'!$K:$K,'[1]2026'!$T:$T,$BD103,'[1]2026'!$S:$S,BJ$3,'[1]2026'!$P:$P,$AU103)</f>
        <v>13704.02</v>
      </c>
      <c r="BK103" s="10">
        <f>SUMIFS('[1]2026'!$K:$K,'[1]2026'!$T:$T,$BD103,'[1]2026'!$S:$S,BK$3,'[1]2026'!$P:$P,$AU103)</f>
        <v>0</v>
      </c>
      <c r="BL103" s="10">
        <f>SUMIFS('[1]2026'!$K:$K,'[1]2026'!$T:$T,$BD103,'[1]2026'!$S:$S,BL$3,'[1]2026'!$P:$P,$AU103)</f>
        <v>0</v>
      </c>
      <c r="BM103" s="10">
        <f>SUMIFS('[1]2026'!$K:$K,'[1]2026'!$T:$T,$BD103,'[1]2026'!$S:$S,BM$3,'[1]2026'!$P:$P,$AU103)</f>
        <v>10210.709999999999</v>
      </c>
      <c r="BN103" s="10">
        <f>SUMIFS('[1]2026'!$K:$K,'[1]2026'!$T:$T,$BD103,'[1]2026'!$S:$S,BN$3,'[1]2026'!$P:$P,$AU103)</f>
        <v>0</v>
      </c>
      <c r="BO103" s="10">
        <f>SUMIFS('[1]2026'!$K:$K,'[1]2026'!$T:$T,$BD103,'[1]2026'!$S:$S,BO$3,'[1]2026'!$P:$P,$AU103)</f>
        <v>0</v>
      </c>
      <c r="BP103" s="6"/>
      <c r="BQ103" s="6"/>
      <c r="BR103" s="6"/>
      <c r="BS103" s="6"/>
      <c r="BT103" s="6">
        <f t="shared" si="51"/>
        <v>23914.73</v>
      </c>
      <c r="BV103" s="6">
        <f t="shared" si="39"/>
        <v>-2500</v>
      </c>
      <c r="BW103" s="6">
        <f t="shared" si="40"/>
        <v>-2500</v>
      </c>
      <c r="BX103" s="6">
        <f t="shared" si="41"/>
        <v>11204.02</v>
      </c>
      <c r="BY103" s="6">
        <f t="shared" si="42"/>
        <v>-2500</v>
      </c>
      <c r="BZ103" s="6">
        <f t="shared" si="43"/>
        <v>-2500</v>
      </c>
      <c r="CA103" s="6">
        <f t="shared" si="44"/>
        <v>7710.7099999999991</v>
      </c>
      <c r="CB103" s="6">
        <f t="shared" si="45"/>
        <v>-2500</v>
      </c>
      <c r="CC103" s="6">
        <f t="shared" si="46"/>
        <v>-2500</v>
      </c>
      <c r="CD103" s="6">
        <f t="shared" si="47"/>
        <v>-2500</v>
      </c>
      <c r="CE103" s="6">
        <f t="shared" si="48"/>
        <v>-2500</v>
      </c>
      <c r="CF103" s="6">
        <f t="shared" si="49"/>
        <v>-2500</v>
      </c>
      <c r="CG103" s="6">
        <f t="shared" si="50"/>
        <v>-2500</v>
      </c>
      <c r="CH103" s="6">
        <f t="shared" si="52"/>
        <v>-6085.27</v>
      </c>
    </row>
    <row r="104" spans="1:86" hidden="1" x14ac:dyDescent="0.35">
      <c r="A104" s="3" t="s">
        <v>397</v>
      </c>
      <c r="B104" s="10">
        <v>2500</v>
      </c>
      <c r="C104" s="10">
        <v>2500</v>
      </c>
      <c r="D104" s="10">
        <v>2500</v>
      </c>
      <c r="E104" s="10">
        <v>2500</v>
      </c>
      <c r="F104" s="10">
        <v>2500</v>
      </c>
      <c r="G104" s="10">
        <v>2500</v>
      </c>
      <c r="H104" s="10">
        <v>2500</v>
      </c>
      <c r="I104" s="10">
        <v>2500</v>
      </c>
      <c r="J104" s="10">
        <v>2500</v>
      </c>
      <c r="K104" s="10">
        <v>2500</v>
      </c>
      <c r="L104" s="10">
        <v>2500</v>
      </c>
      <c r="M104" s="10">
        <v>2500</v>
      </c>
      <c r="N104" s="27">
        <f t="shared" si="56"/>
        <v>30000</v>
      </c>
      <c r="AA104" s="27">
        <f t="shared" si="53"/>
        <v>0</v>
      </c>
      <c r="AB104" s="10">
        <f t="shared" si="55"/>
        <v>2500</v>
      </c>
      <c r="AC104" s="10">
        <f t="shared" si="55"/>
        <v>2500</v>
      </c>
      <c r="AD104" s="10">
        <f t="shared" si="55"/>
        <v>2500</v>
      </c>
      <c r="AE104" s="10">
        <f t="shared" si="55"/>
        <v>2500</v>
      </c>
      <c r="AF104" s="10">
        <f t="shared" si="55"/>
        <v>2500</v>
      </c>
      <c r="AG104" s="10">
        <f t="shared" si="55"/>
        <v>2500</v>
      </c>
      <c r="AH104" s="10">
        <f t="shared" si="55"/>
        <v>2500</v>
      </c>
      <c r="AI104" s="10">
        <f t="shared" si="55"/>
        <v>2500</v>
      </c>
      <c r="AJ104" s="10">
        <f t="shared" si="55"/>
        <v>2500</v>
      </c>
      <c r="AK104" s="10">
        <f t="shared" si="55"/>
        <v>2500</v>
      </c>
      <c r="AL104" s="10">
        <f t="shared" si="55"/>
        <v>2500</v>
      </c>
      <c r="AM104" s="10">
        <f t="shared" si="55"/>
        <v>2500</v>
      </c>
      <c r="AN104" s="27">
        <f t="shared" si="55"/>
        <v>30000</v>
      </c>
      <c r="AS104" t="str">
        <f>_xlfn.XLOOKUP(AU104,[2]GAE!HZ:HZ,[2]GAE!IA:IA)</f>
        <v>ADMIN SERVICES</v>
      </c>
      <c r="AT104" t="str">
        <f>_xlfn.XLOOKUP(AU104,[2]GAE!HZ:HZ,[2]GAE!IB:IB)</f>
        <v>GAE - Repairs&amp; Maint. - Transportation Equipment</v>
      </c>
      <c r="AU104" t="s">
        <v>360</v>
      </c>
      <c r="AV104">
        <v>80123102</v>
      </c>
      <c r="AW104">
        <v>61061104</v>
      </c>
      <c r="AX104" t="str">
        <f>_xlfn.XLOOKUP(AU104,[2]GAE!HZ:HZ,[2]GAE!IF:IF)</f>
        <v>Others</v>
      </c>
      <c r="AY104" t="str">
        <f>_xlfn.XLOOKUP(AU104,[2]GAE!HZ:HZ,[2]GAE!IG:IG)</f>
        <v>Repairs &amp; Maintenance -  Vehicle</v>
      </c>
      <c r="BF104" t="s">
        <v>19</v>
      </c>
      <c r="BG104" s="2" t="s">
        <v>23</v>
      </c>
      <c r="BH104" s="10">
        <f>SUMIFS('[1]2026'!$K:$K,'[1]2026'!$T:$T,BD104,'[1]2026'!$S:$S,BH$3,'[1]2026'!$P:$P,AU104)</f>
        <v>0</v>
      </c>
      <c r="BI104" s="10">
        <f>SUMIFS('[1]2026'!$K:$K,'[1]2026'!$T:$T,$BD104,'[1]2026'!$S:$S,BI$3,'[1]2026'!$P:$P,$AU104)</f>
        <v>0</v>
      </c>
      <c r="BJ104" s="10">
        <f>SUMIFS('[1]2026'!$K:$K,'[1]2026'!$T:$T,$BD104,'[1]2026'!$S:$S,BJ$3,'[1]2026'!$P:$P,$AU104)</f>
        <v>0</v>
      </c>
      <c r="BK104" s="10">
        <f>SUMIFS('[1]2026'!$K:$K,'[1]2026'!$T:$T,$BD104,'[1]2026'!$S:$S,BK$3,'[1]2026'!$P:$P,$AU104)</f>
        <v>0</v>
      </c>
      <c r="BL104" s="10">
        <f>SUMIFS('[1]2026'!$K:$K,'[1]2026'!$T:$T,$BD104,'[1]2026'!$S:$S,BL$3,'[1]2026'!$P:$P,$AU104)</f>
        <v>0</v>
      </c>
      <c r="BM104" s="10">
        <f>SUMIFS('[1]2026'!$K:$K,'[1]2026'!$T:$T,$BD104,'[1]2026'!$S:$S,BM$3,'[1]2026'!$P:$P,$AU104)</f>
        <v>0</v>
      </c>
      <c r="BN104" s="10">
        <f>SUMIFS('[1]2026'!$K:$K,'[1]2026'!$T:$T,$BD104,'[1]2026'!$S:$S,BN$3,'[1]2026'!$P:$P,$AU104)</f>
        <v>0</v>
      </c>
      <c r="BO104" s="10">
        <f>SUMIFS('[1]2026'!$K:$K,'[1]2026'!$T:$T,$BD104,'[1]2026'!$S:$S,BO$3,'[1]2026'!$P:$P,$AU104)</f>
        <v>0</v>
      </c>
      <c r="BP104" s="6"/>
      <c r="BQ104" s="6"/>
      <c r="BR104" s="6"/>
      <c r="BS104" s="6"/>
      <c r="BT104" s="6">
        <f t="shared" si="51"/>
        <v>0</v>
      </c>
      <c r="BV104" s="6">
        <f t="shared" si="39"/>
        <v>-2500</v>
      </c>
      <c r="BW104" s="6">
        <f t="shared" si="40"/>
        <v>-2500</v>
      </c>
      <c r="BX104" s="6">
        <f t="shared" si="41"/>
        <v>-2500</v>
      </c>
      <c r="BY104" s="6">
        <f t="shared" si="42"/>
        <v>-2500</v>
      </c>
      <c r="BZ104" s="6">
        <f t="shared" si="43"/>
        <v>-2500</v>
      </c>
      <c r="CA104" s="6">
        <f t="shared" si="44"/>
        <v>-2500</v>
      </c>
      <c r="CB104" s="6">
        <f t="shared" si="45"/>
        <v>-2500</v>
      </c>
      <c r="CC104" s="6">
        <f t="shared" si="46"/>
        <v>-2500</v>
      </c>
      <c r="CD104" s="6">
        <f t="shared" si="47"/>
        <v>-2500</v>
      </c>
      <c r="CE104" s="6">
        <f t="shared" si="48"/>
        <v>-2500</v>
      </c>
      <c r="CF104" s="6">
        <f t="shared" si="49"/>
        <v>-2500</v>
      </c>
      <c r="CG104" s="6">
        <f t="shared" si="50"/>
        <v>-2500</v>
      </c>
      <c r="CH104" s="6">
        <f t="shared" si="52"/>
        <v>-30000</v>
      </c>
    </row>
    <row r="105" spans="1:86" hidden="1" x14ac:dyDescent="0.35">
      <c r="A105" s="3" t="s">
        <v>398</v>
      </c>
      <c r="B105" s="10">
        <v>2500</v>
      </c>
      <c r="C105" s="10">
        <v>2500</v>
      </c>
      <c r="D105" s="10">
        <v>2500</v>
      </c>
      <c r="E105" s="10">
        <v>2500</v>
      </c>
      <c r="F105" s="10">
        <v>2500</v>
      </c>
      <c r="G105" s="10">
        <v>2500</v>
      </c>
      <c r="H105" s="10">
        <v>2500</v>
      </c>
      <c r="I105" s="10">
        <v>2500</v>
      </c>
      <c r="J105" s="10">
        <v>2500</v>
      </c>
      <c r="K105" s="10">
        <v>2500</v>
      </c>
      <c r="L105" s="10">
        <v>2500</v>
      </c>
      <c r="M105" s="10">
        <v>2500</v>
      </c>
      <c r="N105" s="27">
        <f t="shared" si="56"/>
        <v>30000</v>
      </c>
      <c r="AA105" s="27">
        <f t="shared" si="53"/>
        <v>0</v>
      </c>
      <c r="AB105" s="10">
        <f t="shared" si="55"/>
        <v>2500</v>
      </c>
      <c r="AC105" s="10">
        <f t="shared" si="55"/>
        <v>2500</v>
      </c>
      <c r="AD105" s="10">
        <f t="shared" si="55"/>
        <v>2500</v>
      </c>
      <c r="AE105" s="10">
        <f t="shared" si="55"/>
        <v>2500</v>
      </c>
      <c r="AF105" s="10">
        <f t="shared" si="55"/>
        <v>2500</v>
      </c>
      <c r="AG105" s="10">
        <f t="shared" si="55"/>
        <v>2500</v>
      </c>
      <c r="AH105" s="10">
        <f t="shared" si="55"/>
        <v>2500</v>
      </c>
      <c r="AI105" s="10">
        <f t="shared" si="55"/>
        <v>2500</v>
      </c>
      <c r="AJ105" s="10">
        <f t="shared" si="55"/>
        <v>2500</v>
      </c>
      <c r="AK105" s="10">
        <f t="shared" si="55"/>
        <v>2500</v>
      </c>
      <c r="AL105" s="10">
        <f t="shared" si="55"/>
        <v>2500</v>
      </c>
      <c r="AM105" s="10">
        <f t="shared" si="55"/>
        <v>2500</v>
      </c>
      <c r="AN105" s="27">
        <f t="shared" si="55"/>
        <v>30000</v>
      </c>
      <c r="AS105" t="str">
        <f>_xlfn.XLOOKUP(AU105,[2]GAE!HZ:HZ,[2]GAE!IA:IA)</f>
        <v>ADMIN SERVICES</v>
      </c>
      <c r="AT105" t="str">
        <f>_xlfn.XLOOKUP(AU105,[2]GAE!HZ:HZ,[2]GAE!IB:IB)</f>
        <v>GAE - Repairs&amp; Maint. - Transportation Equipment</v>
      </c>
      <c r="AU105" t="s">
        <v>360</v>
      </c>
      <c r="AV105">
        <v>80123102</v>
      </c>
      <c r="AW105">
        <v>61061104</v>
      </c>
      <c r="AX105" t="str">
        <f>_xlfn.XLOOKUP(AU105,[2]GAE!HZ:HZ,[2]GAE!IF:IF)</f>
        <v>Others</v>
      </c>
      <c r="AY105" t="str">
        <f>_xlfn.XLOOKUP(AU105,[2]GAE!HZ:HZ,[2]GAE!IG:IG)</f>
        <v>Repairs &amp; Maintenance -  Vehicle</v>
      </c>
      <c r="BF105" t="s">
        <v>19</v>
      </c>
      <c r="BG105" s="2" t="s">
        <v>23</v>
      </c>
      <c r="BH105" s="10">
        <f>SUMIFS('[1]2026'!$K:$K,'[1]2026'!$T:$T,BD105,'[1]2026'!$S:$S,BH$3,'[1]2026'!$P:$P,AU105)</f>
        <v>0</v>
      </c>
      <c r="BI105" s="10">
        <f>SUMIFS('[1]2026'!$K:$K,'[1]2026'!$T:$T,$BD105,'[1]2026'!$S:$S,BI$3,'[1]2026'!$P:$P,$AU105)</f>
        <v>0</v>
      </c>
      <c r="BJ105" s="10">
        <f>SUMIFS('[1]2026'!$K:$K,'[1]2026'!$T:$T,$BD105,'[1]2026'!$S:$S,BJ$3,'[1]2026'!$P:$P,$AU105)</f>
        <v>0</v>
      </c>
      <c r="BK105" s="10">
        <f>SUMIFS('[1]2026'!$K:$K,'[1]2026'!$T:$T,$BD105,'[1]2026'!$S:$S,BK$3,'[1]2026'!$P:$P,$AU105)</f>
        <v>0</v>
      </c>
      <c r="BL105" s="10">
        <f>SUMIFS('[1]2026'!$K:$K,'[1]2026'!$T:$T,$BD105,'[1]2026'!$S:$S,BL$3,'[1]2026'!$P:$P,$AU105)</f>
        <v>0</v>
      </c>
      <c r="BM105" s="10">
        <f>SUMIFS('[1]2026'!$K:$K,'[1]2026'!$T:$T,$BD105,'[1]2026'!$S:$S,BM$3,'[1]2026'!$P:$P,$AU105)</f>
        <v>0</v>
      </c>
      <c r="BN105" s="10">
        <f>SUMIFS('[1]2026'!$K:$K,'[1]2026'!$T:$T,$BD105,'[1]2026'!$S:$S,BN$3,'[1]2026'!$P:$P,$AU105)</f>
        <v>0</v>
      </c>
      <c r="BO105" s="10">
        <f>SUMIFS('[1]2026'!$K:$K,'[1]2026'!$T:$T,$BD105,'[1]2026'!$S:$S,BO$3,'[1]2026'!$P:$P,$AU105)</f>
        <v>0</v>
      </c>
      <c r="BP105" s="6"/>
      <c r="BQ105" s="6"/>
      <c r="BR105" s="6"/>
      <c r="BS105" s="6"/>
      <c r="BT105" s="6">
        <f t="shared" si="51"/>
        <v>0</v>
      </c>
      <c r="BV105" s="6">
        <f t="shared" si="39"/>
        <v>-2500</v>
      </c>
      <c r="BW105" s="6">
        <f t="shared" si="40"/>
        <v>-2500</v>
      </c>
      <c r="BX105" s="6">
        <f t="shared" si="41"/>
        <v>-2500</v>
      </c>
      <c r="BY105" s="6">
        <f t="shared" si="42"/>
        <v>-2500</v>
      </c>
      <c r="BZ105" s="6">
        <f t="shared" si="43"/>
        <v>-2500</v>
      </c>
      <c r="CA105" s="6">
        <f t="shared" si="44"/>
        <v>-2500</v>
      </c>
      <c r="CB105" s="6">
        <f t="shared" si="45"/>
        <v>-2500</v>
      </c>
      <c r="CC105" s="6">
        <f t="shared" si="46"/>
        <v>-2500</v>
      </c>
      <c r="CD105" s="6">
        <f t="shared" si="47"/>
        <v>-2500</v>
      </c>
      <c r="CE105" s="6">
        <f t="shared" si="48"/>
        <v>-2500</v>
      </c>
      <c r="CF105" s="6">
        <f t="shared" si="49"/>
        <v>-2500</v>
      </c>
      <c r="CG105" s="6">
        <f t="shared" si="50"/>
        <v>-2500</v>
      </c>
      <c r="CH105" s="6">
        <f t="shared" si="52"/>
        <v>-30000</v>
      </c>
    </row>
    <row r="106" spans="1:86" hidden="1" x14ac:dyDescent="0.35">
      <c r="A106" s="3" t="s">
        <v>399</v>
      </c>
      <c r="B106" s="10">
        <v>2500</v>
      </c>
      <c r="C106" s="10">
        <v>2500</v>
      </c>
      <c r="D106" s="10">
        <v>2500</v>
      </c>
      <c r="E106" s="10">
        <v>2500</v>
      </c>
      <c r="F106" s="10">
        <v>2500</v>
      </c>
      <c r="G106" s="10">
        <v>2500</v>
      </c>
      <c r="H106" s="10">
        <v>2500</v>
      </c>
      <c r="I106" s="10">
        <v>2500</v>
      </c>
      <c r="J106" s="10">
        <v>2500</v>
      </c>
      <c r="K106" s="10">
        <v>2500</v>
      </c>
      <c r="L106" s="10">
        <v>2500</v>
      </c>
      <c r="M106" s="10">
        <v>2500</v>
      </c>
      <c r="N106" s="27">
        <f t="shared" si="56"/>
        <v>30000</v>
      </c>
      <c r="AA106" s="27">
        <f t="shared" si="53"/>
        <v>0</v>
      </c>
      <c r="AB106" s="10">
        <f t="shared" si="55"/>
        <v>2500</v>
      </c>
      <c r="AC106" s="10">
        <f t="shared" si="55"/>
        <v>2500</v>
      </c>
      <c r="AD106" s="10">
        <f t="shared" si="55"/>
        <v>2500</v>
      </c>
      <c r="AE106" s="10">
        <f t="shared" si="55"/>
        <v>2500</v>
      </c>
      <c r="AF106" s="10">
        <f t="shared" si="55"/>
        <v>2500</v>
      </c>
      <c r="AG106" s="10">
        <f t="shared" si="55"/>
        <v>2500</v>
      </c>
      <c r="AH106" s="10">
        <f t="shared" si="55"/>
        <v>2500</v>
      </c>
      <c r="AI106" s="10">
        <f t="shared" si="55"/>
        <v>2500</v>
      </c>
      <c r="AJ106" s="10">
        <f t="shared" si="55"/>
        <v>2500</v>
      </c>
      <c r="AK106" s="10">
        <f t="shared" si="55"/>
        <v>2500</v>
      </c>
      <c r="AL106" s="10">
        <f t="shared" si="55"/>
        <v>2500</v>
      </c>
      <c r="AM106" s="10">
        <f t="shared" si="55"/>
        <v>2500</v>
      </c>
      <c r="AN106" s="27">
        <f t="shared" si="55"/>
        <v>30000</v>
      </c>
      <c r="AS106" t="str">
        <f>_xlfn.XLOOKUP(AU106,[2]GAE!HZ:HZ,[2]GAE!IA:IA)</f>
        <v>ADMIN SERVICES</v>
      </c>
      <c r="AT106" t="str">
        <f>_xlfn.XLOOKUP(AU106,[2]GAE!HZ:HZ,[2]GAE!IB:IB)</f>
        <v>GAE - Repairs&amp; Maint. - Transportation Equipment</v>
      </c>
      <c r="AU106" t="s">
        <v>360</v>
      </c>
      <c r="AV106">
        <v>80123102</v>
      </c>
      <c r="AW106">
        <v>61061104</v>
      </c>
      <c r="AX106" t="str">
        <f>_xlfn.XLOOKUP(AU106,[2]GAE!HZ:HZ,[2]GAE!IF:IF)</f>
        <v>Others</v>
      </c>
      <c r="AY106" t="str">
        <f>_xlfn.XLOOKUP(AU106,[2]GAE!HZ:HZ,[2]GAE!IG:IG)</f>
        <v>Repairs &amp; Maintenance -  Vehicle</v>
      </c>
      <c r="BC106" t="s">
        <v>23</v>
      </c>
      <c r="BD106" t="s">
        <v>400</v>
      </c>
      <c r="BF106" t="s">
        <v>19</v>
      </c>
      <c r="BG106" t="s">
        <v>23</v>
      </c>
      <c r="BH106" s="10">
        <f>SUMIFS('[1]2026'!$K:$K,'[1]2026'!$T:$T,BD106,'[1]2026'!$S:$S,BH$3,'[1]2026'!$P:$P,AU106)</f>
        <v>0</v>
      </c>
      <c r="BI106" s="10">
        <f>SUMIFS('[1]2026'!$K:$K,'[1]2026'!$T:$T,$BD106,'[1]2026'!$S:$S,BI$3,'[1]2026'!$P:$P,$AU106)</f>
        <v>0</v>
      </c>
      <c r="BJ106" s="10">
        <f>SUMIFS('[1]2026'!$K:$K,'[1]2026'!$T:$T,$BD106,'[1]2026'!$S:$S,BJ$3,'[1]2026'!$P:$P,$AU106)</f>
        <v>0</v>
      </c>
      <c r="BK106" s="10">
        <f>SUMIFS('[1]2026'!$K:$K,'[1]2026'!$T:$T,$BD106,'[1]2026'!$S:$S,BK$3,'[1]2026'!$P:$P,$AU106)</f>
        <v>0</v>
      </c>
      <c r="BL106" s="10">
        <f>SUMIFS('[1]2026'!$K:$K,'[1]2026'!$T:$T,$BD106,'[1]2026'!$S:$S,BL$3,'[1]2026'!$P:$P,$AU106)</f>
        <v>21996.92</v>
      </c>
      <c r="BM106" s="10">
        <f>SUMIFS('[1]2026'!$K:$K,'[1]2026'!$T:$T,$BD106,'[1]2026'!$S:$S,BM$3,'[1]2026'!$P:$P,$AU106)</f>
        <v>24336.13</v>
      </c>
      <c r="BN106" s="10">
        <f>SUMIFS('[1]2026'!$K:$K,'[1]2026'!$T:$T,$BD106,'[1]2026'!$S:$S,BN$3,'[1]2026'!$P:$P,$AU106)</f>
        <v>0</v>
      </c>
      <c r="BO106" s="10">
        <f>SUMIFS('[1]2026'!$K:$K,'[1]2026'!$T:$T,$BD106,'[1]2026'!$S:$S,BO$3,'[1]2026'!$P:$P,$AU106)</f>
        <v>0</v>
      </c>
      <c r="BP106" s="6"/>
      <c r="BQ106" s="6"/>
      <c r="BR106" s="6"/>
      <c r="BS106" s="6"/>
      <c r="BT106" s="6">
        <f t="shared" si="51"/>
        <v>46333.05</v>
      </c>
      <c r="BV106" s="6">
        <f t="shared" si="39"/>
        <v>-2500</v>
      </c>
      <c r="BW106" s="6">
        <f t="shared" si="40"/>
        <v>-2500</v>
      </c>
      <c r="BX106" s="6">
        <f t="shared" si="41"/>
        <v>-2500</v>
      </c>
      <c r="BY106" s="6">
        <f t="shared" si="42"/>
        <v>-2500</v>
      </c>
      <c r="BZ106" s="6">
        <f t="shared" si="43"/>
        <v>19496.919999999998</v>
      </c>
      <c r="CA106" s="6">
        <f t="shared" si="44"/>
        <v>21836.13</v>
      </c>
      <c r="CB106" s="6">
        <f t="shared" si="45"/>
        <v>-2500</v>
      </c>
      <c r="CC106" s="6">
        <f t="shared" si="46"/>
        <v>-2500</v>
      </c>
      <c r="CD106" s="6">
        <f t="shared" si="47"/>
        <v>-2500</v>
      </c>
      <c r="CE106" s="6">
        <f t="shared" si="48"/>
        <v>-2500</v>
      </c>
      <c r="CF106" s="6">
        <f t="shared" si="49"/>
        <v>-2500</v>
      </c>
      <c r="CG106" s="6">
        <f t="shared" si="50"/>
        <v>-2500</v>
      </c>
      <c r="CH106" s="6">
        <f t="shared" si="52"/>
        <v>16333.050000000003</v>
      </c>
    </row>
    <row r="107" spans="1:86" hidden="1" x14ac:dyDescent="0.35">
      <c r="A107" s="3" t="s">
        <v>398</v>
      </c>
      <c r="B107" s="10">
        <v>2500</v>
      </c>
      <c r="C107" s="10">
        <v>2500</v>
      </c>
      <c r="D107" s="10">
        <v>2500</v>
      </c>
      <c r="E107" s="10">
        <v>2500</v>
      </c>
      <c r="F107" s="10">
        <v>2500</v>
      </c>
      <c r="G107" s="10">
        <v>2500</v>
      </c>
      <c r="H107" s="10">
        <v>2500</v>
      </c>
      <c r="I107" s="10">
        <v>2500</v>
      </c>
      <c r="J107" s="10">
        <v>2500</v>
      </c>
      <c r="K107" s="10">
        <v>2500</v>
      </c>
      <c r="L107" s="10">
        <v>2500</v>
      </c>
      <c r="M107" s="10">
        <v>2500</v>
      </c>
      <c r="N107" s="27">
        <f t="shared" si="56"/>
        <v>30000</v>
      </c>
      <c r="AA107" s="27">
        <f t="shared" si="53"/>
        <v>0</v>
      </c>
      <c r="AB107" s="10">
        <f t="shared" si="55"/>
        <v>2500</v>
      </c>
      <c r="AC107" s="10">
        <f t="shared" si="55"/>
        <v>2500</v>
      </c>
      <c r="AD107" s="10">
        <f t="shared" si="55"/>
        <v>2500</v>
      </c>
      <c r="AE107" s="10">
        <f t="shared" si="55"/>
        <v>2500</v>
      </c>
      <c r="AF107" s="10">
        <f t="shared" si="55"/>
        <v>2500</v>
      </c>
      <c r="AG107" s="10">
        <f t="shared" si="55"/>
        <v>2500</v>
      </c>
      <c r="AH107" s="10">
        <f t="shared" si="55"/>
        <v>2500</v>
      </c>
      <c r="AI107" s="10">
        <f t="shared" si="55"/>
        <v>2500</v>
      </c>
      <c r="AJ107" s="10">
        <f t="shared" si="55"/>
        <v>2500</v>
      </c>
      <c r="AK107" s="10">
        <f t="shared" si="55"/>
        <v>2500</v>
      </c>
      <c r="AL107" s="10">
        <f t="shared" si="55"/>
        <v>2500</v>
      </c>
      <c r="AM107" s="10">
        <f t="shared" si="55"/>
        <v>2500</v>
      </c>
      <c r="AN107" s="27">
        <f t="shared" si="55"/>
        <v>30000</v>
      </c>
      <c r="AS107" t="str">
        <f>_xlfn.XLOOKUP(AU107,[2]GAE!HZ:HZ,[2]GAE!IA:IA)</f>
        <v>ADMIN SERVICES</v>
      </c>
      <c r="AT107" t="str">
        <f>_xlfn.XLOOKUP(AU107,[2]GAE!HZ:HZ,[2]GAE!IB:IB)</f>
        <v>GAE - Repairs&amp; Maint. - Transportation Equipment</v>
      </c>
      <c r="AU107" t="s">
        <v>360</v>
      </c>
      <c r="AV107">
        <v>80123102</v>
      </c>
      <c r="AW107">
        <v>61061104</v>
      </c>
      <c r="AX107" t="str">
        <f>_xlfn.XLOOKUP(AU107,[2]GAE!HZ:HZ,[2]GAE!IF:IF)</f>
        <v>Others</v>
      </c>
      <c r="AY107" t="str">
        <f>_xlfn.XLOOKUP(AU107,[2]GAE!HZ:HZ,[2]GAE!IG:IG)</f>
        <v>Repairs &amp; Maintenance -  Vehicle</v>
      </c>
      <c r="BC107" t="s">
        <v>23</v>
      </c>
      <c r="BD107" t="s">
        <v>401</v>
      </c>
      <c r="BF107" t="s">
        <v>19</v>
      </c>
      <c r="BG107" t="s">
        <v>23</v>
      </c>
      <c r="BH107" s="10">
        <f>SUMIFS('[1]2026'!$K:$K,'[1]2026'!$T:$T,BD107,'[1]2026'!$S:$S,BH$3,'[1]2026'!$P:$P,AU107)</f>
        <v>0</v>
      </c>
      <c r="BI107" s="10">
        <f>SUMIFS('[1]2026'!$K:$K,'[1]2026'!$T:$T,$BD107,'[1]2026'!$S:$S,BI$3,'[1]2026'!$P:$P,$AU107)</f>
        <v>0</v>
      </c>
      <c r="BJ107" s="10">
        <f>SUMIFS('[1]2026'!$K:$K,'[1]2026'!$T:$T,$BD107,'[1]2026'!$S:$S,BJ$3,'[1]2026'!$P:$P,$AU107)</f>
        <v>0</v>
      </c>
      <c r="BK107" s="10">
        <f>SUMIFS('[1]2026'!$K:$K,'[1]2026'!$T:$T,$BD107,'[1]2026'!$S:$S,BK$3,'[1]2026'!$P:$P,$AU107)</f>
        <v>9324.5400000000009</v>
      </c>
      <c r="BL107" s="10">
        <f>SUMIFS('[1]2026'!$K:$K,'[1]2026'!$T:$T,$BD107,'[1]2026'!$S:$S,BL$3,'[1]2026'!$P:$P,$AU107)</f>
        <v>0</v>
      </c>
      <c r="BM107" s="10">
        <f>SUMIFS('[1]2026'!$K:$K,'[1]2026'!$T:$T,$BD107,'[1]2026'!$S:$S,BM$3,'[1]2026'!$P:$P,$AU107)</f>
        <v>0</v>
      </c>
      <c r="BN107" s="10">
        <f>SUMIFS('[1]2026'!$K:$K,'[1]2026'!$T:$T,$BD107,'[1]2026'!$S:$S,BN$3,'[1]2026'!$P:$P,$AU107)</f>
        <v>0</v>
      </c>
      <c r="BO107" s="10">
        <f>SUMIFS('[1]2026'!$K:$K,'[1]2026'!$T:$T,$BD107,'[1]2026'!$S:$S,BO$3,'[1]2026'!$P:$P,$AU107)</f>
        <v>0</v>
      </c>
      <c r="BP107" s="6"/>
      <c r="BQ107" s="6"/>
      <c r="BR107" s="6"/>
      <c r="BS107" s="6"/>
      <c r="BT107" s="6">
        <f t="shared" si="51"/>
        <v>9324.5400000000009</v>
      </c>
      <c r="BV107" s="6">
        <f t="shared" si="39"/>
        <v>-2500</v>
      </c>
      <c r="BW107" s="6">
        <f t="shared" si="40"/>
        <v>-2500</v>
      </c>
      <c r="BX107" s="6">
        <f t="shared" si="41"/>
        <v>-2500</v>
      </c>
      <c r="BY107" s="6">
        <f t="shared" si="42"/>
        <v>6824.5400000000009</v>
      </c>
      <c r="BZ107" s="6">
        <f t="shared" si="43"/>
        <v>-2500</v>
      </c>
      <c r="CA107" s="6">
        <f t="shared" si="44"/>
        <v>-2500</v>
      </c>
      <c r="CB107" s="6">
        <f t="shared" si="45"/>
        <v>-2500</v>
      </c>
      <c r="CC107" s="6">
        <f t="shared" si="46"/>
        <v>-2500</v>
      </c>
      <c r="CD107" s="6">
        <f t="shared" si="47"/>
        <v>-2500</v>
      </c>
      <c r="CE107" s="6">
        <f t="shared" si="48"/>
        <v>-2500</v>
      </c>
      <c r="CF107" s="6">
        <f t="shared" si="49"/>
        <v>-2500</v>
      </c>
      <c r="CG107" s="6">
        <f t="shared" si="50"/>
        <v>-2500</v>
      </c>
      <c r="CH107" s="6">
        <f t="shared" si="52"/>
        <v>-20675.46</v>
      </c>
    </row>
    <row r="108" spans="1:86" hidden="1" x14ac:dyDescent="0.35">
      <c r="A108" s="3" t="s">
        <v>402</v>
      </c>
      <c r="B108" s="10">
        <v>2500</v>
      </c>
      <c r="C108" s="10">
        <v>2500</v>
      </c>
      <c r="D108" s="10">
        <v>2500</v>
      </c>
      <c r="E108" s="10">
        <v>2500</v>
      </c>
      <c r="F108" s="10">
        <v>2500</v>
      </c>
      <c r="G108" s="10">
        <v>2500</v>
      </c>
      <c r="H108" s="10">
        <v>2500</v>
      </c>
      <c r="I108" s="10">
        <v>2500</v>
      </c>
      <c r="J108" s="10">
        <v>2500</v>
      </c>
      <c r="K108" s="10">
        <v>2500</v>
      </c>
      <c r="L108" s="10">
        <v>2500</v>
      </c>
      <c r="M108" s="10">
        <v>2500</v>
      </c>
      <c r="N108" s="27">
        <f t="shared" si="56"/>
        <v>30000</v>
      </c>
      <c r="AA108" s="27">
        <f t="shared" si="53"/>
        <v>0</v>
      </c>
      <c r="AB108" s="10">
        <f t="shared" si="55"/>
        <v>2500</v>
      </c>
      <c r="AC108" s="10">
        <f t="shared" si="55"/>
        <v>2500</v>
      </c>
      <c r="AD108" s="10">
        <f t="shared" si="55"/>
        <v>2500</v>
      </c>
      <c r="AE108" s="10">
        <f t="shared" si="55"/>
        <v>2500</v>
      </c>
      <c r="AF108" s="10">
        <f t="shared" si="55"/>
        <v>2500</v>
      </c>
      <c r="AG108" s="10">
        <f t="shared" si="55"/>
        <v>2500</v>
      </c>
      <c r="AH108" s="10">
        <f t="shared" si="55"/>
        <v>2500</v>
      </c>
      <c r="AI108" s="10">
        <f t="shared" si="55"/>
        <v>2500</v>
      </c>
      <c r="AJ108" s="10">
        <f t="shared" si="55"/>
        <v>2500</v>
      </c>
      <c r="AK108" s="10">
        <f t="shared" si="55"/>
        <v>2500</v>
      </c>
      <c r="AL108" s="10">
        <f t="shared" si="55"/>
        <v>2500</v>
      </c>
      <c r="AM108" s="10">
        <f t="shared" si="55"/>
        <v>2500</v>
      </c>
      <c r="AN108" s="27">
        <f t="shared" si="55"/>
        <v>30000</v>
      </c>
      <c r="AS108" t="str">
        <f>_xlfn.XLOOKUP(AU108,[2]GAE!HZ:HZ,[2]GAE!IA:IA)</f>
        <v>ADMIN SERVICES</v>
      </c>
      <c r="AT108" t="str">
        <f>_xlfn.XLOOKUP(AU108,[2]GAE!HZ:HZ,[2]GAE!IB:IB)</f>
        <v>GAE - Repairs&amp; Maint. - Transportation Equipment</v>
      </c>
      <c r="AU108" t="s">
        <v>360</v>
      </c>
      <c r="AV108">
        <v>80123102</v>
      </c>
      <c r="AW108">
        <v>61061104</v>
      </c>
      <c r="AX108" t="str">
        <f>_xlfn.XLOOKUP(AU108,[2]GAE!HZ:HZ,[2]GAE!IF:IF)</f>
        <v>Others</v>
      </c>
      <c r="AY108" t="str">
        <f>_xlfn.XLOOKUP(AU108,[2]GAE!HZ:HZ,[2]GAE!IG:IG)</f>
        <v>Repairs &amp; Maintenance -  Vehicle</v>
      </c>
      <c r="BC108" t="s">
        <v>23</v>
      </c>
      <c r="BD108" t="s">
        <v>403</v>
      </c>
      <c r="BF108" t="s">
        <v>19</v>
      </c>
      <c r="BG108" t="s">
        <v>23</v>
      </c>
      <c r="BH108" s="10">
        <f>SUMIFS('[1]2026'!$K:$K,'[1]2026'!$T:$T,BD108,'[1]2026'!$S:$S,BH$3,'[1]2026'!$P:$P,AU108)</f>
        <v>0</v>
      </c>
      <c r="BI108" s="10">
        <f>SUMIFS('[1]2026'!$K:$K,'[1]2026'!$T:$T,$BD108,'[1]2026'!$S:$S,BI$3,'[1]2026'!$P:$P,$AU108)</f>
        <v>0</v>
      </c>
      <c r="BJ108" s="10">
        <f>SUMIFS('[1]2026'!$K:$K,'[1]2026'!$T:$T,$BD108,'[1]2026'!$S:$S,BJ$3,'[1]2026'!$P:$P,$AU108)</f>
        <v>10357.14</v>
      </c>
      <c r="BK108" s="10">
        <f>SUMIFS('[1]2026'!$K:$K,'[1]2026'!$T:$T,$BD108,'[1]2026'!$S:$S,BK$3,'[1]2026'!$P:$P,$AU108)</f>
        <v>0</v>
      </c>
      <c r="BL108" s="10">
        <f>SUMIFS('[1]2026'!$K:$K,'[1]2026'!$T:$T,$BD108,'[1]2026'!$S:$S,BL$3,'[1]2026'!$P:$P,$AU108)</f>
        <v>0</v>
      </c>
      <c r="BM108" s="10">
        <f>SUMIFS('[1]2026'!$K:$K,'[1]2026'!$T:$T,$BD108,'[1]2026'!$S:$S,BM$3,'[1]2026'!$P:$P,$AU108)</f>
        <v>0</v>
      </c>
      <c r="BN108" s="10">
        <f>SUMIFS('[1]2026'!$K:$K,'[1]2026'!$T:$T,$BD108,'[1]2026'!$S:$S,BN$3,'[1]2026'!$P:$P,$AU108)</f>
        <v>0</v>
      </c>
      <c r="BO108" s="10">
        <f>SUMIFS('[1]2026'!$K:$K,'[1]2026'!$T:$T,$BD108,'[1]2026'!$S:$S,BO$3,'[1]2026'!$P:$P,$AU108)</f>
        <v>0</v>
      </c>
      <c r="BP108" s="6"/>
      <c r="BQ108" s="6"/>
      <c r="BR108" s="6"/>
      <c r="BS108" s="6"/>
      <c r="BT108" s="6">
        <f t="shared" si="51"/>
        <v>10357.14</v>
      </c>
      <c r="BV108" s="6">
        <f t="shared" si="39"/>
        <v>-2500</v>
      </c>
      <c r="BW108" s="6">
        <f t="shared" si="40"/>
        <v>-2500</v>
      </c>
      <c r="BX108" s="6">
        <f t="shared" si="41"/>
        <v>7857.1399999999994</v>
      </c>
      <c r="BY108" s="6">
        <f t="shared" si="42"/>
        <v>-2500</v>
      </c>
      <c r="BZ108" s="6">
        <f t="shared" si="43"/>
        <v>-2500</v>
      </c>
      <c r="CA108" s="6">
        <f t="shared" si="44"/>
        <v>-2500</v>
      </c>
      <c r="CB108" s="6">
        <f t="shared" si="45"/>
        <v>-2500</v>
      </c>
      <c r="CC108" s="6">
        <f t="shared" si="46"/>
        <v>-2500</v>
      </c>
      <c r="CD108" s="6">
        <f t="shared" si="47"/>
        <v>-2500</v>
      </c>
      <c r="CE108" s="6">
        <f t="shared" si="48"/>
        <v>-2500</v>
      </c>
      <c r="CF108" s="6">
        <f t="shared" si="49"/>
        <v>-2500</v>
      </c>
      <c r="CG108" s="6">
        <f t="shared" si="50"/>
        <v>-2500</v>
      </c>
      <c r="CH108" s="6">
        <f t="shared" si="52"/>
        <v>-19642.86</v>
      </c>
    </row>
    <row r="109" spans="1:86" hidden="1" x14ac:dyDescent="0.35">
      <c r="A109" s="3" t="s">
        <v>404</v>
      </c>
      <c r="B109" s="10">
        <v>2500</v>
      </c>
      <c r="C109" s="10">
        <v>2500</v>
      </c>
      <c r="D109" s="10">
        <v>2500</v>
      </c>
      <c r="E109" s="10">
        <v>2500</v>
      </c>
      <c r="F109" s="10">
        <v>2500</v>
      </c>
      <c r="G109" s="10">
        <v>2500</v>
      </c>
      <c r="H109" s="10">
        <v>2500</v>
      </c>
      <c r="I109" s="10">
        <v>2500</v>
      </c>
      <c r="J109" s="10">
        <v>2500</v>
      </c>
      <c r="K109" s="10">
        <v>2500</v>
      </c>
      <c r="L109" s="10">
        <v>2500</v>
      </c>
      <c r="M109" s="10">
        <v>2500</v>
      </c>
      <c r="N109" s="27">
        <f t="shared" si="56"/>
        <v>30000</v>
      </c>
      <c r="AA109" s="27">
        <f t="shared" si="53"/>
        <v>0</v>
      </c>
      <c r="AB109" s="10">
        <f t="shared" si="55"/>
        <v>2500</v>
      </c>
      <c r="AC109" s="10">
        <f t="shared" si="55"/>
        <v>2500</v>
      </c>
      <c r="AD109" s="10">
        <f t="shared" si="55"/>
        <v>2500</v>
      </c>
      <c r="AE109" s="10">
        <f t="shared" si="55"/>
        <v>2500</v>
      </c>
      <c r="AF109" s="10">
        <f t="shared" si="55"/>
        <v>2500</v>
      </c>
      <c r="AG109" s="10">
        <f t="shared" si="55"/>
        <v>2500</v>
      </c>
      <c r="AH109" s="10">
        <f t="shared" si="55"/>
        <v>2500</v>
      </c>
      <c r="AI109" s="10">
        <f t="shared" si="55"/>
        <v>2500</v>
      </c>
      <c r="AJ109" s="10">
        <f t="shared" si="55"/>
        <v>2500</v>
      </c>
      <c r="AK109" s="10">
        <f t="shared" si="55"/>
        <v>2500</v>
      </c>
      <c r="AL109" s="10">
        <f t="shared" si="55"/>
        <v>2500</v>
      </c>
      <c r="AM109" s="10">
        <f t="shared" si="55"/>
        <v>2500</v>
      </c>
      <c r="AN109" s="27">
        <f t="shared" si="55"/>
        <v>30000</v>
      </c>
      <c r="AS109" t="str">
        <f>_xlfn.XLOOKUP(AU109,[2]GAE!HZ:HZ,[2]GAE!IA:IA)</f>
        <v>ADMIN SERVICES</v>
      </c>
      <c r="AT109" t="str">
        <f>_xlfn.XLOOKUP(AU109,[2]GAE!HZ:HZ,[2]GAE!IB:IB)</f>
        <v>GAE - Repairs&amp; Maint. - Transportation Equipment</v>
      </c>
      <c r="AU109" t="s">
        <v>360</v>
      </c>
      <c r="AV109">
        <v>80123102</v>
      </c>
      <c r="AW109">
        <v>61061104</v>
      </c>
      <c r="AX109" t="str">
        <f>_xlfn.XLOOKUP(AU109,[2]GAE!HZ:HZ,[2]GAE!IF:IF)</f>
        <v>Others</v>
      </c>
      <c r="AY109" t="str">
        <f>_xlfn.XLOOKUP(AU109,[2]GAE!HZ:HZ,[2]GAE!IG:IG)</f>
        <v>Repairs &amp; Maintenance -  Vehicle</v>
      </c>
      <c r="BC109" t="s">
        <v>23</v>
      </c>
      <c r="BD109" s="30" t="s">
        <v>405</v>
      </c>
      <c r="BE109" s="30"/>
      <c r="BF109" t="s">
        <v>19</v>
      </c>
      <c r="BG109" t="s">
        <v>23</v>
      </c>
      <c r="BH109" s="10">
        <f>SUMIFS('[1]2026'!$K:$K,'[1]2026'!$T:$T,BD109,'[1]2026'!$S:$S,BH$3,'[1]2026'!$P:$P,AU109)</f>
        <v>0</v>
      </c>
      <c r="BI109" s="10">
        <f>SUMIFS('[1]2026'!$K:$K,'[1]2026'!$T:$T,$BD109,'[1]2026'!$S:$S,BI$3,'[1]2026'!$P:$P,$AU109)</f>
        <v>0</v>
      </c>
      <c r="BJ109" s="10">
        <f>SUMIFS('[1]2026'!$K:$K,'[1]2026'!$T:$T,$BD109,'[1]2026'!$S:$S,BJ$3,'[1]2026'!$P:$P,$AU109)</f>
        <v>-11964.29</v>
      </c>
      <c r="BK109" s="10">
        <f>SUMIFS('[1]2026'!$K:$K,'[1]2026'!$T:$T,$BD109,'[1]2026'!$S:$S,BK$3,'[1]2026'!$P:$P,$AU109)</f>
        <v>0</v>
      </c>
      <c r="BL109" s="10">
        <f>SUMIFS('[1]2026'!$K:$K,'[1]2026'!$T:$T,$BD109,'[1]2026'!$S:$S,BL$3,'[1]2026'!$P:$P,$AU109)</f>
        <v>0</v>
      </c>
      <c r="BM109" s="10">
        <f>SUMIFS('[1]2026'!$K:$K,'[1]2026'!$T:$T,$BD109,'[1]2026'!$S:$S,BM$3,'[1]2026'!$P:$P,$AU109)</f>
        <v>0</v>
      </c>
      <c r="BN109" s="10">
        <f>SUMIFS('[1]2026'!$K:$K,'[1]2026'!$T:$T,$BD109,'[1]2026'!$S:$S,BN$3,'[1]2026'!$P:$P,$AU109)</f>
        <v>0</v>
      </c>
      <c r="BO109" s="10">
        <f>SUMIFS('[1]2026'!$K:$K,'[1]2026'!$T:$T,$BD109,'[1]2026'!$S:$S,BO$3,'[1]2026'!$P:$P,$AU109)</f>
        <v>0</v>
      </c>
      <c r="BP109" s="6"/>
      <c r="BQ109" s="6"/>
      <c r="BR109" s="6"/>
      <c r="BS109" s="6"/>
      <c r="BT109" s="6">
        <f t="shared" si="51"/>
        <v>-11964.29</v>
      </c>
      <c r="BV109" s="6">
        <f t="shared" si="39"/>
        <v>-2500</v>
      </c>
      <c r="BW109" s="6">
        <f t="shared" si="40"/>
        <v>-2500</v>
      </c>
      <c r="BX109" s="6">
        <f t="shared" si="41"/>
        <v>-14464.29</v>
      </c>
      <c r="BY109" s="6">
        <f t="shared" si="42"/>
        <v>-2500</v>
      </c>
      <c r="BZ109" s="6">
        <f t="shared" si="43"/>
        <v>-2500</v>
      </c>
      <c r="CA109" s="6">
        <f t="shared" si="44"/>
        <v>-2500</v>
      </c>
      <c r="CB109" s="6">
        <f t="shared" si="45"/>
        <v>-2500</v>
      </c>
      <c r="CC109" s="6">
        <f t="shared" si="46"/>
        <v>-2500</v>
      </c>
      <c r="CD109" s="6">
        <f t="shared" si="47"/>
        <v>-2500</v>
      </c>
      <c r="CE109" s="6">
        <f t="shared" si="48"/>
        <v>-2500</v>
      </c>
      <c r="CF109" s="6">
        <f t="shared" si="49"/>
        <v>-2500</v>
      </c>
      <c r="CG109" s="6">
        <f t="shared" si="50"/>
        <v>-2500</v>
      </c>
      <c r="CH109" s="6">
        <f t="shared" si="52"/>
        <v>-41964.29</v>
      </c>
    </row>
    <row r="110" spans="1:86" hidden="1" x14ac:dyDescent="0.35">
      <c r="A110" s="3" t="s">
        <v>406</v>
      </c>
      <c r="B110" s="10">
        <v>2500</v>
      </c>
      <c r="C110" s="10">
        <v>2500</v>
      </c>
      <c r="D110" s="10">
        <v>2500</v>
      </c>
      <c r="E110" s="10">
        <v>2500</v>
      </c>
      <c r="F110" s="10">
        <v>2500</v>
      </c>
      <c r="G110" s="10">
        <v>2500</v>
      </c>
      <c r="H110" s="10">
        <v>2500</v>
      </c>
      <c r="I110" s="10">
        <v>2500</v>
      </c>
      <c r="J110" s="10">
        <v>2500</v>
      </c>
      <c r="K110" s="10">
        <v>2500</v>
      </c>
      <c r="L110" s="10">
        <v>2500</v>
      </c>
      <c r="M110" s="10">
        <v>2500</v>
      </c>
      <c r="N110" s="27">
        <f t="shared" si="56"/>
        <v>30000</v>
      </c>
      <c r="AA110" s="27">
        <f t="shared" si="53"/>
        <v>0</v>
      </c>
      <c r="AB110" s="10">
        <f t="shared" si="55"/>
        <v>2500</v>
      </c>
      <c r="AC110" s="10">
        <f t="shared" si="55"/>
        <v>2500</v>
      </c>
      <c r="AD110" s="10">
        <f t="shared" si="55"/>
        <v>2500</v>
      </c>
      <c r="AE110" s="10">
        <f t="shared" si="55"/>
        <v>2500</v>
      </c>
      <c r="AF110" s="10">
        <f t="shared" si="55"/>
        <v>2500</v>
      </c>
      <c r="AG110" s="10">
        <f t="shared" si="55"/>
        <v>2500</v>
      </c>
      <c r="AH110" s="10">
        <f t="shared" si="55"/>
        <v>2500</v>
      </c>
      <c r="AI110" s="10">
        <f t="shared" si="55"/>
        <v>2500</v>
      </c>
      <c r="AJ110" s="10">
        <f t="shared" si="55"/>
        <v>2500</v>
      </c>
      <c r="AK110" s="10">
        <f t="shared" si="55"/>
        <v>2500</v>
      </c>
      <c r="AL110" s="10">
        <f t="shared" si="55"/>
        <v>2500</v>
      </c>
      <c r="AM110" s="10">
        <f t="shared" si="55"/>
        <v>2500</v>
      </c>
      <c r="AN110" s="27">
        <f t="shared" si="55"/>
        <v>30000</v>
      </c>
      <c r="AS110" t="str">
        <f>_xlfn.XLOOKUP(AU110,[2]GAE!HZ:HZ,[2]GAE!IA:IA)</f>
        <v>ADMIN SERVICES</v>
      </c>
      <c r="AT110" t="str">
        <f>_xlfn.XLOOKUP(AU110,[2]GAE!HZ:HZ,[2]GAE!IB:IB)</f>
        <v>GAE - Repairs&amp; Maint. - Transportation Equipment</v>
      </c>
      <c r="AU110" t="s">
        <v>360</v>
      </c>
      <c r="AV110">
        <v>80123102</v>
      </c>
      <c r="AW110">
        <v>61061104</v>
      </c>
      <c r="AX110" t="str">
        <f>_xlfn.XLOOKUP(AU110,[2]GAE!HZ:HZ,[2]GAE!IF:IF)</f>
        <v>Others</v>
      </c>
      <c r="AY110" t="str">
        <f>_xlfn.XLOOKUP(AU110,[2]GAE!HZ:HZ,[2]GAE!IG:IG)</f>
        <v>Repairs &amp; Maintenance -  Vehicle</v>
      </c>
      <c r="BC110" t="s">
        <v>23</v>
      </c>
      <c r="BD110" s="30" t="s">
        <v>407</v>
      </c>
      <c r="BE110" s="30"/>
      <c r="BF110" t="s">
        <v>19</v>
      </c>
      <c r="BG110" t="s">
        <v>23</v>
      </c>
      <c r="BH110" s="10">
        <f>SUMIFS('[1]2026'!$K:$K,'[1]2026'!$T:$T,BD110,'[1]2026'!$S:$S,BH$3,'[1]2026'!$P:$P,AU110)</f>
        <v>0</v>
      </c>
      <c r="BI110" s="10">
        <f>SUMIFS('[1]2026'!$K:$K,'[1]2026'!$T:$T,$BD110,'[1]2026'!$S:$S,BI$3,'[1]2026'!$P:$P,$AU110)</f>
        <v>0</v>
      </c>
      <c r="BJ110" s="10">
        <f>SUMIFS('[1]2026'!$K:$K,'[1]2026'!$T:$T,$BD110,'[1]2026'!$S:$S,BJ$3,'[1]2026'!$P:$P,$AU110)</f>
        <v>19135.95</v>
      </c>
      <c r="BK110" s="10">
        <f>SUMIFS('[1]2026'!$K:$K,'[1]2026'!$T:$T,$BD110,'[1]2026'!$S:$S,BK$3,'[1]2026'!$P:$P,$AU110)</f>
        <v>0</v>
      </c>
      <c r="BL110" s="10">
        <f>SUMIFS('[1]2026'!$K:$K,'[1]2026'!$T:$T,$BD110,'[1]2026'!$S:$S,BL$3,'[1]2026'!$P:$P,$AU110)</f>
        <v>0</v>
      </c>
      <c r="BM110" s="10">
        <f>SUMIFS('[1]2026'!$K:$K,'[1]2026'!$T:$T,$BD110,'[1]2026'!$S:$S,BM$3,'[1]2026'!$P:$P,$AU110)</f>
        <v>0</v>
      </c>
      <c r="BN110" s="10">
        <f>SUMIFS('[1]2026'!$K:$K,'[1]2026'!$T:$T,$BD110,'[1]2026'!$S:$S,BN$3,'[1]2026'!$P:$P,$AU110)</f>
        <v>0</v>
      </c>
      <c r="BO110" s="10">
        <f>SUMIFS('[1]2026'!$K:$K,'[1]2026'!$T:$T,$BD110,'[1]2026'!$S:$S,BO$3,'[1]2026'!$P:$P,$AU110)</f>
        <v>0</v>
      </c>
      <c r="BP110" s="6"/>
      <c r="BQ110" s="6"/>
      <c r="BR110" s="6"/>
      <c r="BS110" s="6"/>
      <c r="BT110" s="6">
        <f t="shared" si="51"/>
        <v>19135.95</v>
      </c>
      <c r="BV110" s="6">
        <f t="shared" si="39"/>
        <v>-2500</v>
      </c>
      <c r="BW110" s="6">
        <f t="shared" si="40"/>
        <v>-2500</v>
      </c>
      <c r="BX110" s="6">
        <f t="shared" si="41"/>
        <v>16635.95</v>
      </c>
      <c r="BY110" s="6">
        <f t="shared" si="42"/>
        <v>-2500</v>
      </c>
      <c r="BZ110" s="6">
        <f t="shared" si="43"/>
        <v>-2500</v>
      </c>
      <c r="CA110" s="6">
        <f t="shared" si="44"/>
        <v>-2500</v>
      </c>
      <c r="CB110" s="6">
        <f t="shared" si="45"/>
        <v>-2500</v>
      </c>
      <c r="CC110" s="6">
        <f t="shared" si="46"/>
        <v>-2500</v>
      </c>
      <c r="CD110" s="6">
        <f t="shared" si="47"/>
        <v>-2500</v>
      </c>
      <c r="CE110" s="6">
        <f t="shared" si="48"/>
        <v>-2500</v>
      </c>
      <c r="CF110" s="6">
        <f t="shared" si="49"/>
        <v>-2500</v>
      </c>
      <c r="CG110" s="6">
        <f t="shared" si="50"/>
        <v>-2500</v>
      </c>
      <c r="CH110" s="6">
        <f t="shared" si="52"/>
        <v>-10864.05</v>
      </c>
    </row>
    <row r="111" spans="1:86" hidden="1" x14ac:dyDescent="0.35">
      <c r="A111" s="3" t="s">
        <v>408</v>
      </c>
      <c r="B111" s="10">
        <v>2500</v>
      </c>
      <c r="C111" s="10">
        <v>2500</v>
      </c>
      <c r="D111" s="10">
        <v>2500</v>
      </c>
      <c r="E111" s="10">
        <v>2500</v>
      </c>
      <c r="F111" s="10">
        <v>2500</v>
      </c>
      <c r="G111" s="10">
        <v>2500</v>
      </c>
      <c r="H111" s="10">
        <v>2500</v>
      </c>
      <c r="I111" s="10">
        <v>2500</v>
      </c>
      <c r="J111" s="10">
        <v>2500</v>
      </c>
      <c r="K111" s="10">
        <v>2500</v>
      </c>
      <c r="L111" s="10">
        <v>2500</v>
      </c>
      <c r="M111" s="10">
        <v>2500</v>
      </c>
      <c r="N111" s="27">
        <f t="shared" si="56"/>
        <v>30000</v>
      </c>
      <c r="AA111" s="27">
        <f t="shared" si="53"/>
        <v>0</v>
      </c>
      <c r="AB111" s="10">
        <f t="shared" si="55"/>
        <v>2500</v>
      </c>
      <c r="AC111" s="10">
        <f t="shared" si="55"/>
        <v>2500</v>
      </c>
      <c r="AD111" s="10">
        <f t="shared" si="55"/>
        <v>2500</v>
      </c>
      <c r="AE111" s="10">
        <f t="shared" si="55"/>
        <v>2500</v>
      </c>
      <c r="AF111" s="10">
        <f t="shared" si="55"/>
        <v>2500</v>
      </c>
      <c r="AG111" s="10">
        <f t="shared" si="55"/>
        <v>2500</v>
      </c>
      <c r="AH111" s="10">
        <f t="shared" si="55"/>
        <v>2500</v>
      </c>
      <c r="AI111" s="10">
        <f t="shared" si="55"/>
        <v>2500</v>
      </c>
      <c r="AJ111" s="10">
        <f t="shared" si="55"/>
        <v>2500</v>
      </c>
      <c r="AK111" s="10">
        <f t="shared" si="55"/>
        <v>2500</v>
      </c>
      <c r="AL111" s="10">
        <f t="shared" si="55"/>
        <v>2500</v>
      </c>
      <c r="AM111" s="10">
        <f t="shared" si="55"/>
        <v>2500</v>
      </c>
      <c r="AN111" s="27">
        <f t="shared" si="55"/>
        <v>30000</v>
      </c>
      <c r="AS111" t="str">
        <f>_xlfn.XLOOKUP(AU111,[2]GAE!HZ:HZ,[2]GAE!IA:IA)</f>
        <v>ADMIN SERVICES</v>
      </c>
      <c r="AT111" t="str">
        <f>_xlfn.XLOOKUP(AU111,[2]GAE!HZ:HZ,[2]GAE!IB:IB)</f>
        <v>GAE - Repairs&amp; Maint. - Transportation Equipment</v>
      </c>
      <c r="AU111" t="s">
        <v>360</v>
      </c>
      <c r="AV111">
        <v>80123102</v>
      </c>
      <c r="AW111">
        <v>61061104</v>
      </c>
      <c r="AX111" t="str">
        <f>_xlfn.XLOOKUP(AU111,[2]GAE!HZ:HZ,[2]GAE!IF:IF)</f>
        <v>Others</v>
      </c>
      <c r="AY111" t="str">
        <f>_xlfn.XLOOKUP(AU111,[2]GAE!HZ:HZ,[2]GAE!IG:IG)</f>
        <v>Repairs &amp; Maintenance -  Vehicle</v>
      </c>
      <c r="BC111" t="s">
        <v>23</v>
      </c>
      <c r="BD111" s="30" t="s">
        <v>409</v>
      </c>
      <c r="BE111" s="30"/>
      <c r="BF111" t="s">
        <v>19</v>
      </c>
      <c r="BG111" t="s">
        <v>23</v>
      </c>
      <c r="BH111" s="10">
        <f>SUMIFS('[1]2026'!$K:$K,'[1]2026'!$T:$T,BD111,'[1]2026'!$S:$S,BH$3,'[1]2026'!$P:$P,AU111)</f>
        <v>0</v>
      </c>
      <c r="BI111" s="10">
        <f>SUMIFS('[1]2026'!$K:$K,'[1]2026'!$T:$T,$BD111,'[1]2026'!$S:$S,BI$3,'[1]2026'!$P:$P,$AU111)</f>
        <v>7399.88</v>
      </c>
      <c r="BJ111" s="10">
        <f>SUMIFS('[1]2026'!$K:$K,'[1]2026'!$T:$T,$BD111,'[1]2026'!$S:$S,BJ$3,'[1]2026'!$P:$P,$AU111)</f>
        <v>0</v>
      </c>
      <c r="BK111" s="10">
        <f>SUMIFS('[1]2026'!$K:$K,'[1]2026'!$T:$T,$BD111,'[1]2026'!$S:$S,BK$3,'[1]2026'!$P:$P,$AU111)</f>
        <v>0</v>
      </c>
      <c r="BL111" s="10">
        <f>SUMIFS('[1]2026'!$K:$K,'[1]2026'!$T:$T,$BD111,'[1]2026'!$S:$S,BL$3,'[1]2026'!$P:$P,$AU111)</f>
        <v>0</v>
      </c>
      <c r="BM111" s="10">
        <f>SUMIFS('[1]2026'!$K:$K,'[1]2026'!$T:$T,$BD111,'[1]2026'!$S:$S,BM$3,'[1]2026'!$P:$P,$AU111)</f>
        <v>0</v>
      </c>
      <c r="BN111" s="10">
        <f>SUMIFS('[1]2026'!$K:$K,'[1]2026'!$T:$T,$BD111,'[1]2026'!$S:$S,BN$3,'[1]2026'!$P:$P,$AU111)</f>
        <v>0</v>
      </c>
      <c r="BO111" s="10">
        <f>SUMIFS('[1]2026'!$K:$K,'[1]2026'!$T:$T,$BD111,'[1]2026'!$S:$S,BO$3,'[1]2026'!$P:$P,$AU111)</f>
        <v>0</v>
      </c>
      <c r="BP111" s="6"/>
      <c r="BQ111" s="6"/>
      <c r="BR111" s="6"/>
      <c r="BS111" s="6"/>
      <c r="BT111" s="6">
        <f t="shared" si="51"/>
        <v>7399.88</v>
      </c>
      <c r="BV111" s="6">
        <f t="shared" si="39"/>
        <v>-2500</v>
      </c>
      <c r="BW111" s="6">
        <f t="shared" si="40"/>
        <v>4899.88</v>
      </c>
      <c r="BX111" s="6">
        <f t="shared" si="41"/>
        <v>-2500</v>
      </c>
      <c r="BY111" s="6">
        <f t="shared" si="42"/>
        <v>-2500</v>
      </c>
      <c r="BZ111" s="6">
        <f t="shared" si="43"/>
        <v>-2500</v>
      </c>
      <c r="CA111" s="6">
        <f t="shared" si="44"/>
        <v>-2500</v>
      </c>
      <c r="CB111" s="6">
        <f t="shared" si="45"/>
        <v>-2500</v>
      </c>
      <c r="CC111" s="6">
        <f t="shared" si="46"/>
        <v>-2500</v>
      </c>
      <c r="CD111" s="6">
        <f t="shared" si="47"/>
        <v>-2500</v>
      </c>
      <c r="CE111" s="6">
        <f t="shared" si="48"/>
        <v>-2500</v>
      </c>
      <c r="CF111" s="6">
        <f t="shared" si="49"/>
        <v>-2500</v>
      </c>
      <c r="CG111" s="6">
        <f t="shared" si="50"/>
        <v>-2500</v>
      </c>
      <c r="CH111" s="6">
        <f t="shared" si="52"/>
        <v>-22600.12</v>
      </c>
    </row>
    <row r="112" spans="1:86" hidden="1" x14ac:dyDescent="0.35">
      <c r="A112" s="3" t="s">
        <v>406</v>
      </c>
      <c r="B112" s="10">
        <v>2500</v>
      </c>
      <c r="C112" s="10">
        <v>2500</v>
      </c>
      <c r="D112" s="10">
        <v>2500</v>
      </c>
      <c r="E112" s="10">
        <v>2500</v>
      </c>
      <c r="F112" s="10">
        <v>2500</v>
      </c>
      <c r="G112" s="10">
        <v>2500</v>
      </c>
      <c r="H112" s="10">
        <v>2500</v>
      </c>
      <c r="I112" s="10">
        <v>2500</v>
      </c>
      <c r="J112" s="10">
        <v>2500</v>
      </c>
      <c r="K112" s="10">
        <v>2500</v>
      </c>
      <c r="L112" s="10">
        <v>2500</v>
      </c>
      <c r="M112" s="10">
        <v>2500</v>
      </c>
      <c r="N112" s="27">
        <f t="shared" si="56"/>
        <v>30000</v>
      </c>
      <c r="AA112" s="27">
        <f t="shared" si="53"/>
        <v>0</v>
      </c>
      <c r="AB112" s="10">
        <f t="shared" si="55"/>
        <v>2500</v>
      </c>
      <c r="AC112" s="10">
        <f t="shared" si="55"/>
        <v>2500</v>
      </c>
      <c r="AD112" s="10">
        <f t="shared" si="55"/>
        <v>2500</v>
      </c>
      <c r="AE112" s="10">
        <f t="shared" si="55"/>
        <v>2500</v>
      </c>
      <c r="AF112" s="10">
        <f t="shared" si="55"/>
        <v>2500</v>
      </c>
      <c r="AG112" s="10">
        <f t="shared" si="55"/>
        <v>2500</v>
      </c>
      <c r="AH112" s="10">
        <f t="shared" si="55"/>
        <v>2500</v>
      </c>
      <c r="AI112" s="10">
        <f t="shared" si="55"/>
        <v>2500</v>
      </c>
      <c r="AJ112" s="10">
        <f t="shared" si="55"/>
        <v>2500</v>
      </c>
      <c r="AK112" s="10">
        <f t="shared" si="55"/>
        <v>2500</v>
      </c>
      <c r="AL112" s="10">
        <f t="shared" si="55"/>
        <v>2500</v>
      </c>
      <c r="AM112" s="10">
        <f t="shared" si="55"/>
        <v>2500</v>
      </c>
      <c r="AN112" s="27">
        <f t="shared" si="55"/>
        <v>30000</v>
      </c>
      <c r="AS112" t="str">
        <f>_xlfn.XLOOKUP(AU112,[2]GAE!HZ:HZ,[2]GAE!IA:IA)</f>
        <v>ADMIN SERVICES</v>
      </c>
      <c r="AT112" t="str">
        <f>_xlfn.XLOOKUP(AU112,[2]GAE!HZ:HZ,[2]GAE!IB:IB)</f>
        <v>GAE - Repairs&amp; Maint. - Transportation Equipment</v>
      </c>
      <c r="AU112" t="s">
        <v>360</v>
      </c>
      <c r="AV112">
        <v>80123102</v>
      </c>
      <c r="AW112">
        <v>61061104</v>
      </c>
      <c r="AX112" t="str">
        <f>_xlfn.XLOOKUP(AU112,[2]GAE!HZ:HZ,[2]GAE!IF:IF)</f>
        <v>Others</v>
      </c>
      <c r="AY112" t="str">
        <f>_xlfn.XLOOKUP(AU112,[2]GAE!HZ:HZ,[2]GAE!IG:IG)</f>
        <v>Repairs &amp; Maintenance -  Vehicle</v>
      </c>
      <c r="BC112" t="s">
        <v>23</v>
      </c>
      <c r="BD112" s="30" t="s">
        <v>410</v>
      </c>
      <c r="BE112" s="30"/>
      <c r="BF112" t="s">
        <v>19</v>
      </c>
      <c r="BG112" t="s">
        <v>23</v>
      </c>
      <c r="BH112" s="10">
        <f>SUMIFS('[1]2026'!$K:$K,'[1]2026'!$T:$T,BD112,'[1]2026'!$S:$S,BH$3,'[1]2026'!$P:$P,AU112)</f>
        <v>0</v>
      </c>
      <c r="BI112" s="10">
        <f>SUMIFS('[1]2026'!$K:$K,'[1]2026'!$T:$T,$BD112,'[1]2026'!$S:$S,BI$3,'[1]2026'!$P:$P,$AU112)</f>
        <v>18090.91</v>
      </c>
      <c r="BJ112" s="10">
        <f>SUMIFS('[1]2026'!$K:$K,'[1]2026'!$T:$T,$BD112,'[1]2026'!$S:$S,BJ$3,'[1]2026'!$P:$P,$AU112)</f>
        <v>0</v>
      </c>
      <c r="BK112" s="10">
        <f>SUMIFS('[1]2026'!$K:$K,'[1]2026'!$T:$T,$BD112,'[1]2026'!$S:$S,BK$3,'[1]2026'!$P:$P,$AU112)</f>
        <v>0</v>
      </c>
      <c r="BL112" s="10">
        <f>SUMIFS('[1]2026'!$K:$K,'[1]2026'!$T:$T,$BD112,'[1]2026'!$S:$S,BL$3,'[1]2026'!$P:$P,$AU112)</f>
        <v>0</v>
      </c>
      <c r="BM112" s="10">
        <f>SUMIFS('[1]2026'!$K:$K,'[1]2026'!$T:$T,$BD112,'[1]2026'!$S:$S,BM$3,'[1]2026'!$P:$P,$AU112)</f>
        <v>0</v>
      </c>
      <c r="BN112" s="10">
        <f>SUMIFS('[1]2026'!$K:$K,'[1]2026'!$T:$T,$BD112,'[1]2026'!$S:$S,BN$3,'[1]2026'!$P:$P,$AU112)</f>
        <v>0</v>
      </c>
      <c r="BO112" s="10">
        <f>SUMIFS('[1]2026'!$K:$K,'[1]2026'!$T:$T,$BD112,'[1]2026'!$S:$S,BO$3,'[1]2026'!$P:$P,$AU112)</f>
        <v>0</v>
      </c>
      <c r="BP112" s="6"/>
      <c r="BQ112" s="6"/>
      <c r="BR112" s="6"/>
      <c r="BS112" s="6"/>
      <c r="BT112" s="6">
        <f t="shared" si="51"/>
        <v>18090.91</v>
      </c>
      <c r="BV112" s="6">
        <f t="shared" si="39"/>
        <v>-2500</v>
      </c>
      <c r="BW112" s="6">
        <f t="shared" si="40"/>
        <v>15590.91</v>
      </c>
      <c r="BX112" s="6">
        <f t="shared" si="41"/>
        <v>-2500</v>
      </c>
      <c r="BY112" s="6">
        <f t="shared" si="42"/>
        <v>-2500</v>
      </c>
      <c r="BZ112" s="6">
        <f t="shared" si="43"/>
        <v>-2500</v>
      </c>
      <c r="CA112" s="6">
        <f t="shared" si="44"/>
        <v>-2500</v>
      </c>
      <c r="CB112" s="6">
        <f t="shared" si="45"/>
        <v>-2500</v>
      </c>
      <c r="CC112" s="6">
        <f t="shared" si="46"/>
        <v>-2500</v>
      </c>
      <c r="CD112" s="6">
        <f t="shared" si="47"/>
        <v>-2500</v>
      </c>
      <c r="CE112" s="6">
        <f t="shared" si="48"/>
        <v>-2500</v>
      </c>
      <c r="CF112" s="6">
        <f t="shared" si="49"/>
        <v>-2500</v>
      </c>
      <c r="CG112" s="6">
        <f t="shared" si="50"/>
        <v>-2500</v>
      </c>
      <c r="CH112" s="6">
        <f t="shared" si="52"/>
        <v>-11909.09</v>
      </c>
    </row>
    <row r="113" spans="1:86" hidden="1" x14ac:dyDescent="0.35">
      <c r="A113" s="3" t="s">
        <v>411</v>
      </c>
      <c r="B113" s="10">
        <v>2500</v>
      </c>
      <c r="C113" s="10">
        <v>2500</v>
      </c>
      <c r="D113" s="10">
        <v>2500</v>
      </c>
      <c r="E113" s="10">
        <v>2500</v>
      </c>
      <c r="F113" s="10">
        <v>2500</v>
      </c>
      <c r="G113" s="10">
        <v>2500</v>
      </c>
      <c r="H113" s="10">
        <v>2500</v>
      </c>
      <c r="I113" s="10">
        <v>2500</v>
      </c>
      <c r="J113" s="10">
        <v>2500</v>
      </c>
      <c r="K113" s="10">
        <v>2500</v>
      </c>
      <c r="L113" s="10">
        <v>2500</v>
      </c>
      <c r="M113" s="10">
        <v>2500</v>
      </c>
      <c r="N113" s="27">
        <f t="shared" si="56"/>
        <v>30000</v>
      </c>
      <c r="AA113" s="27">
        <f t="shared" si="53"/>
        <v>0</v>
      </c>
      <c r="AB113" s="10">
        <f t="shared" si="55"/>
        <v>2500</v>
      </c>
      <c r="AC113" s="10">
        <f t="shared" si="55"/>
        <v>2500</v>
      </c>
      <c r="AD113" s="10">
        <f t="shared" si="55"/>
        <v>2500</v>
      </c>
      <c r="AE113" s="10">
        <f t="shared" si="55"/>
        <v>2500</v>
      </c>
      <c r="AF113" s="10">
        <f t="shared" si="55"/>
        <v>2500</v>
      </c>
      <c r="AG113" s="10">
        <f t="shared" si="55"/>
        <v>2500</v>
      </c>
      <c r="AH113" s="10">
        <f t="shared" si="55"/>
        <v>2500</v>
      </c>
      <c r="AI113" s="10">
        <f t="shared" si="55"/>
        <v>2500</v>
      </c>
      <c r="AJ113" s="10">
        <f t="shared" ref="AI113:AN167" si="57">J113-W113</f>
        <v>2500</v>
      </c>
      <c r="AK113" s="10">
        <f t="shared" si="57"/>
        <v>2500</v>
      </c>
      <c r="AL113" s="10">
        <f t="shared" si="57"/>
        <v>2500</v>
      </c>
      <c r="AM113" s="10">
        <f t="shared" si="57"/>
        <v>2500</v>
      </c>
      <c r="AN113" s="27">
        <f t="shared" si="57"/>
        <v>30000</v>
      </c>
      <c r="AS113" t="str">
        <f>_xlfn.XLOOKUP(AU113,[2]GAE!HZ:HZ,[2]GAE!IA:IA)</f>
        <v>ADMIN SERVICES</v>
      </c>
      <c r="AT113" t="str">
        <f>_xlfn.XLOOKUP(AU113,[2]GAE!HZ:HZ,[2]GAE!IB:IB)</f>
        <v>GAE - Repairs&amp; Maint. - Transportation Equipment</v>
      </c>
      <c r="AU113" t="s">
        <v>360</v>
      </c>
      <c r="AV113">
        <v>80123102</v>
      </c>
      <c r="AW113">
        <v>61061104</v>
      </c>
      <c r="AX113" t="str">
        <f>_xlfn.XLOOKUP(AU113,[2]GAE!HZ:HZ,[2]GAE!IF:IF)</f>
        <v>Others</v>
      </c>
      <c r="AY113" t="str">
        <f>_xlfn.XLOOKUP(AU113,[2]GAE!HZ:HZ,[2]GAE!IG:IG)</f>
        <v>Repairs &amp; Maintenance -  Vehicle</v>
      </c>
      <c r="BC113" t="s">
        <v>23</v>
      </c>
      <c r="BD113" t="s">
        <v>412</v>
      </c>
      <c r="BF113" t="s">
        <v>19</v>
      </c>
      <c r="BG113" t="s">
        <v>23</v>
      </c>
      <c r="BH113" s="10">
        <f>SUMIFS('[1]2026'!$K:$K,'[1]2026'!$T:$T,BD113,'[1]2026'!$S:$S,BH$3,'[1]2026'!$P:$P,AU113)</f>
        <v>6700</v>
      </c>
      <c r="BI113" s="10">
        <f>SUMIFS('[1]2026'!$K:$K,'[1]2026'!$T:$T,$BD113,'[1]2026'!$S:$S,BI$3,'[1]2026'!$P:$P,$AU113)</f>
        <v>0</v>
      </c>
      <c r="BJ113" s="10">
        <f>SUMIFS('[1]2026'!$K:$K,'[1]2026'!$T:$T,$BD113,'[1]2026'!$S:$S,BJ$3,'[1]2026'!$P:$P,$AU113)</f>
        <v>0</v>
      </c>
      <c r="BK113" s="10">
        <f>SUMIFS('[1]2026'!$K:$K,'[1]2026'!$T:$T,$BD113,'[1]2026'!$S:$S,BK$3,'[1]2026'!$P:$P,$AU113)</f>
        <v>0</v>
      </c>
      <c r="BL113" s="10">
        <f>SUMIFS('[1]2026'!$K:$K,'[1]2026'!$T:$T,$BD113,'[1]2026'!$S:$S,BL$3,'[1]2026'!$P:$P,$AU113)</f>
        <v>0</v>
      </c>
      <c r="BM113" s="10">
        <f>SUMIFS('[1]2026'!$K:$K,'[1]2026'!$T:$T,$BD113,'[1]2026'!$S:$S,BM$3,'[1]2026'!$P:$P,$AU113)</f>
        <v>0</v>
      </c>
      <c r="BN113" s="10">
        <f>SUMIFS('[1]2026'!$K:$K,'[1]2026'!$T:$T,$BD113,'[1]2026'!$S:$S,BN$3,'[1]2026'!$P:$P,$AU113)</f>
        <v>0</v>
      </c>
      <c r="BO113" s="10">
        <f>SUMIFS('[1]2026'!$K:$K,'[1]2026'!$T:$T,$BD113,'[1]2026'!$S:$S,BO$3,'[1]2026'!$P:$P,$AU113)</f>
        <v>0</v>
      </c>
      <c r="BP113" s="6"/>
      <c r="BQ113" s="6"/>
      <c r="BR113" s="6"/>
      <c r="BS113" s="6"/>
      <c r="BT113" s="6">
        <f t="shared" si="51"/>
        <v>6700</v>
      </c>
      <c r="BV113" s="6">
        <f t="shared" si="39"/>
        <v>4200</v>
      </c>
      <c r="BW113" s="6">
        <f t="shared" si="40"/>
        <v>-2500</v>
      </c>
      <c r="BX113" s="6">
        <f t="shared" si="41"/>
        <v>-2500</v>
      </c>
      <c r="BY113" s="6">
        <f t="shared" si="42"/>
        <v>-2500</v>
      </c>
      <c r="BZ113" s="6">
        <f t="shared" si="43"/>
        <v>-2500</v>
      </c>
      <c r="CA113" s="6">
        <f t="shared" si="44"/>
        <v>-2500</v>
      </c>
      <c r="CB113" s="6">
        <f t="shared" si="45"/>
        <v>-2500</v>
      </c>
      <c r="CC113" s="6">
        <f t="shared" si="46"/>
        <v>-2500</v>
      </c>
      <c r="CD113" s="6">
        <f t="shared" si="47"/>
        <v>-2500</v>
      </c>
      <c r="CE113" s="6">
        <f t="shared" si="48"/>
        <v>-2500</v>
      </c>
      <c r="CF113" s="6">
        <f t="shared" si="49"/>
        <v>-2500</v>
      </c>
      <c r="CG113" s="6">
        <f t="shared" si="50"/>
        <v>-2500</v>
      </c>
      <c r="CH113" s="6">
        <f t="shared" si="52"/>
        <v>-23300</v>
      </c>
    </row>
    <row r="114" spans="1:86" hidden="1" x14ac:dyDescent="0.35">
      <c r="AN114" s="27">
        <f>N114-AA114</f>
        <v>0</v>
      </c>
      <c r="AS114" t="str">
        <f>_xlfn.XLOOKUP(AU114,[2]GAE!HZ:HZ,[2]GAE!IA:IA)</f>
        <v>ADMIN SERVICES</v>
      </c>
      <c r="AT114" t="str">
        <f>_xlfn.XLOOKUP(AU114,[2]GAE!HZ:HZ,[2]GAE!IB:IB)</f>
        <v>DOE - Repairs &amp; Maint. - Transportation</v>
      </c>
      <c r="AU114" s="2" t="s">
        <v>413</v>
      </c>
      <c r="AV114" s="2">
        <v>81123102</v>
      </c>
      <c r="AW114" s="2">
        <v>52061105</v>
      </c>
      <c r="AX114" t="str">
        <f>_xlfn.XLOOKUP(AU114,[2]GAE!HZ:HZ,[2]GAE!IF:IF)</f>
        <v>Others</v>
      </c>
      <c r="AY114" t="str">
        <f>_xlfn.XLOOKUP(AU114,[2]GAE!HZ:HZ,[2]GAE!IG:IG)</f>
        <v>Repairs &amp; Maintenance</v>
      </c>
      <c r="BD114" t="s">
        <v>361</v>
      </c>
      <c r="BF114" t="s">
        <v>19</v>
      </c>
      <c r="BG114" t="s">
        <v>23</v>
      </c>
      <c r="BL114" s="10">
        <f>SUMIFS('[1]2026'!$K:$K,'[1]2026'!$T:$T,$BD114,'[1]2026'!$S:$S,BL$3,'[1]2026'!$P:$P,$AU114)</f>
        <v>10250</v>
      </c>
      <c r="BM114" s="10">
        <f>SUMIFS('[1]2026'!$K:$K,'[1]2026'!$T:$T,$BD114,'[1]2026'!$S:$S,BM$3,'[1]2026'!$P:$P,$AU114)</f>
        <v>400</v>
      </c>
      <c r="BN114" s="10">
        <f>SUMIFS('[1]2026'!$K:$K,'[1]2026'!$T:$T,$BD114,'[1]2026'!$S:$S,BN$3,'[1]2026'!$P:$P,$AU114)</f>
        <v>0</v>
      </c>
      <c r="BO114" s="10">
        <f>SUMIFS('[1]2026'!$K:$K,'[1]2026'!$T:$T,$BD114,'[1]2026'!$S:$S,BO$3,'[1]2026'!$P:$P,$AU114)</f>
        <v>4492</v>
      </c>
      <c r="BP114" s="6"/>
      <c r="BQ114" s="6"/>
      <c r="BR114" s="6"/>
      <c r="BS114" s="6"/>
      <c r="BT114" s="6">
        <f t="shared" si="51"/>
        <v>15142</v>
      </c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>
        <f t="shared" si="52"/>
        <v>15142</v>
      </c>
    </row>
    <row r="115" spans="1:86" hidden="1" x14ac:dyDescent="0.35">
      <c r="A115" s="3" t="s">
        <v>414</v>
      </c>
      <c r="C115" s="10">
        <v>15000</v>
      </c>
      <c r="N115" s="27">
        <f t="shared" si="56"/>
        <v>15000</v>
      </c>
      <c r="AA115" s="27">
        <f t="shared" si="53"/>
        <v>0</v>
      </c>
      <c r="AB115" s="10">
        <f t="shared" ref="AB115:AJ147" si="58">B115-O115</f>
        <v>0</v>
      </c>
      <c r="AC115" s="10">
        <f t="shared" si="58"/>
        <v>15000</v>
      </c>
      <c r="AD115" s="10">
        <f t="shared" si="58"/>
        <v>0</v>
      </c>
      <c r="AE115" s="10">
        <f t="shared" si="58"/>
        <v>0</v>
      </c>
      <c r="AF115" s="10">
        <f t="shared" si="58"/>
        <v>0</v>
      </c>
      <c r="AG115" s="10">
        <f t="shared" si="58"/>
        <v>0</v>
      </c>
      <c r="AH115" s="10">
        <f t="shared" si="58"/>
        <v>0</v>
      </c>
      <c r="AI115" s="10">
        <f t="shared" si="57"/>
        <v>0</v>
      </c>
      <c r="AJ115" s="10">
        <f t="shared" si="57"/>
        <v>0</v>
      </c>
      <c r="AK115" s="10">
        <f t="shared" si="57"/>
        <v>0</v>
      </c>
      <c r="AL115" s="10">
        <f t="shared" si="57"/>
        <v>0</v>
      </c>
      <c r="AM115" s="10">
        <f t="shared" si="57"/>
        <v>0</v>
      </c>
      <c r="AN115" s="27">
        <f t="shared" si="57"/>
        <v>15000</v>
      </c>
      <c r="AO115" s="28">
        <v>978347.57000000007</v>
      </c>
      <c r="AS115" t="str">
        <f>_xlfn.XLOOKUP(AU115,[2]GAE!HZ:HZ,[2]GAE!IA:IA)</f>
        <v>ADMIN SERVICES</v>
      </c>
      <c r="AT115" t="str">
        <f>_xlfn.XLOOKUP(AU115,[2]GAE!HZ:HZ,[2]GAE!IB:IB)</f>
        <v>DOE - Insurance - Motor Car</v>
      </c>
      <c r="AU115" t="s">
        <v>415</v>
      </c>
      <c r="AV115">
        <v>81123102</v>
      </c>
      <c r="AW115">
        <v>52101112</v>
      </c>
      <c r="AX115" t="str">
        <f>_xlfn.XLOOKUP(AU115,[2]GAE!HZ:HZ,[2]GAE!IF:IF)</f>
        <v>Others</v>
      </c>
      <c r="AY115" t="str">
        <f>_xlfn.XLOOKUP(AU115,[2]GAE!HZ:HZ,[2]GAE!IG:IG)</f>
        <v>Insurance</v>
      </c>
      <c r="BC115" t="s">
        <v>24</v>
      </c>
      <c r="BD115" t="s">
        <v>416</v>
      </c>
      <c r="BF115" t="s">
        <v>24</v>
      </c>
      <c r="BG115" s="2" t="s">
        <v>24</v>
      </c>
      <c r="BH115" s="10">
        <f>SUMIFS('[1]2026'!$K:$K,'[1]2026'!$T:$T,BD115,'[1]2026'!$S:$S,BH$3,'[1]2026'!$P:$P,AU115)</f>
        <v>0</v>
      </c>
      <c r="BI115" s="10">
        <f>SUMIFS('[1]2026'!$K:$K,'[1]2026'!$T:$T,$BD115,'[1]2026'!$S:$S,BI$3,'[1]2026'!$P:$P,$AU115)</f>
        <v>400.16</v>
      </c>
      <c r="BJ115" s="10">
        <f>SUMIFS('[1]2026'!$K:$K,'[1]2026'!$T:$T,$BD115,'[1]2026'!$S:$S,BJ$3,'[1]2026'!$P:$P,$AU115)</f>
        <v>0</v>
      </c>
      <c r="BK115" s="10">
        <f>SUMIFS('[1]2026'!$K:$K,'[1]2026'!$T:$T,$BD115,'[1]2026'!$S:$S,BK$3,'[1]2026'!$P:$P,$AU115)</f>
        <v>11768.15</v>
      </c>
      <c r="BL115" s="10">
        <f>SUMIFS('[1]2026'!$K:$K,'[1]2026'!$T:$T,$BD115,'[1]2026'!$S:$S,BL$3,'[1]2026'!$P:$P,$AU115)</f>
        <v>0</v>
      </c>
      <c r="BM115" s="10">
        <f>SUMIFS('[1]2026'!$K:$K,'[1]2026'!$T:$T,$BD115,'[1]2026'!$S:$S,BM$3,'[1]2026'!$P:$P,$AU115)</f>
        <v>37755.71</v>
      </c>
      <c r="BN115" s="10">
        <f>SUMIFS('[1]2026'!$K:$K,'[1]2026'!$T:$T,$BD115,'[1]2026'!$S:$S,BN$3,'[1]2026'!$P:$P,$AU115)</f>
        <v>0</v>
      </c>
      <c r="BO115" s="10">
        <f>SUMIFS('[1]2026'!$K:$K,'[1]2026'!$T:$T,$BD115,'[1]2026'!$S:$S,BO$3,'[1]2026'!$P:$P,$AU115)</f>
        <v>0</v>
      </c>
      <c r="BP115" s="6">
        <v>100000</v>
      </c>
      <c r="BQ115" s="6">
        <v>100000</v>
      </c>
      <c r="BR115" s="6">
        <v>100000</v>
      </c>
      <c r="BS115" s="6">
        <v>100000</v>
      </c>
      <c r="BT115" s="6">
        <f t="shared" si="51"/>
        <v>449924.02</v>
      </c>
      <c r="BV115" s="6">
        <f t="shared" ref="BV115:BV146" si="59">BH115-AB115</f>
        <v>0</v>
      </c>
      <c r="BW115" s="6">
        <f t="shared" ref="BW115:BW146" si="60">BI115-AC115</f>
        <v>-14599.84</v>
      </c>
      <c r="BX115" s="6">
        <f t="shared" ref="BX115:BX146" si="61">BJ115-AD115</f>
        <v>0</v>
      </c>
      <c r="BY115" s="6">
        <f t="shared" ref="BY115:BY146" si="62">BK115-AE115</f>
        <v>11768.15</v>
      </c>
      <c r="BZ115" s="6">
        <f t="shared" ref="BZ115:BZ146" si="63">BL115-AF115</f>
        <v>0</v>
      </c>
      <c r="CA115" s="6">
        <f t="shared" ref="CA115:CA146" si="64">BM115-AG115</f>
        <v>37755.71</v>
      </c>
      <c r="CB115" s="6">
        <f t="shared" ref="CB115:CB146" si="65">BN115-AH115</f>
        <v>0</v>
      </c>
      <c r="CC115" s="6">
        <f t="shared" ref="CC115:CC146" si="66">BO115-AI115</f>
        <v>0</v>
      </c>
      <c r="CD115" s="6">
        <f t="shared" ref="CD115:CD146" si="67">BP115-AJ115</f>
        <v>100000</v>
      </c>
      <c r="CE115" s="6">
        <f t="shared" ref="CE115:CE146" si="68">BQ115-AK115</f>
        <v>100000</v>
      </c>
      <c r="CF115" s="6">
        <f t="shared" ref="CF115:CF146" si="69">BR115-AL115</f>
        <v>100000</v>
      </c>
      <c r="CG115" s="6">
        <f t="shared" ref="CG115:CG146" si="70">BS115-AM115</f>
        <v>100000</v>
      </c>
      <c r="CH115" s="6">
        <f t="shared" si="52"/>
        <v>434924.02</v>
      </c>
    </row>
    <row r="116" spans="1:86" hidden="1" x14ac:dyDescent="0.35">
      <c r="A116" s="3" t="s">
        <v>417</v>
      </c>
      <c r="C116" s="10">
        <v>30000</v>
      </c>
      <c r="N116" s="27">
        <f t="shared" si="56"/>
        <v>30000</v>
      </c>
      <c r="AA116" s="27">
        <f t="shared" si="53"/>
        <v>0</v>
      </c>
      <c r="AB116" s="10">
        <f t="shared" si="58"/>
        <v>0</v>
      </c>
      <c r="AC116" s="10">
        <f t="shared" si="58"/>
        <v>30000</v>
      </c>
      <c r="AD116" s="10">
        <f t="shared" si="58"/>
        <v>0</v>
      </c>
      <c r="AE116" s="10">
        <f t="shared" si="58"/>
        <v>0</v>
      </c>
      <c r="AF116" s="10">
        <f t="shared" si="58"/>
        <v>0</v>
      </c>
      <c r="AG116" s="10">
        <f t="shared" si="58"/>
        <v>0</v>
      </c>
      <c r="AH116" s="10">
        <f t="shared" si="58"/>
        <v>0</v>
      </c>
      <c r="AI116" s="10">
        <f t="shared" si="57"/>
        <v>0</v>
      </c>
      <c r="AJ116" s="10">
        <f t="shared" si="57"/>
        <v>0</v>
      </c>
      <c r="AK116" s="10">
        <f t="shared" si="57"/>
        <v>0</v>
      </c>
      <c r="AL116" s="10">
        <f t="shared" si="57"/>
        <v>0</v>
      </c>
      <c r="AM116" s="10">
        <f t="shared" si="57"/>
        <v>0</v>
      </c>
      <c r="AN116" s="27">
        <f t="shared" si="57"/>
        <v>30000</v>
      </c>
      <c r="AS116" t="str">
        <f>_xlfn.XLOOKUP(AU116,[2]GAE!HZ:HZ,[2]GAE!IA:IA)</f>
        <v>ADMIN SERVICES</v>
      </c>
      <c r="AT116" t="str">
        <f>_xlfn.XLOOKUP(AU116,[2]GAE!HZ:HZ,[2]GAE!IB:IB)</f>
        <v>DOE - Insurance - Motor Car</v>
      </c>
      <c r="AU116" t="s">
        <v>415</v>
      </c>
      <c r="AV116">
        <v>81123102</v>
      </c>
      <c r="AW116">
        <v>52101112</v>
      </c>
      <c r="AX116" t="str">
        <f>_xlfn.XLOOKUP(AU116,[2]GAE!HZ:HZ,[2]GAE!IF:IF)</f>
        <v>Others</v>
      </c>
      <c r="AY116" t="str">
        <f>_xlfn.XLOOKUP(AU116,[2]GAE!HZ:HZ,[2]GAE!IG:IG)</f>
        <v>Insurance</v>
      </c>
      <c r="BF116" t="s">
        <v>24</v>
      </c>
      <c r="BG116" s="2" t="s">
        <v>24</v>
      </c>
      <c r="BH116" s="10">
        <f>SUMIFS('[1]2026'!$K:$K,'[1]2026'!$T:$T,BD116,'[1]2026'!$S:$S,BH$3,'[1]2026'!$P:$P,AU116)</f>
        <v>0</v>
      </c>
      <c r="BI116" s="10">
        <f>SUMIFS('[1]2026'!$K:$K,'[1]2026'!$T:$T,$BD116,'[1]2026'!$S:$S,BI$3,'[1]2026'!$P:$P,$AU116)</f>
        <v>0</v>
      </c>
      <c r="BJ116" s="10">
        <f>SUMIFS('[1]2026'!$K:$K,'[1]2026'!$T:$T,$BD116,'[1]2026'!$S:$S,BJ$3,'[1]2026'!$P:$P,$AU116)</f>
        <v>0</v>
      </c>
      <c r="BK116" s="10">
        <f>SUMIFS('[1]2026'!$K:$K,'[1]2026'!$T:$T,$BD116,'[1]2026'!$S:$S,BK$3,'[1]2026'!$P:$P,$AU116)</f>
        <v>0</v>
      </c>
      <c r="BL116" s="6"/>
      <c r="BM116" s="10">
        <f>SUMIFS('[1]2026'!$K:$K,'[1]2026'!$T:$T,$BD116,'[1]2026'!$S:$S,BM$3,'[1]2026'!$P:$P,$AU116)</f>
        <v>0</v>
      </c>
      <c r="BN116" s="10">
        <f>SUMIFS('[1]2026'!$K:$K,'[1]2026'!$T:$T,$BD116,'[1]2026'!$S:$S,BN$3,'[1]2026'!$P:$P,$AU116)</f>
        <v>0</v>
      </c>
      <c r="BO116" s="10">
        <f>SUMIFS('[1]2026'!$K:$K,'[1]2026'!$T:$T,$BD116,'[1]2026'!$S:$S,BO$3,'[1]2026'!$P:$P,$AU116)</f>
        <v>0</v>
      </c>
      <c r="BP116" s="6"/>
      <c r="BQ116" s="6"/>
      <c r="BR116" s="6"/>
      <c r="BS116" s="6"/>
      <c r="BT116" s="6">
        <f t="shared" si="51"/>
        <v>0</v>
      </c>
      <c r="BV116" s="6">
        <f t="shared" si="59"/>
        <v>0</v>
      </c>
      <c r="BW116" s="6">
        <f t="shared" si="60"/>
        <v>-30000</v>
      </c>
      <c r="BX116" s="6">
        <f t="shared" si="61"/>
        <v>0</v>
      </c>
      <c r="BY116" s="6">
        <f t="shared" si="62"/>
        <v>0</v>
      </c>
      <c r="BZ116" s="6">
        <f t="shared" si="63"/>
        <v>0</v>
      </c>
      <c r="CA116" s="6">
        <f t="shared" si="64"/>
        <v>0</v>
      </c>
      <c r="CB116" s="6">
        <f t="shared" si="65"/>
        <v>0</v>
      </c>
      <c r="CC116" s="6">
        <f t="shared" si="66"/>
        <v>0</v>
      </c>
      <c r="CD116" s="6">
        <f t="shared" si="67"/>
        <v>0</v>
      </c>
      <c r="CE116" s="6">
        <f t="shared" si="68"/>
        <v>0</v>
      </c>
      <c r="CF116" s="6">
        <f t="shared" si="69"/>
        <v>0</v>
      </c>
      <c r="CG116" s="6">
        <f t="shared" si="70"/>
        <v>0</v>
      </c>
      <c r="CH116" s="6">
        <f t="shared" si="52"/>
        <v>-30000</v>
      </c>
    </row>
    <row r="117" spans="1:86" hidden="1" x14ac:dyDescent="0.35">
      <c r="A117" s="3" t="s">
        <v>418</v>
      </c>
      <c r="C117" s="10">
        <v>15000</v>
      </c>
      <c r="N117" s="27">
        <f t="shared" si="56"/>
        <v>15000</v>
      </c>
      <c r="AA117" s="27">
        <f t="shared" si="53"/>
        <v>0</v>
      </c>
      <c r="AB117" s="10">
        <f t="shared" si="58"/>
        <v>0</v>
      </c>
      <c r="AC117" s="10">
        <f t="shared" si="58"/>
        <v>15000</v>
      </c>
      <c r="AD117" s="10">
        <f t="shared" si="58"/>
        <v>0</v>
      </c>
      <c r="AE117" s="10">
        <f t="shared" si="58"/>
        <v>0</v>
      </c>
      <c r="AF117" s="10">
        <f t="shared" si="58"/>
        <v>0</v>
      </c>
      <c r="AG117" s="10">
        <f t="shared" si="58"/>
        <v>0</v>
      </c>
      <c r="AH117" s="10">
        <f t="shared" si="58"/>
        <v>0</v>
      </c>
      <c r="AI117" s="10">
        <f t="shared" si="57"/>
        <v>0</v>
      </c>
      <c r="AJ117" s="10">
        <f t="shared" si="57"/>
        <v>0</v>
      </c>
      <c r="AK117" s="10">
        <f t="shared" si="57"/>
        <v>0</v>
      </c>
      <c r="AL117" s="10">
        <f t="shared" si="57"/>
        <v>0</v>
      </c>
      <c r="AM117" s="10">
        <f t="shared" si="57"/>
        <v>0</v>
      </c>
      <c r="AN117" s="27">
        <f t="shared" si="57"/>
        <v>15000</v>
      </c>
      <c r="AS117" t="str">
        <f>_xlfn.XLOOKUP(AU117,[2]GAE!HZ:HZ,[2]GAE!IA:IA)</f>
        <v>ADMIN SERVICES</v>
      </c>
      <c r="AT117" t="str">
        <f>_xlfn.XLOOKUP(AU117,[2]GAE!HZ:HZ,[2]GAE!IB:IB)</f>
        <v>DOE - Insurance - Motor Car</v>
      </c>
      <c r="AU117" t="s">
        <v>415</v>
      </c>
      <c r="AV117">
        <v>81123102</v>
      </c>
      <c r="AW117">
        <v>52101112</v>
      </c>
      <c r="AX117" t="str">
        <f>_xlfn.XLOOKUP(AU117,[2]GAE!HZ:HZ,[2]GAE!IF:IF)</f>
        <v>Others</v>
      </c>
      <c r="AY117" t="str">
        <f>_xlfn.XLOOKUP(AU117,[2]GAE!HZ:HZ,[2]GAE!IG:IG)</f>
        <v>Insurance</v>
      </c>
      <c r="BF117" t="s">
        <v>24</v>
      </c>
      <c r="BG117" s="2" t="s">
        <v>24</v>
      </c>
      <c r="BH117" s="10">
        <f>SUMIFS('[1]2026'!$K:$K,'[1]2026'!$T:$T,BD117,'[1]2026'!$S:$S,BH$3,'[1]2026'!$P:$P,AU117)</f>
        <v>0</v>
      </c>
      <c r="BI117" s="10">
        <f>SUMIFS('[1]2026'!$K:$K,'[1]2026'!$T:$T,$BD117,'[1]2026'!$S:$S,BI$3,'[1]2026'!$P:$P,$AU117)</f>
        <v>0</v>
      </c>
      <c r="BJ117" s="10">
        <f>SUMIFS('[1]2026'!$K:$K,'[1]2026'!$T:$T,$BD117,'[1]2026'!$S:$S,BJ$3,'[1]2026'!$P:$P,$AU117)</f>
        <v>0</v>
      </c>
      <c r="BK117" s="10">
        <f>SUMIFS('[1]2026'!$K:$K,'[1]2026'!$T:$T,$BD117,'[1]2026'!$S:$S,BK$3,'[1]2026'!$P:$P,$AU117)</f>
        <v>0</v>
      </c>
      <c r="BL117" s="6"/>
      <c r="BM117" s="10">
        <f>SUMIFS('[1]2026'!$K:$K,'[1]2026'!$T:$T,$BD117,'[1]2026'!$S:$S,BM$3,'[1]2026'!$P:$P,$AU117)</f>
        <v>0</v>
      </c>
      <c r="BN117" s="10">
        <f>SUMIFS('[1]2026'!$K:$K,'[1]2026'!$T:$T,$BD117,'[1]2026'!$S:$S,BN$3,'[1]2026'!$P:$P,$AU117)</f>
        <v>0</v>
      </c>
      <c r="BO117" s="10">
        <f>SUMIFS('[1]2026'!$K:$K,'[1]2026'!$T:$T,$BD117,'[1]2026'!$S:$S,BO$3,'[1]2026'!$P:$P,$AU117)</f>
        <v>0</v>
      </c>
      <c r="BP117" s="6"/>
      <c r="BQ117" s="6"/>
      <c r="BR117" s="6"/>
      <c r="BS117" s="6"/>
      <c r="BT117" s="6">
        <f t="shared" si="51"/>
        <v>0</v>
      </c>
      <c r="BV117" s="6">
        <f t="shared" si="59"/>
        <v>0</v>
      </c>
      <c r="BW117" s="6">
        <f t="shared" si="60"/>
        <v>-15000</v>
      </c>
      <c r="BX117" s="6">
        <f t="shared" si="61"/>
        <v>0</v>
      </c>
      <c r="BY117" s="6">
        <f t="shared" si="62"/>
        <v>0</v>
      </c>
      <c r="BZ117" s="6">
        <f t="shared" si="63"/>
        <v>0</v>
      </c>
      <c r="CA117" s="6">
        <f t="shared" si="64"/>
        <v>0</v>
      </c>
      <c r="CB117" s="6">
        <f t="shared" si="65"/>
        <v>0</v>
      </c>
      <c r="CC117" s="6">
        <f t="shared" si="66"/>
        <v>0</v>
      </c>
      <c r="CD117" s="6">
        <f t="shared" si="67"/>
        <v>0</v>
      </c>
      <c r="CE117" s="6">
        <f t="shared" si="68"/>
        <v>0</v>
      </c>
      <c r="CF117" s="6">
        <f t="shared" si="69"/>
        <v>0</v>
      </c>
      <c r="CG117" s="6">
        <f t="shared" si="70"/>
        <v>0</v>
      </c>
      <c r="CH117" s="6">
        <f t="shared" si="52"/>
        <v>-15000</v>
      </c>
    </row>
    <row r="118" spans="1:86" hidden="1" x14ac:dyDescent="0.35">
      <c r="A118" s="3" t="s">
        <v>419</v>
      </c>
      <c r="C118" s="10">
        <v>30000</v>
      </c>
      <c r="N118" s="27">
        <f t="shared" si="56"/>
        <v>30000</v>
      </c>
      <c r="AA118" s="27">
        <f t="shared" si="53"/>
        <v>0</v>
      </c>
      <c r="AB118" s="10">
        <f t="shared" si="58"/>
        <v>0</v>
      </c>
      <c r="AC118" s="10">
        <f t="shared" si="58"/>
        <v>30000</v>
      </c>
      <c r="AD118" s="10">
        <f t="shared" si="58"/>
        <v>0</v>
      </c>
      <c r="AE118" s="10">
        <f t="shared" si="58"/>
        <v>0</v>
      </c>
      <c r="AF118" s="10">
        <f t="shared" si="58"/>
        <v>0</v>
      </c>
      <c r="AG118" s="10">
        <f t="shared" si="58"/>
        <v>0</v>
      </c>
      <c r="AH118" s="10">
        <f t="shared" si="58"/>
        <v>0</v>
      </c>
      <c r="AI118" s="10">
        <f t="shared" si="57"/>
        <v>0</v>
      </c>
      <c r="AJ118" s="10">
        <f t="shared" si="57"/>
        <v>0</v>
      </c>
      <c r="AK118" s="10">
        <f t="shared" si="57"/>
        <v>0</v>
      </c>
      <c r="AL118" s="10">
        <f t="shared" si="57"/>
        <v>0</v>
      </c>
      <c r="AM118" s="10">
        <f t="shared" si="57"/>
        <v>0</v>
      </c>
      <c r="AN118" s="27">
        <f t="shared" si="57"/>
        <v>30000</v>
      </c>
      <c r="AS118" t="str">
        <f>_xlfn.XLOOKUP(AU118,[2]GAE!HZ:HZ,[2]GAE!IA:IA)</f>
        <v>ADMIN SERVICES</v>
      </c>
      <c r="AT118" t="str">
        <f>_xlfn.XLOOKUP(AU118,[2]GAE!HZ:HZ,[2]GAE!IB:IB)</f>
        <v>DOE - Insurance - Motor Car</v>
      </c>
      <c r="AU118" t="s">
        <v>415</v>
      </c>
      <c r="AV118">
        <v>81123102</v>
      </c>
      <c r="AW118">
        <v>52101112</v>
      </c>
      <c r="AX118" t="str">
        <f>_xlfn.XLOOKUP(AU118,[2]GAE!HZ:HZ,[2]GAE!IF:IF)</f>
        <v>Others</v>
      </c>
      <c r="AY118" t="str">
        <f>_xlfn.XLOOKUP(AU118,[2]GAE!HZ:HZ,[2]GAE!IG:IG)</f>
        <v>Insurance</v>
      </c>
      <c r="BF118" t="s">
        <v>24</v>
      </c>
      <c r="BG118" s="2" t="s">
        <v>24</v>
      </c>
      <c r="BH118" s="10">
        <f>SUMIFS('[1]2026'!$K:$K,'[1]2026'!$T:$T,BD118,'[1]2026'!$S:$S,BH$3,'[1]2026'!$P:$P,AU118)</f>
        <v>0</v>
      </c>
      <c r="BI118" s="10">
        <f>SUMIFS('[1]2026'!$K:$K,'[1]2026'!$T:$T,$BD118,'[1]2026'!$S:$S,BI$3,'[1]2026'!$P:$P,$AU118)</f>
        <v>0</v>
      </c>
      <c r="BJ118" s="10">
        <f>SUMIFS('[1]2026'!$K:$K,'[1]2026'!$T:$T,$BD118,'[1]2026'!$S:$S,BJ$3,'[1]2026'!$P:$P,$AU118)</f>
        <v>0</v>
      </c>
      <c r="BK118" s="10">
        <f>SUMIFS('[1]2026'!$K:$K,'[1]2026'!$T:$T,$BD118,'[1]2026'!$S:$S,BK$3,'[1]2026'!$P:$P,$AU118)</f>
        <v>0</v>
      </c>
      <c r="BL118" s="6"/>
      <c r="BM118" s="10">
        <f>SUMIFS('[1]2026'!$K:$K,'[1]2026'!$T:$T,$BD118,'[1]2026'!$S:$S,BM$3,'[1]2026'!$P:$P,$AU118)</f>
        <v>0</v>
      </c>
      <c r="BN118" s="10">
        <f>SUMIFS('[1]2026'!$K:$K,'[1]2026'!$T:$T,$BD118,'[1]2026'!$S:$S,BN$3,'[1]2026'!$P:$P,$AU118)</f>
        <v>0</v>
      </c>
      <c r="BO118" s="10">
        <f>SUMIFS('[1]2026'!$K:$K,'[1]2026'!$T:$T,$BD118,'[1]2026'!$S:$S,BO$3,'[1]2026'!$P:$P,$AU118)</f>
        <v>0</v>
      </c>
      <c r="BP118" s="6"/>
      <c r="BQ118" s="6"/>
      <c r="BR118" s="6"/>
      <c r="BS118" s="6"/>
      <c r="BT118" s="6">
        <f t="shared" si="51"/>
        <v>0</v>
      </c>
      <c r="BV118" s="6">
        <f t="shared" si="59"/>
        <v>0</v>
      </c>
      <c r="BW118" s="6">
        <f t="shared" si="60"/>
        <v>-30000</v>
      </c>
      <c r="BX118" s="6">
        <f t="shared" si="61"/>
        <v>0</v>
      </c>
      <c r="BY118" s="6">
        <f t="shared" si="62"/>
        <v>0</v>
      </c>
      <c r="BZ118" s="6">
        <f t="shared" si="63"/>
        <v>0</v>
      </c>
      <c r="CA118" s="6">
        <f t="shared" si="64"/>
        <v>0</v>
      </c>
      <c r="CB118" s="6">
        <f t="shared" si="65"/>
        <v>0</v>
      </c>
      <c r="CC118" s="6">
        <f t="shared" si="66"/>
        <v>0</v>
      </c>
      <c r="CD118" s="6">
        <f t="shared" si="67"/>
        <v>0</v>
      </c>
      <c r="CE118" s="6">
        <f t="shared" si="68"/>
        <v>0</v>
      </c>
      <c r="CF118" s="6">
        <f t="shared" si="69"/>
        <v>0</v>
      </c>
      <c r="CG118" s="6">
        <f t="shared" si="70"/>
        <v>0</v>
      </c>
      <c r="CH118" s="6">
        <f t="shared" si="52"/>
        <v>-30000</v>
      </c>
    </row>
    <row r="119" spans="1:86" hidden="1" x14ac:dyDescent="0.35">
      <c r="A119" s="3" t="s">
        <v>420</v>
      </c>
      <c r="C119" s="10">
        <v>15000</v>
      </c>
      <c r="N119" s="27">
        <f t="shared" si="56"/>
        <v>15000</v>
      </c>
      <c r="AA119" s="27">
        <f t="shared" si="53"/>
        <v>0</v>
      </c>
      <c r="AB119" s="10">
        <f t="shared" si="58"/>
        <v>0</v>
      </c>
      <c r="AC119" s="10">
        <f t="shared" si="58"/>
        <v>15000</v>
      </c>
      <c r="AD119" s="10">
        <f t="shared" si="58"/>
        <v>0</v>
      </c>
      <c r="AE119" s="10">
        <f t="shared" si="58"/>
        <v>0</v>
      </c>
      <c r="AF119" s="10">
        <f t="shared" si="58"/>
        <v>0</v>
      </c>
      <c r="AG119" s="10">
        <f t="shared" si="58"/>
        <v>0</v>
      </c>
      <c r="AH119" s="10">
        <f t="shared" si="58"/>
        <v>0</v>
      </c>
      <c r="AI119" s="10">
        <f t="shared" si="57"/>
        <v>0</v>
      </c>
      <c r="AJ119" s="10">
        <f t="shared" si="57"/>
        <v>0</v>
      </c>
      <c r="AK119" s="10">
        <f t="shared" si="57"/>
        <v>0</v>
      </c>
      <c r="AL119" s="10">
        <f t="shared" si="57"/>
        <v>0</v>
      </c>
      <c r="AM119" s="10">
        <f t="shared" si="57"/>
        <v>0</v>
      </c>
      <c r="AN119" s="27">
        <f t="shared" si="57"/>
        <v>15000</v>
      </c>
      <c r="AS119" t="str">
        <f>_xlfn.XLOOKUP(AU119,[2]GAE!HZ:HZ,[2]GAE!IA:IA)</f>
        <v>ADMIN SERVICES</v>
      </c>
      <c r="AT119" t="str">
        <f>_xlfn.XLOOKUP(AU119,[2]GAE!HZ:HZ,[2]GAE!IB:IB)</f>
        <v>DOE - Insurance - Motor Car</v>
      </c>
      <c r="AU119" t="s">
        <v>415</v>
      </c>
      <c r="AV119">
        <v>81123102</v>
      </c>
      <c r="AW119">
        <v>52101112</v>
      </c>
      <c r="AX119" t="str">
        <f>_xlfn.XLOOKUP(AU119,[2]GAE!HZ:HZ,[2]GAE!IF:IF)</f>
        <v>Others</v>
      </c>
      <c r="AY119" t="str">
        <f>_xlfn.XLOOKUP(AU119,[2]GAE!HZ:HZ,[2]GAE!IG:IG)</f>
        <v>Insurance</v>
      </c>
      <c r="BF119" t="s">
        <v>24</v>
      </c>
      <c r="BG119" s="2" t="s">
        <v>24</v>
      </c>
      <c r="BH119" s="10">
        <f>SUMIFS('[1]2026'!$K:$K,'[1]2026'!$T:$T,BD119,'[1]2026'!$S:$S,BH$3,'[1]2026'!$P:$P,AU119)</f>
        <v>0</v>
      </c>
      <c r="BI119" s="10">
        <f>SUMIFS('[1]2026'!$K:$K,'[1]2026'!$T:$T,$BD119,'[1]2026'!$S:$S,BI$3,'[1]2026'!$P:$P,$AU119)</f>
        <v>0</v>
      </c>
      <c r="BJ119" s="10">
        <f>SUMIFS('[1]2026'!$K:$K,'[1]2026'!$T:$T,$BD119,'[1]2026'!$S:$S,BJ$3,'[1]2026'!$P:$P,$AU119)</f>
        <v>0</v>
      </c>
      <c r="BK119" s="10">
        <f>SUMIFS('[1]2026'!$K:$K,'[1]2026'!$T:$T,$BD119,'[1]2026'!$S:$S,BK$3,'[1]2026'!$P:$P,$AU119)</f>
        <v>0</v>
      </c>
      <c r="BL119" s="6"/>
      <c r="BM119" s="10">
        <f>SUMIFS('[1]2026'!$K:$K,'[1]2026'!$T:$T,$BD119,'[1]2026'!$S:$S,BM$3,'[1]2026'!$P:$P,$AU119)</f>
        <v>0</v>
      </c>
      <c r="BN119" s="10">
        <f>SUMIFS('[1]2026'!$K:$K,'[1]2026'!$T:$T,$BD119,'[1]2026'!$S:$S,BN$3,'[1]2026'!$P:$P,$AU119)</f>
        <v>0</v>
      </c>
      <c r="BO119" s="10">
        <f>SUMIFS('[1]2026'!$K:$K,'[1]2026'!$T:$T,$BD119,'[1]2026'!$S:$S,BO$3,'[1]2026'!$P:$P,$AU119)</f>
        <v>0</v>
      </c>
      <c r="BP119" s="6"/>
      <c r="BQ119" s="6"/>
      <c r="BR119" s="6"/>
      <c r="BS119" s="6"/>
      <c r="BT119" s="6">
        <f t="shared" si="51"/>
        <v>0</v>
      </c>
      <c r="BV119" s="6">
        <f t="shared" si="59"/>
        <v>0</v>
      </c>
      <c r="BW119" s="6">
        <f t="shared" si="60"/>
        <v>-15000</v>
      </c>
      <c r="BX119" s="6">
        <f t="shared" si="61"/>
        <v>0</v>
      </c>
      <c r="BY119" s="6">
        <f t="shared" si="62"/>
        <v>0</v>
      </c>
      <c r="BZ119" s="6">
        <f t="shared" si="63"/>
        <v>0</v>
      </c>
      <c r="CA119" s="6">
        <f t="shared" si="64"/>
        <v>0</v>
      </c>
      <c r="CB119" s="6">
        <f t="shared" si="65"/>
        <v>0</v>
      </c>
      <c r="CC119" s="6">
        <f t="shared" si="66"/>
        <v>0</v>
      </c>
      <c r="CD119" s="6">
        <f t="shared" si="67"/>
        <v>0</v>
      </c>
      <c r="CE119" s="6">
        <f t="shared" si="68"/>
        <v>0</v>
      </c>
      <c r="CF119" s="6">
        <f t="shared" si="69"/>
        <v>0</v>
      </c>
      <c r="CG119" s="6">
        <f t="shared" si="70"/>
        <v>0</v>
      </c>
      <c r="CH119" s="6">
        <f t="shared" si="52"/>
        <v>-15000</v>
      </c>
    </row>
    <row r="120" spans="1:86" hidden="1" x14ac:dyDescent="0.35">
      <c r="A120" s="3" t="s">
        <v>421</v>
      </c>
      <c r="C120" s="10">
        <v>30000</v>
      </c>
      <c r="N120" s="27">
        <f t="shared" si="56"/>
        <v>30000</v>
      </c>
      <c r="AA120" s="27">
        <f t="shared" si="53"/>
        <v>0</v>
      </c>
      <c r="AB120" s="10">
        <f t="shared" si="58"/>
        <v>0</v>
      </c>
      <c r="AC120" s="10">
        <f t="shared" si="58"/>
        <v>30000</v>
      </c>
      <c r="AD120" s="10">
        <f t="shared" si="58"/>
        <v>0</v>
      </c>
      <c r="AE120" s="10">
        <f t="shared" si="58"/>
        <v>0</v>
      </c>
      <c r="AF120" s="10">
        <f t="shared" si="58"/>
        <v>0</v>
      </c>
      <c r="AG120" s="10">
        <f t="shared" si="58"/>
        <v>0</v>
      </c>
      <c r="AH120" s="10">
        <f t="shared" si="58"/>
        <v>0</v>
      </c>
      <c r="AI120" s="10">
        <f t="shared" si="57"/>
        <v>0</v>
      </c>
      <c r="AJ120" s="10">
        <f t="shared" si="57"/>
        <v>0</v>
      </c>
      <c r="AK120" s="10">
        <f t="shared" si="57"/>
        <v>0</v>
      </c>
      <c r="AL120" s="10">
        <f t="shared" si="57"/>
        <v>0</v>
      </c>
      <c r="AM120" s="10">
        <f t="shared" si="57"/>
        <v>0</v>
      </c>
      <c r="AN120" s="27">
        <f t="shared" si="57"/>
        <v>30000</v>
      </c>
      <c r="AS120" t="str">
        <f>_xlfn.XLOOKUP(AU120,[2]GAE!HZ:HZ,[2]GAE!IA:IA)</f>
        <v>ADMIN SERVICES</v>
      </c>
      <c r="AT120" t="str">
        <f>_xlfn.XLOOKUP(AU120,[2]GAE!HZ:HZ,[2]GAE!IB:IB)</f>
        <v>DOE - Insurance - Motor Car</v>
      </c>
      <c r="AU120" t="s">
        <v>415</v>
      </c>
      <c r="AV120">
        <v>81123102</v>
      </c>
      <c r="AW120">
        <v>52101112</v>
      </c>
      <c r="AX120" t="str">
        <f>_xlfn.XLOOKUP(AU120,[2]GAE!HZ:HZ,[2]GAE!IF:IF)</f>
        <v>Others</v>
      </c>
      <c r="AY120" t="str">
        <f>_xlfn.XLOOKUP(AU120,[2]GAE!HZ:HZ,[2]GAE!IG:IG)</f>
        <v>Insurance</v>
      </c>
      <c r="BF120" t="s">
        <v>24</v>
      </c>
      <c r="BG120" s="2" t="s">
        <v>24</v>
      </c>
      <c r="BH120" s="10">
        <f>SUMIFS('[1]2026'!$K:$K,'[1]2026'!$T:$T,BD120,'[1]2026'!$S:$S,BH$3,'[1]2026'!$P:$P,AU120)</f>
        <v>0</v>
      </c>
      <c r="BI120" s="10">
        <f>SUMIFS('[1]2026'!$K:$K,'[1]2026'!$T:$T,$BD120,'[1]2026'!$S:$S,BI$3,'[1]2026'!$P:$P,$AU120)</f>
        <v>0</v>
      </c>
      <c r="BJ120" s="10">
        <f>SUMIFS('[1]2026'!$K:$K,'[1]2026'!$T:$T,$BD120,'[1]2026'!$S:$S,BJ$3,'[1]2026'!$P:$P,$AU120)</f>
        <v>0</v>
      </c>
      <c r="BK120" s="10">
        <f>SUMIFS('[1]2026'!$K:$K,'[1]2026'!$T:$T,$BD120,'[1]2026'!$S:$S,BK$3,'[1]2026'!$P:$P,$AU120)</f>
        <v>0</v>
      </c>
      <c r="BL120" s="6"/>
      <c r="BM120" s="10">
        <f>SUMIFS('[1]2026'!$K:$K,'[1]2026'!$T:$T,$BD120,'[1]2026'!$S:$S,BM$3,'[1]2026'!$P:$P,$AU120)</f>
        <v>0</v>
      </c>
      <c r="BN120" s="10">
        <f>SUMIFS('[1]2026'!$K:$K,'[1]2026'!$T:$T,$BD120,'[1]2026'!$S:$S,BN$3,'[1]2026'!$P:$P,$AU120)</f>
        <v>0</v>
      </c>
      <c r="BO120" s="10">
        <f>SUMIFS('[1]2026'!$K:$K,'[1]2026'!$T:$T,$BD120,'[1]2026'!$S:$S,BO$3,'[1]2026'!$P:$P,$AU120)</f>
        <v>0</v>
      </c>
      <c r="BP120" s="6"/>
      <c r="BQ120" s="6"/>
      <c r="BR120" s="6"/>
      <c r="BS120" s="6"/>
      <c r="BT120" s="6">
        <f t="shared" si="51"/>
        <v>0</v>
      </c>
      <c r="BV120" s="6">
        <f t="shared" si="59"/>
        <v>0</v>
      </c>
      <c r="BW120" s="6">
        <f t="shared" si="60"/>
        <v>-30000</v>
      </c>
      <c r="BX120" s="6">
        <f t="shared" si="61"/>
        <v>0</v>
      </c>
      <c r="BY120" s="6">
        <f t="shared" si="62"/>
        <v>0</v>
      </c>
      <c r="BZ120" s="6">
        <f t="shared" si="63"/>
        <v>0</v>
      </c>
      <c r="CA120" s="6">
        <f t="shared" si="64"/>
        <v>0</v>
      </c>
      <c r="CB120" s="6">
        <f t="shared" si="65"/>
        <v>0</v>
      </c>
      <c r="CC120" s="6">
        <f t="shared" si="66"/>
        <v>0</v>
      </c>
      <c r="CD120" s="6">
        <f t="shared" si="67"/>
        <v>0</v>
      </c>
      <c r="CE120" s="6">
        <f t="shared" si="68"/>
        <v>0</v>
      </c>
      <c r="CF120" s="6">
        <f t="shared" si="69"/>
        <v>0</v>
      </c>
      <c r="CG120" s="6">
        <f t="shared" si="70"/>
        <v>0</v>
      </c>
      <c r="CH120" s="6">
        <f t="shared" si="52"/>
        <v>-30000</v>
      </c>
    </row>
    <row r="121" spans="1:86" hidden="1" x14ac:dyDescent="0.35">
      <c r="A121" s="3" t="s">
        <v>422</v>
      </c>
      <c r="C121" s="10">
        <v>30000</v>
      </c>
      <c r="N121" s="27">
        <f t="shared" si="56"/>
        <v>30000</v>
      </c>
      <c r="AA121" s="27">
        <f t="shared" si="53"/>
        <v>0</v>
      </c>
      <c r="AB121" s="10">
        <f t="shared" si="58"/>
        <v>0</v>
      </c>
      <c r="AC121" s="10">
        <f t="shared" si="58"/>
        <v>30000</v>
      </c>
      <c r="AD121" s="10">
        <f t="shared" si="58"/>
        <v>0</v>
      </c>
      <c r="AE121" s="10">
        <f t="shared" si="58"/>
        <v>0</v>
      </c>
      <c r="AF121" s="10">
        <f t="shared" si="58"/>
        <v>0</v>
      </c>
      <c r="AG121" s="10">
        <f t="shared" si="58"/>
        <v>0</v>
      </c>
      <c r="AH121" s="10">
        <f t="shared" si="58"/>
        <v>0</v>
      </c>
      <c r="AI121" s="10">
        <f t="shared" si="57"/>
        <v>0</v>
      </c>
      <c r="AJ121" s="10">
        <f t="shared" si="57"/>
        <v>0</v>
      </c>
      <c r="AK121" s="10">
        <f t="shared" si="57"/>
        <v>0</v>
      </c>
      <c r="AL121" s="10">
        <f t="shared" si="57"/>
        <v>0</v>
      </c>
      <c r="AM121" s="10">
        <f t="shared" si="57"/>
        <v>0</v>
      </c>
      <c r="AN121" s="27">
        <f t="shared" si="57"/>
        <v>30000</v>
      </c>
      <c r="AS121" t="str">
        <f>_xlfn.XLOOKUP(AU121,[2]GAE!HZ:HZ,[2]GAE!IA:IA)</f>
        <v>ADMIN SERVICES</v>
      </c>
      <c r="AT121" t="str">
        <f>_xlfn.XLOOKUP(AU121,[2]GAE!HZ:HZ,[2]GAE!IB:IB)</f>
        <v>DOE - Insurance - Motor Car</v>
      </c>
      <c r="AU121" t="s">
        <v>415</v>
      </c>
      <c r="AV121">
        <v>81123102</v>
      </c>
      <c r="AW121">
        <v>52101112</v>
      </c>
      <c r="AX121" t="str">
        <f>_xlfn.XLOOKUP(AU121,[2]GAE!HZ:HZ,[2]GAE!IF:IF)</f>
        <v>Others</v>
      </c>
      <c r="AY121" t="str">
        <f>_xlfn.XLOOKUP(AU121,[2]GAE!HZ:HZ,[2]GAE!IG:IG)</f>
        <v>Insurance</v>
      </c>
      <c r="BF121" t="s">
        <v>24</v>
      </c>
      <c r="BG121" s="2" t="s">
        <v>24</v>
      </c>
      <c r="BH121" s="10">
        <f>SUMIFS('[1]2026'!$K:$K,'[1]2026'!$T:$T,BD121,'[1]2026'!$S:$S,BH$3,'[1]2026'!$P:$P,AU121)</f>
        <v>0</v>
      </c>
      <c r="BI121" s="10">
        <f>SUMIFS('[1]2026'!$K:$K,'[1]2026'!$T:$T,$BD121,'[1]2026'!$S:$S,BI$3,'[1]2026'!$P:$P,$AU121)</f>
        <v>0</v>
      </c>
      <c r="BJ121" s="10">
        <f>SUMIFS('[1]2026'!$K:$K,'[1]2026'!$T:$T,$BD121,'[1]2026'!$S:$S,BJ$3,'[1]2026'!$P:$P,$AU121)</f>
        <v>0</v>
      </c>
      <c r="BK121" s="10">
        <f>SUMIFS('[1]2026'!$K:$K,'[1]2026'!$T:$T,$BD121,'[1]2026'!$S:$S,BK$3,'[1]2026'!$P:$P,$AU121)</f>
        <v>0</v>
      </c>
      <c r="BL121" s="6"/>
      <c r="BM121" s="10">
        <f>SUMIFS('[1]2026'!$K:$K,'[1]2026'!$T:$T,$BD121,'[1]2026'!$S:$S,BM$3,'[1]2026'!$P:$P,$AU121)</f>
        <v>0</v>
      </c>
      <c r="BN121" s="10">
        <f>SUMIFS('[1]2026'!$K:$K,'[1]2026'!$T:$T,$BD121,'[1]2026'!$S:$S,BN$3,'[1]2026'!$P:$P,$AU121)</f>
        <v>0</v>
      </c>
      <c r="BO121" s="10">
        <f>SUMIFS('[1]2026'!$K:$K,'[1]2026'!$T:$T,$BD121,'[1]2026'!$S:$S,BO$3,'[1]2026'!$P:$P,$AU121)</f>
        <v>0</v>
      </c>
      <c r="BP121" s="6"/>
      <c r="BQ121" s="6"/>
      <c r="BR121" s="6"/>
      <c r="BS121" s="6"/>
      <c r="BT121" s="6">
        <f t="shared" si="51"/>
        <v>0</v>
      </c>
      <c r="BV121" s="6">
        <f t="shared" si="59"/>
        <v>0</v>
      </c>
      <c r="BW121" s="6">
        <f t="shared" si="60"/>
        <v>-30000</v>
      </c>
      <c r="BX121" s="6">
        <f t="shared" si="61"/>
        <v>0</v>
      </c>
      <c r="BY121" s="6">
        <f t="shared" si="62"/>
        <v>0</v>
      </c>
      <c r="BZ121" s="6">
        <f t="shared" si="63"/>
        <v>0</v>
      </c>
      <c r="CA121" s="6">
        <f t="shared" si="64"/>
        <v>0</v>
      </c>
      <c r="CB121" s="6">
        <f t="shared" si="65"/>
        <v>0</v>
      </c>
      <c r="CC121" s="6">
        <f t="shared" si="66"/>
        <v>0</v>
      </c>
      <c r="CD121" s="6">
        <f t="shared" si="67"/>
        <v>0</v>
      </c>
      <c r="CE121" s="6">
        <f t="shared" si="68"/>
        <v>0</v>
      </c>
      <c r="CF121" s="6">
        <f t="shared" si="69"/>
        <v>0</v>
      </c>
      <c r="CG121" s="6">
        <f t="shared" si="70"/>
        <v>0</v>
      </c>
      <c r="CH121" s="6">
        <f t="shared" si="52"/>
        <v>-30000</v>
      </c>
    </row>
    <row r="122" spans="1:86" hidden="1" x14ac:dyDescent="0.35">
      <c r="A122" s="3" t="s">
        <v>423</v>
      </c>
      <c r="C122" s="10">
        <v>30000</v>
      </c>
      <c r="N122" s="27">
        <f t="shared" si="56"/>
        <v>30000</v>
      </c>
      <c r="AA122" s="27">
        <f t="shared" si="53"/>
        <v>0</v>
      </c>
      <c r="AB122" s="10">
        <f t="shared" si="58"/>
        <v>0</v>
      </c>
      <c r="AC122" s="10">
        <f t="shared" si="58"/>
        <v>30000</v>
      </c>
      <c r="AD122" s="10">
        <f t="shared" si="58"/>
        <v>0</v>
      </c>
      <c r="AE122" s="10">
        <f t="shared" si="58"/>
        <v>0</v>
      </c>
      <c r="AF122" s="10">
        <f t="shared" si="58"/>
        <v>0</v>
      </c>
      <c r="AG122" s="10">
        <f t="shared" si="58"/>
        <v>0</v>
      </c>
      <c r="AH122" s="10">
        <f t="shared" si="58"/>
        <v>0</v>
      </c>
      <c r="AI122" s="10">
        <f t="shared" si="57"/>
        <v>0</v>
      </c>
      <c r="AJ122" s="10">
        <f t="shared" si="57"/>
        <v>0</v>
      </c>
      <c r="AK122" s="10">
        <f t="shared" si="57"/>
        <v>0</v>
      </c>
      <c r="AL122" s="10">
        <f t="shared" si="57"/>
        <v>0</v>
      </c>
      <c r="AM122" s="10">
        <f t="shared" si="57"/>
        <v>0</v>
      </c>
      <c r="AN122" s="27">
        <f t="shared" si="57"/>
        <v>30000</v>
      </c>
      <c r="AS122" t="str">
        <f>_xlfn.XLOOKUP(AU122,[2]GAE!HZ:HZ,[2]GAE!IA:IA)</f>
        <v>ADMIN SERVICES</v>
      </c>
      <c r="AT122" t="str">
        <f>_xlfn.XLOOKUP(AU122,[2]GAE!HZ:HZ,[2]GAE!IB:IB)</f>
        <v>GAE - Insurance - Motor Car</v>
      </c>
      <c r="AU122" t="s">
        <v>424</v>
      </c>
      <c r="AV122">
        <v>80123102</v>
      </c>
      <c r="AW122">
        <v>61101104</v>
      </c>
      <c r="AX122" t="str">
        <f>_xlfn.XLOOKUP(AU122,[2]GAE!HZ:HZ,[2]GAE!IF:IF)</f>
        <v>Others</v>
      </c>
      <c r="AY122" t="str">
        <f>_xlfn.XLOOKUP(AU122,[2]GAE!HZ:HZ,[2]GAE!IG:IG)</f>
        <v>Insurance</v>
      </c>
      <c r="BF122" t="s">
        <v>24</v>
      </c>
      <c r="BG122" s="2" t="s">
        <v>24</v>
      </c>
      <c r="BH122" s="10">
        <f>SUMIFS('[1]2026'!$K:$K,'[1]2026'!$T:$T,BD122,'[1]2026'!$S:$S,BH$3,'[1]2026'!$P:$P,AU122)</f>
        <v>0</v>
      </c>
      <c r="BI122" s="10">
        <f>SUMIFS('[1]2026'!$K:$K,'[1]2026'!$T:$T,$BD122,'[1]2026'!$S:$S,BI$3,'[1]2026'!$P:$P,$AU122)</f>
        <v>0</v>
      </c>
      <c r="BJ122" s="10">
        <f>SUMIFS('[1]2026'!$K:$K,'[1]2026'!$T:$T,$BD122,'[1]2026'!$S:$S,BJ$3,'[1]2026'!$P:$P,$AU122)</f>
        <v>0</v>
      </c>
      <c r="BK122" s="10">
        <f>SUMIFS('[1]2026'!$K:$K,'[1]2026'!$T:$T,$BD122,'[1]2026'!$S:$S,BK$3,'[1]2026'!$P:$P,$AU122)</f>
        <v>0</v>
      </c>
      <c r="BL122" s="6"/>
      <c r="BM122" s="10">
        <f>SUMIFS('[1]2026'!$K:$K,'[1]2026'!$T:$T,$BD122,'[1]2026'!$S:$S,BM$3,'[1]2026'!$P:$P,$AU122)</f>
        <v>0</v>
      </c>
      <c r="BN122" s="10">
        <f>SUMIFS('[1]2026'!$K:$K,'[1]2026'!$T:$T,$BD122,'[1]2026'!$S:$S,BN$3,'[1]2026'!$P:$P,$AU122)</f>
        <v>0</v>
      </c>
      <c r="BO122" s="10">
        <f>SUMIFS('[1]2026'!$K:$K,'[1]2026'!$T:$T,$BD122,'[1]2026'!$S:$S,BO$3,'[1]2026'!$P:$P,$AU122)</f>
        <v>0</v>
      </c>
      <c r="BP122" s="6"/>
      <c r="BQ122" s="6"/>
      <c r="BR122" s="6"/>
      <c r="BS122" s="6"/>
      <c r="BT122" s="6">
        <f t="shared" si="51"/>
        <v>0</v>
      </c>
      <c r="BV122" s="6">
        <f t="shared" si="59"/>
        <v>0</v>
      </c>
      <c r="BW122" s="6">
        <f t="shared" si="60"/>
        <v>-30000</v>
      </c>
      <c r="BX122" s="6">
        <f t="shared" si="61"/>
        <v>0</v>
      </c>
      <c r="BY122" s="6">
        <f t="shared" si="62"/>
        <v>0</v>
      </c>
      <c r="BZ122" s="6">
        <f t="shared" si="63"/>
        <v>0</v>
      </c>
      <c r="CA122" s="6">
        <f t="shared" si="64"/>
        <v>0</v>
      </c>
      <c r="CB122" s="6">
        <f t="shared" si="65"/>
        <v>0</v>
      </c>
      <c r="CC122" s="6">
        <f t="shared" si="66"/>
        <v>0</v>
      </c>
      <c r="CD122" s="6">
        <f t="shared" si="67"/>
        <v>0</v>
      </c>
      <c r="CE122" s="6">
        <f t="shared" si="68"/>
        <v>0</v>
      </c>
      <c r="CF122" s="6">
        <f t="shared" si="69"/>
        <v>0</v>
      </c>
      <c r="CG122" s="6">
        <f t="shared" si="70"/>
        <v>0</v>
      </c>
      <c r="CH122" s="6">
        <f t="shared" si="52"/>
        <v>-30000</v>
      </c>
    </row>
    <row r="123" spans="1:86" hidden="1" x14ac:dyDescent="0.35">
      <c r="A123" s="3" t="s">
        <v>425</v>
      </c>
      <c r="C123" s="10">
        <v>15000</v>
      </c>
      <c r="N123" s="27">
        <f t="shared" si="56"/>
        <v>15000</v>
      </c>
      <c r="AA123" s="27">
        <f t="shared" si="53"/>
        <v>0</v>
      </c>
      <c r="AB123" s="10">
        <f t="shared" si="58"/>
        <v>0</v>
      </c>
      <c r="AC123" s="10">
        <f t="shared" si="58"/>
        <v>15000</v>
      </c>
      <c r="AD123" s="10">
        <f t="shared" si="58"/>
        <v>0</v>
      </c>
      <c r="AE123" s="10">
        <f t="shared" si="58"/>
        <v>0</v>
      </c>
      <c r="AF123" s="10">
        <f t="shared" si="58"/>
        <v>0</v>
      </c>
      <c r="AG123" s="10">
        <f t="shared" si="58"/>
        <v>0</v>
      </c>
      <c r="AH123" s="10">
        <f t="shared" si="58"/>
        <v>0</v>
      </c>
      <c r="AI123" s="10">
        <f t="shared" si="57"/>
        <v>0</v>
      </c>
      <c r="AJ123" s="10">
        <f t="shared" si="57"/>
        <v>0</v>
      </c>
      <c r="AK123" s="10">
        <f t="shared" si="57"/>
        <v>0</v>
      </c>
      <c r="AL123" s="10">
        <f t="shared" si="57"/>
        <v>0</v>
      </c>
      <c r="AM123" s="10">
        <f t="shared" si="57"/>
        <v>0</v>
      </c>
      <c r="AN123" s="27">
        <f t="shared" si="57"/>
        <v>15000</v>
      </c>
      <c r="AS123" t="str">
        <f>_xlfn.XLOOKUP(AU123,[2]GAE!HZ:HZ,[2]GAE!IA:IA)</f>
        <v>ADMIN SERVICES</v>
      </c>
      <c r="AT123" t="str">
        <f>_xlfn.XLOOKUP(AU123,[2]GAE!HZ:HZ,[2]GAE!IB:IB)</f>
        <v>GAE - Insurance - Motor Car</v>
      </c>
      <c r="AU123" t="s">
        <v>424</v>
      </c>
      <c r="AV123">
        <v>80123102</v>
      </c>
      <c r="AW123">
        <v>61101104</v>
      </c>
      <c r="AX123" t="str">
        <f>_xlfn.XLOOKUP(AU123,[2]GAE!HZ:HZ,[2]GAE!IF:IF)</f>
        <v>Others</v>
      </c>
      <c r="AY123" t="str">
        <f>_xlfn.XLOOKUP(AU123,[2]GAE!HZ:HZ,[2]GAE!IG:IG)</f>
        <v>Insurance</v>
      </c>
      <c r="BF123" t="s">
        <v>24</v>
      </c>
      <c r="BG123" s="2" t="s">
        <v>24</v>
      </c>
      <c r="BH123" s="10">
        <f>SUMIFS('[1]2026'!$K:$K,'[1]2026'!$T:$T,BD123,'[1]2026'!$S:$S,BH$3,'[1]2026'!$P:$P,AU123)</f>
        <v>0</v>
      </c>
      <c r="BI123" s="10">
        <f>SUMIFS('[1]2026'!$K:$K,'[1]2026'!$T:$T,$BD123,'[1]2026'!$S:$S,BI$3,'[1]2026'!$P:$P,$AU123)</f>
        <v>0</v>
      </c>
      <c r="BJ123" s="10">
        <f>SUMIFS('[1]2026'!$K:$K,'[1]2026'!$T:$T,$BD123,'[1]2026'!$S:$S,BJ$3,'[1]2026'!$P:$P,$AU123)</f>
        <v>0</v>
      </c>
      <c r="BK123" s="10">
        <f>SUMIFS('[1]2026'!$K:$K,'[1]2026'!$T:$T,$BD123,'[1]2026'!$S:$S,BK$3,'[1]2026'!$P:$P,$AU123)</f>
        <v>0</v>
      </c>
      <c r="BL123" s="6"/>
      <c r="BM123" s="10">
        <f>SUMIFS('[1]2026'!$K:$K,'[1]2026'!$T:$T,$BD123,'[1]2026'!$S:$S,BM$3,'[1]2026'!$P:$P,$AU123)</f>
        <v>0</v>
      </c>
      <c r="BN123" s="10">
        <f>SUMIFS('[1]2026'!$K:$K,'[1]2026'!$T:$T,$BD123,'[1]2026'!$S:$S,BN$3,'[1]2026'!$P:$P,$AU123)</f>
        <v>0</v>
      </c>
      <c r="BO123" s="10">
        <f>SUMIFS('[1]2026'!$K:$K,'[1]2026'!$T:$T,$BD123,'[1]2026'!$S:$S,BO$3,'[1]2026'!$P:$P,$AU123)</f>
        <v>0</v>
      </c>
      <c r="BP123" s="6"/>
      <c r="BQ123" s="6"/>
      <c r="BR123" s="6"/>
      <c r="BS123" s="6"/>
      <c r="BT123" s="6">
        <f t="shared" si="51"/>
        <v>0</v>
      </c>
      <c r="BV123" s="6">
        <f t="shared" si="59"/>
        <v>0</v>
      </c>
      <c r="BW123" s="6">
        <f t="shared" si="60"/>
        <v>-15000</v>
      </c>
      <c r="BX123" s="6">
        <f t="shared" si="61"/>
        <v>0</v>
      </c>
      <c r="BY123" s="6">
        <f t="shared" si="62"/>
        <v>0</v>
      </c>
      <c r="BZ123" s="6">
        <f t="shared" si="63"/>
        <v>0</v>
      </c>
      <c r="CA123" s="6">
        <f t="shared" si="64"/>
        <v>0</v>
      </c>
      <c r="CB123" s="6">
        <f t="shared" si="65"/>
        <v>0</v>
      </c>
      <c r="CC123" s="6">
        <f t="shared" si="66"/>
        <v>0</v>
      </c>
      <c r="CD123" s="6">
        <f t="shared" si="67"/>
        <v>0</v>
      </c>
      <c r="CE123" s="6">
        <f t="shared" si="68"/>
        <v>0</v>
      </c>
      <c r="CF123" s="6">
        <f t="shared" si="69"/>
        <v>0</v>
      </c>
      <c r="CG123" s="6">
        <f t="shared" si="70"/>
        <v>0</v>
      </c>
      <c r="CH123" s="6">
        <f t="shared" si="52"/>
        <v>-15000</v>
      </c>
    </row>
    <row r="124" spans="1:86" hidden="1" x14ac:dyDescent="0.35">
      <c r="A124" s="3" t="s">
        <v>426</v>
      </c>
      <c r="C124" s="10">
        <v>30000</v>
      </c>
      <c r="N124" s="27">
        <f t="shared" si="56"/>
        <v>30000</v>
      </c>
      <c r="AA124" s="27">
        <f t="shared" si="53"/>
        <v>0</v>
      </c>
      <c r="AB124" s="10">
        <f t="shared" si="58"/>
        <v>0</v>
      </c>
      <c r="AC124" s="10">
        <f t="shared" si="58"/>
        <v>30000</v>
      </c>
      <c r="AD124" s="10">
        <f t="shared" si="58"/>
        <v>0</v>
      </c>
      <c r="AE124" s="10">
        <f t="shared" si="58"/>
        <v>0</v>
      </c>
      <c r="AF124" s="10">
        <f t="shared" si="58"/>
        <v>0</v>
      </c>
      <c r="AG124" s="10">
        <f t="shared" si="58"/>
        <v>0</v>
      </c>
      <c r="AH124" s="10">
        <f t="shared" si="58"/>
        <v>0</v>
      </c>
      <c r="AI124" s="10">
        <f t="shared" si="57"/>
        <v>0</v>
      </c>
      <c r="AJ124" s="10">
        <f t="shared" si="57"/>
        <v>0</v>
      </c>
      <c r="AK124" s="10">
        <f t="shared" si="57"/>
        <v>0</v>
      </c>
      <c r="AL124" s="10">
        <f t="shared" si="57"/>
        <v>0</v>
      </c>
      <c r="AM124" s="10">
        <f t="shared" si="57"/>
        <v>0</v>
      </c>
      <c r="AN124" s="27">
        <f t="shared" si="57"/>
        <v>30000</v>
      </c>
      <c r="AS124" t="str">
        <f>_xlfn.XLOOKUP(AU124,[2]GAE!HZ:HZ,[2]GAE!IA:IA)</f>
        <v>ADMIN SERVICES</v>
      </c>
      <c r="AT124" t="str">
        <f>_xlfn.XLOOKUP(AU124,[2]GAE!HZ:HZ,[2]GAE!IB:IB)</f>
        <v>DOE - Insurance - Motor Car</v>
      </c>
      <c r="AU124" t="s">
        <v>415</v>
      </c>
      <c r="AV124">
        <v>81123102</v>
      </c>
      <c r="AW124">
        <v>52101112</v>
      </c>
      <c r="AX124" t="str">
        <f>_xlfn.XLOOKUP(AU124,[2]GAE!HZ:HZ,[2]GAE!IF:IF)</f>
        <v>Others</v>
      </c>
      <c r="AY124" t="str">
        <f>_xlfn.XLOOKUP(AU124,[2]GAE!HZ:HZ,[2]GAE!IG:IG)</f>
        <v>Insurance</v>
      </c>
      <c r="BF124" t="s">
        <v>24</v>
      </c>
      <c r="BG124" s="2" t="s">
        <v>24</v>
      </c>
      <c r="BH124" s="10">
        <f>SUMIFS('[1]2026'!$K:$K,'[1]2026'!$T:$T,BD124,'[1]2026'!$S:$S,BH$3,'[1]2026'!$P:$P,AU124)</f>
        <v>0</v>
      </c>
      <c r="BI124" s="10">
        <f>SUMIFS('[1]2026'!$K:$K,'[1]2026'!$T:$T,$BD124,'[1]2026'!$S:$S,BI$3,'[1]2026'!$P:$P,$AU124)</f>
        <v>0</v>
      </c>
      <c r="BJ124" s="10">
        <f>SUMIFS('[1]2026'!$K:$K,'[1]2026'!$T:$T,$BD124,'[1]2026'!$S:$S,BJ$3,'[1]2026'!$P:$P,$AU124)</f>
        <v>0</v>
      </c>
      <c r="BK124" s="10">
        <f>SUMIFS('[1]2026'!$K:$K,'[1]2026'!$T:$T,$BD124,'[1]2026'!$S:$S,BK$3,'[1]2026'!$P:$P,$AU124)</f>
        <v>0</v>
      </c>
      <c r="BL124" s="6"/>
      <c r="BM124" s="10">
        <f>SUMIFS('[1]2026'!$K:$K,'[1]2026'!$T:$T,$BD124,'[1]2026'!$S:$S,BM$3,'[1]2026'!$P:$P,$AU124)</f>
        <v>0</v>
      </c>
      <c r="BN124" s="10">
        <f>SUMIFS('[1]2026'!$K:$K,'[1]2026'!$T:$T,$BD124,'[1]2026'!$S:$S,BN$3,'[1]2026'!$P:$P,$AU124)</f>
        <v>0</v>
      </c>
      <c r="BO124" s="10">
        <f>SUMIFS('[1]2026'!$K:$K,'[1]2026'!$T:$T,$BD124,'[1]2026'!$S:$S,BO$3,'[1]2026'!$P:$P,$AU124)</f>
        <v>0</v>
      </c>
      <c r="BP124" s="6"/>
      <c r="BQ124" s="6"/>
      <c r="BR124" s="6"/>
      <c r="BS124" s="6"/>
      <c r="BT124" s="6">
        <f t="shared" si="51"/>
        <v>0</v>
      </c>
      <c r="BV124" s="6">
        <f t="shared" si="59"/>
        <v>0</v>
      </c>
      <c r="BW124" s="6">
        <f t="shared" si="60"/>
        <v>-30000</v>
      </c>
      <c r="BX124" s="6">
        <f t="shared" si="61"/>
        <v>0</v>
      </c>
      <c r="BY124" s="6">
        <f t="shared" si="62"/>
        <v>0</v>
      </c>
      <c r="BZ124" s="6">
        <f t="shared" si="63"/>
        <v>0</v>
      </c>
      <c r="CA124" s="6">
        <f t="shared" si="64"/>
        <v>0</v>
      </c>
      <c r="CB124" s="6">
        <f t="shared" si="65"/>
        <v>0</v>
      </c>
      <c r="CC124" s="6">
        <f t="shared" si="66"/>
        <v>0</v>
      </c>
      <c r="CD124" s="6">
        <f t="shared" si="67"/>
        <v>0</v>
      </c>
      <c r="CE124" s="6">
        <f t="shared" si="68"/>
        <v>0</v>
      </c>
      <c r="CF124" s="6">
        <f t="shared" si="69"/>
        <v>0</v>
      </c>
      <c r="CG124" s="6">
        <f t="shared" si="70"/>
        <v>0</v>
      </c>
      <c r="CH124" s="6">
        <f t="shared" si="52"/>
        <v>-30000</v>
      </c>
    </row>
    <row r="125" spans="1:86" hidden="1" x14ac:dyDescent="0.35">
      <c r="A125" s="3" t="s">
        <v>427</v>
      </c>
      <c r="C125" s="10">
        <v>30000</v>
      </c>
      <c r="N125" s="27">
        <f t="shared" si="56"/>
        <v>30000</v>
      </c>
      <c r="AA125" s="27">
        <f t="shared" si="53"/>
        <v>0</v>
      </c>
      <c r="AB125" s="10">
        <f t="shared" si="58"/>
        <v>0</v>
      </c>
      <c r="AC125" s="10">
        <f t="shared" si="58"/>
        <v>30000</v>
      </c>
      <c r="AD125" s="10">
        <f t="shared" si="58"/>
        <v>0</v>
      </c>
      <c r="AE125" s="10">
        <f t="shared" si="58"/>
        <v>0</v>
      </c>
      <c r="AF125" s="10">
        <f t="shared" si="58"/>
        <v>0</v>
      </c>
      <c r="AG125" s="10">
        <f t="shared" si="58"/>
        <v>0</v>
      </c>
      <c r="AH125" s="10">
        <f t="shared" si="58"/>
        <v>0</v>
      </c>
      <c r="AI125" s="10">
        <f t="shared" si="57"/>
        <v>0</v>
      </c>
      <c r="AJ125" s="10">
        <f t="shared" si="57"/>
        <v>0</v>
      </c>
      <c r="AK125" s="10">
        <f t="shared" si="57"/>
        <v>0</v>
      </c>
      <c r="AL125" s="10">
        <f t="shared" si="57"/>
        <v>0</v>
      </c>
      <c r="AM125" s="10">
        <f t="shared" si="57"/>
        <v>0</v>
      </c>
      <c r="AN125" s="27">
        <f t="shared" si="57"/>
        <v>30000</v>
      </c>
      <c r="AS125" t="str">
        <f>_xlfn.XLOOKUP(AU125,[2]GAE!HZ:HZ,[2]GAE!IA:IA)</f>
        <v>ADMIN SERVICES</v>
      </c>
      <c r="AT125" t="str">
        <f>_xlfn.XLOOKUP(AU125,[2]GAE!HZ:HZ,[2]GAE!IB:IB)</f>
        <v>DOE - Insurance - Motor Car</v>
      </c>
      <c r="AU125" t="s">
        <v>415</v>
      </c>
      <c r="AV125">
        <v>81123102</v>
      </c>
      <c r="AW125">
        <v>52101112</v>
      </c>
      <c r="AX125" t="str">
        <f>_xlfn.XLOOKUP(AU125,[2]GAE!HZ:HZ,[2]GAE!IF:IF)</f>
        <v>Others</v>
      </c>
      <c r="AY125" t="str">
        <f>_xlfn.XLOOKUP(AU125,[2]GAE!HZ:HZ,[2]GAE!IG:IG)</f>
        <v>Insurance</v>
      </c>
      <c r="BF125" t="s">
        <v>24</v>
      </c>
      <c r="BG125" s="2" t="s">
        <v>24</v>
      </c>
      <c r="BH125" s="10">
        <f>SUMIFS('[1]2026'!$K:$K,'[1]2026'!$T:$T,BD125,'[1]2026'!$S:$S,BH$3,'[1]2026'!$P:$P,AU125)</f>
        <v>0</v>
      </c>
      <c r="BI125" s="10">
        <f>SUMIFS('[1]2026'!$K:$K,'[1]2026'!$T:$T,$BD125,'[1]2026'!$S:$S,BI$3,'[1]2026'!$P:$P,$AU125)</f>
        <v>0</v>
      </c>
      <c r="BJ125" s="10">
        <f>SUMIFS('[1]2026'!$K:$K,'[1]2026'!$T:$T,$BD125,'[1]2026'!$S:$S,BJ$3,'[1]2026'!$P:$P,$AU125)</f>
        <v>0</v>
      </c>
      <c r="BK125" s="10">
        <f>SUMIFS('[1]2026'!$K:$K,'[1]2026'!$T:$T,$BD125,'[1]2026'!$S:$S,BK$3,'[1]2026'!$P:$P,$AU125)</f>
        <v>0</v>
      </c>
      <c r="BL125" s="6"/>
      <c r="BM125" s="10">
        <f>SUMIFS('[1]2026'!$K:$K,'[1]2026'!$T:$T,$BD125,'[1]2026'!$S:$S,BM$3,'[1]2026'!$P:$P,$AU125)</f>
        <v>0</v>
      </c>
      <c r="BN125" s="10">
        <f>SUMIFS('[1]2026'!$K:$K,'[1]2026'!$T:$T,$BD125,'[1]2026'!$S:$S,BN$3,'[1]2026'!$P:$P,$AU125)</f>
        <v>0</v>
      </c>
      <c r="BO125" s="10">
        <f>SUMIFS('[1]2026'!$K:$K,'[1]2026'!$T:$T,$BD125,'[1]2026'!$S:$S,BO$3,'[1]2026'!$P:$P,$AU125)</f>
        <v>0</v>
      </c>
      <c r="BP125" s="6"/>
      <c r="BQ125" s="6"/>
      <c r="BR125" s="6"/>
      <c r="BS125" s="6"/>
      <c r="BT125" s="6">
        <f t="shared" si="51"/>
        <v>0</v>
      </c>
      <c r="BV125" s="6">
        <f t="shared" si="59"/>
        <v>0</v>
      </c>
      <c r="BW125" s="6">
        <f t="shared" si="60"/>
        <v>-30000</v>
      </c>
      <c r="BX125" s="6">
        <f t="shared" si="61"/>
        <v>0</v>
      </c>
      <c r="BY125" s="6">
        <f t="shared" si="62"/>
        <v>0</v>
      </c>
      <c r="BZ125" s="6">
        <f t="shared" si="63"/>
        <v>0</v>
      </c>
      <c r="CA125" s="6">
        <f t="shared" si="64"/>
        <v>0</v>
      </c>
      <c r="CB125" s="6">
        <f t="shared" si="65"/>
        <v>0</v>
      </c>
      <c r="CC125" s="6">
        <f t="shared" si="66"/>
        <v>0</v>
      </c>
      <c r="CD125" s="6">
        <f t="shared" si="67"/>
        <v>0</v>
      </c>
      <c r="CE125" s="6">
        <f t="shared" si="68"/>
        <v>0</v>
      </c>
      <c r="CF125" s="6">
        <f t="shared" si="69"/>
        <v>0</v>
      </c>
      <c r="CG125" s="6">
        <f t="shared" si="70"/>
        <v>0</v>
      </c>
      <c r="CH125" s="6">
        <f t="shared" si="52"/>
        <v>-30000</v>
      </c>
    </row>
    <row r="126" spans="1:86" hidden="1" x14ac:dyDescent="0.35">
      <c r="A126" s="3" t="s">
        <v>428</v>
      </c>
      <c r="C126" s="10">
        <v>30000</v>
      </c>
      <c r="N126" s="27">
        <f t="shared" si="56"/>
        <v>30000</v>
      </c>
      <c r="AA126" s="27">
        <f t="shared" si="53"/>
        <v>0</v>
      </c>
      <c r="AB126" s="10">
        <f t="shared" si="58"/>
        <v>0</v>
      </c>
      <c r="AC126" s="10">
        <f t="shared" si="58"/>
        <v>30000</v>
      </c>
      <c r="AD126" s="10">
        <f t="shared" si="58"/>
        <v>0</v>
      </c>
      <c r="AE126" s="10">
        <f t="shared" si="58"/>
        <v>0</v>
      </c>
      <c r="AF126" s="10">
        <f t="shared" si="58"/>
        <v>0</v>
      </c>
      <c r="AG126" s="10">
        <f t="shared" si="58"/>
        <v>0</v>
      </c>
      <c r="AH126" s="10">
        <f t="shared" si="58"/>
        <v>0</v>
      </c>
      <c r="AI126" s="10">
        <f t="shared" si="57"/>
        <v>0</v>
      </c>
      <c r="AJ126" s="10">
        <f t="shared" si="57"/>
        <v>0</v>
      </c>
      <c r="AK126" s="10">
        <f t="shared" si="57"/>
        <v>0</v>
      </c>
      <c r="AL126" s="10">
        <f t="shared" si="57"/>
        <v>0</v>
      </c>
      <c r="AM126" s="10">
        <f t="shared" si="57"/>
        <v>0</v>
      </c>
      <c r="AN126" s="27">
        <f t="shared" si="57"/>
        <v>30000</v>
      </c>
      <c r="AS126" t="str">
        <f>_xlfn.XLOOKUP(AU126,[2]GAE!HZ:HZ,[2]GAE!IA:IA)</f>
        <v>ADMIN SERVICES</v>
      </c>
      <c r="AT126" t="str">
        <f>_xlfn.XLOOKUP(AU126,[2]GAE!HZ:HZ,[2]GAE!IB:IB)</f>
        <v>DOE - Insurance - Motor Car</v>
      </c>
      <c r="AU126" t="s">
        <v>415</v>
      </c>
      <c r="AV126">
        <v>81123102</v>
      </c>
      <c r="AW126">
        <v>52101112</v>
      </c>
      <c r="AX126" t="str">
        <f>_xlfn.XLOOKUP(AU126,[2]GAE!HZ:HZ,[2]GAE!IF:IF)</f>
        <v>Others</v>
      </c>
      <c r="AY126" t="str">
        <f>_xlfn.XLOOKUP(AU126,[2]GAE!HZ:HZ,[2]GAE!IG:IG)</f>
        <v>Insurance</v>
      </c>
      <c r="BF126" t="s">
        <v>24</v>
      </c>
      <c r="BG126" s="2" t="s">
        <v>24</v>
      </c>
      <c r="BH126" s="10">
        <f>SUMIFS('[1]2026'!$K:$K,'[1]2026'!$T:$T,BD126,'[1]2026'!$S:$S,BH$3,'[1]2026'!$P:$P,AU126)</f>
        <v>0</v>
      </c>
      <c r="BI126" s="10">
        <f>SUMIFS('[1]2026'!$K:$K,'[1]2026'!$T:$T,$BD126,'[1]2026'!$S:$S,BI$3,'[1]2026'!$P:$P,$AU126)</f>
        <v>0</v>
      </c>
      <c r="BJ126" s="10">
        <f>SUMIFS('[1]2026'!$K:$K,'[1]2026'!$T:$T,$BD126,'[1]2026'!$S:$S,BJ$3,'[1]2026'!$P:$P,$AU126)</f>
        <v>0</v>
      </c>
      <c r="BK126" s="10">
        <f>SUMIFS('[1]2026'!$K:$K,'[1]2026'!$T:$T,$BD126,'[1]2026'!$S:$S,BK$3,'[1]2026'!$P:$P,$AU126)</f>
        <v>0</v>
      </c>
      <c r="BL126" s="6"/>
      <c r="BM126" s="10">
        <f>SUMIFS('[1]2026'!$K:$K,'[1]2026'!$T:$T,$BD126,'[1]2026'!$S:$S,BM$3,'[1]2026'!$P:$P,$AU126)</f>
        <v>0</v>
      </c>
      <c r="BN126" s="10">
        <f>SUMIFS('[1]2026'!$K:$K,'[1]2026'!$T:$T,$BD126,'[1]2026'!$S:$S,BN$3,'[1]2026'!$P:$P,$AU126)</f>
        <v>0</v>
      </c>
      <c r="BO126" s="10">
        <f>SUMIFS('[1]2026'!$K:$K,'[1]2026'!$T:$T,$BD126,'[1]2026'!$S:$S,BO$3,'[1]2026'!$P:$P,$AU126)</f>
        <v>0</v>
      </c>
      <c r="BP126" s="6"/>
      <c r="BQ126" s="6"/>
      <c r="BR126" s="6"/>
      <c r="BS126" s="6"/>
      <c r="BT126" s="6">
        <f t="shared" si="51"/>
        <v>0</v>
      </c>
      <c r="BV126" s="6">
        <f t="shared" si="59"/>
        <v>0</v>
      </c>
      <c r="BW126" s="6">
        <f t="shared" si="60"/>
        <v>-30000</v>
      </c>
      <c r="BX126" s="6">
        <f t="shared" si="61"/>
        <v>0</v>
      </c>
      <c r="BY126" s="6">
        <f t="shared" si="62"/>
        <v>0</v>
      </c>
      <c r="BZ126" s="6">
        <f t="shared" si="63"/>
        <v>0</v>
      </c>
      <c r="CA126" s="6">
        <f t="shared" si="64"/>
        <v>0</v>
      </c>
      <c r="CB126" s="6">
        <f t="shared" si="65"/>
        <v>0</v>
      </c>
      <c r="CC126" s="6">
        <f t="shared" si="66"/>
        <v>0</v>
      </c>
      <c r="CD126" s="6">
        <f t="shared" si="67"/>
        <v>0</v>
      </c>
      <c r="CE126" s="6">
        <f t="shared" si="68"/>
        <v>0</v>
      </c>
      <c r="CF126" s="6">
        <f t="shared" si="69"/>
        <v>0</v>
      </c>
      <c r="CG126" s="6">
        <f t="shared" si="70"/>
        <v>0</v>
      </c>
      <c r="CH126" s="6">
        <f t="shared" si="52"/>
        <v>-30000</v>
      </c>
    </row>
    <row r="127" spans="1:86" hidden="1" x14ac:dyDescent="0.35">
      <c r="A127" s="3" t="s">
        <v>429</v>
      </c>
      <c r="C127" s="10">
        <v>15000</v>
      </c>
      <c r="N127" s="27">
        <f t="shared" si="56"/>
        <v>15000</v>
      </c>
      <c r="AA127" s="27">
        <f t="shared" si="53"/>
        <v>0</v>
      </c>
      <c r="AB127" s="10">
        <f t="shared" si="58"/>
        <v>0</v>
      </c>
      <c r="AC127" s="10">
        <f t="shared" si="58"/>
        <v>15000</v>
      </c>
      <c r="AD127" s="10">
        <f t="shared" si="58"/>
        <v>0</v>
      </c>
      <c r="AE127" s="10">
        <f t="shared" si="58"/>
        <v>0</v>
      </c>
      <c r="AF127" s="10">
        <f t="shared" si="58"/>
        <v>0</v>
      </c>
      <c r="AG127" s="10">
        <f t="shared" si="58"/>
        <v>0</v>
      </c>
      <c r="AH127" s="10">
        <f t="shared" si="58"/>
        <v>0</v>
      </c>
      <c r="AI127" s="10">
        <f t="shared" si="57"/>
        <v>0</v>
      </c>
      <c r="AJ127" s="10">
        <f t="shared" si="57"/>
        <v>0</v>
      </c>
      <c r="AK127" s="10">
        <f t="shared" si="57"/>
        <v>0</v>
      </c>
      <c r="AL127" s="10">
        <f t="shared" si="57"/>
        <v>0</v>
      </c>
      <c r="AM127" s="10">
        <f t="shared" si="57"/>
        <v>0</v>
      </c>
      <c r="AN127" s="27">
        <f t="shared" si="57"/>
        <v>15000</v>
      </c>
      <c r="AS127" t="str">
        <f>_xlfn.XLOOKUP(AU127,[2]GAE!HZ:HZ,[2]GAE!IA:IA)</f>
        <v>ADMIN SERVICES</v>
      </c>
      <c r="AT127" t="str">
        <f>_xlfn.XLOOKUP(AU127,[2]GAE!HZ:HZ,[2]GAE!IB:IB)</f>
        <v>DOE - Insurance - Motor Car</v>
      </c>
      <c r="AU127" t="s">
        <v>415</v>
      </c>
      <c r="AV127">
        <v>81123102</v>
      </c>
      <c r="AW127">
        <v>52101112</v>
      </c>
      <c r="AX127" t="str">
        <f>_xlfn.XLOOKUP(AU127,[2]GAE!HZ:HZ,[2]GAE!IF:IF)</f>
        <v>Others</v>
      </c>
      <c r="AY127" t="str">
        <f>_xlfn.XLOOKUP(AU127,[2]GAE!HZ:HZ,[2]GAE!IG:IG)</f>
        <v>Insurance</v>
      </c>
      <c r="BF127" t="s">
        <v>24</v>
      </c>
      <c r="BG127" s="2" t="s">
        <v>24</v>
      </c>
      <c r="BH127" s="10">
        <f>SUMIFS('[1]2026'!$K:$K,'[1]2026'!$T:$T,BD127,'[1]2026'!$S:$S,BH$3,'[1]2026'!$P:$P,AU127)</f>
        <v>0</v>
      </c>
      <c r="BI127" s="10">
        <f>SUMIFS('[1]2026'!$K:$K,'[1]2026'!$T:$T,$BD127,'[1]2026'!$S:$S,BI$3,'[1]2026'!$P:$P,$AU127)</f>
        <v>0</v>
      </c>
      <c r="BJ127" s="10">
        <f>SUMIFS('[1]2026'!$K:$K,'[1]2026'!$T:$T,$BD127,'[1]2026'!$S:$S,BJ$3,'[1]2026'!$P:$P,$AU127)</f>
        <v>0</v>
      </c>
      <c r="BK127" s="10">
        <f>SUMIFS('[1]2026'!$K:$K,'[1]2026'!$T:$T,$BD127,'[1]2026'!$S:$S,BK$3,'[1]2026'!$P:$P,$AU127)</f>
        <v>0</v>
      </c>
      <c r="BL127" s="6"/>
      <c r="BM127" s="10">
        <f>SUMIFS('[1]2026'!$K:$K,'[1]2026'!$T:$T,$BD127,'[1]2026'!$S:$S,BM$3,'[1]2026'!$P:$P,$AU127)</f>
        <v>0</v>
      </c>
      <c r="BN127" s="10">
        <f>SUMIFS('[1]2026'!$K:$K,'[1]2026'!$T:$T,$BD127,'[1]2026'!$S:$S,BN$3,'[1]2026'!$P:$P,$AU127)</f>
        <v>0</v>
      </c>
      <c r="BO127" s="10">
        <f>SUMIFS('[1]2026'!$K:$K,'[1]2026'!$T:$T,$BD127,'[1]2026'!$S:$S,BO$3,'[1]2026'!$P:$P,$AU127)</f>
        <v>0</v>
      </c>
      <c r="BP127" s="6"/>
      <c r="BQ127" s="6"/>
      <c r="BR127" s="6"/>
      <c r="BS127" s="6"/>
      <c r="BT127" s="6">
        <f t="shared" si="51"/>
        <v>0</v>
      </c>
      <c r="BV127" s="6">
        <f t="shared" si="59"/>
        <v>0</v>
      </c>
      <c r="BW127" s="6">
        <f t="shared" si="60"/>
        <v>-15000</v>
      </c>
      <c r="BX127" s="6">
        <f t="shared" si="61"/>
        <v>0</v>
      </c>
      <c r="BY127" s="6">
        <f t="shared" si="62"/>
        <v>0</v>
      </c>
      <c r="BZ127" s="6">
        <f t="shared" si="63"/>
        <v>0</v>
      </c>
      <c r="CA127" s="6">
        <f t="shared" si="64"/>
        <v>0</v>
      </c>
      <c r="CB127" s="6">
        <f t="shared" si="65"/>
        <v>0</v>
      </c>
      <c r="CC127" s="6">
        <f t="shared" si="66"/>
        <v>0</v>
      </c>
      <c r="CD127" s="6">
        <f t="shared" si="67"/>
        <v>0</v>
      </c>
      <c r="CE127" s="6">
        <f t="shared" si="68"/>
        <v>0</v>
      </c>
      <c r="CF127" s="6">
        <f t="shared" si="69"/>
        <v>0</v>
      </c>
      <c r="CG127" s="6">
        <f t="shared" si="70"/>
        <v>0</v>
      </c>
      <c r="CH127" s="6">
        <f t="shared" si="52"/>
        <v>-15000</v>
      </c>
    </row>
    <row r="128" spans="1:86" hidden="1" x14ac:dyDescent="0.35">
      <c r="A128" s="3" t="s">
        <v>430</v>
      </c>
      <c r="C128" s="10">
        <v>30000</v>
      </c>
      <c r="N128" s="27">
        <f t="shared" si="56"/>
        <v>30000</v>
      </c>
      <c r="AA128" s="27">
        <f t="shared" si="53"/>
        <v>0</v>
      </c>
      <c r="AB128" s="10">
        <f t="shared" si="58"/>
        <v>0</v>
      </c>
      <c r="AC128" s="10">
        <f t="shared" si="58"/>
        <v>30000</v>
      </c>
      <c r="AD128" s="10">
        <f t="shared" si="58"/>
        <v>0</v>
      </c>
      <c r="AE128" s="10">
        <f t="shared" si="58"/>
        <v>0</v>
      </c>
      <c r="AF128" s="10">
        <f t="shared" si="58"/>
        <v>0</v>
      </c>
      <c r="AG128" s="10">
        <f t="shared" si="58"/>
        <v>0</v>
      </c>
      <c r="AH128" s="10">
        <f t="shared" si="58"/>
        <v>0</v>
      </c>
      <c r="AI128" s="10">
        <f t="shared" si="57"/>
        <v>0</v>
      </c>
      <c r="AJ128" s="10">
        <f t="shared" si="57"/>
        <v>0</v>
      </c>
      <c r="AK128" s="10">
        <f t="shared" si="57"/>
        <v>0</v>
      </c>
      <c r="AL128" s="10">
        <f t="shared" si="57"/>
        <v>0</v>
      </c>
      <c r="AM128" s="10">
        <f t="shared" si="57"/>
        <v>0</v>
      </c>
      <c r="AN128" s="27">
        <f t="shared" si="57"/>
        <v>30000</v>
      </c>
      <c r="AS128" t="str">
        <f>_xlfn.XLOOKUP(AU128,[2]GAE!HZ:HZ,[2]GAE!IA:IA)</f>
        <v>ADMIN SERVICES</v>
      </c>
      <c r="AT128" t="str">
        <f>_xlfn.XLOOKUP(AU128,[2]GAE!HZ:HZ,[2]GAE!IB:IB)</f>
        <v>DOE - Insurance - Motor Car</v>
      </c>
      <c r="AU128" t="s">
        <v>415</v>
      </c>
      <c r="AV128">
        <v>81123102</v>
      </c>
      <c r="AW128">
        <v>52101112</v>
      </c>
      <c r="AX128" t="str">
        <f>_xlfn.XLOOKUP(AU128,[2]GAE!HZ:HZ,[2]GAE!IF:IF)</f>
        <v>Others</v>
      </c>
      <c r="AY128" t="str">
        <f>_xlfn.XLOOKUP(AU128,[2]GAE!HZ:HZ,[2]GAE!IG:IG)</f>
        <v>Insurance</v>
      </c>
      <c r="BF128" t="s">
        <v>24</v>
      </c>
      <c r="BG128" s="2" t="s">
        <v>24</v>
      </c>
      <c r="BH128" s="10">
        <f>SUMIFS('[1]2026'!$K:$K,'[1]2026'!$T:$T,BD128,'[1]2026'!$S:$S,BH$3,'[1]2026'!$P:$P,AU128)</f>
        <v>0</v>
      </c>
      <c r="BI128" s="10">
        <f>SUMIFS('[1]2026'!$K:$K,'[1]2026'!$T:$T,$BD128,'[1]2026'!$S:$S,BI$3,'[1]2026'!$P:$P,$AU128)</f>
        <v>0</v>
      </c>
      <c r="BJ128" s="10">
        <f>SUMIFS('[1]2026'!$K:$K,'[1]2026'!$T:$T,$BD128,'[1]2026'!$S:$S,BJ$3,'[1]2026'!$P:$P,$AU128)</f>
        <v>0</v>
      </c>
      <c r="BK128" s="10">
        <f>SUMIFS('[1]2026'!$K:$K,'[1]2026'!$T:$T,$BD128,'[1]2026'!$S:$S,BK$3,'[1]2026'!$P:$P,$AU128)</f>
        <v>0</v>
      </c>
      <c r="BL128" s="6"/>
      <c r="BM128" s="10">
        <f>SUMIFS('[1]2026'!$K:$K,'[1]2026'!$T:$T,$BD128,'[1]2026'!$S:$S,BM$3,'[1]2026'!$P:$P,$AU128)</f>
        <v>0</v>
      </c>
      <c r="BN128" s="10">
        <f>SUMIFS('[1]2026'!$K:$K,'[1]2026'!$T:$T,$BD128,'[1]2026'!$S:$S,BN$3,'[1]2026'!$P:$P,$AU128)</f>
        <v>0</v>
      </c>
      <c r="BO128" s="10">
        <f>SUMIFS('[1]2026'!$K:$K,'[1]2026'!$T:$T,$BD128,'[1]2026'!$S:$S,BO$3,'[1]2026'!$P:$P,$AU128)</f>
        <v>0</v>
      </c>
      <c r="BP128" s="6"/>
      <c r="BQ128" s="6"/>
      <c r="BR128" s="6"/>
      <c r="BS128" s="6"/>
      <c r="BT128" s="6">
        <f t="shared" si="51"/>
        <v>0</v>
      </c>
      <c r="BV128" s="6">
        <f t="shared" si="59"/>
        <v>0</v>
      </c>
      <c r="BW128" s="6">
        <f t="shared" si="60"/>
        <v>-30000</v>
      </c>
      <c r="BX128" s="6">
        <f t="shared" si="61"/>
        <v>0</v>
      </c>
      <c r="BY128" s="6">
        <f t="shared" si="62"/>
        <v>0</v>
      </c>
      <c r="BZ128" s="6">
        <f t="shared" si="63"/>
        <v>0</v>
      </c>
      <c r="CA128" s="6">
        <f t="shared" si="64"/>
        <v>0</v>
      </c>
      <c r="CB128" s="6">
        <f t="shared" si="65"/>
        <v>0</v>
      </c>
      <c r="CC128" s="6">
        <f t="shared" si="66"/>
        <v>0</v>
      </c>
      <c r="CD128" s="6">
        <f t="shared" si="67"/>
        <v>0</v>
      </c>
      <c r="CE128" s="6">
        <f t="shared" si="68"/>
        <v>0</v>
      </c>
      <c r="CF128" s="6">
        <f t="shared" si="69"/>
        <v>0</v>
      </c>
      <c r="CG128" s="6">
        <f t="shared" si="70"/>
        <v>0</v>
      </c>
      <c r="CH128" s="6">
        <f t="shared" si="52"/>
        <v>-30000</v>
      </c>
    </row>
    <row r="129" spans="1:86" hidden="1" x14ac:dyDescent="0.35">
      <c r="A129" s="3" t="s">
        <v>431</v>
      </c>
      <c r="C129" s="10">
        <v>30000</v>
      </c>
      <c r="N129" s="27">
        <f t="shared" si="56"/>
        <v>30000</v>
      </c>
      <c r="AA129" s="27">
        <f t="shared" si="53"/>
        <v>0</v>
      </c>
      <c r="AB129" s="10">
        <f t="shared" si="58"/>
        <v>0</v>
      </c>
      <c r="AC129" s="10">
        <f t="shared" si="58"/>
        <v>30000</v>
      </c>
      <c r="AD129" s="10">
        <f t="shared" si="58"/>
        <v>0</v>
      </c>
      <c r="AE129" s="10">
        <f t="shared" si="58"/>
        <v>0</v>
      </c>
      <c r="AF129" s="10">
        <f t="shared" si="58"/>
        <v>0</v>
      </c>
      <c r="AG129" s="10">
        <f t="shared" si="58"/>
        <v>0</v>
      </c>
      <c r="AH129" s="10">
        <f t="shared" si="58"/>
        <v>0</v>
      </c>
      <c r="AI129" s="10">
        <f t="shared" si="57"/>
        <v>0</v>
      </c>
      <c r="AJ129" s="10">
        <f t="shared" si="57"/>
        <v>0</v>
      </c>
      <c r="AK129" s="10">
        <f t="shared" si="57"/>
        <v>0</v>
      </c>
      <c r="AL129" s="10">
        <f t="shared" si="57"/>
        <v>0</v>
      </c>
      <c r="AM129" s="10">
        <f t="shared" si="57"/>
        <v>0</v>
      </c>
      <c r="AN129" s="27">
        <f t="shared" si="57"/>
        <v>30000</v>
      </c>
      <c r="AS129" t="str">
        <f>_xlfn.XLOOKUP(AU129,[2]GAE!HZ:HZ,[2]GAE!IA:IA)</f>
        <v>ADMIN SERVICES</v>
      </c>
      <c r="AT129" t="str">
        <f>_xlfn.XLOOKUP(AU129,[2]GAE!HZ:HZ,[2]GAE!IB:IB)</f>
        <v>DOE - Insurance - Motor Car</v>
      </c>
      <c r="AU129" t="s">
        <v>415</v>
      </c>
      <c r="AV129">
        <v>81123102</v>
      </c>
      <c r="AW129">
        <v>52101112</v>
      </c>
      <c r="AX129" t="str">
        <f>_xlfn.XLOOKUP(AU129,[2]GAE!HZ:HZ,[2]GAE!IF:IF)</f>
        <v>Others</v>
      </c>
      <c r="AY129" t="str">
        <f>_xlfn.XLOOKUP(AU129,[2]GAE!HZ:HZ,[2]GAE!IG:IG)</f>
        <v>Insurance</v>
      </c>
      <c r="BF129" t="s">
        <v>24</v>
      </c>
      <c r="BG129" s="2" t="s">
        <v>24</v>
      </c>
      <c r="BH129" s="10">
        <f>SUMIFS('[1]2026'!$K:$K,'[1]2026'!$T:$T,BD129,'[1]2026'!$S:$S,BH$3,'[1]2026'!$P:$P,AU129)</f>
        <v>0</v>
      </c>
      <c r="BI129" s="10">
        <f>SUMIFS('[1]2026'!$K:$K,'[1]2026'!$T:$T,$BD129,'[1]2026'!$S:$S,BI$3,'[1]2026'!$P:$P,$AU129)</f>
        <v>0</v>
      </c>
      <c r="BJ129" s="10">
        <f>SUMIFS('[1]2026'!$K:$K,'[1]2026'!$T:$T,$BD129,'[1]2026'!$S:$S,BJ$3,'[1]2026'!$P:$P,$AU129)</f>
        <v>0</v>
      </c>
      <c r="BK129" s="10">
        <f>SUMIFS('[1]2026'!$K:$K,'[1]2026'!$T:$T,$BD129,'[1]2026'!$S:$S,BK$3,'[1]2026'!$P:$P,$AU129)</f>
        <v>0</v>
      </c>
      <c r="BL129" s="6"/>
      <c r="BM129" s="10">
        <f>SUMIFS('[1]2026'!$K:$K,'[1]2026'!$T:$T,$BD129,'[1]2026'!$S:$S,BM$3,'[1]2026'!$P:$P,$AU129)</f>
        <v>0</v>
      </c>
      <c r="BN129" s="10">
        <f>SUMIFS('[1]2026'!$K:$K,'[1]2026'!$T:$T,$BD129,'[1]2026'!$S:$S,BN$3,'[1]2026'!$P:$P,$AU129)</f>
        <v>0</v>
      </c>
      <c r="BO129" s="10">
        <f>SUMIFS('[1]2026'!$K:$K,'[1]2026'!$T:$T,$BD129,'[1]2026'!$S:$S,BO$3,'[1]2026'!$P:$P,$AU129)</f>
        <v>0</v>
      </c>
      <c r="BP129" s="6"/>
      <c r="BQ129" s="6"/>
      <c r="BR129" s="6"/>
      <c r="BS129" s="6"/>
      <c r="BT129" s="6">
        <f t="shared" si="51"/>
        <v>0</v>
      </c>
      <c r="BV129" s="6">
        <f t="shared" si="59"/>
        <v>0</v>
      </c>
      <c r="BW129" s="6">
        <f t="shared" si="60"/>
        <v>-30000</v>
      </c>
      <c r="BX129" s="6">
        <f t="shared" si="61"/>
        <v>0</v>
      </c>
      <c r="BY129" s="6">
        <f t="shared" si="62"/>
        <v>0</v>
      </c>
      <c r="BZ129" s="6">
        <f t="shared" si="63"/>
        <v>0</v>
      </c>
      <c r="CA129" s="6">
        <f t="shared" si="64"/>
        <v>0</v>
      </c>
      <c r="CB129" s="6">
        <f t="shared" si="65"/>
        <v>0</v>
      </c>
      <c r="CC129" s="6">
        <f t="shared" si="66"/>
        <v>0</v>
      </c>
      <c r="CD129" s="6">
        <f t="shared" si="67"/>
        <v>0</v>
      </c>
      <c r="CE129" s="6">
        <f t="shared" si="68"/>
        <v>0</v>
      </c>
      <c r="CF129" s="6">
        <f t="shared" si="69"/>
        <v>0</v>
      </c>
      <c r="CG129" s="6">
        <f t="shared" si="70"/>
        <v>0</v>
      </c>
      <c r="CH129" s="6">
        <f t="shared" si="52"/>
        <v>-30000</v>
      </c>
    </row>
    <row r="130" spans="1:86" hidden="1" x14ac:dyDescent="0.35">
      <c r="A130" s="3" t="s">
        <v>432</v>
      </c>
      <c r="C130" s="10">
        <v>30000</v>
      </c>
      <c r="N130" s="27">
        <f t="shared" si="56"/>
        <v>30000</v>
      </c>
      <c r="AA130" s="27">
        <f t="shared" si="53"/>
        <v>0</v>
      </c>
      <c r="AB130" s="10">
        <f t="shared" si="58"/>
        <v>0</v>
      </c>
      <c r="AC130" s="10">
        <f t="shared" si="58"/>
        <v>30000</v>
      </c>
      <c r="AD130" s="10">
        <f t="shared" si="58"/>
        <v>0</v>
      </c>
      <c r="AE130" s="10">
        <f t="shared" si="58"/>
        <v>0</v>
      </c>
      <c r="AF130" s="10">
        <f t="shared" si="58"/>
        <v>0</v>
      </c>
      <c r="AG130" s="10">
        <f t="shared" si="58"/>
        <v>0</v>
      </c>
      <c r="AH130" s="10">
        <f t="shared" si="58"/>
        <v>0</v>
      </c>
      <c r="AI130" s="10">
        <f t="shared" si="57"/>
        <v>0</v>
      </c>
      <c r="AJ130" s="10">
        <f t="shared" si="57"/>
        <v>0</v>
      </c>
      <c r="AK130" s="10">
        <f t="shared" si="57"/>
        <v>0</v>
      </c>
      <c r="AL130" s="10">
        <f t="shared" si="57"/>
        <v>0</v>
      </c>
      <c r="AM130" s="10">
        <f t="shared" si="57"/>
        <v>0</v>
      </c>
      <c r="AN130" s="27">
        <f t="shared" si="57"/>
        <v>30000</v>
      </c>
      <c r="AS130" t="str">
        <f>_xlfn.XLOOKUP(AU130,[2]GAE!HZ:HZ,[2]GAE!IA:IA)</f>
        <v>ADMIN SERVICES</v>
      </c>
      <c r="AT130" t="str">
        <f>_xlfn.XLOOKUP(AU130,[2]GAE!HZ:HZ,[2]GAE!IB:IB)</f>
        <v>DOE - Insurance - Motor Car</v>
      </c>
      <c r="AU130" t="s">
        <v>415</v>
      </c>
      <c r="AV130">
        <v>81123102</v>
      </c>
      <c r="AW130">
        <v>52101112</v>
      </c>
      <c r="AX130" t="str">
        <f>_xlfn.XLOOKUP(AU130,[2]GAE!HZ:HZ,[2]GAE!IF:IF)</f>
        <v>Others</v>
      </c>
      <c r="AY130" t="str">
        <f>_xlfn.XLOOKUP(AU130,[2]GAE!HZ:HZ,[2]GAE!IG:IG)</f>
        <v>Insurance</v>
      </c>
      <c r="BF130" t="s">
        <v>24</v>
      </c>
      <c r="BG130" s="2" t="s">
        <v>24</v>
      </c>
      <c r="BH130" s="10">
        <f>SUMIFS('[1]2026'!$K:$K,'[1]2026'!$T:$T,BD130,'[1]2026'!$S:$S,BH$3,'[1]2026'!$P:$P,AU130)</f>
        <v>0</v>
      </c>
      <c r="BI130" s="10">
        <f>SUMIFS('[1]2026'!$K:$K,'[1]2026'!$T:$T,$BD130,'[1]2026'!$S:$S,BI$3,'[1]2026'!$P:$P,$AU130)</f>
        <v>0</v>
      </c>
      <c r="BJ130" s="10">
        <f>SUMIFS('[1]2026'!$K:$K,'[1]2026'!$T:$T,$BD130,'[1]2026'!$S:$S,BJ$3,'[1]2026'!$P:$P,$AU130)</f>
        <v>0</v>
      </c>
      <c r="BK130" s="10">
        <f>SUMIFS('[1]2026'!$K:$K,'[1]2026'!$T:$T,$BD130,'[1]2026'!$S:$S,BK$3,'[1]2026'!$P:$P,$AU130)</f>
        <v>0</v>
      </c>
      <c r="BL130" s="6"/>
      <c r="BM130" s="10">
        <f>SUMIFS('[1]2026'!$K:$K,'[1]2026'!$T:$T,$BD130,'[1]2026'!$S:$S,BM$3,'[1]2026'!$P:$P,$AU130)</f>
        <v>0</v>
      </c>
      <c r="BN130" s="10">
        <f>SUMIFS('[1]2026'!$K:$K,'[1]2026'!$T:$T,$BD130,'[1]2026'!$S:$S,BN$3,'[1]2026'!$P:$P,$AU130)</f>
        <v>0</v>
      </c>
      <c r="BO130" s="10">
        <f>SUMIFS('[1]2026'!$K:$K,'[1]2026'!$T:$T,$BD130,'[1]2026'!$S:$S,BO$3,'[1]2026'!$P:$P,$AU130)</f>
        <v>0</v>
      </c>
      <c r="BP130" s="6"/>
      <c r="BQ130" s="6"/>
      <c r="BR130" s="6"/>
      <c r="BS130" s="6"/>
      <c r="BT130" s="6">
        <f t="shared" si="51"/>
        <v>0</v>
      </c>
      <c r="BV130" s="6">
        <f t="shared" si="59"/>
        <v>0</v>
      </c>
      <c r="BW130" s="6">
        <f t="shared" si="60"/>
        <v>-30000</v>
      </c>
      <c r="BX130" s="6">
        <f t="shared" si="61"/>
        <v>0</v>
      </c>
      <c r="BY130" s="6">
        <f t="shared" si="62"/>
        <v>0</v>
      </c>
      <c r="BZ130" s="6">
        <f t="shared" si="63"/>
        <v>0</v>
      </c>
      <c r="CA130" s="6">
        <f t="shared" si="64"/>
        <v>0</v>
      </c>
      <c r="CB130" s="6">
        <f t="shared" si="65"/>
        <v>0</v>
      </c>
      <c r="CC130" s="6">
        <f t="shared" si="66"/>
        <v>0</v>
      </c>
      <c r="CD130" s="6">
        <f t="shared" si="67"/>
        <v>0</v>
      </c>
      <c r="CE130" s="6">
        <f t="shared" si="68"/>
        <v>0</v>
      </c>
      <c r="CF130" s="6">
        <f t="shared" si="69"/>
        <v>0</v>
      </c>
      <c r="CG130" s="6">
        <f t="shared" si="70"/>
        <v>0</v>
      </c>
      <c r="CH130" s="6">
        <f t="shared" si="52"/>
        <v>-30000</v>
      </c>
    </row>
    <row r="131" spans="1:86" hidden="1" x14ac:dyDescent="0.35">
      <c r="A131" s="3" t="s">
        <v>433</v>
      </c>
      <c r="C131" s="10">
        <v>30000</v>
      </c>
      <c r="N131" s="27">
        <f t="shared" si="56"/>
        <v>30000</v>
      </c>
      <c r="AA131" s="27">
        <f t="shared" si="53"/>
        <v>0</v>
      </c>
      <c r="AB131" s="10">
        <f t="shared" si="58"/>
        <v>0</v>
      </c>
      <c r="AC131" s="10">
        <f t="shared" si="58"/>
        <v>30000</v>
      </c>
      <c r="AD131" s="10">
        <f t="shared" si="58"/>
        <v>0</v>
      </c>
      <c r="AE131" s="10">
        <f t="shared" si="58"/>
        <v>0</v>
      </c>
      <c r="AF131" s="10">
        <f t="shared" si="58"/>
        <v>0</v>
      </c>
      <c r="AG131" s="10">
        <f t="shared" si="58"/>
        <v>0</v>
      </c>
      <c r="AH131" s="10">
        <f t="shared" si="58"/>
        <v>0</v>
      </c>
      <c r="AI131" s="10">
        <f t="shared" si="57"/>
        <v>0</v>
      </c>
      <c r="AJ131" s="10">
        <f t="shared" si="57"/>
        <v>0</v>
      </c>
      <c r="AK131" s="10">
        <f t="shared" si="57"/>
        <v>0</v>
      </c>
      <c r="AL131" s="10">
        <f t="shared" si="57"/>
        <v>0</v>
      </c>
      <c r="AM131" s="10">
        <f t="shared" si="57"/>
        <v>0</v>
      </c>
      <c r="AN131" s="27">
        <f t="shared" si="57"/>
        <v>30000</v>
      </c>
      <c r="AS131" t="str">
        <f>_xlfn.XLOOKUP(AU131,[2]GAE!HZ:HZ,[2]GAE!IA:IA)</f>
        <v>ADMIN SERVICES</v>
      </c>
      <c r="AT131" t="str">
        <f>_xlfn.XLOOKUP(AU131,[2]GAE!HZ:HZ,[2]GAE!IB:IB)</f>
        <v>DOE - Insurance - Motor Car</v>
      </c>
      <c r="AU131" t="s">
        <v>415</v>
      </c>
      <c r="AV131">
        <v>81123102</v>
      </c>
      <c r="AW131">
        <v>52101112</v>
      </c>
      <c r="AX131" t="str">
        <f>_xlfn.XLOOKUP(AU131,[2]GAE!HZ:HZ,[2]GAE!IF:IF)</f>
        <v>Others</v>
      </c>
      <c r="AY131" t="str">
        <f>_xlfn.XLOOKUP(AU131,[2]GAE!HZ:HZ,[2]GAE!IG:IG)</f>
        <v>Insurance</v>
      </c>
      <c r="BF131" t="s">
        <v>24</v>
      </c>
      <c r="BG131" s="2" t="s">
        <v>24</v>
      </c>
      <c r="BH131" s="10">
        <f>SUMIFS('[1]2026'!$K:$K,'[1]2026'!$T:$T,BD131,'[1]2026'!$S:$S,BH$3,'[1]2026'!$P:$P,AU131)</f>
        <v>0</v>
      </c>
      <c r="BI131" s="10">
        <f>SUMIFS('[1]2026'!$K:$K,'[1]2026'!$T:$T,$BD131,'[1]2026'!$S:$S,BI$3,'[1]2026'!$P:$P,$AU131)</f>
        <v>0</v>
      </c>
      <c r="BJ131" s="10">
        <f>SUMIFS('[1]2026'!$K:$K,'[1]2026'!$T:$T,$BD131,'[1]2026'!$S:$S,BJ$3,'[1]2026'!$P:$P,$AU131)</f>
        <v>0</v>
      </c>
      <c r="BK131" s="10">
        <f>SUMIFS('[1]2026'!$K:$K,'[1]2026'!$T:$T,$BD131,'[1]2026'!$S:$S,BK$3,'[1]2026'!$P:$P,$AU131)</f>
        <v>0</v>
      </c>
      <c r="BL131" s="6"/>
      <c r="BM131" s="10">
        <f>SUMIFS('[1]2026'!$K:$K,'[1]2026'!$T:$T,$BD131,'[1]2026'!$S:$S,BM$3,'[1]2026'!$P:$P,$AU131)</f>
        <v>0</v>
      </c>
      <c r="BN131" s="10">
        <f>SUMIFS('[1]2026'!$K:$K,'[1]2026'!$T:$T,$BD131,'[1]2026'!$S:$S,BN$3,'[1]2026'!$P:$P,$AU131)</f>
        <v>0</v>
      </c>
      <c r="BO131" s="10">
        <f>SUMIFS('[1]2026'!$K:$K,'[1]2026'!$T:$T,$BD131,'[1]2026'!$S:$S,BO$3,'[1]2026'!$P:$P,$AU131)</f>
        <v>0</v>
      </c>
      <c r="BP131" s="6"/>
      <c r="BQ131" s="6"/>
      <c r="BR131" s="6"/>
      <c r="BS131" s="6"/>
      <c r="BT131" s="6">
        <f t="shared" si="51"/>
        <v>0</v>
      </c>
      <c r="BV131" s="6">
        <f t="shared" si="59"/>
        <v>0</v>
      </c>
      <c r="BW131" s="6">
        <f t="shared" si="60"/>
        <v>-30000</v>
      </c>
      <c r="BX131" s="6">
        <f t="shared" si="61"/>
        <v>0</v>
      </c>
      <c r="BY131" s="6">
        <f t="shared" si="62"/>
        <v>0</v>
      </c>
      <c r="BZ131" s="6">
        <f t="shared" si="63"/>
        <v>0</v>
      </c>
      <c r="CA131" s="6">
        <f t="shared" si="64"/>
        <v>0</v>
      </c>
      <c r="CB131" s="6">
        <f t="shared" si="65"/>
        <v>0</v>
      </c>
      <c r="CC131" s="6">
        <f t="shared" si="66"/>
        <v>0</v>
      </c>
      <c r="CD131" s="6">
        <f t="shared" si="67"/>
        <v>0</v>
      </c>
      <c r="CE131" s="6">
        <f t="shared" si="68"/>
        <v>0</v>
      </c>
      <c r="CF131" s="6">
        <f t="shared" si="69"/>
        <v>0</v>
      </c>
      <c r="CG131" s="6">
        <f t="shared" si="70"/>
        <v>0</v>
      </c>
      <c r="CH131" s="6">
        <f t="shared" si="52"/>
        <v>-30000</v>
      </c>
    </row>
    <row r="132" spans="1:86" hidden="1" x14ac:dyDescent="0.35">
      <c r="A132" s="3" t="s">
        <v>434</v>
      </c>
      <c r="C132" s="10">
        <v>30000</v>
      </c>
      <c r="N132" s="27">
        <f t="shared" si="56"/>
        <v>30000</v>
      </c>
      <c r="AA132" s="27">
        <f t="shared" si="53"/>
        <v>0</v>
      </c>
      <c r="AB132" s="10">
        <f t="shared" si="58"/>
        <v>0</v>
      </c>
      <c r="AC132" s="10">
        <f t="shared" si="58"/>
        <v>30000</v>
      </c>
      <c r="AD132" s="10">
        <f t="shared" si="58"/>
        <v>0</v>
      </c>
      <c r="AE132" s="10">
        <f t="shared" si="58"/>
        <v>0</v>
      </c>
      <c r="AF132" s="10">
        <f t="shared" si="58"/>
        <v>0</v>
      </c>
      <c r="AG132" s="10">
        <f t="shared" si="58"/>
        <v>0</v>
      </c>
      <c r="AH132" s="10">
        <f t="shared" si="58"/>
        <v>0</v>
      </c>
      <c r="AI132" s="10">
        <f t="shared" si="57"/>
        <v>0</v>
      </c>
      <c r="AJ132" s="10">
        <f t="shared" si="57"/>
        <v>0</v>
      </c>
      <c r="AK132" s="10">
        <f t="shared" si="57"/>
        <v>0</v>
      </c>
      <c r="AL132" s="10">
        <f t="shared" si="57"/>
        <v>0</v>
      </c>
      <c r="AM132" s="10">
        <f t="shared" si="57"/>
        <v>0</v>
      </c>
      <c r="AN132" s="27">
        <f t="shared" si="57"/>
        <v>30000</v>
      </c>
      <c r="AS132" t="str">
        <f>_xlfn.XLOOKUP(AU132,[2]GAE!HZ:HZ,[2]GAE!IA:IA)</f>
        <v>ADMIN SERVICES</v>
      </c>
      <c r="AT132" t="str">
        <f>_xlfn.XLOOKUP(AU132,[2]GAE!HZ:HZ,[2]GAE!IB:IB)</f>
        <v>DOE - Insurance - Motor Car</v>
      </c>
      <c r="AU132" t="s">
        <v>415</v>
      </c>
      <c r="AV132">
        <v>81123102</v>
      </c>
      <c r="AW132">
        <v>52101112</v>
      </c>
      <c r="AX132" t="str">
        <f>_xlfn.XLOOKUP(AU132,[2]GAE!HZ:HZ,[2]GAE!IF:IF)</f>
        <v>Others</v>
      </c>
      <c r="AY132" t="str">
        <f>_xlfn.XLOOKUP(AU132,[2]GAE!HZ:HZ,[2]GAE!IG:IG)</f>
        <v>Insurance</v>
      </c>
      <c r="BF132" t="s">
        <v>24</v>
      </c>
      <c r="BG132" s="2" t="s">
        <v>24</v>
      </c>
      <c r="BH132" s="10">
        <f>SUMIFS('[1]2026'!$K:$K,'[1]2026'!$T:$T,BD132,'[1]2026'!$S:$S,BH$3,'[1]2026'!$P:$P,AU132)</f>
        <v>0</v>
      </c>
      <c r="BI132" s="10">
        <f>SUMIFS('[1]2026'!$K:$K,'[1]2026'!$T:$T,$BD132,'[1]2026'!$S:$S,BI$3,'[1]2026'!$P:$P,$AU132)</f>
        <v>0</v>
      </c>
      <c r="BJ132" s="10">
        <f>SUMIFS('[1]2026'!$K:$K,'[1]2026'!$T:$T,$BD132,'[1]2026'!$S:$S,BJ$3,'[1]2026'!$P:$P,$AU132)</f>
        <v>0</v>
      </c>
      <c r="BK132" s="10">
        <f>SUMIFS('[1]2026'!$K:$K,'[1]2026'!$T:$T,$BD132,'[1]2026'!$S:$S,BK$3,'[1]2026'!$P:$P,$AU132)</f>
        <v>0</v>
      </c>
      <c r="BL132" s="6"/>
      <c r="BM132" s="10">
        <f>SUMIFS('[1]2026'!$K:$K,'[1]2026'!$T:$T,$BD132,'[1]2026'!$S:$S,BM$3,'[1]2026'!$P:$P,$AU132)</f>
        <v>0</v>
      </c>
      <c r="BN132" s="10">
        <f>SUMIFS('[1]2026'!$K:$K,'[1]2026'!$T:$T,$BD132,'[1]2026'!$S:$S,BN$3,'[1]2026'!$P:$P,$AU132)</f>
        <v>0</v>
      </c>
      <c r="BO132" s="10">
        <f>SUMIFS('[1]2026'!$K:$K,'[1]2026'!$T:$T,$BD132,'[1]2026'!$S:$S,BO$3,'[1]2026'!$P:$P,$AU132)</f>
        <v>0</v>
      </c>
      <c r="BP132" s="6"/>
      <c r="BQ132" s="6"/>
      <c r="BR132" s="6"/>
      <c r="BS132" s="6"/>
      <c r="BT132" s="6">
        <f t="shared" si="51"/>
        <v>0</v>
      </c>
      <c r="BV132" s="6">
        <f t="shared" si="59"/>
        <v>0</v>
      </c>
      <c r="BW132" s="6">
        <f t="shared" si="60"/>
        <v>-30000</v>
      </c>
      <c r="BX132" s="6">
        <f t="shared" si="61"/>
        <v>0</v>
      </c>
      <c r="BY132" s="6">
        <f t="shared" si="62"/>
        <v>0</v>
      </c>
      <c r="BZ132" s="6">
        <f t="shared" si="63"/>
        <v>0</v>
      </c>
      <c r="CA132" s="6">
        <f t="shared" si="64"/>
        <v>0</v>
      </c>
      <c r="CB132" s="6">
        <f t="shared" si="65"/>
        <v>0</v>
      </c>
      <c r="CC132" s="6">
        <f t="shared" si="66"/>
        <v>0</v>
      </c>
      <c r="CD132" s="6">
        <f t="shared" si="67"/>
        <v>0</v>
      </c>
      <c r="CE132" s="6">
        <f t="shared" si="68"/>
        <v>0</v>
      </c>
      <c r="CF132" s="6">
        <f t="shared" si="69"/>
        <v>0</v>
      </c>
      <c r="CG132" s="6">
        <f t="shared" si="70"/>
        <v>0</v>
      </c>
      <c r="CH132" s="6">
        <f t="shared" si="52"/>
        <v>-30000</v>
      </c>
    </row>
    <row r="133" spans="1:86" hidden="1" x14ac:dyDescent="0.35">
      <c r="A133" s="3" t="s">
        <v>435</v>
      </c>
      <c r="C133" s="10">
        <v>15000</v>
      </c>
      <c r="N133" s="27">
        <f t="shared" si="56"/>
        <v>15000</v>
      </c>
      <c r="AA133" s="27">
        <f t="shared" si="53"/>
        <v>0</v>
      </c>
      <c r="AB133" s="10">
        <f t="shared" si="58"/>
        <v>0</v>
      </c>
      <c r="AC133" s="10">
        <f t="shared" si="58"/>
        <v>15000</v>
      </c>
      <c r="AD133" s="10">
        <f t="shared" si="58"/>
        <v>0</v>
      </c>
      <c r="AE133" s="10">
        <f t="shared" si="58"/>
        <v>0</v>
      </c>
      <c r="AF133" s="10">
        <f t="shared" si="58"/>
        <v>0</v>
      </c>
      <c r="AG133" s="10">
        <f t="shared" si="58"/>
        <v>0</v>
      </c>
      <c r="AH133" s="10">
        <f t="shared" si="58"/>
        <v>0</v>
      </c>
      <c r="AI133" s="10">
        <f t="shared" si="57"/>
        <v>0</v>
      </c>
      <c r="AJ133" s="10">
        <f t="shared" si="57"/>
        <v>0</v>
      </c>
      <c r="AK133" s="10">
        <f t="shared" si="57"/>
        <v>0</v>
      </c>
      <c r="AL133" s="10">
        <f t="shared" si="57"/>
        <v>0</v>
      </c>
      <c r="AM133" s="10">
        <f t="shared" si="57"/>
        <v>0</v>
      </c>
      <c r="AN133" s="27">
        <f t="shared" si="57"/>
        <v>15000</v>
      </c>
      <c r="AS133" t="str">
        <f>_xlfn.XLOOKUP(AU133,[2]GAE!HZ:HZ,[2]GAE!IA:IA)</f>
        <v>ADMIN SERVICES</v>
      </c>
      <c r="AT133" t="str">
        <f>_xlfn.XLOOKUP(AU133,[2]GAE!HZ:HZ,[2]GAE!IB:IB)</f>
        <v>DOE - Insurance - Motor Car</v>
      </c>
      <c r="AU133" t="s">
        <v>415</v>
      </c>
      <c r="AV133">
        <v>81123102</v>
      </c>
      <c r="AW133">
        <v>52101112</v>
      </c>
      <c r="AX133" t="str">
        <f>_xlfn.XLOOKUP(AU133,[2]GAE!HZ:HZ,[2]GAE!IF:IF)</f>
        <v>Others</v>
      </c>
      <c r="AY133" t="str">
        <f>_xlfn.XLOOKUP(AU133,[2]GAE!HZ:HZ,[2]GAE!IG:IG)</f>
        <v>Insurance</v>
      </c>
      <c r="BF133" t="s">
        <v>24</v>
      </c>
      <c r="BG133" s="2" t="s">
        <v>24</v>
      </c>
      <c r="BH133" s="10">
        <f>SUMIFS('[1]2026'!$K:$K,'[1]2026'!$T:$T,BD133,'[1]2026'!$S:$S,BH$3,'[1]2026'!$P:$P,AU133)</f>
        <v>0</v>
      </c>
      <c r="BI133" s="10">
        <f>SUMIFS('[1]2026'!$K:$K,'[1]2026'!$T:$T,$BD133,'[1]2026'!$S:$S,BI$3,'[1]2026'!$P:$P,$AU133)</f>
        <v>0</v>
      </c>
      <c r="BJ133" s="10">
        <f>SUMIFS('[1]2026'!$K:$K,'[1]2026'!$T:$T,$BD133,'[1]2026'!$S:$S,BJ$3,'[1]2026'!$P:$P,$AU133)</f>
        <v>0</v>
      </c>
      <c r="BK133" s="10">
        <f>SUMIFS('[1]2026'!$K:$K,'[1]2026'!$T:$T,$BD133,'[1]2026'!$S:$S,BK$3,'[1]2026'!$P:$P,$AU133)</f>
        <v>0</v>
      </c>
      <c r="BL133" s="6"/>
      <c r="BM133" s="10">
        <f>SUMIFS('[1]2026'!$K:$K,'[1]2026'!$T:$T,$BD133,'[1]2026'!$S:$S,BM$3,'[1]2026'!$P:$P,$AU133)</f>
        <v>0</v>
      </c>
      <c r="BN133" s="10">
        <f>SUMIFS('[1]2026'!$K:$K,'[1]2026'!$T:$T,$BD133,'[1]2026'!$S:$S,BN$3,'[1]2026'!$P:$P,$AU133)</f>
        <v>0</v>
      </c>
      <c r="BO133" s="10">
        <f>SUMIFS('[1]2026'!$K:$K,'[1]2026'!$T:$T,$BD133,'[1]2026'!$S:$S,BO$3,'[1]2026'!$P:$P,$AU133)</f>
        <v>0</v>
      </c>
      <c r="BP133" s="6"/>
      <c r="BQ133" s="6"/>
      <c r="BR133" s="6"/>
      <c r="BS133" s="6"/>
      <c r="BT133" s="6">
        <f t="shared" si="51"/>
        <v>0</v>
      </c>
      <c r="BV133" s="6">
        <f t="shared" si="59"/>
        <v>0</v>
      </c>
      <c r="BW133" s="6">
        <f t="shared" si="60"/>
        <v>-15000</v>
      </c>
      <c r="BX133" s="6">
        <f t="shared" si="61"/>
        <v>0</v>
      </c>
      <c r="BY133" s="6">
        <f t="shared" si="62"/>
        <v>0</v>
      </c>
      <c r="BZ133" s="6">
        <f t="shared" si="63"/>
        <v>0</v>
      </c>
      <c r="CA133" s="6">
        <f t="shared" si="64"/>
        <v>0</v>
      </c>
      <c r="CB133" s="6">
        <f t="shared" si="65"/>
        <v>0</v>
      </c>
      <c r="CC133" s="6">
        <f t="shared" si="66"/>
        <v>0</v>
      </c>
      <c r="CD133" s="6">
        <f t="shared" si="67"/>
        <v>0</v>
      </c>
      <c r="CE133" s="6">
        <f t="shared" si="68"/>
        <v>0</v>
      </c>
      <c r="CF133" s="6">
        <f t="shared" si="69"/>
        <v>0</v>
      </c>
      <c r="CG133" s="6">
        <f t="shared" si="70"/>
        <v>0</v>
      </c>
      <c r="CH133" s="6">
        <f t="shared" si="52"/>
        <v>-15000</v>
      </c>
    </row>
    <row r="134" spans="1:86" hidden="1" x14ac:dyDescent="0.35">
      <c r="A134" s="3" t="s">
        <v>436</v>
      </c>
      <c r="C134" s="10">
        <v>30000</v>
      </c>
      <c r="N134" s="27">
        <f t="shared" si="56"/>
        <v>30000</v>
      </c>
      <c r="AA134" s="27">
        <f t="shared" si="53"/>
        <v>0</v>
      </c>
      <c r="AB134" s="10">
        <f t="shared" si="58"/>
        <v>0</v>
      </c>
      <c r="AC134" s="10">
        <f t="shared" si="58"/>
        <v>30000</v>
      </c>
      <c r="AD134" s="10">
        <f t="shared" si="58"/>
        <v>0</v>
      </c>
      <c r="AE134" s="10">
        <f t="shared" si="58"/>
        <v>0</v>
      </c>
      <c r="AF134" s="10">
        <f t="shared" si="58"/>
        <v>0</v>
      </c>
      <c r="AG134" s="10">
        <f t="shared" si="58"/>
        <v>0</v>
      </c>
      <c r="AH134" s="10">
        <f t="shared" si="58"/>
        <v>0</v>
      </c>
      <c r="AI134" s="10">
        <f t="shared" si="57"/>
        <v>0</v>
      </c>
      <c r="AJ134" s="10">
        <f t="shared" si="57"/>
        <v>0</v>
      </c>
      <c r="AK134" s="10">
        <f t="shared" si="57"/>
        <v>0</v>
      </c>
      <c r="AL134" s="10">
        <f t="shared" si="57"/>
        <v>0</v>
      </c>
      <c r="AM134" s="10">
        <f t="shared" si="57"/>
        <v>0</v>
      </c>
      <c r="AN134" s="27">
        <f t="shared" si="57"/>
        <v>30000</v>
      </c>
      <c r="AS134" t="str">
        <f>_xlfn.XLOOKUP(AU134,[2]GAE!HZ:HZ,[2]GAE!IA:IA)</f>
        <v>ADMIN SERVICES</v>
      </c>
      <c r="AT134" t="str">
        <f>_xlfn.XLOOKUP(AU134,[2]GAE!HZ:HZ,[2]GAE!IB:IB)</f>
        <v>DOE - Insurance - Motor Car</v>
      </c>
      <c r="AU134" t="s">
        <v>415</v>
      </c>
      <c r="AV134">
        <v>81123102</v>
      </c>
      <c r="AW134">
        <v>52101112</v>
      </c>
      <c r="AX134" t="str">
        <f>_xlfn.XLOOKUP(AU134,[2]GAE!HZ:HZ,[2]GAE!IF:IF)</f>
        <v>Others</v>
      </c>
      <c r="AY134" t="str">
        <f>_xlfn.XLOOKUP(AU134,[2]GAE!HZ:HZ,[2]GAE!IG:IG)</f>
        <v>Insurance</v>
      </c>
      <c r="BF134" t="s">
        <v>24</v>
      </c>
      <c r="BG134" s="2" t="s">
        <v>24</v>
      </c>
      <c r="BH134" s="10">
        <f>SUMIFS('[1]2026'!$K:$K,'[1]2026'!$T:$T,BD134,'[1]2026'!$S:$S,BH$3,'[1]2026'!$P:$P,AU134)</f>
        <v>0</v>
      </c>
      <c r="BI134" s="10">
        <f>SUMIFS('[1]2026'!$K:$K,'[1]2026'!$T:$T,$BD134,'[1]2026'!$S:$S,BI$3,'[1]2026'!$P:$P,$AU134)</f>
        <v>0</v>
      </c>
      <c r="BJ134" s="10">
        <f>SUMIFS('[1]2026'!$K:$K,'[1]2026'!$T:$T,$BD134,'[1]2026'!$S:$S,BJ$3,'[1]2026'!$P:$P,$AU134)</f>
        <v>0</v>
      </c>
      <c r="BK134" s="10">
        <f>SUMIFS('[1]2026'!$K:$K,'[1]2026'!$T:$T,$BD134,'[1]2026'!$S:$S,BK$3,'[1]2026'!$P:$P,$AU134)</f>
        <v>0</v>
      </c>
      <c r="BL134" s="6"/>
      <c r="BM134" s="10">
        <f>SUMIFS('[1]2026'!$K:$K,'[1]2026'!$T:$T,$BD134,'[1]2026'!$S:$S,BM$3,'[1]2026'!$P:$P,$AU134)</f>
        <v>0</v>
      </c>
      <c r="BN134" s="10">
        <f>SUMIFS('[1]2026'!$K:$K,'[1]2026'!$T:$T,$BD134,'[1]2026'!$S:$S,BN$3,'[1]2026'!$P:$P,$AU134)</f>
        <v>0</v>
      </c>
      <c r="BO134" s="10">
        <f>SUMIFS('[1]2026'!$K:$K,'[1]2026'!$T:$T,$BD134,'[1]2026'!$S:$S,BO$3,'[1]2026'!$P:$P,$AU134)</f>
        <v>0</v>
      </c>
      <c r="BP134" s="6"/>
      <c r="BQ134" s="6"/>
      <c r="BR134" s="6"/>
      <c r="BS134" s="6"/>
      <c r="BT134" s="6">
        <f t="shared" si="51"/>
        <v>0</v>
      </c>
      <c r="BV134" s="6">
        <f t="shared" si="59"/>
        <v>0</v>
      </c>
      <c r="BW134" s="6">
        <f t="shared" si="60"/>
        <v>-30000</v>
      </c>
      <c r="BX134" s="6">
        <f t="shared" si="61"/>
        <v>0</v>
      </c>
      <c r="BY134" s="6">
        <f t="shared" si="62"/>
        <v>0</v>
      </c>
      <c r="BZ134" s="6">
        <f t="shared" si="63"/>
        <v>0</v>
      </c>
      <c r="CA134" s="6">
        <f t="shared" si="64"/>
        <v>0</v>
      </c>
      <c r="CB134" s="6">
        <f t="shared" si="65"/>
        <v>0</v>
      </c>
      <c r="CC134" s="6">
        <f t="shared" si="66"/>
        <v>0</v>
      </c>
      <c r="CD134" s="6">
        <f t="shared" si="67"/>
        <v>0</v>
      </c>
      <c r="CE134" s="6">
        <f t="shared" si="68"/>
        <v>0</v>
      </c>
      <c r="CF134" s="6">
        <f t="shared" si="69"/>
        <v>0</v>
      </c>
      <c r="CG134" s="6">
        <f t="shared" si="70"/>
        <v>0</v>
      </c>
      <c r="CH134" s="6">
        <f t="shared" si="52"/>
        <v>-30000</v>
      </c>
    </row>
    <row r="135" spans="1:86" hidden="1" x14ac:dyDescent="0.35">
      <c r="A135" s="3" t="s">
        <v>437</v>
      </c>
      <c r="C135" s="10">
        <v>15000</v>
      </c>
      <c r="N135" s="27">
        <f t="shared" si="56"/>
        <v>15000</v>
      </c>
      <c r="AA135" s="27">
        <f t="shared" si="53"/>
        <v>0</v>
      </c>
      <c r="AB135" s="10">
        <f t="shared" si="58"/>
        <v>0</v>
      </c>
      <c r="AC135" s="10">
        <f t="shared" si="58"/>
        <v>15000</v>
      </c>
      <c r="AD135" s="10">
        <f t="shared" si="58"/>
        <v>0</v>
      </c>
      <c r="AE135" s="10">
        <f t="shared" si="58"/>
        <v>0</v>
      </c>
      <c r="AF135" s="10">
        <f t="shared" si="58"/>
        <v>0</v>
      </c>
      <c r="AG135" s="10">
        <f t="shared" si="58"/>
        <v>0</v>
      </c>
      <c r="AH135" s="10">
        <f t="shared" si="58"/>
        <v>0</v>
      </c>
      <c r="AI135" s="10">
        <f t="shared" si="58"/>
        <v>0</v>
      </c>
      <c r="AJ135" s="10">
        <f t="shared" si="58"/>
        <v>0</v>
      </c>
      <c r="AK135" s="10">
        <f t="shared" si="57"/>
        <v>0</v>
      </c>
      <c r="AL135" s="10">
        <f t="shared" si="57"/>
        <v>0</v>
      </c>
      <c r="AM135" s="10">
        <f t="shared" si="57"/>
        <v>0</v>
      </c>
      <c r="AN135" s="27">
        <f t="shared" si="57"/>
        <v>15000</v>
      </c>
      <c r="AS135" t="str">
        <f>_xlfn.XLOOKUP(AU135,[2]GAE!HZ:HZ,[2]GAE!IA:IA)</f>
        <v>ADMIN SERVICES</v>
      </c>
      <c r="AT135" t="str">
        <f>_xlfn.XLOOKUP(AU135,[2]GAE!HZ:HZ,[2]GAE!IB:IB)</f>
        <v>DOE - Insurance - Motor Car</v>
      </c>
      <c r="AU135" t="s">
        <v>415</v>
      </c>
      <c r="AV135">
        <v>81123102</v>
      </c>
      <c r="AW135">
        <v>52101112</v>
      </c>
      <c r="AX135" t="str">
        <f>_xlfn.XLOOKUP(AU135,[2]GAE!HZ:HZ,[2]GAE!IF:IF)</f>
        <v>Others</v>
      </c>
      <c r="AY135" t="str">
        <f>_xlfn.XLOOKUP(AU135,[2]GAE!HZ:HZ,[2]GAE!IG:IG)</f>
        <v>Insurance</v>
      </c>
      <c r="BF135" t="s">
        <v>24</v>
      </c>
      <c r="BG135" s="2" t="s">
        <v>24</v>
      </c>
      <c r="BH135" s="10">
        <f>SUMIFS('[1]2026'!$K:$K,'[1]2026'!$T:$T,BD135,'[1]2026'!$S:$S,BH$3,'[1]2026'!$P:$P,AU135)</f>
        <v>0</v>
      </c>
      <c r="BI135" s="10">
        <f>SUMIFS('[1]2026'!$K:$K,'[1]2026'!$T:$T,$BD135,'[1]2026'!$S:$S,BI$3,'[1]2026'!$P:$P,$AU135)</f>
        <v>0</v>
      </c>
      <c r="BJ135" s="10">
        <f>SUMIFS('[1]2026'!$K:$K,'[1]2026'!$T:$T,$BD135,'[1]2026'!$S:$S,BJ$3,'[1]2026'!$P:$P,$AU135)</f>
        <v>0</v>
      </c>
      <c r="BK135" s="10">
        <f>SUMIFS('[1]2026'!$K:$K,'[1]2026'!$T:$T,$BD135,'[1]2026'!$S:$S,BK$3,'[1]2026'!$P:$P,$AU135)</f>
        <v>0</v>
      </c>
      <c r="BL135" s="6"/>
      <c r="BM135" s="10">
        <f>SUMIFS('[1]2026'!$K:$K,'[1]2026'!$T:$T,$BD135,'[1]2026'!$S:$S,BM$3,'[1]2026'!$P:$P,$AU135)</f>
        <v>0</v>
      </c>
      <c r="BN135" s="10">
        <f>SUMIFS('[1]2026'!$K:$K,'[1]2026'!$T:$T,$BD135,'[1]2026'!$S:$S,BN$3,'[1]2026'!$P:$P,$AU135)</f>
        <v>0</v>
      </c>
      <c r="BO135" s="10">
        <f>SUMIFS('[1]2026'!$K:$K,'[1]2026'!$T:$T,$BD135,'[1]2026'!$S:$S,BO$3,'[1]2026'!$P:$P,$AU135)</f>
        <v>0</v>
      </c>
      <c r="BP135" s="6"/>
      <c r="BQ135" s="6"/>
      <c r="BR135" s="6"/>
      <c r="BS135" s="6"/>
      <c r="BT135" s="6">
        <f t="shared" si="51"/>
        <v>0</v>
      </c>
      <c r="BV135" s="6">
        <f t="shared" si="59"/>
        <v>0</v>
      </c>
      <c r="BW135" s="6">
        <f t="shared" si="60"/>
        <v>-15000</v>
      </c>
      <c r="BX135" s="6">
        <f t="shared" si="61"/>
        <v>0</v>
      </c>
      <c r="BY135" s="6">
        <f t="shared" si="62"/>
        <v>0</v>
      </c>
      <c r="BZ135" s="6">
        <f t="shared" si="63"/>
        <v>0</v>
      </c>
      <c r="CA135" s="6">
        <f t="shared" si="64"/>
        <v>0</v>
      </c>
      <c r="CB135" s="6">
        <f t="shared" si="65"/>
        <v>0</v>
      </c>
      <c r="CC135" s="6">
        <f t="shared" si="66"/>
        <v>0</v>
      </c>
      <c r="CD135" s="6">
        <f t="shared" si="67"/>
        <v>0</v>
      </c>
      <c r="CE135" s="6">
        <f t="shared" si="68"/>
        <v>0</v>
      </c>
      <c r="CF135" s="6">
        <f t="shared" si="69"/>
        <v>0</v>
      </c>
      <c r="CG135" s="6">
        <f t="shared" si="70"/>
        <v>0</v>
      </c>
      <c r="CH135" s="6">
        <f t="shared" si="52"/>
        <v>-15000</v>
      </c>
    </row>
    <row r="136" spans="1:86" hidden="1" x14ac:dyDescent="0.35">
      <c r="A136" s="3" t="s">
        <v>438</v>
      </c>
      <c r="C136" s="10">
        <v>30000</v>
      </c>
      <c r="N136" s="27">
        <f t="shared" si="56"/>
        <v>30000</v>
      </c>
      <c r="AA136" s="27">
        <f t="shared" si="53"/>
        <v>0</v>
      </c>
      <c r="AB136" s="10">
        <f t="shared" si="58"/>
        <v>0</v>
      </c>
      <c r="AC136" s="10">
        <f t="shared" si="58"/>
        <v>30000</v>
      </c>
      <c r="AD136" s="10">
        <f t="shared" si="58"/>
        <v>0</v>
      </c>
      <c r="AE136" s="10">
        <f t="shared" si="58"/>
        <v>0</v>
      </c>
      <c r="AF136" s="10">
        <f t="shared" si="58"/>
        <v>0</v>
      </c>
      <c r="AG136" s="10">
        <f t="shared" si="58"/>
        <v>0</v>
      </c>
      <c r="AH136" s="10">
        <f t="shared" si="58"/>
        <v>0</v>
      </c>
      <c r="AI136" s="10">
        <f t="shared" si="58"/>
        <v>0</v>
      </c>
      <c r="AJ136" s="10">
        <f t="shared" si="58"/>
        <v>0</v>
      </c>
      <c r="AK136" s="10">
        <f t="shared" si="57"/>
        <v>0</v>
      </c>
      <c r="AL136" s="10">
        <f t="shared" si="57"/>
        <v>0</v>
      </c>
      <c r="AM136" s="10">
        <f t="shared" si="57"/>
        <v>0</v>
      </c>
      <c r="AN136" s="27">
        <f t="shared" si="57"/>
        <v>30000</v>
      </c>
      <c r="AS136" t="str">
        <f>_xlfn.XLOOKUP(AU136,[2]GAE!HZ:HZ,[2]GAE!IA:IA)</f>
        <v>ADMIN SERVICES</v>
      </c>
      <c r="AT136" t="str">
        <f>_xlfn.XLOOKUP(AU136,[2]GAE!HZ:HZ,[2]GAE!IB:IB)</f>
        <v>DOE - Insurance - Motor Car</v>
      </c>
      <c r="AU136" t="s">
        <v>415</v>
      </c>
      <c r="AV136">
        <v>81123102</v>
      </c>
      <c r="AW136">
        <v>52101112</v>
      </c>
      <c r="AX136" t="str">
        <f>_xlfn.XLOOKUP(AU136,[2]GAE!HZ:HZ,[2]GAE!IF:IF)</f>
        <v>Others</v>
      </c>
      <c r="AY136" t="str">
        <f>_xlfn.XLOOKUP(AU136,[2]GAE!HZ:HZ,[2]GAE!IG:IG)</f>
        <v>Insurance</v>
      </c>
      <c r="BF136" t="s">
        <v>24</v>
      </c>
      <c r="BG136" s="2" t="s">
        <v>24</v>
      </c>
      <c r="BH136" s="10">
        <f>SUMIFS('[1]2026'!$K:$K,'[1]2026'!$T:$T,BD136,'[1]2026'!$S:$S,BH$3,'[1]2026'!$P:$P,AU136)</f>
        <v>0</v>
      </c>
      <c r="BI136" s="10">
        <f>SUMIFS('[1]2026'!$K:$K,'[1]2026'!$T:$T,$BD136,'[1]2026'!$S:$S,BI$3,'[1]2026'!$P:$P,$AU136)</f>
        <v>0</v>
      </c>
      <c r="BJ136" s="10">
        <f>SUMIFS('[1]2026'!$K:$K,'[1]2026'!$T:$T,$BD136,'[1]2026'!$S:$S,BJ$3,'[1]2026'!$P:$P,$AU136)</f>
        <v>0</v>
      </c>
      <c r="BK136" s="10">
        <f>SUMIFS('[1]2026'!$K:$K,'[1]2026'!$T:$T,$BD136,'[1]2026'!$S:$S,BK$3,'[1]2026'!$P:$P,$AU136)</f>
        <v>0</v>
      </c>
      <c r="BL136" s="6"/>
      <c r="BM136" s="10">
        <f>SUMIFS('[1]2026'!$K:$K,'[1]2026'!$T:$T,$BD136,'[1]2026'!$S:$S,BM$3,'[1]2026'!$P:$P,$AU136)</f>
        <v>0</v>
      </c>
      <c r="BN136" s="10">
        <f>SUMIFS('[1]2026'!$K:$K,'[1]2026'!$T:$T,$BD136,'[1]2026'!$S:$S,BN$3,'[1]2026'!$P:$P,$AU136)</f>
        <v>0</v>
      </c>
      <c r="BO136" s="10">
        <f>SUMIFS('[1]2026'!$K:$K,'[1]2026'!$T:$T,$BD136,'[1]2026'!$S:$S,BO$3,'[1]2026'!$P:$P,$AU136)</f>
        <v>0</v>
      </c>
      <c r="BP136" s="6"/>
      <c r="BQ136" s="6"/>
      <c r="BR136" s="6"/>
      <c r="BS136" s="6"/>
      <c r="BT136" s="6">
        <f t="shared" si="51"/>
        <v>0</v>
      </c>
      <c r="BV136" s="6">
        <f t="shared" si="59"/>
        <v>0</v>
      </c>
      <c r="BW136" s="6">
        <f t="shared" si="60"/>
        <v>-30000</v>
      </c>
      <c r="BX136" s="6">
        <f t="shared" si="61"/>
        <v>0</v>
      </c>
      <c r="BY136" s="6">
        <f t="shared" si="62"/>
        <v>0</v>
      </c>
      <c r="BZ136" s="6">
        <f t="shared" si="63"/>
        <v>0</v>
      </c>
      <c r="CA136" s="6">
        <f t="shared" si="64"/>
        <v>0</v>
      </c>
      <c r="CB136" s="6">
        <f t="shared" si="65"/>
        <v>0</v>
      </c>
      <c r="CC136" s="6">
        <f t="shared" si="66"/>
        <v>0</v>
      </c>
      <c r="CD136" s="6">
        <f t="shared" si="67"/>
        <v>0</v>
      </c>
      <c r="CE136" s="6">
        <f t="shared" si="68"/>
        <v>0</v>
      </c>
      <c r="CF136" s="6">
        <f t="shared" si="69"/>
        <v>0</v>
      </c>
      <c r="CG136" s="6">
        <f t="shared" si="70"/>
        <v>0</v>
      </c>
      <c r="CH136" s="6">
        <f t="shared" si="52"/>
        <v>-30000</v>
      </c>
    </row>
    <row r="137" spans="1:86" hidden="1" x14ac:dyDescent="0.35">
      <c r="A137" s="3" t="s">
        <v>439</v>
      </c>
      <c r="C137" s="10">
        <v>15000</v>
      </c>
      <c r="N137" s="27">
        <f t="shared" si="56"/>
        <v>15000</v>
      </c>
      <c r="AA137" s="27">
        <f t="shared" si="53"/>
        <v>0</v>
      </c>
      <c r="AB137" s="10">
        <f t="shared" si="58"/>
        <v>0</v>
      </c>
      <c r="AC137" s="10">
        <f t="shared" si="58"/>
        <v>15000</v>
      </c>
      <c r="AD137" s="10">
        <f t="shared" si="58"/>
        <v>0</v>
      </c>
      <c r="AE137" s="10">
        <f t="shared" si="58"/>
        <v>0</v>
      </c>
      <c r="AF137" s="10">
        <f t="shared" si="58"/>
        <v>0</v>
      </c>
      <c r="AG137" s="10">
        <f t="shared" si="58"/>
        <v>0</v>
      </c>
      <c r="AH137" s="10">
        <f t="shared" si="58"/>
        <v>0</v>
      </c>
      <c r="AI137" s="10">
        <f t="shared" si="58"/>
        <v>0</v>
      </c>
      <c r="AJ137" s="10">
        <f t="shared" si="58"/>
        <v>0</v>
      </c>
      <c r="AK137" s="10">
        <f t="shared" si="57"/>
        <v>0</v>
      </c>
      <c r="AL137" s="10">
        <f t="shared" si="57"/>
        <v>0</v>
      </c>
      <c r="AM137" s="10">
        <f t="shared" si="57"/>
        <v>0</v>
      </c>
      <c r="AN137" s="27">
        <f t="shared" si="57"/>
        <v>15000</v>
      </c>
      <c r="AS137" t="str">
        <f>_xlfn.XLOOKUP(AU137,[2]GAE!HZ:HZ,[2]GAE!IA:IA)</f>
        <v>ADMIN SERVICES</v>
      </c>
      <c r="AT137" t="str">
        <f>_xlfn.XLOOKUP(AU137,[2]GAE!HZ:HZ,[2]GAE!IB:IB)</f>
        <v>DOE - Insurance - Motor Car</v>
      </c>
      <c r="AU137" t="s">
        <v>415</v>
      </c>
      <c r="AV137">
        <v>81123102</v>
      </c>
      <c r="AW137">
        <v>52101112</v>
      </c>
      <c r="AX137" t="str">
        <f>_xlfn.XLOOKUP(AU137,[2]GAE!HZ:HZ,[2]GAE!IF:IF)</f>
        <v>Others</v>
      </c>
      <c r="AY137" t="str">
        <f>_xlfn.XLOOKUP(AU137,[2]GAE!HZ:HZ,[2]GAE!IG:IG)</f>
        <v>Insurance</v>
      </c>
      <c r="BF137" t="s">
        <v>24</v>
      </c>
      <c r="BG137" s="2" t="s">
        <v>24</v>
      </c>
      <c r="BH137" s="10">
        <f>SUMIFS('[1]2026'!$K:$K,'[1]2026'!$T:$T,BD137,'[1]2026'!$S:$S,BH$3,'[1]2026'!$P:$P,AU137)</f>
        <v>0</v>
      </c>
      <c r="BI137" s="10">
        <f>SUMIFS('[1]2026'!$K:$K,'[1]2026'!$T:$T,$BD137,'[1]2026'!$S:$S,BI$3,'[1]2026'!$P:$P,$AU137)</f>
        <v>0</v>
      </c>
      <c r="BJ137" s="10">
        <f>SUMIFS('[1]2026'!$K:$K,'[1]2026'!$T:$T,$BD137,'[1]2026'!$S:$S,BJ$3,'[1]2026'!$P:$P,$AU137)</f>
        <v>0</v>
      </c>
      <c r="BK137" s="10">
        <f>SUMIFS('[1]2026'!$K:$K,'[1]2026'!$T:$T,$BD137,'[1]2026'!$S:$S,BK$3,'[1]2026'!$P:$P,$AU137)</f>
        <v>0</v>
      </c>
      <c r="BL137" s="6"/>
      <c r="BM137" s="10">
        <f>SUMIFS('[1]2026'!$K:$K,'[1]2026'!$T:$T,$BD137,'[1]2026'!$S:$S,BM$3,'[1]2026'!$P:$P,$AU137)</f>
        <v>0</v>
      </c>
      <c r="BN137" s="10">
        <f>SUMIFS('[1]2026'!$K:$K,'[1]2026'!$T:$T,$BD137,'[1]2026'!$S:$S,BN$3,'[1]2026'!$P:$P,$AU137)</f>
        <v>0</v>
      </c>
      <c r="BO137" s="10">
        <f>SUMIFS('[1]2026'!$K:$K,'[1]2026'!$T:$T,$BD137,'[1]2026'!$S:$S,BO$3,'[1]2026'!$P:$P,$AU137)</f>
        <v>0</v>
      </c>
      <c r="BP137" s="6"/>
      <c r="BQ137" s="6"/>
      <c r="BR137" s="6"/>
      <c r="BS137" s="6"/>
      <c r="BT137" s="6">
        <f t="shared" si="51"/>
        <v>0</v>
      </c>
      <c r="BV137" s="6">
        <f t="shared" si="59"/>
        <v>0</v>
      </c>
      <c r="BW137" s="6">
        <f t="shared" si="60"/>
        <v>-15000</v>
      </c>
      <c r="BX137" s="6">
        <f t="shared" si="61"/>
        <v>0</v>
      </c>
      <c r="BY137" s="6">
        <f t="shared" si="62"/>
        <v>0</v>
      </c>
      <c r="BZ137" s="6">
        <f t="shared" si="63"/>
        <v>0</v>
      </c>
      <c r="CA137" s="6">
        <f t="shared" si="64"/>
        <v>0</v>
      </c>
      <c r="CB137" s="6">
        <f t="shared" si="65"/>
        <v>0</v>
      </c>
      <c r="CC137" s="6">
        <f t="shared" si="66"/>
        <v>0</v>
      </c>
      <c r="CD137" s="6">
        <f t="shared" si="67"/>
        <v>0</v>
      </c>
      <c r="CE137" s="6">
        <f t="shared" si="68"/>
        <v>0</v>
      </c>
      <c r="CF137" s="6">
        <f t="shared" si="69"/>
        <v>0</v>
      </c>
      <c r="CG137" s="6">
        <f t="shared" si="70"/>
        <v>0</v>
      </c>
      <c r="CH137" s="6">
        <f t="shared" si="52"/>
        <v>-15000</v>
      </c>
    </row>
    <row r="138" spans="1:86" hidden="1" x14ac:dyDescent="0.35">
      <c r="A138" s="3" t="s">
        <v>440</v>
      </c>
      <c r="C138" s="10">
        <v>30000</v>
      </c>
      <c r="N138" s="27">
        <f t="shared" si="56"/>
        <v>30000</v>
      </c>
      <c r="AA138" s="27">
        <f t="shared" si="53"/>
        <v>0</v>
      </c>
      <c r="AB138" s="10">
        <f t="shared" si="58"/>
        <v>0</v>
      </c>
      <c r="AC138" s="10">
        <f t="shared" si="58"/>
        <v>30000</v>
      </c>
      <c r="AD138" s="10">
        <f t="shared" si="58"/>
        <v>0</v>
      </c>
      <c r="AE138" s="10">
        <f t="shared" si="58"/>
        <v>0</v>
      </c>
      <c r="AF138" s="10">
        <f t="shared" si="58"/>
        <v>0</v>
      </c>
      <c r="AG138" s="10">
        <f t="shared" si="58"/>
        <v>0</v>
      </c>
      <c r="AH138" s="10">
        <f t="shared" si="58"/>
        <v>0</v>
      </c>
      <c r="AI138" s="10">
        <f t="shared" si="58"/>
        <v>0</v>
      </c>
      <c r="AJ138" s="10">
        <f t="shared" si="58"/>
        <v>0</v>
      </c>
      <c r="AK138" s="10">
        <f t="shared" si="57"/>
        <v>0</v>
      </c>
      <c r="AL138" s="10">
        <f t="shared" si="57"/>
        <v>0</v>
      </c>
      <c r="AM138" s="10">
        <f t="shared" si="57"/>
        <v>0</v>
      </c>
      <c r="AN138" s="27">
        <f t="shared" si="57"/>
        <v>30000</v>
      </c>
      <c r="AS138" t="str">
        <f>_xlfn.XLOOKUP(AU138,[2]GAE!HZ:HZ,[2]GAE!IA:IA)</f>
        <v>ADMIN SERVICES</v>
      </c>
      <c r="AT138" t="str">
        <f>_xlfn.XLOOKUP(AU138,[2]GAE!HZ:HZ,[2]GAE!IB:IB)</f>
        <v>DOE - Insurance - Motor Car</v>
      </c>
      <c r="AU138" t="s">
        <v>415</v>
      </c>
      <c r="AV138">
        <v>81123102</v>
      </c>
      <c r="AW138">
        <v>52101112</v>
      </c>
      <c r="AX138" t="str">
        <f>_xlfn.XLOOKUP(AU138,[2]GAE!HZ:HZ,[2]GAE!IF:IF)</f>
        <v>Others</v>
      </c>
      <c r="AY138" t="str">
        <f>_xlfn.XLOOKUP(AU138,[2]GAE!HZ:HZ,[2]GAE!IG:IG)</f>
        <v>Insurance</v>
      </c>
      <c r="BF138" t="s">
        <v>24</v>
      </c>
      <c r="BG138" s="2" t="s">
        <v>24</v>
      </c>
      <c r="BH138" s="10">
        <f>SUMIFS('[1]2026'!$K:$K,'[1]2026'!$T:$T,BD138,'[1]2026'!$S:$S,BH$3,'[1]2026'!$P:$P,AU138)</f>
        <v>0</v>
      </c>
      <c r="BI138" s="10">
        <f>SUMIFS('[1]2026'!$K:$K,'[1]2026'!$T:$T,$BD138,'[1]2026'!$S:$S,BI$3,'[1]2026'!$P:$P,$AU138)</f>
        <v>0</v>
      </c>
      <c r="BJ138" s="10">
        <f>SUMIFS('[1]2026'!$K:$K,'[1]2026'!$T:$T,$BD138,'[1]2026'!$S:$S,BJ$3,'[1]2026'!$P:$P,$AU138)</f>
        <v>0</v>
      </c>
      <c r="BK138" s="10">
        <f>SUMIFS('[1]2026'!$K:$K,'[1]2026'!$T:$T,$BD138,'[1]2026'!$S:$S,BK$3,'[1]2026'!$P:$P,$AU138)</f>
        <v>0</v>
      </c>
      <c r="BL138" s="6"/>
      <c r="BM138" s="10">
        <f>SUMIFS('[1]2026'!$K:$K,'[1]2026'!$T:$T,$BD138,'[1]2026'!$S:$S,BM$3,'[1]2026'!$P:$P,$AU138)</f>
        <v>0</v>
      </c>
      <c r="BN138" s="10">
        <f>SUMIFS('[1]2026'!$K:$K,'[1]2026'!$T:$T,$BD138,'[1]2026'!$S:$S,BN$3,'[1]2026'!$P:$P,$AU138)</f>
        <v>0</v>
      </c>
      <c r="BO138" s="10">
        <f>SUMIFS('[1]2026'!$K:$K,'[1]2026'!$T:$T,$BD138,'[1]2026'!$S:$S,BO$3,'[1]2026'!$P:$P,$AU138)</f>
        <v>0</v>
      </c>
      <c r="BP138" s="6"/>
      <c r="BQ138" s="6"/>
      <c r="BR138" s="6"/>
      <c r="BS138" s="6"/>
      <c r="BT138" s="6">
        <f t="shared" si="51"/>
        <v>0</v>
      </c>
      <c r="BV138" s="6">
        <f t="shared" si="59"/>
        <v>0</v>
      </c>
      <c r="BW138" s="6">
        <f t="shared" si="60"/>
        <v>-30000</v>
      </c>
      <c r="BX138" s="6">
        <f t="shared" si="61"/>
        <v>0</v>
      </c>
      <c r="BY138" s="6">
        <f t="shared" si="62"/>
        <v>0</v>
      </c>
      <c r="BZ138" s="6">
        <f t="shared" si="63"/>
        <v>0</v>
      </c>
      <c r="CA138" s="6">
        <f t="shared" si="64"/>
        <v>0</v>
      </c>
      <c r="CB138" s="6">
        <f t="shared" si="65"/>
        <v>0</v>
      </c>
      <c r="CC138" s="6">
        <f t="shared" si="66"/>
        <v>0</v>
      </c>
      <c r="CD138" s="6">
        <f t="shared" si="67"/>
        <v>0</v>
      </c>
      <c r="CE138" s="6">
        <f t="shared" si="68"/>
        <v>0</v>
      </c>
      <c r="CF138" s="6">
        <f t="shared" si="69"/>
        <v>0</v>
      </c>
      <c r="CG138" s="6">
        <f t="shared" si="70"/>
        <v>0</v>
      </c>
      <c r="CH138" s="6">
        <f t="shared" si="52"/>
        <v>-30000</v>
      </c>
    </row>
    <row r="139" spans="1:86" hidden="1" x14ac:dyDescent="0.35">
      <c r="A139" s="3" t="s">
        <v>441</v>
      </c>
      <c r="C139" s="10">
        <v>15000</v>
      </c>
      <c r="N139" s="27">
        <f t="shared" si="56"/>
        <v>15000</v>
      </c>
      <c r="AA139" s="27">
        <f t="shared" si="53"/>
        <v>0</v>
      </c>
      <c r="AB139" s="10">
        <f t="shared" si="58"/>
        <v>0</v>
      </c>
      <c r="AC139" s="10">
        <f t="shared" si="58"/>
        <v>15000</v>
      </c>
      <c r="AD139" s="10">
        <f t="shared" si="58"/>
        <v>0</v>
      </c>
      <c r="AE139" s="10">
        <f t="shared" si="58"/>
        <v>0</v>
      </c>
      <c r="AF139" s="10">
        <f t="shared" si="58"/>
        <v>0</v>
      </c>
      <c r="AG139" s="10">
        <f t="shared" si="58"/>
        <v>0</v>
      </c>
      <c r="AH139" s="10">
        <f t="shared" si="58"/>
        <v>0</v>
      </c>
      <c r="AI139" s="10">
        <f t="shared" si="58"/>
        <v>0</v>
      </c>
      <c r="AJ139" s="10">
        <f t="shared" si="58"/>
        <v>0</v>
      </c>
      <c r="AK139" s="10">
        <f t="shared" si="57"/>
        <v>0</v>
      </c>
      <c r="AL139" s="10">
        <f t="shared" si="57"/>
        <v>0</v>
      </c>
      <c r="AM139" s="10">
        <f t="shared" si="57"/>
        <v>0</v>
      </c>
      <c r="AN139" s="27">
        <f t="shared" si="57"/>
        <v>15000</v>
      </c>
      <c r="AS139" t="str">
        <f>_xlfn.XLOOKUP(AU139,[2]GAE!HZ:HZ,[2]GAE!IA:IA)</f>
        <v>ADMIN SERVICES</v>
      </c>
      <c r="AT139" t="str">
        <f>_xlfn.XLOOKUP(AU139,[2]GAE!HZ:HZ,[2]GAE!IB:IB)</f>
        <v>DOE - Insurance - Motor Car</v>
      </c>
      <c r="AU139" t="s">
        <v>415</v>
      </c>
      <c r="AV139">
        <v>81123102</v>
      </c>
      <c r="AW139">
        <v>52101112</v>
      </c>
      <c r="AX139" t="str">
        <f>_xlfn.XLOOKUP(AU139,[2]GAE!HZ:HZ,[2]GAE!IF:IF)</f>
        <v>Others</v>
      </c>
      <c r="AY139" t="str">
        <f>_xlfn.XLOOKUP(AU139,[2]GAE!HZ:HZ,[2]GAE!IG:IG)</f>
        <v>Insurance</v>
      </c>
      <c r="BF139" t="s">
        <v>24</v>
      </c>
      <c r="BG139" s="2" t="s">
        <v>24</v>
      </c>
      <c r="BH139" s="10">
        <f>SUMIFS('[1]2026'!$K:$K,'[1]2026'!$T:$T,BD139,'[1]2026'!$S:$S,BH$3,'[1]2026'!$P:$P,AU139)</f>
        <v>0</v>
      </c>
      <c r="BI139" s="10">
        <f>SUMIFS('[1]2026'!$K:$K,'[1]2026'!$T:$T,$BD139,'[1]2026'!$S:$S,BI$3,'[1]2026'!$P:$P,$AU139)</f>
        <v>0</v>
      </c>
      <c r="BJ139" s="10">
        <f>SUMIFS('[1]2026'!$K:$K,'[1]2026'!$T:$T,$BD139,'[1]2026'!$S:$S,BJ$3,'[1]2026'!$P:$P,$AU139)</f>
        <v>0</v>
      </c>
      <c r="BK139" s="10">
        <f>SUMIFS('[1]2026'!$K:$K,'[1]2026'!$T:$T,$BD139,'[1]2026'!$S:$S,BK$3,'[1]2026'!$P:$P,$AU139)</f>
        <v>0</v>
      </c>
      <c r="BL139" s="6"/>
      <c r="BM139" s="10">
        <f>SUMIFS('[1]2026'!$K:$K,'[1]2026'!$T:$T,$BD139,'[1]2026'!$S:$S,BM$3,'[1]2026'!$P:$P,$AU139)</f>
        <v>0</v>
      </c>
      <c r="BN139" s="10">
        <f>SUMIFS('[1]2026'!$K:$K,'[1]2026'!$T:$T,$BD139,'[1]2026'!$S:$S,BN$3,'[1]2026'!$P:$P,$AU139)</f>
        <v>0</v>
      </c>
      <c r="BO139" s="10">
        <f>SUMIFS('[1]2026'!$K:$K,'[1]2026'!$T:$T,$BD139,'[1]2026'!$S:$S,BO$3,'[1]2026'!$P:$P,$AU139)</f>
        <v>0</v>
      </c>
      <c r="BP139" s="6"/>
      <c r="BQ139" s="6"/>
      <c r="BR139" s="6"/>
      <c r="BS139" s="6"/>
      <c r="BT139" s="6">
        <f t="shared" si="51"/>
        <v>0</v>
      </c>
      <c r="BV139" s="6">
        <f t="shared" si="59"/>
        <v>0</v>
      </c>
      <c r="BW139" s="6">
        <f t="shared" si="60"/>
        <v>-15000</v>
      </c>
      <c r="BX139" s="6">
        <f t="shared" si="61"/>
        <v>0</v>
      </c>
      <c r="BY139" s="6">
        <f t="shared" si="62"/>
        <v>0</v>
      </c>
      <c r="BZ139" s="6">
        <f t="shared" si="63"/>
        <v>0</v>
      </c>
      <c r="CA139" s="6">
        <f t="shared" si="64"/>
        <v>0</v>
      </c>
      <c r="CB139" s="6">
        <f t="shared" si="65"/>
        <v>0</v>
      </c>
      <c r="CC139" s="6">
        <f t="shared" si="66"/>
        <v>0</v>
      </c>
      <c r="CD139" s="6">
        <f t="shared" si="67"/>
        <v>0</v>
      </c>
      <c r="CE139" s="6">
        <f t="shared" si="68"/>
        <v>0</v>
      </c>
      <c r="CF139" s="6">
        <f t="shared" si="69"/>
        <v>0</v>
      </c>
      <c r="CG139" s="6">
        <f t="shared" si="70"/>
        <v>0</v>
      </c>
      <c r="CH139" s="6">
        <f t="shared" si="52"/>
        <v>-15000</v>
      </c>
    </row>
    <row r="140" spans="1:86" hidden="1" x14ac:dyDescent="0.35">
      <c r="A140" s="3" t="s">
        <v>442</v>
      </c>
      <c r="C140" s="10">
        <v>15000</v>
      </c>
      <c r="N140" s="27">
        <f t="shared" si="56"/>
        <v>15000</v>
      </c>
      <c r="AA140" s="27">
        <f t="shared" si="53"/>
        <v>0</v>
      </c>
      <c r="AB140" s="10">
        <f t="shared" si="58"/>
        <v>0</v>
      </c>
      <c r="AC140" s="10">
        <f t="shared" si="58"/>
        <v>15000</v>
      </c>
      <c r="AD140" s="10">
        <f t="shared" si="58"/>
        <v>0</v>
      </c>
      <c r="AE140" s="10">
        <f t="shared" si="58"/>
        <v>0</v>
      </c>
      <c r="AF140" s="10">
        <f t="shared" si="58"/>
        <v>0</v>
      </c>
      <c r="AG140" s="10">
        <f t="shared" si="58"/>
        <v>0</v>
      </c>
      <c r="AH140" s="10">
        <f t="shared" si="58"/>
        <v>0</v>
      </c>
      <c r="AI140" s="10">
        <f t="shared" si="58"/>
        <v>0</v>
      </c>
      <c r="AJ140" s="10">
        <f t="shared" si="58"/>
        <v>0</v>
      </c>
      <c r="AK140" s="10">
        <f t="shared" si="57"/>
        <v>0</v>
      </c>
      <c r="AL140" s="10">
        <f t="shared" si="57"/>
        <v>0</v>
      </c>
      <c r="AM140" s="10">
        <f t="shared" si="57"/>
        <v>0</v>
      </c>
      <c r="AN140" s="27">
        <f t="shared" si="57"/>
        <v>15000</v>
      </c>
      <c r="AS140" t="str">
        <f>_xlfn.XLOOKUP(AU140,[2]GAE!HZ:HZ,[2]GAE!IA:IA)</f>
        <v>ADMIN SERVICES</v>
      </c>
      <c r="AT140" t="str">
        <f>_xlfn.XLOOKUP(AU140,[2]GAE!HZ:HZ,[2]GAE!IB:IB)</f>
        <v>DOE - Insurance - Motor Car</v>
      </c>
      <c r="AU140" t="s">
        <v>415</v>
      </c>
      <c r="AV140">
        <v>81123102</v>
      </c>
      <c r="AW140">
        <v>52101112</v>
      </c>
      <c r="AX140" t="str">
        <f>_xlfn.XLOOKUP(AU140,[2]GAE!HZ:HZ,[2]GAE!IF:IF)</f>
        <v>Others</v>
      </c>
      <c r="AY140" t="str">
        <f>_xlfn.XLOOKUP(AU140,[2]GAE!HZ:HZ,[2]GAE!IG:IG)</f>
        <v>Insurance</v>
      </c>
      <c r="BF140" t="s">
        <v>24</v>
      </c>
      <c r="BG140" s="2" t="s">
        <v>24</v>
      </c>
      <c r="BH140" s="10">
        <f>SUMIFS('[1]2026'!$K:$K,'[1]2026'!$T:$T,BD140,'[1]2026'!$S:$S,BH$3,'[1]2026'!$P:$P,AU140)</f>
        <v>0</v>
      </c>
      <c r="BI140" s="10">
        <f>SUMIFS('[1]2026'!$K:$K,'[1]2026'!$T:$T,$BD140,'[1]2026'!$S:$S,BI$3,'[1]2026'!$P:$P,$AU140)</f>
        <v>0</v>
      </c>
      <c r="BJ140" s="10">
        <f>SUMIFS('[1]2026'!$K:$K,'[1]2026'!$T:$T,$BD140,'[1]2026'!$S:$S,BJ$3,'[1]2026'!$P:$P,$AU140)</f>
        <v>0</v>
      </c>
      <c r="BK140" s="10">
        <f>SUMIFS('[1]2026'!$K:$K,'[1]2026'!$T:$T,$BD140,'[1]2026'!$S:$S,BK$3,'[1]2026'!$P:$P,$AU140)</f>
        <v>0</v>
      </c>
      <c r="BL140" s="6"/>
      <c r="BM140" s="10">
        <f>SUMIFS('[1]2026'!$K:$K,'[1]2026'!$T:$T,$BD140,'[1]2026'!$S:$S,BM$3,'[1]2026'!$P:$P,$AU140)</f>
        <v>0</v>
      </c>
      <c r="BN140" s="10">
        <f>SUMIFS('[1]2026'!$K:$K,'[1]2026'!$T:$T,$BD140,'[1]2026'!$S:$S,BN$3,'[1]2026'!$P:$P,$AU140)</f>
        <v>0</v>
      </c>
      <c r="BO140" s="10">
        <f>SUMIFS('[1]2026'!$K:$K,'[1]2026'!$T:$T,$BD140,'[1]2026'!$S:$S,BO$3,'[1]2026'!$P:$P,$AU140)</f>
        <v>0</v>
      </c>
      <c r="BP140" s="6"/>
      <c r="BQ140" s="6"/>
      <c r="BR140" s="6"/>
      <c r="BS140" s="6"/>
      <c r="BT140" s="6">
        <f t="shared" ref="BT140:BT203" si="71">SUM(BH140:BS140)</f>
        <v>0</v>
      </c>
      <c r="BV140" s="6">
        <f t="shared" si="59"/>
        <v>0</v>
      </c>
      <c r="BW140" s="6">
        <f t="shared" si="60"/>
        <v>-15000</v>
      </c>
      <c r="BX140" s="6">
        <f t="shared" si="61"/>
        <v>0</v>
      </c>
      <c r="BY140" s="6">
        <f t="shared" si="62"/>
        <v>0</v>
      </c>
      <c r="BZ140" s="6">
        <f t="shared" si="63"/>
        <v>0</v>
      </c>
      <c r="CA140" s="6">
        <f t="shared" si="64"/>
        <v>0</v>
      </c>
      <c r="CB140" s="6">
        <f t="shared" si="65"/>
        <v>0</v>
      </c>
      <c r="CC140" s="6">
        <f t="shared" si="66"/>
        <v>0</v>
      </c>
      <c r="CD140" s="6">
        <f t="shared" si="67"/>
        <v>0</v>
      </c>
      <c r="CE140" s="6">
        <f t="shared" si="68"/>
        <v>0</v>
      </c>
      <c r="CF140" s="6">
        <f t="shared" si="69"/>
        <v>0</v>
      </c>
      <c r="CG140" s="6">
        <f t="shared" si="70"/>
        <v>0</v>
      </c>
      <c r="CH140" s="6">
        <f t="shared" si="52"/>
        <v>-15000</v>
      </c>
    </row>
    <row r="141" spans="1:86" hidden="1" x14ac:dyDescent="0.35">
      <c r="A141" s="3" t="s">
        <v>443</v>
      </c>
      <c r="C141" s="10">
        <v>30000</v>
      </c>
      <c r="N141" s="27">
        <f t="shared" si="56"/>
        <v>30000</v>
      </c>
      <c r="AA141" s="27">
        <f t="shared" si="53"/>
        <v>0</v>
      </c>
      <c r="AB141" s="10">
        <f t="shared" si="58"/>
        <v>0</v>
      </c>
      <c r="AC141" s="10">
        <f t="shared" si="58"/>
        <v>30000</v>
      </c>
      <c r="AD141" s="10">
        <f t="shared" si="58"/>
        <v>0</v>
      </c>
      <c r="AE141" s="10">
        <f t="shared" si="58"/>
        <v>0</v>
      </c>
      <c r="AF141" s="10">
        <f t="shared" si="58"/>
        <v>0</v>
      </c>
      <c r="AG141" s="10">
        <f t="shared" si="58"/>
        <v>0</v>
      </c>
      <c r="AH141" s="10">
        <f t="shared" si="58"/>
        <v>0</v>
      </c>
      <c r="AI141" s="10">
        <f t="shared" si="58"/>
        <v>0</v>
      </c>
      <c r="AJ141" s="10">
        <f t="shared" si="58"/>
        <v>0</v>
      </c>
      <c r="AK141" s="10">
        <f t="shared" si="57"/>
        <v>0</v>
      </c>
      <c r="AL141" s="10">
        <f t="shared" si="57"/>
        <v>0</v>
      </c>
      <c r="AM141" s="10">
        <f t="shared" si="57"/>
        <v>0</v>
      </c>
      <c r="AN141" s="27">
        <f t="shared" si="57"/>
        <v>30000</v>
      </c>
      <c r="AS141" t="str">
        <f>_xlfn.XLOOKUP(AU141,[2]GAE!HZ:HZ,[2]GAE!IA:IA)</f>
        <v>ADMIN SERVICES</v>
      </c>
      <c r="AT141" t="str">
        <f>_xlfn.XLOOKUP(AU141,[2]GAE!HZ:HZ,[2]GAE!IB:IB)</f>
        <v>DOE - Insurance - Motor Car</v>
      </c>
      <c r="AU141" t="s">
        <v>415</v>
      </c>
      <c r="AV141">
        <v>81123102</v>
      </c>
      <c r="AW141">
        <v>52101112</v>
      </c>
      <c r="AX141" t="str">
        <f>_xlfn.XLOOKUP(AU141,[2]GAE!HZ:HZ,[2]GAE!IF:IF)</f>
        <v>Others</v>
      </c>
      <c r="AY141" t="str">
        <f>_xlfn.XLOOKUP(AU141,[2]GAE!HZ:HZ,[2]GAE!IG:IG)</f>
        <v>Insurance</v>
      </c>
      <c r="BF141" t="s">
        <v>24</v>
      </c>
      <c r="BG141" s="2" t="s">
        <v>24</v>
      </c>
      <c r="BH141" s="10">
        <f>SUMIFS('[1]2026'!$K:$K,'[1]2026'!$T:$T,BD141,'[1]2026'!$S:$S,BH$3,'[1]2026'!$P:$P,AU141)</f>
        <v>0</v>
      </c>
      <c r="BI141" s="10">
        <f>SUMIFS('[1]2026'!$K:$K,'[1]2026'!$T:$T,$BD141,'[1]2026'!$S:$S,BI$3,'[1]2026'!$P:$P,$AU141)</f>
        <v>0</v>
      </c>
      <c r="BJ141" s="10">
        <f>SUMIFS('[1]2026'!$K:$K,'[1]2026'!$T:$T,$BD141,'[1]2026'!$S:$S,BJ$3,'[1]2026'!$P:$P,$AU141)</f>
        <v>0</v>
      </c>
      <c r="BK141" s="10">
        <f>SUMIFS('[1]2026'!$K:$K,'[1]2026'!$T:$T,$BD141,'[1]2026'!$S:$S,BK$3,'[1]2026'!$P:$P,$AU141)</f>
        <v>0</v>
      </c>
      <c r="BL141" s="6"/>
      <c r="BM141" s="10">
        <f>SUMIFS('[1]2026'!$K:$K,'[1]2026'!$T:$T,$BD141,'[1]2026'!$S:$S,BM$3,'[1]2026'!$P:$P,$AU141)</f>
        <v>0</v>
      </c>
      <c r="BN141" s="10">
        <f>SUMIFS('[1]2026'!$K:$K,'[1]2026'!$T:$T,$BD141,'[1]2026'!$S:$S,BN$3,'[1]2026'!$P:$P,$AU141)</f>
        <v>0</v>
      </c>
      <c r="BO141" s="10">
        <f>SUMIFS('[1]2026'!$K:$K,'[1]2026'!$T:$T,$BD141,'[1]2026'!$S:$S,BO$3,'[1]2026'!$P:$P,$AU141)</f>
        <v>0</v>
      </c>
      <c r="BP141" s="6"/>
      <c r="BQ141" s="6"/>
      <c r="BR141" s="6"/>
      <c r="BS141" s="6"/>
      <c r="BT141" s="6">
        <f t="shared" si="71"/>
        <v>0</v>
      </c>
      <c r="BV141" s="6">
        <f t="shared" si="59"/>
        <v>0</v>
      </c>
      <c r="BW141" s="6">
        <f t="shared" si="60"/>
        <v>-30000</v>
      </c>
      <c r="BX141" s="6">
        <f t="shared" si="61"/>
        <v>0</v>
      </c>
      <c r="BY141" s="6">
        <f t="shared" si="62"/>
        <v>0</v>
      </c>
      <c r="BZ141" s="6">
        <f t="shared" si="63"/>
        <v>0</v>
      </c>
      <c r="CA141" s="6">
        <f t="shared" si="64"/>
        <v>0</v>
      </c>
      <c r="CB141" s="6">
        <f t="shared" si="65"/>
        <v>0</v>
      </c>
      <c r="CC141" s="6">
        <f t="shared" si="66"/>
        <v>0</v>
      </c>
      <c r="CD141" s="6">
        <f t="shared" si="67"/>
        <v>0</v>
      </c>
      <c r="CE141" s="6">
        <f t="shared" si="68"/>
        <v>0</v>
      </c>
      <c r="CF141" s="6">
        <f t="shared" si="69"/>
        <v>0</v>
      </c>
      <c r="CG141" s="6">
        <f t="shared" si="70"/>
        <v>0</v>
      </c>
      <c r="CH141" s="6">
        <f t="shared" si="52"/>
        <v>-30000</v>
      </c>
    </row>
    <row r="142" spans="1:86" hidden="1" x14ac:dyDescent="0.35">
      <c r="A142" s="3" t="s">
        <v>444</v>
      </c>
      <c r="C142" s="10">
        <v>15000</v>
      </c>
      <c r="N142" s="27">
        <f t="shared" si="56"/>
        <v>15000</v>
      </c>
      <c r="AA142" s="27">
        <f t="shared" si="53"/>
        <v>0</v>
      </c>
      <c r="AB142" s="10">
        <f t="shared" si="58"/>
        <v>0</v>
      </c>
      <c r="AC142" s="10">
        <f t="shared" si="58"/>
        <v>15000</v>
      </c>
      <c r="AD142" s="10">
        <f t="shared" si="58"/>
        <v>0</v>
      </c>
      <c r="AE142" s="10">
        <f t="shared" si="58"/>
        <v>0</v>
      </c>
      <c r="AF142" s="10">
        <f t="shared" si="58"/>
        <v>0</v>
      </c>
      <c r="AG142" s="10">
        <f t="shared" si="58"/>
        <v>0</v>
      </c>
      <c r="AH142" s="10">
        <f t="shared" si="58"/>
        <v>0</v>
      </c>
      <c r="AI142" s="10">
        <f t="shared" si="58"/>
        <v>0</v>
      </c>
      <c r="AJ142" s="10">
        <f t="shared" si="58"/>
        <v>0</v>
      </c>
      <c r="AK142" s="10">
        <f t="shared" si="57"/>
        <v>0</v>
      </c>
      <c r="AL142" s="10">
        <f t="shared" si="57"/>
        <v>0</v>
      </c>
      <c r="AM142" s="10">
        <f t="shared" si="57"/>
        <v>0</v>
      </c>
      <c r="AN142" s="27">
        <f t="shared" si="57"/>
        <v>15000</v>
      </c>
      <c r="AS142" t="str">
        <f>_xlfn.XLOOKUP(AU142,[2]GAE!HZ:HZ,[2]GAE!IA:IA)</f>
        <v>ADMIN SERVICES</v>
      </c>
      <c r="AT142" t="str">
        <f>_xlfn.XLOOKUP(AU142,[2]GAE!HZ:HZ,[2]GAE!IB:IB)</f>
        <v>DOE - Insurance - Motor Car</v>
      </c>
      <c r="AU142" t="s">
        <v>415</v>
      </c>
      <c r="AV142">
        <v>81123102</v>
      </c>
      <c r="AW142">
        <v>52101112</v>
      </c>
      <c r="AX142" t="str">
        <f>_xlfn.XLOOKUP(AU142,[2]GAE!HZ:HZ,[2]GAE!IF:IF)</f>
        <v>Others</v>
      </c>
      <c r="AY142" t="str">
        <f>_xlfn.XLOOKUP(AU142,[2]GAE!HZ:HZ,[2]GAE!IG:IG)</f>
        <v>Insurance</v>
      </c>
      <c r="BF142" t="s">
        <v>24</v>
      </c>
      <c r="BG142" s="2" t="s">
        <v>24</v>
      </c>
      <c r="BH142" s="10">
        <f>SUMIFS('[1]2026'!$K:$K,'[1]2026'!$T:$T,BD142,'[1]2026'!$S:$S,BH$3,'[1]2026'!$P:$P,AU142)</f>
        <v>0</v>
      </c>
      <c r="BI142" s="10">
        <f>SUMIFS('[1]2026'!$K:$K,'[1]2026'!$T:$T,$BD142,'[1]2026'!$S:$S,BI$3,'[1]2026'!$P:$P,$AU142)</f>
        <v>0</v>
      </c>
      <c r="BJ142" s="10">
        <f>SUMIFS('[1]2026'!$K:$K,'[1]2026'!$T:$T,$BD142,'[1]2026'!$S:$S,BJ$3,'[1]2026'!$P:$P,$AU142)</f>
        <v>0</v>
      </c>
      <c r="BK142" s="10">
        <f>SUMIFS('[1]2026'!$K:$K,'[1]2026'!$T:$T,$BD142,'[1]2026'!$S:$S,BK$3,'[1]2026'!$P:$P,$AU142)</f>
        <v>0</v>
      </c>
      <c r="BL142" s="6"/>
      <c r="BM142" s="10">
        <f>SUMIFS('[1]2026'!$K:$K,'[1]2026'!$T:$T,$BD142,'[1]2026'!$S:$S,BM$3,'[1]2026'!$P:$P,$AU142)</f>
        <v>0</v>
      </c>
      <c r="BN142" s="10">
        <f>SUMIFS('[1]2026'!$K:$K,'[1]2026'!$T:$T,$BD142,'[1]2026'!$S:$S,BN$3,'[1]2026'!$P:$P,$AU142)</f>
        <v>0</v>
      </c>
      <c r="BO142" s="10">
        <f>SUMIFS('[1]2026'!$K:$K,'[1]2026'!$T:$T,$BD142,'[1]2026'!$S:$S,BO$3,'[1]2026'!$P:$P,$AU142)</f>
        <v>0</v>
      </c>
      <c r="BP142" s="6"/>
      <c r="BQ142" s="6"/>
      <c r="BR142" s="6"/>
      <c r="BS142" s="6"/>
      <c r="BT142" s="6">
        <f t="shared" si="71"/>
        <v>0</v>
      </c>
      <c r="BV142" s="6">
        <f t="shared" si="59"/>
        <v>0</v>
      </c>
      <c r="BW142" s="6">
        <f t="shared" si="60"/>
        <v>-15000</v>
      </c>
      <c r="BX142" s="6">
        <f t="shared" si="61"/>
        <v>0</v>
      </c>
      <c r="BY142" s="6">
        <f t="shared" si="62"/>
        <v>0</v>
      </c>
      <c r="BZ142" s="6">
        <f t="shared" si="63"/>
        <v>0</v>
      </c>
      <c r="CA142" s="6">
        <f t="shared" si="64"/>
        <v>0</v>
      </c>
      <c r="CB142" s="6">
        <f t="shared" si="65"/>
        <v>0</v>
      </c>
      <c r="CC142" s="6">
        <f t="shared" si="66"/>
        <v>0</v>
      </c>
      <c r="CD142" s="6">
        <f t="shared" si="67"/>
        <v>0</v>
      </c>
      <c r="CE142" s="6">
        <f t="shared" si="68"/>
        <v>0</v>
      </c>
      <c r="CF142" s="6">
        <f t="shared" si="69"/>
        <v>0</v>
      </c>
      <c r="CG142" s="6">
        <f t="shared" si="70"/>
        <v>0</v>
      </c>
      <c r="CH142" s="6">
        <f t="shared" si="52"/>
        <v>-15000</v>
      </c>
    </row>
    <row r="143" spans="1:86" hidden="1" x14ac:dyDescent="0.35">
      <c r="A143" s="3" t="s">
        <v>445</v>
      </c>
      <c r="C143" s="10">
        <v>15000</v>
      </c>
      <c r="N143" s="27">
        <f t="shared" si="56"/>
        <v>15000</v>
      </c>
      <c r="AA143" s="27">
        <f t="shared" si="53"/>
        <v>0</v>
      </c>
      <c r="AB143" s="10">
        <f t="shared" si="58"/>
        <v>0</v>
      </c>
      <c r="AC143" s="10">
        <f t="shared" si="58"/>
        <v>15000</v>
      </c>
      <c r="AD143" s="10">
        <f t="shared" si="58"/>
        <v>0</v>
      </c>
      <c r="AE143" s="10">
        <f t="shared" si="58"/>
        <v>0</v>
      </c>
      <c r="AF143" s="10">
        <f t="shared" si="58"/>
        <v>0</v>
      </c>
      <c r="AG143" s="10">
        <f t="shared" si="58"/>
        <v>0</v>
      </c>
      <c r="AH143" s="10">
        <f t="shared" si="58"/>
        <v>0</v>
      </c>
      <c r="AI143" s="10">
        <f t="shared" si="58"/>
        <v>0</v>
      </c>
      <c r="AJ143" s="10">
        <f t="shared" si="58"/>
        <v>0</v>
      </c>
      <c r="AK143" s="10">
        <f t="shared" si="57"/>
        <v>0</v>
      </c>
      <c r="AL143" s="10">
        <f t="shared" si="57"/>
        <v>0</v>
      </c>
      <c r="AM143" s="10">
        <f t="shared" si="57"/>
        <v>0</v>
      </c>
      <c r="AN143" s="27">
        <f t="shared" si="57"/>
        <v>15000</v>
      </c>
      <c r="AS143" t="str">
        <f>_xlfn.XLOOKUP(AU143,[2]GAE!HZ:HZ,[2]GAE!IA:IA)</f>
        <v>ADMIN SERVICES</v>
      </c>
      <c r="AT143" t="str">
        <f>_xlfn.XLOOKUP(AU143,[2]GAE!HZ:HZ,[2]GAE!IB:IB)</f>
        <v>DOE - Insurance - Motor Car</v>
      </c>
      <c r="AU143" t="s">
        <v>415</v>
      </c>
      <c r="AV143">
        <v>81123102</v>
      </c>
      <c r="AW143">
        <v>52101112</v>
      </c>
      <c r="AX143" t="str">
        <f>_xlfn.XLOOKUP(AU143,[2]GAE!HZ:HZ,[2]GAE!IF:IF)</f>
        <v>Others</v>
      </c>
      <c r="AY143" t="str">
        <f>_xlfn.XLOOKUP(AU143,[2]GAE!HZ:HZ,[2]GAE!IG:IG)</f>
        <v>Insurance</v>
      </c>
      <c r="BF143" t="s">
        <v>24</v>
      </c>
      <c r="BG143" s="2" t="s">
        <v>24</v>
      </c>
      <c r="BH143" s="10">
        <f>SUMIFS('[1]2026'!$K:$K,'[1]2026'!$T:$T,BD143,'[1]2026'!$S:$S,BH$3,'[1]2026'!$P:$P,AU143)</f>
        <v>0</v>
      </c>
      <c r="BI143" s="10">
        <f>SUMIFS('[1]2026'!$K:$K,'[1]2026'!$T:$T,$BD143,'[1]2026'!$S:$S,BI$3,'[1]2026'!$P:$P,$AU143)</f>
        <v>0</v>
      </c>
      <c r="BJ143" s="10">
        <f>SUMIFS('[1]2026'!$K:$K,'[1]2026'!$T:$T,$BD143,'[1]2026'!$S:$S,BJ$3,'[1]2026'!$P:$P,$AU143)</f>
        <v>0</v>
      </c>
      <c r="BK143" s="10">
        <f>SUMIFS('[1]2026'!$K:$K,'[1]2026'!$T:$T,$BD143,'[1]2026'!$S:$S,BK$3,'[1]2026'!$P:$P,$AU143)</f>
        <v>0</v>
      </c>
      <c r="BL143" s="6"/>
      <c r="BM143" s="10">
        <f>SUMIFS('[1]2026'!$K:$K,'[1]2026'!$T:$T,$BD143,'[1]2026'!$S:$S,BM$3,'[1]2026'!$P:$P,$AU143)</f>
        <v>0</v>
      </c>
      <c r="BN143" s="10">
        <f>SUMIFS('[1]2026'!$K:$K,'[1]2026'!$T:$T,$BD143,'[1]2026'!$S:$S,BN$3,'[1]2026'!$P:$P,$AU143)</f>
        <v>0</v>
      </c>
      <c r="BO143" s="10">
        <f>SUMIFS('[1]2026'!$K:$K,'[1]2026'!$T:$T,$BD143,'[1]2026'!$S:$S,BO$3,'[1]2026'!$P:$P,$AU143)</f>
        <v>0</v>
      </c>
      <c r="BP143" s="6"/>
      <c r="BQ143" s="6"/>
      <c r="BR143" s="6"/>
      <c r="BS143" s="6"/>
      <c r="BT143" s="6">
        <f t="shared" si="71"/>
        <v>0</v>
      </c>
      <c r="BV143" s="6">
        <f t="shared" si="59"/>
        <v>0</v>
      </c>
      <c r="BW143" s="6">
        <f t="shared" si="60"/>
        <v>-15000</v>
      </c>
      <c r="BX143" s="6">
        <f t="shared" si="61"/>
        <v>0</v>
      </c>
      <c r="BY143" s="6">
        <f t="shared" si="62"/>
        <v>0</v>
      </c>
      <c r="BZ143" s="6">
        <f t="shared" si="63"/>
        <v>0</v>
      </c>
      <c r="CA143" s="6">
        <f t="shared" si="64"/>
        <v>0</v>
      </c>
      <c r="CB143" s="6">
        <f t="shared" si="65"/>
        <v>0</v>
      </c>
      <c r="CC143" s="6">
        <f t="shared" si="66"/>
        <v>0</v>
      </c>
      <c r="CD143" s="6">
        <f t="shared" si="67"/>
        <v>0</v>
      </c>
      <c r="CE143" s="6">
        <f t="shared" si="68"/>
        <v>0</v>
      </c>
      <c r="CF143" s="6">
        <f t="shared" si="69"/>
        <v>0</v>
      </c>
      <c r="CG143" s="6">
        <f t="shared" si="70"/>
        <v>0</v>
      </c>
      <c r="CH143" s="6">
        <f t="shared" si="52"/>
        <v>-15000</v>
      </c>
    </row>
    <row r="144" spans="1:86" hidden="1" x14ac:dyDescent="0.35">
      <c r="A144" s="3" t="s">
        <v>446</v>
      </c>
      <c r="C144" s="10">
        <v>30000</v>
      </c>
      <c r="N144" s="27">
        <f t="shared" si="56"/>
        <v>30000</v>
      </c>
      <c r="AA144" s="27">
        <f t="shared" si="53"/>
        <v>0</v>
      </c>
      <c r="AB144" s="10">
        <f t="shared" si="58"/>
        <v>0</v>
      </c>
      <c r="AC144" s="10">
        <f t="shared" si="58"/>
        <v>30000</v>
      </c>
      <c r="AD144" s="10">
        <f t="shared" si="58"/>
        <v>0</v>
      </c>
      <c r="AE144" s="10">
        <f t="shared" si="58"/>
        <v>0</v>
      </c>
      <c r="AF144" s="10">
        <f t="shared" si="58"/>
        <v>0</v>
      </c>
      <c r="AG144" s="10">
        <f t="shared" si="58"/>
        <v>0</v>
      </c>
      <c r="AH144" s="10">
        <f t="shared" si="58"/>
        <v>0</v>
      </c>
      <c r="AI144" s="10">
        <f t="shared" si="58"/>
        <v>0</v>
      </c>
      <c r="AJ144" s="10">
        <f t="shared" si="58"/>
        <v>0</v>
      </c>
      <c r="AK144" s="10">
        <f t="shared" si="57"/>
        <v>0</v>
      </c>
      <c r="AL144" s="10">
        <f t="shared" si="57"/>
        <v>0</v>
      </c>
      <c r="AM144" s="10">
        <f t="shared" si="57"/>
        <v>0</v>
      </c>
      <c r="AN144" s="27">
        <f t="shared" si="57"/>
        <v>30000</v>
      </c>
      <c r="AS144" t="str">
        <f>_xlfn.XLOOKUP(AU144,[2]GAE!HZ:HZ,[2]GAE!IA:IA)</f>
        <v>ADMIN SERVICES</v>
      </c>
      <c r="AT144" t="str">
        <f>_xlfn.XLOOKUP(AU144,[2]GAE!HZ:HZ,[2]GAE!IB:IB)</f>
        <v>DOE - Insurance - Motor Car</v>
      </c>
      <c r="AU144" t="s">
        <v>415</v>
      </c>
      <c r="AV144">
        <v>81123102</v>
      </c>
      <c r="AW144">
        <v>52101112</v>
      </c>
      <c r="AX144" t="str">
        <f>_xlfn.XLOOKUP(AU144,[2]GAE!HZ:HZ,[2]GAE!IF:IF)</f>
        <v>Others</v>
      </c>
      <c r="AY144" t="str">
        <f>_xlfn.XLOOKUP(AU144,[2]GAE!HZ:HZ,[2]GAE!IG:IG)</f>
        <v>Insurance</v>
      </c>
      <c r="BF144" t="s">
        <v>24</v>
      </c>
      <c r="BG144" s="2" t="s">
        <v>24</v>
      </c>
      <c r="BH144" s="10">
        <f>SUMIFS('[1]2026'!$K:$K,'[1]2026'!$T:$T,BD144,'[1]2026'!$S:$S,BH$3,'[1]2026'!$P:$P,AU144)</f>
        <v>0</v>
      </c>
      <c r="BI144" s="10">
        <f>SUMIFS('[1]2026'!$K:$K,'[1]2026'!$T:$T,$BD144,'[1]2026'!$S:$S,BI$3,'[1]2026'!$P:$P,$AU144)</f>
        <v>0</v>
      </c>
      <c r="BJ144" s="10">
        <f>SUMIFS('[1]2026'!$K:$K,'[1]2026'!$T:$T,$BD144,'[1]2026'!$S:$S,BJ$3,'[1]2026'!$P:$P,$AU144)</f>
        <v>0</v>
      </c>
      <c r="BK144" s="10">
        <f>SUMIFS('[1]2026'!$K:$K,'[1]2026'!$T:$T,$BD144,'[1]2026'!$S:$S,BK$3,'[1]2026'!$P:$P,$AU144)</f>
        <v>0</v>
      </c>
      <c r="BL144" s="6"/>
      <c r="BM144" s="10">
        <f>SUMIFS('[1]2026'!$K:$K,'[1]2026'!$T:$T,$BD144,'[1]2026'!$S:$S,BM$3,'[1]2026'!$P:$P,$AU144)</f>
        <v>0</v>
      </c>
      <c r="BN144" s="10">
        <f>SUMIFS('[1]2026'!$K:$K,'[1]2026'!$T:$T,$BD144,'[1]2026'!$S:$S,BN$3,'[1]2026'!$P:$P,$AU144)</f>
        <v>0</v>
      </c>
      <c r="BO144" s="10">
        <f>SUMIFS('[1]2026'!$K:$K,'[1]2026'!$T:$T,$BD144,'[1]2026'!$S:$S,BO$3,'[1]2026'!$P:$P,$AU144)</f>
        <v>0</v>
      </c>
      <c r="BP144" s="6"/>
      <c r="BQ144" s="6"/>
      <c r="BR144" s="6"/>
      <c r="BS144" s="6"/>
      <c r="BT144" s="6">
        <f t="shared" si="71"/>
        <v>0</v>
      </c>
      <c r="BV144" s="6">
        <f t="shared" si="59"/>
        <v>0</v>
      </c>
      <c r="BW144" s="6">
        <f t="shared" si="60"/>
        <v>-30000</v>
      </c>
      <c r="BX144" s="6">
        <f t="shared" si="61"/>
        <v>0</v>
      </c>
      <c r="BY144" s="6">
        <f t="shared" si="62"/>
        <v>0</v>
      </c>
      <c r="BZ144" s="6">
        <f t="shared" si="63"/>
        <v>0</v>
      </c>
      <c r="CA144" s="6">
        <f t="shared" si="64"/>
        <v>0</v>
      </c>
      <c r="CB144" s="6">
        <f t="shared" si="65"/>
        <v>0</v>
      </c>
      <c r="CC144" s="6">
        <f t="shared" si="66"/>
        <v>0</v>
      </c>
      <c r="CD144" s="6">
        <f t="shared" si="67"/>
        <v>0</v>
      </c>
      <c r="CE144" s="6">
        <f t="shared" si="68"/>
        <v>0</v>
      </c>
      <c r="CF144" s="6">
        <f t="shared" si="69"/>
        <v>0</v>
      </c>
      <c r="CG144" s="6">
        <f t="shared" si="70"/>
        <v>0</v>
      </c>
      <c r="CH144" s="6">
        <f t="shared" si="52"/>
        <v>-30000</v>
      </c>
    </row>
    <row r="145" spans="1:86" hidden="1" x14ac:dyDescent="0.35">
      <c r="A145" s="3" t="s">
        <v>447</v>
      </c>
      <c r="C145" s="10">
        <v>30000</v>
      </c>
      <c r="N145" s="27">
        <f t="shared" si="56"/>
        <v>30000</v>
      </c>
      <c r="AA145" s="27">
        <f t="shared" si="53"/>
        <v>0</v>
      </c>
      <c r="AB145" s="10">
        <f t="shared" si="58"/>
        <v>0</v>
      </c>
      <c r="AC145" s="10">
        <f t="shared" si="58"/>
        <v>30000</v>
      </c>
      <c r="AD145" s="10">
        <f t="shared" si="58"/>
        <v>0</v>
      </c>
      <c r="AE145" s="10">
        <f t="shared" si="58"/>
        <v>0</v>
      </c>
      <c r="AF145" s="10">
        <f t="shared" si="58"/>
        <v>0</v>
      </c>
      <c r="AG145" s="10">
        <f t="shared" si="58"/>
        <v>0</v>
      </c>
      <c r="AH145" s="10">
        <f t="shared" si="58"/>
        <v>0</v>
      </c>
      <c r="AI145" s="10">
        <f t="shared" si="58"/>
        <v>0</v>
      </c>
      <c r="AJ145" s="10">
        <f t="shared" si="58"/>
        <v>0</v>
      </c>
      <c r="AK145" s="10">
        <f t="shared" si="57"/>
        <v>0</v>
      </c>
      <c r="AL145" s="10">
        <f t="shared" si="57"/>
        <v>0</v>
      </c>
      <c r="AM145" s="10">
        <f t="shared" si="57"/>
        <v>0</v>
      </c>
      <c r="AN145" s="27">
        <f t="shared" si="57"/>
        <v>30000</v>
      </c>
      <c r="AS145" t="str">
        <f>_xlfn.XLOOKUP(AU145,[2]GAE!HZ:HZ,[2]GAE!IA:IA)</f>
        <v>ADMIN SERVICES</v>
      </c>
      <c r="AT145" t="str">
        <f>_xlfn.XLOOKUP(AU145,[2]GAE!HZ:HZ,[2]GAE!IB:IB)</f>
        <v>DOE - Insurance - Motor Car</v>
      </c>
      <c r="AU145" t="s">
        <v>415</v>
      </c>
      <c r="AV145">
        <v>81123102</v>
      </c>
      <c r="AW145">
        <v>52101112</v>
      </c>
      <c r="AX145" t="str">
        <f>_xlfn.XLOOKUP(AU145,[2]GAE!HZ:HZ,[2]GAE!IF:IF)</f>
        <v>Others</v>
      </c>
      <c r="AY145" t="str">
        <f>_xlfn.XLOOKUP(AU145,[2]GAE!HZ:HZ,[2]GAE!IG:IG)</f>
        <v>Insurance</v>
      </c>
      <c r="BF145" t="s">
        <v>24</v>
      </c>
      <c r="BG145" s="2" t="s">
        <v>24</v>
      </c>
      <c r="BH145" s="10">
        <f>SUMIFS('[1]2026'!$K:$K,'[1]2026'!$T:$T,BD145,'[1]2026'!$S:$S,BH$3,'[1]2026'!$P:$P,AU145)</f>
        <v>0</v>
      </c>
      <c r="BI145" s="10">
        <f>SUMIFS('[1]2026'!$K:$K,'[1]2026'!$T:$T,$BD145,'[1]2026'!$S:$S,BI$3,'[1]2026'!$P:$P,$AU145)</f>
        <v>0</v>
      </c>
      <c r="BJ145" s="10">
        <f>SUMIFS('[1]2026'!$K:$K,'[1]2026'!$T:$T,$BD145,'[1]2026'!$S:$S,BJ$3,'[1]2026'!$P:$P,$AU145)</f>
        <v>0</v>
      </c>
      <c r="BK145" s="10">
        <f>SUMIFS('[1]2026'!$K:$K,'[1]2026'!$T:$T,$BD145,'[1]2026'!$S:$S,BK$3,'[1]2026'!$P:$P,$AU145)</f>
        <v>0</v>
      </c>
      <c r="BL145" s="6"/>
      <c r="BM145" s="10">
        <f>SUMIFS('[1]2026'!$K:$K,'[1]2026'!$T:$T,$BD145,'[1]2026'!$S:$S,BM$3,'[1]2026'!$P:$P,$AU145)</f>
        <v>0</v>
      </c>
      <c r="BN145" s="10">
        <f>SUMIFS('[1]2026'!$K:$K,'[1]2026'!$T:$T,$BD145,'[1]2026'!$S:$S,BN$3,'[1]2026'!$P:$P,$AU145)</f>
        <v>0</v>
      </c>
      <c r="BO145" s="10">
        <f>SUMIFS('[1]2026'!$K:$K,'[1]2026'!$T:$T,$BD145,'[1]2026'!$S:$S,BO$3,'[1]2026'!$P:$P,$AU145)</f>
        <v>0</v>
      </c>
      <c r="BP145" s="6"/>
      <c r="BQ145" s="6"/>
      <c r="BR145" s="6"/>
      <c r="BS145" s="6"/>
      <c r="BT145" s="6">
        <f t="shared" si="71"/>
        <v>0</v>
      </c>
      <c r="BV145" s="6">
        <f t="shared" si="59"/>
        <v>0</v>
      </c>
      <c r="BW145" s="6">
        <f t="shared" si="60"/>
        <v>-30000</v>
      </c>
      <c r="BX145" s="6">
        <f t="shared" si="61"/>
        <v>0</v>
      </c>
      <c r="BY145" s="6">
        <f t="shared" si="62"/>
        <v>0</v>
      </c>
      <c r="BZ145" s="6">
        <f t="shared" si="63"/>
        <v>0</v>
      </c>
      <c r="CA145" s="6">
        <f t="shared" si="64"/>
        <v>0</v>
      </c>
      <c r="CB145" s="6">
        <f t="shared" si="65"/>
        <v>0</v>
      </c>
      <c r="CC145" s="6">
        <f t="shared" si="66"/>
        <v>0</v>
      </c>
      <c r="CD145" s="6">
        <f t="shared" si="67"/>
        <v>0</v>
      </c>
      <c r="CE145" s="6">
        <f t="shared" si="68"/>
        <v>0</v>
      </c>
      <c r="CF145" s="6">
        <f t="shared" si="69"/>
        <v>0</v>
      </c>
      <c r="CG145" s="6">
        <f t="shared" si="70"/>
        <v>0</v>
      </c>
      <c r="CH145" s="6">
        <f t="shared" ref="CH145:CH208" si="72">BT145-AN145</f>
        <v>-30000</v>
      </c>
    </row>
    <row r="146" spans="1:86" hidden="1" x14ac:dyDescent="0.35">
      <c r="A146" s="3" t="s">
        <v>448</v>
      </c>
      <c r="C146" s="10">
        <v>30000</v>
      </c>
      <c r="N146" s="27">
        <f t="shared" si="56"/>
        <v>30000</v>
      </c>
      <c r="AA146" s="27">
        <f t="shared" si="53"/>
        <v>0</v>
      </c>
      <c r="AB146" s="10">
        <f t="shared" si="58"/>
        <v>0</v>
      </c>
      <c r="AC146" s="10">
        <f t="shared" si="58"/>
        <v>30000</v>
      </c>
      <c r="AD146" s="10">
        <f t="shared" si="58"/>
        <v>0</v>
      </c>
      <c r="AE146" s="10">
        <f t="shared" si="58"/>
        <v>0</v>
      </c>
      <c r="AF146" s="10">
        <f t="shared" si="58"/>
        <v>0</v>
      </c>
      <c r="AG146" s="10">
        <f t="shared" si="58"/>
        <v>0</v>
      </c>
      <c r="AH146" s="10">
        <f t="shared" si="58"/>
        <v>0</v>
      </c>
      <c r="AI146" s="10">
        <f t="shared" si="58"/>
        <v>0</v>
      </c>
      <c r="AJ146" s="10">
        <f t="shared" si="58"/>
        <v>0</v>
      </c>
      <c r="AK146" s="10">
        <f t="shared" si="57"/>
        <v>0</v>
      </c>
      <c r="AL146" s="10">
        <f t="shared" si="57"/>
        <v>0</v>
      </c>
      <c r="AM146" s="10">
        <f t="shared" si="57"/>
        <v>0</v>
      </c>
      <c r="AN146" s="27">
        <f t="shared" si="57"/>
        <v>30000</v>
      </c>
      <c r="AS146" t="str">
        <f>_xlfn.XLOOKUP(AU146,[2]GAE!HZ:HZ,[2]GAE!IA:IA)</f>
        <v>ADMIN SERVICES</v>
      </c>
      <c r="AT146" t="str">
        <f>_xlfn.XLOOKUP(AU146,[2]GAE!HZ:HZ,[2]GAE!IB:IB)</f>
        <v>DOE - Insurance - Motor Car</v>
      </c>
      <c r="AU146" t="s">
        <v>415</v>
      </c>
      <c r="AV146">
        <v>81123102</v>
      </c>
      <c r="AW146">
        <v>52101112</v>
      </c>
      <c r="AX146" t="str">
        <f>_xlfn.XLOOKUP(AU146,[2]GAE!HZ:HZ,[2]GAE!IF:IF)</f>
        <v>Others</v>
      </c>
      <c r="AY146" t="str">
        <f>_xlfn.XLOOKUP(AU146,[2]GAE!HZ:HZ,[2]GAE!IG:IG)</f>
        <v>Insurance</v>
      </c>
      <c r="BF146" t="s">
        <v>24</v>
      </c>
      <c r="BG146" s="2" t="s">
        <v>24</v>
      </c>
      <c r="BH146" s="10">
        <f>SUMIFS('[1]2026'!$K:$K,'[1]2026'!$T:$T,BD146,'[1]2026'!$S:$S,BH$3,'[1]2026'!$P:$P,AU146)</f>
        <v>0</v>
      </c>
      <c r="BI146" s="10">
        <f>SUMIFS('[1]2026'!$K:$K,'[1]2026'!$T:$T,$BD146,'[1]2026'!$S:$S,BI$3,'[1]2026'!$P:$P,$AU146)</f>
        <v>0</v>
      </c>
      <c r="BJ146" s="10">
        <f>SUMIFS('[1]2026'!$K:$K,'[1]2026'!$T:$T,$BD146,'[1]2026'!$S:$S,BJ$3,'[1]2026'!$P:$P,$AU146)</f>
        <v>0</v>
      </c>
      <c r="BK146" s="10">
        <f>SUMIFS('[1]2026'!$K:$K,'[1]2026'!$T:$T,$BD146,'[1]2026'!$S:$S,BK$3,'[1]2026'!$P:$P,$AU146)</f>
        <v>0</v>
      </c>
      <c r="BL146" s="6"/>
      <c r="BM146" s="10">
        <f>SUMIFS('[1]2026'!$K:$K,'[1]2026'!$T:$T,$BD146,'[1]2026'!$S:$S,BM$3,'[1]2026'!$P:$P,$AU146)</f>
        <v>0</v>
      </c>
      <c r="BN146" s="10">
        <f>SUMIFS('[1]2026'!$K:$K,'[1]2026'!$T:$T,$BD146,'[1]2026'!$S:$S,BN$3,'[1]2026'!$P:$P,$AU146)</f>
        <v>0</v>
      </c>
      <c r="BO146" s="10">
        <f>SUMIFS('[1]2026'!$K:$K,'[1]2026'!$T:$T,$BD146,'[1]2026'!$S:$S,BO$3,'[1]2026'!$P:$P,$AU146)</f>
        <v>0</v>
      </c>
      <c r="BP146" s="6"/>
      <c r="BQ146" s="6"/>
      <c r="BR146" s="6"/>
      <c r="BS146" s="6"/>
      <c r="BT146" s="6">
        <f t="shared" si="71"/>
        <v>0</v>
      </c>
      <c r="BV146" s="6">
        <f t="shared" si="59"/>
        <v>0</v>
      </c>
      <c r="BW146" s="6">
        <f t="shared" si="60"/>
        <v>-30000</v>
      </c>
      <c r="BX146" s="6">
        <f t="shared" si="61"/>
        <v>0</v>
      </c>
      <c r="BY146" s="6">
        <f t="shared" si="62"/>
        <v>0</v>
      </c>
      <c r="BZ146" s="6">
        <f t="shared" si="63"/>
        <v>0</v>
      </c>
      <c r="CA146" s="6">
        <f t="shared" si="64"/>
        <v>0</v>
      </c>
      <c r="CB146" s="6">
        <f t="shared" si="65"/>
        <v>0</v>
      </c>
      <c r="CC146" s="6">
        <f t="shared" si="66"/>
        <v>0</v>
      </c>
      <c r="CD146" s="6">
        <f t="shared" si="67"/>
        <v>0</v>
      </c>
      <c r="CE146" s="6">
        <f t="shared" si="68"/>
        <v>0</v>
      </c>
      <c r="CF146" s="6">
        <f t="shared" si="69"/>
        <v>0</v>
      </c>
      <c r="CG146" s="6">
        <f t="shared" si="70"/>
        <v>0</v>
      </c>
      <c r="CH146" s="6">
        <f t="shared" si="72"/>
        <v>-30000</v>
      </c>
    </row>
    <row r="147" spans="1:86" hidden="1" x14ac:dyDescent="0.35">
      <c r="A147" s="3" t="s">
        <v>449</v>
      </c>
      <c r="C147" s="10">
        <v>15000</v>
      </c>
      <c r="N147" s="27">
        <f t="shared" si="56"/>
        <v>15000</v>
      </c>
      <c r="AA147" s="27">
        <f t="shared" si="53"/>
        <v>0</v>
      </c>
      <c r="AB147" s="10">
        <f t="shared" si="58"/>
        <v>0</v>
      </c>
      <c r="AC147" s="10">
        <f t="shared" si="58"/>
        <v>15000</v>
      </c>
      <c r="AD147" s="10">
        <f t="shared" si="58"/>
        <v>0</v>
      </c>
      <c r="AE147" s="10">
        <f t="shared" si="58"/>
        <v>0</v>
      </c>
      <c r="AF147" s="10">
        <f t="shared" si="58"/>
        <v>0</v>
      </c>
      <c r="AG147" s="10">
        <f t="shared" si="58"/>
        <v>0</v>
      </c>
      <c r="AH147" s="10">
        <f t="shared" si="58"/>
        <v>0</v>
      </c>
      <c r="AI147" s="10">
        <f t="shared" ref="AE147:AJ197" si="73">I147-V147</f>
        <v>0</v>
      </c>
      <c r="AJ147" s="10">
        <f t="shared" si="73"/>
        <v>0</v>
      </c>
      <c r="AK147" s="10">
        <f t="shared" si="57"/>
        <v>0</v>
      </c>
      <c r="AL147" s="10">
        <f t="shared" si="57"/>
        <v>0</v>
      </c>
      <c r="AM147" s="10">
        <f t="shared" si="57"/>
        <v>0</v>
      </c>
      <c r="AN147" s="27">
        <f t="shared" si="57"/>
        <v>15000</v>
      </c>
      <c r="AS147" t="str">
        <f>_xlfn.XLOOKUP(AU147,[2]GAE!HZ:HZ,[2]GAE!IA:IA)</f>
        <v>ADMIN SERVICES</v>
      </c>
      <c r="AT147" t="str">
        <f>_xlfn.XLOOKUP(AU147,[2]GAE!HZ:HZ,[2]GAE!IB:IB)</f>
        <v>GAE - Insurance - Motor Car</v>
      </c>
      <c r="AU147" t="s">
        <v>424</v>
      </c>
      <c r="AV147">
        <v>80123102</v>
      </c>
      <c r="AW147">
        <v>61101104</v>
      </c>
      <c r="AX147" t="str">
        <f>_xlfn.XLOOKUP(AU147,[2]GAE!HZ:HZ,[2]GAE!IF:IF)</f>
        <v>Others</v>
      </c>
      <c r="AY147" t="str">
        <f>_xlfn.XLOOKUP(AU147,[2]GAE!HZ:HZ,[2]GAE!IG:IG)</f>
        <v>Insurance</v>
      </c>
      <c r="BF147" t="s">
        <v>24</v>
      </c>
      <c r="BG147" s="2" t="s">
        <v>24</v>
      </c>
      <c r="BH147" s="10">
        <f>SUMIFS('[1]2026'!$K:$K,'[1]2026'!$T:$T,BD147,'[1]2026'!$S:$S,BH$3,'[1]2026'!$P:$P,AU147)</f>
        <v>0</v>
      </c>
      <c r="BI147" s="10">
        <f>SUMIFS('[1]2026'!$K:$K,'[1]2026'!$T:$T,$BD147,'[1]2026'!$S:$S,BI$3,'[1]2026'!$P:$P,$AU147)</f>
        <v>0</v>
      </c>
      <c r="BJ147" s="10">
        <f>SUMIFS('[1]2026'!$K:$K,'[1]2026'!$T:$T,$BD147,'[1]2026'!$S:$S,BJ$3,'[1]2026'!$P:$P,$AU147)</f>
        <v>0</v>
      </c>
      <c r="BK147" s="10">
        <f>SUMIFS('[1]2026'!$K:$K,'[1]2026'!$T:$T,$BD147,'[1]2026'!$S:$S,BK$3,'[1]2026'!$P:$P,$AU147)</f>
        <v>0</v>
      </c>
      <c r="BL147" s="6"/>
      <c r="BM147" s="10">
        <f>SUMIFS('[1]2026'!$K:$K,'[1]2026'!$T:$T,$BD147,'[1]2026'!$S:$S,BM$3,'[1]2026'!$P:$P,$AU147)</f>
        <v>0</v>
      </c>
      <c r="BN147" s="10">
        <f>SUMIFS('[1]2026'!$K:$K,'[1]2026'!$T:$T,$BD147,'[1]2026'!$S:$S,BN$3,'[1]2026'!$P:$P,$AU147)</f>
        <v>0</v>
      </c>
      <c r="BO147" s="10">
        <f>SUMIFS('[1]2026'!$K:$K,'[1]2026'!$T:$T,$BD147,'[1]2026'!$S:$S,BO$3,'[1]2026'!$P:$P,$AU147)</f>
        <v>0</v>
      </c>
      <c r="BP147" s="6"/>
      <c r="BQ147" s="6"/>
      <c r="BR147" s="6"/>
      <c r="BS147" s="6"/>
      <c r="BT147" s="6">
        <f t="shared" si="71"/>
        <v>0</v>
      </c>
      <c r="BV147" s="6">
        <f t="shared" ref="BV147:BV178" si="74">BH147-AB147</f>
        <v>0</v>
      </c>
      <c r="BW147" s="6">
        <f t="shared" ref="BW147:BW178" si="75">BI147-AC147</f>
        <v>-15000</v>
      </c>
      <c r="BX147" s="6">
        <f t="shared" ref="BX147:BX178" si="76">BJ147-AD147</f>
        <v>0</v>
      </c>
      <c r="BY147" s="6">
        <f t="shared" ref="BY147:BY178" si="77">BK147-AE147</f>
        <v>0</v>
      </c>
      <c r="BZ147" s="6">
        <f t="shared" ref="BZ147:BZ178" si="78">BL147-AF147</f>
        <v>0</v>
      </c>
      <c r="CA147" s="6">
        <f t="shared" ref="CA147:CA178" si="79">BM147-AG147</f>
        <v>0</v>
      </c>
      <c r="CB147" s="6">
        <f t="shared" ref="CB147:CB178" si="80">BN147-AH147</f>
        <v>0</v>
      </c>
      <c r="CC147" s="6">
        <f t="shared" ref="CC147:CC178" si="81">BO147-AI147</f>
        <v>0</v>
      </c>
      <c r="CD147" s="6">
        <f t="shared" ref="CD147:CD178" si="82">BP147-AJ147</f>
        <v>0</v>
      </c>
      <c r="CE147" s="6">
        <f t="shared" ref="CE147:CE178" si="83">BQ147-AK147</f>
        <v>0</v>
      </c>
      <c r="CF147" s="6">
        <f t="shared" ref="CF147:CF178" si="84">BR147-AL147</f>
        <v>0</v>
      </c>
      <c r="CG147" s="6">
        <f t="shared" ref="CG147:CG178" si="85">BS147-AM147</f>
        <v>0</v>
      </c>
      <c r="CH147" s="6">
        <f t="shared" si="72"/>
        <v>-15000</v>
      </c>
    </row>
    <row r="148" spans="1:86" hidden="1" x14ac:dyDescent="0.35">
      <c r="A148" s="3" t="s">
        <v>450</v>
      </c>
      <c r="C148" s="10">
        <v>15000</v>
      </c>
      <c r="N148" s="27">
        <f t="shared" si="56"/>
        <v>15000</v>
      </c>
      <c r="AA148" s="27">
        <f t="shared" si="53"/>
        <v>0</v>
      </c>
      <c r="AB148" s="10">
        <f t="shared" ref="AB148:AI189" si="86">B148-O148</f>
        <v>0</v>
      </c>
      <c r="AC148" s="10">
        <f t="shared" si="86"/>
        <v>15000</v>
      </c>
      <c r="AD148" s="10">
        <f t="shared" si="86"/>
        <v>0</v>
      </c>
      <c r="AE148" s="10">
        <f t="shared" si="73"/>
        <v>0</v>
      </c>
      <c r="AF148" s="10">
        <f t="shared" si="73"/>
        <v>0</v>
      </c>
      <c r="AG148" s="10">
        <f t="shared" si="73"/>
        <v>0</v>
      </c>
      <c r="AH148" s="10">
        <f t="shared" si="73"/>
        <v>0</v>
      </c>
      <c r="AI148" s="10">
        <f t="shared" si="73"/>
        <v>0</v>
      </c>
      <c r="AJ148" s="10">
        <f t="shared" si="73"/>
        <v>0</v>
      </c>
      <c r="AK148" s="10">
        <f t="shared" si="57"/>
        <v>0</v>
      </c>
      <c r="AL148" s="10">
        <f t="shared" si="57"/>
        <v>0</v>
      </c>
      <c r="AM148" s="10">
        <f t="shared" si="57"/>
        <v>0</v>
      </c>
      <c r="AN148" s="27">
        <f t="shared" si="57"/>
        <v>15000</v>
      </c>
      <c r="AS148" t="str">
        <f>_xlfn.XLOOKUP(AU148,[2]GAE!HZ:HZ,[2]GAE!IA:IA)</f>
        <v>ADMIN SERVICES</v>
      </c>
      <c r="AT148" t="str">
        <f>_xlfn.XLOOKUP(AU148,[2]GAE!HZ:HZ,[2]GAE!IB:IB)</f>
        <v>GAE - Insurance - Motor Car</v>
      </c>
      <c r="AU148" t="s">
        <v>424</v>
      </c>
      <c r="AV148">
        <v>80123102</v>
      </c>
      <c r="AW148">
        <v>61101104</v>
      </c>
      <c r="AX148" t="str">
        <f>_xlfn.XLOOKUP(AU148,[2]GAE!HZ:HZ,[2]GAE!IF:IF)</f>
        <v>Others</v>
      </c>
      <c r="AY148" t="str">
        <f>_xlfn.XLOOKUP(AU148,[2]GAE!HZ:HZ,[2]GAE!IG:IG)</f>
        <v>Insurance</v>
      </c>
      <c r="BF148" t="s">
        <v>24</v>
      </c>
      <c r="BG148" s="2" t="s">
        <v>24</v>
      </c>
      <c r="BH148" s="10">
        <f>SUMIFS('[1]2026'!$K:$K,'[1]2026'!$T:$T,BD148,'[1]2026'!$S:$S,BH$3,'[1]2026'!$P:$P,AU148)</f>
        <v>0</v>
      </c>
      <c r="BI148" s="10">
        <f>SUMIFS('[1]2026'!$K:$K,'[1]2026'!$T:$T,$BD148,'[1]2026'!$S:$S,BI$3,'[1]2026'!$P:$P,$AU148)</f>
        <v>0</v>
      </c>
      <c r="BJ148" s="10">
        <f>SUMIFS('[1]2026'!$K:$K,'[1]2026'!$T:$T,$BD148,'[1]2026'!$S:$S,BJ$3,'[1]2026'!$P:$P,$AU148)</f>
        <v>0</v>
      </c>
      <c r="BK148" s="10">
        <f>SUMIFS('[1]2026'!$K:$K,'[1]2026'!$T:$T,$BD148,'[1]2026'!$S:$S,BK$3,'[1]2026'!$P:$P,$AU148)</f>
        <v>0</v>
      </c>
      <c r="BL148" s="6"/>
      <c r="BM148" s="10">
        <f>SUMIFS('[1]2026'!$K:$K,'[1]2026'!$T:$T,$BD148,'[1]2026'!$S:$S,BM$3,'[1]2026'!$P:$P,$AU148)</f>
        <v>0</v>
      </c>
      <c r="BN148" s="10">
        <f>SUMIFS('[1]2026'!$K:$K,'[1]2026'!$T:$T,$BD148,'[1]2026'!$S:$S,BN$3,'[1]2026'!$P:$P,$AU148)</f>
        <v>0</v>
      </c>
      <c r="BO148" s="10">
        <f>SUMIFS('[1]2026'!$K:$K,'[1]2026'!$T:$T,$BD148,'[1]2026'!$S:$S,BO$3,'[1]2026'!$P:$P,$AU148)</f>
        <v>0</v>
      </c>
      <c r="BP148" s="6"/>
      <c r="BQ148" s="6"/>
      <c r="BR148" s="6"/>
      <c r="BS148" s="6"/>
      <c r="BT148" s="6">
        <f t="shared" si="71"/>
        <v>0</v>
      </c>
      <c r="BV148" s="6">
        <f t="shared" si="74"/>
        <v>0</v>
      </c>
      <c r="BW148" s="6">
        <f t="shared" si="75"/>
        <v>-15000</v>
      </c>
      <c r="BX148" s="6">
        <f t="shared" si="76"/>
        <v>0</v>
      </c>
      <c r="BY148" s="6">
        <f t="shared" si="77"/>
        <v>0</v>
      </c>
      <c r="BZ148" s="6">
        <f t="shared" si="78"/>
        <v>0</v>
      </c>
      <c r="CA148" s="6">
        <f t="shared" si="79"/>
        <v>0</v>
      </c>
      <c r="CB148" s="6">
        <f t="shared" si="80"/>
        <v>0</v>
      </c>
      <c r="CC148" s="6">
        <f t="shared" si="81"/>
        <v>0</v>
      </c>
      <c r="CD148" s="6">
        <f t="shared" si="82"/>
        <v>0</v>
      </c>
      <c r="CE148" s="6">
        <f t="shared" si="83"/>
        <v>0</v>
      </c>
      <c r="CF148" s="6">
        <f t="shared" si="84"/>
        <v>0</v>
      </c>
      <c r="CG148" s="6">
        <f t="shared" si="85"/>
        <v>0</v>
      </c>
      <c r="CH148" s="6">
        <f t="shared" si="72"/>
        <v>-15000</v>
      </c>
    </row>
    <row r="149" spans="1:86" hidden="1" x14ac:dyDescent="0.35">
      <c r="A149" s="3" t="s">
        <v>451</v>
      </c>
      <c r="C149" s="10">
        <v>30000</v>
      </c>
      <c r="N149" s="27">
        <f t="shared" si="56"/>
        <v>30000</v>
      </c>
      <c r="AA149" s="27">
        <f t="shared" si="53"/>
        <v>0</v>
      </c>
      <c r="AB149" s="10">
        <f t="shared" si="86"/>
        <v>0</v>
      </c>
      <c r="AC149" s="10">
        <f t="shared" si="86"/>
        <v>30000</v>
      </c>
      <c r="AD149" s="10">
        <f t="shared" si="86"/>
        <v>0</v>
      </c>
      <c r="AE149" s="10">
        <f t="shared" si="73"/>
        <v>0</v>
      </c>
      <c r="AF149" s="10">
        <f t="shared" si="73"/>
        <v>0</v>
      </c>
      <c r="AG149" s="10">
        <f t="shared" si="73"/>
        <v>0</v>
      </c>
      <c r="AH149" s="10">
        <f t="shared" si="73"/>
        <v>0</v>
      </c>
      <c r="AI149" s="10">
        <f t="shared" si="73"/>
        <v>0</v>
      </c>
      <c r="AJ149" s="10">
        <f t="shared" si="73"/>
        <v>0</v>
      </c>
      <c r="AK149" s="10">
        <f t="shared" si="57"/>
        <v>0</v>
      </c>
      <c r="AL149" s="10">
        <f t="shared" si="57"/>
        <v>0</v>
      </c>
      <c r="AM149" s="10">
        <f t="shared" si="57"/>
        <v>0</v>
      </c>
      <c r="AN149" s="27">
        <f t="shared" si="57"/>
        <v>30000</v>
      </c>
      <c r="AS149" t="str">
        <f>_xlfn.XLOOKUP(AU149,[2]GAE!HZ:HZ,[2]GAE!IA:IA)</f>
        <v>ADMIN SERVICES</v>
      </c>
      <c r="AT149" t="str">
        <f>_xlfn.XLOOKUP(AU149,[2]GAE!HZ:HZ,[2]GAE!IB:IB)</f>
        <v>DOE - Insurance - Motor Car</v>
      </c>
      <c r="AU149" t="s">
        <v>415</v>
      </c>
      <c r="AV149">
        <v>81123102</v>
      </c>
      <c r="AW149">
        <v>52101112</v>
      </c>
      <c r="AX149" t="str">
        <f>_xlfn.XLOOKUP(AU149,[2]GAE!HZ:HZ,[2]GAE!IF:IF)</f>
        <v>Others</v>
      </c>
      <c r="AY149" t="str">
        <f>_xlfn.XLOOKUP(AU149,[2]GAE!HZ:HZ,[2]GAE!IG:IG)</f>
        <v>Insurance</v>
      </c>
      <c r="BF149" t="s">
        <v>24</v>
      </c>
      <c r="BG149" s="2" t="s">
        <v>24</v>
      </c>
      <c r="BH149" s="10">
        <f>SUMIFS('[1]2026'!$K:$K,'[1]2026'!$T:$T,BD149,'[1]2026'!$S:$S,BH$3,'[1]2026'!$P:$P,AU149)</f>
        <v>0</v>
      </c>
      <c r="BI149" s="10">
        <f>SUMIFS('[1]2026'!$K:$K,'[1]2026'!$T:$T,$BD149,'[1]2026'!$S:$S,BI$3,'[1]2026'!$P:$P,$AU149)</f>
        <v>0</v>
      </c>
      <c r="BJ149" s="10">
        <f>SUMIFS('[1]2026'!$K:$K,'[1]2026'!$T:$T,$BD149,'[1]2026'!$S:$S,BJ$3,'[1]2026'!$P:$P,$AU149)</f>
        <v>0</v>
      </c>
      <c r="BK149" s="10">
        <f>SUMIFS('[1]2026'!$K:$K,'[1]2026'!$T:$T,$BD149,'[1]2026'!$S:$S,BK$3,'[1]2026'!$P:$P,$AU149)</f>
        <v>0</v>
      </c>
      <c r="BL149" s="6"/>
      <c r="BM149" s="10">
        <f>SUMIFS('[1]2026'!$K:$K,'[1]2026'!$T:$T,$BD149,'[1]2026'!$S:$S,BM$3,'[1]2026'!$P:$P,$AU149)</f>
        <v>0</v>
      </c>
      <c r="BN149" s="10">
        <f>SUMIFS('[1]2026'!$K:$K,'[1]2026'!$T:$T,$BD149,'[1]2026'!$S:$S,BN$3,'[1]2026'!$P:$P,$AU149)</f>
        <v>0</v>
      </c>
      <c r="BO149" s="10">
        <f>SUMIFS('[1]2026'!$K:$K,'[1]2026'!$T:$T,$BD149,'[1]2026'!$S:$S,BO$3,'[1]2026'!$P:$P,$AU149)</f>
        <v>0</v>
      </c>
      <c r="BP149" s="6"/>
      <c r="BQ149" s="6"/>
      <c r="BR149" s="6"/>
      <c r="BS149" s="6"/>
      <c r="BT149" s="6">
        <f t="shared" si="71"/>
        <v>0</v>
      </c>
      <c r="BV149" s="6">
        <f t="shared" si="74"/>
        <v>0</v>
      </c>
      <c r="BW149" s="6">
        <f t="shared" si="75"/>
        <v>-30000</v>
      </c>
      <c r="BX149" s="6">
        <f t="shared" si="76"/>
        <v>0</v>
      </c>
      <c r="BY149" s="6">
        <f t="shared" si="77"/>
        <v>0</v>
      </c>
      <c r="BZ149" s="6">
        <f t="shared" si="78"/>
        <v>0</v>
      </c>
      <c r="CA149" s="6">
        <f t="shared" si="79"/>
        <v>0</v>
      </c>
      <c r="CB149" s="6">
        <f t="shared" si="80"/>
        <v>0</v>
      </c>
      <c r="CC149" s="6">
        <f t="shared" si="81"/>
        <v>0</v>
      </c>
      <c r="CD149" s="6">
        <f t="shared" si="82"/>
        <v>0</v>
      </c>
      <c r="CE149" s="6">
        <f t="shared" si="83"/>
        <v>0</v>
      </c>
      <c r="CF149" s="6">
        <f t="shared" si="84"/>
        <v>0</v>
      </c>
      <c r="CG149" s="6">
        <f t="shared" si="85"/>
        <v>0</v>
      </c>
      <c r="CH149" s="6">
        <f t="shared" si="72"/>
        <v>-30000</v>
      </c>
    </row>
    <row r="150" spans="1:86" hidden="1" x14ac:dyDescent="0.35">
      <c r="A150" s="3" t="s">
        <v>452</v>
      </c>
      <c r="C150" s="10">
        <v>15000</v>
      </c>
      <c r="N150" s="27">
        <f t="shared" si="56"/>
        <v>15000</v>
      </c>
      <c r="AA150" s="27">
        <f t="shared" si="53"/>
        <v>0</v>
      </c>
      <c r="AB150" s="10">
        <f t="shared" si="86"/>
        <v>0</v>
      </c>
      <c r="AC150" s="10">
        <f t="shared" si="86"/>
        <v>15000</v>
      </c>
      <c r="AD150" s="10">
        <f t="shared" si="86"/>
        <v>0</v>
      </c>
      <c r="AE150" s="10">
        <f t="shared" si="73"/>
        <v>0</v>
      </c>
      <c r="AF150" s="10">
        <f t="shared" si="73"/>
        <v>0</v>
      </c>
      <c r="AG150" s="10">
        <f t="shared" si="73"/>
        <v>0</v>
      </c>
      <c r="AH150" s="10">
        <f t="shared" si="73"/>
        <v>0</v>
      </c>
      <c r="AI150" s="10">
        <f t="shared" si="73"/>
        <v>0</v>
      </c>
      <c r="AJ150" s="10">
        <f t="shared" si="73"/>
        <v>0</v>
      </c>
      <c r="AK150" s="10">
        <f t="shared" si="57"/>
        <v>0</v>
      </c>
      <c r="AL150" s="10">
        <f t="shared" si="57"/>
        <v>0</v>
      </c>
      <c r="AM150" s="10">
        <f t="shared" si="57"/>
        <v>0</v>
      </c>
      <c r="AN150" s="27">
        <f t="shared" si="57"/>
        <v>15000</v>
      </c>
      <c r="AS150" t="str">
        <f>_xlfn.XLOOKUP(AU150,[2]GAE!HZ:HZ,[2]GAE!IA:IA)</f>
        <v>ADMIN SERVICES</v>
      </c>
      <c r="AT150" t="str">
        <f>_xlfn.XLOOKUP(AU150,[2]GAE!HZ:HZ,[2]GAE!IB:IB)</f>
        <v>DOE - Insurance - Motor Car</v>
      </c>
      <c r="AU150" t="s">
        <v>415</v>
      </c>
      <c r="AV150">
        <v>81123102</v>
      </c>
      <c r="AW150">
        <v>52101112</v>
      </c>
      <c r="AX150" t="str">
        <f>_xlfn.XLOOKUP(AU150,[2]GAE!HZ:HZ,[2]GAE!IF:IF)</f>
        <v>Others</v>
      </c>
      <c r="AY150" t="str">
        <f>_xlfn.XLOOKUP(AU150,[2]GAE!HZ:HZ,[2]GAE!IG:IG)</f>
        <v>Insurance</v>
      </c>
      <c r="BF150" t="s">
        <v>24</v>
      </c>
      <c r="BG150" s="2" t="s">
        <v>24</v>
      </c>
      <c r="BH150" s="10">
        <f>SUMIFS('[1]2026'!$K:$K,'[1]2026'!$T:$T,BD150,'[1]2026'!$S:$S,BH$3,'[1]2026'!$P:$P,AU150)</f>
        <v>0</v>
      </c>
      <c r="BI150" s="10">
        <f>SUMIFS('[1]2026'!$K:$K,'[1]2026'!$T:$T,$BD150,'[1]2026'!$S:$S,BI$3,'[1]2026'!$P:$P,$AU150)</f>
        <v>0</v>
      </c>
      <c r="BJ150" s="10">
        <f>SUMIFS('[1]2026'!$K:$K,'[1]2026'!$T:$T,$BD150,'[1]2026'!$S:$S,BJ$3,'[1]2026'!$P:$P,$AU150)</f>
        <v>0</v>
      </c>
      <c r="BK150" s="10">
        <f>SUMIFS('[1]2026'!$K:$K,'[1]2026'!$T:$T,$BD150,'[1]2026'!$S:$S,BK$3,'[1]2026'!$P:$P,$AU150)</f>
        <v>0</v>
      </c>
      <c r="BL150" s="6"/>
      <c r="BM150" s="10">
        <f>SUMIFS('[1]2026'!$K:$K,'[1]2026'!$T:$T,$BD150,'[1]2026'!$S:$S,BM$3,'[1]2026'!$P:$P,$AU150)</f>
        <v>0</v>
      </c>
      <c r="BN150" s="10">
        <f>SUMIFS('[1]2026'!$K:$K,'[1]2026'!$T:$T,$BD150,'[1]2026'!$S:$S,BN$3,'[1]2026'!$P:$P,$AU150)</f>
        <v>0</v>
      </c>
      <c r="BO150" s="10">
        <f>SUMIFS('[1]2026'!$K:$K,'[1]2026'!$T:$T,$BD150,'[1]2026'!$S:$S,BO$3,'[1]2026'!$P:$P,$AU150)</f>
        <v>0</v>
      </c>
      <c r="BP150" s="6"/>
      <c r="BQ150" s="6"/>
      <c r="BR150" s="6"/>
      <c r="BS150" s="6"/>
      <c r="BT150" s="6">
        <f t="shared" si="71"/>
        <v>0</v>
      </c>
      <c r="BV150" s="6">
        <f t="shared" si="74"/>
        <v>0</v>
      </c>
      <c r="BW150" s="6">
        <f t="shared" si="75"/>
        <v>-15000</v>
      </c>
      <c r="BX150" s="6">
        <f t="shared" si="76"/>
        <v>0</v>
      </c>
      <c r="BY150" s="6">
        <f t="shared" si="77"/>
        <v>0</v>
      </c>
      <c r="BZ150" s="6">
        <f t="shared" si="78"/>
        <v>0</v>
      </c>
      <c r="CA150" s="6">
        <f t="shared" si="79"/>
        <v>0</v>
      </c>
      <c r="CB150" s="6">
        <f t="shared" si="80"/>
        <v>0</v>
      </c>
      <c r="CC150" s="6">
        <f t="shared" si="81"/>
        <v>0</v>
      </c>
      <c r="CD150" s="6">
        <f t="shared" si="82"/>
        <v>0</v>
      </c>
      <c r="CE150" s="6">
        <f t="shared" si="83"/>
        <v>0</v>
      </c>
      <c r="CF150" s="6">
        <f t="shared" si="84"/>
        <v>0</v>
      </c>
      <c r="CG150" s="6">
        <f t="shared" si="85"/>
        <v>0</v>
      </c>
      <c r="CH150" s="6">
        <f t="shared" si="72"/>
        <v>-15000</v>
      </c>
    </row>
    <row r="151" spans="1:86" hidden="1" x14ac:dyDescent="0.35">
      <c r="A151" s="3" t="s">
        <v>453</v>
      </c>
      <c r="C151" s="10">
        <v>15000</v>
      </c>
      <c r="N151" s="27">
        <f t="shared" si="56"/>
        <v>15000</v>
      </c>
      <c r="AA151" s="27">
        <f t="shared" si="53"/>
        <v>0</v>
      </c>
      <c r="AB151" s="10">
        <f t="shared" si="86"/>
        <v>0</v>
      </c>
      <c r="AC151" s="10">
        <f t="shared" si="86"/>
        <v>15000</v>
      </c>
      <c r="AD151" s="10">
        <f t="shared" si="86"/>
        <v>0</v>
      </c>
      <c r="AE151" s="10">
        <f t="shared" si="73"/>
        <v>0</v>
      </c>
      <c r="AF151" s="10">
        <f t="shared" si="73"/>
        <v>0</v>
      </c>
      <c r="AG151" s="10">
        <f t="shared" si="73"/>
        <v>0</v>
      </c>
      <c r="AH151" s="10">
        <f t="shared" si="73"/>
        <v>0</v>
      </c>
      <c r="AI151" s="10">
        <f t="shared" si="73"/>
        <v>0</v>
      </c>
      <c r="AJ151" s="10">
        <f t="shared" si="73"/>
        <v>0</v>
      </c>
      <c r="AK151" s="10">
        <f t="shared" si="57"/>
        <v>0</v>
      </c>
      <c r="AL151" s="10">
        <f t="shared" si="57"/>
        <v>0</v>
      </c>
      <c r="AM151" s="10">
        <f t="shared" si="57"/>
        <v>0</v>
      </c>
      <c r="AN151" s="27">
        <f t="shared" si="57"/>
        <v>15000</v>
      </c>
      <c r="AS151" t="str">
        <f>_xlfn.XLOOKUP(AU151,[2]GAE!HZ:HZ,[2]GAE!IA:IA)</f>
        <v>ADMIN SERVICES</v>
      </c>
      <c r="AT151" t="str">
        <f>_xlfn.XLOOKUP(AU151,[2]GAE!HZ:HZ,[2]GAE!IB:IB)</f>
        <v>DOE - Insurance - Motor Car</v>
      </c>
      <c r="AU151" t="s">
        <v>415</v>
      </c>
      <c r="AV151">
        <v>81123102</v>
      </c>
      <c r="AW151">
        <v>52101112</v>
      </c>
      <c r="AX151" t="str">
        <f>_xlfn.XLOOKUP(AU151,[2]GAE!HZ:HZ,[2]GAE!IF:IF)</f>
        <v>Others</v>
      </c>
      <c r="AY151" t="str">
        <f>_xlfn.XLOOKUP(AU151,[2]GAE!HZ:HZ,[2]GAE!IG:IG)</f>
        <v>Insurance</v>
      </c>
      <c r="BF151" t="s">
        <v>24</v>
      </c>
      <c r="BG151" s="2" t="s">
        <v>24</v>
      </c>
      <c r="BH151" s="10">
        <f>SUMIFS('[1]2026'!$K:$K,'[1]2026'!$T:$T,BD151,'[1]2026'!$S:$S,BH$3,'[1]2026'!$P:$P,AU151)</f>
        <v>0</v>
      </c>
      <c r="BI151" s="10">
        <f>SUMIFS('[1]2026'!$K:$K,'[1]2026'!$T:$T,$BD151,'[1]2026'!$S:$S,BI$3,'[1]2026'!$P:$P,$AU151)</f>
        <v>0</v>
      </c>
      <c r="BJ151" s="10">
        <f>SUMIFS('[1]2026'!$K:$K,'[1]2026'!$T:$T,$BD151,'[1]2026'!$S:$S,BJ$3,'[1]2026'!$P:$P,$AU151)</f>
        <v>0</v>
      </c>
      <c r="BK151" s="10">
        <f>SUMIFS('[1]2026'!$K:$K,'[1]2026'!$T:$T,$BD151,'[1]2026'!$S:$S,BK$3,'[1]2026'!$P:$P,$AU151)</f>
        <v>0</v>
      </c>
      <c r="BL151" s="6"/>
      <c r="BM151" s="10">
        <f>SUMIFS('[1]2026'!$K:$K,'[1]2026'!$T:$T,$BD151,'[1]2026'!$S:$S,BM$3,'[1]2026'!$P:$P,$AU151)</f>
        <v>0</v>
      </c>
      <c r="BN151" s="10">
        <f>SUMIFS('[1]2026'!$K:$K,'[1]2026'!$T:$T,$BD151,'[1]2026'!$S:$S,BN$3,'[1]2026'!$P:$P,$AU151)</f>
        <v>0</v>
      </c>
      <c r="BO151" s="10">
        <f>SUMIFS('[1]2026'!$K:$K,'[1]2026'!$T:$T,$BD151,'[1]2026'!$S:$S,BO$3,'[1]2026'!$P:$P,$AU151)</f>
        <v>0</v>
      </c>
      <c r="BP151" s="6"/>
      <c r="BQ151" s="6"/>
      <c r="BR151" s="6"/>
      <c r="BS151" s="6"/>
      <c r="BT151" s="6">
        <f t="shared" si="71"/>
        <v>0</v>
      </c>
      <c r="BV151" s="6">
        <f t="shared" si="74"/>
        <v>0</v>
      </c>
      <c r="BW151" s="6">
        <f t="shared" si="75"/>
        <v>-15000</v>
      </c>
      <c r="BX151" s="6">
        <f t="shared" si="76"/>
        <v>0</v>
      </c>
      <c r="BY151" s="6">
        <f t="shared" si="77"/>
        <v>0</v>
      </c>
      <c r="BZ151" s="6">
        <f t="shared" si="78"/>
        <v>0</v>
      </c>
      <c r="CA151" s="6">
        <f t="shared" si="79"/>
        <v>0</v>
      </c>
      <c r="CB151" s="6">
        <f t="shared" si="80"/>
        <v>0</v>
      </c>
      <c r="CC151" s="6">
        <f t="shared" si="81"/>
        <v>0</v>
      </c>
      <c r="CD151" s="6">
        <f t="shared" si="82"/>
        <v>0</v>
      </c>
      <c r="CE151" s="6">
        <f t="shared" si="83"/>
        <v>0</v>
      </c>
      <c r="CF151" s="6">
        <f t="shared" si="84"/>
        <v>0</v>
      </c>
      <c r="CG151" s="6">
        <f t="shared" si="85"/>
        <v>0</v>
      </c>
      <c r="CH151" s="6">
        <f t="shared" si="72"/>
        <v>-15000</v>
      </c>
    </row>
    <row r="152" spans="1:86" hidden="1" x14ac:dyDescent="0.35">
      <c r="A152" s="3" t="s">
        <v>454</v>
      </c>
      <c r="C152" s="10">
        <v>30000</v>
      </c>
      <c r="N152" s="27">
        <f t="shared" si="56"/>
        <v>30000</v>
      </c>
      <c r="AA152" s="27">
        <f t="shared" si="53"/>
        <v>0</v>
      </c>
      <c r="AB152" s="10">
        <f t="shared" si="86"/>
        <v>0</v>
      </c>
      <c r="AC152" s="10">
        <f t="shared" si="86"/>
        <v>30000</v>
      </c>
      <c r="AD152" s="10">
        <f t="shared" si="86"/>
        <v>0</v>
      </c>
      <c r="AE152" s="10">
        <f t="shared" si="73"/>
        <v>0</v>
      </c>
      <c r="AF152" s="10">
        <f t="shared" si="73"/>
        <v>0</v>
      </c>
      <c r="AG152" s="10">
        <f t="shared" si="73"/>
        <v>0</v>
      </c>
      <c r="AH152" s="10">
        <f t="shared" si="73"/>
        <v>0</v>
      </c>
      <c r="AI152" s="10">
        <f t="shared" si="73"/>
        <v>0</v>
      </c>
      <c r="AJ152" s="10">
        <f t="shared" si="73"/>
        <v>0</v>
      </c>
      <c r="AK152" s="10">
        <f t="shared" si="57"/>
        <v>0</v>
      </c>
      <c r="AL152" s="10">
        <f t="shared" si="57"/>
        <v>0</v>
      </c>
      <c r="AM152" s="10">
        <f t="shared" si="57"/>
        <v>0</v>
      </c>
      <c r="AN152" s="27">
        <f t="shared" si="57"/>
        <v>30000</v>
      </c>
      <c r="AS152" t="str">
        <f>_xlfn.XLOOKUP(AU152,[2]GAE!HZ:HZ,[2]GAE!IA:IA)</f>
        <v>ADMIN SERVICES</v>
      </c>
      <c r="AT152" t="str">
        <f>_xlfn.XLOOKUP(AU152,[2]GAE!HZ:HZ,[2]GAE!IB:IB)</f>
        <v>DOE - Insurance - Motor Car</v>
      </c>
      <c r="AU152" t="s">
        <v>415</v>
      </c>
      <c r="AV152">
        <v>81123102</v>
      </c>
      <c r="AW152">
        <v>52101112</v>
      </c>
      <c r="AX152" t="str">
        <f>_xlfn.XLOOKUP(AU152,[2]GAE!HZ:HZ,[2]GAE!IF:IF)</f>
        <v>Others</v>
      </c>
      <c r="AY152" t="str">
        <f>_xlfn.XLOOKUP(AU152,[2]GAE!HZ:HZ,[2]GAE!IG:IG)</f>
        <v>Insurance</v>
      </c>
      <c r="BF152" t="s">
        <v>24</v>
      </c>
      <c r="BG152" s="2" t="s">
        <v>24</v>
      </c>
      <c r="BH152" s="10">
        <f>SUMIFS('[1]2026'!$K:$K,'[1]2026'!$T:$T,BD152,'[1]2026'!$S:$S,BH$3,'[1]2026'!$P:$P,AU152)</f>
        <v>0</v>
      </c>
      <c r="BI152" s="10">
        <f>SUMIFS('[1]2026'!$K:$K,'[1]2026'!$T:$T,$BD152,'[1]2026'!$S:$S,BI$3,'[1]2026'!$P:$P,$AU152)</f>
        <v>0</v>
      </c>
      <c r="BJ152" s="10">
        <f>SUMIFS('[1]2026'!$K:$K,'[1]2026'!$T:$T,$BD152,'[1]2026'!$S:$S,BJ$3,'[1]2026'!$P:$P,$AU152)</f>
        <v>0</v>
      </c>
      <c r="BK152" s="10">
        <f>SUMIFS('[1]2026'!$K:$K,'[1]2026'!$T:$T,$BD152,'[1]2026'!$S:$S,BK$3,'[1]2026'!$P:$P,$AU152)</f>
        <v>0</v>
      </c>
      <c r="BL152" s="6"/>
      <c r="BM152" s="10">
        <f>SUMIFS('[1]2026'!$K:$K,'[1]2026'!$T:$T,$BD152,'[1]2026'!$S:$S,BM$3,'[1]2026'!$P:$P,$AU152)</f>
        <v>0</v>
      </c>
      <c r="BN152" s="10">
        <f>SUMIFS('[1]2026'!$K:$K,'[1]2026'!$T:$T,$BD152,'[1]2026'!$S:$S,BN$3,'[1]2026'!$P:$P,$AU152)</f>
        <v>0</v>
      </c>
      <c r="BO152" s="10">
        <f>SUMIFS('[1]2026'!$K:$K,'[1]2026'!$T:$T,$BD152,'[1]2026'!$S:$S,BO$3,'[1]2026'!$P:$P,$AU152)</f>
        <v>0</v>
      </c>
      <c r="BP152" s="6"/>
      <c r="BQ152" s="6"/>
      <c r="BR152" s="6"/>
      <c r="BS152" s="6"/>
      <c r="BT152" s="6">
        <f t="shared" si="71"/>
        <v>0</v>
      </c>
      <c r="BV152" s="6">
        <f t="shared" si="74"/>
        <v>0</v>
      </c>
      <c r="BW152" s="6">
        <f t="shared" si="75"/>
        <v>-30000</v>
      </c>
      <c r="BX152" s="6">
        <f t="shared" si="76"/>
        <v>0</v>
      </c>
      <c r="BY152" s="6">
        <f t="shared" si="77"/>
        <v>0</v>
      </c>
      <c r="BZ152" s="6">
        <f t="shared" si="78"/>
        <v>0</v>
      </c>
      <c r="CA152" s="6">
        <f t="shared" si="79"/>
        <v>0</v>
      </c>
      <c r="CB152" s="6">
        <f t="shared" si="80"/>
        <v>0</v>
      </c>
      <c r="CC152" s="6">
        <f t="shared" si="81"/>
        <v>0</v>
      </c>
      <c r="CD152" s="6">
        <f t="shared" si="82"/>
        <v>0</v>
      </c>
      <c r="CE152" s="6">
        <f t="shared" si="83"/>
        <v>0</v>
      </c>
      <c r="CF152" s="6">
        <f t="shared" si="84"/>
        <v>0</v>
      </c>
      <c r="CG152" s="6">
        <f t="shared" si="85"/>
        <v>0</v>
      </c>
      <c r="CH152" s="6">
        <f t="shared" si="72"/>
        <v>-30000</v>
      </c>
    </row>
    <row r="153" spans="1:86" hidden="1" x14ac:dyDescent="0.35">
      <c r="A153" s="3" t="s">
        <v>455</v>
      </c>
      <c r="C153" s="10">
        <v>30000</v>
      </c>
      <c r="N153" s="27">
        <f t="shared" si="56"/>
        <v>30000</v>
      </c>
      <c r="AA153" s="27">
        <f t="shared" ref="AA153:AA216" si="87">SUM(O153:Z153)</f>
        <v>0</v>
      </c>
      <c r="AB153" s="10">
        <f t="shared" si="86"/>
        <v>0</v>
      </c>
      <c r="AC153" s="10">
        <f t="shared" si="86"/>
        <v>30000</v>
      </c>
      <c r="AD153" s="10">
        <f t="shared" si="86"/>
        <v>0</v>
      </c>
      <c r="AE153" s="10">
        <f t="shared" si="73"/>
        <v>0</v>
      </c>
      <c r="AF153" s="10">
        <f t="shared" si="73"/>
        <v>0</v>
      </c>
      <c r="AG153" s="10">
        <f t="shared" si="73"/>
        <v>0</v>
      </c>
      <c r="AH153" s="10">
        <f t="shared" si="73"/>
        <v>0</v>
      </c>
      <c r="AI153" s="10">
        <f t="shared" si="73"/>
        <v>0</v>
      </c>
      <c r="AJ153" s="10">
        <f t="shared" si="73"/>
        <v>0</v>
      </c>
      <c r="AK153" s="10">
        <f t="shared" si="57"/>
        <v>0</v>
      </c>
      <c r="AL153" s="10">
        <f t="shared" si="57"/>
        <v>0</v>
      </c>
      <c r="AM153" s="10">
        <f t="shared" si="57"/>
        <v>0</v>
      </c>
      <c r="AN153" s="27">
        <f t="shared" si="57"/>
        <v>30000</v>
      </c>
      <c r="AS153" t="str">
        <f>_xlfn.XLOOKUP(AU153,[2]GAE!HZ:HZ,[2]GAE!IA:IA)</f>
        <v>ADMIN SERVICES</v>
      </c>
      <c r="AT153" t="str">
        <f>_xlfn.XLOOKUP(AU153,[2]GAE!HZ:HZ,[2]GAE!IB:IB)</f>
        <v>DOE - Insurance - Motor Car</v>
      </c>
      <c r="AU153" t="s">
        <v>415</v>
      </c>
      <c r="AV153">
        <v>81123102</v>
      </c>
      <c r="AW153">
        <v>52101112</v>
      </c>
      <c r="AX153" t="str">
        <f>_xlfn.XLOOKUP(AU153,[2]GAE!HZ:HZ,[2]GAE!IF:IF)</f>
        <v>Others</v>
      </c>
      <c r="AY153" t="str">
        <f>_xlfn.XLOOKUP(AU153,[2]GAE!HZ:HZ,[2]GAE!IG:IG)</f>
        <v>Insurance</v>
      </c>
      <c r="BF153" t="s">
        <v>24</v>
      </c>
      <c r="BG153" s="2" t="s">
        <v>24</v>
      </c>
      <c r="BH153" s="10">
        <f>SUMIFS('[1]2026'!$K:$K,'[1]2026'!$T:$T,BD153,'[1]2026'!$S:$S,BH$3,'[1]2026'!$P:$P,AU153)</f>
        <v>0</v>
      </c>
      <c r="BI153" s="10">
        <f>SUMIFS('[1]2026'!$K:$K,'[1]2026'!$T:$T,$BD153,'[1]2026'!$S:$S,BI$3,'[1]2026'!$P:$P,$AU153)</f>
        <v>0</v>
      </c>
      <c r="BJ153" s="10">
        <f>SUMIFS('[1]2026'!$K:$K,'[1]2026'!$T:$T,$BD153,'[1]2026'!$S:$S,BJ$3,'[1]2026'!$P:$P,$AU153)</f>
        <v>0</v>
      </c>
      <c r="BK153" s="10">
        <f>SUMIFS('[1]2026'!$K:$K,'[1]2026'!$T:$T,$BD153,'[1]2026'!$S:$S,BK$3,'[1]2026'!$P:$P,$AU153)</f>
        <v>0</v>
      </c>
      <c r="BL153" s="6"/>
      <c r="BM153" s="10">
        <f>SUMIFS('[1]2026'!$K:$K,'[1]2026'!$T:$T,$BD153,'[1]2026'!$S:$S,BM$3,'[1]2026'!$P:$P,$AU153)</f>
        <v>0</v>
      </c>
      <c r="BN153" s="10">
        <f>SUMIFS('[1]2026'!$K:$K,'[1]2026'!$T:$T,$BD153,'[1]2026'!$S:$S,BN$3,'[1]2026'!$P:$P,$AU153)</f>
        <v>0</v>
      </c>
      <c r="BO153" s="10">
        <f>SUMIFS('[1]2026'!$K:$K,'[1]2026'!$T:$T,$BD153,'[1]2026'!$S:$S,BO$3,'[1]2026'!$P:$P,$AU153)</f>
        <v>0</v>
      </c>
      <c r="BP153" s="6"/>
      <c r="BQ153" s="6"/>
      <c r="BR153" s="6"/>
      <c r="BS153" s="6"/>
      <c r="BT153" s="6">
        <f t="shared" si="71"/>
        <v>0</v>
      </c>
      <c r="BV153" s="6">
        <f t="shared" si="74"/>
        <v>0</v>
      </c>
      <c r="BW153" s="6">
        <f t="shared" si="75"/>
        <v>-30000</v>
      </c>
      <c r="BX153" s="6">
        <f t="shared" si="76"/>
        <v>0</v>
      </c>
      <c r="BY153" s="6">
        <f t="shared" si="77"/>
        <v>0</v>
      </c>
      <c r="BZ153" s="6">
        <f t="shared" si="78"/>
        <v>0</v>
      </c>
      <c r="CA153" s="6">
        <f t="shared" si="79"/>
        <v>0</v>
      </c>
      <c r="CB153" s="6">
        <f t="shared" si="80"/>
        <v>0</v>
      </c>
      <c r="CC153" s="6">
        <f t="shared" si="81"/>
        <v>0</v>
      </c>
      <c r="CD153" s="6">
        <f t="shared" si="82"/>
        <v>0</v>
      </c>
      <c r="CE153" s="6">
        <f t="shared" si="83"/>
        <v>0</v>
      </c>
      <c r="CF153" s="6">
        <f t="shared" si="84"/>
        <v>0</v>
      </c>
      <c r="CG153" s="6">
        <f t="shared" si="85"/>
        <v>0</v>
      </c>
      <c r="CH153" s="6">
        <f t="shared" si="72"/>
        <v>-30000</v>
      </c>
    </row>
    <row r="154" spans="1:86" hidden="1" x14ac:dyDescent="0.35">
      <c r="A154" s="3" t="s">
        <v>456</v>
      </c>
      <c r="C154" s="10">
        <v>15000</v>
      </c>
      <c r="N154" s="27">
        <f t="shared" si="56"/>
        <v>15000</v>
      </c>
      <c r="AA154" s="27">
        <f t="shared" si="87"/>
        <v>0</v>
      </c>
      <c r="AB154" s="10">
        <f t="shared" si="86"/>
        <v>0</v>
      </c>
      <c r="AC154" s="10">
        <f t="shared" si="86"/>
        <v>15000</v>
      </c>
      <c r="AD154" s="10">
        <f t="shared" si="86"/>
        <v>0</v>
      </c>
      <c r="AE154" s="10">
        <f t="shared" si="73"/>
        <v>0</v>
      </c>
      <c r="AF154" s="10">
        <f t="shared" si="73"/>
        <v>0</v>
      </c>
      <c r="AG154" s="10">
        <f t="shared" si="73"/>
        <v>0</v>
      </c>
      <c r="AH154" s="10">
        <f t="shared" si="73"/>
        <v>0</v>
      </c>
      <c r="AI154" s="10">
        <f t="shared" si="73"/>
        <v>0</v>
      </c>
      <c r="AJ154" s="10">
        <f t="shared" si="73"/>
        <v>0</v>
      </c>
      <c r="AK154" s="10">
        <f t="shared" si="57"/>
        <v>0</v>
      </c>
      <c r="AL154" s="10">
        <f t="shared" si="57"/>
        <v>0</v>
      </c>
      <c r="AM154" s="10">
        <f t="shared" si="57"/>
        <v>0</v>
      </c>
      <c r="AN154" s="27">
        <f t="shared" si="57"/>
        <v>15000</v>
      </c>
      <c r="AS154" t="str">
        <f>_xlfn.XLOOKUP(AU154,[2]GAE!HZ:HZ,[2]GAE!IA:IA)</f>
        <v>ADMIN SERVICES</v>
      </c>
      <c r="AT154" t="str">
        <f>_xlfn.XLOOKUP(AU154,[2]GAE!HZ:HZ,[2]GAE!IB:IB)</f>
        <v>DOE - Insurance - Motor Car</v>
      </c>
      <c r="AU154" t="s">
        <v>415</v>
      </c>
      <c r="AV154">
        <v>81123102</v>
      </c>
      <c r="AW154">
        <v>52101112</v>
      </c>
      <c r="AX154" t="str">
        <f>_xlfn.XLOOKUP(AU154,[2]GAE!HZ:HZ,[2]GAE!IF:IF)</f>
        <v>Others</v>
      </c>
      <c r="AY154" t="str">
        <f>_xlfn.XLOOKUP(AU154,[2]GAE!HZ:HZ,[2]GAE!IG:IG)</f>
        <v>Insurance</v>
      </c>
      <c r="BF154" t="s">
        <v>24</v>
      </c>
      <c r="BG154" s="2" t="s">
        <v>24</v>
      </c>
      <c r="BH154" s="10">
        <f>SUMIFS('[1]2026'!$K:$K,'[1]2026'!$T:$T,BD154,'[1]2026'!$S:$S,BH$3,'[1]2026'!$P:$P,AU154)</f>
        <v>0</v>
      </c>
      <c r="BI154" s="10">
        <f>SUMIFS('[1]2026'!$K:$K,'[1]2026'!$T:$T,$BD154,'[1]2026'!$S:$S,BI$3,'[1]2026'!$P:$P,$AU154)</f>
        <v>0</v>
      </c>
      <c r="BJ154" s="10">
        <f>SUMIFS('[1]2026'!$K:$K,'[1]2026'!$T:$T,$BD154,'[1]2026'!$S:$S,BJ$3,'[1]2026'!$P:$P,$AU154)</f>
        <v>0</v>
      </c>
      <c r="BK154" s="10">
        <f>SUMIFS('[1]2026'!$K:$K,'[1]2026'!$T:$T,$BD154,'[1]2026'!$S:$S,BK$3,'[1]2026'!$P:$P,$AU154)</f>
        <v>0</v>
      </c>
      <c r="BL154" s="6"/>
      <c r="BM154" s="10">
        <f>SUMIFS('[1]2026'!$K:$K,'[1]2026'!$T:$T,$BD154,'[1]2026'!$S:$S,BM$3,'[1]2026'!$P:$P,$AU154)</f>
        <v>0</v>
      </c>
      <c r="BN154" s="10">
        <f>SUMIFS('[1]2026'!$K:$K,'[1]2026'!$T:$T,$BD154,'[1]2026'!$S:$S,BN$3,'[1]2026'!$P:$P,$AU154)</f>
        <v>0</v>
      </c>
      <c r="BO154" s="10">
        <f>SUMIFS('[1]2026'!$K:$K,'[1]2026'!$T:$T,$BD154,'[1]2026'!$S:$S,BO$3,'[1]2026'!$P:$P,$AU154)</f>
        <v>0</v>
      </c>
      <c r="BP154" s="6"/>
      <c r="BQ154" s="6"/>
      <c r="BR154" s="6"/>
      <c r="BS154" s="6"/>
      <c r="BT154" s="6">
        <f t="shared" si="71"/>
        <v>0</v>
      </c>
      <c r="BV154" s="6">
        <f t="shared" si="74"/>
        <v>0</v>
      </c>
      <c r="BW154" s="6">
        <f t="shared" si="75"/>
        <v>-15000</v>
      </c>
      <c r="BX154" s="6">
        <f t="shared" si="76"/>
        <v>0</v>
      </c>
      <c r="BY154" s="6">
        <f t="shared" si="77"/>
        <v>0</v>
      </c>
      <c r="BZ154" s="6">
        <f t="shared" si="78"/>
        <v>0</v>
      </c>
      <c r="CA154" s="6">
        <f t="shared" si="79"/>
        <v>0</v>
      </c>
      <c r="CB154" s="6">
        <f t="shared" si="80"/>
        <v>0</v>
      </c>
      <c r="CC154" s="6">
        <f t="shared" si="81"/>
        <v>0</v>
      </c>
      <c r="CD154" s="6">
        <f t="shared" si="82"/>
        <v>0</v>
      </c>
      <c r="CE154" s="6">
        <f t="shared" si="83"/>
        <v>0</v>
      </c>
      <c r="CF154" s="6">
        <f t="shared" si="84"/>
        <v>0</v>
      </c>
      <c r="CG154" s="6">
        <f t="shared" si="85"/>
        <v>0</v>
      </c>
      <c r="CH154" s="6">
        <f t="shared" si="72"/>
        <v>-15000</v>
      </c>
    </row>
    <row r="155" spans="1:86" hidden="1" x14ac:dyDescent="0.35">
      <c r="A155" s="3" t="s">
        <v>457</v>
      </c>
      <c r="C155" s="10">
        <v>15000</v>
      </c>
      <c r="N155" s="27">
        <f t="shared" si="56"/>
        <v>15000</v>
      </c>
      <c r="AA155" s="27">
        <f t="shared" si="87"/>
        <v>0</v>
      </c>
      <c r="AB155" s="10">
        <f t="shared" si="86"/>
        <v>0</v>
      </c>
      <c r="AC155" s="10">
        <f t="shared" si="86"/>
        <v>15000</v>
      </c>
      <c r="AD155" s="10">
        <f t="shared" si="86"/>
        <v>0</v>
      </c>
      <c r="AE155" s="10">
        <f t="shared" si="73"/>
        <v>0</v>
      </c>
      <c r="AF155" s="10">
        <f t="shared" si="73"/>
        <v>0</v>
      </c>
      <c r="AG155" s="10">
        <f t="shared" si="73"/>
        <v>0</v>
      </c>
      <c r="AH155" s="10">
        <f t="shared" si="73"/>
        <v>0</v>
      </c>
      <c r="AI155" s="10">
        <f t="shared" si="73"/>
        <v>0</v>
      </c>
      <c r="AJ155" s="10">
        <f t="shared" si="73"/>
        <v>0</v>
      </c>
      <c r="AK155" s="10">
        <f t="shared" si="57"/>
        <v>0</v>
      </c>
      <c r="AL155" s="10">
        <f t="shared" si="57"/>
        <v>0</v>
      </c>
      <c r="AM155" s="10">
        <f t="shared" si="57"/>
        <v>0</v>
      </c>
      <c r="AN155" s="27">
        <f t="shared" si="57"/>
        <v>15000</v>
      </c>
      <c r="AS155" t="str">
        <f>_xlfn.XLOOKUP(AU155,[2]GAE!HZ:HZ,[2]GAE!IA:IA)</f>
        <v>ADMIN SERVICES</v>
      </c>
      <c r="AT155" t="str">
        <f>_xlfn.XLOOKUP(AU155,[2]GAE!HZ:HZ,[2]GAE!IB:IB)</f>
        <v>DOE - Insurance - Motor Car</v>
      </c>
      <c r="AU155" t="s">
        <v>415</v>
      </c>
      <c r="AV155">
        <v>81123102</v>
      </c>
      <c r="AW155">
        <v>52101112</v>
      </c>
      <c r="AX155" t="str">
        <f>_xlfn.XLOOKUP(AU155,[2]GAE!HZ:HZ,[2]GAE!IF:IF)</f>
        <v>Others</v>
      </c>
      <c r="AY155" t="str">
        <f>_xlfn.XLOOKUP(AU155,[2]GAE!HZ:HZ,[2]GAE!IG:IG)</f>
        <v>Insurance</v>
      </c>
      <c r="BF155" t="s">
        <v>24</v>
      </c>
      <c r="BG155" s="2" t="s">
        <v>24</v>
      </c>
      <c r="BH155" s="10">
        <f>SUMIFS('[1]2026'!$K:$K,'[1]2026'!$T:$T,BD155,'[1]2026'!$S:$S,BH$3,'[1]2026'!$P:$P,AU155)</f>
        <v>0</v>
      </c>
      <c r="BI155" s="10">
        <f>SUMIFS('[1]2026'!$K:$K,'[1]2026'!$T:$T,$BD155,'[1]2026'!$S:$S,BI$3,'[1]2026'!$P:$P,$AU155)</f>
        <v>0</v>
      </c>
      <c r="BJ155" s="10">
        <f>SUMIFS('[1]2026'!$K:$K,'[1]2026'!$T:$T,$BD155,'[1]2026'!$S:$S,BJ$3,'[1]2026'!$P:$P,$AU155)</f>
        <v>0</v>
      </c>
      <c r="BK155" s="10">
        <f>SUMIFS('[1]2026'!$K:$K,'[1]2026'!$T:$T,$BD155,'[1]2026'!$S:$S,BK$3,'[1]2026'!$P:$P,$AU155)</f>
        <v>0</v>
      </c>
      <c r="BL155" s="6"/>
      <c r="BM155" s="10">
        <f>SUMIFS('[1]2026'!$K:$K,'[1]2026'!$T:$T,$BD155,'[1]2026'!$S:$S,BM$3,'[1]2026'!$P:$P,$AU155)</f>
        <v>0</v>
      </c>
      <c r="BN155" s="10">
        <f>SUMIFS('[1]2026'!$K:$K,'[1]2026'!$T:$T,$BD155,'[1]2026'!$S:$S,BN$3,'[1]2026'!$P:$P,$AU155)</f>
        <v>0</v>
      </c>
      <c r="BO155" s="10">
        <f>SUMIFS('[1]2026'!$K:$K,'[1]2026'!$T:$T,$BD155,'[1]2026'!$S:$S,BO$3,'[1]2026'!$P:$P,$AU155)</f>
        <v>0</v>
      </c>
      <c r="BP155" s="6"/>
      <c r="BQ155" s="6"/>
      <c r="BR155" s="6"/>
      <c r="BS155" s="6"/>
      <c r="BT155" s="6">
        <f t="shared" si="71"/>
        <v>0</v>
      </c>
      <c r="BV155" s="6">
        <f t="shared" si="74"/>
        <v>0</v>
      </c>
      <c r="BW155" s="6">
        <f t="shared" si="75"/>
        <v>-15000</v>
      </c>
      <c r="BX155" s="6">
        <f t="shared" si="76"/>
        <v>0</v>
      </c>
      <c r="BY155" s="6">
        <f t="shared" si="77"/>
        <v>0</v>
      </c>
      <c r="BZ155" s="6">
        <f t="shared" si="78"/>
        <v>0</v>
      </c>
      <c r="CA155" s="6">
        <f t="shared" si="79"/>
        <v>0</v>
      </c>
      <c r="CB155" s="6">
        <f t="shared" si="80"/>
        <v>0</v>
      </c>
      <c r="CC155" s="6">
        <f t="shared" si="81"/>
        <v>0</v>
      </c>
      <c r="CD155" s="6">
        <f t="shared" si="82"/>
        <v>0</v>
      </c>
      <c r="CE155" s="6">
        <f t="shared" si="83"/>
        <v>0</v>
      </c>
      <c r="CF155" s="6">
        <f t="shared" si="84"/>
        <v>0</v>
      </c>
      <c r="CG155" s="6">
        <f t="shared" si="85"/>
        <v>0</v>
      </c>
      <c r="CH155" s="6">
        <f t="shared" si="72"/>
        <v>-15000</v>
      </c>
    </row>
    <row r="156" spans="1:86" hidden="1" x14ac:dyDescent="0.35">
      <c r="A156" s="3" t="s">
        <v>458</v>
      </c>
      <c r="C156" s="10">
        <v>30000</v>
      </c>
      <c r="N156" s="27">
        <f t="shared" si="56"/>
        <v>30000</v>
      </c>
      <c r="AA156" s="27">
        <f t="shared" si="87"/>
        <v>0</v>
      </c>
      <c r="AB156" s="10">
        <f t="shared" si="86"/>
        <v>0</v>
      </c>
      <c r="AC156" s="10">
        <f t="shared" si="86"/>
        <v>30000</v>
      </c>
      <c r="AD156" s="10">
        <f t="shared" si="86"/>
        <v>0</v>
      </c>
      <c r="AE156" s="10">
        <f t="shared" si="73"/>
        <v>0</v>
      </c>
      <c r="AF156" s="10">
        <f t="shared" si="73"/>
        <v>0</v>
      </c>
      <c r="AG156" s="10">
        <f t="shared" si="73"/>
        <v>0</v>
      </c>
      <c r="AH156" s="10">
        <f t="shared" si="73"/>
        <v>0</v>
      </c>
      <c r="AI156" s="10">
        <f t="shared" si="73"/>
        <v>0</v>
      </c>
      <c r="AJ156" s="10">
        <f t="shared" si="73"/>
        <v>0</v>
      </c>
      <c r="AK156" s="10">
        <f t="shared" si="57"/>
        <v>0</v>
      </c>
      <c r="AL156" s="10">
        <f t="shared" si="57"/>
        <v>0</v>
      </c>
      <c r="AM156" s="10">
        <f t="shared" si="57"/>
        <v>0</v>
      </c>
      <c r="AN156" s="27">
        <f t="shared" si="57"/>
        <v>30000</v>
      </c>
      <c r="AS156" t="str">
        <f>_xlfn.XLOOKUP(AU156,[2]GAE!HZ:HZ,[2]GAE!IA:IA)</f>
        <v>ADMIN SERVICES</v>
      </c>
      <c r="AT156" t="str">
        <f>_xlfn.XLOOKUP(AU156,[2]GAE!HZ:HZ,[2]GAE!IB:IB)</f>
        <v>DOE - Insurance - Motor Car</v>
      </c>
      <c r="AU156" t="s">
        <v>415</v>
      </c>
      <c r="AV156">
        <v>81123102</v>
      </c>
      <c r="AW156">
        <v>52101112</v>
      </c>
      <c r="AX156" t="str">
        <f>_xlfn.XLOOKUP(AU156,[2]GAE!HZ:HZ,[2]GAE!IF:IF)</f>
        <v>Others</v>
      </c>
      <c r="AY156" t="str">
        <f>_xlfn.XLOOKUP(AU156,[2]GAE!HZ:HZ,[2]GAE!IG:IG)</f>
        <v>Insurance</v>
      </c>
      <c r="BF156" t="s">
        <v>24</v>
      </c>
      <c r="BG156" s="2" t="s">
        <v>24</v>
      </c>
      <c r="BH156" s="10">
        <f>SUMIFS('[1]2026'!$K:$K,'[1]2026'!$T:$T,BD156,'[1]2026'!$S:$S,BH$3,'[1]2026'!$P:$P,AU156)</f>
        <v>0</v>
      </c>
      <c r="BI156" s="10">
        <f>SUMIFS('[1]2026'!$K:$K,'[1]2026'!$T:$T,$BD156,'[1]2026'!$S:$S,BI$3,'[1]2026'!$P:$P,$AU156)</f>
        <v>0</v>
      </c>
      <c r="BJ156" s="10">
        <f>SUMIFS('[1]2026'!$K:$K,'[1]2026'!$T:$T,$BD156,'[1]2026'!$S:$S,BJ$3,'[1]2026'!$P:$P,$AU156)</f>
        <v>0</v>
      </c>
      <c r="BK156" s="10">
        <f>SUMIFS('[1]2026'!$K:$K,'[1]2026'!$T:$T,$BD156,'[1]2026'!$S:$S,BK$3,'[1]2026'!$P:$P,$AU156)</f>
        <v>0</v>
      </c>
      <c r="BL156" s="6"/>
      <c r="BM156" s="10">
        <f>SUMIFS('[1]2026'!$K:$K,'[1]2026'!$T:$T,$BD156,'[1]2026'!$S:$S,BM$3,'[1]2026'!$P:$P,$AU156)</f>
        <v>0</v>
      </c>
      <c r="BN156" s="10">
        <f>SUMIFS('[1]2026'!$K:$K,'[1]2026'!$T:$T,$BD156,'[1]2026'!$S:$S,BN$3,'[1]2026'!$P:$P,$AU156)</f>
        <v>0</v>
      </c>
      <c r="BO156" s="10">
        <f>SUMIFS('[1]2026'!$K:$K,'[1]2026'!$T:$T,$BD156,'[1]2026'!$S:$S,BO$3,'[1]2026'!$P:$P,$AU156)</f>
        <v>0</v>
      </c>
      <c r="BP156" s="6"/>
      <c r="BQ156" s="6"/>
      <c r="BR156" s="6"/>
      <c r="BS156" s="6"/>
      <c r="BT156" s="6">
        <f t="shared" si="71"/>
        <v>0</v>
      </c>
      <c r="BV156" s="6">
        <f t="shared" si="74"/>
        <v>0</v>
      </c>
      <c r="BW156" s="6">
        <f t="shared" si="75"/>
        <v>-30000</v>
      </c>
      <c r="BX156" s="6">
        <f t="shared" si="76"/>
        <v>0</v>
      </c>
      <c r="BY156" s="6">
        <f t="shared" si="77"/>
        <v>0</v>
      </c>
      <c r="BZ156" s="6">
        <f t="shared" si="78"/>
        <v>0</v>
      </c>
      <c r="CA156" s="6">
        <f t="shared" si="79"/>
        <v>0</v>
      </c>
      <c r="CB156" s="6">
        <f t="shared" si="80"/>
        <v>0</v>
      </c>
      <c r="CC156" s="6">
        <f t="shared" si="81"/>
        <v>0</v>
      </c>
      <c r="CD156" s="6">
        <f t="shared" si="82"/>
        <v>0</v>
      </c>
      <c r="CE156" s="6">
        <f t="shared" si="83"/>
        <v>0</v>
      </c>
      <c r="CF156" s="6">
        <f t="shared" si="84"/>
        <v>0</v>
      </c>
      <c r="CG156" s="6">
        <f t="shared" si="85"/>
        <v>0</v>
      </c>
      <c r="CH156" s="6">
        <f t="shared" si="72"/>
        <v>-30000</v>
      </c>
    </row>
    <row r="157" spans="1:86" hidden="1" x14ac:dyDescent="0.35">
      <c r="A157" s="3" t="s">
        <v>459</v>
      </c>
      <c r="C157" s="10">
        <v>15000</v>
      </c>
      <c r="N157" s="27">
        <f t="shared" si="56"/>
        <v>15000</v>
      </c>
      <c r="AA157" s="27">
        <f t="shared" si="87"/>
        <v>0</v>
      </c>
      <c r="AB157" s="10">
        <f t="shared" si="86"/>
        <v>0</v>
      </c>
      <c r="AC157" s="10">
        <f t="shared" si="86"/>
        <v>15000</v>
      </c>
      <c r="AD157" s="10">
        <f t="shared" si="86"/>
        <v>0</v>
      </c>
      <c r="AE157" s="10">
        <f t="shared" si="73"/>
        <v>0</v>
      </c>
      <c r="AF157" s="10">
        <f t="shared" si="73"/>
        <v>0</v>
      </c>
      <c r="AG157" s="10">
        <f t="shared" si="73"/>
        <v>0</v>
      </c>
      <c r="AH157" s="10">
        <f t="shared" si="73"/>
        <v>0</v>
      </c>
      <c r="AI157" s="10">
        <f t="shared" si="73"/>
        <v>0</v>
      </c>
      <c r="AJ157" s="10">
        <f t="shared" si="73"/>
        <v>0</v>
      </c>
      <c r="AK157" s="10">
        <f t="shared" si="57"/>
        <v>0</v>
      </c>
      <c r="AL157" s="10">
        <f t="shared" si="57"/>
        <v>0</v>
      </c>
      <c r="AM157" s="10">
        <f t="shared" si="57"/>
        <v>0</v>
      </c>
      <c r="AN157" s="27">
        <f t="shared" si="57"/>
        <v>15000</v>
      </c>
      <c r="AS157" t="str">
        <f>_xlfn.XLOOKUP(AU157,[2]GAE!HZ:HZ,[2]GAE!IA:IA)</f>
        <v>ADMIN SERVICES</v>
      </c>
      <c r="AT157" t="str">
        <f>_xlfn.XLOOKUP(AU157,[2]GAE!HZ:HZ,[2]GAE!IB:IB)</f>
        <v>DOE - Insurance - Motor Car</v>
      </c>
      <c r="AU157" t="s">
        <v>415</v>
      </c>
      <c r="AV157">
        <v>81123102</v>
      </c>
      <c r="AW157">
        <v>52101112</v>
      </c>
      <c r="AX157" t="str">
        <f>_xlfn.XLOOKUP(AU157,[2]GAE!HZ:HZ,[2]GAE!IF:IF)</f>
        <v>Others</v>
      </c>
      <c r="AY157" t="str">
        <f>_xlfn.XLOOKUP(AU157,[2]GAE!HZ:HZ,[2]GAE!IG:IG)</f>
        <v>Insurance</v>
      </c>
      <c r="BF157" t="s">
        <v>24</v>
      </c>
      <c r="BG157" s="2" t="s">
        <v>24</v>
      </c>
      <c r="BH157" s="10">
        <f>SUMIFS('[1]2026'!$K:$K,'[1]2026'!$T:$T,BD157,'[1]2026'!$S:$S,BH$3,'[1]2026'!$P:$P,AU157)</f>
        <v>0</v>
      </c>
      <c r="BI157" s="10">
        <f>SUMIFS('[1]2026'!$K:$K,'[1]2026'!$T:$T,$BD157,'[1]2026'!$S:$S,BI$3,'[1]2026'!$P:$P,$AU157)</f>
        <v>0</v>
      </c>
      <c r="BJ157" s="10">
        <f>SUMIFS('[1]2026'!$K:$K,'[1]2026'!$T:$T,$BD157,'[1]2026'!$S:$S,BJ$3,'[1]2026'!$P:$P,$AU157)</f>
        <v>0</v>
      </c>
      <c r="BK157" s="10">
        <f>SUMIFS('[1]2026'!$K:$K,'[1]2026'!$T:$T,$BD157,'[1]2026'!$S:$S,BK$3,'[1]2026'!$P:$P,$AU157)</f>
        <v>0</v>
      </c>
      <c r="BL157" s="6"/>
      <c r="BM157" s="10">
        <f>SUMIFS('[1]2026'!$K:$K,'[1]2026'!$T:$T,$BD157,'[1]2026'!$S:$S,BM$3,'[1]2026'!$P:$P,$AU157)</f>
        <v>0</v>
      </c>
      <c r="BN157" s="10">
        <f>SUMIFS('[1]2026'!$K:$K,'[1]2026'!$T:$T,$BD157,'[1]2026'!$S:$S,BN$3,'[1]2026'!$P:$P,$AU157)</f>
        <v>0</v>
      </c>
      <c r="BO157" s="10">
        <f>SUMIFS('[1]2026'!$K:$K,'[1]2026'!$T:$T,$BD157,'[1]2026'!$S:$S,BO$3,'[1]2026'!$P:$P,$AU157)</f>
        <v>0</v>
      </c>
      <c r="BP157" s="6"/>
      <c r="BQ157" s="6"/>
      <c r="BR157" s="6"/>
      <c r="BS157" s="6"/>
      <c r="BT157" s="6">
        <f t="shared" si="71"/>
        <v>0</v>
      </c>
      <c r="BV157" s="6">
        <f t="shared" si="74"/>
        <v>0</v>
      </c>
      <c r="BW157" s="6">
        <f t="shared" si="75"/>
        <v>-15000</v>
      </c>
      <c r="BX157" s="6">
        <f t="shared" si="76"/>
        <v>0</v>
      </c>
      <c r="BY157" s="6">
        <f t="shared" si="77"/>
        <v>0</v>
      </c>
      <c r="BZ157" s="6">
        <f t="shared" si="78"/>
        <v>0</v>
      </c>
      <c r="CA157" s="6">
        <f t="shared" si="79"/>
        <v>0</v>
      </c>
      <c r="CB157" s="6">
        <f t="shared" si="80"/>
        <v>0</v>
      </c>
      <c r="CC157" s="6">
        <f t="shared" si="81"/>
        <v>0</v>
      </c>
      <c r="CD157" s="6">
        <f t="shared" si="82"/>
        <v>0</v>
      </c>
      <c r="CE157" s="6">
        <f t="shared" si="83"/>
        <v>0</v>
      </c>
      <c r="CF157" s="6">
        <f t="shared" si="84"/>
        <v>0</v>
      </c>
      <c r="CG157" s="6">
        <f t="shared" si="85"/>
        <v>0</v>
      </c>
      <c r="CH157" s="6">
        <f t="shared" si="72"/>
        <v>-15000</v>
      </c>
    </row>
    <row r="158" spans="1:86" hidden="1" x14ac:dyDescent="0.35">
      <c r="A158" s="3" t="s">
        <v>460</v>
      </c>
      <c r="C158" s="10">
        <v>30000</v>
      </c>
      <c r="N158" s="27">
        <f t="shared" si="56"/>
        <v>30000</v>
      </c>
      <c r="AA158" s="27">
        <f t="shared" si="87"/>
        <v>0</v>
      </c>
      <c r="AB158" s="10">
        <f t="shared" si="86"/>
        <v>0</v>
      </c>
      <c r="AC158" s="10">
        <f t="shared" si="86"/>
        <v>30000</v>
      </c>
      <c r="AD158" s="10">
        <f t="shared" si="86"/>
        <v>0</v>
      </c>
      <c r="AE158" s="10">
        <f t="shared" si="73"/>
        <v>0</v>
      </c>
      <c r="AF158" s="10">
        <f t="shared" si="73"/>
        <v>0</v>
      </c>
      <c r="AG158" s="10">
        <f t="shared" si="73"/>
        <v>0</v>
      </c>
      <c r="AH158" s="10">
        <f t="shared" si="73"/>
        <v>0</v>
      </c>
      <c r="AI158" s="10">
        <f t="shared" si="73"/>
        <v>0</v>
      </c>
      <c r="AJ158" s="10">
        <f t="shared" si="73"/>
        <v>0</v>
      </c>
      <c r="AK158" s="10">
        <f t="shared" si="57"/>
        <v>0</v>
      </c>
      <c r="AL158" s="10">
        <f t="shared" si="57"/>
        <v>0</v>
      </c>
      <c r="AM158" s="10">
        <f t="shared" si="57"/>
        <v>0</v>
      </c>
      <c r="AN158" s="27">
        <f t="shared" si="57"/>
        <v>30000</v>
      </c>
      <c r="AS158" t="str">
        <f>_xlfn.XLOOKUP(AU158,[2]GAE!HZ:HZ,[2]GAE!IA:IA)</f>
        <v>ADMIN SERVICES</v>
      </c>
      <c r="AT158" t="str">
        <f>_xlfn.XLOOKUP(AU158,[2]GAE!HZ:HZ,[2]GAE!IB:IB)</f>
        <v>DOE - Insurance - Motor Car</v>
      </c>
      <c r="AU158" t="s">
        <v>415</v>
      </c>
      <c r="AV158">
        <v>81123102</v>
      </c>
      <c r="AW158">
        <v>52101112</v>
      </c>
      <c r="AX158" t="str">
        <f>_xlfn.XLOOKUP(AU158,[2]GAE!HZ:HZ,[2]GAE!IF:IF)</f>
        <v>Others</v>
      </c>
      <c r="AY158" t="str">
        <f>_xlfn.XLOOKUP(AU158,[2]GAE!HZ:HZ,[2]GAE!IG:IG)</f>
        <v>Insurance</v>
      </c>
      <c r="BF158" t="s">
        <v>24</v>
      </c>
      <c r="BG158" s="2" t="s">
        <v>24</v>
      </c>
      <c r="BH158" s="10">
        <f>SUMIFS('[1]2026'!$K:$K,'[1]2026'!$T:$T,BD158,'[1]2026'!$S:$S,BH$3,'[1]2026'!$P:$P,AU158)</f>
        <v>0</v>
      </c>
      <c r="BI158" s="10">
        <f>SUMIFS('[1]2026'!$K:$K,'[1]2026'!$T:$T,$BD158,'[1]2026'!$S:$S,BI$3,'[1]2026'!$P:$P,$AU158)</f>
        <v>0</v>
      </c>
      <c r="BJ158" s="10">
        <f>SUMIFS('[1]2026'!$K:$K,'[1]2026'!$T:$T,$BD158,'[1]2026'!$S:$S,BJ$3,'[1]2026'!$P:$P,$AU158)</f>
        <v>0</v>
      </c>
      <c r="BK158" s="10">
        <f>SUMIFS('[1]2026'!$K:$K,'[1]2026'!$T:$T,$BD158,'[1]2026'!$S:$S,BK$3,'[1]2026'!$P:$P,$AU158)</f>
        <v>0</v>
      </c>
      <c r="BL158" s="6"/>
      <c r="BM158" s="10">
        <f>SUMIFS('[1]2026'!$K:$K,'[1]2026'!$T:$T,$BD158,'[1]2026'!$S:$S,BM$3,'[1]2026'!$P:$P,$AU158)</f>
        <v>0</v>
      </c>
      <c r="BN158" s="10">
        <f>SUMIFS('[1]2026'!$K:$K,'[1]2026'!$T:$T,$BD158,'[1]2026'!$S:$S,BN$3,'[1]2026'!$P:$P,$AU158)</f>
        <v>0</v>
      </c>
      <c r="BO158" s="10">
        <f>SUMIFS('[1]2026'!$K:$K,'[1]2026'!$T:$T,$BD158,'[1]2026'!$S:$S,BO$3,'[1]2026'!$P:$P,$AU158)</f>
        <v>0</v>
      </c>
      <c r="BP158" s="6"/>
      <c r="BQ158" s="6"/>
      <c r="BR158" s="6"/>
      <c r="BS158" s="6"/>
      <c r="BT158" s="6">
        <f t="shared" si="71"/>
        <v>0</v>
      </c>
      <c r="BV158" s="6">
        <f t="shared" si="74"/>
        <v>0</v>
      </c>
      <c r="BW158" s="6">
        <f t="shared" si="75"/>
        <v>-30000</v>
      </c>
      <c r="BX158" s="6">
        <f t="shared" si="76"/>
        <v>0</v>
      </c>
      <c r="BY158" s="6">
        <f t="shared" si="77"/>
        <v>0</v>
      </c>
      <c r="BZ158" s="6">
        <f t="shared" si="78"/>
        <v>0</v>
      </c>
      <c r="CA158" s="6">
        <f t="shared" si="79"/>
        <v>0</v>
      </c>
      <c r="CB158" s="6">
        <f t="shared" si="80"/>
        <v>0</v>
      </c>
      <c r="CC158" s="6">
        <f t="shared" si="81"/>
        <v>0</v>
      </c>
      <c r="CD158" s="6">
        <f t="shared" si="82"/>
        <v>0</v>
      </c>
      <c r="CE158" s="6">
        <f t="shared" si="83"/>
        <v>0</v>
      </c>
      <c r="CF158" s="6">
        <f t="shared" si="84"/>
        <v>0</v>
      </c>
      <c r="CG158" s="6">
        <f t="shared" si="85"/>
        <v>0</v>
      </c>
      <c r="CH158" s="6">
        <f t="shared" si="72"/>
        <v>-30000</v>
      </c>
    </row>
    <row r="159" spans="1:86" hidden="1" x14ac:dyDescent="0.35">
      <c r="A159" s="3" t="s">
        <v>461</v>
      </c>
      <c r="C159" s="10">
        <v>15000</v>
      </c>
      <c r="N159" s="27">
        <f t="shared" si="56"/>
        <v>15000</v>
      </c>
      <c r="AA159" s="27">
        <f t="shared" si="87"/>
        <v>0</v>
      </c>
      <c r="AB159" s="10">
        <f t="shared" si="86"/>
        <v>0</v>
      </c>
      <c r="AC159" s="10">
        <f t="shared" si="86"/>
        <v>15000</v>
      </c>
      <c r="AD159" s="10">
        <f t="shared" si="86"/>
        <v>0</v>
      </c>
      <c r="AE159" s="10">
        <f t="shared" si="73"/>
        <v>0</v>
      </c>
      <c r="AF159" s="10">
        <f t="shared" si="73"/>
        <v>0</v>
      </c>
      <c r="AG159" s="10">
        <f t="shared" si="73"/>
        <v>0</v>
      </c>
      <c r="AH159" s="10">
        <f t="shared" si="73"/>
        <v>0</v>
      </c>
      <c r="AI159" s="10">
        <f t="shared" si="73"/>
        <v>0</v>
      </c>
      <c r="AJ159" s="10">
        <f t="shared" si="73"/>
        <v>0</v>
      </c>
      <c r="AK159" s="10">
        <f t="shared" si="57"/>
        <v>0</v>
      </c>
      <c r="AL159" s="10">
        <f t="shared" si="57"/>
        <v>0</v>
      </c>
      <c r="AM159" s="10">
        <f t="shared" si="57"/>
        <v>0</v>
      </c>
      <c r="AN159" s="27">
        <f t="shared" si="57"/>
        <v>15000</v>
      </c>
      <c r="AS159" t="str">
        <f>_xlfn.XLOOKUP(AU159,[2]GAE!HZ:HZ,[2]GAE!IA:IA)</f>
        <v>ADMIN SERVICES</v>
      </c>
      <c r="AT159" t="str">
        <f>_xlfn.XLOOKUP(AU159,[2]GAE!HZ:HZ,[2]GAE!IB:IB)</f>
        <v>DOE - Insurance - Motor Car</v>
      </c>
      <c r="AU159" t="s">
        <v>415</v>
      </c>
      <c r="AV159">
        <v>81123102</v>
      </c>
      <c r="AW159">
        <v>52101112</v>
      </c>
      <c r="AX159" t="str">
        <f>_xlfn.XLOOKUP(AU159,[2]GAE!HZ:HZ,[2]GAE!IF:IF)</f>
        <v>Others</v>
      </c>
      <c r="AY159" t="str">
        <f>_xlfn.XLOOKUP(AU159,[2]GAE!HZ:HZ,[2]GAE!IG:IG)</f>
        <v>Insurance</v>
      </c>
      <c r="BF159" t="s">
        <v>24</v>
      </c>
      <c r="BG159" s="2" t="s">
        <v>24</v>
      </c>
      <c r="BH159" s="10">
        <f>SUMIFS('[1]2026'!$K:$K,'[1]2026'!$T:$T,BD159,'[1]2026'!$S:$S,BH$3,'[1]2026'!$P:$P,AU159)</f>
        <v>0</v>
      </c>
      <c r="BI159" s="10">
        <f>SUMIFS('[1]2026'!$K:$K,'[1]2026'!$T:$T,$BD159,'[1]2026'!$S:$S,BI$3,'[1]2026'!$P:$P,$AU159)</f>
        <v>0</v>
      </c>
      <c r="BJ159" s="10">
        <f>SUMIFS('[1]2026'!$K:$K,'[1]2026'!$T:$T,$BD159,'[1]2026'!$S:$S,BJ$3,'[1]2026'!$P:$P,$AU159)</f>
        <v>0</v>
      </c>
      <c r="BK159" s="10">
        <f>SUMIFS('[1]2026'!$K:$K,'[1]2026'!$T:$T,$BD159,'[1]2026'!$S:$S,BK$3,'[1]2026'!$P:$P,$AU159)</f>
        <v>0</v>
      </c>
      <c r="BL159" s="6"/>
      <c r="BM159" s="10">
        <f>SUMIFS('[1]2026'!$K:$K,'[1]2026'!$T:$T,$BD159,'[1]2026'!$S:$S,BM$3,'[1]2026'!$P:$P,$AU159)</f>
        <v>0</v>
      </c>
      <c r="BN159" s="10">
        <f>SUMIFS('[1]2026'!$K:$K,'[1]2026'!$T:$T,$BD159,'[1]2026'!$S:$S,BN$3,'[1]2026'!$P:$P,$AU159)</f>
        <v>0</v>
      </c>
      <c r="BO159" s="10">
        <f>SUMIFS('[1]2026'!$K:$K,'[1]2026'!$T:$T,$BD159,'[1]2026'!$S:$S,BO$3,'[1]2026'!$P:$P,$AU159)</f>
        <v>0</v>
      </c>
      <c r="BP159" s="6"/>
      <c r="BQ159" s="6"/>
      <c r="BR159" s="6"/>
      <c r="BS159" s="6"/>
      <c r="BT159" s="6">
        <f t="shared" si="71"/>
        <v>0</v>
      </c>
      <c r="BV159" s="6">
        <f t="shared" si="74"/>
        <v>0</v>
      </c>
      <c r="BW159" s="6">
        <f t="shared" si="75"/>
        <v>-15000</v>
      </c>
      <c r="BX159" s="6">
        <f t="shared" si="76"/>
        <v>0</v>
      </c>
      <c r="BY159" s="6">
        <f t="shared" si="77"/>
        <v>0</v>
      </c>
      <c r="BZ159" s="6">
        <f t="shared" si="78"/>
        <v>0</v>
      </c>
      <c r="CA159" s="6">
        <f t="shared" si="79"/>
        <v>0</v>
      </c>
      <c r="CB159" s="6">
        <f t="shared" si="80"/>
        <v>0</v>
      </c>
      <c r="CC159" s="6">
        <f t="shared" si="81"/>
        <v>0</v>
      </c>
      <c r="CD159" s="6">
        <f t="shared" si="82"/>
        <v>0</v>
      </c>
      <c r="CE159" s="6">
        <f t="shared" si="83"/>
        <v>0</v>
      </c>
      <c r="CF159" s="6">
        <f t="shared" si="84"/>
        <v>0</v>
      </c>
      <c r="CG159" s="6">
        <f t="shared" si="85"/>
        <v>0</v>
      </c>
      <c r="CH159" s="6">
        <f t="shared" si="72"/>
        <v>-15000</v>
      </c>
    </row>
    <row r="160" spans="1:86" hidden="1" x14ac:dyDescent="0.35">
      <c r="A160" s="3" t="s">
        <v>462</v>
      </c>
      <c r="C160" s="10">
        <v>15000</v>
      </c>
      <c r="N160" s="27">
        <f t="shared" si="56"/>
        <v>15000</v>
      </c>
      <c r="AA160" s="27">
        <f t="shared" si="87"/>
        <v>0</v>
      </c>
      <c r="AB160" s="10">
        <f t="shared" si="86"/>
        <v>0</v>
      </c>
      <c r="AC160" s="10">
        <f t="shared" si="86"/>
        <v>15000</v>
      </c>
      <c r="AD160" s="10">
        <f t="shared" si="86"/>
        <v>0</v>
      </c>
      <c r="AE160" s="10">
        <f t="shared" si="73"/>
        <v>0</v>
      </c>
      <c r="AF160" s="10">
        <f t="shared" si="73"/>
        <v>0</v>
      </c>
      <c r="AG160" s="10">
        <f t="shared" si="73"/>
        <v>0</v>
      </c>
      <c r="AH160" s="10">
        <f t="shared" si="73"/>
        <v>0</v>
      </c>
      <c r="AI160" s="10">
        <f t="shared" si="73"/>
        <v>0</v>
      </c>
      <c r="AJ160" s="10">
        <f t="shared" si="73"/>
        <v>0</v>
      </c>
      <c r="AK160" s="10">
        <f t="shared" si="57"/>
        <v>0</v>
      </c>
      <c r="AL160" s="10">
        <f t="shared" si="57"/>
        <v>0</v>
      </c>
      <c r="AM160" s="10">
        <f t="shared" si="57"/>
        <v>0</v>
      </c>
      <c r="AN160" s="27">
        <f t="shared" si="57"/>
        <v>15000</v>
      </c>
      <c r="AS160" t="str">
        <f>_xlfn.XLOOKUP(AU160,[2]GAE!HZ:HZ,[2]GAE!IA:IA)</f>
        <v>ADMIN SERVICES</v>
      </c>
      <c r="AT160" t="str">
        <f>_xlfn.XLOOKUP(AU160,[2]GAE!HZ:HZ,[2]GAE!IB:IB)</f>
        <v>DOE - Insurance - Motor Car</v>
      </c>
      <c r="AU160" t="s">
        <v>415</v>
      </c>
      <c r="AV160">
        <v>81123102</v>
      </c>
      <c r="AW160">
        <v>52101112</v>
      </c>
      <c r="AX160" t="str">
        <f>_xlfn.XLOOKUP(AU160,[2]GAE!HZ:HZ,[2]GAE!IF:IF)</f>
        <v>Others</v>
      </c>
      <c r="AY160" t="str">
        <f>_xlfn.XLOOKUP(AU160,[2]GAE!HZ:HZ,[2]GAE!IG:IG)</f>
        <v>Insurance</v>
      </c>
      <c r="BF160" t="s">
        <v>24</v>
      </c>
      <c r="BG160" s="2" t="s">
        <v>24</v>
      </c>
      <c r="BH160" s="10">
        <f>SUMIFS('[1]2026'!$K:$K,'[1]2026'!$T:$T,BD160,'[1]2026'!$S:$S,BH$3,'[1]2026'!$P:$P,AU160)</f>
        <v>0</v>
      </c>
      <c r="BI160" s="10">
        <f>SUMIFS('[1]2026'!$K:$K,'[1]2026'!$T:$T,$BD160,'[1]2026'!$S:$S,BI$3,'[1]2026'!$P:$P,$AU160)</f>
        <v>0</v>
      </c>
      <c r="BJ160" s="10">
        <f>SUMIFS('[1]2026'!$K:$K,'[1]2026'!$T:$T,$BD160,'[1]2026'!$S:$S,BJ$3,'[1]2026'!$P:$P,$AU160)</f>
        <v>0</v>
      </c>
      <c r="BK160" s="10">
        <f>SUMIFS('[1]2026'!$K:$K,'[1]2026'!$T:$T,$BD160,'[1]2026'!$S:$S,BK$3,'[1]2026'!$P:$P,$AU160)</f>
        <v>0</v>
      </c>
      <c r="BL160" s="6"/>
      <c r="BM160" s="10">
        <f>SUMIFS('[1]2026'!$K:$K,'[1]2026'!$T:$T,$BD160,'[1]2026'!$S:$S,BM$3,'[1]2026'!$P:$P,$AU160)</f>
        <v>0</v>
      </c>
      <c r="BN160" s="10">
        <f>SUMIFS('[1]2026'!$K:$K,'[1]2026'!$T:$T,$BD160,'[1]2026'!$S:$S,BN$3,'[1]2026'!$P:$P,$AU160)</f>
        <v>0</v>
      </c>
      <c r="BO160" s="10">
        <f>SUMIFS('[1]2026'!$K:$K,'[1]2026'!$T:$T,$BD160,'[1]2026'!$S:$S,BO$3,'[1]2026'!$P:$P,$AU160)</f>
        <v>0</v>
      </c>
      <c r="BP160" s="6"/>
      <c r="BQ160" s="6"/>
      <c r="BR160" s="6"/>
      <c r="BS160" s="6"/>
      <c r="BT160" s="6">
        <f t="shared" si="71"/>
        <v>0</v>
      </c>
      <c r="BV160" s="6">
        <f t="shared" si="74"/>
        <v>0</v>
      </c>
      <c r="BW160" s="6">
        <f t="shared" si="75"/>
        <v>-15000</v>
      </c>
      <c r="BX160" s="6">
        <f t="shared" si="76"/>
        <v>0</v>
      </c>
      <c r="BY160" s="6">
        <f t="shared" si="77"/>
        <v>0</v>
      </c>
      <c r="BZ160" s="6">
        <f t="shared" si="78"/>
        <v>0</v>
      </c>
      <c r="CA160" s="6">
        <f t="shared" si="79"/>
        <v>0</v>
      </c>
      <c r="CB160" s="6">
        <f t="shared" si="80"/>
        <v>0</v>
      </c>
      <c r="CC160" s="6">
        <f t="shared" si="81"/>
        <v>0</v>
      </c>
      <c r="CD160" s="6">
        <f t="shared" si="82"/>
        <v>0</v>
      </c>
      <c r="CE160" s="6">
        <f t="shared" si="83"/>
        <v>0</v>
      </c>
      <c r="CF160" s="6">
        <f t="shared" si="84"/>
        <v>0</v>
      </c>
      <c r="CG160" s="6">
        <f t="shared" si="85"/>
        <v>0</v>
      </c>
      <c r="CH160" s="6">
        <f t="shared" si="72"/>
        <v>-15000</v>
      </c>
    </row>
    <row r="161" spans="1:86" hidden="1" x14ac:dyDescent="0.35">
      <c r="A161" s="3" t="s">
        <v>463</v>
      </c>
      <c r="C161" s="10">
        <v>15000</v>
      </c>
      <c r="N161" s="27">
        <f t="shared" si="56"/>
        <v>15000</v>
      </c>
      <c r="AA161" s="27">
        <f t="shared" si="87"/>
        <v>0</v>
      </c>
      <c r="AB161" s="10">
        <f t="shared" si="86"/>
        <v>0</v>
      </c>
      <c r="AC161" s="10">
        <f t="shared" si="86"/>
        <v>15000</v>
      </c>
      <c r="AD161" s="10">
        <f t="shared" si="86"/>
        <v>0</v>
      </c>
      <c r="AE161" s="10">
        <f t="shared" si="73"/>
        <v>0</v>
      </c>
      <c r="AF161" s="10">
        <f t="shared" si="73"/>
        <v>0</v>
      </c>
      <c r="AG161" s="10">
        <f t="shared" si="73"/>
        <v>0</v>
      </c>
      <c r="AH161" s="10">
        <f t="shared" si="73"/>
        <v>0</v>
      </c>
      <c r="AI161" s="10">
        <f t="shared" si="73"/>
        <v>0</v>
      </c>
      <c r="AJ161" s="10">
        <f t="shared" si="73"/>
        <v>0</v>
      </c>
      <c r="AK161" s="10">
        <f t="shared" si="57"/>
        <v>0</v>
      </c>
      <c r="AL161" s="10">
        <f t="shared" si="57"/>
        <v>0</v>
      </c>
      <c r="AM161" s="10">
        <f t="shared" si="57"/>
        <v>0</v>
      </c>
      <c r="AN161" s="27">
        <f t="shared" si="57"/>
        <v>15000</v>
      </c>
      <c r="AS161" t="str">
        <f>_xlfn.XLOOKUP(AU161,[2]GAE!HZ:HZ,[2]GAE!IA:IA)</f>
        <v>ADMIN SERVICES</v>
      </c>
      <c r="AT161" t="str">
        <f>_xlfn.XLOOKUP(AU161,[2]GAE!HZ:HZ,[2]GAE!IB:IB)</f>
        <v>DOE - Insurance - Motor Car</v>
      </c>
      <c r="AU161" t="s">
        <v>415</v>
      </c>
      <c r="AV161">
        <v>81123102</v>
      </c>
      <c r="AW161">
        <v>52101112</v>
      </c>
      <c r="AX161" t="str">
        <f>_xlfn.XLOOKUP(AU161,[2]GAE!HZ:HZ,[2]GAE!IF:IF)</f>
        <v>Others</v>
      </c>
      <c r="AY161" t="str">
        <f>_xlfn.XLOOKUP(AU161,[2]GAE!HZ:HZ,[2]GAE!IG:IG)</f>
        <v>Insurance</v>
      </c>
      <c r="BF161" t="s">
        <v>24</v>
      </c>
      <c r="BG161" s="2" t="s">
        <v>24</v>
      </c>
      <c r="BH161" s="10">
        <f>SUMIFS('[1]2026'!$K:$K,'[1]2026'!$T:$T,BD161,'[1]2026'!$S:$S,BH$3,'[1]2026'!$P:$P,AU161)</f>
        <v>0</v>
      </c>
      <c r="BI161" s="10">
        <f>SUMIFS('[1]2026'!$K:$K,'[1]2026'!$T:$T,$BD161,'[1]2026'!$S:$S,BI$3,'[1]2026'!$P:$P,$AU161)</f>
        <v>0</v>
      </c>
      <c r="BJ161" s="10">
        <f>SUMIFS('[1]2026'!$K:$K,'[1]2026'!$T:$T,$BD161,'[1]2026'!$S:$S,BJ$3,'[1]2026'!$P:$P,$AU161)</f>
        <v>0</v>
      </c>
      <c r="BK161" s="10">
        <f>SUMIFS('[1]2026'!$K:$K,'[1]2026'!$T:$T,$BD161,'[1]2026'!$S:$S,BK$3,'[1]2026'!$P:$P,$AU161)</f>
        <v>0</v>
      </c>
      <c r="BL161" s="6"/>
      <c r="BM161" s="10">
        <f>SUMIFS('[1]2026'!$K:$K,'[1]2026'!$T:$T,$BD161,'[1]2026'!$S:$S,BM$3,'[1]2026'!$P:$P,$AU161)</f>
        <v>0</v>
      </c>
      <c r="BN161" s="10">
        <f>SUMIFS('[1]2026'!$K:$K,'[1]2026'!$T:$T,$BD161,'[1]2026'!$S:$S,BN$3,'[1]2026'!$P:$P,$AU161)</f>
        <v>0</v>
      </c>
      <c r="BO161" s="10">
        <f>SUMIFS('[1]2026'!$K:$K,'[1]2026'!$T:$T,$BD161,'[1]2026'!$S:$S,BO$3,'[1]2026'!$P:$P,$AU161)</f>
        <v>0</v>
      </c>
      <c r="BP161" s="6"/>
      <c r="BQ161" s="6"/>
      <c r="BR161" s="6"/>
      <c r="BS161" s="6"/>
      <c r="BT161" s="6">
        <f t="shared" si="71"/>
        <v>0</v>
      </c>
      <c r="BV161" s="6">
        <f t="shared" si="74"/>
        <v>0</v>
      </c>
      <c r="BW161" s="6">
        <f t="shared" si="75"/>
        <v>-15000</v>
      </c>
      <c r="BX161" s="6">
        <f t="shared" si="76"/>
        <v>0</v>
      </c>
      <c r="BY161" s="6">
        <f t="shared" si="77"/>
        <v>0</v>
      </c>
      <c r="BZ161" s="6">
        <f t="shared" si="78"/>
        <v>0</v>
      </c>
      <c r="CA161" s="6">
        <f t="shared" si="79"/>
        <v>0</v>
      </c>
      <c r="CB161" s="6">
        <f t="shared" si="80"/>
        <v>0</v>
      </c>
      <c r="CC161" s="6">
        <f t="shared" si="81"/>
        <v>0</v>
      </c>
      <c r="CD161" s="6">
        <f t="shared" si="82"/>
        <v>0</v>
      </c>
      <c r="CE161" s="6">
        <f t="shared" si="83"/>
        <v>0</v>
      </c>
      <c r="CF161" s="6">
        <f t="shared" si="84"/>
        <v>0</v>
      </c>
      <c r="CG161" s="6">
        <f t="shared" si="85"/>
        <v>0</v>
      </c>
      <c r="CH161" s="6">
        <f t="shared" si="72"/>
        <v>-15000</v>
      </c>
    </row>
    <row r="162" spans="1:86" hidden="1" x14ac:dyDescent="0.35">
      <c r="A162" s="3" t="s">
        <v>464</v>
      </c>
      <c r="C162" s="10">
        <v>15000</v>
      </c>
      <c r="N162" s="27">
        <f t="shared" ref="N162:N221" si="88">SUM(B162:M162)</f>
        <v>15000</v>
      </c>
      <c r="AA162" s="27">
        <f t="shared" si="87"/>
        <v>0</v>
      </c>
      <c r="AB162" s="10">
        <f t="shared" si="86"/>
        <v>0</v>
      </c>
      <c r="AC162" s="10">
        <f t="shared" si="86"/>
        <v>15000</v>
      </c>
      <c r="AD162" s="10">
        <f t="shared" si="86"/>
        <v>0</v>
      </c>
      <c r="AE162" s="10">
        <f t="shared" si="73"/>
        <v>0</v>
      </c>
      <c r="AF162" s="10">
        <f t="shared" si="73"/>
        <v>0</v>
      </c>
      <c r="AG162" s="10">
        <f t="shared" si="73"/>
        <v>0</v>
      </c>
      <c r="AH162" s="10">
        <f t="shared" si="73"/>
        <v>0</v>
      </c>
      <c r="AI162" s="10">
        <f t="shared" si="73"/>
        <v>0</v>
      </c>
      <c r="AJ162" s="10">
        <f t="shared" si="73"/>
        <v>0</v>
      </c>
      <c r="AK162" s="10">
        <f t="shared" si="57"/>
        <v>0</v>
      </c>
      <c r="AL162" s="10">
        <f t="shared" si="57"/>
        <v>0</v>
      </c>
      <c r="AM162" s="10">
        <f t="shared" si="57"/>
        <v>0</v>
      </c>
      <c r="AN162" s="27">
        <f t="shared" si="57"/>
        <v>15000</v>
      </c>
      <c r="AS162" t="str">
        <f>_xlfn.XLOOKUP(AU162,[2]GAE!HZ:HZ,[2]GAE!IA:IA)</f>
        <v>ADMIN SERVICES</v>
      </c>
      <c r="AT162" t="str">
        <f>_xlfn.XLOOKUP(AU162,[2]GAE!HZ:HZ,[2]GAE!IB:IB)</f>
        <v>DOE - Insurance - Motor Car</v>
      </c>
      <c r="AU162" t="s">
        <v>415</v>
      </c>
      <c r="AV162">
        <v>81123102</v>
      </c>
      <c r="AW162">
        <v>52101112</v>
      </c>
      <c r="AX162" t="str">
        <f>_xlfn.XLOOKUP(AU162,[2]GAE!HZ:HZ,[2]GAE!IF:IF)</f>
        <v>Others</v>
      </c>
      <c r="AY162" t="str">
        <f>_xlfn.XLOOKUP(AU162,[2]GAE!HZ:HZ,[2]GAE!IG:IG)</f>
        <v>Insurance</v>
      </c>
      <c r="BF162" t="s">
        <v>24</v>
      </c>
      <c r="BG162" s="2" t="s">
        <v>24</v>
      </c>
      <c r="BH162" s="10">
        <f>SUMIFS('[1]2026'!$K:$K,'[1]2026'!$T:$T,BD162,'[1]2026'!$S:$S,BH$3,'[1]2026'!$P:$P,AU162)</f>
        <v>0</v>
      </c>
      <c r="BI162" s="10">
        <f>SUMIFS('[1]2026'!$K:$K,'[1]2026'!$T:$T,$BD162,'[1]2026'!$S:$S,BI$3,'[1]2026'!$P:$P,$AU162)</f>
        <v>0</v>
      </c>
      <c r="BJ162" s="10">
        <f>SUMIFS('[1]2026'!$K:$K,'[1]2026'!$T:$T,$BD162,'[1]2026'!$S:$S,BJ$3,'[1]2026'!$P:$P,$AU162)</f>
        <v>0</v>
      </c>
      <c r="BK162" s="10">
        <f>SUMIFS('[1]2026'!$K:$K,'[1]2026'!$T:$T,$BD162,'[1]2026'!$S:$S,BK$3,'[1]2026'!$P:$P,$AU162)</f>
        <v>0</v>
      </c>
      <c r="BL162" s="6"/>
      <c r="BM162" s="10">
        <f>SUMIFS('[1]2026'!$K:$K,'[1]2026'!$T:$T,$BD162,'[1]2026'!$S:$S,BM$3,'[1]2026'!$P:$P,$AU162)</f>
        <v>0</v>
      </c>
      <c r="BN162" s="10">
        <f>SUMIFS('[1]2026'!$K:$K,'[1]2026'!$T:$T,$BD162,'[1]2026'!$S:$S,BN$3,'[1]2026'!$P:$P,$AU162)</f>
        <v>0</v>
      </c>
      <c r="BO162" s="10">
        <f>SUMIFS('[1]2026'!$K:$K,'[1]2026'!$T:$T,$BD162,'[1]2026'!$S:$S,BO$3,'[1]2026'!$P:$P,$AU162)</f>
        <v>0</v>
      </c>
      <c r="BP162" s="6"/>
      <c r="BQ162" s="6"/>
      <c r="BR162" s="6"/>
      <c r="BS162" s="6"/>
      <c r="BT162" s="6">
        <f t="shared" si="71"/>
        <v>0</v>
      </c>
      <c r="BV162" s="6">
        <f t="shared" si="74"/>
        <v>0</v>
      </c>
      <c r="BW162" s="6">
        <f t="shared" si="75"/>
        <v>-15000</v>
      </c>
      <c r="BX162" s="6">
        <f t="shared" si="76"/>
        <v>0</v>
      </c>
      <c r="BY162" s="6">
        <f t="shared" si="77"/>
        <v>0</v>
      </c>
      <c r="BZ162" s="6">
        <f t="shared" si="78"/>
        <v>0</v>
      </c>
      <c r="CA162" s="6">
        <f t="shared" si="79"/>
        <v>0</v>
      </c>
      <c r="CB162" s="6">
        <f t="shared" si="80"/>
        <v>0</v>
      </c>
      <c r="CC162" s="6">
        <f t="shared" si="81"/>
        <v>0</v>
      </c>
      <c r="CD162" s="6">
        <f t="shared" si="82"/>
        <v>0</v>
      </c>
      <c r="CE162" s="6">
        <f t="shared" si="83"/>
        <v>0</v>
      </c>
      <c r="CF162" s="6">
        <f t="shared" si="84"/>
        <v>0</v>
      </c>
      <c r="CG162" s="6">
        <f t="shared" si="85"/>
        <v>0</v>
      </c>
      <c r="CH162" s="6">
        <f t="shared" si="72"/>
        <v>-15000</v>
      </c>
    </row>
    <row r="163" spans="1:86" hidden="1" x14ac:dyDescent="0.35">
      <c r="A163" s="3" t="s">
        <v>465</v>
      </c>
      <c r="C163" s="10">
        <v>15000</v>
      </c>
      <c r="N163" s="27">
        <f t="shared" si="88"/>
        <v>15000</v>
      </c>
      <c r="AA163" s="27">
        <f t="shared" si="87"/>
        <v>0</v>
      </c>
      <c r="AB163" s="10">
        <f t="shared" si="86"/>
        <v>0</v>
      </c>
      <c r="AC163" s="10">
        <f t="shared" si="86"/>
        <v>15000</v>
      </c>
      <c r="AD163" s="10">
        <f t="shared" si="86"/>
        <v>0</v>
      </c>
      <c r="AE163" s="10">
        <f t="shared" si="86"/>
        <v>0</v>
      </c>
      <c r="AF163" s="10">
        <f t="shared" si="86"/>
        <v>0</v>
      </c>
      <c r="AG163" s="10">
        <f t="shared" si="86"/>
        <v>0</v>
      </c>
      <c r="AH163" s="10">
        <f t="shared" si="86"/>
        <v>0</v>
      </c>
      <c r="AI163" s="10">
        <f t="shared" si="86"/>
        <v>0</v>
      </c>
      <c r="AJ163" s="10">
        <f t="shared" si="73"/>
        <v>0</v>
      </c>
      <c r="AK163" s="10">
        <f t="shared" si="57"/>
        <v>0</v>
      </c>
      <c r="AL163" s="10">
        <f t="shared" si="57"/>
        <v>0</v>
      </c>
      <c r="AM163" s="10">
        <f t="shared" si="57"/>
        <v>0</v>
      </c>
      <c r="AN163" s="27">
        <f t="shared" si="57"/>
        <v>15000</v>
      </c>
      <c r="AS163" t="str">
        <f>_xlfn.XLOOKUP(AU163,[2]GAE!HZ:HZ,[2]GAE!IA:IA)</f>
        <v>ADMIN SERVICES</v>
      </c>
      <c r="AT163" t="str">
        <f>_xlfn.XLOOKUP(AU163,[2]GAE!HZ:HZ,[2]GAE!IB:IB)</f>
        <v>GAE - Insurance - Motor Car</v>
      </c>
      <c r="AU163" t="s">
        <v>424</v>
      </c>
      <c r="AV163">
        <v>80123102</v>
      </c>
      <c r="AW163">
        <v>61101104</v>
      </c>
      <c r="AX163" t="str">
        <f>_xlfn.XLOOKUP(AU163,[2]GAE!HZ:HZ,[2]GAE!IF:IF)</f>
        <v>Others</v>
      </c>
      <c r="AY163" t="str">
        <f>_xlfn.XLOOKUP(AU163,[2]GAE!HZ:HZ,[2]GAE!IG:IG)</f>
        <v>Insurance</v>
      </c>
      <c r="BF163" t="s">
        <v>24</v>
      </c>
      <c r="BG163" s="2" t="s">
        <v>24</v>
      </c>
      <c r="BH163" s="10">
        <f>SUMIFS('[1]2026'!$K:$K,'[1]2026'!$T:$T,BD163,'[1]2026'!$S:$S,BH$3,'[1]2026'!$P:$P,AU163)</f>
        <v>0</v>
      </c>
      <c r="BI163" s="10">
        <f>SUMIFS('[1]2026'!$K:$K,'[1]2026'!$T:$T,$BD163,'[1]2026'!$S:$S,BI$3,'[1]2026'!$P:$P,$AU163)</f>
        <v>0</v>
      </c>
      <c r="BJ163" s="10">
        <f>SUMIFS('[1]2026'!$K:$K,'[1]2026'!$T:$T,$BD163,'[1]2026'!$S:$S,BJ$3,'[1]2026'!$P:$P,$AU163)</f>
        <v>0</v>
      </c>
      <c r="BK163" s="10">
        <f>SUMIFS('[1]2026'!$K:$K,'[1]2026'!$T:$T,$BD163,'[1]2026'!$S:$S,BK$3,'[1]2026'!$P:$P,$AU163)</f>
        <v>0</v>
      </c>
      <c r="BL163" s="6"/>
      <c r="BM163" s="10">
        <f>SUMIFS('[1]2026'!$K:$K,'[1]2026'!$T:$T,$BD163,'[1]2026'!$S:$S,BM$3,'[1]2026'!$P:$P,$AU163)</f>
        <v>0</v>
      </c>
      <c r="BN163" s="10">
        <f>SUMIFS('[1]2026'!$K:$K,'[1]2026'!$T:$T,$BD163,'[1]2026'!$S:$S,BN$3,'[1]2026'!$P:$P,$AU163)</f>
        <v>0</v>
      </c>
      <c r="BO163" s="10">
        <f>SUMIFS('[1]2026'!$K:$K,'[1]2026'!$T:$T,$BD163,'[1]2026'!$S:$S,BO$3,'[1]2026'!$P:$P,$AU163)</f>
        <v>0</v>
      </c>
      <c r="BP163" s="6"/>
      <c r="BQ163" s="6"/>
      <c r="BR163" s="6"/>
      <c r="BS163" s="6"/>
      <c r="BT163" s="6">
        <f t="shared" si="71"/>
        <v>0</v>
      </c>
      <c r="BV163" s="6">
        <f t="shared" si="74"/>
        <v>0</v>
      </c>
      <c r="BW163" s="6">
        <f t="shared" si="75"/>
        <v>-15000</v>
      </c>
      <c r="BX163" s="6">
        <f t="shared" si="76"/>
        <v>0</v>
      </c>
      <c r="BY163" s="6">
        <f t="shared" si="77"/>
        <v>0</v>
      </c>
      <c r="BZ163" s="6">
        <f t="shared" si="78"/>
        <v>0</v>
      </c>
      <c r="CA163" s="6">
        <f t="shared" si="79"/>
        <v>0</v>
      </c>
      <c r="CB163" s="6">
        <f t="shared" si="80"/>
        <v>0</v>
      </c>
      <c r="CC163" s="6">
        <f t="shared" si="81"/>
        <v>0</v>
      </c>
      <c r="CD163" s="6">
        <f t="shared" si="82"/>
        <v>0</v>
      </c>
      <c r="CE163" s="6">
        <f t="shared" si="83"/>
        <v>0</v>
      </c>
      <c r="CF163" s="6">
        <f t="shared" si="84"/>
        <v>0</v>
      </c>
      <c r="CG163" s="6">
        <f t="shared" si="85"/>
        <v>0</v>
      </c>
      <c r="CH163" s="6">
        <f t="shared" si="72"/>
        <v>-15000</v>
      </c>
    </row>
    <row r="164" spans="1:86" hidden="1" x14ac:dyDescent="0.35">
      <c r="A164" s="3" t="s">
        <v>466</v>
      </c>
      <c r="C164" s="10">
        <v>15000</v>
      </c>
      <c r="N164" s="27">
        <f t="shared" si="88"/>
        <v>15000</v>
      </c>
      <c r="AA164" s="27">
        <f t="shared" si="87"/>
        <v>0</v>
      </c>
      <c r="AB164" s="10">
        <f t="shared" si="86"/>
        <v>0</v>
      </c>
      <c r="AC164" s="10">
        <f t="shared" si="86"/>
        <v>15000</v>
      </c>
      <c r="AD164" s="10">
        <f t="shared" si="86"/>
        <v>0</v>
      </c>
      <c r="AE164" s="10">
        <f t="shared" si="86"/>
        <v>0</v>
      </c>
      <c r="AF164" s="10">
        <f t="shared" si="86"/>
        <v>0</v>
      </c>
      <c r="AG164" s="10">
        <f t="shared" si="86"/>
        <v>0</v>
      </c>
      <c r="AH164" s="10">
        <f t="shared" si="86"/>
        <v>0</v>
      </c>
      <c r="AI164" s="10">
        <f t="shared" si="86"/>
        <v>0</v>
      </c>
      <c r="AJ164" s="10">
        <f t="shared" si="73"/>
        <v>0</v>
      </c>
      <c r="AK164" s="10">
        <f t="shared" si="57"/>
        <v>0</v>
      </c>
      <c r="AL164" s="10">
        <f t="shared" si="57"/>
        <v>0</v>
      </c>
      <c r="AM164" s="10">
        <f t="shared" si="57"/>
        <v>0</v>
      </c>
      <c r="AN164" s="27">
        <f t="shared" si="57"/>
        <v>15000</v>
      </c>
      <c r="AS164" t="str">
        <f>_xlfn.XLOOKUP(AU164,[2]GAE!HZ:HZ,[2]GAE!IA:IA)</f>
        <v>ADMIN SERVICES</v>
      </c>
      <c r="AT164" t="str">
        <f>_xlfn.XLOOKUP(AU164,[2]GAE!HZ:HZ,[2]GAE!IB:IB)</f>
        <v>GAE - Insurance - Motor Car</v>
      </c>
      <c r="AU164" t="s">
        <v>424</v>
      </c>
      <c r="AV164">
        <v>80123102</v>
      </c>
      <c r="AW164">
        <v>61101104</v>
      </c>
      <c r="AX164" t="str">
        <f>_xlfn.XLOOKUP(AU164,[2]GAE!HZ:HZ,[2]GAE!IF:IF)</f>
        <v>Others</v>
      </c>
      <c r="AY164" t="str">
        <f>_xlfn.XLOOKUP(AU164,[2]GAE!HZ:HZ,[2]GAE!IG:IG)</f>
        <v>Insurance</v>
      </c>
      <c r="BC164" t="s">
        <v>24</v>
      </c>
      <c r="BD164" t="s">
        <v>467</v>
      </c>
      <c r="BF164" t="s">
        <v>24</v>
      </c>
      <c r="BG164" s="2" t="s">
        <v>24</v>
      </c>
      <c r="BH164" s="10">
        <f>SUMIFS('[1]2026'!$K:$K,'[1]2026'!$T:$T,BD164,'[1]2026'!$S:$S,BH$3,'[1]2026'!$P:$P,AU164)</f>
        <v>0</v>
      </c>
      <c r="BI164" s="10">
        <f>SUMIFS('[1]2026'!$K:$K,'[1]2026'!$T:$T,$BD164,'[1]2026'!$S:$S,BI$3,'[1]2026'!$P:$P,$AU164)</f>
        <v>0</v>
      </c>
      <c r="BJ164" s="10">
        <f>SUMIFS('[1]2026'!$K:$K,'[1]2026'!$T:$T,$BD164,'[1]2026'!$S:$S,BJ$3,'[1]2026'!$P:$P,$AU164)</f>
        <v>0</v>
      </c>
      <c r="BK164" s="10">
        <f>SUMIFS('[1]2026'!$K:$K,'[1]2026'!$T:$T,$BD164,'[1]2026'!$S:$S,BK$3,'[1]2026'!$P:$P,$AU164)</f>
        <v>0</v>
      </c>
      <c r="BL164" s="6"/>
      <c r="BM164" s="10">
        <f>SUMIFS('[1]2026'!$K:$K,'[1]2026'!$T:$T,$BD164,'[1]2026'!$S:$S,BM$3,'[1]2026'!$P:$P,$AU164)</f>
        <v>13038.65</v>
      </c>
      <c r="BN164" s="10">
        <f>SUMIFS('[1]2026'!$K:$K,'[1]2026'!$T:$T,$BD164,'[1]2026'!$S:$S,BN$3,'[1]2026'!$P:$P,$AU164)</f>
        <v>0</v>
      </c>
      <c r="BO164" s="10">
        <f>SUMIFS('[1]2026'!$K:$K,'[1]2026'!$T:$T,$BD164,'[1]2026'!$S:$S,BO$3,'[1]2026'!$P:$P,$AU164)</f>
        <v>0</v>
      </c>
      <c r="BP164" s="6"/>
      <c r="BQ164" s="6"/>
      <c r="BR164" s="6"/>
      <c r="BS164" s="6"/>
      <c r="BT164" s="6">
        <f t="shared" si="71"/>
        <v>13038.65</v>
      </c>
      <c r="BV164" s="6">
        <f t="shared" si="74"/>
        <v>0</v>
      </c>
      <c r="BW164" s="6">
        <f t="shared" si="75"/>
        <v>-15000</v>
      </c>
      <c r="BX164" s="6">
        <f t="shared" si="76"/>
        <v>0</v>
      </c>
      <c r="BY164" s="6">
        <f t="shared" si="77"/>
        <v>0</v>
      </c>
      <c r="BZ164" s="6">
        <f t="shared" si="78"/>
        <v>0</v>
      </c>
      <c r="CA164" s="6">
        <f t="shared" si="79"/>
        <v>13038.65</v>
      </c>
      <c r="CB164" s="6">
        <f t="shared" si="80"/>
        <v>0</v>
      </c>
      <c r="CC164" s="6">
        <f t="shared" si="81"/>
        <v>0</v>
      </c>
      <c r="CD164" s="6">
        <f t="shared" si="82"/>
        <v>0</v>
      </c>
      <c r="CE164" s="6">
        <f t="shared" si="83"/>
        <v>0</v>
      </c>
      <c r="CF164" s="6">
        <f t="shared" si="84"/>
        <v>0</v>
      </c>
      <c r="CG164" s="6">
        <f t="shared" si="85"/>
        <v>0</v>
      </c>
      <c r="CH164" s="6">
        <f t="shared" si="72"/>
        <v>-1961.3500000000004</v>
      </c>
    </row>
    <row r="165" spans="1:86" hidden="1" x14ac:dyDescent="0.35">
      <c r="A165" s="3" t="s">
        <v>468</v>
      </c>
      <c r="C165" s="10">
        <v>30000</v>
      </c>
      <c r="N165" s="27">
        <f t="shared" si="88"/>
        <v>30000</v>
      </c>
      <c r="AA165" s="27">
        <f t="shared" si="87"/>
        <v>0</v>
      </c>
      <c r="AB165" s="10">
        <f t="shared" si="86"/>
        <v>0</v>
      </c>
      <c r="AC165" s="10">
        <f t="shared" si="86"/>
        <v>30000</v>
      </c>
      <c r="AD165" s="10">
        <f t="shared" si="86"/>
        <v>0</v>
      </c>
      <c r="AE165" s="10">
        <f t="shared" si="86"/>
        <v>0</v>
      </c>
      <c r="AF165" s="10">
        <f t="shared" si="86"/>
        <v>0</v>
      </c>
      <c r="AG165" s="10">
        <f t="shared" si="86"/>
        <v>0</v>
      </c>
      <c r="AH165" s="10">
        <f t="shared" si="86"/>
        <v>0</v>
      </c>
      <c r="AI165" s="10">
        <f t="shared" si="86"/>
        <v>0</v>
      </c>
      <c r="AJ165" s="10">
        <f t="shared" si="73"/>
        <v>0</v>
      </c>
      <c r="AK165" s="10">
        <f t="shared" si="57"/>
        <v>0</v>
      </c>
      <c r="AL165" s="10">
        <f t="shared" si="57"/>
        <v>0</v>
      </c>
      <c r="AM165" s="10">
        <f t="shared" si="57"/>
        <v>0</v>
      </c>
      <c r="AN165" s="27">
        <f t="shared" si="57"/>
        <v>30000</v>
      </c>
      <c r="AS165" t="str">
        <f>_xlfn.XLOOKUP(AU165,[2]GAE!HZ:HZ,[2]GAE!IA:IA)</f>
        <v>ADMIN SERVICES</v>
      </c>
      <c r="AT165" t="str">
        <f>_xlfn.XLOOKUP(AU165,[2]GAE!HZ:HZ,[2]GAE!IB:IB)</f>
        <v>DOE - Insurance - Motor Car</v>
      </c>
      <c r="AU165" t="s">
        <v>415</v>
      </c>
      <c r="AV165">
        <v>81123102</v>
      </c>
      <c r="AW165">
        <v>52101112</v>
      </c>
      <c r="AX165" t="str">
        <f>_xlfn.XLOOKUP(AU165,[2]GAE!HZ:HZ,[2]GAE!IF:IF)</f>
        <v>Others</v>
      </c>
      <c r="AY165" t="str">
        <f>_xlfn.XLOOKUP(AU165,[2]GAE!HZ:HZ,[2]GAE!IG:IG)</f>
        <v>Insurance</v>
      </c>
      <c r="BF165" t="s">
        <v>24</v>
      </c>
      <c r="BG165" s="2" t="s">
        <v>24</v>
      </c>
      <c r="BH165" s="10">
        <f>SUMIFS('[1]2026'!$K:$K,'[1]2026'!$T:$T,BD165,'[1]2026'!$S:$S,BH$3,'[1]2026'!$P:$P,AU165)</f>
        <v>0</v>
      </c>
      <c r="BI165" s="10">
        <f>SUMIFS('[1]2026'!$K:$K,'[1]2026'!$T:$T,$BD165,'[1]2026'!$S:$S,BI$3,'[1]2026'!$P:$P,$AU165)</f>
        <v>0</v>
      </c>
      <c r="BJ165" s="10">
        <f>SUMIFS('[1]2026'!$K:$K,'[1]2026'!$T:$T,$BD165,'[1]2026'!$S:$S,BJ$3,'[1]2026'!$P:$P,$AU165)</f>
        <v>0</v>
      </c>
      <c r="BK165" s="10">
        <f>SUMIFS('[1]2026'!$K:$K,'[1]2026'!$T:$T,$BD165,'[1]2026'!$S:$S,BK$3,'[1]2026'!$P:$P,$AU165)</f>
        <v>0</v>
      </c>
      <c r="BL165" s="6"/>
      <c r="BM165" s="10">
        <f>SUMIFS('[1]2026'!$K:$K,'[1]2026'!$T:$T,$BD165,'[1]2026'!$S:$S,BM$3,'[1]2026'!$P:$P,$AU165)</f>
        <v>0</v>
      </c>
      <c r="BN165" s="10">
        <f>SUMIFS('[1]2026'!$K:$K,'[1]2026'!$T:$T,$BD165,'[1]2026'!$S:$S,BN$3,'[1]2026'!$P:$P,$AU165)</f>
        <v>0</v>
      </c>
      <c r="BO165" s="10">
        <f>SUMIFS('[1]2026'!$K:$K,'[1]2026'!$T:$T,$BD165,'[1]2026'!$S:$S,BO$3,'[1]2026'!$P:$P,$AU165)</f>
        <v>0</v>
      </c>
      <c r="BP165" s="6"/>
      <c r="BQ165" s="6"/>
      <c r="BR165" s="6"/>
      <c r="BS165" s="6"/>
      <c r="BT165" s="6">
        <f t="shared" si="71"/>
        <v>0</v>
      </c>
      <c r="BV165" s="6">
        <f t="shared" si="74"/>
        <v>0</v>
      </c>
      <c r="BW165" s="6">
        <f t="shared" si="75"/>
        <v>-30000</v>
      </c>
      <c r="BX165" s="6">
        <f t="shared" si="76"/>
        <v>0</v>
      </c>
      <c r="BY165" s="6">
        <f t="shared" si="77"/>
        <v>0</v>
      </c>
      <c r="BZ165" s="6">
        <f t="shared" si="78"/>
        <v>0</v>
      </c>
      <c r="CA165" s="6">
        <f t="shared" si="79"/>
        <v>0</v>
      </c>
      <c r="CB165" s="6">
        <f t="shared" si="80"/>
        <v>0</v>
      </c>
      <c r="CC165" s="6">
        <f t="shared" si="81"/>
        <v>0</v>
      </c>
      <c r="CD165" s="6">
        <f t="shared" si="82"/>
        <v>0</v>
      </c>
      <c r="CE165" s="6">
        <f t="shared" si="83"/>
        <v>0</v>
      </c>
      <c r="CF165" s="6">
        <f t="shared" si="84"/>
        <v>0</v>
      </c>
      <c r="CG165" s="6">
        <f t="shared" si="85"/>
        <v>0</v>
      </c>
      <c r="CH165" s="6">
        <f t="shared" si="72"/>
        <v>-30000</v>
      </c>
    </row>
    <row r="166" spans="1:86" hidden="1" x14ac:dyDescent="0.35">
      <c r="A166" s="3" t="s">
        <v>469</v>
      </c>
      <c r="C166" s="10">
        <v>15000</v>
      </c>
      <c r="N166" s="27">
        <f t="shared" si="88"/>
        <v>15000</v>
      </c>
      <c r="AA166" s="27">
        <f t="shared" si="87"/>
        <v>0</v>
      </c>
      <c r="AB166" s="10">
        <f t="shared" si="86"/>
        <v>0</v>
      </c>
      <c r="AC166" s="10">
        <f t="shared" si="86"/>
        <v>15000</v>
      </c>
      <c r="AD166" s="10">
        <f t="shared" si="86"/>
        <v>0</v>
      </c>
      <c r="AE166" s="10">
        <f t="shared" si="86"/>
        <v>0</v>
      </c>
      <c r="AF166" s="10">
        <f t="shared" si="86"/>
        <v>0</v>
      </c>
      <c r="AG166" s="10">
        <f t="shared" si="86"/>
        <v>0</v>
      </c>
      <c r="AH166" s="10">
        <f t="shared" si="86"/>
        <v>0</v>
      </c>
      <c r="AI166" s="10">
        <f t="shared" si="86"/>
        <v>0</v>
      </c>
      <c r="AJ166" s="10">
        <f t="shared" si="73"/>
        <v>0</v>
      </c>
      <c r="AK166" s="10">
        <f t="shared" si="57"/>
        <v>0</v>
      </c>
      <c r="AL166" s="10">
        <f t="shared" si="57"/>
        <v>0</v>
      </c>
      <c r="AM166" s="10">
        <f t="shared" si="57"/>
        <v>0</v>
      </c>
      <c r="AN166" s="27">
        <f t="shared" si="57"/>
        <v>15000</v>
      </c>
      <c r="AS166" t="str">
        <f>_xlfn.XLOOKUP(AU166,[2]GAE!HZ:HZ,[2]GAE!IA:IA)</f>
        <v>ADMIN SERVICES</v>
      </c>
      <c r="AT166" t="str">
        <f>_xlfn.XLOOKUP(AU166,[2]GAE!HZ:HZ,[2]GAE!IB:IB)</f>
        <v>DOE - Insurance - Motor Car</v>
      </c>
      <c r="AU166" t="s">
        <v>415</v>
      </c>
      <c r="AV166">
        <v>81123102</v>
      </c>
      <c r="AW166">
        <v>52101112</v>
      </c>
      <c r="AX166" t="str">
        <f>_xlfn.XLOOKUP(AU166,[2]GAE!HZ:HZ,[2]GAE!IF:IF)</f>
        <v>Others</v>
      </c>
      <c r="AY166" t="str">
        <f>_xlfn.XLOOKUP(AU166,[2]GAE!HZ:HZ,[2]GAE!IG:IG)</f>
        <v>Insurance</v>
      </c>
      <c r="BF166" t="s">
        <v>24</v>
      </c>
      <c r="BG166" s="2" t="s">
        <v>24</v>
      </c>
      <c r="BH166" s="10">
        <f>SUMIFS('[1]2026'!$K:$K,'[1]2026'!$T:$T,BD166,'[1]2026'!$S:$S,BH$3,'[1]2026'!$P:$P,AU166)</f>
        <v>0</v>
      </c>
      <c r="BI166" s="10">
        <f>SUMIFS('[1]2026'!$K:$K,'[1]2026'!$T:$T,$BD166,'[1]2026'!$S:$S,BI$3,'[1]2026'!$P:$P,$AU166)</f>
        <v>0</v>
      </c>
      <c r="BJ166" s="10">
        <f>SUMIFS('[1]2026'!$K:$K,'[1]2026'!$T:$T,$BD166,'[1]2026'!$S:$S,BJ$3,'[1]2026'!$P:$P,$AU166)</f>
        <v>0</v>
      </c>
      <c r="BK166" s="10">
        <f>SUMIFS('[1]2026'!$K:$K,'[1]2026'!$T:$T,$BD166,'[1]2026'!$S:$S,BK$3,'[1]2026'!$P:$P,$AU166)</f>
        <v>0</v>
      </c>
      <c r="BL166" s="6"/>
      <c r="BM166" s="10">
        <f>SUMIFS('[1]2026'!$K:$K,'[1]2026'!$T:$T,$BD166,'[1]2026'!$S:$S,BM$3,'[1]2026'!$P:$P,$AU166)</f>
        <v>0</v>
      </c>
      <c r="BN166" s="10">
        <f>SUMIFS('[1]2026'!$K:$K,'[1]2026'!$T:$T,$BD166,'[1]2026'!$S:$S,BN$3,'[1]2026'!$P:$P,$AU166)</f>
        <v>0</v>
      </c>
      <c r="BO166" s="10">
        <f>SUMIFS('[1]2026'!$K:$K,'[1]2026'!$T:$T,$BD166,'[1]2026'!$S:$S,BO$3,'[1]2026'!$P:$P,$AU166)</f>
        <v>0</v>
      </c>
      <c r="BP166" s="6"/>
      <c r="BQ166" s="6"/>
      <c r="BR166" s="6"/>
      <c r="BS166" s="6"/>
      <c r="BT166" s="6">
        <f t="shared" si="71"/>
        <v>0</v>
      </c>
      <c r="BV166" s="6">
        <f t="shared" si="74"/>
        <v>0</v>
      </c>
      <c r="BW166" s="6">
        <f t="shared" si="75"/>
        <v>-15000</v>
      </c>
      <c r="BX166" s="6">
        <f t="shared" si="76"/>
        <v>0</v>
      </c>
      <c r="BY166" s="6">
        <f t="shared" si="77"/>
        <v>0</v>
      </c>
      <c r="BZ166" s="6">
        <f t="shared" si="78"/>
        <v>0</v>
      </c>
      <c r="CA166" s="6">
        <f t="shared" si="79"/>
        <v>0</v>
      </c>
      <c r="CB166" s="6">
        <f t="shared" si="80"/>
        <v>0</v>
      </c>
      <c r="CC166" s="6">
        <f t="shared" si="81"/>
        <v>0</v>
      </c>
      <c r="CD166" s="6">
        <f t="shared" si="82"/>
        <v>0</v>
      </c>
      <c r="CE166" s="6">
        <f t="shared" si="83"/>
        <v>0</v>
      </c>
      <c r="CF166" s="6">
        <f t="shared" si="84"/>
        <v>0</v>
      </c>
      <c r="CG166" s="6">
        <f t="shared" si="85"/>
        <v>0</v>
      </c>
      <c r="CH166" s="6">
        <f t="shared" si="72"/>
        <v>-15000</v>
      </c>
    </row>
    <row r="167" spans="1:86" hidden="1" x14ac:dyDescent="0.35">
      <c r="A167" s="3" t="s">
        <v>470</v>
      </c>
      <c r="C167" s="10">
        <v>15000</v>
      </c>
      <c r="N167" s="27">
        <f t="shared" si="88"/>
        <v>15000</v>
      </c>
      <c r="AA167" s="27">
        <f t="shared" si="87"/>
        <v>0</v>
      </c>
      <c r="AB167" s="10">
        <f t="shared" si="86"/>
        <v>0</v>
      </c>
      <c r="AC167" s="10">
        <f t="shared" si="86"/>
        <v>15000</v>
      </c>
      <c r="AD167" s="10">
        <f t="shared" si="86"/>
        <v>0</v>
      </c>
      <c r="AE167" s="10">
        <f t="shared" si="86"/>
        <v>0</v>
      </c>
      <c r="AF167" s="10">
        <f t="shared" si="86"/>
        <v>0</v>
      </c>
      <c r="AG167" s="10">
        <f t="shared" si="86"/>
        <v>0</v>
      </c>
      <c r="AH167" s="10">
        <f t="shared" si="86"/>
        <v>0</v>
      </c>
      <c r="AI167" s="10">
        <f t="shared" si="86"/>
        <v>0</v>
      </c>
      <c r="AJ167" s="10">
        <f t="shared" si="73"/>
        <v>0</v>
      </c>
      <c r="AK167" s="10">
        <f t="shared" si="57"/>
        <v>0</v>
      </c>
      <c r="AL167" s="10">
        <f t="shared" si="57"/>
        <v>0</v>
      </c>
      <c r="AM167" s="10">
        <f t="shared" ref="AK167:AN230" si="89">M167-Z167</f>
        <v>0</v>
      </c>
      <c r="AN167" s="27">
        <f t="shared" si="89"/>
        <v>15000</v>
      </c>
      <c r="AS167" t="str">
        <f>_xlfn.XLOOKUP(AU167,[2]GAE!HZ:HZ,[2]GAE!IA:IA)</f>
        <v>ADMIN SERVICES</v>
      </c>
      <c r="AT167" t="str">
        <f>_xlfn.XLOOKUP(AU167,[2]GAE!HZ:HZ,[2]GAE!IB:IB)</f>
        <v>DOE - Insurance - Motor Car</v>
      </c>
      <c r="AU167" t="s">
        <v>415</v>
      </c>
      <c r="AV167">
        <v>81123102</v>
      </c>
      <c r="AW167">
        <v>52101112</v>
      </c>
      <c r="AX167" t="str">
        <f>_xlfn.XLOOKUP(AU167,[2]GAE!HZ:HZ,[2]GAE!IF:IF)</f>
        <v>Others</v>
      </c>
      <c r="AY167" t="str">
        <f>_xlfn.XLOOKUP(AU167,[2]GAE!HZ:HZ,[2]GAE!IG:IG)</f>
        <v>Insurance</v>
      </c>
      <c r="BF167" t="s">
        <v>24</v>
      </c>
      <c r="BG167" s="2" t="s">
        <v>24</v>
      </c>
      <c r="BH167" s="10">
        <f>SUMIFS('[1]2026'!$K:$K,'[1]2026'!$T:$T,BD167,'[1]2026'!$S:$S,BH$3,'[1]2026'!$P:$P,AU167)</f>
        <v>0</v>
      </c>
      <c r="BI167" s="10">
        <f>SUMIFS('[1]2026'!$K:$K,'[1]2026'!$T:$T,$BD167,'[1]2026'!$S:$S,BI$3,'[1]2026'!$P:$P,$AU167)</f>
        <v>0</v>
      </c>
      <c r="BJ167" s="10">
        <f>SUMIFS('[1]2026'!$K:$K,'[1]2026'!$T:$T,$BD167,'[1]2026'!$S:$S,BJ$3,'[1]2026'!$P:$P,$AU167)</f>
        <v>0</v>
      </c>
      <c r="BK167" s="10">
        <f>SUMIFS('[1]2026'!$K:$K,'[1]2026'!$T:$T,$BD167,'[1]2026'!$S:$S,BK$3,'[1]2026'!$P:$P,$AU167)</f>
        <v>0</v>
      </c>
      <c r="BL167" s="6"/>
      <c r="BM167" s="10">
        <f>SUMIFS('[1]2026'!$K:$K,'[1]2026'!$T:$T,$BD167,'[1]2026'!$S:$S,BM$3,'[1]2026'!$P:$P,$AU167)</f>
        <v>0</v>
      </c>
      <c r="BN167" s="10">
        <f>SUMIFS('[1]2026'!$K:$K,'[1]2026'!$T:$T,$BD167,'[1]2026'!$S:$S,BN$3,'[1]2026'!$P:$P,$AU167)</f>
        <v>0</v>
      </c>
      <c r="BO167" s="10">
        <f>SUMIFS('[1]2026'!$K:$K,'[1]2026'!$T:$T,$BD167,'[1]2026'!$S:$S,BO$3,'[1]2026'!$P:$P,$AU167)</f>
        <v>0</v>
      </c>
      <c r="BP167" s="6"/>
      <c r="BQ167" s="6"/>
      <c r="BR167" s="6"/>
      <c r="BS167" s="6"/>
      <c r="BT167" s="6">
        <f t="shared" si="71"/>
        <v>0</v>
      </c>
      <c r="BV167" s="6">
        <f t="shared" si="74"/>
        <v>0</v>
      </c>
      <c r="BW167" s="6">
        <f t="shared" si="75"/>
        <v>-15000</v>
      </c>
      <c r="BX167" s="6">
        <f t="shared" si="76"/>
        <v>0</v>
      </c>
      <c r="BY167" s="6">
        <f t="shared" si="77"/>
        <v>0</v>
      </c>
      <c r="BZ167" s="6">
        <f t="shared" si="78"/>
        <v>0</v>
      </c>
      <c r="CA167" s="6">
        <f t="shared" si="79"/>
        <v>0</v>
      </c>
      <c r="CB167" s="6">
        <f t="shared" si="80"/>
        <v>0</v>
      </c>
      <c r="CC167" s="6">
        <f t="shared" si="81"/>
        <v>0</v>
      </c>
      <c r="CD167" s="6">
        <f t="shared" si="82"/>
        <v>0</v>
      </c>
      <c r="CE167" s="6">
        <f t="shared" si="83"/>
        <v>0</v>
      </c>
      <c r="CF167" s="6">
        <f t="shared" si="84"/>
        <v>0</v>
      </c>
      <c r="CG167" s="6">
        <f t="shared" si="85"/>
        <v>0</v>
      </c>
      <c r="CH167" s="6">
        <f t="shared" si="72"/>
        <v>-15000</v>
      </c>
    </row>
    <row r="168" spans="1:86" hidden="1" x14ac:dyDescent="0.35">
      <c r="A168" s="3" t="s">
        <v>471</v>
      </c>
      <c r="C168" s="10">
        <v>15000</v>
      </c>
      <c r="N168" s="27">
        <f t="shared" si="88"/>
        <v>15000</v>
      </c>
      <c r="AA168" s="27">
        <f t="shared" si="87"/>
        <v>0</v>
      </c>
      <c r="AB168" s="10">
        <f t="shared" si="86"/>
        <v>0</v>
      </c>
      <c r="AC168" s="10">
        <f t="shared" si="86"/>
        <v>15000</v>
      </c>
      <c r="AD168" s="10">
        <f t="shared" si="86"/>
        <v>0</v>
      </c>
      <c r="AE168" s="10">
        <f t="shared" si="86"/>
        <v>0</v>
      </c>
      <c r="AF168" s="10">
        <f t="shared" si="86"/>
        <v>0</v>
      </c>
      <c r="AG168" s="10">
        <f t="shared" si="86"/>
        <v>0</v>
      </c>
      <c r="AH168" s="10">
        <f t="shared" si="86"/>
        <v>0</v>
      </c>
      <c r="AI168" s="10">
        <f t="shared" si="86"/>
        <v>0</v>
      </c>
      <c r="AJ168" s="10">
        <f t="shared" si="73"/>
        <v>0</v>
      </c>
      <c r="AK168" s="10">
        <f t="shared" si="89"/>
        <v>0</v>
      </c>
      <c r="AL168" s="10">
        <f t="shared" si="89"/>
        <v>0</v>
      </c>
      <c r="AM168" s="10">
        <f t="shared" si="89"/>
        <v>0</v>
      </c>
      <c r="AN168" s="27">
        <f t="shared" si="89"/>
        <v>15000</v>
      </c>
      <c r="AS168" t="str">
        <f>_xlfn.XLOOKUP(AU168,[2]GAE!HZ:HZ,[2]GAE!IA:IA)</f>
        <v>ADMIN SERVICES</v>
      </c>
      <c r="AT168" t="str">
        <f>_xlfn.XLOOKUP(AU168,[2]GAE!HZ:HZ,[2]GAE!IB:IB)</f>
        <v>DOE - Insurance - Motor Car</v>
      </c>
      <c r="AU168" t="s">
        <v>415</v>
      </c>
      <c r="AV168">
        <v>81123102</v>
      </c>
      <c r="AW168">
        <v>52101112</v>
      </c>
      <c r="AX168" t="str">
        <f>_xlfn.XLOOKUP(AU168,[2]GAE!HZ:HZ,[2]GAE!IF:IF)</f>
        <v>Others</v>
      </c>
      <c r="AY168" t="str">
        <f>_xlfn.XLOOKUP(AU168,[2]GAE!HZ:HZ,[2]GAE!IG:IG)</f>
        <v>Insurance</v>
      </c>
      <c r="BF168" t="s">
        <v>24</v>
      </c>
      <c r="BG168" s="2" t="s">
        <v>24</v>
      </c>
      <c r="BH168" s="10">
        <f>SUMIFS('[1]2026'!$K:$K,'[1]2026'!$T:$T,BD168,'[1]2026'!$S:$S,BH$3,'[1]2026'!$P:$P,AU168)</f>
        <v>0</v>
      </c>
      <c r="BI168" s="10">
        <f>SUMIFS('[1]2026'!$K:$K,'[1]2026'!$T:$T,$BD168,'[1]2026'!$S:$S,BI$3,'[1]2026'!$P:$P,$AU168)</f>
        <v>0</v>
      </c>
      <c r="BJ168" s="10">
        <f>SUMIFS('[1]2026'!$K:$K,'[1]2026'!$T:$T,$BD168,'[1]2026'!$S:$S,BJ$3,'[1]2026'!$P:$P,$AU168)</f>
        <v>0</v>
      </c>
      <c r="BK168" s="10">
        <f>SUMIFS('[1]2026'!$K:$K,'[1]2026'!$T:$T,$BD168,'[1]2026'!$S:$S,BK$3,'[1]2026'!$P:$P,$AU168)</f>
        <v>0</v>
      </c>
      <c r="BL168" s="6"/>
      <c r="BM168" s="10">
        <f>SUMIFS('[1]2026'!$K:$K,'[1]2026'!$T:$T,$BD168,'[1]2026'!$S:$S,BM$3,'[1]2026'!$P:$P,$AU168)</f>
        <v>0</v>
      </c>
      <c r="BN168" s="10">
        <f>SUMIFS('[1]2026'!$K:$K,'[1]2026'!$T:$T,$BD168,'[1]2026'!$S:$S,BN$3,'[1]2026'!$P:$P,$AU168)</f>
        <v>0</v>
      </c>
      <c r="BO168" s="10">
        <f>SUMIFS('[1]2026'!$K:$K,'[1]2026'!$T:$T,$BD168,'[1]2026'!$S:$S,BO$3,'[1]2026'!$P:$P,$AU168)</f>
        <v>0</v>
      </c>
      <c r="BP168" s="6"/>
      <c r="BQ168" s="6"/>
      <c r="BR168" s="6"/>
      <c r="BS168" s="6"/>
      <c r="BT168" s="6">
        <f t="shared" si="71"/>
        <v>0</v>
      </c>
      <c r="BV168" s="6">
        <f t="shared" si="74"/>
        <v>0</v>
      </c>
      <c r="BW168" s="6">
        <f t="shared" si="75"/>
        <v>-15000</v>
      </c>
      <c r="BX168" s="6">
        <f t="shared" si="76"/>
        <v>0</v>
      </c>
      <c r="BY168" s="6">
        <f t="shared" si="77"/>
        <v>0</v>
      </c>
      <c r="BZ168" s="6">
        <f t="shared" si="78"/>
        <v>0</v>
      </c>
      <c r="CA168" s="6">
        <f t="shared" si="79"/>
        <v>0</v>
      </c>
      <c r="CB168" s="6">
        <f t="shared" si="80"/>
        <v>0</v>
      </c>
      <c r="CC168" s="6">
        <f t="shared" si="81"/>
        <v>0</v>
      </c>
      <c r="CD168" s="6">
        <f t="shared" si="82"/>
        <v>0</v>
      </c>
      <c r="CE168" s="6">
        <f t="shared" si="83"/>
        <v>0</v>
      </c>
      <c r="CF168" s="6">
        <f t="shared" si="84"/>
        <v>0</v>
      </c>
      <c r="CG168" s="6">
        <f t="shared" si="85"/>
        <v>0</v>
      </c>
      <c r="CH168" s="6">
        <f t="shared" si="72"/>
        <v>-15000</v>
      </c>
    </row>
    <row r="169" spans="1:86" hidden="1" x14ac:dyDescent="0.35">
      <c r="A169" s="3" t="s">
        <v>472</v>
      </c>
      <c r="C169" s="10">
        <v>15000</v>
      </c>
      <c r="N169" s="27">
        <f t="shared" si="88"/>
        <v>15000</v>
      </c>
      <c r="AA169" s="27">
        <f t="shared" si="87"/>
        <v>0</v>
      </c>
      <c r="AB169" s="10">
        <f t="shared" si="86"/>
        <v>0</v>
      </c>
      <c r="AC169" s="10">
        <f t="shared" si="86"/>
        <v>15000</v>
      </c>
      <c r="AD169" s="10">
        <f t="shared" si="86"/>
        <v>0</v>
      </c>
      <c r="AE169" s="10">
        <f t="shared" si="86"/>
        <v>0</v>
      </c>
      <c r="AF169" s="10">
        <f t="shared" si="86"/>
        <v>0</v>
      </c>
      <c r="AG169" s="10">
        <f t="shared" si="86"/>
        <v>0</v>
      </c>
      <c r="AH169" s="10">
        <f t="shared" si="86"/>
        <v>0</v>
      </c>
      <c r="AI169" s="10">
        <f t="shared" si="86"/>
        <v>0</v>
      </c>
      <c r="AJ169" s="10">
        <f t="shared" si="73"/>
        <v>0</v>
      </c>
      <c r="AK169" s="10">
        <f t="shared" si="89"/>
        <v>0</v>
      </c>
      <c r="AL169" s="10">
        <f t="shared" si="89"/>
        <v>0</v>
      </c>
      <c r="AM169" s="10">
        <f t="shared" si="89"/>
        <v>0</v>
      </c>
      <c r="AN169" s="27">
        <f t="shared" si="89"/>
        <v>15000</v>
      </c>
      <c r="AS169" t="str">
        <f>_xlfn.XLOOKUP(AU169,[2]GAE!HZ:HZ,[2]GAE!IA:IA)</f>
        <v>ADMIN SERVICES</v>
      </c>
      <c r="AT169" t="str">
        <f>_xlfn.XLOOKUP(AU169,[2]GAE!HZ:HZ,[2]GAE!IB:IB)</f>
        <v>GAE - Insurance - Motor Car</v>
      </c>
      <c r="AU169" t="s">
        <v>424</v>
      </c>
      <c r="AV169">
        <v>80123102</v>
      </c>
      <c r="AW169">
        <v>61101104</v>
      </c>
      <c r="AX169" t="str">
        <f>_xlfn.XLOOKUP(AU169,[2]GAE!HZ:HZ,[2]GAE!IF:IF)</f>
        <v>Others</v>
      </c>
      <c r="AY169" t="str">
        <f>_xlfn.XLOOKUP(AU169,[2]GAE!HZ:HZ,[2]GAE!IG:IG)</f>
        <v>Insurance</v>
      </c>
      <c r="BC169" t="s">
        <v>24</v>
      </c>
      <c r="BD169" t="s">
        <v>473</v>
      </c>
      <c r="BF169" t="s">
        <v>24</v>
      </c>
      <c r="BG169" s="2" t="s">
        <v>24</v>
      </c>
      <c r="BH169" s="10">
        <f>SUMIFS('[1]2026'!$K:$K,'[1]2026'!$T:$T,BD169,'[1]2026'!$S:$S,BH$3,'[1]2026'!$P:$P,AU169)</f>
        <v>1502.2600000000002</v>
      </c>
      <c r="BI169" s="10">
        <f>SUMIFS('[1]2026'!$K:$K,'[1]2026'!$T:$T,$BD169,'[1]2026'!$S:$S,BI$3,'[1]2026'!$P:$P,$AU169)</f>
        <v>0</v>
      </c>
      <c r="BJ169" s="10">
        <f>SUMIFS('[1]2026'!$K:$K,'[1]2026'!$T:$T,$BD169,'[1]2026'!$S:$S,BJ$3,'[1]2026'!$P:$P,$AU169)</f>
        <v>0</v>
      </c>
      <c r="BK169" s="10">
        <f>SUMIFS('[1]2026'!$K:$K,'[1]2026'!$T:$T,$BD169,'[1]2026'!$S:$S,BK$3,'[1]2026'!$P:$P,$AU169)</f>
        <v>0</v>
      </c>
      <c r="BL169" s="6"/>
      <c r="BM169" s="10">
        <f>SUMIFS('[1]2026'!$K:$K,'[1]2026'!$T:$T,$BD169,'[1]2026'!$S:$S,BM$3,'[1]2026'!$P:$P,$AU169)</f>
        <v>0</v>
      </c>
      <c r="BN169" s="10">
        <f>SUMIFS('[1]2026'!$K:$K,'[1]2026'!$T:$T,$BD169,'[1]2026'!$S:$S,BN$3,'[1]2026'!$P:$P,$AU169)</f>
        <v>0</v>
      </c>
      <c r="BO169" s="10">
        <f>SUMIFS('[1]2026'!$K:$K,'[1]2026'!$T:$T,$BD169,'[1]2026'!$S:$S,BO$3,'[1]2026'!$P:$P,$AU169)</f>
        <v>0</v>
      </c>
      <c r="BP169" s="6"/>
      <c r="BQ169" s="6"/>
      <c r="BR169" s="6"/>
      <c r="BS169" s="6"/>
      <c r="BT169" s="6">
        <f t="shared" si="71"/>
        <v>1502.2600000000002</v>
      </c>
      <c r="BV169" s="6">
        <f t="shared" si="74"/>
        <v>1502.2600000000002</v>
      </c>
      <c r="BW169" s="6">
        <f t="shared" si="75"/>
        <v>-15000</v>
      </c>
      <c r="BX169" s="6">
        <f t="shared" si="76"/>
        <v>0</v>
      </c>
      <c r="BY169" s="6">
        <f t="shared" si="77"/>
        <v>0</v>
      </c>
      <c r="BZ169" s="6">
        <f t="shared" si="78"/>
        <v>0</v>
      </c>
      <c r="CA169" s="6">
        <f t="shared" si="79"/>
        <v>0</v>
      </c>
      <c r="CB169" s="6">
        <f t="shared" si="80"/>
        <v>0</v>
      </c>
      <c r="CC169" s="6">
        <f t="shared" si="81"/>
        <v>0</v>
      </c>
      <c r="CD169" s="6">
        <f t="shared" si="82"/>
        <v>0</v>
      </c>
      <c r="CE169" s="6">
        <f t="shared" si="83"/>
        <v>0</v>
      </c>
      <c r="CF169" s="6">
        <f t="shared" si="84"/>
        <v>0</v>
      </c>
      <c r="CG169" s="6">
        <f t="shared" si="85"/>
        <v>0</v>
      </c>
      <c r="CH169" s="6">
        <f t="shared" si="72"/>
        <v>-13497.74</v>
      </c>
    </row>
    <row r="170" spans="1:86" hidden="1" x14ac:dyDescent="0.35">
      <c r="A170" s="3" t="s">
        <v>474</v>
      </c>
      <c r="C170" s="10">
        <v>15000</v>
      </c>
      <c r="N170" s="27">
        <f t="shared" si="88"/>
        <v>15000</v>
      </c>
      <c r="AA170" s="27">
        <f t="shared" si="87"/>
        <v>0</v>
      </c>
      <c r="AB170" s="10">
        <f t="shared" si="86"/>
        <v>0</v>
      </c>
      <c r="AC170" s="10">
        <f t="shared" si="86"/>
        <v>15000</v>
      </c>
      <c r="AD170" s="10">
        <f t="shared" si="86"/>
        <v>0</v>
      </c>
      <c r="AE170" s="10">
        <f t="shared" si="86"/>
        <v>0</v>
      </c>
      <c r="AF170" s="10">
        <f t="shared" si="86"/>
        <v>0</v>
      </c>
      <c r="AG170" s="10">
        <f t="shared" si="86"/>
        <v>0</v>
      </c>
      <c r="AH170" s="10">
        <f t="shared" si="86"/>
        <v>0</v>
      </c>
      <c r="AI170" s="10">
        <f t="shared" si="86"/>
        <v>0</v>
      </c>
      <c r="AJ170" s="10">
        <f t="shared" si="73"/>
        <v>0</v>
      </c>
      <c r="AK170" s="10">
        <f t="shared" si="89"/>
        <v>0</v>
      </c>
      <c r="AL170" s="10">
        <f t="shared" si="89"/>
        <v>0</v>
      </c>
      <c r="AM170" s="10">
        <f t="shared" si="89"/>
        <v>0</v>
      </c>
      <c r="AN170" s="27">
        <f t="shared" si="89"/>
        <v>15000</v>
      </c>
      <c r="AS170" t="str">
        <f>_xlfn.XLOOKUP(AU170,[2]GAE!HZ:HZ,[2]GAE!IA:IA)</f>
        <v>ADMIN SERVICES</v>
      </c>
      <c r="AT170" t="str">
        <f>_xlfn.XLOOKUP(AU170,[2]GAE!HZ:HZ,[2]GAE!IB:IB)</f>
        <v>DOE - Insurance - Motor Car</v>
      </c>
      <c r="AU170" t="s">
        <v>415</v>
      </c>
      <c r="AV170">
        <v>81123102</v>
      </c>
      <c r="AW170">
        <v>52101112</v>
      </c>
      <c r="AX170" t="str">
        <f>_xlfn.XLOOKUP(AU170,[2]GAE!HZ:HZ,[2]GAE!IF:IF)</f>
        <v>Others</v>
      </c>
      <c r="AY170" t="str">
        <f>_xlfn.XLOOKUP(AU170,[2]GAE!HZ:HZ,[2]GAE!IG:IG)</f>
        <v>Insurance</v>
      </c>
      <c r="BF170" t="s">
        <v>24</v>
      </c>
      <c r="BG170" s="2" t="s">
        <v>24</v>
      </c>
      <c r="BH170" s="10">
        <f>SUMIFS('[1]2026'!$K:$K,'[1]2026'!$T:$T,BD170,'[1]2026'!$S:$S,BH$3,'[1]2026'!$P:$P,AU170)</f>
        <v>0</v>
      </c>
      <c r="BI170" s="10">
        <f>SUMIFS('[1]2026'!$K:$K,'[1]2026'!$T:$T,$BD170,'[1]2026'!$S:$S,BI$3,'[1]2026'!$P:$P,$AU170)</f>
        <v>0</v>
      </c>
      <c r="BJ170" s="10">
        <f>SUMIFS('[1]2026'!$K:$K,'[1]2026'!$T:$T,$BD170,'[1]2026'!$S:$S,BJ$3,'[1]2026'!$P:$P,$AU170)</f>
        <v>0</v>
      </c>
      <c r="BK170" s="10">
        <f>SUMIFS('[1]2026'!$K:$K,'[1]2026'!$T:$T,$BD170,'[1]2026'!$S:$S,BK$3,'[1]2026'!$P:$P,$AU170)</f>
        <v>0</v>
      </c>
      <c r="BL170" s="6"/>
      <c r="BM170" s="10">
        <f>SUMIFS('[1]2026'!$K:$K,'[1]2026'!$T:$T,$BD170,'[1]2026'!$S:$S,BM$3,'[1]2026'!$P:$P,$AU170)</f>
        <v>0</v>
      </c>
      <c r="BN170" s="10">
        <f>SUMIFS('[1]2026'!$K:$K,'[1]2026'!$T:$T,$BD170,'[1]2026'!$S:$S,BN$3,'[1]2026'!$P:$P,$AU170)</f>
        <v>0</v>
      </c>
      <c r="BO170" s="10">
        <f>SUMIFS('[1]2026'!$K:$K,'[1]2026'!$T:$T,$BD170,'[1]2026'!$S:$S,BO$3,'[1]2026'!$P:$P,$AU170)</f>
        <v>0</v>
      </c>
      <c r="BP170" s="6"/>
      <c r="BQ170" s="6"/>
      <c r="BR170" s="6"/>
      <c r="BS170" s="6"/>
      <c r="BT170" s="6">
        <f t="shared" si="71"/>
        <v>0</v>
      </c>
      <c r="BV170" s="6">
        <f t="shared" si="74"/>
        <v>0</v>
      </c>
      <c r="BW170" s="6">
        <f t="shared" si="75"/>
        <v>-15000</v>
      </c>
      <c r="BX170" s="6">
        <f t="shared" si="76"/>
        <v>0</v>
      </c>
      <c r="BY170" s="6">
        <f t="shared" si="77"/>
        <v>0</v>
      </c>
      <c r="BZ170" s="6">
        <f t="shared" si="78"/>
        <v>0</v>
      </c>
      <c r="CA170" s="6">
        <f t="shared" si="79"/>
        <v>0</v>
      </c>
      <c r="CB170" s="6">
        <f t="shared" si="80"/>
        <v>0</v>
      </c>
      <c r="CC170" s="6">
        <f t="shared" si="81"/>
        <v>0</v>
      </c>
      <c r="CD170" s="6">
        <f t="shared" si="82"/>
        <v>0</v>
      </c>
      <c r="CE170" s="6">
        <f t="shared" si="83"/>
        <v>0</v>
      </c>
      <c r="CF170" s="6">
        <f t="shared" si="84"/>
        <v>0</v>
      </c>
      <c r="CG170" s="6">
        <f t="shared" si="85"/>
        <v>0</v>
      </c>
      <c r="CH170" s="6">
        <f t="shared" si="72"/>
        <v>-15000</v>
      </c>
    </row>
    <row r="171" spans="1:86" hidden="1" x14ac:dyDescent="0.35">
      <c r="A171" s="3" t="s">
        <v>475</v>
      </c>
      <c r="C171" s="10">
        <v>15000</v>
      </c>
      <c r="N171" s="27">
        <f t="shared" si="88"/>
        <v>15000</v>
      </c>
      <c r="AA171" s="27">
        <f t="shared" si="87"/>
        <v>0</v>
      </c>
      <c r="AB171" s="10">
        <f t="shared" si="86"/>
        <v>0</v>
      </c>
      <c r="AC171" s="10">
        <f t="shared" si="86"/>
        <v>15000</v>
      </c>
      <c r="AD171" s="10">
        <f t="shared" si="86"/>
        <v>0</v>
      </c>
      <c r="AE171" s="10">
        <f t="shared" si="86"/>
        <v>0</v>
      </c>
      <c r="AF171" s="10">
        <f t="shared" si="86"/>
        <v>0</v>
      </c>
      <c r="AG171" s="10">
        <f t="shared" si="86"/>
        <v>0</v>
      </c>
      <c r="AH171" s="10">
        <f t="shared" si="86"/>
        <v>0</v>
      </c>
      <c r="AI171" s="10">
        <f t="shared" si="86"/>
        <v>0</v>
      </c>
      <c r="AJ171" s="10">
        <f t="shared" si="73"/>
        <v>0</v>
      </c>
      <c r="AK171" s="10">
        <f t="shared" si="89"/>
        <v>0</v>
      </c>
      <c r="AL171" s="10">
        <f t="shared" si="89"/>
        <v>0</v>
      </c>
      <c r="AM171" s="10">
        <f t="shared" si="89"/>
        <v>0</v>
      </c>
      <c r="AN171" s="27">
        <f t="shared" si="89"/>
        <v>15000</v>
      </c>
      <c r="AS171" t="str">
        <f>_xlfn.XLOOKUP(AU171,[2]GAE!HZ:HZ,[2]GAE!IA:IA)</f>
        <v>ADMIN SERVICES</v>
      </c>
      <c r="AT171" t="str">
        <f>_xlfn.XLOOKUP(AU171,[2]GAE!HZ:HZ,[2]GAE!IB:IB)</f>
        <v>DOE - Insurance - Motor Car</v>
      </c>
      <c r="AU171" t="s">
        <v>415</v>
      </c>
      <c r="AV171">
        <v>81123102</v>
      </c>
      <c r="AW171">
        <v>52101112</v>
      </c>
      <c r="AX171" t="str">
        <f>_xlfn.XLOOKUP(AU171,[2]GAE!HZ:HZ,[2]GAE!IF:IF)</f>
        <v>Others</v>
      </c>
      <c r="AY171" t="str">
        <f>_xlfn.XLOOKUP(AU171,[2]GAE!HZ:HZ,[2]GAE!IG:IG)</f>
        <v>Insurance</v>
      </c>
      <c r="BF171" t="s">
        <v>24</v>
      </c>
      <c r="BG171" s="2" t="s">
        <v>24</v>
      </c>
      <c r="BH171" s="10">
        <f>SUMIFS('[1]2026'!$K:$K,'[1]2026'!$T:$T,BD171,'[1]2026'!$S:$S,BH$3,'[1]2026'!$P:$P,AU171)</f>
        <v>0</v>
      </c>
      <c r="BI171" s="10">
        <f>SUMIFS('[1]2026'!$K:$K,'[1]2026'!$T:$T,$BD171,'[1]2026'!$S:$S,BI$3,'[1]2026'!$P:$P,$AU171)</f>
        <v>0</v>
      </c>
      <c r="BJ171" s="10">
        <f>SUMIFS('[1]2026'!$K:$K,'[1]2026'!$T:$T,$BD171,'[1]2026'!$S:$S,BJ$3,'[1]2026'!$P:$P,$AU171)</f>
        <v>0</v>
      </c>
      <c r="BK171" s="10">
        <f>SUMIFS('[1]2026'!$K:$K,'[1]2026'!$T:$T,$BD171,'[1]2026'!$S:$S,BK$3,'[1]2026'!$P:$P,$AU171)</f>
        <v>0</v>
      </c>
      <c r="BL171" s="6"/>
      <c r="BM171" s="10">
        <f>SUMIFS('[1]2026'!$K:$K,'[1]2026'!$T:$T,$BD171,'[1]2026'!$S:$S,BM$3,'[1]2026'!$P:$P,$AU171)</f>
        <v>0</v>
      </c>
      <c r="BN171" s="10">
        <f>SUMIFS('[1]2026'!$K:$K,'[1]2026'!$T:$T,$BD171,'[1]2026'!$S:$S,BN$3,'[1]2026'!$P:$P,$AU171)</f>
        <v>0</v>
      </c>
      <c r="BO171" s="10">
        <f>SUMIFS('[1]2026'!$K:$K,'[1]2026'!$T:$T,$BD171,'[1]2026'!$S:$S,BO$3,'[1]2026'!$P:$P,$AU171)</f>
        <v>0</v>
      </c>
      <c r="BP171" s="6"/>
      <c r="BQ171" s="6"/>
      <c r="BR171" s="6"/>
      <c r="BS171" s="6"/>
      <c r="BT171" s="6">
        <f t="shared" si="71"/>
        <v>0</v>
      </c>
      <c r="BV171" s="6">
        <f t="shared" si="74"/>
        <v>0</v>
      </c>
      <c r="BW171" s="6">
        <f t="shared" si="75"/>
        <v>-15000</v>
      </c>
      <c r="BX171" s="6">
        <f t="shared" si="76"/>
        <v>0</v>
      </c>
      <c r="BY171" s="6">
        <f t="shared" si="77"/>
        <v>0</v>
      </c>
      <c r="BZ171" s="6">
        <f t="shared" si="78"/>
        <v>0</v>
      </c>
      <c r="CA171" s="6">
        <f t="shared" si="79"/>
        <v>0</v>
      </c>
      <c r="CB171" s="6">
        <f t="shared" si="80"/>
        <v>0</v>
      </c>
      <c r="CC171" s="6">
        <f t="shared" si="81"/>
        <v>0</v>
      </c>
      <c r="CD171" s="6">
        <f t="shared" si="82"/>
        <v>0</v>
      </c>
      <c r="CE171" s="6">
        <f t="shared" si="83"/>
        <v>0</v>
      </c>
      <c r="CF171" s="6">
        <f t="shared" si="84"/>
        <v>0</v>
      </c>
      <c r="CG171" s="6">
        <f t="shared" si="85"/>
        <v>0</v>
      </c>
      <c r="CH171" s="6">
        <f t="shared" si="72"/>
        <v>-15000</v>
      </c>
    </row>
    <row r="172" spans="1:86" hidden="1" x14ac:dyDescent="0.35">
      <c r="A172" s="3" t="s">
        <v>476</v>
      </c>
      <c r="C172" s="10">
        <v>15000</v>
      </c>
      <c r="N172" s="27">
        <f t="shared" si="88"/>
        <v>15000</v>
      </c>
      <c r="AA172" s="27">
        <f t="shared" si="87"/>
        <v>0</v>
      </c>
      <c r="AB172" s="10">
        <f t="shared" si="86"/>
        <v>0</v>
      </c>
      <c r="AC172" s="10">
        <f t="shared" si="86"/>
        <v>15000</v>
      </c>
      <c r="AD172" s="10">
        <f t="shared" si="86"/>
        <v>0</v>
      </c>
      <c r="AE172" s="10">
        <f t="shared" si="86"/>
        <v>0</v>
      </c>
      <c r="AF172" s="10">
        <f t="shared" si="86"/>
        <v>0</v>
      </c>
      <c r="AG172" s="10">
        <f t="shared" si="86"/>
        <v>0</v>
      </c>
      <c r="AH172" s="10">
        <f t="shared" si="86"/>
        <v>0</v>
      </c>
      <c r="AI172" s="10">
        <f t="shared" si="86"/>
        <v>0</v>
      </c>
      <c r="AJ172" s="10">
        <f t="shared" si="73"/>
        <v>0</v>
      </c>
      <c r="AK172" s="10">
        <f t="shared" si="89"/>
        <v>0</v>
      </c>
      <c r="AL172" s="10">
        <f t="shared" si="89"/>
        <v>0</v>
      </c>
      <c r="AM172" s="10">
        <f t="shared" si="89"/>
        <v>0</v>
      </c>
      <c r="AN172" s="27">
        <f t="shared" si="89"/>
        <v>15000</v>
      </c>
      <c r="AS172" t="str">
        <f>_xlfn.XLOOKUP(AU172,[2]GAE!HZ:HZ,[2]GAE!IA:IA)</f>
        <v>ADMIN SERVICES</v>
      </c>
      <c r="AT172" t="str">
        <f>_xlfn.XLOOKUP(AU172,[2]GAE!HZ:HZ,[2]GAE!IB:IB)</f>
        <v>DOE - Insurance - Motor Car</v>
      </c>
      <c r="AU172" t="s">
        <v>415</v>
      </c>
      <c r="AV172">
        <v>81123102</v>
      </c>
      <c r="AW172">
        <v>52101112</v>
      </c>
      <c r="AX172" t="str">
        <f>_xlfn.XLOOKUP(AU172,[2]GAE!HZ:HZ,[2]GAE!IF:IF)</f>
        <v>Others</v>
      </c>
      <c r="AY172" t="str">
        <f>_xlfn.XLOOKUP(AU172,[2]GAE!HZ:HZ,[2]GAE!IG:IG)</f>
        <v>Insurance</v>
      </c>
      <c r="BF172" t="s">
        <v>24</v>
      </c>
      <c r="BG172" s="2" t="s">
        <v>24</v>
      </c>
      <c r="BH172" s="10">
        <f>SUMIFS('[1]2026'!$K:$K,'[1]2026'!$T:$T,BD172,'[1]2026'!$S:$S,BH$3,'[1]2026'!$P:$P,AU172)</f>
        <v>0</v>
      </c>
      <c r="BI172" s="10">
        <f>SUMIFS('[1]2026'!$K:$K,'[1]2026'!$T:$T,$BD172,'[1]2026'!$S:$S,BI$3,'[1]2026'!$P:$P,$AU172)</f>
        <v>0</v>
      </c>
      <c r="BJ172" s="10">
        <f>SUMIFS('[1]2026'!$K:$K,'[1]2026'!$T:$T,$BD172,'[1]2026'!$S:$S,BJ$3,'[1]2026'!$P:$P,$AU172)</f>
        <v>0</v>
      </c>
      <c r="BK172" s="10">
        <f>SUMIFS('[1]2026'!$K:$K,'[1]2026'!$T:$T,$BD172,'[1]2026'!$S:$S,BK$3,'[1]2026'!$P:$P,$AU172)</f>
        <v>0</v>
      </c>
      <c r="BL172" s="6"/>
      <c r="BM172" s="10">
        <f>SUMIFS('[1]2026'!$K:$K,'[1]2026'!$T:$T,$BD172,'[1]2026'!$S:$S,BM$3,'[1]2026'!$P:$P,$AU172)</f>
        <v>0</v>
      </c>
      <c r="BN172" s="10">
        <f>SUMIFS('[1]2026'!$K:$K,'[1]2026'!$T:$T,$BD172,'[1]2026'!$S:$S,BN$3,'[1]2026'!$P:$P,$AU172)</f>
        <v>0</v>
      </c>
      <c r="BO172" s="10">
        <f>SUMIFS('[1]2026'!$K:$K,'[1]2026'!$T:$T,$BD172,'[1]2026'!$S:$S,BO$3,'[1]2026'!$P:$P,$AU172)</f>
        <v>0</v>
      </c>
      <c r="BP172" s="6"/>
      <c r="BQ172" s="6"/>
      <c r="BR172" s="6"/>
      <c r="BS172" s="6"/>
      <c r="BT172" s="6">
        <f t="shared" si="71"/>
        <v>0</v>
      </c>
      <c r="BV172" s="6">
        <f t="shared" si="74"/>
        <v>0</v>
      </c>
      <c r="BW172" s="6">
        <f t="shared" si="75"/>
        <v>-15000</v>
      </c>
      <c r="BX172" s="6">
        <f t="shared" si="76"/>
        <v>0</v>
      </c>
      <c r="BY172" s="6">
        <f t="shared" si="77"/>
        <v>0</v>
      </c>
      <c r="BZ172" s="6">
        <f t="shared" si="78"/>
        <v>0</v>
      </c>
      <c r="CA172" s="6">
        <f t="shared" si="79"/>
        <v>0</v>
      </c>
      <c r="CB172" s="6">
        <f t="shared" si="80"/>
        <v>0</v>
      </c>
      <c r="CC172" s="6">
        <f t="shared" si="81"/>
        <v>0</v>
      </c>
      <c r="CD172" s="6">
        <f t="shared" si="82"/>
        <v>0</v>
      </c>
      <c r="CE172" s="6">
        <f t="shared" si="83"/>
        <v>0</v>
      </c>
      <c r="CF172" s="6">
        <f t="shared" si="84"/>
        <v>0</v>
      </c>
      <c r="CG172" s="6">
        <f t="shared" si="85"/>
        <v>0</v>
      </c>
      <c r="CH172" s="6">
        <f t="shared" si="72"/>
        <v>-15000</v>
      </c>
    </row>
    <row r="173" spans="1:86" hidden="1" x14ac:dyDescent="0.35">
      <c r="A173" s="3" t="s">
        <v>477</v>
      </c>
      <c r="G173" s="10">
        <v>15000</v>
      </c>
      <c r="N173" s="27">
        <f t="shared" si="88"/>
        <v>15000</v>
      </c>
      <c r="AA173" s="27">
        <f t="shared" si="87"/>
        <v>0</v>
      </c>
      <c r="AB173" s="10">
        <f t="shared" si="86"/>
        <v>0</v>
      </c>
      <c r="AC173" s="10">
        <f t="shared" si="86"/>
        <v>0</v>
      </c>
      <c r="AD173" s="10">
        <f t="shared" si="86"/>
        <v>0</v>
      </c>
      <c r="AE173" s="10">
        <f t="shared" si="86"/>
        <v>0</v>
      </c>
      <c r="AF173" s="10">
        <f t="shared" si="86"/>
        <v>0</v>
      </c>
      <c r="AG173" s="10">
        <f t="shared" si="86"/>
        <v>15000</v>
      </c>
      <c r="AH173" s="10">
        <f t="shared" si="86"/>
        <v>0</v>
      </c>
      <c r="AI173" s="10">
        <f t="shared" si="86"/>
        <v>0</v>
      </c>
      <c r="AJ173" s="10">
        <f t="shared" si="73"/>
        <v>0</v>
      </c>
      <c r="AK173" s="10">
        <f t="shared" si="89"/>
        <v>0</v>
      </c>
      <c r="AL173" s="10">
        <f t="shared" si="89"/>
        <v>0</v>
      </c>
      <c r="AM173" s="10">
        <f t="shared" si="89"/>
        <v>0</v>
      </c>
      <c r="AN173" s="27">
        <f t="shared" si="89"/>
        <v>15000</v>
      </c>
      <c r="AS173" t="str">
        <f>_xlfn.XLOOKUP(AU173,[2]GAE!HZ:HZ,[2]GAE!IA:IA)</f>
        <v>ADMIN SERVICES</v>
      </c>
      <c r="AT173" t="str">
        <f>_xlfn.XLOOKUP(AU173,[2]GAE!HZ:HZ,[2]GAE!IB:IB)</f>
        <v>GAE - Insurance - Motor Car</v>
      </c>
      <c r="AU173" t="s">
        <v>424</v>
      </c>
      <c r="AV173">
        <v>80123102</v>
      </c>
      <c r="AW173">
        <v>61101104</v>
      </c>
      <c r="AX173" t="str">
        <f>_xlfn.XLOOKUP(AU173,[2]GAE!HZ:HZ,[2]GAE!IF:IF)</f>
        <v>Others</v>
      </c>
      <c r="AY173" t="str">
        <f>_xlfn.XLOOKUP(AU173,[2]GAE!HZ:HZ,[2]GAE!IG:IG)</f>
        <v>Insurance</v>
      </c>
      <c r="BC173" t="s">
        <v>24</v>
      </c>
      <c r="BD173" t="s">
        <v>478</v>
      </c>
      <c r="BF173" t="s">
        <v>24</v>
      </c>
      <c r="BG173" s="2" t="s">
        <v>24</v>
      </c>
      <c r="BH173" s="10">
        <f>SUMIFS('[1]2026'!$K:$K,'[1]2026'!$T:$T,BD173,'[1]2026'!$S:$S,BH$3,'[1]2026'!$P:$P,AU173)</f>
        <v>75334.399999999994</v>
      </c>
      <c r="BI173" s="10">
        <f>SUMIFS('[1]2026'!$K:$K,'[1]2026'!$T:$T,$BD173,'[1]2026'!$S:$S,BI$3,'[1]2026'!$P:$P,$AU173)</f>
        <v>4363.289999999979</v>
      </c>
      <c r="BJ173" s="10">
        <f>SUMIFS('[1]2026'!$K:$K,'[1]2026'!$T:$T,$BD173,'[1]2026'!$S:$S,BJ$3,'[1]2026'!$P:$P,$AU173)</f>
        <v>91889.290000000008</v>
      </c>
      <c r="BK173" s="10">
        <f>SUMIFS('[1]2026'!$K:$K,'[1]2026'!$T:$T,$BD173,'[1]2026'!$S:$S,BK$3,'[1]2026'!$P:$P,$AU173)</f>
        <v>86396.669999999984</v>
      </c>
      <c r="BL173" s="10">
        <f>SUMIFS('[1]2026'!$K:$K,'[1]2026'!$T:$T,$BD173,'[1]2026'!$S:$S,BL$3,'[1]2026'!$P:$P,$AU173)</f>
        <v>81353.47</v>
      </c>
      <c r="BM173" s="10">
        <f>SUMIFS('[1]2026'!$K:$K,'[1]2026'!$T:$T,$BD173,'[1]2026'!$S:$S,BM$3,'[1]2026'!$P:$P,$AU173)</f>
        <v>88471.430000000008</v>
      </c>
      <c r="BN173" s="10">
        <f>SUMIFS('[1]2026'!$K:$K,'[1]2026'!$T:$T,$BD173,'[1]2026'!$S:$S,BN$3,'[1]2026'!$P:$P,$AU173)</f>
        <v>81353.47</v>
      </c>
      <c r="BO173" s="10">
        <f>SUMIFS('[1]2026'!$K:$K,'[1]2026'!$T:$T,$BD173,'[1]2026'!$S:$S,BO$3,'[1]2026'!$P:$P,$AU173)</f>
        <v>81353.47</v>
      </c>
      <c r="BP173" s="6"/>
      <c r="BQ173" s="6"/>
      <c r="BR173" s="6"/>
      <c r="BS173" s="6"/>
      <c r="BT173" s="6">
        <f t="shared" si="71"/>
        <v>590515.49</v>
      </c>
      <c r="BV173" s="6">
        <f t="shared" si="74"/>
        <v>75334.399999999994</v>
      </c>
      <c r="BW173" s="6">
        <f t="shared" si="75"/>
        <v>4363.289999999979</v>
      </c>
      <c r="BX173" s="6">
        <f t="shared" si="76"/>
        <v>91889.290000000008</v>
      </c>
      <c r="BY173" s="6">
        <f t="shared" si="77"/>
        <v>86396.669999999984</v>
      </c>
      <c r="BZ173" s="6">
        <f t="shared" si="78"/>
        <v>81353.47</v>
      </c>
      <c r="CA173" s="6">
        <f t="shared" si="79"/>
        <v>73471.430000000008</v>
      </c>
      <c r="CB173" s="6">
        <f t="shared" si="80"/>
        <v>81353.47</v>
      </c>
      <c r="CC173" s="6">
        <f t="shared" si="81"/>
        <v>81353.47</v>
      </c>
      <c r="CD173" s="6">
        <f t="shared" si="82"/>
        <v>0</v>
      </c>
      <c r="CE173" s="6">
        <f t="shared" si="83"/>
        <v>0</v>
      </c>
      <c r="CF173" s="6">
        <f t="shared" si="84"/>
        <v>0</v>
      </c>
      <c r="CG173" s="6">
        <f t="shared" si="85"/>
        <v>0</v>
      </c>
      <c r="CH173" s="6">
        <f t="shared" si="72"/>
        <v>575515.49</v>
      </c>
    </row>
    <row r="174" spans="1:86" hidden="1" x14ac:dyDescent="0.35">
      <c r="A174" s="3" t="s">
        <v>477</v>
      </c>
      <c r="G174" s="10">
        <v>15000</v>
      </c>
      <c r="N174" s="27">
        <f t="shared" si="88"/>
        <v>15000</v>
      </c>
      <c r="AA174" s="27">
        <f t="shared" si="87"/>
        <v>0</v>
      </c>
      <c r="AB174" s="10">
        <f t="shared" si="86"/>
        <v>0</v>
      </c>
      <c r="AC174" s="10">
        <f t="shared" si="86"/>
        <v>0</v>
      </c>
      <c r="AD174" s="10">
        <f t="shared" si="86"/>
        <v>0</v>
      </c>
      <c r="AE174" s="10">
        <f t="shared" si="86"/>
        <v>0</v>
      </c>
      <c r="AF174" s="10">
        <f t="shared" si="86"/>
        <v>0</v>
      </c>
      <c r="AG174" s="10">
        <f t="shared" si="86"/>
        <v>15000</v>
      </c>
      <c r="AH174" s="10">
        <f t="shared" si="86"/>
        <v>0</v>
      </c>
      <c r="AI174" s="10">
        <f t="shared" si="86"/>
        <v>0</v>
      </c>
      <c r="AJ174" s="10">
        <f t="shared" si="73"/>
        <v>0</v>
      </c>
      <c r="AK174" s="10">
        <f t="shared" si="89"/>
        <v>0</v>
      </c>
      <c r="AL174" s="10">
        <f t="shared" si="89"/>
        <v>0</v>
      </c>
      <c r="AM174" s="10">
        <f t="shared" si="89"/>
        <v>0</v>
      </c>
      <c r="AN174" s="27">
        <f t="shared" si="89"/>
        <v>15000</v>
      </c>
      <c r="AS174" t="str">
        <f>_xlfn.XLOOKUP(AU174,[2]GAE!HZ:HZ,[2]GAE!IA:IA)</f>
        <v>ADMIN SERVICES</v>
      </c>
      <c r="AT174" t="str">
        <f>_xlfn.XLOOKUP(AU174,[2]GAE!HZ:HZ,[2]GAE!IB:IB)</f>
        <v>GAE - Insurance - Motor Car</v>
      </c>
      <c r="AU174" t="s">
        <v>424</v>
      </c>
      <c r="AV174">
        <v>80123102</v>
      </c>
      <c r="AW174">
        <v>61101104</v>
      </c>
      <c r="AX174" t="str">
        <f>_xlfn.XLOOKUP(AU174,[2]GAE!HZ:HZ,[2]GAE!IF:IF)</f>
        <v>Others</v>
      </c>
      <c r="AY174" t="str">
        <f>_xlfn.XLOOKUP(AU174,[2]GAE!HZ:HZ,[2]GAE!IG:IG)</f>
        <v>Insurance</v>
      </c>
      <c r="BF174" t="s">
        <v>24</v>
      </c>
      <c r="BG174" s="2" t="s">
        <v>24</v>
      </c>
      <c r="BH174" s="10">
        <f>SUMIFS('[1]2026'!$K:$K,'[1]2026'!$T:$T,BD174,'[1]2026'!$S:$S,BH$3,'[1]2026'!$P:$P,AU174)</f>
        <v>0</v>
      </c>
      <c r="BI174" s="10">
        <f>SUMIFS('[1]2026'!$K:$K,'[1]2026'!$T:$T,$BD174,'[1]2026'!$S:$S,BI$3,'[1]2026'!$P:$P,$AU174)</f>
        <v>0</v>
      </c>
      <c r="BJ174" s="10">
        <f>SUMIFS('[1]2026'!$K:$K,'[1]2026'!$T:$T,$BD174,'[1]2026'!$S:$S,BJ$3,'[1]2026'!$P:$P,$AU174)</f>
        <v>0</v>
      </c>
      <c r="BK174" s="10">
        <f>SUMIFS('[1]2026'!$K:$K,'[1]2026'!$T:$T,$BD174,'[1]2026'!$S:$S,BK$3,'[1]2026'!$P:$P,$AU174)</f>
        <v>0</v>
      </c>
      <c r="BL174" s="6"/>
      <c r="BM174" s="10">
        <f>SUMIFS('[1]2026'!$K:$K,'[1]2026'!$T:$T,$BD174,'[1]2026'!$S:$S,BM$3,'[1]2026'!$P:$P,$AU174)</f>
        <v>0</v>
      </c>
      <c r="BN174" s="10">
        <f>SUMIFS('[1]2026'!$K:$K,'[1]2026'!$T:$T,$BD174,'[1]2026'!$S:$S,BN$3,'[1]2026'!$P:$P,$AU174)</f>
        <v>0</v>
      </c>
      <c r="BO174" s="10">
        <f>SUMIFS('[1]2026'!$K:$K,'[1]2026'!$T:$T,$BD174,'[1]2026'!$S:$S,BO$3,'[1]2026'!$P:$P,$AU174)</f>
        <v>0</v>
      </c>
      <c r="BP174" s="6"/>
      <c r="BQ174" s="6"/>
      <c r="BR174" s="6"/>
      <c r="BS174" s="6"/>
      <c r="BT174" s="6">
        <f t="shared" si="71"/>
        <v>0</v>
      </c>
      <c r="BV174" s="6">
        <f t="shared" si="74"/>
        <v>0</v>
      </c>
      <c r="BW174" s="6">
        <f t="shared" si="75"/>
        <v>0</v>
      </c>
      <c r="BX174" s="6">
        <f t="shared" si="76"/>
        <v>0</v>
      </c>
      <c r="BY174" s="6">
        <f t="shared" si="77"/>
        <v>0</v>
      </c>
      <c r="BZ174" s="6">
        <f t="shared" si="78"/>
        <v>0</v>
      </c>
      <c r="CA174" s="6">
        <f t="shared" si="79"/>
        <v>-15000</v>
      </c>
      <c r="CB174" s="6">
        <f t="shared" si="80"/>
        <v>0</v>
      </c>
      <c r="CC174" s="6">
        <f t="shared" si="81"/>
        <v>0</v>
      </c>
      <c r="CD174" s="6">
        <f t="shared" si="82"/>
        <v>0</v>
      </c>
      <c r="CE174" s="6">
        <f t="shared" si="83"/>
        <v>0</v>
      </c>
      <c r="CF174" s="6">
        <f t="shared" si="84"/>
        <v>0</v>
      </c>
      <c r="CG174" s="6">
        <f t="shared" si="85"/>
        <v>0</v>
      </c>
      <c r="CH174" s="6">
        <f t="shared" si="72"/>
        <v>-15000</v>
      </c>
    </row>
    <row r="175" spans="1:86" hidden="1" x14ac:dyDescent="0.35">
      <c r="A175" s="3" t="s">
        <v>477</v>
      </c>
      <c r="G175" s="10">
        <v>15000</v>
      </c>
      <c r="N175" s="27">
        <f t="shared" si="88"/>
        <v>15000</v>
      </c>
      <c r="AA175" s="27">
        <f t="shared" si="87"/>
        <v>0</v>
      </c>
      <c r="AB175" s="10">
        <f t="shared" si="86"/>
        <v>0</v>
      </c>
      <c r="AC175" s="10">
        <f t="shared" si="86"/>
        <v>0</v>
      </c>
      <c r="AD175" s="10">
        <f t="shared" si="86"/>
        <v>0</v>
      </c>
      <c r="AE175" s="10">
        <f t="shared" si="86"/>
        <v>0</v>
      </c>
      <c r="AF175" s="10">
        <f t="shared" si="86"/>
        <v>0</v>
      </c>
      <c r="AG175" s="10">
        <f t="shared" si="86"/>
        <v>15000</v>
      </c>
      <c r="AH175" s="10">
        <f t="shared" si="86"/>
        <v>0</v>
      </c>
      <c r="AI175" s="10">
        <f t="shared" si="86"/>
        <v>0</v>
      </c>
      <c r="AJ175" s="10">
        <f t="shared" si="73"/>
        <v>0</v>
      </c>
      <c r="AK175" s="10">
        <f t="shared" si="89"/>
        <v>0</v>
      </c>
      <c r="AL175" s="10">
        <f t="shared" si="89"/>
        <v>0</v>
      </c>
      <c r="AM175" s="10">
        <f t="shared" si="89"/>
        <v>0</v>
      </c>
      <c r="AN175" s="27">
        <f t="shared" si="89"/>
        <v>15000</v>
      </c>
      <c r="AS175" t="str">
        <f>_xlfn.XLOOKUP(AU175,[2]GAE!HZ:HZ,[2]GAE!IA:IA)</f>
        <v>ADMIN SERVICES</v>
      </c>
      <c r="AT175" t="str">
        <f>_xlfn.XLOOKUP(AU175,[2]GAE!HZ:HZ,[2]GAE!IB:IB)</f>
        <v>GAE - Insurance - Motor Car</v>
      </c>
      <c r="AU175" t="s">
        <v>424</v>
      </c>
      <c r="AV175">
        <v>80123102</v>
      </c>
      <c r="AW175">
        <v>61101104</v>
      </c>
      <c r="AX175" t="str">
        <f>_xlfn.XLOOKUP(AU175,[2]GAE!HZ:HZ,[2]GAE!IF:IF)</f>
        <v>Others</v>
      </c>
      <c r="AY175" t="str">
        <f>_xlfn.XLOOKUP(AU175,[2]GAE!HZ:HZ,[2]GAE!IG:IG)</f>
        <v>Insurance</v>
      </c>
      <c r="BF175" t="s">
        <v>24</v>
      </c>
      <c r="BG175" s="2" t="s">
        <v>24</v>
      </c>
      <c r="BH175" s="10">
        <f>SUMIFS('[1]2026'!$K:$K,'[1]2026'!$T:$T,BD175,'[1]2026'!$S:$S,BH$3,'[1]2026'!$P:$P,AU175)</f>
        <v>0</v>
      </c>
      <c r="BI175" s="10">
        <f>SUMIFS('[1]2026'!$K:$K,'[1]2026'!$T:$T,$BD175,'[1]2026'!$S:$S,BI$3,'[1]2026'!$P:$P,$AU175)</f>
        <v>0</v>
      </c>
      <c r="BJ175" s="10">
        <f>SUMIFS('[1]2026'!$K:$K,'[1]2026'!$T:$T,$BD175,'[1]2026'!$S:$S,BJ$3,'[1]2026'!$P:$P,$AU175)</f>
        <v>0</v>
      </c>
      <c r="BK175" s="10">
        <f>SUMIFS('[1]2026'!$K:$K,'[1]2026'!$T:$T,$BD175,'[1]2026'!$S:$S,BK$3,'[1]2026'!$P:$P,$AU175)</f>
        <v>0</v>
      </c>
      <c r="BL175" s="6"/>
      <c r="BM175" s="10">
        <f>SUMIFS('[1]2026'!$K:$K,'[1]2026'!$T:$T,$BD175,'[1]2026'!$S:$S,BM$3,'[1]2026'!$P:$P,$AU175)</f>
        <v>0</v>
      </c>
      <c r="BN175" s="10">
        <f>SUMIFS('[1]2026'!$K:$K,'[1]2026'!$T:$T,$BD175,'[1]2026'!$S:$S,BN$3,'[1]2026'!$P:$P,$AU175)</f>
        <v>0</v>
      </c>
      <c r="BO175" s="10">
        <f>SUMIFS('[1]2026'!$K:$K,'[1]2026'!$T:$T,$BD175,'[1]2026'!$S:$S,BO$3,'[1]2026'!$P:$P,$AU175)</f>
        <v>0</v>
      </c>
      <c r="BP175" s="6"/>
      <c r="BQ175" s="6"/>
      <c r="BR175" s="6"/>
      <c r="BS175" s="6"/>
      <c r="BT175" s="6">
        <f t="shared" si="71"/>
        <v>0</v>
      </c>
      <c r="BV175" s="6">
        <f t="shared" si="74"/>
        <v>0</v>
      </c>
      <c r="BW175" s="6">
        <f t="shared" si="75"/>
        <v>0</v>
      </c>
      <c r="BX175" s="6">
        <f t="shared" si="76"/>
        <v>0</v>
      </c>
      <c r="BY175" s="6">
        <f t="shared" si="77"/>
        <v>0</v>
      </c>
      <c r="BZ175" s="6">
        <f t="shared" si="78"/>
        <v>0</v>
      </c>
      <c r="CA175" s="6">
        <f t="shared" si="79"/>
        <v>-15000</v>
      </c>
      <c r="CB175" s="6">
        <f t="shared" si="80"/>
        <v>0</v>
      </c>
      <c r="CC175" s="6">
        <f t="shared" si="81"/>
        <v>0</v>
      </c>
      <c r="CD175" s="6">
        <f t="shared" si="82"/>
        <v>0</v>
      </c>
      <c r="CE175" s="6">
        <f t="shared" si="83"/>
        <v>0</v>
      </c>
      <c r="CF175" s="6">
        <f t="shared" si="84"/>
        <v>0</v>
      </c>
      <c r="CG175" s="6">
        <f t="shared" si="85"/>
        <v>0</v>
      </c>
      <c r="CH175" s="6">
        <f t="shared" si="72"/>
        <v>-15000</v>
      </c>
    </row>
    <row r="176" spans="1:86" hidden="1" x14ac:dyDescent="0.35">
      <c r="A176" s="3" t="s">
        <v>477</v>
      </c>
      <c r="G176" s="10">
        <v>30000</v>
      </c>
      <c r="N176" s="27">
        <f t="shared" si="88"/>
        <v>30000</v>
      </c>
      <c r="AA176" s="27">
        <f t="shared" si="87"/>
        <v>0</v>
      </c>
      <c r="AB176" s="10">
        <f t="shared" si="86"/>
        <v>0</v>
      </c>
      <c r="AC176" s="10">
        <f t="shared" si="86"/>
        <v>0</v>
      </c>
      <c r="AD176" s="10">
        <f t="shared" si="86"/>
        <v>0</v>
      </c>
      <c r="AE176" s="10">
        <f t="shared" si="86"/>
        <v>0</v>
      </c>
      <c r="AF176" s="10">
        <f t="shared" si="86"/>
        <v>0</v>
      </c>
      <c r="AG176" s="10">
        <f t="shared" si="86"/>
        <v>30000</v>
      </c>
      <c r="AH176" s="10">
        <f t="shared" si="86"/>
        <v>0</v>
      </c>
      <c r="AI176" s="10">
        <f t="shared" si="86"/>
        <v>0</v>
      </c>
      <c r="AJ176" s="10">
        <f t="shared" si="73"/>
        <v>0</v>
      </c>
      <c r="AK176" s="10">
        <f t="shared" si="89"/>
        <v>0</v>
      </c>
      <c r="AL176" s="10">
        <f t="shared" si="89"/>
        <v>0</v>
      </c>
      <c r="AM176" s="10">
        <f t="shared" si="89"/>
        <v>0</v>
      </c>
      <c r="AN176" s="27">
        <f t="shared" si="89"/>
        <v>30000</v>
      </c>
      <c r="AS176" t="str">
        <f>_xlfn.XLOOKUP(AU176,[2]GAE!HZ:HZ,[2]GAE!IA:IA)</f>
        <v>ADMIN SERVICES</v>
      </c>
      <c r="AT176" t="str">
        <f>_xlfn.XLOOKUP(AU176,[2]GAE!HZ:HZ,[2]GAE!IB:IB)</f>
        <v>GAE - Insurance - Motor Car</v>
      </c>
      <c r="AU176" t="s">
        <v>424</v>
      </c>
      <c r="AV176">
        <v>80123102</v>
      </c>
      <c r="AW176">
        <v>61101104</v>
      </c>
      <c r="AX176" t="str">
        <f>_xlfn.XLOOKUP(AU176,[2]GAE!HZ:HZ,[2]GAE!IF:IF)</f>
        <v>Others</v>
      </c>
      <c r="AY176" t="str">
        <f>_xlfn.XLOOKUP(AU176,[2]GAE!HZ:HZ,[2]GAE!IG:IG)</f>
        <v>Insurance</v>
      </c>
      <c r="BF176" t="s">
        <v>24</v>
      </c>
      <c r="BG176" s="2" t="s">
        <v>24</v>
      </c>
      <c r="BH176" s="10">
        <f>SUMIFS('[1]2026'!$K:$K,'[1]2026'!$T:$T,BD176,'[1]2026'!$S:$S,BH$3,'[1]2026'!$P:$P,AU176)</f>
        <v>0</v>
      </c>
      <c r="BI176" s="10">
        <f>SUMIFS('[1]2026'!$K:$K,'[1]2026'!$T:$T,$BD176,'[1]2026'!$S:$S,BI$3,'[1]2026'!$P:$P,$AU176)</f>
        <v>0</v>
      </c>
      <c r="BJ176" s="10">
        <f>SUMIFS('[1]2026'!$K:$K,'[1]2026'!$T:$T,$BD176,'[1]2026'!$S:$S,BJ$3,'[1]2026'!$P:$P,$AU176)</f>
        <v>0</v>
      </c>
      <c r="BK176" s="10">
        <f>SUMIFS('[1]2026'!$K:$K,'[1]2026'!$T:$T,$BD176,'[1]2026'!$S:$S,BK$3,'[1]2026'!$P:$P,$AU176)</f>
        <v>0</v>
      </c>
      <c r="BL176" s="6"/>
      <c r="BM176" s="10">
        <f>SUMIFS('[1]2026'!$K:$K,'[1]2026'!$T:$T,$BD176,'[1]2026'!$S:$S,BM$3,'[1]2026'!$P:$P,$AU176)</f>
        <v>0</v>
      </c>
      <c r="BN176" s="10">
        <f>SUMIFS('[1]2026'!$K:$K,'[1]2026'!$T:$T,$BD176,'[1]2026'!$S:$S,BN$3,'[1]2026'!$P:$P,$AU176)</f>
        <v>0</v>
      </c>
      <c r="BO176" s="10">
        <f>SUMIFS('[1]2026'!$K:$K,'[1]2026'!$T:$T,$BD176,'[1]2026'!$S:$S,BO$3,'[1]2026'!$P:$P,$AU176)</f>
        <v>0</v>
      </c>
      <c r="BP176" s="6"/>
      <c r="BQ176" s="6"/>
      <c r="BR176" s="6"/>
      <c r="BS176" s="6"/>
      <c r="BT176" s="6">
        <f t="shared" si="71"/>
        <v>0</v>
      </c>
      <c r="BV176" s="6">
        <f t="shared" si="74"/>
        <v>0</v>
      </c>
      <c r="BW176" s="6">
        <f t="shared" si="75"/>
        <v>0</v>
      </c>
      <c r="BX176" s="6">
        <f t="shared" si="76"/>
        <v>0</v>
      </c>
      <c r="BY176" s="6">
        <f t="shared" si="77"/>
        <v>0</v>
      </c>
      <c r="BZ176" s="6">
        <f t="shared" si="78"/>
        <v>0</v>
      </c>
      <c r="CA176" s="6">
        <f t="shared" si="79"/>
        <v>-30000</v>
      </c>
      <c r="CB176" s="6">
        <f t="shared" si="80"/>
        <v>0</v>
      </c>
      <c r="CC176" s="6">
        <f t="shared" si="81"/>
        <v>0</v>
      </c>
      <c r="CD176" s="6">
        <f t="shared" si="82"/>
        <v>0</v>
      </c>
      <c r="CE176" s="6">
        <f t="shared" si="83"/>
        <v>0</v>
      </c>
      <c r="CF176" s="6">
        <f t="shared" si="84"/>
        <v>0</v>
      </c>
      <c r="CG176" s="6">
        <f t="shared" si="85"/>
        <v>0</v>
      </c>
      <c r="CH176" s="6">
        <f t="shared" si="72"/>
        <v>-30000</v>
      </c>
    </row>
    <row r="177" spans="1:86" hidden="1" x14ac:dyDescent="0.35">
      <c r="A177" s="3" t="s">
        <v>477</v>
      </c>
      <c r="G177" s="10">
        <v>30000</v>
      </c>
      <c r="N177" s="27">
        <f t="shared" si="88"/>
        <v>30000</v>
      </c>
      <c r="AA177" s="27">
        <f t="shared" si="87"/>
        <v>0</v>
      </c>
      <c r="AB177" s="10">
        <f t="shared" si="86"/>
        <v>0</v>
      </c>
      <c r="AC177" s="10">
        <f t="shared" si="86"/>
        <v>0</v>
      </c>
      <c r="AD177" s="10">
        <f t="shared" si="86"/>
        <v>0</v>
      </c>
      <c r="AE177" s="10">
        <f t="shared" si="86"/>
        <v>0</v>
      </c>
      <c r="AF177" s="10">
        <f t="shared" si="86"/>
        <v>0</v>
      </c>
      <c r="AG177" s="10">
        <f t="shared" si="86"/>
        <v>30000</v>
      </c>
      <c r="AH177" s="10">
        <f t="shared" si="86"/>
        <v>0</v>
      </c>
      <c r="AI177" s="10">
        <f t="shared" si="86"/>
        <v>0</v>
      </c>
      <c r="AJ177" s="10">
        <f t="shared" si="73"/>
        <v>0</v>
      </c>
      <c r="AK177" s="10">
        <f t="shared" si="89"/>
        <v>0</v>
      </c>
      <c r="AL177" s="10">
        <f t="shared" si="89"/>
        <v>0</v>
      </c>
      <c r="AM177" s="10">
        <f t="shared" si="89"/>
        <v>0</v>
      </c>
      <c r="AN177" s="27">
        <f t="shared" si="89"/>
        <v>30000</v>
      </c>
      <c r="AS177" t="str">
        <f>_xlfn.XLOOKUP(AU177,[2]GAE!HZ:HZ,[2]GAE!IA:IA)</f>
        <v>ADMIN SERVICES</v>
      </c>
      <c r="AT177" t="str">
        <f>_xlfn.XLOOKUP(AU177,[2]GAE!HZ:HZ,[2]GAE!IB:IB)</f>
        <v>GAE - Insurance - Motor Car</v>
      </c>
      <c r="AU177" t="s">
        <v>424</v>
      </c>
      <c r="AV177">
        <v>80123102</v>
      </c>
      <c r="AW177">
        <v>61101104</v>
      </c>
      <c r="AX177" t="str">
        <f>_xlfn.XLOOKUP(AU177,[2]GAE!HZ:HZ,[2]GAE!IF:IF)</f>
        <v>Others</v>
      </c>
      <c r="AY177" t="str">
        <f>_xlfn.XLOOKUP(AU177,[2]GAE!HZ:HZ,[2]GAE!IG:IG)</f>
        <v>Insurance</v>
      </c>
      <c r="BF177" t="s">
        <v>24</v>
      </c>
      <c r="BG177" s="2" t="s">
        <v>24</v>
      </c>
      <c r="BH177" s="10">
        <f>SUMIFS('[1]2026'!$K:$K,'[1]2026'!$T:$T,BD177,'[1]2026'!$S:$S,BH$3,'[1]2026'!$P:$P,AU177)</f>
        <v>0</v>
      </c>
      <c r="BI177" s="10">
        <f>SUMIFS('[1]2026'!$K:$K,'[1]2026'!$T:$T,$BD177,'[1]2026'!$S:$S,BI$3,'[1]2026'!$P:$P,$AU177)</f>
        <v>0</v>
      </c>
      <c r="BJ177" s="10">
        <f>SUMIFS('[1]2026'!$K:$K,'[1]2026'!$T:$T,$BD177,'[1]2026'!$S:$S,BJ$3,'[1]2026'!$P:$P,$AU177)</f>
        <v>0</v>
      </c>
      <c r="BK177" s="10">
        <f>SUMIFS('[1]2026'!$K:$K,'[1]2026'!$T:$T,$BD177,'[1]2026'!$S:$S,BK$3,'[1]2026'!$P:$P,$AU177)</f>
        <v>0</v>
      </c>
      <c r="BL177" s="6"/>
      <c r="BM177" s="10">
        <f>SUMIFS('[1]2026'!$K:$K,'[1]2026'!$T:$T,$BD177,'[1]2026'!$S:$S,BM$3,'[1]2026'!$P:$P,$AU177)</f>
        <v>0</v>
      </c>
      <c r="BN177" s="10">
        <f>SUMIFS('[1]2026'!$K:$K,'[1]2026'!$T:$T,$BD177,'[1]2026'!$S:$S,BN$3,'[1]2026'!$P:$P,$AU177)</f>
        <v>0</v>
      </c>
      <c r="BO177" s="10">
        <f>SUMIFS('[1]2026'!$K:$K,'[1]2026'!$T:$T,$BD177,'[1]2026'!$S:$S,BO$3,'[1]2026'!$P:$P,$AU177)</f>
        <v>0</v>
      </c>
      <c r="BP177" s="6"/>
      <c r="BQ177" s="6"/>
      <c r="BR177" s="6"/>
      <c r="BS177" s="6"/>
      <c r="BT177" s="6">
        <f t="shared" si="71"/>
        <v>0</v>
      </c>
      <c r="BV177" s="6">
        <f t="shared" si="74"/>
        <v>0</v>
      </c>
      <c r="BW177" s="6">
        <f t="shared" si="75"/>
        <v>0</v>
      </c>
      <c r="BX177" s="6">
        <f t="shared" si="76"/>
        <v>0</v>
      </c>
      <c r="BY177" s="6">
        <f t="shared" si="77"/>
        <v>0</v>
      </c>
      <c r="BZ177" s="6">
        <f t="shared" si="78"/>
        <v>0</v>
      </c>
      <c r="CA177" s="6">
        <f t="shared" si="79"/>
        <v>-30000</v>
      </c>
      <c r="CB177" s="6">
        <f t="shared" si="80"/>
        <v>0</v>
      </c>
      <c r="CC177" s="6">
        <f t="shared" si="81"/>
        <v>0</v>
      </c>
      <c r="CD177" s="6">
        <f t="shared" si="82"/>
        <v>0</v>
      </c>
      <c r="CE177" s="6">
        <f t="shared" si="83"/>
        <v>0</v>
      </c>
      <c r="CF177" s="6">
        <f t="shared" si="84"/>
        <v>0</v>
      </c>
      <c r="CG177" s="6">
        <f t="shared" si="85"/>
        <v>0</v>
      </c>
      <c r="CH177" s="6">
        <f t="shared" si="72"/>
        <v>-30000</v>
      </c>
    </row>
    <row r="178" spans="1:86" hidden="1" x14ac:dyDescent="0.35">
      <c r="A178" s="3" t="s">
        <v>477</v>
      </c>
      <c r="G178" s="10">
        <v>30000</v>
      </c>
      <c r="N178" s="27">
        <f t="shared" si="88"/>
        <v>30000</v>
      </c>
      <c r="AA178" s="27">
        <f t="shared" si="87"/>
        <v>0</v>
      </c>
      <c r="AB178" s="10">
        <f t="shared" si="86"/>
        <v>0</v>
      </c>
      <c r="AC178" s="10">
        <f t="shared" si="86"/>
        <v>0</v>
      </c>
      <c r="AD178" s="10">
        <f t="shared" si="86"/>
        <v>0</v>
      </c>
      <c r="AE178" s="10">
        <f t="shared" si="86"/>
        <v>0</v>
      </c>
      <c r="AF178" s="10">
        <f t="shared" si="86"/>
        <v>0</v>
      </c>
      <c r="AG178" s="10">
        <f t="shared" si="86"/>
        <v>30000</v>
      </c>
      <c r="AH178" s="10">
        <f t="shared" si="86"/>
        <v>0</v>
      </c>
      <c r="AI178" s="10">
        <f t="shared" si="86"/>
        <v>0</v>
      </c>
      <c r="AJ178" s="10">
        <f t="shared" si="73"/>
        <v>0</v>
      </c>
      <c r="AK178" s="10">
        <f t="shared" si="89"/>
        <v>0</v>
      </c>
      <c r="AL178" s="10">
        <f t="shared" si="89"/>
        <v>0</v>
      </c>
      <c r="AM178" s="10">
        <f t="shared" si="89"/>
        <v>0</v>
      </c>
      <c r="AN178" s="27">
        <f t="shared" si="89"/>
        <v>30000</v>
      </c>
      <c r="AS178" t="str">
        <f>_xlfn.XLOOKUP(AU178,[2]GAE!HZ:HZ,[2]GAE!IA:IA)</f>
        <v>ADMIN SERVICES</v>
      </c>
      <c r="AT178" t="str">
        <f>_xlfn.XLOOKUP(AU178,[2]GAE!HZ:HZ,[2]GAE!IB:IB)</f>
        <v>GAE - Insurance - Motor Car</v>
      </c>
      <c r="AU178" t="s">
        <v>424</v>
      </c>
      <c r="AV178">
        <v>80123102</v>
      </c>
      <c r="AW178">
        <v>61101104</v>
      </c>
      <c r="AX178" t="str">
        <f>_xlfn.XLOOKUP(AU178,[2]GAE!HZ:HZ,[2]GAE!IF:IF)</f>
        <v>Others</v>
      </c>
      <c r="AY178" t="str">
        <f>_xlfn.XLOOKUP(AU178,[2]GAE!HZ:HZ,[2]GAE!IG:IG)</f>
        <v>Insurance</v>
      </c>
      <c r="BF178" t="s">
        <v>24</v>
      </c>
      <c r="BG178" s="2" t="s">
        <v>24</v>
      </c>
      <c r="BH178" s="10">
        <f>SUMIFS('[1]2026'!$K:$K,'[1]2026'!$T:$T,BD178,'[1]2026'!$S:$S,BH$3,'[1]2026'!$P:$P,AU178)</f>
        <v>0</v>
      </c>
      <c r="BI178" s="10">
        <f>SUMIFS('[1]2026'!$K:$K,'[1]2026'!$T:$T,$BD178,'[1]2026'!$S:$S,BI$3,'[1]2026'!$P:$P,$AU178)</f>
        <v>0</v>
      </c>
      <c r="BJ178" s="10">
        <f>SUMIFS('[1]2026'!$K:$K,'[1]2026'!$T:$T,$BD178,'[1]2026'!$S:$S,BJ$3,'[1]2026'!$P:$P,$AU178)</f>
        <v>0</v>
      </c>
      <c r="BK178" s="10">
        <f>SUMIFS('[1]2026'!$K:$K,'[1]2026'!$T:$T,$BD178,'[1]2026'!$S:$S,BK$3,'[1]2026'!$P:$P,$AU178)</f>
        <v>0</v>
      </c>
      <c r="BL178" s="6"/>
      <c r="BM178" s="10">
        <f>SUMIFS('[1]2026'!$K:$K,'[1]2026'!$T:$T,$BD178,'[1]2026'!$S:$S,BM$3,'[1]2026'!$P:$P,$AU178)</f>
        <v>0</v>
      </c>
      <c r="BN178" s="10">
        <f>SUMIFS('[1]2026'!$K:$K,'[1]2026'!$T:$T,$BD178,'[1]2026'!$S:$S,BN$3,'[1]2026'!$P:$P,$AU178)</f>
        <v>0</v>
      </c>
      <c r="BO178" s="10">
        <f>SUMIFS('[1]2026'!$K:$K,'[1]2026'!$T:$T,$BD178,'[1]2026'!$S:$S,BO$3,'[1]2026'!$P:$P,$AU178)</f>
        <v>0</v>
      </c>
      <c r="BP178" s="6"/>
      <c r="BQ178" s="6"/>
      <c r="BR178" s="6"/>
      <c r="BS178" s="6"/>
      <c r="BT178" s="6">
        <f t="shared" si="71"/>
        <v>0</v>
      </c>
      <c r="BV178" s="6">
        <f t="shared" si="74"/>
        <v>0</v>
      </c>
      <c r="BW178" s="6">
        <f t="shared" si="75"/>
        <v>0</v>
      </c>
      <c r="BX178" s="6">
        <f t="shared" si="76"/>
        <v>0</v>
      </c>
      <c r="BY178" s="6">
        <f t="shared" si="77"/>
        <v>0</v>
      </c>
      <c r="BZ178" s="6">
        <f t="shared" si="78"/>
        <v>0</v>
      </c>
      <c r="CA178" s="6">
        <f t="shared" si="79"/>
        <v>-30000</v>
      </c>
      <c r="CB178" s="6">
        <f t="shared" si="80"/>
        <v>0</v>
      </c>
      <c r="CC178" s="6">
        <f t="shared" si="81"/>
        <v>0</v>
      </c>
      <c r="CD178" s="6">
        <f t="shared" si="82"/>
        <v>0</v>
      </c>
      <c r="CE178" s="6">
        <f t="shared" si="83"/>
        <v>0</v>
      </c>
      <c r="CF178" s="6">
        <f t="shared" si="84"/>
        <v>0</v>
      </c>
      <c r="CG178" s="6">
        <f t="shared" si="85"/>
        <v>0</v>
      </c>
      <c r="CH178" s="6">
        <f t="shared" si="72"/>
        <v>-30000</v>
      </c>
    </row>
    <row r="179" spans="1:86" hidden="1" x14ac:dyDescent="0.35">
      <c r="A179" s="3" t="s">
        <v>477</v>
      </c>
      <c r="G179" s="10">
        <v>30000</v>
      </c>
      <c r="N179" s="27">
        <f t="shared" si="88"/>
        <v>30000</v>
      </c>
      <c r="AA179" s="27">
        <f t="shared" si="87"/>
        <v>0</v>
      </c>
      <c r="AB179" s="10">
        <f t="shared" si="86"/>
        <v>0</v>
      </c>
      <c r="AC179" s="10">
        <f t="shared" si="86"/>
        <v>0</v>
      </c>
      <c r="AD179" s="10">
        <f t="shared" si="86"/>
        <v>0</v>
      </c>
      <c r="AE179" s="10">
        <f t="shared" si="86"/>
        <v>0</v>
      </c>
      <c r="AF179" s="10">
        <f t="shared" si="86"/>
        <v>0</v>
      </c>
      <c r="AG179" s="10">
        <f t="shared" si="86"/>
        <v>30000</v>
      </c>
      <c r="AH179" s="10">
        <f t="shared" si="86"/>
        <v>0</v>
      </c>
      <c r="AI179" s="10">
        <f t="shared" si="86"/>
        <v>0</v>
      </c>
      <c r="AJ179" s="10">
        <f t="shared" si="73"/>
        <v>0</v>
      </c>
      <c r="AK179" s="10">
        <f t="shared" si="89"/>
        <v>0</v>
      </c>
      <c r="AL179" s="10">
        <f t="shared" si="89"/>
        <v>0</v>
      </c>
      <c r="AM179" s="10">
        <f t="shared" si="89"/>
        <v>0</v>
      </c>
      <c r="AN179" s="27">
        <f t="shared" si="89"/>
        <v>30000</v>
      </c>
      <c r="AS179" t="str">
        <f>_xlfn.XLOOKUP(AU179,[2]GAE!HZ:HZ,[2]GAE!IA:IA)</f>
        <v>ADMIN SERVICES</v>
      </c>
      <c r="AT179" t="str">
        <f>_xlfn.XLOOKUP(AU179,[2]GAE!HZ:HZ,[2]GAE!IB:IB)</f>
        <v>GAE - Insurance - Motor Car</v>
      </c>
      <c r="AU179" t="s">
        <v>424</v>
      </c>
      <c r="AV179">
        <v>80123102</v>
      </c>
      <c r="AW179">
        <v>61101104</v>
      </c>
      <c r="AX179" t="str">
        <f>_xlfn.XLOOKUP(AU179,[2]GAE!HZ:HZ,[2]GAE!IF:IF)</f>
        <v>Others</v>
      </c>
      <c r="AY179" t="str">
        <f>_xlfn.XLOOKUP(AU179,[2]GAE!HZ:HZ,[2]GAE!IG:IG)</f>
        <v>Insurance</v>
      </c>
      <c r="BF179" t="s">
        <v>24</v>
      </c>
      <c r="BG179" s="2" t="s">
        <v>24</v>
      </c>
      <c r="BH179" s="10">
        <f>SUMIFS('[1]2026'!$K:$K,'[1]2026'!$T:$T,BD179,'[1]2026'!$S:$S,BH$3,'[1]2026'!$P:$P,AU179)</f>
        <v>0</v>
      </c>
      <c r="BI179" s="10">
        <f>SUMIFS('[1]2026'!$K:$K,'[1]2026'!$T:$T,$BD179,'[1]2026'!$S:$S,BI$3,'[1]2026'!$P:$P,$AU179)</f>
        <v>0</v>
      </c>
      <c r="BJ179" s="10">
        <f>SUMIFS('[1]2026'!$K:$K,'[1]2026'!$T:$T,$BD179,'[1]2026'!$S:$S,BJ$3,'[1]2026'!$P:$P,$AU179)</f>
        <v>0</v>
      </c>
      <c r="BK179" s="10">
        <f>SUMIFS('[1]2026'!$K:$K,'[1]2026'!$T:$T,$BD179,'[1]2026'!$S:$S,BK$3,'[1]2026'!$P:$P,$AU179)</f>
        <v>0</v>
      </c>
      <c r="BL179" s="6"/>
      <c r="BM179" s="10">
        <f>SUMIFS('[1]2026'!$K:$K,'[1]2026'!$T:$T,$BD179,'[1]2026'!$S:$S,BM$3,'[1]2026'!$P:$P,$AU179)</f>
        <v>0</v>
      </c>
      <c r="BN179" s="10">
        <f>SUMIFS('[1]2026'!$K:$K,'[1]2026'!$T:$T,$BD179,'[1]2026'!$S:$S,BN$3,'[1]2026'!$P:$P,$AU179)</f>
        <v>0</v>
      </c>
      <c r="BO179" s="10">
        <f>SUMIFS('[1]2026'!$K:$K,'[1]2026'!$T:$T,$BD179,'[1]2026'!$S:$S,BO$3,'[1]2026'!$P:$P,$AU179)</f>
        <v>0</v>
      </c>
      <c r="BP179" s="6"/>
      <c r="BQ179" s="6"/>
      <c r="BR179" s="6"/>
      <c r="BS179" s="6"/>
      <c r="BT179" s="6">
        <f t="shared" si="71"/>
        <v>0</v>
      </c>
      <c r="BV179" s="6">
        <f t="shared" ref="BV179:BV210" si="90">BH179-AB179</f>
        <v>0</v>
      </c>
      <c r="BW179" s="6">
        <f t="shared" ref="BW179:BW210" si="91">BI179-AC179</f>
        <v>0</v>
      </c>
      <c r="BX179" s="6">
        <f t="shared" ref="BX179:BX210" si="92">BJ179-AD179</f>
        <v>0</v>
      </c>
      <c r="BY179" s="6">
        <f t="shared" ref="BY179:BY210" si="93">BK179-AE179</f>
        <v>0</v>
      </c>
      <c r="BZ179" s="6">
        <f t="shared" ref="BZ179:BZ210" si="94">BL179-AF179</f>
        <v>0</v>
      </c>
      <c r="CA179" s="6">
        <f t="shared" ref="CA179:CA210" si="95">BM179-AG179</f>
        <v>-30000</v>
      </c>
      <c r="CB179" s="6">
        <f t="shared" ref="CB179:CB210" si="96">BN179-AH179</f>
        <v>0</v>
      </c>
      <c r="CC179" s="6">
        <f t="shared" ref="CC179:CC210" si="97">BO179-AI179</f>
        <v>0</v>
      </c>
      <c r="CD179" s="6">
        <f t="shared" ref="CD179:CD210" si="98">BP179-AJ179</f>
        <v>0</v>
      </c>
      <c r="CE179" s="6">
        <f t="shared" ref="CE179:CE210" si="99">BQ179-AK179</f>
        <v>0</v>
      </c>
      <c r="CF179" s="6">
        <f t="shared" ref="CF179:CF210" si="100">BR179-AL179</f>
        <v>0</v>
      </c>
      <c r="CG179" s="6">
        <f t="shared" ref="CG179:CG210" si="101">BS179-AM179</f>
        <v>0</v>
      </c>
      <c r="CH179" s="6">
        <f t="shared" si="72"/>
        <v>-30000</v>
      </c>
    </row>
    <row r="180" spans="1:86" hidden="1" x14ac:dyDescent="0.35">
      <c r="A180" s="3" t="s">
        <v>477</v>
      </c>
      <c r="G180" s="10">
        <v>30000</v>
      </c>
      <c r="N180" s="27">
        <f t="shared" si="88"/>
        <v>30000</v>
      </c>
      <c r="AA180" s="27">
        <f t="shared" si="87"/>
        <v>0</v>
      </c>
      <c r="AB180" s="10">
        <f t="shared" si="86"/>
        <v>0</v>
      </c>
      <c r="AC180" s="10">
        <f t="shared" si="86"/>
        <v>0</v>
      </c>
      <c r="AD180" s="10">
        <f t="shared" si="86"/>
        <v>0</v>
      </c>
      <c r="AE180" s="10">
        <f t="shared" si="86"/>
        <v>0</v>
      </c>
      <c r="AF180" s="10">
        <f t="shared" si="86"/>
        <v>0</v>
      </c>
      <c r="AG180" s="10">
        <f t="shared" si="86"/>
        <v>30000</v>
      </c>
      <c r="AH180" s="10">
        <f t="shared" si="86"/>
        <v>0</v>
      </c>
      <c r="AI180" s="10">
        <f t="shared" si="86"/>
        <v>0</v>
      </c>
      <c r="AJ180" s="10">
        <f t="shared" si="73"/>
        <v>0</v>
      </c>
      <c r="AK180" s="10">
        <f t="shared" si="89"/>
        <v>0</v>
      </c>
      <c r="AL180" s="10">
        <f t="shared" si="89"/>
        <v>0</v>
      </c>
      <c r="AM180" s="10">
        <f t="shared" si="89"/>
        <v>0</v>
      </c>
      <c r="AN180" s="27">
        <f t="shared" si="89"/>
        <v>30000</v>
      </c>
      <c r="AS180" t="str">
        <f>_xlfn.XLOOKUP(AU180,[2]GAE!HZ:HZ,[2]GAE!IA:IA)</f>
        <v>ADMIN SERVICES</v>
      </c>
      <c r="AT180" t="str">
        <f>_xlfn.XLOOKUP(AU180,[2]GAE!HZ:HZ,[2]GAE!IB:IB)</f>
        <v>GAE - Insurance - Motor Car</v>
      </c>
      <c r="AU180" t="s">
        <v>424</v>
      </c>
      <c r="AV180">
        <v>80123102</v>
      </c>
      <c r="AW180">
        <v>61101104</v>
      </c>
      <c r="AX180" t="str">
        <f>_xlfn.XLOOKUP(AU180,[2]GAE!HZ:HZ,[2]GAE!IF:IF)</f>
        <v>Others</v>
      </c>
      <c r="AY180" t="str">
        <f>_xlfn.XLOOKUP(AU180,[2]GAE!HZ:HZ,[2]GAE!IG:IG)</f>
        <v>Insurance</v>
      </c>
      <c r="BF180" t="s">
        <v>24</v>
      </c>
      <c r="BG180" s="2" t="s">
        <v>24</v>
      </c>
      <c r="BH180" s="10">
        <f>SUMIFS('[1]2026'!$K:$K,'[1]2026'!$T:$T,BD180,'[1]2026'!$S:$S,BH$3,'[1]2026'!$P:$P,AU180)</f>
        <v>0</v>
      </c>
      <c r="BI180" s="10">
        <f>SUMIFS('[1]2026'!$K:$K,'[1]2026'!$T:$T,$BD180,'[1]2026'!$S:$S,BI$3,'[1]2026'!$P:$P,$AU180)</f>
        <v>0</v>
      </c>
      <c r="BJ180" s="10">
        <f>SUMIFS('[1]2026'!$K:$K,'[1]2026'!$T:$T,$BD180,'[1]2026'!$S:$S,BJ$3,'[1]2026'!$P:$P,$AU180)</f>
        <v>0</v>
      </c>
      <c r="BK180" s="10">
        <f>SUMIFS('[1]2026'!$K:$K,'[1]2026'!$T:$T,$BD180,'[1]2026'!$S:$S,BK$3,'[1]2026'!$P:$P,$AU180)</f>
        <v>0</v>
      </c>
      <c r="BL180" s="6"/>
      <c r="BM180" s="10">
        <f>SUMIFS('[1]2026'!$K:$K,'[1]2026'!$T:$T,$BD180,'[1]2026'!$S:$S,BM$3,'[1]2026'!$P:$P,$AU180)</f>
        <v>0</v>
      </c>
      <c r="BN180" s="10">
        <f>SUMIFS('[1]2026'!$K:$K,'[1]2026'!$T:$T,$BD180,'[1]2026'!$S:$S,BN$3,'[1]2026'!$P:$P,$AU180)</f>
        <v>0</v>
      </c>
      <c r="BO180" s="10">
        <f>SUMIFS('[1]2026'!$K:$K,'[1]2026'!$T:$T,$BD180,'[1]2026'!$S:$S,BO$3,'[1]2026'!$P:$P,$AU180)</f>
        <v>0</v>
      </c>
      <c r="BP180" s="6"/>
      <c r="BQ180" s="6"/>
      <c r="BR180" s="6"/>
      <c r="BS180" s="6"/>
      <c r="BT180" s="6">
        <f t="shared" si="71"/>
        <v>0</v>
      </c>
      <c r="BV180" s="6">
        <f t="shared" si="90"/>
        <v>0</v>
      </c>
      <c r="BW180" s="6">
        <f t="shared" si="91"/>
        <v>0</v>
      </c>
      <c r="BX180" s="6">
        <f t="shared" si="92"/>
        <v>0</v>
      </c>
      <c r="BY180" s="6">
        <f t="shared" si="93"/>
        <v>0</v>
      </c>
      <c r="BZ180" s="6">
        <f t="shared" si="94"/>
        <v>0</v>
      </c>
      <c r="CA180" s="6">
        <f t="shared" si="95"/>
        <v>-30000</v>
      </c>
      <c r="CB180" s="6">
        <f t="shared" si="96"/>
        <v>0</v>
      </c>
      <c r="CC180" s="6">
        <f t="shared" si="97"/>
        <v>0</v>
      </c>
      <c r="CD180" s="6">
        <f t="shared" si="98"/>
        <v>0</v>
      </c>
      <c r="CE180" s="6">
        <f t="shared" si="99"/>
        <v>0</v>
      </c>
      <c r="CF180" s="6">
        <f t="shared" si="100"/>
        <v>0</v>
      </c>
      <c r="CG180" s="6">
        <f t="shared" si="101"/>
        <v>0</v>
      </c>
      <c r="CH180" s="6">
        <f t="shared" si="72"/>
        <v>-30000</v>
      </c>
    </row>
    <row r="181" spans="1:86" hidden="1" x14ac:dyDescent="0.35">
      <c r="A181" s="3" t="s">
        <v>479</v>
      </c>
      <c r="C181" s="10">
        <v>15000</v>
      </c>
      <c r="N181" s="27">
        <f t="shared" si="88"/>
        <v>15000</v>
      </c>
      <c r="AA181" s="27">
        <f t="shared" si="87"/>
        <v>0</v>
      </c>
      <c r="AB181" s="10">
        <f t="shared" si="86"/>
        <v>0</v>
      </c>
      <c r="AC181" s="10">
        <f t="shared" si="86"/>
        <v>15000</v>
      </c>
      <c r="AD181" s="10">
        <f t="shared" si="86"/>
        <v>0</v>
      </c>
      <c r="AE181" s="10">
        <f t="shared" si="86"/>
        <v>0</v>
      </c>
      <c r="AF181" s="10">
        <f t="shared" si="86"/>
        <v>0</v>
      </c>
      <c r="AG181" s="10">
        <f t="shared" si="86"/>
        <v>0</v>
      </c>
      <c r="AH181" s="10">
        <f t="shared" si="86"/>
        <v>0</v>
      </c>
      <c r="AI181" s="10">
        <f t="shared" si="86"/>
        <v>0</v>
      </c>
      <c r="AJ181" s="10">
        <f t="shared" si="73"/>
        <v>0</v>
      </c>
      <c r="AK181" s="10">
        <f t="shared" si="89"/>
        <v>0</v>
      </c>
      <c r="AL181" s="10">
        <f t="shared" si="89"/>
        <v>0</v>
      </c>
      <c r="AM181" s="10">
        <f t="shared" si="89"/>
        <v>0</v>
      </c>
      <c r="AN181" s="27">
        <f t="shared" si="89"/>
        <v>15000</v>
      </c>
      <c r="AS181" t="str">
        <f>_xlfn.XLOOKUP(AU181,[2]GAE!HZ:HZ,[2]GAE!IA:IA)</f>
        <v>ADMIN SERVICES</v>
      </c>
      <c r="AT181" t="str">
        <f>_xlfn.XLOOKUP(AU181,[2]GAE!HZ:HZ,[2]GAE!IB:IB)</f>
        <v>GAE - Insurance - Motor Car</v>
      </c>
      <c r="AU181" t="s">
        <v>424</v>
      </c>
      <c r="AV181">
        <v>80123102</v>
      </c>
      <c r="AW181">
        <v>61101104</v>
      </c>
      <c r="AX181" t="str">
        <f>_xlfn.XLOOKUP(AU181,[2]GAE!HZ:HZ,[2]GAE!IF:IF)</f>
        <v>Others</v>
      </c>
      <c r="AY181" t="str">
        <f>_xlfn.XLOOKUP(AU181,[2]GAE!HZ:HZ,[2]GAE!IG:IG)</f>
        <v>Insurance</v>
      </c>
      <c r="BF181" t="s">
        <v>24</v>
      </c>
      <c r="BG181" s="2" t="s">
        <v>24</v>
      </c>
      <c r="BH181" s="10">
        <f>SUMIFS('[1]2026'!$K:$K,'[1]2026'!$T:$T,BD181,'[1]2026'!$S:$S,BH$3,'[1]2026'!$P:$P,AU181)</f>
        <v>0</v>
      </c>
      <c r="BI181" s="10">
        <f>SUMIFS('[1]2026'!$K:$K,'[1]2026'!$T:$T,$BD181,'[1]2026'!$S:$S,BI$3,'[1]2026'!$P:$P,$AU181)</f>
        <v>0</v>
      </c>
      <c r="BJ181" s="10">
        <f>SUMIFS('[1]2026'!$K:$K,'[1]2026'!$T:$T,$BD181,'[1]2026'!$S:$S,BJ$3,'[1]2026'!$P:$P,$AU181)</f>
        <v>0</v>
      </c>
      <c r="BK181" s="10">
        <f>SUMIFS('[1]2026'!$K:$K,'[1]2026'!$T:$T,$BD181,'[1]2026'!$S:$S,BK$3,'[1]2026'!$P:$P,$AU181)</f>
        <v>0</v>
      </c>
      <c r="BL181" s="6"/>
      <c r="BM181" s="10">
        <f>SUMIFS('[1]2026'!$K:$K,'[1]2026'!$T:$T,$BD181,'[1]2026'!$S:$S,BM$3,'[1]2026'!$P:$P,$AU181)</f>
        <v>0</v>
      </c>
      <c r="BN181" s="10">
        <f>SUMIFS('[1]2026'!$K:$K,'[1]2026'!$T:$T,$BD181,'[1]2026'!$S:$S,BN$3,'[1]2026'!$P:$P,$AU181)</f>
        <v>0</v>
      </c>
      <c r="BO181" s="10">
        <f>SUMIFS('[1]2026'!$K:$K,'[1]2026'!$T:$T,$BD181,'[1]2026'!$S:$S,BO$3,'[1]2026'!$P:$P,$AU181)</f>
        <v>0</v>
      </c>
      <c r="BP181" s="6"/>
      <c r="BQ181" s="6"/>
      <c r="BR181" s="6"/>
      <c r="BS181" s="6"/>
      <c r="BT181" s="6">
        <f t="shared" si="71"/>
        <v>0</v>
      </c>
      <c r="BV181" s="6">
        <f t="shared" si="90"/>
        <v>0</v>
      </c>
      <c r="BW181" s="6">
        <f t="shared" si="91"/>
        <v>-15000</v>
      </c>
      <c r="BX181" s="6">
        <f t="shared" si="92"/>
        <v>0</v>
      </c>
      <c r="BY181" s="6">
        <f t="shared" si="93"/>
        <v>0</v>
      </c>
      <c r="BZ181" s="6">
        <f t="shared" si="94"/>
        <v>0</v>
      </c>
      <c r="CA181" s="6">
        <f t="shared" si="95"/>
        <v>0</v>
      </c>
      <c r="CB181" s="6">
        <f t="shared" si="96"/>
        <v>0</v>
      </c>
      <c r="CC181" s="6">
        <f t="shared" si="97"/>
        <v>0</v>
      </c>
      <c r="CD181" s="6">
        <f t="shared" si="98"/>
        <v>0</v>
      </c>
      <c r="CE181" s="6">
        <f t="shared" si="99"/>
        <v>0</v>
      </c>
      <c r="CF181" s="6">
        <f t="shared" si="100"/>
        <v>0</v>
      </c>
      <c r="CG181" s="6">
        <f t="shared" si="101"/>
        <v>0</v>
      </c>
      <c r="CH181" s="6">
        <f t="shared" si="72"/>
        <v>-15000</v>
      </c>
    </row>
    <row r="182" spans="1:86" hidden="1" x14ac:dyDescent="0.35">
      <c r="A182" s="3" t="s">
        <v>480</v>
      </c>
      <c r="C182" s="10">
        <v>15000</v>
      </c>
      <c r="N182" s="27">
        <f t="shared" si="88"/>
        <v>15000</v>
      </c>
      <c r="AA182" s="27">
        <f t="shared" si="87"/>
        <v>0</v>
      </c>
      <c r="AB182" s="10">
        <f t="shared" si="86"/>
        <v>0</v>
      </c>
      <c r="AC182" s="10">
        <f t="shared" si="86"/>
        <v>15000</v>
      </c>
      <c r="AD182" s="10">
        <f t="shared" si="86"/>
        <v>0</v>
      </c>
      <c r="AE182" s="10">
        <f t="shared" si="86"/>
        <v>0</v>
      </c>
      <c r="AF182" s="10">
        <f t="shared" si="86"/>
        <v>0</v>
      </c>
      <c r="AG182" s="10">
        <f t="shared" si="86"/>
        <v>0</v>
      </c>
      <c r="AH182" s="10">
        <f t="shared" si="86"/>
        <v>0</v>
      </c>
      <c r="AI182" s="10">
        <f t="shared" si="86"/>
        <v>0</v>
      </c>
      <c r="AJ182" s="10">
        <f t="shared" si="73"/>
        <v>0</v>
      </c>
      <c r="AK182" s="10">
        <f t="shared" si="89"/>
        <v>0</v>
      </c>
      <c r="AL182" s="10">
        <f t="shared" si="89"/>
        <v>0</v>
      </c>
      <c r="AM182" s="10">
        <f t="shared" si="89"/>
        <v>0</v>
      </c>
      <c r="AN182" s="27">
        <f t="shared" si="89"/>
        <v>15000</v>
      </c>
      <c r="AS182" t="str">
        <f>_xlfn.XLOOKUP(AU182,[2]GAE!HZ:HZ,[2]GAE!IA:IA)</f>
        <v>ADMIN SERVICES</v>
      </c>
      <c r="AT182" t="str">
        <f>_xlfn.XLOOKUP(AU182,[2]GAE!HZ:HZ,[2]GAE!IB:IB)</f>
        <v>GAE - Insurance - Motor Car</v>
      </c>
      <c r="AU182" t="s">
        <v>424</v>
      </c>
      <c r="AV182">
        <v>80123102</v>
      </c>
      <c r="AW182">
        <v>61101104</v>
      </c>
      <c r="AX182" t="str">
        <f>_xlfn.XLOOKUP(AU182,[2]GAE!HZ:HZ,[2]GAE!IF:IF)</f>
        <v>Others</v>
      </c>
      <c r="AY182" t="str">
        <f>_xlfn.XLOOKUP(AU182,[2]GAE!HZ:HZ,[2]GAE!IG:IG)</f>
        <v>Insurance</v>
      </c>
      <c r="BF182" t="s">
        <v>24</v>
      </c>
      <c r="BG182" s="2" t="s">
        <v>24</v>
      </c>
      <c r="BH182" s="10">
        <f>SUMIFS('[1]2026'!$K:$K,'[1]2026'!$T:$T,BD182,'[1]2026'!$S:$S,BH$3,'[1]2026'!$P:$P,AU182)</f>
        <v>0</v>
      </c>
      <c r="BI182" s="10">
        <f>SUMIFS('[1]2026'!$K:$K,'[1]2026'!$T:$T,$BD182,'[1]2026'!$S:$S,BI$3,'[1]2026'!$P:$P,$AU182)</f>
        <v>0</v>
      </c>
      <c r="BJ182" s="10">
        <f>SUMIFS('[1]2026'!$K:$K,'[1]2026'!$T:$T,$BD182,'[1]2026'!$S:$S,BJ$3,'[1]2026'!$P:$P,$AU182)</f>
        <v>0</v>
      </c>
      <c r="BK182" s="10">
        <f>SUMIFS('[1]2026'!$K:$K,'[1]2026'!$T:$T,$BD182,'[1]2026'!$S:$S,BK$3,'[1]2026'!$P:$P,$AU182)</f>
        <v>0</v>
      </c>
      <c r="BL182" s="6"/>
      <c r="BM182" s="10">
        <f>SUMIFS('[1]2026'!$K:$K,'[1]2026'!$T:$T,$BD182,'[1]2026'!$S:$S,BM$3,'[1]2026'!$P:$P,$AU182)</f>
        <v>0</v>
      </c>
      <c r="BN182" s="10">
        <f>SUMIFS('[1]2026'!$K:$K,'[1]2026'!$T:$T,$BD182,'[1]2026'!$S:$S,BN$3,'[1]2026'!$P:$P,$AU182)</f>
        <v>0</v>
      </c>
      <c r="BO182" s="10">
        <f>SUMIFS('[1]2026'!$K:$K,'[1]2026'!$T:$T,$BD182,'[1]2026'!$S:$S,BO$3,'[1]2026'!$P:$P,$AU182)</f>
        <v>0</v>
      </c>
      <c r="BP182" s="6"/>
      <c r="BQ182" s="6"/>
      <c r="BR182" s="6"/>
      <c r="BS182" s="6"/>
      <c r="BT182" s="6">
        <f t="shared" si="71"/>
        <v>0</v>
      </c>
      <c r="BV182" s="6">
        <f t="shared" si="90"/>
        <v>0</v>
      </c>
      <c r="BW182" s="6">
        <f t="shared" si="91"/>
        <v>-15000</v>
      </c>
      <c r="BX182" s="6">
        <f t="shared" si="92"/>
        <v>0</v>
      </c>
      <c r="BY182" s="6">
        <f t="shared" si="93"/>
        <v>0</v>
      </c>
      <c r="BZ182" s="6">
        <f t="shared" si="94"/>
        <v>0</v>
      </c>
      <c r="CA182" s="6">
        <f t="shared" si="95"/>
        <v>0</v>
      </c>
      <c r="CB182" s="6">
        <f t="shared" si="96"/>
        <v>0</v>
      </c>
      <c r="CC182" s="6">
        <f t="shared" si="97"/>
        <v>0</v>
      </c>
      <c r="CD182" s="6">
        <f t="shared" si="98"/>
        <v>0</v>
      </c>
      <c r="CE182" s="6">
        <f t="shared" si="99"/>
        <v>0</v>
      </c>
      <c r="CF182" s="6">
        <f t="shared" si="100"/>
        <v>0</v>
      </c>
      <c r="CG182" s="6">
        <f t="shared" si="101"/>
        <v>0</v>
      </c>
      <c r="CH182" s="6">
        <f t="shared" si="72"/>
        <v>-15000</v>
      </c>
    </row>
    <row r="183" spans="1:86" hidden="1" x14ac:dyDescent="0.35">
      <c r="A183" s="3" t="s">
        <v>481</v>
      </c>
      <c r="C183" s="10">
        <v>15000</v>
      </c>
      <c r="N183" s="27">
        <f t="shared" si="88"/>
        <v>15000</v>
      </c>
      <c r="AA183" s="27">
        <f t="shared" si="87"/>
        <v>0</v>
      </c>
      <c r="AB183" s="10">
        <f t="shared" si="86"/>
        <v>0</v>
      </c>
      <c r="AC183" s="10">
        <f t="shared" si="86"/>
        <v>15000</v>
      </c>
      <c r="AD183" s="10">
        <f t="shared" si="86"/>
        <v>0</v>
      </c>
      <c r="AE183" s="10">
        <f t="shared" si="86"/>
        <v>0</v>
      </c>
      <c r="AF183" s="10">
        <f t="shared" si="86"/>
        <v>0</v>
      </c>
      <c r="AG183" s="10">
        <f t="shared" si="86"/>
        <v>0</v>
      </c>
      <c r="AH183" s="10">
        <f t="shared" si="86"/>
        <v>0</v>
      </c>
      <c r="AI183" s="10">
        <f t="shared" si="86"/>
        <v>0</v>
      </c>
      <c r="AJ183" s="10">
        <f t="shared" si="73"/>
        <v>0</v>
      </c>
      <c r="AK183" s="10">
        <f t="shared" si="89"/>
        <v>0</v>
      </c>
      <c r="AL183" s="10">
        <f t="shared" si="89"/>
        <v>0</v>
      </c>
      <c r="AM183" s="10">
        <f t="shared" si="89"/>
        <v>0</v>
      </c>
      <c r="AN183" s="27">
        <f t="shared" si="89"/>
        <v>15000</v>
      </c>
      <c r="AS183" t="str">
        <f>_xlfn.XLOOKUP(AU183,[2]GAE!HZ:HZ,[2]GAE!IA:IA)</f>
        <v>ADMIN SERVICES</v>
      </c>
      <c r="AT183" t="str">
        <f>_xlfn.XLOOKUP(AU183,[2]GAE!HZ:HZ,[2]GAE!IB:IB)</f>
        <v>GAE - Insurance - Motor Car</v>
      </c>
      <c r="AU183" t="s">
        <v>424</v>
      </c>
      <c r="AV183">
        <v>80123102</v>
      </c>
      <c r="AW183">
        <v>61101104</v>
      </c>
      <c r="AX183" t="str">
        <f>_xlfn.XLOOKUP(AU183,[2]GAE!HZ:HZ,[2]GAE!IF:IF)</f>
        <v>Others</v>
      </c>
      <c r="AY183" t="str">
        <f>_xlfn.XLOOKUP(AU183,[2]GAE!HZ:HZ,[2]GAE!IG:IG)</f>
        <v>Insurance</v>
      </c>
      <c r="BF183" t="s">
        <v>24</v>
      </c>
      <c r="BG183" s="2" t="s">
        <v>24</v>
      </c>
      <c r="BH183" s="10">
        <f>SUMIFS('[1]2026'!$K:$K,'[1]2026'!$T:$T,BD183,'[1]2026'!$S:$S,BH$3,'[1]2026'!$P:$P,AU183)</f>
        <v>0</v>
      </c>
      <c r="BI183" s="10">
        <f>SUMIFS('[1]2026'!$K:$K,'[1]2026'!$T:$T,$BD183,'[1]2026'!$S:$S,BI$3,'[1]2026'!$P:$P,$AU183)</f>
        <v>0</v>
      </c>
      <c r="BJ183" s="10">
        <f>SUMIFS('[1]2026'!$K:$K,'[1]2026'!$T:$T,$BD183,'[1]2026'!$S:$S,BJ$3,'[1]2026'!$P:$P,$AU183)</f>
        <v>0</v>
      </c>
      <c r="BK183" s="10">
        <f>SUMIFS('[1]2026'!$K:$K,'[1]2026'!$T:$T,$BD183,'[1]2026'!$S:$S,BK$3,'[1]2026'!$P:$P,$AU183)</f>
        <v>0</v>
      </c>
      <c r="BL183" s="6"/>
      <c r="BM183" s="10">
        <f>SUMIFS('[1]2026'!$K:$K,'[1]2026'!$T:$T,$BD183,'[1]2026'!$S:$S,BM$3,'[1]2026'!$P:$P,$AU183)</f>
        <v>0</v>
      </c>
      <c r="BN183" s="10">
        <f>SUMIFS('[1]2026'!$K:$K,'[1]2026'!$T:$T,$BD183,'[1]2026'!$S:$S,BN$3,'[1]2026'!$P:$P,$AU183)</f>
        <v>0</v>
      </c>
      <c r="BO183" s="10">
        <f>SUMIFS('[1]2026'!$K:$K,'[1]2026'!$T:$T,$BD183,'[1]2026'!$S:$S,BO$3,'[1]2026'!$P:$P,$AU183)</f>
        <v>0</v>
      </c>
      <c r="BP183" s="6"/>
      <c r="BQ183" s="6"/>
      <c r="BR183" s="6"/>
      <c r="BS183" s="6"/>
      <c r="BT183" s="6">
        <f t="shared" si="71"/>
        <v>0</v>
      </c>
      <c r="BV183" s="6">
        <f t="shared" si="90"/>
        <v>0</v>
      </c>
      <c r="BW183" s="6">
        <f t="shared" si="91"/>
        <v>-15000</v>
      </c>
      <c r="BX183" s="6">
        <f t="shared" si="92"/>
        <v>0</v>
      </c>
      <c r="BY183" s="6">
        <f t="shared" si="93"/>
        <v>0</v>
      </c>
      <c r="BZ183" s="6">
        <f t="shared" si="94"/>
        <v>0</v>
      </c>
      <c r="CA183" s="6">
        <f t="shared" si="95"/>
        <v>0</v>
      </c>
      <c r="CB183" s="6">
        <f t="shared" si="96"/>
        <v>0</v>
      </c>
      <c r="CC183" s="6">
        <f t="shared" si="97"/>
        <v>0</v>
      </c>
      <c r="CD183" s="6">
        <f t="shared" si="98"/>
        <v>0</v>
      </c>
      <c r="CE183" s="6">
        <f t="shared" si="99"/>
        <v>0</v>
      </c>
      <c r="CF183" s="6">
        <f t="shared" si="100"/>
        <v>0</v>
      </c>
      <c r="CG183" s="6">
        <f t="shared" si="101"/>
        <v>0</v>
      </c>
      <c r="CH183" s="6">
        <f t="shared" si="72"/>
        <v>-15000</v>
      </c>
    </row>
    <row r="184" spans="1:86" hidden="1" x14ac:dyDescent="0.35">
      <c r="A184" s="3" t="s">
        <v>482</v>
      </c>
      <c r="C184" s="10">
        <v>15000</v>
      </c>
      <c r="N184" s="27">
        <f t="shared" si="88"/>
        <v>15000</v>
      </c>
      <c r="AA184" s="27">
        <f t="shared" si="87"/>
        <v>0</v>
      </c>
      <c r="AB184" s="10">
        <f t="shared" si="86"/>
        <v>0</v>
      </c>
      <c r="AC184" s="10">
        <f t="shared" si="86"/>
        <v>15000</v>
      </c>
      <c r="AD184" s="10">
        <f t="shared" si="86"/>
        <v>0</v>
      </c>
      <c r="AE184" s="10">
        <f t="shared" si="86"/>
        <v>0</v>
      </c>
      <c r="AF184" s="10">
        <f t="shared" si="86"/>
        <v>0</v>
      </c>
      <c r="AG184" s="10">
        <f t="shared" si="86"/>
        <v>0</v>
      </c>
      <c r="AH184" s="10">
        <f t="shared" si="86"/>
        <v>0</v>
      </c>
      <c r="AI184" s="10">
        <f t="shared" si="86"/>
        <v>0</v>
      </c>
      <c r="AJ184" s="10">
        <f t="shared" si="73"/>
        <v>0</v>
      </c>
      <c r="AK184" s="10">
        <f t="shared" si="89"/>
        <v>0</v>
      </c>
      <c r="AL184" s="10">
        <f t="shared" si="89"/>
        <v>0</v>
      </c>
      <c r="AM184" s="10">
        <f t="shared" si="89"/>
        <v>0</v>
      </c>
      <c r="AN184" s="27">
        <f t="shared" si="89"/>
        <v>15000</v>
      </c>
      <c r="AS184" t="str">
        <f>_xlfn.XLOOKUP(AU184,[2]GAE!HZ:HZ,[2]GAE!IA:IA)</f>
        <v>ADMIN SERVICES</v>
      </c>
      <c r="AT184" t="str">
        <f>_xlfn.XLOOKUP(AU184,[2]GAE!HZ:HZ,[2]GAE!IB:IB)</f>
        <v>GAE - Insurance - Motor Car</v>
      </c>
      <c r="AU184" t="s">
        <v>424</v>
      </c>
      <c r="AV184">
        <v>80123102</v>
      </c>
      <c r="AW184">
        <v>61101104</v>
      </c>
      <c r="AX184" t="str">
        <f>_xlfn.XLOOKUP(AU184,[2]GAE!HZ:HZ,[2]GAE!IF:IF)</f>
        <v>Others</v>
      </c>
      <c r="AY184" t="str">
        <f>_xlfn.XLOOKUP(AU184,[2]GAE!HZ:HZ,[2]GAE!IG:IG)</f>
        <v>Insurance</v>
      </c>
      <c r="BF184" t="s">
        <v>24</v>
      </c>
      <c r="BG184" s="2" t="s">
        <v>24</v>
      </c>
      <c r="BH184" s="10">
        <f>SUMIFS('[1]2026'!$K:$K,'[1]2026'!$T:$T,BD184,'[1]2026'!$S:$S,BH$3,'[1]2026'!$P:$P,AU184)</f>
        <v>0</v>
      </c>
      <c r="BI184" s="10">
        <f>SUMIFS('[1]2026'!$K:$K,'[1]2026'!$T:$T,$BD184,'[1]2026'!$S:$S,BI$3,'[1]2026'!$P:$P,$AU184)</f>
        <v>0</v>
      </c>
      <c r="BJ184" s="10">
        <f>SUMIFS('[1]2026'!$K:$K,'[1]2026'!$T:$T,$BD184,'[1]2026'!$S:$S,BJ$3,'[1]2026'!$P:$P,$AU184)</f>
        <v>0</v>
      </c>
      <c r="BK184" s="10">
        <f>SUMIFS('[1]2026'!$K:$K,'[1]2026'!$T:$T,$BD184,'[1]2026'!$S:$S,BK$3,'[1]2026'!$P:$P,$AU184)</f>
        <v>0</v>
      </c>
      <c r="BL184" s="6"/>
      <c r="BM184" s="10">
        <f>SUMIFS('[1]2026'!$K:$K,'[1]2026'!$T:$T,$BD184,'[1]2026'!$S:$S,BM$3,'[1]2026'!$P:$P,$AU184)</f>
        <v>0</v>
      </c>
      <c r="BN184" s="10">
        <f>SUMIFS('[1]2026'!$K:$K,'[1]2026'!$T:$T,$BD184,'[1]2026'!$S:$S,BN$3,'[1]2026'!$P:$P,$AU184)</f>
        <v>0</v>
      </c>
      <c r="BO184" s="10">
        <f>SUMIFS('[1]2026'!$K:$K,'[1]2026'!$T:$T,$BD184,'[1]2026'!$S:$S,BO$3,'[1]2026'!$P:$P,$AU184)</f>
        <v>0</v>
      </c>
      <c r="BP184" s="6"/>
      <c r="BQ184" s="6"/>
      <c r="BR184" s="6"/>
      <c r="BS184" s="6"/>
      <c r="BT184" s="6">
        <f t="shared" si="71"/>
        <v>0</v>
      </c>
      <c r="BV184" s="6">
        <f t="shared" si="90"/>
        <v>0</v>
      </c>
      <c r="BW184" s="6">
        <f t="shared" si="91"/>
        <v>-15000</v>
      </c>
      <c r="BX184" s="6">
        <f t="shared" si="92"/>
        <v>0</v>
      </c>
      <c r="BY184" s="6">
        <f t="shared" si="93"/>
        <v>0</v>
      </c>
      <c r="BZ184" s="6">
        <f t="shared" si="94"/>
        <v>0</v>
      </c>
      <c r="CA184" s="6">
        <f t="shared" si="95"/>
        <v>0</v>
      </c>
      <c r="CB184" s="6">
        <f t="shared" si="96"/>
        <v>0</v>
      </c>
      <c r="CC184" s="6">
        <f t="shared" si="97"/>
        <v>0</v>
      </c>
      <c r="CD184" s="6">
        <f t="shared" si="98"/>
        <v>0</v>
      </c>
      <c r="CE184" s="6">
        <f t="shared" si="99"/>
        <v>0</v>
      </c>
      <c r="CF184" s="6">
        <f t="shared" si="100"/>
        <v>0</v>
      </c>
      <c r="CG184" s="6">
        <f t="shared" si="101"/>
        <v>0</v>
      </c>
      <c r="CH184" s="6">
        <f t="shared" si="72"/>
        <v>-15000</v>
      </c>
    </row>
    <row r="185" spans="1:86" hidden="1" x14ac:dyDescent="0.35">
      <c r="A185" s="3" t="s">
        <v>483</v>
      </c>
      <c r="C185" s="10">
        <v>15000</v>
      </c>
      <c r="N185" s="27">
        <f t="shared" si="88"/>
        <v>15000</v>
      </c>
      <c r="AA185" s="27">
        <f t="shared" si="87"/>
        <v>0</v>
      </c>
      <c r="AB185" s="10">
        <f t="shared" si="86"/>
        <v>0</v>
      </c>
      <c r="AC185" s="10">
        <f t="shared" si="86"/>
        <v>15000</v>
      </c>
      <c r="AD185" s="10">
        <f t="shared" si="86"/>
        <v>0</v>
      </c>
      <c r="AE185" s="10">
        <f t="shared" si="86"/>
        <v>0</v>
      </c>
      <c r="AF185" s="10">
        <f t="shared" si="86"/>
        <v>0</v>
      </c>
      <c r="AG185" s="10">
        <f t="shared" si="86"/>
        <v>0</v>
      </c>
      <c r="AH185" s="10">
        <f t="shared" si="86"/>
        <v>0</v>
      </c>
      <c r="AI185" s="10">
        <f t="shared" si="86"/>
        <v>0</v>
      </c>
      <c r="AJ185" s="10">
        <f t="shared" si="73"/>
        <v>0</v>
      </c>
      <c r="AK185" s="10">
        <f t="shared" si="89"/>
        <v>0</v>
      </c>
      <c r="AL185" s="10">
        <f t="shared" si="89"/>
        <v>0</v>
      </c>
      <c r="AM185" s="10">
        <f t="shared" si="89"/>
        <v>0</v>
      </c>
      <c r="AN185" s="27">
        <f t="shared" si="89"/>
        <v>15000</v>
      </c>
      <c r="AS185" t="str">
        <f>_xlfn.XLOOKUP(AU185,[2]GAE!HZ:HZ,[2]GAE!IA:IA)</f>
        <v>ADMIN SERVICES</v>
      </c>
      <c r="AT185" t="str">
        <f>_xlfn.XLOOKUP(AU185,[2]GAE!HZ:HZ,[2]GAE!IB:IB)</f>
        <v>GAE - Insurance - Motor Car</v>
      </c>
      <c r="AU185" t="s">
        <v>424</v>
      </c>
      <c r="AV185">
        <v>80123102</v>
      </c>
      <c r="AW185">
        <v>61101104</v>
      </c>
      <c r="AX185" t="str">
        <f>_xlfn.XLOOKUP(AU185,[2]GAE!HZ:HZ,[2]GAE!IF:IF)</f>
        <v>Others</v>
      </c>
      <c r="AY185" t="str">
        <f>_xlfn.XLOOKUP(AU185,[2]GAE!HZ:HZ,[2]GAE!IG:IG)</f>
        <v>Insurance</v>
      </c>
      <c r="BF185" t="s">
        <v>24</v>
      </c>
      <c r="BG185" s="2" t="s">
        <v>24</v>
      </c>
      <c r="BH185" s="10">
        <f>SUMIFS('[1]2026'!$K:$K,'[1]2026'!$T:$T,BD185,'[1]2026'!$S:$S,BH$3,'[1]2026'!$P:$P,AU185)</f>
        <v>0</v>
      </c>
      <c r="BI185" s="10">
        <f>SUMIFS('[1]2026'!$K:$K,'[1]2026'!$T:$T,$BD185,'[1]2026'!$S:$S,BI$3,'[1]2026'!$P:$P,$AU185)</f>
        <v>0</v>
      </c>
      <c r="BJ185" s="10">
        <f>SUMIFS('[1]2026'!$K:$K,'[1]2026'!$T:$T,$BD185,'[1]2026'!$S:$S,BJ$3,'[1]2026'!$P:$P,$AU185)</f>
        <v>0</v>
      </c>
      <c r="BK185" s="10">
        <f>SUMIFS('[1]2026'!$K:$K,'[1]2026'!$T:$T,$BD185,'[1]2026'!$S:$S,BK$3,'[1]2026'!$P:$P,$AU185)</f>
        <v>0</v>
      </c>
      <c r="BL185" s="6"/>
      <c r="BM185" s="10">
        <f>SUMIFS('[1]2026'!$K:$K,'[1]2026'!$T:$T,$BD185,'[1]2026'!$S:$S,BM$3,'[1]2026'!$P:$P,$AU185)</f>
        <v>0</v>
      </c>
      <c r="BN185" s="10">
        <f>SUMIFS('[1]2026'!$K:$K,'[1]2026'!$T:$T,$BD185,'[1]2026'!$S:$S,BN$3,'[1]2026'!$P:$P,$AU185)</f>
        <v>0</v>
      </c>
      <c r="BO185" s="10">
        <f>SUMIFS('[1]2026'!$K:$K,'[1]2026'!$T:$T,$BD185,'[1]2026'!$S:$S,BO$3,'[1]2026'!$P:$P,$AU185)</f>
        <v>0</v>
      </c>
      <c r="BP185" s="6"/>
      <c r="BQ185" s="6"/>
      <c r="BR185" s="6"/>
      <c r="BS185" s="6"/>
      <c r="BT185" s="6">
        <f t="shared" si="71"/>
        <v>0</v>
      </c>
      <c r="BV185" s="6">
        <f t="shared" si="90"/>
        <v>0</v>
      </c>
      <c r="BW185" s="6">
        <f t="shared" si="91"/>
        <v>-15000</v>
      </c>
      <c r="BX185" s="6">
        <f t="shared" si="92"/>
        <v>0</v>
      </c>
      <c r="BY185" s="6">
        <f t="shared" si="93"/>
        <v>0</v>
      </c>
      <c r="BZ185" s="6">
        <f t="shared" si="94"/>
        <v>0</v>
      </c>
      <c r="CA185" s="6">
        <f t="shared" si="95"/>
        <v>0</v>
      </c>
      <c r="CB185" s="6">
        <f t="shared" si="96"/>
        <v>0</v>
      </c>
      <c r="CC185" s="6">
        <f t="shared" si="97"/>
        <v>0</v>
      </c>
      <c r="CD185" s="6">
        <f t="shared" si="98"/>
        <v>0</v>
      </c>
      <c r="CE185" s="6">
        <f t="shared" si="99"/>
        <v>0</v>
      </c>
      <c r="CF185" s="6">
        <f t="shared" si="100"/>
        <v>0</v>
      </c>
      <c r="CG185" s="6">
        <f t="shared" si="101"/>
        <v>0</v>
      </c>
      <c r="CH185" s="6">
        <f t="shared" si="72"/>
        <v>-15000</v>
      </c>
    </row>
    <row r="186" spans="1:86" hidden="1" x14ac:dyDescent="0.35">
      <c r="A186" s="3" t="s">
        <v>484</v>
      </c>
      <c r="C186" s="10">
        <v>15000</v>
      </c>
      <c r="N186" s="27">
        <f t="shared" si="88"/>
        <v>15000</v>
      </c>
      <c r="AA186" s="27">
        <f t="shared" si="87"/>
        <v>0</v>
      </c>
      <c r="AB186" s="10">
        <f t="shared" si="86"/>
        <v>0</v>
      </c>
      <c r="AC186" s="10">
        <f t="shared" si="86"/>
        <v>15000</v>
      </c>
      <c r="AD186" s="10">
        <f t="shared" si="86"/>
        <v>0</v>
      </c>
      <c r="AE186" s="10">
        <f t="shared" si="86"/>
        <v>0</v>
      </c>
      <c r="AF186" s="10">
        <f t="shared" si="86"/>
        <v>0</v>
      </c>
      <c r="AG186" s="10">
        <f t="shared" si="86"/>
        <v>0</v>
      </c>
      <c r="AH186" s="10">
        <f t="shared" si="86"/>
        <v>0</v>
      </c>
      <c r="AI186" s="10">
        <f t="shared" si="86"/>
        <v>0</v>
      </c>
      <c r="AJ186" s="10">
        <f t="shared" si="73"/>
        <v>0</v>
      </c>
      <c r="AK186" s="10">
        <f t="shared" si="89"/>
        <v>0</v>
      </c>
      <c r="AL186" s="10">
        <f t="shared" si="89"/>
        <v>0</v>
      </c>
      <c r="AM186" s="10">
        <f t="shared" si="89"/>
        <v>0</v>
      </c>
      <c r="AN186" s="27">
        <f t="shared" si="89"/>
        <v>15000</v>
      </c>
      <c r="AS186" t="str">
        <f>_xlfn.XLOOKUP(AU186,[2]GAE!HZ:HZ,[2]GAE!IA:IA)</f>
        <v>ADMIN SERVICES</v>
      </c>
      <c r="AT186" t="str">
        <f>_xlfn.XLOOKUP(AU186,[2]GAE!HZ:HZ,[2]GAE!IB:IB)</f>
        <v>GAE - Insurance - Motor Car</v>
      </c>
      <c r="AU186" t="s">
        <v>424</v>
      </c>
      <c r="AV186">
        <v>80123102</v>
      </c>
      <c r="AW186">
        <v>61101104</v>
      </c>
      <c r="AX186" t="str">
        <f>_xlfn.XLOOKUP(AU186,[2]GAE!HZ:HZ,[2]GAE!IF:IF)</f>
        <v>Others</v>
      </c>
      <c r="AY186" t="str">
        <f>_xlfn.XLOOKUP(AU186,[2]GAE!HZ:HZ,[2]GAE!IG:IG)</f>
        <v>Insurance</v>
      </c>
      <c r="BF186" t="s">
        <v>24</v>
      </c>
      <c r="BG186" s="2" t="s">
        <v>24</v>
      </c>
      <c r="BH186" s="10">
        <f>SUMIFS('[1]2026'!$K:$K,'[1]2026'!$T:$T,BD186,'[1]2026'!$S:$S,BH$3,'[1]2026'!$P:$P,AU186)</f>
        <v>0</v>
      </c>
      <c r="BI186" s="10">
        <f>SUMIFS('[1]2026'!$K:$K,'[1]2026'!$T:$T,$BD186,'[1]2026'!$S:$S,BI$3,'[1]2026'!$P:$P,$AU186)</f>
        <v>0</v>
      </c>
      <c r="BJ186" s="10">
        <f>SUMIFS('[1]2026'!$K:$K,'[1]2026'!$T:$T,$BD186,'[1]2026'!$S:$S,BJ$3,'[1]2026'!$P:$P,$AU186)</f>
        <v>0</v>
      </c>
      <c r="BK186" s="10">
        <f>SUMIFS('[1]2026'!$K:$K,'[1]2026'!$T:$T,$BD186,'[1]2026'!$S:$S,BK$3,'[1]2026'!$P:$P,$AU186)</f>
        <v>0</v>
      </c>
      <c r="BL186" s="6"/>
      <c r="BM186" s="10">
        <f>SUMIFS('[1]2026'!$K:$K,'[1]2026'!$T:$T,$BD186,'[1]2026'!$S:$S,BM$3,'[1]2026'!$P:$P,$AU186)</f>
        <v>0</v>
      </c>
      <c r="BN186" s="10">
        <f>SUMIFS('[1]2026'!$K:$K,'[1]2026'!$T:$T,$BD186,'[1]2026'!$S:$S,BN$3,'[1]2026'!$P:$P,$AU186)</f>
        <v>0</v>
      </c>
      <c r="BO186" s="10">
        <f>SUMIFS('[1]2026'!$K:$K,'[1]2026'!$T:$T,$BD186,'[1]2026'!$S:$S,BO$3,'[1]2026'!$P:$P,$AU186)</f>
        <v>0</v>
      </c>
      <c r="BP186" s="6"/>
      <c r="BQ186" s="6"/>
      <c r="BR186" s="6"/>
      <c r="BS186" s="6"/>
      <c r="BT186" s="6">
        <f t="shared" si="71"/>
        <v>0</v>
      </c>
      <c r="BV186" s="6">
        <f t="shared" si="90"/>
        <v>0</v>
      </c>
      <c r="BW186" s="6">
        <f t="shared" si="91"/>
        <v>-15000</v>
      </c>
      <c r="BX186" s="6">
        <f t="shared" si="92"/>
        <v>0</v>
      </c>
      <c r="BY186" s="6">
        <f t="shared" si="93"/>
        <v>0</v>
      </c>
      <c r="BZ186" s="6">
        <f t="shared" si="94"/>
        <v>0</v>
      </c>
      <c r="CA186" s="6">
        <f t="shared" si="95"/>
        <v>0</v>
      </c>
      <c r="CB186" s="6">
        <f t="shared" si="96"/>
        <v>0</v>
      </c>
      <c r="CC186" s="6">
        <f t="shared" si="97"/>
        <v>0</v>
      </c>
      <c r="CD186" s="6">
        <f t="shared" si="98"/>
        <v>0</v>
      </c>
      <c r="CE186" s="6">
        <f t="shared" si="99"/>
        <v>0</v>
      </c>
      <c r="CF186" s="6">
        <f t="shared" si="100"/>
        <v>0</v>
      </c>
      <c r="CG186" s="6">
        <f t="shared" si="101"/>
        <v>0</v>
      </c>
      <c r="CH186" s="6">
        <f t="shared" si="72"/>
        <v>-15000</v>
      </c>
    </row>
    <row r="187" spans="1:86" hidden="1" x14ac:dyDescent="0.35">
      <c r="A187" s="3" t="s">
        <v>485</v>
      </c>
      <c r="C187" s="10">
        <v>15000</v>
      </c>
      <c r="N187" s="27">
        <f t="shared" si="88"/>
        <v>15000</v>
      </c>
      <c r="AA187" s="27">
        <f t="shared" si="87"/>
        <v>0</v>
      </c>
      <c r="AB187" s="10">
        <f t="shared" si="86"/>
        <v>0</v>
      </c>
      <c r="AC187" s="10">
        <f t="shared" si="86"/>
        <v>15000</v>
      </c>
      <c r="AD187" s="10">
        <f t="shared" si="86"/>
        <v>0</v>
      </c>
      <c r="AE187" s="10">
        <f t="shared" si="86"/>
        <v>0</v>
      </c>
      <c r="AF187" s="10">
        <f t="shared" si="86"/>
        <v>0</v>
      </c>
      <c r="AG187" s="10">
        <f t="shared" si="86"/>
        <v>0</v>
      </c>
      <c r="AH187" s="10">
        <f t="shared" si="86"/>
        <v>0</v>
      </c>
      <c r="AI187" s="10">
        <f t="shared" si="86"/>
        <v>0</v>
      </c>
      <c r="AJ187" s="10">
        <f t="shared" si="73"/>
        <v>0</v>
      </c>
      <c r="AK187" s="10">
        <f t="shared" si="89"/>
        <v>0</v>
      </c>
      <c r="AL187" s="10">
        <f t="shared" si="89"/>
        <v>0</v>
      </c>
      <c r="AM187" s="10">
        <f t="shared" si="89"/>
        <v>0</v>
      </c>
      <c r="AN187" s="27">
        <f t="shared" si="89"/>
        <v>15000</v>
      </c>
      <c r="AS187" t="str">
        <f>_xlfn.XLOOKUP(AU187,[2]GAE!HZ:HZ,[2]GAE!IA:IA)</f>
        <v>ADMIN SERVICES</v>
      </c>
      <c r="AT187" t="str">
        <f>_xlfn.XLOOKUP(AU187,[2]GAE!HZ:HZ,[2]GAE!IB:IB)</f>
        <v>GAE - Insurance - Motor Car</v>
      </c>
      <c r="AU187" t="s">
        <v>424</v>
      </c>
      <c r="AV187">
        <v>80123102</v>
      </c>
      <c r="AW187">
        <v>61101104</v>
      </c>
      <c r="AX187" t="str">
        <f>_xlfn.XLOOKUP(AU187,[2]GAE!HZ:HZ,[2]GAE!IF:IF)</f>
        <v>Others</v>
      </c>
      <c r="AY187" t="str">
        <f>_xlfn.XLOOKUP(AU187,[2]GAE!HZ:HZ,[2]GAE!IG:IG)</f>
        <v>Insurance</v>
      </c>
      <c r="BF187" t="s">
        <v>24</v>
      </c>
      <c r="BG187" s="2" t="s">
        <v>24</v>
      </c>
      <c r="BH187" s="10">
        <f>SUMIFS('[1]2026'!$K:$K,'[1]2026'!$T:$T,BD187,'[1]2026'!$S:$S,BH$3,'[1]2026'!$P:$P,AU187)</f>
        <v>0</v>
      </c>
      <c r="BI187" s="10">
        <f>SUMIFS('[1]2026'!$K:$K,'[1]2026'!$T:$T,$BD187,'[1]2026'!$S:$S,BI$3,'[1]2026'!$P:$P,$AU187)</f>
        <v>0</v>
      </c>
      <c r="BJ187" s="10">
        <f>SUMIFS('[1]2026'!$K:$K,'[1]2026'!$T:$T,$BD187,'[1]2026'!$S:$S,BJ$3,'[1]2026'!$P:$P,$AU187)</f>
        <v>0</v>
      </c>
      <c r="BK187" s="10">
        <f>SUMIFS('[1]2026'!$K:$K,'[1]2026'!$T:$T,$BD187,'[1]2026'!$S:$S,BK$3,'[1]2026'!$P:$P,$AU187)</f>
        <v>0</v>
      </c>
      <c r="BL187" s="6"/>
      <c r="BM187" s="10">
        <f>SUMIFS('[1]2026'!$K:$K,'[1]2026'!$T:$T,$BD187,'[1]2026'!$S:$S,BM$3,'[1]2026'!$P:$P,$AU187)</f>
        <v>0</v>
      </c>
      <c r="BN187" s="10">
        <f>SUMIFS('[1]2026'!$K:$K,'[1]2026'!$T:$T,$BD187,'[1]2026'!$S:$S,BN$3,'[1]2026'!$P:$P,$AU187)</f>
        <v>0</v>
      </c>
      <c r="BO187" s="10">
        <f>SUMIFS('[1]2026'!$K:$K,'[1]2026'!$T:$T,$BD187,'[1]2026'!$S:$S,BO$3,'[1]2026'!$P:$P,$AU187)</f>
        <v>0</v>
      </c>
      <c r="BP187" s="6"/>
      <c r="BQ187" s="6"/>
      <c r="BR187" s="6"/>
      <c r="BS187" s="6"/>
      <c r="BT187" s="6">
        <f t="shared" si="71"/>
        <v>0</v>
      </c>
      <c r="BV187" s="6">
        <f t="shared" si="90"/>
        <v>0</v>
      </c>
      <c r="BW187" s="6">
        <f t="shared" si="91"/>
        <v>-15000</v>
      </c>
      <c r="BX187" s="6">
        <f t="shared" si="92"/>
        <v>0</v>
      </c>
      <c r="BY187" s="6">
        <f t="shared" si="93"/>
        <v>0</v>
      </c>
      <c r="BZ187" s="6">
        <f t="shared" si="94"/>
        <v>0</v>
      </c>
      <c r="CA187" s="6">
        <f t="shared" si="95"/>
        <v>0</v>
      </c>
      <c r="CB187" s="6">
        <f t="shared" si="96"/>
        <v>0</v>
      </c>
      <c r="CC187" s="6">
        <f t="shared" si="97"/>
        <v>0</v>
      </c>
      <c r="CD187" s="6">
        <f t="shared" si="98"/>
        <v>0</v>
      </c>
      <c r="CE187" s="6">
        <f t="shared" si="99"/>
        <v>0</v>
      </c>
      <c r="CF187" s="6">
        <f t="shared" si="100"/>
        <v>0</v>
      </c>
      <c r="CG187" s="6">
        <f t="shared" si="101"/>
        <v>0</v>
      </c>
      <c r="CH187" s="6">
        <f t="shared" si="72"/>
        <v>-15000</v>
      </c>
    </row>
    <row r="188" spans="1:86" hidden="1" x14ac:dyDescent="0.35">
      <c r="A188" s="3" t="s">
        <v>486</v>
      </c>
      <c r="C188" s="10">
        <v>15000</v>
      </c>
      <c r="N188" s="27">
        <f t="shared" si="88"/>
        <v>15000</v>
      </c>
      <c r="AA188" s="27">
        <f t="shared" si="87"/>
        <v>0</v>
      </c>
      <c r="AB188" s="10">
        <f t="shared" si="86"/>
        <v>0</v>
      </c>
      <c r="AC188" s="10">
        <f t="shared" si="86"/>
        <v>15000</v>
      </c>
      <c r="AD188" s="10">
        <f t="shared" si="86"/>
        <v>0</v>
      </c>
      <c r="AE188" s="10">
        <f t="shared" si="86"/>
        <v>0</v>
      </c>
      <c r="AF188" s="10">
        <f t="shared" si="86"/>
        <v>0</v>
      </c>
      <c r="AG188" s="10">
        <f t="shared" si="86"/>
        <v>0</v>
      </c>
      <c r="AH188" s="10">
        <f t="shared" si="86"/>
        <v>0</v>
      </c>
      <c r="AI188" s="10">
        <f t="shared" si="86"/>
        <v>0</v>
      </c>
      <c r="AJ188" s="10">
        <f t="shared" si="73"/>
        <v>0</v>
      </c>
      <c r="AK188" s="10">
        <f t="shared" si="89"/>
        <v>0</v>
      </c>
      <c r="AL188" s="10">
        <f t="shared" si="89"/>
        <v>0</v>
      </c>
      <c r="AM188" s="10">
        <f t="shared" si="89"/>
        <v>0</v>
      </c>
      <c r="AN188" s="27">
        <f t="shared" si="89"/>
        <v>15000</v>
      </c>
      <c r="AS188" t="str">
        <f>_xlfn.XLOOKUP(AU188,[2]GAE!HZ:HZ,[2]GAE!IA:IA)</f>
        <v>ADMIN SERVICES</v>
      </c>
      <c r="AT188" t="str">
        <f>_xlfn.XLOOKUP(AU188,[2]GAE!HZ:HZ,[2]GAE!IB:IB)</f>
        <v>GAE - Insurance - Motor Car</v>
      </c>
      <c r="AU188" t="s">
        <v>424</v>
      </c>
      <c r="AV188">
        <v>80123102</v>
      </c>
      <c r="AW188">
        <v>61101104</v>
      </c>
      <c r="AX188" t="str">
        <f>_xlfn.XLOOKUP(AU188,[2]GAE!HZ:HZ,[2]GAE!IF:IF)</f>
        <v>Others</v>
      </c>
      <c r="AY188" t="str">
        <f>_xlfn.XLOOKUP(AU188,[2]GAE!HZ:HZ,[2]GAE!IG:IG)</f>
        <v>Insurance</v>
      </c>
      <c r="BF188" t="s">
        <v>24</v>
      </c>
      <c r="BG188" s="2" t="s">
        <v>24</v>
      </c>
      <c r="BH188" s="10">
        <f>SUMIFS('[1]2026'!$K:$K,'[1]2026'!$T:$T,BD188,'[1]2026'!$S:$S,BH$3,'[1]2026'!$P:$P,AU188)</f>
        <v>0</v>
      </c>
      <c r="BI188" s="10">
        <f>SUMIFS('[1]2026'!$K:$K,'[1]2026'!$T:$T,$BD188,'[1]2026'!$S:$S,BI$3,'[1]2026'!$P:$P,$AU188)</f>
        <v>0</v>
      </c>
      <c r="BJ188" s="10">
        <f>SUMIFS('[1]2026'!$K:$K,'[1]2026'!$T:$T,$BD188,'[1]2026'!$S:$S,BJ$3,'[1]2026'!$P:$P,$AU188)</f>
        <v>0</v>
      </c>
      <c r="BK188" s="10">
        <f>SUMIFS('[1]2026'!$K:$K,'[1]2026'!$T:$T,$BD188,'[1]2026'!$S:$S,BK$3,'[1]2026'!$P:$P,$AU188)</f>
        <v>0</v>
      </c>
      <c r="BL188" s="6"/>
      <c r="BM188" s="10">
        <f>SUMIFS('[1]2026'!$K:$K,'[1]2026'!$T:$T,$BD188,'[1]2026'!$S:$S,BM$3,'[1]2026'!$P:$P,$AU188)</f>
        <v>0</v>
      </c>
      <c r="BN188" s="10">
        <f>SUMIFS('[1]2026'!$K:$K,'[1]2026'!$T:$T,$BD188,'[1]2026'!$S:$S,BN$3,'[1]2026'!$P:$P,$AU188)</f>
        <v>0</v>
      </c>
      <c r="BO188" s="10">
        <f>SUMIFS('[1]2026'!$K:$K,'[1]2026'!$T:$T,$BD188,'[1]2026'!$S:$S,BO$3,'[1]2026'!$P:$P,$AU188)</f>
        <v>0</v>
      </c>
      <c r="BP188" s="6"/>
      <c r="BQ188" s="6"/>
      <c r="BR188" s="6"/>
      <c r="BS188" s="6"/>
      <c r="BT188" s="6">
        <f t="shared" si="71"/>
        <v>0</v>
      </c>
      <c r="BV188" s="6">
        <f t="shared" si="90"/>
        <v>0</v>
      </c>
      <c r="BW188" s="6">
        <f t="shared" si="91"/>
        <v>-15000</v>
      </c>
      <c r="BX188" s="6">
        <f t="shared" si="92"/>
        <v>0</v>
      </c>
      <c r="BY188" s="6">
        <f t="shared" si="93"/>
        <v>0</v>
      </c>
      <c r="BZ188" s="6">
        <f t="shared" si="94"/>
        <v>0</v>
      </c>
      <c r="CA188" s="6">
        <f t="shared" si="95"/>
        <v>0</v>
      </c>
      <c r="CB188" s="6">
        <f t="shared" si="96"/>
        <v>0</v>
      </c>
      <c r="CC188" s="6">
        <f t="shared" si="97"/>
        <v>0</v>
      </c>
      <c r="CD188" s="6">
        <f t="shared" si="98"/>
        <v>0</v>
      </c>
      <c r="CE188" s="6">
        <f t="shared" si="99"/>
        <v>0</v>
      </c>
      <c r="CF188" s="6">
        <f t="shared" si="100"/>
        <v>0</v>
      </c>
      <c r="CG188" s="6">
        <f t="shared" si="101"/>
        <v>0</v>
      </c>
      <c r="CH188" s="6">
        <f t="shared" si="72"/>
        <v>-15000</v>
      </c>
    </row>
    <row r="189" spans="1:86" hidden="1" x14ac:dyDescent="0.35">
      <c r="A189" s="3" t="s">
        <v>487</v>
      </c>
      <c r="C189" s="10">
        <v>15000</v>
      </c>
      <c r="N189" s="27">
        <f t="shared" si="88"/>
        <v>15000</v>
      </c>
      <c r="AA189" s="27">
        <f t="shared" si="87"/>
        <v>0</v>
      </c>
      <c r="AB189" s="10">
        <f t="shared" si="86"/>
        <v>0</v>
      </c>
      <c r="AC189" s="10">
        <f t="shared" si="86"/>
        <v>15000</v>
      </c>
      <c r="AD189" s="10">
        <f t="shared" ref="AB189:AM213" si="102">D189-Q189</f>
        <v>0</v>
      </c>
      <c r="AE189" s="10">
        <f t="shared" si="102"/>
        <v>0</v>
      </c>
      <c r="AF189" s="10">
        <f t="shared" si="102"/>
        <v>0</v>
      </c>
      <c r="AG189" s="10">
        <f t="shared" si="102"/>
        <v>0</v>
      </c>
      <c r="AH189" s="10">
        <f t="shared" si="102"/>
        <v>0</v>
      </c>
      <c r="AI189" s="10">
        <f t="shared" si="102"/>
        <v>0</v>
      </c>
      <c r="AJ189" s="10">
        <f t="shared" si="73"/>
        <v>0</v>
      </c>
      <c r="AK189" s="10">
        <f t="shared" si="89"/>
        <v>0</v>
      </c>
      <c r="AL189" s="10">
        <f t="shared" si="89"/>
        <v>0</v>
      </c>
      <c r="AM189" s="10">
        <f t="shared" si="89"/>
        <v>0</v>
      </c>
      <c r="AN189" s="27">
        <f t="shared" si="89"/>
        <v>15000</v>
      </c>
      <c r="AS189" t="str">
        <f>_xlfn.XLOOKUP(AU189,[2]GAE!HZ:HZ,[2]GAE!IA:IA)</f>
        <v>ADMIN SERVICES</v>
      </c>
      <c r="AT189" t="str">
        <f>_xlfn.XLOOKUP(AU189,[2]GAE!HZ:HZ,[2]GAE!IB:IB)</f>
        <v>GAE - Insurance - Motor Car</v>
      </c>
      <c r="AU189" t="s">
        <v>424</v>
      </c>
      <c r="AV189">
        <v>80123102</v>
      </c>
      <c r="AW189">
        <v>61101104</v>
      </c>
      <c r="AX189" t="str">
        <f>_xlfn.XLOOKUP(AU189,[2]GAE!HZ:HZ,[2]GAE!IF:IF)</f>
        <v>Others</v>
      </c>
      <c r="AY189" t="str">
        <f>_xlfn.XLOOKUP(AU189,[2]GAE!HZ:HZ,[2]GAE!IG:IG)</f>
        <v>Insurance</v>
      </c>
      <c r="BF189" t="s">
        <v>24</v>
      </c>
      <c r="BG189" s="2" t="s">
        <v>24</v>
      </c>
      <c r="BH189" s="10">
        <f>SUMIFS('[1]2026'!$K:$K,'[1]2026'!$T:$T,BD189,'[1]2026'!$S:$S,BH$3,'[1]2026'!$P:$P,AU189)</f>
        <v>0</v>
      </c>
      <c r="BI189" s="10">
        <f>SUMIFS('[1]2026'!$K:$K,'[1]2026'!$T:$T,$BD189,'[1]2026'!$S:$S,BI$3,'[1]2026'!$P:$P,$AU189)</f>
        <v>0</v>
      </c>
      <c r="BJ189" s="10">
        <f>SUMIFS('[1]2026'!$K:$K,'[1]2026'!$T:$T,$BD189,'[1]2026'!$S:$S,BJ$3,'[1]2026'!$P:$P,$AU189)</f>
        <v>0</v>
      </c>
      <c r="BK189" s="10">
        <f>SUMIFS('[1]2026'!$K:$K,'[1]2026'!$T:$T,$BD189,'[1]2026'!$S:$S,BK$3,'[1]2026'!$P:$P,$AU189)</f>
        <v>0</v>
      </c>
      <c r="BL189" s="6"/>
      <c r="BM189" s="10">
        <f>SUMIFS('[1]2026'!$K:$K,'[1]2026'!$T:$T,$BD189,'[1]2026'!$S:$S,BM$3,'[1]2026'!$P:$P,$AU189)</f>
        <v>0</v>
      </c>
      <c r="BN189" s="10">
        <f>SUMIFS('[1]2026'!$K:$K,'[1]2026'!$T:$T,$BD189,'[1]2026'!$S:$S,BN$3,'[1]2026'!$P:$P,$AU189)</f>
        <v>0</v>
      </c>
      <c r="BO189" s="10">
        <f>SUMIFS('[1]2026'!$K:$K,'[1]2026'!$T:$T,$BD189,'[1]2026'!$S:$S,BO$3,'[1]2026'!$P:$P,$AU189)</f>
        <v>0</v>
      </c>
      <c r="BP189" s="6"/>
      <c r="BQ189" s="6"/>
      <c r="BR189" s="6"/>
      <c r="BS189" s="6"/>
      <c r="BT189" s="6">
        <f t="shared" si="71"/>
        <v>0</v>
      </c>
      <c r="BV189" s="6">
        <f t="shared" si="90"/>
        <v>0</v>
      </c>
      <c r="BW189" s="6">
        <f t="shared" si="91"/>
        <v>-15000</v>
      </c>
      <c r="BX189" s="6">
        <f t="shared" si="92"/>
        <v>0</v>
      </c>
      <c r="BY189" s="6">
        <f t="shared" si="93"/>
        <v>0</v>
      </c>
      <c r="BZ189" s="6">
        <f t="shared" si="94"/>
        <v>0</v>
      </c>
      <c r="CA189" s="6">
        <f t="shared" si="95"/>
        <v>0</v>
      </c>
      <c r="CB189" s="6">
        <f t="shared" si="96"/>
        <v>0</v>
      </c>
      <c r="CC189" s="6">
        <f t="shared" si="97"/>
        <v>0</v>
      </c>
      <c r="CD189" s="6">
        <f t="shared" si="98"/>
        <v>0</v>
      </c>
      <c r="CE189" s="6">
        <f t="shared" si="99"/>
        <v>0</v>
      </c>
      <c r="CF189" s="6">
        <f t="shared" si="100"/>
        <v>0</v>
      </c>
      <c r="CG189" s="6">
        <f t="shared" si="101"/>
        <v>0</v>
      </c>
      <c r="CH189" s="6">
        <f t="shared" si="72"/>
        <v>-15000</v>
      </c>
    </row>
    <row r="190" spans="1:86" hidden="1" x14ac:dyDescent="0.35">
      <c r="A190" s="3" t="s">
        <v>488</v>
      </c>
      <c r="C190" s="10">
        <v>15000</v>
      </c>
      <c r="N190" s="27">
        <f t="shared" si="88"/>
        <v>15000</v>
      </c>
      <c r="AA190" s="27">
        <f t="shared" si="87"/>
        <v>0</v>
      </c>
      <c r="AB190" s="10">
        <f t="shared" si="102"/>
        <v>0</v>
      </c>
      <c r="AC190" s="10">
        <f t="shared" si="102"/>
        <v>15000</v>
      </c>
      <c r="AD190" s="10">
        <f t="shared" si="102"/>
        <v>0</v>
      </c>
      <c r="AE190" s="10">
        <f t="shared" si="102"/>
        <v>0</v>
      </c>
      <c r="AF190" s="10">
        <f t="shared" si="102"/>
        <v>0</v>
      </c>
      <c r="AG190" s="10">
        <f t="shared" si="102"/>
        <v>0</v>
      </c>
      <c r="AH190" s="10">
        <f t="shared" si="102"/>
        <v>0</v>
      </c>
      <c r="AI190" s="10">
        <f t="shared" si="102"/>
        <v>0</v>
      </c>
      <c r="AJ190" s="10">
        <f t="shared" si="73"/>
        <v>0</v>
      </c>
      <c r="AK190" s="10">
        <f t="shared" si="89"/>
        <v>0</v>
      </c>
      <c r="AL190" s="10">
        <f t="shared" si="89"/>
        <v>0</v>
      </c>
      <c r="AM190" s="10">
        <f t="shared" si="89"/>
        <v>0</v>
      </c>
      <c r="AN190" s="27">
        <f t="shared" si="89"/>
        <v>15000</v>
      </c>
      <c r="AS190" t="str">
        <f>_xlfn.XLOOKUP(AU190,[2]GAE!HZ:HZ,[2]GAE!IA:IA)</f>
        <v>ADMIN SERVICES</v>
      </c>
      <c r="AT190" t="str">
        <f>_xlfn.XLOOKUP(AU190,[2]GAE!HZ:HZ,[2]GAE!IB:IB)</f>
        <v>GAE - Insurance - Motor Car</v>
      </c>
      <c r="AU190" t="s">
        <v>424</v>
      </c>
      <c r="AV190">
        <v>80123102</v>
      </c>
      <c r="AW190">
        <v>61101104</v>
      </c>
      <c r="AX190" t="str">
        <f>_xlfn.XLOOKUP(AU190,[2]GAE!HZ:HZ,[2]GAE!IF:IF)</f>
        <v>Others</v>
      </c>
      <c r="AY190" t="str">
        <f>_xlfn.XLOOKUP(AU190,[2]GAE!HZ:HZ,[2]GAE!IG:IG)</f>
        <v>Insurance</v>
      </c>
      <c r="BF190" t="s">
        <v>24</v>
      </c>
      <c r="BG190" s="2" t="s">
        <v>24</v>
      </c>
      <c r="BH190" s="10">
        <f>SUMIFS('[1]2026'!$K:$K,'[1]2026'!$T:$T,BD190,'[1]2026'!$S:$S,BH$3,'[1]2026'!$P:$P,AU190)</f>
        <v>0</v>
      </c>
      <c r="BI190" s="10">
        <f>SUMIFS('[1]2026'!$K:$K,'[1]2026'!$T:$T,$BD190,'[1]2026'!$S:$S,BI$3,'[1]2026'!$P:$P,$AU190)</f>
        <v>0</v>
      </c>
      <c r="BJ190" s="10">
        <f>SUMIFS('[1]2026'!$K:$K,'[1]2026'!$T:$T,$BD190,'[1]2026'!$S:$S,BJ$3,'[1]2026'!$P:$P,$AU190)</f>
        <v>0</v>
      </c>
      <c r="BK190" s="10">
        <f>SUMIFS('[1]2026'!$K:$K,'[1]2026'!$T:$T,$BD190,'[1]2026'!$S:$S,BK$3,'[1]2026'!$P:$P,$AU190)</f>
        <v>0</v>
      </c>
      <c r="BL190" s="6"/>
      <c r="BM190" s="10">
        <f>SUMIFS('[1]2026'!$K:$K,'[1]2026'!$T:$T,$BD190,'[1]2026'!$S:$S,BM$3,'[1]2026'!$P:$P,$AU190)</f>
        <v>0</v>
      </c>
      <c r="BN190" s="10">
        <f>SUMIFS('[1]2026'!$K:$K,'[1]2026'!$T:$T,$BD190,'[1]2026'!$S:$S,BN$3,'[1]2026'!$P:$P,$AU190)</f>
        <v>0</v>
      </c>
      <c r="BO190" s="10">
        <f>SUMIFS('[1]2026'!$K:$K,'[1]2026'!$T:$T,$BD190,'[1]2026'!$S:$S,BO$3,'[1]2026'!$P:$P,$AU190)</f>
        <v>0</v>
      </c>
      <c r="BP190" s="6"/>
      <c r="BQ190" s="6"/>
      <c r="BR190" s="6"/>
      <c r="BS190" s="6"/>
      <c r="BT190" s="6">
        <f t="shared" si="71"/>
        <v>0</v>
      </c>
      <c r="BV190" s="6">
        <f t="shared" si="90"/>
        <v>0</v>
      </c>
      <c r="BW190" s="6">
        <f t="shared" si="91"/>
        <v>-15000</v>
      </c>
      <c r="BX190" s="6">
        <f t="shared" si="92"/>
        <v>0</v>
      </c>
      <c r="BY190" s="6">
        <f t="shared" si="93"/>
        <v>0</v>
      </c>
      <c r="BZ190" s="6">
        <f t="shared" si="94"/>
        <v>0</v>
      </c>
      <c r="CA190" s="6">
        <f t="shared" si="95"/>
        <v>0</v>
      </c>
      <c r="CB190" s="6">
        <f t="shared" si="96"/>
        <v>0</v>
      </c>
      <c r="CC190" s="6">
        <f t="shared" si="97"/>
        <v>0</v>
      </c>
      <c r="CD190" s="6">
        <f t="shared" si="98"/>
        <v>0</v>
      </c>
      <c r="CE190" s="6">
        <f t="shared" si="99"/>
        <v>0</v>
      </c>
      <c r="CF190" s="6">
        <f t="shared" si="100"/>
        <v>0</v>
      </c>
      <c r="CG190" s="6">
        <f t="shared" si="101"/>
        <v>0</v>
      </c>
      <c r="CH190" s="6">
        <f t="shared" si="72"/>
        <v>-15000</v>
      </c>
    </row>
    <row r="191" spans="1:86" hidden="1" x14ac:dyDescent="0.35">
      <c r="A191" s="3" t="s">
        <v>487</v>
      </c>
      <c r="C191" s="10">
        <v>15000</v>
      </c>
      <c r="N191" s="27">
        <f t="shared" si="88"/>
        <v>15000</v>
      </c>
      <c r="AA191" s="27">
        <f t="shared" si="87"/>
        <v>0</v>
      </c>
      <c r="AB191" s="10">
        <f t="shared" si="102"/>
        <v>0</v>
      </c>
      <c r="AC191" s="10">
        <f t="shared" si="102"/>
        <v>15000</v>
      </c>
      <c r="AD191" s="10">
        <f t="shared" si="102"/>
        <v>0</v>
      </c>
      <c r="AE191" s="10">
        <f t="shared" si="102"/>
        <v>0</v>
      </c>
      <c r="AF191" s="10">
        <f t="shared" si="102"/>
        <v>0</v>
      </c>
      <c r="AG191" s="10">
        <f t="shared" si="102"/>
        <v>0</v>
      </c>
      <c r="AH191" s="10">
        <f t="shared" si="102"/>
        <v>0</v>
      </c>
      <c r="AI191" s="10">
        <f t="shared" si="102"/>
        <v>0</v>
      </c>
      <c r="AJ191" s="10">
        <f t="shared" si="73"/>
        <v>0</v>
      </c>
      <c r="AK191" s="10">
        <f t="shared" si="89"/>
        <v>0</v>
      </c>
      <c r="AL191" s="10">
        <f t="shared" si="89"/>
        <v>0</v>
      </c>
      <c r="AM191" s="10">
        <f t="shared" si="89"/>
        <v>0</v>
      </c>
      <c r="AN191" s="27">
        <f t="shared" si="89"/>
        <v>15000</v>
      </c>
      <c r="AS191" t="str">
        <f>_xlfn.XLOOKUP(AU191,[2]GAE!HZ:HZ,[2]GAE!IA:IA)</f>
        <v>ADMIN SERVICES</v>
      </c>
      <c r="AT191" t="str">
        <f>_xlfn.XLOOKUP(AU191,[2]GAE!HZ:HZ,[2]GAE!IB:IB)</f>
        <v>GAE - Insurance - Motor Car</v>
      </c>
      <c r="AU191" t="s">
        <v>424</v>
      </c>
      <c r="AV191">
        <v>80123102</v>
      </c>
      <c r="AW191">
        <v>61101104</v>
      </c>
      <c r="AX191" t="str">
        <f>_xlfn.XLOOKUP(AU191,[2]GAE!HZ:HZ,[2]GAE!IF:IF)</f>
        <v>Others</v>
      </c>
      <c r="AY191" t="str">
        <f>_xlfn.XLOOKUP(AU191,[2]GAE!HZ:HZ,[2]GAE!IG:IG)</f>
        <v>Insurance</v>
      </c>
      <c r="BF191" t="s">
        <v>24</v>
      </c>
      <c r="BG191" s="2" t="s">
        <v>24</v>
      </c>
      <c r="BH191" s="10">
        <f>SUMIFS('[1]2026'!$K:$K,'[1]2026'!$T:$T,BD191,'[1]2026'!$S:$S,BH$3,'[1]2026'!$P:$P,AU191)</f>
        <v>0</v>
      </c>
      <c r="BI191" s="10">
        <f>SUMIFS('[1]2026'!$K:$K,'[1]2026'!$T:$T,$BD191,'[1]2026'!$S:$S,BI$3,'[1]2026'!$P:$P,$AU191)</f>
        <v>0</v>
      </c>
      <c r="BJ191" s="10">
        <f>SUMIFS('[1]2026'!$K:$K,'[1]2026'!$T:$T,$BD191,'[1]2026'!$S:$S,BJ$3,'[1]2026'!$P:$P,$AU191)</f>
        <v>0</v>
      </c>
      <c r="BK191" s="10">
        <f>SUMIFS('[1]2026'!$K:$K,'[1]2026'!$T:$T,$BD191,'[1]2026'!$S:$S,BK$3,'[1]2026'!$P:$P,$AU191)</f>
        <v>0</v>
      </c>
      <c r="BL191" s="6"/>
      <c r="BM191" s="10">
        <f>SUMIFS('[1]2026'!$K:$K,'[1]2026'!$T:$T,$BD191,'[1]2026'!$S:$S,BM$3,'[1]2026'!$P:$P,$AU191)</f>
        <v>0</v>
      </c>
      <c r="BN191" s="10">
        <f>SUMIFS('[1]2026'!$K:$K,'[1]2026'!$T:$T,$BD191,'[1]2026'!$S:$S,BN$3,'[1]2026'!$P:$P,$AU191)</f>
        <v>0</v>
      </c>
      <c r="BO191" s="10">
        <f>SUMIFS('[1]2026'!$K:$K,'[1]2026'!$T:$T,$BD191,'[1]2026'!$S:$S,BO$3,'[1]2026'!$P:$P,$AU191)</f>
        <v>0</v>
      </c>
      <c r="BP191" s="6"/>
      <c r="BQ191" s="6"/>
      <c r="BR191" s="6"/>
      <c r="BS191" s="6"/>
      <c r="BT191" s="6">
        <f t="shared" si="71"/>
        <v>0</v>
      </c>
      <c r="BV191" s="6">
        <f t="shared" si="90"/>
        <v>0</v>
      </c>
      <c r="BW191" s="6">
        <f t="shared" si="91"/>
        <v>-15000</v>
      </c>
      <c r="BX191" s="6">
        <f t="shared" si="92"/>
        <v>0</v>
      </c>
      <c r="BY191" s="6">
        <f t="shared" si="93"/>
        <v>0</v>
      </c>
      <c r="BZ191" s="6">
        <f t="shared" si="94"/>
        <v>0</v>
      </c>
      <c r="CA191" s="6">
        <f t="shared" si="95"/>
        <v>0</v>
      </c>
      <c r="CB191" s="6">
        <f t="shared" si="96"/>
        <v>0</v>
      </c>
      <c r="CC191" s="6">
        <f t="shared" si="97"/>
        <v>0</v>
      </c>
      <c r="CD191" s="6">
        <f t="shared" si="98"/>
        <v>0</v>
      </c>
      <c r="CE191" s="6">
        <f t="shared" si="99"/>
        <v>0</v>
      </c>
      <c r="CF191" s="6">
        <f t="shared" si="100"/>
        <v>0</v>
      </c>
      <c r="CG191" s="6">
        <f t="shared" si="101"/>
        <v>0</v>
      </c>
      <c r="CH191" s="6">
        <f t="shared" si="72"/>
        <v>-15000</v>
      </c>
    </row>
    <row r="192" spans="1:86" hidden="1" x14ac:dyDescent="0.35">
      <c r="A192" s="3" t="s">
        <v>489</v>
      </c>
      <c r="C192" s="10">
        <v>15000</v>
      </c>
      <c r="N192" s="27">
        <f t="shared" si="88"/>
        <v>15000</v>
      </c>
      <c r="AA192" s="27">
        <f t="shared" si="87"/>
        <v>0</v>
      </c>
      <c r="AB192" s="10">
        <f t="shared" si="102"/>
        <v>0</v>
      </c>
      <c r="AC192" s="10">
        <f t="shared" si="102"/>
        <v>15000</v>
      </c>
      <c r="AD192" s="10">
        <f t="shared" si="102"/>
        <v>0</v>
      </c>
      <c r="AE192" s="10">
        <f t="shared" si="102"/>
        <v>0</v>
      </c>
      <c r="AF192" s="10">
        <f t="shared" si="102"/>
        <v>0</v>
      </c>
      <c r="AG192" s="10">
        <f t="shared" si="102"/>
        <v>0</v>
      </c>
      <c r="AH192" s="10">
        <f t="shared" si="102"/>
        <v>0</v>
      </c>
      <c r="AI192" s="10">
        <f t="shared" si="102"/>
        <v>0</v>
      </c>
      <c r="AJ192" s="10">
        <f t="shared" si="73"/>
        <v>0</v>
      </c>
      <c r="AK192" s="10">
        <f t="shared" si="89"/>
        <v>0</v>
      </c>
      <c r="AL192" s="10">
        <f t="shared" si="89"/>
        <v>0</v>
      </c>
      <c r="AM192" s="10">
        <f t="shared" si="89"/>
        <v>0</v>
      </c>
      <c r="AN192" s="27">
        <f t="shared" si="89"/>
        <v>15000</v>
      </c>
      <c r="AS192" t="str">
        <f>_xlfn.XLOOKUP(AU192,[2]GAE!HZ:HZ,[2]GAE!IA:IA)</f>
        <v>ADMIN SERVICES</v>
      </c>
      <c r="AT192" t="str">
        <f>_xlfn.XLOOKUP(AU192,[2]GAE!HZ:HZ,[2]GAE!IB:IB)</f>
        <v>GAE - Insurance - Motor Car</v>
      </c>
      <c r="AU192" t="s">
        <v>424</v>
      </c>
      <c r="AV192">
        <v>80123102</v>
      </c>
      <c r="AW192">
        <v>61101104</v>
      </c>
      <c r="AX192" t="str">
        <f>_xlfn.XLOOKUP(AU192,[2]GAE!HZ:HZ,[2]GAE!IF:IF)</f>
        <v>Others</v>
      </c>
      <c r="AY192" t="str">
        <f>_xlfn.XLOOKUP(AU192,[2]GAE!HZ:HZ,[2]GAE!IG:IG)</f>
        <v>Insurance</v>
      </c>
      <c r="BF192" t="s">
        <v>24</v>
      </c>
      <c r="BG192" s="2" t="s">
        <v>24</v>
      </c>
      <c r="BH192" s="10">
        <f>SUMIFS('[1]2026'!$K:$K,'[1]2026'!$T:$T,BD192,'[1]2026'!$S:$S,BH$3,'[1]2026'!$P:$P,AU192)</f>
        <v>0</v>
      </c>
      <c r="BI192" s="10">
        <f>SUMIFS('[1]2026'!$K:$K,'[1]2026'!$T:$T,$BD192,'[1]2026'!$S:$S,BI$3,'[1]2026'!$P:$P,$AU192)</f>
        <v>0</v>
      </c>
      <c r="BJ192" s="10">
        <f>SUMIFS('[1]2026'!$K:$K,'[1]2026'!$T:$T,$BD192,'[1]2026'!$S:$S,BJ$3,'[1]2026'!$P:$P,$AU192)</f>
        <v>0</v>
      </c>
      <c r="BK192" s="10">
        <f>SUMIFS('[1]2026'!$K:$K,'[1]2026'!$T:$T,$BD192,'[1]2026'!$S:$S,BK$3,'[1]2026'!$P:$P,$AU192)</f>
        <v>0</v>
      </c>
      <c r="BL192" s="6"/>
      <c r="BM192" s="10">
        <f>SUMIFS('[1]2026'!$K:$K,'[1]2026'!$T:$T,$BD192,'[1]2026'!$S:$S,BM$3,'[1]2026'!$P:$P,$AU192)</f>
        <v>0</v>
      </c>
      <c r="BN192" s="10">
        <f>SUMIFS('[1]2026'!$K:$K,'[1]2026'!$T:$T,$BD192,'[1]2026'!$S:$S,BN$3,'[1]2026'!$P:$P,$AU192)</f>
        <v>0</v>
      </c>
      <c r="BO192" s="10">
        <f>SUMIFS('[1]2026'!$K:$K,'[1]2026'!$T:$T,$BD192,'[1]2026'!$S:$S,BO$3,'[1]2026'!$P:$P,$AU192)</f>
        <v>0</v>
      </c>
      <c r="BP192" s="6"/>
      <c r="BQ192" s="6"/>
      <c r="BR192" s="6"/>
      <c r="BS192" s="6"/>
      <c r="BT192" s="6">
        <f t="shared" si="71"/>
        <v>0</v>
      </c>
      <c r="BV192" s="6">
        <f t="shared" si="90"/>
        <v>0</v>
      </c>
      <c r="BW192" s="6">
        <f t="shared" si="91"/>
        <v>-15000</v>
      </c>
      <c r="BX192" s="6">
        <f t="shared" si="92"/>
        <v>0</v>
      </c>
      <c r="BY192" s="6">
        <f t="shared" si="93"/>
        <v>0</v>
      </c>
      <c r="BZ192" s="6">
        <f t="shared" si="94"/>
        <v>0</v>
      </c>
      <c r="CA192" s="6">
        <f t="shared" si="95"/>
        <v>0</v>
      </c>
      <c r="CB192" s="6">
        <f t="shared" si="96"/>
        <v>0</v>
      </c>
      <c r="CC192" s="6">
        <f t="shared" si="97"/>
        <v>0</v>
      </c>
      <c r="CD192" s="6">
        <f t="shared" si="98"/>
        <v>0</v>
      </c>
      <c r="CE192" s="6">
        <f t="shared" si="99"/>
        <v>0</v>
      </c>
      <c r="CF192" s="6">
        <f t="shared" si="100"/>
        <v>0</v>
      </c>
      <c r="CG192" s="6">
        <f t="shared" si="101"/>
        <v>0</v>
      </c>
      <c r="CH192" s="6">
        <f t="shared" si="72"/>
        <v>-15000</v>
      </c>
    </row>
    <row r="193" spans="1:86" hidden="1" x14ac:dyDescent="0.35">
      <c r="A193" s="3" t="s">
        <v>490</v>
      </c>
      <c r="C193" s="10">
        <v>15000</v>
      </c>
      <c r="N193" s="27">
        <f t="shared" si="88"/>
        <v>15000</v>
      </c>
      <c r="AA193" s="27">
        <f t="shared" si="87"/>
        <v>0</v>
      </c>
      <c r="AB193" s="10">
        <f t="shared" si="102"/>
        <v>0</v>
      </c>
      <c r="AC193" s="10">
        <f t="shared" si="102"/>
        <v>15000</v>
      </c>
      <c r="AD193" s="10">
        <f t="shared" si="102"/>
        <v>0</v>
      </c>
      <c r="AE193" s="10">
        <f t="shared" si="102"/>
        <v>0</v>
      </c>
      <c r="AF193" s="10">
        <f t="shared" si="102"/>
        <v>0</v>
      </c>
      <c r="AG193" s="10">
        <f t="shared" si="102"/>
        <v>0</v>
      </c>
      <c r="AH193" s="10">
        <f t="shared" si="102"/>
        <v>0</v>
      </c>
      <c r="AI193" s="10">
        <f t="shared" si="102"/>
        <v>0</v>
      </c>
      <c r="AJ193" s="10">
        <f t="shared" si="73"/>
        <v>0</v>
      </c>
      <c r="AK193" s="10">
        <f t="shared" si="89"/>
        <v>0</v>
      </c>
      <c r="AL193" s="10">
        <f t="shared" si="89"/>
        <v>0</v>
      </c>
      <c r="AM193" s="10">
        <f t="shared" si="89"/>
        <v>0</v>
      </c>
      <c r="AN193" s="27">
        <f t="shared" si="89"/>
        <v>15000</v>
      </c>
      <c r="AS193" t="str">
        <f>_xlfn.XLOOKUP(AU193,[2]GAE!HZ:HZ,[2]GAE!IA:IA)</f>
        <v>ADMIN SERVICES</v>
      </c>
      <c r="AT193" t="str">
        <f>_xlfn.XLOOKUP(AU193,[2]GAE!HZ:HZ,[2]GAE!IB:IB)</f>
        <v>GAE - Insurance - Motor Car</v>
      </c>
      <c r="AU193" t="s">
        <v>424</v>
      </c>
      <c r="AV193">
        <v>80123102</v>
      </c>
      <c r="AW193">
        <v>61101104</v>
      </c>
      <c r="AX193" t="str">
        <f>_xlfn.XLOOKUP(AU193,[2]GAE!HZ:HZ,[2]GAE!IF:IF)</f>
        <v>Others</v>
      </c>
      <c r="AY193" t="str">
        <f>_xlfn.XLOOKUP(AU193,[2]GAE!HZ:HZ,[2]GAE!IG:IG)</f>
        <v>Insurance</v>
      </c>
      <c r="BF193" t="s">
        <v>24</v>
      </c>
      <c r="BG193" s="2" t="s">
        <v>24</v>
      </c>
      <c r="BH193" s="10">
        <f>SUMIFS('[1]2026'!$K:$K,'[1]2026'!$T:$T,BD193,'[1]2026'!$S:$S,BH$3,'[1]2026'!$P:$P,AU193)</f>
        <v>0</v>
      </c>
      <c r="BI193" s="10">
        <f>SUMIFS('[1]2026'!$K:$K,'[1]2026'!$T:$T,$BD193,'[1]2026'!$S:$S,BI$3,'[1]2026'!$P:$P,$AU193)</f>
        <v>0</v>
      </c>
      <c r="BJ193" s="10">
        <f>SUMIFS('[1]2026'!$K:$K,'[1]2026'!$T:$T,$BD193,'[1]2026'!$S:$S,BJ$3,'[1]2026'!$P:$P,$AU193)</f>
        <v>0</v>
      </c>
      <c r="BK193" s="10">
        <f>SUMIFS('[1]2026'!$K:$K,'[1]2026'!$T:$T,$BD193,'[1]2026'!$S:$S,BK$3,'[1]2026'!$P:$P,$AU193)</f>
        <v>0</v>
      </c>
      <c r="BL193" s="6"/>
      <c r="BM193" s="10">
        <f>SUMIFS('[1]2026'!$K:$K,'[1]2026'!$T:$T,$BD193,'[1]2026'!$S:$S,BM$3,'[1]2026'!$P:$P,$AU193)</f>
        <v>0</v>
      </c>
      <c r="BN193" s="10">
        <f>SUMIFS('[1]2026'!$K:$K,'[1]2026'!$T:$T,$BD193,'[1]2026'!$S:$S,BN$3,'[1]2026'!$P:$P,$AU193)</f>
        <v>0</v>
      </c>
      <c r="BO193" s="10">
        <f>SUMIFS('[1]2026'!$K:$K,'[1]2026'!$T:$T,$BD193,'[1]2026'!$S:$S,BO$3,'[1]2026'!$P:$P,$AU193)</f>
        <v>0</v>
      </c>
      <c r="BP193" s="6"/>
      <c r="BQ193" s="6"/>
      <c r="BR193" s="6"/>
      <c r="BS193" s="6"/>
      <c r="BT193" s="6">
        <f t="shared" si="71"/>
        <v>0</v>
      </c>
      <c r="BV193" s="6">
        <f t="shared" si="90"/>
        <v>0</v>
      </c>
      <c r="BW193" s="6">
        <f t="shared" si="91"/>
        <v>-15000</v>
      </c>
      <c r="BX193" s="6">
        <f t="shared" si="92"/>
        <v>0</v>
      </c>
      <c r="BY193" s="6">
        <f t="shared" si="93"/>
        <v>0</v>
      </c>
      <c r="BZ193" s="6">
        <f t="shared" si="94"/>
        <v>0</v>
      </c>
      <c r="CA193" s="6">
        <f t="shared" si="95"/>
        <v>0</v>
      </c>
      <c r="CB193" s="6">
        <f t="shared" si="96"/>
        <v>0</v>
      </c>
      <c r="CC193" s="6">
        <f t="shared" si="97"/>
        <v>0</v>
      </c>
      <c r="CD193" s="6">
        <f t="shared" si="98"/>
        <v>0</v>
      </c>
      <c r="CE193" s="6">
        <f t="shared" si="99"/>
        <v>0</v>
      </c>
      <c r="CF193" s="6">
        <f t="shared" si="100"/>
        <v>0</v>
      </c>
      <c r="CG193" s="6">
        <f t="shared" si="101"/>
        <v>0</v>
      </c>
      <c r="CH193" s="6">
        <f t="shared" si="72"/>
        <v>-15000</v>
      </c>
    </row>
    <row r="194" spans="1:86" hidden="1" x14ac:dyDescent="0.35">
      <c r="A194" s="3" t="s">
        <v>491</v>
      </c>
      <c r="C194" s="10">
        <v>15000</v>
      </c>
      <c r="N194" s="27">
        <f t="shared" si="88"/>
        <v>15000</v>
      </c>
      <c r="AA194" s="27">
        <f t="shared" si="87"/>
        <v>0</v>
      </c>
      <c r="AB194" s="10">
        <f t="shared" si="102"/>
        <v>0</v>
      </c>
      <c r="AC194" s="10">
        <f t="shared" si="102"/>
        <v>15000</v>
      </c>
      <c r="AD194" s="10">
        <f t="shared" si="102"/>
        <v>0</v>
      </c>
      <c r="AE194" s="10">
        <f t="shared" si="102"/>
        <v>0</v>
      </c>
      <c r="AF194" s="10">
        <f t="shared" si="102"/>
        <v>0</v>
      </c>
      <c r="AG194" s="10">
        <f t="shared" si="102"/>
        <v>0</v>
      </c>
      <c r="AH194" s="10">
        <f t="shared" si="102"/>
        <v>0</v>
      </c>
      <c r="AI194" s="10">
        <f t="shared" si="102"/>
        <v>0</v>
      </c>
      <c r="AJ194" s="10">
        <f t="shared" si="73"/>
        <v>0</v>
      </c>
      <c r="AK194" s="10">
        <f t="shared" si="89"/>
        <v>0</v>
      </c>
      <c r="AL194" s="10">
        <f t="shared" si="89"/>
        <v>0</v>
      </c>
      <c r="AM194" s="10">
        <f t="shared" si="89"/>
        <v>0</v>
      </c>
      <c r="AN194" s="27">
        <f t="shared" si="89"/>
        <v>15000</v>
      </c>
      <c r="AS194" t="str">
        <f>_xlfn.XLOOKUP(AU194,[2]GAE!HZ:HZ,[2]GAE!IA:IA)</f>
        <v>ADMIN SERVICES</v>
      </c>
      <c r="AT194" t="str">
        <f>_xlfn.XLOOKUP(AU194,[2]GAE!HZ:HZ,[2]GAE!IB:IB)</f>
        <v>GAE - Insurance - Motor Car</v>
      </c>
      <c r="AU194" t="s">
        <v>424</v>
      </c>
      <c r="AV194">
        <v>80123102</v>
      </c>
      <c r="AW194">
        <v>61101104</v>
      </c>
      <c r="AX194" t="str">
        <f>_xlfn.XLOOKUP(AU194,[2]GAE!HZ:HZ,[2]GAE!IF:IF)</f>
        <v>Others</v>
      </c>
      <c r="AY194" t="str">
        <f>_xlfn.XLOOKUP(AU194,[2]GAE!HZ:HZ,[2]GAE!IG:IG)</f>
        <v>Insurance</v>
      </c>
      <c r="BF194" t="s">
        <v>24</v>
      </c>
      <c r="BG194" s="2" t="s">
        <v>24</v>
      </c>
      <c r="BH194" s="10">
        <f>SUMIFS('[1]2026'!$K:$K,'[1]2026'!$T:$T,BD194,'[1]2026'!$S:$S,BH$3,'[1]2026'!$P:$P,AU194)</f>
        <v>0</v>
      </c>
      <c r="BI194" s="10">
        <f>SUMIFS('[1]2026'!$K:$K,'[1]2026'!$T:$T,$BD194,'[1]2026'!$S:$S,BI$3,'[1]2026'!$P:$P,$AU194)</f>
        <v>0</v>
      </c>
      <c r="BJ194" s="10">
        <f>SUMIFS('[1]2026'!$K:$K,'[1]2026'!$T:$T,$BD194,'[1]2026'!$S:$S,BJ$3,'[1]2026'!$P:$P,$AU194)</f>
        <v>0</v>
      </c>
      <c r="BK194" s="10">
        <f>SUMIFS('[1]2026'!$K:$K,'[1]2026'!$T:$T,$BD194,'[1]2026'!$S:$S,BK$3,'[1]2026'!$P:$P,$AU194)</f>
        <v>0</v>
      </c>
      <c r="BL194" s="6"/>
      <c r="BM194" s="10">
        <f>SUMIFS('[1]2026'!$K:$K,'[1]2026'!$T:$T,$BD194,'[1]2026'!$S:$S,BM$3,'[1]2026'!$P:$P,$AU194)</f>
        <v>0</v>
      </c>
      <c r="BN194" s="10">
        <f>SUMIFS('[1]2026'!$K:$K,'[1]2026'!$T:$T,$BD194,'[1]2026'!$S:$S,BN$3,'[1]2026'!$P:$P,$AU194)</f>
        <v>0</v>
      </c>
      <c r="BO194" s="10">
        <f>SUMIFS('[1]2026'!$K:$K,'[1]2026'!$T:$T,$BD194,'[1]2026'!$S:$S,BO$3,'[1]2026'!$P:$P,$AU194)</f>
        <v>0</v>
      </c>
      <c r="BP194" s="6"/>
      <c r="BQ194" s="6"/>
      <c r="BR194" s="6"/>
      <c r="BS194" s="6"/>
      <c r="BT194" s="6">
        <f t="shared" si="71"/>
        <v>0</v>
      </c>
      <c r="BV194" s="6">
        <f t="shared" si="90"/>
        <v>0</v>
      </c>
      <c r="BW194" s="6">
        <f t="shared" si="91"/>
        <v>-15000</v>
      </c>
      <c r="BX194" s="6">
        <f t="shared" si="92"/>
        <v>0</v>
      </c>
      <c r="BY194" s="6">
        <f t="shared" si="93"/>
        <v>0</v>
      </c>
      <c r="BZ194" s="6">
        <f t="shared" si="94"/>
        <v>0</v>
      </c>
      <c r="CA194" s="6">
        <f t="shared" si="95"/>
        <v>0</v>
      </c>
      <c r="CB194" s="6">
        <f t="shared" si="96"/>
        <v>0</v>
      </c>
      <c r="CC194" s="6">
        <f t="shared" si="97"/>
        <v>0</v>
      </c>
      <c r="CD194" s="6">
        <f t="shared" si="98"/>
        <v>0</v>
      </c>
      <c r="CE194" s="6">
        <f t="shared" si="99"/>
        <v>0</v>
      </c>
      <c r="CF194" s="6">
        <f t="shared" si="100"/>
        <v>0</v>
      </c>
      <c r="CG194" s="6">
        <f t="shared" si="101"/>
        <v>0</v>
      </c>
      <c r="CH194" s="6">
        <f t="shared" si="72"/>
        <v>-15000</v>
      </c>
    </row>
    <row r="195" spans="1:86" hidden="1" x14ac:dyDescent="0.35">
      <c r="A195" s="3" t="s">
        <v>492</v>
      </c>
      <c r="C195" s="10">
        <v>15000</v>
      </c>
      <c r="N195" s="27">
        <f t="shared" si="88"/>
        <v>15000</v>
      </c>
      <c r="AA195" s="27">
        <f t="shared" si="87"/>
        <v>0</v>
      </c>
      <c r="AB195" s="10">
        <f t="shared" si="102"/>
        <v>0</v>
      </c>
      <c r="AC195" s="10">
        <f t="shared" si="102"/>
        <v>15000</v>
      </c>
      <c r="AD195" s="10">
        <f t="shared" si="102"/>
        <v>0</v>
      </c>
      <c r="AE195" s="10">
        <f t="shared" si="102"/>
        <v>0</v>
      </c>
      <c r="AF195" s="10">
        <f t="shared" si="102"/>
        <v>0</v>
      </c>
      <c r="AG195" s="10">
        <f t="shared" si="102"/>
        <v>0</v>
      </c>
      <c r="AH195" s="10">
        <f t="shared" si="102"/>
        <v>0</v>
      </c>
      <c r="AI195" s="10">
        <f t="shared" si="102"/>
        <v>0</v>
      </c>
      <c r="AJ195" s="10">
        <f t="shared" si="73"/>
        <v>0</v>
      </c>
      <c r="AK195" s="10">
        <f t="shared" si="89"/>
        <v>0</v>
      </c>
      <c r="AL195" s="10">
        <f t="shared" si="89"/>
        <v>0</v>
      </c>
      <c r="AM195" s="10">
        <f t="shared" si="89"/>
        <v>0</v>
      </c>
      <c r="AN195" s="27">
        <f t="shared" si="89"/>
        <v>15000</v>
      </c>
      <c r="AS195" t="str">
        <f>_xlfn.XLOOKUP(AU195,[2]GAE!HZ:HZ,[2]GAE!IA:IA)</f>
        <v>ADMIN SERVICES</v>
      </c>
      <c r="AT195" t="str">
        <f>_xlfn.XLOOKUP(AU195,[2]GAE!HZ:HZ,[2]GAE!IB:IB)</f>
        <v>GAE - Insurance - Motor Car</v>
      </c>
      <c r="AU195" t="s">
        <v>424</v>
      </c>
      <c r="AV195">
        <v>80123102</v>
      </c>
      <c r="AW195">
        <v>61101104</v>
      </c>
      <c r="AX195" t="str">
        <f>_xlfn.XLOOKUP(AU195,[2]GAE!HZ:HZ,[2]GAE!IF:IF)</f>
        <v>Others</v>
      </c>
      <c r="AY195" t="str">
        <f>_xlfn.XLOOKUP(AU195,[2]GAE!HZ:HZ,[2]GAE!IG:IG)</f>
        <v>Insurance</v>
      </c>
      <c r="BF195" t="s">
        <v>24</v>
      </c>
      <c r="BG195" s="2" t="s">
        <v>24</v>
      </c>
      <c r="BH195" s="10">
        <f>SUMIFS('[1]2026'!$K:$K,'[1]2026'!$T:$T,BD195,'[1]2026'!$S:$S,BH$3,'[1]2026'!$P:$P,AU195)</f>
        <v>0</v>
      </c>
      <c r="BI195" s="10">
        <f>SUMIFS('[1]2026'!$K:$K,'[1]2026'!$T:$T,$BD195,'[1]2026'!$S:$S,BI$3,'[1]2026'!$P:$P,$AU195)</f>
        <v>0</v>
      </c>
      <c r="BJ195" s="10">
        <f>SUMIFS('[1]2026'!$K:$K,'[1]2026'!$T:$T,$BD195,'[1]2026'!$S:$S,BJ$3,'[1]2026'!$P:$P,$AU195)</f>
        <v>0</v>
      </c>
      <c r="BK195" s="10">
        <f>SUMIFS('[1]2026'!$K:$K,'[1]2026'!$T:$T,$BD195,'[1]2026'!$S:$S,BK$3,'[1]2026'!$P:$P,$AU195)</f>
        <v>0</v>
      </c>
      <c r="BL195" s="6"/>
      <c r="BM195" s="10">
        <f>SUMIFS('[1]2026'!$K:$K,'[1]2026'!$T:$T,$BD195,'[1]2026'!$S:$S,BM$3,'[1]2026'!$P:$P,$AU195)</f>
        <v>0</v>
      </c>
      <c r="BN195" s="10">
        <f>SUMIFS('[1]2026'!$K:$K,'[1]2026'!$T:$T,$BD195,'[1]2026'!$S:$S,BN$3,'[1]2026'!$P:$P,$AU195)</f>
        <v>0</v>
      </c>
      <c r="BO195" s="10">
        <f>SUMIFS('[1]2026'!$K:$K,'[1]2026'!$T:$T,$BD195,'[1]2026'!$S:$S,BO$3,'[1]2026'!$P:$P,$AU195)</f>
        <v>0</v>
      </c>
      <c r="BP195" s="6"/>
      <c r="BQ195" s="6"/>
      <c r="BR195" s="6"/>
      <c r="BS195" s="6"/>
      <c r="BT195" s="6">
        <f t="shared" si="71"/>
        <v>0</v>
      </c>
      <c r="BV195" s="6">
        <f t="shared" si="90"/>
        <v>0</v>
      </c>
      <c r="BW195" s="6">
        <f t="shared" si="91"/>
        <v>-15000</v>
      </c>
      <c r="BX195" s="6">
        <f t="shared" si="92"/>
        <v>0</v>
      </c>
      <c r="BY195" s="6">
        <f t="shared" si="93"/>
        <v>0</v>
      </c>
      <c r="BZ195" s="6">
        <f t="shared" si="94"/>
        <v>0</v>
      </c>
      <c r="CA195" s="6">
        <f t="shared" si="95"/>
        <v>0</v>
      </c>
      <c r="CB195" s="6">
        <f t="shared" si="96"/>
        <v>0</v>
      </c>
      <c r="CC195" s="6">
        <f t="shared" si="97"/>
        <v>0</v>
      </c>
      <c r="CD195" s="6">
        <f t="shared" si="98"/>
        <v>0</v>
      </c>
      <c r="CE195" s="6">
        <f t="shared" si="99"/>
        <v>0</v>
      </c>
      <c r="CF195" s="6">
        <f t="shared" si="100"/>
        <v>0</v>
      </c>
      <c r="CG195" s="6">
        <f t="shared" si="101"/>
        <v>0</v>
      </c>
      <c r="CH195" s="6">
        <f t="shared" si="72"/>
        <v>-15000</v>
      </c>
    </row>
    <row r="196" spans="1:86" hidden="1" x14ac:dyDescent="0.35">
      <c r="A196" s="3" t="s">
        <v>491</v>
      </c>
      <c r="C196" s="10">
        <v>15000</v>
      </c>
      <c r="N196" s="27">
        <f t="shared" si="88"/>
        <v>15000</v>
      </c>
      <c r="AA196" s="27">
        <f t="shared" si="87"/>
        <v>0</v>
      </c>
      <c r="AB196" s="10">
        <f t="shared" si="102"/>
        <v>0</v>
      </c>
      <c r="AC196" s="10">
        <f t="shared" si="102"/>
        <v>15000</v>
      </c>
      <c r="AD196" s="10">
        <f t="shared" si="102"/>
        <v>0</v>
      </c>
      <c r="AE196" s="10">
        <f t="shared" si="102"/>
        <v>0</v>
      </c>
      <c r="AF196" s="10">
        <f t="shared" si="102"/>
        <v>0</v>
      </c>
      <c r="AG196" s="10">
        <f t="shared" si="102"/>
        <v>0</v>
      </c>
      <c r="AH196" s="10">
        <f t="shared" si="102"/>
        <v>0</v>
      </c>
      <c r="AI196" s="10">
        <f t="shared" si="102"/>
        <v>0</v>
      </c>
      <c r="AJ196" s="10">
        <f t="shared" si="73"/>
        <v>0</v>
      </c>
      <c r="AK196" s="10">
        <f t="shared" si="89"/>
        <v>0</v>
      </c>
      <c r="AL196" s="10">
        <f t="shared" si="89"/>
        <v>0</v>
      </c>
      <c r="AM196" s="10">
        <f t="shared" si="89"/>
        <v>0</v>
      </c>
      <c r="AN196" s="27">
        <f t="shared" si="89"/>
        <v>15000</v>
      </c>
      <c r="AS196" t="str">
        <f>_xlfn.XLOOKUP(AU196,[2]GAE!HZ:HZ,[2]GAE!IA:IA)</f>
        <v>ADMIN SERVICES</v>
      </c>
      <c r="AT196" t="str">
        <f>_xlfn.XLOOKUP(AU196,[2]GAE!HZ:HZ,[2]GAE!IB:IB)</f>
        <v>GAE - Insurance - Motor Car</v>
      </c>
      <c r="AU196" t="s">
        <v>424</v>
      </c>
      <c r="AV196">
        <v>80123102</v>
      </c>
      <c r="AW196">
        <v>61101104</v>
      </c>
      <c r="AX196" t="str">
        <f>_xlfn.XLOOKUP(AU196,[2]GAE!HZ:HZ,[2]GAE!IF:IF)</f>
        <v>Others</v>
      </c>
      <c r="AY196" t="str">
        <f>_xlfn.XLOOKUP(AU196,[2]GAE!HZ:HZ,[2]GAE!IG:IG)</f>
        <v>Insurance</v>
      </c>
      <c r="BF196" t="s">
        <v>24</v>
      </c>
      <c r="BG196" s="2" t="s">
        <v>24</v>
      </c>
      <c r="BH196" s="10">
        <f>SUMIFS('[1]2026'!$K:$K,'[1]2026'!$T:$T,BD196,'[1]2026'!$S:$S,BH$3,'[1]2026'!$P:$P,AU196)</f>
        <v>0</v>
      </c>
      <c r="BI196" s="10">
        <f>SUMIFS('[1]2026'!$K:$K,'[1]2026'!$T:$T,$BD196,'[1]2026'!$S:$S,BI$3,'[1]2026'!$P:$P,$AU196)</f>
        <v>0</v>
      </c>
      <c r="BJ196" s="10">
        <f>SUMIFS('[1]2026'!$K:$K,'[1]2026'!$T:$T,$BD196,'[1]2026'!$S:$S,BJ$3,'[1]2026'!$P:$P,$AU196)</f>
        <v>0</v>
      </c>
      <c r="BK196" s="10">
        <f>SUMIFS('[1]2026'!$K:$K,'[1]2026'!$T:$T,$BD196,'[1]2026'!$S:$S,BK$3,'[1]2026'!$P:$P,$AU196)</f>
        <v>0</v>
      </c>
      <c r="BL196" s="6"/>
      <c r="BM196" s="10">
        <f>SUMIFS('[1]2026'!$K:$K,'[1]2026'!$T:$T,$BD196,'[1]2026'!$S:$S,BM$3,'[1]2026'!$P:$P,$AU196)</f>
        <v>0</v>
      </c>
      <c r="BN196" s="10">
        <f>SUMIFS('[1]2026'!$K:$K,'[1]2026'!$T:$T,$BD196,'[1]2026'!$S:$S,BN$3,'[1]2026'!$P:$P,$AU196)</f>
        <v>0</v>
      </c>
      <c r="BO196" s="10">
        <f>SUMIFS('[1]2026'!$K:$K,'[1]2026'!$T:$T,$BD196,'[1]2026'!$S:$S,BO$3,'[1]2026'!$P:$P,$AU196)</f>
        <v>0</v>
      </c>
      <c r="BP196" s="6"/>
      <c r="BQ196" s="6"/>
      <c r="BR196" s="6"/>
      <c r="BS196" s="6"/>
      <c r="BT196" s="6">
        <f t="shared" si="71"/>
        <v>0</v>
      </c>
      <c r="BV196" s="6">
        <f t="shared" si="90"/>
        <v>0</v>
      </c>
      <c r="BW196" s="6">
        <f t="shared" si="91"/>
        <v>-15000</v>
      </c>
      <c r="BX196" s="6">
        <f t="shared" si="92"/>
        <v>0</v>
      </c>
      <c r="BY196" s="6">
        <f t="shared" si="93"/>
        <v>0</v>
      </c>
      <c r="BZ196" s="6">
        <f t="shared" si="94"/>
        <v>0</v>
      </c>
      <c r="CA196" s="6">
        <f t="shared" si="95"/>
        <v>0</v>
      </c>
      <c r="CB196" s="6">
        <f t="shared" si="96"/>
        <v>0</v>
      </c>
      <c r="CC196" s="6">
        <f t="shared" si="97"/>
        <v>0</v>
      </c>
      <c r="CD196" s="6">
        <f t="shared" si="98"/>
        <v>0</v>
      </c>
      <c r="CE196" s="6">
        <f t="shared" si="99"/>
        <v>0</v>
      </c>
      <c r="CF196" s="6">
        <f t="shared" si="100"/>
        <v>0</v>
      </c>
      <c r="CG196" s="6">
        <f t="shared" si="101"/>
        <v>0</v>
      </c>
      <c r="CH196" s="6">
        <f t="shared" si="72"/>
        <v>-15000</v>
      </c>
    </row>
    <row r="197" spans="1:86" hidden="1" x14ac:dyDescent="0.35">
      <c r="A197" s="3" t="s">
        <v>493</v>
      </c>
      <c r="C197" s="10">
        <v>15000</v>
      </c>
      <c r="N197" s="27">
        <f t="shared" si="88"/>
        <v>15000</v>
      </c>
      <c r="AA197" s="27">
        <f t="shared" si="87"/>
        <v>0</v>
      </c>
      <c r="AB197" s="10">
        <f t="shared" si="102"/>
        <v>0</v>
      </c>
      <c r="AC197" s="10">
        <f t="shared" si="102"/>
        <v>15000</v>
      </c>
      <c r="AD197" s="10">
        <f t="shared" si="102"/>
        <v>0</v>
      </c>
      <c r="AE197" s="10">
        <f t="shared" si="102"/>
        <v>0</v>
      </c>
      <c r="AF197" s="10">
        <f t="shared" si="102"/>
        <v>0</v>
      </c>
      <c r="AG197" s="10">
        <f t="shared" si="102"/>
        <v>0</v>
      </c>
      <c r="AH197" s="10">
        <f t="shared" si="102"/>
        <v>0</v>
      </c>
      <c r="AI197" s="10">
        <f t="shared" si="102"/>
        <v>0</v>
      </c>
      <c r="AJ197" s="10">
        <f t="shared" si="73"/>
        <v>0</v>
      </c>
      <c r="AK197" s="10">
        <f t="shared" si="89"/>
        <v>0</v>
      </c>
      <c r="AL197" s="10">
        <f t="shared" si="89"/>
        <v>0</v>
      </c>
      <c r="AM197" s="10">
        <f t="shared" si="89"/>
        <v>0</v>
      </c>
      <c r="AN197" s="27">
        <f t="shared" si="89"/>
        <v>15000</v>
      </c>
      <c r="AS197" t="str">
        <f>_xlfn.XLOOKUP(AU197,[2]GAE!HZ:HZ,[2]GAE!IA:IA)</f>
        <v>ADMIN SERVICES</v>
      </c>
      <c r="AT197" t="str">
        <f>_xlfn.XLOOKUP(AU197,[2]GAE!HZ:HZ,[2]GAE!IB:IB)</f>
        <v>GAE - Insurance - Motor Car</v>
      </c>
      <c r="AU197" t="s">
        <v>424</v>
      </c>
      <c r="AV197">
        <v>80123102</v>
      </c>
      <c r="AW197">
        <v>61101104</v>
      </c>
      <c r="AX197" t="str">
        <f>_xlfn.XLOOKUP(AU197,[2]GAE!HZ:HZ,[2]GAE!IF:IF)</f>
        <v>Others</v>
      </c>
      <c r="AY197" t="str">
        <f>_xlfn.XLOOKUP(AU197,[2]GAE!HZ:HZ,[2]GAE!IG:IG)</f>
        <v>Insurance</v>
      </c>
      <c r="BF197" t="s">
        <v>24</v>
      </c>
      <c r="BG197" s="2" t="s">
        <v>24</v>
      </c>
      <c r="BH197" s="10">
        <f>SUMIFS('[1]2026'!$K:$K,'[1]2026'!$T:$T,BD197,'[1]2026'!$S:$S,BH$3,'[1]2026'!$P:$P,AU197)</f>
        <v>0</v>
      </c>
      <c r="BI197" s="10">
        <f>SUMIFS('[1]2026'!$K:$K,'[1]2026'!$T:$T,$BD197,'[1]2026'!$S:$S,BI$3,'[1]2026'!$P:$P,$AU197)</f>
        <v>0</v>
      </c>
      <c r="BJ197" s="10">
        <f>SUMIFS('[1]2026'!$K:$K,'[1]2026'!$T:$T,$BD197,'[1]2026'!$S:$S,BJ$3,'[1]2026'!$P:$P,$AU197)</f>
        <v>0</v>
      </c>
      <c r="BK197" s="10">
        <f>SUMIFS('[1]2026'!$K:$K,'[1]2026'!$T:$T,$BD197,'[1]2026'!$S:$S,BK$3,'[1]2026'!$P:$P,$AU197)</f>
        <v>0</v>
      </c>
      <c r="BL197" s="6"/>
      <c r="BM197" s="10">
        <f>SUMIFS('[1]2026'!$K:$K,'[1]2026'!$T:$T,$BD197,'[1]2026'!$S:$S,BM$3,'[1]2026'!$P:$P,$AU197)</f>
        <v>0</v>
      </c>
      <c r="BN197" s="10">
        <f>SUMIFS('[1]2026'!$K:$K,'[1]2026'!$T:$T,$BD197,'[1]2026'!$S:$S,BN$3,'[1]2026'!$P:$P,$AU197)</f>
        <v>0</v>
      </c>
      <c r="BO197" s="10">
        <f>SUMIFS('[1]2026'!$K:$K,'[1]2026'!$T:$T,$BD197,'[1]2026'!$S:$S,BO$3,'[1]2026'!$P:$P,$AU197)</f>
        <v>0</v>
      </c>
      <c r="BP197" s="6"/>
      <c r="BQ197" s="6"/>
      <c r="BR197" s="6"/>
      <c r="BS197" s="6"/>
      <c r="BT197" s="6">
        <f t="shared" si="71"/>
        <v>0</v>
      </c>
      <c r="BV197" s="6">
        <f t="shared" si="90"/>
        <v>0</v>
      </c>
      <c r="BW197" s="6">
        <f t="shared" si="91"/>
        <v>-15000</v>
      </c>
      <c r="BX197" s="6">
        <f t="shared" si="92"/>
        <v>0</v>
      </c>
      <c r="BY197" s="6">
        <f t="shared" si="93"/>
        <v>0</v>
      </c>
      <c r="BZ197" s="6">
        <f t="shared" si="94"/>
        <v>0</v>
      </c>
      <c r="CA197" s="6">
        <f t="shared" si="95"/>
        <v>0</v>
      </c>
      <c r="CB197" s="6">
        <f t="shared" si="96"/>
        <v>0</v>
      </c>
      <c r="CC197" s="6">
        <f t="shared" si="97"/>
        <v>0</v>
      </c>
      <c r="CD197" s="6">
        <f t="shared" si="98"/>
        <v>0</v>
      </c>
      <c r="CE197" s="6">
        <f t="shared" si="99"/>
        <v>0</v>
      </c>
      <c r="CF197" s="6">
        <f t="shared" si="100"/>
        <v>0</v>
      </c>
      <c r="CG197" s="6">
        <f t="shared" si="101"/>
        <v>0</v>
      </c>
      <c r="CH197" s="6">
        <f t="shared" si="72"/>
        <v>-15000</v>
      </c>
    </row>
    <row r="198" spans="1:86" hidden="1" x14ac:dyDescent="0.35">
      <c r="A198" s="3" t="s">
        <v>494</v>
      </c>
      <c r="B198" s="21">
        <v>12500</v>
      </c>
      <c r="C198" s="21">
        <v>12500</v>
      </c>
      <c r="D198" s="21">
        <v>12500</v>
      </c>
      <c r="E198" s="21">
        <v>12500</v>
      </c>
      <c r="F198" s="21">
        <v>12500</v>
      </c>
      <c r="G198" s="21">
        <v>12500</v>
      </c>
      <c r="H198" s="21">
        <v>12500</v>
      </c>
      <c r="I198" s="21">
        <v>12500</v>
      </c>
      <c r="J198" s="21">
        <v>12500</v>
      </c>
      <c r="K198" s="21">
        <v>12500</v>
      </c>
      <c r="L198" s="21">
        <v>12500</v>
      </c>
      <c r="M198" s="21">
        <v>12500</v>
      </c>
      <c r="N198" s="27">
        <f t="shared" si="88"/>
        <v>150000</v>
      </c>
      <c r="AA198" s="27">
        <f t="shared" si="87"/>
        <v>0</v>
      </c>
      <c r="AB198" s="10">
        <f t="shared" si="102"/>
        <v>12500</v>
      </c>
      <c r="AC198" s="10">
        <f t="shared" si="102"/>
        <v>12500</v>
      </c>
      <c r="AD198" s="10">
        <f t="shared" si="102"/>
        <v>12500</v>
      </c>
      <c r="AE198" s="10">
        <f t="shared" si="102"/>
        <v>12500</v>
      </c>
      <c r="AF198" s="10">
        <f t="shared" si="102"/>
        <v>12500</v>
      </c>
      <c r="AG198" s="10">
        <f t="shared" si="102"/>
        <v>12500</v>
      </c>
      <c r="AH198" s="10">
        <f t="shared" si="102"/>
        <v>12500</v>
      </c>
      <c r="AI198" s="10">
        <f t="shared" si="102"/>
        <v>12500</v>
      </c>
      <c r="AJ198" s="10">
        <f t="shared" si="102"/>
        <v>12500</v>
      </c>
      <c r="AK198" s="10">
        <f t="shared" si="102"/>
        <v>12500</v>
      </c>
      <c r="AL198" s="10">
        <f t="shared" si="102"/>
        <v>12500</v>
      </c>
      <c r="AM198" s="10">
        <f t="shared" si="102"/>
        <v>12500</v>
      </c>
      <c r="AN198" s="27">
        <f t="shared" si="89"/>
        <v>150000</v>
      </c>
      <c r="AO198" s="28">
        <v>230931.53000000003</v>
      </c>
      <c r="AS198" t="str">
        <f>_xlfn.XLOOKUP(AU198,[2]GAE!HZ:HZ,[2]GAE!IA:IA)</f>
        <v>OCLP-COMMON</v>
      </c>
      <c r="AT198" t="str">
        <f>_xlfn.XLOOKUP(AU198,[2]GAE!HZ:HZ,[2]GAE!IB:IB)</f>
        <v>DOE - Insurance - Property All Risk (PARI) / CGL</v>
      </c>
      <c r="AU198" t="s">
        <v>495</v>
      </c>
      <c r="AV198">
        <v>80111101</v>
      </c>
      <c r="AW198">
        <v>52101101</v>
      </c>
      <c r="AX198" t="str">
        <f>_xlfn.XLOOKUP(AU198,[2]GAE!HZ:HZ,[2]GAE!IF:IF)</f>
        <v>Others</v>
      </c>
      <c r="AY198" t="str">
        <f>_xlfn.XLOOKUP(AU198,[2]GAE!HZ:HZ,[2]GAE!IG:IG)</f>
        <v>Insurance</v>
      </c>
      <c r="BA198" t="s">
        <v>496</v>
      </c>
      <c r="BC198" t="s">
        <v>26</v>
      </c>
      <c r="BD198" t="s">
        <v>26</v>
      </c>
      <c r="BF198" t="s">
        <v>25</v>
      </c>
      <c r="BG198" s="2" t="s">
        <v>26</v>
      </c>
      <c r="BH198" s="10">
        <f>SUMIFS('[1]2026'!$K:$K,'[1]2026'!$T:$T,BD198,'[1]2026'!$S:$S,BH$3,'[1]2026'!$P:$P,AU198)</f>
        <v>10701.02</v>
      </c>
      <c r="BI198" s="10">
        <f>SUMIFS('[1]2026'!$K:$K,'[1]2026'!$T:$T,$BD198,'[1]2026'!$S:$S,BI$3,'[1]2026'!$P:$P,$AU198)</f>
        <v>10701.02</v>
      </c>
      <c r="BJ198" s="10">
        <f>SUMIFS('[1]2026'!$K:$K,'[1]2026'!$T:$T,$BD198,'[1]2026'!$S:$S,BJ$3,'[1]2026'!$P:$P,$AU198)</f>
        <v>9665.44</v>
      </c>
      <c r="BK198" s="10">
        <f>SUMIFS('[1]2026'!$K:$K,'[1]2026'!$T:$T,$BD198,'[1]2026'!$S:$S,BK$3,'[1]2026'!$P:$P,$AU198)</f>
        <v>5177.8999999999996</v>
      </c>
      <c r="BL198" s="10">
        <f>SUMIFS('[1]2026'!$K:$K,'[1]2026'!$T:$T,$BD198,'[1]2026'!$S:$S,BL$3,'[1]2026'!$P:$P,$AU198)</f>
        <v>5819.65</v>
      </c>
      <c r="BM198" s="10">
        <f>SUMIFS('[1]2026'!$K:$K,'[1]2026'!$T:$T,$BD198,'[1]2026'!$S:$S,BM$3,'[1]2026'!$P:$P,$AU198)</f>
        <v>3487</v>
      </c>
      <c r="BN198" s="10">
        <f>SUMIFS('[1]2026'!$K:$K,'[1]2026'!$T:$T,$BD198,'[1]2026'!$S:$S,BN$3,'[1]2026'!$P:$P,$AU198)</f>
        <v>8668.27</v>
      </c>
      <c r="BO198" s="10">
        <f>SUMIFS('[1]2026'!$K:$K,'[1]2026'!$T:$T,$BD198,'[1]2026'!$S:$S,BO$3,'[1]2026'!$P:$P,$AU198)</f>
        <v>0</v>
      </c>
      <c r="BP198" s="6">
        <f t="shared" ref="BP198:BS198" si="103">BO198</f>
        <v>0</v>
      </c>
      <c r="BQ198" s="6">
        <f t="shared" si="103"/>
        <v>0</v>
      </c>
      <c r="BR198" s="6">
        <f t="shared" si="103"/>
        <v>0</v>
      </c>
      <c r="BS198" s="6">
        <f t="shared" si="103"/>
        <v>0</v>
      </c>
      <c r="BT198" s="6">
        <f t="shared" si="71"/>
        <v>54220.3</v>
      </c>
      <c r="BV198" s="6">
        <f t="shared" si="90"/>
        <v>-1798.9799999999996</v>
      </c>
      <c r="BW198" s="6">
        <f t="shared" si="91"/>
        <v>-1798.9799999999996</v>
      </c>
      <c r="BX198" s="6">
        <f t="shared" si="92"/>
        <v>-2834.5599999999995</v>
      </c>
      <c r="BY198" s="6">
        <f t="shared" si="93"/>
        <v>-7322.1</v>
      </c>
      <c r="BZ198" s="6">
        <f t="shared" si="94"/>
        <v>-6680.35</v>
      </c>
      <c r="CA198" s="6">
        <f t="shared" si="95"/>
        <v>-9013</v>
      </c>
      <c r="CB198" s="6">
        <f t="shared" si="96"/>
        <v>-3831.7299999999996</v>
      </c>
      <c r="CC198" s="6">
        <f t="shared" si="97"/>
        <v>-12500</v>
      </c>
      <c r="CD198" s="6">
        <f t="shared" si="98"/>
        <v>-12500</v>
      </c>
      <c r="CE198" s="6">
        <f t="shared" si="99"/>
        <v>-12500</v>
      </c>
      <c r="CF198" s="6">
        <f t="shared" si="100"/>
        <v>-12500</v>
      </c>
      <c r="CG198" s="6">
        <f t="shared" si="101"/>
        <v>-12500</v>
      </c>
      <c r="CH198" s="6">
        <f t="shared" si="72"/>
        <v>-95779.7</v>
      </c>
    </row>
    <row r="199" spans="1:86" hidden="1" x14ac:dyDescent="0.35">
      <c r="A199" s="3" t="s">
        <v>497</v>
      </c>
      <c r="B199" s="21">
        <v>7083.333333333333</v>
      </c>
      <c r="C199" s="21">
        <v>7083.333333333333</v>
      </c>
      <c r="D199" s="21">
        <v>7083.333333333333</v>
      </c>
      <c r="E199" s="21">
        <v>7083.333333333333</v>
      </c>
      <c r="F199" s="21">
        <v>7083.333333333333</v>
      </c>
      <c r="G199" s="21">
        <v>7083.333333333333</v>
      </c>
      <c r="H199" s="21">
        <v>7083.333333333333</v>
      </c>
      <c r="I199" s="21">
        <v>7083.333333333333</v>
      </c>
      <c r="J199" s="21">
        <v>7083.333333333333</v>
      </c>
      <c r="K199" s="21">
        <v>7083.333333333333</v>
      </c>
      <c r="L199" s="21">
        <v>7083.333333333333</v>
      </c>
      <c r="M199" s="21">
        <v>7083.333333333333</v>
      </c>
      <c r="N199" s="27">
        <f t="shared" si="88"/>
        <v>85000</v>
      </c>
      <c r="AA199" s="27">
        <f t="shared" si="87"/>
        <v>0</v>
      </c>
      <c r="AB199" s="10">
        <f t="shared" si="102"/>
        <v>7083.333333333333</v>
      </c>
      <c r="AC199" s="10">
        <f t="shared" si="102"/>
        <v>7083.333333333333</v>
      </c>
      <c r="AD199" s="10">
        <f t="shared" si="102"/>
        <v>7083.333333333333</v>
      </c>
      <c r="AE199" s="10">
        <f t="shared" si="102"/>
        <v>7083.333333333333</v>
      </c>
      <c r="AF199" s="10">
        <f t="shared" si="102"/>
        <v>7083.333333333333</v>
      </c>
      <c r="AG199" s="10">
        <f t="shared" si="102"/>
        <v>7083.333333333333</v>
      </c>
      <c r="AH199" s="10">
        <f t="shared" si="102"/>
        <v>7083.333333333333</v>
      </c>
      <c r="AI199" s="10">
        <f t="shared" si="102"/>
        <v>7083.333333333333</v>
      </c>
      <c r="AJ199" s="10">
        <f t="shared" si="102"/>
        <v>7083.333333333333</v>
      </c>
      <c r="AK199" s="10">
        <f t="shared" si="102"/>
        <v>7083.333333333333</v>
      </c>
      <c r="AL199" s="10">
        <f t="shared" si="102"/>
        <v>7083.333333333333</v>
      </c>
      <c r="AM199" s="10">
        <f t="shared" si="102"/>
        <v>7083.333333333333</v>
      </c>
      <c r="AN199" s="27">
        <f t="shared" si="89"/>
        <v>85000</v>
      </c>
      <c r="AS199" t="str">
        <f>_xlfn.XLOOKUP(AU199,[2]GAE!HZ:HZ,[2]GAE!IA:IA)</f>
        <v>CCC-COMMON</v>
      </c>
      <c r="AT199" t="str">
        <f>_xlfn.XLOOKUP(AU199,[2]GAE!HZ:HZ,[2]GAE!IB:IB)</f>
        <v>DOE - Insurance - Property All Risk (PARI) / CGL</v>
      </c>
      <c r="AU199" t="s">
        <v>498</v>
      </c>
      <c r="AV199">
        <v>81111101</v>
      </c>
      <c r="AW199">
        <v>52101101</v>
      </c>
      <c r="AX199" t="str">
        <f>_xlfn.XLOOKUP(AU199,[2]GAE!HZ:HZ,[2]GAE!IF:IF)</f>
        <v>Others</v>
      </c>
      <c r="AY199" t="str">
        <f>_xlfn.XLOOKUP(AU199,[2]GAE!HZ:HZ,[2]GAE!IG:IG)</f>
        <v>Insurance</v>
      </c>
      <c r="BA199" t="s">
        <v>496</v>
      </c>
      <c r="BC199" t="s">
        <v>26</v>
      </c>
      <c r="BD199" t="s">
        <v>26</v>
      </c>
      <c r="BF199" t="s">
        <v>25</v>
      </c>
      <c r="BG199" s="2" t="s">
        <v>26</v>
      </c>
      <c r="BH199" s="10">
        <f>SUMIFS('[1]2026'!$K:$K,'[1]2026'!$T:$T,BD199,'[1]2026'!$S:$S,BH$3,'[1]2026'!$P:$P,AU199)</f>
        <v>6244.97</v>
      </c>
      <c r="BI199" s="10">
        <f>SUMIFS('[1]2026'!$K:$K,'[1]2026'!$T:$T,$BD199,'[1]2026'!$S:$S,BI$3,'[1]2026'!$P:$P,$AU199)</f>
        <v>6244.97</v>
      </c>
      <c r="BJ199" s="10">
        <f>SUMIFS('[1]2026'!$K:$K,'[1]2026'!$T:$T,$BD199,'[1]2026'!$S:$S,BJ$3,'[1]2026'!$P:$P,$AU199)</f>
        <v>5640.6000000000013</v>
      </c>
      <c r="BK199" s="10">
        <f>SUMIFS('[1]2026'!$K:$K,'[1]2026'!$T:$T,$BD199,'[1]2026'!$S:$S,BK$3,'[1]2026'!$P:$P,$AU199)</f>
        <v>3021.77</v>
      </c>
      <c r="BL199" s="10">
        <f>SUMIFS('[1]2026'!$K:$K,'[1]2026'!$T:$T,$BD199,'[1]2026'!$S:$S,BL$3,'[1]2026'!$P:$P,$AU199)</f>
        <v>11398.76</v>
      </c>
      <c r="BM199" s="10">
        <f>SUMIFS('[1]2026'!$K:$K,'[1]2026'!$T:$T,$BD199,'[1]2026'!$S:$S,BM$3,'[1]2026'!$P:$P,$AU199)</f>
        <v>11078.05</v>
      </c>
      <c r="BN199" s="10">
        <f>SUMIFS('[1]2026'!$K:$K,'[1]2026'!$T:$T,$BD199,'[1]2026'!$S:$S,BN$3,'[1]2026'!$P:$P,$AU199)</f>
        <v>14855.660000000003</v>
      </c>
      <c r="BO199" s="10">
        <f>SUMIFS('[1]2026'!$K:$K,'[1]2026'!$T:$T,$BD199,'[1]2026'!$S:$S,BO$3,'[1]2026'!$P:$P,$AU199)</f>
        <v>11184.27</v>
      </c>
      <c r="BP199" s="6">
        <v>11078.05</v>
      </c>
      <c r="BQ199" s="6">
        <v>11078.05</v>
      </c>
      <c r="BR199" s="6">
        <v>11078.05</v>
      </c>
      <c r="BS199" s="6">
        <v>11078.05</v>
      </c>
      <c r="BT199" s="6">
        <f t="shared" si="71"/>
        <v>113981.25000000001</v>
      </c>
      <c r="BV199" s="6">
        <f t="shared" si="90"/>
        <v>-838.36333333333278</v>
      </c>
      <c r="BW199" s="6">
        <f t="shared" si="91"/>
        <v>-838.36333333333278</v>
      </c>
      <c r="BX199" s="6">
        <f t="shared" si="92"/>
        <v>-1442.7333333333318</v>
      </c>
      <c r="BY199" s="6">
        <f t="shared" si="93"/>
        <v>-4061.563333333333</v>
      </c>
      <c r="BZ199" s="6">
        <f t="shared" si="94"/>
        <v>4315.4266666666672</v>
      </c>
      <c r="CA199" s="6">
        <f t="shared" si="95"/>
        <v>3994.7166666666662</v>
      </c>
      <c r="CB199" s="6">
        <f t="shared" si="96"/>
        <v>7772.3266666666705</v>
      </c>
      <c r="CC199" s="6">
        <f t="shared" si="97"/>
        <v>4100.9366666666674</v>
      </c>
      <c r="CD199" s="6">
        <f t="shared" si="98"/>
        <v>3994.7166666666662</v>
      </c>
      <c r="CE199" s="6">
        <f t="shared" si="99"/>
        <v>3994.7166666666662</v>
      </c>
      <c r="CF199" s="6">
        <f t="shared" si="100"/>
        <v>3994.7166666666662</v>
      </c>
      <c r="CG199" s="6">
        <f t="shared" si="101"/>
        <v>3994.7166666666662</v>
      </c>
      <c r="CH199" s="6">
        <f t="shared" si="72"/>
        <v>28981.250000000015</v>
      </c>
    </row>
    <row r="200" spans="1:86" hidden="1" x14ac:dyDescent="0.35">
      <c r="A200" s="3" t="s">
        <v>499</v>
      </c>
      <c r="B200" s="10">
        <v>1973.9</v>
      </c>
      <c r="C200" s="10">
        <v>1973.9</v>
      </c>
      <c r="D200" s="10">
        <v>1973.9</v>
      </c>
      <c r="E200" s="10">
        <v>1973.9</v>
      </c>
      <c r="F200" s="10">
        <v>1973.9</v>
      </c>
      <c r="G200" s="10">
        <v>1973.9</v>
      </c>
      <c r="H200" s="10">
        <v>1973.9</v>
      </c>
      <c r="I200" s="10">
        <v>3000</v>
      </c>
      <c r="J200" s="10">
        <v>3000</v>
      </c>
      <c r="K200" s="10">
        <v>3000</v>
      </c>
      <c r="L200" s="10">
        <v>3000</v>
      </c>
      <c r="M200" s="10">
        <v>3000</v>
      </c>
      <c r="N200" s="27">
        <f t="shared" si="88"/>
        <v>28817.3</v>
      </c>
      <c r="AA200" s="27">
        <f t="shared" si="87"/>
        <v>0</v>
      </c>
      <c r="AB200" s="10">
        <f t="shared" si="102"/>
        <v>1973.9</v>
      </c>
      <c r="AC200" s="10">
        <f t="shared" si="102"/>
        <v>1973.9</v>
      </c>
      <c r="AD200" s="10">
        <f t="shared" si="102"/>
        <v>1973.9</v>
      </c>
      <c r="AE200" s="10">
        <f t="shared" si="102"/>
        <v>1973.9</v>
      </c>
      <c r="AF200" s="10">
        <f t="shared" si="102"/>
        <v>1973.9</v>
      </c>
      <c r="AG200" s="10">
        <f t="shared" si="102"/>
        <v>1973.9</v>
      </c>
      <c r="AH200" s="10">
        <f t="shared" si="102"/>
        <v>1973.9</v>
      </c>
      <c r="AI200" s="10">
        <f t="shared" si="102"/>
        <v>3000</v>
      </c>
      <c r="AJ200" s="10">
        <f t="shared" si="102"/>
        <v>3000</v>
      </c>
      <c r="AK200" s="10">
        <f t="shared" si="102"/>
        <v>3000</v>
      </c>
      <c r="AL200" s="10">
        <f t="shared" si="102"/>
        <v>3000</v>
      </c>
      <c r="AM200" s="10">
        <f t="shared" si="102"/>
        <v>3000</v>
      </c>
      <c r="AN200" s="27">
        <f t="shared" si="89"/>
        <v>28817.3</v>
      </c>
      <c r="AO200" s="28">
        <v>53745.120000000003</v>
      </c>
      <c r="AS200" t="str">
        <f>_xlfn.XLOOKUP(AU200,[2]GAE!HZ:HZ,[2]GAE!IA:IA)</f>
        <v>OCLP-COMMON</v>
      </c>
      <c r="AT200" t="str">
        <f>_xlfn.XLOOKUP(AU200,[2]GAE!HZ:HZ,[2]GAE!IB:IB)</f>
        <v>DOE - Insurance - Property Terrorism &amp; Sabotage</v>
      </c>
      <c r="AU200" t="s">
        <v>500</v>
      </c>
      <c r="AV200">
        <v>80111101</v>
      </c>
      <c r="AW200">
        <v>52101105</v>
      </c>
      <c r="AX200" t="str">
        <f>_xlfn.XLOOKUP(AU200,[2]GAE!HZ:HZ,[2]GAE!IF:IF)</f>
        <v>Others</v>
      </c>
      <c r="AY200" t="str">
        <f>_xlfn.XLOOKUP(AU200,[2]GAE!HZ:HZ,[2]GAE!IG:IG)</f>
        <v>Insurance</v>
      </c>
      <c r="BC200" t="s">
        <v>27</v>
      </c>
      <c r="BD200" t="s">
        <v>27</v>
      </c>
      <c r="BF200" t="s">
        <v>25</v>
      </c>
      <c r="BG200" s="2" t="s">
        <v>27</v>
      </c>
      <c r="BH200" s="10">
        <f>SUMIFS('[1]2026'!$K:$K,'[1]2026'!$T:$T,BD200,'[1]2026'!$S:$S,BH$3,'[1]2026'!$P:$P,AU200)</f>
        <v>1973.9</v>
      </c>
      <c r="BI200" s="10">
        <f>SUMIFS('[1]2026'!$K:$K,'[1]2026'!$T:$T,$BD200,'[1]2026'!$S:$S,BI$3,'[1]2026'!$P:$P,$AU200)</f>
        <v>0</v>
      </c>
      <c r="BJ200" s="10">
        <f>SUMIFS('[1]2026'!$K:$K,'[1]2026'!$T:$T,$BD200,'[1]2026'!$S:$S,BJ$3,'[1]2026'!$P:$P,$AU200)</f>
        <v>0</v>
      </c>
      <c r="BK200" s="10">
        <f>SUMIFS('[1]2026'!$K:$K,'[1]2026'!$T:$T,$BD200,'[1]2026'!$S:$S,BK$3,'[1]2026'!$P:$P,$AU200)</f>
        <v>5921.7000000000007</v>
      </c>
      <c r="BL200" s="10">
        <f>SUMIFS('[1]2026'!$K:$K,'[1]2026'!$T:$T,$BD200,'[1]2026'!$S:$S,BL$3,'[1]2026'!$P:$P,$AU200)</f>
        <v>0</v>
      </c>
      <c r="BM200" s="10">
        <f>SUMIFS('[1]2026'!$K:$K,'[1]2026'!$T:$T,$BD200,'[1]2026'!$S:$S,BM$3,'[1]2026'!$P:$P,$AU200)</f>
        <v>3947.8</v>
      </c>
      <c r="BN200" s="10">
        <f>SUMIFS('[1]2026'!$K:$K,'[1]2026'!$T:$T,$BD200,'[1]2026'!$S:$S,BN$3,'[1]2026'!$P:$P,$AU200)</f>
        <v>1973.9</v>
      </c>
      <c r="BO200" s="10">
        <f>SUMIFS('[1]2026'!$K:$K,'[1]2026'!$T:$T,$BD200,'[1]2026'!$S:$S,BO$3,'[1]2026'!$P:$P,$AU200)</f>
        <v>0</v>
      </c>
      <c r="BP200" s="6">
        <f t="shared" ref="BP200:BS200" si="104">BO200</f>
        <v>0</v>
      </c>
      <c r="BQ200" s="6">
        <f t="shared" si="104"/>
        <v>0</v>
      </c>
      <c r="BR200" s="6">
        <f t="shared" si="104"/>
        <v>0</v>
      </c>
      <c r="BS200" s="6">
        <f t="shared" si="104"/>
        <v>0</v>
      </c>
      <c r="BT200" s="6">
        <f t="shared" si="71"/>
        <v>13817.300000000001</v>
      </c>
      <c r="BV200" s="6">
        <f t="shared" si="90"/>
        <v>0</v>
      </c>
      <c r="BW200" s="6">
        <f t="shared" si="91"/>
        <v>-1973.9</v>
      </c>
      <c r="BX200" s="6">
        <f t="shared" si="92"/>
        <v>-1973.9</v>
      </c>
      <c r="BY200" s="6">
        <f t="shared" si="93"/>
        <v>3947.8000000000006</v>
      </c>
      <c r="BZ200" s="6">
        <f t="shared" si="94"/>
        <v>-1973.9</v>
      </c>
      <c r="CA200" s="6">
        <f t="shared" si="95"/>
        <v>1973.9</v>
      </c>
      <c r="CB200" s="6">
        <f t="shared" si="96"/>
        <v>0</v>
      </c>
      <c r="CC200" s="6">
        <f t="shared" si="97"/>
        <v>-3000</v>
      </c>
      <c r="CD200" s="6">
        <f t="shared" si="98"/>
        <v>-3000</v>
      </c>
      <c r="CE200" s="6">
        <f t="shared" si="99"/>
        <v>-3000</v>
      </c>
      <c r="CF200" s="6">
        <f t="shared" si="100"/>
        <v>-3000</v>
      </c>
      <c r="CG200" s="6">
        <f t="shared" si="101"/>
        <v>-3000</v>
      </c>
      <c r="CH200" s="6">
        <f t="shared" si="72"/>
        <v>-14999.999999999998</v>
      </c>
    </row>
    <row r="201" spans="1:86" hidden="1" x14ac:dyDescent="0.35">
      <c r="A201" s="3" t="s">
        <v>501</v>
      </c>
      <c r="B201" s="10">
        <v>1151.92</v>
      </c>
      <c r="C201" s="10">
        <v>1151.92</v>
      </c>
      <c r="D201" s="10">
        <v>1151.92</v>
      </c>
      <c r="E201" s="10">
        <v>1151.92</v>
      </c>
      <c r="F201" s="10">
        <v>1151.92</v>
      </c>
      <c r="G201" s="10">
        <v>1151.92</v>
      </c>
      <c r="H201" s="10">
        <v>1151.92</v>
      </c>
      <c r="I201" s="10">
        <v>2000</v>
      </c>
      <c r="J201" s="10">
        <v>2000</v>
      </c>
      <c r="K201" s="10">
        <v>2000</v>
      </c>
      <c r="L201" s="10">
        <v>2000</v>
      </c>
      <c r="M201" s="10">
        <v>2000</v>
      </c>
      <c r="N201" s="27">
        <f t="shared" si="88"/>
        <v>18063.440000000002</v>
      </c>
      <c r="AA201" s="27">
        <f t="shared" si="87"/>
        <v>0</v>
      </c>
      <c r="AB201" s="10">
        <f t="shared" si="102"/>
        <v>1151.92</v>
      </c>
      <c r="AC201" s="10">
        <f t="shared" si="102"/>
        <v>1151.92</v>
      </c>
      <c r="AD201" s="10">
        <f t="shared" si="102"/>
        <v>1151.92</v>
      </c>
      <c r="AE201" s="10">
        <f t="shared" si="102"/>
        <v>1151.92</v>
      </c>
      <c r="AF201" s="10">
        <f t="shared" si="102"/>
        <v>1151.92</v>
      </c>
      <c r="AG201" s="10">
        <f t="shared" si="102"/>
        <v>1151.92</v>
      </c>
      <c r="AH201" s="10">
        <f t="shared" si="102"/>
        <v>1151.92</v>
      </c>
      <c r="AI201" s="10">
        <f t="shared" si="102"/>
        <v>2000</v>
      </c>
      <c r="AJ201" s="10">
        <f t="shared" si="102"/>
        <v>2000</v>
      </c>
      <c r="AK201" s="10">
        <f t="shared" si="102"/>
        <v>2000</v>
      </c>
      <c r="AL201" s="10">
        <f t="shared" si="102"/>
        <v>2000</v>
      </c>
      <c r="AM201" s="10">
        <f t="shared" si="102"/>
        <v>2000</v>
      </c>
      <c r="AN201" s="27">
        <f t="shared" si="89"/>
        <v>18063.440000000002</v>
      </c>
      <c r="AS201" t="str">
        <f>_xlfn.XLOOKUP(AU201,[2]GAE!HZ:HZ,[2]GAE!IA:IA)</f>
        <v>CCC-COMMON</v>
      </c>
      <c r="AT201" t="str">
        <f>_xlfn.XLOOKUP(AU201,[2]GAE!HZ:HZ,[2]GAE!IB:IB)</f>
        <v>DOE - Insurance - Property Terrorism &amp; Sabotage</v>
      </c>
      <c r="AU201" t="s">
        <v>502</v>
      </c>
      <c r="AV201">
        <v>81111101</v>
      </c>
      <c r="AW201">
        <v>52101105</v>
      </c>
      <c r="AX201" t="str">
        <f>_xlfn.XLOOKUP(AU201,[2]GAE!HZ:HZ,[2]GAE!IF:IF)</f>
        <v>Others</v>
      </c>
      <c r="AY201" t="str">
        <f>_xlfn.XLOOKUP(AU201,[2]GAE!HZ:HZ,[2]GAE!IG:IG)</f>
        <v>Insurance</v>
      </c>
      <c r="BC201" t="s">
        <v>27</v>
      </c>
      <c r="BD201" t="s">
        <v>27</v>
      </c>
      <c r="BF201" t="s">
        <v>25</v>
      </c>
      <c r="BG201" s="2" t="s">
        <v>27</v>
      </c>
      <c r="BH201" s="10">
        <f>SUMIFS('[1]2026'!$K:$K,'[1]2026'!$T:$T,BD201,'[1]2026'!$S:$S,BH$3,'[1]2026'!$P:$P,AU201)</f>
        <v>1151.92</v>
      </c>
      <c r="BI201" s="10">
        <f>SUMIFS('[1]2026'!$K:$K,'[1]2026'!$T:$T,$BD201,'[1]2026'!$S:$S,BI$3,'[1]2026'!$P:$P,$AU201)</f>
        <v>1151.92</v>
      </c>
      <c r="BJ201" s="10">
        <f>SUMIFS('[1]2026'!$K:$K,'[1]2026'!$T:$T,$BD201,'[1]2026'!$S:$S,BJ$3,'[1]2026'!$P:$P,$AU201)</f>
        <v>1151.92</v>
      </c>
      <c r="BK201" s="10">
        <f>SUMIFS('[1]2026'!$K:$K,'[1]2026'!$T:$T,$BD201,'[1]2026'!$S:$S,BK$3,'[1]2026'!$P:$P,$AU201)</f>
        <v>1151.92</v>
      </c>
      <c r="BL201" s="10">
        <f>SUMIFS('[1]2026'!$K:$K,'[1]2026'!$T:$T,$BD201,'[1]2026'!$S:$S,BL$3,'[1]2026'!$P:$P,$AU201)</f>
        <v>1151.92</v>
      </c>
      <c r="BM201" s="10">
        <f>SUMIFS('[1]2026'!$K:$K,'[1]2026'!$T:$T,$BD201,'[1]2026'!$S:$S,BM$3,'[1]2026'!$P:$P,$AU201)</f>
        <v>1151.92</v>
      </c>
      <c r="BN201" s="10">
        <f>SUMIFS('[1]2026'!$K:$K,'[1]2026'!$T:$T,$BD201,'[1]2026'!$S:$S,BN$3,'[1]2026'!$P:$P,$AU201)</f>
        <v>1151.92</v>
      </c>
      <c r="BO201" s="10">
        <f>SUMIFS('[1]2026'!$K:$K,'[1]2026'!$T:$T,$BD201,'[1]2026'!$S:$S,BO$3,'[1]2026'!$P:$P,$AU201)</f>
        <v>1151.92</v>
      </c>
      <c r="BP201" s="6">
        <v>1151.92</v>
      </c>
      <c r="BQ201" s="6">
        <v>1151.92</v>
      </c>
      <c r="BR201" s="6">
        <v>1151.92</v>
      </c>
      <c r="BS201" s="6">
        <v>1151.92</v>
      </c>
      <c r="BT201" s="6">
        <f t="shared" si="71"/>
        <v>13823.04</v>
      </c>
      <c r="BV201" s="6">
        <f t="shared" si="90"/>
        <v>0</v>
      </c>
      <c r="BW201" s="6">
        <f t="shared" si="91"/>
        <v>0</v>
      </c>
      <c r="BX201" s="6">
        <f t="shared" si="92"/>
        <v>0</v>
      </c>
      <c r="BY201" s="6">
        <f t="shared" si="93"/>
        <v>0</v>
      </c>
      <c r="BZ201" s="6">
        <f t="shared" si="94"/>
        <v>0</v>
      </c>
      <c r="CA201" s="6">
        <f t="shared" si="95"/>
        <v>0</v>
      </c>
      <c r="CB201" s="6">
        <f t="shared" si="96"/>
        <v>0</v>
      </c>
      <c r="CC201" s="6">
        <f t="shared" si="97"/>
        <v>-848.07999999999993</v>
      </c>
      <c r="CD201" s="6">
        <f t="shared" si="98"/>
        <v>-848.07999999999993</v>
      </c>
      <c r="CE201" s="6">
        <f t="shared" si="99"/>
        <v>-848.07999999999993</v>
      </c>
      <c r="CF201" s="6">
        <f t="shared" si="100"/>
        <v>-848.07999999999993</v>
      </c>
      <c r="CG201" s="6">
        <f t="shared" si="101"/>
        <v>-848.07999999999993</v>
      </c>
      <c r="CH201" s="6">
        <f t="shared" si="72"/>
        <v>-4240.4000000000015</v>
      </c>
    </row>
    <row r="202" spans="1:86" hidden="1" x14ac:dyDescent="0.35">
      <c r="A202" s="3" t="s">
        <v>28</v>
      </c>
      <c r="G202" s="10">
        <v>14000</v>
      </c>
      <c r="N202" s="27">
        <f t="shared" si="88"/>
        <v>14000</v>
      </c>
      <c r="AA202" s="27">
        <f t="shared" si="87"/>
        <v>0</v>
      </c>
      <c r="AB202" s="10">
        <f t="shared" si="102"/>
        <v>0</v>
      </c>
      <c r="AC202" s="10">
        <f t="shared" si="102"/>
        <v>0</v>
      </c>
      <c r="AD202" s="10">
        <f t="shared" si="102"/>
        <v>0</v>
      </c>
      <c r="AE202" s="10">
        <f t="shared" si="102"/>
        <v>0</v>
      </c>
      <c r="AF202" s="10">
        <f t="shared" si="102"/>
        <v>0</v>
      </c>
      <c r="AG202" s="10">
        <f t="shared" si="102"/>
        <v>14000</v>
      </c>
      <c r="AH202" s="10">
        <f t="shared" si="102"/>
        <v>0</v>
      </c>
      <c r="AI202" s="10">
        <f t="shared" si="102"/>
        <v>0</v>
      </c>
      <c r="AJ202" s="10">
        <f t="shared" si="102"/>
        <v>0</v>
      </c>
      <c r="AK202" s="10">
        <f t="shared" si="102"/>
        <v>0</v>
      </c>
      <c r="AL202" s="10">
        <f t="shared" si="102"/>
        <v>0</v>
      </c>
      <c r="AM202" s="10">
        <f t="shared" si="102"/>
        <v>0</v>
      </c>
      <c r="AN202" s="27">
        <f t="shared" si="89"/>
        <v>14000</v>
      </c>
      <c r="AS202" t="str">
        <f>_xlfn.XLOOKUP(AU202,[2]GAE!HZ:HZ,[2]GAE!IA:IA)</f>
        <v>OHI-COMMON</v>
      </c>
      <c r="AT202" t="str">
        <f>_xlfn.XLOOKUP(AU202,[2]GAE!HZ:HZ,[2]GAE!IB:IB)</f>
        <v>GAE - Insurance - Bonds</v>
      </c>
      <c r="AU202" t="s">
        <v>503</v>
      </c>
      <c r="AV202">
        <v>90111101</v>
      </c>
      <c r="AW202">
        <v>61101106</v>
      </c>
      <c r="AX202" t="str">
        <f>_xlfn.XLOOKUP(AU202,[2]GAE!HZ:HZ,[2]GAE!IF:IF)</f>
        <v>Others</v>
      </c>
      <c r="AY202" t="str">
        <f>_xlfn.XLOOKUP(AU202,[2]GAE!HZ:HZ,[2]GAE!IG:IG)</f>
        <v>Insurance</v>
      </c>
      <c r="BC202" t="s">
        <v>28</v>
      </c>
      <c r="BD202" t="s">
        <v>28</v>
      </c>
      <c r="BF202" t="s">
        <v>25</v>
      </c>
      <c r="BG202" s="2" t="s">
        <v>28</v>
      </c>
      <c r="BH202" s="10">
        <f>SUMIFS('[1]2026'!$K:$K,'[1]2026'!$T:$T,BD202,'[1]2026'!$S:$S,BH$3,'[1]2026'!$P:$P,AU202)</f>
        <v>0</v>
      </c>
      <c r="BI202" s="10">
        <f>SUMIFS('[1]2026'!$K:$K,'[1]2026'!$T:$T,$BD202,'[1]2026'!$S:$S,BI$3,'[1]2026'!$P:$P,$AU202)</f>
        <v>0</v>
      </c>
      <c r="BJ202" s="10">
        <f>SUMIFS('[1]2026'!$K:$K,'[1]2026'!$T:$T,$BD202,'[1]2026'!$S:$S,BJ$3,'[1]2026'!$P:$P,$AU202)</f>
        <v>0</v>
      </c>
      <c r="BK202" s="10">
        <f>SUMIFS('[1]2026'!$K:$K,'[1]2026'!$T:$T,$BD202,'[1]2026'!$S:$S,BK$3,'[1]2026'!$P:$P,$AU202)</f>
        <v>0</v>
      </c>
      <c r="BL202" s="10">
        <f>SUMIFS('[1]2026'!$K:$K,'[1]2026'!$T:$T,$BD202,'[1]2026'!$S:$S,BL$3,'[1]2026'!$P:$P,$AU202)</f>
        <v>13285.9</v>
      </c>
      <c r="BM202" s="10">
        <f>SUMIFS('[1]2026'!$K:$K,'[1]2026'!$T:$T,$BD202,'[1]2026'!$S:$S,BM$3,'[1]2026'!$P:$P,$AU202)</f>
        <v>0</v>
      </c>
      <c r="BN202" s="10">
        <f>SUMIFS('[1]2026'!$K:$K,'[1]2026'!$T:$T,$BD202,'[1]2026'!$S:$S,BN$3,'[1]2026'!$P:$P,$AU202)</f>
        <v>0</v>
      </c>
      <c r="BO202" s="10">
        <f>SUMIFS('[1]2026'!$K:$K,'[1]2026'!$T:$T,$BD202,'[1]2026'!$S:$S,BO$3,'[1]2026'!$P:$P,$AU202)</f>
        <v>0</v>
      </c>
      <c r="BP202" s="6">
        <f t="shared" ref="BP202:BS220" si="105">BO202</f>
        <v>0</v>
      </c>
      <c r="BQ202" s="6">
        <f t="shared" si="105"/>
        <v>0</v>
      </c>
      <c r="BR202" s="6">
        <f t="shared" si="105"/>
        <v>0</v>
      </c>
      <c r="BS202" s="6">
        <f t="shared" si="105"/>
        <v>0</v>
      </c>
      <c r="BT202" s="6">
        <f t="shared" si="71"/>
        <v>13285.9</v>
      </c>
      <c r="BV202" s="6">
        <f t="shared" si="90"/>
        <v>0</v>
      </c>
      <c r="BW202" s="6">
        <f t="shared" si="91"/>
        <v>0</v>
      </c>
      <c r="BX202" s="6">
        <f t="shared" si="92"/>
        <v>0</v>
      </c>
      <c r="BY202" s="6">
        <f t="shared" si="93"/>
        <v>0</v>
      </c>
      <c r="BZ202" s="6">
        <f t="shared" si="94"/>
        <v>13285.9</v>
      </c>
      <c r="CA202" s="6">
        <f t="shared" si="95"/>
        <v>-14000</v>
      </c>
      <c r="CB202" s="6">
        <f t="shared" si="96"/>
        <v>0</v>
      </c>
      <c r="CC202" s="6">
        <f t="shared" si="97"/>
        <v>0</v>
      </c>
      <c r="CD202" s="6">
        <f t="shared" si="98"/>
        <v>0</v>
      </c>
      <c r="CE202" s="6">
        <f t="shared" si="99"/>
        <v>0</v>
      </c>
      <c r="CF202" s="6">
        <f t="shared" si="100"/>
        <v>0</v>
      </c>
      <c r="CG202" s="6">
        <f t="shared" si="101"/>
        <v>0</v>
      </c>
      <c r="CH202" s="6">
        <f t="shared" si="72"/>
        <v>-714.10000000000036</v>
      </c>
    </row>
    <row r="203" spans="1:86" hidden="1" x14ac:dyDescent="0.35">
      <c r="A203" s="3" t="s">
        <v>504</v>
      </c>
      <c r="B203" s="31">
        <v>35307.967400000001</v>
      </c>
      <c r="C203" s="10">
        <v>35307.967400000001</v>
      </c>
      <c r="D203" s="10">
        <v>35307.967400000001</v>
      </c>
      <c r="E203" s="10">
        <v>35307.967400000001</v>
      </c>
      <c r="F203" s="10">
        <v>35307.967400000001</v>
      </c>
      <c r="G203" s="10">
        <v>35307.967400000001</v>
      </c>
      <c r="H203" s="10">
        <v>35307.967400000001</v>
      </c>
      <c r="I203" s="10">
        <v>35307.967400000001</v>
      </c>
      <c r="J203" s="10">
        <v>35307.967400000001</v>
      </c>
      <c r="K203" s="10">
        <v>35307.967400000001</v>
      </c>
      <c r="L203" s="10">
        <v>35307.967400000001</v>
      </c>
      <c r="M203" s="10">
        <v>35307.967400000001</v>
      </c>
      <c r="N203" s="27">
        <f t="shared" si="88"/>
        <v>423695.6088000001</v>
      </c>
      <c r="AA203" s="27">
        <f t="shared" si="87"/>
        <v>0</v>
      </c>
      <c r="AB203" s="10">
        <f t="shared" si="102"/>
        <v>35307.967400000001</v>
      </c>
      <c r="AC203" s="10">
        <f t="shared" si="102"/>
        <v>35307.967400000001</v>
      </c>
      <c r="AD203" s="10">
        <f t="shared" si="102"/>
        <v>35307.967400000001</v>
      </c>
      <c r="AE203" s="10">
        <f t="shared" si="102"/>
        <v>35307.967400000001</v>
      </c>
      <c r="AF203" s="10">
        <f t="shared" si="102"/>
        <v>35307.967400000001</v>
      </c>
      <c r="AG203" s="10">
        <f t="shared" si="102"/>
        <v>35307.967400000001</v>
      </c>
      <c r="AH203" s="10">
        <f t="shared" si="102"/>
        <v>35307.967400000001</v>
      </c>
      <c r="AI203" s="10">
        <f t="shared" si="102"/>
        <v>35307.967400000001</v>
      </c>
      <c r="AJ203" s="10">
        <f t="shared" si="102"/>
        <v>35307.967400000001</v>
      </c>
      <c r="AK203" s="10">
        <f t="shared" si="102"/>
        <v>35307.967400000001</v>
      </c>
      <c r="AL203" s="10">
        <f t="shared" si="102"/>
        <v>35307.967400000001</v>
      </c>
      <c r="AM203" s="10">
        <f t="shared" si="102"/>
        <v>35307.967400000001</v>
      </c>
      <c r="AN203" s="27">
        <f t="shared" si="89"/>
        <v>423695.6088000001</v>
      </c>
      <c r="AO203" s="28">
        <v>411354.97000000015</v>
      </c>
      <c r="AS203" t="str">
        <f>_xlfn.XLOOKUP(AU203,[2]GAE!HZ:HZ,[2]GAE!IA:IA)</f>
        <v>OHI-COMMON</v>
      </c>
      <c r="AT203" t="str">
        <f>_xlfn.XLOOKUP(AU203,[2]GAE!HZ:HZ,[2]GAE!IB:IB)</f>
        <v>DOE - Insurance - Directors, Officers &amp; Liability</v>
      </c>
      <c r="AU203" t="s">
        <v>505</v>
      </c>
      <c r="AV203">
        <v>90111101</v>
      </c>
      <c r="AW203">
        <v>52101107</v>
      </c>
      <c r="AX203" t="str">
        <f>_xlfn.XLOOKUP(AU203,[2]GAE!HZ:HZ,[2]GAE!IF:IF)</f>
        <v>Others</v>
      </c>
      <c r="AY203" t="str">
        <f>_xlfn.XLOOKUP(AU203,[2]GAE!HZ:HZ,[2]GAE!IG:IG)</f>
        <v>Insurance</v>
      </c>
      <c r="BC203" t="s">
        <v>29</v>
      </c>
      <c r="BD203" s="2" t="s">
        <v>29</v>
      </c>
      <c r="BE203" s="2"/>
      <c r="BF203" t="s">
        <v>25</v>
      </c>
      <c r="BG203" s="2" t="s">
        <v>29</v>
      </c>
      <c r="BH203" s="10">
        <f>SUMIFS('[1]2026'!$K:$K,'[1]2026'!$T:$T,BD203,'[1]2026'!$S:$S,BH$3,'[1]2026'!$P:$P,AU203)</f>
        <v>34279.620000000003</v>
      </c>
      <c r="BI203" s="10">
        <f>SUMIFS('[1]2026'!$K:$K,'[1]2026'!$T:$T,$BD203,'[1]2026'!$S:$S,BI$3,'[1]2026'!$P:$P,$AU203)</f>
        <v>34279.58</v>
      </c>
      <c r="BJ203" s="10">
        <f>SUMIFS('[1]2026'!$K:$K,'[1]2026'!$T:$T,$BD203,'[1]2026'!$S:$S,BJ$3,'[1]2026'!$P:$P,$AU203)</f>
        <v>34279.58</v>
      </c>
      <c r="BK203" s="10">
        <f>SUMIFS('[1]2026'!$K:$K,'[1]2026'!$T:$T,$BD203,'[1]2026'!$S:$S,BK$3,'[1]2026'!$P:$P,$AU203)</f>
        <v>34279.58</v>
      </c>
      <c r="BL203" s="10">
        <f>SUMIFS('[1]2026'!$K:$K,'[1]2026'!$T:$T,$BD203,'[1]2026'!$S:$S,BL$3,'[1]2026'!$P:$P,$AU203)</f>
        <v>34279.58</v>
      </c>
      <c r="BM203" s="10">
        <f>SUMIFS('[1]2026'!$K:$K,'[1]2026'!$T:$T,$BD203,'[1]2026'!$S:$S,BM$3,'[1]2026'!$P:$P,$AU203)</f>
        <v>34279.58</v>
      </c>
      <c r="BN203" s="10">
        <f>SUMIFS('[1]2026'!$K:$K,'[1]2026'!$T:$T,$BD203,'[1]2026'!$S:$S,BN$3,'[1]2026'!$P:$P,$AU203)</f>
        <v>34279.58</v>
      </c>
      <c r="BO203" s="10">
        <f>SUMIFS('[1]2026'!$K:$K,'[1]2026'!$T:$T,$BD203,'[1]2026'!$S:$S,BO$3,'[1]2026'!$P:$P,$AU203)</f>
        <v>34279.58</v>
      </c>
      <c r="BP203" s="6">
        <v>34279.58</v>
      </c>
      <c r="BQ203" s="6">
        <v>34279.58</v>
      </c>
      <c r="BR203" s="6">
        <v>34279.58</v>
      </c>
      <c r="BS203" s="6">
        <v>34279.58</v>
      </c>
      <c r="BT203" s="6">
        <f t="shared" si="71"/>
        <v>411355.00000000012</v>
      </c>
      <c r="BV203" s="6">
        <f t="shared" si="90"/>
        <v>-1028.3473999999987</v>
      </c>
      <c r="BW203" s="6">
        <f t="shared" si="91"/>
        <v>-1028.3873999999996</v>
      </c>
      <c r="BX203" s="6">
        <f t="shared" si="92"/>
        <v>-1028.3873999999996</v>
      </c>
      <c r="BY203" s="6">
        <f t="shared" si="93"/>
        <v>-1028.3873999999996</v>
      </c>
      <c r="BZ203" s="6">
        <f t="shared" si="94"/>
        <v>-1028.3873999999996</v>
      </c>
      <c r="CA203" s="6">
        <f t="shared" si="95"/>
        <v>-1028.3873999999996</v>
      </c>
      <c r="CB203" s="6">
        <f t="shared" si="96"/>
        <v>-1028.3873999999996</v>
      </c>
      <c r="CC203" s="6">
        <f t="shared" si="97"/>
        <v>-1028.3873999999996</v>
      </c>
      <c r="CD203" s="6">
        <f t="shared" si="98"/>
        <v>-1028.3873999999996</v>
      </c>
      <c r="CE203" s="6">
        <f t="shared" si="99"/>
        <v>-1028.3873999999996</v>
      </c>
      <c r="CF203" s="6">
        <f t="shared" si="100"/>
        <v>-1028.3873999999996</v>
      </c>
      <c r="CG203" s="6">
        <f t="shared" si="101"/>
        <v>-1028.3873999999996</v>
      </c>
      <c r="CH203" s="6">
        <f t="shared" si="72"/>
        <v>-12340.608799999987</v>
      </c>
    </row>
    <row r="204" spans="1:86" hidden="1" x14ac:dyDescent="0.35">
      <c r="A204" s="3" t="s">
        <v>506</v>
      </c>
      <c r="B204" s="10">
        <v>10699.52</v>
      </c>
      <c r="C204" s="10">
        <v>10699.52</v>
      </c>
      <c r="D204" s="10">
        <v>10699.52</v>
      </c>
      <c r="E204" s="10">
        <v>10699.52</v>
      </c>
      <c r="F204" s="10">
        <v>10699.52</v>
      </c>
      <c r="G204" s="10">
        <v>10699.52</v>
      </c>
      <c r="H204" s="10">
        <v>10699.52</v>
      </c>
      <c r="I204" s="10">
        <v>10699.52</v>
      </c>
      <c r="J204" s="10">
        <v>10699.52</v>
      </c>
      <c r="K204" s="10">
        <v>10699.52</v>
      </c>
      <c r="L204" s="10">
        <v>10699.52</v>
      </c>
      <c r="M204" s="10">
        <v>10699.52</v>
      </c>
      <c r="N204" s="27">
        <f t="shared" si="88"/>
        <v>128394.24000000003</v>
      </c>
      <c r="AA204" s="27">
        <f t="shared" si="87"/>
        <v>0</v>
      </c>
      <c r="AB204" s="10">
        <f t="shared" si="102"/>
        <v>10699.52</v>
      </c>
      <c r="AC204" s="10">
        <f t="shared" si="102"/>
        <v>10699.52</v>
      </c>
      <c r="AD204" s="10">
        <f t="shared" si="102"/>
        <v>10699.52</v>
      </c>
      <c r="AE204" s="10">
        <f t="shared" si="102"/>
        <v>10699.52</v>
      </c>
      <c r="AF204" s="10">
        <f t="shared" si="102"/>
        <v>10699.52</v>
      </c>
      <c r="AG204" s="10">
        <f t="shared" si="102"/>
        <v>10699.52</v>
      </c>
      <c r="AH204" s="10">
        <f t="shared" si="102"/>
        <v>10699.52</v>
      </c>
      <c r="AI204" s="10">
        <f t="shared" si="102"/>
        <v>10699.52</v>
      </c>
      <c r="AJ204" s="10">
        <f t="shared" si="102"/>
        <v>10699.52</v>
      </c>
      <c r="AK204" s="10">
        <f t="shared" si="102"/>
        <v>10699.52</v>
      </c>
      <c r="AL204" s="10">
        <f t="shared" si="102"/>
        <v>10699.52</v>
      </c>
      <c r="AM204" s="10">
        <f t="shared" si="102"/>
        <v>10699.52</v>
      </c>
      <c r="AN204" s="27">
        <f t="shared" si="89"/>
        <v>128394.24000000003</v>
      </c>
      <c r="AS204" t="str">
        <f>_xlfn.XLOOKUP(AU204,[2]GAE!HZ:HZ,[2]GAE!IA:IA)</f>
        <v>ADMIN SERVICES</v>
      </c>
      <c r="AT204" t="str">
        <f>_xlfn.XLOOKUP(AU204,[2]GAE!HZ:HZ,[2]GAE!IB:IB)</f>
        <v>GAE - Postal &amp; Communication - Telephone</v>
      </c>
      <c r="AU204" t="s">
        <v>507</v>
      </c>
      <c r="AV204">
        <v>80123102</v>
      </c>
      <c r="AW204">
        <v>61721101</v>
      </c>
      <c r="AX204" t="str">
        <f>_xlfn.XLOOKUP(AU204,[2]GAE!HZ:HZ,[2]GAE!IF:IF)</f>
        <v>Others</v>
      </c>
      <c r="AY204" t="str">
        <f>_xlfn.XLOOKUP(AU204,[2]GAE!HZ:HZ,[2]GAE!IG:IG)</f>
        <v>Postal &amp; Communication</v>
      </c>
      <c r="BF204" t="s">
        <v>508</v>
      </c>
      <c r="BG204" t="s">
        <v>509</v>
      </c>
      <c r="BH204" s="10">
        <f>SUMIFS('[1]2026'!$K:$K,'[1]2026'!$T:$T,BD204,'[1]2026'!$S:$S,BH$3,'[1]2026'!$P:$P,AU204)</f>
        <v>0</v>
      </c>
      <c r="BI204" s="10">
        <f>SUMIFS('[1]2026'!$K:$K,'[1]2026'!$T:$T,$BD204,'[1]2026'!$S:$S,BI$3,'[1]2026'!$P:$P,$AU204)</f>
        <v>0</v>
      </c>
      <c r="BJ204" s="10">
        <f>SUMIFS('[1]2026'!$K:$K,'[1]2026'!$T:$T,$BD204,'[1]2026'!$S:$S,BJ$3,'[1]2026'!$P:$P,$AU204)</f>
        <v>0</v>
      </c>
      <c r="BK204" s="10">
        <f>SUMIFS('[1]2026'!$K:$K,'[1]2026'!$T:$T,$BD204,'[1]2026'!$S:$S,BK$3,'[1]2026'!$P:$P,$AU204)</f>
        <v>0</v>
      </c>
      <c r="BL204" s="10">
        <f>SUMIFS('[1]2026'!$K:$K,'[1]2026'!$T:$T,$BD204,'[1]2026'!$S:$S,BL$3,'[1]2026'!$P:$P,$AU204)</f>
        <v>0</v>
      </c>
      <c r="BM204" s="10">
        <f>SUMIFS('[1]2026'!$K:$K,'[1]2026'!$T:$T,$BD204,'[1]2026'!$S:$S,BM$3,'[1]2026'!$P:$P,$AU204)</f>
        <v>0</v>
      </c>
      <c r="BN204" s="10">
        <f>SUMIFS('[1]2026'!$K:$K,'[1]2026'!$T:$T,$BD204,'[1]2026'!$S:$S,BN$3,'[1]2026'!$P:$P,$AU204)</f>
        <v>0</v>
      </c>
      <c r="BO204" s="10">
        <f>SUMIFS('[1]2026'!$K:$K,'[1]2026'!$T:$T,$BD204,'[1]2026'!$S:$S,BO$3,'[1]2026'!$P:$P,$AU204)</f>
        <v>0</v>
      </c>
      <c r="BP204" s="6">
        <f t="shared" si="105"/>
        <v>0</v>
      </c>
      <c r="BQ204" s="6">
        <f t="shared" si="105"/>
        <v>0</v>
      </c>
      <c r="BR204" s="6">
        <f t="shared" si="105"/>
        <v>0</v>
      </c>
      <c r="BS204" s="6">
        <f t="shared" si="105"/>
        <v>0</v>
      </c>
      <c r="BT204" s="6">
        <f t="shared" ref="BT204:BT267" si="106">SUM(BH204:BS204)</f>
        <v>0</v>
      </c>
      <c r="BV204" s="6">
        <f t="shared" si="90"/>
        <v>-10699.52</v>
      </c>
      <c r="BW204" s="6">
        <f t="shared" si="91"/>
        <v>-10699.52</v>
      </c>
      <c r="BX204" s="6">
        <f t="shared" si="92"/>
        <v>-10699.52</v>
      </c>
      <c r="BY204" s="6">
        <f t="shared" si="93"/>
        <v>-10699.52</v>
      </c>
      <c r="BZ204" s="6">
        <f t="shared" si="94"/>
        <v>-10699.52</v>
      </c>
      <c r="CA204" s="6">
        <f t="shared" si="95"/>
        <v>-10699.52</v>
      </c>
      <c r="CB204" s="6">
        <f t="shared" si="96"/>
        <v>-10699.52</v>
      </c>
      <c r="CC204" s="6">
        <f t="shared" si="97"/>
        <v>-10699.52</v>
      </c>
      <c r="CD204" s="6">
        <f t="shared" si="98"/>
        <v>-10699.52</v>
      </c>
      <c r="CE204" s="6">
        <f t="shared" si="99"/>
        <v>-10699.52</v>
      </c>
      <c r="CF204" s="6">
        <f t="shared" si="100"/>
        <v>-10699.52</v>
      </c>
      <c r="CG204" s="6">
        <f t="shared" si="101"/>
        <v>-10699.52</v>
      </c>
      <c r="CH204" s="6">
        <f t="shared" si="72"/>
        <v>-128394.24000000003</v>
      </c>
    </row>
    <row r="205" spans="1:86" hidden="1" x14ac:dyDescent="0.35">
      <c r="A205" s="3" t="s">
        <v>510</v>
      </c>
      <c r="B205" s="10">
        <v>2431.63</v>
      </c>
      <c r="C205" s="10">
        <v>2431.63</v>
      </c>
      <c r="D205" s="10">
        <v>2431.63</v>
      </c>
      <c r="E205" s="10">
        <v>2431.63</v>
      </c>
      <c r="F205" s="10">
        <v>2431.63</v>
      </c>
      <c r="G205" s="10">
        <v>2431.63</v>
      </c>
      <c r="H205" s="10">
        <v>2431.63</v>
      </c>
      <c r="I205" s="10">
        <v>2431.63</v>
      </c>
      <c r="J205" s="10">
        <v>2431.63</v>
      </c>
      <c r="K205" s="10">
        <v>2431.63</v>
      </c>
      <c r="L205" s="10">
        <v>2431.63</v>
      </c>
      <c r="M205" s="10">
        <v>2431.63</v>
      </c>
      <c r="N205" s="27">
        <f t="shared" si="88"/>
        <v>29179.560000000009</v>
      </c>
      <c r="AA205" s="27">
        <f t="shared" si="87"/>
        <v>0</v>
      </c>
      <c r="AB205" s="10">
        <f t="shared" si="102"/>
        <v>2431.63</v>
      </c>
      <c r="AC205" s="10">
        <f t="shared" si="102"/>
        <v>2431.63</v>
      </c>
      <c r="AD205" s="10">
        <f t="shared" si="102"/>
        <v>2431.63</v>
      </c>
      <c r="AE205" s="10">
        <f t="shared" si="102"/>
        <v>2431.63</v>
      </c>
      <c r="AF205" s="10">
        <f t="shared" si="102"/>
        <v>2431.63</v>
      </c>
      <c r="AG205" s="10">
        <f t="shared" si="102"/>
        <v>2431.63</v>
      </c>
      <c r="AH205" s="10">
        <f t="shared" si="102"/>
        <v>2431.63</v>
      </c>
      <c r="AI205" s="10">
        <f t="shared" si="102"/>
        <v>2431.63</v>
      </c>
      <c r="AJ205" s="10">
        <f t="shared" si="102"/>
        <v>2431.63</v>
      </c>
      <c r="AK205" s="10">
        <f t="shared" si="102"/>
        <v>2431.63</v>
      </c>
      <c r="AL205" s="10">
        <f t="shared" si="102"/>
        <v>2431.63</v>
      </c>
      <c r="AM205" s="10">
        <f t="shared" si="102"/>
        <v>2431.63</v>
      </c>
      <c r="AN205" s="27">
        <f t="shared" si="89"/>
        <v>29179.560000000009</v>
      </c>
      <c r="AS205" t="str">
        <f>_xlfn.XLOOKUP(AU205,[2]GAE!HZ:HZ,[2]GAE!IA:IA)</f>
        <v>ADMIN SERVICES</v>
      </c>
      <c r="AT205" t="str">
        <f>_xlfn.XLOOKUP(AU205,[2]GAE!HZ:HZ,[2]GAE!IB:IB)</f>
        <v>GAE - Postal &amp; Communication - Telephone</v>
      </c>
      <c r="AU205" t="s">
        <v>507</v>
      </c>
      <c r="AV205">
        <v>80123102</v>
      </c>
      <c r="AW205">
        <v>61721101</v>
      </c>
      <c r="AX205" t="str">
        <f>_xlfn.XLOOKUP(AU205,[2]GAE!HZ:HZ,[2]GAE!IF:IF)</f>
        <v>Others</v>
      </c>
      <c r="AY205" t="str">
        <f>_xlfn.XLOOKUP(AU205,[2]GAE!HZ:HZ,[2]GAE!IG:IG)</f>
        <v>Postal &amp; Communication</v>
      </c>
      <c r="BF205" t="s">
        <v>508</v>
      </c>
      <c r="BG205" t="s">
        <v>509</v>
      </c>
      <c r="BH205" s="10">
        <f>SUMIFS('[1]2026'!$K:$K,'[1]2026'!$T:$T,BD205,'[1]2026'!$S:$S,BH$3,'[1]2026'!$P:$P,AU205)</f>
        <v>0</v>
      </c>
      <c r="BI205" s="10">
        <f>SUMIFS('[1]2026'!$K:$K,'[1]2026'!$T:$T,$BD205,'[1]2026'!$S:$S,BI$3,'[1]2026'!$P:$P,$AU205)</f>
        <v>0</v>
      </c>
      <c r="BJ205" s="10">
        <f>SUMIFS('[1]2026'!$K:$K,'[1]2026'!$T:$T,$BD205,'[1]2026'!$S:$S,BJ$3,'[1]2026'!$P:$P,$AU205)</f>
        <v>0</v>
      </c>
      <c r="BK205" s="10">
        <f>SUMIFS('[1]2026'!$K:$K,'[1]2026'!$T:$T,$BD205,'[1]2026'!$S:$S,BK$3,'[1]2026'!$P:$P,$AU205)</f>
        <v>0</v>
      </c>
      <c r="BL205" s="10">
        <f>SUMIFS('[1]2026'!$K:$K,'[1]2026'!$T:$T,$BD205,'[1]2026'!$S:$S,BL$3,'[1]2026'!$P:$P,$AU205)</f>
        <v>0</v>
      </c>
      <c r="BM205" s="10">
        <f>SUMIFS('[1]2026'!$K:$K,'[1]2026'!$T:$T,$BD205,'[1]2026'!$S:$S,BM$3,'[1]2026'!$P:$P,$AU205)</f>
        <v>0</v>
      </c>
      <c r="BN205" s="10">
        <f>SUMIFS('[1]2026'!$K:$K,'[1]2026'!$T:$T,$BD205,'[1]2026'!$S:$S,BN$3,'[1]2026'!$P:$P,$AU205)</f>
        <v>0</v>
      </c>
      <c r="BO205" s="10">
        <f>SUMIFS('[1]2026'!$K:$K,'[1]2026'!$T:$T,$BD205,'[1]2026'!$S:$S,BO$3,'[1]2026'!$P:$P,$AU205)</f>
        <v>0</v>
      </c>
      <c r="BP205" s="6">
        <f t="shared" si="105"/>
        <v>0</v>
      </c>
      <c r="BQ205" s="6">
        <f t="shared" si="105"/>
        <v>0</v>
      </c>
      <c r="BR205" s="6">
        <f t="shared" si="105"/>
        <v>0</v>
      </c>
      <c r="BS205" s="6">
        <f t="shared" si="105"/>
        <v>0</v>
      </c>
      <c r="BT205" s="6">
        <f t="shared" si="106"/>
        <v>0</v>
      </c>
      <c r="BV205" s="6">
        <f t="shared" si="90"/>
        <v>-2431.63</v>
      </c>
      <c r="BW205" s="6">
        <f t="shared" si="91"/>
        <v>-2431.63</v>
      </c>
      <c r="BX205" s="6">
        <f t="shared" si="92"/>
        <v>-2431.63</v>
      </c>
      <c r="BY205" s="6">
        <f t="shared" si="93"/>
        <v>-2431.63</v>
      </c>
      <c r="BZ205" s="6">
        <f t="shared" si="94"/>
        <v>-2431.63</v>
      </c>
      <c r="CA205" s="6">
        <f t="shared" si="95"/>
        <v>-2431.63</v>
      </c>
      <c r="CB205" s="6">
        <f t="shared" si="96"/>
        <v>-2431.63</v>
      </c>
      <c r="CC205" s="6">
        <f t="shared" si="97"/>
        <v>-2431.63</v>
      </c>
      <c r="CD205" s="6">
        <f t="shared" si="98"/>
        <v>-2431.63</v>
      </c>
      <c r="CE205" s="6">
        <f t="shared" si="99"/>
        <v>-2431.63</v>
      </c>
      <c r="CF205" s="6">
        <f t="shared" si="100"/>
        <v>-2431.63</v>
      </c>
      <c r="CG205" s="6">
        <f t="shared" si="101"/>
        <v>-2431.63</v>
      </c>
      <c r="CH205" s="6">
        <f t="shared" si="72"/>
        <v>-29179.560000000009</v>
      </c>
    </row>
    <row r="206" spans="1:86" hidden="1" x14ac:dyDescent="0.35">
      <c r="A206" s="3" t="s">
        <v>511</v>
      </c>
      <c r="B206" s="10">
        <v>1945.42</v>
      </c>
      <c r="C206" s="10">
        <v>1945.42</v>
      </c>
      <c r="D206" s="10">
        <v>1945.42</v>
      </c>
      <c r="E206" s="10">
        <v>1945.42</v>
      </c>
      <c r="F206" s="10">
        <v>1945.42</v>
      </c>
      <c r="G206" s="10">
        <v>1945.42</v>
      </c>
      <c r="H206" s="10">
        <v>1945.42</v>
      </c>
      <c r="I206" s="10">
        <v>1945.42</v>
      </c>
      <c r="J206" s="10">
        <v>1945.42</v>
      </c>
      <c r="K206" s="10">
        <v>1945.42</v>
      </c>
      <c r="L206" s="10">
        <v>1945.42</v>
      </c>
      <c r="M206" s="10">
        <v>1945.42</v>
      </c>
      <c r="N206" s="27">
        <f t="shared" si="88"/>
        <v>23345.039999999994</v>
      </c>
      <c r="AA206" s="27">
        <f t="shared" si="87"/>
        <v>0</v>
      </c>
      <c r="AB206" s="10">
        <f t="shared" si="102"/>
        <v>1945.42</v>
      </c>
      <c r="AC206" s="10">
        <f t="shared" si="102"/>
        <v>1945.42</v>
      </c>
      <c r="AD206" s="10">
        <f t="shared" si="102"/>
        <v>1945.42</v>
      </c>
      <c r="AE206" s="10">
        <f t="shared" si="102"/>
        <v>1945.42</v>
      </c>
      <c r="AF206" s="10">
        <f t="shared" si="102"/>
        <v>1945.42</v>
      </c>
      <c r="AG206" s="10">
        <f t="shared" si="102"/>
        <v>1945.42</v>
      </c>
      <c r="AH206" s="10">
        <f t="shared" si="102"/>
        <v>1945.42</v>
      </c>
      <c r="AI206" s="10">
        <f t="shared" si="102"/>
        <v>1945.42</v>
      </c>
      <c r="AJ206" s="10">
        <f t="shared" si="102"/>
        <v>1945.42</v>
      </c>
      <c r="AK206" s="10">
        <f t="shared" si="102"/>
        <v>1945.42</v>
      </c>
      <c r="AL206" s="10">
        <f t="shared" si="102"/>
        <v>1945.42</v>
      </c>
      <c r="AM206" s="10">
        <f t="shared" si="102"/>
        <v>1945.42</v>
      </c>
      <c r="AN206" s="27">
        <f t="shared" si="89"/>
        <v>23345.039999999994</v>
      </c>
      <c r="AS206" t="str">
        <f>_xlfn.XLOOKUP(AU206,[2]GAE!HZ:HZ,[2]GAE!IA:IA)</f>
        <v>ADMIN SERVICES</v>
      </c>
      <c r="AT206" t="str">
        <f>_xlfn.XLOOKUP(AU206,[2]GAE!HZ:HZ,[2]GAE!IB:IB)</f>
        <v>GAE - Postal &amp; Communication - Telephone</v>
      </c>
      <c r="AU206" t="s">
        <v>507</v>
      </c>
      <c r="AV206">
        <v>80123102</v>
      </c>
      <c r="AW206">
        <v>61721101</v>
      </c>
      <c r="AX206" t="str">
        <f>_xlfn.XLOOKUP(AU206,[2]GAE!HZ:HZ,[2]GAE!IF:IF)</f>
        <v>Others</v>
      </c>
      <c r="AY206" t="str">
        <f>_xlfn.XLOOKUP(AU206,[2]GAE!HZ:HZ,[2]GAE!IG:IG)</f>
        <v>Postal &amp; Communication</v>
      </c>
      <c r="BF206" t="s">
        <v>508</v>
      </c>
      <c r="BG206" t="s">
        <v>509</v>
      </c>
      <c r="BH206" s="10">
        <f>SUMIFS('[1]2026'!$K:$K,'[1]2026'!$T:$T,BD206,'[1]2026'!$S:$S,BH$3,'[1]2026'!$P:$P,AU206)</f>
        <v>0</v>
      </c>
      <c r="BI206" s="10">
        <f>SUMIFS('[1]2026'!$K:$K,'[1]2026'!$T:$T,$BD206,'[1]2026'!$S:$S,BI$3,'[1]2026'!$P:$P,$AU206)</f>
        <v>0</v>
      </c>
      <c r="BJ206" s="10">
        <f>SUMIFS('[1]2026'!$K:$K,'[1]2026'!$T:$T,$BD206,'[1]2026'!$S:$S,BJ$3,'[1]2026'!$P:$P,$AU206)</f>
        <v>0</v>
      </c>
      <c r="BK206" s="10">
        <f>SUMIFS('[1]2026'!$K:$K,'[1]2026'!$T:$T,$BD206,'[1]2026'!$S:$S,BK$3,'[1]2026'!$P:$P,$AU206)</f>
        <v>0</v>
      </c>
      <c r="BL206" s="10">
        <f>SUMIFS('[1]2026'!$K:$K,'[1]2026'!$T:$T,$BD206,'[1]2026'!$S:$S,BL$3,'[1]2026'!$P:$P,$AU206)</f>
        <v>0</v>
      </c>
      <c r="BM206" s="10">
        <f>SUMIFS('[1]2026'!$K:$K,'[1]2026'!$T:$T,$BD206,'[1]2026'!$S:$S,BM$3,'[1]2026'!$P:$P,$AU206)</f>
        <v>0</v>
      </c>
      <c r="BN206" s="10">
        <f>SUMIFS('[1]2026'!$K:$K,'[1]2026'!$T:$T,$BD206,'[1]2026'!$S:$S,BN$3,'[1]2026'!$P:$P,$AU206)</f>
        <v>0</v>
      </c>
      <c r="BO206" s="10">
        <f>SUMIFS('[1]2026'!$K:$K,'[1]2026'!$T:$T,$BD206,'[1]2026'!$S:$S,BO$3,'[1]2026'!$P:$P,$AU206)</f>
        <v>0</v>
      </c>
      <c r="BP206" s="6">
        <f t="shared" si="105"/>
        <v>0</v>
      </c>
      <c r="BQ206" s="6">
        <f t="shared" si="105"/>
        <v>0</v>
      </c>
      <c r="BR206" s="6">
        <f t="shared" si="105"/>
        <v>0</v>
      </c>
      <c r="BS206" s="6">
        <f t="shared" si="105"/>
        <v>0</v>
      </c>
      <c r="BT206" s="6">
        <f t="shared" si="106"/>
        <v>0</v>
      </c>
      <c r="BV206" s="6">
        <f t="shared" si="90"/>
        <v>-1945.42</v>
      </c>
      <c r="BW206" s="6">
        <f t="shared" si="91"/>
        <v>-1945.42</v>
      </c>
      <c r="BX206" s="6">
        <f t="shared" si="92"/>
        <v>-1945.42</v>
      </c>
      <c r="BY206" s="6">
        <f t="shared" si="93"/>
        <v>-1945.42</v>
      </c>
      <c r="BZ206" s="6">
        <f t="shared" si="94"/>
        <v>-1945.42</v>
      </c>
      <c r="CA206" s="6">
        <f t="shared" si="95"/>
        <v>-1945.42</v>
      </c>
      <c r="CB206" s="6">
        <f t="shared" si="96"/>
        <v>-1945.42</v>
      </c>
      <c r="CC206" s="6">
        <f t="shared" si="97"/>
        <v>-1945.42</v>
      </c>
      <c r="CD206" s="6">
        <f t="shared" si="98"/>
        <v>-1945.42</v>
      </c>
      <c r="CE206" s="6">
        <f t="shared" si="99"/>
        <v>-1945.42</v>
      </c>
      <c r="CF206" s="6">
        <f t="shared" si="100"/>
        <v>-1945.42</v>
      </c>
      <c r="CG206" s="6">
        <f t="shared" si="101"/>
        <v>-1945.42</v>
      </c>
      <c r="CH206" s="6">
        <f t="shared" si="72"/>
        <v>-23345.039999999994</v>
      </c>
    </row>
    <row r="207" spans="1:86" hidden="1" x14ac:dyDescent="0.35">
      <c r="A207" s="3" t="s">
        <v>512</v>
      </c>
      <c r="B207" s="10">
        <v>1945.42</v>
      </c>
      <c r="C207" s="10">
        <v>1945.42</v>
      </c>
      <c r="D207" s="10">
        <v>1945.42</v>
      </c>
      <c r="E207" s="10">
        <v>1945.42</v>
      </c>
      <c r="F207" s="10">
        <v>1945.42</v>
      </c>
      <c r="G207" s="10">
        <v>1945.42</v>
      </c>
      <c r="H207" s="10">
        <v>1945.42</v>
      </c>
      <c r="I207" s="10">
        <v>1945.42</v>
      </c>
      <c r="J207" s="10">
        <v>1945.42</v>
      </c>
      <c r="K207" s="10">
        <v>1945.42</v>
      </c>
      <c r="L207" s="10">
        <v>1945.42</v>
      </c>
      <c r="M207" s="10">
        <v>1945.42</v>
      </c>
      <c r="N207" s="27">
        <f t="shared" si="88"/>
        <v>23345.039999999994</v>
      </c>
      <c r="AA207" s="27">
        <f t="shared" si="87"/>
        <v>0</v>
      </c>
      <c r="AB207" s="10">
        <f t="shared" si="102"/>
        <v>1945.42</v>
      </c>
      <c r="AC207" s="10">
        <f t="shared" si="102"/>
        <v>1945.42</v>
      </c>
      <c r="AD207" s="10">
        <f t="shared" si="102"/>
        <v>1945.42</v>
      </c>
      <c r="AE207" s="10">
        <f t="shared" si="102"/>
        <v>1945.42</v>
      </c>
      <c r="AF207" s="10">
        <f t="shared" si="102"/>
        <v>1945.42</v>
      </c>
      <c r="AG207" s="10">
        <f t="shared" si="102"/>
        <v>1945.42</v>
      </c>
      <c r="AH207" s="10">
        <f t="shared" si="102"/>
        <v>1945.42</v>
      </c>
      <c r="AI207" s="10">
        <f t="shared" si="102"/>
        <v>1945.42</v>
      </c>
      <c r="AJ207" s="10">
        <f t="shared" si="102"/>
        <v>1945.42</v>
      </c>
      <c r="AK207" s="10">
        <f t="shared" si="102"/>
        <v>1945.42</v>
      </c>
      <c r="AL207" s="10">
        <f t="shared" si="102"/>
        <v>1945.42</v>
      </c>
      <c r="AM207" s="10">
        <f t="shared" si="102"/>
        <v>1945.42</v>
      </c>
      <c r="AN207" s="27">
        <f t="shared" si="89"/>
        <v>23345.039999999994</v>
      </c>
      <c r="AS207" t="str">
        <f>_xlfn.XLOOKUP(AU207,[2]GAE!HZ:HZ,[2]GAE!IA:IA)</f>
        <v>ADMIN SERVICES</v>
      </c>
      <c r="AT207" t="str">
        <f>_xlfn.XLOOKUP(AU207,[2]GAE!HZ:HZ,[2]GAE!IB:IB)</f>
        <v>GAE - Postal &amp; Communication - Telephone</v>
      </c>
      <c r="AU207" t="s">
        <v>507</v>
      </c>
      <c r="AV207">
        <v>80123102</v>
      </c>
      <c r="AW207">
        <v>61721101</v>
      </c>
      <c r="AX207" t="str">
        <f>_xlfn.XLOOKUP(AU207,[2]GAE!HZ:HZ,[2]GAE!IF:IF)</f>
        <v>Others</v>
      </c>
      <c r="AY207" t="str">
        <f>_xlfn.XLOOKUP(AU207,[2]GAE!HZ:HZ,[2]GAE!IG:IG)</f>
        <v>Postal &amp; Communication</v>
      </c>
      <c r="BF207" t="s">
        <v>508</v>
      </c>
      <c r="BG207" t="s">
        <v>509</v>
      </c>
      <c r="BH207" s="10">
        <f>SUMIFS('[1]2026'!$K:$K,'[1]2026'!$T:$T,BD207,'[1]2026'!$S:$S,BH$3,'[1]2026'!$P:$P,AU207)</f>
        <v>0</v>
      </c>
      <c r="BI207" s="10">
        <f>SUMIFS('[1]2026'!$K:$K,'[1]2026'!$T:$T,$BD207,'[1]2026'!$S:$S,BI$3,'[1]2026'!$P:$P,$AU207)</f>
        <v>0</v>
      </c>
      <c r="BJ207" s="10">
        <f>SUMIFS('[1]2026'!$K:$K,'[1]2026'!$T:$T,$BD207,'[1]2026'!$S:$S,BJ$3,'[1]2026'!$P:$P,$AU207)</f>
        <v>0</v>
      </c>
      <c r="BK207" s="10">
        <f>SUMIFS('[1]2026'!$K:$K,'[1]2026'!$T:$T,$BD207,'[1]2026'!$S:$S,BK$3,'[1]2026'!$P:$P,$AU207)</f>
        <v>0</v>
      </c>
      <c r="BL207" s="10">
        <f>SUMIFS('[1]2026'!$K:$K,'[1]2026'!$T:$T,$BD207,'[1]2026'!$S:$S,BL$3,'[1]2026'!$P:$P,$AU207)</f>
        <v>0</v>
      </c>
      <c r="BM207" s="10">
        <f>SUMIFS('[1]2026'!$K:$K,'[1]2026'!$T:$T,$BD207,'[1]2026'!$S:$S,BM$3,'[1]2026'!$P:$P,$AU207)</f>
        <v>0</v>
      </c>
      <c r="BN207" s="10">
        <f>SUMIFS('[1]2026'!$K:$K,'[1]2026'!$T:$T,$BD207,'[1]2026'!$S:$S,BN$3,'[1]2026'!$P:$P,$AU207)</f>
        <v>0</v>
      </c>
      <c r="BO207" s="10">
        <f>SUMIFS('[1]2026'!$K:$K,'[1]2026'!$T:$T,$BD207,'[1]2026'!$S:$S,BO$3,'[1]2026'!$P:$P,$AU207)</f>
        <v>0</v>
      </c>
      <c r="BP207" s="6">
        <f t="shared" si="105"/>
        <v>0</v>
      </c>
      <c r="BQ207" s="6">
        <f t="shared" si="105"/>
        <v>0</v>
      </c>
      <c r="BR207" s="6">
        <f t="shared" si="105"/>
        <v>0</v>
      </c>
      <c r="BS207" s="6">
        <f t="shared" si="105"/>
        <v>0</v>
      </c>
      <c r="BT207" s="6">
        <f t="shared" si="106"/>
        <v>0</v>
      </c>
      <c r="BV207" s="6">
        <f t="shared" si="90"/>
        <v>-1945.42</v>
      </c>
      <c r="BW207" s="6">
        <f t="shared" si="91"/>
        <v>-1945.42</v>
      </c>
      <c r="BX207" s="6">
        <f t="shared" si="92"/>
        <v>-1945.42</v>
      </c>
      <c r="BY207" s="6">
        <f t="shared" si="93"/>
        <v>-1945.42</v>
      </c>
      <c r="BZ207" s="6">
        <f t="shared" si="94"/>
        <v>-1945.42</v>
      </c>
      <c r="CA207" s="6">
        <f t="shared" si="95"/>
        <v>-1945.42</v>
      </c>
      <c r="CB207" s="6">
        <f t="shared" si="96"/>
        <v>-1945.42</v>
      </c>
      <c r="CC207" s="6">
        <f t="shared" si="97"/>
        <v>-1945.42</v>
      </c>
      <c r="CD207" s="6">
        <f t="shared" si="98"/>
        <v>-1945.42</v>
      </c>
      <c r="CE207" s="6">
        <f t="shared" si="99"/>
        <v>-1945.42</v>
      </c>
      <c r="CF207" s="6">
        <f t="shared" si="100"/>
        <v>-1945.42</v>
      </c>
      <c r="CG207" s="6">
        <f t="shared" si="101"/>
        <v>-1945.42</v>
      </c>
      <c r="CH207" s="6">
        <f t="shared" si="72"/>
        <v>-23345.039999999994</v>
      </c>
    </row>
    <row r="208" spans="1:86" hidden="1" x14ac:dyDescent="0.35">
      <c r="A208" s="3" t="s">
        <v>513</v>
      </c>
      <c r="B208" s="10">
        <v>1945.42</v>
      </c>
      <c r="C208" s="10">
        <v>1945.42</v>
      </c>
      <c r="D208" s="10">
        <v>1945.42</v>
      </c>
      <c r="E208" s="10">
        <v>1945.42</v>
      </c>
      <c r="F208" s="10">
        <v>1945.42</v>
      </c>
      <c r="G208" s="10">
        <v>1945.42</v>
      </c>
      <c r="H208" s="10">
        <v>1945.42</v>
      </c>
      <c r="I208" s="10">
        <v>1945.42</v>
      </c>
      <c r="J208" s="10">
        <v>1945.42</v>
      </c>
      <c r="K208" s="10">
        <v>1945.42</v>
      </c>
      <c r="L208" s="10">
        <v>1945.42</v>
      </c>
      <c r="M208" s="10">
        <v>1945.42</v>
      </c>
      <c r="N208" s="27">
        <f t="shared" si="88"/>
        <v>23345.039999999994</v>
      </c>
      <c r="AA208" s="27">
        <f t="shared" si="87"/>
        <v>0</v>
      </c>
      <c r="AB208" s="10">
        <f t="shared" si="102"/>
        <v>1945.42</v>
      </c>
      <c r="AC208" s="10">
        <f t="shared" si="102"/>
        <v>1945.42</v>
      </c>
      <c r="AD208" s="10">
        <f t="shared" si="102"/>
        <v>1945.42</v>
      </c>
      <c r="AE208" s="10">
        <f t="shared" si="102"/>
        <v>1945.42</v>
      </c>
      <c r="AF208" s="10">
        <f t="shared" si="102"/>
        <v>1945.42</v>
      </c>
      <c r="AG208" s="10">
        <f t="shared" si="102"/>
        <v>1945.42</v>
      </c>
      <c r="AH208" s="10">
        <f t="shared" si="102"/>
        <v>1945.42</v>
      </c>
      <c r="AI208" s="10">
        <f t="shared" si="102"/>
        <v>1945.42</v>
      </c>
      <c r="AJ208" s="10">
        <f t="shared" si="102"/>
        <v>1945.42</v>
      </c>
      <c r="AK208" s="10">
        <f t="shared" si="102"/>
        <v>1945.42</v>
      </c>
      <c r="AL208" s="10">
        <f t="shared" si="102"/>
        <v>1945.42</v>
      </c>
      <c r="AM208" s="10">
        <f t="shared" si="102"/>
        <v>1945.42</v>
      </c>
      <c r="AN208" s="27">
        <f t="shared" si="89"/>
        <v>23345.039999999994</v>
      </c>
      <c r="AS208" t="str">
        <f>_xlfn.XLOOKUP(AU208,[2]GAE!HZ:HZ,[2]GAE!IA:IA)</f>
        <v>ADMIN SERVICES</v>
      </c>
      <c r="AT208" t="str">
        <f>_xlfn.XLOOKUP(AU208,[2]GAE!HZ:HZ,[2]GAE!IB:IB)</f>
        <v>GAE - Postal &amp; Communication - Telephone</v>
      </c>
      <c r="AU208" t="s">
        <v>507</v>
      </c>
      <c r="AV208">
        <v>80123102</v>
      </c>
      <c r="AW208">
        <v>61721101</v>
      </c>
      <c r="AX208" t="str">
        <f>_xlfn.XLOOKUP(AU208,[2]GAE!HZ:HZ,[2]GAE!IF:IF)</f>
        <v>Others</v>
      </c>
      <c r="AY208" t="str">
        <f>_xlfn.XLOOKUP(AU208,[2]GAE!HZ:HZ,[2]GAE!IG:IG)</f>
        <v>Postal &amp; Communication</v>
      </c>
      <c r="BF208" t="s">
        <v>508</v>
      </c>
      <c r="BG208" t="s">
        <v>509</v>
      </c>
      <c r="BH208" s="10">
        <f>SUMIFS('[1]2026'!$K:$K,'[1]2026'!$T:$T,BD208,'[1]2026'!$S:$S,BH$3,'[1]2026'!$P:$P,AU208)</f>
        <v>0</v>
      </c>
      <c r="BI208" s="10">
        <f>SUMIFS('[1]2026'!$K:$K,'[1]2026'!$T:$T,$BD208,'[1]2026'!$S:$S,BI$3,'[1]2026'!$P:$P,$AU208)</f>
        <v>0</v>
      </c>
      <c r="BJ208" s="10">
        <f>SUMIFS('[1]2026'!$K:$K,'[1]2026'!$T:$T,$BD208,'[1]2026'!$S:$S,BJ$3,'[1]2026'!$P:$P,$AU208)</f>
        <v>0</v>
      </c>
      <c r="BK208" s="10">
        <f>SUMIFS('[1]2026'!$K:$K,'[1]2026'!$T:$T,$BD208,'[1]2026'!$S:$S,BK$3,'[1]2026'!$P:$P,$AU208)</f>
        <v>0</v>
      </c>
      <c r="BL208" s="10">
        <f>SUMIFS('[1]2026'!$K:$K,'[1]2026'!$T:$T,$BD208,'[1]2026'!$S:$S,BL$3,'[1]2026'!$P:$P,$AU208)</f>
        <v>0</v>
      </c>
      <c r="BM208" s="10">
        <f>SUMIFS('[1]2026'!$K:$K,'[1]2026'!$T:$T,$BD208,'[1]2026'!$S:$S,BM$3,'[1]2026'!$P:$P,$AU208)</f>
        <v>0</v>
      </c>
      <c r="BN208" s="10">
        <f>SUMIFS('[1]2026'!$K:$K,'[1]2026'!$T:$T,$BD208,'[1]2026'!$S:$S,BN$3,'[1]2026'!$P:$P,$AU208)</f>
        <v>0</v>
      </c>
      <c r="BO208" s="10">
        <f>SUMIFS('[1]2026'!$K:$K,'[1]2026'!$T:$T,$BD208,'[1]2026'!$S:$S,BO$3,'[1]2026'!$P:$P,$AU208)</f>
        <v>0</v>
      </c>
      <c r="BP208" s="6">
        <f t="shared" si="105"/>
        <v>0</v>
      </c>
      <c r="BQ208" s="6">
        <f t="shared" si="105"/>
        <v>0</v>
      </c>
      <c r="BR208" s="6">
        <f t="shared" si="105"/>
        <v>0</v>
      </c>
      <c r="BS208" s="6">
        <f t="shared" si="105"/>
        <v>0</v>
      </c>
      <c r="BT208" s="6">
        <f t="shared" si="106"/>
        <v>0</v>
      </c>
      <c r="BV208" s="6">
        <f t="shared" si="90"/>
        <v>-1945.42</v>
      </c>
      <c r="BW208" s="6">
        <f t="shared" si="91"/>
        <v>-1945.42</v>
      </c>
      <c r="BX208" s="6">
        <f t="shared" si="92"/>
        <v>-1945.42</v>
      </c>
      <c r="BY208" s="6">
        <f t="shared" si="93"/>
        <v>-1945.42</v>
      </c>
      <c r="BZ208" s="6">
        <f t="shared" si="94"/>
        <v>-1945.42</v>
      </c>
      <c r="CA208" s="6">
        <f t="shared" si="95"/>
        <v>-1945.42</v>
      </c>
      <c r="CB208" s="6">
        <f t="shared" si="96"/>
        <v>-1945.42</v>
      </c>
      <c r="CC208" s="6">
        <f t="shared" si="97"/>
        <v>-1945.42</v>
      </c>
      <c r="CD208" s="6">
        <f t="shared" si="98"/>
        <v>-1945.42</v>
      </c>
      <c r="CE208" s="6">
        <f t="shared" si="99"/>
        <v>-1945.42</v>
      </c>
      <c r="CF208" s="6">
        <f t="shared" si="100"/>
        <v>-1945.42</v>
      </c>
      <c r="CG208" s="6">
        <f t="shared" si="101"/>
        <v>-1945.42</v>
      </c>
      <c r="CH208" s="6">
        <f t="shared" si="72"/>
        <v>-23345.039999999994</v>
      </c>
    </row>
    <row r="209" spans="1:86" hidden="1" x14ac:dyDescent="0.35">
      <c r="A209" s="3" t="s">
        <v>514</v>
      </c>
      <c r="B209" s="10">
        <v>1945.42</v>
      </c>
      <c r="C209" s="10">
        <v>1945.42</v>
      </c>
      <c r="D209" s="10">
        <v>1945.42</v>
      </c>
      <c r="E209" s="10">
        <v>1945.42</v>
      </c>
      <c r="F209" s="10">
        <v>1945.42</v>
      </c>
      <c r="G209" s="10">
        <v>1945.42</v>
      </c>
      <c r="H209" s="10">
        <v>1945.42</v>
      </c>
      <c r="I209" s="10">
        <v>1945.42</v>
      </c>
      <c r="J209" s="10">
        <v>1945.42</v>
      </c>
      <c r="K209" s="10">
        <v>1945.42</v>
      </c>
      <c r="L209" s="10">
        <v>1945.42</v>
      </c>
      <c r="M209" s="10">
        <v>1945.42</v>
      </c>
      <c r="N209" s="27">
        <f t="shared" si="88"/>
        <v>23345.039999999994</v>
      </c>
      <c r="AA209" s="27">
        <f t="shared" si="87"/>
        <v>0</v>
      </c>
      <c r="AB209" s="10">
        <f t="shared" si="102"/>
        <v>1945.42</v>
      </c>
      <c r="AC209" s="10">
        <f t="shared" si="102"/>
        <v>1945.42</v>
      </c>
      <c r="AD209" s="10">
        <f t="shared" si="102"/>
        <v>1945.42</v>
      </c>
      <c r="AE209" s="10">
        <f t="shared" si="102"/>
        <v>1945.42</v>
      </c>
      <c r="AF209" s="10">
        <f t="shared" si="102"/>
        <v>1945.42</v>
      </c>
      <c r="AG209" s="10">
        <f t="shared" si="102"/>
        <v>1945.42</v>
      </c>
      <c r="AH209" s="10">
        <f t="shared" si="102"/>
        <v>1945.42</v>
      </c>
      <c r="AI209" s="10">
        <f t="shared" si="102"/>
        <v>1945.42</v>
      </c>
      <c r="AJ209" s="10">
        <f t="shared" si="102"/>
        <v>1945.42</v>
      </c>
      <c r="AK209" s="10">
        <f t="shared" si="102"/>
        <v>1945.42</v>
      </c>
      <c r="AL209" s="10">
        <f t="shared" si="102"/>
        <v>1945.42</v>
      </c>
      <c r="AM209" s="10">
        <f t="shared" si="102"/>
        <v>1945.42</v>
      </c>
      <c r="AN209" s="27">
        <f t="shared" si="89"/>
        <v>23345.039999999994</v>
      </c>
      <c r="AS209" t="str">
        <f>_xlfn.XLOOKUP(AU209,[2]GAE!HZ:HZ,[2]GAE!IA:IA)</f>
        <v>ADMIN SERVICES</v>
      </c>
      <c r="AT209" t="str">
        <f>_xlfn.XLOOKUP(AU209,[2]GAE!HZ:HZ,[2]GAE!IB:IB)</f>
        <v>GAE - Postal &amp; Communication - Telephone</v>
      </c>
      <c r="AU209" t="s">
        <v>507</v>
      </c>
      <c r="AV209">
        <v>80123102</v>
      </c>
      <c r="AW209">
        <v>61721101</v>
      </c>
      <c r="AX209" t="str">
        <f>_xlfn.XLOOKUP(AU209,[2]GAE!HZ:HZ,[2]GAE!IF:IF)</f>
        <v>Others</v>
      </c>
      <c r="AY209" t="str">
        <f>_xlfn.XLOOKUP(AU209,[2]GAE!HZ:HZ,[2]GAE!IG:IG)</f>
        <v>Postal &amp; Communication</v>
      </c>
      <c r="BF209" t="s">
        <v>508</v>
      </c>
      <c r="BG209" t="s">
        <v>509</v>
      </c>
      <c r="BH209" s="10">
        <f>SUMIFS('[1]2026'!$K:$K,'[1]2026'!$T:$T,BD209,'[1]2026'!$S:$S,BH$3,'[1]2026'!$P:$P,AU209)</f>
        <v>0</v>
      </c>
      <c r="BI209" s="10">
        <f>SUMIFS('[1]2026'!$K:$K,'[1]2026'!$T:$T,$BD209,'[1]2026'!$S:$S,BI$3,'[1]2026'!$P:$P,$AU209)</f>
        <v>0</v>
      </c>
      <c r="BJ209" s="10">
        <f>SUMIFS('[1]2026'!$K:$K,'[1]2026'!$T:$T,$BD209,'[1]2026'!$S:$S,BJ$3,'[1]2026'!$P:$P,$AU209)</f>
        <v>0</v>
      </c>
      <c r="BK209" s="10">
        <f>SUMIFS('[1]2026'!$K:$K,'[1]2026'!$T:$T,$BD209,'[1]2026'!$S:$S,BK$3,'[1]2026'!$P:$P,$AU209)</f>
        <v>0</v>
      </c>
      <c r="BL209" s="10">
        <f>SUMIFS('[1]2026'!$K:$K,'[1]2026'!$T:$T,$BD209,'[1]2026'!$S:$S,BL$3,'[1]2026'!$P:$P,$AU209)</f>
        <v>0</v>
      </c>
      <c r="BM209" s="10">
        <f>SUMIFS('[1]2026'!$K:$K,'[1]2026'!$T:$T,$BD209,'[1]2026'!$S:$S,BM$3,'[1]2026'!$P:$P,$AU209)</f>
        <v>0</v>
      </c>
      <c r="BN209" s="10">
        <f>SUMIFS('[1]2026'!$K:$K,'[1]2026'!$T:$T,$BD209,'[1]2026'!$S:$S,BN$3,'[1]2026'!$P:$P,$AU209)</f>
        <v>0</v>
      </c>
      <c r="BO209" s="10">
        <f>SUMIFS('[1]2026'!$K:$K,'[1]2026'!$T:$T,$BD209,'[1]2026'!$S:$S,BO$3,'[1]2026'!$P:$P,$AU209)</f>
        <v>0</v>
      </c>
      <c r="BP209" s="6">
        <f t="shared" si="105"/>
        <v>0</v>
      </c>
      <c r="BQ209" s="6">
        <f t="shared" si="105"/>
        <v>0</v>
      </c>
      <c r="BR209" s="6">
        <f t="shared" si="105"/>
        <v>0</v>
      </c>
      <c r="BS209" s="6">
        <f t="shared" si="105"/>
        <v>0</v>
      </c>
      <c r="BT209" s="6">
        <f t="shared" si="106"/>
        <v>0</v>
      </c>
      <c r="BV209" s="6">
        <f t="shared" si="90"/>
        <v>-1945.42</v>
      </c>
      <c r="BW209" s="6">
        <f t="shared" si="91"/>
        <v>-1945.42</v>
      </c>
      <c r="BX209" s="6">
        <f t="shared" si="92"/>
        <v>-1945.42</v>
      </c>
      <c r="BY209" s="6">
        <f t="shared" si="93"/>
        <v>-1945.42</v>
      </c>
      <c r="BZ209" s="6">
        <f t="shared" si="94"/>
        <v>-1945.42</v>
      </c>
      <c r="CA209" s="6">
        <f t="shared" si="95"/>
        <v>-1945.42</v>
      </c>
      <c r="CB209" s="6">
        <f t="shared" si="96"/>
        <v>-1945.42</v>
      </c>
      <c r="CC209" s="6">
        <f t="shared" si="97"/>
        <v>-1945.42</v>
      </c>
      <c r="CD209" s="6">
        <f t="shared" si="98"/>
        <v>-1945.42</v>
      </c>
      <c r="CE209" s="6">
        <f t="shared" si="99"/>
        <v>-1945.42</v>
      </c>
      <c r="CF209" s="6">
        <f t="shared" si="100"/>
        <v>-1945.42</v>
      </c>
      <c r="CG209" s="6">
        <f t="shared" si="101"/>
        <v>-1945.42</v>
      </c>
      <c r="CH209" s="6">
        <f t="shared" ref="CH209:CH272" si="107">BT209-AN209</f>
        <v>-23345.039999999994</v>
      </c>
    </row>
    <row r="210" spans="1:86" hidden="1" x14ac:dyDescent="0.35">
      <c r="A210" s="3" t="s">
        <v>515</v>
      </c>
      <c r="B210" s="10">
        <v>1945.42</v>
      </c>
      <c r="C210" s="10">
        <v>1945.42</v>
      </c>
      <c r="D210" s="10">
        <v>1945.42</v>
      </c>
      <c r="E210" s="10">
        <v>1945.42</v>
      </c>
      <c r="F210" s="10">
        <v>1945.42</v>
      </c>
      <c r="G210" s="10">
        <v>1945.42</v>
      </c>
      <c r="H210" s="10">
        <v>1945.42</v>
      </c>
      <c r="I210" s="10">
        <v>1945.42</v>
      </c>
      <c r="J210" s="10">
        <v>1945.42</v>
      </c>
      <c r="K210" s="10">
        <v>1945.42</v>
      </c>
      <c r="L210" s="10">
        <v>1945.42</v>
      </c>
      <c r="M210" s="10">
        <v>1945.42</v>
      </c>
      <c r="N210" s="27">
        <f t="shared" si="88"/>
        <v>23345.039999999994</v>
      </c>
      <c r="AA210" s="27">
        <f t="shared" si="87"/>
        <v>0</v>
      </c>
      <c r="AB210" s="10">
        <f t="shared" si="102"/>
        <v>1945.42</v>
      </c>
      <c r="AC210" s="10">
        <f t="shared" si="102"/>
        <v>1945.42</v>
      </c>
      <c r="AD210" s="10">
        <f t="shared" si="102"/>
        <v>1945.42</v>
      </c>
      <c r="AE210" s="10">
        <f t="shared" si="102"/>
        <v>1945.42</v>
      </c>
      <c r="AF210" s="10">
        <f t="shared" si="102"/>
        <v>1945.42</v>
      </c>
      <c r="AG210" s="10">
        <f t="shared" si="102"/>
        <v>1945.42</v>
      </c>
      <c r="AH210" s="10">
        <f t="shared" si="102"/>
        <v>1945.42</v>
      </c>
      <c r="AI210" s="10">
        <f t="shared" si="102"/>
        <v>1945.42</v>
      </c>
      <c r="AJ210" s="10">
        <f t="shared" si="102"/>
        <v>1945.42</v>
      </c>
      <c r="AK210" s="10">
        <f t="shared" si="102"/>
        <v>1945.42</v>
      </c>
      <c r="AL210" s="10">
        <f t="shared" si="102"/>
        <v>1945.42</v>
      </c>
      <c r="AM210" s="10">
        <f t="shared" si="102"/>
        <v>1945.42</v>
      </c>
      <c r="AN210" s="27">
        <f t="shared" si="89"/>
        <v>23345.039999999994</v>
      </c>
      <c r="AS210" t="str">
        <f>_xlfn.XLOOKUP(AU210,[2]GAE!HZ:HZ,[2]GAE!IA:IA)</f>
        <v>ADMIN SERVICES</v>
      </c>
      <c r="AT210" t="str">
        <f>_xlfn.XLOOKUP(AU210,[2]GAE!HZ:HZ,[2]GAE!IB:IB)</f>
        <v>GAE - Postal &amp; Communication - Telephone</v>
      </c>
      <c r="AU210" t="s">
        <v>507</v>
      </c>
      <c r="AV210">
        <v>80123102</v>
      </c>
      <c r="AW210">
        <v>61721101</v>
      </c>
      <c r="AX210" t="str">
        <f>_xlfn.XLOOKUP(AU210,[2]GAE!HZ:HZ,[2]GAE!IF:IF)</f>
        <v>Others</v>
      </c>
      <c r="AY210" t="str">
        <f>_xlfn.XLOOKUP(AU210,[2]GAE!HZ:HZ,[2]GAE!IG:IG)</f>
        <v>Postal &amp; Communication</v>
      </c>
      <c r="BF210" t="s">
        <v>508</v>
      </c>
      <c r="BG210" t="s">
        <v>509</v>
      </c>
      <c r="BH210" s="10">
        <f>SUMIFS('[1]2026'!$K:$K,'[1]2026'!$T:$T,BD210,'[1]2026'!$S:$S,BH$3,'[1]2026'!$P:$P,AU210)</f>
        <v>0</v>
      </c>
      <c r="BI210" s="10">
        <f>SUMIFS('[1]2026'!$K:$K,'[1]2026'!$T:$T,$BD210,'[1]2026'!$S:$S,BI$3,'[1]2026'!$P:$P,$AU210)</f>
        <v>0</v>
      </c>
      <c r="BJ210" s="10">
        <f>SUMIFS('[1]2026'!$K:$K,'[1]2026'!$T:$T,$BD210,'[1]2026'!$S:$S,BJ$3,'[1]2026'!$P:$P,$AU210)</f>
        <v>0</v>
      </c>
      <c r="BK210" s="10">
        <f>SUMIFS('[1]2026'!$K:$K,'[1]2026'!$T:$T,$BD210,'[1]2026'!$S:$S,BK$3,'[1]2026'!$P:$P,$AU210)</f>
        <v>0</v>
      </c>
      <c r="BL210" s="10">
        <f>SUMIFS('[1]2026'!$K:$K,'[1]2026'!$T:$T,$BD210,'[1]2026'!$S:$S,BL$3,'[1]2026'!$P:$P,$AU210)</f>
        <v>0</v>
      </c>
      <c r="BM210" s="10">
        <f>SUMIFS('[1]2026'!$K:$K,'[1]2026'!$T:$T,$BD210,'[1]2026'!$S:$S,BM$3,'[1]2026'!$P:$P,$AU210)</f>
        <v>0</v>
      </c>
      <c r="BN210" s="10">
        <f>SUMIFS('[1]2026'!$K:$K,'[1]2026'!$T:$T,$BD210,'[1]2026'!$S:$S,BN$3,'[1]2026'!$P:$P,$AU210)</f>
        <v>0</v>
      </c>
      <c r="BO210" s="10">
        <f>SUMIFS('[1]2026'!$K:$K,'[1]2026'!$T:$T,$BD210,'[1]2026'!$S:$S,BO$3,'[1]2026'!$P:$P,$AU210)</f>
        <v>0</v>
      </c>
      <c r="BP210" s="6">
        <f t="shared" si="105"/>
        <v>0</v>
      </c>
      <c r="BQ210" s="6">
        <f t="shared" si="105"/>
        <v>0</v>
      </c>
      <c r="BR210" s="6">
        <f t="shared" si="105"/>
        <v>0</v>
      </c>
      <c r="BS210" s="6">
        <f t="shared" si="105"/>
        <v>0</v>
      </c>
      <c r="BT210" s="6">
        <f t="shared" si="106"/>
        <v>0</v>
      </c>
      <c r="BV210" s="6">
        <f t="shared" si="90"/>
        <v>-1945.42</v>
      </c>
      <c r="BW210" s="6">
        <f t="shared" si="91"/>
        <v>-1945.42</v>
      </c>
      <c r="BX210" s="6">
        <f t="shared" si="92"/>
        <v>-1945.42</v>
      </c>
      <c r="BY210" s="6">
        <f t="shared" si="93"/>
        <v>-1945.42</v>
      </c>
      <c r="BZ210" s="6">
        <f t="shared" si="94"/>
        <v>-1945.42</v>
      </c>
      <c r="CA210" s="6">
        <f t="shared" si="95"/>
        <v>-1945.42</v>
      </c>
      <c r="CB210" s="6">
        <f t="shared" si="96"/>
        <v>-1945.42</v>
      </c>
      <c r="CC210" s="6">
        <f t="shared" si="97"/>
        <v>-1945.42</v>
      </c>
      <c r="CD210" s="6">
        <f t="shared" si="98"/>
        <v>-1945.42</v>
      </c>
      <c r="CE210" s="6">
        <f t="shared" si="99"/>
        <v>-1945.42</v>
      </c>
      <c r="CF210" s="6">
        <f t="shared" si="100"/>
        <v>-1945.42</v>
      </c>
      <c r="CG210" s="6">
        <f t="shared" si="101"/>
        <v>-1945.42</v>
      </c>
      <c r="CH210" s="6">
        <f t="shared" si="107"/>
        <v>-23345.039999999994</v>
      </c>
    </row>
    <row r="211" spans="1:86" hidden="1" x14ac:dyDescent="0.35">
      <c r="A211" s="3" t="s">
        <v>516</v>
      </c>
      <c r="B211" s="10">
        <v>1945.42</v>
      </c>
      <c r="C211" s="10">
        <v>1945.42</v>
      </c>
      <c r="D211" s="10">
        <v>1945.42</v>
      </c>
      <c r="E211" s="10">
        <v>1945.42</v>
      </c>
      <c r="F211" s="10">
        <v>1945.42</v>
      </c>
      <c r="G211" s="10">
        <v>1945.42</v>
      </c>
      <c r="H211" s="10">
        <v>1945.42</v>
      </c>
      <c r="I211" s="10">
        <v>1945.42</v>
      </c>
      <c r="J211" s="10">
        <v>1945.42</v>
      </c>
      <c r="K211" s="10">
        <v>1945.42</v>
      </c>
      <c r="L211" s="10">
        <v>1945.42</v>
      </c>
      <c r="M211" s="10">
        <v>1945.42</v>
      </c>
      <c r="N211" s="27">
        <f t="shared" si="88"/>
        <v>23345.039999999994</v>
      </c>
      <c r="AA211" s="27">
        <f t="shared" si="87"/>
        <v>0</v>
      </c>
      <c r="AB211" s="10">
        <f t="shared" si="102"/>
        <v>1945.42</v>
      </c>
      <c r="AC211" s="10">
        <f t="shared" si="102"/>
        <v>1945.42</v>
      </c>
      <c r="AD211" s="10">
        <f t="shared" si="102"/>
        <v>1945.42</v>
      </c>
      <c r="AE211" s="10">
        <f t="shared" si="102"/>
        <v>1945.42</v>
      </c>
      <c r="AF211" s="10">
        <f t="shared" si="102"/>
        <v>1945.42</v>
      </c>
      <c r="AG211" s="10">
        <f t="shared" si="102"/>
        <v>1945.42</v>
      </c>
      <c r="AH211" s="10">
        <f t="shared" si="102"/>
        <v>1945.42</v>
      </c>
      <c r="AI211" s="10">
        <f t="shared" si="102"/>
        <v>1945.42</v>
      </c>
      <c r="AJ211" s="10">
        <f t="shared" si="102"/>
        <v>1945.42</v>
      </c>
      <c r="AK211" s="10">
        <f t="shared" si="102"/>
        <v>1945.42</v>
      </c>
      <c r="AL211" s="10">
        <f t="shared" si="102"/>
        <v>1945.42</v>
      </c>
      <c r="AM211" s="10">
        <f t="shared" si="102"/>
        <v>1945.42</v>
      </c>
      <c r="AN211" s="27">
        <f t="shared" si="89"/>
        <v>23345.039999999994</v>
      </c>
      <c r="AS211" t="str">
        <f>_xlfn.XLOOKUP(AU211,[2]GAE!HZ:HZ,[2]GAE!IA:IA)</f>
        <v>ADMIN SERVICES</v>
      </c>
      <c r="AT211" t="str">
        <f>_xlfn.XLOOKUP(AU211,[2]GAE!HZ:HZ,[2]GAE!IB:IB)</f>
        <v>GAE - Postal &amp; Communication - Telephone</v>
      </c>
      <c r="AU211" t="s">
        <v>507</v>
      </c>
      <c r="AV211">
        <v>80123102</v>
      </c>
      <c r="AW211">
        <v>61721101</v>
      </c>
      <c r="AX211" t="str">
        <f>_xlfn.XLOOKUP(AU211,[2]GAE!HZ:HZ,[2]GAE!IF:IF)</f>
        <v>Others</v>
      </c>
      <c r="AY211" t="str">
        <f>_xlfn.XLOOKUP(AU211,[2]GAE!HZ:HZ,[2]GAE!IG:IG)</f>
        <v>Postal &amp; Communication</v>
      </c>
      <c r="BF211" t="s">
        <v>508</v>
      </c>
      <c r="BG211" t="s">
        <v>509</v>
      </c>
      <c r="BH211" s="10">
        <f>SUMIFS('[1]2026'!$K:$K,'[1]2026'!$T:$T,BD211,'[1]2026'!$S:$S,BH$3,'[1]2026'!$P:$P,AU211)</f>
        <v>0</v>
      </c>
      <c r="BI211" s="10">
        <f>SUMIFS('[1]2026'!$K:$K,'[1]2026'!$T:$T,$BD211,'[1]2026'!$S:$S,BI$3,'[1]2026'!$P:$P,$AU211)</f>
        <v>0</v>
      </c>
      <c r="BJ211" s="10">
        <f>SUMIFS('[1]2026'!$K:$K,'[1]2026'!$T:$T,$BD211,'[1]2026'!$S:$S,BJ$3,'[1]2026'!$P:$P,$AU211)</f>
        <v>0</v>
      </c>
      <c r="BK211" s="10">
        <f>SUMIFS('[1]2026'!$K:$K,'[1]2026'!$T:$T,$BD211,'[1]2026'!$S:$S,BK$3,'[1]2026'!$P:$P,$AU211)</f>
        <v>0</v>
      </c>
      <c r="BL211" s="10">
        <f>SUMIFS('[1]2026'!$K:$K,'[1]2026'!$T:$T,$BD211,'[1]2026'!$S:$S,BL$3,'[1]2026'!$P:$P,$AU211)</f>
        <v>0</v>
      </c>
      <c r="BM211" s="10">
        <f>SUMIFS('[1]2026'!$K:$K,'[1]2026'!$T:$T,$BD211,'[1]2026'!$S:$S,BM$3,'[1]2026'!$P:$P,$AU211)</f>
        <v>0</v>
      </c>
      <c r="BN211" s="10">
        <f>SUMIFS('[1]2026'!$K:$K,'[1]2026'!$T:$T,$BD211,'[1]2026'!$S:$S,BN$3,'[1]2026'!$P:$P,$AU211)</f>
        <v>0</v>
      </c>
      <c r="BO211" s="10">
        <f>SUMIFS('[1]2026'!$K:$K,'[1]2026'!$T:$T,$BD211,'[1]2026'!$S:$S,BO$3,'[1]2026'!$P:$P,$AU211)</f>
        <v>0</v>
      </c>
      <c r="BP211" s="6">
        <f t="shared" si="105"/>
        <v>0</v>
      </c>
      <c r="BQ211" s="6">
        <f t="shared" si="105"/>
        <v>0</v>
      </c>
      <c r="BR211" s="6">
        <f t="shared" si="105"/>
        <v>0</v>
      </c>
      <c r="BS211" s="6">
        <f t="shared" si="105"/>
        <v>0</v>
      </c>
      <c r="BT211" s="6">
        <f t="shared" si="106"/>
        <v>0</v>
      </c>
      <c r="BV211" s="6">
        <f t="shared" ref="BV211:BV225" si="108">BH211-AB211</f>
        <v>-1945.42</v>
      </c>
      <c r="BW211" s="6">
        <f t="shared" ref="BW211:BW225" si="109">BI211-AC211</f>
        <v>-1945.42</v>
      </c>
      <c r="BX211" s="6">
        <f t="shared" ref="BX211:BX225" si="110">BJ211-AD211</f>
        <v>-1945.42</v>
      </c>
      <c r="BY211" s="6">
        <f t="shared" ref="BY211:BY225" si="111">BK211-AE211</f>
        <v>-1945.42</v>
      </c>
      <c r="BZ211" s="6">
        <f t="shared" ref="BZ211:BZ225" si="112">BL211-AF211</f>
        <v>-1945.42</v>
      </c>
      <c r="CA211" s="6">
        <f t="shared" ref="CA211:CA225" si="113">BM211-AG211</f>
        <v>-1945.42</v>
      </c>
      <c r="CB211" s="6">
        <f t="shared" ref="CB211:CB225" si="114">BN211-AH211</f>
        <v>-1945.42</v>
      </c>
      <c r="CC211" s="6">
        <f t="shared" ref="CC211:CC225" si="115">BO211-AI211</f>
        <v>-1945.42</v>
      </c>
      <c r="CD211" s="6">
        <f t="shared" ref="CD211:CD225" si="116">BP211-AJ211</f>
        <v>-1945.42</v>
      </c>
      <c r="CE211" s="6">
        <f t="shared" ref="CE211:CE225" si="117">BQ211-AK211</f>
        <v>-1945.42</v>
      </c>
      <c r="CF211" s="6">
        <f t="shared" ref="CF211:CF225" si="118">BR211-AL211</f>
        <v>-1945.42</v>
      </c>
      <c r="CG211" s="6">
        <f t="shared" ref="CG211:CG225" si="119">BS211-AM211</f>
        <v>-1945.42</v>
      </c>
      <c r="CH211" s="6">
        <f t="shared" si="107"/>
        <v>-23345.039999999994</v>
      </c>
    </row>
    <row r="212" spans="1:86" hidden="1" x14ac:dyDescent="0.35">
      <c r="A212" s="3" t="s">
        <v>517</v>
      </c>
      <c r="B212" s="10">
        <v>1410.15</v>
      </c>
      <c r="C212" s="10">
        <v>1410.15</v>
      </c>
      <c r="D212" s="10">
        <v>1410.15</v>
      </c>
      <c r="E212" s="10">
        <v>1410.15</v>
      </c>
      <c r="F212" s="10">
        <v>1410.15</v>
      </c>
      <c r="G212" s="10">
        <v>1410.15</v>
      </c>
      <c r="H212" s="10">
        <v>1410.15</v>
      </c>
      <c r="I212" s="10">
        <v>1410.15</v>
      </c>
      <c r="J212" s="10">
        <v>1410.15</v>
      </c>
      <c r="K212" s="10">
        <v>1410.15</v>
      </c>
      <c r="L212" s="10">
        <v>1410.15</v>
      </c>
      <c r="M212" s="10">
        <v>1410.15</v>
      </c>
      <c r="N212" s="27">
        <f t="shared" si="88"/>
        <v>16921.8</v>
      </c>
      <c r="AA212" s="27">
        <f t="shared" si="87"/>
        <v>0</v>
      </c>
      <c r="AB212" s="10">
        <f t="shared" si="102"/>
        <v>1410.15</v>
      </c>
      <c r="AC212" s="10">
        <f t="shared" si="102"/>
        <v>1410.15</v>
      </c>
      <c r="AD212" s="10">
        <f t="shared" si="102"/>
        <v>1410.15</v>
      </c>
      <c r="AE212" s="10">
        <f t="shared" si="102"/>
        <v>1410.15</v>
      </c>
      <c r="AF212" s="10">
        <f t="shared" si="102"/>
        <v>1410.15</v>
      </c>
      <c r="AG212" s="10">
        <f t="shared" si="102"/>
        <v>1410.15</v>
      </c>
      <c r="AH212" s="10">
        <f t="shared" si="102"/>
        <v>1410.15</v>
      </c>
      <c r="AI212" s="10">
        <f t="shared" si="102"/>
        <v>1410.15</v>
      </c>
      <c r="AJ212" s="10">
        <f t="shared" si="102"/>
        <v>1410.15</v>
      </c>
      <c r="AK212" s="10">
        <f t="shared" si="102"/>
        <v>1410.15</v>
      </c>
      <c r="AL212" s="10">
        <f t="shared" si="102"/>
        <v>1410.15</v>
      </c>
      <c r="AM212" s="10">
        <f t="shared" si="102"/>
        <v>1410.15</v>
      </c>
      <c r="AN212" s="27">
        <f t="shared" si="89"/>
        <v>16921.8</v>
      </c>
      <c r="AS212" t="str">
        <f>_xlfn.XLOOKUP(AU212,[2]GAE!HZ:HZ,[2]GAE!IA:IA)</f>
        <v>ADMIN SERVICES</v>
      </c>
      <c r="AT212" t="str">
        <f>_xlfn.XLOOKUP(AU212,[2]GAE!HZ:HZ,[2]GAE!IB:IB)</f>
        <v>GAE - Postal &amp; Communication - Telephone</v>
      </c>
      <c r="AU212" t="s">
        <v>507</v>
      </c>
      <c r="AV212">
        <v>80123102</v>
      </c>
      <c r="AW212">
        <v>61721101</v>
      </c>
      <c r="AX212" t="str">
        <f>_xlfn.XLOOKUP(AU212,[2]GAE!HZ:HZ,[2]GAE!IF:IF)</f>
        <v>Others</v>
      </c>
      <c r="AY212" t="str">
        <f>_xlfn.XLOOKUP(AU212,[2]GAE!HZ:HZ,[2]GAE!IG:IG)</f>
        <v>Postal &amp; Communication</v>
      </c>
      <c r="BF212" t="s">
        <v>508</v>
      </c>
      <c r="BG212" t="s">
        <v>509</v>
      </c>
      <c r="BH212" s="10">
        <f>SUMIFS('[1]2026'!$K:$K,'[1]2026'!$T:$T,BD212,'[1]2026'!$S:$S,BH$3,'[1]2026'!$P:$P,AU212)</f>
        <v>0</v>
      </c>
      <c r="BI212" s="10">
        <f>SUMIFS('[1]2026'!$K:$K,'[1]2026'!$T:$T,$BD212,'[1]2026'!$S:$S,BI$3,'[1]2026'!$P:$P,$AU212)</f>
        <v>0</v>
      </c>
      <c r="BJ212" s="10">
        <f>SUMIFS('[1]2026'!$K:$K,'[1]2026'!$T:$T,$BD212,'[1]2026'!$S:$S,BJ$3,'[1]2026'!$P:$P,$AU212)</f>
        <v>0</v>
      </c>
      <c r="BK212" s="10">
        <f>SUMIFS('[1]2026'!$K:$K,'[1]2026'!$T:$T,$BD212,'[1]2026'!$S:$S,BK$3,'[1]2026'!$P:$P,$AU212)</f>
        <v>0</v>
      </c>
      <c r="BL212" s="10">
        <f>SUMIFS('[1]2026'!$K:$K,'[1]2026'!$T:$T,$BD212,'[1]2026'!$S:$S,BL$3,'[1]2026'!$P:$P,$AU212)</f>
        <v>0</v>
      </c>
      <c r="BM212" s="10">
        <f>SUMIFS('[1]2026'!$K:$K,'[1]2026'!$T:$T,$BD212,'[1]2026'!$S:$S,BM$3,'[1]2026'!$P:$P,$AU212)</f>
        <v>0</v>
      </c>
      <c r="BN212" s="10">
        <f>SUMIFS('[1]2026'!$K:$K,'[1]2026'!$T:$T,$BD212,'[1]2026'!$S:$S,BN$3,'[1]2026'!$P:$P,$AU212)</f>
        <v>0</v>
      </c>
      <c r="BO212" s="10">
        <f>SUMIFS('[1]2026'!$K:$K,'[1]2026'!$T:$T,$BD212,'[1]2026'!$S:$S,BO$3,'[1]2026'!$P:$P,$AU212)</f>
        <v>0</v>
      </c>
      <c r="BP212" s="6">
        <f t="shared" si="105"/>
        <v>0</v>
      </c>
      <c r="BQ212" s="6">
        <f t="shared" si="105"/>
        <v>0</v>
      </c>
      <c r="BR212" s="6">
        <f t="shared" si="105"/>
        <v>0</v>
      </c>
      <c r="BS212" s="6">
        <f t="shared" si="105"/>
        <v>0</v>
      </c>
      <c r="BT212" s="6">
        <f t="shared" si="106"/>
        <v>0</v>
      </c>
      <c r="BV212" s="6">
        <f t="shared" si="108"/>
        <v>-1410.15</v>
      </c>
      <c r="BW212" s="6">
        <f t="shared" si="109"/>
        <v>-1410.15</v>
      </c>
      <c r="BX212" s="6">
        <f t="shared" si="110"/>
        <v>-1410.15</v>
      </c>
      <c r="BY212" s="6">
        <f t="shared" si="111"/>
        <v>-1410.15</v>
      </c>
      <c r="BZ212" s="6">
        <f t="shared" si="112"/>
        <v>-1410.15</v>
      </c>
      <c r="CA212" s="6">
        <f t="shared" si="113"/>
        <v>-1410.15</v>
      </c>
      <c r="CB212" s="6">
        <f t="shared" si="114"/>
        <v>-1410.15</v>
      </c>
      <c r="CC212" s="6">
        <f t="shared" si="115"/>
        <v>-1410.15</v>
      </c>
      <c r="CD212" s="6">
        <f t="shared" si="116"/>
        <v>-1410.15</v>
      </c>
      <c r="CE212" s="6">
        <f t="shared" si="117"/>
        <v>-1410.15</v>
      </c>
      <c r="CF212" s="6">
        <f t="shared" si="118"/>
        <v>-1410.15</v>
      </c>
      <c r="CG212" s="6">
        <f t="shared" si="119"/>
        <v>-1410.15</v>
      </c>
      <c r="CH212" s="6">
        <f t="shared" si="107"/>
        <v>-16921.8</v>
      </c>
    </row>
    <row r="213" spans="1:86" hidden="1" x14ac:dyDescent="0.35">
      <c r="A213" s="3" t="s">
        <v>518</v>
      </c>
      <c r="B213" s="21">
        <v>250</v>
      </c>
      <c r="C213" s="21">
        <v>250</v>
      </c>
      <c r="D213" s="21">
        <v>250</v>
      </c>
      <c r="E213" s="21">
        <v>250</v>
      </c>
      <c r="F213" s="21">
        <v>250</v>
      </c>
      <c r="G213" s="21">
        <v>250</v>
      </c>
      <c r="H213" s="21">
        <v>250</v>
      </c>
      <c r="I213" s="21">
        <v>250</v>
      </c>
      <c r="J213" s="21">
        <v>250</v>
      </c>
      <c r="K213" s="21">
        <v>250</v>
      </c>
      <c r="L213" s="21">
        <v>250</v>
      </c>
      <c r="M213" s="21">
        <v>250</v>
      </c>
      <c r="N213" s="27">
        <f t="shared" si="88"/>
        <v>3000</v>
      </c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27">
        <f t="shared" si="87"/>
        <v>0</v>
      </c>
      <c r="AB213" s="10">
        <f t="shared" si="102"/>
        <v>250</v>
      </c>
      <c r="AC213" s="10">
        <f t="shared" si="102"/>
        <v>250</v>
      </c>
      <c r="AD213" s="10">
        <f t="shared" si="102"/>
        <v>250</v>
      </c>
      <c r="AE213" s="10">
        <f t="shared" si="102"/>
        <v>250</v>
      </c>
      <c r="AF213" s="10">
        <f t="shared" si="102"/>
        <v>250</v>
      </c>
      <c r="AG213" s="10">
        <f t="shared" ref="AF213:AN234" si="120">G213-T213</f>
        <v>250</v>
      </c>
      <c r="AH213" s="10">
        <f t="shared" si="120"/>
        <v>250</v>
      </c>
      <c r="AI213" s="10">
        <f t="shared" si="120"/>
        <v>250</v>
      </c>
      <c r="AJ213" s="10">
        <f t="shared" si="120"/>
        <v>250</v>
      </c>
      <c r="AK213" s="10">
        <f t="shared" si="120"/>
        <v>250</v>
      </c>
      <c r="AL213" s="10">
        <f t="shared" si="120"/>
        <v>250</v>
      </c>
      <c r="AM213" s="10">
        <f t="shared" si="120"/>
        <v>250</v>
      </c>
      <c r="AN213" s="27">
        <f t="shared" si="89"/>
        <v>3000</v>
      </c>
      <c r="AS213" t="str">
        <f>_xlfn.XLOOKUP(AU213,[2]GAE!HZ:HZ,[2]GAE!IA:IA)</f>
        <v>ADMIN SERVICES</v>
      </c>
      <c r="AT213" t="str">
        <f>_xlfn.XLOOKUP(AU213,[2]GAE!HZ:HZ,[2]GAE!IB:IB)</f>
        <v>GAE - Postal &amp; Communication - Telephone</v>
      </c>
      <c r="AU213" t="s">
        <v>507</v>
      </c>
      <c r="AV213">
        <v>80123102</v>
      </c>
      <c r="AW213">
        <v>61721101</v>
      </c>
      <c r="AX213" t="str">
        <f>_xlfn.XLOOKUP(AU213,[2]GAE!HZ:HZ,[2]GAE!IF:IF)</f>
        <v>Others</v>
      </c>
      <c r="AY213" t="str">
        <f>_xlfn.XLOOKUP(AU213,[2]GAE!HZ:HZ,[2]GAE!IG:IG)</f>
        <v>Postal &amp; Communication</v>
      </c>
      <c r="BF213" t="s">
        <v>508</v>
      </c>
      <c r="BG213" t="s">
        <v>509</v>
      </c>
      <c r="BH213" s="10">
        <f>SUMIFS('[1]2026'!$K:$K,'[1]2026'!$T:$T,BD213,'[1]2026'!$S:$S,BH$3,'[1]2026'!$P:$P,AU213)</f>
        <v>0</v>
      </c>
      <c r="BI213" s="10">
        <f>SUMIFS('[1]2026'!$K:$K,'[1]2026'!$T:$T,$BD213,'[1]2026'!$S:$S,BI$3,'[1]2026'!$P:$P,$AU213)</f>
        <v>0</v>
      </c>
      <c r="BJ213" s="10">
        <f>SUMIFS('[1]2026'!$K:$K,'[1]2026'!$T:$T,$BD213,'[1]2026'!$S:$S,BJ$3,'[1]2026'!$P:$P,$AU213)</f>
        <v>0</v>
      </c>
      <c r="BK213" s="10">
        <f>SUMIFS('[1]2026'!$K:$K,'[1]2026'!$T:$T,$BD213,'[1]2026'!$S:$S,BK$3,'[1]2026'!$P:$P,$AU213)</f>
        <v>0</v>
      </c>
      <c r="BL213" s="10">
        <f>SUMIFS('[1]2026'!$K:$K,'[1]2026'!$T:$T,$BD213,'[1]2026'!$S:$S,BL$3,'[1]2026'!$P:$P,$AU213)</f>
        <v>0</v>
      </c>
      <c r="BM213" s="10">
        <f>SUMIFS('[1]2026'!$K:$K,'[1]2026'!$T:$T,$BD213,'[1]2026'!$S:$S,BM$3,'[1]2026'!$P:$P,$AU213)</f>
        <v>0</v>
      </c>
      <c r="BN213" s="10">
        <f>SUMIFS('[1]2026'!$K:$K,'[1]2026'!$T:$T,$BD213,'[1]2026'!$S:$S,BN$3,'[1]2026'!$P:$P,$AU213)</f>
        <v>0</v>
      </c>
      <c r="BO213" s="10">
        <f>SUMIFS('[1]2026'!$K:$K,'[1]2026'!$T:$T,$BD213,'[1]2026'!$S:$S,BO$3,'[1]2026'!$P:$P,$AU213)</f>
        <v>0</v>
      </c>
      <c r="BP213" s="6">
        <f t="shared" si="105"/>
        <v>0</v>
      </c>
      <c r="BQ213" s="6">
        <f t="shared" si="105"/>
        <v>0</v>
      </c>
      <c r="BR213" s="6">
        <f t="shared" si="105"/>
        <v>0</v>
      </c>
      <c r="BS213" s="6">
        <f t="shared" si="105"/>
        <v>0</v>
      </c>
      <c r="BT213" s="6">
        <f t="shared" si="106"/>
        <v>0</v>
      </c>
      <c r="BV213" s="6">
        <f t="shared" si="108"/>
        <v>-250</v>
      </c>
      <c r="BW213" s="6">
        <f t="shared" si="109"/>
        <v>-250</v>
      </c>
      <c r="BX213" s="6">
        <f t="shared" si="110"/>
        <v>-250</v>
      </c>
      <c r="BY213" s="6">
        <f t="shared" si="111"/>
        <v>-250</v>
      </c>
      <c r="BZ213" s="6">
        <f t="shared" si="112"/>
        <v>-250</v>
      </c>
      <c r="CA213" s="6">
        <f t="shared" si="113"/>
        <v>-250</v>
      </c>
      <c r="CB213" s="6">
        <f t="shared" si="114"/>
        <v>-250</v>
      </c>
      <c r="CC213" s="6">
        <f t="shared" si="115"/>
        <v>-250</v>
      </c>
      <c r="CD213" s="6">
        <f t="shared" si="116"/>
        <v>-250</v>
      </c>
      <c r="CE213" s="6">
        <f t="shared" si="117"/>
        <v>-250</v>
      </c>
      <c r="CF213" s="6">
        <f t="shared" si="118"/>
        <v>-250</v>
      </c>
      <c r="CG213" s="6">
        <f t="shared" si="119"/>
        <v>-250</v>
      </c>
      <c r="CH213" s="6">
        <f t="shared" si="107"/>
        <v>-3000</v>
      </c>
    </row>
    <row r="214" spans="1:86" hidden="1" x14ac:dyDescent="0.35">
      <c r="A214" s="3" t="s">
        <v>519</v>
      </c>
      <c r="B214" s="10">
        <v>1720.75</v>
      </c>
      <c r="C214" s="10">
        <v>1720.75</v>
      </c>
      <c r="D214" s="10">
        <v>1720.75</v>
      </c>
      <c r="E214" s="10">
        <v>1720.75</v>
      </c>
      <c r="F214" s="10">
        <v>1720.75</v>
      </c>
      <c r="G214" s="10">
        <v>1720.75</v>
      </c>
      <c r="H214" s="10">
        <v>1720.75</v>
      </c>
      <c r="I214" s="10">
        <v>1720.75</v>
      </c>
      <c r="J214" s="10">
        <v>1720.75</v>
      </c>
      <c r="K214" s="10">
        <v>1720.75</v>
      </c>
      <c r="L214" s="10">
        <v>1720.75</v>
      </c>
      <c r="M214" s="10">
        <v>1720.75</v>
      </c>
      <c r="N214" s="27">
        <f t="shared" si="88"/>
        <v>20649</v>
      </c>
      <c r="AA214" s="27">
        <f t="shared" si="87"/>
        <v>0</v>
      </c>
      <c r="AB214" s="10">
        <f t="shared" ref="AB214:AE234" si="121">B214-O214</f>
        <v>1720.75</v>
      </c>
      <c r="AC214" s="10">
        <f t="shared" si="121"/>
        <v>1720.75</v>
      </c>
      <c r="AD214" s="10">
        <f t="shared" si="121"/>
        <v>1720.75</v>
      </c>
      <c r="AE214" s="10">
        <f t="shared" si="121"/>
        <v>1720.75</v>
      </c>
      <c r="AF214" s="10">
        <f t="shared" si="120"/>
        <v>1720.75</v>
      </c>
      <c r="AG214" s="10">
        <f t="shared" si="120"/>
        <v>1720.75</v>
      </c>
      <c r="AH214" s="10">
        <f t="shared" si="120"/>
        <v>1720.75</v>
      </c>
      <c r="AI214" s="10">
        <f t="shared" si="120"/>
        <v>1720.75</v>
      </c>
      <c r="AJ214" s="10">
        <f t="shared" si="120"/>
        <v>1720.75</v>
      </c>
      <c r="AK214" s="10">
        <f t="shared" si="120"/>
        <v>1720.75</v>
      </c>
      <c r="AL214" s="10">
        <f t="shared" si="120"/>
        <v>1720.75</v>
      </c>
      <c r="AM214" s="10">
        <f t="shared" si="120"/>
        <v>1720.75</v>
      </c>
      <c r="AN214" s="27">
        <f t="shared" si="89"/>
        <v>20649</v>
      </c>
      <c r="AS214" t="str">
        <f>_xlfn.XLOOKUP(AU214,[2]GAE!HZ:HZ,[2]GAE!IA:IA)</f>
        <v>ADMIN SERVICES</v>
      </c>
      <c r="AT214" t="str">
        <f>_xlfn.XLOOKUP(AU214,[2]GAE!HZ:HZ,[2]GAE!IB:IB)</f>
        <v>GAE - Postal &amp; Communication - Telephone</v>
      </c>
      <c r="AU214" t="s">
        <v>507</v>
      </c>
      <c r="AV214">
        <v>80123102</v>
      </c>
      <c r="AW214">
        <v>61721101</v>
      </c>
      <c r="AX214" t="str">
        <f>_xlfn.XLOOKUP(AU214,[2]GAE!HZ:HZ,[2]GAE!IF:IF)</f>
        <v>Others</v>
      </c>
      <c r="AY214" t="str">
        <f>_xlfn.XLOOKUP(AU214,[2]GAE!HZ:HZ,[2]GAE!IG:IG)</f>
        <v>Postal &amp; Communication</v>
      </c>
      <c r="BF214" t="s">
        <v>508</v>
      </c>
      <c r="BG214" t="s">
        <v>509</v>
      </c>
      <c r="BH214" s="10">
        <f>SUMIFS('[1]2026'!$K:$K,'[1]2026'!$T:$T,BD214,'[1]2026'!$S:$S,BH$3,'[1]2026'!$P:$P,AU214)</f>
        <v>0</v>
      </c>
      <c r="BI214" s="10">
        <f>SUMIFS('[1]2026'!$K:$K,'[1]2026'!$T:$T,$BD214,'[1]2026'!$S:$S,BI$3,'[1]2026'!$P:$P,$AU214)</f>
        <v>0</v>
      </c>
      <c r="BJ214" s="10">
        <f>SUMIFS('[1]2026'!$K:$K,'[1]2026'!$T:$T,$BD214,'[1]2026'!$S:$S,BJ$3,'[1]2026'!$P:$P,$AU214)</f>
        <v>0</v>
      </c>
      <c r="BK214" s="10">
        <f>SUMIFS('[1]2026'!$K:$K,'[1]2026'!$T:$T,$BD214,'[1]2026'!$S:$S,BK$3,'[1]2026'!$P:$P,$AU214)</f>
        <v>0</v>
      </c>
      <c r="BL214" s="10">
        <f>SUMIFS('[1]2026'!$K:$K,'[1]2026'!$T:$T,$BD214,'[1]2026'!$S:$S,BL$3,'[1]2026'!$P:$P,$AU214)</f>
        <v>0</v>
      </c>
      <c r="BM214" s="10">
        <f>SUMIFS('[1]2026'!$K:$K,'[1]2026'!$T:$T,$BD214,'[1]2026'!$S:$S,BM$3,'[1]2026'!$P:$P,$AU214)</f>
        <v>0</v>
      </c>
      <c r="BN214" s="10">
        <f>SUMIFS('[1]2026'!$K:$K,'[1]2026'!$T:$T,$BD214,'[1]2026'!$S:$S,BN$3,'[1]2026'!$P:$P,$AU214)</f>
        <v>0</v>
      </c>
      <c r="BO214" s="10">
        <f>SUMIFS('[1]2026'!$K:$K,'[1]2026'!$T:$T,$BD214,'[1]2026'!$S:$S,BO$3,'[1]2026'!$P:$P,$AU214)</f>
        <v>0</v>
      </c>
      <c r="BP214" s="6">
        <f t="shared" si="105"/>
        <v>0</v>
      </c>
      <c r="BQ214" s="6">
        <f t="shared" si="105"/>
        <v>0</v>
      </c>
      <c r="BR214" s="6">
        <f t="shared" si="105"/>
        <v>0</v>
      </c>
      <c r="BS214" s="6">
        <f t="shared" si="105"/>
        <v>0</v>
      </c>
      <c r="BT214" s="6">
        <f t="shared" si="106"/>
        <v>0</v>
      </c>
      <c r="BV214" s="6">
        <f t="shared" si="108"/>
        <v>-1720.75</v>
      </c>
      <c r="BW214" s="6">
        <f t="shared" si="109"/>
        <v>-1720.75</v>
      </c>
      <c r="BX214" s="6">
        <f t="shared" si="110"/>
        <v>-1720.75</v>
      </c>
      <c r="BY214" s="6">
        <f t="shared" si="111"/>
        <v>-1720.75</v>
      </c>
      <c r="BZ214" s="6">
        <f t="shared" si="112"/>
        <v>-1720.75</v>
      </c>
      <c r="CA214" s="6">
        <f t="shared" si="113"/>
        <v>-1720.75</v>
      </c>
      <c r="CB214" s="6">
        <f t="shared" si="114"/>
        <v>-1720.75</v>
      </c>
      <c r="CC214" s="6">
        <f t="shared" si="115"/>
        <v>-1720.75</v>
      </c>
      <c r="CD214" s="6">
        <f t="shared" si="116"/>
        <v>-1720.75</v>
      </c>
      <c r="CE214" s="6">
        <f t="shared" si="117"/>
        <v>-1720.75</v>
      </c>
      <c r="CF214" s="6">
        <f t="shared" si="118"/>
        <v>-1720.75</v>
      </c>
      <c r="CG214" s="6">
        <f t="shared" si="119"/>
        <v>-1720.75</v>
      </c>
      <c r="CH214" s="6">
        <f t="shared" si="107"/>
        <v>-20649</v>
      </c>
    </row>
    <row r="215" spans="1:86" hidden="1" x14ac:dyDescent="0.35">
      <c r="A215" s="3" t="s">
        <v>520</v>
      </c>
      <c r="B215" s="10">
        <v>1410.15</v>
      </c>
      <c r="C215" s="10">
        <v>1410.15</v>
      </c>
      <c r="D215" s="10">
        <v>1410.15</v>
      </c>
      <c r="E215" s="10">
        <v>1410.15</v>
      </c>
      <c r="F215" s="10">
        <v>1410.15</v>
      </c>
      <c r="G215" s="10">
        <v>1410.15</v>
      </c>
      <c r="H215" s="10">
        <v>1410.15</v>
      </c>
      <c r="I215" s="10">
        <v>1410.15</v>
      </c>
      <c r="J215" s="10">
        <v>1410.15</v>
      </c>
      <c r="K215" s="10">
        <v>1410.15</v>
      </c>
      <c r="L215" s="10">
        <v>1410.15</v>
      </c>
      <c r="M215" s="10">
        <v>1410.15</v>
      </c>
      <c r="N215" s="27">
        <f t="shared" si="88"/>
        <v>16921.8</v>
      </c>
      <c r="AA215" s="27">
        <f t="shared" si="87"/>
        <v>0</v>
      </c>
      <c r="AB215" s="10">
        <f t="shared" si="121"/>
        <v>1410.15</v>
      </c>
      <c r="AC215" s="10">
        <f t="shared" si="121"/>
        <v>1410.15</v>
      </c>
      <c r="AD215" s="10">
        <f t="shared" si="121"/>
        <v>1410.15</v>
      </c>
      <c r="AE215" s="10">
        <f t="shared" si="121"/>
        <v>1410.15</v>
      </c>
      <c r="AF215" s="10">
        <f t="shared" si="120"/>
        <v>1410.15</v>
      </c>
      <c r="AG215" s="10">
        <f t="shared" si="120"/>
        <v>1410.15</v>
      </c>
      <c r="AH215" s="10">
        <f t="shared" si="120"/>
        <v>1410.15</v>
      </c>
      <c r="AI215" s="10">
        <f t="shared" si="120"/>
        <v>1410.15</v>
      </c>
      <c r="AJ215" s="10">
        <f t="shared" si="120"/>
        <v>1410.15</v>
      </c>
      <c r="AK215" s="10">
        <f t="shared" si="120"/>
        <v>1410.15</v>
      </c>
      <c r="AL215" s="10">
        <f t="shared" si="120"/>
        <v>1410.15</v>
      </c>
      <c r="AM215" s="10">
        <f t="shared" si="120"/>
        <v>1410.15</v>
      </c>
      <c r="AN215" s="27">
        <f t="shared" si="89"/>
        <v>16921.8</v>
      </c>
      <c r="AS215" t="str">
        <f>_xlfn.XLOOKUP(AU215,[2]GAE!HZ:HZ,[2]GAE!IA:IA)</f>
        <v>ADMIN SERVICES</v>
      </c>
      <c r="AT215" t="str">
        <f>_xlfn.XLOOKUP(AU215,[2]GAE!HZ:HZ,[2]GAE!IB:IB)</f>
        <v>GAE - Postal &amp; Communication - Telephone</v>
      </c>
      <c r="AU215" t="s">
        <v>507</v>
      </c>
      <c r="AV215">
        <v>80123102</v>
      </c>
      <c r="AW215">
        <v>61721101</v>
      </c>
      <c r="AX215" t="str">
        <f>_xlfn.XLOOKUP(AU215,[2]GAE!HZ:HZ,[2]GAE!IF:IF)</f>
        <v>Others</v>
      </c>
      <c r="AY215" t="str">
        <f>_xlfn.XLOOKUP(AU215,[2]GAE!HZ:HZ,[2]GAE!IG:IG)</f>
        <v>Postal &amp; Communication</v>
      </c>
      <c r="BC215" t="s">
        <v>31</v>
      </c>
      <c r="BD215" s="2" t="s">
        <v>31</v>
      </c>
      <c r="BE215" s="2"/>
      <c r="BF215" t="s">
        <v>508</v>
      </c>
      <c r="BG215" s="2" t="s">
        <v>31</v>
      </c>
      <c r="BH215" s="10">
        <f>SUMIFS('[1]2026'!$K:$K,'[1]2026'!$T:$T,BD215,'[1]2026'!$S:$S,BH$3,'[1]2026'!$P:$P,AU215)</f>
        <v>4640.18</v>
      </c>
      <c r="BI215" s="10">
        <f>SUMIFS('[1]2026'!$K:$K,'[1]2026'!$T:$T,$BD215,'[1]2026'!$S:$S,BI$3,'[1]2026'!$P:$P,$AU215)</f>
        <v>0</v>
      </c>
      <c r="BJ215" s="10">
        <f>SUMIFS('[1]2026'!$K:$K,'[1]2026'!$T:$T,$BD215,'[1]2026'!$S:$S,BJ$3,'[1]2026'!$P:$P,$AU215)</f>
        <v>4462.5</v>
      </c>
      <c r="BK215" s="10">
        <f>SUMIFS('[1]2026'!$K:$K,'[1]2026'!$T:$T,$BD215,'[1]2026'!$S:$S,BK$3,'[1]2026'!$P:$P,$AU215)</f>
        <v>0</v>
      </c>
      <c r="BL215" s="10">
        <f>SUMIFS('[1]2026'!$K:$K,'[1]2026'!$T:$T,$BD215,'[1]2026'!$S:$S,BL$3,'[1]2026'!$P:$P,$AU215)</f>
        <v>2231.25</v>
      </c>
      <c r="BM215" s="10">
        <v>2231.25</v>
      </c>
      <c r="BN215" s="10">
        <f>SUMIFS('[1]2026'!$K:$K,'[1]2026'!$T:$T,$BD215,'[1]2026'!$S:$S,BN$3,'[1]2026'!$P:$P,$AU215)</f>
        <v>0</v>
      </c>
      <c r="BO215" s="10">
        <f>SUMIFS('[1]2026'!$K:$K,'[1]2026'!$T:$T,$BD215,'[1]2026'!$S:$S,BO$3,'[1]2026'!$P:$P,$AU215)</f>
        <v>2231.25</v>
      </c>
      <c r="BP215" s="10">
        <v>2231.25</v>
      </c>
      <c r="BQ215" s="10">
        <v>2231.25</v>
      </c>
      <c r="BR215" s="10">
        <v>2231.25</v>
      </c>
      <c r="BS215" s="10">
        <v>2231.25</v>
      </c>
      <c r="BT215" s="6">
        <f t="shared" si="106"/>
        <v>24721.43</v>
      </c>
      <c r="BV215" s="6">
        <f t="shared" si="108"/>
        <v>3230.03</v>
      </c>
      <c r="BW215" s="6">
        <f t="shared" si="109"/>
        <v>-1410.15</v>
      </c>
      <c r="BX215" s="6">
        <f t="shared" si="110"/>
        <v>3052.35</v>
      </c>
      <c r="BY215" s="6">
        <f t="shared" si="111"/>
        <v>-1410.15</v>
      </c>
      <c r="BZ215" s="6">
        <f t="shared" si="112"/>
        <v>821.09999999999991</v>
      </c>
      <c r="CA215" s="6">
        <f t="shared" si="113"/>
        <v>821.09999999999991</v>
      </c>
      <c r="CB215" s="6">
        <f t="shared" si="114"/>
        <v>-1410.15</v>
      </c>
      <c r="CC215" s="6">
        <f t="shared" si="115"/>
        <v>821.09999999999991</v>
      </c>
      <c r="CD215" s="6">
        <f t="shared" si="116"/>
        <v>821.09999999999991</v>
      </c>
      <c r="CE215" s="6">
        <f t="shared" si="117"/>
        <v>821.09999999999991</v>
      </c>
      <c r="CF215" s="6">
        <f t="shared" si="118"/>
        <v>821.09999999999991</v>
      </c>
      <c r="CG215" s="6">
        <f t="shared" si="119"/>
        <v>821.09999999999991</v>
      </c>
      <c r="CH215" s="6">
        <f t="shared" si="107"/>
        <v>7799.630000000001</v>
      </c>
    </row>
    <row r="216" spans="1:86" hidden="1" x14ac:dyDescent="0.35">
      <c r="A216" s="3" t="s">
        <v>521</v>
      </c>
      <c r="B216" s="10">
        <v>5000</v>
      </c>
      <c r="C216" s="10">
        <v>5000</v>
      </c>
      <c r="D216" s="10">
        <v>5000</v>
      </c>
      <c r="E216" s="10">
        <v>5000</v>
      </c>
      <c r="F216" s="10">
        <v>5000</v>
      </c>
      <c r="G216" s="10">
        <v>5000</v>
      </c>
      <c r="H216" s="10">
        <v>5000</v>
      </c>
      <c r="I216" s="10">
        <v>5000</v>
      </c>
      <c r="J216" s="10">
        <v>5000</v>
      </c>
      <c r="K216" s="10">
        <v>5000</v>
      </c>
      <c r="L216" s="10">
        <v>5000</v>
      </c>
      <c r="M216" s="10">
        <v>5000</v>
      </c>
      <c r="N216" s="27">
        <f t="shared" si="88"/>
        <v>60000</v>
      </c>
      <c r="AA216" s="27">
        <f t="shared" si="87"/>
        <v>0</v>
      </c>
      <c r="AB216" s="10">
        <f t="shared" si="121"/>
        <v>5000</v>
      </c>
      <c r="AC216" s="10">
        <f t="shared" si="121"/>
        <v>5000</v>
      </c>
      <c r="AD216" s="10">
        <f t="shared" si="121"/>
        <v>5000</v>
      </c>
      <c r="AE216" s="10">
        <f t="shared" si="121"/>
        <v>5000</v>
      </c>
      <c r="AF216" s="10">
        <f t="shared" si="120"/>
        <v>5000</v>
      </c>
      <c r="AG216" s="10">
        <f t="shared" si="120"/>
        <v>5000</v>
      </c>
      <c r="AH216" s="10">
        <f t="shared" si="120"/>
        <v>5000</v>
      </c>
      <c r="AI216" s="10">
        <f t="shared" si="120"/>
        <v>5000</v>
      </c>
      <c r="AJ216" s="10">
        <f t="shared" si="120"/>
        <v>5000</v>
      </c>
      <c r="AK216" s="10">
        <f t="shared" si="120"/>
        <v>5000</v>
      </c>
      <c r="AL216" s="10">
        <f t="shared" si="120"/>
        <v>5000</v>
      </c>
      <c r="AM216" s="10">
        <f t="shared" si="120"/>
        <v>5000</v>
      </c>
      <c r="AN216" s="27">
        <f t="shared" si="89"/>
        <v>60000</v>
      </c>
      <c r="AS216" t="str">
        <f>_xlfn.XLOOKUP(AU216,[2]GAE!HZ:HZ,[2]GAE!IA:IA)</f>
        <v>ADMIN SERVICES</v>
      </c>
      <c r="AT216" t="str">
        <f>_xlfn.XLOOKUP(AU216,[2]GAE!HZ:HZ,[2]GAE!IB:IB)</f>
        <v>GAE - Postal &amp; Communication - Telephone</v>
      </c>
      <c r="AU216" t="s">
        <v>507</v>
      </c>
      <c r="AV216">
        <v>80123102</v>
      </c>
      <c r="AW216">
        <v>61721101</v>
      </c>
      <c r="AX216" t="str">
        <f>_xlfn.XLOOKUP(AU216,[2]GAE!HZ:HZ,[2]GAE!IF:IF)</f>
        <v>Others</v>
      </c>
      <c r="AY216" t="str">
        <f>_xlfn.XLOOKUP(AU216,[2]GAE!HZ:HZ,[2]GAE!IG:IG)</f>
        <v>Postal &amp; Communication</v>
      </c>
      <c r="BF216" t="s">
        <v>508</v>
      </c>
      <c r="BG216" t="s">
        <v>509</v>
      </c>
      <c r="BH216" s="10">
        <f>SUMIFS('[1]2026'!$K:$K,'[1]2026'!$T:$T,BD216,'[1]2026'!$S:$S,BH$3,'[1]2026'!$P:$P,AU216)</f>
        <v>0</v>
      </c>
      <c r="BI216" s="10">
        <f>SUMIFS('[1]2026'!$K:$K,'[1]2026'!$T:$T,$BD216,'[1]2026'!$S:$S,BI$3,'[1]2026'!$P:$P,$AU216)</f>
        <v>0</v>
      </c>
      <c r="BJ216" s="10">
        <f>SUMIFS('[1]2026'!$K:$K,'[1]2026'!$T:$T,$BD216,'[1]2026'!$S:$S,BJ$3,'[1]2026'!$P:$P,$AU216)</f>
        <v>0</v>
      </c>
      <c r="BK216" s="10">
        <f>SUMIFS('[1]2026'!$K:$K,'[1]2026'!$T:$T,$BD216,'[1]2026'!$S:$S,BK$3,'[1]2026'!$P:$P,$AU216)</f>
        <v>0</v>
      </c>
      <c r="BL216" s="10">
        <f>SUMIFS('[1]2026'!$K:$K,'[1]2026'!$T:$T,$BD216,'[1]2026'!$S:$S,BL$3,'[1]2026'!$P:$P,$AU216)</f>
        <v>0</v>
      </c>
      <c r="BM216" s="10">
        <f>SUMIFS('[1]2026'!$K:$K,'[1]2026'!$T:$T,$BD216,'[1]2026'!$S:$S,BM$3,'[1]2026'!$P:$P,$AU216)</f>
        <v>0</v>
      </c>
      <c r="BN216" s="10">
        <f>SUMIFS('[1]2026'!$K:$K,'[1]2026'!$T:$T,$BD216,'[1]2026'!$S:$S,BN$3,'[1]2026'!$P:$P,$AU216)</f>
        <v>0</v>
      </c>
      <c r="BO216" s="10">
        <f>SUMIFS('[1]2026'!$K:$K,'[1]2026'!$T:$T,$BD216,'[1]2026'!$S:$S,BO$3,'[1]2026'!$P:$P,$AU216)</f>
        <v>0</v>
      </c>
      <c r="BP216" s="6">
        <f t="shared" si="105"/>
        <v>0</v>
      </c>
      <c r="BQ216" s="6">
        <f t="shared" si="105"/>
        <v>0</v>
      </c>
      <c r="BR216" s="6">
        <f t="shared" si="105"/>
        <v>0</v>
      </c>
      <c r="BS216" s="6">
        <f t="shared" si="105"/>
        <v>0</v>
      </c>
      <c r="BT216" s="6">
        <f t="shared" si="106"/>
        <v>0</v>
      </c>
      <c r="BV216" s="6">
        <f t="shared" si="108"/>
        <v>-5000</v>
      </c>
      <c r="BW216" s="6">
        <f t="shared" si="109"/>
        <v>-5000</v>
      </c>
      <c r="BX216" s="6">
        <f t="shared" si="110"/>
        <v>-5000</v>
      </c>
      <c r="BY216" s="6">
        <f t="shared" si="111"/>
        <v>-5000</v>
      </c>
      <c r="BZ216" s="6">
        <f t="shared" si="112"/>
        <v>-5000</v>
      </c>
      <c r="CA216" s="6">
        <f t="shared" si="113"/>
        <v>-5000</v>
      </c>
      <c r="CB216" s="6">
        <f t="shared" si="114"/>
        <v>-5000</v>
      </c>
      <c r="CC216" s="6">
        <f t="shared" si="115"/>
        <v>-5000</v>
      </c>
      <c r="CD216" s="6">
        <f t="shared" si="116"/>
        <v>-5000</v>
      </c>
      <c r="CE216" s="6">
        <f t="shared" si="117"/>
        <v>-5000</v>
      </c>
      <c r="CF216" s="6">
        <f t="shared" si="118"/>
        <v>-5000</v>
      </c>
      <c r="CG216" s="6">
        <f t="shared" si="119"/>
        <v>-5000</v>
      </c>
      <c r="CH216" s="6">
        <f t="shared" si="107"/>
        <v>-60000</v>
      </c>
    </row>
    <row r="217" spans="1:86" hidden="1" x14ac:dyDescent="0.35">
      <c r="A217" s="3" t="s">
        <v>522</v>
      </c>
      <c r="B217" s="10">
        <v>1461.05</v>
      </c>
      <c r="C217" s="10">
        <v>1461.05</v>
      </c>
      <c r="D217" s="10">
        <v>1461.05</v>
      </c>
      <c r="E217" s="10">
        <v>1461.05</v>
      </c>
      <c r="F217" s="10">
        <v>1461.05</v>
      </c>
      <c r="G217" s="10">
        <v>1461.05</v>
      </c>
      <c r="H217" s="10">
        <v>1461.05</v>
      </c>
      <c r="I217" s="10">
        <v>1461.05</v>
      </c>
      <c r="J217" s="10">
        <v>1461.05</v>
      </c>
      <c r="K217" s="10">
        <v>1461.05</v>
      </c>
      <c r="L217" s="10">
        <v>1461.05</v>
      </c>
      <c r="M217" s="10">
        <v>1461.05</v>
      </c>
      <c r="N217" s="27">
        <f t="shared" si="88"/>
        <v>17532.599999999995</v>
      </c>
      <c r="AA217" s="27">
        <f t="shared" ref="AA217:AA234" si="122">SUM(O217:Z217)</f>
        <v>0</v>
      </c>
      <c r="AB217" s="10">
        <f t="shared" si="121"/>
        <v>1461.05</v>
      </c>
      <c r="AC217" s="10">
        <f t="shared" si="121"/>
        <v>1461.05</v>
      </c>
      <c r="AD217" s="10">
        <f t="shared" si="121"/>
        <v>1461.05</v>
      </c>
      <c r="AE217" s="10">
        <f t="shared" si="121"/>
        <v>1461.05</v>
      </c>
      <c r="AF217" s="10">
        <f t="shared" si="120"/>
        <v>1461.05</v>
      </c>
      <c r="AG217" s="10">
        <f t="shared" si="120"/>
        <v>1461.05</v>
      </c>
      <c r="AH217" s="10">
        <f t="shared" si="120"/>
        <v>1461.05</v>
      </c>
      <c r="AI217" s="10">
        <f t="shared" si="120"/>
        <v>1461.05</v>
      </c>
      <c r="AJ217" s="10">
        <f t="shared" si="120"/>
        <v>1461.05</v>
      </c>
      <c r="AK217" s="10">
        <f t="shared" si="120"/>
        <v>1461.05</v>
      </c>
      <c r="AL217" s="10">
        <f t="shared" si="120"/>
        <v>1461.05</v>
      </c>
      <c r="AM217" s="10">
        <f t="shared" si="120"/>
        <v>1461.05</v>
      </c>
      <c r="AN217" s="27">
        <f t="shared" si="89"/>
        <v>17532.599999999995</v>
      </c>
      <c r="AS217" t="str">
        <f>_xlfn.XLOOKUP(AU217,[2]GAE!HZ:HZ,[2]GAE!IA:IA)</f>
        <v>ADMIN SERVICES</v>
      </c>
      <c r="AT217" t="str">
        <f>_xlfn.XLOOKUP(AU217,[2]GAE!HZ:HZ,[2]GAE!IB:IB)</f>
        <v>GAE - Postal &amp; Communication - Telephone</v>
      </c>
      <c r="AU217" t="s">
        <v>507</v>
      </c>
      <c r="AV217">
        <v>80123102</v>
      </c>
      <c r="AW217">
        <v>61721101</v>
      </c>
      <c r="AX217" t="str">
        <f>_xlfn.XLOOKUP(AU217,[2]GAE!HZ:HZ,[2]GAE!IF:IF)</f>
        <v>Others</v>
      </c>
      <c r="AY217" t="str">
        <f>_xlfn.XLOOKUP(AU217,[2]GAE!HZ:HZ,[2]GAE!IG:IG)</f>
        <v>Postal &amp; Communication</v>
      </c>
      <c r="BF217" t="s">
        <v>508</v>
      </c>
      <c r="BG217" t="s">
        <v>509</v>
      </c>
      <c r="BH217" s="10">
        <f>SUMIFS('[1]2026'!$K:$K,'[1]2026'!$T:$T,BD217,'[1]2026'!$S:$S,BH$3,'[1]2026'!$P:$P,AU217)</f>
        <v>0</v>
      </c>
      <c r="BI217" s="10">
        <f>SUMIFS('[1]2026'!$K:$K,'[1]2026'!$T:$T,$BD217,'[1]2026'!$S:$S,BI$3,'[1]2026'!$P:$P,$AU217)</f>
        <v>0</v>
      </c>
      <c r="BJ217" s="10">
        <f>SUMIFS('[1]2026'!$K:$K,'[1]2026'!$T:$T,$BD217,'[1]2026'!$S:$S,BJ$3,'[1]2026'!$P:$P,$AU217)</f>
        <v>0</v>
      </c>
      <c r="BK217" s="10">
        <f>SUMIFS('[1]2026'!$K:$K,'[1]2026'!$T:$T,$BD217,'[1]2026'!$S:$S,BK$3,'[1]2026'!$P:$P,$AU217)</f>
        <v>0</v>
      </c>
      <c r="BL217" s="10">
        <f>SUMIFS('[1]2026'!$K:$K,'[1]2026'!$T:$T,$BD217,'[1]2026'!$S:$S,BL$3,'[1]2026'!$P:$P,$AU217)</f>
        <v>0</v>
      </c>
      <c r="BM217" s="10">
        <f>SUMIFS('[1]2026'!$K:$K,'[1]2026'!$T:$T,$BD217,'[1]2026'!$S:$S,BM$3,'[1]2026'!$P:$P,$AU217)</f>
        <v>0</v>
      </c>
      <c r="BN217" s="10">
        <f>SUMIFS('[1]2026'!$K:$K,'[1]2026'!$T:$T,$BD217,'[1]2026'!$S:$S,BN$3,'[1]2026'!$P:$P,$AU217)</f>
        <v>0</v>
      </c>
      <c r="BO217" s="10">
        <f>SUMIFS('[1]2026'!$K:$K,'[1]2026'!$T:$T,$BD217,'[1]2026'!$S:$S,BO$3,'[1]2026'!$P:$P,$AU217)</f>
        <v>0</v>
      </c>
      <c r="BP217" s="6">
        <f t="shared" si="105"/>
        <v>0</v>
      </c>
      <c r="BQ217" s="6">
        <f t="shared" si="105"/>
        <v>0</v>
      </c>
      <c r="BR217" s="6">
        <f t="shared" si="105"/>
        <v>0</v>
      </c>
      <c r="BS217" s="6">
        <f t="shared" si="105"/>
        <v>0</v>
      </c>
      <c r="BT217" s="6">
        <f t="shared" si="106"/>
        <v>0</v>
      </c>
      <c r="BV217" s="6">
        <f t="shared" si="108"/>
        <v>-1461.05</v>
      </c>
      <c r="BW217" s="6">
        <f t="shared" si="109"/>
        <v>-1461.05</v>
      </c>
      <c r="BX217" s="6">
        <f t="shared" si="110"/>
        <v>-1461.05</v>
      </c>
      <c r="BY217" s="6">
        <f t="shared" si="111"/>
        <v>-1461.05</v>
      </c>
      <c r="BZ217" s="6">
        <f t="shared" si="112"/>
        <v>-1461.05</v>
      </c>
      <c r="CA217" s="6">
        <f t="shared" si="113"/>
        <v>-1461.05</v>
      </c>
      <c r="CB217" s="6">
        <f t="shared" si="114"/>
        <v>-1461.05</v>
      </c>
      <c r="CC217" s="6">
        <f t="shared" si="115"/>
        <v>-1461.05</v>
      </c>
      <c r="CD217" s="6">
        <f t="shared" si="116"/>
        <v>-1461.05</v>
      </c>
      <c r="CE217" s="6">
        <f t="shared" si="117"/>
        <v>-1461.05</v>
      </c>
      <c r="CF217" s="6">
        <f t="shared" si="118"/>
        <v>-1461.05</v>
      </c>
      <c r="CG217" s="6">
        <f t="shared" si="119"/>
        <v>-1461.05</v>
      </c>
      <c r="CH217" s="6">
        <f t="shared" si="107"/>
        <v>-17532.599999999995</v>
      </c>
    </row>
    <row r="218" spans="1:86" hidden="1" x14ac:dyDescent="0.35">
      <c r="A218" s="3" t="s">
        <v>523</v>
      </c>
      <c r="B218" s="10">
        <v>1410.15</v>
      </c>
      <c r="C218" s="10">
        <v>1410.15</v>
      </c>
      <c r="D218" s="10">
        <v>1410.15</v>
      </c>
      <c r="E218" s="10">
        <v>1410.15</v>
      </c>
      <c r="F218" s="10">
        <v>1410.15</v>
      </c>
      <c r="G218" s="10">
        <v>1410.15</v>
      </c>
      <c r="H218" s="10">
        <v>1410.15</v>
      </c>
      <c r="I218" s="10">
        <v>1410.15</v>
      </c>
      <c r="J218" s="10">
        <v>1410.15</v>
      </c>
      <c r="K218" s="10">
        <v>1410.15</v>
      </c>
      <c r="L218" s="10">
        <v>1410.15</v>
      </c>
      <c r="M218" s="10">
        <v>1410.15</v>
      </c>
      <c r="N218" s="27">
        <f t="shared" si="88"/>
        <v>16921.8</v>
      </c>
      <c r="AA218" s="27">
        <f t="shared" si="122"/>
        <v>0</v>
      </c>
      <c r="AB218" s="10">
        <f t="shared" si="121"/>
        <v>1410.15</v>
      </c>
      <c r="AC218" s="10">
        <f t="shared" si="121"/>
        <v>1410.15</v>
      </c>
      <c r="AD218" s="10">
        <f t="shared" si="121"/>
        <v>1410.15</v>
      </c>
      <c r="AE218" s="10">
        <f t="shared" si="121"/>
        <v>1410.15</v>
      </c>
      <c r="AF218" s="10">
        <f t="shared" si="120"/>
        <v>1410.15</v>
      </c>
      <c r="AG218" s="10">
        <f t="shared" si="120"/>
        <v>1410.15</v>
      </c>
      <c r="AH218" s="10">
        <f t="shared" si="120"/>
        <v>1410.15</v>
      </c>
      <c r="AI218" s="10">
        <f t="shared" si="120"/>
        <v>1410.15</v>
      </c>
      <c r="AJ218" s="10">
        <f t="shared" si="120"/>
        <v>1410.15</v>
      </c>
      <c r="AK218" s="10">
        <f t="shared" si="120"/>
        <v>1410.15</v>
      </c>
      <c r="AL218" s="10">
        <f t="shared" si="120"/>
        <v>1410.15</v>
      </c>
      <c r="AM218" s="10">
        <f t="shared" si="120"/>
        <v>1410.15</v>
      </c>
      <c r="AN218" s="27">
        <f t="shared" si="89"/>
        <v>16921.8</v>
      </c>
      <c r="AS218" t="str">
        <f>_xlfn.XLOOKUP(AU218,[2]GAE!HZ:HZ,[2]GAE!IA:IA)</f>
        <v>ADMIN SERVICES</v>
      </c>
      <c r="AT218" t="str">
        <f>_xlfn.XLOOKUP(AU218,[2]GAE!HZ:HZ,[2]GAE!IB:IB)</f>
        <v>GAE - Postal &amp; Communication - Telephone</v>
      </c>
      <c r="AU218" t="s">
        <v>507</v>
      </c>
      <c r="AV218">
        <v>80123102</v>
      </c>
      <c r="AW218">
        <v>61721101</v>
      </c>
      <c r="AX218" t="str">
        <f>_xlfn.XLOOKUP(AU218,[2]GAE!HZ:HZ,[2]GAE!IF:IF)</f>
        <v>Others</v>
      </c>
      <c r="AY218" t="str">
        <f>_xlfn.XLOOKUP(AU218,[2]GAE!HZ:HZ,[2]GAE!IG:IG)</f>
        <v>Postal &amp; Communication</v>
      </c>
      <c r="BC218" t="s">
        <v>32</v>
      </c>
      <c r="BD218" s="2" t="s">
        <v>32</v>
      </c>
      <c r="BE218" s="2"/>
      <c r="BF218" t="s">
        <v>508</v>
      </c>
      <c r="BG218" s="2" t="s">
        <v>32</v>
      </c>
      <c r="BH218" s="10">
        <f>SUMIFS('[1]2026'!$K:$K,'[1]2026'!$T:$T,BD218,'[1]2026'!$S:$S,BH$3,'[1]2026'!$P:$P,AU218)</f>
        <v>3213.39</v>
      </c>
      <c r="BI218" s="10">
        <f>SUMIFS('[1]2026'!$K:$K,'[1]2026'!$T:$T,$BD218,'[1]2026'!$S:$S,BI$3,'[1]2026'!$P:$P,$AU218)</f>
        <v>0</v>
      </c>
      <c r="BJ218" s="10">
        <f>SUMIFS('[1]2026'!$K:$K,'[1]2026'!$T:$T,$BD218,'[1]2026'!$S:$S,BJ$3,'[1]2026'!$P:$P,$AU218)</f>
        <v>4462.5</v>
      </c>
      <c r="BK218" s="10">
        <f>SUMIFS('[1]2026'!$K:$K,'[1]2026'!$T:$T,$BD218,'[1]2026'!$S:$S,BK$3,'[1]2026'!$P:$P,$AU218)</f>
        <v>0</v>
      </c>
      <c r="BL218" s="10">
        <f>SUMIFS('[1]2026'!$K:$K,'[1]2026'!$T:$T,$BD218,'[1]2026'!$S:$S,BL$3,'[1]2026'!$P:$P,$AU218)</f>
        <v>2231.25</v>
      </c>
      <c r="BM218" s="10">
        <f>SUMIFS('[1]2026'!$K:$K,'[1]2026'!$T:$T,$BD218,'[1]2026'!$S:$S,BM$3,'[1]2026'!$P:$P,$AU218)</f>
        <v>2231.25</v>
      </c>
      <c r="BN218" s="10">
        <f>SUMIFS('[1]2026'!$K:$K,'[1]2026'!$T:$T,$BD218,'[1]2026'!$S:$S,BN$3,'[1]2026'!$P:$P,$AU218)</f>
        <v>0</v>
      </c>
      <c r="BO218" s="10">
        <f>SUMIFS('[1]2026'!$K:$K,'[1]2026'!$T:$T,$BD218,'[1]2026'!$S:$S,BO$3,'[1]2026'!$P:$P,$AU218)</f>
        <v>2231.25</v>
      </c>
      <c r="BP218" s="6">
        <v>2231.25</v>
      </c>
      <c r="BQ218" s="6">
        <v>2231.25</v>
      </c>
      <c r="BR218" s="6">
        <v>2231.25</v>
      </c>
      <c r="BS218" s="6">
        <v>2231.25</v>
      </c>
      <c r="BT218" s="6">
        <f t="shared" si="106"/>
        <v>23294.639999999999</v>
      </c>
      <c r="BV218" s="6">
        <f t="shared" si="108"/>
        <v>1803.2399999999998</v>
      </c>
      <c r="BW218" s="6">
        <f t="shared" si="109"/>
        <v>-1410.15</v>
      </c>
      <c r="BX218" s="6">
        <f t="shared" si="110"/>
        <v>3052.35</v>
      </c>
      <c r="BY218" s="6">
        <f t="shared" si="111"/>
        <v>-1410.15</v>
      </c>
      <c r="BZ218" s="6">
        <f t="shared" si="112"/>
        <v>821.09999999999991</v>
      </c>
      <c r="CA218" s="6">
        <f t="shared" si="113"/>
        <v>821.09999999999991</v>
      </c>
      <c r="CB218" s="6">
        <f t="shared" si="114"/>
        <v>-1410.15</v>
      </c>
      <c r="CC218" s="6">
        <f t="shared" si="115"/>
        <v>821.09999999999991</v>
      </c>
      <c r="CD218" s="6">
        <f t="shared" si="116"/>
        <v>821.09999999999991</v>
      </c>
      <c r="CE218" s="6">
        <f t="shared" si="117"/>
        <v>821.09999999999991</v>
      </c>
      <c r="CF218" s="6">
        <f t="shared" si="118"/>
        <v>821.09999999999991</v>
      </c>
      <c r="CG218" s="6">
        <f t="shared" si="119"/>
        <v>821.09999999999991</v>
      </c>
      <c r="CH218" s="6">
        <f t="shared" si="107"/>
        <v>6372.84</v>
      </c>
    </row>
    <row r="219" spans="1:86" hidden="1" x14ac:dyDescent="0.35">
      <c r="A219" s="3" t="s">
        <v>524</v>
      </c>
      <c r="B219" s="10">
        <v>5000</v>
      </c>
      <c r="C219" s="10">
        <v>5000</v>
      </c>
      <c r="D219" s="10">
        <v>5000</v>
      </c>
      <c r="E219" s="10">
        <v>5000</v>
      </c>
      <c r="F219" s="10">
        <v>5000</v>
      </c>
      <c r="G219" s="10">
        <v>5000</v>
      </c>
      <c r="H219" s="10">
        <v>5000</v>
      </c>
      <c r="I219" s="10">
        <v>5000</v>
      </c>
      <c r="J219" s="10">
        <v>5000</v>
      </c>
      <c r="K219" s="10">
        <v>5000</v>
      </c>
      <c r="L219" s="10">
        <v>5000</v>
      </c>
      <c r="M219" s="10">
        <v>5000</v>
      </c>
      <c r="N219" s="27">
        <f t="shared" si="88"/>
        <v>60000</v>
      </c>
      <c r="AA219" s="27">
        <f t="shared" si="122"/>
        <v>0</v>
      </c>
      <c r="AB219" s="10">
        <f t="shared" si="121"/>
        <v>5000</v>
      </c>
      <c r="AC219" s="10">
        <f t="shared" si="121"/>
        <v>5000</v>
      </c>
      <c r="AD219" s="10">
        <f t="shared" si="121"/>
        <v>5000</v>
      </c>
      <c r="AE219" s="10">
        <f t="shared" si="121"/>
        <v>5000</v>
      </c>
      <c r="AF219" s="10">
        <f t="shared" si="120"/>
        <v>5000</v>
      </c>
      <c r="AG219" s="10">
        <f t="shared" si="120"/>
        <v>5000</v>
      </c>
      <c r="AH219" s="10">
        <f t="shared" si="120"/>
        <v>5000</v>
      </c>
      <c r="AI219" s="10">
        <f t="shared" si="120"/>
        <v>5000</v>
      </c>
      <c r="AJ219" s="10">
        <f t="shared" si="120"/>
        <v>5000</v>
      </c>
      <c r="AK219" s="10">
        <f t="shared" si="120"/>
        <v>5000</v>
      </c>
      <c r="AL219" s="10">
        <f t="shared" si="120"/>
        <v>5000</v>
      </c>
      <c r="AM219" s="10">
        <f t="shared" si="120"/>
        <v>5000</v>
      </c>
      <c r="AN219" s="27">
        <f t="shared" si="89"/>
        <v>60000</v>
      </c>
      <c r="AO219" s="28">
        <v>3598.61</v>
      </c>
      <c r="AP219" t="s">
        <v>33</v>
      </c>
      <c r="AS219" t="str">
        <f>_xlfn.XLOOKUP(AU219,[2]GAE!HZ:HZ,[2]GAE!IA:IA)</f>
        <v>ADMIN SERVICES</v>
      </c>
      <c r="AT219" t="str">
        <f>_xlfn.XLOOKUP(AU219,[2]GAE!HZ:HZ,[2]GAE!IB:IB)</f>
        <v>GAE - Postal &amp; Communication - Postal</v>
      </c>
      <c r="AU219" t="s">
        <v>525</v>
      </c>
      <c r="AV219">
        <v>80123102</v>
      </c>
      <c r="AW219">
        <v>61721103</v>
      </c>
      <c r="AX219" t="str">
        <f>_xlfn.XLOOKUP(AU219,[2]GAE!HZ:HZ,[2]GAE!IF:IF)</f>
        <v>Others</v>
      </c>
      <c r="AY219" t="str">
        <f>_xlfn.XLOOKUP(AU219,[2]GAE!HZ:HZ,[2]GAE!IG:IG)</f>
        <v>Postal &amp; Communication</v>
      </c>
      <c r="BC219" t="s">
        <v>33</v>
      </c>
      <c r="BD219" t="s">
        <v>33</v>
      </c>
      <c r="BF219" t="s">
        <v>33</v>
      </c>
      <c r="BG219" s="2" t="s">
        <v>33</v>
      </c>
      <c r="BH219" s="10">
        <f>SUMIFS('[1]2026'!$K:$K,'[1]2026'!$T:$T,BD219,'[1]2026'!$S:$S,BH$3,'[1]2026'!$P:$P,AU219)</f>
        <v>0</v>
      </c>
      <c r="BI219" s="10">
        <f>SUMIFS('[1]2026'!$K:$K,'[1]2026'!$T:$T,$BD219,'[1]2026'!$S:$S,BI$3,'[1]2026'!$P:$P,$AU219)</f>
        <v>0</v>
      </c>
      <c r="BJ219" s="10">
        <f>SUMIFS('[1]2026'!$K:$K,'[1]2026'!$T:$T,$BD219,'[1]2026'!$S:$S,BJ$3,'[1]2026'!$P:$P,$AU219)</f>
        <v>1485</v>
      </c>
      <c r="BK219" s="10">
        <f>SUMIFS('[1]2026'!$K:$K,'[1]2026'!$T:$T,$BD219,'[1]2026'!$S:$S,BK$3,'[1]2026'!$P:$P,$AU219)</f>
        <v>0</v>
      </c>
      <c r="BL219" s="10">
        <f>SUMIFS('[1]2026'!$K:$K,'[1]2026'!$T:$T,$BD219,'[1]2026'!$S:$S,BL$3,'[1]2026'!$P:$P,$AU219)</f>
        <v>1569</v>
      </c>
      <c r="BM219" s="10">
        <f>SUMIFS('[1]2026'!$K:$K,'[1]2026'!$T:$T,$BD219,'[1]2026'!$S:$S,BM$3,'[1]2026'!$P:$P,$AU219)</f>
        <v>708</v>
      </c>
      <c r="BN219" s="10">
        <f>SUMIFS('[1]2026'!$K:$K,'[1]2026'!$T:$T,$BD219,'[1]2026'!$S:$S,BN$3,'[1]2026'!$P:$P,$AU219)</f>
        <v>708</v>
      </c>
      <c r="BO219" s="10">
        <f>SUMIFS('[1]2026'!$K:$K,'[1]2026'!$T:$T,$BD219,'[1]2026'!$S:$S,BO$3,'[1]2026'!$P:$P,$AU219)</f>
        <v>0</v>
      </c>
      <c r="BP219" s="6">
        <v>1000</v>
      </c>
      <c r="BQ219" s="6">
        <v>1000</v>
      </c>
      <c r="BR219" s="6">
        <v>1000</v>
      </c>
      <c r="BS219" s="6">
        <v>1000</v>
      </c>
      <c r="BT219" s="6">
        <f t="shared" si="106"/>
        <v>8470</v>
      </c>
      <c r="BV219" s="6">
        <f t="shared" si="108"/>
        <v>-5000</v>
      </c>
      <c r="BW219" s="6">
        <f t="shared" si="109"/>
        <v>-5000</v>
      </c>
      <c r="BX219" s="6">
        <f t="shared" si="110"/>
        <v>-3515</v>
      </c>
      <c r="BY219" s="6">
        <f t="shared" si="111"/>
        <v>-5000</v>
      </c>
      <c r="BZ219" s="6">
        <f t="shared" si="112"/>
        <v>-3431</v>
      </c>
      <c r="CA219" s="6">
        <f t="shared" si="113"/>
        <v>-4292</v>
      </c>
      <c r="CB219" s="6">
        <f t="shared" si="114"/>
        <v>-4292</v>
      </c>
      <c r="CC219" s="6">
        <f t="shared" si="115"/>
        <v>-5000</v>
      </c>
      <c r="CD219" s="6">
        <f t="shared" si="116"/>
        <v>-4000</v>
      </c>
      <c r="CE219" s="6">
        <f t="shared" si="117"/>
        <v>-4000</v>
      </c>
      <c r="CF219" s="6">
        <f t="shared" si="118"/>
        <v>-4000</v>
      </c>
      <c r="CG219" s="6">
        <f t="shared" si="119"/>
        <v>-4000</v>
      </c>
      <c r="CH219" s="6">
        <f t="shared" si="107"/>
        <v>-51530</v>
      </c>
    </row>
    <row r="220" spans="1:86" hidden="1" x14ac:dyDescent="0.35">
      <c r="A220" s="3" t="s">
        <v>526</v>
      </c>
      <c r="B220" s="10">
        <v>215407.75934999998</v>
      </c>
      <c r="C220" s="10">
        <v>215407.75934999998</v>
      </c>
      <c r="D220" s="10">
        <v>215407.75934999998</v>
      </c>
      <c r="E220" s="10">
        <v>215407.75934999998</v>
      </c>
      <c r="F220" s="10">
        <v>215407.75934999998</v>
      </c>
      <c r="G220" s="10">
        <v>215407.75934999998</v>
      </c>
      <c r="H220" s="10">
        <v>215407.75934999998</v>
      </c>
      <c r="I220" s="10">
        <v>215407.75934999998</v>
      </c>
      <c r="J220" s="10">
        <v>215407.75934999998</v>
      </c>
      <c r="K220" s="10">
        <v>215407.75934999998</v>
      </c>
      <c r="L220" s="10">
        <v>215407.75934999998</v>
      </c>
      <c r="M220" s="10">
        <v>215407.75934999998</v>
      </c>
      <c r="N220" s="27">
        <f t="shared" si="88"/>
        <v>2584893.1121999999</v>
      </c>
      <c r="AA220" s="27">
        <f t="shared" si="122"/>
        <v>0</v>
      </c>
      <c r="AB220" s="10">
        <f t="shared" si="121"/>
        <v>215407.75934999998</v>
      </c>
      <c r="AC220" s="10">
        <f t="shared" si="121"/>
        <v>215407.75934999998</v>
      </c>
      <c r="AD220" s="10">
        <f t="shared" si="121"/>
        <v>215407.75934999998</v>
      </c>
      <c r="AE220" s="10">
        <f t="shared" si="121"/>
        <v>215407.75934999998</v>
      </c>
      <c r="AF220" s="10">
        <f t="shared" si="120"/>
        <v>215407.75934999998</v>
      </c>
      <c r="AG220" s="10">
        <f t="shared" si="120"/>
        <v>215407.75934999998</v>
      </c>
      <c r="AH220" s="10">
        <f t="shared" si="120"/>
        <v>215407.75934999998</v>
      </c>
      <c r="AI220" s="10">
        <f t="shared" si="120"/>
        <v>215407.75934999998</v>
      </c>
      <c r="AJ220" s="10">
        <f t="shared" si="120"/>
        <v>215407.75934999998</v>
      </c>
      <c r="AK220" s="10">
        <f t="shared" si="120"/>
        <v>215407.75934999998</v>
      </c>
      <c r="AL220" s="10">
        <f t="shared" si="120"/>
        <v>215407.75934999998</v>
      </c>
      <c r="AM220" s="10">
        <f t="shared" si="120"/>
        <v>215407.75934999998</v>
      </c>
      <c r="AN220" s="27">
        <f t="shared" si="89"/>
        <v>2584893.1121999999</v>
      </c>
      <c r="AO220" s="28">
        <v>2689168.2857142854</v>
      </c>
      <c r="AP220" s="10">
        <f>AN220/12</f>
        <v>215407.75934999998</v>
      </c>
      <c r="AS220" t="str">
        <f>_xlfn.XLOOKUP(AU220,[2]GAE!HZ:HZ,[2]GAE!IA:IA)</f>
        <v>ADMIN SERVICES</v>
      </c>
      <c r="AT220" t="str">
        <f>_xlfn.XLOOKUP(AU220,[2]GAE!HZ:HZ,[2]GAE!IB:IB)</f>
        <v>DOE - Contracted Services - Others</v>
      </c>
      <c r="AU220" t="s">
        <v>527</v>
      </c>
      <c r="AV220">
        <v>81123102</v>
      </c>
      <c r="AW220">
        <v>52041499</v>
      </c>
      <c r="AX220" t="str">
        <f>_xlfn.XLOOKUP(AU220,[2]GAE!HZ:HZ,[2]GAE!IF:IF)</f>
        <v>Contracted services</v>
      </c>
      <c r="AY220" t="str">
        <f>_xlfn.XLOOKUP(AU220,[2]GAE!HZ:HZ,[2]GAE!IG:IG)</f>
        <v>Admin Staff</v>
      </c>
      <c r="BC220" t="s">
        <v>34</v>
      </c>
      <c r="BD220" t="s">
        <v>528</v>
      </c>
      <c r="BF220" t="s">
        <v>34</v>
      </c>
      <c r="BG220" t="s">
        <v>1257</v>
      </c>
      <c r="BH220" s="10">
        <f>SUMIFS('[1]2026'!$K:$K,'[1]2026'!$T:$T,BD220,'[1]2026'!$S:$S,BH$3,'[1]2026'!$P:$P,AU220)</f>
        <v>0</v>
      </c>
      <c r="BI220" s="10">
        <f>SUMIFS('[1]2026'!$K:$K,'[1]2026'!$T:$T,$BD220,'[1]2026'!$S:$S,BI$3,'[1]2026'!$P:$P,$AU220)</f>
        <v>205446.96</v>
      </c>
      <c r="BJ220" s="10">
        <f>SUMIFS('[1]2026'!$K:$K,'[1]2026'!$T:$T,$BD220,'[1]2026'!$S:$S,BJ$3,'[1]2026'!$P:$P,$AU220)</f>
        <v>167572.49999999997</v>
      </c>
      <c r="BK220" s="10">
        <f>SUMIFS('[1]2026'!$K:$K,'[1]2026'!$T:$T,$BD220,'[1]2026'!$S:$S,BK$3,'[1]2026'!$P:$P,$AU220)</f>
        <v>348461.00999999995</v>
      </c>
      <c r="BL220" s="10">
        <f>SUMIFS('[1]2026'!$K:$K,'[1]2026'!$T:$T,$BD220,'[1]2026'!$S:$S,BL$3,'[1]2026'!$P:$P,$AU220)</f>
        <v>0</v>
      </c>
      <c r="BM220" s="10">
        <f>SUMIFS('[1]2026'!$K:$K,'[1]2026'!$T:$T,$BD220,'[1]2026'!$S:$S,BM$3,'[1]2026'!$P:$P,$AU220)</f>
        <v>199667.33</v>
      </c>
      <c r="BN220" s="10">
        <f>SUMIFS('[1]2026'!$K:$K,'[1]2026'!$T:$T,$BD220,'[1]2026'!$S:$S,BN$3,'[1]2026'!$P:$P,$AU220)</f>
        <v>226192.28999999998</v>
      </c>
      <c r="BO220" s="10">
        <f>SUMIFS('[1]2026'!$K:$K,'[1]2026'!$T:$T,$BD220,'[1]2026'!$S:$S,BO$3,'[1]2026'!$P:$P,$AU220)</f>
        <v>0</v>
      </c>
      <c r="BP220" s="6">
        <f t="shared" si="105"/>
        <v>0</v>
      </c>
      <c r="BQ220" s="6">
        <f t="shared" si="105"/>
        <v>0</v>
      </c>
      <c r="BR220" s="6">
        <f t="shared" si="105"/>
        <v>0</v>
      </c>
      <c r="BS220" s="6">
        <f t="shared" si="105"/>
        <v>0</v>
      </c>
      <c r="BT220" s="6">
        <f t="shared" si="106"/>
        <v>1147340.0899999999</v>
      </c>
      <c r="BV220" s="6">
        <f t="shared" si="108"/>
        <v>-215407.75934999998</v>
      </c>
      <c r="BW220" s="6">
        <f t="shared" si="109"/>
        <v>-9960.7993499999866</v>
      </c>
      <c r="BX220" s="6">
        <f t="shared" si="110"/>
        <v>-47835.259350000008</v>
      </c>
      <c r="BY220" s="6">
        <f t="shared" si="111"/>
        <v>133053.25064999997</v>
      </c>
      <c r="BZ220" s="6">
        <f t="shared" si="112"/>
        <v>-215407.75934999998</v>
      </c>
      <c r="CA220" s="6">
        <f t="shared" si="113"/>
        <v>-15740.429349999991</v>
      </c>
      <c r="CB220" s="6">
        <f t="shared" si="114"/>
        <v>10784.530650000001</v>
      </c>
      <c r="CC220" s="6">
        <f t="shared" si="115"/>
        <v>-215407.75934999998</v>
      </c>
      <c r="CD220" s="6">
        <f t="shared" si="116"/>
        <v>-215407.75934999998</v>
      </c>
      <c r="CE220" s="6">
        <f t="shared" si="117"/>
        <v>-215407.75934999998</v>
      </c>
      <c r="CF220" s="6">
        <f t="shared" si="118"/>
        <v>-215407.75934999998</v>
      </c>
      <c r="CG220" s="6">
        <f t="shared" si="119"/>
        <v>-215407.75934999998</v>
      </c>
      <c r="CH220" s="6">
        <f t="shared" si="107"/>
        <v>-1437553.0222</v>
      </c>
    </row>
    <row r="221" spans="1:86" hidden="1" x14ac:dyDescent="0.35">
      <c r="A221" s="3" t="s">
        <v>529</v>
      </c>
      <c r="B221" s="10">
        <v>12435.287550000001</v>
      </c>
      <c r="C221" s="10">
        <v>12435.287550000001</v>
      </c>
      <c r="D221" s="10">
        <v>12435.287550000001</v>
      </c>
      <c r="E221" s="10">
        <v>12435.287550000001</v>
      </c>
      <c r="F221" s="10">
        <v>12435.287550000001</v>
      </c>
      <c r="G221" s="10">
        <v>12435.287550000001</v>
      </c>
      <c r="H221" s="10">
        <v>12435.287550000001</v>
      </c>
      <c r="I221" s="10">
        <v>12435.287550000001</v>
      </c>
      <c r="J221" s="10">
        <v>12435.287550000001</v>
      </c>
      <c r="K221" s="10">
        <v>12435.287550000001</v>
      </c>
      <c r="L221" s="10">
        <v>12435.287550000001</v>
      </c>
      <c r="M221" s="10">
        <v>12435.287550000001</v>
      </c>
      <c r="N221" s="27">
        <f t="shared" si="88"/>
        <v>149223.45060000004</v>
      </c>
      <c r="AA221" s="27">
        <f t="shared" si="122"/>
        <v>0</v>
      </c>
      <c r="AB221" s="10">
        <f t="shared" si="121"/>
        <v>12435.287550000001</v>
      </c>
      <c r="AC221" s="10">
        <f t="shared" si="121"/>
        <v>12435.287550000001</v>
      </c>
      <c r="AD221" s="10">
        <f t="shared" si="121"/>
        <v>12435.287550000001</v>
      </c>
      <c r="AE221" s="10">
        <f t="shared" si="121"/>
        <v>12435.287550000001</v>
      </c>
      <c r="AF221" s="10">
        <f t="shared" si="120"/>
        <v>12435.287550000001</v>
      </c>
      <c r="AG221" s="10">
        <f t="shared" si="120"/>
        <v>12435.287550000001</v>
      </c>
      <c r="AH221" s="10">
        <f t="shared" si="120"/>
        <v>12435.287550000001</v>
      </c>
      <c r="AI221" s="10">
        <f t="shared" si="120"/>
        <v>12435.287550000001</v>
      </c>
      <c r="AJ221" s="10">
        <f t="shared" si="120"/>
        <v>12435.287550000001</v>
      </c>
      <c r="AK221" s="10">
        <f t="shared" si="120"/>
        <v>12435.287550000001</v>
      </c>
      <c r="AL221" s="10">
        <f t="shared" si="120"/>
        <v>12435.287550000001</v>
      </c>
      <c r="AM221" s="10">
        <f t="shared" si="120"/>
        <v>12435.287550000001</v>
      </c>
      <c r="AN221" s="27">
        <f t="shared" si="89"/>
        <v>149223.45060000004</v>
      </c>
      <c r="AP221" s="10">
        <f>AN221/12</f>
        <v>12435.287550000003</v>
      </c>
      <c r="AS221" t="str">
        <f>_xlfn.XLOOKUP(AU221,[2]GAE!HZ:HZ,[2]GAE!IA:IA)</f>
        <v>ADMIN SERVICES</v>
      </c>
      <c r="AT221" t="str">
        <f>_xlfn.XLOOKUP(AU221,[2]GAE!HZ:HZ,[2]GAE!IB:IB)</f>
        <v>DOE - Contracted Services - Others</v>
      </c>
      <c r="AU221" t="s">
        <v>527</v>
      </c>
      <c r="AV221">
        <v>81123102</v>
      </c>
      <c r="AW221">
        <v>52041499</v>
      </c>
      <c r="AX221" t="str">
        <f>_xlfn.XLOOKUP(AU221,[2]GAE!HZ:HZ,[2]GAE!IF:IF)</f>
        <v>Contracted services</v>
      </c>
      <c r="AY221" t="str">
        <f>_xlfn.XLOOKUP(AU221,[2]GAE!HZ:HZ,[2]GAE!IG:IG)</f>
        <v>Admin Staff</v>
      </c>
      <c r="BC221" t="s">
        <v>34</v>
      </c>
      <c r="BD221" t="s">
        <v>530</v>
      </c>
      <c r="BF221" t="s">
        <v>34</v>
      </c>
      <c r="BG221" t="s">
        <v>1257</v>
      </c>
      <c r="BH221" s="10">
        <f>SUMIFS('[1]2026'!$K:$K,'[1]2026'!$T:$T,BD221,'[1]2026'!$S:$S,BH$3,'[1]2026'!$P:$P,AU221)</f>
        <v>0</v>
      </c>
      <c r="BI221" s="10">
        <f>SUMIFS('[1]2026'!$K:$K,'[1]2026'!$T:$T,$BD221,'[1]2026'!$S:$S,BI$3,'[1]2026'!$P:$P,$AU221)</f>
        <v>41835.5</v>
      </c>
      <c r="BJ221" s="10">
        <f>SUMIFS('[1]2026'!$K:$K,'[1]2026'!$T:$T,$BD221,'[1]2026'!$S:$S,BJ$3,'[1]2026'!$P:$P,$AU221)</f>
        <v>54772.020000000004</v>
      </c>
      <c r="BK221" s="10">
        <f>SUMIFS('[1]2026'!$K:$K,'[1]2026'!$T:$T,$BD221,'[1]2026'!$S:$S,BK$3,'[1]2026'!$P:$P,$AU221)</f>
        <v>0</v>
      </c>
      <c r="BL221" s="10">
        <f>SUMIFS('[1]2026'!$K:$K,'[1]2026'!$T:$T,$BD221,'[1]2026'!$S:$S,BL$3,'[1]2026'!$P:$P,$AU221)</f>
        <v>103664.57</v>
      </c>
      <c r="BM221" s="10">
        <f>SUMIFS('[1]2026'!$K:$K,'[1]2026'!$T:$T,$BD221,'[1]2026'!$S:$S,BM$3,'[1]2026'!$P:$P,$AU221)</f>
        <v>0</v>
      </c>
      <c r="BN221" s="10">
        <f>SUMIFS('[1]2026'!$K:$K,'[1]2026'!$T:$T,$BD221,'[1]2026'!$S:$S,BN$3,'[1]2026'!$P:$P,$AU221)</f>
        <v>54663.55000000001</v>
      </c>
      <c r="BO221" s="10">
        <f>SUMIFS('[1]2026'!$K:$K,'[1]2026'!$T:$T,$BD221,'[1]2026'!$S:$S,BO$3,'[1]2026'!$P:$P,$AU221)</f>
        <v>0</v>
      </c>
      <c r="BP221" s="6">
        <v>60000</v>
      </c>
      <c r="BQ221" s="6">
        <v>60000</v>
      </c>
      <c r="BR221" s="6">
        <v>60000</v>
      </c>
      <c r="BS221" s="6">
        <f>60000*2</f>
        <v>120000</v>
      </c>
      <c r="BT221" s="6">
        <f t="shared" si="106"/>
        <v>554935.64</v>
      </c>
      <c r="BV221" s="6">
        <f t="shared" si="108"/>
        <v>-12435.287550000001</v>
      </c>
      <c r="BW221" s="6">
        <f t="shared" si="109"/>
        <v>29400.212449999999</v>
      </c>
      <c r="BX221" s="6">
        <f t="shared" si="110"/>
        <v>42336.732450000003</v>
      </c>
      <c r="BY221" s="6">
        <f t="shared" si="111"/>
        <v>-12435.287550000001</v>
      </c>
      <c r="BZ221" s="6">
        <f t="shared" si="112"/>
        <v>91229.282449999999</v>
      </c>
      <c r="CA221" s="6">
        <f t="shared" si="113"/>
        <v>-12435.287550000001</v>
      </c>
      <c r="CB221" s="6">
        <f t="shared" si="114"/>
        <v>42228.262450000009</v>
      </c>
      <c r="CC221" s="6">
        <f t="shared" si="115"/>
        <v>-12435.287550000001</v>
      </c>
      <c r="CD221" s="6">
        <f t="shared" si="116"/>
        <v>47564.712449999999</v>
      </c>
      <c r="CE221" s="6">
        <f t="shared" si="117"/>
        <v>47564.712449999999</v>
      </c>
      <c r="CF221" s="6">
        <f t="shared" si="118"/>
        <v>47564.712449999999</v>
      </c>
      <c r="CG221" s="6">
        <f t="shared" si="119"/>
        <v>107564.71244999999</v>
      </c>
      <c r="CH221" s="6">
        <f t="shared" si="107"/>
        <v>405712.18939999997</v>
      </c>
    </row>
    <row r="222" spans="1:86" hidden="1" x14ac:dyDescent="0.35">
      <c r="AN222" s="27">
        <f t="shared" si="89"/>
        <v>0</v>
      </c>
      <c r="AP222" s="33"/>
      <c r="AS222" t="str">
        <f>_xlfn.XLOOKUP(AU222,[2]GAE!HZ:HZ,[2]GAE!IA:IA)</f>
        <v>CCC-COMMON</v>
      </c>
      <c r="AT222" t="str">
        <f>_xlfn.XLOOKUP(AU222,[2]GAE!HZ:HZ,[2]GAE!IB:IB)</f>
        <v>DOE - Contracted Services - Others</v>
      </c>
      <c r="AU222" t="s">
        <v>531</v>
      </c>
      <c r="AV222">
        <v>81111101</v>
      </c>
      <c r="AW222">
        <v>52041499</v>
      </c>
      <c r="AX222" t="str">
        <f>_xlfn.XLOOKUP(AU222,[2]GAE!HZ:HZ,[2]GAE!IF:IF)</f>
        <v>Contracted services</v>
      </c>
      <c r="AY222" t="str">
        <f>_xlfn.XLOOKUP(AU222,[2]GAE!HZ:HZ,[2]GAE!IG:IG)</f>
        <v>Admin Staff</v>
      </c>
      <c r="BC222" t="s">
        <v>34</v>
      </c>
      <c r="BD222" t="s">
        <v>528</v>
      </c>
      <c r="BF222" t="s">
        <v>34</v>
      </c>
      <c r="BG222" t="s">
        <v>1257</v>
      </c>
      <c r="BH222" s="10">
        <f>SUMIFS('[1]2026'!$K:$K,'[1]2026'!$T:$T,BD222,'[1]2026'!$S:$S,BH$3,'[1]2026'!$P:$P,AU222)</f>
        <v>210000</v>
      </c>
      <c r="BI222" s="10">
        <f>SUMIFS('[1]2026'!$K:$K,'[1]2026'!$T:$T,$BD222,'[1]2026'!$S:$S,BI$3,'[1]2026'!$P:$P,$AU222)</f>
        <v>-4500</v>
      </c>
      <c r="BJ222" s="10">
        <f>SUMIFS('[1]2026'!$K:$K,'[1]2026'!$T:$T,$BD222,'[1]2026'!$S:$S,BJ$3,'[1]2026'!$P:$P,$AU222)</f>
        <v>-31293.649999999994</v>
      </c>
      <c r="BK222" s="10">
        <f>SUMIFS('[1]2026'!$K:$K,'[1]2026'!$T:$T,$BD222,'[1]2026'!$S:$S,BK$3,'[1]2026'!$P:$P,$AU222)</f>
        <v>-174206.35</v>
      </c>
      <c r="BL222" s="10">
        <f>SUMIFS('[1]2026'!$K:$K,'[1]2026'!$T:$T,$BD222,'[1]2026'!$S:$S,BL$3,'[1]2026'!$P:$P,$AU222)</f>
        <v>178503.87</v>
      </c>
      <c r="BM222" s="10">
        <f>SUMIFS('[1]2026'!$K:$K,'[1]2026'!$T:$T,$BD222,'[1]2026'!$S:$S,BM$3,'[1]2026'!$P:$P,$AU222)</f>
        <v>0</v>
      </c>
      <c r="BN222" s="10">
        <f>SUMIFS('[1]2026'!$K:$K,'[1]2026'!$T:$T,$BD222,'[1]2026'!$S:$S,BN$3,'[1]2026'!$P:$P,$AU222)</f>
        <v>-136437.35</v>
      </c>
      <c r="BO222" s="10">
        <f>SUMIFS('[1]2026'!$K:$K,'[1]2026'!$T:$T,$BD222,'[1]2026'!$S:$S,BO$3,'[1]2026'!$P:$P,$AU222)</f>
        <v>180000</v>
      </c>
      <c r="BP222" s="6">
        <v>180000</v>
      </c>
      <c r="BQ222" s="6">
        <v>180000</v>
      </c>
      <c r="BR222" s="6">
        <v>180000</v>
      </c>
      <c r="BS222" s="6">
        <v>180000</v>
      </c>
      <c r="BT222" s="6">
        <f>SUM(BH222:BS222)</f>
        <v>942066.52</v>
      </c>
      <c r="BV222" s="6">
        <f t="shared" si="108"/>
        <v>210000</v>
      </c>
      <c r="BW222" s="6">
        <f t="shared" si="109"/>
        <v>-4500</v>
      </c>
      <c r="BX222" s="6">
        <f t="shared" si="110"/>
        <v>-31293.649999999994</v>
      </c>
      <c r="BY222" s="6">
        <f t="shared" si="111"/>
        <v>-174206.35</v>
      </c>
      <c r="BZ222" s="6">
        <f t="shared" si="112"/>
        <v>178503.87</v>
      </c>
      <c r="CA222" s="6">
        <f t="shared" si="113"/>
        <v>0</v>
      </c>
      <c r="CB222" s="6">
        <f t="shared" si="114"/>
        <v>-136437.35</v>
      </c>
      <c r="CC222" s="6">
        <f t="shared" si="115"/>
        <v>180000</v>
      </c>
      <c r="CD222" s="6">
        <f t="shared" si="116"/>
        <v>180000</v>
      </c>
      <c r="CE222" s="6">
        <f t="shared" si="117"/>
        <v>180000</v>
      </c>
      <c r="CF222" s="6">
        <f t="shared" si="118"/>
        <v>180000</v>
      </c>
      <c r="CG222" s="6">
        <f t="shared" si="119"/>
        <v>180000</v>
      </c>
      <c r="CH222" s="6">
        <f t="shared" si="107"/>
        <v>942066.52</v>
      </c>
    </row>
    <row r="223" spans="1:86" hidden="1" x14ac:dyDescent="0.35">
      <c r="AN223" s="27">
        <f t="shared" si="89"/>
        <v>0</v>
      </c>
      <c r="AP223" s="33"/>
      <c r="AS223" t="str">
        <f>_xlfn.XLOOKUP(AU223,[2]GAE!HZ:HZ,[2]GAE!IA:IA)</f>
        <v>CCC-COMMON</v>
      </c>
      <c r="AT223" t="str">
        <f>_xlfn.XLOOKUP(AU223,[2]GAE!HZ:HZ,[2]GAE!IB:IB)</f>
        <v>DOE - Contracted Services - Others</v>
      </c>
      <c r="AU223" t="s">
        <v>531</v>
      </c>
      <c r="AV223">
        <v>81111101</v>
      </c>
      <c r="AW223">
        <v>52041499</v>
      </c>
      <c r="AX223" t="str">
        <f>_xlfn.XLOOKUP(AU223,[2]GAE!HZ:HZ,[2]GAE!IF:IF)</f>
        <v>Contracted services</v>
      </c>
      <c r="AY223" t="str">
        <f>_xlfn.XLOOKUP(AU223,[2]GAE!HZ:HZ,[2]GAE!IG:IG)</f>
        <v>Admin Staff</v>
      </c>
      <c r="BC223" t="s">
        <v>34</v>
      </c>
      <c r="BD223" t="s">
        <v>530</v>
      </c>
      <c r="BF223" t="s">
        <v>34</v>
      </c>
      <c r="BG223" t="s">
        <v>1257</v>
      </c>
      <c r="BH223" s="10">
        <f>SUMIFS('[1]2026'!$K:$K,'[1]2026'!$T:$T,BD223,'[1]2026'!$S:$S,BH$3,'[1]2026'!$P:$P,AU223)</f>
        <v>45000</v>
      </c>
      <c r="BI223" s="10">
        <f>SUMIFS('[1]2026'!$K:$K,'[1]2026'!$T:$T,$BD223,'[1]2026'!$S:$S,BI$3,'[1]2026'!$P:$P,$AU223)</f>
        <v>500</v>
      </c>
      <c r="BJ223" s="10">
        <f>SUMIFS('[1]2026'!$K:$K,'[1]2026'!$T:$T,$BD223,'[1]2026'!$S:$S,BJ$3,'[1]2026'!$P:$P,$AU223)</f>
        <v>31791.790000000005</v>
      </c>
      <c r="BK223" s="10">
        <f>SUMIFS('[1]2026'!$K:$K,'[1]2026'!$T:$T,$BD223,'[1]2026'!$S:$S,BK$3,'[1]2026'!$P:$P,$AU223)</f>
        <v>26372.780000000013</v>
      </c>
      <c r="BL223" s="10">
        <f>SUMIFS('[1]2026'!$K:$K,'[1]2026'!$T:$T,$BD223,'[1]2026'!$S:$S,BL$3,'[1]2026'!$P:$P,$AU223)</f>
        <v>45499.74</v>
      </c>
      <c r="BM223" s="10">
        <f>SUMIFS('[1]2026'!$K:$K,'[1]2026'!$T:$T,$BD223,'[1]2026'!$S:$S,BM$3,'[1]2026'!$P:$P,$AU223)</f>
        <v>58271.94</v>
      </c>
      <c r="BN223" s="10">
        <f>SUMIFS('[1]2026'!$K:$K,'[1]2026'!$T:$T,$BD223,'[1]2026'!$S:$S,BN$3,'[1]2026'!$P:$P,$AU223)</f>
        <v>-124538.89000000001</v>
      </c>
      <c r="BO223" s="10">
        <f>SUMIFS('[1]2026'!$K:$K,'[1]2026'!$T:$T,$BD223,'[1]2026'!$S:$S,BO$3,'[1]2026'!$P:$P,$AU223)</f>
        <v>-3.637978807091713E-12</v>
      </c>
      <c r="BP223" s="6"/>
      <c r="BQ223" s="6"/>
      <c r="BR223" s="6"/>
      <c r="BS223" s="6"/>
      <c r="BT223" s="6">
        <f>SUM(BH223:BS223)</f>
        <v>82897.360000000015</v>
      </c>
      <c r="BV223" s="6">
        <f t="shared" si="108"/>
        <v>45000</v>
      </c>
      <c r="BW223" s="6">
        <f t="shared" si="109"/>
        <v>500</v>
      </c>
      <c r="BX223" s="6">
        <f t="shared" si="110"/>
        <v>31791.790000000005</v>
      </c>
      <c r="BY223" s="6">
        <f t="shared" si="111"/>
        <v>26372.780000000013</v>
      </c>
      <c r="BZ223" s="6">
        <f t="shared" si="112"/>
        <v>45499.74</v>
      </c>
      <c r="CA223" s="6">
        <f t="shared" si="113"/>
        <v>58271.94</v>
      </c>
      <c r="CB223" s="6">
        <f t="shared" si="114"/>
        <v>-124538.89000000001</v>
      </c>
      <c r="CC223" s="6">
        <f t="shared" si="115"/>
        <v>-3.637978807091713E-12</v>
      </c>
      <c r="CD223" s="6">
        <f t="shared" si="116"/>
        <v>0</v>
      </c>
      <c r="CE223" s="6">
        <f t="shared" si="117"/>
        <v>0</v>
      </c>
      <c r="CF223" s="6">
        <f t="shared" si="118"/>
        <v>0</v>
      </c>
      <c r="CG223" s="6">
        <f t="shared" si="119"/>
        <v>0</v>
      </c>
      <c r="CH223" s="6">
        <f t="shared" si="107"/>
        <v>82897.360000000015</v>
      </c>
    </row>
    <row r="224" spans="1:86" hidden="1" x14ac:dyDescent="0.35">
      <c r="AN224" s="27">
        <f t="shared" si="89"/>
        <v>0</v>
      </c>
      <c r="AP224" s="33"/>
      <c r="AS224" t="str">
        <f>_xlfn.XLOOKUP(AU224,[2]GAE!HZ:HZ,[2]GAE!IA:IA)</f>
        <v>CCC-COMMON</v>
      </c>
      <c r="AT224" t="str">
        <f>_xlfn.XLOOKUP(AU224,[2]GAE!HZ:HZ,[2]GAE!IB:IB)</f>
        <v>DOE - Contracted Services - Others</v>
      </c>
      <c r="AU224" t="s">
        <v>531</v>
      </c>
      <c r="AV224">
        <v>81111101</v>
      </c>
      <c r="AW224">
        <v>52041499</v>
      </c>
      <c r="AX224" t="str">
        <f>_xlfn.XLOOKUP(AU224,[2]GAE!HZ:HZ,[2]GAE!IF:IF)</f>
        <v>Contracted services</v>
      </c>
      <c r="AY224" t="str">
        <f>_xlfn.XLOOKUP(AU224,[2]GAE!HZ:HZ,[2]GAE!IG:IG)</f>
        <v>Admin Staff</v>
      </c>
      <c r="BC224" t="s">
        <v>34</v>
      </c>
      <c r="BD224" t="s">
        <v>532</v>
      </c>
      <c r="BF224" t="s">
        <v>34</v>
      </c>
      <c r="BG224" t="s">
        <v>1257</v>
      </c>
      <c r="BH224" s="10">
        <f>SUMIFS('[1]2026'!$K:$K,'[1]2026'!$T:$T,BD224,'[1]2026'!$S:$S,BH$3,'[1]2026'!$P:$P,AU224)</f>
        <v>46000</v>
      </c>
      <c r="BI224" s="10">
        <f>SUMIFS('[1]2026'!$K:$K,'[1]2026'!$T:$T,$BD224,'[1]2026'!$S:$S,BI$3,'[1]2026'!$P:$P,$AU224)</f>
        <v>43000</v>
      </c>
      <c r="BJ224" s="10">
        <f>SUMIFS('[1]2026'!$K:$K,'[1]2026'!$T:$T,$BD224,'[1]2026'!$S:$S,BJ$3,'[1]2026'!$P:$P,$AU224)</f>
        <v>32246.909999999996</v>
      </c>
      <c r="BK224" s="10">
        <f>SUMIFS('[1]2026'!$K:$K,'[1]2026'!$T:$T,$BD224,'[1]2026'!$S:$S,BK$3,'[1]2026'!$P:$P,$AU224)</f>
        <v>50943.040000000001</v>
      </c>
      <c r="BL224" s="10">
        <f>SUMIFS('[1]2026'!$K:$K,'[1]2026'!$T:$T,$BD224,'[1]2026'!$S:$S,BL$3,'[1]2026'!$P:$P,$AU224)</f>
        <v>-136970.19</v>
      </c>
      <c r="BM224" s="10">
        <f>SUMIFS('[1]2026'!$K:$K,'[1]2026'!$T:$T,$BD224,'[1]2026'!$S:$S,BM$3,'[1]2026'!$P:$P,$AU224)</f>
        <v>46072.84</v>
      </c>
      <c r="BN224" s="10">
        <f>SUMIFS('[1]2026'!$K:$K,'[1]2026'!$T:$T,$BD224,'[1]2026'!$S:$S,BN$3,'[1]2026'!$P:$P,$AU224)</f>
        <v>-88139.359999999986</v>
      </c>
      <c r="BO224" s="10">
        <f>SUMIFS('[1]2026'!$K:$K,'[1]2026'!$T:$T,$BD224,'[1]2026'!$S:$S,BO$3,'[1]2026'!$P:$P,$AU224)</f>
        <v>42066.52</v>
      </c>
      <c r="BP224" s="6">
        <v>50000</v>
      </c>
      <c r="BQ224" s="6">
        <v>50000</v>
      </c>
      <c r="BR224" s="6">
        <v>50000</v>
      </c>
      <c r="BS224" s="6">
        <f>50000*2</f>
        <v>100000</v>
      </c>
      <c r="BT224" s="6">
        <f>SUM(BH224:BS224)</f>
        <v>285219.76</v>
      </c>
      <c r="BV224" s="6">
        <f t="shared" si="108"/>
        <v>46000</v>
      </c>
      <c r="BW224" s="6">
        <f t="shared" si="109"/>
        <v>43000</v>
      </c>
      <c r="BX224" s="6">
        <f t="shared" si="110"/>
        <v>32246.909999999996</v>
      </c>
      <c r="BY224" s="6">
        <f t="shared" si="111"/>
        <v>50943.040000000001</v>
      </c>
      <c r="BZ224" s="6">
        <f t="shared" si="112"/>
        <v>-136970.19</v>
      </c>
      <c r="CA224" s="6">
        <f t="shared" si="113"/>
        <v>46072.84</v>
      </c>
      <c r="CB224" s="6">
        <f t="shared" si="114"/>
        <v>-88139.359999999986</v>
      </c>
      <c r="CC224" s="6">
        <f t="shared" si="115"/>
        <v>42066.52</v>
      </c>
      <c r="CD224" s="6">
        <f t="shared" si="116"/>
        <v>50000</v>
      </c>
      <c r="CE224" s="6">
        <f t="shared" si="117"/>
        <v>50000</v>
      </c>
      <c r="CF224" s="6">
        <f t="shared" si="118"/>
        <v>50000</v>
      </c>
      <c r="CG224" s="6">
        <f t="shared" si="119"/>
        <v>100000</v>
      </c>
      <c r="CH224" s="6">
        <f t="shared" si="107"/>
        <v>285219.76</v>
      </c>
    </row>
    <row r="225" spans="1:87" hidden="1" x14ac:dyDescent="0.35">
      <c r="AN225" s="27">
        <f t="shared" si="89"/>
        <v>0</v>
      </c>
      <c r="AP225" s="33"/>
      <c r="AS225" t="str">
        <f>_xlfn.XLOOKUP(AU225,[2]GAE!HZ:HZ,[2]GAE!IA:IA)</f>
        <v>CCC-COMMON</v>
      </c>
      <c r="AT225" t="str">
        <f>_xlfn.XLOOKUP(AU225,[2]GAE!HZ:HZ,[2]GAE!IB:IB)</f>
        <v>DOE - Contracted Services - Others</v>
      </c>
      <c r="AU225" s="2" t="s">
        <v>531</v>
      </c>
      <c r="AV225" s="2">
        <v>81111101</v>
      </c>
      <c r="AW225" s="2">
        <v>52041499</v>
      </c>
      <c r="AX225" t="str">
        <f>_xlfn.XLOOKUP(AU225,[2]GAE!HZ:HZ,[2]GAE!IF:IF)</f>
        <v>Contracted services</v>
      </c>
      <c r="AY225" t="str">
        <f>_xlfn.XLOOKUP(AU225,[2]GAE!HZ:HZ,[2]GAE!IG:IG)</f>
        <v>Admin Staff</v>
      </c>
      <c r="BC225" t="s">
        <v>34</v>
      </c>
      <c r="BD225" t="s">
        <v>533</v>
      </c>
      <c r="BF225" t="s">
        <v>34</v>
      </c>
      <c r="BG225" t="s">
        <v>1257</v>
      </c>
      <c r="BH225" s="10">
        <f>SUMIFS('[1]2026'!$K:$K,'[1]2026'!$T:$T,BD225,'[1]2026'!$S:$S,BH$3,'[1]2026'!$P:$P,AU225)</f>
        <v>0</v>
      </c>
      <c r="BI225" s="10">
        <f>SUMIFS('[1]2026'!$K:$K,'[1]2026'!$T:$T,$BD225,'[1]2026'!$S:$S,BI$3,'[1]2026'!$P:$P,$AU225)</f>
        <v>0</v>
      </c>
      <c r="BJ225" s="10">
        <f>SUMIFS('[1]2026'!$K:$K,'[1]2026'!$T:$T,$BD225,'[1]2026'!$S:$S,BJ$3,'[1]2026'!$P:$P,$AU225)</f>
        <v>6846.76</v>
      </c>
      <c r="BK225" s="10">
        <f>SUMIFS('[1]2026'!$K:$K,'[1]2026'!$T:$T,$BD225,'[1]2026'!$S:$S,BK$3,'[1]2026'!$P:$P,$AU225)</f>
        <v>0</v>
      </c>
      <c r="BL225" s="10">
        <f>SUMIFS('[1]2026'!$K:$K,'[1]2026'!$T:$T,$BD225,'[1]2026'!$S:$S,BL$3,'[1]2026'!$P:$P,$AU225)</f>
        <v>0</v>
      </c>
      <c r="BM225" s="10">
        <f>SUMIFS('[1]2026'!$K:$K,'[1]2026'!$T:$T,$BD225,'[1]2026'!$S:$S,BM$3,'[1]2026'!$P:$P,$AU225)</f>
        <v>0</v>
      </c>
      <c r="BN225" s="10">
        <f>SUMIFS('[1]2026'!$K:$K,'[1]2026'!$T:$T,$BD225,'[1]2026'!$S:$S,BN$3,'[1]2026'!$P:$P,$AU225)</f>
        <v>0</v>
      </c>
      <c r="BO225" s="10">
        <f>SUMIFS('[1]2026'!$K:$K,'[1]2026'!$T:$T,$BD225,'[1]2026'!$S:$S,BO$3,'[1]2026'!$P:$P,$AU225)</f>
        <v>0</v>
      </c>
      <c r="BP225" s="6">
        <f t="shared" ref="BP225:BS235" si="123">BO225</f>
        <v>0</v>
      </c>
      <c r="BQ225" s="6">
        <f t="shared" si="123"/>
        <v>0</v>
      </c>
      <c r="BR225" s="6">
        <f t="shared" si="123"/>
        <v>0</v>
      </c>
      <c r="BS225" s="6">
        <f t="shared" si="123"/>
        <v>0</v>
      </c>
      <c r="BT225" s="6">
        <f t="shared" ref="BT225:BT227" si="124">SUM(BH225:BS225)</f>
        <v>6846.76</v>
      </c>
      <c r="BV225" s="6">
        <f t="shared" si="108"/>
        <v>0</v>
      </c>
      <c r="BW225" s="6">
        <f t="shared" si="109"/>
        <v>0</v>
      </c>
      <c r="BX225" s="6">
        <f t="shared" si="110"/>
        <v>6846.76</v>
      </c>
      <c r="BY225" s="6">
        <f t="shared" si="111"/>
        <v>0</v>
      </c>
      <c r="BZ225" s="6">
        <f t="shared" si="112"/>
        <v>0</v>
      </c>
      <c r="CA225" s="6">
        <f t="shared" si="113"/>
        <v>0</v>
      </c>
      <c r="CB225" s="6">
        <f t="shared" si="114"/>
        <v>0</v>
      </c>
      <c r="CC225" s="6">
        <f t="shared" si="115"/>
        <v>0</v>
      </c>
      <c r="CD225" s="6">
        <f t="shared" si="116"/>
        <v>0</v>
      </c>
      <c r="CE225" s="6">
        <f t="shared" si="117"/>
        <v>0</v>
      </c>
      <c r="CF225" s="6">
        <f t="shared" si="118"/>
        <v>0</v>
      </c>
      <c r="CG225" s="6">
        <f t="shared" si="119"/>
        <v>0</v>
      </c>
      <c r="CH225" s="6">
        <f t="shared" si="107"/>
        <v>6846.76</v>
      </c>
    </row>
    <row r="226" spans="1:87" hidden="1" x14ac:dyDescent="0.35">
      <c r="AN226" s="27">
        <f t="shared" si="89"/>
        <v>0</v>
      </c>
      <c r="AP226" s="33"/>
      <c r="AS226" t="str">
        <f>_xlfn.XLOOKUP(AU226,[2]GAE!HZ:HZ,[2]GAE!IA:IA)</f>
        <v>ADMIN SERVICES</v>
      </c>
      <c r="AT226" t="str">
        <f>_xlfn.XLOOKUP(AU226,[2]GAE!HZ:HZ,[2]GAE!IB:IB)</f>
        <v>DOE - Contracted Services - Others</v>
      </c>
      <c r="AU226" t="s">
        <v>527</v>
      </c>
      <c r="AV226">
        <v>81123102</v>
      </c>
      <c r="AW226">
        <v>52041499</v>
      </c>
      <c r="AX226" t="str">
        <f>_xlfn.XLOOKUP(AU226,[2]GAE!HZ:HZ,[2]GAE!IF:IF)</f>
        <v>Contracted services</v>
      </c>
      <c r="AY226" t="str">
        <f>_xlfn.XLOOKUP(AU226,[2]GAE!HZ:HZ,[2]GAE!IG:IG)</f>
        <v>Admin Staff</v>
      </c>
      <c r="BC226" t="s">
        <v>34</v>
      </c>
      <c r="BD226" s="2" t="s">
        <v>532</v>
      </c>
      <c r="BE226" s="2"/>
      <c r="BF226" t="s">
        <v>34</v>
      </c>
      <c r="BG226" t="s">
        <v>1257</v>
      </c>
      <c r="BL226" s="10">
        <f>SUMIFS('[1]2026'!$K:$K,'[1]2026'!$T:$T,$BD226,'[1]2026'!$S:$S,BL$3,'[1]2026'!$P:$P,$AU226)</f>
        <v>179036.71</v>
      </c>
      <c r="BM226" s="10">
        <f>SUMIFS('[1]2026'!$K:$K,'[1]2026'!$T:$T,$BD226,'[1]2026'!$S:$S,BM$3,'[1]2026'!$P:$P,$AU226)</f>
        <v>0</v>
      </c>
      <c r="BN226" s="10">
        <f>SUMIFS('[1]2026'!$K:$K,'[1]2026'!$T:$T,$BD226,'[1]2026'!$S:$S,BN$3,'[1]2026'!$P:$P,$AU226)</f>
        <v>88139.359999999986</v>
      </c>
      <c r="BO226" s="10">
        <f>SUMIFS('[1]2026'!$K:$K,'[1]2026'!$T:$T,$BD226,'[1]2026'!$S:$S,BO$3,'[1]2026'!$P:$P,$AU226)</f>
        <v>0</v>
      </c>
      <c r="BP226" s="6"/>
      <c r="BQ226" s="6"/>
      <c r="BR226" s="6"/>
      <c r="BS226" s="6"/>
      <c r="BT226" s="6">
        <f t="shared" si="106"/>
        <v>267176.06999999995</v>
      </c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>
        <f t="shared" si="107"/>
        <v>267176.06999999995</v>
      </c>
    </row>
    <row r="227" spans="1:87" hidden="1" x14ac:dyDescent="0.35">
      <c r="AN227" s="27">
        <f t="shared" si="89"/>
        <v>0</v>
      </c>
      <c r="AS227" t="str">
        <f>_xlfn.XLOOKUP(AU227,[2]GAE!HZ:HZ,[2]GAE!IA:IA)</f>
        <v>ADMIN SERVICES</v>
      </c>
      <c r="AT227" t="str">
        <f>_xlfn.XLOOKUP(AU227,[2]GAE!HZ:HZ,[2]GAE!IB:IB)</f>
        <v>DOE - Contracted Services - Others</v>
      </c>
      <c r="AU227" t="s">
        <v>527</v>
      </c>
      <c r="AV227">
        <v>81123102</v>
      </c>
      <c r="AW227">
        <v>52041499</v>
      </c>
      <c r="AX227" t="str">
        <f>_xlfn.XLOOKUP(AU227,[2]GAE!HZ:HZ,[2]GAE!IF:IF)</f>
        <v>Contracted services</v>
      </c>
      <c r="AY227" t="str">
        <f>_xlfn.XLOOKUP(AU227,[2]GAE!HZ:HZ,[2]GAE!IG:IG)</f>
        <v>Admin Staff</v>
      </c>
      <c r="BC227" t="s">
        <v>34</v>
      </c>
      <c r="BD227" t="s">
        <v>533</v>
      </c>
      <c r="BF227" t="s">
        <v>34</v>
      </c>
      <c r="BG227" t="s">
        <v>1257</v>
      </c>
      <c r="BI227" s="10">
        <f>SUMIFS('[1]2026'!$K:$K,'[1]2026'!$T:$T,$BD227,'[1]2026'!$S:$S,BI$3,'[1]2026'!$P:$P,$AU227)</f>
        <v>13511.039999999997</v>
      </c>
      <c r="BJ227" s="10">
        <f>SUMIFS('[1]2026'!$K:$K,'[1]2026'!$T:$T,$BD227,'[1]2026'!$S:$S,BJ$3,'[1]2026'!$P:$P,$AU227)</f>
        <v>0</v>
      </c>
      <c r="BK227" s="10">
        <f>SUMIFS('[1]2026'!$K:$K,'[1]2026'!$T:$T,$BD227,'[1]2026'!$S:$S,BK$3,'[1]2026'!$P:$P,$AU227)</f>
        <v>0</v>
      </c>
      <c r="BL227" s="10">
        <f>SUMIFS('[1]2026'!$K:$K,'[1]2026'!$T:$T,$BD227,'[1]2026'!$S:$S,BL$3,'[1]2026'!$P:$P,$AU227)</f>
        <v>0</v>
      </c>
      <c r="BM227" s="10">
        <f>SUMIFS('[1]2026'!$K:$K,'[1]2026'!$T:$T,$BD227,'[1]2026'!$S:$S,BM$3,'[1]2026'!$P:$P,$AU227)</f>
        <v>0</v>
      </c>
      <c r="BN227" s="10">
        <f>SUMIFS('[1]2026'!$K:$K,'[1]2026'!$T:$T,$BD227,'[1]2026'!$S:$S,BN$3,'[1]2026'!$P:$P,$AU227)</f>
        <v>0</v>
      </c>
      <c r="BO227" s="10">
        <f>SUMIFS('[1]2026'!$K:$K,'[1]2026'!$T:$T,$BD227,'[1]2026'!$S:$S,BO$3,'[1]2026'!$P:$P,$AU227)</f>
        <v>0</v>
      </c>
      <c r="BP227" s="6">
        <f t="shared" si="123"/>
        <v>0</v>
      </c>
      <c r="BQ227" s="6">
        <f t="shared" si="123"/>
        <v>0</v>
      </c>
      <c r="BR227" s="6">
        <f t="shared" si="123"/>
        <v>0</v>
      </c>
      <c r="BS227" s="6">
        <f t="shared" si="123"/>
        <v>0</v>
      </c>
      <c r="BT227" s="6">
        <f t="shared" si="124"/>
        <v>13511.039999999997</v>
      </c>
      <c r="BV227" s="6">
        <f t="shared" ref="BV227:BV239" si="125">BH227-AB227</f>
        <v>0</v>
      </c>
      <c r="BW227" s="6">
        <f t="shared" ref="BW227:BW239" si="126">BI227-AC227</f>
        <v>13511.039999999997</v>
      </c>
      <c r="BX227" s="6">
        <f t="shared" ref="BX227:BX239" si="127">BJ227-AD227</f>
        <v>0</v>
      </c>
      <c r="BY227" s="6">
        <f t="shared" ref="BY227:BY239" si="128">BK227-AE227</f>
        <v>0</v>
      </c>
      <c r="BZ227" s="6">
        <f t="shared" ref="BZ227:BZ239" si="129">BL227-AF227</f>
        <v>0</v>
      </c>
      <c r="CA227" s="6">
        <f t="shared" ref="CA227:CA239" si="130">BM227-AG227</f>
        <v>0</v>
      </c>
      <c r="CB227" s="6">
        <f t="shared" ref="CB227:CB239" si="131">BN227-AH227</f>
        <v>0</v>
      </c>
      <c r="CC227" s="6">
        <f t="shared" ref="CC227:CC239" si="132">BO227-AI227</f>
        <v>0</v>
      </c>
      <c r="CD227" s="6">
        <f t="shared" ref="CD227:CD239" si="133">BP227-AJ227</f>
        <v>0</v>
      </c>
      <c r="CE227" s="6">
        <f t="shared" ref="CE227:CE239" si="134">BQ227-AK227</f>
        <v>0</v>
      </c>
      <c r="CF227" s="6">
        <f t="shared" ref="CF227:CF239" si="135">BR227-AL227</f>
        <v>0</v>
      </c>
      <c r="CG227" s="6">
        <f t="shared" ref="CG227:CG239" si="136">BS227-AM227</f>
        <v>0</v>
      </c>
      <c r="CH227" s="6">
        <f t="shared" si="107"/>
        <v>13511.039999999997</v>
      </c>
    </row>
    <row r="228" spans="1:87" hidden="1" x14ac:dyDescent="0.35">
      <c r="A228" s="3" t="s">
        <v>534</v>
      </c>
      <c r="B228" s="10">
        <v>57816.590999999993</v>
      </c>
      <c r="C228" s="10">
        <v>57816.590999999993</v>
      </c>
      <c r="D228" s="10">
        <v>57816.590999999993</v>
      </c>
      <c r="E228" s="10">
        <v>57816.590999999993</v>
      </c>
      <c r="F228" s="10">
        <v>57816.590999999993</v>
      </c>
      <c r="G228" s="10">
        <v>57816.590999999993</v>
      </c>
      <c r="H228" s="10">
        <v>57816.590999999993</v>
      </c>
      <c r="I228" s="10">
        <v>57816.590999999993</v>
      </c>
      <c r="J228" s="10">
        <v>57816.590999999993</v>
      </c>
      <c r="K228" s="10">
        <v>57816.590999999993</v>
      </c>
      <c r="L228" s="10">
        <v>57816.590999999993</v>
      </c>
      <c r="M228" s="10">
        <v>57816.590999999993</v>
      </c>
      <c r="N228" s="27">
        <f t="shared" ref="N228:N234" si="137">SUM(B228:M228)</f>
        <v>693799.09200000006</v>
      </c>
      <c r="O228" s="10">
        <v>9440.1089999999967</v>
      </c>
      <c r="P228" s="10">
        <v>9440.1089999999967</v>
      </c>
      <c r="Q228" s="10">
        <v>9440.1089999999967</v>
      </c>
      <c r="R228" s="10">
        <v>9440.1089999999967</v>
      </c>
      <c r="S228" s="10">
        <v>9440.1089999999967</v>
      </c>
      <c r="T228" s="10">
        <v>9440.1089999999967</v>
      </c>
      <c r="U228" s="10">
        <v>9440.1089999999967</v>
      </c>
      <c r="V228" s="10">
        <v>9440.1089999999967</v>
      </c>
      <c r="W228" s="10">
        <v>9440.1089999999967</v>
      </c>
      <c r="X228" s="10">
        <v>9440.1089999999967</v>
      </c>
      <c r="Y228" s="10">
        <v>9440.1089999999967</v>
      </c>
      <c r="Z228" s="10">
        <v>9440.1089999999967</v>
      </c>
      <c r="AA228" s="27">
        <f t="shared" si="122"/>
        <v>113281.30799999996</v>
      </c>
      <c r="AB228" s="10">
        <f t="shared" si="121"/>
        <v>48376.481999999996</v>
      </c>
      <c r="AC228" s="10">
        <f t="shared" si="121"/>
        <v>48376.481999999996</v>
      </c>
      <c r="AD228" s="10">
        <f t="shared" si="121"/>
        <v>48376.481999999996</v>
      </c>
      <c r="AE228" s="10">
        <f t="shared" si="121"/>
        <v>48376.481999999996</v>
      </c>
      <c r="AF228" s="10">
        <f t="shared" si="120"/>
        <v>48376.481999999996</v>
      </c>
      <c r="AG228" s="10">
        <f t="shared" si="120"/>
        <v>48376.481999999996</v>
      </c>
      <c r="AH228" s="10">
        <f t="shared" si="120"/>
        <v>48376.481999999996</v>
      </c>
      <c r="AI228" s="10">
        <f t="shared" si="120"/>
        <v>48376.481999999996</v>
      </c>
      <c r="AJ228" s="10">
        <f t="shared" si="120"/>
        <v>48376.481999999996</v>
      </c>
      <c r="AK228" s="10">
        <f t="shared" si="120"/>
        <v>48376.481999999996</v>
      </c>
      <c r="AL228" s="10">
        <f t="shared" si="120"/>
        <v>48376.481999999996</v>
      </c>
      <c r="AM228" s="10">
        <f t="shared" si="120"/>
        <v>48376.481999999996</v>
      </c>
      <c r="AN228" s="27">
        <f t="shared" si="89"/>
        <v>580517.7840000001</v>
      </c>
      <c r="AO228" s="28">
        <f>44358.92*12</f>
        <v>532307.04</v>
      </c>
      <c r="AP228" s="10"/>
      <c r="AS228" t="str">
        <f>_xlfn.XLOOKUP(AU228,[2]GAE!HZ:HZ,[2]GAE!IA:IA)</f>
        <v>ADMIN SERVICES</v>
      </c>
      <c r="AT228" t="str">
        <f>_xlfn.XLOOKUP(AU228,[2]GAE!HZ:HZ,[2]GAE!IB:IB)</f>
        <v>DOE - Contracted Services - Others</v>
      </c>
      <c r="AU228" t="s">
        <v>527</v>
      </c>
      <c r="AV228">
        <v>81123102</v>
      </c>
      <c r="AW228">
        <v>52041499</v>
      </c>
      <c r="AX228" t="str">
        <f>_xlfn.XLOOKUP(AU228,[2]GAE!HZ:HZ,[2]GAE!IF:IF)</f>
        <v>Contracted services</v>
      </c>
      <c r="AY228" t="str">
        <f>_xlfn.XLOOKUP(AU228,[2]GAE!HZ:HZ,[2]GAE!IG:IG)</f>
        <v>Admin Staff</v>
      </c>
      <c r="BD228" t="s">
        <v>34</v>
      </c>
      <c r="BF228" t="s">
        <v>34</v>
      </c>
      <c r="BG228" t="s">
        <v>1257</v>
      </c>
      <c r="BH228" s="10">
        <f>SUMIFS('[1]2026'!$K:$K,'[1]2026'!$T:$T,BD228,'[1]2026'!$S:$S,BH$3,'[1]2026'!$P:$P,AU228)</f>
        <v>0</v>
      </c>
      <c r="BI228" s="10">
        <f>SUMIFS('[1]2026'!$K:$K,'[1]2026'!$T:$T,$BD228,'[1]2026'!$S:$S,BI$3,'[1]2026'!$P:$P,$AU228)</f>
        <v>0</v>
      </c>
      <c r="BJ228" s="10">
        <f>SUMIFS('[1]2026'!$K:$K,'[1]2026'!$T:$T,$BD228,'[1]2026'!$S:$S,BJ$3,'[1]2026'!$P:$P,$AU228)</f>
        <v>0</v>
      </c>
      <c r="BK228" s="10">
        <f>SUMIFS('[1]2026'!$K:$K,'[1]2026'!$T:$T,$BD228,'[1]2026'!$S:$S,BK$3,'[1]2026'!$P:$P,$AU228)</f>
        <v>0</v>
      </c>
      <c r="BL228" s="10">
        <f>SUMIFS('[1]2026'!$K:$K,'[1]2026'!$T:$T,$BD228,'[1]2026'!$S:$S,BL$3,'[1]2026'!$P:$P,$AU228)</f>
        <v>0</v>
      </c>
      <c r="BM228" s="10">
        <f>SUMIFS('[1]2026'!$K:$K,'[1]2026'!$T:$T,$BD228,'[1]2026'!$S:$S,BM$3,'[1]2026'!$P:$P,$AU228)</f>
        <v>0</v>
      </c>
      <c r="BN228" s="10">
        <f>SUMIFS('[1]2026'!$K:$K,'[1]2026'!$T:$T,$BD228,'[1]2026'!$S:$S,BN$3,'[1]2026'!$P:$P,$AU228)</f>
        <v>0</v>
      </c>
      <c r="BO228" s="10">
        <f>SUMIFS('[1]2026'!$K:$K,'[1]2026'!$T:$T,$BD228,'[1]2026'!$S:$S,BO$3,'[1]2026'!$P:$P,$AU228)</f>
        <v>0</v>
      </c>
      <c r="BP228" s="6">
        <f t="shared" si="123"/>
        <v>0</v>
      </c>
      <c r="BQ228" s="6">
        <f t="shared" si="123"/>
        <v>0</v>
      </c>
      <c r="BR228" s="6">
        <f t="shared" si="123"/>
        <v>0</v>
      </c>
      <c r="BS228" s="6">
        <f t="shared" si="123"/>
        <v>0</v>
      </c>
      <c r="BT228" s="6">
        <f t="shared" si="106"/>
        <v>0</v>
      </c>
      <c r="BV228" s="6">
        <f t="shared" si="125"/>
        <v>-48376.481999999996</v>
      </c>
      <c r="BW228" s="6">
        <f t="shared" si="126"/>
        <v>-48376.481999999996</v>
      </c>
      <c r="BX228" s="6">
        <f t="shared" si="127"/>
        <v>-48376.481999999996</v>
      </c>
      <c r="BY228" s="6">
        <f t="shared" si="128"/>
        <v>-48376.481999999996</v>
      </c>
      <c r="BZ228" s="6">
        <f t="shared" si="129"/>
        <v>-48376.481999999996</v>
      </c>
      <c r="CA228" s="6">
        <f t="shared" si="130"/>
        <v>-48376.481999999996</v>
      </c>
      <c r="CB228" s="6">
        <f t="shared" si="131"/>
        <v>-48376.481999999996</v>
      </c>
      <c r="CC228" s="6">
        <f t="shared" si="132"/>
        <v>-48376.481999999996</v>
      </c>
      <c r="CD228" s="6">
        <f t="shared" si="133"/>
        <v>-48376.481999999996</v>
      </c>
      <c r="CE228" s="6">
        <f t="shared" si="134"/>
        <v>-48376.481999999996</v>
      </c>
      <c r="CF228" s="6">
        <f t="shared" si="135"/>
        <v>-48376.481999999996</v>
      </c>
      <c r="CG228" s="6">
        <f t="shared" si="136"/>
        <v>-48376.481999999996</v>
      </c>
      <c r="CH228" s="6">
        <f t="shared" si="107"/>
        <v>-580517.7840000001</v>
      </c>
    </row>
    <row r="229" spans="1:87" hidden="1" x14ac:dyDescent="0.35">
      <c r="A229" s="3" t="s">
        <v>535</v>
      </c>
      <c r="B229" s="10">
        <v>2890.8295499999999</v>
      </c>
      <c r="C229" s="10">
        <v>2890.8295499999999</v>
      </c>
      <c r="D229" s="10">
        <v>2890.8295499999999</v>
      </c>
      <c r="E229" s="10">
        <v>2890.8295499999999</v>
      </c>
      <c r="F229" s="10">
        <v>2890.8295499999999</v>
      </c>
      <c r="G229" s="10">
        <v>2890.8295499999999</v>
      </c>
      <c r="H229" s="10">
        <v>2890.8295499999999</v>
      </c>
      <c r="I229" s="10">
        <v>2890.8295499999999</v>
      </c>
      <c r="J229" s="10">
        <v>2890.8295499999999</v>
      </c>
      <c r="K229" s="10">
        <v>2890.8295499999999</v>
      </c>
      <c r="L229" s="10">
        <v>2890.8295499999999</v>
      </c>
      <c r="M229" s="10">
        <v>2890.8295499999999</v>
      </c>
      <c r="N229" s="27">
        <f t="shared" si="137"/>
        <v>34689.95459999999</v>
      </c>
      <c r="AA229" s="27">
        <f t="shared" si="122"/>
        <v>0</v>
      </c>
      <c r="AB229" s="10">
        <f t="shared" si="121"/>
        <v>2890.8295499999999</v>
      </c>
      <c r="AC229" s="10">
        <f t="shared" si="121"/>
        <v>2890.8295499999999</v>
      </c>
      <c r="AD229" s="10">
        <f t="shared" si="121"/>
        <v>2890.8295499999999</v>
      </c>
      <c r="AE229" s="10">
        <f t="shared" si="121"/>
        <v>2890.8295499999999</v>
      </c>
      <c r="AF229" s="10">
        <f t="shared" si="120"/>
        <v>2890.8295499999999</v>
      </c>
      <c r="AG229" s="10">
        <f t="shared" si="120"/>
        <v>2890.8295499999999</v>
      </c>
      <c r="AH229" s="10">
        <f t="shared" si="120"/>
        <v>2890.8295499999999</v>
      </c>
      <c r="AI229" s="10">
        <f t="shared" si="120"/>
        <v>2890.8295499999999</v>
      </c>
      <c r="AJ229" s="10">
        <f t="shared" si="120"/>
        <v>2890.8295499999999</v>
      </c>
      <c r="AK229" s="10">
        <f t="shared" si="120"/>
        <v>2890.8295499999999</v>
      </c>
      <c r="AL229" s="10">
        <f t="shared" si="120"/>
        <v>2890.8295499999999</v>
      </c>
      <c r="AM229" s="10">
        <f t="shared" si="120"/>
        <v>2890.8295499999999</v>
      </c>
      <c r="AN229" s="27">
        <f t="shared" si="89"/>
        <v>34689.95459999999</v>
      </c>
      <c r="AP229" s="34"/>
      <c r="AS229" t="str">
        <f>_xlfn.XLOOKUP(AU229,[2]GAE!HZ:HZ,[2]GAE!IA:IA)</f>
        <v>ADMIN SERVICES</v>
      </c>
      <c r="AT229" t="str">
        <f>_xlfn.XLOOKUP(AU229,[2]GAE!HZ:HZ,[2]GAE!IB:IB)</f>
        <v>DOE - Contracted Services - Others</v>
      </c>
      <c r="AU229" t="s">
        <v>527</v>
      </c>
      <c r="AV229">
        <v>81123102</v>
      </c>
      <c r="AW229">
        <v>52041499</v>
      </c>
      <c r="AX229" t="str">
        <f>_xlfn.XLOOKUP(AU229,[2]GAE!HZ:HZ,[2]GAE!IF:IF)</f>
        <v>Contracted services</v>
      </c>
      <c r="AY229" t="str">
        <f>_xlfn.XLOOKUP(AU229,[2]GAE!HZ:HZ,[2]GAE!IG:IG)</f>
        <v>Admin Staff</v>
      </c>
      <c r="BD229" t="s">
        <v>34</v>
      </c>
      <c r="BF229" t="s">
        <v>34</v>
      </c>
      <c r="BG229" t="s">
        <v>1257</v>
      </c>
      <c r="BH229" s="10">
        <f>SUMIFS('[1]2026'!$K:$K,'[1]2026'!$T:$T,BD229,'[1]2026'!$S:$S,BH$3,'[1]2026'!$P:$P,AU229)</f>
        <v>0</v>
      </c>
      <c r="BI229" s="10">
        <f>SUMIFS('[1]2026'!$K:$K,'[1]2026'!$T:$T,$BD229,'[1]2026'!$S:$S,BI$3,'[1]2026'!$P:$P,$AU229)</f>
        <v>0</v>
      </c>
      <c r="BJ229" s="10">
        <f>SUMIFS('[1]2026'!$K:$K,'[1]2026'!$T:$T,$BD229,'[1]2026'!$S:$S,BJ$3,'[1]2026'!$P:$P,$AU229)</f>
        <v>0</v>
      </c>
      <c r="BK229" s="10">
        <f>SUMIFS('[1]2026'!$K:$K,'[1]2026'!$T:$T,$BD229,'[1]2026'!$S:$S,BK$3,'[1]2026'!$P:$P,$AU229)</f>
        <v>0</v>
      </c>
      <c r="BL229" s="10">
        <f>SUMIFS('[1]2026'!$K:$K,'[1]2026'!$T:$T,$BD229,'[1]2026'!$S:$S,BL$3,'[1]2026'!$P:$P,$AU229)</f>
        <v>0</v>
      </c>
      <c r="BM229" s="10">
        <f>SUMIFS('[1]2026'!$K:$K,'[1]2026'!$T:$T,$BD229,'[1]2026'!$S:$S,BM$3,'[1]2026'!$P:$P,$AU229)</f>
        <v>0</v>
      </c>
      <c r="BN229" s="10">
        <f>SUMIFS('[1]2026'!$K:$K,'[1]2026'!$T:$T,$BD229,'[1]2026'!$S:$S,BN$3,'[1]2026'!$P:$P,$AU229)</f>
        <v>0</v>
      </c>
      <c r="BO229" s="10">
        <f>SUMIFS('[1]2026'!$K:$K,'[1]2026'!$T:$T,$BD229,'[1]2026'!$S:$S,BO$3,'[1]2026'!$P:$P,$AU229)</f>
        <v>0</v>
      </c>
      <c r="BP229" s="6">
        <f t="shared" si="123"/>
        <v>0</v>
      </c>
      <c r="BQ229" s="6">
        <f t="shared" si="123"/>
        <v>0</v>
      </c>
      <c r="BR229" s="6">
        <f t="shared" si="123"/>
        <v>0</v>
      </c>
      <c r="BS229" s="6">
        <f t="shared" si="123"/>
        <v>0</v>
      </c>
      <c r="BT229" s="6">
        <f t="shared" si="106"/>
        <v>0</v>
      </c>
      <c r="BV229" s="6">
        <f t="shared" si="125"/>
        <v>-2890.8295499999999</v>
      </c>
      <c r="BW229" s="6">
        <f t="shared" si="126"/>
        <v>-2890.8295499999999</v>
      </c>
      <c r="BX229" s="6">
        <f t="shared" si="127"/>
        <v>-2890.8295499999999</v>
      </c>
      <c r="BY229" s="6">
        <f t="shared" si="128"/>
        <v>-2890.8295499999999</v>
      </c>
      <c r="BZ229" s="6">
        <f t="shared" si="129"/>
        <v>-2890.8295499999999</v>
      </c>
      <c r="CA229" s="6">
        <f t="shared" si="130"/>
        <v>-2890.8295499999999</v>
      </c>
      <c r="CB229" s="6">
        <f t="shared" si="131"/>
        <v>-2890.8295499999999</v>
      </c>
      <c r="CC229" s="6">
        <f t="shared" si="132"/>
        <v>-2890.8295499999999</v>
      </c>
      <c r="CD229" s="6">
        <f t="shared" si="133"/>
        <v>-2890.8295499999999</v>
      </c>
      <c r="CE229" s="6">
        <f t="shared" si="134"/>
        <v>-2890.8295499999999</v>
      </c>
      <c r="CF229" s="6">
        <f t="shared" si="135"/>
        <v>-2890.8295499999999</v>
      </c>
      <c r="CG229" s="6">
        <f t="shared" si="136"/>
        <v>-2890.8295499999999</v>
      </c>
      <c r="CH229" s="6">
        <f t="shared" si="107"/>
        <v>-34689.95459999999</v>
      </c>
    </row>
    <row r="230" spans="1:87" hidden="1" x14ac:dyDescent="0.35">
      <c r="A230" s="3" t="s">
        <v>536</v>
      </c>
      <c r="B230" s="10">
        <v>110791.0445</v>
      </c>
      <c r="C230" s="10">
        <v>110791.0445</v>
      </c>
      <c r="D230" s="10">
        <v>110791.0445</v>
      </c>
      <c r="E230" s="10">
        <v>110791.0445</v>
      </c>
      <c r="F230" s="10">
        <v>110791.0445</v>
      </c>
      <c r="G230" s="10">
        <v>110791.0445</v>
      </c>
      <c r="H230" s="10">
        <v>110791.0445</v>
      </c>
      <c r="I230" s="10">
        <v>110791.0445</v>
      </c>
      <c r="J230" s="10">
        <v>110791.0445</v>
      </c>
      <c r="K230" s="10">
        <v>110791.0445</v>
      </c>
      <c r="L230" s="10">
        <v>110791.0445</v>
      </c>
      <c r="M230" s="10">
        <v>110791.0445</v>
      </c>
      <c r="N230" s="27">
        <f t="shared" si="137"/>
        <v>1329492.534</v>
      </c>
      <c r="O230" s="10">
        <v>22936.494500000001</v>
      </c>
      <c r="P230" s="10">
        <v>22936.494500000001</v>
      </c>
      <c r="Q230" s="10">
        <v>22936.494500000001</v>
      </c>
      <c r="R230" s="10">
        <v>22936.494500000001</v>
      </c>
      <c r="S230" s="10">
        <v>22936.494500000001</v>
      </c>
      <c r="T230" s="10">
        <v>22936.494500000001</v>
      </c>
      <c r="U230" s="10">
        <v>22936.494500000001</v>
      </c>
      <c r="V230" s="10">
        <v>22936.494500000001</v>
      </c>
      <c r="W230" s="10">
        <v>22936.494500000001</v>
      </c>
      <c r="X230" s="10">
        <v>22936.494500000001</v>
      </c>
      <c r="Y230" s="10">
        <v>22936.494500000001</v>
      </c>
      <c r="Z230" s="10">
        <v>22936.494500000001</v>
      </c>
      <c r="AA230" s="27">
        <f t="shared" si="122"/>
        <v>275237.93400000001</v>
      </c>
      <c r="AB230" s="10">
        <f t="shared" si="121"/>
        <v>87854.55</v>
      </c>
      <c r="AC230" s="10">
        <f t="shared" si="121"/>
        <v>87854.55</v>
      </c>
      <c r="AD230" s="10">
        <f t="shared" si="121"/>
        <v>87854.55</v>
      </c>
      <c r="AE230" s="10">
        <f t="shared" si="121"/>
        <v>87854.55</v>
      </c>
      <c r="AF230" s="10">
        <f t="shared" si="120"/>
        <v>87854.55</v>
      </c>
      <c r="AG230" s="10">
        <f t="shared" si="120"/>
        <v>87854.55</v>
      </c>
      <c r="AH230" s="10">
        <f t="shared" si="120"/>
        <v>87854.55</v>
      </c>
      <c r="AI230" s="10">
        <f t="shared" si="120"/>
        <v>87854.55</v>
      </c>
      <c r="AJ230" s="10">
        <f t="shared" si="120"/>
        <v>87854.55</v>
      </c>
      <c r="AK230" s="10">
        <f t="shared" si="120"/>
        <v>87854.55</v>
      </c>
      <c r="AL230" s="10">
        <f t="shared" si="120"/>
        <v>87854.55</v>
      </c>
      <c r="AM230" s="10">
        <f t="shared" si="120"/>
        <v>87854.55</v>
      </c>
      <c r="AN230" s="27">
        <f t="shared" si="89"/>
        <v>1054254.6000000001</v>
      </c>
      <c r="AP230" s="10">
        <f>AN230/12</f>
        <v>87854.55</v>
      </c>
      <c r="AS230" t="str">
        <f>_xlfn.XLOOKUP(AU230,[2]GAE!HZ:HZ,[2]GAE!IA:IA)</f>
        <v>ADMIN SERVICES</v>
      </c>
      <c r="AT230" t="str">
        <f>_xlfn.XLOOKUP(AU230,[2]GAE!HZ:HZ,[2]GAE!IB:IB)</f>
        <v>DOE - Contracted Services - Others</v>
      </c>
      <c r="AU230" t="s">
        <v>527</v>
      </c>
      <c r="AV230">
        <v>81123102</v>
      </c>
      <c r="AW230">
        <v>52041499</v>
      </c>
      <c r="AX230" t="str">
        <f>_xlfn.XLOOKUP(AU230,[2]GAE!HZ:HZ,[2]GAE!IF:IF)</f>
        <v>Contracted services</v>
      </c>
      <c r="AY230" t="str">
        <f>_xlfn.XLOOKUP(AU230,[2]GAE!HZ:HZ,[2]GAE!IG:IG)</f>
        <v>Admin Staff</v>
      </c>
      <c r="BD230" t="s">
        <v>34</v>
      </c>
      <c r="BF230" t="s">
        <v>34</v>
      </c>
      <c r="BG230" t="s">
        <v>1257</v>
      </c>
      <c r="BH230" s="10">
        <f>SUMIFS('[1]2026'!$K:$K,'[1]2026'!$T:$T,BD230,'[1]2026'!$S:$S,BH$3,'[1]2026'!$P:$P,AU230)</f>
        <v>0</v>
      </c>
      <c r="BI230" s="10">
        <f>SUMIFS('[1]2026'!$K:$K,'[1]2026'!$T:$T,$BD230,'[1]2026'!$S:$S,BI$3,'[1]2026'!$P:$P,$AU230)</f>
        <v>0</v>
      </c>
      <c r="BJ230" s="10">
        <f>SUMIFS('[1]2026'!$K:$K,'[1]2026'!$T:$T,$BD230,'[1]2026'!$S:$S,BJ$3,'[1]2026'!$P:$P,$AU230)</f>
        <v>0</v>
      </c>
      <c r="BK230" s="10">
        <f>SUMIFS('[1]2026'!$K:$K,'[1]2026'!$T:$T,$BD230,'[1]2026'!$S:$S,BK$3,'[1]2026'!$P:$P,$AU230)</f>
        <v>0</v>
      </c>
      <c r="BL230" s="10">
        <f>SUMIFS('[1]2026'!$K:$K,'[1]2026'!$T:$T,$BD230,'[1]2026'!$S:$S,BL$3,'[1]2026'!$P:$P,$AU230)</f>
        <v>0</v>
      </c>
      <c r="BM230" s="10">
        <f>SUMIFS('[1]2026'!$K:$K,'[1]2026'!$T:$T,$BD230,'[1]2026'!$S:$S,BM$3,'[1]2026'!$P:$P,$AU230)</f>
        <v>0</v>
      </c>
      <c r="BN230" s="10">
        <f>SUMIFS('[1]2026'!$K:$K,'[1]2026'!$T:$T,$BD230,'[1]2026'!$S:$S,BN$3,'[1]2026'!$P:$P,$AU230)</f>
        <v>0</v>
      </c>
      <c r="BO230" s="10">
        <f>SUMIFS('[1]2026'!$K:$K,'[1]2026'!$T:$T,$BD230,'[1]2026'!$S:$S,BO$3,'[1]2026'!$P:$P,$AU230)</f>
        <v>0</v>
      </c>
      <c r="BP230" s="6">
        <f t="shared" si="123"/>
        <v>0</v>
      </c>
      <c r="BQ230" s="6">
        <f t="shared" si="123"/>
        <v>0</v>
      </c>
      <c r="BR230" s="6">
        <f t="shared" si="123"/>
        <v>0</v>
      </c>
      <c r="BS230" s="6">
        <f t="shared" si="123"/>
        <v>0</v>
      </c>
      <c r="BT230" s="6">
        <f t="shared" si="106"/>
        <v>0</v>
      </c>
      <c r="BV230" s="6">
        <f t="shared" si="125"/>
        <v>-87854.55</v>
      </c>
      <c r="BW230" s="6">
        <f t="shared" si="126"/>
        <v>-87854.55</v>
      </c>
      <c r="BX230" s="6">
        <f t="shared" si="127"/>
        <v>-87854.55</v>
      </c>
      <c r="BY230" s="6">
        <f t="shared" si="128"/>
        <v>-87854.55</v>
      </c>
      <c r="BZ230" s="6">
        <f t="shared" si="129"/>
        <v>-87854.55</v>
      </c>
      <c r="CA230" s="6">
        <f t="shared" si="130"/>
        <v>-87854.55</v>
      </c>
      <c r="CB230" s="6">
        <f t="shared" si="131"/>
        <v>-87854.55</v>
      </c>
      <c r="CC230" s="6">
        <f t="shared" si="132"/>
        <v>-87854.55</v>
      </c>
      <c r="CD230" s="6">
        <f t="shared" si="133"/>
        <v>-87854.55</v>
      </c>
      <c r="CE230" s="6">
        <f t="shared" si="134"/>
        <v>-87854.55</v>
      </c>
      <c r="CF230" s="6">
        <f t="shared" si="135"/>
        <v>-87854.55</v>
      </c>
      <c r="CG230" s="6">
        <f t="shared" si="136"/>
        <v>-87854.55</v>
      </c>
      <c r="CH230" s="6">
        <f t="shared" si="107"/>
        <v>-1054254.6000000001</v>
      </c>
    </row>
    <row r="231" spans="1:87" hidden="1" x14ac:dyDescent="0.35">
      <c r="A231" s="3" t="s">
        <v>537</v>
      </c>
      <c r="B231" s="10">
        <v>33237.313350000004</v>
      </c>
      <c r="C231" s="10">
        <v>33237.313350000004</v>
      </c>
      <c r="D231" s="10">
        <v>33237.313350000004</v>
      </c>
      <c r="E231" s="10">
        <v>33237.313350000004</v>
      </c>
      <c r="F231" s="10">
        <v>33237.313350000004</v>
      </c>
      <c r="G231" s="10">
        <v>33237.313350000004</v>
      </c>
      <c r="H231" s="10">
        <v>33237.313350000004</v>
      </c>
      <c r="I231" s="10">
        <v>33237.313350000004</v>
      </c>
      <c r="J231" s="10">
        <v>33237.313350000004</v>
      </c>
      <c r="K231" s="10">
        <v>33237.313350000004</v>
      </c>
      <c r="L231" s="10">
        <v>33237.313350000004</v>
      </c>
      <c r="M231" s="10">
        <v>33237.313350000004</v>
      </c>
      <c r="N231" s="27">
        <f t="shared" si="137"/>
        <v>398847.76020000008</v>
      </c>
      <c r="AA231" s="27">
        <f t="shared" si="122"/>
        <v>0</v>
      </c>
      <c r="AB231" s="10">
        <f t="shared" si="121"/>
        <v>33237.313350000004</v>
      </c>
      <c r="AC231" s="10">
        <f t="shared" si="121"/>
        <v>33237.313350000004</v>
      </c>
      <c r="AD231" s="10">
        <f t="shared" si="121"/>
        <v>33237.313350000004</v>
      </c>
      <c r="AE231" s="10">
        <f t="shared" si="121"/>
        <v>33237.313350000004</v>
      </c>
      <c r="AF231" s="10">
        <f t="shared" si="120"/>
        <v>33237.313350000004</v>
      </c>
      <c r="AG231" s="10">
        <f t="shared" si="120"/>
        <v>33237.313350000004</v>
      </c>
      <c r="AH231" s="10">
        <f t="shared" si="120"/>
        <v>33237.313350000004</v>
      </c>
      <c r="AI231" s="10">
        <f t="shared" si="120"/>
        <v>33237.313350000004</v>
      </c>
      <c r="AJ231" s="10">
        <f t="shared" si="120"/>
        <v>33237.313350000004</v>
      </c>
      <c r="AK231" s="10">
        <f t="shared" si="120"/>
        <v>33237.313350000004</v>
      </c>
      <c r="AL231" s="10">
        <f t="shared" si="120"/>
        <v>33237.313350000004</v>
      </c>
      <c r="AM231" s="10">
        <f t="shared" si="120"/>
        <v>33237.313350000004</v>
      </c>
      <c r="AN231" s="27">
        <f t="shared" si="120"/>
        <v>398847.76020000008</v>
      </c>
      <c r="AP231" s="10">
        <f>AN231/12</f>
        <v>33237.313350000004</v>
      </c>
      <c r="AS231" t="str">
        <f>_xlfn.XLOOKUP(AU231,[2]GAE!HZ:HZ,[2]GAE!IA:IA)</f>
        <v>ADMIN SERVICES</v>
      </c>
      <c r="AT231" t="str">
        <f>_xlfn.XLOOKUP(AU231,[2]GAE!HZ:HZ,[2]GAE!IB:IB)</f>
        <v>DOE - Contracted Services - Others</v>
      </c>
      <c r="AU231" t="s">
        <v>527</v>
      </c>
      <c r="AV231">
        <v>81123102</v>
      </c>
      <c r="AW231">
        <v>52041499</v>
      </c>
      <c r="AX231" t="str">
        <f>_xlfn.XLOOKUP(AU231,[2]GAE!HZ:HZ,[2]GAE!IF:IF)</f>
        <v>Contracted services</v>
      </c>
      <c r="AY231" t="str">
        <f>_xlfn.XLOOKUP(AU231,[2]GAE!HZ:HZ,[2]GAE!IG:IG)</f>
        <v>Admin Staff</v>
      </c>
      <c r="BD231" t="s">
        <v>34</v>
      </c>
      <c r="BF231" t="s">
        <v>34</v>
      </c>
      <c r="BG231" t="s">
        <v>1257</v>
      </c>
      <c r="BH231" s="10">
        <f>SUMIFS('[1]2026'!$K:$K,'[1]2026'!$T:$T,BD231,'[1]2026'!$S:$S,BH$3,'[1]2026'!$P:$P,AU231)</f>
        <v>0</v>
      </c>
      <c r="BI231" s="10">
        <f>SUMIFS('[1]2026'!$K:$K,'[1]2026'!$T:$T,$BD231,'[1]2026'!$S:$S,BI$3,'[1]2026'!$P:$P,$AU231)</f>
        <v>0</v>
      </c>
      <c r="BJ231" s="10">
        <f>SUMIFS('[1]2026'!$K:$K,'[1]2026'!$T:$T,$BD231,'[1]2026'!$S:$S,BJ$3,'[1]2026'!$P:$P,$AU231)</f>
        <v>0</v>
      </c>
      <c r="BK231" s="10">
        <f>SUMIFS('[1]2026'!$K:$K,'[1]2026'!$T:$T,$BD231,'[1]2026'!$S:$S,BK$3,'[1]2026'!$P:$P,$AU231)</f>
        <v>0</v>
      </c>
      <c r="BL231" s="10">
        <f>SUMIFS('[1]2026'!$K:$K,'[1]2026'!$T:$T,$BD231,'[1]2026'!$S:$S,BL$3,'[1]2026'!$P:$P,$AU231)</f>
        <v>0</v>
      </c>
      <c r="BM231" s="10">
        <f>SUMIFS('[1]2026'!$K:$K,'[1]2026'!$T:$T,$BD231,'[1]2026'!$S:$S,BM$3,'[1]2026'!$P:$P,$AU231)</f>
        <v>0</v>
      </c>
      <c r="BN231" s="10">
        <f>SUMIFS('[1]2026'!$K:$K,'[1]2026'!$T:$T,$BD231,'[1]2026'!$S:$S,BN$3,'[1]2026'!$P:$P,$AU231)</f>
        <v>0</v>
      </c>
      <c r="BO231" s="10">
        <f>SUMIFS('[1]2026'!$K:$K,'[1]2026'!$T:$T,$BD231,'[1]2026'!$S:$S,BO$3,'[1]2026'!$P:$P,$AU231)</f>
        <v>0</v>
      </c>
      <c r="BP231" s="6">
        <f t="shared" si="123"/>
        <v>0</v>
      </c>
      <c r="BQ231" s="6">
        <f t="shared" si="123"/>
        <v>0</v>
      </c>
      <c r="BR231" s="6">
        <f t="shared" si="123"/>
        <v>0</v>
      </c>
      <c r="BS231" s="6">
        <f t="shared" si="123"/>
        <v>0</v>
      </c>
      <c r="BT231" s="6">
        <f t="shared" si="106"/>
        <v>0</v>
      </c>
      <c r="BV231" s="6">
        <f t="shared" si="125"/>
        <v>-33237.313350000004</v>
      </c>
      <c r="BW231" s="6">
        <f t="shared" si="126"/>
        <v>-33237.313350000004</v>
      </c>
      <c r="BX231" s="6">
        <f t="shared" si="127"/>
        <v>-33237.313350000004</v>
      </c>
      <c r="BY231" s="6">
        <f t="shared" si="128"/>
        <v>-33237.313350000004</v>
      </c>
      <c r="BZ231" s="6">
        <f t="shared" si="129"/>
        <v>-33237.313350000004</v>
      </c>
      <c r="CA231" s="6">
        <f t="shared" si="130"/>
        <v>-33237.313350000004</v>
      </c>
      <c r="CB231" s="6">
        <f t="shared" si="131"/>
        <v>-33237.313350000004</v>
      </c>
      <c r="CC231" s="6">
        <f t="shared" si="132"/>
        <v>-33237.313350000004</v>
      </c>
      <c r="CD231" s="6">
        <f t="shared" si="133"/>
        <v>-33237.313350000004</v>
      </c>
      <c r="CE231" s="6">
        <f t="shared" si="134"/>
        <v>-33237.313350000004</v>
      </c>
      <c r="CF231" s="6">
        <f t="shared" si="135"/>
        <v>-33237.313350000004</v>
      </c>
      <c r="CG231" s="6">
        <f t="shared" si="136"/>
        <v>-33237.313350000004</v>
      </c>
      <c r="CH231" s="6">
        <f t="shared" si="107"/>
        <v>-398847.76020000008</v>
      </c>
    </row>
    <row r="232" spans="1:87" hidden="1" x14ac:dyDescent="0.35">
      <c r="A232" s="3" t="s">
        <v>538</v>
      </c>
      <c r="B232" s="10">
        <v>30258.753000000001</v>
      </c>
      <c r="C232" s="10">
        <v>30258.753000000001</v>
      </c>
      <c r="D232" s="10">
        <v>30258.753000000001</v>
      </c>
      <c r="E232" s="10">
        <v>30258.753000000001</v>
      </c>
      <c r="F232" s="10">
        <v>30258.753000000001</v>
      </c>
      <c r="G232" s="10">
        <v>30258.753000000001</v>
      </c>
      <c r="H232" s="10">
        <v>30258.753000000001</v>
      </c>
      <c r="I232" s="10">
        <v>30258.753000000001</v>
      </c>
      <c r="J232" s="10">
        <v>30258.753000000001</v>
      </c>
      <c r="K232" s="10">
        <v>30258.753000000001</v>
      </c>
      <c r="L232" s="10">
        <v>30258.753000000001</v>
      </c>
      <c r="M232" s="10">
        <v>30258.753000000001</v>
      </c>
      <c r="N232" s="27">
        <f t="shared" si="137"/>
        <v>363105.03600000008</v>
      </c>
      <c r="AA232" s="27">
        <f t="shared" si="122"/>
        <v>0</v>
      </c>
      <c r="AB232" s="10">
        <f t="shared" si="121"/>
        <v>30258.753000000001</v>
      </c>
      <c r="AC232" s="10">
        <f t="shared" si="121"/>
        <v>30258.753000000001</v>
      </c>
      <c r="AD232" s="10">
        <f t="shared" si="121"/>
        <v>30258.753000000001</v>
      </c>
      <c r="AE232" s="10">
        <f t="shared" si="121"/>
        <v>30258.753000000001</v>
      </c>
      <c r="AF232" s="10">
        <f t="shared" si="120"/>
        <v>30258.753000000001</v>
      </c>
      <c r="AG232" s="10">
        <f t="shared" si="120"/>
        <v>30258.753000000001</v>
      </c>
      <c r="AH232" s="10">
        <f t="shared" si="120"/>
        <v>30258.753000000001</v>
      </c>
      <c r="AI232" s="10">
        <f t="shared" si="120"/>
        <v>30258.753000000001</v>
      </c>
      <c r="AJ232" s="10">
        <f t="shared" si="120"/>
        <v>30258.753000000001</v>
      </c>
      <c r="AK232" s="10">
        <f t="shared" si="120"/>
        <v>30258.753000000001</v>
      </c>
      <c r="AL232" s="10">
        <f t="shared" si="120"/>
        <v>30258.753000000001</v>
      </c>
      <c r="AM232" s="10">
        <f t="shared" si="120"/>
        <v>30258.753000000001</v>
      </c>
      <c r="AN232" s="27">
        <f t="shared" si="120"/>
        <v>363105.03600000008</v>
      </c>
      <c r="AP232" s="34"/>
      <c r="AR232" t="s">
        <v>539</v>
      </c>
      <c r="AS232" t="str">
        <f>_xlfn.XLOOKUP(AU232,[2]GAE!HZ:HZ,[2]GAE!IA:IA)</f>
        <v>ADMIN SERVICES</v>
      </c>
      <c r="AT232" t="str">
        <f>_xlfn.XLOOKUP(AU232,[2]GAE!HZ:HZ,[2]GAE!IB:IB)</f>
        <v>DOE - Contracted Services - Others</v>
      </c>
      <c r="AU232" t="s">
        <v>527</v>
      </c>
      <c r="AV232">
        <v>81123102</v>
      </c>
      <c r="AW232">
        <v>52041499</v>
      </c>
      <c r="AX232" t="str">
        <f>_xlfn.XLOOKUP(AU232,[2]GAE!HZ:HZ,[2]GAE!IF:IF)</f>
        <v>Contracted services</v>
      </c>
      <c r="AY232" t="str">
        <f>_xlfn.XLOOKUP(AU232,[2]GAE!HZ:HZ,[2]GAE!IG:IG)</f>
        <v>Admin Staff</v>
      </c>
      <c r="BD232" t="s">
        <v>34</v>
      </c>
      <c r="BF232" t="s">
        <v>34</v>
      </c>
      <c r="BG232" t="s">
        <v>1257</v>
      </c>
      <c r="BH232" s="10">
        <f>SUMIFS('[1]2026'!$K:$K,'[1]2026'!$T:$T,BD232,'[1]2026'!$S:$S,BH$3,'[1]2026'!$P:$P,AU232)</f>
        <v>0</v>
      </c>
      <c r="BI232" s="10">
        <f>SUMIFS('[1]2026'!$K:$K,'[1]2026'!$T:$T,$BD232,'[1]2026'!$S:$S,BI$3,'[1]2026'!$P:$P,$AU232)</f>
        <v>0</v>
      </c>
      <c r="BJ232" s="10">
        <f>SUMIFS('[1]2026'!$K:$K,'[1]2026'!$T:$T,$BD232,'[1]2026'!$S:$S,BJ$3,'[1]2026'!$P:$P,$AU232)</f>
        <v>0</v>
      </c>
      <c r="BK232" s="10">
        <f>SUMIFS('[1]2026'!$K:$K,'[1]2026'!$T:$T,$BD232,'[1]2026'!$S:$S,BK$3,'[1]2026'!$P:$P,$AU232)</f>
        <v>0</v>
      </c>
      <c r="BL232" s="10">
        <f>SUMIFS('[1]2026'!$K:$K,'[1]2026'!$T:$T,$BD232,'[1]2026'!$S:$S,BL$3,'[1]2026'!$P:$P,$AU232)</f>
        <v>0</v>
      </c>
      <c r="BM232" s="10">
        <f>SUMIFS('[1]2026'!$K:$K,'[1]2026'!$T:$T,$BD232,'[1]2026'!$S:$S,BM$3,'[1]2026'!$P:$P,$AU232)</f>
        <v>0</v>
      </c>
      <c r="BN232" s="10">
        <f>SUMIFS('[1]2026'!$K:$K,'[1]2026'!$T:$T,$BD232,'[1]2026'!$S:$S,BN$3,'[1]2026'!$P:$P,$AU232)</f>
        <v>0</v>
      </c>
      <c r="BO232" s="10">
        <f>SUMIFS('[1]2026'!$K:$K,'[1]2026'!$T:$T,$BD232,'[1]2026'!$S:$S,BO$3,'[1]2026'!$P:$P,$AU232)</f>
        <v>0</v>
      </c>
      <c r="BP232" s="6">
        <f t="shared" si="123"/>
        <v>0</v>
      </c>
      <c r="BQ232" s="6">
        <f t="shared" si="123"/>
        <v>0</v>
      </c>
      <c r="BR232" s="6">
        <f t="shared" si="123"/>
        <v>0</v>
      </c>
      <c r="BS232" s="6">
        <f t="shared" si="123"/>
        <v>0</v>
      </c>
      <c r="BT232" s="6">
        <f t="shared" si="106"/>
        <v>0</v>
      </c>
      <c r="BV232" s="6">
        <f t="shared" si="125"/>
        <v>-30258.753000000001</v>
      </c>
      <c r="BW232" s="6">
        <f t="shared" si="126"/>
        <v>-30258.753000000001</v>
      </c>
      <c r="BX232" s="6">
        <f t="shared" si="127"/>
        <v>-30258.753000000001</v>
      </c>
      <c r="BY232" s="6">
        <f t="shared" si="128"/>
        <v>-30258.753000000001</v>
      </c>
      <c r="BZ232" s="6">
        <f t="shared" si="129"/>
        <v>-30258.753000000001</v>
      </c>
      <c r="CA232" s="6">
        <f t="shared" si="130"/>
        <v>-30258.753000000001</v>
      </c>
      <c r="CB232" s="6">
        <f t="shared" si="131"/>
        <v>-30258.753000000001</v>
      </c>
      <c r="CC232" s="6">
        <f t="shared" si="132"/>
        <v>-30258.753000000001</v>
      </c>
      <c r="CD232" s="6">
        <f t="shared" si="133"/>
        <v>-30258.753000000001</v>
      </c>
      <c r="CE232" s="6">
        <f t="shared" si="134"/>
        <v>-30258.753000000001</v>
      </c>
      <c r="CF232" s="6">
        <f t="shared" si="135"/>
        <v>-30258.753000000001</v>
      </c>
      <c r="CG232" s="6">
        <f t="shared" si="136"/>
        <v>-30258.753000000001</v>
      </c>
      <c r="CH232" s="6">
        <f t="shared" si="107"/>
        <v>-363105.03600000008</v>
      </c>
    </row>
    <row r="233" spans="1:87" hidden="1" x14ac:dyDescent="0.35">
      <c r="A233" s="3" t="s">
        <v>540</v>
      </c>
      <c r="B233" s="10">
        <v>9077.6258999999991</v>
      </c>
      <c r="C233" s="10">
        <v>9077.6258999999991</v>
      </c>
      <c r="D233" s="10">
        <v>9077.6258999999991</v>
      </c>
      <c r="E233" s="10">
        <v>9077.6258999999991</v>
      </c>
      <c r="F233" s="10">
        <v>9077.6258999999991</v>
      </c>
      <c r="G233" s="10">
        <v>9077.6258999999991</v>
      </c>
      <c r="H233" s="10">
        <v>9077.6258999999991</v>
      </c>
      <c r="I233" s="10">
        <v>9077.6258999999991</v>
      </c>
      <c r="J233" s="10">
        <v>9077.6258999999991</v>
      </c>
      <c r="K233" s="10">
        <v>9077.6258999999991</v>
      </c>
      <c r="L233" s="10">
        <v>9077.6258999999991</v>
      </c>
      <c r="M233" s="10">
        <v>9077.6258999999991</v>
      </c>
      <c r="N233" s="27">
        <f t="shared" si="137"/>
        <v>108931.51079999999</v>
      </c>
      <c r="AA233" s="27">
        <f t="shared" si="122"/>
        <v>0</v>
      </c>
      <c r="AB233" s="10">
        <f t="shared" si="121"/>
        <v>9077.6258999999991</v>
      </c>
      <c r="AC233" s="10">
        <f t="shared" si="121"/>
        <v>9077.6258999999991</v>
      </c>
      <c r="AD233" s="10">
        <f t="shared" si="121"/>
        <v>9077.6258999999991</v>
      </c>
      <c r="AE233" s="10">
        <f t="shared" si="121"/>
        <v>9077.6258999999991</v>
      </c>
      <c r="AF233" s="10">
        <f t="shared" si="120"/>
        <v>9077.6258999999991</v>
      </c>
      <c r="AG233" s="10">
        <f t="shared" si="120"/>
        <v>9077.6258999999991</v>
      </c>
      <c r="AH233" s="10">
        <f t="shared" si="120"/>
        <v>9077.6258999999991</v>
      </c>
      <c r="AI233" s="10">
        <f t="shared" si="120"/>
        <v>9077.6258999999991</v>
      </c>
      <c r="AJ233" s="10">
        <f t="shared" si="120"/>
        <v>9077.6258999999991</v>
      </c>
      <c r="AK233" s="10">
        <f t="shared" si="120"/>
        <v>9077.6258999999991</v>
      </c>
      <c r="AL233" s="10">
        <f t="shared" si="120"/>
        <v>9077.6258999999991</v>
      </c>
      <c r="AM233" s="10">
        <f t="shared" si="120"/>
        <v>9077.6258999999991</v>
      </c>
      <c r="AN233" s="27">
        <f t="shared" si="120"/>
        <v>108931.51079999999</v>
      </c>
      <c r="AP233" s="34"/>
      <c r="AR233" t="s">
        <v>539</v>
      </c>
      <c r="AS233" t="str">
        <f>_xlfn.XLOOKUP(AU233,[2]GAE!HZ:HZ,[2]GAE!IA:IA)</f>
        <v>ADMIN SERVICES</v>
      </c>
      <c r="AT233" t="str">
        <f>_xlfn.XLOOKUP(AU233,[2]GAE!HZ:HZ,[2]GAE!IB:IB)</f>
        <v>DOE - Contracted Services - Others</v>
      </c>
      <c r="AU233" t="s">
        <v>527</v>
      </c>
      <c r="AV233">
        <v>81123102</v>
      </c>
      <c r="AW233">
        <v>52041499</v>
      </c>
      <c r="AX233" t="str">
        <f>_xlfn.XLOOKUP(AU233,[2]GAE!HZ:HZ,[2]GAE!IF:IF)</f>
        <v>Contracted services</v>
      </c>
      <c r="AY233" t="str">
        <f>_xlfn.XLOOKUP(AU233,[2]GAE!HZ:HZ,[2]GAE!IG:IG)</f>
        <v>Admin Staff</v>
      </c>
      <c r="BD233" t="s">
        <v>34</v>
      </c>
      <c r="BF233" t="s">
        <v>34</v>
      </c>
      <c r="BG233" t="s">
        <v>1257</v>
      </c>
      <c r="BH233" s="10">
        <f>SUMIFS('[1]2026'!$K:$K,'[1]2026'!$T:$T,BD233,'[1]2026'!$S:$S,BH$3,'[1]2026'!$P:$P,AU233)</f>
        <v>0</v>
      </c>
      <c r="BI233" s="10">
        <f>SUMIFS('[1]2026'!$K:$K,'[1]2026'!$T:$T,$BD233,'[1]2026'!$S:$S,BI$3,'[1]2026'!$P:$P,$AU233)</f>
        <v>0</v>
      </c>
      <c r="BJ233" s="10">
        <f>SUMIFS('[1]2026'!$K:$K,'[1]2026'!$T:$T,$BD233,'[1]2026'!$S:$S,BJ$3,'[1]2026'!$P:$P,$AU233)</f>
        <v>0</v>
      </c>
      <c r="BK233" s="10">
        <f>SUMIFS('[1]2026'!$K:$K,'[1]2026'!$T:$T,$BD233,'[1]2026'!$S:$S,BK$3,'[1]2026'!$P:$P,$AU233)</f>
        <v>0</v>
      </c>
      <c r="BL233" s="10">
        <f>SUMIFS('[1]2026'!$K:$K,'[1]2026'!$T:$T,$BD233,'[1]2026'!$S:$S,BL$3,'[1]2026'!$P:$P,$AU233)</f>
        <v>0</v>
      </c>
      <c r="BM233" s="10">
        <f>SUMIFS('[1]2026'!$K:$K,'[1]2026'!$T:$T,$BD233,'[1]2026'!$S:$S,BM$3,'[1]2026'!$P:$P,$AU233)</f>
        <v>0</v>
      </c>
      <c r="BN233" s="10">
        <f>SUMIFS('[1]2026'!$K:$K,'[1]2026'!$T:$T,$BD233,'[1]2026'!$S:$S,BN$3,'[1]2026'!$P:$P,$AU233)</f>
        <v>0</v>
      </c>
      <c r="BO233" s="10">
        <f>SUMIFS('[1]2026'!$K:$K,'[1]2026'!$T:$T,$BD233,'[1]2026'!$S:$S,BO$3,'[1]2026'!$P:$P,$AU233)</f>
        <v>0</v>
      </c>
      <c r="BP233" s="6">
        <f t="shared" si="123"/>
        <v>0</v>
      </c>
      <c r="BQ233" s="6">
        <f t="shared" si="123"/>
        <v>0</v>
      </c>
      <c r="BR233" s="6">
        <f t="shared" si="123"/>
        <v>0</v>
      </c>
      <c r="BS233" s="6">
        <f t="shared" si="123"/>
        <v>0</v>
      </c>
      <c r="BT233" s="6">
        <f t="shared" si="106"/>
        <v>0</v>
      </c>
      <c r="BV233" s="6">
        <f t="shared" si="125"/>
        <v>-9077.6258999999991</v>
      </c>
      <c r="BW233" s="6">
        <f t="shared" si="126"/>
        <v>-9077.6258999999991</v>
      </c>
      <c r="BX233" s="6">
        <f t="shared" si="127"/>
        <v>-9077.6258999999991</v>
      </c>
      <c r="BY233" s="6">
        <f t="shared" si="128"/>
        <v>-9077.6258999999991</v>
      </c>
      <c r="BZ233" s="6">
        <f t="shared" si="129"/>
        <v>-9077.6258999999991</v>
      </c>
      <c r="CA233" s="6">
        <f t="shared" si="130"/>
        <v>-9077.6258999999991</v>
      </c>
      <c r="CB233" s="6">
        <f t="shared" si="131"/>
        <v>-9077.6258999999991</v>
      </c>
      <c r="CC233" s="6">
        <f t="shared" si="132"/>
        <v>-9077.6258999999991</v>
      </c>
      <c r="CD233" s="6">
        <f t="shared" si="133"/>
        <v>-9077.6258999999991</v>
      </c>
      <c r="CE233" s="6">
        <f t="shared" si="134"/>
        <v>-9077.6258999999991</v>
      </c>
      <c r="CF233" s="6">
        <f t="shared" si="135"/>
        <v>-9077.6258999999991</v>
      </c>
      <c r="CG233" s="6">
        <f t="shared" si="136"/>
        <v>-9077.6258999999991</v>
      </c>
      <c r="CH233" s="6">
        <f t="shared" si="107"/>
        <v>-108931.51079999999</v>
      </c>
    </row>
    <row r="234" spans="1:87" hidden="1" x14ac:dyDescent="0.35">
      <c r="A234" s="3" t="s">
        <v>541</v>
      </c>
      <c r="J234" s="10">
        <v>1000000</v>
      </c>
      <c r="N234" s="27">
        <f t="shared" si="137"/>
        <v>1000000</v>
      </c>
      <c r="AA234" s="27">
        <f t="shared" si="122"/>
        <v>0</v>
      </c>
      <c r="AB234" s="10">
        <f t="shared" si="121"/>
        <v>0</v>
      </c>
      <c r="AC234" s="10">
        <f t="shared" si="121"/>
        <v>0</v>
      </c>
      <c r="AD234" s="10">
        <f t="shared" si="121"/>
        <v>0</v>
      </c>
      <c r="AE234" s="10">
        <f t="shared" si="121"/>
        <v>0</v>
      </c>
      <c r="AF234" s="10">
        <f t="shared" si="120"/>
        <v>0</v>
      </c>
      <c r="AG234" s="10">
        <f t="shared" si="120"/>
        <v>0</v>
      </c>
      <c r="AH234" s="10">
        <f t="shared" si="120"/>
        <v>0</v>
      </c>
      <c r="AI234" s="10">
        <f t="shared" si="120"/>
        <v>0</v>
      </c>
      <c r="AJ234" s="10">
        <f t="shared" si="120"/>
        <v>1000000</v>
      </c>
      <c r="AK234" s="10">
        <f t="shared" si="120"/>
        <v>0</v>
      </c>
      <c r="AL234" s="10">
        <f t="shared" si="120"/>
        <v>0</v>
      </c>
      <c r="AM234" s="10">
        <f t="shared" si="120"/>
        <v>0</v>
      </c>
      <c r="AN234" s="27">
        <f t="shared" si="120"/>
        <v>1000000</v>
      </c>
      <c r="AR234" t="s">
        <v>542</v>
      </c>
      <c r="AS234" t="str">
        <f>_xlfn.XLOOKUP(AU234,[2]GAE!HZ:HZ,[2]GAE!IA:IA)</f>
        <v>ADMIN SERVICES</v>
      </c>
      <c r="AT234" t="str">
        <f>_xlfn.XLOOKUP(AU234,[2]GAE!HZ:HZ,[2]GAE!IB:IB)</f>
        <v>DOE - Contracted Services - Others</v>
      </c>
      <c r="AU234" t="s">
        <v>527</v>
      </c>
      <c r="AV234">
        <v>81123102</v>
      </c>
      <c r="AW234">
        <v>52041499</v>
      </c>
      <c r="AX234" t="str">
        <f>_xlfn.XLOOKUP(AU234,[2]GAE!HZ:HZ,[2]GAE!IF:IF)</f>
        <v>Contracted services</v>
      </c>
      <c r="AY234" t="str">
        <f>_xlfn.XLOOKUP(AU234,[2]GAE!HZ:HZ,[2]GAE!IG:IG)</f>
        <v>Admin Staff</v>
      </c>
      <c r="BF234" t="s">
        <v>35</v>
      </c>
      <c r="BG234" t="s">
        <v>35</v>
      </c>
      <c r="BH234" s="10">
        <f>SUMIFS('[1]2026'!$K:$K,'[1]2026'!$T:$T,BD234,'[1]2026'!$S:$S,BH$3,'[1]2026'!$P:$P,AU234)</f>
        <v>0</v>
      </c>
      <c r="BI234" s="10">
        <f>SUMIFS('[1]2026'!$K:$K,'[1]2026'!$T:$T,$BD234,'[1]2026'!$S:$S,BI$3,'[1]2026'!$P:$P,$AU234)</f>
        <v>0</v>
      </c>
      <c r="BJ234" s="10">
        <f>SUMIFS('[1]2026'!$K:$K,'[1]2026'!$T:$T,$BD234,'[1]2026'!$S:$S,BJ$3,'[1]2026'!$P:$P,$AU234)</f>
        <v>0</v>
      </c>
      <c r="BK234" s="10">
        <f>SUMIFS('[1]2026'!$K:$K,'[1]2026'!$T:$T,$BD234,'[1]2026'!$S:$S,BK$3,'[1]2026'!$P:$P,$AU234)</f>
        <v>0</v>
      </c>
      <c r="BL234" s="10">
        <f>SUMIFS('[1]2026'!$K:$K,'[1]2026'!$T:$T,$BD234,'[1]2026'!$S:$S,BL$3,'[1]2026'!$P:$P,$AU234)</f>
        <v>0</v>
      </c>
      <c r="BM234" s="10">
        <f>SUMIFS('[1]2026'!$K:$K,'[1]2026'!$T:$T,$BD234,'[1]2026'!$S:$S,BM$3,'[1]2026'!$P:$P,$AU234)</f>
        <v>0</v>
      </c>
      <c r="BN234" s="10">
        <f>SUMIFS('[1]2026'!$K:$K,'[1]2026'!$T:$T,$BD234,'[1]2026'!$S:$S,BN$3,'[1]2026'!$P:$P,$AU234)</f>
        <v>0</v>
      </c>
      <c r="BO234" s="10">
        <f>SUMIFS('[1]2026'!$K:$K,'[1]2026'!$T:$T,$BD234,'[1]2026'!$S:$S,BO$3,'[1]2026'!$P:$P,$AU234)</f>
        <v>0</v>
      </c>
      <c r="BP234" s="6">
        <f t="shared" si="123"/>
        <v>0</v>
      </c>
      <c r="BQ234" s="6">
        <f t="shared" si="123"/>
        <v>0</v>
      </c>
      <c r="BR234" s="6">
        <f t="shared" si="123"/>
        <v>0</v>
      </c>
      <c r="BS234" s="6">
        <f t="shared" si="123"/>
        <v>0</v>
      </c>
      <c r="BT234" s="6">
        <f t="shared" si="106"/>
        <v>0</v>
      </c>
      <c r="BV234" s="6">
        <f t="shared" si="125"/>
        <v>0</v>
      </c>
      <c r="BW234" s="6">
        <f t="shared" si="126"/>
        <v>0</v>
      </c>
      <c r="BX234" s="6">
        <f t="shared" si="127"/>
        <v>0</v>
      </c>
      <c r="BY234" s="6">
        <f t="shared" si="128"/>
        <v>0</v>
      </c>
      <c r="BZ234" s="6">
        <f t="shared" si="129"/>
        <v>0</v>
      </c>
      <c r="CA234" s="6">
        <f t="shared" si="130"/>
        <v>0</v>
      </c>
      <c r="CB234" s="6">
        <f t="shared" si="131"/>
        <v>0</v>
      </c>
      <c r="CC234" s="6">
        <f t="shared" si="132"/>
        <v>0</v>
      </c>
      <c r="CD234" s="6">
        <f t="shared" si="133"/>
        <v>-1000000</v>
      </c>
      <c r="CE234" s="6">
        <f t="shared" si="134"/>
        <v>0</v>
      </c>
      <c r="CF234" s="6">
        <f t="shared" si="135"/>
        <v>0</v>
      </c>
      <c r="CG234" s="6">
        <f t="shared" si="136"/>
        <v>0</v>
      </c>
      <c r="CH234" s="6">
        <f t="shared" si="107"/>
        <v>-1000000</v>
      </c>
    </row>
    <row r="235" spans="1:87" hidden="1" x14ac:dyDescent="0.35">
      <c r="A235" s="3" t="s">
        <v>541</v>
      </c>
      <c r="AN235" s="27">
        <f>N235-AA235</f>
        <v>0</v>
      </c>
      <c r="AS235" t="str">
        <f>_xlfn.XLOOKUP(AU235,[2]GAE!HZ:HZ,[2]GAE!IA:IA)</f>
        <v>ADMIN SERVICES</v>
      </c>
      <c r="AT235" t="str">
        <f>_xlfn.XLOOKUP(AU235,[2]GAE!HZ:HZ,[2]GAE!IB:IB)</f>
        <v>GAE - Prof. Fees - Others</v>
      </c>
      <c r="AU235" t="s">
        <v>543</v>
      </c>
      <c r="AV235">
        <v>80123102</v>
      </c>
      <c r="AW235">
        <v>61071099</v>
      </c>
      <c r="AX235" t="str">
        <f>_xlfn.XLOOKUP(AU235,[2]GAE!HZ:HZ,[2]GAE!IF:IF)</f>
        <v>Professional fees</v>
      </c>
      <c r="AY235" t="str">
        <f>_xlfn.XLOOKUP(AU235,[2]GAE!HZ:HZ,[2]GAE!IG:IG)</f>
        <v>Internal and external consultants</v>
      </c>
      <c r="BC235" t="s">
        <v>35</v>
      </c>
      <c r="BD235" s="3" t="s">
        <v>541</v>
      </c>
      <c r="BE235" s="3"/>
      <c r="BF235" t="s">
        <v>35</v>
      </c>
      <c r="BG235" s="2" t="s">
        <v>35</v>
      </c>
      <c r="BH235" s="10">
        <f>SUMIFS('[1]2026'!$K:$K,'[1]2026'!$T:$T,BD235,'[1]2026'!$S:$S,BH$3,'[1]2026'!$P:$P,AU235)</f>
        <v>139285.71</v>
      </c>
      <c r="BI235" s="10">
        <f>SUMIFS('[1]2026'!$K:$K,'[1]2026'!$T:$T,$BD235,'[1]2026'!$S:$S,BI$3,'[1]2026'!$P:$P,$AU235)</f>
        <v>0</v>
      </c>
      <c r="BJ235" s="10">
        <f>SUMIFS('[1]2026'!$K:$K,'[1]2026'!$T:$T,$BD235,'[1]2026'!$S:$S,BJ$3,'[1]2026'!$P:$P,$AU235)</f>
        <v>0</v>
      </c>
      <c r="BK235" s="10">
        <f>SUMIFS('[1]2026'!$K:$K,'[1]2026'!$T:$T,$BD235,'[1]2026'!$S:$S,BK$3,'[1]2026'!$P:$P,$AU235)</f>
        <v>0</v>
      </c>
      <c r="BL235" s="10">
        <f>SUMIFS('[1]2026'!$K:$K,'[1]2026'!$T:$T,$BD235,'[1]2026'!$S:$S,BL$3,'[1]2026'!$P:$P,$AU235)</f>
        <v>0</v>
      </c>
      <c r="BM235" s="10">
        <f>SUMIFS('[1]2026'!$K:$K,'[1]2026'!$T:$T,$BD235,'[1]2026'!$S:$S,BM$3,'[1]2026'!$P:$P,$AU235)</f>
        <v>0</v>
      </c>
      <c r="BN235" s="10">
        <f>SUMIFS('[1]2026'!$K:$K,'[1]2026'!$T:$T,$BD235,'[1]2026'!$S:$S,BN$3,'[1]2026'!$P:$P,$AU235)</f>
        <v>0</v>
      </c>
      <c r="BO235" s="10">
        <f>SUMIFS('[1]2026'!$K:$K,'[1]2026'!$T:$T,$BD235,'[1]2026'!$S:$S,BO$3,'[1]2026'!$P:$P,$AU235)</f>
        <v>0</v>
      </c>
      <c r="BP235" s="6">
        <f t="shared" si="123"/>
        <v>0</v>
      </c>
      <c r="BQ235" s="6">
        <f t="shared" si="123"/>
        <v>0</v>
      </c>
      <c r="BR235" s="6">
        <f t="shared" si="123"/>
        <v>0</v>
      </c>
      <c r="BS235" s="6">
        <f t="shared" si="123"/>
        <v>0</v>
      </c>
      <c r="BT235" s="6">
        <f t="shared" si="106"/>
        <v>139285.71</v>
      </c>
      <c r="BV235" s="6">
        <f t="shared" si="125"/>
        <v>139285.71</v>
      </c>
      <c r="BW235" s="6">
        <f t="shared" si="126"/>
        <v>0</v>
      </c>
      <c r="BX235" s="6">
        <f t="shared" si="127"/>
        <v>0</v>
      </c>
      <c r="BY235" s="6">
        <f t="shared" si="128"/>
        <v>0</v>
      </c>
      <c r="BZ235" s="6">
        <f t="shared" si="129"/>
        <v>0</v>
      </c>
      <c r="CA235" s="6">
        <f t="shared" si="130"/>
        <v>0</v>
      </c>
      <c r="CB235" s="6">
        <f t="shared" si="131"/>
        <v>0</v>
      </c>
      <c r="CC235" s="6">
        <f t="shared" si="132"/>
        <v>0</v>
      </c>
      <c r="CD235" s="6">
        <f t="shared" si="133"/>
        <v>0</v>
      </c>
      <c r="CE235" s="6">
        <f t="shared" si="134"/>
        <v>0</v>
      </c>
      <c r="CF235" s="6">
        <f t="shared" si="135"/>
        <v>0</v>
      </c>
      <c r="CG235" s="6">
        <f t="shared" si="136"/>
        <v>0</v>
      </c>
      <c r="CH235" s="6">
        <f t="shared" si="107"/>
        <v>139285.71</v>
      </c>
    </row>
    <row r="236" spans="1:87" hidden="1" x14ac:dyDescent="0.35">
      <c r="A236" s="3" t="s">
        <v>544</v>
      </c>
      <c r="B236" s="10">
        <v>114200.00000000004</v>
      </c>
      <c r="C236" s="10">
        <v>114200.00000000004</v>
      </c>
      <c r="D236" s="10">
        <v>114200.00000000004</v>
      </c>
      <c r="E236" s="10">
        <v>114200.00000000004</v>
      </c>
      <c r="F236" s="10">
        <v>114200.00000000004</v>
      </c>
      <c r="G236" s="10">
        <v>114200.00000000004</v>
      </c>
      <c r="H236" s="10">
        <v>114200.00000000004</v>
      </c>
      <c r="I236" s="10">
        <v>114200.00000000004</v>
      </c>
      <c r="J236" s="10">
        <v>114200.00000000004</v>
      </c>
      <c r="K236" s="10">
        <v>114200.00000000004</v>
      </c>
      <c r="L236" s="10">
        <v>114200.00000000004</v>
      </c>
      <c r="M236" s="10">
        <v>114200.00000000004</v>
      </c>
      <c r="N236" s="27">
        <f>SUM(B236:M236)</f>
        <v>1370400.0000000002</v>
      </c>
      <c r="O236" s="10">
        <v>114200.00000000001</v>
      </c>
      <c r="P236" s="10">
        <v>114200.00000000001</v>
      </c>
      <c r="Q236" s="10">
        <v>114200.00000000001</v>
      </c>
      <c r="R236" s="10">
        <v>114200.00000000001</v>
      </c>
      <c r="S236" s="10">
        <v>114200.00000000001</v>
      </c>
      <c r="T236" s="10">
        <v>114200.00000000001</v>
      </c>
      <c r="U236" s="10">
        <v>114200.00000000001</v>
      </c>
      <c r="V236" s="10">
        <v>114200.00000000001</v>
      </c>
      <c r="W236" s="10">
        <v>114200.00000000001</v>
      </c>
      <c r="X236" s="10">
        <v>114200.00000000001</v>
      </c>
      <c r="Y236" s="10">
        <v>114200.00000000001</v>
      </c>
      <c r="Z236" s="10">
        <v>114200.00000000001</v>
      </c>
      <c r="AA236" s="27">
        <f>SUM(O236:Z236)</f>
        <v>1370400.0000000002</v>
      </c>
      <c r="AB236" s="10">
        <f t="shared" ref="AB236:AN251" si="138">B236-O236</f>
        <v>0</v>
      </c>
      <c r="AC236" s="10">
        <f t="shared" si="138"/>
        <v>0</v>
      </c>
      <c r="AD236" s="10">
        <f t="shared" si="138"/>
        <v>0</v>
      </c>
      <c r="AE236" s="10">
        <f t="shared" si="138"/>
        <v>0</v>
      </c>
      <c r="AF236" s="10">
        <f t="shared" si="138"/>
        <v>0</v>
      </c>
      <c r="AG236" s="10">
        <f t="shared" si="138"/>
        <v>0</v>
      </c>
      <c r="AH236" s="10">
        <f t="shared" si="138"/>
        <v>0</v>
      </c>
      <c r="AI236" s="10">
        <f t="shared" si="138"/>
        <v>0</v>
      </c>
      <c r="AJ236" s="10">
        <f t="shared" si="138"/>
        <v>0</v>
      </c>
      <c r="AK236" s="10">
        <f t="shared" si="138"/>
        <v>0</v>
      </c>
      <c r="AL236" s="10">
        <f t="shared" si="138"/>
        <v>0</v>
      </c>
      <c r="AM236" s="10">
        <f t="shared" si="138"/>
        <v>0</v>
      </c>
      <c r="AN236" s="27">
        <f t="shared" si="138"/>
        <v>0</v>
      </c>
      <c r="AO236" s="28">
        <f>56354.7*12</f>
        <v>676256.39999999991</v>
      </c>
      <c r="AP236" s="33">
        <v>29629.87</v>
      </c>
      <c r="AR236" t="s">
        <v>545</v>
      </c>
      <c r="AS236" t="str">
        <f>_xlfn.XLOOKUP(AU236,[2]GAE!HZ:HZ,[2]GAE!IA:IA)</f>
        <v>OMD OPERATIONS</v>
      </c>
      <c r="AT236" t="str">
        <f>_xlfn.XLOOKUP(AU236,[2]GAE!HZ:HZ,[2]GAE!IB:IB)</f>
        <v>DOE - Contracted Services - Others</v>
      </c>
      <c r="AU236" t="s">
        <v>546</v>
      </c>
      <c r="AV236">
        <v>81319101</v>
      </c>
      <c r="AW236">
        <v>52041499</v>
      </c>
      <c r="AX236" t="str">
        <f>_xlfn.XLOOKUP(AU236,[2]GAE!HZ:HZ,[2]GAE!IF:IF)</f>
        <v>Contracted services</v>
      </c>
      <c r="AY236" t="str">
        <f>_xlfn.XLOOKUP(AU236,[2]GAE!HZ:HZ,[2]GAE!IG:IG)</f>
        <v>Admin Staff</v>
      </c>
      <c r="BA236" t="s">
        <v>547</v>
      </c>
      <c r="BC236" t="s">
        <v>34</v>
      </c>
      <c r="BD236" t="s">
        <v>548</v>
      </c>
      <c r="BF236" t="s">
        <v>34</v>
      </c>
      <c r="BG236" t="s">
        <v>1258</v>
      </c>
      <c r="BH236" s="10">
        <f>SUMIFS('[1]2026'!$K:$K,'[1]2026'!$T:$T,BD236,'[1]2026'!$S:$S,BH$3,'[1]2026'!$P:$P,AU236)</f>
        <v>0</v>
      </c>
      <c r="BI236" s="10">
        <f>SUMIFS('[1]2026'!$K:$K,'[1]2026'!$T:$T,$BD236,'[1]2026'!$S:$S,BI$3,'[1]2026'!$P:$P,$AU236)</f>
        <v>0</v>
      </c>
      <c r="BJ236" s="10">
        <f>SUMIFS('[1]2026'!$K:$K,'[1]2026'!$T:$T,$BD236,'[1]2026'!$S:$S,BJ$3,'[1]2026'!$P:$P,$AU236)</f>
        <v>173658.40000000002</v>
      </c>
      <c r="BK236" s="10">
        <f>SUMIFS('[1]2026'!$K:$K,'[1]2026'!$T:$T,$BD236,'[1]2026'!$S:$S,BK$3,'[1]2026'!$P:$P,$AU236)</f>
        <v>72695.100000000006</v>
      </c>
      <c r="BL236" s="10">
        <f>SUMIFS('[1]2026'!$K:$K,'[1]2026'!$T:$T,$BD236,'[1]2026'!$S:$S,BL$3,'[1]2026'!$P:$P,$AU236)</f>
        <v>56354.7</v>
      </c>
      <c r="BM236" s="10">
        <f>SUMIFS('[1]2026'!$K:$K,'[1]2026'!$T:$T,$BD236,'[1]2026'!$S:$S,BM$3,'[1]2026'!$P:$P,$AU236)</f>
        <v>59245.52</v>
      </c>
      <c r="BN236" s="10">
        <f>SUMIFS('[1]2026'!$K:$K,'[1]2026'!$T:$T,$BD236,'[1]2026'!$S:$S,BN$3,'[1]2026'!$P:$P,$AU236)</f>
        <v>67471.98</v>
      </c>
      <c r="BO236" s="10">
        <f>SUMIFS('[1]2026'!$K:$K,'[1]2026'!$T:$T,$BD236,'[1]2026'!$S:$S,BO$3,'[1]2026'!$P:$P,$AU236)</f>
        <v>0</v>
      </c>
      <c r="BP236" s="7">
        <v>65000</v>
      </c>
      <c r="BQ236" s="7">
        <v>65000</v>
      </c>
      <c r="BR236" s="7">
        <v>65000</v>
      </c>
      <c r="BS236" s="7">
        <f>65000*2</f>
        <v>130000</v>
      </c>
      <c r="BT236" s="6">
        <f t="shared" si="106"/>
        <v>754425.7</v>
      </c>
      <c r="BV236" s="6">
        <f t="shared" si="125"/>
        <v>0</v>
      </c>
      <c r="BW236" s="6">
        <f t="shared" si="126"/>
        <v>0</v>
      </c>
      <c r="BX236" s="6">
        <f t="shared" si="127"/>
        <v>173658.40000000002</v>
      </c>
      <c r="BY236" s="6">
        <f t="shared" si="128"/>
        <v>72695.100000000006</v>
      </c>
      <c r="BZ236" s="6">
        <f t="shared" si="129"/>
        <v>56354.7</v>
      </c>
      <c r="CA236" s="6">
        <f t="shared" si="130"/>
        <v>59245.52</v>
      </c>
      <c r="CB236" s="6">
        <f t="shared" si="131"/>
        <v>67471.98</v>
      </c>
      <c r="CC236" s="6">
        <f t="shared" si="132"/>
        <v>0</v>
      </c>
      <c r="CD236" s="6">
        <f t="shared" si="133"/>
        <v>65000</v>
      </c>
      <c r="CE236" s="6">
        <f t="shared" si="134"/>
        <v>65000</v>
      </c>
      <c r="CF236" s="6">
        <f t="shared" si="135"/>
        <v>65000</v>
      </c>
      <c r="CG236" s="6">
        <f t="shared" si="136"/>
        <v>130000</v>
      </c>
      <c r="CH236" s="6">
        <f t="shared" si="107"/>
        <v>754425.7</v>
      </c>
      <c r="CI236" t="s">
        <v>549</v>
      </c>
    </row>
    <row r="237" spans="1:87" hidden="1" x14ac:dyDescent="0.35">
      <c r="A237" s="3" t="s">
        <v>550</v>
      </c>
      <c r="B237" s="10">
        <v>207409.03</v>
      </c>
      <c r="C237" s="10">
        <v>207409.03</v>
      </c>
      <c r="D237" s="10">
        <v>207409.03</v>
      </c>
      <c r="E237" s="10">
        <v>207409.03</v>
      </c>
      <c r="F237" s="10">
        <v>207409.03</v>
      </c>
      <c r="G237" s="10">
        <v>207409.03</v>
      </c>
      <c r="H237" s="10">
        <v>207409.03</v>
      </c>
      <c r="I237" s="10">
        <v>207409.03</v>
      </c>
      <c r="J237" s="10">
        <v>207409.03</v>
      </c>
      <c r="K237" s="10">
        <v>207409.03</v>
      </c>
      <c r="L237" s="10">
        <v>207409.03</v>
      </c>
      <c r="M237" s="10">
        <v>207409.03</v>
      </c>
      <c r="N237" s="27">
        <f>SUM(B237:M237)</f>
        <v>2488908.36</v>
      </c>
      <c r="O237" s="10">
        <v>207409.03</v>
      </c>
      <c r="P237" s="10">
        <v>207409.03</v>
      </c>
      <c r="Q237" s="10">
        <v>207409.03</v>
      </c>
      <c r="R237" s="10">
        <v>207409.03</v>
      </c>
      <c r="S237" s="10">
        <v>207409.03</v>
      </c>
      <c r="T237" s="10">
        <v>207409.03</v>
      </c>
      <c r="U237" s="10">
        <v>207409.03</v>
      </c>
      <c r="V237" s="10">
        <v>207409.03</v>
      </c>
      <c r="W237" s="10">
        <v>207409.03</v>
      </c>
      <c r="X237" s="10">
        <v>207409.03</v>
      </c>
      <c r="Y237" s="10">
        <v>207409.03</v>
      </c>
      <c r="Z237" s="10">
        <v>207409.03</v>
      </c>
      <c r="AA237" s="27">
        <f>SUM(O237:Z237)</f>
        <v>2488908.36</v>
      </c>
      <c r="AB237" s="10">
        <f t="shared" si="138"/>
        <v>0</v>
      </c>
      <c r="AC237" s="10">
        <f t="shared" si="138"/>
        <v>0</v>
      </c>
      <c r="AD237" s="10">
        <f t="shared" si="138"/>
        <v>0</v>
      </c>
      <c r="AE237" s="10">
        <f t="shared" si="138"/>
        <v>0</v>
      </c>
      <c r="AF237" s="10">
        <f t="shared" si="138"/>
        <v>0</v>
      </c>
      <c r="AG237" s="10">
        <f t="shared" si="138"/>
        <v>0</v>
      </c>
      <c r="AH237" s="10">
        <f t="shared" si="138"/>
        <v>0</v>
      </c>
      <c r="AI237" s="10">
        <f t="shared" si="138"/>
        <v>0</v>
      </c>
      <c r="AJ237" s="10">
        <f t="shared" si="138"/>
        <v>0</v>
      </c>
      <c r="AK237" s="10">
        <f t="shared" si="138"/>
        <v>0</v>
      </c>
      <c r="AL237" s="10">
        <f t="shared" si="138"/>
        <v>0</v>
      </c>
      <c r="AM237" s="10">
        <f t="shared" si="138"/>
        <v>0</v>
      </c>
      <c r="AN237" s="27">
        <f t="shared" si="138"/>
        <v>0</v>
      </c>
      <c r="AO237" s="28">
        <f>161525.740321127*12</f>
        <v>1938308.883853524</v>
      </c>
      <c r="AP237" s="33"/>
      <c r="AR237" t="s">
        <v>551</v>
      </c>
      <c r="AS237" t="str">
        <f>_xlfn.XLOOKUP(AU237,[2]GAE!HZ:HZ,[2]GAE!IA:IA)</f>
        <v>OMD OPERATIONS</v>
      </c>
      <c r="AT237" t="str">
        <f>_xlfn.XLOOKUP(AU237,[2]GAE!HZ:HZ,[2]GAE!IB:IB)</f>
        <v>DOE - Contracted Services - Others</v>
      </c>
      <c r="AU237" t="s">
        <v>546</v>
      </c>
      <c r="AV237">
        <v>81319101</v>
      </c>
      <c r="AW237">
        <v>52041499</v>
      </c>
      <c r="AX237" t="str">
        <f>_xlfn.XLOOKUP(AU237,[2]GAE!HZ:HZ,[2]GAE!IF:IF)</f>
        <v>Contracted services</v>
      </c>
      <c r="AY237" t="str">
        <f>_xlfn.XLOOKUP(AU237,[2]GAE!HZ:HZ,[2]GAE!IG:IG)</f>
        <v>Admin Staff</v>
      </c>
      <c r="BA237" t="s">
        <v>547</v>
      </c>
      <c r="BC237" t="s">
        <v>34</v>
      </c>
      <c r="BD237" t="s">
        <v>552</v>
      </c>
      <c r="BF237" t="s">
        <v>34</v>
      </c>
      <c r="BG237" t="s">
        <v>1258</v>
      </c>
      <c r="BH237" s="10">
        <f>SUMIFS('[1]2026'!$K:$K,'[1]2026'!$T:$T,BD237,'[1]2026'!$S:$S,BH$3,'[1]2026'!$P:$P,AU237)</f>
        <v>40418.32</v>
      </c>
      <c r="BI237" s="10">
        <f>SUMIFS('[1]2026'!$K:$K,'[1]2026'!$T:$T,$BD237,'[1]2026'!$S:$S,BI$3,'[1]2026'!$P:$P,$AU237)</f>
        <v>69347.47</v>
      </c>
      <c r="BJ237" s="10">
        <f>SUMIFS('[1]2026'!$K:$K,'[1]2026'!$T:$T,$BD237,'[1]2026'!$S:$S,BJ$3,'[1]2026'!$P:$P,$AU237)</f>
        <v>173108.88</v>
      </c>
      <c r="BK237" s="10">
        <f>SUMIFS('[1]2026'!$K:$K,'[1]2026'!$T:$T,$BD237,'[1]2026'!$S:$S,BK$3,'[1]2026'!$P:$P,$AU237)</f>
        <v>183854.28999999998</v>
      </c>
      <c r="BL237" s="10">
        <f>SUMIFS('[1]2026'!$K:$K,'[1]2026'!$T:$T,$BD237,'[1]2026'!$S:$S,BL$3,'[1]2026'!$P:$P,$AU237)</f>
        <v>126790.27</v>
      </c>
      <c r="BM237" s="10">
        <f>SUMIFS('[1]2026'!$K:$K,'[1]2026'!$T:$T,$BD237,'[1]2026'!$S:$S,BM$3,'[1]2026'!$P:$P,$AU237)</f>
        <v>200621.91999999998</v>
      </c>
      <c r="BN237" s="10">
        <f>SUMIFS('[1]2026'!$K:$K,'[1]2026'!$T:$T,$BD237,'[1]2026'!$S:$S,BN$3,'[1]2026'!$P:$P,$AU237)</f>
        <v>126290.06</v>
      </c>
      <c r="BO237" s="10">
        <f>SUMIFS('[1]2026'!$K:$K,'[1]2026'!$T:$T,$BD237,'[1]2026'!$S:$S,BO$3,'[1]2026'!$P:$P,$AU237)</f>
        <v>124102.7</v>
      </c>
      <c r="BP237" s="6">
        <v>135000</v>
      </c>
      <c r="BQ237" s="6">
        <v>135000</v>
      </c>
      <c r="BR237" s="6">
        <v>135000</v>
      </c>
      <c r="BS237" s="6">
        <v>135000</v>
      </c>
      <c r="BT237" s="6">
        <f t="shared" si="106"/>
        <v>1584533.91</v>
      </c>
      <c r="BV237" s="6">
        <f t="shared" si="125"/>
        <v>40418.32</v>
      </c>
      <c r="BW237" s="6">
        <f t="shared" si="126"/>
        <v>69347.47</v>
      </c>
      <c r="BX237" s="6">
        <f t="shared" si="127"/>
        <v>173108.88</v>
      </c>
      <c r="BY237" s="6">
        <f t="shared" si="128"/>
        <v>183854.28999999998</v>
      </c>
      <c r="BZ237" s="6">
        <f t="shared" si="129"/>
        <v>126790.27</v>
      </c>
      <c r="CA237" s="6">
        <f t="shared" si="130"/>
        <v>200621.91999999998</v>
      </c>
      <c r="CB237" s="6">
        <f t="shared" si="131"/>
        <v>126290.06</v>
      </c>
      <c r="CC237" s="6">
        <f t="shared" si="132"/>
        <v>124102.7</v>
      </c>
      <c r="CD237" s="6">
        <f t="shared" si="133"/>
        <v>135000</v>
      </c>
      <c r="CE237" s="6">
        <f t="shared" si="134"/>
        <v>135000</v>
      </c>
      <c r="CF237" s="6">
        <f t="shared" si="135"/>
        <v>135000</v>
      </c>
      <c r="CG237" s="6">
        <f t="shared" si="136"/>
        <v>135000</v>
      </c>
      <c r="CH237" s="6">
        <f t="shared" si="107"/>
        <v>1584533.91</v>
      </c>
      <c r="CI237" t="s">
        <v>553</v>
      </c>
    </row>
    <row r="238" spans="1:87" hidden="1" x14ac:dyDescent="0.35">
      <c r="AN238" s="27">
        <f t="shared" si="138"/>
        <v>0</v>
      </c>
      <c r="AP238" s="33"/>
      <c r="AS238" t="str">
        <f>_xlfn.XLOOKUP(AU238,[2]GAE!HZ:HZ,[2]GAE!IA:IA)</f>
        <v>OMD OPERATIONS</v>
      </c>
      <c r="AT238" t="str">
        <f>_xlfn.XLOOKUP(AU238,[2]GAE!HZ:HZ,[2]GAE!IB:IB)</f>
        <v>DOE - Contracted Services - Others</v>
      </c>
      <c r="AU238" t="s">
        <v>546</v>
      </c>
      <c r="AV238">
        <v>81319101</v>
      </c>
      <c r="AW238">
        <v>52041499</v>
      </c>
      <c r="AX238" t="str">
        <f>_xlfn.XLOOKUP(AU238,[2]GAE!HZ:HZ,[2]GAE!IF:IF)</f>
        <v>Contracted services</v>
      </c>
      <c r="AY238" t="str">
        <f>_xlfn.XLOOKUP(AU238,[2]GAE!HZ:HZ,[2]GAE!IG:IG)</f>
        <v>Admin Staff</v>
      </c>
      <c r="BC238" t="s">
        <v>34</v>
      </c>
      <c r="BD238" t="s">
        <v>554</v>
      </c>
      <c r="BF238" t="s">
        <v>34</v>
      </c>
      <c r="BG238" t="s">
        <v>1258</v>
      </c>
      <c r="BH238" s="10">
        <f>SUMIFS('[1]2026'!$K:$K,'[1]2026'!$T:$T,BD238,'[1]2026'!$S:$S,BH$3,'[1]2026'!$P:$P,AU238)</f>
        <v>0</v>
      </c>
      <c r="BI238" s="10">
        <f>SUMIFS('[1]2026'!$K:$K,'[1]2026'!$T:$T,$BD238,'[1]2026'!$S:$S,BI$3,'[1]2026'!$P:$P,$AU238)</f>
        <v>0</v>
      </c>
      <c r="BJ238" s="10">
        <f>SUMIFS('[1]2026'!$K:$K,'[1]2026'!$T:$T,$BD238,'[1]2026'!$S:$S,BJ$3,'[1]2026'!$P:$P,$AU238)</f>
        <v>80041</v>
      </c>
      <c r="BK238" s="10">
        <f>SUMIFS('[1]2026'!$K:$K,'[1]2026'!$T:$T,$BD238,'[1]2026'!$S:$S,BK$3,'[1]2026'!$P:$P,$AU238)</f>
        <v>0</v>
      </c>
      <c r="BL238" s="10">
        <f>SUMIFS('[1]2026'!$K:$K,'[1]2026'!$T:$T,$BD238,'[1]2026'!$S:$S,BL$3,'[1]2026'!$P:$P,$AU238)</f>
        <v>28490.26</v>
      </c>
      <c r="BM238" s="10">
        <f>SUMIFS('[1]2026'!$K:$K,'[1]2026'!$T:$T,$BD238,'[1]2026'!$S:$S,BM$3,'[1]2026'!$P:$P,$AU238)</f>
        <v>90858.470000000016</v>
      </c>
      <c r="BN238" s="10">
        <f>SUMIFS('[1]2026'!$K:$K,'[1]2026'!$T:$T,$BD238,'[1]2026'!$S:$S,BN$3,'[1]2026'!$P:$P,$AU238)</f>
        <v>33048.699999999997</v>
      </c>
      <c r="BO238" s="10">
        <f>SUMIFS('[1]2026'!$K:$K,'[1]2026'!$T:$T,$BD238,'[1]2026'!$S:$S,BO$3,'[1]2026'!$P:$P,$AU238)</f>
        <v>22561.9</v>
      </c>
      <c r="BP238" s="6">
        <v>30000</v>
      </c>
      <c r="BQ238" s="6">
        <v>30000</v>
      </c>
      <c r="BR238" s="6">
        <v>30000</v>
      </c>
      <c r="BS238" s="6">
        <v>30000</v>
      </c>
      <c r="BT238" s="6">
        <f t="shared" si="106"/>
        <v>375000.32999999996</v>
      </c>
      <c r="BV238" s="6">
        <f t="shared" si="125"/>
        <v>0</v>
      </c>
      <c r="BW238" s="6">
        <f t="shared" si="126"/>
        <v>0</v>
      </c>
      <c r="BX238" s="6">
        <f t="shared" si="127"/>
        <v>80041</v>
      </c>
      <c r="BY238" s="6">
        <f t="shared" si="128"/>
        <v>0</v>
      </c>
      <c r="BZ238" s="6">
        <f t="shared" si="129"/>
        <v>28490.26</v>
      </c>
      <c r="CA238" s="6">
        <f t="shared" si="130"/>
        <v>90858.470000000016</v>
      </c>
      <c r="CB238" s="6">
        <f t="shared" si="131"/>
        <v>33048.699999999997</v>
      </c>
      <c r="CC238" s="6">
        <f t="shared" si="132"/>
        <v>22561.9</v>
      </c>
      <c r="CD238" s="6">
        <f t="shared" si="133"/>
        <v>30000</v>
      </c>
      <c r="CE238" s="6">
        <f t="shared" si="134"/>
        <v>30000</v>
      </c>
      <c r="CF238" s="6">
        <f t="shared" si="135"/>
        <v>30000</v>
      </c>
      <c r="CG238" s="6">
        <f t="shared" si="136"/>
        <v>30000</v>
      </c>
      <c r="CH238" s="6">
        <f t="shared" si="107"/>
        <v>375000.32999999996</v>
      </c>
      <c r="CI238" t="s">
        <v>555</v>
      </c>
    </row>
    <row r="239" spans="1:87" hidden="1" x14ac:dyDescent="0.35">
      <c r="AN239" s="27">
        <f t="shared" si="138"/>
        <v>0</v>
      </c>
      <c r="AP239" s="33"/>
      <c r="AS239" t="str">
        <f>_xlfn.XLOOKUP(AU239,[2]GAE!HZ:HZ,[2]GAE!IA:IA)</f>
        <v>OMD OPERATIONS</v>
      </c>
      <c r="AT239" t="str">
        <f>_xlfn.XLOOKUP(AU239,[2]GAE!HZ:HZ,[2]GAE!IB:IB)</f>
        <v>DOE - Contracted Services - Others</v>
      </c>
      <c r="AU239" t="s">
        <v>546</v>
      </c>
      <c r="AV239">
        <v>81319101</v>
      </c>
      <c r="AW239">
        <v>52041499</v>
      </c>
      <c r="AX239" t="str">
        <f>_xlfn.XLOOKUP(AU239,[2]GAE!HZ:HZ,[2]GAE!IF:IF)</f>
        <v>Contracted services</v>
      </c>
      <c r="AY239" t="str">
        <f>_xlfn.XLOOKUP(AU239,[2]GAE!HZ:HZ,[2]GAE!IG:IG)</f>
        <v>Admin Staff</v>
      </c>
      <c r="BC239" t="s">
        <v>34</v>
      </c>
      <c r="BD239" t="s">
        <v>533</v>
      </c>
      <c r="BF239" t="s">
        <v>34</v>
      </c>
      <c r="BG239" t="s">
        <v>1258</v>
      </c>
      <c r="BH239" s="10">
        <f>SUMIFS('[1]2026'!$K:$K,'[1]2026'!$T:$T,BD239,'[1]2026'!$S:$S,BH$3,'[1]2026'!$P:$P,AU239)</f>
        <v>49107.19</v>
      </c>
      <c r="BI239" s="10">
        <f>SUMIFS('[1]2026'!$K:$K,'[1]2026'!$T:$T,$BD239,'[1]2026'!$S:$S,BI$3,'[1]2026'!$P:$P,$AU239)</f>
        <v>0</v>
      </c>
      <c r="BJ239" s="10">
        <f>SUMIFS('[1]2026'!$K:$K,'[1]2026'!$T:$T,$BD239,'[1]2026'!$S:$S,BJ$3,'[1]2026'!$P:$P,$AU239)</f>
        <v>62977.97</v>
      </c>
      <c r="BK239" s="10">
        <f>SUMIFS('[1]2026'!$K:$K,'[1]2026'!$T:$T,$BD239,'[1]2026'!$S:$S,BK$3,'[1]2026'!$P:$P,$AU239)</f>
        <v>0</v>
      </c>
      <c r="BL239" s="10">
        <f>SUMIFS('[1]2026'!$K:$K,'[1]2026'!$T:$T,$BD239,'[1]2026'!$S:$S,BL$3,'[1]2026'!$P:$P,$AU239)</f>
        <v>0</v>
      </c>
      <c r="BM239" s="10">
        <f>SUMIFS('[1]2026'!$K:$K,'[1]2026'!$T:$T,$BD239,'[1]2026'!$S:$S,BM$3,'[1]2026'!$P:$P,$AU239)</f>
        <v>0</v>
      </c>
      <c r="BN239" s="10">
        <f>SUMIFS('[1]2026'!$K:$K,'[1]2026'!$T:$T,$BD239,'[1]2026'!$S:$S,BN$3,'[1]2026'!$P:$P,$AU239)</f>
        <v>0</v>
      </c>
      <c r="BO239" s="10">
        <f>SUMIFS('[1]2026'!$K:$K,'[1]2026'!$T:$T,$BD239,'[1]2026'!$S:$S,BO$3,'[1]2026'!$P:$P,$AU239)</f>
        <v>0</v>
      </c>
      <c r="BP239" s="6">
        <f t="shared" ref="BP239:BS239" si="139">BO239</f>
        <v>0</v>
      </c>
      <c r="BQ239" s="6">
        <f t="shared" si="139"/>
        <v>0</v>
      </c>
      <c r="BR239" s="6">
        <f t="shared" si="139"/>
        <v>0</v>
      </c>
      <c r="BS239" s="6">
        <f t="shared" si="139"/>
        <v>0</v>
      </c>
      <c r="BT239" s="6">
        <f t="shared" si="106"/>
        <v>112085.16</v>
      </c>
      <c r="BV239" s="6">
        <f t="shared" si="125"/>
        <v>49107.19</v>
      </c>
      <c r="BW239" s="6">
        <f t="shared" si="126"/>
        <v>0</v>
      </c>
      <c r="BX239" s="6">
        <f t="shared" si="127"/>
        <v>62977.97</v>
      </c>
      <c r="BY239" s="6">
        <f t="shared" si="128"/>
        <v>0</v>
      </c>
      <c r="BZ239" s="6">
        <f t="shared" si="129"/>
        <v>0</v>
      </c>
      <c r="CA239" s="6">
        <f t="shared" si="130"/>
        <v>0</v>
      </c>
      <c r="CB239" s="6">
        <f t="shared" si="131"/>
        <v>0</v>
      </c>
      <c r="CC239" s="6">
        <f t="shared" si="132"/>
        <v>0</v>
      </c>
      <c r="CD239" s="6">
        <f t="shared" si="133"/>
        <v>0</v>
      </c>
      <c r="CE239" s="6">
        <f t="shared" si="134"/>
        <v>0</v>
      </c>
      <c r="CF239" s="6">
        <f t="shared" si="135"/>
        <v>0</v>
      </c>
      <c r="CG239" s="6">
        <f t="shared" si="136"/>
        <v>0</v>
      </c>
      <c r="CH239" s="6">
        <f t="shared" si="107"/>
        <v>112085.16</v>
      </c>
    </row>
    <row r="240" spans="1:87" hidden="1" x14ac:dyDescent="0.35">
      <c r="AN240" s="27">
        <f t="shared" si="138"/>
        <v>0</v>
      </c>
      <c r="AP240" s="33"/>
      <c r="AS240" t="str">
        <f>_xlfn.XLOOKUP(AU240,[2]GAE!HZ:HZ,[2]GAE!IA:IA)</f>
        <v>OMD OPERATIONS</v>
      </c>
      <c r="AT240" t="str">
        <f>_xlfn.XLOOKUP(AU240,[2]GAE!HZ:HZ,[2]GAE!IB:IB)</f>
        <v>DOE - Contracted Services - Others</v>
      </c>
      <c r="AU240" s="2" t="s">
        <v>546</v>
      </c>
      <c r="AV240" s="2">
        <v>81319101</v>
      </c>
      <c r="AW240" s="2">
        <v>52041499</v>
      </c>
      <c r="AX240" t="str">
        <f>_xlfn.XLOOKUP(AU240,[2]GAE!HZ:HZ,[2]GAE!IF:IF)</f>
        <v>Contracted services</v>
      </c>
      <c r="AY240" t="str">
        <f>_xlfn.XLOOKUP(AU240,[2]GAE!HZ:HZ,[2]GAE!IG:IG)</f>
        <v>Admin Staff</v>
      </c>
      <c r="BC240" t="s">
        <v>34</v>
      </c>
      <c r="BD240" t="s">
        <v>556</v>
      </c>
      <c r="BF240" t="s">
        <v>34</v>
      </c>
      <c r="BG240" t="s">
        <v>1258</v>
      </c>
      <c r="BH240" s="10">
        <f>SUMIFS('[1]2026'!$K:$K,'[1]2026'!$T:$T,BD240,'[1]2026'!$S:$S,BH$3,'[1]2026'!$P:$P,AU240)</f>
        <v>0</v>
      </c>
      <c r="BI240" s="10">
        <f>SUMIFS('[1]2026'!$K:$K,'[1]2026'!$T:$T,$BD240,'[1]2026'!$S:$S,BI$3,'[1]2026'!$P:$P,$AU240)</f>
        <v>0</v>
      </c>
      <c r="BJ240" s="10">
        <f>SUMIFS('[1]2026'!$K:$K,'[1]2026'!$T:$T,$BD240,'[1]2026'!$S:$S,BJ$3,'[1]2026'!$P:$P,$AU240)</f>
        <v>0</v>
      </c>
      <c r="BK240" s="10">
        <f>SUMIFS('[1]2026'!$K:$K,'[1]2026'!$T:$T,$BD240,'[1]2026'!$S:$S,BK$3,'[1]2026'!$P:$P,$AU240)</f>
        <v>77460.06</v>
      </c>
      <c r="BL240" s="10">
        <f>SUMIFS('[1]2026'!$K:$K,'[1]2026'!$T:$T,$BD240,'[1]2026'!$S:$S,BL$3,'[1]2026'!$P:$P,$AU240)</f>
        <v>78231.520000000004</v>
      </c>
      <c r="BM240" s="10">
        <f>SUMIFS('[1]2026'!$K:$K,'[1]2026'!$T:$T,$BD240,'[1]2026'!$S:$S,BM$3,'[1]2026'!$P:$P,$AU240)</f>
        <v>191941.05</v>
      </c>
      <c r="BN240" s="10">
        <f>SUMIFS('[1]2026'!$K:$K,'[1]2026'!$T:$T,$BD240,'[1]2026'!$S:$S,BN$3,'[1]2026'!$P:$P,$AU240)</f>
        <v>0</v>
      </c>
      <c r="BO240" s="10">
        <f>SUMIFS('[1]2026'!$K:$K,'[1]2026'!$T:$T,$BD240,'[1]2026'!$S:$S,BO$3,'[1]2026'!$P:$P,$AU240)</f>
        <v>0</v>
      </c>
      <c r="BP240" s="6"/>
      <c r="BQ240" s="6"/>
      <c r="BR240" s="6"/>
      <c r="BS240" s="6"/>
      <c r="BT240" s="6">
        <f t="shared" si="106"/>
        <v>347632.63</v>
      </c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>
        <f t="shared" si="107"/>
        <v>347632.63</v>
      </c>
    </row>
    <row r="241" spans="1:86" hidden="1" x14ac:dyDescent="0.35">
      <c r="A241" s="3" t="s">
        <v>37</v>
      </c>
      <c r="B241" s="10">
        <v>65000</v>
      </c>
      <c r="C241" s="10">
        <v>65000</v>
      </c>
      <c r="D241" s="10">
        <v>65000</v>
      </c>
      <c r="E241" s="10">
        <v>65000</v>
      </c>
      <c r="F241" s="10">
        <v>65000</v>
      </c>
      <c r="G241" s="10">
        <v>65000</v>
      </c>
      <c r="H241" s="10">
        <v>65000</v>
      </c>
      <c r="I241" s="10">
        <v>65000</v>
      </c>
      <c r="J241" s="10">
        <v>65000</v>
      </c>
      <c r="K241" s="10">
        <v>65000</v>
      </c>
      <c r="L241" s="10">
        <v>65000</v>
      </c>
      <c r="M241" s="10">
        <v>65000</v>
      </c>
      <c r="N241" s="27">
        <f t="shared" ref="N241:N304" si="140">SUM(B241:M241)</f>
        <v>780000</v>
      </c>
      <c r="AA241" s="27">
        <f t="shared" ref="AA241:AA304" si="141">SUM(O241:Z241)</f>
        <v>0</v>
      </c>
      <c r="AB241" s="10">
        <f t="shared" ref="AB241:AN265" si="142">B241-O241</f>
        <v>65000</v>
      </c>
      <c r="AC241" s="10">
        <f t="shared" si="142"/>
        <v>65000</v>
      </c>
      <c r="AD241" s="10">
        <f t="shared" si="142"/>
        <v>65000</v>
      </c>
      <c r="AE241" s="10">
        <f t="shared" si="142"/>
        <v>65000</v>
      </c>
      <c r="AF241" s="10">
        <f t="shared" si="142"/>
        <v>65000</v>
      </c>
      <c r="AG241" s="10">
        <f t="shared" si="142"/>
        <v>65000</v>
      </c>
      <c r="AH241" s="10">
        <f t="shared" si="142"/>
        <v>65000</v>
      </c>
      <c r="AI241" s="10">
        <f t="shared" si="142"/>
        <v>65000</v>
      </c>
      <c r="AJ241" s="10">
        <f t="shared" si="142"/>
        <v>65000</v>
      </c>
      <c r="AK241" s="10">
        <f t="shared" si="142"/>
        <v>65000</v>
      </c>
      <c r="AL241" s="10">
        <f t="shared" si="142"/>
        <v>65000</v>
      </c>
      <c r="AM241" s="10">
        <f t="shared" si="142"/>
        <v>65000</v>
      </c>
      <c r="AN241" s="27">
        <f t="shared" si="138"/>
        <v>780000</v>
      </c>
      <c r="AS241" t="str">
        <f>_xlfn.XLOOKUP(AU241,[2]GAE!HZ:HZ,[2]GAE!IA:IA)</f>
        <v>HUMAN RESOURCES</v>
      </c>
      <c r="AT241" t="str">
        <f>_xlfn.XLOOKUP(AU241,[2]GAE!HZ:HZ,[2]GAE!IB:IB)</f>
        <v>DOE - Contracted Services - Others</v>
      </c>
      <c r="AU241" t="s">
        <v>557</v>
      </c>
      <c r="AV241">
        <v>90122101</v>
      </c>
      <c r="AW241">
        <v>52041499</v>
      </c>
      <c r="AX241" t="str">
        <f>_xlfn.XLOOKUP(AU241,[2]GAE!HZ:HZ,[2]GAE!IF:IF)</f>
        <v>Contracted services</v>
      </c>
      <c r="AY241" t="str">
        <f>_xlfn.XLOOKUP(AU241,[2]GAE!HZ:HZ,[2]GAE!IG:IG)</f>
        <v>Contracted-Others</v>
      </c>
      <c r="BC241" t="s">
        <v>37</v>
      </c>
      <c r="BD241" t="s">
        <v>558</v>
      </c>
      <c r="BF241" t="s">
        <v>36</v>
      </c>
      <c r="BG241" s="2" t="s">
        <v>37</v>
      </c>
      <c r="BH241" s="10">
        <f>SUMIFS('[1]2026'!$K:$K,'[1]2026'!$T:$T,BD241,'[1]2026'!$S:$S,BH$3,'[1]2026'!$P:$P,AU241)</f>
        <v>0</v>
      </c>
      <c r="BI241" s="10">
        <f>SUMIFS('[1]2026'!$K:$K,'[1]2026'!$T:$T,$BD241,'[1]2026'!$S:$S,BI$3,'[1]2026'!$P:$P,$AU241)</f>
        <v>0</v>
      </c>
      <c r="BJ241" s="10">
        <f>SUMIFS('[1]2026'!$K:$K,'[1]2026'!$T:$T,$BD241,'[1]2026'!$S:$S,BJ$3,'[1]2026'!$P:$P,$AU241)</f>
        <v>42208.2</v>
      </c>
      <c r="BK241" s="10">
        <f>SUMIFS('[1]2026'!$K:$K,'[1]2026'!$T:$T,$BD241,'[1]2026'!$S:$S,BK$3,'[1]2026'!$P:$P,$AU241)</f>
        <v>77381.7</v>
      </c>
      <c r="BL241" s="10">
        <f>SUMIFS('[1]2026'!$K:$K,'[1]2026'!$T:$T,$BD241,'[1]2026'!$S:$S,BL$3,'[1]2026'!$P:$P,$AU241)</f>
        <v>0</v>
      </c>
      <c r="BM241" s="10">
        <f>SUMIFS('[1]2026'!$K:$K,'[1]2026'!$T:$T,$BD241,'[1]2026'!$S:$S,BM$3,'[1]2026'!$P:$P,$AU241)</f>
        <v>46898</v>
      </c>
      <c r="BN241" s="10">
        <f>SUMIFS('[1]2026'!$K:$K,'[1]2026'!$T:$T,$BD241,'[1]2026'!$S:$S,BN$3,'[1]2026'!$P:$P,$AU241)</f>
        <v>46898</v>
      </c>
      <c r="BO241" s="10">
        <f>SUMIFS('[1]2026'!$K:$K,'[1]2026'!$T:$T,$BD241,'[1]2026'!$S:$S,BO$3,'[1]2026'!$P:$P,$AU241)</f>
        <v>86761.299999999988</v>
      </c>
      <c r="BP241" s="6">
        <v>46898</v>
      </c>
      <c r="BQ241" s="6">
        <v>46898</v>
      </c>
      <c r="BR241" s="6">
        <v>46898</v>
      </c>
      <c r="BS241" s="6">
        <v>46898</v>
      </c>
      <c r="BT241" s="6">
        <f t="shared" si="106"/>
        <v>487739.19999999995</v>
      </c>
      <c r="BV241" s="6">
        <f t="shared" ref="BV241:CG245" si="143">BH241-AB241</f>
        <v>-65000</v>
      </c>
      <c r="BW241" s="6">
        <f t="shared" si="143"/>
        <v>-65000</v>
      </c>
      <c r="BX241" s="6">
        <f t="shared" si="143"/>
        <v>-22791.800000000003</v>
      </c>
      <c r="BY241" s="6">
        <f t="shared" si="143"/>
        <v>12381.699999999997</v>
      </c>
      <c r="BZ241" s="6">
        <f t="shared" si="143"/>
        <v>-65000</v>
      </c>
      <c r="CA241" s="6">
        <f t="shared" si="143"/>
        <v>-18102</v>
      </c>
      <c r="CB241" s="6">
        <f t="shared" si="143"/>
        <v>-18102</v>
      </c>
      <c r="CC241" s="6">
        <f t="shared" si="143"/>
        <v>21761.299999999988</v>
      </c>
      <c r="CD241" s="6">
        <f t="shared" si="143"/>
        <v>-18102</v>
      </c>
      <c r="CE241" s="6">
        <f t="shared" si="143"/>
        <v>-18102</v>
      </c>
      <c r="CF241" s="6">
        <f t="shared" si="143"/>
        <v>-18102</v>
      </c>
      <c r="CG241" s="6">
        <f t="shared" si="143"/>
        <v>-18102</v>
      </c>
      <c r="CH241" s="6">
        <f t="shared" si="107"/>
        <v>-292260.80000000005</v>
      </c>
    </row>
    <row r="242" spans="1:86" hidden="1" x14ac:dyDescent="0.35">
      <c r="A242" s="3" t="s">
        <v>559</v>
      </c>
      <c r="D242" s="10">
        <v>10000</v>
      </c>
      <c r="G242" s="10">
        <v>10000</v>
      </c>
      <c r="J242" s="10">
        <v>10000</v>
      </c>
      <c r="M242" s="10">
        <v>10000</v>
      </c>
      <c r="N242" s="27">
        <f t="shared" si="140"/>
        <v>40000</v>
      </c>
      <c r="AA242" s="27">
        <f t="shared" si="141"/>
        <v>0</v>
      </c>
      <c r="AB242" s="10">
        <f t="shared" si="142"/>
        <v>0</v>
      </c>
      <c r="AC242" s="10">
        <f t="shared" si="142"/>
        <v>0</v>
      </c>
      <c r="AD242" s="10">
        <f t="shared" si="142"/>
        <v>10000</v>
      </c>
      <c r="AE242" s="10">
        <f t="shared" si="142"/>
        <v>0</v>
      </c>
      <c r="AF242" s="10">
        <f t="shared" si="142"/>
        <v>0</v>
      </c>
      <c r="AG242" s="10">
        <f t="shared" si="142"/>
        <v>10000</v>
      </c>
      <c r="AH242" s="10">
        <f t="shared" si="142"/>
        <v>0</v>
      </c>
      <c r="AI242" s="10">
        <f t="shared" si="142"/>
        <v>0</v>
      </c>
      <c r="AJ242" s="10">
        <f t="shared" si="142"/>
        <v>10000</v>
      </c>
      <c r="AK242" s="10">
        <f t="shared" si="142"/>
        <v>0</v>
      </c>
      <c r="AL242" s="10">
        <f t="shared" si="142"/>
        <v>0</v>
      </c>
      <c r="AM242" s="10">
        <f t="shared" si="142"/>
        <v>10000</v>
      </c>
      <c r="AN242" s="27">
        <f t="shared" si="138"/>
        <v>40000</v>
      </c>
      <c r="AS242" t="str">
        <f>_xlfn.XLOOKUP(AU242,[2]GAE!HZ:HZ,[2]GAE!IA:IA)</f>
        <v>HUMAN RESOURCES</v>
      </c>
      <c r="AT242" t="str">
        <f>_xlfn.XLOOKUP(AU242,[2]GAE!HZ:HZ,[2]GAE!IB:IB)</f>
        <v>DOE - Contracted Services - Others</v>
      </c>
      <c r="AU242" t="s">
        <v>557</v>
      </c>
      <c r="AV242">
        <v>90122101</v>
      </c>
      <c r="AW242">
        <v>52041499</v>
      </c>
      <c r="AX242" t="str">
        <f>_xlfn.XLOOKUP(AU242,[2]GAE!HZ:HZ,[2]GAE!IF:IF)</f>
        <v>Contracted services</v>
      </c>
      <c r="AY242" t="str">
        <f>_xlfn.XLOOKUP(AU242,[2]GAE!HZ:HZ,[2]GAE!IG:IG)</f>
        <v>Contracted-Others</v>
      </c>
      <c r="BF242" t="s">
        <v>36</v>
      </c>
      <c r="BG242" t="s">
        <v>559</v>
      </c>
      <c r="BH242" s="10">
        <f>SUMIFS('[1]2026'!$K:$K,'[1]2026'!$T:$T,BD242,'[1]2026'!$S:$S,BH$3,'[1]2026'!$P:$P,AU242)</f>
        <v>0</v>
      </c>
      <c r="BI242" s="10">
        <f>SUMIFS('[1]2026'!$K:$K,'[1]2026'!$T:$T,$BD242,'[1]2026'!$S:$S,BI$3,'[1]2026'!$P:$P,$AU242)</f>
        <v>0</v>
      </c>
      <c r="BJ242" s="10">
        <f>SUMIFS('[1]2026'!$K:$K,'[1]2026'!$T:$T,$BD242,'[1]2026'!$S:$S,BJ$3,'[1]2026'!$P:$P,$AU242)</f>
        <v>0</v>
      </c>
      <c r="BK242" s="10">
        <f>SUMIFS('[1]2026'!$K:$K,'[1]2026'!$T:$T,$BD242,'[1]2026'!$S:$S,BK$3,'[1]2026'!$P:$P,$AU242)</f>
        <v>0</v>
      </c>
      <c r="BL242" s="10">
        <f>SUMIFS('[1]2026'!$K:$K,'[1]2026'!$T:$T,$BD242,'[1]2026'!$S:$S,BL$3,'[1]2026'!$P:$P,$AU242)</f>
        <v>0</v>
      </c>
      <c r="BM242" s="10">
        <f>SUMIFS('[1]2026'!$K:$K,'[1]2026'!$T:$T,$BD242,'[1]2026'!$S:$S,BM$3,'[1]2026'!$P:$P,$AU242)</f>
        <v>0</v>
      </c>
      <c r="BN242" s="10">
        <f>SUMIFS('[1]2026'!$K:$K,'[1]2026'!$T:$T,$BD242,'[1]2026'!$S:$S,BN$3,'[1]2026'!$P:$P,$AU242)</f>
        <v>0</v>
      </c>
      <c r="BO242" s="10">
        <f>SUMIFS('[1]2026'!$K:$K,'[1]2026'!$T:$T,$BD242,'[1]2026'!$S:$S,BO$3,'[1]2026'!$P:$P,$AU242)</f>
        <v>0</v>
      </c>
      <c r="BP242" s="6">
        <f t="shared" ref="BP242:BS243" si="144">BO242</f>
        <v>0</v>
      </c>
      <c r="BQ242" s="6">
        <f t="shared" si="144"/>
        <v>0</v>
      </c>
      <c r="BR242" s="6">
        <f t="shared" si="144"/>
        <v>0</v>
      </c>
      <c r="BS242" s="6">
        <f t="shared" si="144"/>
        <v>0</v>
      </c>
      <c r="BT242" s="6">
        <f t="shared" si="106"/>
        <v>0</v>
      </c>
      <c r="BV242" s="6">
        <f t="shared" si="143"/>
        <v>0</v>
      </c>
      <c r="BW242" s="6">
        <f t="shared" si="143"/>
        <v>0</v>
      </c>
      <c r="BX242" s="6">
        <f t="shared" si="143"/>
        <v>-10000</v>
      </c>
      <c r="BY242" s="6">
        <f t="shared" si="143"/>
        <v>0</v>
      </c>
      <c r="BZ242" s="6">
        <f t="shared" si="143"/>
        <v>0</v>
      </c>
      <c r="CA242" s="6">
        <f t="shared" si="143"/>
        <v>-10000</v>
      </c>
      <c r="CB242" s="6">
        <f t="shared" si="143"/>
        <v>0</v>
      </c>
      <c r="CC242" s="6">
        <f t="shared" si="143"/>
        <v>0</v>
      </c>
      <c r="CD242" s="6">
        <f t="shared" si="143"/>
        <v>-10000</v>
      </c>
      <c r="CE242" s="6">
        <f t="shared" si="143"/>
        <v>0</v>
      </c>
      <c r="CF242" s="6">
        <f t="shared" si="143"/>
        <v>0</v>
      </c>
      <c r="CG242" s="6">
        <f t="shared" si="143"/>
        <v>-10000</v>
      </c>
      <c r="CH242" s="6">
        <f t="shared" si="107"/>
        <v>-40000</v>
      </c>
    </row>
    <row r="243" spans="1:86" hidden="1" x14ac:dyDescent="0.35">
      <c r="A243" s="3" t="s">
        <v>560</v>
      </c>
      <c r="B243" s="10">
        <v>60199.999999999993</v>
      </c>
      <c r="C243" s="10">
        <v>60199.999999999993</v>
      </c>
      <c r="D243" s="10">
        <v>60199.999999999993</v>
      </c>
      <c r="E243" s="10">
        <v>60199.999999999993</v>
      </c>
      <c r="F243" s="10">
        <v>60199.999999999993</v>
      </c>
      <c r="G243" s="10">
        <v>60199.999999999993</v>
      </c>
      <c r="H243" s="10">
        <v>60199.999999999993</v>
      </c>
      <c r="I243" s="10">
        <v>60199.999999999993</v>
      </c>
      <c r="J243" s="10">
        <v>60199.999999999993</v>
      </c>
      <c r="K243" s="10">
        <v>60199.999999999993</v>
      </c>
      <c r="L243" s="10">
        <v>60199.999999999993</v>
      </c>
      <c r="M243" s="10">
        <v>60199.999999999993</v>
      </c>
      <c r="N243" s="27">
        <f t="shared" si="140"/>
        <v>722399.99999999988</v>
      </c>
      <c r="AA243" s="27">
        <f t="shared" si="141"/>
        <v>0</v>
      </c>
      <c r="AB243" s="10">
        <f t="shared" si="142"/>
        <v>60199.999999999993</v>
      </c>
      <c r="AC243" s="10">
        <f t="shared" si="142"/>
        <v>60199.999999999993</v>
      </c>
      <c r="AD243" s="10">
        <f t="shared" si="142"/>
        <v>60199.999999999993</v>
      </c>
      <c r="AE243" s="10">
        <f t="shared" si="142"/>
        <v>60199.999999999993</v>
      </c>
      <c r="AF243" s="10">
        <f t="shared" si="142"/>
        <v>60199.999999999993</v>
      </c>
      <c r="AG243" s="10">
        <f t="shared" si="142"/>
        <v>60199.999999999993</v>
      </c>
      <c r="AH243" s="10">
        <f t="shared" si="142"/>
        <v>60199.999999999993</v>
      </c>
      <c r="AI243" s="10">
        <f t="shared" si="142"/>
        <v>60199.999999999993</v>
      </c>
      <c r="AJ243" s="10">
        <f t="shared" si="142"/>
        <v>60199.999999999993</v>
      </c>
      <c r="AK243" s="10">
        <f t="shared" si="142"/>
        <v>60199.999999999993</v>
      </c>
      <c r="AL243" s="10">
        <f t="shared" si="142"/>
        <v>60199.999999999993</v>
      </c>
      <c r="AM243" s="10">
        <f t="shared" si="142"/>
        <v>60199.999999999993</v>
      </c>
      <c r="AN243" s="27">
        <f t="shared" si="138"/>
        <v>722399.99999999988</v>
      </c>
      <c r="AS243" t="str">
        <f>_xlfn.XLOOKUP(AU243,[2]GAE!HZ:HZ,[2]GAE!IA:IA)</f>
        <v>TAX ACCOUNTING</v>
      </c>
      <c r="AT243" t="str">
        <f>_xlfn.XLOOKUP(AU243,[2]GAE!HZ:HZ,[2]GAE!IB:IB)</f>
        <v>GAE - Contracted Services - Others</v>
      </c>
      <c r="AU243" t="s">
        <v>561</v>
      </c>
      <c r="AV243">
        <v>80133102</v>
      </c>
      <c r="AW243">
        <v>61051199</v>
      </c>
      <c r="AX243" t="str">
        <f>_xlfn.XLOOKUP(AU243,[2]GAE!HZ:HZ,[2]GAE!IF:IF)</f>
        <v>Contracted services</v>
      </c>
      <c r="AY243" t="str">
        <f>_xlfn.XLOOKUP(AU243,[2]GAE!HZ:HZ,[2]GAE!IG:IG)</f>
        <v>Contracted-Others</v>
      </c>
      <c r="BA243" t="s">
        <v>349</v>
      </c>
      <c r="BC243" t="s">
        <v>39</v>
      </c>
      <c r="BD243" t="s">
        <v>39</v>
      </c>
      <c r="BF243" t="s">
        <v>38</v>
      </c>
      <c r="BG243" s="2" t="s">
        <v>562</v>
      </c>
      <c r="BH243" s="10">
        <f>SUMIFS('[1]2026'!$K:$K,'[1]2026'!$T:$T,BD243,'[1]2026'!$S:$S,BH$3,'[1]2026'!$P:$P,AU243)</f>
        <v>253750</v>
      </c>
      <c r="BI243" s="10">
        <f>SUMIFS('[1]2026'!$K:$K,'[1]2026'!$T:$T,$BD243,'[1]2026'!$S:$S,BI$3,'[1]2026'!$P:$P,$AU243)</f>
        <v>0</v>
      </c>
      <c r="BJ243" s="10">
        <f>SUMIFS('[1]2026'!$K:$K,'[1]2026'!$T:$T,$BD243,'[1]2026'!$S:$S,BJ$3,'[1]2026'!$P:$P,$AU243)</f>
        <v>0</v>
      </c>
      <c r="BK243" s="10">
        <f>SUMIFS('[1]2026'!$K:$K,'[1]2026'!$T:$T,$BD243,'[1]2026'!$S:$S,BK$3,'[1]2026'!$P:$P,$AU243)</f>
        <v>0</v>
      </c>
      <c r="BL243" s="10">
        <f>SUMIFS('[1]2026'!$K:$K,'[1]2026'!$T:$T,$BD243,'[1]2026'!$S:$S,BL$3,'[1]2026'!$P:$P,$AU243)</f>
        <v>0</v>
      </c>
      <c r="BM243" s="10">
        <f>SUMIFS('[1]2026'!$K:$K,'[1]2026'!$T:$T,$BD243,'[1]2026'!$S:$S,BM$3,'[1]2026'!$P:$P,$AU243)</f>
        <v>0</v>
      </c>
      <c r="BN243" s="10">
        <f>SUMIFS('[1]2026'!$K:$K,'[1]2026'!$T:$T,$BD243,'[1]2026'!$S:$S,BN$3,'[1]2026'!$P:$P,$AU243)</f>
        <v>51520</v>
      </c>
      <c r="BO243" s="10">
        <f>SUMIFS('[1]2026'!$K:$K,'[1]2026'!$T:$T,$BD243,'[1]2026'!$S:$S,BO$3,'[1]2026'!$P:$P,$AU243)</f>
        <v>0</v>
      </c>
      <c r="BP243" s="6">
        <f t="shared" si="144"/>
        <v>0</v>
      </c>
      <c r="BQ243" s="6">
        <f t="shared" si="144"/>
        <v>0</v>
      </c>
      <c r="BR243" s="6">
        <f t="shared" si="144"/>
        <v>0</v>
      </c>
      <c r="BS243" s="6">
        <f>55000*6</f>
        <v>330000</v>
      </c>
      <c r="BT243" s="6">
        <f t="shared" si="106"/>
        <v>635270</v>
      </c>
      <c r="BV243" s="6">
        <f t="shared" si="143"/>
        <v>193550</v>
      </c>
      <c r="BW243" s="6">
        <f t="shared" si="143"/>
        <v>-60199.999999999993</v>
      </c>
      <c r="BX243" s="6">
        <f t="shared" si="143"/>
        <v>-60199.999999999993</v>
      </c>
      <c r="BY243" s="6">
        <f t="shared" si="143"/>
        <v>-60199.999999999993</v>
      </c>
      <c r="BZ243" s="6">
        <f t="shared" si="143"/>
        <v>-60199.999999999993</v>
      </c>
      <c r="CA243" s="6">
        <f t="shared" si="143"/>
        <v>-60199.999999999993</v>
      </c>
      <c r="CB243" s="6">
        <f t="shared" si="143"/>
        <v>-8679.9999999999927</v>
      </c>
      <c r="CC243" s="6">
        <f t="shared" si="143"/>
        <v>-60199.999999999993</v>
      </c>
      <c r="CD243" s="6">
        <f t="shared" si="143"/>
        <v>-60199.999999999993</v>
      </c>
      <c r="CE243" s="6">
        <f t="shared" si="143"/>
        <v>-60199.999999999993</v>
      </c>
      <c r="CF243" s="6">
        <f t="shared" si="143"/>
        <v>-60199.999999999993</v>
      </c>
      <c r="CG243" s="6">
        <f t="shared" si="143"/>
        <v>269800</v>
      </c>
      <c r="CH243" s="6">
        <f t="shared" si="107"/>
        <v>-87129.999999999884</v>
      </c>
    </row>
    <row r="244" spans="1:86" hidden="1" x14ac:dyDescent="0.35">
      <c r="A244" s="3" t="s">
        <v>563</v>
      </c>
      <c r="B244" s="10">
        <v>31271.873850000004</v>
      </c>
      <c r="C244" s="10">
        <v>31271.873850000004</v>
      </c>
      <c r="D244" s="10">
        <v>31271.873850000004</v>
      </c>
      <c r="E244" s="10">
        <v>31271.873850000004</v>
      </c>
      <c r="F244" s="10">
        <v>31271.873850000004</v>
      </c>
      <c r="G244" s="10">
        <v>31271.873850000004</v>
      </c>
      <c r="H244" s="10">
        <v>31271.873850000004</v>
      </c>
      <c r="I244" s="10">
        <v>31271.873850000004</v>
      </c>
      <c r="J244" s="10">
        <v>31271.873850000004</v>
      </c>
      <c r="K244" s="10">
        <v>31271.873850000004</v>
      </c>
      <c r="L244" s="10">
        <v>31271.873850000004</v>
      </c>
      <c r="M244" s="10">
        <v>31271.873850000004</v>
      </c>
      <c r="N244" s="27">
        <f t="shared" si="140"/>
        <v>375262.48619999993</v>
      </c>
      <c r="AA244" s="27">
        <f t="shared" si="141"/>
        <v>0</v>
      </c>
      <c r="AB244" s="10">
        <f t="shared" si="142"/>
        <v>31271.873850000004</v>
      </c>
      <c r="AC244" s="10">
        <f t="shared" si="142"/>
        <v>31271.873850000004</v>
      </c>
      <c r="AD244" s="10">
        <f t="shared" si="142"/>
        <v>31271.873850000004</v>
      </c>
      <c r="AE244" s="10">
        <f t="shared" si="142"/>
        <v>31271.873850000004</v>
      </c>
      <c r="AF244" s="10">
        <f t="shared" si="142"/>
        <v>31271.873850000004</v>
      </c>
      <c r="AG244" s="10">
        <f t="shared" si="142"/>
        <v>31271.873850000004</v>
      </c>
      <c r="AH244" s="10">
        <f t="shared" si="142"/>
        <v>31271.873850000004</v>
      </c>
      <c r="AI244" s="10">
        <f t="shared" si="142"/>
        <v>31271.873850000004</v>
      </c>
      <c r="AJ244" s="10">
        <f t="shared" si="142"/>
        <v>31271.873850000004</v>
      </c>
      <c r="AK244" s="10">
        <f t="shared" si="142"/>
        <v>31271.873850000004</v>
      </c>
      <c r="AL244" s="10">
        <f t="shared" si="142"/>
        <v>31271.873850000004</v>
      </c>
      <c r="AM244" s="10">
        <f t="shared" si="142"/>
        <v>31271.873850000004</v>
      </c>
      <c r="AN244" s="27">
        <f t="shared" si="138"/>
        <v>375262.48619999993</v>
      </c>
      <c r="AS244" t="str">
        <f>_xlfn.XLOOKUP(AU244,[2]GAE!HZ:HZ,[2]GAE!IA:IA)</f>
        <v>ADMIN SERVICES</v>
      </c>
      <c r="AT244" t="str">
        <f>_xlfn.XLOOKUP(AU244,[2]GAE!HZ:HZ,[2]GAE!IB:IB)</f>
        <v>DOE - Janitorial - Common</v>
      </c>
      <c r="AU244" t="s">
        <v>564</v>
      </c>
      <c r="AV244">
        <v>81123102</v>
      </c>
      <c r="AW244">
        <v>52041405</v>
      </c>
      <c r="AX244" t="str">
        <f>_xlfn.XLOOKUP(AU244,[2]GAE!HZ:HZ,[2]GAE!IF:IF)</f>
        <v>Contracted services</v>
      </c>
      <c r="AY244" t="str">
        <f>_xlfn.XLOOKUP(AU244,[2]GAE!HZ:HZ,[2]GAE!IG:IG)</f>
        <v>Janitorial</v>
      </c>
      <c r="BC244" t="s">
        <v>40</v>
      </c>
      <c r="BD244" t="s">
        <v>565</v>
      </c>
      <c r="BF244" t="s">
        <v>40</v>
      </c>
      <c r="BG244" t="s">
        <v>40</v>
      </c>
      <c r="BH244" s="10">
        <f>SUMIFS('[1]2026'!$K:$K,'[1]2026'!$T:$T,BD244,'[1]2026'!$S:$S,BH$3,'[1]2026'!$P:$P,AU244)</f>
        <v>0</v>
      </c>
      <c r="BI244" s="10">
        <f>SUMIFS('[1]2026'!$K:$K,'[1]2026'!$T:$T,$BD244,'[1]2026'!$S:$S,BI$3,'[1]2026'!$P:$P,$AU244)</f>
        <v>24581.99</v>
      </c>
      <c r="BJ244" s="10">
        <f>SUMIFS('[1]2026'!$K:$K,'[1]2026'!$T:$T,$BD244,'[1]2026'!$S:$S,BJ$3,'[1]2026'!$P:$P,$AU244)</f>
        <v>42906.81</v>
      </c>
      <c r="BK244" s="10">
        <f>SUMIFS('[1]2026'!$K:$K,'[1]2026'!$T:$T,$BD244,'[1]2026'!$S:$S,BK$3,'[1]2026'!$P:$P,$AU244)</f>
        <v>0</v>
      </c>
      <c r="BL244" s="10">
        <f>SUMIFS('[1]2026'!$K:$K,'[1]2026'!$T:$T,$BD244,'[1]2026'!$S:$S,BL$3,'[1]2026'!$P:$P,$AU244)</f>
        <v>85700.040000000008</v>
      </c>
      <c r="BM244" s="10">
        <f>SUMIFS('[1]2026'!$K:$K,'[1]2026'!$T:$T,$BD244,'[1]2026'!$S:$S,BM$3,'[1]2026'!$P:$P,$AU244)</f>
        <v>0</v>
      </c>
      <c r="BN244" s="10">
        <f>SUMIFS('[1]2026'!$K:$K,'[1]2026'!$T:$T,$BD244,'[1]2026'!$S:$S,BN$3,'[1]2026'!$P:$P,$AU244)</f>
        <v>49380.06</v>
      </c>
      <c r="BO244" s="10">
        <f>SUMIFS('[1]2026'!$K:$K,'[1]2026'!$T:$T,$BD244,'[1]2026'!$S:$S,BO$3,'[1]2026'!$P:$P,$AU244)</f>
        <v>0</v>
      </c>
      <c r="BP244" s="6">
        <v>30000</v>
      </c>
      <c r="BQ244" s="6">
        <v>30000</v>
      </c>
      <c r="BR244" s="6">
        <v>30000</v>
      </c>
      <c r="BS244" s="6">
        <v>30000</v>
      </c>
      <c r="BT244" s="6">
        <f t="shared" si="106"/>
        <v>322568.90000000002</v>
      </c>
      <c r="BV244" s="6">
        <f t="shared" si="143"/>
        <v>-31271.873850000004</v>
      </c>
      <c r="BW244" s="6">
        <f t="shared" si="143"/>
        <v>-6689.883850000002</v>
      </c>
      <c r="BX244" s="6">
        <f t="shared" si="143"/>
        <v>11634.936149999994</v>
      </c>
      <c r="BY244" s="6">
        <f t="shared" si="143"/>
        <v>-31271.873850000004</v>
      </c>
      <c r="BZ244" s="6">
        <f t="shared" si="143"/>
        <v>54428.166150000005</v>
      </c>
      <c r="CA244" s="6">
        <f t="shared" si="143"/>
        <v>-31271.873850000004</v>
      </c>
      <c r="CB244" s="6">
        <f t="shared" si="143"/>
        <v>18108.186149999994</v>
      </c>
      <c r="CC244" s="6">
        <f t="shared" si="143"/>
        <v>-31271.873850000004</v>
      </c>
      <c r="CD244" s="6">
        <f t="shared" si="143"/>
        <v>-1271.8738500000036</v>
      </c>
      <c r="CE244" s="6">
        <f t="shared" si="143"/>
        <v>-1271.8738500000036</v>
      </c>
      <c r="CF244" s="6">
        <f t="shared" si="143"/>
        <v>-1271.8738500000036</v>
      </c>
      <c r="CG244" s="6">
        <f t="shared" si="143"/>
        <v>-1271.8738500000036</v>
      </c>
      <c r="CH244" s="6">
        <f t="shared" si="107"/>
        <v>-52693.586199999903</v>
      </c>
    </row>
    <row r="245" spans="1:86" hidden="1" x14ac:dyDescent="0.35">
      <c r="A245" s="3" t="s">
        <v>566</v>
      </c>
      <c r="B245" s="10">
        <v>31271.835000000003</v>
      </c>
      <c r="C245" s="10">
        <v>31271.835000000003</v>
      </c>
      <c r="D245" s="10">
        <v>31271.835000000003</v>
      </c>
      <c r="E245" s="10">
        <v>31271.835000000003</v>
      </c>
      <c r="F245" s="10">
        <v>31271.835000000003</v>
      </c>
      <c r="G245" s="10">
        <v>31271.835000000003</v>
      </c>
      <c r="H245" s="10">
        <v>31271.835000000003</v>
      </c>
      <c r="I245" s="10">
        <v>31271.835000000003</v>
      </c>
      <c r="J245" s="10">
        <v>31271.835000000003</v>
      </c>
      <c r="K245" s="10">
        <v>31271.835000000003</v>
      </c>
      <c r="L245" s="10">
        <v>31271.835000000003</v>
      </c>
      <c r="M245" s="10">
        <v>31271.835000000003</v>
      </c>
      <c r="N245" s="27">
        <f t="shared" si="140"/>
        <v>375262.02000000008</v>
      </c>
      <c r="AA245" s="27">
        <f t="shared" si="141"/>
        <v>0</v>
      </c>
      <c r="AB245" s="10">
        <f t="shared" si="142"/>
        <v>31271.835000000003</v>
      </c>
      <c r="AC245" s="10">
        <f t="shared" si="142"/>
        <v>31271.835000000003</v>
      </c>
      <c r="AD245" s="10">
        <f t="shared" si="142"/>
        <v>31271.835000000003</v>
      </c>
      <c r="AE245" s="10">
        <f t="shared" si="142"/>
        <v>31271.835000000003</v>
      </c>
      <c r="AF245" s="10">
        <f t="shared" si="142"/>
        <v>31271.835000000003</v>
      </c>
      <c r="AG245" s="10">
        <f t="shared" si="142"/>
        <v>31271.835000000003</v>
      </c>
      <c r="AH245" s="10">
        <f t="shared" si="142"/>
        <v>31271.835000000003</v>
      </c>
      <c r="AI245" s="10">
        <f t="shared" si="142"/>
        <v>31271.835000000003</v>
      </c>
      <c r="AJ245" s="10">
        <f t="shared" si="142"/>
        <v>31271.835000000003</v>
      </c>
      <c r="AK245" s="10">
        <f t="shared" si="142"/>
        <v>31271.835000000003</v>
      </c>
      <c r="AL245" s="10">
        <f t="shared" si="142"/>
        <v>31271.835000000003</v>
      </c>
      <c r="AM245" s="10">
        <f t="shared" si="142"/>
        <v>31271.835000000003</v>
      </c>
      <c r="AN245" s="27">
        <f t="shared" si="138"/>
        <v>375262.02000000008</v>
      </c>
      <c r="AS245" t="str">
        <f>_xlfn.XLOOKUP(AU245,[2]GAE!HZ:HZ,[2]GAE!IA:IA)</f>
        <v>ADMIN SERVICES</v>
      </c>
      <c r="AT245" t="str">
        <f>_xlfn.XLOOKUP(AU245,[2]GAE!HZ:HZ,[2]GAE!IB:IB)</f>
        <v>DOE - Janitorial - Common</v>
      </c>
      <c r="AU245" t="s">
        <v>564</v>
      </c>
      <c r="AV245">
        <v>81123102</v>
      </c>
      <c r="AW245">
        <v>52041405</v>
      </c>
      <c r="AX245" t="str">
        <f>_xlfn.XLOOKUP(AU245,[2]GAE!HZ:HZ,[2]GAE!IF:IF)</f>
        <v>Contracted services</v>
      </c>
      <c r="AY245" t="str">
        <f>_xlfn.XLOOKUP(AU245,[2]GAE!HZ:HZ,[2]GAE!IG:IG)</f>
        <v>Janitorial</v>
      </c>
      <c r="BC245" t="s">
        <v>40</v>
      </c>
      <c r="BD245" s="35" t="s">
        <v>567</v>
      </c>
      <c r="BE245" s="35"/>
      <c r="BF245" t="s">
        <v>40</v>
      </c>
      <c r="BG245" t="s">
        <v>40</v>
      </c>
      <c r="BH245" s="10">
        <f>SUMIFS('[1]2026'!$K:$K,'[1]2026'!$T:$T,BD245,'[1]2026'!$S:$S,BH$3,'[1]2026'!$P:$P,AU245)</f>
        <v>0</v>
      </c>
      <c r="BI245" s="10">
        <f>SUMIFS('[1]2026'!$K:$K,'[1]2026'!$T:$T,$BD245,'[1]2026'!$S:$S,BI$3,'[1]2026'!$P:$P,$AU245)</f>
        <v>182261.86</v>
      </c>
      <c r="BJ245" s="10">
        <f>SUMIFS('[1]2026'!$K:$K,'[1]2026'!$T:$T,$BD245,'[1]2026'!$S:$S,BJ$3,'[1]2026'!$P:$P,$AU245)</f>
        <v>273918.73</v>
      </c>
      <c r="BK245" s="10">
        <f>SUMIFS('[1]2026'!$K:$K,'[1]2026'!$T:$T,$BD245,'[1]2026'!$S:$S,BK$3,'[1]2026'!$P:$P,$AU245)</f>
        <v>441069.27999999997</v>
      </c>
      <c r="BL245" s="10">
        <f>SUMIFS('[1]2026'!$K:$K,'[1]2026'!$T:$T,$BD245,'[1]2026'!$S:$S,BL$3,'[1]2026'!$P:$P,$AU245)</f>
        <v>0</v>
      </c>
      <c r="BM245" s="10">
        <f>SUMIFS('[1]2026'!$K:$K,'[1]2026'!$T:$T,$BD245,'[1]2026'!$S:$S,BM$3,'[1]2026'!$P:$P,$AU245)</f>
        <v>180770.87</v>
      </c>
      <c r="BN245" s="10">
        <f>SUMIFS('[1]2026'!$K:$K,'[1]2026'!$T:$T,$BD245,'[1]2026'!$S:$S,BN$3,'[1]2026'!$P:$P,$AU245)</f>
        <v>244048.72</v>
      </c>
      <c r="BO245" s="10">
        <f>SUMIFS('[1]2026'!$K:$K,'[1]2026'!$T:$T,$BD245,'[1]2026'!$S:$S,BO$3,'[1]2026'!$P:$P,$AU245)</f>
        <v>0</v>
      </c>
      <c r="BP245" s="6">
        <v>215000</v>
      </c>
      <c r="BQ245" s="6">
        <v>215000</v>
      </c>
      <c r="BR245" s="6">
        <v>215000</v>
      </c>
      <c r="BS245" s="6">
        <v>215000</v>
      </c>
      <c r="BT245" s="6">
        <f t="shared" si="106"/>
        <v>2182069.46</v>
      </c>
      <c r="BV245" s="6">
        <f t="shared" si="143"/>
        <v>-31271.835000000003</v>
      </c>
      <c r="BW245" s="6">
        <f t="shared" si="143"/>
        <v>150990.02499999999</v>
      </c>
      <c r="BX245" s="6">
        <f t="shared" si="143"/>
        <v>242646.89499999999</v>
      </c>
      <c r="BY245" s="6">
        <f t="shared" si="143"/>
        <v>409797.44499999995</v>
      </c>
      <c r="BZ245" s="6">
        <f t="shared" si="143"/>
        <v>-31271.835000000003</v>
      </c>
      <c r="CA245" s="6">
        <f t="shared" si="143"/>
        <v>149499.035</v>
      </c>
      <c r="CB245" s="6">
        <f t="shared" si="143"/>
        <v>212776.88500000001</v>
      </c>
      <c r="CC245" s="6">
        <f t="shared" si="143"/>
        <v>-31271.835000000003</v>
      </c>
      <c r="CD245" s="6">
        <f t="shared" si="143"/>
        <v>183728.16500000001</v>
      </c>
      <c r="CE245" s="6">
        <f t="shared" si="143"/>
        <v>183728.16500000001</v>
      </c>
      <c r="CF245" s="6">
        <f t="shared" si="143"/>
        <v>183728.16500000001</v>
      </c>
      <c r="CG245" s="6">
        <f t="shared" si="143"/>
        <v>183728.16500000001</v>
      </c>
      <c r="CH245" s="6">
        <f t="shared" si="107"/>
        <v>1806807.44</v>
      </c>
    </row>
    <row r="246" spans="1:86" hidden="1" x14ac:dyDescent="0.35">
      <c r="AN246" s="27">
        <f t="shared" si="138"/>
        <v>0</v>
      </c>
      <c r="AS246" t="str">
        <f>_xlfn.XLOOKUP(AU246,[2]GAE!HZ:HZ,[2]GAE!IA:IA)</f>
        <v>ADMIN SERVICES</v>
      </c>
      <c r="AT246" t="str">
        <f>_xlfn.XLOOKUP(AU246,[2]GAE!HZ:HZ,[2]GAE!IB:IB)</f>
        <v>DOE - Janitorial - Common</v>
      </c>
      <c r="AU246" t="s">
        <v>564</v>
      </c>
      <c r="AV246">
        <v>81123102</v>
      </c>
      <c r="AW246">
        <v>52041405</v>
      </c>
      <c r="AX246" t="str">
        <f>_xlfn.XLOOKUP(AU246,[2]GAE!HZ:HZ,[2]GAE!IF:IF)</f>
        <v>Contracted services</v>
      </c>
      <c r="AY246" t="str">
        <f>_xlfn.XLOOKUP(AU246,[2]GAE!HZ:HZ,[2]GAE!IG:IG)</f>
        <v>Janitorial</v>
      </c>
      <c r="BC246" t="s">
        <v>40</v>
      </c>
      <c r="BD246" s="35" t="s">
        <v>568</v>
      </c>
      <c r="BE246" s="35"/>
      <c r="BF246" t="s">
        <v>40</v>
      </c>
      <c r="BG246" t="s">
        <v>40</v>
      </c>
      <c r="BH246" s="10">
        <f>SUMIFS('[1]2026'!$K:$K,'[1]2026'!$T:$T,BD246,'[1]2026'!$S:$S,BH$3,'[1]2026'!$P:$P,AU246)</f>
        <v>0</v>
      </c>
      <c r="BI246" s="10">
        <f>SUMIFS('[1]2026'!$K:$K,'[1]2026'!$T:$T,$BD246,'[1]2026'!$S:$S,BI$3,'[1]2026'!$P:$P,$AU246)</f>
        <v>0</v>
      </c>
      <c r="BJ246" s="10">
        <f>SUMIFS('[1]2026'!$K:$K,'[1]2026'!$T:$T,$BD246,'[1]2026'!$S:$S,BJ$3,'[1]2026'!$P:$P,$AU246)</f>
        <v>57308.44</v>
      </c>
      <c r="BK246" s="10">
        <f>SUMIFS('[1]2026'!$K:$K,'[1]2026'!$T:$T,$BD246,'[1]2026'!$S:$S,BK$3,'[1]2026'!$P:$P,$AU246)</f>
        <v>0</v>
      </c>
      <c r="BL246" s="10">
        <f>SUMIFS('[1]2026'!$K:$K,'[1]2026'!$T:$T,$BD246,'[1]2026'!$S:$S,BL$3,'[1]2026'!$P:$P,$AU246)</f>
        <v>171925.32</v>
      </c>
      <c r="BM246" s="10">
        <f>SUMIFS('[1]2026'!$K:$K,'[1]2026'!$T:$T,$BD246,'[1]2026'!$S:$S,BM$3,'[1]2026'!$P:$P,$AU246)</f>
        <v>0</v>
      </c>
      <c r="BN246" s="10">
        <f>SUMIFS('[1]2026'!$K:$K,'[1]2026'!$T:$T,$BD246,'[1]2026'!$S:$S,BN$3,'[1]2026'!$P:$P,$AU246)</f>
        <v>57308.44</v>
      </c>
      <c r="BO246" s="10">
        <f>SUMIFS('[1]2026'!$K:$K,'[1]2026'!$T:$T,$BD246,'[1]2026'!$S:$S,BO$3,'[1]2026'!$P:$P,$AU246)</f>
        <v>0</v>
      </c>
      <c r="BP246" s="6">
        <f t="shared" ref="BP246:BS246" si="145">BO246</f>
        <v>0</v>
      </c>
      <c r="BQ246" s="6">
        <f t="shared" si="145"/>
        <v>0</v>
      </c>
      <c r="BR246" s="6">
        <f t="shared" si="145"/>
        <v>0</v>
      </c>
      <c r="BS246" s="6">
        <f t="shared" si="145"/>
        <v>0</v>
      </c>
      <c r="BT246" s="6">
        <f t="shared" si="106"/>
        <v>286542.2</v>
      </c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>
        <f t="shared" si="107"/>
        <v>286542.2</v>
      </c>
    </row>
    <row r="247" spans="1:86" hidden="1" x14ac:dyDescent="0.35">
      <c r="AN247" s="27">
        <f t="shared" si="138"/>
        <v>0</v>
      </c>
      <c r="AS247" t="str">
        <f>_xlfn.XLOOKUP(AU247,[2]GAE!HZ:HZ,[2]GAE!IA:IA)</f>
        <v>CCC-COMMON</v>
      </c>
      <c r="AT247" t="str">
        <f>_xlfn.XLOOKUP(AU247,[2]GAE!HZ:HZ,[2]GAE!IB:IB)</f>
        <v>DOE - Janitorial - Common</v>
      </c>
      <c r="AU247" t="s">
        <v>569</v>
      </c>
      <c r="AV247">
        <v>81111101</v>
      </c>
      <c r="AW247">
        <v>52041405</v>
      </c>
      <c r="AX247" t="str">
        <f>_xlfn.XLOOKUP(AU247,[2]GAE!HZ:HZ,[2]GAE!IF:IF)</f>
        <v>Contracted services</v>
      </c>
      <c r="AY247" t="str">
        <f>_xlfn.XLOOKUP(AU247,[2]GAE!HZ:HZ,[2]GAE!IG:IG)</f>
        <v>Janitorial</v>
      </c>
      <c r="BC247" t="s">
        <v>40</v>
      </c>
      <c r="BD247" t="s">
        <v>565</v>
      </c>
      <c r="BF247" t="s">
        <v>40</v>
      </c>
      <c r="BG247" t="s">
        <v>40</v>
      </c>
      <c r="BH247" s="10">
        <f>SUMIFS('[1]2026'!$K:$K,'[1]2026'!$T:$T,BD247,'[1]2026'!$S:$S,BH$3,'[1]2026'!$P:$P,AU247)</f>
        <v>44000</v>
      </c>
      <c r="BI247" s="10">
        <f>SUMIFS('[1]2026'!$K:$K,'[1]2026'!$T:$T,$BD247,'[1]2026'!$S:$S,BI$3,'[1]2026'!$P:$P,$AU247)</f>
        <v>-24000</v>
      </c>
      <c r="BJ247" s="10">
        <f>SUMIFS('[1]2026'!$K:$K,'[1]2026'!$T:$T,$BD247,'[1]2026'!$S:$S,BJ$3,'[1]2026'!$P:$P,$AU247)</f>
        <v>-20000</v>
      </c>
      <c r="BK247" s="10">
        <f>SUMIFS('[1]2026'!$K:$K,'[1]2026'!$T:$T,$BD247,'[1]2026'!$S:$S,BK$3,'[1]2026'!$P:$P,$AU247)</f>
        <v>63483.650000000009</v>
      </c>
      <c r="BL247" s="10">
        <f>SUMIFS('[1]2026'!$K:$K,'[1]2026'!$T:$T,$BD247,'[1]2026'!$S:$S,BL$3,'[1]2026'!$P:$P,$AU247)</f>
        <v>24581.99</v>
      </c>
      <c r="BM247" s="10">
        <f>SUMIFS('[1]2026'!$K:$K,'[1]2026'!$T:$T,$BD247,'[1]2026'!$S:$S,BM$3,'[1]2026'!$P:$P,$AU247)</f>
        <v>73724.55</v>
      </c>
      <c r="BN247" s="10">
        <f>SUMIFS('[1]2026'!$K:$K,'[1]2026'!$T:$T,$BD247,'[1]2026'!$S:$S,BN$3,'[1]2026'!$P:$P,$AU247)</f>
        <v>-129863.45000000003</v>
      </c>
      <c r="BO247" s="10">
        <f>SUMIFS('[1]2026'!$K:$K,'[1]2026'!$T:$T,$BD247,'[1]2026'!$S:$S,BO$3,'[1]2026'!$P:$P,$AU247)</f>
        <v>0</v>
      </c>
      <c r="BP247" s="6"/>
      <c r="BQ247" s="6"/>
      <c r="BR247" s="6"/>
      <c r="BS247" s="6"/>
      <c r="BT247" s="6">
        <f t="shared" si="106"/>
        <v>31926.739999999976</v>
      </c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>
        <f t="shared" si="107"/>
        <v>31926.739999999976</v>
      </c>
    </row>
    <row r="248" spans="1:86" hidden="1" x14ac:dyDescent="0.35">
      <c r="AN248" s="27">
        <f t="shared" si="138"/>
        <v>0</v>
      </c>
      <c r="AS248" t="str">
        <f>_xlfn.XLOOKUP(AU248,[2]GAE!HZ:HZ,[2]GAE!IA:IA)</f>
        <v>CCC-COMMON</v>
      </c>
      <c r="AT248" t="str">
        <f>_xlfn.XLOOKUP(AU248,[2]GAE!HZ:HZ,[2]GAE!IB:IB)</f>
        <v>DOE - Janitorial - Common</v>
      </c>
      <c r="AU248" t="s">
        <v>569</v>
      </c>
      <c r="AV248">
        <v>81111101</v>
      </c>
      <c r="AW248">
        <v>52041405</v>
      </c>
      <c r="AX248" t="str">
        <f>_xlfn.XLOOKUP(AU248,[2]GAE!HZ:HZ,[2]GAE!IF:IF)</f>
        <v>Contracted services</v>
      </c>
      <c r="AY248" t="str">
        <f>_xlfn.XLOOKUP(AU248,[2]GAE!HZ:HZ,[2]GAE!IG:IG)</f>
        <v>Janitorial</v>
      </c>
      <c r="BC248" t="s">
        <v>40</v>
      </c>
      <c r="BD248" s="35" t="s">
        <v>567</v>
      </c>
      <c r="BE248" s="35"/>
      <c r="BF248" t="s">
        <v>40</v>
      </c>
      <c r="BG248" t="s">
        <v>40</v>
      </c>
      <c r="BH248" s="10">
        <f>SUMIFS('[1]2026'!$K:$K,'[1]2026'!$T:$T,BD248,'[1]2026'!$S:$S,BH$3,'[1]2026'!$P:$P,AU248)</f>
        <v>183000</v>
      </c>
      <c r="BI248" s="10">
        <f>SUMIFS('[1]2026'!$K:$K,'[1]2026'!$T:$T,$BD248,'[1]2026'!$S:$S,BI$3,'[1]2026'!$P:$P,$AU248)</f>
        <v>-500</v>
      </c>
      <c r="BJ248" s="10">
        <f>SUMIFS('[1]2026'!$K:$K,'[1]2026'!$T:$T,$BD248,'[1]2026'!$S:$S,BJ$3,'[1]2026'!$P:$P,$AU248)</f>
        <v>-182500</v>
      </c>
      <c r="BK248" s="10">
        <f>SUMIFS('[1]2026'!$K:$K,'[1]2026'!$T:$T,$BD248,'[1]2026'!$S:$S,BK$3,'[1]2026'!$P:$P,$AU248)</f>
        <v>-182261.86</v>
      </c>
      <c r="BL248" s="10">
        <f>SUMIFS('[1]2026'!$K:$K,'[1]2026'!$T:$T,$BD248,'[1]2026'!$S:$S,BL$3,'[1]2026'!$P:$P,$AU248)</f>
        <v>282617.03999999998</v>
      </c>
      <c r="BM248" s="10">
        <f>SUMIFS('[1]2026'!$K:$K,'[1]2026'!$T:$T,$BD248,'[1]2026'!$S:$S,BM$3,'[1]2026'!$P:$P,$AU248)</f>
        <v>22899.279999999999</v>
      </c>
      <c r="BN248" s="10">
        <f>SUMIFS('[1]2026'!$K:$K,'[1]2026'!$T:$T,$BD248,'[1]2026'!$S:$S,BN$3,'[1]2026'!$P:$P,$AU248)</f>
        <v>-305516.32</v>
      </c>
      <c r="BO248" s="10">
        <f>SUMIFS('[1]2026'!$K:$K,'[1]2026'!$T:$T,$BD248,'[1]2026'!$S:$S,BO$3,'[1]2026'!$P:$P,$AU248)</f>
        <v>245000</v>
      </c>
      <c r="BP248" s="6"/>
      <c r="BQ248" s="6"/>
      <c r="BR248" s="6"/>
      <c r="BS248" s="6"/>
      <c r="BT248" s="6">
        <f t="shared" si="106"/>
        <v>62738.139999999985</v>
      </c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>
        <f t="shared" si="107"/>
        <v>62738.139999999985</v>
      </c>
    </row>
    <row r="249" spans="1:86" hidden="1" x14ac:dyDescent="0.35">
      <c r="AN249" s="27">
        <f t="shared" si="138"/>
        <v>0</v>
      </c>
      <c r="AS249" t="str">
        <f>_xlfn.XLOOKUP(AU249,[2]GAE!HZ:HZ,[2]GAE!IA:IA)</f>
        <v>CCC-COMMON</v>
      </c>
      <c r="AT249" t="str">
        <f>_xlfn.XLOOKUP(AU249,[2]GAE!HZ:HZ,[2]GAE!IB:IB)</f>
        <v>DOE - Janitorial - Common</v>
      </c>
      <c r="AU249" t="s">
        <v>569</v>
      </c>
      <c r="AV249">
        <v>81111101</v>
      </c>
      <c r="AW249">
        <v>52041405</v>
      </c>
      <c r="AX249" t="str">
        <f>_xlfn.XLOOKUP(AU249,[2]GAE!HZ:HZ,[2]GAE!IF:IF)</f>
        <v>Contracted services</v>
      </c>
      <c r="AY249" t="str">
        <f>_xlfn.XLOOKUP(AU249,[2]GAE!HZ:HZ,[2]GAE!IG:IG)</f>
        <v>Janitorial</v>
      </c>
      <c r="BC249" t="s">
        <v>40</v>
      </c>
      <c r="BD249" s="35" t="s">
        <v>568</v>
      </c>
      <c r="BE249" s="35"/>
      <c r="BF249" t="s">
        <v>40</v>
      </c>
      <c r="BG249" t="s">
        <v>40</v>
      </c>
      <c r="BH249" s="10">
        <f>SUMIFS('[1]2026'!$K:$K,'[1]2026'!$T:$T,BD249,'[1]2026'!$S:$S,BH$3,'[1]2026'!$P:$P,AU249)</f>
        <v>58000</v>
      </c>
      <c r="BI249" s="10">
        <f>SUMIFS('[1]2026'!$K:$K,'[1]2026'!$T:$T,$BD249,'[1]2026'!$S:$S,BI$3,'[1]2026'!$P:$P,$AU249)</f>
        <v>57000</v>
      </c>
      <c r="BJ249" s="10">
        <f>SUMIFS('[1]2026'!$K:$K,'[1]2026'!$T:$T,$BD249,'[1]2026'!$S:$S,BJ$3,'[1]2026'!$P:$P,$AU249)</f>
        <v>-383.11999999999534</v>
      </c>
      <c r="BK249" s="10">
        <f>SUMIFS('[1]2026'!$K:$K,'[1]2026'!$T:$T,$BD249,'[1]2026'!$S:$S,BK$3,'[1]2026'!$P:$P,$AU249)</f>
        <v>57308.44</v>
      </c>
      <c r="BL249" s="10">
        <f>SUMIFS('[1]2026'!$K:$K,'[1]2026'!$T:$T,$BD249,'[1]2026'!$S:$S,BL$3,'[1]2026'!$P:$P,$AU249)</f>
        <v>-137132.10999999999</v>
      </c>
      <c r="BM249" s="10">
        <f>SUMIFS('[1]2026'!$K:$K,'[1]2026'!$T:$T,$BD249,'[1]2026'!$S:$S,BM$3,'[1]2026'!$P:$P,$AU249)</f>
        <v>57308.44</v>
      </c>
      <c r="BN249" s="10">
        <f>SUMIFS('[1]2026'!$K:$K,'[1]2026'!$T:$T,$BD249,'[1]2026'!$S:$S,BN$3,'[1]2026'!$P:$P,$AU249)</f>
        <v>0</v>
      </c>
      <c r="BO249" s="10">
        <f>SUMIFS('[1]2026'!$K:$K,'[1]2026'!$T:$T,$BD249,'[1]2026'!$S:$S,BO$3,'[1]2026'!$P:$P,$AU249)</f>
        <v>57308.44</v>
      </c>
      <c r="BP249" s="6">
        <v>58000</v>
      </c>
      <c r="BQ249" s="6">
        <v>58000</v>
      </c>
      <c r="BR249" s="6">
        <v>58000</v>
      </c>
      <c r="BS249" s="6">
        <v>58000</v>
      </c>
      <c r="BT249" s="6">
        <f t="shared" si="106"/>
        <v>381410.09</v>
      </c>
      <c r="BV249" s="6">
        <f t="shared" ref="BV249:BV265" si="146">BH249-AB249</f>
        <v>58000</v>
      </c>
      <c r="BW249" s="6">
        <f t="shared" ref="BW249:BW265" si="147">BI249-AC249</f>
        <v>57000</v>
      </c>
      <c r="BX249" s="6">
        <f t="shared" ref="BX249:BX265" si="148">BJ249-AD249</f>
        <v>-383.11999999999534</v>
      </c>
      <c r="BY249" s="6">
        <f t="shared" ref="BY249:BY265" si="149">BK249-AE249</f>
        <v>57308.44</v>
      </c>
      <c r="BZ249" s="6">
        <f t="shared" ref="BZ249:BZ265" si="150">BL249-AF249</f>
        <v>-137132.10999999999</v>
      </c>
      <c r="CA249" s="6">
        <f t="shared" ref="CA249:CA265" si="151">BM249-AG249</f>
        <v>57308.44</v>
      </c>
      <c r="CB249" s="6">
        <f t="shared" ref="CB249:CB265" si="152">BN249-AH249</f>
        <v>0</v>
      </c>
      <c r="CC249" s="6">
        <f t="shared" ref="CC249:CC265" si="153">BO249-AI249</f>
        <v>57308.44</v>
      </c>
      <c r="CD249" s="6">
        <f t="shared" ref="CD249:CD265" si="154">BP249-AJ249</f>
        <v>58000</v>
      </c>
      <c r="CE249" s="6">
        <f t="shared" ref="CE249:CE265" si="155">BQ249-AK249</f>
        <v>58000</v>
      </c>
      <c r="CF249" s="6">
        <f t="shared" ref="CF249:CF265" si="156">BR249-AL249</f>
        <v>58000</v>
      </c>
      <c r="CG249" s="6">
        <f t="shared" ref="CG249:CG265" si="157">BS249-AM249</f>
        <v>58000</v>
      </c>
      <c r="CH249" s="6">
        <f t="shared" si="107"/>
        <v>381410.09</v>
      </c>
    </row>
    <row r="250" spans="1:86" hidden="1" x14ac:dyDescent="0.35">
      <c r="A250" s="3" t="s">
        <v>570</v>
      </c>
      <c r="B250" s="10">
        <v>29518.444200000002</v>
      </c>
      <c r="C250" s="10">
        <v>29518.444200000002</v>
      </c>
      <c r="D250" s="10">
        <v>29518.444200000002</v>
      </c>
      <c r="E250" s="10">
        <v>29518.444200000002</v>
      </c>
      <c r="F250" s="10">
        <v>29518.444200000002</v>
      </c>
      <c r="G250" s="10">
        <v>29518.444200000002</v>
      </c>
      <c r="H250" s="10">
        <v>29518.444200000002</v>
      </c>
      <c r="I250" s="10">
        <v>29518.444200000002</v>
      </c>
      <c r="J250" s="10">
        <v>29518.444200000002</v>
      </c>
      <c r="K250" s="10">
        <v>29518.444200000002</v>
      </c>
      <c r="L250" s="10">
        <v>29518.444200000002</v>
      </c>
      <c r="M250" s="10">
        <v>29518.444200000002</v>
      </c>
      <c r="N250" s="27">
        <f t="shared" si="140"/>
        <v>354221.33040000009</v>
      </c>
      <c r="AA250" s="27">
        <f t="shared" si="141"/>
        <v>0</v>
      </c>
      <c r="AB250" s="10">
        <f t="shared" si="142"/>
        <v>29518.444200000002</v>
      </c>
      <c r="AC250" s="10">
        <f t="shared" si="142"/>
        <v>29518.444200000002</v>
      </c>
      <c r="AD250" s="10">
        <f t="shared" si="142"/>
        <v>29518.444200000002</v>
      </c>
      <c r="AE250" s="10">
        <f t="shared" si="142"/>
        <v>29518.444200000002</v>
      </c>
      <c r="AF250" s="10">
        <f t="shared" si="142"/>
        <v>29518.444200000002</v>
      </c>
      <c r="AG250" s="10">
        <f t="shared" si="142"/>
        <v>29518.444200000002</v>
      </c>
      <c r="AH250" s="10">
        <f t="shared" si="142"/>
        <v>29518.444200000002</v>
      </c>
      <c r="AI250" s="10">
        <f t="shared" si="142"/>
        <v>29518.444200000002</v>
      </c>
      <c r="AJ250" s="10">
        <f t="shared" si="142"/>
        <v>29518.444200000002</v>
      </c>
      <c r="AK250" s="10">
        <f t="shared" si="142"/>
        <v>29518.444200000002</v>
      </c>
      <c r="AL250" s="10">
        <f t="shared" si="142"/>
        <v>29518.444200000002</v>
      </c>
      <c r="AM250" s="10">
        <f t="shared" si="142"/>
        <v>29518.444200000002</v>
      </c>
      <c r="AN250" s="27">
        <f t="shared" si="138"/>
        <v>354221.33040000009</v>
      </c>
      <c r="AS250" t="str">
        <f>_xlfn.XLOOKUP(AU250,[2]GAE!HZ:HZ,[2]GAE!IA:IA)</f>
        <v>ADMIN SERVICES</v>
      </c>
      <c r="AT250" t="str">
        <f>_xlfn.XLOOKUP(AU250,[2]GAE!HZ:HZ,[2]GAE!IB:IB)</f>
        <v>DOE - Janitorial - Common</v>
      </c>
      <c r="AU250" t="s">
        <v>564</v>
      </c>
      <c r="AV250">
        <v>81123102</v>
      </c>
      <c r="AW250">
        <v>52041405</v>
      </c>
      <c r="AX250" t="str">
        <f>_xlfn.XLOOKUP(AU250,[2]GAE!HZ:HZ,[2]GAE!IF:IF)</f>
        <v>Contracted services</v>
      </c>
      <c r="AY250" t="str">
        <f>_xlfn.XLOOKUP(AU250,[2]GAE!HZ:HZ,[2]GAE!IG:IG)</f>
        <v>Janitorial</v>
      </c>
      <c r="BD250" s="35" t="s">
        <v>40</v>
      </c>
      <c r="BE250" s="35"/>
      <c r="BF250" t="s">
        <v>40</v>
      </c>
      <c r="BG250" t="s">
        <v>40</v>
      </c>
      <c r="BH250" s="10">
        <f>SUMIFS('[1]2026'!$K:$K,'[1]2026'!$T:$T,BD250,'[1]2026'!$S:$S,BH$3,'[1]2026'!$P:$P,AU250)</f>
        <v>0</v>
      </c>
      <c r="BI250" s="10">
        <f>SUMIFS('[1]2026'!$K:$K,'[1]2026'!$T:$T,$BD250,'[1]2026'!$S:$S,BI$3,'[1]2026'!$P:$P,$AU250)</f>
        <v>0</v>
      </c>
      <c r="BJ250" s="6"/>
      <c r="BK250" s="10">
        <f>SUMIFS('[1]2026'!$K:$K,'[1]2026'!$T:$T,$BD250,'[1]2026'!$S:$S,BK$3,'[1]2026'!$P:$P,$AU250)</f>
        <v>0</v>
      </c>
      <c r="BL250" s="10">
        <f>SUMIFS('[1]2026'!$K:$K,'[1]2026'!$T:$T,$BD250,'[1]2026'!$S:$S,BL$3,'[1]2026'!$P:$P,$AU250)</f>
        <v>0</v>
      </c>
      <c r="BM250" s="10">
        <f>SUMIFS('[1]2026'!$K:$K,'[1]2026'!$T:$T,$BD250,'[1]2026'!$S:$S,BM$3,'[1]2026'!$P:$P,$AU250)</f>
        <v>0</v>
      </c>
      <c r="BN250" s="10">
        <f>SUMIFS('[1]2026'!$K:$K,'[1]2026'!$T:$T,$BD250,'[1]2026'!$S:$S,BN$3,'[1]2026'!$P:$P,$AU250)</f>
        <v>0</v>
      </c>
      <c r="BO250" s="10">
        <f>SUMIFS('[1]2026'!$K:$K,'[1]2026'!$T:$T,$BD250,'[1]2026'!$S:$S,BO$3,'[1]2026'!$P:$P,$AU250)</f>
        <v>0</v>
      </c>
      <c r="BP250" s="6">
        <f t="shared" ref="BP250:BS261" si="158">BO250</f>
        <v>0</v>
      </c>
      <c r="BQ250" s="6">
        <f t="shared" si="158"/>
        <v>0</v>
      </c>
      <c r="BR250" s="6">
        <f t="shared" si="158"/>
        <v>0</v>
      </c>
      <c r="BS250" s="6">
        <f t="shared" si="158"/>
        <v>0</v>
      </c>
      <c r="BT250" s="6">
        <f t="shared" si="106"/>
        <v>0</v>
      </c>
      <c r="BV250" s="6">
        <f t="shared" si="146"/>
        <v>-29518.444200000002</v>
      </c>
      <c r="BW250" s="6">
        <f t="shared" si="147"/>
        <v>-29518.444200000002</v>
      </c>
      <c r="BX250" s="6">
        <f t="shared" si="148"/>
        <v>-29518.444200000002</v>
      </c>
      <c r="BY250" s="6">
        <f t="shared" si="149"/>
        <v>-29518.444200000002</v>
      </c>
      <c r="BZ250" s="6">
        <f t="shared" si="150"/>
        <v>-29518.444200000002</v>
      </c>
      <c r="CA250" s="6">
        <f t="shared" si="151"/>
        <v>-29518.444200000002</v>
      </c>
      <c r="CB250" s="6">
        <f t="shared" si="152"/>
        <v>-29518.444200000002</v>
      </c>
      <c r="CC250" s="6">
        <f t="shared" si="153"/>
        <v>-29518.444200000002</v>
      </c>
      <c r="CD250" s="6">
        <f t="shared" si="154"/>
        <v>-29518.444200000002</v>
      </c>
      <c r="CE250" s="6">
        <f t="shared" si="155"/>
        <v>-29518.444200000002</v>
      </c>
      <c r="CF250" s="6">
        <f t="shared" si="156"/>
        <v>-29518.444200000002</v>
      </c>
      <c r="CG250" s="6">
        <f t="shared" si="157"/>
        <v>-29518.444200000002</v>
      </c>
      <c r="CH250" s="6">
        <f t="shared" si="107"/>
        <v>-354221.33040000009</v>
      </c>
    </row>
    <row r="251" spans="1:86" hidden="1" x14ac:dyDescent="0.35">
      <c r="A251" s="3" t="s">
        <v>571</v>
      </c>
      <c r="B251" s="10">
        <v>29518.44</v>
      </c>
      <c r="C251" s="10">
        <v>29518.44</v>
      </c>
      <c r="D251" s="10">
        <v>29518.44</v>
      </c>
      <c r="E251" s="10">
        <v>29518.44</v>
      </c>
      <c r="F251" s="10">
        <v>29518.44</v>
      </c>
      <c r="G251" s="10">
        <v>29518.44</v>
      </c>
      <c r="H251" s="10">
        <v>29518.44</v>
      </c>
      <c r="I251" s="10">
        <v>29518.44</v>
      </c>
      <c r="J251" s="10">
        <v>29518.44</v>
      </c>
      <c r="K251" s="10">
        <v>29518.44</v>
      </c>
      <c r="L251" s="10">
        <v>29518.44</v>
      </c>
      <c r="M251" s="10">
        <v>29518.44</v>
      </c>
      <c r="N251" s="27">
        <f t="shared" si="140"/>
        <v>354221.27999999997</v>
      </c>
      <c r="AA251" s="27">
        <f t="shared" si="141"/>
        <v>0</v>
      </c>
      <c r="AB251" s="10">
        <f t="shared" si="142"/>
        <v>29518.44</v>
      </c>
      <c r="AC251" s="10">
        <f t="shared" si="142"/>
        <v>29518.44</v>
      </c>
      <c r="AD251" s="10">
        <f t="shared" si="142"/>
        <v>29518.44</v>
      </c>
      <c r="AE251" s="10">
        <f t="shared" si="142"/>
        <v>29518.44</v>
      </c>
      <c r="AF251" s="10">
        <f t="shared" si="142"/>
        <v>29518.44</v>
      </c>
      <c r="AG251" s="10">
        <f t="shared" si="142"/>
        <v>29518.44</v>
      </c>
      <c r="AH251" s="10">
        <f t="shared" si="142"/>
        <v>29518.44</v>
      </c>
      <c r="AI251" s="10">
        <f t="shared" si="142"/>
        <v>29518.44</v>
      </c>
      <c r="AJ251" s="10">
        <f t="shared" si="142"/>
        <v>29518.44</v>
      </c>
      <c r="AK251" s="10">
        <f t="shared" si="142"/>
        <v>29518.44</v>
      </c>
      <c r="AL251" s="10">
        <f t="shared" si="142"/>
        <v>29518.44</v>
      </c>
      <c r="AM251" s="10">
        <f t="shared" si="142"/>
        <v>29518.44</v>
      </c>
      <c r="AN251" s="27">
        <f t="shared" si="138"/>
        <v>354221.27999999997</v>
      </c>
      <c r="AS251" t="str">
        <f>_xlfn.XLOOKUP(AU251,[2]GAE!HZ:HZ,[2]GAE!IA:IA)</f>
        <v>ADMIN SERVICES</v>
      </c>
      <c r="AT251" t="str">
        <f>_xlfn.XLOOKUP(AU251,[2]GAE!HZ:HZ,[2]GAE!IB:IB)</f>
        <v>DOE - Janitorial - Common</v>
      </c>
      <c r="AU251" t="s">
        <v>564</v>
      </c>
      <c r="AV251">
        <v>81123102</v>
      </c>
      <c r="AW251">
        <v>52041405</v>
      </c>
      <c r="AX251" t="str">
        <f>_xlfn.XLOOKUP(AU251,[2]GAE!HZ:HZ,[2]GAE!IF:IF)</f>
        <v>Contracted services</v>
      </c>
      <c r="AY251" t="str">
        <f>_xlfn.XLOOKUP(AU251,[2]GAE!HZ:HZ,[2]GAE!IG:IG)</f>
        <v>Janitorial</v>
      </c>
      <c r="BD251" s="35" t="s">
        <v>40</v>
      </c>
      <c r="BE251" s="35"/>
      <c r="BF251" t="s">
        <v>40</v>
      </c>
      <c r="BG251" t="s">
        <v>40</v>
      </c>
      <c r="BH251" s="10">
        <f>SUMIFS('[1]2026'!$K:$K,'[1]2026'!$T:$T,BD251,'[1]2026'!$S:$S,BH$3,'[1]2026'!$P:$P,AU251)</f>
        <v>0</v>
      </c>
      <c r="BI251" s="10">
        <f>SUMIFS('[1]2026'!$K:$K,'[1]2026'!$T:$T,$BD251,'[1]2026'!$S:$S,BI$3,'[1]2026'!$P:$P,$AU251)</f>
        <v>0</v>
      </c>
      <c r="BJ251" s="6"/>
      <c r="BK251" s="10">
        <f>SUMIFS('[1]2026'!$K:$K,'[1]2026'!$T:$T,$BD251,'[1]2026'!$S:$S,BK$3,'[1]2026'!$P:$P,$AU251)</f>
        <v>0</v>
      </c>
      <c r="BL251" s="10">
        <f>SUMIFS('[1]2026'!$K:$K,'[1]2026'!$T:$T,$BD251,'[1]2026'!$S:$S,BL$3,'[1]2026'!$P:$P,$AU251)</f>
        <v>0</v>
      </c>
      <c r="BM251" s="10">
        <f>SUMIFS('[1]2026'!$K:$K,'[1]2026'!$T:$T,$BD251,'[1]2026'!$S:$S,BM$3,'[1]2026'!$P:$P,$AU251)</f>
        <v>0</v>
      </c>
      <c r="BN251" s="10">
        <f>SUMIFS('[1]2026'!$K:$K,'[1]2026'!$T:$T,$BD251,'[1]2026'!$S:$S,BN$3,'[1]2026'!$P:$P,$AU251)</f>
        <v>0</v>
      </c>
      <c r="BO251" s="10">
        <f>SUMIFS('[1]2026'!$K:$K,'[1]2026'!$T:$T,$BD251,'[1]2026'!$S:$S,BO$3,'[1]2026'!$P:$P,$AU251)</f>
        <v>0</v>
      </c>
      <c r="BP251" s="6">
        <f t="shared" si="158"/>
        <v>0</v>
      </c>
      <c r="BQ251" s="6">
        <f t="shared" si="158"/>
        <v>0</v>
      </c>
      <c r="BR251" s="6">
        <f t="shared" si="158"/>
        <v>0</v>
      </c>
      <c r="BS251" s="6">
        <f t="shared" si="158"/>
        <v>0</v>
      </c>
      <c r="BT251" s="6">
        <f t="shared" si="106"/>
        <v>0</v>
      </c>
      <c r="BV251" s="6">
        <f t="shared" si="146"/>
        <v>-29518.44</v>
      </c>
      <c r="BW251" s="6">
        <f t="shared" si="147"/>
        <v>-29518.44</v>
      </c>
      <c r="BX251" s="6">
        <f t="shared" si="148"/>
        <v>-29518.44</v>
      </c>
      <c r="BY251" s="6">
        <f t="shared" si="149"/>
        <v>-29518.44</v>
      </c>
      <c r="BZ251" s="6">
        <f t="shared" si="150"/>
        <v>-29518.44</v>
      </c>
      <c r="CA251" s="6">
        <f t="shared" si="151"/>
        <v>-29518.44</v>
      </c>
      <c r="CB251" s="6">
        <f t="shared" si="152"/>
        <v>-29518.44</v>
      </c>
      <c r="CC251" s="6">
        <f t="shared" si="153"/>
        <v>-29518.44</v>
      </c>
      <c r="CD251" s="6">
        <f t="shared" si="154"/>
        <v>-29518.44</v>
      </c>
      <c r="CE251" s="6">
        <f t="shared" si="155"/>
        <v>-29518.44</v>
      </c>
      <c r="CF251" s="6">
        <f t="shared" si="156"/>
        <v>-29518.44</v>
      </c>
      <c r="CG251" s="6">
        <f t="shared" si="157"/>
        <v>-29518.44</v>
      </c>
      <c r="CH251" s="6">
        <f t="shared" si="107"/>
        <v>-354221.27999999997</v>
      </c>
    </row>
    <row r="252" spans="1:86" hidden="1" x14ac:dyDescent="0.35">
      <c r="A252" s="3" t="s">
        <v>572</v>
      </c>
      <c r="B252" s="10">
        <v>28818.793500000003</v>
      </c>
      <c r="C252" s="10">
        <v>28818.793500000003</v>
      </c>
      <c r="D252" s="10">
        <v>28818.793500000003</v>
      </c>
      <c r="E252" s="10">
        <v>28818.793500000003</v>
      </c>
      <c r="F252" s="10">
        <v>28818.793500000003</v>
      </c>
      <c r="G252" s="10">
        <v>28818.793500000003</v>
      </c>
      <c r="H252" s="10">
        <v>28818.793500000003</v>
      </c>
      <c r="I252" s="10">
        <v>28818.793500000003</v>
      </c>
      <c r="J252" s="10">
        <v>28818.793500000003</v>
      </c>
      <c r="K252" s="10">
        <v>28818.793500000003</v>
      </c>
      <c r="L252" s="10">
        <v>28818.793500000003</v>
      </c>
      <c r="M252" s="10">
        <v>28818.793500000003</v>
      </c>
      <c r="N252" s="27">
        <f t="shared" si="140"/>
        <v>345825.52200000011</v>
      </c>
      <c r="AA252" s="27">
        <f t="shared" si="141"/>
        <v>0</v>
      </c>
      <c r="AB252" s="10">
        <f t="shared" si="142"/>
        <v>28818.793500000003</v>
      </c>
      <c r="AC252" s="10">
        <f t="shared" si="142"/>
        <v>28818.793500000003</v>
      </c>
      <c r="AD252" s="10">
        <f t="shared" si="142"/>
        <v>28818.793500000003</v>
      </c>
      <c r="AE252" s="10">
        <f t="shared" si="142"/>
        <v>28818.793500000003</v>
      </c>
      <c r="AF252" s="10">
        <f t="shared" si="142"/>
        <v>28818.793500000003</v>
      </c>
      <c r="AG252" s="10">
        <f t="shared" si="142"/>
        <v>28818.793500000003</v>
      </c>
      <c r="AH252" s="10">
        <f t="shared" si="142"/>
        <v>28818.793500000003</v>
      </c>
      <c r="AI252" s="10">
        <f t="shared" si="142"/>
        <v>28818.793500000003</v>
      </c>
      <c r="AJ252" s="10">
        <f t="shared" si="142"/>
        <v>28818.793500000003</v>
      </c>
      <c r="AK252" s="10">
        <f t="shared" si="142"/>
        <v>28818.793500000003</v>
      </c>
      <c r="AL252" s="10">
        <f t="shared" si="142"/>
        <v>28818.793500000003</v>
      </c>
      <c r="AM252" s="10">
        <f t="shared" si="142"/>
        <v>28818.793500000003</v>
      </c>
      <c r="AN252" s="27">
        <f t="shared" si="142"/>
        <v>345825.52200000011</v>
      </c>
      <c r="AS252" t="str">
        <f>_xlfn.XLOOKUP(AU252,[2]GAE!HZ:HZ,[2]GAE!IA:IA)</f>
        <v>ADMIN SERVICES</v>
      </c>
      <c r="AT252" t="str">
        <f>_xlfn.XLOOKUP(AU252,[2]GAE!HZ:HZ,[2]GAE!IB:IB)</f>
        <v>DOE - Janitorial - Common</v>
      </c>
      <c r="AU252" t="s">
        <v>564</v>
      </c>
      <c r="AV252">
        <v>81123102</v>
      </c>
      <c r="AW252">
        <v>52041405</v>
      </c>
      <c r="AX252" t="str">
        <f>_xlfn.XLOOKUP(AU252,[2]GAE!HZ:HZ,[2]GAE!IF:IF)</f>
        <v>Contracted services</v>
      </c>
      <c r="AY252" t="str">
        <f>_xlfn.XLOOKUP(AU252,[2]GAE!HZ:HZ,[2]GAE!IG:IG)</f>
        <v>Janitorial</v>
      </c>
      <c r="BD252" s="35" t="s">
        <v>40</v>
      </c>
      <c r="BE252" s="35"/>
      <c r="BF252" t="s">
        <v>40</v>
      </c>
      <c r="BG252" t="s">
        <v>40</v>
      </c>
      <c r="BH252" s="10">
        <f>SUMIFS('[1]2026'!$K:$K,'[1]2026'!$T:$T,BD252,'[1]2026'!$S:$S,BH$3,'[1]2026'!$P:$P,AU252)</f>
        <v>0</v>
      </c>
      <c r="BI252" s="10">
        <f>SUMIFS('[1]2026'!$K:$K,'[1]2026'!$T:$T,$BD252,'[1]2026'!$S:$S,BI$3,'[1]2026'!$P:$P,$AU252)</f>
        <v>0</v>
      </c>
      <c r="BJ252" s="6"/>
      <c r="BK252" s="10">
        <f>SUMIFS('[1]2026'!$K:$K,'[1]2026'!$T:$T,$BD252,'[1]2026'!$S:$S,BK$3,'[1]2026'!$P:$P,$AU252)</f>
        <v>0</v>
      </c>
      <c r="BL252" s="10">
        <f>SUMIFS('[1]2026'!$K:$K,'[1]2026'!$T:$T,$BD252,'[1]2026'!$S:$S,BL$3,'[1]2026'!$P:$P,$AU252)</f>
        <v>0</v>
      </c>
      <c r="BM252" s="10">
        <f>SUMIFS('[1]2026'!$K:$K,'[1]2026'!$T:$T,$BD252,'[1]2026'!$S:$S,BM$3,'[1]2026'!$P:$P,$AU252)</f>
        <v>0</v>
      </c>
      <c r="BN252" s="10">
        <f>SUMIFS('[1]2026'!$K:$K,'[1]2026'!$T:$T,$BD252,'[1]2026'!$S:$S,BN$3,'[1]2026'!$P:$P,$AU252)</f>
        <v>0</v>
      </c>
      <c r="BO252" s="10">
        <f>SUMIFS('[1]2026'!$K:$K,'[1]2026'!$T:$T,$BD252,'[1]2026'!$S:$S,BO$3,'[1]2026'!$P:$P,$AU252)</f>
        <v>0</v>
      </c>
      <c r="BP252" s="6">
        <f t="shared" si="158"/>
        <v>0</v>
      </c>
      <c r="BQ252" s="6">
        <f t="shared" si="158"/>
        <v>0</v>
      </c>
      <c r="BR252" s="6">
        <f t="shared" si="158"/>
        <v>0</v>
      </c>
      <c r="BS252" s="6">
        <f t="shared" si="158"/>
        <v>0</v>
      </c>
      <c r="BT252" s="6">
        <f t="shared" si="106"/>
        <v>0</v>
      </c>
      <c r="BV252" s="6">
        <f t="shared" si="146"/>
        <v>-28818.793500000003</v>
      </c>
      <c r="BW252" s="6">
        <f t="shared" si="147"/>
        <v>-28818.793500000003</v>
      </c>
      <c r="BX252" s="6">
        <f t="shared" si="148"/>
        <v>-28818.793500000003</v>
      </c>
      <c r="BY252" s="6">
        <f t="shared" si="149"/>
        <v>-28818.793500000003</v>
      </c>
      <c r="BZ252" s="6">
        <f t="shared" si="150"/>
        <v>-28818.793500000003</v>
      </c>
      <c r="CA252" s="6">
        <f t="shared" si="151"/>
        <v>-28818.793500000003</v>
      </c>
      <c r="CB252" s="6">
        <f t="shared" si="152"/>
        <v>-28818.793500000003</v>
      </c>
      <c r="CC252" s="6">
        <f t="shared" si="153"/>
        <v>-28818.793500000003</v>
      </c>
      <c r="CD252" s="6">
        <f t="shared" si="154"/>
        <v>-28818.793500000003</v>
      </c>
      <c r="CE252" s="6">
        <f t="shared" si="155"/>
        <v>-28818.793500000003</v>
      </c>
      <c r="CF252" s="6">
        <f t="shared" si="156"/>
        <v>-28818.793500000003</v>
      </c>
      <c r="CG252" s="6">
        <f t="shared" si="157"/>
        <v>-28818.793500000003</v>
      </c>
      <c r="CH252" s="6">
        <f t="shared" si="107"/>
        <v>-345825.52200000011</v>
      </c>
    </row>
    <row r="253" spans="1:86" hidden="1" x14ac:dyDescent="0.35">
      <c r="A253" s="3" t="s">
        <v>573</v>
      </c>
      <c r="B253" s="10">
        <v>28908.2955</v>
      </c>
      <c r="C253" s="10">
        <v>28908.2955</v>
      </c>
      <c r="D253" s="10">
        <v>28908.2955</v>
      </c>
      <c r="E253" s="10">
        <v>28908.2955</v>
      </c>
      <c r="F253" s="10">
        <v>28908.2955</v>
      </c>
      <c r="G253" s="10">
        <v>28908.2955</v>
      </c>
      <c r="H253" s="10">
        <v>28908.2955</v>
      </c>
      <c r="I253" s="10">
        <v>28908.2955</v>
      </c>
      <c r="J253" s="10">
        <v>28908.2955</v>
      </c>
      <c r="K253" s="10">
        <v>28908.2955</v>
      </c>
      <c r="L253" s="10">
        <v>28908.2955</v>
      </c>
      <c r="M253" s="10">
        <v>28908.2955</v>
      </c>
      <c r="N253" s="27">
        <f t="shared" si="140"/>
        <v>346899.54600000003</v>
      </c>
      <c r="AA253" s="27">
        <f t="shared" si="141"/>
        <v>0</v>
      </c>
      <c r="AB253" s="10">
        <f t="shared" si="142"/>
        <v>28908.2955</v>
      </c>
      <c r="AC253" s="10">
        <f t="shared" si="142"/>
        <v>28908.2955</v>
      </c>
      <c r="AD253" s="10">
        <f t="shared" si="142"/>
        <v>28908.2955</v>
      </c>
      <c r="AE253" s="10">
        <f t="shared" si="142"/>
        <v>28908.2955</v>
      </c>
      <c r="AF253" s="10">
        <f t="shared" si="142"/>
        <v>28908.2955</v>
      </c>
      <c r="AG253" s="10">
        <f t="shared" si="142"/>
        <v>28908.2955</v>
      </c>
      <c r="AH253" s="10">
        <f t="shared" si="142"/>
        <v>28908.2955</v>
      </c>
      <c r="AI253" s="10">
        <f t="shared" si="142"/>
        <v>28908.2955</v>
      </c>
      <c r="AJ253" s="10">
        <f t="shared" si="142"/>
        <v>28908.2955</v>
      </c>
      <c r="AK253" s="10">
        <f t="shared" si="142"/>
        <v>28908.2955</v>
      </c>
      <c r="AL253" s="10">
        <f t="shared" si="142"/>
        <v>28908.2955</v>
      </c>
      <c r="AM253" s="10">
        <f t="shared" si="142"/>
        <v>28908.2955</v>
      </c>
      <c r="AN253" s="27">
        <f t="shared" si="142"/>
        <v>346899.54600000003</v>
      </c>
      <c r="AS253" t="str">
        <f>_xlfn.XLOOKUP(AU253,[2]GAE!HZ:HZ,[2]GAE!IA:IA)</f>
        <v>ADMIN SERVICES</v>
      </c>
      <c r="AT253" t="str">
        <f>_xlfn.XLOOKUP(AU253,[2]GAE!HZ:HZ,[2]GAE!IB:IB)</f>
        <v>DOE - Janitorial - Common</v>
      </c>
      <c r="AU253" t="s">
        <v>564</v>
      </c>
      <c r="AV253">
        <v>81123102</v>
      </c>
      <c r="AW253">
        <v>52041405</v>
      </c>
      <c r="AX253" t="str">
        <f>_xlfn.XLOOKUP(AU253,[2]GAE!HZ:HZ,[2]GAE!IF:IF)</f>
        <v>Contracted services</v>
      </c>
      <c r="AY253" t="str">
        <f>_xlfn.XLOOKUP(AU253,[2]GAE!HZ:HZ,[2]GAE!IG:IG)</f>
        <v>Janitorial</v>
      </c>
      <c r="BD253" s="35" t="s">
        <v>40</v>
      </c>
      <c r="BE253" s="35"/>
      <c r="BF253" t="s">
        <v>40</v>
      </c>
      <c r="BG253" t="s">
        <v>40</v>
      </c>
      <c r="BH253" s="10">
        <f>SUMIFS('[1]2026'!$K:$K,'[1]2026'!$T:$T,BD253,'[1]2026'!$S:$S,BH$3,'[1]2026'!$P:$P,AU253)</f>
        <v>0</v>
      </c>
      <c r="BI253" s="10">
        <f>SUMIFS('[1]2026'!$K:$K,'[1]2026'!$T:$T,$BD253,'[1]2026'!$S:$S,BI$3,'[1]2026'!$P:$P,$AU253)</f>
        <v>0</v>
      </c>
      <c r="BJ253" s="6"/>
      <c r="BK253" s="10">
        <f>SUMIFS('[1]2026'!$K:$K,'[1]2026'!$T:$T,$BD253,'[1]2026'!$S:$S,BK$3,'[1]2026'!$P:$P,$AU253)</f>
        <v>0</v>
      </c>
      <c r="BL253" s="10">
        <f>SUMIFS('[1]2026'!$K:$K,'[1]2026'!$T:$T,$BD253,'[1]2026'!$S:$S,BL$3,'[1]2026'!$P:$P,$AU253)</f>
        <v>0</v>
      </c>
      <c r="BM253" s="10">
        <f>SUMIFS('[1]2026'!$K:$K,'[1]2026'!$T:$T,$BD253,'[1]2026'!$S:$S,BM$3,'[1]2026'!$P:$P,$AU253)</f>
        <v>0</v>
      </c>
      <c r="BN253" s="10">
        <f>SUMIFS('[1]2026'!$K:$K,'[1]2026'!$T:$T,$BD253,'[1]2026'!$S:$S,BN$3,'[1]2026'!$P:$P,$AU253)</f>
        <v>0</v>
      </c>
      <c r="BO253" s="10">
        <f>SUMIFS('[1]2026'!$K:$K,'[1]2026'!$T:$T,$BD253,'[1]2026'!$S:$S,BO$3,'[1]2026'!$P:$P,$AU253)</f>
        <v>0</v>
      </c>
      <c r="BP253" s="6">
        <f t="shared" si="158"/>
        <v>0</v>
      </c>
      <c r="BQ253" s="6">
        <f t="shared" si="158"/>
        <v>0</v>
      </c>
      <c r="BR253" s="6">
        <f t="shared" si="158"/>
        <v>0</v>
      </c>
      <c r="BS253" s="6">
        <f t="shared" si="158"/>
        <v>0</v>
      </c>
      <c r="BT253" s="6">
        <f t="shared" si="106"/>
        <v>0</v>
      </c>
      <c r="BV253" s="6">
        <f t="shared" si="146"/>
        <v>-28908.2955</v>
      </c>
      <c r="BW253" s="6">
        <f t="shared" si="147"/>
        <v>-28908.2955</v>
      </c>
      <c r="BX253" s="6">
        <f t="shared" si="148"/>
        <v>-28908.2955</v>
      </c>
      <c r="BY253" s="6">
        <f t="shared" si="149"/>
        <v>-28908.2955</v>
      </c>
      <c r="BZ253" s="6">
        <f t="shared" si="150"/>
        <v>-28908.2955</v>
      </c>
      <c r="CA253" s="6">
        <f t="shared" si="151"/>
        <v>-28908.2955</v>
      </c>
      <c r="CB253" s="6">
        <f t="shared" si="152"/>
        <v>-28908.2955</v>
      </c>
      <c r="CC253" s="6">
        <f t="shared" si="153"/>
        <v>-28908.2955</v>
      </c>
      <c r="CD253" s="6">
        <f t="shared" si="154"/>
        <v>-28908.2955</v>
      </c>
      <c r="CE253" s="6">
        <f t="shared" si="155"/>
        <v>-28908.2955</v>
      </c>
      <c r="CF253" s="6">
        <f t="shared" si="156"/>
        <v>-28908.2955</v>
      </c>
      <c r="CG253" s="6">
        <f t="shared" si="157"/>
        <v>-28908.2955</v>
      </c>
      <c r="CH253" s="6">
        <f t="shared" si="107"/>
        <v>-346899.54600000003</v>
      </c>
    </row>
    <row r="254" spans="1:86" hidden="1" x14ac:dyDescent="0.35">
      <c r="A254" s="3" t="s">
        <v>574</v>
      </c>
      <c r="B254" s="10">
        <v>30340.614150000001</v>
      </c>
      <c r="C254" s="10">
        <v>30340.614150000001</v>
      </c>
      <c r="D254" s="10">
        <v>30340.614150000001</v>
      </c>
      <c r="E254" s="10">
        <v>30340.614150000001</v>
      </c>
      <c r="F254" s="10">
        <v>30340.614150000001</v>
      </c>
      <c r="G254" s="10">
        <v>30340.614150000001</v>
      </c>
      <c r="H254" s="10">
        <v>30340.614150000001</v>
      </c>
      <c r="I254" s="10">
        <v>30340.614150000001</v>
      </c>
      <c r="J254" s="10">
        <v>30340.614150000001</v>
      </c>
      <c r="K254" s="10">
        <v>30340.614150000001</v>
      </c>
      <c r="L254" s="10">
        <v>30340.614150000001</v>
      </c>
      <c r="M254" s="10">
        <v>30340.614150000001</v>
      </c>
      <c r="N254" s="27">
        <f t="shared" si="140"/>
        <v>364087.36979999999</v>
      </c>
      <c r="AA254" s="27">
        <f t="shared" si="141"/>
        <v>0</v>
      </c>
      <c r="AB254" s="10">
        <f t="shared" si="142"/>
        <v>30340.614150000001</v>
      </c>
      <c r="AC254" s="10">
        <f t="shared" si="142"/>
        <v>30340.614150000001</v>
      </c>
      <c r="AD254" s="10">
        <f t="shared" si="142"/>
        <v>30340.614150000001</v>
      </c>
      <c r="AE254" s="10">
        <f t="shared" si="142"/>
        <v>30340.614150000001</v>
      </c>
      <c r="AF254" s="10">
        <f t="shared" si="142"/>
        <v>30340.614150000001</v>
      </c>
      <c r="AG254" s="10">
        <f t="shared" si="142"/>
        <v>30340.614150000001</v>
      </c>
      <c r="AH254" s="10">
        <f t="shared" si="142"/>
        <v>30340.614150000001</v>
      </c>
      <c r="AI254" s="10">
        <f t="shared" si="142"/>
        <v>30340.614150000001</v>
      </c>
      <c r="AJ254" s="10">
        <f t="shared" si="142"/>
        <v>30340.614150000001</v>
      </c>
      <c r="AK254" s="10">
        <f t="shared" si="142"/>
        <v>30340.614150000001</v>
      </c>
      <c r="AL254" s="10">
        <f t="shared" si="142"/>
        <v>30340.614150000001</v>
      </c>
      <c r="AM254" s="10">
        <f t="shared" si="142"/>
        <v>30340.614150000001</v>
      </c>
      <c r="AN254" s="27">
        <f t="shared" si="142"/>
        <v>364087.36979999999</v>
      </c>
      <c r="AS254" t="str">
        <f>_xlfn.XLOOKUP(AU254,[2]GAE!HZ:HZ,[2]GAE!IA:IA)</f>
        <v>ADMIN SERVICES</v>
      </c>
      <c r="AT254" t="str">
        <f>_xlfn.XLOOKUP(AU254,[2]GAE!HZ:HZ,[2]GAE!IB:IB)</f>
        <v>DOE - Janitorial - Common</v>
      </c>
      <c r="AU254" t="s">
        <v>564</v>
      </c>
      <c r="AV254">
        <v>81123102</v>
      </c>
      <c r="AW254">
        <v>52041405</v>
      </c>
      <c r="AX254" t="str">
        <f>_xlfn.XLOOKUP(AU254,[2]GAE!HZ:HZ,[2]GAE!IF:IF)</f>
        <v>Contracted services</v>
      </c>
      <c r="AY254" t="str">
        <f>_xlfn.XLOOKUP(AU254,[2]GAE!HZ:HZ,[2]GAE!IG:IG)</f>
        <v>Janitorial</v>
      </c>
      <c r="BD254" s="35" t="s">
        <v>40</v>
      </c>
      <c r="BE254" s="35"/>
      <c r="BF254" t="s">
        <v>40</v>
      </c>
      <c r="BG254" t="s">
        <v>40</v>
      </c>
      <c r="BH254" s="10">
        <f>SUMIFS('[1]2026'!$K:$K,'[1]2026'!$T:$T,BD254,'[1]2026'!$S:$S,BH$3,'[1]2026'!$P:$P,AU254)</f>
        <v>0</v>
      </c>
      <c r="BI254" s="10">
        <f>SUMIFS('[1]2026'!$K:$K,'[1]2026'!$T:$T,$BD254,'[1]2026'!$S:$S,BI$3,'[1]2026'!$P:$P,$AU254)</f>
        <v>0</v>
      </c>
      <c r="BJ254" s="6"/>
      <c r="BK254" s="10">
        <f>SUMIFS('[1]2026'!$K:$K,'[1]2026'!$T:$T,$BD254,'[1]2026'!$S:$S,BK$3,'[1]2026'!$P:$P,$AU254)</f>
        <v>0</v>
      </c>
      <c r="BL254" s="10">
        <f>SUMIFS('[1]2026'!$K:$K,'[1]2026'!$T:$T,$BD254,'[1]2026'!$S:$S,BL$3,'[1]2026'!$P:$P,$AU254)</f>
        <v>0</v>
      </c>
      <c r="BM254" s="10">
        <f>SUMIFS('[1]2026'!$K:$K,'[1]2026'!$T:$T,$BD254,'[1]2026'!$S:$S,BM$3,'[1]2026'!$P:$P,$AU254)</f>
        <v>0</v>
      </c>
      <c r="BN254" s="10">
        <f>SUMIFS('[1]2026'!$K:$K,'[1]2026'!$T:$T,$BD254,'[1]2026'!$S:$S,BN$3,'[1]2026'!$P:$P,$AU254)</f>
        <v>0</v>
      </c>
      <c r="BO254" s="10">
        <f>SUMIFS('[1]2026'!$K:$K,'[1]2026'!$T:$T,$BD254,'[1]2026'!$S:$S,BO$3,'[1]2026'!$P:$P,$AU254)</f>
        <v>0</v>
      </c>
      <c r="BP254" s="6">
        <f t="shared" si="158"/>
        <v>0</v>
      </c>
      <c r="BQ254" s="6">
        <f t="shared" si="158"/>
        <v>0</v>
      </c>
      <c r="BR254" s="6">
        <f t="shared" si="158"/>
        <v>0</v>
      </c>
      <c r="BS254" s="6">
        <f t="shared" si="158"/>
        <v>0</v>
      </c>
      <c r="BT254" s="6">
        <f t="shared" si="106"/>
        <v>0</v>
      </c>
      <c r="BV254" s="6">
        <f t="shared" si="146"/>
        <v>-30340.614150000001</v>
      </c>
      <c r="BW254" s="6">
        <f t="shared" si="147"/>
        <v>-30340.614150000001</v>
      </c>
      <c r="BX254" s="6">
        <f t="shared" si="148"/>
        <v>-30340.614150000001</v>
      </c>
      <c r="BY254" s="6">
        <f t="shared" si="149"/>
        <v>-30340.614150000001</v>
      </c>
      <c r="BZ254" s="6">
        <f t="shared" si="150"/>
        <v>-30340.614150000001</v>
      </c>
      <c r="CA254" s="6">
        <f t="shared" si="151"/>
        <v>-30340.614150000001</v>
      </c>
      <c r="CB254" s="6">
        <f t="shared" si="152"/>
        <v>-30340.614150000001</v>
      </c>
      <c r="CC254" s="6">
        <f t="shared" si="153"/>
        <v>-30340.614150000001</v>
      </c>
      <c r="CD254" s="6">
        <f t="shared" si="154"/>
        <v>-30340.614150000001</v>
      </c>
      <c r="CE254" s="6">
        <f t="shared" si="155"/>
        <v>-30340.614150000001</v>
      </c>
      <c r="CF254" s="6">
        <f t="shared" si="156"/>
        <v>-30340.614150000001</v>
      </c>
      <c r="CG254" s="6">
        <f t="shared" si="157"/>
        <v>-30340.614150000001</v>
      </c>
      <c r="CH254" s="6">
        <f t="shared" si="107"/>
        <v>-364087.36979999999</v>
      </c>
    </row>
    <row r="255" spans="1:86" hidden="1" x14ac:dyDescent="0.35">
      <c r="A255" s="3" t="s">
        <v>575</v>
      </c>
      <c r="B255" s="10">
        <v>28908.2955</v>
      </c>
      <c r="C255" s="10">
        <v>28908.2955</v>
      </c>
      <c r="D255" s="10">
        <v>28908.2955</v>
      </c>
      <c r="E255" s="10">
        <v>28908.2955</v>
      </c>
      <c r="F255" s="10">
        <v>28908.2955</v>
      </c>
      <c r="G255" s="10">
        <v>28908.2955</v>
      </c>
      <c r="H255" s="10">
        <v>28908.2955</v>
      </c>
      <c r="I255" s="10">
        <v>28908.2955</v>
      </c>
      <c r="J255" s="10">
        <v>28908.2955</v>
      </c>
      <c r="K255" s="10">
        <v>28908.2955</v>
      </c>
      <c r="L255" s="10">
        <v>28908.2955</v>
      </c>
      <c r="M255" s="10">
        <v>28908.2955</v>
      </c>
      <c r="N255" s="27">
        <f t="shared" si="140"/>
        <v>346899.54600000003</v>
      </c>
      <c r="AA255" s="27">
        <f t="shared" si="141"/>
        <v>0</v>
      </c>
      <c r="AB255" s="10">
        <f t="shared" si="142"/>
        <v>28908.2955</v>
      </c>
      <c r="AC255" s="10">
        <f t="shared" si="142"/>
        <v>28908.2955</v>
      </c>
      <c r="AD255" s="10">
        <f t="shared" si="142"/>
        <v>28908.2955</v>
      </c>
      <c r="AE255" s="10">
        <f t="shared" si="142"/>
        <v>28908.2955</v>
      </c>
      <c r="AF255" s="10">
        <f t="shared" si="142"/>
        <v>28908.2955</v>
      </c>
      <c r="AG255" s="10">
        <f t="shared" si="142"/>
        <v>28908.2955</v>
      </c>
      <c r="AH255" s="10">
        <f t="shared" si="142"/>
        <v>28908.2955</v>
      </c>
      <c r="AI255" s="10">
        <f t="shared" si="142"/>
        <v>28908.2955</v>
      </c>
      <c r="AJ255" s="10">
        <f t="shared" si="142"/>
        <v>28908.2955</v>
      </c>
      <c r="AK255" s="10">
        <f t="shared" si="142"/>
        <v>28908.2955</v>
      </c>
      <c r="AL255" s="10">
        <f t="shared" si="142"/>
        <v>28908.2955</v>
      </c>
      <c r="AM255" s="10">
        <f t="shared" si="142"/>
        <v>28908.2955</v>
      </c>
      <c r="AN255" s="27">
        <f t="shared" si="142"/>
        <v>346899.54600000003</v>
      </c>
      <c r="AS255" t="str">
        <f>_xlfn.XLOOKUP(AU255,[2]GAE!HZ:HZ,[2]GAE!IA:IA)</f>
        <v>ADMIN SERVICES</v>
      </c>
      <c r="AT255" t="str">
        <f>_xlfn.XLOOKUP(AU255,[2]GAE!HZ:HZ,[2]GAE!IB:IB)</f>
        <v>DOE - Janitorial - Common</v>
      </c>
      <c r="AU255" t="s">
        <v>564</v>
      </c>
      <c r="AV255">
        <v>81123102</v>
      </c>
      <c r="AW255">
        <v>52041405</v>
      </c>
      <c r="AX255" t="str">
        <f>_xlfn.XLOOKUP(AU255,[2]GAE!HZ:HZ,[2]GAE!IF:IF)</f>
        <v>Contracted services</v>
      </c>
      <c r="AY255" t="str">
        <f>_xlfn.XLOOKUP(AU255,[2]GAE!HZ:HZ,[2]GAE!IG:IG)</f>
        <v>Janitorial</v>
      </c>
      <c r="BD255" s="35" t="s">
        <v>40</v>
      </c>
      <c r="BE255" s="35"/>
      <c r="BF255" t="s">
        <v>40</v>
      </c>
      <c r="BG255" t="s">
        <v>40</v>
      </c>
      <c r="BH255" s="10">
        <f>SUMIFS('[1]2026'!$K:$K,'[1]2026'!$T:$T,BD255,'[1]2026'!$S:$S,BH$3,'[1]2026'!$P:$P,AU255)</f>
        <v>0</v>
      </c>
      <c r="BI255" s="10">
        <f>SUMIFS('[1]2026'!$K:$K,'[1]2026'!$T:$T,$BD255,'[1]2026'!$S:$S,BI$3,'[1]2026'!$P:$P,$AU255)</f>
        <v>0</v>
      </c>
      <c r="BJ255" s="6"/>
      <c r="BK255" s="10">
        <f>SUMIFS('[1]2026'!$K:$K,'[1]2026'!$T:$T,$BD255,'[1]2026'!$S:$S,BK$3,'[1]2026'!$P:$P,$AU255)</f>
        <v>0</v>
      </c>
      <c r="BL255" s="10">
        <f>SUMIFS('[1]2026'!$K:$K,'[1]2026'!$T:$T,$BD255,'[1]2026'!$S:$S,BL$3,'[1]2026'!$P:$P,$AU255)</f>
        <v>0</v>
      </c>
      <c r="BM255" s="10">
        <f>SUMIFS('[1]2026'!$K:$K,'[1]2026'!$T:$T,$BD255,'[1]2026'!$S:$S,BM$3,'[1]2026'!$P:$P,$AU255)</f>
        <v>0</v>
      </c>
      <c r="BN255" s="10">
        <f>SUMIFS('[1]2026'!$K:$K,'[1]2026'!$T:$T,$BD255,'[1]2026'!$S:$S,BN$3,'[1]2026'!$P:$P,$AU255)</f>
        <v>0</v>
      </c>
      <c r="BO255" s="10">
        <f>SUMIFS('[1]2026'!$K:$K,'[1]2026'!$T:$T,$BD255,'[1]2026'!$S:$S,BO$3,'[1]2026'!$P:$P,$AU255)</f>
        <v>0</v>
      </c>
      <c r="BP255" s="6">
        <f t="shared" si="158"/>
        <v>0</v>
      </c>
      <c r="BQ255" s="6">
        <f t="shared" si="158"/>
        <v>0</v>
      </c>
      <c r="BR255" s="6">
        <f t="shared" si="158"/>
        <v>0</v>
      </c>
      <c r="BS255" s="6">
        <f t="shared" si="158"/>
        <v>0</v>
      </c>
      <c r="BT255" s="6">
        <f t="shared" si="106"/>
        <v>0</v>
      </c>
      <c r="BV255" s="6">
        <f t="shared" si="146"/>
        <v>-28908.2955</v>
      </c>
      <c r="BW255" s="6">
        <f t="shared" si="147"/>
        <v>-28908.2955</v>
      </c>
      <c r="BX255" s="6">
        <f t="shared" si="148"/>
        <v>-28908.2955</v>
      </c>
      <c r="BY255" s="6">
        <f t="shared" si="149"/>
        <v>-28908.2955</v>
      </c>
      <c r="BZ255" s="6">
        <f t="shared" si="150"/>
        <v>-28908.2955</v>
      </c>
      <c r="CA255" s="6">
        <f t="shared" si="151"/>
        <v>-28908.2955</v>
      </c>
      <c r="CB255" s="6">
        <f t="shared" si="152"/>
        <v>-28908.2955</v>
      </c>
      <c r="CC255" s="6">
        <f t="shared" si="153"/>
        <v>-28908.2955</v>
      </c>
      <c r="CD255" s="6">
        <f t="shared" si="154"/>
        <v>-28908.2955</v>
      </c>
      <c r="CE255" s="6">
        <f t="shared" si="155"/>
        <v>-28908.2955</v>
      </c>
      <c r="CF255" s="6">
        <f t="shared" si="156"/>
        <v>-28908.2955</v>
      </c>
      <c r="CG255" s="6">
        <f t="shared" si="157"/>
        <v>-28908.2955</v>
      </c>
      <c r="CH255" s="6">
        <f t="shared" si="107"/>
        <v>-346899.54600000003</v>
      </c>
    </row>
    <row r="256" spans="1:86" hidden="1" x14ac:dyDescent="0.35">
      <c r="A256" s="3" t="s">
        <v>576</v>
      </c>
      <c r="B256" s="10">
        <v>28908.2955</v>
      </c>
      <c r="C256" s="10">
        <v>28908.2955</v>
      </c>
      <c r="D256" s="10">
        <v>28908.2955</v>
      </c>
      <c r="E256" s="10">
        <v>28908.2955</v>
      </c>
      <c r="F256" s="10">
        <v>28908.2955</v>
      </c>
      <c r="G256" s="10">
        <v>28908.2955</v>
      </c>
      <c r="H256" s="10">
        <v>28908.2955</v>
      </c>
      <c r="I256" s="10">
        <v>28908.2955</v>
      </c>
      <c r="J256" s="10">
        <v>28908.2955</v>
      </c>
      <c r="K256" s="10">
        <v>28908.2955</v>
      </c>
      <c r="L256" s="10">
        <v>28908.2955</v>
      </c>
      <c r="M256" s="10">
        <v>28908.2955</v>
      </c>
      <c r="N256" s="27">
        <f t="shared" si="140"/>
        <v>346899.54600000003</v>
      </c>
      <c r="AA256" s="27">
        <f t="shared" si="141"/>
        <v>0</v>
      </c>
      <c r="AB256" s="10">
        <f t="shared" si="142"/>
        <v>28908.2955</v>
      </c>
      <c r="AC256" s="10">
        <f t="shared" si="142"/>
        <v>28908.2955</v>
      </c>
      <c r="AD256" s="10">
        <f t="shared" si="142"/>
        <v>28908.2955</v>
      </c>
      <c r="AE256" s="10">
        <f t="shared" si="142"/>
        <v>28908.2955</v>
      </c>
      <c r="AF256" s="10">
        <f t="shared" si="142"/>
        <v>28908.2955</v>
      </c>
      <c r="AG256" s="10">
        <f t="shared" si="142"/>
        <v>28908.2955</v>
      </c>
      <c r="AH256" s="10">
        <f t="shared" si="142"/>
        <v>28908.2955</v>
      </c>
      <c r="AI256" s="10">
        <f t="shared" si="142"/>
        <v>28908.2955</v>
      </c>
      <c r="AJ256" s="10">
        <f t="shared" si="142"/>
        <v>28908.2955</v>
      </c>
      <c r="AK256" s="10">
        <f t="shared" si="142"/>
        <v>28908.2955</v>
      </c>
      <c r="AL256" s="10">
        <f t="shared" si="142"/>
        <v>28908.2955</v>
      </c>
      <c r="AM256" s="10">
        <f t="shared" si="142"/>
        <v>28908.2955</v>
      </c>
      <c r="AN256" s="27">
        <f t="shared" si="142"/>
        <v>346899.54600000003</v>
      </c>
      <c r="AS256" t="str">
        <f>_xlfn.XLOOKUP(AU256,[2]GAE!HZ:HZ,[2]GAE!IA:IA)</f>
        <v>ADMIN SERVICES</v>
      </c>
      <c r="AT256" t="str">
        <f>_xlfn.XLOOKUP(AU256,[2]GAE!HZ:HZ,[2]GAE!IB:IB)</f>
        <v>DOE - Janitorial - Common</v>
      </c>
      <c r="AU256" t="s">
        <v>564</v>
      </c>
      <c r="AV256">
        <v>81123102</v>
      </c>
      <c r="AW256">
        <v>52041405</v>
      </c>
      <c r="AX256" t="str">
        <f>_xlfn.XLOOKUP(AU256,[2]GAE!HZ:HZ,[2]GAE!IF:IF)</f>
        <v>Contracted services</v>
      </c>
      <c r="AY256" t="str">
        <f>_xlfn.XLOOKUP(AU256,[2]GAE!HZ:HZ,[2]GAE!IG:IG)</f>
        <v>Janitorial</v>
      </c>
      <c r="BD256" s="35" t="s">
        <v>40</v>
      </c>
      <c r="BE256" s="35"/>
      <c r="BF256" t="s">
        <v>40</v>
      </c>
      <c r="BG256" t="s">
        <v>40</v>
      </c>
      <c r="BH256" s="10">
        <f>SUMIFS('[1]2026'!$K:$K,'[1]2026'!$T:$T,BD256,'[1]2026'!$S:$S,BH$3,'[1]2026'!$P:$P,AU256)</f>
        <v>0</v>
      </c>
      <c r="BI256" s="10">
        <f>SUMIFS('[1]2026'!$K:$K,'[1]2026'!$T:$T,$BD256,'[1]2026'!$S:$S,BI$3,'[1]2026'!$P:$P,$AU256)</f>
        <v>0</v>
      </c>
      <c r="BJ256" s="6"/>
      <c r="BK256" s="10">
        <f>SUMIFS('[1]2026'!$K:$K,'[1]2026'!$T:$T,$BD256,'[1]2026'!$S:$S,BK$3,'[1]2026'!$P:$P,$AU256)</f>
        <v>0</v>
      </c>
      <c r="BL256" s="10">
        <f>SUMIFS('[1]2026'!$K:$K,'[1]2026'!$T:$T,$BD256,'[1]2026'!$S:$S,BL$3,'[1]2026'!$P:$P,$AU256)</f>
        <v>0</v>
      </c>
      <c r="BM256" s="10">
        <f>SUMIFS('[1]2026'!$K:$K,'[1]2026'!$T:$T,$BD256,'[1]2026'!$S:$S,BM$3,'[1]2026'!$P:$P,$AU256)</f>
        <v>0</v>
      </c>
      <c r="BN256" s="10">
        <f>SUMIFS('[1]2026'!$K:$K,'[1]2026'!$T:$T,$BD256,'[1]2026'!$S:$S,BN$3,'[1]2026'!$P:$P,$AU256)</f>
        <v>0</v>
      </c>
      <c r="BO256" s="10">
        <f>SUMIFS('[1]2026'!$K:$K,'[1]2026'!$T:$T,$BD256,'[1]2026'!$S:$S,BO$3,'[1]2026'!$P:$P,$AU256)</f>
        <v>0</v>
      </c>
      <c r="BP256" s="6">
        <f t="shared" si="158"/>
        <v>0</v>
      </c>
      <c r="BQ256" s="6">
        <f t="shared" si="158"/>
        <v>0</v>
      </c>
      <c r="BR256" s="6">
        <f t="shared" si="158"/>
        <v>0</v>
      </c>
      <c r="BS256" s="6">
        <f t="shared" si="158"/>
        <v>0</v>
      </c>
      <c r="BT256" s="6">
        <f t="shared" si="106"/>
        <v>0</v>
      </c>
      <c r="BV256" s="6">
        <f t="shared" si="146"/>
        <v>-28908.2955</v>
      </c>
      <c r="BW256" s="6">
        <f t="shared" si="147"/>
        <v>-28908.2955</v>
      </c>
      <c r="BX256" s="6">
        <f t="shared" si="148"/>
        <v>-28908.2955</v>
      </c>
      <c r="BY256" s="6">
        <f t="shared" si="149"/>
        <v>-28908.2955</v>
      </c>
      <c r="BZ256" s="6">
        <f t="shared" si="150"/>
        <v>-28908.2955</v>
      </c>
      <c r="CA256" s="6">
        <f t="shared" si="151"/>
        <v>-28908.2955</v>
      </c>
      <c r="CB256" s="6">
        <f t="shared" si="152"/>
        <v>-28908.2955</v>
      </c>
      <c r="CC256" s="6">
        <f t="shared" si="153"/>
        <v>-28908.2955</v>
      </c>
      <c r="CD256" s="6">
        <f t="shared" si="154"/>
        <v>-28908.2955</v>
      </c>
      <c r="CE256" s="6">
        <f t="shared" si="155"/>
        <v>-28908.2955</v>
      </c>
      <c r="CF256" s="6">
        <f t="shared" si="156"/>
        <v>-28908.2955</v>
      </c>
      <c r="CG256" s="6">
        <f t="shared" si="157"/>
        <v>-28908.2955</v>
      </c>
      <c r="CH256" s="6">
        <f t="shared" si="107"/>
        <v>-346899.54600000003</v>
      </c>
    </row>
    <row r="257" spans="1:87" hidden="1" x14ac:dyDescent="0.35">
      <c r="A257" s="3" t="s">
        <v>577</v>
      </c>
      <c r="B257" s="10">
        <v>3908.9842312500004</v>
      </c>
      <c r="C257" s="10">
        <v>3908.9842312500004</v>
      </c>
      <c r="D257" s="10">
        <v>3908.9842312500004</v>
      </c>
      <c r="E257" s="10">
        <v>3908.9842312500004</v>
      </c>
      <c r="F257" s="10">
        <v>3908.9842312500004</v>
      </c>
      <c r="G257" s="10">
        <v>3908.9842312500004</v>
      </c>
      <c r="H257" s="10">
        <v>3908.9842312500004</v>
      </c>
      <c r="I257" s="10">
        <v>3908.9842312500004</v>
      </c>
      <c r="J257" s="10">
        <v>3908.9842312500004</v>
      </c>
      <c r="K257" s="10">
        <v>3908.9842312500004</v>
      </c>
      <c r="L257" s="10">
        <v>3908.9842312500004</v>
      </c>
      <c r="M257" s="10">
        <v>3908.9842312500004</v>
      </c>
      <c r="N257" s="27">
        <f t="shared" si="140"/>
        <v>46907.810774999991</v>
      </c>
      <c r="AA257" s="27">
        <f t="shared" si="141"/>
        <v>0</v>
      </c>
      <c r="AB257" s="10">
        <f t="shared" si="142"/>
        <v>3908.9842312500004</v>
      </c>
      <c r="AC257" s="10">
        <f t="shared" si="142"/>
        <v>3908.9842312500004</v>
      </c>
      <c r="AD257" s="10">
        <f t="shared" si="142"/>
        <v>3908.9842312500004</v>
      </c>
      <c r="AE257" s="10">
        <f t="shared" si="142"/>
        <v>3908.9842312500004</v>
      </c>
      <c r="AF257" s="10">
        <f t="shared" si="142"/>
        <v>3908.9842312500004</v>
      </c>
      <c r="AG257" s="10">
        <f t="shared" si="142"/>
        <v>3908.9842312500004</v>
      </c>
      <c r="AH257" s="10">
        <f t="shared" si="142"/>
        <v>3908.9842312500004</v>
      </c>
      <c r="AI257" s="10">
        <f t="shared" si="142"/>
        <v>3908.9842312500004</v>
      </c>
      <c r="AJ257" s="10">
        <f t="shared" si="142"/>
        <v>3908.9842312500004</v>
      </c>
      <c r="AK257" s="10">
        <f t="shared" si="142"/>
        <v>3908.9842312500004</v>
      </c>
      <c r="AL257" s="10">
        <f t="shared" si="142"/>
        <v>3908.9842312500004</v>
      </c>
      <c r="AM257" s="10">
        <f t="shared" si="142"/>
        <v>3908.9842312500004</v>
      </c>
      <c r="AN257" s="27">
        <f t="shared" si="142"/>
        <v>46907.810774999991</v>
      </c>
      <c r="AS257" t="str">
        <f>_xlfn.XLOOKUP(AU257,[2]GAE!HZ:HZ,[2]GAE!IA:IA)</f>
        <v>ADMIN SERVICES</v>
      </c>
      <c r="AT257" t="str">
        <f>_xlfn.XLOOKUP(AU257,[2]GAE!HZ:HZ,[2]GAE!IB:IB)</f>
        <v>DOE - Janitorial - Common</v>
      </c>
      <c r="AU257" t="s">
        <v>564</v>
      </c>
      <c r="AV257">
        <v>81123102</v>
      </c>
      <c r="AW257">
        <v>52041405</v>
      </c>
      <c r="AX257" t="str">
        <f>_xlfn.XLOOKUP(AU257,[2]GAE!HZ:HZ,[2]GAE!IF:IF)</f>
        <v>Contracted services</v>
      </c>
      <c r="AY257" t="str">
        <f>_xlfn.XLOOKUP(AU257,[2]GAE!HZ:HZ,[2]GAE!IG:IG)</f>
        <v>Janitorial</v>
      </c>
      <c r="BD257" s="35" t="s">
        <v>40</v>
      </c>
      <c r="BE257" s="35"/>
      <c r="BF257" t="s">
        <v>40</v>
      </c>
      <c r="BG257" t="s">
        <v>40</v>
      </c>
      <c r="BH257" s="10">
        <f>SUMIFS('[1]2026'!$K:$K,'[1]2026'!$T:$T,BD257,'[1]2026'!$S:$S,BH$3,'[1]2026'!$P:$P,AU257)</f>
        <v>0</v>
      </c>
      <c r="BI257" s="10">
        <f>SUMIFS('[1]2026'!$K:$K,'[1]2026'!$T:$T,$BD257,'[1]2026'!$S:$S,BI$3,'[1]2026'!$P:$P,$AU257)</f>
        <v>0</v>
      </c>
      <c r="BJ257" s="6"/>
      <c r="BK257" s="10">
        <f>SUMIFS('[1]2026'!$K:$K,'[1]2026'!$T:$T,$BD257,'[1]2026'!$S:$S,BK$3,'[1]2026'!$P:$P,$AU257)</f>
        <v>0</v>
      </c>
      <c r="BL257" s="10">
        <f>SUMIFS('[1]2026'!$K:$K,'[1]2026'!$T:$T,$BD257,'[1]2026'!$S:$S,BL$3,'[1]2026'!$P:$P,$AU257)</f>
        <v>0</v>
      </c>
      <c r="BM257" s="10">
        <f>SUMIFS('[1]2026'!$K:$K,'[1]2026'!$T:$T,$BD257,'[1]2026'!$S:$S,BM$3,'[1]2026'!$P:$P,$AU257)</f>
        <v>0</v>
      </c>
      <c r="BN257" s="10">
        <f>SUMIFS('[1]2026'!$K:$K,'[1]2026'!$T:$T,$BD257,'[1]2026'!$S:$S,BN$3,'[1]2026'!$P:$P,$AU257)</f>
        <v>0</v>
      </c>
      <c r="BO257" s="10">
        <f>SUMIFS('[1]2026'!$K:$K,'[1]2026'!$T:$T,$BD257,'[1]2026'!$S:$S,BO$3,'[1]2026'!$P:$P,$AU257)</f>
        <v>0</v>
      </c>
      <c r="BP257" s="6">
        <f t="shared" si="158"/>
        <v>0</v>
      </c>
      <c r="BQ257" s="6">
        <f t="shared" si="158"/>
        <v>0</v>
      </c>
      <c r="BR257" s="6">
        <f t="shared" si="158"/>
        <v>0</v>
      </c>
      <c r="BS257" s="6">
        <f t="shared" si="158"/>
        <v>0</v>
      </c>
      <c r="BT257" s="6">
        <f t="shared" si="106"/>
        <v>0</v>
      </c>
      <c r="BV257" s="6">
        <f t="shared" si="146"/>
        <v>-3908.9842312500004</v>
      </c>
      <c r="BW257" s="6">
        <f t="shared" si="147"/>
        <v>-3908.9842312500004</v>
      </c>
      <c r="BX257" s="6">
        <f t="shared" si="148"/>
        <v>-3908.9842312500004</v>
      </c>
      <c r="BY257" s="6">
        <f t="shared" si="149"/>
        <v>-3908.9842312500004</v>
      </c>
      <c r="BZ257" s="6">
        <f t="shared" si="150"/>
        <v>-3908.9842312500004</v>
      </c>
      <c r="CA257" s="6">
        <f t="shared" si="151"/>
        <v>-3908.9842312500004</v>
      </c>
      <c r="CB257" s="6">
        <f t="shared" si="152"/>
        <v>-3908.9842312500004</v>
      </c>
      <c r="CC257" s="6">
        <f t="shared" si="153"/>
        <v>-3908.9842312500004</v>
      </c>
      <c r="CD257" s="6">
        <f t="shared" si="154"/>
        <v>-3908.9842312500004</v>
      </c>
      <c r="CE257" s="6">
        <f t="shared" si="155"/>
        <v>-3908.9842312500004</v>
      </c>
      <c r="CF257" s="6">
        <f t="shared" si="156"/>
        <v>-3908.9842312500004</v>
      </c>
      <c r="CG257" s="6">
        <f t="shared" si="157"/>
        <v>-3908.9842312500004</v>
      </c>
      <c r="CH257" s="6">
        <f t="shared" si="107"/>
        <v>-46907.810774999991</v>
      </c>
    </row>
    <row r="258" spans="1:87" hidden="1" x14ac:dyDescent="0.35">
      <c r="A258" s="3" t="s">
        <v>578</v>
      </c>
      <c r="B258" s="10">
        <v>11726.938125000001</v>
      </c>
      <c r="C258" s="10">
        <v>11726.938125000001</v>
      </c>
      <c r="D258" s="10">
        <v>11726.938125000001</v>
      </c>
      <c r="E258" s="10">
        <v>11726.938125000001</v>
      </c>
      <c r="F258" s="10">
        <v>11726.938125000001</v>
      </c>
      <c r="G258" s="10">
        <v>11726.938125000001</v>
      </c>
      <c r="H258" s="10">
        <v>11726.938125000001</v>
      </c>
      <c r="I258" s="10">
        <v>11726.938125000001</v>
      </c>
      <c r="J258" s="10">
        <v>11726.938125000001</v>
      </c>
      <c r="K258" s="10">
        <v>11726.938125000001</v>
      </c>
      <c r="L258" s="10">
        <v>11726.938125000001</v>
      </c>
      <c r="M258" s="10">
        <v>11726.938125000001</v>
      </c>
      <c r="N258" s="27">
        <f t="shared" si="140"/>
        <v>140723.25750000001</v>
      </c>
      <c r="AA258" s="27">
        <f t="shared" si="141"/>
        <v>0</v>
      </c>
      <c r="AB258" s="10">
        <f t="shared" si="142"/>
        <v>11726.938125000001</v>
      </c>
      <c r="AC258" s="10">
        <f t="shared" si="142"/>
        <v>11726.938125000001</v>
      </c>
      <c r="AD258" s="10">
        <f t="shared" si="142"/>
        <v>11726.938125000001</v>
      </c>
      <c r="AE258" s="10">
        <f t="shared" si="142"/>
        <v>11726.938125000001</v>
      </c>
      <c r="AF258" s="10">
        <f t="shared" si="142"/>
        <v>11726.938125000001</v>
      </c>
      <c r="AG258" s="10">
        <f t="shared" si="142"/>
        <v>11726.938125000001</v>
      </c>
      <c r="AH258" s="10">
        <f t="shared" si="142"/>
        <v>11726.938125000001</v>
      </c>
      <c r="AI258" s="10">
        <f t="shared" si="142"/>
        <v>11726.938125000001</v>
      </c>
      <c r="AJ258" s="10">
        <f t="shared" si="142"/>
        <v>11726.938125000001</v>
      </c>
      <c r="AK258" s="10">
        <f t="shared" si="142"/>
        <v>11726.938125000001</v>
      </c>
      <c r="AL258" s="10">
        <f t="shared" si="142"/>
        <v>11726.938125000001</v>
      </c>
      <c r="AM258" s="10">
        <f t="shared" si="142"/>
        <v>11726.938125000001</v>
      </c>
      <c r="AN258" s="27">
        <f t="shared" si="142"/>
        <v>140723.25750000001</v>
      </c>
      <c r="AS258" t="str">
        <f>_xlfn.XLOOKUP(AU258,[2]GAE!HZ:HZ,[2]GAE!IA:IA)</f>
        <v>ADMIN SERVICES</v>
      </c>
      <c r="AT258" t="str">
        <f>_xlfn.XLOOKUP(AU258,[2]GAE!HZ:HZ,[2]GAE!IB:IB)</f>
        <v>DOE - Janitorial - Common</v>
      </c>
      <c r="AU258" t="s">
        <v>564</v>
      </c>
      <c r="AV258">
        <v>81123102</v>
      </c>
      <c r="AW258">
        <v>52041405</v>
      </c>
      <c r="AX258" t="str">
        <f>_xlfn.XLOOKUP(AU258,[2]GAE!HZ:HZ,[2]GAE!IF:IF)</f>
        <v>Contracted services</v>
      </c>
      <c r="AY258" t="str">
        <f>_xlfn.XLOOKUP(AU258,[2]GAE!HZ:HZ,[2]GAE!IG:IG)</f>
        <v>Janitorial</v>
      </c>
      <c r="BD258" s="35" t="s">
        <v>40</v>
      </c>
      <c r="BE258" s="35"/>
      <c r="BF258" t="s">
        <v>40</v>
      </c>
      <c r="BG258" t="s">
        <v>40</v>
      </c>
      <c r="BH258" s="10">
        <f>SUMIFS('[1]2026'!$K:$K,'[1]2026'!$T:$T,BD258,'[1]2026'!$S:$S,BH$3,'[1]2026'!$P:$P,AU258)</f>
        <v>0</v>
      </c>
      <c r="BI258" s="10">
        <f>SUMIFS('[1]2026'!$K:$K,'[1]2026'!$T:$T,$BD258,'[1]2026'!$S:$S,BI$3,'[1]2026'!$P:$P,$AU258)</f>
        <v>0</v>
      </c>
      <c r="BJ258" s="6"/>
      <c r="BK258" s="10">
        <f>SUMIFS('[1]2026'!$K:$K,'[1]2026'!$T:$T,$BD258,'[1]2026'!$S:$S,BK$3,'[1]2026'!$P:$P,$AU258)</f>
        <v>0</v>
      </c>
      <c r="BL258" s="10">
        <f>SUMIFS('[1]2026'!$K:$K,'[1]2026'!$T:$T,$BD258,'[1]2026'!$S:$S,BL$3,'[1]2026'!$P:$P,$AU258)</f>
        <v>0</v>
      </c>
      <c r="BM258" s="10">
        <f>SUMIFS('[1]2026'!$K:$K,'[1]2026'!$T:$T,$BD258,'[1]2026'!$S:$S,BM$3,'[1]2026'!$P:$P,$AU258)</f>
        <v>0</v>
      </c>
      <c r="BN258" s="10">
        <f>SUMIFS('[1]2026'!$K:$K,'[1]2026'!$T:$T,$BD258,'[1]2026'!$S:$S,BN$3,'[1]2026'!$P:$P,$AU258)</f>
        <v>0</v>
      </c>
      <c r="BO258" s="10">
        <f>SUMIFS('[1]2026'!$K:$K,'[1]2026'!$T:$T,$BD258,'[1]2026'!$S:$S,BO$3,'[1]2026'!$P:$P,$AU258)</f>
        <v>0</v>
      </c>
      <c r="BP258" s="6">
        <f t="shared" si="158"/>
        <v>0</v>
      </c>
      <c r="BQ258" s="6">
        <f t="shared" si="158"/>
        <v>0</v>
      </c>
      <c r="BR258" s="6">
        <f t="shared" si="158"/>
        <v>0</v>
      </c>
      <c r="BS258" s="6">
        <f t="shared" si="158"/>
        <v>0</v>
      </c>
      <c r="BT258" s="6">
        <f t="shared" si="106"/>
        <v>0</v>
      </c>
      <c r="BV258" s="6">
        <f t="shared" si="146"/>
        <v>-11726.938125000001</v>
      </c>
      <c r="BW258" s="6">
        <f t="shared" si="147"/>
        <v>-11726.938125000001</v>
      </c>
      <c r="BX258" s="6">
        <f t="shared" si="148"/>
        <v>-11726.938125000001</v>
      </c>
      <c r="BY258" s="6">
        <f t="shared" si="149"/>
        <v>-11726.938125000001</v>
      </c>
      <c r="BZ258" s="6">
        <f t="shared" si="150"/>
        <v>-11726.938125000001</v>
      </c>
      <c r="CA258" s="6">
        <f t="shared" si="151"/>
        <v>-11726.938125000001</v>
      </c>
      <c r="CB258" s="6">
        <f t="shared" si="152"/>
        <v>-11726.938125000001</v>
      </c>
      <c r="CC258" s="6">
        <f t="shared" si="153"/>
        <v>-11726.938125000001</v>
      </c>
      <c r="CD258" s="6">
        <f t="shared" si="154"/>
        <v>-11726.938125000001</v>
      </c>
      <c r="CE258" s="6">
        <f t="shared" si="155"/>
        <v>-11726.938125000001</v>
      </c>
      <c r="CF258" s="6">
        <f t="shared" si="156"/>
        <v>-11726.938125000001</v>
      </c>
      <c r="CG258" s="6">
        <f t="shared" si="157"/>
        <v>-11726.938125000001</v>
      </c>
      <c r="CH258" s="6">
        <f t="shared" si="107"/>
        <v>-140723.25750000001</v>
      </c>
    </row>
    <row r="259" spans="1:87" hidden="1" x14ac:dyDescent="0.35">
      <c r="A259" s="3" t="s">
        <v>579</v>
      </c>
      <c r="B259" s="10">
        <v>7379.6110500000004</v>
      </c>
      <c r="C259" s="10">
        <v>7379.6110500000004</v>
      </c>
      <c r="D259" s="10">
        <v>7379.6110500000004</v>
      </c>
      <c r="E259" s="10">
        <v>7379.6110500000004</v>
      </c>
      <c r="F259" s="10">
        <v>7379.6110500000004</v>
      </c>
      <c r="G259" s="10">
        <v>7379.6110500000004</v>
      </c>
      <c r="H259" s="10">
        <v>7379.6110500000004</v>
      </c>
      <c r="I259" s="10">
        <v>7379.6110500000004</v>
      </c>
      <c r="J259" s="10">
        <v>7379.6110500000004</v>
      </c>
      <c r="K259" s="10">
        <v>7379.6110500000004</v>
      </c>
      <c r="L259" s="10">
        <v>7379.6110500000004</v>
      </c>
      <c r="M259" s="10">
        <v>7379.6110500000004</v>
      </c>
      <c r="N259" s="27">
        <f t="shared" si="140"/>
        <v>88555.332600000023</v>
      </c>
      <c r="AA259" s="27">
        <f t="shared" si="141"/>
        <v>0</v>
      </c>
      <c r="AB259" s="10">
        <f t="shared" si="142"/>
        <v>7379.6110500000004</v>
      </c>
      <c r="AC259" s="10">
        <f t="shared" si="142"/>
        <v>7379.6110500000004</v>
      </c>
      <c r="AD259" s="10">
        <f t="shared" si="142"/>
        <v>7379.6110500000004</v>
      </c>
      <c r="AE259" s="10">
        <f t="shared" si="142"/>
        <v>7379.6110500000004</v>
      </c>
      <c r="AF259" s="10">
        <f t="shared" si="142"/>
        <v>7379.6110500000004</v>
      </c>
      <c r="AG259" s="10">
        <f t="shared" si="142"/>
        <v>7379.6110500000004</v>
      </c>
      <c r="AH259" s="10">
        <f t="shared" si="142"/>
        <v>7379.6110500000004</v>
      </c>
      <c r="AI259" s="10">
        <f t="shared" si="142"/>
        <v>7379.6110500000004</v>
      </c>
      <c r="AJ259" s="10">
        <f t="shared" si="142"/>
        <v>7379.6110500000004</v>
      </c>
      <c r="AK259" s="10">
        <f t="shared" si="142"/>
        <v>7379.6110500000004</v>
      </c>
      <c r="AL259" s="10">
        <f t="shared" si="142"/>
        <v>7379.6110500000004</v>
      </c>
      <c r="AM259" s="10">
        <f t="shared" si="142"/>
        <v>7379.6110500000004</v>
      </c>
      <c r="AN259" s="27">
        <f t="shared" si="142"/>
        <v>88555.332600000023</v>
      </c>
      <c r="AS259" t="str">
        <f>_xlfn.XLOOKUP(AU259,[2]GAE!HZ:HZ,[2]GAE!IA:IA)</f>
        <v>ADMIN SERVICES</v>
      </c>
      <c r="AT259" t="str">
        <f>_xlfn.XLOOKUP(AU259,[2]GAE!HZ:HZ,[2]GAE!IB:IB)</f>
        <v>DOE - Janitorial - Common</v>
      </c>
      <c r="AU259" t="s">
        <v>564</v>
      </c>
      <c r="AV259">
        <v>81123102</v>
      </c>
      <c r="AW259">
        <v>52041405</v>
      </c>
      <c r="AX259" t="str">
        <f>_xlfn.XLOOKUP(AU259,[2]GAE!HZ:HZ,[2]GAE!IF:IF)</f>
        <v>Contracted services</v>
      </c>
      <c r="AY259" t="str">
        <f>_xlfn.XLOOKUP(AU259,[2]GAE!HZ:HZ,[2]GAE!IG:IG)</f>
        <v>Janitorial</v>
      </c>
      <c r="BD259" s="35" t="s">
        <v>40</v>
      </c>
      <c r="BE259" s="35"/>
      <c r="BF259" t="s">
        <v>40</v>
      </c>
      <c r="BG259" t="s">
        <v>40</v>
      </c>
      <c r="BH259" s="10">
        <f>SUMIFS('[1]2026'!$K:$K,'[1]2026'!$T:$T,BD259,'[1]2026'!$S:$S,BH$3,'[1]2026'!$P:$P,AU259)</f>
        <v>0</v>
      </c>
      <c r="BI259" s="10">
        <f>SUMIFS('[1]2026'!$K:$K,'[1]2026'!$T:$T,$BD259,'[1]2026'!$S:$S,BI$3,'[1]2026'!$P:$P,$AU259)</f>
        <v>0</v>
      </c>
      <c r="BJ259" s="6"/>
      <c r="BK259" s="10">
        <f>SUMIFS('[1]2026'!$K:$K,'[1]2026'!$T:$T,$BD259,'[1]2026'!$S:$S,BK$3,'[1]2026'!$P:$P,$AU259)</f>
        <v>0</v>
      </c>
      <c r="BL259" s="10">
        <f>SUMIFS('[1]2026'!$K:$K,'[1]2026'!$T:$T,$BD259,'[1]2026'!$S:$S,BL$3,'[1]2026'!$P:$P,$AU259)</f>
        <v>0</v>
      </c>
      <c r="BM259" s="10">
        <f>SUMIFS('[1]2026'!$K:$K,'[1]2026'!$T:$T,$BD259,'[1]2026'!$S:$S,BM$3,'[1]2026'!$P:$P,$AU259)</f>
        <v>0</v>
      </c>
      <c r="BN259" s="10">
        <f>SUMIFS('[1]2026'!$K:$K,'[1]2026'!$T:$T,$BD259,'[1]2026'!$S:$S,BN$3,'[1]2026'!$P:$P,$AU259)</f>
        <v>0</v>
      </c>
      <c r="BO259" s="10">
        <f>SUMIFS('[1]2026'!$K:$K,'[1]2026'!$T:$T,$BD259,'[1]2026'!$S:$S,BO$3,'[1]2026'!$P:$P,$AU259)</f>
        <v>0</v>
      </c>
      <c r="BP259" s="6">
        <f t="shared" si="158"/>
        <v>0</v>
      </c>
      <c r="BQ259" s="6">
        <f t="shared" si="158"/>
        <v>0</v>
      </c>
      <c r="BR259" s="6">
        <f t="shared" si="158"/>
        <v>0</v>
      </c>
      <c r="BS259" s="6">
        <f t="shared" si="158"/>
        <v>0</v>
      </c>
      <c r="BT259" s="6">
        <f t="shared" si="106"/>
        <v>0</v>
      </c>
      <c r="BV259" s="6">
        <f t="shared" si="146"/>
        <v>-7379.6110500000004</v>
      </c>
      <c r="BW259" s="6">
        <f t="shared" si="147"/>
        <v>-7379.6110500000004</v>
      </c>
      <c r="BX259" s="6">
        <f t="shared" si="148"/>
        <v>-7379.6110500000004</v>
      </c>
      <c r="BY259" s="6">
        <f t="shared" si="149"/>
        <v>-7379.6110500000004</v>
      </c>
      <c r="BZ259" s="6">
        <f t="shared" si="150"/>
        <v>-7379.6110500000004</v>
      </c>
      <c r="CA259" s="6">
        <f t="shared" si="151"/>
        <v>-7379.6110500000004</v>
      </c>
      <c r="CB259" s="6">
        <f t="shared" si="152"/>
        <v>-7379.6110500000004</v>
      </c>
      <c r="CC259" s="6">
        <f t="shared" si="153"/>
        <v>-7379.6110500000004</v>
      </c>
      <c r="CD259" s="6">
        <f t="shared" si="154"/>
        <v>-7379.6110500000004</v>
      </c>
      <c r="CE259" s="6">
        <f t="shared" si="155"/>
        <v>-7379.6110500000004</v>
      </c>
      <c r="CF259" s="6">
        <f t="shared" si="156"/>
        <v>-7379.6110500000004</v>
      </c>
      <c r="CG259" s="6">
        <f t="shared" si="157"/>
        <v>-7379.6110500000004</v>
      </c>
      <c r="CH259" s="6">
        <f t="shared" si="107"/>
        <v>-88555.332600000023</v>
      </c>
    </row>
    <row r="260" spans="1:87" hidden="1" x14ac:dyDescent="0.35">
      <c r="A260" s="3" t="s">
        <v>580</v>
      </c>
      <c r="B260" s="10">
        <v>7379.61</v>
      </c>
      <c r="C260" s="10">
        <v>7379.61</v>
      </c>
      <c r="D260" s="10">
        <v>7379.61</v>
      </c>
      <c r="E260" s="10">
        <v>7379.61</v>
      </c>
      <c r="F260" s="10">
        <v>7379.61</v>
      </c>
      <c r="G260" s="10">
        <v>7379.61</v>
      </c>
      <c r="H260" s="10">
        <v>7379.61</v>
      </c>
      <c r="I260" s="10">
        <v>7379.61</v>
      </c>
      <c r="J260" s="10">
        <v>7379.61</v>
      </c>
      <c r="K260" s="10">
        <v>7379.61</v>
      </c>
      <c r="L260" s="10">
        <v>7379.61</v>
      </c>
      <c r="M260" s="10">
        <v>7379.61</v>
      </c>
      <c r="N260" s="27">
        <f t="shared" si="140"/>
        <v>88555.319999999992</v>
      </c>
      <c r="AA260" s="27">
        <f t="shared" si="141"/>
        <v>0</v>
      </c>
      <c r="AB260" s="10">
        <f t="shared" si="142"/>
        <v>7379.61</v>
      </c>
      <c r="AC260" s="10">
        <f t="shared" si="142"/>
        <v>7379.61</v>
      </c>
      <c r="AD260" s="10">
        <f t="shared" si="142"/>
        <v>7379.61</v>
      </c>
      <c r="AE260" s="10">
        <f t="shared" si="142"/>
        <v>7379.61</v>
      </c>
      <c r="AF260" s="10">
        <f t="shared" si="142"/>
        <v>7379.61</v>
      </c>
      <c r="AG260" s="10">
        <f t="shared" si="142"/>
        <v>7379.61</v>
      </c>
      <c r="AH260" s="10">
        <f t="shared" si="142"/>
        <v>7379.61</v>
      </c>
      <c r="AI260" s="10">
        <f t="shared" si="142"/>
        <v>7379.61</v>
      </c>
      <c r="AJ260" s="10">
        <f t="shared" si="142"/>
        <v>7379.61</v>
      </c>
      <c r="AK260" s="10">
        <f t="shared" si="142"/>
        <v>7379.61</v>
      </c>
      <c r="AL260" s="10">
        <f t="shared" si="142"/>
        <v>7379.61</v>
      </c>
      <c r="AM260" s="10">
        <f t="shared" si="142"/>
        <v>7379.61</v>
      </c>
      <c r="AN260" s="27">
        <f t="shared" si="142"/>
        <v>88555.319999999992</v>
      </c>
      <c r="AS260" t="str">
        <f>_xlfn.XLOOKUP(AU260,[2]GAE!HZ:HZ,[2]GAE!IA:IA)</f>
        <v>ADMIN SERVICES</v>
      </c>
      <c r="AT260" t="str">
        <f>_xlfn.XLOOKUP(AU260,[2]GAE!HZ:HZ,[2]GAE!IB:IB)</f>
        <v>DOE - Janitorial - Common</v>
      </c>
      <c r="AU260" t="s">
        <v>564</v>
      </c>
      <c r="AV260">
        <v>81123102</v>
      </c>
      <c r="AW260">
        <v>52041405</v>
      </c>
      <c r="AX260" t="str">
        <f>_xlfn.XLOOKUP(AU260,[2]GAE!HZ:HZ,[2]GAE!IF:IF)</f>
        <v>Contracted services</v>
      </c>
      <c r="AY260" t="str">
        <f>_xlfn.XLOOKUP(AU260,[2]GAE!HZ:HZ,[2]GAE!IG:IG)</f>
        <v>Janitorial</v>
      </c>
      <c r="BD260" s="35" t="s">
        <v>40</v>
      </c>
      <c r="BE260" s="35"/>
      <c r="BF260" t="s">
        <v>40</v>
      </c>
      <c r="BG260" t="s">
        <v>40</v>
      </c>
      <c r="BH260" s="10">
        <f>SUMIFS('[1]2026'!$K:$K,'[1]2026'!$T:$T,BD260,'[1]2026'!$S:$S,BH$3,'[1]2026'!$P:$P,AU260)</f>
        <v>0</v>
      </c>
      <c r="BI260" s="10">
        <f>SUMIFS('[1]2026'!$K:$K,'[1]2026'!$T:$T,$BD260,'[1]2026'!$S:$S,BI$3,'[1]2026'!$P:$P,$AU260)</f>
        <v>0</v>
      </c>
      <c r="BJ260" s="6"/>
      <c r="BK260" s="10">
        <f>SUMIFS('[1]2026'!$K:$K,'[1]2026'!$T:$T,$BD260,'[1]2026'!$S:$S,BK$3,'[1]2026'!$P:$P,$AU260)</f>
        <v>0</v>
      </c>
      <c r="BL260" s="10">
        <f>SUMIFS('[1]2026'!$K:$K,'[1]2026'!$T:$T,$BD260,'[1]2026'!$S:$S,BL$3,'[1]2026'!$P:$P,$AU260)</f>
        <v>0</v>
      </c>
      <c r="BM260" s="10">
        <f>SUMIFS('[1]2026'!$K:$K,'[1]2026'!$T:$T,$BD260,'[1]2026'!$S:$S,BM$3,'[1]2026'!$P:$P,$AU260)</f>
        <v>0</v>
      </c>
      <c r="BN260" s="10">
        <f>SUMIFS('[1]2026'!$K:$K,'[1]2026'!$T:$T,$BD260,'[1]2026'!$S:$S,BN$3,'[1]2026'!$P:$P,$AU260)</f>
        <v>0</v>
      </c>
      <c r="BO260" s="10">
        <f>SUMIFS('[1]2026'!$K:$K,'[1]2026'!$T:$T,$BD260,'[1]2026'!$S:$S,BO$3,'[1]2026'!$P:$P,$AU260)</f>
        <v>0</v>
      </c>
      <c r="BP260" s="6">
        <f t="shared" si="158"/>
        <v>0</v>
      </c>
      <c r="BQ260" s="6">
        <f t="shared" si="158"/>
        <v>0</v>
      </c>
      <c r="BR260" s="6">
        <f t="shared" si="158"/>
        <v>0</v>
      </c>
      <c r="BS260" s="6">
        <f t="shared" si="158"/>
        <v>0</v>
      </c>
      <c r="BT260" s="6">
        <f t="shared" si="106"/>
        <v>0</v>
      </c>
      <c r="BV260" s="6">
        <f t="shared" si="146"/>
        <v>-7379.61</v>
      </c>
      <c r="BW260" s="6">
        <f t="shared" si="147"/>
        <v>-7379.61</v>
      </c>
      <c r="BX260" s="6">
        <f t="shared" si="148"/>
        <v>-7379.61</v>
      </c>
      <c r="BY260" s="6">
        <f t="shared" si="149"/>
        <v>-7379.61</v>
      </c>
      <c r="BZ260" s="6">
        <f t="shared" si="150"/>
        <v>-7379.61</v>
      </c>
      <c r="CA260" s="6">
        <f t="shared" si="151"/>
        <v>-7379.61</v>
      </c>
      <c r="CB260" s="6">
        <f t="shared" si="152"/>
        <v>-7379.61</v>
      </c>
      <c r="CC260" s="6">
        <f t="shared" si="153"/>
        <v>-7379.61</v>
      </c>
      <c r="CD260" s="6">
        <f t="shared" si="154"/>
        <v>-7379.61</v>
      </c>
      <c r="CE260" s="6">
        <f t="shared" si="155"/>
        <v>-7379.61</v>
      </c>
      <c r="CF260" s="6">
        <f t="shared" si="156"/>
        <v>-7379.61</v>
      </c>
      <c r="CG260" s="6">
        <f t="shared" si="157"/>
        <v>-7379.61</v>
      </c>
      <c r="CH260" s="6">
        <f t="shared" si="107"/>
        <v>-88555.319999999992</v>
      </c>
    </row>
    <row r="261" spans="1:87" hidden="1" x14ac:dyDescent="0.35">
      <c r="A261" s="3" t="s">
        <v>581</v>
      </c>
      <c r="B261" s="10">
        <v>7204.6983750000009</v>
      </c>
      <c r="C261" s="10">
        <v>7204.6983750000009</v>
      </c>
      <c r="D261" s="10">
        <v>7204.6983750000009</v>
      </c>
      <c r="E261" s="10">
        <v>7204.6983750000009</v>
      </c>
      <c r="F261" s="10">
        <v>7204.6983750000009</v>
      </c>
      <c r="G261" s="10">
        <v>7204.6983750000009</v>
      </c>
      <c r="H261" s="10">
        <v>7204.6983750000009</v>
      </c>
      <c r="I261" s="10">
        <v>7204.6983750000009</v>
      </c>
      <c r="J261" s="10">
        <v>7204.6983750000009</v>
      </c>
      <c r="K261" s="10">
        <v>7204.6983750000009</v>
      </c>
      <c r="L261" s="10">
        <v>7204.6983750000009</v>
      </c>
      <c r="M261" s="10">
        <v>7204.6983750000009</v>
      </c>
      <c r="N261" s="27">
        <f t="shared" si="140"/>
        <v>86456.380500000028</v>
      </c>
      <c r="AA261" s="27">
        <f t="shared" si="141"/>
        <v>0</v>
      </c>
      <c r="AB261" s="10">
        <f t="shared" si="142"/>
        <v>7204.6983750000009</v>
      </c>
      <c r="AC261" s="10">
        <f t="shared" si="142"/>
        <v>7204.6983750000009</v>
      </c>
      <c r="AD261" s="10">
        <f t="shared" si="142"/>
        <v>7204.6983750000009</v>
      </c>
      <c r="AE261" s="10">
        <f t="shared" si="142"/>
        <v>7204.6983750000009</v>
      </c>
      <c r="AF261" s="10">
        <f t="shared" si="142"/>
        <v>7204.6983750000009</v>
      </c>
      <c r="AG261" s="10">
        <f t="shared" si="142"/>
        <v>7204.6983750000009</v>
      </c>
      <c r="AH261" s="10">
        <f t="shared" si="142"/>
        <v>7204.6983750000009</v>
      </c>
      <c r="AI261" s="10">
        <f t="shared" si="142"/>
        <v>7204.6983750000009</v>
      </c>
      <c r="AJ261" s="10">
        <f t="shared" si="142"/>
        <v>7204.6983750000009</v>
      </c>
      <c r="AK261" s="10">
        <f t="shared" si="142"/>
        <v>7204.6983750000009</v>
      </c>
      <c r="AL261" s="10">
        <f t="shared" si="142"/>
        <v>7204.6983750000009</v>
      </c>
      <c r="AM261" s="10">
        <f t="shared" si="142"/>
        <v>7204.6983750000009</v>
      </c>
      <c r="AN261" s="27">
        <f t="shared" si="142"/>
        <v>86456.380500000028</v>
      </c>
      <c r="AS261" t="str">
        <f>_xlfn.XLOOKUP(AU261,[2]GAE!HZ:HZ,[2]GAE!IA:IA)</f>
        <v>ADMIN SERVICES</v>
      </c>
      <c r="AT261" t="str">
        <f>_xlfn.XLOOKUP(AU261,[2]GAE!HZ:HZ,[2]GAE!IB:IB)</f>
        <v>DOE - Janitorial - Common</v>
      </c>
      <c r="AU261" t="s">
        <v>564</v>
      </c>
      <c r="AV261">
        <v>81123102</v>
      </c>
      <c r="AW261">
        <v>52041405</v>
      </c>
      <c r="AX261" t="str">
        <f>_xlfn.XLOOKUP(AU261,[2]GAE!HZ:HZ,[2]GAE!IF:IF)</f>
        <v>Contracted services</v>
      </c>
      <c r="AY261" t="str">
        <f>_xlfn.XLOOKUP(AU261,[2]GAE!HZ:HZ,[2]GAE!IG:IG)</f>
        <v>Janitorial</v>
      </c>
      <c r="BD261" s="35" t="s">
        <v>40</v>
      </c>
      <c r="BE261" s="35"/>
      <c r="BF261" t="s">
        <v>40</v>
      </c>
      <c r="BG261" t="s">
        <v>40</v>
      </c>
      <c r="BH261" s="10">
        <f>SUMIFS('[1]2026'!$K:$K,'[1]2026'!$T:$T,BD261,'[1]2026'!$S:$S,BH$3,'[1]2026'!$P:$P,AU261)</f>
        <v>0</v>
      </c>
      <c r="BI261" s="10">
        <f>SUMIFS('[1]2026'!$K:$K,'[1]2026'!$T:$T,$BD261,'[1]2026'!$S:$S,BI$3,'[1]2026'!$P:$P,$AU261)</f>
        <v>0</v>
      </c>
      <c r="BJ261" s="6"/>
      <c r="BK261" s="10">
        <f>SUMIFS('[1]2026'!$K:$K,'[1]2026'!$T:$T,$BD261,'[1]2026'!$S:$S,BK$3,'[1]2026'!$P:$P,$AU261)</f>
        <v>0</v>
      </c>
      <c r="BL261" s="10">
        <f>SUMIFS('[1]2026'!$K:$K,'[1]2026'!$T:$T,$BD261,'[1]2026'!$S:$S,BL$3,'[1]2026'!$P:$P,$AU261)</f>
        <v>0</v>
      </c>
      <c r="BM261" s="10">
        <f>SUMIFS('[1]2026'!$K:$K,'[1]2026'!$T:$T,$BD261,'[1]2026'!$S:$S,BM$3,'[1]2026'!$P:$P,$AU261)</f>
        <v>0</v>
      </c>
      <c r="BN261" s="10">
        <f>SUMIFS('[1]2026'!$K:$K,'[1]2026'!$T:$T,$BD261,'[1]2026'!$S:$S,BN$3,'[1]2026'!$P:$P,$AU261)</f>
        <v>0</v>
      </c>
      <c r="BO261" s="10">
        <f>SUMIFS('[1]2026'!$K:$K,'[1]2026'!$T:$T,$BD261,'[1]2026'!$S:$S,BO$3,'[1]2026'!$P:$P,$AU261)</f>
        <v>0</v>
      </c>
      <c r="BP261" s="6">
        <f t="shared" si="158"/>
        <v>0</v>
      </c>
      <c r="BQ261" s="6">
        <f t="shared" si="158"/>
        <v>0</v>
      </c>
      <c r="BR261" s="6">
        <f t="shared" si="158"/>
        <v>0</v>
      </c>
      <c r="BS261" s="6">
        <f t="shared" si="158"/>
        <v>0</v>
      </c>
      <c r="BT261" s="6">
        <f t="shared" si="106"/>
        <v>0</v>
      </c>
      <c r="BV261" s="6">
        <f t="shared" si="146"/>
        <v>-7204.6983750000009</v>
      </c>
      <c r="BW261" s="6">
        <f t="shared" si="147"/>
        <v>-7204.6983750000009</v>
      </c>
      <c r="BX261" s="6">
        <f t="shared" si="148"/>
        <v>-7204.6983750000009</v>
      </c>
      <c r="BY261" s="6">
        <f t="shared" si="149"/>
        <v>-7204.6983750000009</v>
      </c>
      <c r="BZ261" s="6">
        <f t="shared" si="150"/>
        <v>-7204.6983750000009</v>
      </c>
      <c r="CA261" s="6">
        <f t="shared" si="151"/>
        <v>-7204.6983750000009</v>
      </c>
      <c r="CB261" s="6">
        <f t="shared" si="152"/>
        <v>-7204.6983750000009</v>
      </c>
      <c r="CC261" s="6">
        <f t="shared" si="153"/>
        <v>-7204.6983750000009</v>
      </c>
      <c r="CD261" s="6">
        <f t="shared" si="154"/>
        <v>-7204.6983750000009</v>
      </c>
      <c r="CE261" s="6">
        <f t="shared" si="155"/>
        <v>-7204.6983750000009</v>
      </c>
      <c r="CF261" s="6">
        <f t="shared" si="156"/>
        <v>-7204.6983750000009</v>
      </c>
      <c r="CG261" s="6">
        <f t="shared" si="157"/>
        <v>-7204.6983750000009</v>
      </c>
      <c r="CH261" s="6">
        <f t="shared" si="107"/>
        <v>-86456.380500000028</v>
      </c>
    </row>
    <row r="262" spans="1:87" ht="29" hidden="1" x14ac:dyDescent="0.35">
      <c r="A262" s="3" t="s">
        <v>582</v>
      </c>
      <c r="B262" s="10">
        <v>212176.66666666666</v>
      </c>
      <c r="C262" s="10">
        <v>212176.66666666666</v>
      </c>
      <c r="D262" s="10">
        <v>212176.66666666666</v>
      </c>
      <c r="E262" s="10">
        <v>212176.66666666666</v>
      </c>
      <c r="F262" s="10">
        <v>212176.66666666666</v>
      </c>
      <c r="G262" s="10">
        <v>212176.66666666666</v>
      </c>
      <c r="H262" s="10">
        <v>212176.66666666666</v>
      </c>
      <c r="I262" s="10">
        <v>212176.66666666666</v>
      </c>
      <c r="J262" s="10">
        <v>212176.66666666666</v>
      </c>
      <c r="K262" s="10">
        <v>212176.66666666666</v>
      </c>
      <c r="L262" s="10">
        <v>212176.66666666666</v>
      </c>
      <c r="M262" s="10">
        <v>212176.66666666666</v>
      </c>
      <c r="N262" s="27">
        <f t="shared" si="140"/>
        <v>2546120</v>
      </c>
      <c r="O262" s="10">
        <v>83333.333333333328</v>
      </c>
      <c r="P262" s="10">
        <v>83333.333333333328</v>
      </c>
      <c r="Q262" s="10">
        <v>83333.333333333328</v>
      </c>
      <c r="R262" s="10">
        <v>83333.333333333328</v>
      </c>
      <c r="S262" s="10">
        <v>83333.333333333328</v>
      </c>
      <c r="T262" s="10">
        <v>83333.333333333328</v>
      </c>
      <c r="U262" s="10">
        <v>83333.333333333328</v>
      </c>
      <c r="V262" s="10">
        <v>83333.333333333328</v>
      </c>
      <c r="W262" s="10">
        <v>83333.333333333328</v>
      </c>
      <c r="X262" s="10">
        <v>83333.333333333328</v>
      </c>
      <c r="Y262" s="10">
        <v>83333.333333333328</v>
      </c>
      <c r="Z262" s="10">
        <v>83333.333333333328</v>
      </c>
      <c r="AA262" s="27">
        <f t="shared" si="141"/>
        <v>1000000.0000000001</v>
      </c>
      <c r="AB262" s="10">
        <f t="shared" si="142"/>
        <v>128843.33333333333</v>
      </c>
      <c r="AC262" s="10">
        <f t="shared" si="142"/>
        <v>128843.33333333333</v>
      </c>
      <c r="AD262" s="10">
        <f t="shared" si="142"/>
        <v>128843.33333333333</v>
      </c>
      <c r="AE262" s="10">
        <f t="shared" si="142"/>
        <v>128843.33333333333</v>
      </c>
      <c r="AF262" s="10">
        <f t="shared" si="142"/>
        <v>128843.33333333333</v>
      </c>
      <c r="AG262" s="10">
        <f t="shared" si="142"/>
        <v>128843.33333333333</v>
      </c>
      <c r="AH262" s="10">
        <f t="shared" si="142"/>
        <v>128843.33333333333</v>
      </c>
      <c r="AI262" s="10">
        <f t="shared" si="142"/>
        <v>128843.33333333333</v>
      </c>
      <c r="AJ262" s="10">
        <f t="shared" si="142"/>
        <v>128843.33333333333</v>
      </c>
      <c r="AK262" s="10">
        <f t="shared" si="142"/>
        <v>128843.33333333333</v>
      </c>
      <c r="AL262" s="10">
        <f t="shared" si="142"/>
        <v>128843.33333333333</v>
      </c>
      <c r="AM262" s="10">
        <f t="shared" si="142"/>
        <v>128843.33333333333</v>
      </c>
      <c r="AN262" s="27">
        <f t="shared" si="142"/>
        <v>1546120</v>
      </c>
      <c r="AO262" s="28">
        <v>2532654.3900000029</v>
      </c>
      <c r="AP262" t="s">
        <v>583</v>
      </c>
      <c r="AQ262" s="36" t="s">
        <v>583</v>
      </c>
      <c r="AR262" t="s">
        <v>584</v>
      </c>
      <c r="AS262" t="str">
        <f>_xlfn.XLOOKUP(AU262,[2]GAE!HZ:HZ,[2]GAE!IA:IA)</f>
        <v>ADMIN SERVICES</v>
      </c>
      <c r="AT262" t="str">
        <f>_xlfn.XLOOKUP(AU262,[2]GAE!HZ:HZ,[2]GAE!IB:IB)</f>
        <v>DOE - Postal &amp; Communication - Telephone</v>
      </c>
      <c r="AU262" t="s">
        <v>585</v>
      </c>
      <c r="AV262">
        <v>81123102</v>
      </c>
      <c r="AW262">
        <v>52951101</v>
      </c>
      <c r="AX262" t="str">
        <f>_xlfn.XLOOKUP(AU262,[2]GAE!HZ:HZ,[2]GAE!IF:IF)</f>
        <v>Others</v>
      </c>
      <c r="AY262" t="str">
        <f>_xlfn.XLOOKUP(AU262,[2]GAE!HZ:HZ,[2]GAE!IG:IG)</f>
        <v>Postal &amp; Communication</v>
      </c>
      <c r="BA262" s="37" t="s">
        <v>586</v>
      </c>
      <c r="BC262" t="s">
        <v>30</v>
      </c>
      <c r="BD262" t="s">
        <v>587</v>
      </c>
      <c r="BF262" t="s">
        <v>508</v>
      </c>
      <c r="BG262" s="2" t="s">
        <v>30</v>
      </c>
      <c r="BH262" s="10">
        <f>SUMIFS('[1]2026'!$K:$K,'[1]2026'!$T:$T,BD262,'[1]2026'!$S:$S,BH$3,'[1]2026'!$P:$P,AU262)</f>
        <v>139401.9500000001</v>
      </c>
      <c r="BI262" s="10">
        <f>SUMIFS('[1]2026'!$K:$K,'[1]2026'!$T:$T,$BD262,'[1]2026'!$S:$S,BI$3,'[1]2026'!$P:$P,$AU262)</f>
        <v>100098.10000000012</v>
      </c>
      <c r="BJ262" s="10">
        <f>SUMIFS('[1]2026'!$K:$K,'[1]2026'!$T:$T,$BD262,'[1]2026'!$S:$S,BJ$3,'[1]2026'!$P:$P,$AU262)</f>
        <v>152674.64000000036</v>
      </c>
      <c r="BK262" s="10">
        <f>SUMIFS('[1]2026'!$K:$K,'[1]2026'!$T:$T,$BD262,'[1]2026'!$S:$S,BK$3,'[1]2026'!$P:$P,$AU262)</f>
        <v>149027.81000000011</v>
      </c>
      <c r="BL262" s="10">
        <f>SUMIFS('[1]2026'!$K:$K,'[1]2026'!$T:$T,$BD262,'[1]2026'!$S:$S,BL$3,'[1]2026'!$P:$P,$AU262)</f>
        <v>110554.60000000011</v>
      </c>
      <c r="BM262" s="10">
        <f>SUMIFS('[1]2026'!$K:$K,'[1]2026'!$T:$T,$BD262,'[1]2026'!$S:$S,BM$3,'[1]2026'!$P:$P,$AU262)</f>
        <v>148827.77000000014</v>
      </c>
      <c r="BN262" s="10">
        <f>SUMIFS('[1]2026'!$K:$K,'[1]2026'!$T:$T,$BD262,'[1]2026'!$S:$S,BN$3,'[1]2026'!$P:$P,$AU262)</f>
        <v>34828.220000000147</v>
      </c>
      <c r="BO262" s="10">
        <f>SUMIFS('[1]2026'!$K:$K,'[1]2026'!$T:$T,$BD262,'[1]2026'!$S:$S,BO$3,'[1]2026'!$P:$P,$AU262)</f>
        <v>299819.83000000101</v>
      </c>
      <c r="BP262" s="6">
        <v>150000</v>
      </c>
      <c r="BQ262" s="6">
        <v>150000</v>
      </c>
      <c r="BR262" s="6">
        <v>150000</v>
      </c>
      <c r="BS262" s="6">
        <v>150000</v>
      </c>
      <c r="BT262" s="6">
        <f t="shared" si="106"/>
        <v>1735232.920000002</v>
      </c>
      <c r="BV262" s="6">
        <f t="shared" si="146"/>
        <v>10558.61666666677</v>
      </c>
      <c r="BW262" s="6">
        <f t="shared" si="147"/>
        <v>-28745.233333333206</v>
      </c>
      <c r="BX262" s="6">
        <f t="shared" si="148"/>
        <v>23831.306666667035</v>
      </c>
      <c r="BY262" s="6">
        <f t="shared" si="149"/>
        <v>20184.476666666786</v>
      </c>
      <c r="BZ262" s="6">
        <f t="shared" si="150"/>
        <v>-18288.733333333221</v>
      </c>
      <c r="CA262" s="6">
        <f t="shared" si="151"/>
        <v>19984.436666666807</v>
      </c>
      <c r="CB262" s="6">
        <f t="shared" si="152"/>
        <v>-94015.113333333182</v>
      </c>
      <c r="CC262" s="6">
        <f t="shared" si="153"/>
        <v>170976.49666666769</v>
      </c>
      <c r="CD262" s="6">
        <f t="shared" si="154"/>
        <v>21156.666666666672</v>
      </c>
      <c r="CE262" s="6">
        <f t="shared" si="155"/>
        <v>21156.666666666672</v>
      </c>
      <c r="CF262" s="6">
        <f t="shared" si="156"/>
        <v>21156.666666666672</v>
      </c>
      <c r="CG262" s="6">
        <f t="shared" si="157"/>
        <v>21156.666666666672</v>
      </c>
      <c r="CH262" s="6">
        <f t="shared" si="107"/>
        <v>189112.92000000202</v>
      </c>
    </row>
    <row r="263" spans="1:87" hidden="1" x14ac:dyDescent="0.35">
      <c r="A263" s="3" t="s">
        <v>588</v>
      </c>
      <c r="B263" s="10">
        <v>83.333333333333329</v>
      </c>
      <c r="C263" s="10">
        <v>83.333333333333329</v>
      </c>
      <c r="D263" s="10">
        <v>83.333333333333329</v>
      </c>
      <c r="E263" s="10">
        <v>83.333333333333329</v>
      </c>
      <c r="F263" s="10">
        <v>83.333333333333329</v>
      </c>
      <c r="G263" s="10">
        <v>83.333333333333329</v>
      </c>
      <c r="H263" s="10">
        <v>83.333333333333329</v>
      </c>
      <c r="I263" s="10">
        <v>83.333333333333329</v>
      </c>
      <c r="J263" s="10">
        <v>83.333333333333329</v>
      </c>
      <c r="K263" s="10">
        <v>83.333333333333329</v>
      </c>
      <c r="L263" s="10">
        <v>83.333333333333329</v>
      </c>
      <c r="M263" s="10">
        <v>83.333333333333329</v>
      </c>
      <c r="N263" s="27">
        <f t="shared" si="140"/>
        <v>1000.0000000000001</v>
      </c>
      <c r="O263" s="10">
        <v>43.317796683589499</v>
      </c>
      <c r="P263" s="10">
        <v>43.317796683589499</v>
      </c>
      <c r="Q263" s="10">
        <v>43.317796683589499</v>
      </c>
      <c r="R263" s="10">
        <v>43.317796683589499</v>
      </c>
      <c r="S263" s="10">
        <v>43.317796683589499</v>
      </c>
      <c r="T263" s="10">
        <v>43.317796683589499</v>
      </c>
      <c r="U263" s="10">
        <v>43.317796683589499</v>
      </c>
      <c r="V263" s="10">
        <v>43.317796683589499</v>
      </c>
      <c r="W263" s="10">
        <v>43.317796683589499</v>
      </c>
      <c r="X263" s="10">
        <v>43.317796683589499</v>
      </c>
      <c r="Y263" s="10">
        <v>43.317796683589499</v>
      </c>
      <c r="Z263" s="10">
        <v>43.317796683589499</v>
      </c>
      <c r="AA263" s="27">
        <f t="shared" si="141"/>
        <v>519.81356020307396</v>
      </c>
      <c r="AB263" s="10">
        <f t="shared" si="142"/>
        <v>40.015536649743829</v>
      </c>
      <c r="AC263" s="10">
        <f t="shared" si="142"/>
        <v>40.015536649743829</v>
      </c>
      <c r="AD263" s="10">
        <f t="shared" si="142"/>
        <v>40.015536649743829</v>
      </c>
      <c r="AE263" s="10">
        <f t="shared" si="142"/>
        <v>40.015536649743829</v>
      </c>
      <c r="AF263" s="10">
        <f t="shared" si="142"/>
        <v>40.015536649743829</v>
      </c>
      <c r="AG263" s="10">
        <f t="shared" si="142"/>
        <v>40.015536649743829</v>
      </c>
      <c r="AH263" s="10">
        <f t="shared" si="142"/>
        <v>40.015536649743829</v>
      </c>
      <c r="AI263" s="10">
        <f t="shared" si="142"/>
        <v>40.015536649743829</v>
      </c>
      <c r="AJ263" s="10">
        <f t="shared" si="142"/>
        <v>40.015536649743829</v>
      </c>
      <c r="AK263" s="10">
        <f t="shared" si="142"/>
        <v>40.015536649743829</v>
      </c>
      <c r="AL263" s="10">
        <f t="shared" si="142"/>
        <v>40.015536649743829</v>
      </c>
      <c r="AM263" s="10">
        <f t="shared" si="142"/>
        <v>40.015536649743829</v>
      </c>
      <c r="AN263" s="27">
        <f t="shared" si="142"/>
        <v>480.18643979692615</v>
      </c>
      <c r="AS263" t="str">
        <f>_xlfn.XLOOKUP(AU263,[2]GAE!HZ:HZ,[2]GAE!IA:IA)</f>
        <v>IS &amp; IT</v>
      </c>
      <c r="AT263" t="str">
        <f>_xlfn.XLOOKUP(AU263,[2]GAE!HZ:HZ,[2]GAE!IB:IB)</f>
        <v>GAE - Low Value Assets</v>
      </c>
      <c r="AU263" t="s">
        <v>589</v>
      </c>
      <c r="AV263">
        <v>80124101</v>
      </c>
      <c r="AW263">
        <v>61111102</v>
      </c>
      <c r="AX263" t="str">
        <f>_xlfn.XLOOKUP(AU263,[2]GAE!HZ:HZ,[2]GAE!IF:IF)</f>
        <v>Others</v>
      </c>
      <c r="AY263" t="str">
        <f>_xlfn.XLOOKUP(AU263,[2]GAE!HZ:HZ,[2]GAE!IG:IG)</f>
        <v>Supplies</v>
      </c>
      <c r="BF263" t="s">
        <v>8</v>
      </c>
      <c r="BG263" t="s">
        <v>9</v>
      </c>
      <c r="BH263" s="10">
        <f>SUMIFS('[1]2026'!$K:$K,'[1]2026'!$T:$T,BD263,'[1]2026'!$S:$S,BH$3,'[1]2026'!$P:$P,AU263)</f>
        <v>0</v>
      </c>
      <c r="BI263" s="10">
        <f>SUMIFS('[1]2026'!$K:$K,'[1]2026'!$T:$T,$BD263,'[1]2026'!$S:$S,BI$3,'[1]2026'!$P:$P,$AU263)</f>
        <v>0</v>
      </c>
      <c r="BJ263" s="10">
        <f>SUMIFS('[1]2026'!$K:$K,'[1]2026'!$T:$T,$BD263,'[1]2026'!$S:$S,BJ$3,'[1]2026'!$P:$P,$AU263)</f>
        <v>0</v>
      </c>
      <c r="BK263" s="10">
        <f>SUMIFS('[1]2026'!$K:$K,'[1]2026'!$T:$T,$BD263,'[1]2026'!$S:$S,BK$3,'[1]2026'!$P:$P,$AU263)</f>
        <v>0</v>
      </c>
      <c r="BL263" s="10">
        <f>SUMIFS('[1]2026'!$K:$K,'[1]2026'!$T:$T,$BD263,'[1]2026'!$S:$S,BL$3,'[1]2026'!$P:$P,$AU263)</f>
        <v>0</v>
      </c>
      <c r="BM263" s="10">
        <f>SUMIFS('[1]2026'!$K:$K,'[1]2026'!$T:$T,$BD263,'[1]2026'!$S:$S,BM$3,'[1]2026'!$P:$P,$AU263)</f>
        <v>0</v>
      </c>
      <c r="BN263" s="10">
        <f>SUMIFS('[1]2026'!$K:$K,'[1]2026'!$T:$T,$BD263,'[1]2026'!$S:$S,BN$3,'[1]2026'!$P:$P,$AU263)</f>
        <v>0</v>
      </c>
      <c r="BO263" s="10">
        <f>SUMIFS('[1]2026'!$K:$K,'[1]2026'!$T:$T,$BD263,'[1]2026'!$S:$S,BO$3,'[1]2026'!$P:$P,$AU263)</f>
        <v>0</v>
      </c>
      <c r="BP263" s="6"/>
      <c r="BQ263" s="6"/>
      <c r="BR263" s="6"/>
      <c r="BS263" s="6"/>
      <c r="BT263" s="6">
        <f t="shared" si="106"/>
        <v>0</v>
      </c>
      <c r="BV263" s="6">
        <f t="shared" si="146"/>
        <v>-40.015536649743829</v>
      </c>
      <c r="BW263" s="6">
        <f t="shared" si="147"/>
        <v>-40.015536649743829</v>
      </c>
      <c r="BX263" s="6">
        <f t="shared" si="148"/>
        <v>-40.015536649743829</v>
      </c>
      <c r="BY263" s="6">
        <f t="shared" si="149"/>
        <v>-40.015536649743829</v>
      </c>
      <c r="BZ263" s="6">
        <f t="shared" si="150"/>
        <v>-40.015536649743829</v>
      </c>
      <c r="CA263" s="6">
        <f t="shared" si="151"/>
        <v>-40.015536649743829</v>
      </c>
      <c r="CB263" s="6">
        <f t="shared" si="152"/>
        <v>-40.015536649743829</v>
      </c>
      <c r="CC263" s="6">
        <f t="shared" si="153"/>
        <v>-40.015536649743829</v>
      </c>
      <c r="CD263" s="6">
        <f t="shared" si="154"/>
        <v>-40.015536649743829</v>
      </c>
      <c r="CE263" s="6">
        <f t="shared" si="155"/>
        <v>-40.015536649743829</v>
      </c>
      <c r="CF263" s="6">
        <f t="shared" si="156"/>
        <v>-40.015536649743829</v>
      </c>
      <c r="CG263" s="6">
        <f t="shared" si="157"/>
        <v>-40.015536649743829</v>
      </c>
      <c r="CH263" s="6">
        <f t="shared" si="107"/>
        <v>-480.18643979692615</v>
      </c>
    </row>
    <row r="264" spans="1:87" hidden="1" x14ac:dyDescent="0.35">
      <c r="A264" s="3" t="s">
        <v>590</v>
      </c>
      <c r="B264" s="10">
        <v>83.333333333333329</v>
      </c>
      <c r="C264" s="10">
        <v>83.333333333333329</v>
      </c>
      <c r="D264" s="10">
        <v>83.333333333333329</v>
      </c>
      <c r="E264" s="10">
        <v>83.333333333333329</v>
      </c>
      <c r="F264" s="10">
        <v>83.333333333333329</v>
      </c>
      <c r="G264" s="10">
        <v>83.333333333333329</v>
      </c>
      <c r="H264" s="10">
        <v>83.333333333333329</v>
      </c>
      <c r="I264" s="10">
        <v>83.333333333333329</v>
      </c>
      <c r="J264" s="10">
        <v>83.333333333333329</v>
      </c>
      <c r="K264" s="10">
        <v>83.333333333333329</v>
      </c>
      <c r="L264" s="10">
        <v>83.333333333333329</v>
      </c>
      <c r="M264" s="10">
        <v>83.333333333333329</v>
      </c>
      <c r="N264" s="27">
        <f t="shared" si="140"/>
        <v>1000.0000000000001</v>
      </c>
      <c r="O264" s="10">
        <v>43.317796683589499</v>
      </c>
      <c r="P264" s="10">
        <v>43.317796683589499</v>
      </c>
      <c r="Q264" s="10">
        <v>43.317796683589499</v>
      </c>
      <c r="R264" s="10">
        <v>43.317796683589499</v>
      </c>
      <c r="S264" s="10">
        <v>43.317796683589499</v>
      </c>
      <c r="T264" s="10">
        <v>43.317796683589499</v>
      </c>
      <c r="U264" s="10">
        <v>43.317796683589499</v>
      </c>
      <c r="V264" s="10">
        <v>43.317796683589499</v>
      </c>
      <c r="W264" s="10">
        <v>43.317796683589499</v>
      </c>
      <c r="X264" s="10">
        <v>43.317796683589499</v>
      </c>
      <c r="Y264" s="10">
        <v>43.317796683589499</v>
      </c>
      <c r="Z264" s="10">
        <v>43.317796683589499</v>
      </c>
      <c r="AA264" s="27">
        <f t="shared" si="141"/>
        <v>519.81356020307396</v>
      </c>
      <c r="AB264" s="10">
        <f t="shared" si="142"/>
        <v>40.015536649743829</v>
      </c>
      <c r="AC264" s="10">
        <f t="shared" si="142"/>
        <v>40.015536649743829</v>
      </c>
      <c r="AD264" s="10">
        <f t="shared" si="142"/>
        <v>40.015536649743829</v>
      </c>
      <c r="AE264" s="10">
        <f t="shared" si="142"/>
        <v>40.015536649743829</v>
      </c>
      <c r="AF264" s="10">
        <f t="shared" si="142"/>
        <v>40.015536649743829</v>
      </c>
      <c r="AG264" s="10">
        <f t="shared" si="142"/>
        <v>40.015536649743829</v>
      </c>
      <c r="AH264" s="10">
        <f t="shared" si="142"/>
        <v>40.015536649743829</v>
      </c>
      <c r="AI264" s="10">
        <f t="shared" si="142"/>
        <v>40.015536649743829</v>
      </c>
      <c r="AJ264" s="10">
        <f t="shared" si="142"/>
        <v>40.015536649743829</v>
      </c>
      <c r="AK264" s="10">
        <f t="shared" si="142"/>
        <v>40.015536649743829</v>
      </c>
      <c r="AL264" s="10">
        <f t="shared" si="142"/>
        <v>40.015536649743829</v>
      </c>
      <c r="AM264" s="10">
        <f t="shared" si="142"/>
        <v>40.015536649743829</v>
      </c>
      <c r="AN264" s="27">
        <f t="shared" si="142"/>
        <v>480.18643979692615</v>
      </c>
      <c r="AS264" t="str">
        <f>_xlfn.XLOOKUP(AU264,[2]GAE!HZ:HZ,[2]GAE!IA:IA)</f>
        <v>IS &amp; IT</v>
      </c>
      <c r="AT264" t="str">
        <f>_xlfn.XLOOKUP(AU264,[2]GAE!HZ:HZ,[2]GAE!IB:IB)</f>
        <v>DOE - Low Value Assets</v>
      </c>
      <c r="AU264" t="s">
        <v>591</v>
      </c>
      <c r="AV264">
        <v>81124101</v>
      </c>
      <c r="AW264">
        <v>52111102</v>
      </c>
      <c r="AX264" t="str">
        <f>_xlfn.XLOOKUP(AU264,[2]GAE!HZ:HZ,[2]GAE!IF:IF)</f>
        <v>Others</v>
      </c>
      <c r="AY264" t="str">
        <f>_xlfn.XLOOKUP(AU264,[2]GAE!HZ:HZ,[2]GAE!IG:IG)</f>
        <v>Supplies</v>
      </c>
      <c r="BF264" t="s">
        <v>8</v>
      </c>
      <c r="BG264" t="s">
        <v>9</v>
      </c>
      <c r="BH264" s="10">
        <f>SUMIFS('[1]2026'!$K:$K,'[1]2026'!$T:$T,BD264,'[1]2026'!$S:$S,BH$3,'[1]2026'!$P:$P,AU264)</f>
        <v>0</v>
      </c>
      <c r="BI264" s="10">
        <f>SUMIFS('[1]2026'!$K:$K,'[1]2026'!$T:$T,$BD264,'[1]2026'!$S:$S,BI$3,'[1]2026'!$P:$P,$AU264)</f>
        <v>0</v>
      </c>
      <c r="BJ264" s="10">
        <f>SUMIFS('[1]2026'!$K:$K,'[1]2026'!$T:$T,$BD264,'[1]2026'!$S:$S,BJ$3,'[1]2026'!$P:$P,$AU264)</f>
        <v>0</v>
      </c>
      <c r="BK264" s="10">
        <f>SUMIFS('[1]2026'!$K:$K,'[1]2026'!$T:$T,$BD264,'[1]2026'!$S:$S,BK$3,'[1]2026'!$P:$P,$AU264)</f>
        <v>0</v>
      </c>
      <c r="BL264" s="10">
        <f>SUMIFS('[1]2026'!$K:$K,'[1]2026'!$T:$T,$BD264,'[1]2026'!$S:$S,BL$3,'[1]2026'!$P:$P,$AU264)</f>
        <v>0</v>
      </c>
      <c r="BM264" s="10">
        <f>SUMIFS('[1]2026'!$K:$K,'[1]2026'!$T:$T,$BD264,'[1]2026'!$S:$S,BM$3,'[1]2026'!$P:$P,$AU264)</f>
        <v>0</v>
      </c>
      <c r="BN264" s="10">
        <f>SUMIFS('[1]2026'!$K:$K,'[1]2026'!$T:$T,$BD264,'[1]2026'!$S:$S,BN$3,'[1]2026'!$P:$P,$AU264)</f>
        <v>0</v>
      </c>
      <c r="BO264" s="10">
        <f>SUMIFS('[1]2026'!$K:$K,'[1]2026'!$T:$T,$BD264,'[1]2026'!$S:$S,BO$3,'[1]2026'!$P:$P,$AU264)</f>
        <v>0</v>
      </c>
      <c r="BP264" s="6"/>
      <c r="BQ264" s="6"/>
      <c r="BR264" s="6"/>
      <c r="BS264" s="6"/>
      <c r="BT264" s="6">
        <f t="shared" si="106"/>
        <v>0</v>
      </c>
      <c r="BV264" s="6">
        <f t="shared" si="146"/>
        <v>-40.015536649743829</v>
      </c>
      <c r="BW264" s="6">
        <f t="shared" si="147"/>
        <v>-40.015536649743829</v>
      </c>
      <c r="BX264" s="6">
        <f t="shared" si="148"/>
        <v>-40.015536649743829</v>
      </c>
      <c r="BY264" s="6">
        <f t="shared" si="149"/>
        <v>-40.015536649743829</v>
      </c>
      <c r="BZ264" s="6">
        <f t="shared" si="150"/>
        <v>-40.015536649743829</v>
      </c>
      <c r="CA264" s="6">
        <f t="shared" si="151"/>
        <v>-40.015536649743829</v>
      </c>
      <c r="CB264" s="6">
        <f t="shared" si="152"/>
        <v>-40.015536649743829</v>
      </c>
      <c r="CC264" s="6">
        <f t="shared" si="153"/>
        <v>-40.015536649743829</v>
      </c>
      <c r="CD264" s="6">
        <f t="shared" si="154"/>
        <v>-40.015536649743829</v>
      </c>
      <c r="CE264" s="6">
        <f t="shared" si="155"/>
        <v>-40.015536649743829</v>
      </c>
      <c r="CF264" s="6">
        <f t="shared" si="156"/>
        <v>-40.015536649743829</v>
      </c>
      <c r="CG264" s="6">
        <f t="shared" si="157"/>
        <v>-40.015536649743829</v>
      </c>
      <c r="CH264" s="6">
        <f t="shared" si="107"/>
        <v>-480.18643979692615</v>
      </c>
    </row>
    <row r="265" spans="1:87" x14ac:dyDescent="0.35">
      <c r="A265" s="3" t="s">
        <v>592</v>
      </c>
      <c r="B265" s="10">
        <v>23333.333333333332</v>
      </c>
      <c r="C265" s="10">
        <v>23333.333333333332</v>
      </c>
      <c r="D265" s="10">
        <v>23333.333333333332</v>
      </c>
      <c r="E265" s="10">
        <v>23333.333333333332</v>
      </c>
      <c r="F265" s="10">
        <v>23333.333333333332</v>
      </c>
      <c r="G265" s="10">
        <v>23333.333333333332</v>
      </c>
      <c r="H265" s="10">
        <v>23333.333333333332</v>
      </c>
      <c r="I265" s="10">
        <v>23333.333333333332</v>
      </c>
      <c r="J265" s="10">
        <v>23333.333333333332</v>
      </c>
      <c r="K265" s="10">
        <v>23333.333333333332</v>
      </c>
      <c r="L265" s="10">
        <v>23333.333333333332</v>
      </c>
      <c r="M265" s="10">
        <v>23333.333333333332</v>
      </c>
      <c r="N265" s="27">
        <f t="shared" si="140"/>
        <v>280000.00000000006</v>
      </c>
      <c r="O265" s="38">
        <v>920.75952450337661</v>
      </c>
      <c r="P265" s="38">
        <v>920.75952450337661</v>
      </c>
      <c r="Q265" s="38">
        <v>920.75952450337661</v>
      </c>
      <c r="R265" s="38">
        <v>920.75952450337661</v>
      </c>
      <c r="S265" s="38">
        <v>920.75952450337661</v>
      </c>
      <c r="T265" s="38">
        <v>920.75952450337661</v>
      </c>
      <c r="U265" s="38">
        <v>920.75952450337661</v>
      </c>
      <c r="V265" s="38">
        <v>920.75952450337661</v>
      </c>
      <c r="W265" s="38">
        <v>920.75952450337661</v>
      </c>
      <c r="X265" s="38">
        <v>920.75952450337661</v>
      </c>
      <c r="Y265" s="38">
        <v>920.75952450337661</v>
      </c>
      <c r="Z265" s="38">
        <v>920.75952450337661</v>
      </c>
      <c r="AA265" s="27">
        <f t="shared" si="141"/>
        <v>11049.114294040521</v>
      </c>
      <c r="AB265" s="10">
        <f t="shared" si="142"/>
        <v>22412.573808829955</v>
      </c>
      <c r="AC265" s="10">
        <f t="shared" si="142"/>
        <v>22412.573808829955</v>
      </c>
      <c r="AD265" s="10">
        <f t="shared" ref="AD265:AN294" si="159">D265-Q265</f>
        <v>22412.573808829955</v>
      </c>
      <c r="AE265" s="10">
        <f t="shared" si="159"/>
        <v>22412.573808829955</v>
      </c>
      <c r="AF265" s="10">
        <f t="shared" si="159"/>
        <v>22412.573808829955</v>
      </c>
      <c r="AG265" s="10">
        <f t="shared" si="159"/>
        <v>22412.573808829955</v>
      </c>
      <c r="AH265" s="10">
        <f t="shared" si="159"/>
        <v>22412.573808829955</v>
      </c>
      <c r="AI265" s="10">
        <f t="shared" si="159"/>
        <v>22412.573808829955</v>
      </c>
      <c r="AJ265" s="10">
        <f t="shared" si="159"/>
        <v>22412.573808829955</v>
      </c>
      <c r="AK265" s="10">
        <f t="shared" si="159"/>
        <v>22412.573808829955</v>
      </c>
      <c r="AL265" s="10">
        <f t="shared" si="159"/>
        <v>22412.573808829955</v>
      </c>
      <c r="AM265" s="10">
        <f t="shared" si="159"/>
        <v>22412.573808829955</v>
      </c>
      <c r="AN265" s="27">
        <f t="shared" si="159"/>
        <v>268950.88570595952</v>
      </c>
      <c r="AO265" s="28" t="e">
        <f>SUMIF('[3]2025B and 2025F Details'!$AU:$AU,AP265,'[3]2025B and 2025F Details'!$BH:$BH)</f>
        <v>#VALUE!</v>
      </c>
      <c r="AP265" t="s">
        <v>41</v>
      </c>
      <c r="AS265" t="str">
        <f>_xlfn.XLOOKUP(AU265,[2]GAE!HZ:HZ,[2]GAE!IA:IA)</f>
        <v>IS &amp; IT</v>
      </c>
      <c r="AT265" t="str">
        <f>_xlfn.XLOOKUP(AU265,[2]GAE!HZ:HZ,[2]GAE!IB:IB)</f>
        <v>GAE- Systems &amp; Applications</v>
      </c>
      <c r="AU265" t="s">
        <v>593</v>
      </c>
      <c r="AV265">
        <v>80124101</v>
      </c>
      <c r="AW265">
        <v>61711102</v>
      </c>
      <c r="AX265" t="str">
        <f>_xlfn.XLOOKUP(AU265,[2]GAE!HZ:HZ,[2]GAE!IF:IF)</f>
        <v>Systems &amp; Applications</v>
      </c>
      <c r="BC265" t="s">
        <v>41</v>
      </c>
      <c r="BD265" t="s">
        <v>41</v>
      </c>
      <c r="BF265" t="s">
        <v>42</v>
      </c>
      <c r="BG265" s="2" t="s">
        <v>43</v>
      </c>
      <c r="BH265" s="10">
        <f>SUMIFS('[1]2026'!$K:$K,'[1]2026'!$T:$T,BD265,'[1]2026'!$S:$S,BH$3,'[1]2026'!$P:$P,AU265)</f>
        <v>21123.95</v>
      </c>
      <c r="BI265" s="10">
        <f>SUMIFS('[1]2026'!$K:$K,'[1]2026'!$T:$T,$BD265,'[1]2026'!$S:$S,BI$3,'[1]2026'!$P:$P,$AU265)</f>
        <v>21123.95</v>
      </c>
      <c r="BJ265" s="10">
        <f>SUMIFS('[1]2026'!$K:$K,'[1]2026'!$T:$T,$BD265,'[1]2026'!$S:$S,BJ$3,'[1]2026'!$P:$P,$AU265)</f>
        <v>14309.77</v>
      </c>
      <c r="BK265" s="10">
        <f>SUMIFS('[1]2026'!$K:$K,'[1]2026'!$T:$T,$BD265,'[1]2026'!$S:$S,BK$3,'[1]2026'!$P:$P,$AU265)</f>
        <v>0</v>
      </c>
      <c r="BL265" s="10">
        <f>SUMIFS('[1]2026'!$K:$K,'[1]2026'!$T:$T,$BD265,'[1]2026'!$S:$S,BL$3,'[1]2026'!$P:$P,$AU265)</f>
        <v>0</v>
      </c>
      <c r="BM265" s="10">
        <f>SUMIFS('[1]2026'!$K:$K,'[1]2026'!$T:$T,$BD265,'[1]2026'!$S:$S,BM$3,'[1]2026'!$P:$P,$AU265)</f>
        <v>0</v>
      </c>
      <c r="BN265" s="10">
        <f>SUMIFS('[1]2026'!$K:$K,'[1]2026'!$T:$T,$BD265,'[1]2026'!$S:$S,BN$3,'[1]2026'!$P:$P,$AU265)</f>
        <v>0</v>
      </c>
      <c r="BO265" s="10">
        <f>SUMIFS('[1]2026'!$K:$K,'[1]2026'!$T:$T,$BD265,'[1]2026'!$S:$S,BO$3,'[1]2026'!$P:$P,$AU265)</f>
        <v>0</v>
      </c>
      <c r="BP265" s="6">
        <v>19866.400000000001</v>
      </c>
      <c r="BQ265" s="6">
        <v>19866.400000000001</v>
      </c>
      <c r="BR265" s="6">
        <v>19866.400000000001</v>
      </c>
      <c r="BS265" s="6">
        <v>19866.400000000001</v>
      </c>
      <c r="BT265" s="6">
        <f t="shared" si="106"/>
        <v>136023.26999999999</v>
      </c>
      <c r="BV265" s="6">
        <f t="shared" si="146"/>
        <v>-1288.6238088299542</v>
      </c>
      <c r="BW265" s="6">
        <f t="shared" si="147"/>
        <v>-1288.6238088299542</v>
      </c>
      <c r="BX265" s="6">
        <f t="shared" si="148"/>
        <v>-8102.8038088299545</v>
      </c>
      <c r="BY265" s="6">
        <f t="shared" si="149"/>
        <v>-22412.573808829955</v>
      </c>
      <c r="BZ265" s="6">
        <f t="shared" si="150"/>
        <v>-22412.573808829955</v>
      </c>
      <c r="CA265" s="6">
        <f t="shared" si="151"/>
        <v>-22412.573808829955</v>
      </c>
      <c r="CB265" s="6">
        <f t="shared" si="152"/>
        <v>-22412.573808829955</v>
      </c>
      <c r="CC265" s="6">
        <f t="shared" si="153"/>
        <v>-22412.573808829955</v>
      </c>
      <c r="CD265" s="6">
        <f t="shared" si="154"/>
        <v>-2546.1738088299535</v>
      </c>
      <c r="CE265" s="6">
        <f t="shared" si="155"/>
        <v>-2546.1738088299535</v>
      </c>
      <c r="CF265" s="6">
        <f t="shared" si="156"/>
        <v>-2546.1738088299535</v>
      </c>
      <c r="CG265" s="6">
        <f t="shared" si="157"/>
        <v>-2546.1738088299535</v>
      </c>
      <c r="CH265" s="6">
        <f t="shared" si="107"/>
        <v>-132927.61570595953</v>
      </c>
    </row>
    <row r="266" spans="1:87" hidden="1" x14ac:dyDescent="0.35"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N266" s="27">
        <f>N266-AA266</f>
        <v>0</v>
      </c>
      <c r="AS266" t="str">
        <f>_xlfn.XLOOKUP(AU266,[2]GAE!HZ:HZ,[2]GAE!IA:IA)</f>
        <v>IS &amp; IT</v>
      </c>
      <c r="AT266" t="str">
        <f>_xlfn.XLOOKUP(AU266,[2]GAE!HZ:HZ,[2]GAE!IB:IB)</f>
        <v>DOE - Systems and Applications</v>
      </c>
      <c r="AU266" s="2" t="s">
        <v>594</v>
      </c>
      <c r="AV266" s="2">
        <v>81124101</v>
      </c>
      <c r="AW266" s="2">
        <v>52952103</v>
      </c>
      <c r="AX266" t="str">
        <f>_xlfn.XLOOKUP(AU266,[2]GAE!HZ:HZ,[2]GAE!IF:IF)</f>
        <v>Systems &amp; Applications</v>
      </c>
      <c r="BC266" t="s">
        <v>43</v>
      </c>
      <c r="BD266" t="s">
        <v>41</v>
      </c>
      <c r="BF266" t="s">
        <v>42</v>
      </c>
      <c r="BG266" s="2" t="s">
        <v>43</v>
      </c>
      <c r="BN266" s="10">
        <f>SUMIFS('[1]2026'!$K:$K,'[1]2026'!$T:$T,$BD266,'[1]2026'!$S:$S,BN$3,'[1]2026'!$P:$P,$AU266)</f>
        <v>59599.200000000004</v>
      </c>
      <c r="BO266" s="10">
        <f>SUMIFS('[1]2026'!$K:$K,'[1]2026'!$T:$T,$BD266,'[1]2026'!$S:$S,BO$3,'[1]2026'!$P:$P,$AU266)</f>
        <v>19866.400000000001</v>
      </c>
      <c r="BP266" s="6"/>
      <c r="BQ266" s="6"/>
      <c r="BR266" s="6"/>
      <c r="BS266" s="6"/>
      <c r="BT266" s="6">
        <f t="shared" si="106"/>
        <v>79465.600000000006</v>
      </c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>
        <f t="shared" si="107"/>
        <v>79465.600000000006</v>
      </c>
    </row>
    <row r="267" spans="1:87" x14ac:dyDescent="0.35">
      <c r="A267" s="3" t="s">
        <v>595</v>
      </c>
      <c r="B267" s="10">
        <v>16666.666666666668</v>
      </c>
      <c r="C267" s="10">
        <v>16666.666666666668</v>
      </c>
      <c r="D267" s="10">
        <v>16666.666666666668</v>
      </c>
      <c r="E267" s="10">
        <v>16666.666666666668</v>
      </c>
      <c r="F267" s="10">
        <v>16666.666666666668</v>
      </c>
      <c r="G267" s="10">
        <v>16666.666666666668</v>
      </c>
      <c r="H267" s="10">
        <v>16666.666666666668</v>
      </c>
      <c r="I267" s="10">
        <v>16666.666666666668</v>
      </c>
      <c r="J267" s="10">
        <v>16666.666666666668</v>
      </c>
      <c r="K267" s="10">
        <v>16666.666666666668</v>
      </c>
      <c r="L267" s="10">
        <v>16666.666666666668</v>
      </c>
      <c r="M267" s="10">
        <v>16666.666666666668</v>
      </c>
      <c r="N267" s="27">
        <f t="shared" si="140"/>
        <v>199999.99999999997</v>
      </c>
      <c r="O267" s="38">
        <v>657.68537464526867</v>
      </c>
      <c r="P267" s="38">
        <v>657.68537464526867</v>
      </c>
      <c r="Q267" s="38">
        <v>657.68537464526867</v>
      </c>
      <c r="R267" s="38">
        <v>657.68537464526867</v>
      </c>
      <c r="S267" s="38">
        <v>657.68537464526867</v>
      </c>
      <c r="T267" s="38">
        <v>657.68537464526867</v>
      </c>
      <c r="U267" s="38">
        <v>657.68537464526867</v>
      </c>
      <c r="V267" s="38">
        <v>657.68537464526867</v>
      </c>
      <c r="W267" s="38">
        <v>657.68537464526867</v>
      </c>
      <c r="X267" s="38">
        <v>657.68537464526867</v>
      </c>
      <c r="Y267" s="38">
        <v>657.68537464526867</v>
      </c>
      <c r="Z267" s="38">
        <v>657.68537464526867</v>
      </c>
      <c r="AA267" s="27">
        <f t="shared" si="141"/>
        <v>7892.2244957432258</v>
      </c>
      <c r="AB267" s="10">
        <f t="shared" ref="AB267:AE306" si="160">B267-O267</f>
        <v>16008.981292021399</v>
      </c>
      <c r="AC267" s="10">
        <f t="shared" si="160"/>
        <v>16008.981292021399</v>
      </c>
      <c r="AD267" s="10">
        <f t="shared" si="159"/>
        <v>16008.981292021399</v>
      </c>
      <c r="AE267" s="10">
        <f t="shared" si="159"/>
        <v>16008.981292021399</v>
      </c>
      <c r="AF267" s="10">
        <f t="shared" si="159"/>
        <v>16008.981292021399</v>
      </c>
      <c r="AG267" s="10">
        <f t="shared" si="159"/>
        <v>16008.981292021399</v>
      </c>
      <c r="AH267" s="10">
        <f t="shared" si="159"/>
        <v>16008.981292021399</v>
      </c>
      <c r="AI267" s="10">
        <f t="shared" si="159"/>
        <v>16008.981292021399</v>
      </c>
      <c r="AJ267" s="10">
        <f t="shared" si="159"/>
        <v>16008.981292021399</v>
      </c>
      <c r="AK267" s="10">
        <f t="shared" si="159"/>
        <v>16008.981292021399</v>
      </c>
      <c r="AL267" s="10">
        <f t="shared" si="159"/>
        <v>16008.981292021399</v>
      </c>
      <c r="AM267" s="10">
        <f t="shared" si="159"/>
        <v>16008.981292021399</v>
      </c>
      <c r="AN267" s="27">
        <f t="shared" si="159"/>
        <v>192107.77550425674</v>
      </c>
      <c r="AO267" s="28" t="e">
        <f>SUMIF('[3]2025B and 2025F Details'!$AU:$AU,AP267,'[3]2025B and 2025F Details'!$BH:$BH)</f>
        <v>#VALUE!</v>
      </c>
      <c r="AP267" t="s">
        <v>44</v>
      </c>
      <c r="AS267" t="str">
        <f>_xlfn.XLOOKUP(AU267,[2]GAE!HZ:HZ,[2]GAE!IA:IA)</f>
        <v>IS &amp; IT</v>
      </c>
      <c r="AT267" t="str">
        <f>_xlfn.XLOOKUP(AU267,[2]GAE!HZ:HZ,[2]GAE!IB:IB)</f>
        <v>GAE- Systems &amp; Applications</v>
      </c>
      <c r="AU267" t="s">
        <v>593</v>
      </c>
      <c r="AV267">
        <v>80124101</v>
      </c>
      <c r="AW267">
        <v>61711102</v>
      </c>
      <c r="AX267" t="str">
        <f>_xlfn.XLOOKUP(AU267,[2]GAE!HZ:HZ,[2]GAE!IF:IF)</f>
        <v>Systems &amp; Applications</v>
      </c>
      <c r="BC267" t="s">
        <v>44</v>
      </c>
      <c r="BD267" t="s">
        <v>44</v>
      </c>
      <c r="BF267" t="s">
        <v>1264</v>
      </c>
      <c r="BG267" s="2" t="s">
        <v>44</v>
      </c>
      <c r="BH267" s="10">
        <f>SUMIFS('[1]2026'!$K:$K,'[1]2026'!$T:$T,BD267,'[1]2026'!$S:$S,BH$3,'[1]2026'!$P:$P,AU267)</f>
        <v>0</v>
      </c>
      <c r="BI267" s="10">
        <f>SUMIFS('[1]2026'!$K:$K,'[1]2026'!$T:$T,$BD267,'[1]2026'!$S:$S,BI$3,'[1]2026'!$P:$P,$AU267)</f>
        <v>0</v>
      </c>
      <c r="BJ267" s="10">
        <f>SUMIFS('[1]2026'!$K:$K,'[1]2026'!$T:$T,$BD267,'[1]2026'!$S:$S,BJ$3,'[1]2026'!$P:$P,$AU267)</f>
        <v>0</v>
      </c>
      <c r="BK267" s="10">
        <f>SUMIFS('[1]2026'!$K:$K,'[1]2026'!$T:$T,$BD267,'[1]2026'!$S:$S,BK$3,'[1]2026'!$P:$P,$AU267)</f>
        <v>0</v>
      </c>
      <c r="BL267" s="10">
        <f>SUMIFS('[1]2026'!$K:$K,'[1]2026'!$T:$T,$BD267,'[1]2026'!$S:$S,BL$3,'[1]2026'!$P:$P,$AU267)</f>
        <v>141467.35999999999</v>
      </c>
      <c r="BM267" s="10">
        <f>SUMIFS('[1]2026'!$K:$K,'[1]2026'!$T:$T,$BD267,'[1]2026'!$S:$S,BM$3,'[1]2026'!$P:$P,$AU267)</f>
        <v>0</v>
      </c>
      <c r="BN267" s="10">
        <f>SUMIFS('[1]2026'!$K:$K,'[1]2026'!$T:$T,$BD267,'[1]2026'!$S:$S,BN$3,'[1]2026'!$P:$P,$AU267)</f>
        <v>0</v>
      </c>
      <c r="BO267" s="10">
        <f>SUMIFS('[1]2026'!$K:$K,'[1]2026'!$T:$T,$BD267,'[1]2026'!$S:$S,BO$3,'[1]2026'!$P:$P,$AU267)</f>
        <v>0</v>
      </c>
      <c r="BP267" s="6">
        <v>27479.27</v>
      </c>
      <c r="BQ267" s="6">
        <v>27479.27</v>
      </c>
      <c r="BR267" s="6">
        <v>27479.27</v>
      </c>
      <c r="BS267" s="6">
        <v>14248.511904761903</v>
      </c>
      <c r="BT267" s="6">
        <f t="shared" si="106"/>
        <v>238153.68190476185</v>
      </c>
      <c r="BV267" s="6">
        <f t="shared" ref="BV267:CG272" si="161">BH267-AB267</f>
        <v>-16008.981292021399</v>
      </c>
      <c r="BW267" s="6">
        <f t="shared" si="161"/>
        <v>-16008.981292021399</v>
      </c>
      <c r="BX267" s="6">
        <f t="shared" si="161"/>
        <v>-16008.981292021399</v>
      </c>
      <c r="BY267" s="6">
        <f t="shared" si="161"/>
        <v>-16008.981292021399</v>
      </c>
      <c r="BZ267" s="6">
        <f t="shared" si="161"/>
        <v>125458.37870797858</v>
      </c>
      <c r="CA267" s="6">
        <f t="shared" si="161"/>
        <v>-16008.981292021399</v>
      </c>
      <c r="CB267" s="6">
        <f t="shared" si="161"/>
        <v>-16008.981292021399</v>
      </c>
      <c r="CC267" s="6">
        <f t="shared" si="161"/>
        <v>-16008.981292021399</v>
      </c>
      <c r="CD267" s="6">
        <f t="shared" si="161"/>
        <v>11470.288707978601</v>
      </c>
      <c r="CE267" s="6">
        <f t="shared" si="161"/>
        <v>11470.288707978601</v>
      </c>
      <c r="CF267" s="6">
        <f t="shared" si="161"/>
        <v>11470.288707978601</v>
      </c>
      <c r="CG267" s="6">
        <f t="shared" si="161"/>
        <v>-1760.4693872594962</v>
      </c>
      <c r="CH267" s="6">
        <f t="shared" si="107"/>
        <v>46045.906400505104</v>
      </c>
      <c r="CI267" t="s">
        <v>596</v>
      </c>
    </row>
    <row r="268" spans="1:87" x14ac:dyDescent="0.35">
      <c r="A268" s="3" t="s">
        <v>597</v>
      </c>
      <c r="B268" s="10">
        <v>24999.916666666668</v>
      </c>
      <c r="C268" s="10">
        <v>24999.916666666668</v>
      </c>
      <c r="D268" s="10">
        <v>24999.916666666668</v>
      </c>
      <c r="E268" s="10">
        <v>24999.916666666668</v>
      </c>
      <c r="F268" s="10">
        <v>24999.916666666668</v>
      </c>
      <c r="G268" s="10">
        <v>24999.916666666668</v>
      </c>
      <c r="H268" s="10">
        <v>24999.916666666668</v>
      </c>
      <c r="I268" s="10">
        <v>24999.916666666668</v>
      </c>
      <c r="J268" s="10">
        <v>24999.916666666668</v>
      </c>
      <c r="K268" s="10">
        <v>24999.916666666668</v>
      </c>
      <c r="L268" s="10">
        <v>24999.916666666668</v>
      </c>
      <c r="M268" s="10">
        <v>24999.916666666668</v>
      </c>
      <c r="N268" s="27">
        <f t="shared" si="140"/>
        <v>299999</v>
      </c>
      <c r="O268" s="38">
        <v>986.52477354102984</v>
      </c>
      <c r="P268" s="38">
        <v>986.52477354102984</v>
      </c>
      <c r="Q268" s="38">
        <v>986.52477354102984</v>
      </c>
      <c r="R268" s="38">
        <v>986.52477354102984</v>
      </c>
      <c r="S268" s="38">
        <v>986.52477354102984</v>
      </c>
      <c r="T268" s="38">
        <v>986.52477354102984</v>
      </c>
      <c r="U268" s="38">
        <v>986.52477354102984</v>
      </c>
      <c r="V268" s="38">
        <v>986.52477354102984</v>
      </c>
      <c r="W268" s="38">
        <v>986.52477354102984</v>
      </c>
      <c r="X268" s="38">
        <v>986.52477354102984</v>
      </c>
      <c r="Y268" s="38">
        <v>986.52477354102984</v>
      </c>
      <c r="Z268" s="38">
        <v>986.52477354102984</v>
      </c>
      <c r="AA268" s="27">
        <f t="shared" si="141"/>
        <v>11838.297282492362</v>
      </c>
      <c r="AB268" s="10">
        <f t="shared" si="160"/>
        <v>24013.391893125638</v>
      </c>
      <c r="AC268" s="10">
        <f t="shared" si="160"/>
        <v>24013.391893125638</v>
      </c>
      <c r="AD268" s="10">
        <f t="shared" si="159"/>
        <v>24013.391893125638</v>
      </c>
      <c r="AE268" s="10">
        <f t="shared" si="159"/>
        <v>24013.391893125638</v>
      </c>
      <c r="AF268" s="10">
        <f t="shared" si="159"/>
        <v>24013.391893125638</v>
      </c>
      <c r="AG268" s="10">
        <f t="shared" si="159"/>
        <v>24013.391893125638</v>
      </c>
      <c r="AH268" s="10">
        <f t="shared" si="159"/>
        <v>24013.391893125638</v>
      </c>
      <c r="AI268" s="10">
        <f t="shared" si="159"/>
        <v>24013.391893125638</v>
      </c>
      <c r="AJ268" s="10">
        <f t="shared" si="159"/>
        <v>24013.391893125638</v>
      </c>
      <c r="AK268" s="10">
        <f t="shared" si="159"/>
        <v>24013.391893125638</v>
      </c>
      <c r="AL268" s="10">
        <f t="shared" si="159"/>
        <v>24013.391893125638</v>
      </c>
      <c r="AM268" s="10">
        <f t="shared" si="159"/>
        <v>24013.391893125638</v>
      </c>
      <c r="AN268" s="27">
        <f t="shared" si="159"/>
        <v>288160.70271750767</v>
      </c>
      <c r="AO268" s="28">
        <f>25669.64*12</f>
        <v>308035.68</v>
      </c>
      <c r="AP268" t="s">
        <v>598</v>
      </c>
      <c r="AS268" t="str">
        <f>_xlfn.XLOOKUP(AU268,[2]GAE!HZ:HZ,[2]GAE!IA:IA)</f>
        <v>IS &amp; IT</v>
      </c>
      <c r="AT268" t="str">
        <f>_xlfn.XLOOKUP(AU268,[2]GAE!HZ:HZ,[2]GAE!IB:IB)</f>
        <v>GAE- Systems &amp; Applications</v>
      </c>
      <c r="AU268" t="s">
        <v>593</v>
      </c>
      <c r="AV268">
        <v>80124101</v>
      </c>
      <c r="AW268">
        <v>61711102</v>
      </c>
      <c r="AX268" t="str">
        <f>_xlfn.XLOOKUP(AU268,[2]GAE!HZ:HZ,[2]GAE!IF:IF)</f>
        <v>Systems &amp; Applications</v>
      </c>
      <c r="BC268" t="s">
        <v>45</v>
      </c>
      <c r="BD268" t="s">
        <v>599</v>
      </c>
      <c r="BF268" t="s">
        <v>609</v>
      </c>
      <c r="BG268" s="2" t="s">
        <v>45</v>
      </c>
      <c r="BH268" s="10">
        <f>SUMIFS('[1]2026'!$K:$K,'[1]2026'!$T:$T,BD268,'[1]2026'!$S:$S,BH$3,'[1]2026'!$P:$P,AU268)</f>
        <v>25669.64</v>
      </c>
      <c r="BI268" s="10">
        <f>SUMIFS('[1]2026'!$K:$K,'[1]2026'!$T:$T,$BD268,'[1]2026'!$S:$S,BI$3,'[1]2026'!$P:$P,$AU268)</f>
        <v>25669.64</v>
      </c>
      <c r="BJ268" s="10">
        <f>SUMIFS('[1]2026'!$K:$K,'[1]2026'!$T:$T,$BD268,'[1]2026'!$S:$S,BJ$3,'[1]2026'!$P:$P,$AU268)</f>
        <v>0</v>
      </c>
      <c r="BK268" s="10">
        <f>SUMIFS('[1]2026'!$K:$K,'[1]2026'!$T:$T,$BD268,'[1]2026'!$S:$S,BK$3,'[1]2026'!$P:$P,$AU268)</f>
        <v>0</v>
      </c>
      <c r="BL268" s="10">
        <f>SUMIFS('[1]2026'!$K:$K,'[1]2026'!$T:$T,$BD268,'[1]2026'!$S:$S,BL$3,'[1]2026'!$P:$P,$AU268)</f>
        <v>0</v>
      </c>
      <c r="BM268" s="10">
        <f>SUMIFS('[1]2026'!$K:$K,'[1]2026'!$T:$T,$BD268,'[1]2026'!$S:$S,BM$3,'[1]2026'!$P:$P,$AU268)</f>
        <v>0</v>
      </c>
      <c r="BN268" s="10">
        <f>SUMIFS('[1]2026'!$K:$K,'[1]2026'!$T:$T,$BD268,'[1]2026'!$S:$S,BN$3,'[1]2026'!$P:$P,$AU268)</f>
        <v>0</v>
      </c>
      <c r="BO268" s="10">
        <f>SUMIFS('[1]2026'!$K:$K,'[1]2026'!$T:$T,$BD268,'[1]2026'!$S:$S,BO$3,'[1]2026'!$P:$P,$AU268)</f>
        <v>0</v>
      </c>
      <c r="BP268" s="6">
        <v>25669.64</v>
      </c>
      <c r="BQ268" s="6">
        <v>25669.64</v>
      </c>
      <c r="BR268" s="6">
        <v>25669.64</v>
      </c>
      <c r="BS268" s="6">
        <v>25669.64</v>
      </c>
      <c r="BT268" s="6">
        <f t="shared" ref="BT268:BT342" si="162">SUM(BH268:BS268)</f>
        <v>154017.84</v>
      </c>
      <c r="BV268" s="6">
        <f t="shared" si="161"/>
        <v>1656.2481068743618</v>
      </c>
      <c r="BW268" s="6">
        <f t="shared" si="161"/>
        <v>1656.2481068743618</v>
      </c>
      <c r="BX268" s="6">
        <f t="shared" si="161"/>
        <v>-24013.391893125638</v>
      </c>
      <c r="BY268" s="6">
        <f t="shared" si="161"/>
        <v>-24013.391893125638</v>
      </c>
      <c r="BZ268" s="6">
        <f t="shared" si="161"/>
        <v>-24013.391893125638</v>
      </c>
      <c r="CA268" s="6">
        <f t="shared" si="161"/>
        <v>-24013.391893125638</v>
      </c>
      <c r="CB268" s="6">
        <f t="shared" si="161"/>
        <v>-24013.391893125638</v>
      </c>
      <c r="CC268" s="6">
        <f t="shared" si="161"/>
        <v>-24013.391893125638</v>
      </c>
      <c r="CD268" s="6">
        <f t="shared" si="161"/>
        <v>1656.2481068743618</v>
      </c>
      <c r="CE268" s="6">
        <f t="shared" si="161"/>
        <v>1656.2481068743618</v>
      </c>
      <c r="CF268" s="6">
        <f t="shared" si="161"/>
        <v>1656.2481068743618</v>
      </c>
      <c r="CG268" s="6">
        <f t="shared" si="161"/>
        <v>1656.2481068743618</v>
      </c>
      <c r="CH268" s="6">
        <f t="shared" si="107"/>
        <v>-134142.86271750767</v>
      </c>
    </row>
    <row r="269" spans="1:87" x14ac:dyDescent="0.35">
      <c r="A269" s="3" t="s">
        <v>600</v>
      </c>
      <c r="B269" s="10">
        <v>8083.333333333333</v>
      </c>
      <c r="C269" s="10">
        <v>8083.333333333333</v>
      </c>
      <c r="D269" s="10">
        <v>8083.333333333333</v>
      </c>
      <c r="E269" s="10">
        <v>8083.333333333333</v>
      </c>
      <c r="F269" s="10">
        <v>8083.333333333333</v>
      </c>
      <c r="G269" s="10">
        <v>8083.333333333333</v>
      </c>
      <c r="H269" s="10">
        <v>8083.333333333333</v>
      </c>
      <c r="I269" s="10">
        <v>8083.333333333333</v>
      </c>
      <c r="J269" s="10">
        <v>8083.333333333333</v>
      </c>
      <c r="K269" s="10">
        <v>8083.333333333333</v>
      </c>
      <c r="L269" s="10">
        <v>8083.333333333333</v>
      </c>
      <c r="M269" s="10">
        <v>8083.333333333333</v>
      </c>
      <c r="N269" s="27">
        <f t="shared" si="140"/>
        <v>96999.999999999985</v>
      </c>
      <c r="O269" s="38">
        <v>318.97740670295531</v>
      </c>
      <c r="P269" s="38">
        <v>318.97740670295531</v>
      </c>
      <c r="Q269" s="38">
        <v>318.97740670295531</v>
      </c>
      <c r="R269" s="38">
        <v>318.97740670295531</v>
      </c>
      <c r="S269" s="38">
        <v>318.97740670295531</v>
      </c>
      <c r="T269" s="38">
        <v>318.97740670295531</v>
      </c>
      <c r="U269" s="38">
        <v>318.97740670295531</v>
      </c>
      <c r="V269" s="38">
        <v>318.97740670295531</v>
      </c>
      <c r="W269" s="38">
        <v>318.97740670295531</v>
      </c>
      <c r="X269" s="38">
        <v>318.97740670295531</v>
      </c>
      <c r="Y269" s="38">
        <v>318.97740670295531</v>
      </c>
      <c r="Z269" s="38">
        <v>318.97740670295531</v>
      </c>
      <c r="AA269" s="27">
        <f t="shared" si="141"/>
        <v>3827.7288804354635</v>
      </c>
      <c r="AB269" s="10">
        <f t="shared" si="160"/>
        <v>7764.3559266303773</v>
      </c>
      <c r="AC269" s="10">
        <f t="shared" si="160"/>
        <v>7764.3559266303773</v>
      </c>
      <c r="AD269" s="10">
        <f t="shared" si="159"/>
        <v>7764.3559266303773</v>
      </c>
      <c r="AE269" s="10">
        <f t="shared" si="159"/>
        <v>7764.3559266303773</v>
      </c>
      <c r="AF269" s="10">
        <f t="shared" si="159"/>
        <v>7764.3559266303773</v>
      </c>
      <c r="AG269" s="10">
        <f t="shared" si="159"/>
        <v>7764.3559266303773</v>
      </c>
      <c r="AH269" s="10">
        <f t="shared" si="159"/>
        <v>7764.3559266303773</v>
      </c>
      <c r="AI269" s="10">
        <f t="shared" si="159"/>
        <v>7764.3559266303773</v>
      </c>
      <c r="AJ269" s="10">
        <f t="shared" si="159"/>
        <v>7764.3559266303773</v>
      </c>
      <c r="AK269" s="10">
        <f t="shared" si="159"/>
        <v>7764.3559266303773</v>
      </c>
      <c r="AL269" s="10">
        <f t="shared" si="159"/>
        <v>7764.3559266303773</v>
      </c>
      <c r="AM269" s="10">
        <f t="shared" si="159"/>
        <v>7764.3559266303773</v>
      </c>
      <c r="AN269" s="27">
        <f t="shared" si="159"/>
        <v>93172.271119564524</v>
      </c>
      <c r="AO269" s="28" t="e">
        <f>SUMIF('[3]2025B and 2025F Details'!$AU:$AU,AP269,'[3]2025B and 2025F Details'!$BH:$BH)</f>
        <v>#VALUE!</v>
      </c>
      <c r="AP269" t="s">
        <v>601</v>
      </c>
      <c r="AS269" t="str">
        <f>_xlfn.XLOOKUP(AU269,[2]GAE!HZ:HZ,[2]GAE!IA:IA)</f>
        <v>IS &amp; IT</v>
      </c>
      <c r="AT269" t="str">
        <f>_xlfn.XLOOKUP(AU269,[2]GAE!HZ:HZ,[2]GAE!IB:IB)</f>
        <v>GAE- Systems &amp; Applications</v>
      </c>
      <c r="AU269" t="s">
        <v>593</v>
      </c>
      <c r="AV269">
        <v>80124101</v>
      </c>
      <c r="AW269">
        <v>61711102</v>
      </c>
      <c r="AX269" t="str">
        <f>_xlfn.XLOOKUP(AU269,[2]GAE!HZ:HZ,[2]GAE!IF:IF)</f>
        <v>Systems &amp; Applications</v>
      </c>
      <c r="BC269" t="s">
        <v>45</v>
      </c>
      <c r="BD269" t="s">
        <v>602</v>
      </c>
      <c r="BF269" t="s">
        <v>609</v>
      </c>
      <c r="BG269" s="2" t="s">
        <v>45</v>
      </c>
      <c r="BH269" s="10">
        <f>SUMIFS('[1]2026'!$K:$K,'[1]2026'!$T:$T,BD269,'[1]2026'!$S:$S,BH$3,'[1]2026'!$P:$P,AU269)</f>
        <v>0</v>
      </c>
      <c r="BI269" s="10">
        <f>SUMIFS('[1]2026'!$K:$K,'[1]2026'!$T:$T,$BD269,'[1]2026'!$S:$S,BI$3,'[1]2026'!$P:$P,$AU269)</f>
        <v>0</v>
      </c>
      <c r="BJ269" s="10">
        <f>SUMIFS('[1]2026'!$K:$K,'[1]2026'!$T:$T,$BD269,'[1]2026'!$S:$S,BJ$3,'[1]2026'!$P:$P,$AU269)</f>
        <v>0</v>
      </c>
      <c r="BK269" s="10">
        <f>SUMIFS('[1]2026'!$K:$K,'[1]2026'!$T:$T,$BD269,'[1]2026'!$S:$S,BK$3,'[1]2026'!$P:$P,$AU269)</f>
        <v>0</v>
      </c>
      <c r="BL269" s="10">
        <f>SUMIFS('[1]2026'!$K:$K,'[1]2026'!$T:$T,$BD269,'[1]2026'!$S:$S,BL$3,'[1]2026'!$P:$P,$AU269)</f>
        <v>56143.7</v>
      </c>
      <c r="BM269" s="10">
        <f>SUMIFS('[1]2026'!$K:$K,'[1]2026'!$T:$T,$BD269,'[1]2026'!$S:$S,BM$3,'[1]2026'!$P:$P,$AU269)</f>
        <v>0</v>
      </c>
      <c r="BN269" s="10">
        <f>SUMIFS('[1]2026'!$K:$K,'[1]2026'!$T:$T,$BD269,'[1]2026'!$S:$S,BN$3,'[1]2026'!$P:$P,$AU269)</f>
        <v>0</v>
      </c>
      <c r="BO269" s="10">
        <f>SUMIFS('[1]2026'!$K:$K,'[1]2026'!$T:$T,$BD269,'[1]2026'!$S:$S,BO$3,'[1]2026'!$P:$P,$AU269)</f>
        <v>0</v>
      </c>
      <c r="BP269" s="6">
        <v>25669.64</v>
      </c>
      <c r="BQ269" s="6">
        <v>25669.64</v>
      </c>
      <c r="BR269" s="6">
        <v>25669.64</v>
      </c>
      <c r="BS269" s="6">
        <v>25669.64</v>
      </c>
      <c r="BT269" s="6">
        <f t="shared" si="162"/>
        <v>158822.26</v>
      </c>
      <c r="BV269" s="6">
        <f t="shared" si="161"/>
        <v>-7764.3559266303773</v>
      </c>
      <c r="BW269" s="6">
        <f t="shared" si="161"/>
        <v>-7764.3559266303773</v>
      </c>
      <c r="BX269" s="6">
        <f t="shared" si="161"/>
        <v>-7764.3559266303773</v>
      </c>
      <c r="BY269" s="6">
        <f t="shared" si="161"/>
        <v>-7764.3559266303773</v>
      </c>
      <c r="BZ269" s="6">
        <f t="shared" si="161"/>
        <v>48379.344073369619</v>
      </c>
      <c r="CA269" s="6">
        <f t="shared" si="161"/>
        <v>-7764.3559266303773</v>
      </c>
      <c r="CB269" s="6">
        <f t="shared" si="161"/>
        <v>-7764.3559266303773</v>
      </c>
      <c r="CC269" s="6">
        <f t="shared" si="161"/>
        <v>-7764.3559266303773</v>
      </c>
      <c r="CD269" s="6">
        <f t="shared" si="161"/>
        <v>17905.284073369621</v>
      </c>
      <c r="CE269" s="6">
        <f t="shared" si="161"/>
        <v>17905.284073369621</v>
      </c>
      <c r="CF269" s="6">
        <f t="shared" si="161"/>
        <v>17905.284073369621</v>
      </c>
      <c r="CG269" s="6">
        <f t="shared" si="161"/>
        <v>17905.284073369621</v>
      </c>
      <c r="CH269" s="6">
        <f t="shared" si="107"/>
        <v>65649.988880435485</v>
      </c>
    </row>
    <row r="270" spans="1:87" x14ac:dyDescent="0.35">
      <c r="A270" s="3" t="s">
        <v>603</v>
      </c>
      <c r="B270" s="10">
        <v>29166.666666666668</v>
      </c>
      <c r="C270" s="10">
        <v>29166.666666666668</v>
      </c>
      <c r="D270" s="10">
        <v>29166.666666666668</v>
      </c>
      <c r="E270" s="10">
        <v>29166.666666666668</v>
      </c>
      <c r="F270" s="10">
        <v>29166.666666666668</v>
      </c>
      <c r="G270" s="10">
        <v>29166.666666666668</v>
      </c>
      <c r="H270" s="10">
        <v>29166.666666666668</v>
      </c>
      <c r="I270" s="10">
        <v>29166.666666666668</v>
      </c>
      <c r="J270" s="10">
        <v>29166.666666666668</v>
      </c>
      <c r="K270" s="10">
        <v>29166.666666666668</v>
      </c>
      <c r="L270" s="10">
        <v>29166.666666666668</v>
      </c>
      <c r="M270" s="10">
        <v>29166.666666666668</v>
      </c>
      <c r="N270" s="27">
        <f t="shared" si="140"/>
        <v>350000.00000000006</v>
      </c>
      <c r="O270" s="38">
        <v>1150.9494056292206</v>
      </c>
      <c r="P270" s="38">
        <v>1150.9494056292206</v>
      </c>
      <c r="Q270" s="38">
        <v>1150.9494056292206</v>
      </c>
      <c r="R270" s="38">
        <v>1150.9494056292206</v>
      </c>
      <c r="S270" s="38">
        <v>1150.9494056292206</v>
      </c>
      <c r="T270" s="38">
        <v>1150.9494056292206</v>
      </c>
      <c r="U270" s="38">
        <v>1150.9494056292206</v>
      </c>
      <c r="V270" s="38">
        <v>1150.9494056292206</v>
      </c>
      <c r="W270" s="38">
        <v>1150.9494056292206</v>
      </c>
      <c r="X270" s="38">
        <v>1150.9494056292206</v>
      </c>
      <c r="Y270" s="38">
        <v>1150.9494056292206</v>
      </c>
      <c r="Z270" s="38">
        <v>1150.9494056292206</v>
      </c>
      <c r="AA270" s="27">
        <f t="shared" si="141"/>
        <v>13811.392867550647</v>
      </c>
      <c r="AB270" s="10">
        <f t="shared" si="160"/>
        <v>28015.717261037447</v>
      </c>
      <c r="AC270" s="10">
        <f t="shared" si="160"/>
        <v>28015.717261037447</v>
      </c>
      <c r="AD270" s="10">
        <f t="shared" si="159"/>
        <v>28015.717261037447</v>
      </c>
      <c r="AE270" s="10">
        <f t="shared" si="159"/>
        <v>28015.717261037447</v>
      </c>
      <c r="AF270" s="10">
        <f t="shared" si="159"/>
        <v>28015.717261037447</v>
      </c>
      <c r="AG270" s="10">
        <f t="shared" si="159"/>
        <v>28015.717261037447</v>
      </c>
      <c r="AH270" s="10">
        <f t="shared" si="159"/>
        <v>28015.717261037447</v>
      </c>
      <c r="AI270" s="10">
        <f t="shared" si="159"/>
        <v>28015.717261037447</v>
      </c>
      <c r="AJ270" s="10">
        <f t="shared" si="159"/>
        <v>28015.717261037447</v>
      </c>
      <c r="AK270" s="10">
        <f t="shared" si="159"/>
        <v>28015.717261037447</v>
      </c>
      <c r="AL270" s="10">
        <f t="shared" si="159"/>
        <v>28015.717261037447</v>
      </c>
      <c r="AM270" s="10">
        <f t="shared" si="159"/>
        <v>28015.717261037447</v>
      </c>
      <c r="AN270" s="27">
        <f t="shared" si="159"/>
        <v>336188.6071324494</v>
      </c>
      <c r="AO270" s="28" t="e">
        <f>SUMIF('[3]2025B and 2025F Details'!$AU:$AU,AP270,'[3]2025B and 2025F Details'!$BH:$BH)</f>
        <v>#VALUE!</v>
      </c>
      <c r="AP270" t="s">
        <v>604</v>
      </c>
      <c r="AS270" t="str">
        <f>_xlfn.XLOOKUP(AU270,[2]GAE!HZ:HZ,[2]GAE!IA:IA)</f>
        <v>IS &amp; IT</v>
      </c>
      <c r="AT270" t="str">
        <f>_xlfn.XLOOKUP(AU270,[2]GAE!HZ:HZ,[2]GAE!IB:IB)</f>
        <v>GAE- Systems &amp; Applications</v>
      </c>
      <c r="AU270" t="s">
        <v>593</v>
      </c>
      <c r="AV270">
        <v>80124101</v>
      </c>
      <c r="AW270">
        <v>61711102</v>
      </c>
      <c r="AX270" t="str">
        <f>_xlfn.XLOOKUP(AU270,[2]GAE!HZ:HZ,[2]GAE!IF:IF)</f>
        <v>Systems &amp; Applications</v>
      </c>
      <c r="BF270" t="s">
        <v>609</v>
      </c>
      <c r="BG270" s="2" t="s">
        <v>45</v>
      </c>
      <c r="BH270" s="10">
        <f>SUMIFS('[1]2026'!$K:$K,'[1]2026'!$T:$T,BD270,'[1]2026'!$S:$S,BH$3,'[1]2026'!$P:$P,AU270)</f>
        <v>0</v>
      </c>
      <c r="BI270" s="10">
        <f>SUMIFS('[1]2026'!$K:$K,'[1]2026'!$T:$T,$BD270,'[1]2026'!$S:$S,BI$3,'[1]2026'!$P:$P,$AU270)</f>
        <v>0</v>
      </c>
      <c r="BJ270" s="10">
        <f>SUMIFS('[1]2026'!$K:$K,'[1]2026'!$T:$T,$BD270,'[1]2026'!$S:$S,BJ$3,'[1]2026'!$P:$P,$AU270)</f>
        <v>0</v>
      </c>
      <c r="BK270" s="10">
        <f>SUMIFS('[1]2026'!$K:$K,'[1]2026'!$T:$T,$BD270,'[1]2026'!$S:$S,BK$3,'[1]2026'!$P:$P,$AU270)</f>
        <v>0</v>
      </c>
      <c r="BL270" s="10">
        <f>SUMIFS('[1]2026'!$K:$K,'[1]2026'!$T:$T,$BD270,'[1]2026'!$S:$S,BL$3,'[1]2026'!$P:$P,$AU270)</f>
        <v>0</v>
      </c>
      <c r="BM270" s="10">
        <f>SUMIFS('[1]2026'!$K:$K,'[1]2026'!$T:$T,$BD270,'[1]2026'!$S:$S,BM$3,'[1]2026'!$P:$P,$AU270)</f>
        <v>0</v>
      </c>
      <c r="BN270" s="10">
        <f>SUMIFS('[1]2026'!$K:$K,'[1]2026'!$T:$T,$BD270,'[1]2026'!$S:$S,BN$3,'[1]2026'!$P:$P,$AU270)</f>
        <v>0</v>
      </c>
      <c r="BO270" s="10">
        <f>SUMIFS('[1]2026'!$K:$K,'[1]2026'!$T:$T,$BD270,'[1]2026'!$S:$S,BO$3,'[1]2026'!$P:$P,$AU270)</f>
        <v>0</v>
      </c>
      <c r="BP270" s="6">
        <f t="shared" ref="BP270:BS273" si="163">BO270</f>
        <v>0</v>
      </c>
      <c r="BQ270" s="6">
        <f t="shared" si="163"/>
        <v>0</v>
      </c>
      <c r="BR270" s="6">
        <f t="shared" si="163"/>
        <v>0</v>
      </c>
      <c r="BS270" s="6">
        <f t="shared" si="163"/>
        <v>0</v>
      </c>
      <c r="BT270" s="6">
        <f t="shared" si="162"/>
        <v>0</v>
      </c>
      <c r="BV270" s="6">
        <f t="shared" si="161"/>
        <v>-28015.717261037447</v>
      </c>
      <c r="BW270" s="6">
        <f t="shared" si="161"/>
        <v>-28015.717261037447</v>
      </c>
      <c r="BX270" s="6">
        <f t="shared" si="161"/>
        <v>-28015.717261037447</v>
      </c>
      <c r="BY270" s="6">
        <f t="shared" si="161"/>
        <v>-28015.717261037447</v>
      </c>
      <c r="BZ270" s="6">
        <f t="shared" si="161"/>
        <v>-28015.717261037447</v>
      </c>
      <c r="CA270" s="6">
        <f t="shared" si="161"/>
        <v>-28015.717261037447</v>
      </c>
      <c r="CB270" s="6">
        <f t="shared" si="161"/>
        <v>-28015.717261037447</v>
      </c>
      <c r="CC270" s="6">
        <f t="shared" si="161"/>
        <v>-28015.717261037447</v>
      </c>
      <c r="CD270" s="6">
        <f t="shared" si="161"/>
        <v>-28015.717261037447</v>
      </c>
      <c r="CE270" s="6">
        <f t="shared" si="161"/>
        <v>-28015.717261037447</v>
      </c>
      <c r="CF270" s="6">
        <f t="shared" si="161"/>
        <v>-28015.717261037447</v>
      </c>
      <c r="CG270" s="6">
        <f t="shared" si="161"/>
        <v>-28015.717261037447</v>
      </c>
      <c r="CH270" s="6">
        <f t="shared" si="107"/>
        <v>-336188.6071324494</v>
      </c>
    </row>
    <row r="271" spans="1:87" x14ac:dyDescent="0.35">
      <c r="A271" s="3" t="s">
        <v>605</v>
      </c>
      <c r="B271" s="10">
        <v>8083.333333333333</v>
      </c>
      <c r="C271" s="10">
        <v>8083.333333333333</v>
      </c>
      <c r="D271" s="10">
        <v>8083.333333333333</v>
      </c>
      <c r="E271" s="10">
        <v>8083.333333333333</v>
      </c>
      <c r="F271" s="10">
        <v>8083.333333333333</v>
      </c>
      <c r="G271" s="10">
        <v>8083.333333333333</v>
      </c>
      <c r="H271" s="10">
        <v>8083.333333333333</v>
      </c>
      <c r="I271" s="10">
        <v>8083.333333333333</v>
      </c>
      <c r="J271" s="10">
        <v>8083.333333333333</v>
      </c>
      <c r="K271" s="10">
        <v>8083.333333333333</v>
      </c>
      <c r="L271" s="10">
        <v>8083.333333333333</v>
      </c>
      <c r="M271" s="10">
        <v>8083.333333333333</v>
      </c>
      <c r="N271" s="27">
        <f t="shared" si="140"/>
        <v>96999.999999999985</v>
      </c>
      <c r="O271" s="38">
        <v>318.97740670295531</v>
      </c>
      <c r="P271" s="38">
        <v>318.97740670295531</v>
      </c>
      <c r="Q271" s="38">
        <v>318.97740670295531</v>
      </c>
      <c r="R271" s="38">
        <v>318.97740670295531</v>
      </c>
      <c r="S271" s="38">
        <v>318.97740670295531</v>
      </c>
      <c r="T271" s="38">
        <v>318.97740670295531</v>
      </c>
      <c r="U271" s="38">
        <v>318.97740670295531</v>
      </c>
      <c r="V271" s="38">
        <v>318.97740670295531</v>
      </c>
      <c r="W271" s="38">
        <v>318.97740670295531</v>
      </c>
      <c r="X271" s="38">
        <v>318.97740670295531</v>
      </c>
      <c r="Y271" s="38">
        <v>318.97740670295531</v>
      </c>
      <c r="Z271" s="38">
        <v>318.97740670295531</v>
      </c>
      <c r="AA271" s="27">
        <f t="shared" si="141"/>
        <v>3827.7288804354635</v>
      </c>
      <c r="AB271" s="10">
        <f t="shared" si="160"/>
        <v>7764.3559266303773</v>
      </c>
      <c r="AC271" s="10">
        <f t="shared" si="160"/>
        <v>7764.3559266303773</v>
      </c>
      <c r="AD271" s="10">
        <f t="shared" si="159"/>
        <v>7764.3559266303773</v>
      </c>
      <c r="AE271" s="10">
        <f t="shared" si="159"/>
        <v>7764.3559266303773</v>
      </c>
      <c r="AF271" s="10">
        <f t="shared" si="159"/>
        <v>7764.3559266303773</v>
      </c>
      <c r="AG271" s="10">
        <f t="shared" si="159"/>
        <v>7764.3559266303773</v>
      </c>
      <c r="AH271" s="10">
        <f t="shared" si="159"/>
        <v>7764.3559266303773</v>
      </c>
      <c r="AI271" s="10">
        <f t="shared" si="159"/>
        <v>7764.3559266303773</v>
      </c>
      <c r="AJ271" s="10">
        <f t="shared" si="159"/>
        <v>7764.3559266303773</v>
      </c>
      <c r="AK271" s="10">
        <f t="shared" si="159"/>
        <v>7764.3559266303773</v>
      </c>
      <c r="AL271" s="10">
        <f t="shared" si="159"/>
        <v>7764.3559266303773</v>
      </c>
      <c r="AM271" s="10">
        <f t="shared" si="159"/>
        <v>7764.3559266303773</v>
      </c>
      <c r="AN271" s="27">
        <f t="shared" si="159"/>
        <v>93172.271119564524</v>
      </c>
      <c r="AO271" s="28" t="e">
        <f>SUMIF('[3]2025B and 2025F Details'!$AU:$AU,AP271,'[3]2025B and 2025F Details'!$BH:$BH)</f>
        <v>#VALUE!</v>
      </c>
      <c r="AP271" t="s">
        <v>606</v>
      </c>
      <c r="AS271" t="str">
        <f>_xlfn.XLOOKUP(AU271,[2]GAE!HZ:HZ,[2]GAE!IA:IA)</f>
        <v>IS &amp; IT</v>
      </c>
      <c r="AT271" t="str">
        <f>_xlfn.XLOOKUP(AU271,[2]GAE!HZ:HZ,[2]GAE!IB:IB)</f>
        <v>GAE- Systems &amp; Applications</v>
      </c>
      <c r="AU271" t="s">
        <v>593</v>
      </c>
      <c r="AV271">
        <v>80124101</v>
      </c>
      <c r="AW271">
        <v>61711102</v>
      </c>
      <c r="AX271" t="str">
        <f>_xlfn.XLOOKUP(AU271,[2]GAE!HZ:HZ,[2]GAE!IF:IF)</f>
        <v>Systems &amp; Applications</v>
      </c>
      <c r="BF271" t="s">
        <v>609</v>
      </c>
      <c r="BG271" s="2" t="s">
        <v>45</v>
      </c>
      <c r="BH271" s="10">
        <f>SUMIFS('[1]2026'!$K:$K,'[1]2026'!$T:$T,BD271,'[1]2026'!$S:$S,BH$3,'[1]2026'!$P:$P,AU271)</f>
        <v>0</v>
      </c>
      <c r="BI271" s="10">
        <f>SUMIFS('[1]2026'!$K:$K,'[1]2026'!$T:$T,$BD271,'[1]2026'!$S:$S,BI$3,'[1]2026'!$P:$P,$AU271)</f>
        <v>0</v>
      </c>
      <c r="BJ271" s="10">
        <f>SUMIFS('[1]2026'!$K:$K,'[1]2026'!$T:$T,$BD271,'[1]2026'!$S:$S,BJ$3,'[1]2026'!$P:$P,$AU271)</f>
        <v>0</v>
      </c>
      <c r="BK271" s="10">
        <f>SUMIFS('[1]2026'!$K:$K,'[1]2026'!$T:$T,$BD271,'[1]2026'!$S:$S,BK$3,'[1]2026'!$P:$P,$AU271)</f>
        <v>0</v>
      </c>
      <c r="BL271" s="10">
        <f>SUMIFS('[1]2026'!$K:$K,'[1]2026'!$T:$T,$BD271,'[1]2026'!$S:$S,BL$3,'[1]2026'!$P:$P,$AU271)</f>
        <v>0</v>
      </c>
      <c r="BM271" s="10">
        <f>SUMIFS('[1]2026'!$K:$K,'[1]2026'!$T:$T,$BD271,'[1]2026'!$S:$S,BM$3,'[1]2026'!$P:$P,$AU271)</f>
        <v>0</v>
      </c>
      <c r="BN271" s="10">
        <f>SUMIFS('[1]2026'!$K:$K,'[1]2026'!$T:$T,$BD271,'[1]2026'!$S:$S,BN$3,'[1]2026'!$P:$P,$AU271)</f>
        <v>0</v>
      </c>
      <c r="BO271" s="10">
        <f>SUMIFS('[1]2026'!$K:$K,'[1]2026'!$T:$T,$BD271,'[1]2026'!$S:$S,BO$3,'[1]2026'!$P:$P,$AU271)</f>
        <v>0</v>
      </c>
      <c r="BP271" s="6">
        <f t="shared" si="163"/>
        <v>0</v>
      </c>
      <c r="BQ271" s="6">
        <f t="shared" si="163"/>
        <v>0</v>
      </c>
      <c r="BR271" s="6">
        <f t="shared" si="163"/>
        <v>0</v>
      </c>
      <c r="BS271" s="6">
        <f t="shared" si="163"/>
        <v>0</v>
      </c>
      <c r="BT271" s="6">
        <f t="shared" si="162"/>
        <v>0</v>
      </c>
      <c r="BV271" s="6">
        <f t="shared" si="161"/>
        <v>-7764.3559266303773</v>
      </c>
      <c r="BW271" s="6">
        <f t="shared" si="161"/>
        <v>-7764.3559266303773</v>
      </c>
      <c r="BX271" s="6">
        <f t="shared" si="161"/>
        <v>-7764.3559266303773</v>
      </c>
      <c r="BY271" s="6">
        <f t="shared" si="161"/>
        <v>-7764.3559266303773</v>
      </c>
      <c r="BZ271" s="6">
        <f t="shared" si="161"/>
        <v>-7764.3559266303773</v>
      </c>
      <c r="CA271" s="6">
        <f t="shared" si="161"/>
        <v>-7764.3559266303773</v>
      </c>
      <c r="CB271" s="6">
        <f t="shared" si="161"/>
        <v>-7764.3559266303773</v>
      </c>
      <c r="CC271" s="6">
        <f t="shared" si="161"/>
        <v>-7764.3559266303773</v>
      </c>
      <c r="CD271" s="6">
        <f t="shared" si="161"/>
        <v>-7764.3559266303773</v>
      </c>
      <c r="CE271" s="6">
        <f t="shared" si="161"/>
        <v>-7764.3559266303773</v>
      </c>
      <c r="CF271" s="6">
        <f t="shared" si="161"/>
        <v>-7764.3559266303773</v>
      </c>
      <c r="CG271" s="6">
        <f t="shared" si="161"/>
        <v>-7764.3559266303773</v>
      </c>
      <c r="CH271" s="6">
        <f t="shared" si="107"/>
        <v>-93172.271119564524</v>
      </c>
    </row>
    <row r="272" spans="1:87" x14ac:dyDescent="0.35">
      <c r="A272" s="3" t="s">
        <v>607</v>
      </c>
      <c r="B272" s="10">
        <v>30000</v>
      </c>
      <c r="C272" s="10">
        <v>30000</v>
      </c>
      <c r="D272" s="10">
        <v>30000</v>
      </c>
      <c r="E272" s="10">
        <v>30000</v>
      </c>
      <c r="F272" s="10">
        <v>30000</v>
      </c>
      <c r="G272" s="10">
        <v>30000</v>
      </c>
      <c r="H272" s="10">
        <v>30000</v>
      </c>
      <c r="I272" s="10">
        <v>30000</v>
      </c>
      <c r="J272" s="10">
        <v>30000</v>
      </c>
      <c r="K272" s="10">
        <v>30000</v>
      </c>
      <c r="L272" s="10">
        <v>30000</v>
      </c>
      <c r="M272" s="10">
        <v>30000</v>
      </c>
      <c r="N272" s="27">
        <f t="shared" si="140"/>
        <v>360000</v>
      </c>
      <c r="O272" s="38">
        <v>1183.8336743614839</v>
      </c>
      <c r="P272" s="38">
        <v>1183.8336743614839</v>
      </c>
      <c r="Q272" s="38">
        <v>1183.8336743614839</v>
      </c>
      <c r="R272" s="38">
        <v>1183.8336743614839</v>
      </c>
      <c r="S272" s="38">
        <v>1183.8336743614839</v>
      </c>
      <c r="T272" s="38">
        <v>1183.8336743614839</v>
      </c>
      <c r="U272" s="38">
        <v>1183.8336743614839</v>
      </c>
      <c r="V272" s="38">
        <v>1183.8336743614839</v>
      </c>
      <c r="W272" s="38">
        <v>1183.8336743614839</v>
      </c>
      <c r="X272" s="38">
        <v>1183.8336743614839</v>
      </c>
      <c r="Y272" s="38">
        <v>1183.8336743614839</v>
      </c>
      <c r="Z272" s="38">
        <v>1183.8336743614839</v>
      </c>
      <c r="AA272" s="27">
        <f t="shared" si="141"/>
        <v>14206.004092337806</v>
      </c>
      <c r="AB272" s="10">
        <f t="shared" si="160"/>
        <v>28816.166325638515</v>
      </c>
      <c r="AC272" s="10">
        <f t="shared" si="160"/>
        <v>28816.166325638515</v>
      </c>
      <c r="AD272" s="10">
        <f t="shared" si="159"/>
        <v>28816.166325638515</v>
      </c>
      <c r="AE272" s="10">
        <f t="shared" si="159"/>
        <v>28816.166325638515</v>
      </c>
      <c r="AF272" s="10">
        <f t="shared" si="159"/>
        <v>28816.166325638515</v>
      </c>
      <c r="AG272" s="10">
        <f t="shared" si="159"/>
        <v>28816.166325638515</v>
      </c>
      <c r="AH272" s="10">
        <f t="shared" si="159"/>
        <v>28816.166325638515</v>
      </c>
      <c r="AI272" s="10">
        <f t="shared" si="159"/>
        <v>28816.166325638515</v>
      </c>
      <c r="AJ272" s="10">
        <f t="shared" si="159"/>
        <v>28816.166325638515</v>
      </c>
      <c r="AK272" s="10">
        <f t="shared" si="159"/>
        <v>28816.166325638515</v>
      </c>
      <c r="AL272" s="10">
        <f t="shared" si="159"/>
        <v>28816.166325638515</v>
      </c>
      <c r="AM272" s="10">
        <f t="shared" si="159"/>
        <v>28816.166325638515</v>
      </c>
      <c r="AN272" s="27">
        <f t="shared" si="159"/>
        <v>345793.9959076622</v>
      </c>
      <c r="AO272" s="28" t="e">
        <f>SUMIF('[3]2025B and 2025F Details'!$AU:$AU,AP272,'[3]2025B and 2025F Details'!$BH:$BH)</f>
        <v>#VALUE!</v>
      </c>
      <c r="AP272" t="s">
        <v>608</v>
      </c>
      <c r="AS272" t="str">
        <f>_xlfn.XLOOKUP(AU272,[2]GAE!HZ:HZ,[2]GAE!IA:IA)</f>
        <v>IS &amp; IT</v>
      </c>
      <c r="AT272" t="str">
        <f>_xlfn.XLOOKUP(AU272,[2]GAE!HZ:HZ,[2]GAE!IB:IB)</f>
        <v>GAE- Systems &amp; Applications</v>
      </c>
      <c r="AU272" t="s">
        <v>593</v>
      </c>
      <c r="AV272">
        <v>80124101</v>
      </c>
      <c r="AW272">
        <v>61711102</v>
      </c>
      <c r="AX272" t="str">
        <f>_xlfn.XLOOKUP(AU272,[2]GAE!HZ:HZ,[2]GAE!IF:IF)</f>
        <v>Systems &amp; Applications</v>
      </c>
      <c r="BF272" t="s">
        <v>609</v>
      </c>
      <c r="BG272" s="2" t="s">
        <v>46</v>
      </c>
      <c r="BH272" s="10">
        <f>SUMIFS('[1]2026'!$K:$K,'[1]2026'!$T:$T,BD272,'[1]2026'!$S:$S,BH$3,'[1]2026'!$P:$P,AU272)</f>
        <v>0</v>
      </c>
      <c r="BI272" s="10">
        <f>SUMIFS('[1]2026'!$K:$K,'[1]2026'!$T:$T,$BD272,'[1]2026'!$S:$S,BI$3,'[1]2026'!$P:$P,$AU272)</f>
        <v>0</v>
      </c>
      <c r="BJ272" s="10">
        <f>SUMIFS('[1]2026'!$K:$K,'[1]2026'!$T:$T,$BD272,'[1]2026'!$S:$S,BJ$3,'[1]2026'!$P:$P,$AU272)</f>
        <v>0</v>
      </c>
      <c r="BK272" s="10">
        <f>SUMIFS('[1]2026'!$K:$K,'[1]2026'!$T:$T,$BD272,'[1]2026'!$S:$S,BK$3,'[1]2026'!$P:$P,$AU272)</f>
        <v>0</v>
      </c>
      <c r="BL272" s="10">
        <f>SUMIFS('[1]2026'!$K:$K,'[1]2026'!$T:$T,$BD272,'[1]2026'!$S:$S,BL$3,'[1]2026'!$P:$P,$AU272)</f>
        <v>0</v>
      </c>
      <c r="BM272" s="10">
        <f>SUMIFS('[1]2026'!$K:$K,'[1]2026'!$T:$T,$BD272,'[1]2026'!$S:$S,BM$3,'[1]2026'!$P:$P,$AU272)</f>
        <v>0</v>
      </c>
      <c r="BN272" s="10">
        <f>SUMIFS('[1]2026'!$K:$K,'[1]2026'!$T:$T,$BD272,'[1]2026'!$S:$S,BN$3,'[1]2026'!$P:$P,$AU272)</f>
        <v>0</v>
      </c>
      <c r="BO272" s="10">
        <f>SUMIFS('[1]2026'!$K:$K,'[1]2026'!$T:$T,$BD272,'[1]2026'!$S:$S,BO$3,'[1]2026'!$P:$P,$AU272)</f>
        <v>0</v>
      </c>
      <c r="BP272" s="6">
        <f t="shared" si="163"/>
        <v>0</v>
      </c>
      <c r="BQ272" s="6">
        <f t="shared" si="163"/>
        <v>0</v>
      </c>
      <c r="BR272" s="6">
        <f t="shared" si="163"/>
        <v>0</v>
      </c>
      <c r="BS272" s="6">
        <f t="shared" si="163"/>
        <v>0</v>
      </c>
      <c r="BT272" s="6">
        <f t="shared" si="162"/>
        <v>0</v>
      </c>
      <c r="BV272" s="6">
        <f t="shared" si="161"/>
        <v>-28816.166325638515</v>
      </c>
      <c r="BW272" s="6">
        <f t="shared" si="161"/>
        <v>-28816.166325638515</v>
      </c>
      <c r="BX272" s="6">
        <f t="shared" si="161"/>
        <v>-28816.166325638515</v>
      </c>
      <c r="BY272" s="6">
        <f t="shared" si="161"/>
        <v>-28816.166325638515</v>
      </c>
      <c r="BZ272" s="6">
        <f t="shared" si="161"/>
        <v>-28816.166325638515</v>
      </c>
      <c r="CA272" s="6">
        <f t="shared" si="161"/>
        <v>-28816.166325638515</v>
      </c>
      <c r="CB272" s="6">
        <f t="shared" si="161"/>
        <v>-28816.166325638515</v>
      </c>
      <c r="CC272" s="6">
        <f t="shared" si="161"/>
        <v>-28816.166325638515</v>
      </c>
      <c r="CD272" s="6">
        <f t="shared" si="161"/>
        <v>-28816.166325638515</v>
      </c>
      <c r="CE272" s="6">
        <f t="shared" si="161"/>
        <v>-28816.166325638515</v>
      </c>
      <c r="CF272" s="6">
        <f t="shared" si="161"/>
        <v>-28816.166325638515</v>
      </c>
      <c r="CG272" s="6">
        <f t="shared" si="161"/>
        <v>-28816.166325638515</v>
      </c>
      <c r="CH272" s="6">
        <f t="shared" si="107"/>
        <v>-345793.9959076622</v>
      </c>
    </row>
    <row r="273" spans="1:86" hidden="1" x14ac:dyDescent="0.35"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N273" s="27">
        <f>N273-AA273</f>
        <v>0</v>
      </c>
      <c r="AS273" t="str">
        <f>_xlfn.XLOOKUP(AU273,[2]GAE!HZ:HZ,[2]GAE!IA:IA)</f>
        <v>IS &amp; IT</v>
      </c>
      <c r="AT273" t="str">
        <f>_xlfn.XLOOKUP(AU273,[2]GAE!HZ:HZ,[2]GAE!IB:IB)</f>
        <v>DOE - Systems and Applications</v>
      </c>
      <c r="AU273" s="2" t="s">
        <v>594</v>
      </c>
      <c r="AV273" s="2">
        <v>81124101</v>
      </c>
      <c r="AW273" s="2">
        <v>52952103</v>
      </c>
      <c r="AX273" t="str">
        <f>_xlfn.XLOOKUP(AU273,[2]GAE!HZ:HZ,[2]GAE!IF:IF)</f>
        <v>Systems &amp; Applications</v>
      </c>
      <c r="BC273" t="s">
        <v>46</v>
      </c>
      <c r="BD273" t="s">
        <v>46</v>
      </c>
      <c r="BF273" t="s">
        <v>609</v>
      </c>
      <c r="BG273" s="2" t="s">
        <v>46</v>
      </c>
      <c r="BH273" s="10">
        <f>SUMIFS('[1]2026'!$K:$K,'[1]2026'!$T:$T,BD273,'[1]2026'!$S:$S,BH$3,'[1]2026'!$P:$P,AU273)</f>
        <v>0</v>
      </c>
      <c r="BI273" s="10">
        <f>SUMIFS('[1]2026'!$K:$K,'[1]2026'!$T:$T,$BD273,'[1]2026'!$S:$S,BI$3,'[1]2026'!$P:$P,$AU273)</f>
        <v>0</v>
      </c>
      <c r="BJ273" s="10">
        <f>SUMIFS('[1]2026'!$K:$K,'[1]2026'!$T:$T,$BD273,'[1]2026'!$S:$S,BJ$3,'[1]2026'!$P:$P,$AU273)</f>
        <v>0</v>
      </c>
      <c r="BK273" s="10">
        <f>SUMIFS('[1]2026'!$K:$K,'[1]2026'!$T:$T,$BD273,'[1]2026'!$S:$S,BK$3,'[1]2026'!$P:$P,$AU273)</f>
        <v>128303.54999999999</v>
      </c>
      <c r="BL273" s="10">
        <f>SUMIFS('[1]2026'!$K:$K,'[1]2026'!$T:$T,$BD273,'[1]2026'!$S:$S,BL$3,'[1]2026'!$P:$P,$AU273)</f>
        <v>25660.71</v>
      </c>
      <c r="BM273" s="10">
        <f>SUMIFS('[1]2026'!$K:$K,'[1]2026'!$T:$T,$BD273,'[1]2026'!$S:$S,BM$3,'[1]2026'!$P:$P,$AU273)</f>
        <v>25660.71</v>
      </c>
      <c r="BN273" s="10">
        <f>SUMIFS('[1]2026'!$K:$K,'[1]2026'!$T:$T,$BD273,'[1]2026'!$S:$S,BN$3,'[1]2026'!$P:$P,$AU273)</f>
        <v>25660.71</v>
      </c>
      <c r="BO273" s="10">
        <f>SUMIFS('[1]2026'!$K:$K,'[1]2026'!$T:$T,$BD273,'[1]2026'!$S:$S,BO$3,'[1]2026'!$P:$P,$AU273)</f>
        <v>25660.71</v>
      </c>
      <c r="BP273" s="6">
        <f t="shared" si="163"/>
        <v>25660.71</v>
      </c>
      <c r="BQ273" s="6">
        <f t="shared" si="163"/>
        <v>25660.71</v>
      </c>
      <c r="BR273" s="6">
        <f t="shared" si="163"/>
        <v>25660.71</v>
      </c>
      <c r="BS273" s="6">
        <f t="shared" si="163"/>
        <v>25660.71</v>
      </c>
      <c r="BT273" s="6">
        <f t="shared" si="162"/>
        <v>333589.23</v>
      </c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>
        <f t="shared" ref="CH273:CH336" si="164">BT273-AN273</f>
        <v>333589.23</v>
      </c>
    </row>
    <row r="274" spans="1:86" x14ac:dyDescent="0.35">
      <c r="A274" s="3" t="s">
        <v>610</v>
      </c>
      <c r="B274" s="10">
        <v>55803.571666666663</v>
      </c>
      <c r="C274" s="10">
        <v>55803.571666666663</v>
      </c>
      <c r="D274" s="10">
        <v>55803.571666666663</v>
      </c>
      <c r="E274" s="10">
        <v>55803.571666666663</v>
      </c>
      <c r="F274" s="10">
        <v>55803.571666666663</v>
      </c>
      <c r="G274" s="10">
        <v>55803.571666666663</v>
      </c>
      <c r="H274" s="10">
        <v>55803.571666666663</v>
      </c>
      <c r="I274" s="10">
        <v>55803.571666666663</v>
      </c>
      <c r="J274" s="10">
        <v>55803.571666666663</v>
      </c>
      <c r="K274" s="10">
        <v>55803.571666666663</v>
      </c>
      <c r="L274" s="10">
        <v>55803.571666666663</v>
      </c>
      <c r="M274" s="10">
        <v>55803.571666666663</v>
      </c>
      <c r="N274" s="27">
        <f t="shared" si="140"/>
        <v>669642.86</v>
      </c>
      <c r="O274" s="38">
        <v>2202.0715762881464</v>
      </c>
      <c r="P274" s="38">
        <v>2202.0715762881464</v>
      </c>
      <c r="Q274" s="38">
        <v>2202.0715762881464</v>
      </c>
      <c r="R274" s="38">
        <v>2202.0715762881464</v>
      </c>
      <c r="S274" s="38">
        <v>2202.0715762881464</v>
      </c>
      <c r="T274" s="38">
        <v>2202.0715762881464</v>
      </c>
      <c r="U274" s="38">
        <v>2202.0715762881464</v>
      </c>
      <c r="V274" s="38">
        <v>2202.0715762881464</v>
      </c>
      <c r="W274" s="38">
        <v>2202.0715762881464</v>
      </c>
      <c r="X274" s="38">
        <v>2202.0715762881464</v>
      </c>
      <c r="Y274" s="38">
        <v>2202.0715762881464</v>
      </c>
      <c r="Z274" s="38">
        <v>2202.0715762881464</v>
      </c>
      <c r="AA274" s="27">
        <f t="shared" si="141"/>
        <v>26424.858915457749</v>
      </c>
      <c r="AB274" s="10">
        <f t="shared" si="160"/>
        <v>53601.500090378519</v>
      </c>
      <c r="AC274" s="10">
        <f t="shared" si="160"/>
        <v>53601.500090378519</v>
      </c>
      <c r="AD274" s="10">
        <f t="shared" si="159"/>
        <v>53601.500090378519</v>
      </c>
      <c r="AE274" s="10">
        <f t="shared" si="159"/>
        <v>53601.500090378519</v>
      </c>
      <c r="AF274" s="10">
        <f t="shared" si="159"/>
        <v>53601.500090378519</v>
      </c>
      <c r="AG274" s="10">
        <f t="shared" si="159"/>
        <v>53601.500090378519</v>
      </c>
      <c r="AH274" s="10">
        <f t="shared" si="159"/>
        <v>53601.500090378519</v>
      </c>
      <c r="AI274" s="10">
        <f t="shared" si="159"/>
        <v>53601.500090378519</v>
      </c>
      <c r="AJ274" s="10">
        <f t="shared" si="159"/>
        <v>53601.500090378519</v>
      </c>
      <c r="AK274" s="10">
        <f t="shared" si="159"/>
        <v>53601.500090378519</v>
      </c>
      <c r="AL274" s="10">
        <f t="shared" si="159"/>
        <v>53601.500090378519</v>
      </c>
      <c r="AM274" s="10">
        <f t="shared" si="159"/>
        <v>53601.500090378519</v>
      </c>
      <c r="AN274" s="27">
        <f t="shared" si="159"/>
        <v>643218.00108454225</v>
      </c>
      <c r="AO274" s="28" t="e">
        <f>SUMIF('[3]2025B and 2025F Details'!$AU:$AU,AP274,'[3]2025B and 2025F Details'!$BH:$BH)</f>
        <v>#VALUE!</v>
      </c>
      <c r="AP274" t="s">
        <v>611</v>
      </c>
      <c r="AS274" t="str">
        <f>_xlfn.XLOOKUP(AU274,[2]GAE!HZ:HZ,[2]GAE!IA:IA)</f>
        <v>IS &amp; IT</v>
      </c>
      <c r="AT274" t="str">
        <f>_xlfn.XLOOKUP(AU274,[2]GAE!HZ:HZ,[2]GAE!IB:IB)</f>
        <v>GAE- Systems &amp; Applications</v>
      </c>
      <c r="AU274" t="s">
        <v>593</v>
      </c>
      <c r="AV274">
        <v>80124101</v>
      </c>
      <c r="AW274">
        <v>61711102</v>
      </c>
      <c r="AX274" t="str">
        <f>_xlfn.XLOOKUP(AU274,[2]GAE!HZ:HZ,[2]GAE!IF:IF)</f>
        <v>Systems &amp; Applications</v>
      </c>
      <c r="BC274" t="s">
        <v>47</v>
      </c>
      <c r="BD274" t="s">
        <v>47</v>
      </c>
      <c r="BF274" t="s">
        <v>612</v>
      </c>
      <c r="BG274" s="2" t="s">
        <v>47</v>
      </c>
      <c r="BH274" s="10">
        <f>SUMIFS('[1]2026'!$K:$K,'[1]2026'!$T:$T,BD274,'[1]2026'!$S:$S,BH$3,'[1]2026'!$P:$P,AU274)</f>
        <v>55803.57</v>
      </c>
      <c r="BI274" s="10">
        <f>SUMIFS('[1]2026'!$K:$K,'[1]2026'!$T:$T,$BD274,'[1]2026'!$S:$S,BI$3,'[1]2026'!$P:$P,$AU274)</f>
        <v>55803.57</v>
      </c>
      <c r="BJ274" s="10">
        <f>SUMIFS('[1]2026'!$K:$K,'[1]2026'!$T:$T,$BD274,'[1]2026'!$S:$S,BJ$3,'[1]2026'!$P:$P,$AU274)</f>
        <v>55803.57</v>
      </c>
      <c r="BK274" s="10">
        <f>SUMIFS('[1]2026'!$K:$K,'[1]2026'!$T:$T,$BD274,'[1]2026'!$S:$S,BK$3,'[1]2026'!$P:$P,$AU274)</f>
        <v>55803.57</v>
      </c>
      <c r="BL274" s="10">
        <f>SUMIFS('[1]2026'!$K:$K,'[1]2026'!$T:$T,$BD274,'[1]2026'!$S:$S,BL$3,'[1]2026'!$P:$P,$AU274)</f>
        <v>55803.57</v>
      </c>
      <c r="BM274" s="10">
        <f>SUMIFS('[1]2026'!$K:$K,'[1]2026'!$T:$T,$BD274,'[1]2026'!$S:$S,BM$3,'[1]2026'!$P:$P,$AU274)</f>
        <v>55803.57</v>
      </c>
      <c r="BN274" s="10">
        <f>SUMIFS('[1]2026'!$K:$K,'[1]2026'!$T:$T,$BD274,'[1]2026'!$S:$S,BN$3,'[1]2026'!$P:$P,$AU274)</f>
        <v>55803.59</v>
      </c>
      <c r="BO274" s="10">
        <f>SUMIFS('[1]2026'!$K:$K,'[1]2026'!$T:$T,$BD274,'[1]2026'!$S:$S,BO$3,'[1]2026'!$P:$P,$AU274)</f>
        <v>41447.79</v>
      </c>
      <c r="BP274" s="6">
        <v>55803.57</v>
      </c>
      <c r="BQ274" s="6">
        <v>55803.57</v>
      </c>
      <c r="BR274" s="6">
        <v>55803.57</v>
      </c>
      <c r="BS274" s="6">
        <v>55803.57</v>
      </c>
      <c r="BT274" s="6">
        <f t="shared" si="162"/>
        <v>655287.07999999984</v>
      </c>
      <c r="BV274" s="6">
        <f t="shared" ref="BV274:CG281" si="165">BH274-AB274</f>
        <v>2202.0699096214812</v>
      </c>
      <c r="BW274" s="6">
        <f t="shared" si="165"/>
        <v>2202.0699096214812</v>
      </c>
      <c r="BX274" s="6">
        <f t="shared" si="165"/>
        <v>2202.0699096214812</v>
      </c>
      <c r="BY274" s="6">
        <f t="shared" si="165"/>
        <v>2202.0699096214812</v>
      </c>
      <c r="BZ274" s="6">
        <f t="shared" si="165"/>
        <v>2202.0699096214812</v>
      </c>
      <c r="CA274" s="6">
        <f t="shared" si="165"/>
        <v>2202.0699096214812</v>
      </c>
      <c r="CB274" s="6">
        <f t="shared" si="165"/>
        <v>2202.089909621478</v>
      </c>
      <c r="CC274" s="6">
        <f t="shared" si="165"/>
        <v>-12153.710090378518</v>
      </c>
      <c r="CD274" s="6">
        <f t="shared" si="165"/>
        <v>2202.0699096214812</v>
      </c>
      <c r="CE274" s="6">
        <f t="shared" si="165"/>
        <v>2202.0699096214812</v>
      </c>
      <c r="CF274" s="6">
        <f t="shared" si="165"/>
        <v>2202.0699096214812</v>
      </c>
      <c r="CG274" s="6">
        <f t="shared" si="165"/>
        <v>2202.0699096214812</v>
      </c>
      <c r="CH274" s="6">
        <f t="shared" si="164"/>
        <v>12069.07891545759</v>
      </c>
    </row>
    <row r="275" spans="1:86" x14ac:dyDescent="0.35">
      <c r="A275" s="3" t="s">
        <v>613</v>
      </c>
      <c r="B275" s="10">
        <v>66666.666666666672</v>
      </c>
      <c r="C275" s="10">
        <v>66666.666666666672</v>
      </c>
      <c r="D275" s="10">
        <v>66666.666666666672</v>
      </c>
      <c r="E275" s="10">
        <v>66666.666666666672</v>
      </c>
      <c r="F275" s="10">
        <v>66666.666666666672</v>
      </c>
      <c r="G275" s="10">
        <v>66666.666666666672</v>
      </c>
      <c r="H275" s="10">
        <v>66666.666666666672</v>
      </c>
      <c r="I275" s="10">
        <v>66666.666666666672</v>
      </c>
      <c r="J275" s="10">
        <v>66666.666666666672</v>
      </c>
      <c r="K275" s="10">
        <v>66666.666666666672</v>
      </c>
      <c r="L275" s="10">
        <v>66666.666666666672</v>
      </c>
      <c r="M275" s="10">
        <v>66666.666666666672</v>
      </c>
      <c r="N275" s="27">
        <f t="shared" si="140"/>
        <v>799999.99999999988</v>
      </c>
      <c r="O275" s="38">
        <v>2630.7414985810747</v>
      </c>
      <c r="P275" s="38">
        <v>2630.7414985810747</v>
      </c>
      <c r="Q275" s="38">
        <v>2630.7414985810747</v>
      </c>
      <c r="R275" s="38">
        <v>2630.7414985810747</v>
      </c>
      <c r="S275" s="38">
        <v>2630.7414985810747</v>
      </c>
      <c r="T275" s="38">
        <v>2630.7414985810747</v>
      </c>
      <c r="U275" s="38">
        <v>2630.7414985810747</v>
      </c>
      <c r="V275" s="38">
        <v>2630.7414985810747</v>
      </c>
      <c r="W275" s="38">
        <v>2630.7414985810747</v>
      </c>
      <c r="X275" s="38">
        <v>2630.7414985810747</v>
      </c>
      <c r="Y275" s="38">
        <v>2630.7414985810747</v>
      </c>
      <c r="Z275" s="38">
        <v>2630.7414985810747</v>
      </c>
      <c r="AA275" s="27">
        <f t="shared" si="141"/>
        <v>31568.897982972903</v>
      </c>
      <c r="AB275" s="10">
        <f t="shared" si="160"/>
        <v>64035.925168085596</v>
      </c>
      <c r="AC275" s="10">
        <f t="shared" si="160"/>
        <v>64035.925168085596</v>
      </c>
      <c r="AD275" s="10">
        <f t="shared" si="159"/>
        <v>64035.925168085596</v>
      </c>
      <c r="AE275" s="10">
        <f t="shared" si="159"/>
        <v>64035.925168085596</v>
      </c>
      <c r="AF275" s="10">
        <f t="shared" si="159"/>
        <v>64035.925168085596</v>
      </c>
      <c r="AG275" s="10">
        <f t="shared" si="159"/>
        <v>64035.925168085596</v>
      </c>
      <c r="AH275" s="10">
        <f t="shared" si="159"/>
        <v>64035.925168085596</v>
      </c>
      <c r="AI275" s="10">
        <f t="shared" si="159"/>
        <v>64035.925168085596</v>
      </c>
      <c r="AJ275" s="10">
        <f t="shared" si="159"/>
        <v>64035.925168085596</v>
      </c>
      <c r="AK275" s="10">
        <f t="shared" si="159"/>
        <v>64035.925168085596</v>
      </c>
      <c r="AL275" s="10">
        <f t="shared" si="159"/>
        <v>64035.925168085596</v>
      </c>
      <c r="AM275" s="10">
        <f t="shared" si="159"/>
        <v>64035.925168085596</v>
      </c>
      <c r="AN275" s="27">
        <f t="shared" si="159"/>
        <v>768431.10201702698</v>
      </c>
      <c r="AO275" s="28" t="e">
        <f>SUMIF('[3]2025B and 2025F Details'!$AU:$AU,AP275,'[3]2025B and 2025F Details'!$BH:$BH)</f>
        <v>#VALUE!</v>
      </c>
      <c r="AP275" t="s">
        <v>614</v>
      </c>
      <c r="AS275" t="str">
        <f>_xlfn.XLOOKUP(AU275,[2]GAE!HZ:HZ,[2]GAE!IA:IA)</f>
        <v>IS &amp; IT</v>
      </c>
      <c r="AT275" t="str">
        <f>_xlfn.XLOOKUP(AU275,[2]GAE!HZ:HZ,[2]GAE!IB:IB)</f>
        <v>GAE- Systems &amp; Applications</v>
      </c>
      <c r="AU275" t="s">
        <v>593</v>
      </c>
      <c r="AV275">
        <v>80124101</v>
      </c>
      <c r="AW275">
        <v>61711102</v>
      </c>
      <c r="AX275" t="str">
        <f>_xlfn.XLOOKUP(AU275,[2]GAE!HZ:HZ,[2]GAE!IF:IF)</f>
        <v>Systems &amp; Applications</v>
      </c>
      <c r="BF275" t="s">
        <v>615</v>
      </c>
      <c r="BG275" t="s">
        <v>49</v>
      </c>
      <c r="BH275" s="10">
        <f>SUMIFS('[1]2026'!$K:$K,'[1]2026'!$T:$T,BD275,'[1]2026'!$S:$S,BH$3,'[1]2026'!$P:$P,AU275)</f>
        <v>0</v>
      </c>
      <c r="BI275" s="10">
        <f>SUMIFS('[1]2026'!$K:$K,'[1]2026'!$T:$T,$BD275,'[1]2026'!$S:$S,BI$3,'[1]2026'!$P:$P,$AU275)</f>
        <v>0</v>
      </c>
      <c r="BJ275" s="10">
        <f>SUMIFS('[1]2026'!$K:$K,'[1]2026'!$T:$T,$BD275,'[1]2026'!$S:$S,BJ$3,'[1]2026'!$P:$P,$AU275)</f>
        <v>0</v>
      </c>
      <c r="BK275" s="10">
        <f>SUMIFS('[1]2026'!$K:$K,'[1]2026'!$T:$T,$BD275,'[1]2026'!$S:$S,BK$3,'[1]2026'!$P:$P,$AU275)</f>
        <v>0</v>
      </c>
      <c r="BL275" s="10">
        <f>SUMIFS('[1]2026'!$K:$K,'[1]2026'!$T:$T,$BD275,'[1]2026'!$S:$S,BL$3,'[1]2026'!$P:$P,$AU275)</f>
        <v>0</v>
      </c>
      <c r="BM275" s="10">
        <f>SUMIFS('[1]2026'!$K:$K,'[1]2026'!$T:$T,$BD275,'[1]2026'!$S:$S,BM$3,'[1]2026'!$P:$P,$AU275)</f>
        <v>0</v>
      </c>
      <c r="BN275" s="10">
        <f>SUMIFS('[1]2026'!$K:$K,'[1]2026'!$T:$T,$BD275,'[1]2026'!$S:$S,BN$3,'[1]2026'!$P:$P,$AU275)</f>
        <v>0</v>
      </c>
      <c r="BO275" s="10">
        <f>SUMIFS('[1]2026'!$K:$K,'[1]2026'!$T:$T,$BD275,'[1]2026'!$S:$S,BO$3,'[1]2026'!$P:$P,$AU275)</f>
        <v>0</v>
      </c>
      <c r="BP275" s="6">
        <f t="shared" ref="BP275:BS283" si="166">BO275</f>
        <v>0</v>
      </c>
      <c r="BQ275" s="6">
        <f t="shared" si="166"/>
        <v>0</v>
      </c>
      <c r="BR275" s="6">
        <f t="shared" si="166"/>
        <v>0</v>
      </c>
      <c r="BS275" s="6">
        <f t="shared" si="166"/>
        <v>0</v>
      </c>
      <c r="BT275" s="6">
        <f t="shared" si="162"/>
        <v>0</v>
      </c>
      <c r="BV275" s="6">
        <f t="shared" si="165"/>
        <v>-64035.925168085596</v>
      </c>
      <c r="BW275" s="6">
        <f t="shared" si="165"/>
        <v>-64035.925168085596</v>
      </c>
      <c r="BX275" s="6">
        <f t="shared" si="165"/>
        <v>-64035.925168085596</v>
      </c>
      <c r="BY275" s="6">
        <f t="shared" si="165"/>
        <v>-64035.925168085596</v>
      </c>
      <c r="BZ275" s="6">
        <f t="shared" si="165"/>
        <v>-64035.925168085596</v>
      </c>
      <c r="CA275" s="6">
        <f t="shared" si="165"/>
        <v>-64035.925168085596</v>
      </c>
      <c r="CB275" s="6">
        <f t="shared" si="165"/>
        <v>-64035.925168085596</v>
      </c>
      <c r="CC275" s="6">
        <f t="shared" si="165"/>
        <v>-64035.925168085596</v>
      </c>
      <c r="CD275" s="6">
        <f t="shared" si="165"/>
        <v>-64035.925168085596</v>
      </c>
      <c r="CE275" s="6">
        <f t="shared" si="165"/>
        <v>-64035.925168085596</v>
      </c>
      <c r="CF275" s="6">
        <f t="shared" si="165"/>
        <v>-64035.925168085596</v>
      </c>
      <c r="CG275" s="6">
        <f t="shared" si="165"/>
        <v>-64035.925168085596</v>
      </c>
      <c r="CH275" s="6">
        <f t="shared" si="164"/>
        <v>-768431.10201702698</v>
      </c>
    </row>
    <row r="276" spans="1:86" hidden="1" x14ac:dyDescent="0.35"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N276" s="27">
        <f>N276-AA276</f>
        <v>0</v>
      </c>
      <c r="AS276" t="str">
        <f>_xlfn.XLOOKUP(AU276,[2]GAE!HZ:HZ,[2]GAE!IA:IA)</f>
        <v>IS &amp; IT</v>
      </c>
      <c r="AT276" t="str">
        <f>_xlfn.XLOOKUP(AU276,[2]GAE!HZ:HZ,[2]GAE!IB:IB)</f>
        <v>DOE - Systems and Applications</v>
      </c>
      <c r="AU276" t="s">
        <v>594</v>
      </c>
      <c r="AV276">
        <v>81124101</v>
      </c>
      <c r="AW276">
        <v>52952103</v>
      </c>
      <c r="AX276" t="str">
        <f>_xlfn.XLOOKUP(AU276,[2]GAE!HZ:HZ,[2]GAE!IF:IF)</f>
        <v>Systems &amp; Applications</v>
      </c>
      <c r="BC276" t="s">
        <v>49</v>
      </c>
      <c r="BD276" t="s">
        <v>48</v>
      </c>
      <c r="BF276" t="s">
        <v>615</v>
      </c>
      <c r="BG276" t="s">
        <v>49</v>
      </c>
      <c r="BH276" s="10">
        <f>SUMIFS('[1]2026'!$K:$K,'[1]2026'!$T:$T,BD276,'[1]2026'!$S:$S,BH$3,'[1]2026'!$P:$P,AU276)</f>
        <v>39285.71</v>
      </c>
      <c r="BI276" s="10">
        <f>SUMIFS('[1]2026'!$K:$K,'[1]2026'!$T:$T,$BD276,'[1]2026'!$S:$S,BI$3,'[1]2026'!$P:$P,$AU276)</f>
        <v>39285.71</v>
      </c>
      <c r="BJ276" s="10">
        <f>SUMIFS('[1]2026'!$K:$K,'[1]2026'!$T:$T,$BD276,'[1]2026'!$S:$S,BJ$3,'[1]2026'!$P:$P,$AU276)</f>
        <v>39285.71</v>
      </c>
      <c r="BK276" s="10">
        <f>SUMIFS('[1]2026'!$K:$K,'[1]2026'!$T:$T,$BD276,'[1]2026'!$S:$S,BK$3,'[1]2026'!$P:$P,$AU276)</f>
        <v>39285.71</v>
      </c>
      <c r="BL276" s="10">
        <f>SUMIFS('[1]2026'!$K:$K,'[1]2026'!$T:$T,$BD276,'[1]2026'!$S:$S,BL$3,'[1]2026'!$P:$P,$AU276)</f>
        <v>39285.71</v>
      </c>
      <c r="BM276" s="10">
        <f>SUMIFS('[1]2026'!$K:$K,'[1]2026'!$T:$T,$BD276,'[1]2026'!$S:$S,BM$3,'[1]2026'!$P:$P,$AU276)</f>
        <v>39285.71</v>
      </c>
      <c r="BN276" s="10">
        <f>SUMIFS('[1]2026'!$K:$K,'[1]2026'!$T:$T,$BD276,'[1]2026'!$S:$S,BN$3,'[1]2026'!$P:$P,$AU276)</f>
        <v>39285.71</v>
      </c>
      <c r="BO276" s="10">
        <f>SUMIFS('[1]2026'!$K:$K,'[1]2026'!$T:$T,$BD276,'[1]2026'!$S:$S,BO$3,'[1]2026'!$P:$P,$AU276)</f>
        <v>39285.71</v>
      </c>
      <c r="BP276" s="6">
        <v>39285.71</v>
      </c>
      <c r="BQ276" s="6">
        <v>39285.71</v>
      </c>
      <c r="BR276" s="6">
        <v>39285.71</v>
      </c>
      <c r="BS276" s="6">
        <v>39285.71</v>
      </c>
      <c r="BT276" s="6">
        <f t="shared" si="162"/>
        <v>471428.52000000008</v>
      </c>
      <c r="BV276" s="6">
        <f t="shared" si="165"/>
        <v>39285.71</v>
      </c>
      <c r="BW276" s="6">
        <f t="shared" si="165"/>
        <v>39285.71</v>
      </c>
      <c r="BX276" s="6">
        <f t="shared" si="165"/>
        <v>39285.71</v>
      </c>
      <c r="BY276" s="6">
        <f t="shared" si="165"/>
        <v>39285.71</v>
      </c>
      <c r="BZ276" s="6">
        <f t="shared" si="165"/>
        <v>39285.71</v>
      </c>
      <c r="CA276" s="6">
        <f t="shared" si="165"/>
        <v>39285.71</v>
      </c>
      <c r="CB276" s="6">
        <f t="shared" si="165"/>
        <v>39285.71</v>
      </c>
      <c r="CC276" s="6">
        <f t="shared" si="165"/>
        <v>39285.71</v>
      </c>
      <c r="CD276" s="6">
        <f t="shared" si="165"/>
        <v>39285.71</v>
      </c>
      <c r="CE276" s="6">
        <f t="shared" si="165"/>
        <v>39285.71</v>
      </c>
      <c r="CF276" s="6">
        <f t="shared" si="165"/>
        <v>39285.71</v>
      </c>
      <c r="CG276" s="6">
        <f t="shared" si="165"/>
        <v>39285.71</v>
      </c>
      <c r="CH276" s="6">
        <f t="shared" si="164"/>
        <v>471428.52000000008</v>
      </c>
    </row>
    <row r="277" spans="1:86" hidden="1" x14ac:dyDescent="0.35">
      <c r="A277" s="3" t="s">
        <v>616</v>
      </c>
      <c r="B277" s="10">
        <v>16666.666666666668</v>
      </c>
      <c r="C277" s="10">
        <v>16666.666666666668</v>
      </c>
      <c r="D277" s="10">
        <v>16666.666666666668</v>
      </c>
      <c r="E277" s="10">
        <v>16666.666666666668</v>
      </c>
      <c r="F277" s="10">
        <v>16666.666666666668</v>
      </c>
      <c r="G277" s="10">
        <v>16666.666666666668</v>
      </c>
      <c r="H277" s="10">
        <v>16666.666666666668</v>
      </c>
      <c r="I277" s="10">
        <v>16666.666666666668</v>
      </c>
      <c r="J277" s="10">
        <v>16666.666666666668</v>
      </c>
      <c r="K277" s="10">
        <v>16666.666666666668</v>
      </c>
      <c r="L277" s="10">
        <v>16666.666666666668</v>
      </c>
      <c r="M277" s="10">
        <v>16666.666666666668</v>
      </c>
      <c r="N277" s="27">
        <f t="shared" si="140"/>
        <v>199999.99999999997</v>
      </c>
      <c r="O277" s="10">
        <v>8333.3333333333339</v>
      </c>
      <c r="P277" s="10">
        <v>8333.3333333333339</v>
      </c>
      <c r="Q277" s="10">
        <v>8333.3333333333339</v>
      </c>
      <c r="R277" s="10">
        <v>8333.3333333333339</v>
      </c>
      <c r="S277" s="10">
        <v>8333.3333333333339</v>
      </c>
      <c r="T277" s="10">
        <v>8333.3333333333339</v>
      </c>
      <c r="U277" s="10">
        <v>8333.3333333333339</v>
      </c>
      <c r="V277" s="10">
        <v>8333.3333333333339</v>
      </c>
      <c r="W277" s="10">
        <v>8333.3333333333339</v>
      </c>
      <c r="X277" s="10">
        <v>8333.3333333333339</v>
      </c>
      <c r="Y277" s="10">
        <v>8333.3333333333339</v>
      </c>
      <c r="Z277" s="10">
        <v>8333.3333333333339</v>
      </c>
      <c r="AA277" s="27">
        <f t="shared" si="141"/>
        <v>99999.999999999985</v>
      </c>
      <c r="AB277" s="10">
        <f t="shared" si="160"/>
        <v>8333.3333333333339</v>
      </c>
      <c r="AC277" s="10">
        <f t="shared" si="160"/>
        <v>8333.3333333333339</v>
      </c>
      <c r="AD277" s="10">
        <f t="shared" si="159"/>
        <v>8333.3333333333339</v>
      </c>
      <c r="AE277" s="10">
        <f t="shared" si="159"/>
        <v>8333.3333333333339</v>
      </c>
      <c r="AF277" s="10">
        <f t="shared" si="159"/>
        <v>8333.3333333333339</v>
      </c>
      <c r="AG277" s="10">
        <f t="shared" si="159"/>
        <v>8333.3333333333339</v>
      </c>
      <c r="AH277" s="10">
        <f t="shared" si="159"/>
        <v>8333.3333333333339</v>
      </c>
      <c r="AI277" s="10">
        <f t="shared" si="159"/>
        <v>8333.3333333333339</v>
      </c>
      <c r="AJ277" s="10">
        <f t="shared" si="159"/>
        <v>8333.3333333333339</v>
      </c>
      <c r="AK277" s="10">
        <f t="shared" si="159"/>
        <v>8333.3333333333339</v>
      </c>
      <c r="AL277" s="10">
        <f t="shared" si="159"/>
        <v>8333.3333333333339</v>
      </c>
      <c r="AM277" s="10">
        <f t="shared" si="159"/>
        <v>8333.3333333333339</v>
      </c>
      <c r="AN277" s="27">
        <f t="shared" si="159"/>
        <v>99999.999999999985</v>
      </c>
      <c r="AO277" s="28">
        <v>6000</v>
      </c>
      <c r="AP277" t="s">
        <v>617</v>
      </c>
      <c r="AR277" t="s">
        <v>618</v>
      </c>
      <c r="AS277" t="str">
        <f>_xlfn.XLOOKUP(AU277,[2]GAE!HZ:HZ,[2]GAE!IA:IA)</f>
        <v>IS &amp; IT</v>
      </c>
      <c r="AT277" t="str">
        <f>_xlfn.XLOOKUP(AU277,[2]GAE!HZ:HZ,[2]GAE!IB:IB)</f>
        <v>DOE - Repairs &amp; Maint. - IT System &amp; Equipment</v>
      </c>
      <c r="AU277" t="s">
        <v>619</v>
      </c>
      <c r="AV277">
        <v>81124101</v>
      </c>
      <c r="AW277">
        <v>52061109</v>
      </c>
      <c r="AX277" t="str">
        <f>_xlfn.XLOOKUP(AU277,[2]GAE!HZ:HZ,[2]GAE!IF:IF)</f>
        <v>Systems &amp; Applications</v>
      </c>
      <c r="BC277" t="s">
        <v>50</v>
      </c>
      <c r="BD277" s="2" t="s">
        <v>50</v>
      </c>
      <c r="BE277" s="2"/>
      <c r="BF277" t="s">
        <v>1256</v>
      </c>
      <c r="BG277" s="37" t="s">
        <v>50</v>
      </c>
      <c r="BH277" s="10">
        <f>SUMIFS('[1]2026'!$K:$K,'[1]2026'!$T:$T,BD277,'[1]2026'!$S:$S,BH$3,'[1]2026'!$P:$P,AU277)</f>
        <v>0</v>
      </c>
      <c r="BI277" s="10">
        <f>SUMIFS('[1]2026'!$K:$K,'[1]2026'!$T:$T,$BD277,'[1]2026'!$S:$S,BI$3,'[1]2026'!$P:$P,$AU277)</f>
        <v>0</v>
      </c>
      <c r="BJ277" s="10">
        <f>SUMIFS('[1]2026'!$K:$K,'[1]2026'!$T:$T,$BD277,'[1]2026'!$S:$S,BJ$3,'[1]2026'!$P:$P,$AU277)</f>
        <v>34089.29</v>
      </c>
      <c r="BK277" s="10">
        <f>SUMIFS('[1]2026'!$K:$K,'[1]2026'!$T:$T,$BD277,'[1]2026'!$S:$S,BK$3,'[1]2026'!$P:$P,$AU277)</f>
        <v>227678.57</v>
      </c>
      <c r="BL277" s="10">
        <f>SUMIFS('[1]2026'!$K:$K,'[1]2026'!$T:$T,$BD277,'[1]2026'!$S:$S,BL$3,'[1]2026'!$P:$P,$AU277)</f>
        <v>1148</v>
      </c>
      <c r="BM277" s="10">
        <f>SUMIFS('[1]2026'!$K:$K,'[1]2026'!$T:$T,$BD277,'[1]2026'!$S:$S,BM$3,'[1]2026'!$P:$P,$AU277)</f>
        <v>0</v>
      </c>
      <c r="BN277" s="10">
        <f>SUMIFS('[1]2026'!$K:$K,'[1]2026'!$T:$T,$BD277,'[1]2026'!$S:$S,BN$3,'[1]2026'!$P:$P,$AU277)</f>
        <v>0</v>
      </c>
      <c r="BO277" s="10">
        <f>SUMIFS('[1]2026'!$K:$K,'[1]2026'!$T:$T,$BD277,'[1]2026'!$S:$S,BO$3,'[1]2026'!$P:$P,$AU277)</f>
        <v>0</v>
      </c>
      <c r="BP277" s="6"/>
      <c r="BQ277" s="6"/>
      <c r="BR277" s="6"/>
      <c r="BS277" s="6"/>
      <c r="BT277" s="6">
        <f t="shared" si="162"/>
        <v>262915.86</v>
      </c>
      <c r="BV277" s="6">
        <f t="shared" si="165"/>
        <v>-8333.3333333333339</v>
      </c>
      <c r="BW277" s="6">
        <f t="shared" si="165"/>
        <v>-8333.3333333333339</v>
      </c>
      <c r="BX277" s="6">
        <f t="shared" si="165"/>
        <v>25755.956666666665</v>
      </c>
      <c r="BY277" s="6">
        <f t="shared" si="165"/>
        <v>219345.23666666666</v>
      </c>
      <c r="BZ277" s="6">
        <f t="shared" si="165"/>
        <v>-7185.3333333333339</v>
      </c>
      <c r="CA277" s="6">
        <f t="shared" si="165"/>
        <v>-8333.3333333333339</v>
      </c>
      <c r="CB277" s="6">
        <f t="shared" si="165"/>
        <v>-8333.3333333333339</v>
      </c>
      <c r="CC277" s="6">
        <f t="shared" si="165"/>
        <v>-8333.3333333333339</v>
      </c>
      <c r="CD277" s="6">
        <f t="shared" si="165"/>
        <v>-8333.3333333333339</v>
      </c>
      <c r="CE277" s="6">
        <f t="shared" si="165"/>
        <v>-8333.3333333333339</v>
      </c>
      <c r="CF277" s="6">
        <f t="shared" si="165"/>
        <v>-8333.3333333333339</v>
      </c>
      <c r="CG277" s="6">
        <f t="shared" si="165"/>
        <v>-8333.3333333333339</v>
      </c>
      <c r="CH277" s="6">
        <f t="shared" si="164"/>
        <v>162915.85999999999</v>
      </c>
    </row>
    <row r="278" spans="1:86" hidden="1" x14ac:dyDescent="0.35">
      <c r="A278" s="3" t="s">
        <v>620</v>
      </c>
      <c r="AN278" s="27">
        <f>N278-AA278</f>
        <v>0</v>
      </c>
      <c r="AS278" t="str">
        <f>_xlfn.XLOOKUP(AU278,[2]GAE!HZ:HZ,[2]GAE!IA:IA)</f>
        <v>IS &amp; IT</v>
      </c>
      <c r="AT278" t="str">
        <f>_xlfn.XLOOKUP(AU278,[2]GAE!HZ:HZ,[2]GAE!IB:IB)</f>
        <v>DOE - Systems and Applications</v>
      </c>
      <c r="AU278" s="2" t="s">
        <v>594</v>
      </c>
      <c r="AV278" s="2">
        <v>81124101</v>
      </c>
      <c r="AW278" s="2">
        <v>52952103</v>
      </c>
      <c r="AX278" t="str">
        <f>_xlfn.XLOOKUP(AU278,[2]GAE!HZ:HZ,[2]GAE!IF:IF)</f>
        <v>Systems &amp; Applications</v>
      </c>
      <c r="BC278" t="s">
        <v>51</v>
      </c>
      <c r="BD278" t="s">
        <v>51</v>
      </c>
      <c r="BF278" t="s">
        <v>1256</v>
      </c>
      <c r="BG278" s="2" t="s">
        <v>51</v>
      </c>
      <c r="BH278" s="10">
        <f>SUMIFS('[1]2026'!$K:$K,'[1]2026'!$T:$T,BD278,'[1]2026'!$S:$S,BH$3,'[1]2026'!$P:$P,AU278)</f>
        <v>15557.36</v>
      </c>
      <c r="BI278" s="10">
        <f>SUMIFS('[1]2026'!$K:$K,'[1]2026'!$T:$T,$BD278,'[1]2026'!$S:$S,BI$3,'[1]2026'!$P:$P,$AU278)</f>
        <v>15557.36</v>
      </c>
      <c r="BJ278" s="10">
        <f>SUMIFS('[1]2026'!$K:$K,'[1]2026'!$T:$T,$BD278,'[1]2026'!$S:$S,BJ$3,'[1]2026'!$P:$P,$AU278)</f>
        <v>15557.36</v>
      </c>
      <c r="BK278" s="10">
        <f>SUMIFS('[1]2026'!$K:$K,'[1]2026'!$T:$T,$BD278,'[1]2026'!$S:$S,BK$3,'[1]2026'!$P:$P,$AU278)</f>
        <v>15557.36</v>
      </c>
      <c r="BL278" s="10">
        <f>SUMIFS('[1]2026'!$K:$K,'[1]2026'!$T:$T,$BD278,'[1]2026'!$S:$S,BL$3,'[1]2026'!$P:$P,$AU278)</f>
        <v>15557.36</v>
      </c>
      <c r="BM278" s="10">
        <f>SUMIFS('[1]2026'!$K:$K,'[1]2026'!$T:$T,$BD278,'[1]2026'!$S:$S,BM$3,'[1]2026'!$P:$P,$AU278)</f>
        <v>15557.36</v>
      </c>
      <c r="BN278" s="10">
        <f>SUMIFS('[1]2026'!$K:$K,'[1]2026'!$T:$T,$BD278,'[1]2026'!$S:$S,BN$3,'[1]2026'!$P:$P,$AU278)</f>
        <v>15557.36</v>
      </c>
      <c r="BO278" s="10">
        <f>SUMIFS('[1]2026'!$K:$K,'[1]2026'!$T:$T,$BD278,'[1]2026'!$S:$S,BO$3,'[1]2026'!$P:$P,$AU278)</f>
        <v>15557.36</v>
      </c>
      <c r="BP278" s="6">
        <v>15557.36</v>
      </c>
      <c r="BQ278" s="6">
        <v>15557.36</v>
      </c>
      <c r="BR278" s="6">
        <v>15557.36</v>
      </c>
      <c r="BS278" s="6">
        <v>15557.36</v>
      </c>
      <c r="BT278" s="6">
        <f t="shared" si="162"/>
        <v>186688.31999999995</v>
      </c>
      <c r="BV278" s="6">
        <f t="shared" si="165"/>
        <v>15557.36</v>
      </c>
      <c r="BW278" s="6">
        <f t="shared" si="165"/>
        <v>15557.36</v>
      </c>
      <c r="BX278" s="6">
        <f t="shared" si="165"/>
        <v>15557.36</v>
      </c>
      <c r="BY278" s="6">
        <f t="shared" si="165"/>
        <v>15557.36</v>
      </c>
      <c r="BZ278" s="6">
        <f t="shared" si="165"/>
        <v>15557.36</v>
      </c>
      <c r="CA278" s="6">
        <f t="shared" si="165"/>
        <v>15557.36</v>
      </c>
      <c r="CB278" s="6">
        <f t="shared" si="165"/>
        <v>15557.36</v>
      </c>
      <c r="CC278" s="6">
        <f t="shared" si="165"/>
        <v>15557.36</v>
      </c>
      <c r="CD278" s="6">
        <f t="shared" si="165"/>
        <v>15557.36</v>
      </c>
      <c r="CE278" s="6">
        <f t="shared" si="165"/>
        <v>15557.36</v>
      </c>
      <c r="CF278" s="6">
        <f t="shared" si="165"/>
        <v>15557.36</v>
      </c>
      <c r="CG278" s="6">
        <f t="shared" si="165"/>
        <v>15557.36</v>
      </c>
      <c r="CH278" s="6">
        <f t="shared" si="164"/>
        <v>186688.31999999995</v>
      </c>
    </row>
    <row r="279" spans="1:86" hidden="1" x14ac:dyDescent="0.35">
      <c r="A279" s="3" t="s">
        <v>621</v>
      </c>
      <c r="B279" s="10">
        <v>40000</v>
      </c>
      <c r="C279" s="10">
        <v>40000</v>
      </c>
      <c r="D279" s="10">
        <v>40000</v>
      </c>
      <c r="E279" s="10">
        <v>40000</v>
      </c>
      <c r="F279" s="10">
        <v>40000</v>
      </c>
      <c r="G279" s="10">
        <v>40000</v>
      </c>
      <c r="H279" s="10">
        <v>40000</v>
      </c>
      <c r="I279" s="10">
        <v>40000</v>
      </c>
      <c r="J279" s="10">
        <v>40000</v>
      </c>
      <c r="K279" s="10">
        <v>40000</v>
      </c>
      <c r="L279" s="10">
        <v>40000</v>
      </c>
      <c r="M279" s="10">
        <v>40000</v>
      </c>
      <c r="N279" s="27">
        <f t="shared" si="140"/>
        <v>480000</v>
      </c>
      <c r="O279" s="10">
        <v>40000</v>
      </c>
      <c r="P279" s="10">
        <v>40000</v>
      </c>
      <c r="Q279" s="10">
        <v>40000</v>
      </c>
      <c r="R279" s="10">
        <v>40000</v>
      </c>
      <c r="S279" s="10">
        <v>40000</v>
      </c>
      <c r="T279" s="10">
        <v>40000</v>
      </c>
      <c r="U279" s="10">
        <v>40000</v>
      </c>
      <c r="V279" s="10">
        <v>40000</v>
      </c>
      <c r="W279" s="10">
        <v>40000</v>
      </c>
      <c r="X279" s="10">
        <v>40000</v>
      </c>
      <c r="Y279" s="10">
        <v>40000</v>
      </c>
      <c r="Z279" s="10">
        <v>40000</v>
      </c>
      <c r="AA279" s="27">
        <f t="shared" si="141"/>
        <v>480000</v>
      </c>
      <c r="AB279" s="10">
        <f t="shared" si="160"/>
        <v>0</v>
      </c>
      <c r="AC279" s="10">
        <f t="shared" si="160"/>
        <v>0</v>
      </c>
      <c r="AD279" s="10">
        <f t="shared" si="159"/>
        <v>0</v>
      </c>
      <c r="AE279" s="10">
        <f t="shared" si="159"/>
        <v>0</v>
      </c>
      <c r="AF279" s="10">
        <f t="shared" si="159"/>
        <v>0</v>
      </c>
      <c r="AG279" s="10">
        <f t="shared" si="159"/>
        <v>0</v>
      </c>
      <c r="AH279" s="10">
        <f t="shared" si="159"/>
        <v>0</v>
      </c>
      <c r="AI279" s="10">
        <f t="shared" si="159"/>
        <v>0</v>
      </c>
      <c r="AJ279" s="10">
        <f t="shared" si="159"/>
        <v>0</v>
      </c>
      <c r="AK279" s="10">
        <f t="shared" si="159"/>
        <v>0</v>
      </c>
      <c r="AL279" s="10">
        <f t="shared" si="159"/>
        <v>0</v>
      </c>
      <c r="AM279" s="10">
        <f t="shared" si="159"/>
        <v>0</v>
      </c>
      <c r="AN279" s="27">
        <f t="shared" si="159"/>
        <v>0</v>
      </c>
      <c r="AO279" s="28" t="e">
        <f>SUMIF('[3]2025B and 2025F Details'!$AU:$AU,AP279,'[3]2025B and 2025F Details'!$BH:$BH)</f>
        <v>#VALUE!</v>
      </c>
      <c r="AP279" t="s">
        <v>622</v>
      </c>
      <c r="AS279" t="str">
        <f>_xlfn.XLOOKUP(AU279,[2]GAE!HZ:HZ,[2]GAE!IA:IA)</f>
        <v>IS &amp; IT</v>
      </c>
      <c r="AT279" t="str">
        <f>_xlfn.XLOOKUP(AU279,[2]GAE!HZ:HZ,[2]GAE!IB:IB)</f>
        <v>DOE - Repairs &amp; Maint. - IT System &amp; Equipment</v>
      </c>
      <c r="AU279" t="s">
        <v>619</v>
      </c>
      <c r="AV279">
        <v>81124101</v>
      </c>
      <c r="AW279">
        <v>52061109</v>
      </c>
      <c r="AX279" t="str">
        <f>_xlfn.XLOOKUP(AU279,[2]GAE!HZ:HZ,[2]GAE!IF:IF)</f>
        <v>Systems &amp; Applications</v>
      </c>
      <c r="BA279" t="s">
        <v>623</v>
      </c>
      <c r="BF279" t="s">
        <v>624</v>
      </c>
      <c r="BG279" s="37" t="s">
        <v>625</v>
      </c>
      <c r="BH279" s="10">
        <f>SUMIFS('[1]2026'!$K:$K,'[1]2026'!$T:$T,BD279,'[1]2026'!$S:$S,BH$3,'[1]2026'!$P:$P,AU279)</f>
        <v>0</v>
      </c>
      <c r="BI279" s="10">
        <f>SUMIFS('[1]2026'!$K:$K,'[1]2026'!$T:$T,$BD279,'[1]2026'!$S:$S,BI$3,'[1]2026'!$P:$P,$AU279)</f>
        <v>0</v>
      </c>
      <c r="BJ279" s="10">
        <f>SUMIFS('[1]2026'!$K:$K,'[1]2026'!$T:$T,$BD279,'[1]2026'!$S:$S,BJ$3,'[1]2026'!$P:$P,$AU279)</f>
        <v>0</v>
      </c>
      <c r="BK279" s="10">
        <f>SUMIFS('[1]2026'!$K:$K,'[1]2026'!$T:$T,$BD279,'[1]2026'!$S:$S,BK$3,'[1]2026'!$P:$P,$AU279)</f>
        <v>0</v>
      </c>
      <c r="BL279" s="10">
        <f>SUMIFS('[1]2026'!$K:$K,'[1]2026'!$T:$T,$BD279,'[1]2026'!$S:$S,BL$3,'[1]2026'!$P:$P,$AU279)</f>
        <v>0</v>
      </c>
      <c r="BM279" s="10">
        <f>SUMIFS('[1]2026'!$K:$K,'[1]2026'!$T:$T,$BD279,'[1]2026'!$S:$S,BM$3,'[1]2026'!$P:$P,$AU279)</f>
        <v>0</v>
      </c>
      <c r="BN279" s="10">
        <f>SUMIFS('[1]2026'!$K:$K,'[1]2026'!$T:$T,$BD279,'[1]2026'!$S:$S,BN$3,'[1]2026'!$P:$P,$AU279)</f>
        <v>0</v>
      </c>
      <c r="BO279" s="10">
        <f>SUMIFS('[1]2026'!$K:$K,'[1]2026'!$T:$T,$BD279,'[1]2026'!$S:$S,BO$3,'[1]2026'!$P:$P,$AU279)</f>
        <v>0</v>
      </c>
      <c r="BP279" s="6">
        <f t="shared" ref="BP279:BS281" si="167">BO279</f>
        <v>0</v>
      </c>
      <c r="BQ279" s="6">
        <f t="shared" si="167"/>
        <v>0</v>
      </c>
      <c r="BR279" s="6">
        <f t="shared" si="167"/>
        <v>0</v>
      </c>
      <c r="BS279" s="6">
        <f t="shared" si="167"/>
        <v>0</v>
      </c>
      <c r="BT279" s="6">
        <f t="shared" si="162"/>
        <v>0</v>
      </c>
      <c r="BV279" s="6">
        <f t="shared" si="165"/>
        <v>0</v>
      </c>
      <c r="BW279" s="6">
        <f t="shared" si="165"/>
        <v>0</v>
      </c>
      <c r="BX279" s="6">
        <f t="shared" si="165"/>
        <v>0</v>
      </c>
      <c r="BY279" s="6">
        <f t="shared" si="165"/>
        <v>0</v>
      </c>
      <c r="BZ279" s="6">
        <f t="shared" si="165"/>
        <v>0</v>
      </c>
      <c r="CA279" s="6">
        <f t="shared" si="165"/>
        <v>0</v>
      </c>
      <c r="CB279" s="6">
        <f t="shared" si="165"/>
        <v>0</v>
      </c>
      <c r="CC279" s="6">
        <f t="shared" si="165"/>
        <v>0</v>
      </c>
      <c r="CD279" s="6">
        <f t="shared" si="165"/>
        <v>0</v>
      </c>
      <c r="CE279" s="6">
        <f t="shared" si="165"/>
        <v>0</v>
      </c>
      <c r="CF279" s="6">
        <f t="shared" si="165"/>
        <v>0</v>
      </c>
      <c r="CG279" s="6">
        <f t="shared" si="165"/>
        <v>0</v>
      </c>
      <c r="CH279" s="6">
        <f t="shared" si="164"/>
        <v>0</v>
      </c>
    </row>
    <row r="280" spans="1:86" hidden="1" x14ac:dyDescent="0.35">
      <c r="A280" s="3" t="s">
        <v>621</v>
      </c>
      <c r="B280" s="10">
        <v>8500</v>
      </c>
      <c r="C280" s="10">
        <v>8500</v>
      </c>
      <c r="D280" s="10">
        <v>8500</v>
      </c>
      <c r="E280" s="10">
        <v>8500</v>
      </c>
      <c r="F280" s="10">
        <v>8500</v>
      </c>
      <c r="G280" s="10">
        <v>8500</v>
      </c>
      <c r="H280" s="10">
        <v>8500</v>
      </c>
      <c r="I280" s="10">
        <v>8500</v>
      </c>
      <c r="J280" s="10">
        <v>8500</v>
      </c>
      <c r="K280" s="10">
        <v>8500</v>
      </c>
      <c r="L280" s="10">
        <v>8500</v>
      </c>
      <c r="M280" s="10">
        <v>8500</v>
      </c>
      <c r="N280" s="27">
        <f t="shared" si="140"/>
        <v>102000</v>
      </c>
      <c r="O280" s="38">
        <v>335.41954106908707</v>
      </c>
      <c r="P280" s="38">
        <v>335.41954106908707</v>
      </c>
      <c r="Q280" s="38">
        <v>335.41954106908707</v>
      </c>
      <c r="R280" s="38">
        <v>335.41954106908707</v>
      </c>
      <c r="S280" s="38">
        <v>335.41954106908707</v>
      </c>
      <c r="T280" s="38">
        <v>335.41954106908707</v>
      </c>
      <c r="U280" s="38">
        <v>335.41954106908707</v>
      </c>
      <c r="V280" s="38">
        <v>335.41954106908707</v>
      </c>
      <c r="W280" s="38">
        <v>335.41954106908707</v>
      </c>
      <c r="X280" s="38">
        <v>335.41954106908707</v>
      </c>
      <c r="Y280" s="38">
        <v>335.41954106908707</v>
      </c>
      <c r="Z280" s="38">
        <v>335.41954106908707</v>
      </c>
      <c r="AA280" s="27">
        <f t="shared" si="141"/>
        <v>4025.0344928290456</v>
      </c>
      <c r="AB280" s="10">
        <f t="shared" si="160"/>
        <v>8164.5804589309128</v>
      </c>
      <c r="AC280" s="10">
        <f t="shared" si="160"/>
        <v>8164.5804589309128</v>
      </c>
      <c r="AD280" s="10">
        <f t="shared" si="159"/>
        <v>8164.5804589309128</v>
      </c>
      <c r="AE280" s="10">
        <f t="shared" si="159"/>
        <v>8164.5804589309128</v>
      </c>
      <c r="AF280" s="10">
        <f t="shared" si="159"/>
        <v>8164.5804589309128</v>
      </c>
      <c r="AG280" s="10">
        <f t="shared" si="159"/>
        <v>8164.5804589309128</v>
      </c>
      <c r="AH280" s="10">
        <f t="shared" si="159"/>
        <v>8164.5804589309128</v>
      </c>
      <c r="AI280" s="10">
        <f t="shared" si="159"/>
        <v>8164.5804589309128</v>
      </c>
      <c r="AJ280" s="10">
        <f t="shared" si="159"/>
        <v>8164.5804589309128</v>
      </c>
      <c r="AK280" s="10">
        <f t="shared" si="159"/>
        <v>8164.5804589309128</v>
      </c>
      <c r="AL280" s="10">
        <f t="shared" si="159"/>
        <v>8164.5804589309128</v>
      </c>
      <c r="AM280" s="10">
        <f t="shared" si="159"/>
        <v>8164.5804589309128</v>
      </c>
      <c r="AN280" s="27">
        <f t="shared" si="159"/>
        <v>97974.965507170957</v>
      </c>
      <c r="AO280" s="28" t="e">
        <f>SUMIF('[3]2025B and 2025F Details'!$AU:$AU,AP280,'[3]2025B and 2025F Details'!$BH:$BH)</f>
        <v>#VALUE!</v>
      </c>
      <c r="AP280" t="s">
        <v>622</v>
      </c>
      <c r="AS280" t="str">
        <f>_xlfn.XLOOKUP(AU280,[2]GAE!HZ:HZ,[2]GAE!IA:IA)</f>
        <v>IS &amp; IT</v>
      </c>
      <c r="AT280" t="str">
        <f>_xlfn.XLOOKUP(AU280,[2]GAE!HZ:HZ,[2]GAE!IB:IB)</f>
        <v>DOE - Repairs &amp; Maint. - IT System &amp; Equipment</v>
      </c>
      <c r="AU280" t="s">
        <v>619</v>
      </c>
      <c r="AV280">
        <v>81124101</v>
      </c>
      <c r="AW280">
        <v>52061109</v>
      </c>
      <c r="AX280" t="str">
        <f>_xlfn.XLOOKUP(AU280,[2]GAE!HZ:HZ,[2]GAE!IF:IF)</f>
        <v>Systems &amp; Applications</v>
      </c>
      <c r="BA280" t="s">
        <v>623</v>
      </c>
      <c r="BF280" t="s">
        <v>624</v>
      </c>
      <c r="BG280" s="37" t="s">
        <v>625</v>
      </c>
      <c r="BH280" s="10">
        <f>SUMIFS('[1]2026'!$K:$K,'[1]2026'!$T:$T,BD280,'[1]2026'!$S:$S,BH$3,'[1]2026'!$P:$P,AU280)</f>
        <v>0</v>
      </c>
      <c r="BI280" s="10">
        <f>SUMIFS('[1]2026'!$K:$K,'[1]2026'!$T:$T,$BD280,'[1]2026'!$S:$S,BI$3,'[1]2026'!$P:$P,$AU280)</f>
        <v>0</v>
      </c>
      <c r="BJ280" s="10">
        <f>SUMIFS('[1]2026'!$K:$K,'[1]2026'!$T:$T,$BD280,'[1]2026'!$S:$S,BJ$3,'[1]2026'!$P:$P,$AU280)</f>
        <v>0</v>
      </c>
      <c r="BK280" s="10">
        <f>SUMIFS('[1]2026'!$K:$K,'[1]2026'!$T:$T,$BD280,'[1]2026'!$S:$S,BK$3,'[1]2026'!$P:$P,$AU280)</f>
        <v>0</v>
      </c>
      <c r="BL280" s="10">
        <f>SUMIFS('[1]2026'!$K:$K,'[1]2026'!$T:$T,$BD280,'[1]2026'!$S:$S,BL$3,'[1]2026'!$P:$P,$AU280)</f>
        <v>0</v>
      </c>
      <c r="BM280" s="10">
        <f>SUMIFS('[1]2026'!$K:$K,'[1]2026'!$T:$T,$BD280,'[1]2026'!$S:$S,BM$3,'[1]2026'!$P:$P,$AU280)</f>
        <v>0</v>
      </c>
      <c r="BN280" s="10">
        <f>SUMIFS('[1]2026'!$K:$K,'[1]2026'!$T:$T,$BD280,'[1]2026'!$S:$S,BN$3,'[1]2026'!$P:$P,$AU280)</f>
        <v>0</v>
      </c>
      <c r="BO280" s="10">
        <f>SUMIFS('[1]2026'!$K:$K,'[1]2026'!$T:$T,$BD280,'[1]2026'!$S:$S,BO$3,'[1]2026'!$P:$P,$AU280)</f>
        <v>0</v>
      </c>
      <c r="BP280" s="6">
        <f t="shared" si="167"/>
        <v>0</v>
      </c>
      <c r="BQ280" s="6">
        <f t="shared" si="167"/>
        <v>0</v>
      </c>
      <c r="BR280" s="6">
        <f t="shared" si="167"/>
        <v>0</v>
      </c>
      <c r="BS280" s="6">
        <f t="shared" si="167"/>
        <v>0</v>
      </c>
      <c r="BT280" s="6">
        <f t="shared" si="162"/>
        <v>0</v>
      </c>
      <c r="BV280" s="6">
        <f t="shared" si="165"/>
        <v>-8164.5804589309128</v>
      </c>
      <c r="BW280" s="6">
        <f t="shared" si="165"/>
        <v>-8164.5804589309128</v>
      </c>
      <c r="BX280" s="6">
        <f t="shared" si="165"/>
        <v>-8164.5804589309128</v>
      </c>
      <c r="BY280" s="6">
        <f t="shared" si="165"/>
        <v>-8164.5804589309128</v>
      </c>
      <c r="BZ280" s="6">
        <f t="shared" si="165"/>
        <v>-8164.5804589309128</v>
      </c>
      <c r="CA280" s="6">
        <f t="shared" si="165"/>
        <v>-8164.5804589309128</v>
      </c>
      <c r="CB280" s="6">
        <f t="shared" si="165"/>
        <v>-8164.5804589309128</v>
      </c>
      <c r="CC280" s="6">
        <f t="shared" si="165"/>
        <v>-8164.5804589309128</v>
      </c>
      <c r="CD280" s="6">
        <f t="shared" si="165"/>
        <v>-8164.5804589309128</v>
      </c>
      <c r="CE280" s="6">
        <f t="shared" si="165"/>
        <v>-8164.5804589309128</v>
      </c>
      <c r="CF280" s="6">
        <f t="shared" si="165"/>
        <v>-8164.5804589309128</v>
      </c>
      <c r="CG280" s="6">
        <f t="shared" si="165"/>
        <v>-8164.5804589309128</v>
      </c>
      <c r="CH280" s="6">
        <f t="shared" si="164"/>
        <v>-97974.965507170957</v>
      </c>
    </row>
    <row r="281" spans="1:86" hidden="1" x14ac:dyDescent="0.35">
      <c r="A281" s="3" t="s">
        <v>621</v>
      </c>
      <c r="B281" s="10">
        <v>1250</v>
      </c>
      <c r="C281" s="10">
        <v>1250</v>
      </c>
      <c r="D281" s="10">
        <v>1250</v>
      </c>
      <c r="E281" s="10">
        <v>1250</v>
      </c>
      <c r="F281" s="10">
        <v>1250</v>
      </c>
      <c r="G281" s="10">
        <v>1250</v>
      </c>
      <c r="H281" s="10">
        <v>1250</v>
      </c>
      <c r="I281" s="10">
        <v>1250</v>
      </c>
      <c r="J281" s="10">
        <v>1250</v>
      </c>
      <c r="K281" s="10">
        <v>1250</v>
      </c>
      <c r="L281" s="10">
        <v>1250</v>
      </c>
      <c r="M281" s="10">
        <v>1250</v>
      </c>
      <c r="N281" s="27">
        <f t="shared" si="140"/>
        <v>15000</v>
      </c>
      <c r="O281" s="10">
        <v>1250</v>
      </c>
      <c r="P281" s="10">
        <v>1250</v>
      </c>
      <c r="Q281" s="10">
        <v>1250</v>
      </c>
      <c r="R281" s="10">
        <v>1250</v>
      </c>
      <c r="S281" s="10">
        <v>1250</v>
      </c>
      <c r="T281" s="10">
        <v>1250</v>
      </c>
      <c r="U281" s="10">
        <v>1250</v>
      </c>
      <c r="V281" s="10">
        <v>1250</v>
      </c>
      <c r="W281" s="10">
        <v>1250</v>
      </c>
      <c r="X281" s="10">
        <v>1250</v>
      </c>
      <c r="Y281" s="10">
        <v>1250</v>
      </c>
      <c r="Z281" s="10">
        <v>1250</v>
      </c>
      <c r="AA281" s="27">
        <f t="shared" si="141"/>
        <v>15000</v>
      </c>
      <c r="AB281" s="10">
        <f t="shared" si="160"/>
        <v>0</v>
      </c>
      <c r="AC281" s="10">
        <f t="shared" si="160"/>
        <v>0</v>
      </c>
      <c r="AD281" s="10">
        <f t="shared" si="159"/>
        <v>0</v>
      </c>
      <c r="AE281" s="10">
        <f t="shared" si="159"/>
        <v>0</v>
      </c>
      <c r="AF281" s="10">
        <f t="shared" si="159"/>
        <v>0</v>
      </c>
      <c r="AG281" s="10">
        <f t="shared" si="159"/>
        <v>0</v>
      </c>
      <c r="AH281" s="10">
        <f t="shared" si="159"/>
        <v>0</v>
      </c>
      <c r="AI281" s="10">
        <f t="shared" si="159"/>
        <v>0</v>
      </c>
      <c r="AJ281" s="10">
        <f t="shared" si="159"/>
        <v>0</v>
      </c>
      <c r="AK281" s="10">
        <f t="shared" si="159"/>
        <v>0</v>
      </c>
      <c r="AL281" s="10">
        <f t="shared" si="159"/>
        <v>0</v>
      </c>
      <c r="AM281" s="10">
        <f t="shared" si="159"/>
        <v>0</v>
      </c>
      <c r="AN281" s="27">
        <f t="shared" si="159"/>
        <v>0</v>
      </c>
      <c r="AO281" s="28" t="e">
        <f>SUMIF('[3]2025B and 2025F Details'!$AU:$AU,AP281,'[3]2025B and 2025F Details'!$BH:$BH)</f>
        <v>#VALUE!</v>
      </c>
      <c r="AP281" t="s">
        <v>622</v>
      </c>
      <c r="AS281" t="str">
        <f>_xlfn.XLOOKUP(AU281,[2]GAE!HZ:HZ,[2]GAE!IA:IA)</f>
        <v>IS &amp; IT</v>
      </c>
      <c r="AT281" t="str">
        <f>_xlfn.XLOOKUP(AU281,[2]GAE!HZ:HZ,[2]GAE!IB:IB)</f>
        <v>DOE - Repairs &amp; Maint. - IT System &amp; Equipment</v>
      </c>
      <c r="AU281" t="s">
        <v>619</v>
      </c>
      <c r="AV281">
        <v>81124101</v>
      </c>
      <c r="AW281">
        <v>52061109</v>
      </c>
      <c r="AX281" t="str">
        <f>_xlfn.XLOOKUP(AU281,[2]GAE!HZ:HZ,[2]GAE!IF:IF)</f>
        <v>Systems &amp; Applications</v>
      </c>
      <c r="BA281" t="s">
        <v>623</v>
      </c>
      <c r="BF281" t="s">
        <v>624</v>
      </c>
      <c r="BG281" s="37" t="s">
        <v>625</v>
      </c>
      <c r="BH281" s="10">
        <f>SUMIFS('[1]2026'!$K:$K,'[1]2026'!$T:$T,BD281,'[1]2026'!$S:$S,BH$3,'[1]2026'!$P:$P,AU281)</f>
        <v>0</v>
      </c>
      <c r="BI281" s="10">
        <f>SUMIFS('[1]2026'!$K:$K,'[1]2026'!$T:$T,$BD281,'[1]2026'!$S:$S,BI$3,'[1]2026'!$P:$P,$AU281)</f>
        <v>0</v>
      </c>
      <c r="BJ281" s="10">
        <f>SUMIFS('[1]2026'!$K:$K,'[1]2026'!$T:$T,$BD281,'[1]2026'!$S:$S,BJ$3,'[1]2026'!$P:$P,$AU281)</f>
        <v>0</v>
      </c>
      <c r="BK281" s="10">
        <f>SUMIFS('[1]2026'!$K:$K,'[1]2026'!$T:$T,$BD281,'[1]2026'!$S:$S,BK$3,'[1]2026'!$P:$P,$AU281)</f>
        <v>0</v>
      </c>
      <c r="BL281" s="10">
        <f>SUMIFS('[1]2026'!$K:$K,'[1]2026'!$T:$T,$BD281,'[1]2026'!$S:$S,BL$3,'[1]2026'!$P:$P,$AU281)</f>
        <v>0</v>
      </c>
      <c r="BM281" s="10">
        <f>SUMIFS('[1]2026'!$K:$K,'[1]2026'!$T:$T,$BD281,'[1]2026'!$S:$S,BM$3,'[1]2026'!$P:$P,$AU281)</f>
        <v>0</v>
      </c>
      <c r="BN281" s="10">
        <f>SUMIFS('[1]2026'!$K:$K,'[1]2026'!$T:$T,$BD281,'[1]2026'!$S:$S,BN$3,'[1]2026'!$P:$P,$AU281)</f>
        <v>0</v>
      </c>
      <c r="BO281" s="10">
        <f>SUMIFS('[1]2026'!$K:$K,'[1]2026'!$T:$T,$BD281,'[1]2026'!$S:$S,BO$3,'[1]2026'!$P:$P,$AU281)</f>
        <v>0</v>
      </c>
      <c r="BP281" s="6">
        <f t="shared" si="167"/>
        <v>0</v>
      </c>
      <c r="BQ281" s="6">
        <f t="shared" si="167"/>
        <v>0</v>
      </c>
      <c r="BR281" s="6">
        <f t="shared" si="167"/>
        <v>0</v>
      </c>
      <c r="BS281" s="6">
        <f t="shared" si="167"/>
        <v>0</v>
      </c>
      <c r="BT281" s="6">
        <f t="shared" si="162"/>
        <v>0</v>
      </c>
      <c r="BV281" s="6">
        <f t="shared" si="165"/>
        <v>0</v>
      </c>
      <c r="BW281" s="6">
        <f t="shared" si="165"/>
        <v>0</v>
      </c>
      <c r="BX281" s="6">
        <f t="shared" si="165"/>
        <v>0</v>
      </c>
      <c r="BY281" s="6">
        <f t="shared" si="165"/>
        <v>0</v>
      </c>
      <c r="BZ281" s="6">
        <f t="shared" si="165"/>
        <v>0</v>
      </c>
      <c r="CA281" s="6">
        <f t="shared" si="165"/>
        <v>0</v>
      </c>
      <c r="CB281" s="6">
        <f t="shared" si="165"/>
        <v>0</v>
      </c>
      <c r="CC281" s="6">
        <f t="shared" si="165"/>
        <v>0</v>
      </c>
      <c r="CD281" s="6">
        <f t="shared" si="165"/>
        <v>0</v>
      </c>
      <c r="CE281" s="6">
        <f t="shared" si="165"/>
        <v>0</v>
      </c>
      <c r="CF281" s="6">
        <f t="shared" si="165"/>
        <v>0</v>
      </c>
      <c r="CG281" s="6">
        <f t="shared" si="165"/>
        <v>0</v>
      </c>
      <c r="CH281" s="6">
        <f t="shared" si="164"/>
        <v>0</v>
      </c>
    </row>
    <row r="282" spans="1:86" hidden="1" x14ac:dyDescent="0.35">
      <c r="BF282" s="37" t="s">
        <v>1263</v>
      </c>
      <c r="BG282" s="37" t="s">
        <v>1263</v>
      </c>
      <c r="BP282" s="6"/>
      <c r="BQ282" s="6"/>
      <c r="BR282" s="6"/>
      <c r="BS282" s="6"/>
      <c r="BT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>
        <f t="shared" si="164"/>
        <v>0</v>
      </c>
    </row>
    <row r="283" spans="1:86" x14ac:dyDescent="0.35">
      <c r="A283" s="3" t="s">
        <v>626</v>
      </c>
      <c r="B283" s="10">
        <v>380000</v>
      </c>
      <c r="C283" s="10">
        <v>380000</v>
      </c>
      <c r="D283" s="10">
        <v>380000</v>
      </c>
      <c r="E283" s="10">
        <v>380000</v>
      </c>
      <c r="F283" s="10">
        <v>380000</v>
      </c>
      <c r="G283" s="10">
        <v>380000</v>
      </c>
      <c r="H283" s="10">
        <v>380000</v>
      </c>
      <c r="I283" s="10">
        <v>380000</v>
      </c>
      <c r="J283" s="10">
        <v>380000</v>
      </c>
      <c r="K283" s="10">
        <v>380000</v>
      </c>
      <c r="L283" s="10">
        <v>380000</v>
      </c>
      <c r="M283" s="10">
        <v>380000</v>
      </c>
      <c r="N283" s="27">
        <f t="shared" si="140"/>
        <v>4560000</v>
      </c>
      <c r="O283" s="38">
        <v>14995.22654191213</v>
      </c>
      <c r="P283" s="38">
        <v>14995.22654191213</v>
      </c>
      <c r="Q283" s="38">
        <v>14995.22654191213</v>
      </c>
      <c r="R283" s="38">
        <v>14995.22654191213</v>
      </c>
      <c r="S283" s="38">
        <v>14995.22654191213</v>
      </c>
      <c r="T283" s="38">
        <v>14995.22654191213</v>
      </c>
      <c r="U283" s="38">
        <v>14995.22654191213</v>
      </c>
      <c r="V283" s="38">
        <v>14995.22654191213</v>
      </c>
      <c r="W283" s="38">
        <v>14995.22654191213</v>
      </c>
      <c r="X283" s="38">
        <v>14995.22654191213</v>
      </c>
      <c r="Y283" s="38">
        <v>14995.22654191213</v>
      </c>
      <c r="Z283" s="38">
        <v>14995.22654191213</v>
      </c>
      <c r="AA283" s="27">
        <f t="shared" si="141"/>
        <v>179942.71850294553</v>
      </c>
      <c r="AB283" s="10">
        <f t="shared" si="160"/>
        <v>365004.77345808788</v>
      </c>
      <c r="AC283" s="10">
        <f t="shared" si="160"/>
        <v>365004.77345808788</v>
      </c>
      <c r="AD283" s="10">
        <f t="shared" si="159"/>
        <v>365004.77345808788</v>
      </c>
      <c r="AE283" s="10">
        <f t="shared" si="159"/>
        <v>365004.77345808788</v>
      </c>
      <c r="AF283" s="10">
        <f t="shared" si="159"/>
        <v>365004.77345808788</v>
      </c>
      <c r="AG283" s="10">
        <f t="shared" si="159"/>
        <v>365004.77345808788</v>
      </c>
      <c r="AH283" s="10">
        <f t="shared" si="159"/>
        <v>365004.77345808788</v>
      </c>
      <c r="AI283" s="10">
        <f t="shared" si="159"/>
        <v>365004.77345808788</v>
      </c>
      <c r="AJ283" s="10">
        <f t="shared" si="159"/>
        <v>365004.77345808788</v>
      </c>
      <c r="AK283" s="10">
        <f t="shared" si="159"/>
        <v>365004.77345808788</v>
      </c>
      <c r="AL283" s="10">
        <f t="shared" si="159"/>
        <v>365004.77345808788</v>
      </c>
      <c r="AM283" s="10">
        <f t="shared" si="159"/>
        <v>365004.77345808788</v>
      </c>
      <c r="AN283" s="27">
        <f t="shared" si="159"/>
        <v>4380057.2814970547</v>
      </c>
      <c r="AO283" s="28" t="e">
        <f>SUMIF('[3]2025B and 2025F Details'!$AU:$AU,AP283,'[3]2025B and 2025F Details'!$BH:$BH)</f>
        <v>#VALUE!</v>
      </c>
      <c r="AP283" t="s">
        <v>627</v>
      </c>
      <c r="AS283" t="str">
        <f>_xlfn.XLOOKUP(AU283,[2]GAE!HZ:HZ,[2]GAE!IA:IA)</f>
        <v>IS &amp; IT</v>
      </c>
      <c r="AT283" t="str">
        <f>_xlfn.XLOOKUP(AU283,[2]GAE!HZ:HZ,[2]GAE!IB:IB)</f>
        <v>GAE- Systems &amp; Applications</v>
      </c>
      <c r="AU283" t="s">
        <v>593</v>
      </c>
      <c r="AV283">
        <v>80124101</v>
      </c>
      <c r="AW283">
        <v>61711102</v>
      </c>
      <c r="AX283" t="str">
        <f>_xlfn.XLOOKUP(AU283,[2]GAE!HZ:HZ,[2]GAE!IF:IF)</f>
        <v>Systems &amp; Applications</v>
      </c>
      <c r="BC283" t="s">
        <v>52</v>
      </c>
      <c r="BD283" t="s">
        <v>628</v>
      </c>
      <c r="BF283" t="s">
        <v>612</v>
      </c>
      <c r="BG283" s="37" t="s">
        <v>629</v>
      </c>
      <c r="BH283" s="10">
        <f>SUMIFS('[1]2026'!$K:$K,'[1]2026'!$T:$T,BD283,'[1]2026'!$S:$S,BH$3,'[1]2026'!$P:$P,AU283)</f>
        <v>365145.17</v>
      </c>
      <c r="BI283" s="10">
        <f>SUMIFS('[1]2026'!$K:$K,'[1]2026'!$T:$T,$BD283,'[1]2026'!$S:$S,BI$3,'[1]2026'!$P:$P,$AU283)</f>
        <v>365145.17</v>
      </c>
      <c r="BJ283" s="10">
        <f>SUMIFS('[1]2026'!$K:$K,'[1]2026'!$T:$T,$BD283,'[1]2026'!$S:$S,BJ$3,'[1]2026'!$P:$P,$AU283)</f>
        <v>365145.17</v>
      </c>
      <c r="BK283" s="10">
        <f>SUMIFS('[1]2026'!$K:$K,'[1]2026'!$T:$T,$BD283,'[1]2026'!$S:$S,BK$3,'[1]2026'!$P:$P,$AU283)</f>
        <v>365145.17</v>
      </c>
      <c r="BL283" s="10">
        <f>SUMIFS('[1]2026'!$K:$K,'[1]2026'!$T:$T,$BD283,'[1]2026'!$S:$S,BL$3,'[1]2026'!$P:$P,$AU283)</f>
        <v>0</v>
      </c>
      <c r="BM283" s="10">
        <f>SUMIFS('[1]2026'!$K:$K,'[1]2026'!$T:$T,$BD283,'[1]2026'!$S:$S,BM$3,'[1]2026'!$P:$P,$AU283)</f>
        <v>0</v>
      </c>
      <c r="BN283" s="10">
        <f>SUMIFS('[1]2026'!$K:$K,'[1]2026'!$T:$T,$BD283,'[1]2026'!$S:$S,BN$3,'[1]2026'!$P:$P,$AU283)</f>
        <v>0</v>
      </c>
      <c r="BO283" s="10">
        <f>SUMIFS('[1]2026'!$K:$K,'[1]2026'!$T:$T,$BD283,'[1]2026'!$S:$S,BO$3,'[1]2026'!$P:$P,$AU283)</f>
        <v>0</v>
      </c>
      <c r="BP283" s="6">
        <f t="shared" si="166"/>
        <v>0</v>
      </c>
      <c r="BQ283" s="6">
        <f t="shared" si="166"/>
        <v>0</v>
      </c>
      <c r="BR283" s="6">
        <f t="shared" si="166"/>
        <v>0</v>
      </c>
      <c r="BS283" s="6">
        <f t="shared" si="166"/>
        <v>0</v>
      </c>
      <c r="BT283" s="6">
        <f t="shared" si="162"/>
        <v>1460580.68</v>
      </c>
      <c r="BV283" s="6">
        <f t="shared" ref="BV283:CG286" si="168">BH283-AB283</f>
        <v>140.39654191210866</v>
      </c>
      <c r="BW283" s="6">
        <f t="shared" si="168"/>
        <v>140.39654191210866</v>
      </c>
      <c r="BX283" s="6">
        <f t="shared" si="168"/>
        <v>140.39654191210866</v>
      </c>
      <c r="BY283" s="6">
        <f t="shared" si="168"/>
        <v>140.39654191210866</v>
      </c>
      <c r="BZ283" s="6">
        <f t="shared" si="168"/>
        <v>-365004.77345808788</v>
      </c>
      <c r="CA283" s="6">
        <f t="shared" si="168"/>
        <v>-365004.77345808788</v>
      </c>
      <c r="CB283" s="6">
        <f t="shared" si="168"/>
        <v>-365004.77345808788</v>
      </c>
      <c r="CC283" s="6">
        <f t="shared" si="168"/>
        <v>-365004.77345808788</v>
      </c>
      <c r="CD283" s="6">
        <f t="shared" si="168"/>
        <v>-365004.77345808788</v>
      </c>
      <c r="CE283" s="6">
        <f t="shared" si="168"/>
        <v>-365004.77345808788</v>
      </c>
      <c r="CF283" s="6">
        <f t="shared" si="168"/>
        <v>-365004.77345808788</v>
      </c>
      <c r="CG283" s="6">
        <f t="shared" si="168"/>
        <v>-365004.77345808788</v>
      </c>
      <c r="CH283" s="6">
        <f t="shared" si="164"/>
        <v>-2919476.601497055</v>
      </c>
    </row>
    <row r="284" spans="1:86" hidden="1" x14ac:dyDescent="0.35">
      <c r="A284" s="3" t="s">
        <v>630</v>
      </c>
      <c r="B284" s="10">
        <v>110000</v>
      </c>
      <c r="C284" s="10">
        <v>110000</v>
      </c>
      <c r="D284" s="10">
        <v>110000</v>
      </c>
      <c r="E284" s="10">
        <v>110000</v>
      </c>
      <c r="F284" s="10">
        <v>110000</v>
      </c>
      <c r="G284" s="10">
        <v>110000</v>
      </c>
      <c r="H284" s="10">
        <v>110000</v>
      </c>
      <c r="I284" s="10">
        <v>110000</v>
      </c>
      <c r="J284" s="10">
        <v>110000</v>
      </c>
      <c r="K284" s="10">
        <v>110000</v>
      </c>
      <c r="L284" s="10">
        <v>110000</v>
      </c>
      <c r="M284" s="10">
        <v>110000</v>
      </c>
      <c r="N284" s="27">
        <f t="shared" si="140"/>
        <v>1320000</v>
      </c>
      <c r="O284" s="38">
        <v>4340.723472658774</v>
      </c>
      <c r="P284" s="38">
        <v>4340.723472658774</v>
      </c>
      <c r="Q284" s="38">
        <v>4340.723472658774</v>
      </c>
      <c r="R284" s="38">
        <v>4340.723472658774</v>
      </c>
      <c r="S284" s="38">
        <v>4340.723472658774</v>
      </c>
      <c r="T284" s="38">
        <v>4340.723472658774</v>
      </c>
      <c r="U284" s="38">
        <v>4340.723472658774</v>
      </c>
      <c r="V284" s="38">
        <v>4340.723472658774</v>
      </c>
      <c r="W284" s="38">
        <v>4340.723472658774</v>
      </c>
      <c r="X284" s="38">
        <v>4340.723472658774</v>
      </c>
      <c r="Y284" s="38">
        <v>4340.723472658774</v>
      </c>
      <c r="Z284" s="38">
        <v>4340.723472658774</v>
      </c>
      <c r="AA284" s="27">
        <f t="shared" si="141"/>
        <v>52088.681671905302</v>
      </c>
      <c r="AB284" s="10">
        <f t="shared" si="160"/>
        <v>105659.27652734122</v>
      </c>
      <c r="AC284" s="10">
        <f t="shared" si="160"/>
        <v>105659.27652734122</v>
      </c>
      <c r="AD284" s="10">
        <f t="shared" si="159"/>
        <v>105659.27652734122</v>
      </c>
      <c r="AE284" s="10">
        <f t="shared" si="159"/>
        <v>105659.27652734122</v>
      </c>
      <c r="AF284" s="10">
        <f t="shared" si="159"/>
        <v>105659.27652734122</v>
      </c>
      <c r="AG284" s="10">
        <f t="shared" si="159"/>
        <v>105659.27652734122</v>
      </c>
      <c r="AH284" s="10">
        <f t="shared" si="159"/>
        <v>105659.27652734122</v>
      </c>
      <c r="AI284" s="10">
        <f t="shared" si="159"/>
        <v>105659.27652734122</v>
      </c>
      <c r="AJ284" s="10">
        <f t="shared" si="159"/>
        <v>105659.27652734122</v>
      </c>
      <c r="AK284" s="10">
        <f t="shared" si="159"/>
        <v>105659.27652734122</v>
      </c>
      <c r="AL284" s="10">
        <f t="shared" si="159"/>
        <v>105659.27652734122</v>
      </c>
      <c r="AM284" s="10">
        <f t="shared" si="159"/>
        <v>105659.27652734122</v>
      </c>
      <c r="AN284" s="27">
        <f t="shared" si="159"/>
        <v>1267911.3183280947</v>
      </c>
      <c r="AO284" s="28" t="e">
        <f>SUMIF('[3]2025B and 2025F Details'!$AU:$AU,AP284,'[3]2025B and 2025F Details'!$BH:$BH)</f>
        <v>#VALUE!</v>
      </c>
      <c r="AP284" t="s">
        <v>631</v>
      </c>
      <c r="AS284" t="str">
        <f>_xlfn.XLOOKUP(AU284,[2]GAE!HZ:HZ,[2]GAE!IA:IA)</f>
        <v>IS &amp; IT</v>
      </c>
      <c r="AT284" t="str">
        <f>_xlfn.XLOOKUP(AU284,[2]GAE!HZ:HZ,[2]GAE!IB:IB)</f>
        <v>DOE - Systems and Applications</v>
      </c>
      <c r="AU284" t="s">
        <v>594</v>
      </c>
      <c r="AV284">
        <v>81124101</v>
      </c>
      <c r="AW284">
        <v>52952103</v>
      </c>
      <c r="AX284" t="str">
        <f>_xlfn.XLOOKUP(AU284,[2]GAE!HZ:HZ,[2]GAE!IF:IF)</f>
        <v>Systems &amp; Applications</v>
      </c>
      <c r="BC284" t="s">
        <v>52</v>
      </c>
      <c r="BD284" t="s">
        <v>628</v>
      </c>
      <c r="BF284" t="s">
        <v>612</v>
      </c>
      <c r="BG284" s="37" t="s">
        <v>629</v>
      </c>
      <c r="BH284" s="10">
        <f>SUMIFS('[1]2026'!$K:$K,'[1]2026'!$T:$T,BD284,'[1]2026'!$S:$S,BH$3,'[1]2026'!$P:$P,AU284)</f>
        <v>117682.35</v>
      </c>
      <c r="BI284" s="10">
        <f>SUMIFS('[1]2026'!$K:$K,'[1]2026'!$T:$T,$BD284,'[1]2026'!$S:$S,BI$3,'[1]2026'!$P:$P,$AU284)</f>
        <v>117682.35</v>
      </c>
      <c r="BJ284" s="10">
        <f>SUMIFS('[1]2026'!$K:$K,'[1]2026'!$T:$T,$BD284,'[1]2026'!$S:$S,BJ$3,'[1]2026'!$P:$P,$AU284)</f>
        <v>117682.35</v>
      </c>
      <c r="BK284" s="10">
        <f>SUMIFS('[1]2026'!$K:$K,'[1]2026'!$T:$T,$BD284,'[1]2026'!$S:$S,BK$3,'[1]2026'!$P:$P,$AU284)</f>
        <v>117682.35</v>
      </c>
      <c r="BL284" s="10">
        <f>SUMIFS('[1]2026'!$K:$K,'[1]2026'!$T:$T,$BD284,'[1]2026'!$S:$S,BL$3,'[1]2026'!$P:$P,$AU284)</f>
        <v>0</v>
      </c>
      <c r="BM284" s="10">
        <f>SUMIFS('[1]2026'!$K:$K,'[1]2026'!$T:$T,$BD284,'[1]2026'!$S:$S,BM$3,'[1]2026'!$P:$P,$AU284)</f>
        <v>895014.42</v>
      </c>
      <c r="BN284" s="10">
        <f>SUMIFS('[1]2026'!$K:$K,'[1]2026'!$T:$T,$BD284,'[1]2026'!$S:$S,BN$3,'[1]2026'!$P:$P,$AU284)</f>
        <v>447507.21</v>
      </c>
      <c r="BO284" s="10">
        <f>SUMIFS('[1]2026'!$K:$K,'[1]2026'!$T:$T,$BD284,'[1]2026'!$S:$S,BO$3,'[1]2026'!$P:$P,$AU284)</f>
        <v>447507.21</v>
      </c>
      <c r="BP284" s="6">
        <v>447507.21</v>
      </c>
      <c r="BQ284" s="6">
        <v>447507.21</v>
      </c>
      <c r="BR284" s="6">
        <v>447507.21</v>
      </c>
      <c r="BS284" s="6">
        <v>447507.21</v>
      </c>
      <c r="BT284" s="6">
        <f t="shared" si="162"/>
        <v>4050787.08</v>
      </c>
      <c r="BV284" s="6">
        <f t="shared" si="168"/>
        <v>12023.073472658783</v>
      </c>
      <c r="BW284" s="6">
        <f t="shared" si="168"/>
        <v>12023.073472658783</v>
      </c>
      <c r="BX284" s="6">
        <f t="shared" si="168"/>
        <v>12023.073472658783</v>
      </c>
      <c r="BY284" s="6">
        <f t="shared" si="168"/>
        <v>12023.073472658783</v>
      </c>
      <c r="BZ284" s="6">
        <f t="shared" si="168"/>
        <v>-105659.27652734122</v>
      </c>
      <c r="CA284" s="6">
        <f t="shared" si="168"/>
        <v>789355.14347265882</v>
      </c>
      <c r="CB284" s="6">
        <f t="shared" si="168"/>
        <v>341847.9334726588</v>
      </c>
      <c r="CC284" s="6">
        <f t="shared" si="168"/>
        <v>341847.9334726588</v>
      </c>
      <c r="CD284" s="6">
        <f t="shared" si="168"/>
        <v>341847.9334726588</v>
      </c>
      <c r="CE284" s="6">
        <f t="shared" si="168"/>
        <v>341847.9334726588</v>
      </c>
      <c r="CF284" s="6">
        <f t="shared" si="168"/>
        <v>341847.9334726588</v>
      </c>
      <c r="CG284" s="6">
        <f t="shared" si="168"/>
        <v>341847.9334726588</v>
      </c>
      <c r="CH284" s="6">
        <f t="shared" si="164"/>
        <v>2782875.7616719054</v>
      </c>
    </row>
    <row r="285" spans="1:86" x14ac:dyDescent="0.35">
      <c r="A285" s="3" t="s">
        <v>632</v>
      </c>
      <c r="B285" s="10">
        <v>100000</v>
      </c>
      <c r="C285" s="10">
        <v>100000</v>
      </c>
      <c r="D285" s="10">
        <v>100000</v>
      </c>
      <c r="E285" s="10">
        <v>100000</v>
      </c>
      <c r="F285" s="10">
        <v>100000</v>
      </c>
      <c r="G285" s="10">
        <v>100000</v>
      </c>
      <c r="H285" s="10">
        <v>100000</v>
      </c>
      <c r="I285" s="10">
        <v>100000</v>
      </c>
      <c r="J285" s="10">
        <v>100000</v>
      </c>
      <c r="K285" s="10">
        <v>100000</v>
      </c>
      <c r="L285" s="10">
        <v>100000</v>
      </c>
      <c r="M285" s="10">
        <v>100000</v>
      </c>
      <c r="N285" s="27">
        <f t="shared" si="140"/>
        <v>1200000</v>
      </c>
      <c r="O285" s="38">
        <v>3946.1122478716129</v>
      </c>
      <c r="P285" s="38">
        <v>3946.1122478716129</v>
      </c>
      <c r="Q285" s="38">
        <v>3946.1122478716129</v>
      </c>
      <c r="R285" s="38">
        <v>3946.1122478716129</v>
      </c>
      <c r="S285" s="38">
        <v>3946.1122478716129</v>
      </c>
      <c r="T285" s="38">
        <v>3946.1122478716129</v>
      </c>
      <c r="U285" s="38">
        <v>3946.1122478716129</v>
      </c>
      <c r="V285" s="38">
        <v>3946.1122478716129</v>
      </c>
      <c r="W285" s="38">
        <v>3946.1122478716129</v>
      </c>
      <c r="X285" s="38">
        <v>3946.1122478716129</v>
      </c>
      <c r="Y285" s="38">
        <v>3946.1122478716129</v>
      </c>
      <c r="Z285" s="38">
        <v>3946.1122478716129</v>
      </c>
      <c r="AA285" s="27">
        <f t="shared" si="141"/>
        <v>47353.346974459353</v>
      </c>
      <c r="AB285" s="10">
        <f t="shared" si="160"/>
        <v>96053.887752128387</v>
      </c>
      <c r="AC285" s="10">
        <f t="shared" si="160"/>
        <v>96053.887752128387</v>
      </c>
      <c r="AD285" s="10">
        <f t="shared" si="159"/>
        <v>96053.887752128387</v>
      </c>
      <c r="AE285" s="10">
        <f t="shared" si="159"/>
        <v>96053.887752128387</v>
      </c>
      <c r="AF285" s="10">
        <f t="shared" si="159"/>
        <v>96053.887752128387</v>
      </c>
      <c r="AG285" s="10">
        <f t="shared" si="159"/>
        <v>96053.887752128387</v>
      </c>
      <c r="AH285" s="10">
        <f t="shared" si="159"/>
        <v>96053.887752128387</v>
      </c>
      <c r="AI285" s="10">
        <f t="shared" si="159"/>
        <v>96053.887752128387</v>
      </c>
      <c r="AJ285" s="10">
        <f t="shared" si="159"/>
        <v>96053.887752128387</v>
      </c>
      <c r="AK285" s="10">
        <f t="shared" si="159"/>
        <v>96053.887752128387</v>
      </c>
      <c r="AL285" s="10">
        <f t="shared" si="159"/>
        <v>96053.887752128387</v>
      </c>
      <c r="AM285" s="10">
        <f t="shared" si="159"/>
        <v>96053.887752128387</v>
      </c>
      <c r="AN285" s="27">
        <f t="shared" si="159"/>
        <v>1152646.6530255408</v>
      </c>
      <c r="AO285" s="28" t="e">
        <f>SUMIF('[3]2025B and 2025F Details'!$AU:$AU,AP285,'[3]2025B and 2025F Details'!$BH:$BH)</f>
        <v>#VALUE!</v>
      </c>
      <c r="AP285" t="s">
        <v>633</v>
      </c>
      <c r="AS285" t="str">
        <f>_xlfn.XLOOKUP(AU285,[2]GAE!HZ:HZ,[2]GAE!IA:IA)</f>
        <v>IS &amp; IT</v>
      </c>
      <c r="AT285" t="str">
        <f>_xlfn.XLOOKUP(AU285,[2]GAE!HZ:HZ,[2]GAE!IB:IB)</f>
        <v>GAE- Systems &amp; Applications</v>
      </c>
      <c r="AU285" t="s">
        <v>593</v>
      </c>
      <c r="AV285">
        <v>80124101</v>
      </c>
      <c r="AW285">
        <v>61711102</v>
      </c>
      <c r="AX285" t="str">
        <f>_xlfn.XLOOKUP(AU285,[2]GAE!HZ:HZ,[2]GAE!IF:IF)</f>
        <v>Systems &amp; Applications</v>
      </c>
      <c r="BC285" t="s">
        <v>53</v>
      </c>
      <c r="BD285" t="s">
        <v>634</v>
      </c>
      <c r="BF285" t="s">
        <v>612</v>
      </c>
      <c r="BG285" s="2" t="s">
        <v>53</v>
      </c>
      <c r="BH285" s="10">
        <f>SUMIFS('[1]2026'!$K:$K,'[1]2026'!$T:$T,BD285,'[1]2026'!$S:$S,BH$3,'[1]2026'!$P:$P,AU285)</f>
        <v>87944.48</v>
      </c>
      <c r="BI285" s="10">
        <f>SUMIFS('[1]2026'!$K:$K,'[1]2026'!$T:$T,$BD285,'[1]2026'!$S:$S,BI$3,'[1]2026'!$P:$P,$AU285)</f>
        <v>87944.5</v>
      </c>
      <c r="BJ285" s="10">
        <f>SUMIFS('[1]2026'!$K:$K,'[1]2026'!$T:$T,$BD285,'[1]2026'!$S:$S,BJ$3,'[1]2026'!$P:$P,$AU285)</f>
        <v>87944.49</v>
      </c>
      <c r="BK285" s="10">
        <f>SUMIFS('[1]2026'!$K:$K,'[1]2026'!$T:$T,$BD285,'[1]2026'!$S:$S,BK$3,'[1]2026'!$P:$P,$AU285)</f>
        <v>87944.49</v>
      </c>
      <c r="BL285" s="10">
        <f>SUMIFS('[1]2026'!$K:$K,'[1]2026'!$T:$T,$BD285,'[1]2026'!$S:$S,BL$3,'[1]2026'!$P:$P,$AU285)</f>
        <v>424720.45999999996</v>
      </c>
      <c r="BM285" s="10">
        <f>SUMIFS('[1]2026'!$K:$K,'[1]2026'!$T:$T,$BD285,'[1]2026'!$S:$S,BM$3,'[1]2026'!$P:$P,$AU285)</f>
        <v>-274113.12</v>
      </c>
      <c r="BN285" s="10">
        <f>SUMIFS('[1]2026'!$K:$K,'[1]2026'!$T:$T,$BD285,'[1]2026'!$S:$S,BN$3,'[1]2026'!$P:$P,$AU285)</f>
        <v>91032.05</v>
      </c>
      <c r="BO285" s="10">
        <f>SUMIFS('[1]2026'!$K:$K,'[1]2026'!$T:$T,$BD285,'[1]2026'!$S:$S,BO$3,'[1]2026'!$P:$P,$AU285)</f>
        <v>91032.05</v>
      </c>
      <c r="BP285" s="6">
        <v>91032.05</v>
      </c>
      <c r="BQ285" s="6">
        <v>91032.05</v>
      </c>
      <c r="BR285" s="6">
        <v>91032.05</v>
      </c>
      <c r="BS285" s="6">
        <v>91032.05</v>
      </c>
      <c r="BT285" s="6">
        <f t="shared" si="162"/>
        <v>1048577.6000000001</v>
      </c>
      <c r="BV285" s="6">
        <f t="shared" si="168"/>
        <v>-8109.4077521283907</v>
      </c>
      <c r="BW285" s="6">
        <f t="shared" si="168"/>
        <v>-8109.3877521283866</v>
      </c>
      <c r="BX285" s="6">
        <f t="shared" si="168"/>
        <v>-8109.3977521283814</v>
      </c>
      <c r="BY285" s="6">
        <f t="shared" si="168"/>
        <v>-8109.3977521283814</v>
      </c>
      <c r="BZ285" s="6">
        <f t="shared" si="168"/>
        <v>328666.57224787155</v>
      </c>
      <c r="CA285" s="6">
        <f t="shared" si="168"/>
        <v>-370167.00775212841</v>
      </c>
      <c r="CB285" s="6">
        <f t="shared" si="168"/>
        <v>-5021.8377521283837</v>
      </c>
      <c r="CC285" s="6">
        <f t="shared" si="168"/>
        <v>-5021.8377521283837</v>
      </c>
      <c r="CD285" s="6">
        <f t="shared" si="168"/>
        <v>-5021.8377521283837</v>
      </c>
      <c r="CE285" s="6">
        <f t="shared" si="168"/>
        <v>-5021.8377521283837</v>
      </c>
      <c r="CF285" s="6">
        <f t="shared" si="168"/>
        <v>-5021.8377521283837</v>
      </c>
      <c r="CG285" s="6">
        <f t="shared" si="168"/>
        <v>-5021.8377521283837</v>
      </c>
      <c r="CH285" s="6">
        <f t="shared" si="164"/>
        <v>-104069.05302554066</v>
      </c>
    </row>
    <row r="286" spans="1:86" x14ac:dyDescent="0.35">
      <c r="A286" s="3" t="s">
        <v>635</v>
      </c>
      <c r="B286" s="10">
        <v>21000</v>
      </c>
      <c r="C286" s="10">
        <v>21000</v>
      </c>
      <c r="D286" s="10">
        <v>21000</v>
      </c>
      <c r="E286" s="10">
        <v>21000</v>
      </c>
      <c r="F286" s="10">
        <v>21000</v>
      </c>
      <c r="G286" s="10">
        <v>21000</v>
      </c>
      <c r="H286" s="10">
        <v>21000</v>
      </c>
      <c r="I286" s="10">
        <v>21000</v>
      </c>
      <c r="J286" s="10">
        <v>21000</v>
      </c>
      <c r="K286" s="10">
        <v>21000</v>
      </c>
      <c r="L286" s="10">
        <v>21000</v>
      </c>
      <c r="M286" s="10">
        <v>21000</v>
      </c>
      <c r="N286" s="27">
        <f t="shared" si="140"/>
        <v>252000</v>
      </c>
      <c r="O286" s="38">
        <v>828.68357205303857</v>
      </c>
      <c r="P286" s="38">
        <v>828.68357205303857</v>
      </c>
      <c r="Q286" s="38">
        <v>828.68357205303857</v>
      </c>
      <c r="R286" s="38">
        <v>828.68357205303857</v>
      </c>
      <c r="S286" s="38">
        <v>828.68357205303857</v>
      </c>
      <c r="T286" s="38">
        <v>828.68357205303857</v>
      </c>
      <c r="U286" s="38">
        <v>828.68357205303857</v>
      </c>
      <c r="V286" s="38">
        <v>828.68357205303857</v>
      </c>
      <c r="W286" s="38">
        <v>828.68357205303857</v>
      </c>
      <c r="X286" s="38">
        <v>828.68357205303857</v>
      </c>
      <c r="Y286" s="38">
        <v>828.68357205303857</v>
      </c>
      <c r="Z286" s="38">
        <v>828.68357205303857</v>
      </c>
      <c r="AA286" s="27">
        <f t="shared" si="141"/>
        <v>9944.2028646364633</v>
      </c>
      <c r="AB286" s="10">
        <f t="shared" si="160"/>
        <v>20171.31642794696</v>
      </c>
      <c r="AC286" s="10">
        <f t="shared" si="160"/>
        <v>20171.31642794696</v>
      </c>
      <c r="AD286" s="10">
        <f t="shared" si="159"/>
        <v>20171.31642794696</v>
      </c>
      <c r="AE286" s="10">
        <f t="shared" si="159"/>
        <v>20171.31642794696</v>
      </c>
      <c r="AF286" s="10">
        <f t="shared" si="159"/>
        <v>20171.31642794696</v>
      </c>
      <c r="AG286" s="10">
        <f t="shared" si="159"/>
        <v>20171.31642794696</v>
      </c>
      <c r="AH286" s="10">
        <f t="shared" si="159"/>
        <v>20171.31642794696</v>
      </c>
      <c r="AI286" s="10">
        <f t="shared" si="159"/>
        <v>20171.31642794696</v>
      </c>
      <c r="AJ286" s="10">
        <f t="shared" si="159"/>
        <v>20171.31642794696</v>
      </c>
      <c r="AK286" s="10">
        <f t="shared" si="159"/>
        <v>20171.31642794696</v>
      </c>
      <c r="AL286" s="10">
        <f t="shared" si="159"/>
        <v>20171.31642794696</v>
      </c>
      <c r="AM286" s="10">
        <f t="shared" si="159"/>
        <v>20171.31642794696</v>
      </c>
      <c r="AN286" s="27">
        <f t="shared" si="159"/>
        <v>242055.79713536354</v>
      </c>
      <c r="AO286" s="28" t="e">
        <f>SUMIF('[3]2025B and 2025F Details'!$AU:$AU,AP286,'[3]2025B and 2025F Details'!$BH:$BH)</f>
        <v>#VALUE!</v>
      </c>
      <c r="AP286" t="s">
        <v>636</v>
      </c>
      <c r="AS286" t="str">
        <f>_xlfn.XLOOKUP(AU286,[2]GAE!HZ:HZ,[2]GAE!IA:IA)</f>
        <v>IS &amp; IT</v>
      </c>
      <c r="AT286" t="str">
        <f>_xlfn.XLOOKUP(AU286,[2]GAE!HZ:HZ,[2]GAE!IB:IB)</f>
        <v>GAE- Systems &amp; Applications</v>
      </c>
      <c r="AU286" t="s">
        <v>593</v>
      </c>
      <c r="AV286">
        <v>80124101</v>
      </c>
      <c r="AW286">
        <v>61711102</v>
      </c>
      <c r="AX286" t="str">
        <f>_xlfn.XLOOKUP(AU286,[2]GAE!HZ:HZ,[2]GAE!IF:IF)</f>
        <v>Systems &amp; Applications</v>
      </c>
      <c r="BC286" t="s">
        <v>54</v>
      </c>
      <c r="BD286" t="s">
        <v>637</v>
      </c>
      <c r="BF286" t="s">
        <v>612</v>
      </c>
      <c r="BG286" s="37" t="s">
        <v>54</v>
      </c>
      <c r="BH286" s="10">
        <f>SUMIFS('[1]2026'!$K:$K,'[1]2026'!$T:$T,BD286,'[1]2026'!$S:$S,BH$3,'[1]2026'!$P:$P,AU286)</f>
        <v>20571.43</v>
      </c>
      <c r="BI286" s="10">
        <f>SUMIFS('[1]2026'!$K:$K,'[1]2026'!$T:$T,$BD286,'[1]2026'!$S:$S,BI$3,'[1]2026'!$P:$P,$AU286)</f>
        <v>10285.709999999999</v>
      </c>
      <c r="BJ286" s="10">
        <f>SUMIFS('[1]2026'!$K:$K,'[1]2026'!$T:$T,$BD286,'[1]2026'!$S:$S,BJ$3,'[1]2026'!$P:$P,$AU286)</f>
        <v>0</v>
      </c>
      <c r="BK286" s="10">
        <f>SUMIFS('[1]2026'!$K:$K,'[1]2026'!$T:$T,$BD286,'[1]2026'!$S:$S,BK$3,'[1]2026'!$P:$P,$AU286)</f>
        <v>0</v>
      </c>
      <c r="BL286" s="10">
        <f>SUMIFS('[1]2026'!$K:$K,'[1]2026'!$T:$T,$BD286,'[1]2026'!$S:$S,BL$3,'[1]2026'!$P:$P,$AU286)</f>
        <v>0</v>
      </c>
      <c r="BM286" s="10">
        <f>SUMIFS('[1]2026'!$K:$K,'[1]2026'!$T:$T,$BD286,'[1]2026'!$S:$S,BM$3,'[1]2026'!$P:$P,$AU286)</f>
        <v>0</v>
      </c>
      <c r="BN286" s="10">
        <f>SUMIFS('[1]2026'!$K:$K,'[1]2026'!$T:$T,$BD286,'[1]2026'!$S:$S,BN$3,'[1]2026'!$P:$P,$AU286)</f>
        <v>0</v>
      </c>
      <c r="BO286" s="10">
        <f>SUMIFS('[1]2026'!$K:$K,'[1]2026'!$T:$T,$BD286,'[1]2026'!$S:$S,BO$3,'[1]2026'!$P:$P,$AU286)</f>
        <v>0</v>
      </c>
      <c r="BP286" s="6">
        <f t="shared" ref="BP286:BS286" si="169">BO286</f>
        <v>0</v>
      </c>
      <c r="BQ286" s="6">
        <f t="shared" si="169"/>
        <v>0</v>
      </c>
      <c r="BR286" s="6">
        <f t="shared" si="169"/>
        <v>0</v>
      </c>
      <c r="BS286" s="6">
        <f t="shared" si="169"/>
        <v>0</v>
      </c>
      <c r="BT286" s="6">
        <f t="shared" si="162"/>
        <v>30857.14</v>
      </c>
      <c r="BV286" s="6">
        <f t="shared" si="168"/>
        <v>400.11357205304012</v>
      </c>
      <c r="BW286" s="6">
        <f t="shared" si="168"/>
        <v>-9885.606427946961</v>
      </c>
      <c r="BX286" s="6">
        <f t="shared" si="168"/>
        <v>-20171.31642794696</v>
      </c>
      <c r="BY286" s="6">
        <f t="shared" si="168"/>
        <v>-20171.31642794696</v>
      </c>
      <c r="BZ286" s="6">
        <f t="shared" si="168"/>
        <v>-20171.31642794696</v>
      </c>
      <c r="CA286" s="6">
        <f t="shared" si="168"/>
        <v>-20171.31642794696</v>
      </c>
      <c r="CB286" s="6">
        <f t="shared" si="168"/>
        <v>-20171.31642794696</v>
      </c>
      <c r="CC286" s="6">
        <f t="shared" si="168"/>
        <v>-20171.31642794696</v>
      </c>
      <c r="CD286" s="6">
        <f t="shared" si="168"/>
        <v>-20171.31642794696</v>
      </c>
      <c r="CE286" s="6">
        <f t="shared" si="168"/>
        <v>-20171.31642794696</v>
      </c>
      <c r="CF286" s="6">
        <f t="shared" si="168"/>
        <v>-20171.31642794696</v>
      </c>
      <c r="CG286" s="6">
        <f t="shared" si="168"/>
        <v>-20171.31642794696</v>
      </c>
      <c r="CH286" s="6">
        <f t="shared" si="164"/>
        <v>-211198.65713536355</v>
      </c>
    </row>
    <row r="287" spans="1:86" hidden="1" x14ac:dyDescent="0.35">
      <c r="A287" t="s">
        <v>637</v>
      </c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N287" s="27">
        <f>N287-AA287</f>
        <v>0</v>
      </c>
      <c r="AS287" t="str">
        <f>_xlfn.XLOOKUP(AU287,[2]GAE!HZ:HZ,[2]GAE!IA:IA)</f>
        <v>IS &amp; IT</v>
      </c>
      <c r="AT287" t="str">
        <f>_xlfn.XLOOKUP(AU287,[2]GAE!HZ:HZ,[2]GAE!IB:IB)</f>
        <v>DOE - Systems and Applications</v>
      </c>
      <c r="AU287" t="s">
        <v>594</v>
      </c>
      <c r="AV287">
        <v>81124101</v>
      </c>
      <c r="AW287">
        <v>52952103</v>
      </c>
      <c r="AX287" t="str">
        <f>_xlfn.XLOOKUP(AU287,[2]GAE!HZ:HZ,[2]GAE!IF:IF)</f>
        <v>Systems &amp; Applications</v>
      </c>
      <c r="BC287" t="s">
        <v>54</v>
      </c>
      <c r="BD287" t="s">
        <v>637</v>
      </c>
      <c r="BF287" t="s">
        <v>612</v>
      </c>
      <c r="BG287" s="37" t="s">
        <v>54</v>
      </c>
      <c r="BK287" s="10">
        <f>SUMIFS('[1]2026'!$K:$K,'[1]2026'!$T:$T,$BD287,'[1]2026'!$S:$S,BK$3,'[1]2026'!$P:$P,$AU287)</f>
        <v>187885.71</v>
      </c>
      <c r="BL287" s="10">
        <f>SUMIFS('[1]2026'!$K:$K,'[1]2026'!$T:$T,$BD287,'[1]2026'!$S:$S,BL$3,'[1]2026'!$P:$P,$AU287)</f>
        <v>146133.32999999999</v>
      </c>
      <c r="BM287" s="10">
        <f>SUMIFS('[1]2026'!$K:$K,'[1]2026'!$T:$T,$BD287,'[1]2026'!$S:$S,BM$3,'[1]2026'!$P:$P,$AU287)</f>
        <v>83504.759999999995</v>
      </c>
      <c r="BN287" s="10">
        <f>SUMIFS('[1]2026'!$K:$K,'[1]2026'!$T:$T,$BD287,'[1]2026'!$S:$S,BN$3,'[1]2026'!$P:$P,$AU287)</f>
        <v>83504.759999999995</v>
      </c>
      <c r="BO287" s="10">
        <f>SUMIFS('[1]2026'!$K:$K,'[1]2026'!$T:$T,$BD287,'[1]2026'!$S:$S,BO$3,'[1]2026'!$P:$P,$AU287)</f>
        <v>83504.759999999995</v>
      </c>
      <c r="BP287" s="6">
        <v>83504.759999999995</v>
      </c>
      <c r="BQ287" s="6">
        <v>83504.759999999995</v>
      </c>
      <c r="BR287" s="6">
        <v>83504.759999999995</v>
      </c>
      <c r="BS287" s="6">
        <v>83504.759999999995</v>
      </c>
      <c r="BT287" s="6">
        <f t="shared" si="162"/>
        <v>918552.36</v>
      </c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>
        <f t="shared" si="164"/>
        <v>918552.36</v>
      </c>
    </row>
    <row r="288" spans="1:86" x14ac:dyDescent="0.35">
      <c r="A288" s="3" t="s">
        <v>638</v>
      </c>
      <c r="B288" s="10">
        <v>54166.666666666664</v>
      </c>
      <c r="C288" s="10">
        <v>54166.666666666664</v>
      </c>
      <c r="D288" s="10">
        <v>54166.666666666664</v>
      </c>
      <c r="E288" s="10">
        <v>54166.666666666664</v>
      </c>
      <c r="F288" s="10">
        <v>54166.666666666664</v>
      </c>
      <c r="G288" s="10">
        <v>54166.666666666664</v>
      </c>
      <c r="H288" s="10">
        <v>54166.666666666664</v>
      </c>
      <c r="I288" s="10">
        <v>54166.666666666664</v>
      </c>
      <c r="J288" s="10">
        <v>54166.666666666664</v>
      </c>
      <c r="K288" s="10">
        <v>54166.666666666664</v>
      </c>
      <c r="L288" s="10">
        <v>54166.666666666664</v>
      </c>
      <c r="M288" s="10">
        <v>54166.666666666664</v>
      </c>
      <c r="N288" s="27">
        <f t="shared" si="140"/>
        <v>650000</v>
      </c>
      <c r="O288" s="38">
        <v>2137.4774675971235</v>
      </c>
      <c r="P288" s="38">
        <v>2137.4774675971235</v>
      </c>
      <c r="Q288" s="38">
        <v>2137.4774675971235</v>
      </c>
      <c r="R288" s="38">
        <v>2137.4774675971235</v>
      </c>
      <c r="S288" s="38">
        <v>2137.4774675971235</v>
      </c>
      <c r="T288" s="38">
        <v>2137.4774675971235</v>
      </c>
      <c r="U288" s="38">
        <v>2137.4774675971235</v>
      </c>
      <c r="V288" s="38">
        <v>2137.4774675971235</v>
      </c>
      <c r="W288" s="38">
        <v>2137.4774675971235</v>
      </c>
      <c r="X288" s="38">
        <v>2137.4774675971235</v>
      </c>
      <c r="Y288" s="38">
        <v>2137.4774675971235</v>
      </c>
      <c r="Z288" s="38">
        <v>2137.4774675971235</v>
      </c>
      <c r="AA288" s="27">
        <f t="shared" si="141"/>
        <v>25649.729611165483</v>
      </c>
      <c r="AB288" s="10">
        <f t="shared" si="160"/>
        <v>52029.189199069544</v>
      </c>
      <c r="AC288" s="10">
        <f t="shared" si="160"/>
        <v>52029.189199069544</v>
      </c>
      <c r="AD288" s="10">
        <f t="shared" si="159"/>
        <v>52029.189199069544</v>
      </c>
      <c r="AE288" s="10">
        <f t="shared" si="159"/>
        <v>52029.189199069544</v>
      </c>
      <c r="AF288" s="10">
        <f t="shared" si="159"/>
        <v>52029.189199069544</v>
      </c>
      <c r="AG288" s="10">
        <f t="shared" si="159"/>
        <v>52029.189199069544</v>
      </c>
      <c r="AH288" s="10">
        <f t="shared" si="159"/>
        <v>52029.189199069544</v>
      </c>
      <c r="AI288" s="10">
        <f t="shared" si="159"/>
        <v>52029.189199069544</v>
      </c>
      <c r="AJ288" s="10">
        <f t="shared" si="159"/>
        <v>52029.189199069544</v>
      </c>
      <c r="AK288" s="10">
        <f t="shared" si="159"/>
        <v>52029.189199069544</v>
      </c>
      <c r="AL288" s="10">
        <f t="shared" si="159"/>
        <v>52029.189199069544</v>
      </c>
      <c r="AM288" s="10">
        <f t="shared" si="159"/>
        <v>52029.189199069544</v>
      </c>
      <c r="AN288" s="27">
        <f t="shared" si="159"/>
        <v>624350.27038883453</v>
      </c>
      <c r="AO288" s="28" t="e">
        <f>SUMIF('[3]2025B and 2025F Details'!$AU:$AU,AP288,'[3]2025B and 2025F Details'!$BH:$BH)</f>
        <v>#VALUE!</v>
      </c>
      <c r="AP288" t="s">
        <v>55</v>
      </c>
      <c r="AS288" t="str">
        <f>_xlfn.XLOOKUP(AU288,[2]GAE!HZ:HZ,[2]GAE!IA:IA)</f>
        <v>IS &amp; IT</v>
      </c>
      <c r="AT288" t="str">
        <f>_xlfn.XLOOKUP(AU288,[2]GAE!HZ:HZ,[2]GAE!IB:IB)</f>
        <v>GAE- Systems &amp; Applications</v>
      </c>
      <c r="AU288" t="s">
        <v>593</v>
      </c>
      <c r="AV288">
        <v>80124101</v>
      </c>
      <c r="AW288">
        <v>61711102</v>
      </c>
      <c r="AX288" t="str">
        <f>_xlfn.XLOOKUP(AU288,[2]GAE!HZ:HZ,[2]GAE!IF:IF)</f>
        <v>Systems &amp; Applications</v>
      </c>
      <c r="BC288" t="s">
        <v>56</v>
      </c>
      <c r="BD288" t="s">
        <v>56</v>
      </c>
      <c r="BF288" t="s">
        <v>42</v>
      </c>
      <c r="BG288" s="37" t="s">
        <v>55</v>
      </c>
      <c r="BH288" s="10">
        <f>SUMIFS('[1]2026'!$K:$K,'[1]2026'!$T:$T,BD288,'[1]2026'!$S:$S,BH$3,'[1]2026'!$P:$P,AU288)</f>
        <v>56333.18</v>
      </c>
      <c r="BI288" s="10">
        <f>SUMIFS('[1]2026'!$K:$K,'[1]2026'!$T:$T,$BD288,'[1]2026'!$S:$S,BI$3,'[1]2026'!$P:$P,$AU288)</f>
        <v>56333.18</v>
      </c>
      <c r="BJ288" s="10">
        <f>SUMIFS('[1]2026'!$K:$K,'[1]2026'!$T:$T,$BD288,'[1]2026'!$S:$S,BJ$3,'[1]2026'!$P:$P,$AU288)</f>
        <v>43612.79</v>
      </c>
      <c r="BK288" s="10">
        <f>SUMIFS('[1]2026'!$K:$K,'[1]2026'!$T:$T,$BD288,'[1]2026'!$S:$S,BK$3,'[1]2026'!$P:$P,$AU288)</f>
        <v>0</v>
      </c>
      <c r="BL288" s="10">
        <f>SUMIFS('[1]2026'!$K:$K,'[1]2026'!$T:$T,$BD288,'[1]2026'!$S:$S,BL$3,'[1]2026'!$P:$P,$AU288)</f>
        <v>0</v>
      </c>
      <c r="BM288" s="10">
        <f>SUMIFS('[1]2026'!$K:$K,'[1]2026'!$T:$T,$BD288,'[1]2026'!$S:$S,BM$3,'[1]2026'!$P:$P,$AU288)</f>
        <v>0</v>
      </c>
      <c r="BN288" s="10">
        <f>SUMIFS('[1]2026'!$K:$K,'[1]2026'!$T:$T,$BD288,'[1]2026'!$S:$S,BN$3,'[1]2026'!$P:$P,$AU288)</f>
        <v>0</v>
      </c>
      <c r="BO288" s="10">
        <f>SUMIFS('[1]2026'!$K:$K,'[1]2026'!$T:$T,$BD288,'[1]2026'!$S:$S,BO$3,'[1]2026'!$P:$P,$AU288)</f>
        <v>0</v>
      </c>
      <c r="BP288" s="6">
        <v>56333.18</v>
      </c>
      <c r="BQ288" s="6">
        <v>56333.18</v>
      </c>
      <c r="BR288" s="6">
        <v>56333.18</v>
      </c>
      <c r="BS288" s="6">
        <v>56333.18</v>
      </c>
      <c r="BT288" s="6">
        <f t="shared" si="162"/>
        <v>381611.87</v>
      </c>
      <c r="BV288" s="6">
        <f t="shared" ref="BV288:CG294" si="170">BH288-AB288</f>
        <v>4303.9908009304563</v>
      </c>
      <c r="BW288" s="6">
        <f t="shared" si="170"/>
        <v>4303.9908009304563</v>
      </c>
      <c r="BX288" s="6">
        <f t="shared" si="170"/>
        <v>-8416.3991990695431</v>
      </c>
      <c r="BY288" s="6">
        <f t="shared" si="170"/>
        <v>-52029.189199069544</v>
      </c>
      <c r="BZ288" s="6">
        <f t="shared" si="170"/>
        <v>-52029.189199069544</v>
      </c>
      <c r="CA288" s="6">
        <f t="shared" si="170"/>
        <v>-52029.189199069544</v>
      </c>
      <c r="CB288" s="6">
        <f t="shared" si="170"/>
        <v>-52029.189199069544</v>
      </c>
      <c r="CC288" s="6">
        <f t="shared" si="170"/>
        <v>-52029.189199069544</v>
      </c>
      <c r="CD288" s="6">
        <f t="shared" si="170"/>
        <v>4303.9908009304563</v>
      </c>
      <c r="CE288" s="6">
        <f t="shared" si="170"/>
        <v>4303.9908009304563</v>
      </c>
      <c r="CF288" s="6">
        <f t="shared" si="170"/>
        <v>4303.9908009304563</v>
      </c>
      <c r="CG288" s="6">
        <f t="shared" si="170"/>
        <v>4303.9908009304563</v>
      </c>
      <c r="CH288" s="6">
        <f t="shared" si="164"/>
        <v>-242738.40038883453</v>
      </c>
    </row>
    <row r="289" spans="1:86" x14ac:dyDescent="0.35">
      <c r="A289" s="3" t="s">
        <v>639</v>
      </c>
      <c r="B289" s="10">
        <v>133333.33333333334</v>
      </c>
      <c r="C289" s="10">
        <v>133333.33333333334</v>
      </c>
      <c r="D289" s="10">
        <v>133333.33333333334</v>
      </c>
      <c r="E289" s="10">
        <v>133333.33333333334</v>
      </c>
      <c r="F289" s="10">
        <v>133333.33333333334</v>
      </c>
      <c r="G289" s="10">
        <v>133333.33333333334</v>
      </c>
      <c r="H289" s="10">
        <v>133333.33333333334</v>
      </c>
      <c r="I289" s="10">
        <v>133333.33333333334</v>
      </c>
      <c r="J289" s="10">
        <v>133333.33333333334</v>
      </c>
      <c r="K289" s="10">
        <v>133333.33333333334</v>
      </c>
      <c r="L289" s="10">
        <v>133333.33333333334</v>
      </c>
      <c r="M289" s="10">
        <v>133333.33333333334</v>
      </c>
      <c r="N289" s="27">
        <f t="shared" si="140"/>
        <v>1599999.9999999998</v>
      </c>
      <c r="O289" s="38">
        <v>5261.4829971621493</v>
      </c>
      <c r="P289" s="38">
        <v>5261.4829971621493</v>
      </c>
      <c r="Q289" s="38">
        <v>5261.4829971621493</v>
      </c>
      <c r="R289" s="38">
        <v>5261.4829971621493</v>
      </c>
      <c r="S289" s="38">
        <v>5261.4829971621493</v>
      </c>
      <c r="T289" s="38">
        <v>5261.4829971621493</v>
      </c>
      <c r="U289" s="38">
        <v>5261.4829971621493</v>
      </c>
      <c r="V289" s="38">
        <v>5261.4829971621493</v>
      </c>
      <c r="W289" s="38">
        <v>5261.4829971621493</v>
      </c>
      <c r="X289" s="38">
        <v>5261.4829971621493</v>
      </c>
      <c r="Y289" s="38">
        <v>5261.4829971621493</v>
      </c>
      <c r="Z289" s="38">
        <v>5261.4829971621493</v>
      </c>
      <c r="AA289" s="27">
        <f t="shared" si="141"/>
        <v>63137.795965945807</v>
      </c>
      <c r="AB289" s="10">
        <f t="shared" si="160"/>
        <v>128071.85033617119</v>
      </c>
      <c r="AC289" s="10">
        <f t="shared" si="160"/>
        <v>128071.85033617119</v>
      </c>
      <c r="AD289" s="10">
        <f t="shared" si="159"/>
        <v>128071.85033617119</v>
      </c>
      <c r="AE289" s="10">
        <f t="shared" si="159"/>
        <v>128071.85033617119</v>
      </c>
      <c r="AF289" s="10">
        <f t="shared" si="159"/>
        <v>128071.85033617119</v>
      </c>
      <c r="AG289" s="10">
        <f t="shared" si="159"/>
        <v>128071.85033617119</v>
      </c>
      <c r="AH289" s="10">
        <f t="shared" si="159"/>
        <v>128071.85033617119</v>
      </c>
      <c r="AI289" s="10">
        <f t="shared" si="159"/>
        <v>128071.85033617119</v>
      </c>
      <c r="AJ289" s="10">
        <f t="shared" si="159"/>
        <v>128071.85033617119</v>
      </c>
      <c r="AK289" s="10">
        <f t="shared" si="159"/>
        <v>128071.85033617119</v>
      </c>
      <c r="AL289" s="10">
        <f t="shared" si="159"/>
        <v>128071.85033617119</v>
      </c>
      <c r="AM289" s="10">
        <f t="shared" si="159"/>
        <v>128071.85033617119</v>
      </c>
      <c r="AN289" s="27">
        <f t="shared" si="159"/>
        <v>1536862.204034054</v>
      </c>
      <c r="AO289" s="28" t="e">
        <f>SUMIF('[3]2025B and 2025F Details'!$AU:$AU,AP289,'[3]2025B and 2025F Details'!$BH:$BH)</f>
        <v>#VALUE!</v>
      </c>
      <c r="AP289" t="s">
        <v>640</v>
      </c>
      <c r="AS289" t="str">
        <f>_xlfn.XLOOKUP(AU289,[2]GAE!HZ:HZ,[2]GAE!IA:IA)</f>
        <v>IS &amp; IT</v>
      </c>
      <c r="AT289" t="str">
        <f>_xlfn.XLOOKUP(AU289,[2]GAE!HZ:HZ,[2]GAE!IB:IB)</f>
        <v>GAE- Systems &amp; Applications</v>
      </c>
      <c r="AU289" t="s">
        <v>593</v>
      </c>
      <c r="AV289">
        <v>80124101</v>
      </c>
      <c r="AW289">
        <v>61711102</v>
      </c>
      <c r="AX289" t="str">
        <f>_xlfn.XLOOKUP(AU289,[2]GAE!HZ:HZ,[2]GAE!IF:IF)</f>
        <v>Systems &amp; Applications</v>
      </c>
      <c r="BC289" t="s">
        <v>57</v>
      </c>
      <c r="BD289" t="s">
        <v>641</v>
      </c>
      <c r="BF289" t="s">
        <v>609</v>
      </c>
      <c r="BG289" s="37" t="s">
        <v>57</v>
      </c>
      <c r="BH289" s="10">
        <f>SUMIFS('[1]2026'!$K:$K,'[1]2026'!$T:$T,BD289,'[1]2026'!$S:$S,BH$3,'[1]2026'!$P:$P,AU289)</f>
        <v>117708.11</v>
      </c>
      <c r="BI289" s="10">
        <f>SUMIFS('[1]2026'!$K:$K,'[1]2026'!$T:$T,$BD289,'[1]2026'!$S:$S,BI$3,'[1]2026'!$P:$P,$AU289)</f>
        <v>117708.11</v>
      </c>
      <c r="BJ289" s="10">
        <f>SUMIFS('[1]2026'!$K:$K,'[1]2026'!$T:$T,$BD289,'[1]2026'!$S:$S,BJ$3,'[1]2026'!$P:$P,$AU289)</f>
        <v>117708.11</v>
      </c>
      <c r="BK289" s="10">
        <f>SUMIFS('[1]2026'!$K:$K,'[1]2026'!$T:$T,$BD289,'[1]2026'!$S:$S,BK$3,'[1]2026'!$P:$P,$AU289)</f>
        <v>117708.11</v>
      </c>
      <c r="BL289" s="10">
        <f>SUMIFS('[1]2026'!$K:$K,'[1]2026'!$T:$T,$BD289,'[1]2026'!$S:$S,BL$3,'[1]2026'!$P:$P,$AU289)</f>
        <v>117708.11</v>
      </c>
      <c r="BM289" s="10">
        <f>SUMIFS('[1]2026'!$K:$K,'[1]2026'!$T:$T,$BD289,'[1]2026'!$S:$S,BM$3,'[1]2026'!$P:$P,$AU289)</f>
        <v>98090.09</v>
      </c>
      <c r="BN289" s="10">
        <f>SUMIFS('[1]2026'!$K:$K,'[1]2026'!$T:$T,$BD289,'[1]2026'!$S:$S,BN$3,'[1]2026'!$P:$P,$AU289)</f>
        <v>122908.59</v>
      </c>
      <c r="BO289" s="10">
        <f>SUMIFS('[1]2026'!$K:$K,'[1]2026'!$T:$T,$BD289,'[1]2026'!$S:$S,BO$3,'[1]2026'!$P:$P,$AU289)</f>
        <v>122908.59</v>
      </c>
      <c r="BP289" s="6">
        <v>117708.11</v>
      </c>
      <c r="BQ289" s="6">
        <v>117708.11</v>
      </c>
      <c r="BR289" s="6">
        <v>117708.11</v>
      </c>
      <c r="BS289" s="6">
        <v>117708.11</v>
      </c>
      <c r="BT289" s="6">
        <f t="shared" si="162"/>
        <v>1403280.2600000002</v>
      </c>
      <c r="BV289" s="6">
        <f t="shared" si="170"/>
        <v>-10363.740336171191</v>
      </c>
      <c r="BW289" s="6">
        <f t="shared" si="170"/>
        <v>-10363.740336171191</v>
      </c>
      <c r="BX289" s="6">
        <f t="shared" si="170"/>
        <v>-10363.740336171191</v>
      </c>
      <c r="BY289" s="6">
        <f t="shared" si="170"/>
        <v>-10363.740336171191</v>
      </c>
      <c r="BZ289" s="6">
        <f t="shared" si="170"/>
        <v>-10363.740336171191</v>
      </c>
      <c r="CA289" s="6">
        <f t="shared" si="170"/>
        <v>-29981.760336171195</v>
      </c>
      <c r="CB289" s="6">
        <f t="shared" si="170"/>
        <v>-5163.2603361711954</v>
      </c>
      <c r="CC289" s="6">
        <f t="shared" si="170"/>
        <v>-5163.2603361711954</v>
      </c>
      <c r="CD289" s="6">
        <f t="shared" si="170"/>
        <v>-10363.740336171191</v>
      </c>
      <c r="CE289" s="6">
        <f t="shared" si="170"/>
        <v>-10363.740336171191</v>
      </c>
      <c r="CF289" s="6">
        <f t="shared" si="170"/>
        <v>-10363.740336171191</v>
      </c>
      <c r="CG289" s="6">
        <f t="shared" si="170"/>
        <v>-10363.740336171191</v>
      </c>
      <c r="CH289" s="6">
        <f t="shared" si="164"/>
        <v>-133581.94403405371</v>
      </c>
    </row>
    <row r="290" spans="1:86" x14ac:dyDescent="0.35">
      <c r="A290" s="3" t="s">
        <v>642</v>
      </c>
      <c r="B290" s="10">
        <v>100000</v>
      </c>
      <c r="C290" s="10">
        <v>100000</v>
      </c>
      <c r="D290" s="10">
        <v>100000</v>
      </c>
      <c r="E290" s="10">
        <v>100000</v>
      </c>
      <c r="F290" s="10">
        <v>100000</v>
      </c>
      <c r="G290" s="10">
        <v>100000</v>
      </c>
      <c r="H290" s="10">
        <v>100000</v>
      </c>
      <c r="I290" s="10">
        <v>100000</v>
      </c>
      <c r="J290" s="10">
        <v>100000</v>
      </c>
      <c r="K290" s="10">
        <v>100000</v>
      </c>
      <c r="L290" s="10">
        <v>100000</v>
      </c>
      <c r="M290" s="10">
        <v>100000</v>
      </c>
      <c r="N290" s="27">
        <f t="shared" si="140"/>
        <v>1200000</v>
      </c>
      <c r="O290" s="10">
        <v>8333.3333333333339</v>
      </c>
      <c r="P290" s="10">
        <v>8333.3333333333339</v>
      </c>
      <c r="Q290" s="10">
        <v>8333.3333333333339</v>
      </c>
      <c r="R290" s="10">
        <v>8333.3333333333339</v>
      </c>
      <c r="S290" s="10">
        <v>8333.3333333333339</v>
      </c>
      <c r="T290" s="10">
        <v>8333.3333333333339</v>
      </c>
      <c r="U290" s="10">
        <v>8333.3333333333339</v>
      </c>
      <c r="V290" s="10">
        <v>8333.3333333333339</v>
      </c>
      <c r="W290" s="10">
        <v>8333.3333333333339</v>
      </c>
      <c r="X290" s="10">
        <v>8333.3333333333339</v>
      </c>
      <c r="Y290" s="10">
        <v>8333.3333333333339</v>
      </c>
      <c r="Z290" s="10">
        <v>8333.3333333333339</v>
      </c>
      <c r="AA290" s="27">
        <f t="shared" si="141"/>
        <v>99999.999999999985</v>
      </c>
      <c r="AB290" s="10">
        <f t="shared" si="160"/>
        <v>91666.666666666672</v>
      </c>
      <c r="AC290" s="10">
        <f t="shared" si="160"/>
        <v>91666.666666666672</v>
      </c>
      <c r="AD290" s="10">
        <f t="shared" si="159"/>
        <v>91666.666666666672</v>
      </c>
      <c r="AE290" s="10">
        <f t="shared" si="159"/>
        <v>91666.666666666672</v>
      </c>
      <c r="AF290" s="10">
        <f t="shared" si="159"/>
        <v>91666.666666666672</v>
      </c>
      <c r="AG290" s="10">
        <f t="shared" si="159"/>
        <v>91666.666666666672</v>
      </c>
      <c r="AH290" s="10">
        <f t="shared" si="159"/>
        <v>91666.666666666672</v>
      </c>
      <c r="AI290" s="10">
        <f t="shared" si="159"/>
        <v>91666.666666666672</v>
      </c>
      <c r="AJ290" s="10">
        <f t="shared" si="159"/>
        <v>91666.666666666672</v>
      </c>
      <c r="AK290" s="10">
        <f t="shared" si="159"/>
        <v>91666.666666666672</v>
      </c>
      <c r="AL290" s="10">
        <f t="shared" si="159"/>
        <v>91666.666666666672</v>
      </c>
      <c r="AM290" s="10">
        <f t="shared" si="159"/>
        <v>91666.666666666672</v>
      </c>
      <c r="AN290" s="27">
        <f t="shared" si="159"/>
        <v>1100000</v>
      </c>
      <c r="AO290" s="28" t="e">
        <f>SUMIF('[3]2025B and 2025F Details'!$AU:$AU,AP290,'[3]2025B and 2025F Details'!$BH:$BH)</f>
        <v>#VALUE!</v>
      </c>
      <c r="AP290" t="s">
        <v>643</v>
      </c>
      <c r="AS290" t="str">
        <f>_xlfn.XLOOKUP(AU290,[2]GAE!HZ:HZ,[2]GAE!IA:IA)</f>
        <v>IS &amp; IT</v>
      </c>
      <c r="AT290" t="str">
        <f>_xlfn.XLOOKUP(AU290,[2]GAE!HZ:HZ,[2]GAE!IB:IB)</f>
        <v>GAE- Systems &amp; Applications</v>
      </c>
      <c r="AU290" t="s">
        <v>593</v>
      </c>
      <c r="AV290">
        <v>80124101</v>
      </c>
      <c r="AW290">
        <v>61711102</v>
      </c>
      <c r="AX290" t="str">
        <f>_xlfn.XLOOKUP(AU290,[2]GAE!HZ:HZ,[2]GAE!IF:IF)</f>
        <v>Systems &amp; Applications</v>
      </c>
      <c r="BC290" t="s">
        <v>59</v>
      </c>
      <c r="BD290" t="s">
        <v>643</v>
      </c>
      <c r="BF290" t="s">
        <v>609</v>
      </c>
      <c r="BG290" s="37" t="s">
        <v>59</v>
      </c>
      <c r="BH290" s="10">
        <f>SUMIFS('[1]2026'!$K:$K,'[1]2026'!$T:$T,BD290,'[1]2026'!$S:$S,BH$3,'[1]2026'!$P:$P,AU290)</f>
        <v>80512.86</v>
      </c>
      <c r="BI290" s="10">
        <f>SUMIFS('[1]2026'!$K:$K,'[1]2026'!$T:$T,$BD290,'[1]2026'!$S:$S,BI$3,'[1]2026'!$P:$P,$AU290)</f>
        <v>80512.86</v>
      </c>
      <c r="BJ290" s="10">
        <f>SUMIFS('[1]2026'!$K:$K,'[1]2026'!$T:$T,$BD290,'[1]2026'!$S:$S,BJ$3,'[1]2026'!$P:$P,$AU290)</f>
        <v>80512.86</v>
      </c>
      <c r="BK290" s="10">
        <f>SUMIFS('[1]2026'!$K:$K,'[1]2026'!$T:$T,$BD290,'[1]2026'!$S:$S,BK$3,'[1]2026'!$P:$P,$AU290)</f>
        <v>80512.86</v>
      </c>
      <c r="BL290" s="10">
        <f>SUMIFS('[1]2026'!$K:$K,'[1]2026'!$T:$T,$BD290,'[1]2026'!$S:$S,BL$3,'[1]2026'!$P:$P,$AU290)</f>
        <v>80512.86</v>
      </c>
      <c r="BM290" s="10">
        <f>SUMIFS('[1]2026'!$K:$K,'[1]2026'!$T:$T,$BD290,'[1]2026'!$S:$S,BM$3,'[1]2026'!$P:$P,$AU290)</f>
        <v>80512.86</v>
      </c>
      <c r="BN290" s="10">
        <f>SUMIFS('[1]2026'!$K:$K,'[1]2026'!$T:$T,$BD290,'[1]2026'!$S:$S,BN$3,'[1]2026'!$P:$P,$AU290)</f>
        <v>64929.72</v>
      </c>
      <c r="BO290" s="10">
        <f>SUMIFS('[1]2026'!$K:$K,'[1]2026'!$T:$T,$BD290,'[1]2026'!$S:$S,BO$3,'[1]2026'!$P:$P,$AU290)</f>
        <v>84070.01</v>
      </c>
      <c r="BP290" s="6">
        <v>64929.72</v>
      </c>
      <c r="BQ290" s="6">
        <v>64929.72</v>
      </c>
      <c r="BR290" s="6">
        <v>64929.72</v>
      </c>
      <c r="BS290" s="6">
        <v>80512.86</v>
      </c>
      <c r="BT290" s="6">
        <f t="shared" si="162"/>
        <v>907378.90999999992</v>
      </c>
      <c r="BV290" s="6">
        <f t="shared" si="170"/>
        <v>-11153.806666666671</v>
      </c>
      <c r="BW290" s="6">
        <f t="shared" si="170"/>
        <v>-11153.806666666671</v>
      </c>
      <c r="BX290" s="6">
        <f t="shared" si="170"/>
        <v>-11153.806666666671</v>
      </c>
      <c r="BY290" s="6">
        <f t="shared" si="170"/>
        <v>-11153.806666666671</v>
      </c>
      <c r="BZ290" s="6">
        <f t="shared" si="170"/>
        <v>-11153.806666666671</v>
      </c>
      <c r="CA290" s="6">
        <f t="shared" si="170"/>
        <v>-11153.806666666671</v>
      </c>
      <c r="CB290" s="6">
        <f t="shared" si="170"/>
        <v>-26736.94666666667</v>
      </c>
      <c r="CC290" s="6">
        <f t="shared" si="170"/>
        <v>-7596.6566666666768</v>
      </c>
      <c r="CD290" s="6">
        <f t="shared" si="170"/>
        <v>-26736.94666666667</v>
      </c>
      <c r="CE290" s="6">
        <f t="shared" si="170"/>
        <v>-26736.94666666667</v>
      </c>
      <c r="CF290" s="6">
        <f t="shared" si="170"/>
        <v>-26736.94666666667</v>
      </c>
      <c r="CG290" s="6">
        <f t="shared" si="170"/>
        <v>-11153.806666666671</v>
      </c>
      <c r="CH290" s="6">
        <f t="shared" si="164"/>
        <v>-192621.09000000008</v>
      </c>
    </row>
    <row r="291" spans="1:86" x14ac:dyDescent="0.35">
      <c r="A291" s="3" t="s">
        <v>60</v>
      </c>
      <c r="B291" s="10">
        <v>32833.333333333336</v>
      </c>
      <c r="C291" s="10">
        <v>32833.333333333336</v>
      </c>
      <c r="D291" s="10">
        <v>32833.333333333336</v>
      </c>
      <c r="E291" s="10">
        <v>32833.333333333336</v>
      </c>
      <c r="F291" s="10">
        <v>32833.333333333336</v>
      </c>
      <c r="G291" s="10">
        <v>32833.333333333336</v>
      </c>
      <c r="H291" s="10">
        <v>32833.333333333336</v>
      </c>
      <c r="I291" s="10">
        <v>32833.333333333336</v>
      </c>
      <c r="J291" s="10">
        <v>32833.333333333336</v>
      </c>
      <c r="K291" s="10">
        <v>32833.333333333336</v>
      </c>
      <c r="L291" s="10">
        <v>32833.333333333336</v>
      </c>
      <c r="M291" s="10">
        <v>32833.333333333336</v>
      </c>
      <c r="N291" s="27">
        <f t="shared" si="140"/>
        <v>393999.99999999994</v>
      </c>
      <c r="O291" s="38">
        <v>1295.6401880511794</v>
      </c>
      <c r="P291" s="38">
        <v>1295.6401880511794</v>
      </c>
      <c r="Q291" s="38">
        <v>1295.6401880511794</v>
      </c>
      <c r="R291" s="38">
        <v>1295.6401880511794</v>
      </c>
      <c r="S291" s="38">
        <v>1295.6401880511794</v>
      </c>
      <c r="T291" s="38">
        <v>1295.6401880511794</v>
      </c>
      <c r="U291" s="38">
        <v>1295.6401880511794</v>
      </c>
      <c r="V291" s="38">
        <v>1295.6401880511794</v>
      </c>
      <c r="W291" s="38">
        <v>1295.6401880511794</v>
      </c>
      <c r="X291" s="38">
        <v>1295.6401880511794</v>
      </c>
      <c r="Y291" s="38">
        <v>1295.6401880511794</v>
      </c>
      <c r="Z291" s="38">
        <v>1295.6401880511794</v>
      </c>
      <c r="AA291" s="27">
        <f t="shared" si="141"/>
        <v>15547.682256614156</v>
      </c>
      <c r="AB291" s="10">
        <f t="shared" si="160"/>
        <v>31537.693145282155</v>
      </c>
      <c r="AC291" s="10">
        <f t="shared" si="160"/>
        <v>31537.693145282155</v>
      </c>
      <c r="AD291" s="10">
        <f t="shared" si="159"/>
        <v>31537.693145282155</v>
      </c>
      <c r="AE291" s="10">
        <f t="shared" si="159"/>
        <v>31537.693145282155</v>
      </c>
      <c r="AF291" s="10">
        <f t="shared" si="159"/>
        <v>31537.693145282155</v>
      </c>
      <c r="AG291" s="10">
        <f t="shared" si="159"/>
        <v>31537.693145282155</v>
      </c>
      <c r="AH291" s="10">
        <f t="shared" si="159"/>
        <v>31537.693145282155</v>
      </c>
      <c r="AI291" s="10">
        <f t="shared" si="159"/>
        <v>31537.693145282155</v>
      </c>
      <c r="AJ291" s="10">
        <f t="shared" si="159"/>
        <v>31537.693145282155</v>
      </c>
      <c r="AK291" s="10">
        <f t="shared" si="159"/>
        <v>31537.693145282155</v>
      </c>
      <c r="AL291" s="10">
        <f t="shared" si="159"/>
        <v>31537.693145282155</v>
      </c>
      <c r="AM291" s="10">
        <f t="shared" si="159"/>
        <v>31537.693145282155</v>
      </c>
      <c r="AN291" s="27">
        <f t="shared" si="159"/>
        <v>378452.31774338579</v>
      </c>
      <c r="AO291" s="28" t="e">
        <f>SUMIF('[3]2025B and 2025F Details'!$AU:$AU,AP291,'[3]2025B and 2025F Details'!$BH:$BH)</f>
        <v>#VALUE!</v>
      </c>
      <c r="AP291" t="s">
        <v>644</v>
      </c>
      <c r="AS291" t="str">
        <f>_xlfn.XLOOKUP(AU291,[2]GAE!HZ:HZ,[2]GAE!IA:IA)</f>
        <v>IS &amp; IT</v>
      </c>
      <c r="AT291" t="str">
        <f>_xlfn.XLOOKUP(AU291,[2]GAE!HZ:HZ,[2]GAE!IB:IB)</f>
        <v>GAE- Systems &amp; Applications</v>
      </c>
      <c r="AU291" t="s">
        <v>593</v>
      </c>
      <c r="AV291">
        <v>80124101</v>
      </c>
      <c r="AW291">
        <v>61711102</v>
      </c>
      <c r="AX291" t="str">
        <f>_xlfn.XLOOKUP(AU291,[2]GAE!HZ:HZ,[2]GAE!IF:IF)</f>
        <v>Systems &amp; Applications</v>
      </c>
      <c r="BC291" t="s">
        <v>61</v>
      </c>
      <c r="BD291" t="s">
        <v>61</v>
      </c>
      <c r="BF291" t="s">
        <v>609</v>
      </c>
      <c r="BG291" s="37" t="s">
        <v>61</v>
      </c>
      <c r="BH291" s="10">
        <f>SUMIFS('[1]2026'!$K:$K,'[1]2026'!$T:$T,BD291,'[1]2026'!$S:$S,BH$3,'[1]2026'!$P:$P,AU291)</f>
        <v>0</v>
      </c>
      <c r="BI291" s="10">
        <f>SUMIFS('[1]2026'!$K:$K,'[1]2026'!$T:$T,$BD291,'[1]2026'!$S:$S,BI$3,'[1]2026'!$P:$P,$AU291)</f>
        <v>0</v>
      </c>
      <c r="BJ291" s="10">
        <f>SUMIFS('[1]2026'!$K:$K,'[1]2026'!$T:$T,$BD291,'[1]2026'!$S:$S,BJ$3,'[1]2026'!$P:$P,$AU291)</f>
        <v>0</v>
      </c>
      <c r="BK291" s="10">
        <f>SUMIFS('[1]2026'!$K:$K,'[1]2026'!$T:$T,$BD291,'[1]2026'!$S:$S,BK$3,'[1]2026'!$P:$P,$AU291)</f>
        <v>0</v>
      </c>
      <c r="BL291" s="10">
        <f>SUMIFS('[1]2026'!$K:$K,'[1]2026'!$T:$T,$BD291,'[1]2026'!$S:$S,BL$3,'[1]2026'!$P:$P,$AU291)</f>
        <v>267421.34000000003</v>
      </c>
      <c r="BM291" s="10">
        <f>SUMIFS('[1]2026'!$K:$K,'[1]2026'!$T:$T,$BD291,'[1]2026'!$S:$S,BM$3,'[1]2026'!$P:$P,$AU291)</f>
        <v>0</v>
      </c>
      <c r="BN291" s="10">
        <f>SUMIFS('[1]2026'!$K:$K,'[1]2026'!$T:$T,$BD291,'[1]2026'!$S:$S,BN$3,'[1]2026'!$P:$P,$AU291)</f>
        <v>0</v>
      </c>
      <c r="BO291" s="10">
        <f>SUMIFS('[1]2026'!$K:$K,'[1]2026'!$T:$T,$BD291,'[1]2026'!$S:$S,BO$3,'[1]2026'!$P:$P,$AU291)</f>
        <v>0</v>
      </c>
      <c r="BP291" s="6">
        <f t="shared" ref="BP291:BS292" si="171">BO291</f>
        <v>0</v>
      </c>
      <c r="BQ291" s="6">
        <f t="shared" si="171"/>
        <v>0</v>
      </c>
      <c r="BR291" s="6">
        <f t="shared" si="171"/>
        <v>0</v>
      </c>
      <c r="BS291" s="6">
        <f t="shared" si="171"/>
        <v>0</v>
      </c>
      <c r="BT291" s="6">
        <f t="shared" si="162"/>
        <v>267421.34000000003</v>
      </c>
      <c r="BV291" s="6">
        <f t="shared" si="170"/>
        <v>-31537.693145282155</v>
      </c>
      <c r="BW291" s="6">
        <f t="shared" si="170"/>
        <v>-31537.693145282155</v>
      </c>
      <c r="BX291" s="6">
        <f t="shared" si="170"/>
        <v>-31537.693145282155</v>
      </c>
      <c r="BY291" s="6">
        <f t="shared" si="170"/>
        <v>-31537.693145282155</v>
      </c>
      <c r="BZ291" s="6">
        <f t="shared" si="170"/>
        <v>235883.64685471787</v>
      </c>
      <c r="CA291" s="6">
        <f t="shared" si="170"/>
        <v>-31537.693145282155</v>
      </c>
      <c r="CB291" s="6">
        <f t="shared" si="170"/>
        <v>-31537.693145282155</v>
      </c>
      <c r="CC291" s="6">
        <f t="shared" si="170"/>
        <v>-31537.693145282155</v>
      </c>
      <c r="CD291" s="6">
        <f t="shared" si="170"/>
        <v>-31537.693145282155</v>
      </c>
      <c r="CE291" s="6">
        <f t="shared" si="170"/>
        <v>-31537.693145282155</v>
      </c>
      <c r="CF291" s="6">
        <f t="shared" si="170"/>
        <v>-31537.693145282155</v>
      </c>
      <c r="CG291" s="6">
        <f t="shared" si="170"/>
        <v>-31537.693145282155</v>
      </c>
      <c r="CH291" s="6">
        <f t="shared" si="164"/>
        <v>-111030.97774338577</v>
      </c>
    </row>
    <row r="292" spans="1:86" x14ac:dyDescent="0.35">
      <c r="A292" s="3" t="s">
        <v>645</v>
      </c>
      <c r="B292" s="10">
        <v>80000</v>
      </c>
      <c r="C292" s="10">
        <v>80000</v>
      </c>
      <c r="D292" s="10">
        <v>80000</v>
      </c>
      <c r="E292" s="10">
        <v>80000</v>
      </c>
      <c r="F292" s="10">
        <v>80000</v>
      </c>
      <c r="G292" s="10">
        <v>80000</v>
      </c>
      <c r="H292" s="10">
        <v>80000</v>
      </c>
      <c r="I292" s="10">
        <v>80000</v>
      </c>
      <c r="J292" s="10">
        <v>80000</v>
      </c>
      <c r="K292" s="10">
        <v>80000</v>
      </c>
      <c r="L292" s="10">
        <v>80000</v>
      </c>
      <c r="M292" s="10">
        <v>80000</v>
      </c>
      <c r="N292" s="27">
        <f t="shared" si="140"/>
        <v>960000</v>
      </c>
      <c r="O292" s="38">
        <v>3156.8897982972903</v>
      </c>
      <c r="P292" s="38">
        <v>3156.8897982972903</v>
      </c>
      <c r="Q292" s="38">
        <v>3156.8897982972903</v>
      </c>
      <c r="R292" s="38">
        <v>3156.8897982972903</v>
      </c>
      <c r="S292" s="38">
        <v>3156.8897982972903</v>
      </c>
      <c r="T292" s="38">
        <v>3156.8897982972903</v>
      </c>
      <c r="U292" s="38">
        <v>3156.8897982972903</v>
      </c>
      <c r="V292" s="38">
        <v>3156.8897982972903</v>
      </c>
      <c r="W292" s="38">
        <v>3156.8897982972903</v>
      </c>
      <c r="X292" s="38">
        <v>3156.8897982972903</v>
      </c>
      <c r="Y292" s="38">
        <v>3156.8897982972903</v>
      </c>
      <c r="Z292" s="38">
        <v>3156.8897982972903</v>
      </c>
      <c r="AA292" s="27">
        <f t="shared" si="141"/>
        <v>37882.677579567491</v>
      </c>
      <c r="AB292" s="10">
        <f t="shared" si="160"/>
        <v>76843.110201702715</v>
      </c>
      <c r="AC292" s="10">
        <f t="shared" si="160"/>
        <v>76843.110201702715</v>
      </c>
      <c r="AD292" s="10">
        <f t="shared" si="159"/>
        <v>76843.110201702715</v>
      </c>
      <c r="AE292" s="10">
        <f t="shared" si="159"/>
        <v>76843.110201702715</v>
      </c>
      <c r="AF292" s="10">
        <f t="shared" si="159"/>
        <v>76843.110201702715</v>
      </c>
      <c r="AG292" s="10">
        <f t="shared" si="159"/>
        <v>76843.110201702715</v>
      </c>
      <c r="AH292" s="10">
        <f t="shared" si="159"/>
        <v>76843.110201702715</v>
      </c>
      <c r="AI292" s="10">
        <f t="shared" si="159"/>
        <v>76843.110201702715</v>
      </c>
      <c r="AJ292" s="10">
        <f t="shared" si="159"/>
        <v>76843.110201702715</v>
      </c>
      <c r="AK292" s="10">
        <f t="shared" si="159"/>
        <v>76843.110201702715</v>
      </c>
      <c r="AL292" s="10">
        <f t="shared" si="159"/>
        <v>76843.110201702715</v>
      </c>
      <c r="AM292" s="10">
        <f t="shared" si="159"/>
        <v>76843.110201702715</v>
      </c>
      <c r="AN292" s="27">
        <f t="shared" si="159"/>
        <v>922117.32242043247</v>
      </c>
      <c r="AO292" s="28" t="e">
        <f>SUMIF('[3]2025B and 2025F Details'!$AU:$AU,AP292,'[3]2025B and 2025F Details'!$BH:$BH)</f>
        <v>#VALUE!</v>
      </c>
      <c r="AP292" t="s">
        <v>646</v>
      </c>
      <c r="AS292" t="str">
        <f>_xlfn.XLOOKUP(AU292,[2]GAE!HZ:HZ,[2]GAE!IA:IA)</f>
        <v>IS &amp; IT</v>
      </c>
      <c r="AT292" t="str">
        <f>_xlfn.XLOOKUP(AU292,[2]GAE!HZ:HZ,[2]GAE!IB:IB)</f>
        <v>GAE- Systems &amp; Applications</v>
      </c>
      <c r="AU292" t="s">
        <v>593</v>
      </c>
      <c r="AV292">
        <v>80124101</v>
      </c>
      <c r="AW292">
        <v>61711102</v>
      </c>
      <c r="AX292" t="str">
        <f>_xlfn.XLOOKUP(AU292,[2]GAE!HZ:HZ,[2]GAE!IF:IF)</f>
        <v>Systems &amp; Applications</v>
      </c>
      <c r="BD292" s="2" t="s">
        <v>646</v>
      </c>
      <c r="BE292" s="2"/>
      <c r="BF292" t="s">
        <v>609</v>
      </c>
      <c r="BG292" s="37" t="s">
        <v>62</v>
      </c>
      <c r="BH292" s="10">
        <f>SUMIFS('[1]2026'!$K:$K,'[1]2026'!$T:$T,BD292,'[1]2026'!$S:$S,BH$3,'[1]2026'!$P:$P,AU292)</f>
        <v>0</v>
      </c>
      <c r="BI292" s="10">
        <f>SUMIFS('[1]2026'!$K:$K,'[1]2026'!$T:$T,$BD292,'[1]2026'!$S:$S,BI$3,'[1]2026'!$P:$P,$AU292)</f>
        <v>0</v>
      </c>
      <c r="BJ292" s="10">
        <f>SUMIFS('[1]2026'!$K:$K,'[1]2026'!$T:$T,$BD292,'[1]2026'!$S:$S,BJ$3,'[1]2026'!$P:$P,$AU292)</f>
        <v>0</v>
      </c>
      <c r="BK292" s="10">
        <f>SUMIFS('[1]2026'!$K:$K,'[1]2026'!$T:$T,$BD292,'[1]2026'!$S:$S,BK$3,'[1]2026'!$P:$P,$AU292)</f>
        <v>0</v>
      </c>
      <c r="BL292" s="10">
        <f>SUMIFS('[1]2026'!$K:$K,'[1]2026'!$T:$T,$BD292,'[1]2026'!$S:$S,BL$3,'[1]2026'!$P:$P,$AU292)</f>
        <v>0</v>
      </c>
      <c r="BM292" s="10">
        <f>SUMIFS('[1]2026'!$K:$K,'[1]2026'!$T:$T,$BD292,'[1]2026'!$S:$S,BM$3,'[1]2026'!$P:$P,$AU292)</f>
        <v>0</v>
      </c>
      <c r="BN292" s="10">
        <f>SUMIFS('[1]2026'!$K:$K,'[1]2026'!$T:$T,$BD292,'[1]2026'!$S:$S,BN$3,'[1]2026'!$P:$P,$AU292)</f>
        <v>0</v>
      </c>
      <c r="BO292" s="10">
        <f>SUMIFS('[1]2026'!$K:$K,'[1]2026'!$T:$T,$BD292,'[1]2026'!$S:$S,BO$3,'[1]2026'!$P:$P,$AU292)</f>
        <v>0</v>
      </c>
      <c r="BP292" s="6">
        <f t="shared" si="171"/>
        <v>0</v>
      </c>
      <c r="BQ292" s="6">
        <f t="shared" si="171"/>
        <v>0</v>
      </c>
      <c r="BR292" s="6">
        <f t="shared" si="171"/>
        <v>0</v>
      </c>
      <c r="BS292" s="6">
        <f t="shared" si="171"/>
        <v>0</v>
      </c>
      <c r="BT292" s="6">
        <f t="shared" si="162"/>
        <v>0</v>
      </c>
      <c r="BV292" s="6">
        <f t="shared" si="170"/>
        <v>-76843.110201702715</v>
      </c>
      <c r="BW292" s="6">
        <f t="shared" si="170"/>
        <v>-76843.110201702715</v>
      </c>
      <c r="BX292" s="6">
        <f t="shared" si="170"/>
        <v>-76843.110201702715</v>
      </c>
      <c r="BY292" s="6">
        <f t="shared" si="170"/>
        <v>-76843.110201702715</v>
      </c>
      <c r="BZ292" s="6">
        <f t="shared" si="170"/>
        <v>-76843.110201702715</v>
      </c>
      <c r="CA292" s="6">
        <f t="shared" si="170"/>
        <v>-76843.110201702715</v>
      </c>
      <c r="CB292" s="6">
        <f t="shared" si="170"/>
        <v>-76843.110201702715</v>
      </c>
      <c r="CC292" s="6">
        <f t="shared" si="170"/>
        <v>-76843.110201702715</v>
      </c>
      <c r="CD292" s="6">
        <f t="shared" si="170"/>
        <v>-76843.110201702715</v>
      </c>
      <c r="CE292" s="6">
        <f t="shared" si="170"/>
        <v>-76843.110201702715</v>
      </c>
      <c r="CF292" s="6">
        <f t="shared" si="170"/>
        <v>-76843.110201702715</v>
      </c>
      <c r="CG292" s="6">
        <f t="shared" si="170"/>
        <v>-76843.110201702715</v>
      </c>
      <c r="CH292" s="6">
        <f t="shared" si="164"/>
        <v>-922117.32242043247</v>
      </c>
    </row>
    <row r="293" spans="1:86" hidden="1" x14ac:dyDescent="0.35">
      <c r="A293" s="3" t="s">
        <v>646</v>
      </c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N293" s="27">
        <f>N293-AA293</f>
        <v>0</v>
      </c>
      <c r="AS293" t="str">
        <f>_xlfn.XLOOKUP(AU293,[2]GAE!HZ:HZ,[2]GAE!IA:IA)</f>
        <v>IS &amp; IT</v>
      </c>
      <c r="AT293" t="str">
        <f>_xlfn.XLOOKUP(AU293,[2]GAE!HZ:HZ,[2]GAE!IB:IB)</f>
        <v>DOE - Systems and Applications</v>
      </c>
      <c r="AU293" s="2" t="s">
        <v>594</v>
      </c>
      <c r="AV293" s="2">
        <v>81124101</v>
      </c>
      <c r="AW293" s="2">
        <v>52952103</v>
      </c>
      <c r="AX293" t="str">
        <f>_xlfn.XLOOKUP(AU293,[2]GAE!HZ:HZ,[2]GAE!IF:IF)</f>
        <v>Systems &amp; Applications</v>
      </c>
      <c r="BC293" t="s">
        <v>62</v>
      </c>
      <c r="BD293" s="2" t="s">
        <v>646</v>
      </c>
      <c r="BE293" s="2"/>
      <c r="BF293" t="s">
        <v>609</v>
      </c>
      <c r="BG293" s="37" t="s">
        <v>62</v>
      </c>
      <c r="BH293" s="10">
        <f>SUMIFS('[1]2026'!$K:$K,'[1]2026'!$T:$T,BD293,'[1]2026'!$S:$S,BH$3,'[1]2026'!$P:$P,AU293)</f>
        <v>73422.720000000001</v>
      </c>
      <c r="BI293" s="10">
        <f>SUMIFS('[1]2026'!$K:$K,'[1]2026'!$T:$T,$BD293,'[1]2026'!$S:$S,BI$3,'[1]2026'!$P:$P,$AU293)</f>
        <v>73422.720000000001</v>
      </c>
      <c r="BJ293" s="10">
        <f>SUMIFS('[1]2026'!$K:$K,'[1]2026'!$T:$T,$BD293,'[1]2026'!$S:$S,BJ$3,'[1]2026'!$P:$P,$AU293)</f>
        <v>73422.720000000001</v>
      </c>
      <c r="BK293" s="10">
        <f>SUMIFS('[1]2026'!$K:$K,'[1]2026'!$T:$T,$BD293,'[1]2026'!$S:$S,BK$3,'[1]2026'!$P:$P,$AU293)</f>
        <v>73422.720000000001</v>
      </c>
      <c r="BL293" s="10">
        <f>SUMIFS('[1]2026'!$K:$K,'[1]2026'!$T:$T,$BD293,'[1]2026'!$S:$S,BL$3,'[1]2026'!$P:$P,$AU293)</f>
        <v>73422.720000000001</v>
      </c>
      <c r="BM293" s="10">
        <f>SUMIFS('[1]2026'!$K:$K,'[1]2026'!$T:$T,$BD293,'[1]2026'!$S:$S,BM$3,'[1]2026'!$P:$P,$AU293)</f>
        <v>73422.720000000001</v>
      </c>
      <c r="BN293" s="10">
        <f>SUMIFS('[1]2026'!$K:$K,'[1]2026'!$T:$T,$BD293,'[1]2026'!$S:$S,BN$3,'[1]2026'!$P:$P,$AU293)</f>
        <v>73422.720000000001</v>
      </c>
      <c r="BO293" s="10">
        <f>SUMIFS('[1]2026'!$K:$K,'[1]2026'!$T:$T,$BD293,'[1]2026'!$S:$S,BO$3,'[1]2026'!$P:$P,$AU293)</f>
        <v>73422.720000000001</v>
      </c>
      <c r="BP293" s="10">
        <v>73422.720000000001</v>
      </c>
      <c r="BQ293" s="10">
        <v>73422.720000000001</v>
      </c>
      <c r="BR293" s="10">
        <v>73422.720000000001</v>
      </c>
      <c r="BS293" s="10">
        <v>73422.720000000001</v>
      </c>
      <c r="BT293" s="6">
        <f t="shared" si="162"/>
        <v>881072.63999999978</v>
      </c>
      <c r="BV293" s="6">
        <f t="shared" si="170"/>
        <v>73422.720000000001</v>
      </c>
      <c r="BW293" s="6">
        <f t="shared" si="170"/>
        <v>73422.720000000001</v>
      </c>
      <c r="BX293" s="6">
        <f t="shared" si="170"/>
        <v>73422.720000000001</v>
      </c>
      <c r="BY293" s="6">
        <f t="shared" si="170"/>
        <v>73422.720000000001</v>
      </c>
      <c r="BZ293" s="6">
        <f t="shared" si="170"/>
        <v>73422.720000000001</v>
      </c>
      <c r="CA293" s="6">
        <f t="shared" si="170"/>
        <v>73422.720000000001</v>
      </c>
      <c r="CB293" s="6">
        <f t="shared" si="170"/>
        <v>73422.720000000001</v>
      </c>
      <c r="CC293" s="6">
        <f t="shared" si="170"/>
        <v>73422.720000000001</v>
      </c>
      <c r="CD293" s="6">
        <f t="shared" si="170"/>
        <v>73422.720000000001</v>
      </c>
      <c r="CE293" s="6">
        <f t="shared" si="170"/>
        <v>73422.720000000001</v>
      </c>
      <c r="CF293" s="6">
        <f t="shared" si="170"/>
        <v>73422.720000000001</v>
      </c>
      <c r="CG293" s="6">
        <f t="shared" si="170"/>
        <v>73422.720000000001</v>
      </c>
      <c r="CH293" s="6">
        <f t="shared" si="164"/>
        <v>881072.63999999978</v>
      </c>
    </row>
    <row r="294" spans="1:86" hidden="1" x14ac:dyDescent="0.35">
      <c r="A294" s="3" t="s">
        <v>647</v>
      </c>
      <c r="B294" s="10">
        <v>79166.666666666672</v>
      </c>
      <c r="C294" s="10">
        <v>79166.666666666672</v>
      </c>
      <c r="D294" s="10">
        <v>79166.666666666672</v>
      </c>
      <c r="E294" s="10">
        <v>79166.666666666672</v>
      </c>
      <c r="F294" s="10">
        <v>79166.666666666672</v>
      </c>
      <c r="G294" s="10">
        <v>79166.666666666672</v>
      </c>
      <c r="H294" s="10">
        <v>79166.666666666672</v>
      </c>
      <c r="I294" s="10">
        <v>79166.666666666672</v>
      </c>
      <c r="J294" s="10">
        <v>79166.666666666672</v>
      </c>
      <c r="K294" s="10">
        <v>79166.666666666672</v>
      </c>
      <c r="L294" s="10">
        <v>79166.666666666672</v>
      </c>
      <c r="M294" s="10">
        <v>79166.666666666672</v>
      </c>
      <c r="N294" s="27">
        <f t="shared" si="140"/>
        <v>949999.99999999988</v>
      </c>
      <c r="O294" s="10">
        <v>16666.666666666668</v>
      </c>
      <c r="P294" s="10">
        <v>16666.666666666668</v>
      </c>
      <c r="Q294" s="10">
        <v>16666.666666666668</v>
      </c>
      <c r="R294" s="10">
        <v>16666.666666666668</v>
      </c>
      <c r="S294" s="10">
        <v>16666.666666666668</v>
      </c>
      <c r="T294" s="10">
        <v>16666.666666666668</v>
      </c>
      <c r="U294" s="10">
        <v>16666.666666666668</v>
      </c>
      <c r="V294" s="10">
        <v>16666.666666666668</v>
      </c>
      <c r="W294" s="10">
        <v>16666.666666666668</v>
      </c>
      <c r="X294" s="10">
        <v>16666.666666666668</v>
      </c>
      <c r="Y294" s="10">
        <v>16666.666666666668</v>
      </c>
      <c r="Z294" s="10">
        <v>16666.666666666668</v>
      </c>
      <c r="AA294" s="27">
        <f t="shared" si="141"/>
        <v>199999.99999999997</v>
      </c>
      <c r="AB294" s="10">
        <f t="shared" si="160"/>
        <v>62500</v>
      </c>
      <c r="AC294" s="10">
        <f t="shared" si="160"/>
        <v>62500</v>
      </c>
      <c r="AD294" s="10">
        <f t="shared" si="159"/>
        <v>62500</v>
      </c>
      <c r="AE294" s="10">
        <f t="shared" si="159"/>
        <v>62500</v>
      </c>
      <c r="AF294" s="10">
        <f t="shared" ref="AF294:AN327" si="172">F294-S294</f>
        <v>62500</v>
      </c>
      <c r="AG294" s="10">
        <f t="shared" si="172"/>
        <v>62500</v>
      </c>
      <c r="AH294" s="10">
        <f t="shared" si="172"/>
        <v>62500</v>
      </c>
      <c r="AI294" s="10">
        <f t="shared" si="172"/>
        <v>62500</v>
      </c>
      <c r="AJ294" s="10">
        <f t="shared" si="172"/>
        <v>62500</v>
      </c>
      <c r="AK294" s="10">
        <f t="shared" si="172"/>
        <v>62500</v>
      </c>
      <c r="AL294" s="10">
        <f t="shared" si="172"/>
        <v>62500</v>
      </c>
      <c r="AM294" s="10">
        <f t="shared" si="172"/>
        <v>62500</v>
      </c>
      <c r="AN294" s="27">
        <f t="shared" si="172"/>
        <v>749999.99999999988</v>
      </c>
      <c r="AO294" s="28">
        <f>44642.86*12</f>
        <v>535714.32000000007</v>
      </c>
      <c r="AP294" t="s">
        <v>648</v>
      </c>
      <c r="AR294" t="s">
        <v>649</v>
      </c>
      <c r="AS294" t="str">
        <f>_xlfn.XLOOKUP(AU294,[2]GAE!HZ:HZ,[2]GAE!IA:IA)</f>
        <v>IS &amp; IT</v>
      </c>
      <c r="AT294" t="str">
        <f>_xlfn.XLOOKUP(AU294,[2]GAE!HZ:HZ,[2]GAE!IB:IB)</f>
        <v>DOE - Systems and Applications</v>
      </c>
      <c r="AU294" t="s">
        <v>594</v>
      </c>
      <c r="AV294">
        <v>81124101</v>
      </c>
      <c r="AW294">
        <v>52952103</v>
      </c>
      <c r="AX294" t="str">
        <f>_xlfn.XLOOKUP(AU294,[2]GAE!HZ:HZ,[2]GAE!IF:IF)</f>
        <v>Systems &amp; Applications</v>
      </c>
      <c r="BC294" t="s">
        <v>63</v>
      </c>
      <c r="BD294" t="s">
        <v>648</v>
      </c>
      <c r="BF294" t="s">
        <v>609</v>
      </c>
      <c r="BG294" s="37" t="s">
        <v>63</v>
      </c>
      <c r="BH294" s="10">
        <f>SUMIFS('[1]2026'!$K:$K,'[1]2026'!$T:$T,BD294,'[1]2026'!$S:$S,BH$3,'[1]2026'!$P:$P,AU294)</f>
        <v>44642.86</v>
      </c>
      <c r="BI294" s="10">
        <f>SUMIFS('[1]2026'!$K:$K,'[1]2026'!$T:$T,$BD294,'[1]2026'!$S:$S,BI$3,'[1]2026'!$P:$P,$AU294)</f>
        <v>44642.86</v>
      </c>
      <c r="BJ294" s="10">
        <f>SUMIFS('[1]2026'!$K:$K,'[1]2026'!$T:$T,$BD294,'[1]2026'!$S:$S,BJ$3,'[1]2026'!$P:$P,$AU294)</f>
        <v>44642.86</v>
      </c>
      <c r="BK294" s="10">
        <f>SUMIFS('[1]2026'!$K:$K,'[1]2026'!$T:$T,$BD294,'[1]2026'!$S:$S,BK$3,'[1]2026'!$P:$P,$AU294)</f>
        <v>44642.86</v>
      </c>
      <c r="BL294" s="10">
        <f>SUMIFS('[1]2026'!$K:$K,'[1]2026'!$T:$T,$BD294,'[1]2026'!$S:$S,BL$3,'[1]2026'!$P:$P,$AU294)</f>
        <v>44642.86</v>
      </c>
      <c r="BM294" s="10">
        <f>SUMIFS('[1]2026'!$K:$K,'[1]2026'!$T:$T,$BD294,'[1]2026'!$S:$S,BM$3,'[1]2026'!$P:$P,$AU294)</f>
        <v>44642.86</v>
      </c>
      <c r="BN294" s="10">
        <f>SUMIFS('[1]2026'!$K:$K,'[1]2026'!$T:$T,$BD294,'[1]2026'!$S:$S,BN$3,'[1]2026'!$P:$P,$AU294)</f>
        <v>44642.86</v>
      </c>
      <c r="BO294" s="10">
        <f>SUMIFS('[1]2026'!$K:$K,'[1]2026'!$T:$T,$BD294,'[1]2026'!$S:$S,BO$3,'[1]2026'!$P:$P,$AU294)</f>
        <v>0</v>
      </c>
      <c r="BP294" s="6">
        <v>44642.86</v>
      </c>
      <c r="BQ294" s="6">
        <v>44642.86</v>
      </c>
      <c r="BR294" s="6">
        <v>44642.86</v>
      </c>
      <c r="BS294" s="6">
        <v>44642.86</v>
      </c>
      <c r="BT294" s="6">
        <f t="shared" si="162"/>
        <v>491071.4599999999</v>
      </c>
      <c r="BV294" s="6">
        <f t="shared" si="170"/>
        <v>-17857.14</v>
      </c>
      <c r="BW294" s="6">
        <f t="shared" si="170"/>
        <v>-17857.14</v>
      </c>
      <c r="BX294" s="6">
        <f t="shared" si="170"/>
        <v>-17857.14</v>
      </c>
      <c r="BY294" s="6">
        <f t="shared" si="170"/>
        <v>-17857.14</v>
      </c>
      <c r="BZ294" s="6">
        <f t="shared" si="170"/>
        <v>-17857.14</v>
      </c>
      <c r="CA294" s="6">
        <f t="shared" si="170"/>
        <v>-17857.14</v>
      </c>
      <c r="CB294" s="6">
        <f t="shared" si="170"/>
        <v>-17857.14</v>
      </c>
      <c r="CC294" s="6">
        <f t="shared" si="170"/>
        <v>-62500</v>
      </c>
      <c r="CD294" s="6">
        <f t="shared" si="170"/>
        <v>-17857.14</v>
      </c>
      <c r="CE294" s="6">
        <f t="shared" si="170"/>
        <v>-17857.14</v>
      </c>
      <c r="CF294" s="6">
        <f t="shared" si="170"/>
        <v>-17857.14</v>
      </c>
      <c r="CG294" s="6">
        <f t="shared" si="170"/>
        <v>-17857.14</v>
      </c>
      <c r="CH294" s="6">
        <f t="shared" si="164"/>
        <v>-258928.53999999998</v>
      </c>
    </row>
    <row r="295" spans="1:86" x14ac:dyDescent="0.35">
      <c r="AN295" s="27">
        <f>N295-AA295</f>
        <v>0</v>
      </c>
      <c r="AS295" t="str">
        <f>_xlfn.XLOOKUP(AU295,[2]GAE!HZ:HZ,[2]GAE!IA:IA)</f>
        <v>IS &amp; IT</v>
      </c>
      <c r="AT295" t="str">
        <f>_xlfn.XLOOKUP(AU295,[2]GAE!HZ:HZ,[2]GAE!IB:IB)</f>
        <v>GAE- Systems &amp; Applications</v>
      </c>
      <c r="AU295" s="2" t="s">
        <v>593</v>
      </c>
      <c r="AV295" s="2">
        <v>80124101</v>
      </c>
      <c r="AW295" s="2">
        <v>61711102</v>
      </c>
      <c r="AX295" t="str">
        <f>_xlfn.XLOOKUP(AU295,[2]GAE!HZ:HZ,[2]GAE!IF:IF)</f>
        <v>Systems &amp; Applications</v>
      </c>
      <c r="BC295" t="s">
        <v>63</v>
      </c>
      <c r="BD295" t="s">
        <v>648</v>
      </c>
      <c r="BF295" t="s">
        <v>609</v>
      </c>
      <c r="BG295" s="37" t="s">
        <v>63</v>
      </c>
      <c r="BL295" s="10">
        <f>SUMIFS('[1]2026'!$K:$K,'[1]2026'!$T:$T,$BD295,'[1]2026'!$S:$S,BL$3,'[1]2026'!$P:$P,$AU295)</f>
        <v>412154.62</v>
      </c>
      <c r="BM295" s="10">
        <f>SUMIFS('[1]2026'!$K:$K,'[1]2026'!$T:$T,$BD295,'[1]2026'!$S:$S,BM$3,'[1]2026'!$P:$P,$AU295)</f>
        <v>0</v>
      </c>
      <c r="BN295" s="10">
        <f>SUMIFS('[1]2026'!$K:$K,'[1]2026'!$T:$T,$BD295,'[1]2026'!$S:$S,BN$3,'[1]2026'!$P:$P,$AU295)</f>
        <v>0</v>
      </c>
      <c r="BO295" s="10">
        <f>SUMIFS('[1]2026'!$K:$K,'[1]2026'!$T:$T,$BD295,'[1]2026'!$S:$S,BO$3,'[1]2026'!$P:$P,$AU295)</f>
        <v>0</v>
      </c>
      <c r="BP295" s="6"/>
      <c r="BQ295" s="6"/>
      <c r="BR295" s="6"/>
      <c r="BS295" s="6"/>
      <c r="BT295" s="6">
        <f t="shared" si="162"/>
        <v>412154.62</v>
      </c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>
        <f t="shared" si="164"/>
        <v>412154.62</v>
      </c>
    </row>
    <row r="296" spans="1:86" x14ac:dyDescent="0.35">
      <c r="A296" s="3" t="s">
        <v>650</v>
      </c>
      <c r="B296" s="10">
        <v>14166.666666666666</v>
      </c>
      <c r="C296" s="10">
        <v>14166.666666666666</v>
      </c>
      <c r="D296" s="10">
        <v>14166.666666666666</v>
      </c>
      <c r="E296" s="10">
        <v>14166.666666666666</v>
      </c>
      <c r="F296" s="10">
        <v>14166.666666666666</v>
      </c>
      <c r="G296" s="10">
        <v>14166.666666666666</v>
      </c>
      <c r="H296" s="10">
        <v>14166.666666666666</v>
      </c>
      <c r="I296" s="10">
        <v>14166.666666666666</v>
      </c>
      <c r="J296" s="10">
        <v>14166.666666666666</v>
      </c>
      <c r="K296" s="10">
        <v>14166.666666666666</v>
      </c>
      <c r="L296" s="10">
        <v>14166.666666666666</v>
      </c>
      <c r="M296" s="10">
        <v>14166.666666666666</v>
      </c>
      <c r="N296" s="27">
        <f t="shared" si="140"/>
        <v>170000</v>
      </c>
      <c r="O296" s="38">
        <v>559.03256844847851</v>
      </c>
      <c r="P296" s="38">
        <v>559.03256844847851</v>
      </c>
      <c r="Q296" s="38">
        <v>559.03256844847851</v>
      </c>
      <c r="R296" s="38">
        <v>559.03256844847851</v>
      </c>
      <c r="S296" s="38">
        <v>559.03256844847851</v>
      </c>
      <c r="T296" s="38">
        <v>559.03256844847851</v>
      </c>
      <c r="U296" s="38">
        <v>559.03256844847851</v>
      </c>
      <c r="V296" s="38">
        <v>559.03256844847851</v>
      </c>
      <c r="W296" s="38">
        <v>559.03256844847851</v>
      </c>
      <c r="X296" s="38">
        <v>559.03256844847851</v>
      </c>
      <c r="Y296" s="38">
        <v>559.03256844847851</v>
      </c>
      <c r="Z296" s="38">
        <v>559.03256844847851</v>
      </c>
      <c r="AA296" s="27">
        <f t="shared" si="141"/>
        <v>6708.390821381744</v>
      </c>
      <c r="AB296" s="10">
        <f t="shared" si="160"/>
        <v>13607.634098218188</v>
      </c>
      <c r="AC296" s="10">
        <f t="shared" si="160"/>
        <v>13607.634098218188</v>
      </c>
      <c r="AD296" s="10">
        <f t="shared" si="160"/>
        <v>13607.634098218188</v>
      </c>
      <c r="AE296" s="10">
        <f t="shared" si="160"/>
        <v>13607.634098218188</v>
      </c>
      <c r="AF296" s="10">
        <f t="shared" si="172"/>
        <v>13607.634098218188</v>
      </c>
      <c r="AG296" s="10">
        <f t="shared" si="172"/>
        <v>13607.634098218188</v>
      </c>
      <c r="AH296" s="10">
        <f t="shared" si="172"/>
        <v>13607.634098218188</v>
      </c>
      <c r="AI296" s="10">
        <f t="shared" si="172"/>
        <v>13607.634098218188</v>
      </c>
      <c r="AJ296" s="10">
        <f t="shared" si="172"/>
        <v>13607.634098218188</v>
      </c>
      <c r="AK296" s="10">
        <f t="shared" si="172"/>
        <v>13607.634098218188</v>
      </c>
      <c r="AL296" s="10">
        <f t="shared" si="172"/>
        <v>13607.634098218188</v>
      </c>
      <c r="AM296" s="10">
        <f t="shared" si="172"/>
        <v>13607.634098218188</v>
      </c>
      <c r="AN296" s="27">
        <f t="shared" si="172"/>
        <v>163291.60917861827</v>
      </c>
      <c r="AO296" s="28" t="e">
        <f>SUMIF('[3]2025B and 2025F Details'!$AU:$AU,AP296,'[3]2025B and 2025F Details'!$BH:$BH)</f>
        <v>#VALUE!</v>
      </c>
      <c r="AP296" t="s">
        <v>651</v>
      </c>
      <c r="AS296" t="str">
        <f>_xlfn.XLOOKUP(AU296,[2]GAE!HZ:HZ,[2]GAE!IA:IA)</f>
        <v>IS &amp; IT</v>
      </c>
      <c r="AT296" t="str">
        <f>_xlfn.XLOOKUP(AU296,[2]GAE!HZ:HZ,[2]GAE!IB:IB)</f>
        <v>GAE- Systems &amp; Applications</v>
      </c>
      <c r="AU296" t="s">
        <v>593</v>
      </c>
      <c r="AV296">
        <v>80124101</v>
      </c>
      <c r="AW296">
        <v>61711102</v>
      </c>
      <c r="AX296" t="str">
        <f>_xlfn.XLOOKUP(AU296,[2]GAE!HZ:HZ,[2]GAE!IF:IF)</f>
        <v>Systems &amp; Applications</v>
      </c>
      <c r="BC296" t="s">
        <v>64</v>
      </c>
      <c r="BD296" t="s">
        <v>64</v>
      </c>
      <c r="BF296" t="s">
        <v>42</v>
      </c>
      <c r="BG296" s="37" t="s">
        <v>64</v>
      </c>
      <c r="BH296" s="10">
        <f>SUMIFS('[1]2026'!$K:$K,'[1]2026'!$T:$T,BD296,'[1]2026'!$S:$S,BH$3,'[1]2026'!$P:$P,AU296)</f>
        <v>8900.91</v>
      </c>
      <c r="BI296" s="10">
        <f>SUMIFS('[1]2026'!$K:$K,'[1]2026'!$T:$T,$BD296,'[1]2026'!$S:$S,BI$3,'[1]2026'!$P:$P,$AU296)</f>
        <v>8900.91</v>
      </c>
      <c r="BJ296" s="10">
        <f>SUMIFS('[1]2026'!$K:$K,'[1]2026'!$T:$T,$BD296,'[1]2026'!$S:$S,BJ$3,'[1]2026'!$P:$P,$AU296)</f>
        <v>8900.91</v>
      </c>
      <c r="BK296" s="10">
        <f>SUMIFS('[1]2026'!$K:$K,'[1]2026'!$T:$T,$BD296,'[1]2026'!$S:$S,BK$3,'[1]2026'!$P:$P,$AU296)</f>
        <v>0</v>
      </c>
      <c r="BL296" s="10">
        <f>SUMIFS('[1]2026'!$K:$K,'[1]2026'!$T:$T,$BD296,'[1]2026'!$S:$S,BL$3,'[1]2026'!$P:$P,$AU296)</f>
        <v>0</v>
      </c>
      <c r="BM296" s="10">
        <f>SUMIFS('[1]2026'!$K:$K,'[1]2026'!$T:$T,$BD296,'[1]2026'!$S:$S,BM$3,'[1]2026'!$P:$P,$AU296)</f>
        <v>0</v>
      </c>
      <c r="BN296" s="10">
        <f>SUMIFS('[1]2026'!$K:$K,'[1]2026'!$T:$T,$BD296,'[1]2026'!$S:$S,BN$3,'[1]2026'!$P:$P,$AU296)</f>
        <v>0</v>
      </c>
      <c r="BO296" s="10">
        <f>SUMIFS('[1]2026'!$K:$K,'[1]2026'!$T:$T,$BD296,'[1]2026'!$S:$S,BO$3,'[1]2026'!$P:$P,$AU296)</f>
        <v>0</v>
      </c>
      <c r="BP296" s="6">
        <v>8900.91</v>
      </c>
      <c r="BQ296" s="6">
        <v>8900.91</v>
      </c>
      <c r="BR296" s="6">
        <v>8900.91</v>
      </c>
      <c r="BS296" s="6">
        <v>8900.91</v>
      </c>
      <c r="BT296" s="6">
        <f t="shared" si="162"/>
        <v>62306.37000000001</v>
      </c>
      <c r="BV296" s="6">
        <f t="shared" ref="BV296:CG296" si="173">BH296-AB296</f>
        <v>-4706.7240982181884</v>
      </c>
      <c r="BW296" s="6">
        <f t="shared" si="173"/>
        <v>-4706.7240982181884</v>
      </c>
      <c r="BX296" s="6">
        <f t="shared" si="173"/>
        <v>-4706.7240982181884</v>
      </c>
      <c r="BY296" s="6">
        <f t="shared" si="173"/>
        <v>-13607.634098218188</v>
      </c>
      <c r="BZ296" s="6">
        <f t="shared" si="173"/>
        <v>-13607.634098218188</v>
      </c>
      <c r="CA296" s="6">
        <f t="shared" si="173"/>
        <v>-13607.634098218188</v>
      </c>
      <c r="CB296" s="6">
        <f t="shared" si="173"/>
        <v>-13607.634098218188</v>
      </c>
      <c r="CC296" s="6">
        <f t="shared" si="173"/>
        <v>-13607.634098218188</v>
      </c>
      <c r="CD296" s="6">
        <f t="shared" si="173"/>
        <v>-4706.7240982181884</v>
      </c>
      <c r="CE296" s="6">
        <f t="shared" si="173"/>
        <v>-4706.7240982181884</v>
      </c>
      <c r="CF296" s="6">
        <f t="shared" si="173"/>
        <v>-4706.7240982181884</v>
      </c>
      <c r="CG296" s="6">
        <f t="shared" si="173"/>
        <v>-4706.7240982181884</v>
      </c>
      <c r="CH296" s="6">
        <f t="shared" si="164"/>
        <v>-100985.23917861826</v>
      </c>
    </row>
    <row r="297" spans="1:86" hidden="1" x14ac:dyDescent="0.35"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N297" s="27">
        <f>N297-AA297</f>
        <v>0</v>
      </c>
      <c r="AS297" t="str">
        <f>_xlfn.XLOOKUP(AU297,[2]GAE!HZ:HZ,[2]GAE!IA:IA)</f>
        <v>IS &amp; IT</v>
      </c>
      <c r="AT297" t="str">
        <f>_xlfn.XLOOKUP(AU297,[2]GAE!HZ:HZ,[2]GAE!IB:IB)</f>
        <v>DOE - Systems and Applications</v>
      </c>
      <c r="AU297" s="2" t="s">
        <v>594</v>
      </c>
      <c r="AV297" s="2">
        <v>81124101</v>
      </c>
      <c r="AW297" s="2">
        <v>52952103</v>
      </c>
      <c r="AX297" t="str">
        <f>_xlfn.XLOOKUP(AU297,[2]GAE!HZ:HZ,[2]GAE!IF:IF)</f>
        <v>Systems &amp; Applications</v>
      </c>
      <c r="BC297" t="s">
        <v>64</v>
      </c>
      <c r="BD297" t="s">
        <v>64</v>
      </c>
      <c r="BF297" t="s">
        <v>42</v>
      </c>
      <c r="BG297" s="37" t="s">
        <v>64</v>
      </c>
      <c r="BL297" s="10">
        <f>SUMIFS('[1]2026'!$K:$K,'[1]2026'!$T:$T,$BD297,'[1]2026'!$S:$S,BL$3,'[1]2026'!$P:$P,$AU297)</f>
        <v>17801.82</v>
      </c>
      <c r="BM297" s="10">
        <f>SUMIFS('[1]2026'!$K:$K,'[1]2026'!$T:$T,$BD297,'[1]2026'!$S:$S,BM$3,'[1]2026'!$P:$P,$AU297)</f>
        <v>8900.91</v>
      </c>
      <c r="BN297" s="10">
        <f>SUMIFS('[1]2026'!$K:$K,'[1]2026'!$T:$T,$BD297,'[1]2026'!$S:$S,BN$3,'[1]2026'!$P:$P,$AU297)</f>
        <v>8900.91</v>
      </c>
      <c r="BO297" s="10">
        <f>SUMIFS('[1]2026'!$K:$K,'[1]2026'!$T:$T,$BD297,'[1]2026'!$S:$S,BO$3,'[1]2026'!$P:$P,$AU297)</f>
        <v>8900.91</v>
      </c>
      <c r="BP297" s="6"/>
      <c r="BQ297" s="6"/>
      <c r="BR297" s="6"/>
      <c r="BS297" s="6"/>
      <c r="BT297" s="6">
        <f t="shared" si="162"/>
        <v>44504.55</v>
      </c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>
        <f t="shared" si="164"/>
        <v>44504.55</v>
      </c>
    </row>
    <row r="298" spans="1:86" x14ac:dyDescent="0.35">
      <c r="A298" s="3" t="s">
        <v>652</v>
      </c>
      <c r="B298" s="10">
        <v>66666.666666666672</v>
      </c>
      <c r="C298" s="10">
        <v>66666.666666666672</v>
      </c>
      <c r="D298" s="10">
        <v>66666.666666666672</v>
      </c>
      <c r="E298" s="10">
        <v>66666.666666666672</v>
      </c>
      <c r="F298" s="10">
        <v>66666.666666666672</v>
      </c>
      <c r="G298" s="10">
        <v>66666.666666666672</v>
      </c>
      <c r="H298" s="10">
        <v>66666.666666666672</v>
      </c>
      <c r="I298" s="10">
        <v>66666.666666666672</v>
      </c>
      <c r="J298" s="10">
        <v>66666.666666666672</v>
      </c>
      <c r="K298" s="10">
        <v>66666.666666666672</v>
      </c>
      <c r="L298" s="10">
        <v>66666.666666666672</v>
      </c>
      <c r="M298" s="10">
        <v>66666.666666666672</v>
      </c>
      <c r="N298" s="27">
        <f t="shared" si="140"/>
        <v>799999.99999999988</v>
      </c>
      <c r="O298" s="38">
        <v>2630.7414985810747</v>
      </c>
      <c r="P298" s="38">
        <v>2630.7414985810747</v>
      </c>
      <c r="Q298" s="38">
        <v>2630.7414985810747</v>
      </c>
      <c r="R298" s="38">
        <v>2630.7414985810747</v>
      </c>
      <c r="S298" s="38">
        <v>2630.7414985810747</v>
      </c>
      <c r="T298" s="38">
        <v>2630.7414985810747</v>
      </c>
      <c r="U298" s="38">
        <v>2630.7414985810747</v>
      </c>
      <c r="V298" s="38">
        <v>2630.7414985810747</v>
      </c>
      <c r="W298" s="38">
        <v>2630.7414985810747</v>
      </c>
      <c r="X298" s="38">
        <v>2630.7414985810747</v>
      </c>
      <c r="Y298" s="38">
        <v>2630.7414985810747</v>
      </c>
      <c r="Z298" s="38">
        <v>2630.7414985810747</v>
      </c>
      <c r="AA298" s="27">
        <f t="shared" si="141"/>
        <v>31568.897982972903</v>
      </c>
      <c r="AB298" s="10">
        <f t="shared" si="160"/>
        <v>64035.925168085596</v>
      </c>
      <c r="AC298" s="10">
        <f t="shared" si="160"/>
        <v>64035.925168085596</v>
      </c>
      <c r="AD298" s="10">
        <f t="shared" si="160"/>
        <v>64035.925168085596</v>
      </c>
      <c r="AE298" s="10">
        <f t="shared" si="160"/>
        <v>64035.925168085596</v>
      </c>
      <c r="AF298" s="10">
        <f t="shared" si="172"/>
        <v>64035.925168085596</v>
      </c>
      <c r="AG298" s="10">
        <f t="shared" si="172"/>
        <v>64035.925168085596</v>
      </c>
      <c r="AH298" s="10">
        <f t="shared" si="172"/>
        <v>64035.925168085596</v>
      </c>
      <c r="AI298" s="10">
        <f t="shared" si="172"/>
        <v>64035.925168085596</v>
      </c>
      <c r="AJ298" s="10">
        <f t="shared" si="172"/>
        <v>64035.925168085596</v>
      </c>
      <c r="AK298" s="10">
        <f t="shared" si="172"/>
        <v>64035.925168085596</v>
      </c>
      <c r="AL298" s="10">
        <f t="shared" si="172"/>
        <v>64035.925168085596</v>
      </c>
      <c r="AM298" s="10">
        <f t="shared" si="172"/>
        <v>64035.925168085596</v>
      </c>
      <c r="AN298" s="27">
        <f t="shared" si="172"/>
        <v>768431.10201702698</v>
      </c>
      <c r="AO298" s="28" t="e">
        <f>SUMIF('[3]2025B and 2025F Details'!$AU:$AU,AP298,'[3]2025B and 2025F Details'!$BH:$BH)</f>
        <v>#VALUE!</v>
      </c>
      <c r="AP298" t="s">
        <v>653</v>
      </c>
      <c r="AS298" t="str">
        <f>_xlfn.XLOOKUP(AU298,[2]GAE!HZ:HZ,[2]GAE!IA:IA)</f>
        <v>IS &amp; IT</v>
      </c>
      <c r="AT298" t="str">
        <f>_xlfn.XLOOKUP(AU298,[2]GAE!HZ:HZ,[2]GAE!IB:IB)</f>
        <v>GAE- Systems &amp; Applications</v>
      </c>
      <c r="AU298" t="s">
        <v>593</v>
      </c>
      <c r="AV298">
        <v>80124101</v>
      </c>
      <c r="AW298">
        <v>61711102</v>
      </c>
      <c r="AX298" t="str">
        <f>_xlfn.XLOOKUP(AU298,[2]GAE!HZ:HZ,[2]GAE!IF:IF)</f>
        <v>Systems &amp; Applications</v>
      </c>
      <c r="BD298" t="s">
        <v>654</v>
      </c>
      <c r="BF298" t="s">
        <v>609</v>
      </c>
      <c r="BG298" t="s">
        <v>65</v>
      </c>
      <c r="BH298" s="10">
        <f>SUMIFS('[1]2026'!$K:$K,'[1]2026'!$T:$T,BD298,'[1]2026'!$S:$S,BH$3,'[1]2026'!$P:$P,AU298)</f>
        <v>0</v>
      </c>
      <c r="BI298" s="10">
        <f>SUMIFS('[1]2026'!$K:$K,'[1]2026'!$T:$T,$BD298,'[1]2026'!$S:$S,BI$3,'[1]2026'!$P:$P,$AU298)</f>
        <v>0</v>
      </c>
      <c r="BJ298" s="10">
        <f>SUMIFS('[1]2026'!$K:$K,'[1]2026'!$T:$T,$BD298,'[1]2026'!$S:$S,BJ$3,'[1]2026'!$P:$P,$AU298)</f>
        <v>0</v>
      </c>
      <c r="BK298" s="10">
        <f>SUMIFS('[1]2026'!$K:$K,'[1]2026'!$T:$T,$BD298,'[1]2026'!$S:$S,BK$3,'[1]2026'!$P:$P,$AU298)</f>
        <v>0</v>
      </c>
      <c r="BL298" s="10">
        <f>SUMIFS('[1]2026'!$K:$K,'[1]2026'!$T:$T,$BD298,'[1]2026'!$S:$S,BL$3,'[1]2026'!$P:$P,$AU298)</f>
        <v>0</v>
      </c>
      <c r="BM298" s="10">
        <f>SUMIFS('[1]2026'!$K:$K,'[1]2026'!$T:$T,$BD298,'[1]2026'!$S:$S,BM$3,'[1]2026'!$P:$P,$AU298)</f>
        <v>0</v>
      </c>
      <c r="BN298" s="10">
        <f>SUMIFS('[1]2026'!$K:$K,'[1]2026'!$T:$T,$BD298,'[1]2026'!$S:$S,BN$3,'[1]2026'!$P:$P,$AU298)</f>
        <v>0</v>
      </c>
      <c r="BO298" s="10">
        <f>SUMIFS('[1]2026'!$K:$K,'[1]2026'!$T:$T,$BD298,'[1]2026'!$S:$S,BO$3,'[1]2026'!$P:$P,$AU298)</f>
        <v>0</v>
      </c>
      <c r="BP298" s="6">
        <f t="shared" ref="BP298:BS298" si="174">BO298</f>
        <v>0</v>
      </c>
      <c r="BQ298" s="6">
        <f t="shared" si="174"/>
        <v>0</v>
      </c>
      <c r="BR298" s="6">
        <f t="shared" si="174"/>
        <v>0</v>
      </c>
      <c r="BS298" s="6">
        <f t="shared" si="174"/>
        <v>0</v>
      </c>
      <c r="BT298" s="6">
        <f t="shared" si="162"/>
        <v>0</v>
      </c>
      <c r="BV298" s="6">
        <f t="shared" ref="BV298:BV324" si="175">BH298-AB298</f>
        <v>-64035.925168085596</v>
      </c>
      <c r="BW298" s="6">
        <f t="shared" ref="BW298:BW324" si="176">BI298-AC298</f>
        <v>-64035.925168085596</v>
      </c>
      <c r="BX298" s="6">
        <f t="shared" ref="BX298:BX324" si="177">BJ298-AD298</f>
        <v>-64035.925168085596</v>
      </c>
      <c r="BY298" s="6">
        <f t="shared" ref="BY298:BY324" si="178">BK298-AE298</f>
        <v>-64035.925168085596</v>
      </c>
      <c r="BZ298" s="6">
        <f t="shared" ref="BZ298:BZ324" si="179">BL298-AF298</f>
        <v>-64035.925168085596</v>
      </c>
      <c r="CA298" s="6">
        <f t="shared" ref="CA298:CA324" si="180">BM298-AG298</f>
        <v>-64035.925168085596</v>
      </c>
      <c r="CB298" s="6">
        <f t="shared" ref="CB298:CB324" si="181">BN298-AH298</f>
        <v>-64035.925168085596</v>
      </c>
      <c r="CC298" s="6">
        <f t="shared" ref="CC298:CC324" si="182">BO298-AI298</f>
        <v>-64035.925168085596</v>
      </c>
      <c r="CD298" s="6">
        <f t="shared" ref="CD298:CD324" si="183">BP298-AJ298</f>
        <v>-64035.925168085596</v>
      </c>
      <c r="CE298" s="6">
        <f t="shared" ref="CE298:CE324" si="184">BQ298-AK298</f>
        <v>-64035.925168085596</v>
      </c>
      <c r="CF298" s="6">
        <f t="shared" ref="CF298:CF324" si="185">BR298-AL298</f>
        <v>-64035.925168085596</v>
      </c>
      <c r="CG298" s="6">
        <f t="shared" ref="CG298:CG324" si="186">BS298-AM298</f>
        <v>-64035.925168085596</v>
      </c>
      <c r="CH298" s="6">
        <f t="shared" si="164"/>
        <v>-768431.10201702698</v>
      </c>
    </row>
    <row r="299" spans="1:86" hidden="1" x14ac:dyDescent="0.35">
      <c r="A299" s="3" t="s">
        <v>654</v>
      </c>
      <c r="AN299" s="27">
        <f>N299-AA299</f>
        <v>0</v>
      </c>
      <c r="AS299" t="str">
        <f>_xlfn.XLOOKUP(AU299,[2]GAE!HZ:HZ,[2]GAE!IA:IA)</f>
        <v>IS &amp; IT</v>
      </c>
      <c r="AT299" t="str">
        <f>_xlfn.XLOOKUP(AU299,[2]GAE!HZ:HZ,[2]GAE!IB:IB)</f>
        <v>DOE - Systems and Applications</v>
      </c>
      <c r="AU299" t="s">
        <v>594</v>
      </c>
      <c r="AV299">
        <v>81124101</v>
      </c>
      <c r="AW299">
        <v>52952103</v>
      </c>
      <c r="AX299" t="str">
        <f>_xlfn.XLOOKUP(AU299,[2]GAE!HZ:HZ,[2]GAE!IF:IF)</f>
        <v>Systems &amp; Applications</v>
      </c>
      <c r="BC299" t="s">
        <v>65</v>
      </c>
      <c r="BD299" t="s">
        <v>654</v>
      </c>
      <c r="BF299" t="s">
        <v>609</v>
      </c>
      <c r="BG299" t="s">
        <v>65</v>
      </c>
      <c r="BH299" s="10">
        <f>SUMIFS('[1]2026'!$K:$K,'[1]2026'!$T:$T,BD299,'[1]2026'!$S:$S,BH$3,'[1]2026'!$P:$P,AU299)</f>
        <v>48771.32</v>
      </c>
      <c r="BI299" s="10">
        <f>SUMIFS('[1]2026'!$K:$K,'[1]2026'!$T:$T,$BD299,'[1]2026'!$S:$S,BI$3,'[1]2026'!$P:$P,$AU299)</f>
        <v>48771.32</v>
      </c>
      <c r="BJ299" s="10">
        <f>SUMIFS('[1]2026'!$K:$K,'[1]2026'!$T:$T,$BD299,'[1]2026'!$S:$S,BJ$3,'[1]2026'!$P:$P,$AU299)</f>
        <v>48771.32</v>
      </c>
      <c r="BK299" s="10">
        <f>SUMIFS('[1]2026'!$K:$K,'[1]2026'!$T:$T,$BD299,'[1]2026'!$S:$S,BK$3,'[1]2026'!$P:$P,$AU299)</f>
        <v>48771.32</v>
      </c>
      <c r="BL299" s="10">
        <f>SUMIFS('[1]2026'!$K:$K,'[1]2026'!$T:$T,$BD299,'[1]2026'!$S:$S,BL$3,'[1]2026'!$P:$P,$AU299)</f>
        <v>48771.32</v>
      </c>
      <c r="BM299" s="10">
        <f>SUMIFS('[1]2026'!$K:$K,'[1]2026'!$T:$T,$BD299,'[1]2026'!$S:$S,BM$3,'[1]2026'!$P:$P,$AU299)</f>
        <v>48771.32</v>
      </c>
      <c r="BN299" s="10">
        <f>SUMIFS('[1]2026'!$K:$K,'[1]2026'!$T:$T,$BD299,'[1]2026'!$S:$S,BN$3,'[1]2026'!$P:$P,$AU299)</f>
        <v>48771.32</v>
      </c>
      <c r="BO299" s="10">
        <f>SUMIFS('[1]2026'!$K:$K,'[1]2026'!$T:$T,$BD299,'[1]2026'!$S:$S,BO$3,'[1]2026'!$P:$P,$AU299)</f>
        <v>48771.32</v>
      </c>
      <c r="BP299" s="6">
        <v>48771.32</v>
      </c>
      <c r="BQ299" s="6">
        <v>48771.32</v>
      </c>
      <c r="BR299" s="6">
        <v>48771.32</v>
      </c>
      <c r="BS299" s="6">
        <v>48771.32</v>
      </c>
      <c r="BT299" s="6">
        <f>SUM(BH299:BS299)</f>
        <v>585255.84</v>
      </c>
      <c r="BV299" s="6">
        <f t="shared" si="175"/>
        <v>48771.32</v>
      </c>
      <c r="BW299" s="6">
        <f t="shared" si="176"/>
        <v>48771.32</v>
      </c>
      <c r="BX299" s="6">
        <f t="shared" si="177"/>
        <v>48771.32</v>
      </c>
      <c r="BY299" s="6">
        <f t="shared" si="178"/>
        <v>48771.32</v>
      </c>
      <c r="BZ299" s="6">
        <f t="shared" si="179"/>
        <v>48771.32</v>
      </c>
      <c r="CA299" s="6">
        <f t="shared" si="180"/>
        <v>48771.32</v>
      </c>
      <c r="CB299" s="6">
        <f t="shared" si="181"/>
        <v>48771.32</v>
      </c>
      <c r="CC299" s="6">
        <f t="shared" si="182"/>
        <v>48771.32</v>
      </c>
      <c r="CD299" s="6">
        <f t="shared" si="183"/>
        <v>48771.32</v>
      </c>
      <c r="CE299" s="6">
        <f t="shared" si="184"/>
        <v>48771.32</v>
      </c>
      <c r="CF299" s="6">
        <f t="shared" si="185"/>
        <v>48771.32</v>
      </c>
      <c r="CG299" s="6">
        <f t="shared" si="186"/>
        <v>48771.32</v>
      </c>
      <c r="CH299" s="6">
        <f t="shared" si="164"/>
        <v>585255.84</v>
      </c>
    </row>
    <row r="300" spans="1:86" x14ac:dyDescent="0.35">
      <c r="A300" s="3" t="s">
        <v>655</v>
      </c>
      <c r="G300" s="10">
        <v>4000</v>
      </c>
      <c r="N300" s="27">
        <f t="shared" si="140"/>
        <v>4000</v>
      </c>
      <c r="O300" s="38"/>
      <c r="P300" s="38"/>
      <c r="Q300" s="38"/>
      <c r="R300" s="38"/>
      <c r="S300" s="38"/>
      <c r="T300" s="38">
        <v>157.84448991486445</v>
      </c>
      <c r="U300" s="38"/>
      <c r="V300" s="38"/>
      <c r="W300" s="38"/>
      <c r="X300" s="38"/>
      <c r="Y300" s="38"/>
      <c r="Z300" s="38"/>
      <c r="AA300" s="27">
        <f t="shared" si="141"/>
        <v>157.84448991486445</v>
      </c>
      <c r="AB300" s="10">
        <f t="shared" si="160"/>
        <v>0</v>
      </c>
      <c r="AC300" s="10">
        <f t="shared" si="160"/>
        <v>0</v>
      </c>
      <c r="AD300" s="10">
        <f t="shared" si="160"/>
        <v>0</v>
      </c>
      <c r="AE300" s="10">
        <f t="shared" si="160"/>
        <v>0</v>
      </c>
      <c r="AF300" s="10">
        <f t="shared" si="172"/>
        <v>0</v>
      </c>
      <c r="AG300" s="10">
        <f t="shared" si="172"/>
        <v>3842.1555100851356</v>
      </c>
      <c r="AH300" s="10">
        <f t="shared" si="172"/>
        <v>0</v>
      </c>
      <c r="AI300" s="10">
        <f t="shared" si="172"/>
        <v>0</v>
      </c>
      <c r="AJ300" s="10">
        <f t="shared" si="172"/>
        <v>0</v>
      </c>
      <c r="AK300" s="10">
        <f t="shared" si="172"/>
        <v>0</v>
      </c>
      <c r="AL300" s="10">
        <f t="shared" si="172"/>
        <v>0</v>
      </c>
      <c r="AM300" s="10">
        <f t="shared" si="172"/>
        <v>0</v>
      </c>
      <c r="AN300" s="27">
        <f t="shared" si="172"/>
        <v>3842.1555100851356</v>
      </c>
      <c r="AO300" s="28" t="e">
        <f>SUMIF('[3]2025B and 2025F Details'!$AU:$AU,AP300,'[3]2025B and 2025F Details'!$BH:$BH)</f>
        <v>#VALUE!</v>
      </c>
      <c r="AP300" t="s">
        <v>66</v>
      </c>
      <c r="AS300" t="str">
        <f>_xlfn.XLOOKUP(AU300,[2]GAE!HZ:HZ,[2]GAE!IA:IA)</f>
        <v>IS &amp; IT</v>
      </c>
      <c r="AT300" t="str">
        <f>_xlfn.XLOOKUP(AU300,[2]GAE!HZ:HZ,[2]GAE!IB:IB)</f>
        <v>GAE- Systems &amp; Applications</v>
      </c>
      <c r="AU300" t="s">
        <v>593</v>
      </c>
      <c r="AV300">
        <v>80124101</v>
      </c>
      <c r="AW300">
        <v>61711102</v>
      </c>
      <c r="AX300" t="str">
        <f>_xlfn.XLOOKUP(AU300,[2]GAE!HZ:HZ,[2]GAE!IF:IF)</f>
        <v>Systems &amp; Applications</v>
      </c>
      <c r="BC300" t="s">
        <v>66</v>
      </c>
      <c r="BD300" t="s">
        <v>66</v>
      </c>
      <c r="BF300" t="s">
        <v>612</v>
      </c>
      <c r="BG300" s="37" t="s">
        <v>66</v>
      </c>
      <c r="BH300" s="10">
        <f>SUMIFS('[1]2026'!$K:$K,'[1]2026'!$T:$T,BD300,'[1]2026'!$S:$S,BH$3,'[1]2026'!$P:$P,AU300)</f>
        <v>0</v>
      </c>
      <c r="BI300" s="10">
        <f>SUMIFS('[1]2026'!$K:$K,'[1]2026'!$T:$T,$BD300,'[1]2026'!$S:$S,BI$3,'[1]2026'!$P:$P,$AU300)</f>
        <v>0</v>
      </c>
      <c r="BJ300" s="10">
        <f>SUMIFS('[1]2026'!$K:$K,'[1]2026'!$T:$T,$BD300,'[1]2026'!$S:$S,BJ$3,'[1]2026'!$P:$P,$AU300)</f>
        <v>2554.15</v>
      </c>
      <c r="BK300" s="10">
        <f>SUMIFS('[1]2026'!$K:$K,'[1]2026'!$T:$T,$BD300,'[1]2026'!$S:$S,BK$3,'[1]2026'!$P:$P,$AU300)</f>
        <v>0</v>
      </c>
      <c r="BL300" s="10">
        <f>SUMIFS('[1]2026'!$K:$K,'[1]2026'!$T:$T,$BD300,'[1]2026'!$S:$S,BL$3,'[1]2026'!$P:$P,$AU300)</f>
        <v>0</v>
      </c>
      <c r="BM300" s="10">
        <f>SUMIFS('[1]2026'!$K:$K,'[1]2026'!$T:$T,$BD300,'[1]2026'!$S:$S,BM$3,'[1]2026'!$P:$P,$AU300)</f>
        <v>0</v>
      </c>
      <c r="BN300" s="10">
        <f>SUMIFS('[1]2026'!$K:$K,'[1]2026'!$T:$T,$BD300,'[1]2026'!$S:$S,BN$3,'[1]2026'!$P:$P,$AU300)</f>
        <v>768.41</v>
      </c>
      <c r="BO300" s="10">
        <f>SUMIFS('[1]2026'!$K:$K,'[1]2026'!$T:$T,$BD300,'[1]2026'!$S:$S,BO$3,'[1]2026'!$P:$P,$AU300)</f>
        <v>4940.9400000000005</v>
      </c>
      <c r="BP300" s="6">
        <f t="shared" ref="BP300:BS306" si="187">BO300</f>
        <v>4940.9400000000005</v>
      </c>
      <c r="BQ300" s="6">
        <f t="shared" si="187"/>
        <v>4940.9400000000005</v>
      </c>
      <c r="BR300" s="6">
        <f t="shared" si="187"/>
        <v>4940.9400000000005</v>
      </c>
      <c r="BS300" s="6">
        <f t="shared" si="187"/>
        <v>4940.9400000000005</v>
      </c>
      <c r="BT300" s="6">
        <f t="shared" si="162"/>
        <v>28027.260000000002</v>
      </c>
      <c r="BV300" s="6">
        <f t="shared" si="175"/>
        <v>0</v>
      </c>
      <c r="BW300" s="6">
        <f t="shared" si="176"/>
        <v>0</v>
      </c>
      <c r="BX300" s="6">
        <f t="shared" si="177"/>
        <v>2554.15</v>
      </c>
      <c r="BY300" s="6">
        <f t="shared" si="178"/>
        <v>0</v>
      </c>
      <c r="BZ300" s="6">
        <f t="shared" si="179"/>
        <v>0</v>
      </c>
      <c r="CA300" s="6">
        <f t="shared" si="180"/>
        <v>-3842.1555100851356</v>
      </c>
      <c r="CB300" s="6">
        <f t="shared" si="181"/>
        <v>768.41</v>
      </c>
      <c r="CC300" s="6">
        <f t="shared" si="182"/>
        <v>4940.9400000000005</v>
      </c>
      <c r="CD300" s="6">
        <f t="shared" si="183"/>
        <v>4940.9400000000005</v>
      </c>
      <c r="CE300" s="6">
        <f t="shared" si="184"/>
        <v>4940.9400000000005</v>
      </c>
      <c r="CF300" s="6">
        <f t="shared" si="185"/>
        <v>4940.9400000000005</v>
      </c>
      <c r="CG300" s="6">
        <f t="shared" si="186"/>
        <v>4940.9400000000005</v>
      </c>
      <c r="CH300" s="6">
        <f t="shared" si="164"/>
        <v>24185.104489914866</v>
      </c>
    </row>
    <row r="301" spans="1:86" x14ac:dyDescent="0.35">
      <c r="A301" s="3" t="s">
        <v>656</v>
      </c>
      <c r="G301" s="10">
        <v>4000</v>
      </c>
      <c r="N301" s="27">
        <f t="shared" si="140"/>
        <v>4000</v>
      </c>
      <c r="O301" s="38"/>
      <c r="P301" s="38"/>
      <c r="Q301" s="38"/>
      <c r="R301" s="38"/>
      <c r="S301" s="38"/>
      <c r="T301" s="38">
        <v>157.84448991486445</v>
      </c>
      <c r="U301" s="38"/>
      <c r="V301" s="38"/>
      <c r="W301" s="38"/>
      <c r="X301" s="38"/>
      <c r="Y301" s="38"/>
      <c r="Z301" s="38"/>
      <c r="AA301" s="27">
        <f t="shared" si="141"/>
        <v>157.84448991486445</v>
      </c>
      <c r="AB301" s="10">
        <f t="shared" si="160"/>
        <v>0</v>
      </c>
      <c r="AC301" s="10">
        <f t="shared" si="160"/>
        <v>0</v>
      </c>
      <c r="AD301" s="10">
        <f t="shared" si="160"/>
        <v>0</v>
      </c>
      <c r="AE301" s="10">
        <f t="shared" si="160"/>
        <v>0</v>
      </c>
      <c r="AF301" s="10">
        <f t="shared" si="172"/>
        <v>0</v>
      </c>
      <c r="AG301" s="10">
        <f t="shared" si="172"/>
        <v>3842.1555100851356</v>
      </c>
      <c r="AH301" s="10">
        <f t="shared" si="172"/>
        <v>0</v>
      </c>
      <c r="AI301" s="10">
        <f t="shared" si="172"/>
        <v>0</v>
      </c>
      <c r="AJ301" s="10">
        <f t="shared" si="172"/>
        <v>0</v>
      </c>
      <c r="AK301" s="10">
        <f t="shared" si="172"/>
        <v>0</v>
      </c>
      <c r="AL301" s="10">
        <f t="shared" si="172"/>
        <v>0</v>
      </c>
      <c r="AM301" s="10">
        <f t="shared" si="172"/>
        <v>0</v>
      </c>
      <c r="AN301" s="27">
        <f t="shared" si="172"/>
        <v>3842.1555100851356</v>
      </c>
      <c r="AP301" t="s">
        <v>66</v>
      </c>
      <c r="AS301" t="str">
        <f>_xlfn.XLOOKUP(AU301,[2]GAE!HZ:HZ,[2]GAE!IA:IA)</f>
        <v>IS &amp; IT</v>
      </c>
      <c r="AT301" t="str">
        <f>_xlfn.XLOOKUP(AU301,[2]GAE!HZ:HZ,[2]GAE!IB:IB)</f>
        <v>GAE- Systems &amp; Applications</v>
      </c>
      <c r="AU301" t="s">
        <v>593</v>
      </c>
      <c r="AV301">
        <v>80124101</v>
      </c>
      <c r="AW301">
        <v>61711102</v>
      </c>
      <c r="AX301" t="str">
        <f>_xlfn.XLOOKUP(AU301,[2]GAE!HZ:HZ,[2]GAE!IF:IF)</f>
        <v>Systems &amp; Applications</v>
      </c>
      <c r="BF301" t="s">
        <v>612</v>
      </c>
      <c r="BG301" s="37" t="s">
        <v>66</v>
      </c>
      <c r="BH301" s="10">
        <f>SUMIFS('[1]2026'!$K:$K,'[1]2026'!$T:$T,BD301,'[1]2026'!$S:$S,BH$3,'[1]2026'!$P:$P,AU301)</f>
        <v>0</v>
      </c>
      <c r="BI301" s="10">
        <f>SUMIFS('[1]2026'!$K:$K,'[1]2026'!$T:$T,$BD301,'[1]2026'!$S:$S,BI$3,'[1]2026'!$P:$P,$AU301)</f>
        <v>0</v>
      </c>
      <c r="BJ301" s="10">
        <f>SUMIFS('[1]2026'!$K:$K,'[1]2026'!$T:$T,$BD301,'[1]2026'!$S:$S,BJ$3,'[1]2026'!$P:$P,$AU301)</f>
        <v>0</v>
      </c>
      <c r="BK301" s="10">
        <f>SUMIFS('[1]2026'!$K:$K,'[1]2026'!$T:$T,$BD301,'[1]2026'!$S:$S,BK$3,'[1]2026'!$P:$P,$AU301)</f>
        <v>0</v>
      </c>
      <c r="BL301" s="10">
        <f>SUMIFS('[1]2026'!$K:$K,'[1]2026'!$T:$T,$BD301,'[1]2026'!$S:$S,BL$3,'[1]2026'!$P:$P,$AU301)</f>
        <v>0</v>
      </c>
      <c r="BM301" s="10">
        <f>SUMIFS('[1]2026'!$K:$K,'[1]2026'!$T:$T,$BD301,'[1]2026'!$S:$S,BM$3,'[1]2026'!$P:$P,$AU301)</f>
        <v>0</v>
      </c>
      <c r="BN301" s="10">
        <f>SUMIFS('[1]2026'!$K:$K,'[1]2026'!$T:$T,$BD301,'[1]2026'!$S:$S,BN$3,'[1]2026'!$P:$P,$AU301)</f>
        <v>0</v>
      </c>
      <c r="BO301" s="10">
        <f>SUMIFS('[1]2026'!$K:$K,'[1]2026'!$T:$T,$BD301,'[1]2026'!$S:$S,BO$3,'[1]2026'!$P:$P,$AU301)</f>
        <v>0</v>
      </c>
      <c r="BP301" s="6">
        <f t="shared" si="187"/>
        <v>0</v>
      </c>
      <c r="BQ301" s="6">
        <f t="shared" si="187"/>
        <v>0</v>
      </c>
      <c r="BR301" s="6">
        <f t="shared" si="187"/>
        <v>0</v>
      </c>
      <c r="BS301" s="6">
        <f t="shared" si="187"/>
        <v>0</v>
      </c>
      <c r="BT301" s="6">
        <f t="shared" si="162"/>
        <v>0</v>
      </c>
      <c r="BV301" s="6">
        <f t="shared" si="175"/>
        <v>0</v>
      </c>
      <c r="BW301" s="6">
        <f t="shared" si="176"/>
        <v>0</v>
      </c>
      <c r="BX301" s="6">
        <f t="shared" si="177"/>
        <v>0</v>
      </c>
      <c r="BY301" s="6">
        <f t="shared" si="178"/>
        <v>0</v>
      </c>
      <c r="BZ301" s="6">
        <f t="shared" si="179"/>
        <v>0</v>
      </c>
      <c r="CA301" s="6">
        <f t="shared" si="180"/>
        <v>-3842.1555100851356</v>
      </c>
      <c r="CB301" s="6">
        <f t="shared" si="181"/>
        <v>0</v>
      </c>
      <c r="CC301" s="6">
        <f t="shared" si="182"/>
        <v>0</v>
      </c>
      <c r="CD301" s="6">
        <f t="shared" si="183"/>
        <v>0</v>
      </c>
      <c r="CE301" s="6">
        <f t="shared" si="184"/>
        <v>0</v>
      </c>
      <c r="CF301" s="6">
        <f t="shared" si="185"/>
        <v>0</v>
      </c>
      <c r="CG301" s="6">
        <f t="shared" si="186"/>
        <v>0</v>
      </c>
      <c r="CH301" s="6">
        <f t="shared" si="164"/>
        <v>-3842.1555100851356</v>
      </c>
    </row>
    <row r="302" spans="1:86" x14ac:dyDescent="0.35">
      <c r="A302" s="3" t="s">
        <v>657</v>
      </c>
      <c r="G302" s="10">
        <v>4000</v>
      </c>
      <c r="N302" s="27">
        <f t="shared" si="140"/>
        <v>4000</v>
      </c>
      <c r="O302" s="38"/>
      <c r="P302" s="38"/>
      <c r="Q302" s="38"/>
      <c r="R302" s="38"/>
      <c r="S302" s="38"/>
      <c r="T302" s="38">
        <v>157.84448991486445</v>
      </c>
      <c r="U302" s="38"/>
      <c r="V302" s="38"/>
      <c r="W302" s="38"/>
      <c r="X302" s="38"/>
      <c r="Y302" s="38"/>
      <c r="Z302" s="38"/>
      <c r="AA302" s="27">
        <f t="shared" si="141"/>
        <v>157.84448991486445</v>
      </c>
      <c r="AB302" s="10">
        <f t="shared" si="160"/>
        <v>0</v>
      </c>
      <c r="AC302" s="10">
        <f t="shared" si="160"/>
        <v>0</v>
      </c>
      <c r="AD302" s="10">
        <f t="shared" si="160"/>
        <v>0</v>
      </c>
      <c r="AE302" s="10">
        <f t="shared" si="160"/>
        <v>0</v>
      </c>
      <c r="AF302" s="10">
        <f t="shared" si="172"/>
        <v>0</v>
      </c>
      <c r="AG302" s="10">
        <f t="shared" si="172"/>
        <v>3842.1555100851356</v>
      </c>
      <c r="AH302" s="10">
        <f t="shared" si="172"/>
        <v>0</v>
      </c>
      <c r="AI302" s="10">
        <f t="shared" si="172"/>
        <v>0</v>
      </c>
      <c r="AJ302" s="10">
        <f t="shared" si="172"/>
        <v>0</v>
      </c>
      <c r="AK302" s="10">
        <f t="shared" si="172"/>
        <v>0</v>
      </c>
      <c r="AL302" s="10">
        <f t="shared" si="172"/>
        <v>0</v>
      </c>
      <c r="AM302" s="10">
        <f t="shared" si="172"/>
        <v>0</v>
      </c>
      <c r="AN302" s="27">
        <f t="shared" si="172"/>
        <v>3842.1555100851356</v>
      </c>
      <c r="AP302" t="s">
        <v>66</v>
      </c>
      <c r="AS302" t="str">
        <f>_xlfn.XLOOKUP(AU302,[2]GAE!HZ:HZ,[2]GAE!IA:IA)</f>
        <v>IS &amp; IT</v>
      </c>
      <c r="AT302" t="str">
        <f>_xlfn.XLOOKUP(AU302,[2]GAE!HZ:HZ,[2]GAE!IB:IB)</f>
        <v>GAE- Systems &amp; Applications</v>
      </c>
      <c r="AU302" t="s">
        <v>593</v>
      </c>
      <c r="AV302">
        <v>80124101</v>
      </c>
      <c r="AW302">
        <v>61711102</v>
      </c>
      <c r="AX302" t="str">
        <f>_xlfn.XLOOKUP(AU302,[2]GAE!HZ:HZ,[2]GAE!IF:IF)</f>
        <v>Systems &amp; Applications</v>
      </c>
      <c r="BF302" t="s">
        <v>612</v>
      </c>
      <c r="BG302" s="37" t="s">
        <v>66</v>
      </c>
      <c r="BH302" s="10">
        <f>SUMIFS('[1]2026'!$K:$K,'[1]2026'!$T:$T,BD302,'[1]2026'!$S:$S,BH$3,'[1]2026'!$P:$P,AU302)</f>
        <v>0</v>
      </c>
      <c r="BI302" s="10">
        <f>SUMIFS('[1]2026'!$K:$K,'[1]2026'!$T:$T,$BD302,'[1]2026'!$S:$S,BI$3,'[1]2026'!$P:$P,$AU302)</f>
        <v>0</v>
      </c>
      <c r="BJ302" s="10">
        <f>SUMIFS('[1]2026'!$K:$K,'[1]2026'!$T:$T,$BD302,'[1]2026'!$S:$S,BJ$3,'[1]2026'!$P:$P,$AU302)</f>
        <v>0</v>
      </c>
      <c r="BK302" s="10">
        <f>SUMIFS('[1]2026'!$K:$K,'[1]2026'!$T:$T,$BD302,'[1]2026'!$S:$S,BK$3,'[1]2026'!$P:$P,$AU302)</f>
        <v>0</v>
      </c>
      <c r="BL302" s="10">
        <f>SUMIFS('[1]2026'!$K:$K,'[1]2026'!$T:$T,$BD302,'[1]2026'!$S:$S,BL$3,'[1]2026'!$P:$P,$AU302)</f>
        <v>0</v>
      </c>
      <c r="BM302" s="10">
        <f>SUMIFS('[1]2026'!$K:$K,'[1]2026'!$T:$T,$BD302,'[1]2026'!$S:$S,BM$3,'[1]2026'!$P:$P,$AU302)</f>
        <v>0</v>
      </c>
      <c r="BN302" s="10">
        <f>SUMIFS('[1]2026'!$K:$K,'[1]2026'!$T:$T,$BD302,'[1]2026'!$S:$S,BN$3,'[1]2026'!$P:$P,$AU302)</f>
        <v>0</v>
      </c>
      <c r="BO302" s="10">
        <f>SUMIFS('[1]2026'!$K:$K,'[1]2026'!$T:$T,$BD302,'[1]2026'!$S:$S,BO$3,'[1]2026'!$P:$P,$AU302)</f>
        <v>0</v>
      </c>
      <c r="BP302" s="6">
        <f t="shared" si="187"/>
        <v>0</v>
      </c>
      <c r="BQ302" s="6">
        <f t="shared" si="187"/>
        <v>0</v>
      </c>
      <c r="BR302" s="6">
        <f t="shared" si="187"/>
        <v>0</v>
      </c>
      <c r="BS302" s="6">
        <f t="shared" si="187"/>
        <v>0</v>
      </c>
      <c r="BT302" s="6">
        <f t="shared" si="162"/>
        <v>0</v>
      </c>
      <c r="BV302" s="6">
        <f t="shared" si="175"/>
        <v>0</v>
      </c>
      <c r="BW302" s="6">
        <f t="shared" si="176"/>
        <v>0</v>
      </c>
      <c r="BX302" s="6">
        <f t="shared" si="177"/>
        <v>0</v>
      </c>
      <c r="BY302" s="6">
        <f t="shared" si="178"/>
        <v>0</v>
      </c>
      <c r="BZ302" s="6">
        <f t="shared" si="179"/>
        <v>0</v>
      </c>
      <c r="CA302" s="6">
        <f t="shared" si="180"/>
        <v>-3842.1555100851356</v>
      </c>
      <c r="CB302" s="6">
        <f t="shared" si="181"/>
        <v>0</v>
      </c>
      <c r="CC302" s="6">
        <f t="shared" si="182"/>
        <v>0</v>
      </c>
      <c r="CD302" s="6">
        <f t="shared" si="183"/>
        <v>0</v>
      </c>
      <c r="CE302" s="6">
        <f t="shared" si="184"/>
        <v>0</v>
      </c>
      <c r="CF302" s="6">
        <f t="shared" si="185"/>
        <v>0</v>
      </c>
      <c r="CG302" s="6">
        <f t="shared" si="186"/>
        <v>0</v>
      </c>
      <c r="CH302" s="6">
        <f t="shared" si="164"/>
        <v>-3842.1555100851356</v>
      </c>
    </row>
    <row r="303" spans="1:86" hidden="1" x14ac:dyDescent="0.35">
      <c r="A303" s="3" t="s">
        <v>66</v>
      </c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N303" s="27">
        <f>N303-AA303</f>
        <v>0</v>
      </c>
      <c r="AS303" t="str">
        <f>_xlfn.XLOOKUP(AU303,[2]GAE!HZ:HZ,[2]GAE!IA:IA)</f>
        <v>IS &amp; IT</v>
      </c>
      <c r="AT303" t="str">
        <f>_xlfn.XLOOKUP(AU303,[2]GAE!HZ:HZ,[2]GAE!IB:IB)</f>
        <v>DOE - Systems and Applications</v>
      </c>
      <c r="AU303" t="s">
        <v>594</v>
      </c>
      <c r="AV303">
        <v>81124101</v>
      </c>
      <c r="AW303">
        <v>52952103</v>
      </c>
      <c r="AX303" t="str">
        <f>_xlfn.XLOOKUP(AU303,[2]GAE!HZ:HZ,[2]GAE!IF:IF)</f>
        <v>Systems &amp; Applications</v>
      </c>
      <c r="BC303" t="s">
        <v>66</v>
      </c>
      <c r="BD303" t="s">
        <v>66</v>
      </c>
      <c r="BF303" t="s">
        <v>612</v>
      </c>
      <c r="BG303" s="37" t="s">
        <v>66</v>
      </c>
      <c r="BJ303" s="10">
        <f>SUMIFS('[1]2026'!$K:$K,'[1]2026'!$T:$T,$BD303,'[1]2026'!$S:$S,BJ$3,'[1]2026'!$P:$P,$AU303)</f>
        <v>2554.15</v>
      </c>
      <c r="BK303" s="10">
        <f>SUMIFS('[1]2026'!$K:$K,'[1]2026'!$T:$T,$BD303,'[1]2026'!$S:$S,BK$3,'[1]2026'!$P:$P,$AU303)</f>
        <v>0</v>
      </c>
      <c r="BL303" s="10">
        <f>SUMIFS('[1]2026'!$K:$K,'[1]2026'!$T:$T,$BD303,'[1]2026'!$S:$S,BL$3,'[1]2026'!$P:$P,$AU303)</f>
        <v>27233.53</v>
      </c>
      <c r="BM303" s="10">
        <f>SUMIFS('[1]2026'!$K:$K,'[1]2026'!$T:$T,$BD303,'[1]2026'!$S:$S,BM$3,'[1]2026'!$P:$P,$AU303)</f>
        <v>20961.259999999998</v>
      </c>
      <c r="BN303" s="10">
        <f>SUMIFS('[1]2026'!$K:$K,'[1]2026'!$T:$T,$BD303,'[1]2026'!$S:$S,BN$3,'[1]2026'!$P:$P,$AU303)</f>
        <v>2692.74</v>
      </c>
      <c r="BO303" s="10">
        <f>SUMIFS('[1]2026'!$K:$K,'[1]2026'!$T:$T,$BD303,'[1]2026'!$S:$S,BO$3,'[1]2026'!$P:$P,$AU303)</f>
        <v>22217.980000000003</v>
      </c>
      <c r="BP303" s="6">
        <v>20961.259999999998</v>
      </c>
      <c r="BQ303" s="6">
        <v>20961.259999999998</v>
      </c>
      <c r="BR303" s="6">
        <v>20961.259999999998</v>
      </c>
      <c r="BS303" s="6">
        <v>20961.259999999998</v>
      </c>
      <c r="BT303" s="6">
        <f t="shared" si="162"/>
        <v>159504.70000000001</v>
      </c>
      <c r="BV303" s="6">
        <f t="shared" si="175"/>
        <v>0</v>
      </c>
      <c r="BW303" s="6">
        <f t="shared" si="176"/>
        <v>0</v>
      </c>
      <c r="BX303" s="6">
        <f t="shared" si="177"/>
        <v>2554.15</v>
      </c>
      <c r="BY303" s="6">
        <f t="shared" si="178"/>
        <v>0</v>
      </c>
      <c r="BZ303" s="6">
        <f t="shared" si="179"/>
        <v>27233.53</v>
      </c>
      <c r="CA303" s="6">
        <f t="shared" si="180"/>
        <v>20961.259999999998</v>
      </c>
      <c r="CB303" s="6">
        <f t="shared" si="181"/>
        <v>2692.74</v>
      </c>
      <c r="CC303" s="6">
        <f t="shared" si="182"/>
        <v>22217.980000000003</v>
      </c>
      <c r="CD303" s="6">
        <f t="shared" si="183"/>
        <v>20961.259999999998</v>
      </c>
      <c r="CE303" s="6">
        <f t="shared" si="184"/>
        <v>20961.259999999998</v>
      </c>
      <c r="CF303" s="6">
        <f t="shared" si="185"/>
        <v>20961.259999999998</v>
      </c>
      <c r="CG303" s="6">
        <f t="shared" si="186"/>
        <v>20961.259999999998</v>
      </c>
      <c r="CH303" s="6">
        <f t="shared" si="164"/>
        <v>159504.70000000001</v>
      </c>
    </row>
    <row r="304" spans="1:86" x14ac:dyDescent="0.35">
      <c r="A304" s="3" t="s">
        <v>658</v>
      </c>
      <c r="G304" s="10">
        <v>25000</v>
      </c>
      <c r="N304" s="27">
        <f t="shared" si="140"/>
        <v>25000</v>
      </c>
      <c r="O304" s="38"/>
      <c r="P304" s="38"/>
      <c r="Q304" s="38"/>
      <c r="R304" s="38"/>
      <c r="S304" s="38"/>
      <c r="T304" s="38">
        <v>986.52806196790323</v>
      </c>
      <c r="U304" s="38"/>
      <c r="V304" s="38"/>
      <c r="W304" s="38"/>
      <c r="X304" s="38"/>
      <c r="Y304" s="38"/>
      <c r="Z304" s="38"/>
      <c r="AA304" s="27">
        <f t="shared" si="141"/>
        <v>986.52806196790323</v>
      </c>
      <c r="AB304" s="10">
        <f t="shared" si="160"/>
        <v>0</v>
      </c>
      <c r="AC304" s="10">
        <f t="shared" si="160"/>
        <v>0</v>
      </c>
      <c r="AD304" s="10">
        <f t="shared" si="160"/>
        <v>0</v>
      </c>
      <c r="AE304" s="10">
        <f t="shared" si="160"/>
        <v>0</v>
      </c>
      <c r="AF304" s="10">
        <f t="shared" si="172"/>
        <v>0</v>
      </c>
      <c r="AG304" s="10">
        <f t="shared" si="172"/>
        <v>24013.471938032097</v>
      </c>
      <c r="AH304" s="10">
        <f t="shared" si="172"/>
        <v>0</v>
      </c>
      <c r="AI304" s="10">
        <f t="shared" si="172"/>
        <v>0</v>
      </c>
      <c r="AJ304" s="10">
        <f t="shared" si="172"/>
        <v>0</v>
      </c>
      <c r="AK304" s="10">
        <f t="shared" si="172"/>
        <v>0</v>
      </c>
      <c r="AL304" s="10">
        <f t="shared" si="172"/>
        <v>0</v>
      </c>
      <c r="AM304" s="10">
        <f t="shared" si="172"/>
        <v>0</v>
      </c>
      <c r="AN304" s="27">
        <f t="shared" si="172"/>
        <v>24013.471938032097</v>
      </c>
      <c r="AP304" t="s">
        <v>66</v>
      </c>
      <c r="AS304" t="str">
        <f>_xlfn.XLOOKUP(AU304,[2]GAE!HZ:HZ,[2]GAE!IA:IA)</f>
        <v>IS &amp; IT</v>
      </c>
      <c r="AT304" t="str">
        <f>_xlfn.XLOOKUP(AU304,[2]GAE!HZ:HZ,[2]GAE!IB:IB)</f>
        <v>GAE- Systems &amp; Applications</v>
      </c>
      <c r="AU304" t="s">
        <v>593</v>
      </c>
      <c r="AV304">
        <v>80124101</v>
      </c>
      <c r="AW304">
        <v>61711102</v>
      </c>
      <c r="AX304" t="str">
        <f>_xlfn.XLOOKUP(AU304,[2]GAE!HZ:HZ,[2]GAE!IF:IF)</f>
        <v>Systems &amp; Applications</v>
      </c>
      <c r="BF304" t="s">
        <v>612</v>
      </c>
      <c r="BG304" s="37" t="s">
        <v>66</v>
      </c>
      <c r="BH304" s="10">
        <f>SUMIFS('[1]2026'!$K:$K,'[1]2026'!$T:$T,BD304,'[1]2026'!$S:$S,BH$3,'[1]2026'!$P:$P,AU304)</f>
        <v>0</v>
      </c>
      <c r="BI304" s="10">
        <f>SUMIFS('[1]2026'!$K:$K,'[1]2026'!$T:$T,$BD304,'[1]2026'!$S:$S,BI$3,'[1]2026'!$P:$P,$AU304)</f>
        <v>0</v>
      </c>
      <c r="BJ304" s="10">
        <f>SUMIFS('[1]2026'!$K:$K,'[1]2026'!$T:$T,$BD304,'[1]2026'!$S:$S,BJ$3,'[1]2026'!$P:$P,$AU304)</f>
        <v>0</v>
      </c>
      <c r="BK304" s="10">
        <f>SUMIFS('[1]2026'!$K:$K,'[1]2026'!$T:$T,$BD304,'[1]2026'!$S:$S,BK$3,'[1]2026'!$P:$P,$AU304)</f>
        <v>0</v>
      </c>
      <c r="BL304" s="10">
        <f>SUMIFS('[1]2026'!$K:$K,'[1]2026'!$T:$T,$BD304,'[1]2026'!$S:$S,BL$3,'[1]2026'!$P:$P,$AU304)</f>
        <v>0</v>
      </c>
      <c r="BM304" s="10">
        <f>SUMIFS('[1]2026'!$K:$K,'[1]2026'!$T:$T,$BD304,'[1]2026'!$S:$S,BM$3,'[1]2026'!$P:$P,$AU304)</f>
        <v>0</v>
      </c>
      <c r="BN304" s="10">
        <f>SUMIFS('[1]2026'!$K:$K,'[1]2026'!$T:$T,$BD304,'[1]2026'!$S:$S,BN$3,'[1]2026'!$P:$P,$AU304)</f>
        <v>0</v>
      </c>
      <c r="BO304" s="10">
        <f>SUMIFS('[1]2026'!$K:$K,'[1]2026'!$T:$T,$BD304,'[1]2026'!$S:$S,BO$3,'[1]2026'!$P:$P,$AU304)</f>
        <v>0</v>
      </c>
      <c r="BP304" s="6">
        <f t="shared" si="187"/>
        <v>0</v>
      </c>
      <c r="BQ304" s="6">
        <f t="shared" si="187"/>
        <v>0</v>
      </c>
      <c r="BR304" s="6">
        <f t="shared" si="187"/>
        <v>0</v>
      </c>
      <c r="BS304" s="6">
        <f t="shared" si="187"/>
        <v>0</v>
      </c>
      <c r="BT304" s="6">
        <f t="shared" si="162"/>
        <v>0</v>
      </c>
      <c r="BV304" s="6">
        <f t="shared" si="175"/>
        <v>0</v>
      </c>
      <c r="BW304" s="6">
        <f t="shared" si="176"/>
        <v>0</v>
      </c>
      <c r="BX304" s="6">
        <f t="shared" si="177"/>
        <v>0</v>
      </c>
      <c r="BY304" s="6">
        <f t="shared" si="178"/>
        <v>0</v>
      </c>
      <c r="BZ304" s="6">
        <f t="shared" si="179"/>
        <v>0</v>
      </c>
      <c r="CA304" s="6">
        <f t="shared" si="180"/>
        <v>-24013.471938032097</v>
      </c>
      <c r="CB304" s="6">
        <f t="shared" si="181"/>
        <v>0</v>
      </c>
      <c r="CC304" s="6">
        <f t="shared" si="182"/>
        <v>0</v>
      </c>
      <c r="CD304" s="6">
        <f t="shared" si="183"/>
        <v>0</v>
      </c>
      <c r="CE304" s="6">
        <f t="shared" si="184"/>
        <v>0</v>
      </c>
      <c r="CF304" s="6">
        <f t="shared" si="185"/>
        <v>0</v>
      </c>
      <c r="CG304" s="6">
        <f t="shared" si="186"/>
        <v>0</v>
      </c>
      <c r="CH304" s="6">
        <f t="shared" si="164"/>
        <v>-24013.471938032097</v>
      </c>
    </row>
    <row r="305" spans="1:86" x14ac:dyDescent="0.35">
      <c r="A305" s="3" t="s">
        <v>659</v>
      </c>
      <c r="G305" s="10">
        <v>25000</v>
      </c>
      <c r="N305" s="27">
        <f t="shared" ref="N305:N327" si="188">SUM(B305:M305)</f>
        <v>25000</v>
      </c>
      <c r="O305" s="38"/>
      <c r="P305" s="38"/>
      <c r="Q305" s="38"/>
      <c r="R305" s="38"/>
      <c r="S305" s="38"/>
      <c r="T305" s="38">
        <v>986.52806196790323</v>
      </c>
      <c r="U305" s="38"/>
      <c r="V305" s="38"/>
      <c r="W305" s="38"/>
      <c r="X305" s="38"/>
      <c r="Y305" s="38"/>
      <c r="Z305" s="38"/>
      <c r="AA305" s="27">
        <f t="shared" ref="AA305:AA327" si="189">SUM(O305:Z305)</f>
        <v>986.52806196790323</v>
      </c>
      <c r="AB305" s="10">
        <f t="shared" si="160"/>
        <v>0</v>
      </c>
      <c r="AC305" s="10">
        <f t="shared" si="160"/>
        <v>0</v>
      </c>
      <c r="AD305" s="10">
        <f t="shared" si="160"/>
        <v>0</v>
      </c>
      <c r="AE305" s="10">
        <f t="shared" si="160"/>
        <v>0</v>
      </c>
      <c r="AF305" s="10">
        <f t="shared" si="172"/>
        <v>0</v>
      </c>
      <c r="AG305" s="10">
        <f t="shared" si="172"/>
        <v>24013.471938032097</v>
      </c>
      <c r="AH305" s="10">
        <f t="shared" si="172"/>
        <v>0</v>
      </c>
      <c r="AI305" s="10">
        <f t="shared" si="172"/>
        <v>0</v>
      </c>
      <c r="AJ305" s="10">
        <f t="shared" si="172"/>
        <v>0</v>
      </c>
      <c r="AK305" s="10">
        <f t="shared" si="172"/>
        <v>0</v>
      </c>
      <c r="AL305" s="10">
        <f t="shared" si="172"/>
        <v>0</v>
      </c>
      <c r="AM305" s="10">
        <f t="shared" si="172"/>
        <v>0</v>
      </c>
      <c r="AN305" s="27">
        <f t="shared" si="172"/>
        <v>24013.471938032097</v>
      </c>
      <c r="AP305" t="s">
        <v>66</v>
      </c>
      <c r="AS305" t="str">
        <f>_xlfn.XLOOKUP(AU305,[2]GAE!HZ:HZ,[2]GAE!IA:IA)</f>
        <v>IS &amp; IT</v>
      </c>
      <c r="AT305" t="str">
        <f>_xlfn.XLOOKUP(AU305,[2]GAE!HZ:HZ,[2]GAE!IB:IB)</f>
        <v>GAE- Systems &amp; Applications</v>
      </c>
      <c r="AU305" t="s">
        <v>593</v>
      </c>
      <c r="AV305">
        <v>80124101</v>
      </c>
      <c r="AW305">
        <v>61711102</v>
      </c>
      <c r="AX305" t="str">
        <f>_xlfn.XLOOKUP(AU305,[2]GAE!HZ:HZ,[2]GAE!IF:IF)</f>
        <v>Systems &amp; Applications</v>
      </c>
      <c r="BF305" t="s">
        <v>612</v>
      </c>
      <c r="BG305" s="37" t="s">
        <v>66</v>
      </c>
      <c r="BH305" s="10">
        <f>SUMIFS('[1]2026'!$K:$K,'[1]2026'!$T:$T,BD305,'[1]2026'!$S:$S,BH$3,'[1]2026'!$P:$P,AU305)</f>
        <v>0</v>
      </c>
      <c r="BI305" s="10">
        <f>SUMIFS('[1]2026'!$K:$K,'[1]2026'!$T:$T,$BD305,'[1]2026'!$S:$S,BI$3,'[1]2026'!$P:$P,$AU305)</f>
        <v>0</v>
      </c>
      <c r="BJ305" s="10">
        <f>SUMIFS('[1]2026'!$K:$K,'[1]2026'!$T:$T,$BD305,'[1]2026'!$S:$S,BJ$3,'[1]2026'!$P:$P,$AU305)</f>
        <v>0</v>
      </c>
      <c r="BK305" s="10">
        <f>SUMIFS('[1]2026'!$K:$K,'[1]2026'!$T:$T,$BD305,'[1]2026'!$S:$S,BK$3,'[1]2026'!$P:$P,$AU305)</f>
        <v>0</v>
      </c>
      <c r="BL305" s="10">
        <f>SUMIFS('[1]2026'!$K:$K,'[1]2026'!$T:$T,$BD305,'[1]2026'!$S:$S,BL$3,'[1]2026'!$P:$P,$AU305)</f>
        <v>0</v>
      </c>
      <c r="BM305" s="10">
        <f>SUMIFS('[1]2026'!$K:$K,'[1]2026'!$T:$T,$BD305,'[1]2026'!$S:$S,BM$3,'[1]2026'!$P:$P,$AU305)</f>
        <v>0</v>
      </c>
      <c r="BN305" s="10">
        <f>SUMIFS('[1]2026'!$K:$K,'[1]2026'!$T:$T,$BD305,'[1]2026'!$S:$S,BN$3,'[1]2026'!$P:$P,$AU305)</f>
        <v>0</v>
      </c>
      <c r="BO305" s="10">
        <f>SUMIFS('[1]2026'!$K:$K,'[1]2026'!$T:$T,$BD305,'[1]2026'!$S:$S,BO$3,'[1]2026'!$P:$P,$AU305)</f>
        <v>0</v>
      </c>
      <c r="BP305" s="6">
        <f t="shared" si="187"/>
        <v>0</v>
      </c>
      <c r="BQ305" s="6">
        <f t="shared" si="187"/>
        <v>0</v>
      </c>
      <c r="BR305" s="6">
        <f t="shared" si="187"/>
        <v>0</v>
      </c>
      <c r="BS305" s="6">
        <f t="shared" si="187"/>
        <v>0</v>
      </c>
      <c r="BT305" s="6">
        <f t="shared" si="162"/>
        <v>0</v>
      </c>
      <c r="BV305" s="6">
        <f t="shared" si="175"/>
        <v>0</v>
      </c>
      <c r="BW305" s="6">
        <f t="shared" si="176"/>
        <v>0</v>
      </c>
      <c r="BX305" s="6">
        <f t="shared" si="177"/>
        <v>0</v>
      </c>
      <c r="BY305" s="6">
        <f t="shared" si="178"/>
        <v>0</v>
      </c>
      <c r="BZ305" s="6">
        <f t="shared" si="179"/>
        <v>0</v>
      </c>
      <c r="CA305" s="6">
        <f t="shared" si="180"/>
        <v>-24013.471938032097</v>
      </c>
      <c r="CB305" s="6">
        <f t="shared" si="181"/>
        <v>0</v>
      </c>
      <c r="CC305" s="6">
        <f t="shared" si="182"/>
        <v>0</v>
      </c>
      <c r="CD305" s="6">
        <f t="shared" si="183"/>
        <v>0</v>
      </c>
      <c r="CE305" s="6">
        <f t="shared" si="184"/>
        <v>0</v>
      </c>
      <c r="CF305" s="6">
        <f t="shared" si="185"/>
        <v>0</v>
      </c>
      <c r="CG305" s="6">
        <f t="shared" si="186"/>
        <v>0</v>
      </c>
      <c r="CH305" s="6">
        <f t="shared" si="164"/>
        <v>-24013.471938032097</v>
      </c>
    </row>
    <row r="306" spans="1:86" x14ac:dyDescent="0.35">
      <c r="A306" s="3" t="s">
        <v>660</v>
      </c>
      <c r="B306" s="10">
        <v>8333.3333333333339</v>
      </c>
      <c r="C306" s="10">
        <v>8333.3333333333339</v>
      </c>
      <c r="D306" s="10">
        <v>8333.3333333333339</v>
      </c>
      <c r="E306" s="10">
        <v>8333.3333333333339</v>
      </c>
      <c r="F306" s="10">
        <v>8333.3333333333339</v>
      </c>
      <c r="G306" s="10">
        <v>8333.3333333333339</v>
      </c>
      <c r="H306" s="10">
        <v>8333.3333333333339</v>
      </c>
      <c r="I306" s="10">
        <v>8333.3333333333339</v>
      </c>
      <c r="J306" s="10">
        <v>8333.3333333333339</v>
      </c>
      <c r="K306" s="10">
        <v>8333.3333333333339</v>
      </c>
      <c r="L306" s="10">
        <v>8333.3333333333339</v>
      </c>
      <c r="M306" s="10">
        <v>8333.3333333333339</v>
      </c>
      <c r="N306" s="27">
        <f t="shared" si="188"/>
        <v>99999.999999999985</v>
      </c>
      <c r="O306" s="10">
        <v>8333.3333333333339</v>
      </c>
      <c r="P306" s="10">
        <v>8333.3333333333339</v>
      </c>
      <c r="Q306" s="10">
        <v>8333.3333333333339</v>
      </c>
      <c r="R306" s="10">
        <v>8333.3333333333339</v>
      </c>
      <c r="S306" s="10">
        <v>8333.3333333333339</v>
      </c>
      <c r="T306" s="10">
        <v>8333.3333333333339</v>
      </c>
      <c r="U306" s="10">
        <v>8333.3333333333339</v>
      </c>
      <c r="V306" s="10">
        <v>8333.3333333333339</v>
      </c>
      <c r="W306" s="10">
        <v>8333.3333333333339</v>
      </c>
      <c r="X306" s="10">
        <v>8333.3333333333339</v>
      </c>
      <c r="Y306" s="10">
        <v>8333.3333333333339</v>
      </c>
      <c r="Z306" s="10">
        <v>8333.3333333333339</v>
      </c>
      <c r="AA306" s="27">
        <f t="shared" si="189"/>
        <v>99999.999999999985</v>
      </c>
      <c r="AB306" s="10">
        <f t="shared" si="160"/>
        <v>0</v>
      </c>
      <c r="AC306" s="10">
        <f t="shared" si="160"/>
        <v>0</v>
      </c>
      <c r="AD306" s="10">
        <f t="shared" si="160"/>
        <v>0</v>
      </c>
      <c r="AE306" s="10">
        <f t="shared" si="160"/>
        <v>0</v>
      </c>
      <c r="AF306" s="10">
        <f t="shared" si="172"/>
        <v>0</v>
      </c>
      <c r="AG306" s="10">
        <f t="shared" si="172"/>
        <v>0</v>
      </c>
      <c r="AH306" s="10">
        <f t="shared" si="172"/>
        <v>0</v>
      </c>
      <c r="AI306" s="10">
        <f t="shared" si="172"/>
        <v>0</v>
      </c>
      <c r="AJ306" s="10">
        <f t="shared" si="172"/>
        <v>0</v>
      </c>
      <c r="AK306" s="10">
        <f t="shared" si="172"/>
        <v>0</v>
      </c>
      <c r="AL306" s="10">
        <f t="shared" si="172"/>
        <v>0</v>
      </c>
      <c r="AM306" s="10">
        <f t="shared" si="172"/>
        <v>0</v>
      </c>
      <c r="AN306" s="27">
        <f t="shared" si="172"/>
        <v>0</v>
      </c>
      <c r="AO306" s="28" t="e">
        <f>SUMIF('[3]2025B and 2025F Details'!$AU:$AU,AP306,'[3]2025B and 2025F Details'!$BH:$BH)</f>
        <v>#VALUE!</v>
      </c>
      <c r="AP306" t="s">
        <v>661</v>
      </c>
      <c r="AS306" t="str">
        <f>_xlfn.XLOOKUP(AU306,[2]GAE!HZ:HZ,[2]GAE!IA:IA)</f>
        <v>IS &amp; IT</v>
      </c>
      <c r="AT306" t="str">
        <f>_xlfn.XLOOKUP(AU306,[2]GAE!HZ:HZ,[2]GAE!IB:IB)</f>
        <v>GAE- Systems &amp; Applications</v>
      </c>
      <c r="AU306" t="s">
        <v>593</v>
      </c>
      <c r="AV306">
        <v>80124101</v>
      </c>
      <c r="AW306">
        <v>61711102</v>
      </c>
      <c r="AX306" t="str">
        <f>_xlfn.XLOOKUP(AU306,[2]GAE!HZ:HZ,[2]GAE!IF:IF)</f>
        <v>Systems &amp; Applications</v>
      </c>
      <c r="BA306" t="s">
        <v>662</v>
      </c>
      <c r="BF306" t="s">
        <v>612</v>
      </c>
      <c r="BG306" s="37" t="s">
        <v>66</v>
      </c>
      <c r="BH306" s="10">
        <f>SUMIFS('[1]2026'!$K:$K,'[1]2026'!$T:$T,BD306,'[1]2026'!$S:$S,BH$3,'[1]2026'!$P:$P,AU306)</f>
        <v>0</v>
      </c>
      <c r="BI306" s="10">
        <f>SUMIFS('[1]2026'!$K:$K,'[1]2026'!$T:$T,$BD306,'[1]2026'!$S:$S,BI$3,'[1]2026'!$P:$P,$AU306)</f>
        <v>0</v>
      </c>
      <c r="BJ306" s="10">
        <f>SUMIFS('[1]2026'!$K:$K,'[1]2026'!$T:$T,$BD306,'[1]2026'!$S:$S,BJ$3,'[1]2026'!$P:$P,$AU306)</f>
        <v>0</v>
      </c>
      <c r="BK306" s="10">
        <f>SUMIFS('[1]2026'!$K:$K,'[1]2026'!$T:$T,$BD306,'[1]2026'!$S:$S,BK$3,'[1]2026'!$P:$P,$AU306)</f>
        <v>0</v>
      </c>
      <c r="BL306" s="10">
        <f>SUMIFS('[1]2026'!$K:$K,'[1]2026'!$T:$T,$BD306,'[1]2026'!$S:$S,BL$3,'[1]2026'!$P:$P,$AU306)</f>
        <v>0</v>
      </c>
      <c r="BM306" s="10">
        <f>SUMIFS('[1]2026'!$K:$K,'[1]2026'!$T:$T,$BD306,'[1]2026'!$S:$S,BM$3,'[1]2026'!$P:$P,$AU306)</f>
        <v>0</v>
      </c>
      <c r="BN306" s="10">
        <f>SUMIFS('[1]2026'!$K:$K,'[1]2026'!$T:$T,$BD306,'[1]2026'!$S:$S,BN$3,'[1]2026'!$P:$P,$AU306)</f>
        <v>0</v>
      </c>
      <c r="BO306" s="10">
        <f>SUMIFS('[1]2026'!$K:$K,'[1]2026'!$T:$T,$BD306,'[1]2026'!$S:$S,BO$3,'[1]2026'!$P:$P,$AU306)</f>
        <v>0</v>
      </c>
      <c r="BP306" s="6">
        <f t="shared" si="187"/>
        <v>0</v>
      </c>
      <c r="BQ306" s="6">
        <f t="shared" si="187"/>
        <v>0</v>
      </c>
      <c r="BR306" s="6">
        <f t="shared" si="187"/>
        <v>0</v>
      </c>
      <c r="BS306" s="6">
        <f t="shared" si="187"/>
        <v>0</v>
      </c>
      <c r="BT306" s="6">
        <f t="shared" si="162"/>
        <v>0</v>
      </c>
      <c r="BV306" s="6">
        <f t="shared" si="175"/>
        <v>0</v>
      </c>
      <c r="BW306" s="6">
        <f t="shared" si="176"/>
        <v>0</v>
      </c>
      <c r="BX306" s="6">
        <f t="shared" si="177"/>
        <v>0</v>
      </c>
      <c r="BY306" s="6">
        <f t="shared" si="178"/>
        <v>0</v>
      </c>
      <c r="BZ306" s="6">
        <f t="shared" si="179"/>
        <v>0</v>
      </c>
      <c r="CA306" s="6">
        <f t="shared" si="180"/>
        <v>0</v>
      </c>
      <c r="CB306" s="6">
        <f t="shared" si="181"/>
        <v>0</v>
      </c>
      <c r="CC306" s="6">
        <f t="shared" si="182"/>
        <v>0</v>
      </c>
      <c r="CD306" s="6">
        <f t="shared" si="183"/>
        <v>0</v>
      </c>
      <c r="CE306" s="6">
        <f t="shared" si="184"/>
        <v>0</v>
      </c>
      <c r="CF306" s="6">
        <f t="shared" si="185"/>
        <v>0</v>
      </c>
      <c r="CG306" s="6">
        <f t="shared" si="186"/>
        <v>0</v>
      </c>
      <c r="CH306" s="6">
        <f t="shared" si="164"/>
        <v>0</v>
      </c>
    </row>
    <row r="307" spans="1:86" x14ac:dyDescent="0.35">
      <c r="A307" s="3" t="s">
        <v>663</v>
      </c>
      <c r="B307" s="10">
        <v>5000</v>
      </c>
      <c r="C307" s="10">
        <v>5000</v>
      </c>
      <c r="D307" s="10">
        <v>5000</v>
      </c>
      <c r="E307" s="10">
        <v>5000</v>
      </c>
      <c r="F307" s="10">
        <v>5000</v>
      </c>
      <c r="G307" s="10">
        <v>5000</v>
      </c>
      <c r="H307" s="10">
        <v>5000</v>
      </c>
      <c r="I307" s="10">
        <v>5000</v>
      </c>
      <c r="J307" s="10">
        <v>5000</v>
      </c>
      <c r="K307" s="10">
        <v>5000</v>
      </c>
      <c r="L307" s="10">
        <v>5000</v>
      </c>
      <c r="M307" s="10">
        <v>5000</v>
      </c>
      <c r="N307" s="27">
        <f t="shared" si="188"/>
        <v>60000</v>
      </c>
      <c r="O307" s="38">
        <v>197.30561239358065</v>
      </c>
      <c r="P307" s="38">
        <v>197.30561239358065</v>
      </c>
      <c r="Q307" s="38">
        <v>197.30561239358065</v>
      </c>
      <c r="R307" s="38">
        <v>197.30561239358065</v>
      </c>
      <c r="S307" s="38">
        <v>197.30561239358065</v>
      </c>
      <c r="T307" s="38">
        <v>197.30561239358065</v>
      </c>
      <c r="U307" s="38">
        <v>197.30561239358065</v>
      </c>
      <c r="V307" s="38">
        <v>197.30561239358065</v>
      </c>
      <c r="W307" s="38">
        <v>197.30561239358065</v>
      </c>
      <c r="X307" s="38">
        <v>197.30561239358065</v>
      </c>
      <c r="Y307" s="38">
        <v>197.30561239358065</v>
      </c>
      <c r="Z307" s="38">
        <v>197.30561239358065</v>
      </c>
      <c r="AA307" s="27">
        <f t="shared" si="189"/>
        <v>2367.6673487229682</v>
      </c>
      <c r="AB307" s="10">
        <f t="shared" ref="AB307:AE327" si="190">B307-O307</f>
        <v>4802.6943876064197</v>
      </c>
      <c r="AC307" s="10">
        <f t="shared" si="190"/>
        <v>4802.6943876064197</v>
      </c>
      <c r="AD307" s="10">
        <f t="shared" si="190"/>
        <v>4802.6943876064197</v>
      </c>
      <c r="AE307" s="10">
        <f t="shared" si="190"/>
        <v>4802.6943876064197</v>
      </c>
      <c r="AF307" s="10">
        <f t="shared" si="172"/>
        <v>4802.6943876064197</v>
      </c>
      <c r="AG307" s="10">
        <f t="shared" si="172"/>
        <v>4802.6943876064197</v>
      </c>
      <c r="AH307" s="10">
        <f t="shared" si="172"/>
        <v>4802.6943876064197</v>
      </c>
      <c r="AI307" s="10">
        <f t="shared" si="172"/>
        <v>4802.6943876064197</v>
      </c>
      <c r="AJ307" s="10">
        <f t="shared" si="172"/>
        <v>4802.6943876064197</v>
      </c>
      <c r="AK307" s="10">
        <f t="shared" si="172"/>
        <v>4802.6943876064197</v>
      </c>
      <c r="AL307" s="10">
        <f t="shared" si="172"/>
        <v>4802.6943876064197</v>
      </c>
      <c r="AM307" s="10">
        <f t="shared" si="172"/>
        <v>4802.6943876064197</v>
      </c>
      <c r="AN307" s="27">
        <f t="shared" si="172"/>
        <v>57632.332651277029</v>
      </c>
      <c r="AO307" s="28" t="e">
        <f>SUMIF('[3]2025B and 2025F Details'!$AU:$AU,AP307,'[3]2025B and 2025F Details'!$BH:$BH)</f>
        <v>#VALUE!</v>
      </c>
      <c r="AP307" t="s">
        <v>67</v>
      </c>
      <c r="AS307" t="str">
        <f>_xlfn.XLOOKUP(AU307,[2]GAE!HZ:HZ,[2]GAE!IA:IA)</f>
        <v>IS &amp; IT</v>
      </c>
      <c r="AT307" t="str">
        <f>_xlfn.XLOOKUP(AU307,[2]GAE!HZ:HZ,[2]GAE!IB:IB)</f>
        <v>GAE- Systems &amp; Applications</v>
      </c>
      <c r="AU307" t="s">
        <v>593</v>
      </c>
      <c r="AV307">
        <v>80124101</v>
      </c>
      <c r="AW307">
        <v>61711102</v>
      </c>
      <c r="AX307" t="str">
        <f>_xlfn.XLOOKUP(AU307,[2]GAE!HZ:HZ,[2]GAE!IF:IF)</f>
        <v>Systems &amp; Applications</v>
      </c>
      <c r="BC307" t="s">
        <v>67</v>
      </c>
      <c r="BD307" s="2" t="s">
        <v>67</v>
      </c>
      <c r="BE307" s="2"/>
      <c r="BF307" t="s">
        <v>612</v>
      </c>
      <c r="BG307" s="37" t="s">
        <v>67</v>
      </c>
      <c r="BH307" s="10">
        <f>SUMIFS('[1]2026'!$K:$K,'[1]2026'!$T:$T,BD307,'[1]2026'!$S:$S,BH$3,'[1]2026'!$P:$P,AU307)</f>
        <v>0</v>
      </c>
      <c r="BI307" s="10">
        <f>SUMIFS('[1]2026'!$K:$K,'[1]2026'!$T:$T,$BD307,'[1]2026'!$S:$S,BI$3,'[1]2026'!$P:$P,$AU307)</f>
        <v>9400.17</v>
      </c>
      <c r="BJ307" s="10">
        <f>SUMIFS('[1]2026'!$K:$K,'[1]2026'!$T:$T,$BD307,'[1]2026'!$S:$S,BJ$3,'[1]2026'!$P:$P,$AU307)</f>
        <v>9257.9700000000012</v>
      </c>
      <c r="BK307" s="10">
        <f>SUMIFS('[1]2026'!$K:$K,'[1]2026'!$T:$T,$BD307,'[1]2026'!$S:$S,BK$3,'[1]2026'!$P:$P,$AU307)</f>
        <v>9425.4700000000012</v>
      </c>
      <c r="BL307" s="10">
        <f>SUMIFS('[1]2026'!$K:$K,'[1]2026'!$T:$T,$BD307,'[1]2026'!$S:$S,BL$3,'[1]2026'!$P:$P,$AU307)</f>
        <v>9531.0300000000007</v>
      </c>
      <c r="BM307" s="10">
        <f>SUMIFS('[1]2026'!$K:$K,'[1]2026'!$T:$T,$BD307,'[1]2026'!$S:$S,BM$3,'[1]2026'!$P:$P,$AU307)</f>
        <v>9682.880000000001</v>
      </c>
      <c r="BN307" s="10">
        <f>SUMIFS('[1]2026'!$K:$K,'[1]2026'!$T:$T,$BD307,'[1]2026'!$S:$S,BN$3,'[1]2026'!$P:$P,$AU307)</f>
        <v>9734.630000000001</v>
      </c>
      <c r="BO307" s="10">
        <f>SUMIFS('[1]2026'!$K:$K,'[1]2026'!$T:$T,$BD307,'[1]2026'!$S:$S,BO$3,'[1]2026'!$P:$P,$AU307)</f>
        <v>9755.6899999999987</v>
      </c>
      <c r="BP307" s="6">
        <v>9682.880000000001</v>
      </c>
      <c r="BQ307" s="6">
        <v>9682.880000000001</v>
      </c>
      <c r="BR307" s="6">
        <v>9682.880000000001</v>
      </c>
      <c r="BS307" s="6">
        <v>9682.880000000001</v>
      </c>
      <c r="BT307" s="6">
        <f t="shared" si="162"/>
        <v>105519.36000000003</v>
      </c>
      <c r="BV307" s="6">
        <f t="shared" si="175"/>
        <v>-4802.6943876064197</v>
      </c>
      <c r="BW307" s="6">
        <f t="shared" si="176"/>
        <v>4597.4756123935804</v>
      </c>
      <c r="BX307" s="6">
        <f t="shared" si="177"/>
        <v>4455.2756123935815</v>
      </c>
      <c r="BY307" s="6">
        <f t="shared" si="178"/>
        <v>4622.7756123935815</v>
      </c>
      <c r="BZ307" s="6">
        <f t="shared" si="179"/>
        <v>4728.335612393581</v>
      </c>
      <c r="CA307" s="6">
        <f t="shared" si="180"/>
        <v>4880.1856123935813</v>
      </c>
      <c r="CB307" s="6">
        <f t="shared" si="181"/>
        <v>4931.9356123935813</v>
      </c>
      <c r="CC307" s="6">
        <f t="shared" si="182"/>
        <v>4952.995612393579</v>
      </c>
      <c r="CD307" s="6">
        <f t="shared" si="183"/>
        <v>4880.1856123935813</v>
      </c>
      <c r="CE307" s="6">
        <f t="shared" si="184"/>
        <v>4880.1856123935813</v>
      </c>
      <c r="CF307" s="6">
        <f t="shared" si="185"/>
        <v>4880.1856123935813</v>
      </c>
      <c r="CG307" s="6">
        <f t="shared" si="186"/>
        <v>4880.1856123935813</v>
      </c>
      <c r="CH307" s="6">
        <f t="shared" si="164"/>
        <v>47887.027348723001</v>
      </c>
    </row>
    <row r="308" spans="1:86" x14ac:dyDescent="0.35">
      <c r="A308" s="3" t="s">
        <v>664</v>
      </c>
      <c r="B308" s="10">
        <v>125000</v>
      </c>
      <c r="C308" s="10">
        <v>125000</v>
      </c>
      <c r="D308" s="10">
        <v>125000</v>
      </c>
      <c r="E308" s="10">
        <v>125000</v>
      </c>
      <c r="F308" s="10">
        <v>125000</v>
      </c>
      <c r="G308" s="10">
        <v>125000</v>
      </c>
      <c r="H308" s="10">
        <v>125000</v>
      </c>
      <c r="I308" s="10">
        <v>125000</v>
      </c>
      <c r="J308" s="10">
        <v>125000</v>
      </c>
      <c r="K308" s="10">
        <v>125000</v>
      </c>
      <c r="L308" s="10">
        <v>125000</v>
      </c>
      <c r="M308" s="10">
        <v>125000</v>
      </c>
      <c r="N308" s="27">
        <f t="shared" si="188"/>
        <v>1500000</v>
      </c>
      <c r="O308" s="38">
        <v>4932.6403098395158</v>
      </c>
      <c r="P308" s="38">
        <v>4932.6403098395158</v>
      </c>
      <c r="Q308" s="38">
        <v>4932.6403098395158</v>
      </c>
      <c r="R308" s="38">
        <v>4932.6403098395158</v>
      </c>
      <c r="S308" s="38">
        <v>4932.6403098395158</v>
      </c>
      <c r="T308" s="38">
        <v>4932.6403098395158</v>
      </c>
      <c r="U308" s="38">
        <v>4932.6403098395158</v>
      </c>
      <c r="V308" s="38">
        <v>4932.6403098395158</v>
      </c>
      <c r="W308" s="38">
        <v>4932.6403098395158</v>
      </c>
      <c r="X308" s="38">
        <v>4932.6403098395158</v>
      </c>
      <c r="Y308" s="38">
        <v>4932.6403098395158</v>
      </c>
      <c r="Z308" s="38">
        <v>4932.6403098395158</v>
      </c>
      <c r="AA308" s="27">
        <f t="shared" si="189"/>
        <v>59191.683718074193</v>
      </c>
      <c r="AB308" s="10">
        <f t="shared" si="190"/>
        <v>120067.35969016049</v>
      </c>
      <c r="AC308" s="10">
        <f t="shared" si="190"/>
        <v>120067.35969016049</v>
      </c>
      <c r="AD308" s="10">
        <f t="shared" si="190"/>
        <v>120067.35969016049</v>
      </c>
      <c r="AE308" s="10">
        <f t="shared" si="190"/>
        <v>120067.35969016049</v>
      </c>
      <c r="AF308" s="10">
        <f t="shared" si="172"/>
        <v>120067.35969016049</v>
      </c>
      <c r="AG308" s="10">
        <f t="shared" si="172"/>
        <v>120067.35969016049</v>
      </c>
      <c r="AH308" s="10">
        <f t="shared" si="172"/>
        <v>120067.35969016049</v>
      </c>
      <c r="AI308" s="10">
        <f t="shared" si="172"/>
        <v>120067.35969016049</v>
      </c>
      <c r="AJ308" s="10">
        <f t="shared" si="172"/>
        <v>120067.35969016049</v>
      </c>
      <c r="AK308" s="10">
        <f t="shared" si="172"/>
        <v>120067.35969016049</v>
      </c>
      <c r="AL308" s="10">
        <f t="shared" si="172"/>
        <v>120067.35969016049</v>
      </c>
      <c r="AM308" s="10">
        <f t="shared" si="172"/>
        <v>120067.35969016049</v>
      </c>
      <c r="AN308" s="27">
        <f t="shared" si="172"/>
        <v>1440808.3162819259</v>
      </c>
      <c r="AO308" s="28" t="e">
        <f>SUMIF('[3]2025B and 2025F Details'!$AU:$AU,AP308,'[3]2025B and 2025F Details'!$BH:$BH)</f>
        <v>#VALUE!</v>
      </c>
      <c r="AP308" t="s">
        <v>665</v>
      </c>
      <c r="AS308" t="str">
        <f>_xlfn.XLOOKUP(AU308,[2]GAE!HZ:HZ,[2]GAE!IA:IA)</f>
        <v>IS &amp; IT</v>
      </c>
      <c r="AT308" t="str">
        <f>_xlfn.XLOOKUP(AU308,[2]GAE!HZ:HZ,[2]GAE!IB:IB)</f>
        <v>GAE- Systems &amp; Applications</v>
      </c>
      <c r="AU308" t="s">
        <v>593</v>
      </c>
      <c r="AV308">
        <v>80124101</v>
      </c>
      <c r="AW308">
        <v>61711102</v>
      </c>
      <c r="AX308" t="str">
        <f>_xlfn.XLOOKUP(AU308,[2]GAE!HZ:HZ,[2]GAE!IF:IF)</f>
        <v>Systems &amp; Applications</v>
      </c>
      <c r="BC308" t="s">
        <v>69</v>
      </c>
      <c r="BD308" t="s">
        <v>665</v>
      </c>
      <c r="BF308" t="s">
        <v>666</v>
      </c>
      <c r="BG308" s="37" t="s">
        <v>69</v>
      </c>
      <c r="BH308" s="10">
        <f>SUMIFS('[1]2026'!$K:$K,'[1]2026'!$T:$T,BD308,'[1]2026'!$S:$S,BH$3,'[1]2026'!$P:$P,AU308)</f>
        <v>0</v>
      </c>
      <c r="BI308" s="10">
        <f>SUMIFS('[1]2026'!$K:$K,'[1]2026'!$T:$T,$BD308,'[1]2026'!$S:$S,BI$3,'[1]2026'!$P:$P,$AU308)</f>
        <v>141610.01999999999</v>
      </c>
      <c r="BJ308" s="10">
        <f>SUMIFS('[1]2026'!$K:$K,'[1]2026'!$T:$T,$BD308,'[1]2026'!$S:$S,BJ$3,'[1]2026'!$P:$P,$AU308)</f>
        <v>0</v>
      </c>
      <c r="BK308" s="10">
        <f>SUMIFS('[1]2026'!$K:$K,'[1]2026'!$T:$T,$BD308,'[1]2026'!$S:$S,BK$3,'[1]2026'!$P:$P,$AU308)</f>
        <v>137353.44</v>
      </c>
      <c r="BL308" s="10">
        <f>SUMIFS('[1]2026'!$K:$K,'[1]2026'!$T:$T,$BD308,'[1]2026'!$S:$S,BL$3,'[1]2026'!$P:$P,$AU308)</f>
        <v>130164.24</v>
      </c>
      <c r="BM308" s="10">
        <f>SUMIFS('[1]2026'!$K:$K,'[1]2026'!$T:$T,$BD308,'[1]2026'!$S:$S,BM$3,'[1]2026'!$P:$P,$AU308)</f>
        <v>139161.01999999999</v>
      </c>
      <c r="BN308" s="10">
        <f>SUMIFS('[1]2026'!$K:$K,'[1]2026'!$T:$T,$BD308,'[1]2026'!$S:$S,BN$3,'[1]2026'!$P:$P,$AU308)</f>
        <v>121207.87</v>
      </c>
      <c r="BO308" s="10">
        <f>SUMIFS('[1]2026'!$K:$K,'[1]2026'!$T:$T,$BD308,'[1]2026'!$S:$S,BO$3,'[1]2026'!$P:$P,$AU308)</f>
        <v>140258.38999999998</v>
      </c>
      <c r="BP308" s="6">
        <v>139161.01999999999</v>
      </c>
      <c r="BQ308" s="6">
        <v>139161.01999999999</v>
      </c>
      <c r="BR308" s="6">
        <v>139161.01999999999</v>
      </c>
      <c r="BS308" s="6">
        <v>139161.01999999999</v>
      </c>
      <c r="BT308" s="6">
        <f t="shared" si="162"/>
        <v>1366399.06</v>
      </c>
      <c r="BV308" s="6">
        <f t="shared" si="175"/>
        <v>-120067.35969016049</v>
      </c>
      <c r="BW308" s="6">
        <f t="shared" si="176"/>
        <v>21542.660309839499</v>
      </c>
      <c r="BX308" s="6">
        <f t="shared" si="177"/>
        <v>-120067.35969016049</v>
      </c>
      <c r="BY308" s="6">
        <f t="shared" si="178"/>
        <v>17286.080309839512</v>
      </c>
      <c r="BZ308" s="6">
        <f t="shared" si="179"/>
        <v>10096.880309839515</v>
      </c>
      <c r="CA308" s="6">
        <f t="shared" si="180"/>
        <v>19093.660309839499</v>
      </c>
      <c r="CB308" s="6">
        <f t="shared" si="181"/>
        <v>1140.5103098395048</v>
      </c>
      <c r="CC308" s="6">
        <f t="shared" si="182"/>
        <v>20191.030309839494</v>
      </c>
      <c r="CD308" s="6">
        <f t="shared" si="183"/>
        <v>19093.660309839499</v>
      </c>
      <c r="CE308" s="6">
        <f t="shared" si="184"/>
        <v>19093.660309839499</v>
      </c>
      <c r="CF308" s="6">
        <f t="shared" si="185"/>
        <v>19093.660309839499</v>
      </c>
      <c r="CG308" s="6">
        <f t="shared" si="186"/>
        <v>19093.660309839499</v>
      </c>
      <c r="CH308" s="6">
        <f t="shared" si="164"/>
        <v>-74409.256281925831</v>
      </c>
    </row>
    <row r="309" spans="1:86" x14ac:dyDescent="0.35">
      <c r="A309" s="3" t="s">
        <v>70</v>
      </c>
      <c r="B309" s="10">
        <v>311287.78000000003</v>
      </c>
      <c r="C309" s="10">
        <v>311287.78000000003</v>
      </c>
      <c r="D309" s="10">
        <v>311287.78000000003</v>
      </c>
      <c r="E309" s="10">
        <v>311287.78000000003</v>
      </c>
      <c r="F309" s="10">
        <v>311287.78000000003</v>
      </c>
      <c r="G309" s="10">
        <v>311287.78000000003</v>
      </c>
      <c r="H309" s="10">
        <v>311287.78000000003</v>
      </c>
      <c r="I309" s="10">
        <v>311287.78000000003</v>
      </c>
      <c r="J309" s="10">
        <v>311287.78000000003</v>
      </c>
      <c r="K309" s="10">
        <v>311287.78000000003</v>
      </c>
      <c r="L309" s="10">
        <v>311287.78000000003</v>
      </c>
      <c r="M309" s="10">
        <v>311287.78000000003</v>
      </c>
      <c r="N309" s="27">
        <f t="shared" si="188"/>
        <v>3735453.3600000013</v>
      </c>
      <c r="O309" s="38">
        <v>12283.765212707645</v>
      </c>
      <c r="P309" s="38">
        <v>12283.765212707645</v>
      </c>
      <c r="Q309" s="38">
        <v>12283.765212707645</v>
      </c>
      <c r="R309" s="38">
        <v>12283.765212707645</v>
      </c>
      <c r="S309" s="38">
        <v>12283.765212707645</v>
      </c>
      <c r="T309" s="38">
        <v>12283.765212707645</v>
      </c>
      <c r="U309" s="38">
        <v>12283.765212707645</v>
      </c>
      <c r="V309" s="38">
        <v>12283.765212707645</v>
      </c>
      <c r="W309" s="38">
        <v>12283.765212707645</v>
      </c>
      <c r="X309" s="38">
        <v>12283.765212707645</v>
      </c>
      <c r="Y309" s="38">
        <v>12283.765212707645</v>
      </c>
      <c r="Z309" s="38">
        <v>12283.765212707645</v>
      </c>
      <c r="AA309" s="27">
        <f t="shared" si="189"/>
        <v>147405.18255249175</v>
      </c>
      <c r="AB309" s="10">
        <f t="shared" si="190"/>
        <v>299004.0147872924</v>
      </c>
      <c r="AC309" s="10">
        <f t="shared" si="190"/>
        <v>299004.0147872924</v>
      </c>
      <c r="AD309" s="10">
        <f t="shared" si="190"/>
        <v>299004.0147872924</v>
      </c>
      <c r="AE309" s="10">
        <f t="shared" si="190"/>
        <v>299004.0147872924</v>
      </c>
      <c r="AF309" s="10">
        <f t="shared" si="172"/>
        <v>299004.0147872924</v>
      </c>
      <c r="AG309" s="10">
        <f t="shared" si="172"/>
        <v>299004.0147872924</v>
      </c>
      <c r="AH309" s="10">
        <f t="shared" si="172"/>
        <v>299004.0147872924</v>
      </c>
      <c r="AI309" s="10">
        <f t="shared" si="172"/>
        <v>299004.0147872924</v>
      </c>
      <c r="AJ309" s="10">
        <f t="shared" si="172"/>
        <v>299004.0147872924</v>
      </c>
      <c r="AK309" s="10">
        <f t="shared" si="172"/>
        <v>299004.0147872924</v>
      </c>
      <c r="AL309" s="10">
        <f t="shared" si="172"/>
        <v>299004.0147872924</v>
      </c>
      <c r="AM309" s="10">
        <f t="shared" si="172"/>
        <v>299004.0147872924</v>
      </c>
      <c r="AN309" s="27">
        <f t="shared" si="172"/>
        <v>3588048.1774475095</v>
      </c>
      <c r="AO309" s="28" t="e">
        <f>SUMIF('[3]2025B and 2025F Details'!$AU:$AU,AP309,'[3]2025B and 2025F Details'!$BH:$BH)</f>
        <v>#VALUE!</v>
      </c>
      <c r="AP309" t="s">
        <v>667</v>
      </c>
      <c r="AS309" t="str">
        <f>_xlfn.XLOOKUP(AU309,[2]GAE!HZ:HZ,[2]GAE!IA:IA)</f>
        <v>IS &amp; IT</v>
      </c>
      <c r="AT309" t="str">
        <f>_xlfn.XLOOKUP(AU309,[2]GAE!HZ:HZ,[2]GAE!IB:IB)</f>
        <v>GAE- Systems &amp; Applications</v>
      </c>
      <c r="AU309" t="s">
        <v>593</v>
      </c>
      <c r="AV309">
        <v>80124101</v>
      </c>
      <c r="AW309">
        <v>61711102</v>
      </c>
      <c r="AX309" t="str">
        <f>_xlfn.XLOOKUP(AU309,[2]GAE!HZ:HZ,[2]GAE!IF:IF)</f>
        <v>Systems &amp; Applications</v>
      </c>
      <c r="BC309" t="s">
        <v>70</v>
      </c>
      <c r="BD309" t="s">
        <v>667</v>
      </c>
      <c r="BF309" t="s">
        <v>609</v>
      </c>
      <c r="BG309" t="s">
        <v>70</v>
      </c>
      <c r="BH309" s="10">
        <f>SUMIFS('[1]2026'!$K:$K,'[1]2026'!$T:$T,BD309,'[1]2026'!$S:$S,BH$3,'[1]2026'!$P:$P,AU309)</f>
        <v>311287.78000000003</v>
      </c>
      <c r="BI309" s="10">
        <f>SUMIFS('[1]2026'!$K:$K,'[1]2026'!$T:$T,$BD309,'[1]2026'!$S:$S,BI$3,'[1]2026'!$P:$P,$AU309)</f>
        <v>0</v>
      </c>
      <c r="BJ309" s="10">
        <f>SUMIFS('[1]2026'!$K:$K,'[1]2026'!$T:$T,$BD309,'[1]2026'!$S:$S,BJ$3,'[1]2026'!$P:$P,$AU309)</f>
        <v>622575.56000000006</v>
      </c>
      <c r="BK309" s="10">
        <f>SUMIFS('[1]2026'!$K:$K,'[1]2026'!$T:$T,$BD309,'[1]2026'!$S:$S,BK$3,'[1]2026'!$P:$P,$AU309)</f>
        <v>311287.78000000003</v>
      </c>
      <c r="BL309" s="10">
        <f>SUMIFS('[1]2026'!$K:$K,'[1]2026'!$T:$T,$BD309,'[1]2026'!$S:$S,BL$3,'[1]2026'!$P:$P,$AU309)</f>
        <v>311287.78000000003</v>
      </c>
      <c r="BM309" s="10">
        <f>SUMIFS('[1]2026'!$K:$K,'[1]2026'!$T:$T,$BD309,'[1]2026'!$S:$S,BM$3,'[1]2026'!$P:$P,$AU309)</f>
        <v>311287.78000000003</v>
      </c>
      <c r="BN309" s="10">
        <f>SUMIFS('[1]2026'!$K:$K,'[1]2026'!$T:$T,$BD309,'[1]2026'!$S:$S,BN$3,'[1]2026'!$P:$P,$AU309)</f>
        <v>0</v>
      </c>
      <c r="BO309" s="10">
        <f>SUMIFS('[1]2026'!$K:$K,'[1]2026'!$T:$T,$BD309,'[1]2026'!$S:$S,BO$3,'[1]2026'!$P:$P,$AU309)</f>
        <v>0</v>
      </c>
      <c r="BP309" s="6">
        <v>311287.78000000003</v>
      </c>
      <c r="BQ309" s="6">
        <v>311287.78000000003</v>
      </c>
      <c r="BR309" s="6">
        <v>311287.78000000003</v>
      </c>
      <c r="BS309" s="6">
        <v>311287.78000000003</v>
      </c>
      <c r="BT309" s="6">
        <f t="shared" si="162"/>
        <v>3112877.8000000007</v>
      </c>
      <c r="BV309" s="6">
        <f t="shared" si="175"/>
        <v>12283.765212707629</v>
      </c>
      <c r="BW309" s="6">
        <f t="shared" si="176"/>
        <v>-299004.0147872924</v>
      </c>
      <c r="BX309" s="6">
        <f t="shared" si="177"/>
        <v>323571.54521270766</v>
      </c>
      <c r="BY309" s="6">
        <f t="shared" si="178"/>
        <v>12283.765212707629</v>
      </c>
      <c r="BZ309" s="6">
        <f t="shared" si="179"/>
        <v>12283.765212707629</v>
      </c>
      <c r="CA309" s="6">
        <f t="shared" si="180"/>
        <v>12283.765212707629</v>
      </c>
      <c r="CB309" s="6">
        <f t="shared" si="181"/>
        <v>-299004.0147872924</v>
      </c>
      <c r="CC309" s="6">
        <f t="shared" si="182"/>
        <v>-299004.0147872924</v>
      </c>
      <c r="CD309" s="6">
        <f t="shared" si="183"/>
        <v>12283.765212707629</v>
      </c>
      <c r="CE309" s="6">
        <f t="shared" si="184"/>
        <v>12283.765212707629</v>
      </c>
      <c r="CF309" s="6">
        <f t="shared" si="185"/>
        <v>12283.765212707629</v>
      </c>
      <c r="CG309" s="6">
        <f t="shared" si="186"/>
        <v>12283.765212707629</v>
      </c>
      <c r="CH309" s="6">
        <f t="shared" si="164"/>
        <v>-475170.37744750874</v>
      </c>
    </row>
    <row r="310" spans="1:86" x14ac:dyDescent="0.35">
      <c r="A310" s="3" t="s">
        <v>668</v>
      </c>
      <c r="B310" s="10">
        <v>2333.3333333333335</v>
      </c>
      <c r="C310" s="10">
        <v>2333.3333333333335</v>
      </c>
      <c r="D310" s="10">
        <v>2333.3333333333335</v>
      </c>
      <c r="E310" s="10">
        <v>2333.3333333333335</v>
      </c>
      <c r="F310" s="10">
        <v>2333.3333333333335</v>
      </c>
      <c r="G310" s="10">
        <v>2333.3333333333335</v>
      </c>
      <c r="H310" s="10">
        <v>2333.3333333333335</v>
      </c>
      <c r="I310" s="10">
        <v>2333.3333333333335</v>
      </c>
      <c r="J310" s="10">
        <v>2333.3333333333335</v>
      </c>
      <c r="K310" s="10">
        <v>2333.3333333333335</v>
      </c>
      <c r="L310" s="10">
        <v>2333.3333333333335</v>
      </c>
      <c r="M310" s="10">
        <v>2333.3333333333335</v>
      </c>
      <c r="N310" s="27">
        <f t="shared" si="188"/>
        <v>27999.999999999996</v>
      </c>
      <c r="O310" s="38">
        <v>92.075952450337624</v>
      </c>
      <c r="P310" s="38">
        <v>92.075952450337624</v>
      </c>
      <c r="Q310" s="38">
        <v>92.075952450337624</v>
      </c>
      <c r="R310" s="38">
        <v>92.075952450337624</v>
      </c>
      <c r="S310" s="38">
        <v>92.075952450337624</v>
      </c>
      <c r="T310" s="38">
        <v>92.075952450337624</v>
      </c>
      <c r="U310" s="38">
        <v>92.075952450337624</v>
      </c>
      <c r="V310" s="38">
        <v>92.075952450337624</v>
      </c>
      <c r="W310" s="38">
        <v>92.075952450337624</v>
      </c>
      <c r="X310" s="38">
        <v>92.075952450337624</v>
      </c>
      <c r="Y310" s="38">
        <v>92.075952450337624</v>
      </c>
      <c r="Z310" s="38">
        <v>92.075952450337624</v>
      </c>
      <c r="AA310" s="27">
        <f t="shared" si="189"/>
        <v>1104.9114294040512</v>
      </c>
      <c r="AB310" s="10">
        <f t="shared" si="190"/>
        <v>2241.2573808829957</v>
      </c>
      <c r="AC310" s="10">
        <f t="shared" si="190"/>
        <v>2241.2573808829957</v>
      </c>
      <c r="AD310" s="10">
        <f t="shared" si="190"/>
        <v>2241.2573808829957</v>
      </c>
      <c r="AE310" s="10">
        <f t="shared" si="190"/>
        <v>2241.2573808829957</v>
      </c>
      <c r="AF310" s="10">
        <f t="shared" si="172"/>
        <v>2241.2573808829957</v>
      </c>
      <c r="AG310" s="10">
        <f t="shared" si="172"/>
        <v>2241.2573808829957</v>
      </c>
      <c r="AH310" s="10">
        <f t="shared" si="172"/>
        <v>2241.2573808829957</v>
      </c>
      <c r="AI310" s="10">
        <f t="shared" si="172"/>
        <v>2241.2573808829957</v>
      </c>
      <c r="AJ310" s="10">
        <f t="shared" si="172"/>
        <v>2241.2573808829957</v>
      </c>
      <c r="AK310" s="10">
        <f t="shared" si="172"/>
        <v>2241.2573808829957</v>
      </c>
      <c r="AL310" s="10">
        <f t="shared" si="172"/>
        <v>2241.2573808829957</v>
      </c>
      <c r="AM310" s="10">
        <f t="shared" si="172"/>
        <v>2241.2573808829957</v>
      </c>
      <c r="AN310" s="27">
        <f t="shared" si="172"/>
        <v>26895.088570595944</v>
      </c>
      <c r="AO310" s="28" t="e">
        <f>SUMIF('[3]2025B and 2025F Details'!$AU:$AU,AP310,'[3]2025B and 2025F Details'!$BH:$BH)</f>
        <v>#VALUE!</v>
      </c>
      <c r="AP310" t="s">
        <v>71</v>
      </c>
      <c r="AS310" t="str">
        <f>_xlfn.XLOOKUP(AU310,[2]GAE!HZ:HZ,[2]GAE!IA:IA)</f>
        <v>IS &amp; IT</v>
      </c>
      <c r="AT310" t="str">
        <f>_xlfn.XLOOKUP(AU310,[2]GAE!HZ:HZ,[2]GAE!IB:IB)</f>
        <v>GAE- Systems &amp; Applications</v>
      </c>
      <c r="AU310" t="s">
        <v>593</v>
      </c>
      <c r="AV310">
        <v>80124101</v>
      </c>
      <c r="AW310">
        <v>61711102</v>
      </c>
      <c r="AX310" t="str">
        <f>_xlfn.XLOOKUP(AU310,[2]GAE!HZ:HZ,[2]GAE!IF:IF)</f>
        <v>Systems &amp; Applications</v>
      </c>
      <c r="BC310" t="s">
        <v>71</v>
      </c>
      <c r="BD310" t="s">
        <v>71</v>
      </c>
      <c r="BF310" t="s">
        <v>612</v>
      </c>
      <c r="BG310" s="37" t="s">
        <v>71</v>
      </c>
      <c r="BH310" s="10">
        <f>SUMIFS('[1]2026'!$K:$K,'[1]2026'!$T:$T,BD310,'[1]2026'!$S:$S,BH$3,'[1]2026'!$P:$P,AU310)</f>
        <v>0</v>
      </c>
      <c r="BI310" s="10">
        <f>SUMIFS('[1]2026'!$K:$K,'[1]2026'!$T:$T,$BD310,'[1]2026'!$S:$S,BI$3,'[1]2026'!$P:$P,$AU310)</f>
        <v>2677.68</v>
      </c>
      <c r="BJ310" s="10">
        <f>SUMIFS('[1]2026'!$K:$K,'[1]2026'!$T:$T,$BD310,'[1]2026'!$S:$S,BJ$3,'[1]2026'!$P:$P,$AU310)</f>
        <v>2651.76</v>
      </c>
      <c r="BK310" s="10">
        <f>SUMIFS('[1]2026'!$K:$K,'[1]2026'!$T:$T,$BD310,'[1]2026'!$S:$S,BK$3,'[1]2026'!$P:$P,$AU310)</f>
        <v>2679.57</v>
      </c>
      <c r="BL310" s="10">
        <f>SUMIFS('[1]2026'!$K:$K,'[1]2026'!$T:$T,$BD310,'[1]2026'!$S:$S,BL$3,'[1]2026'!$P:$P,$AU310)</f>
        <v>2720.1</v>
      </c>
      <c r="BM310" s="10">
        <f>SUMIFS('[1]2026'!$K:$K,'[1]2026'!$T:$T,$BD310,'[1]2026'!$S:$S,BM$3,'[1]2026'!$P:$P,$AU310)</f>
        <v>2745.57</v>
      </c>
      <c r="BN310" s="10">
        <f>SUMIFS('[1]2026'!$K:$K,'[1]2026'!$T:$T,$BD310,'[1]2026'!$S:$S,BN$3,'[1]2026'!$P:$P,$AU310)</f>
        <v>2782.58</v>
      </c>
      <c r="BO310" s="10">
        <f>SUMIFS('[1]2026'!$K:$K,'[1]2026'!$T:$T,$BD310,'[1]2026'!$S:$S,BO$3,'[1]2026'!$P:$P,$AU310)</f>
        <v>2775.09</v>
      </c>
      <c r="BP310" s="6">
        <v>2679.57</v>
      </c>
      <c r="BQ310" s="6">
        <v>2679.57</v>
      </c>
      <c r="BR310" s="6">
        <v>2679.57</v>
      </c>
      <c r="BS310" s="6">
        <v>2679.57</v>
      </c>
      <c r="BT310" s="6">
        <f t="shared" si="162"/>
        <v>29750.629999999997</v>
      </c>
      <c r="BV310" s="6">
        <f t="shared" si="175"/>
        <v>-2241.2573808829957</v>
      </c>
      <c r="BW310" s="6">
        <f t="shared" si="176"/>
        <v>436.42261911700416</v>
      </c>
      <c r="BX310" s="6">
        <f t="shared" si="177"/>
        <v>410.50261911700454</v>
      </c>
      <c r="BY310" s="6">
        <f t="shared" si="178"/>
        <v>438.31261911700449</v>
      </c>
      <c r="BZ310" s="6">
        <f t="shared" si="179"/>
        <v>478.84261911700423</v>
      </c>
      <c r="CA310" s="6">
        <f t="shared" si="180"/>
        <v>504.31261911700449</v>
      </c>
      <c r="CB310" s="6">
        <f t="shared" si="181"/>
        <v>541.32261911700425</v>
      </c>
      <c r="CC310" s="6">
        <f t="shared" si="182"/>
        <v>533.83261911700447</v>
      </c>
      <c r="CD310" s="6">
        <f t="shared" si="183"/>
        <v>438.31261911700449</v>
      </c>
      <c r="CE310" s="6">
        <f t="shared" si="184"/>
        <v>438.31261911700449</v>
      </c>
      <c r="CF310" s="6">
        <f t="shared" si="185"/>
        <v>438.31261911700449</v>
      </c>
      <c r="CG310" s="6">
        <f t="shared" si="186"/>
        <v>438.31261911700449</v>
      </c>
      <c r="CH310" s="6">
        <f t="shared" si="164"/>
        <v>2855.5414294040529</v>
      </c>
    </row>
    <row r="311" spans="1:86" x14ac:dyDescent="0.35">
      <c r="A311" s="3" t="s">
        <v>72</v>
      </c>
      <c r="B311" s="10">
        <v>500</v>
      </c>
      <c r="C311" s="10">
        <v>500</v>
      </c>
      <c r="D311" s="10">
        <v>500</v>
      </c>
      <c r="E311" s="10">
        <v>500</v>
      </c>
      <c r="F311" s="10">
        <v>500</v>
      </c>
      <c r="G311" s="10">
        <v>500</v>
      </c>
      <c r="H311" s="10">
        <v>500</v>
      </c>
      <c r="I311" s="10">
        <v>500</v>
      </c>
      <c r="J311" s="10">
        <v>500</v>
      </c>
      <c r="K311" s="10">
        <v>500</v>
      </c>
      <c r="L311" s="10">
        <v>500</v>
      </c>
      <c r="M311" s="10">
        <v>500</v>
      </c>
      <c r="N311" s="27">
        <f t="shared" si="188"/>
        <v>6000</v>
      </c>
      <c r="O311" s="38">
        <v>19.730561239358064</v>
      </c>
      <c r="P311" s="38">
        <v>19.730561239358064</v>
      </c>
      <c r="Q311" s="38">
        <v>19.730561239358064</v>
      </c>
      <c r="R311" s="38">
        <v>19.730561239358064</v>
      </c>
      <c r="S311" s="38">
        <v>19.730561239358064</v>
      </c>
      <c r="T311" s="38">
        <v>19.730561239358064</v>
      </c>
      <c r="U311" s="38">
        <v>19.730561239358064</v>
      </c>
      <c r="V311" s="38">
        <v>19.730561239358064</v>
      </c>
      <c r="W311" s="38">
        <v>19.730561239358064</v>
      </c>
      <c r="X311" s="38">
        <v>19.730561239358064</v>
      </c>
      <c r="Y311" s="38">
        <v>19.730561239358064</v>
      </c>
      <c r="Z311" s="38">
        <v>19.730561239358064</v>
      </c>
      <c r="AA311" s="27">
        <f t="shared" si="189"/>
        <v>236.76673487229672</v>
      </c>
      <c r="AB311" s="10">
        <f t="shared" si="190"/>
        <v>480.26943876064195</v>
      </c>
      <c r="AC311" s="10">
        <f t="shared" si="190"/>
        <v>480.26943876064195</v>
      </c>
      <c r="AD311" s="10">
        <f t="shared" si="190"/>
        <v>480.26943876064195</v>
      </c>
      <c r="AE311" s="10">
        <f t="shared" si="190"/>
        <v>480.26943876064195</v>
      </c>
      <c r="AF311" s="10">
        <f t="shared" si="172"/>
        <v>480.26943876064195</v>
      </c>
      <c r="AG311" s="10">
        <f t="shared" si="172"/>
        <v>480.26943876064195</v>
      </c>
      <c r="AH311" s="10">
        <f t="shared" si="172"/>
        <v>480.26943876064195</v>
      </c>
      <c r="AI311" s="10">
        <f t="shared" si="172"/>
        <v>480.26943876064195</v>
      </c>
      <c r="AJ311" s="10">
        <f t="shared" si="172"/>
        <v>480.26943876064195</v>
      </c>
      <c r="AK311" s="10">
        <f t="shared" si="172"/>
        <v>480.26943876064195</v>
      </c>
      <c r="AL311" s="10">
        <f t="shared" si="172"/>
        <v>480.26943876064195</v>
      </c>
      <c r="AM311" s="10">
        <f t="shared" si="172"/>
        <v>480.26943876064195</v>
      </c>
      <c r="AN311" s="27">
        <f t="shared" si="172"/>
        <v>5763.2332651277029</v>
      </c>
      <c r="AO311" s="28" t="e">
        <f>SUMIF('[3]2025B and 2025F Details'!$AU:$AU,AP311,'[3]2025B and 2025F Details'!$BH:$BH)</f>
        <v>#VALUE!</v>
      </c>
      <c r="AP311" t="s">
        <v>72</v>
      </c>
      <c r="AS311" t="str">
        <f>_xlfn.XLOOKUP(AU311,[2]GAE!HZ:HZ,[2]GAE!IA:IA)</f>
        <v>IS &amp; IT</v>
      </c>
      <c r="AT311" t="str">
        <f>_xlfn.XLOOKUP(AU311,[2]GAE!HZ:HZ,[2]GAE!IB:IB)</f>
        <v>GAE- Systems &amp; Applications</v>
      </c>
      <c r="AU311" t="s">
        <v>593</v>
      </c>
      <c r="AV311">
        <v>80124101</v>
      </c>
      <c r="AW311">
        <v>61711102</v>
      </c>
      <c r="AX311" t="str">
        <f>_xlfn.XLOOKUP(AU311,[2]GAE!HZ:HZ,[2]GAE!IF:IF)</f>
        <v>Systems &amp; Applications</v>
      </c>
      <c r="BA311" t="s">
        <v>669</v>
      </c>
      <c r="BC311" t="s">
        <v>72</v>
      </c>
      <c r="BD311" s="3" t="s">
        <v>72</v>
      </c>
      <c r="BE311" s="3"/>
      <c r="BF311" t="s">
        <v>612</v>
      </c>
      <c r="BG311" s="37" t="s">
        <v>72</v>
      </c>
      <c r="BH311" s="10">
        <f>SUMIFS('[1]2026'!$K:$K,'[1]2026'!$T:$T,BD311,'[1]2026'!$S:$S,BH$3,'[1]2026'!$P:$P,AU311)</f>
        <v>0</v>
      </c>
      <c r="BI311" s="10">
        <f>SUMIFS('[1]2026'!$K:$K,'[1]2026'!$T:$T,$BD311,'[1]2026'!$S:$S,BI$3,'[1]2026'!$P:$P,$AU311)</f>
        <v>732.28</v>
      </c>
      <c r="BJ311" s="10">
        <f>SUMIFS('[1]2026'!$K:$K,'[1]2026'!$T:$T,$BD311,'[1]2026'!$S:$S,BJ$3,'[1]2026'!$P:$P,$AU311)</f>
        <v>800.06</v>
      </c>
      <c r="BK311" s="10">
        <f>SUMIFS('[1]2026'!$K:$K,'[1]2026'!$T:$T,$BD311,'[1]2026'!$S:$S,BK$3,'[1]2026'!$P:$P,$AU311)</f>
        <v>827.25</v>
      </c>
      <c r="BL311" s="10">
        <f>SUMIFS('[1]2026'!$K:$K,'[1]2026'!$T:$T,$BD311,'[1]2026'!$S:$S,BL$3,'[1]2026'!$P:$P,$AU311)</f>
        <v>829.72</v>
      </c>
      <c r="BM311" s="10">
        <f>SUMIFS('[1]2026'!$K:$K,'[1]2026'!$T:$T,$BD311,'[1]2026'!$S:$S,BM$3,'[1]2026'!$P:$P,$AU311)</f>
        <v>851.31</v>
      </c>
      <c r="BN311" s="10">
        <f>SUMIFS('[1]2026'!$K:$K,'[1]2026'!$T:$T,$BD311,'[1]2026'!$S:$S,BN$3,'[1]2026'!$P:$P,$AU311)</f>
        <v>1159.76</v>
      </c>
      <c r="BO311" s="10">
        <f>SUMIFS('[1]2026'!$K:$K,'[1]2026'!$T:$T,$BD311,'[1]2026'!$S:$S,BO$3,'[1]2026'!$P:$P,$AU311)</f>
        <v>1133.03</v>
      </c>
      <c r="BP311" s="6">
        <v>827.25</v>
      </c>
      <c r="BQ311" s="6">
        <v>827.25</v>
      </c>
      <c r="BR311" s="6">
        <v>827.25</v>
      </c>
      <c r="BS311" s="6">
        <v>827.25</v>
      </c>
      <c r="BT311" s="6">
        <f t="shared" si="162"/>
        <v>9642.41</v>
      </c>
      <c r="BV311" s="6">
        <f t="shared" si="175"/>
        <v>-480.26943876064195</v>
      </c>
      <c r="BW311" s="6">
        <f t="shared" si="176"/>
        <v>252.01056123935803</v>
      </c>
      <c r="BX311" s="6">
        <f t="shared" si="177"/>
        <v>319.790561239358</v>
      </c>
      <c r="BY311" s="6">
        <f t="shared" si="178"/>
        <v>346.98056123935805</v>
      </c>
      <c r="BZ311" s="6">
        <f t="shared" si="179"/>
        <v>349.45056123935808</v>
      </c>
      <c r="CA311" s="6">
        <f t="shared" si="180"/>
        <v>371.040561239358</v>
      </c>
      <c r="CB311" s="6">
        <f t="shared" si="181"/>
        <v>679.49056123935804</v>
      </c>
      <c r="CC311" s="6">
        <f t="shared" si="182"/>
        <v>652.76056123935803</v>
      </c>
      <c r="CD311" s="6">
        <f t="shared" si="183"/>
        <v>346.98056123935805</v>
      </c>
      <c r="CE311" s="6">
        <f t="shared" si="184"/>
        <v>346.98056123935805</v>
      </c>
      <c r="CF311" s="6">
        <f t="shared" si="185"/>
        <v>346.98056123935805</v>
      </c>
      <c r="CG311" s="6">
        <f t="shared" si="186"/>
        <v>346.98056123935805</v>
      </c>
      <c r="CH311" s="6">
        <f t="shared" si="164"/>
        <v>3879.1767348722969</v>
      </c>
    </row>
    <row r="312" spans="1:86" hidden="1" x14ac:dyDescent="0.35">
      <c r="A312" s="3" t="s">
        <v>670</v>
      </c>
      <c r="B312" s="10">
        <v>26666.666666666668</v>
      </c>
      <c r="C312" s="10">
        <v>26666.666666666668</v>
      </c>
      <c r="D312" s="10">
        <v>26666.666666666668</v>
      </c>
      <c r="E312" s="10">
        <v>26666.666666666668</v>
      </c>
      <c r="F312" s="10">
        <v>26666.666666666668</v>
      </c>
      <c r="G312" s="10">
        <v>26666.666666666668</v>
      </c>
      <c r="H312" s="10">
        <v>26666.666666666668</v>
      </c>
      <c r="I312" s="10">
        <v>26666.666666666668</v>
      </c>
      <c r="J312" s="10">
        <v>26666.666666666668</v>
      </c>
      <c r="K312" s="10">
        <v>26666.666666666668</v>
      </c>
      <c r="L312" s="10">
        <v>26666.666666666668</v>
      </c>
      <c r="M312" s="10">
        <v>26666.666666666668</v>
      </c>
      <c r="N312" s="27">
        <f t="shared" si="188"/>
        <v>320000</v>
      </c>
      <c r="O312" s="38">
        <v>1052.2965994324302</v>
      </c>
      <c r="P312" s="38">
        <v>1052.2965994324302</v>
      </c>
      <c r="Q312" s="38">
        <v>1052.2965994324302</v>
      </c>
      <c r="R312" s="38">
        <v>1052.2965994324302</v>
      </c>
      <c r="S312" s="38">
        <v>1052.2965994324302</v>
      </c>
      <c r="T312" s="38">
        <v>1052.2965994324302</v>
      </c>
      <c r="U312" s="38">
        <v>1052.2965994324302</v>
      </c>
      <c r="V312" s="38">
        <v>1052.2965994324302</v>
      </c>
      <c r="W312" s="38">
        <v>1052.2965994324302</v>
      </c>
      <c r="X312" s="38">
        <v>1052.2965994324302</v>
      </c>
      <c r="Y312" s="38">
        <v>1052.2965994324302</v>
      </c>
      <c r="Z312" s="38">
        <v>1052.2965994324302</v>
      </c>
      <c r="AA312" s="27">
        <f t="shared" si="189"/>
        <v>12627.559193189159</v>
      </c>
      <c r="AB312" s="10">
        <f t="shared" si="190"/>
        <v>25614.370067234238</v>
      </c>
      <c r="AC312" s="10">
        <f t="shared" si="190"/>
        <v>25614.370067234238</v>
      </c>
      <c r="AD312" s="10">
        <f t="shared" si="190"/>
        <v>25614.370067234238</v>
      </c>
      <c r="AE312" s="10">
        <f t="shared" si="190"/>
        <v>25614.370067234238</v>
      </c>
      <c r="AF312" s="10">
        <f t="shared" si="172"/>
        <v>25614.370067234238</v>
      </c>
      <c r="AG312" s="10">
        <f t="shared" si="172"/>
        <v>25614.370067234238</v>
      </c>
      <c r="AH312" s="10">
        <f t="shared" si="172"/>
        <v>25614.370067234238</v>
      </c>
      <c r="AI312" s="10">
        <f t="shared" si="172"/>
        <v>25614.370067234238</v>
      </c>
      <c r="AJ312" s="10">
        <f t="shared" si="172"/>
        <v>25614.370067234238</v>
      </c>
      <c r="AK312" s="10">
        <f t="shared" si="172"/>
        <v>25614.370067234238</v>
      </c>
      <c r="AL312" s="10">
        <f t="shared" si="172"/>
        <v>25614.370067234238</v>
      </c>
      <c r="AM312" s="10">
        <f t="shared" si="172"/>
        <v>25614.370067234238</v>
      </c>
      <c r="AN312" s="27">
        <f t="shared" si="172"/>
        <v>307372.44080681086</v>
      </c>
      <c r="AO312" s="28" t="e">
        <f>SUMIF('[3]2025B and 2025F Details'!$AU:$AU,AP312,'[3]2025B and 2025F Details'!$BH:$BH)</f>
        <v>#VALUE!</v>
      </c>
      <c r="AP312" t="s">
        <v>671</v>
      </c>
      <c r="AS312" t="str">
        <f>_xlfn.XLOOKUP(AU312,[2]GAE!HZ:HZ,[2]GAE!IA:IA)</f>
        <v>IS &amp; IT</v>
      </c>
      <c r="AT312" t="str">
        <f>_xlfn.XLOOKUP(AU312,[2]GAE!HZ:HZ,[2]GAE!IB:IB)</f>
        <v>DOE - Systems and Applications</v>
      </c>
      <c r="AU312" t="s">
        <v>594</v>
      </c>
      <c r="AV312">
        <v>81124101</v>
      </c>
      <c r="AW312">
        <v>52952103</v>
      </c>
      <c r="AX312" t="str">
        <f>_xlfn.XLOOKUP(AU312,[2]GAE!HZ:HZ,[2]GAE!IF:IF)</f>
        <v>Systems &amp; Applications</v>
      </c>
      <c r="BC312" t="s">
        <v>73</v>
      </c>
      <c r="BD312" t="s">
        <v>672</v>
      </c>
      <c r="BF312" t="s">
        <v>612</v>
      </c>
      <c r="BG312" s="37" t="s">
        <v>73</v>
      </c>
      <c r="BH312" s="10">
        <f>SUMIFS('[1]2026'!$K:$K,'[1]2026'!$T:$T,BD312,'[1]2026'!$S:$S,BH$3,'[1]2026'!$P:$P,AU312)</f>
        <v>20203.89</v>
      </c>
      <c r="BI312" s="10">
        <f>SUMIFS('[1]2026'!$K:$K,'[1]2026'!$T:$T,$BD312,'[1]2026'!$S:$S,BI$3,'[1]2026'!$P:$P,$AU312)</f>
        <v>20203.89</v>
      </c>
      <c r="BJ312" s="10">
        <f>SUMIFS('[1]2026'!$K:$K,'[1]2026'!$T:$T,$BD312,'[1]2026'!$S:$S,BJ$3,'[1]2026'!$P:$P,$AU312)</f>
        <v>20203.89</v>
      </c>
      <c r="BK312" s="10">
        <f>SUMIFS('[1]2026'!$K:$K,'[1]2026'!$T:$T,$BD312,'[1]2026'!$S:$S,BK$3,'[1]2026'!$P:$P,$AU312)</f>
        <v>20203.89</v>
      </c>
      <c r="BL312" s="10">
        <f>SUMIFS('[1]2026'!$K:$K,'[1]2026'!$T:$T,$BD312,'[1]2026'!$S:$S,BL$3,'[1]2026'!$P:$P,$AU312)</f>
        <v>20203.89</v>
      </c>
      <c r="BM312" s="10">
        <f>SUMIFS('[1]2026'!$K:$K,'[1]2026'!$T:$T,$BD312,'[1]2026'!$S:$S,BM$3,'[1]2026'!$P:$P,$AU312)</f>
        <v>20203.89</v>
      </c>
      <c r="BN312" s="10">
        <f>SUMIFS('[1]2026'!$K:$K,'[1]2026'!$T:$T,$BD312,'[1]2026'!$S:$S,BN$3,'[1]2026'!$P:$P,$AU312)</f>
        <v>20203.89</v>
      </c>
      <c r="BO312" s="10">
        <f>SUMIFS('[1]2026'!$K:$K,'[1]2026'!$T:$T,$BD312,'[1]2026'!$S:$S,BO$3,'[1]2026'!$P:$P,$AU312)</f>
        <v>0</v>
      </c>
      <c r="BP312" s="6">
        <v>20203.89</v>
      </c>
      <c r="BQ312" s="6">
        <v>20203.89</v>
      </c>
      <c r="BR312" s="6">
        <v>20203.89</v>
      </c>
      <c r="BS312" s="6">
        <v>20203.89</v>
      </c>
      <c r="BT312" s="6">
        <f t="shared" si="162"/>
        <v>222242.79000000004</v>
      </c>
      <c r="BV312" s="6">
        <f t="shared" si="175"/>
        <v>-5410.480067234239</v>
      </c>
      <c r="BW312" s="6">
        <f t="shared" si="176"/>
        <v>-5410.480067234239</v>
      </c>
      <c r="BX312" s="6">
        <f t="shared" si="177"/>
        <v>-5410.480067234239</v>
      </c>
      <c r="BY312" s="6">
        <f t="shared" si="178"/>
        <v>-5410.480067234239</v>
      </c>
      <c r="BZ312" s="6">
        <f t="shared" si="179"/>
        <v>-5410.480067234239</v>
      </c>
      <c r="CA312" s="6">
        <f t="shared" si="180"/>
        <v>-5410.480067234239</v>
      </c>
      <c r="CB312" s="6">
        <f t="shared" si="181"/>
        <v>-5410.480067234239</v>
      </c>
      <c r="CC312" s="6">
        <f t="shared" si="182"/>
        <v>-25614.370067234238</v>
      </c>
      <c r="CD312" s="6">
        <f t="shared" si="183"/>
        <v>-5410.480067234239</v>
      </c>
      <c r="CE312" s="6">
        <f t="shared" si="184"/>
        <v>-5410.480067234239</v>
      </c>
      <c r="CF312" s="6">
        <f t="shared" si="185"/>
        <v>-5410.480067234239</v>
      </c>
      <c r="CG312" s="6">
        <f t="shared" si="186"/>
        <v>-5410.480067234239</v>
      </c>
      <c r="CH312" s="6">
        <f t="shared" si="164"/>
        <v>-85129.650806810823</v>
      </c>
    </row>
    <row r="313" spans="1:86" x14ac:dyDescent="0.35">
      <c r="A313" s="3" t="s">
        <v>673</v>
      </c>
      <c r="B313" s="10">
        <v>22775.21</v>
      </c>
      <c r="C313" s="10">
        <v>22775.21</v>
      </c>
      <c r="D313" s="10">
        <v>22775.21</v>
      </c>
      <c r="E313" s="10">
        <v>22775.21</v>
      </c>
      <c r="F313" s="10">
        <v>22775.21</v>
      </c>
      <c r="G313" s="10">
        <v>22775.21</v>
      </c>
      <c r="H313" s="10">
        <v>22775.21</v>
      </c>
      <c r="I313" s="10">
        <v>22775.21</v>
      </c>
      <c r="J313" s="10">
        <v>22775.21</v>
      </c>
      <c r="K313" s="10">
        <v>22775.21</v>
      </c>
      <c r="L313" s="10">
        <v>22775.21</v>
      </c>
      <c r="M313" s="10">
        <v>22775.21</v>
      </c>
      <c r="N313" s="27">
        <f t="shared" si="188"/>
        <v>273302.51999999996</v>
      </c>
      <c r="O313" s="38">
        <v>898.73535128848027</v>
      </c>
      <c r="P313" s="38">
        <v>898.73535128848027</v>
      </c>
      <c r="Q313" s="38">
        <v>898.73535128848027</v>
      </c>
      <c r="R313" s="38">
        <v>898.73535128848027</v>
      </c>
      <c r="S313" s="38">
        <v>898.73535128848027</v>
      </c>
      <c r="T313" s="38">
        <v>898.73535128848027</v>
      </c>
      <c r="U313" s="38">
        <v>898.73535128848027</v>
      </c>
      <c r="V313" s="38">
        <v>898.73535128848027</v>
      </c>
      <c r="W313" s="38">
        <v>898.73535128848027</v>
      </c>
      <c r="X313" s="38">
        <v>898.73535128848027</v>
      </c>
      <c r="Y313" s="38">
        <v>898.73535128848027</v>
      </c>
      <c r="Z313" s="38">
        <v>898.73535128848027</v>
      </c>
      <c r="AA313" s="27">
        <f t="shared" si="189"/>
        <v>10784.824215461764</v>
      </c>
      <c r="AB313" s="10">
        <f t="shared" si="190"/>
        <v>21876.474648711519</v>
      </c>
      <c r="AC313" s="10">
        <f t="shared" si="190"/>
        <v>21876.474648711519</v>
      </c>
      <c r="AD313" s="10">
        <f t="shared" si="190"/>
        <v>21876.474648711519</v>
      </c>
      <c r="AE313" s="10">
        <f t="shared" si="190"/>
        <v>21876.474648711519</v>
      </c>
      <c r="AF313" s="10">
        <f t="shared" si="172"/>
        <v>21876.474648711519</v>
      </c>
      <c r="AG313" s="10">
        <f t="shared" si="172"/>
        <v>21876.474648711519</v>
      </c>
      <c r="AH313" s="10">
        <f t="shared" si="172"/>
        <v>21876.474648711519</v>
      </c>
      <c r="AI313" s="10">
        <f t="shared" si="172"/>
        <v>21876.474648711519</v>
      </c>
      <c r="AJ313" s="10">
        <f t="shared" si="172"/>
        <v>21876.474648711519</v>
      </c>
      <c r="AK313" s="10">
        <f t="shared" si="172"/>
        <v>21876.474648711519</v>
      </c>
      <c r="AL313" s="10">
        <f t="shared" si="172"/>
        <v>21876.474648711519</v>
      </c>
      <c r="AM313" s="10">
        <f t="shared" si="172"/>
        <v>21876.474648711519</v>
      </c>
      <c r="AN313" s="27">
        <f t="shared" si="172"/>
        <v>262517.69578453817</v>
      </c>
      <c r="AO313" s="28" t="e">
        <f>SUMIF('[3]2025B and 2025F Details'!$AU:$AU,AP313,'[3]2025B and 2025F Details'!$BH:$BH)</f>
        <v>#VALUE!</v>
      </c>
      <c r="AP313" t="s">
        <v>674</v>
      </c>
      <c r="AS313" t="str">
        <f>_xlfn.XLOOKUP(AU313,[2]GAE!HZ:HZ,[2]GAE!IA:IA)</f>
        <v>IS &amp; IT</v>
      </c>
      <c r="AT313" t="str">
        <f>_xlfn.XLOOKUP(AU313,[2]GAE!HZ:HZ,[2]GAE!IB:IB)</f>
        <v>GAE- Systems &amp; Applications</v>
      </c>
      <c r="AU313" t="s">
        <v>593</v>
      </c>
      <c r="AV313">
        <v>80124101</v>
      </c>
      <c r="AW313">
        <v>61711102</v>
      </c>
      <c r="AX313" t="str">
        <f>_xlfn.XLOOKUP(AU313,[2]GAE!HZ:HZ,[2]GAE!IF:IF)</f>
        <v>Systems &amp; Applications</v>
      </c>
      <c r="BC313" t="s">
        <v>74</v>
      </c>
      <c r="BD313" t="s">
        <v>675</v>
      </c>
      <c r="BF313" t="s">
        <v>42</v>
      </c>
      <c r="BG313" s="37" t="s">
        <v>74</v>
      </c>
      <c r="BH313" s="10">
        <f>SUMIFS('[1]2026'!$K:$K,'[1]2026'!$T:$T,BD313,'[1]2026'!$S:$S,BH$3,'[1]2026'!$P:$P,AU313)</f>
        <v>4453.13</v>
      </c>
      <c r="BI313" s="10">
        <f>SUMIFS('[1]2026'!$K:$K,'[1]2026'!$T:$T,$BD313,'[1]2026'!$S:$S,BI$3,'[1]2026'!$P:$P,$AU313)</f>
        <v>4453.13</v>
      </c>
      <c r="BJ313" s="10">
        <f>SUMIFS('[1]2026'!$K:$K,'[1]2026'!$T:$T,$BD313,'[1]2026'!$S:$S,BJ$3,'[1]2026'!$P:$P,$AU313)</f>
        <v>4453.13</v>
      </c>
      <c r="BK313" s="10">
        <f>SUMIFS('[1]2026'!$K:$K,'[1]2026'!$T:$T,$BD313,'[1]2026'!$S:$S,BK$3,'[1]2026'!$P:$P,$AU313)</f>
        <v>4453.13</v>
      </c>
      <c r="BL313" s="10">
        <f>SUMIFS('[1]2026'!$K:$K,'[1]2026'!$T:$T,$BD313,'[1]2026'!$S:$S,BL$3,'[1]2026'!$P:$P,$AU313)</f>
        <v>0</v>
      </c>
      <c r="BM313" s="10">
        <f>SUMIFS('[1]2026'!$K:$K,'[1]2026'!$T:$T,$BD313,'[1]2026'!$S:$S,BM$3,'[1]2026'!$P:$P,$AU313)</f>
        <v>0</v>
      </c>
      <c r="BN313" s="10">
        <f>SUMIFS('[1]2026'!$K:$K,'[1]2026'!$T:$T,$BD313,'[1]2026'!$S:$S,BN$3,'[1]2026'!$P:$P,$AU313)</f>
        <v>0</v>
      </c>
      <c r="BO313" s="10">
        <f>SUMIFS('[1]2026'!$K:$K,'[1]2026'!$T:$T,$BD313,'[1]2026'!$S:$S,BO$3,'[1]2026'!$P:$P,$AU313)</f>
        <v>0</v>
      </c>
      <c r="BP313" s="6">
        <v>4453.13</v>
      </c>
      <c r="BQ313" s="6">
        <v>4453.13</v>
      </c>
      <c r="BR313" s="6">
        <v>4453.13</v>
      </c>
      <c r="BS313" s="6">
        <v>4453.13</v>
      </c>
      <c r="BT313" s="6">
        <f t="shared" si="162"/>
        <v>35625.040000000001</v>
      </c>
      <c r="BV313" s="6">
        <f t="shared" si="175"/>
        <v>-17423.344648711518</v>
      </c>
      <c r="BW313" s="6">
        <f t="shared" si="176"/>
        <v>-17423.344648711518</v>
      </c>
      <c r="BX313" s="6">
        <f t="shared" si="177"/>
        <v>-17423.344648711518</v>
      </c>
      <c r="BY313" s="6">
        <f t="shared" si="178"/>
        <v>-17423.344648711518</v>
      </c>
      <c r="BZ313" s="6">
        <f t="shared" si="179"/>
        <v>-21876.474648711519</v>
      </c>
      <c r="CA313" s="6">
        <f t="shared" si="180"/>
        <v>-21876.474648711519</v>
      </c>
      <c r="CB313" s="6">
        <f t="shared" si="181"/>
        <v>-21876.474648711519</v>
      </c>
      <c r="CC313" s="6">
        <f t="shared" si="182"/>
        <v>-21876.474648711519</v>
      </c>
      <c r="CD313" s="6">
        <f t="shared" si="183"/>
        <v>-17423.344648711518</v>
      </c>
      <c r="CE313" s="6">
        <f t="shared" si="184"/>
        <v>-17423.344648711518</v>
      </c>
      <c r="CF313" s="6">
        <f t="shared" si="185"/>
        <v>-17423.344648711518</v>
      </c>
      <c r="CG313" s="6">
        <f t="shared" si="186"/>
        <v>-17423.344648711518</v>
      </c>
      <c r="CH313" s="6">
        <f t="shared" si="164"/>
        <v>-226892.65578453816</v>
      </c>
    </row>
    <row r="314" spans="1:86" hidden="1" x14ac:dyDescent="0.35">
      <c r="A314" s="3" t="s">
        <v>675</v>
      </c>
      <c r="AN314" s="27">
        <f t="shared" si="172"/>
        <v>0</v>
      </c>
      <c r="AS314" t="str">
        <f>_xlfn.XLOOKUP(AU314,[2]GAE!HZ:HZ,[2]GAE!IA:IA)</f>
        <v>IS &amp; IT</v>
      </c>
      <c r="AT314" t="str">
        <f>_xlfn.XLOOKUP(AU314,[2]GAE!HZ:HZ,[2]GAE!IB:IB)</f>
        <v>DOE - Systems and Applications</v>
      </c>
      <c r="AU314" s="2" t="s">
        <v>594</v>
      </c>
      <c r="AV314" s="2">
        <v>81124101</v>
      </c>
      <c r="AW314" s="2">
        <v>52952103</v>
      </c>
      <c r="AX314" t="str">
        <f>_xlfn.XLOOKUP(AU314,[2]GAE!HZ:HZ,[2]GAE!IF:IF)</f>
        <v>Systems &amp; Applications</v>
      </c>
      <c r="BC314" t="s">
        <v>74</v>
      </c>
      <c r="BD314" s="2" t="s">
        <v>676</v>
      </c>
      <c r="BE314" s="2"/>
      <c r="BF314" t="s">
        <v>42</v>
      </c>
      <c r="BG314" s="37" t="s">
        <v>74</v>
      </c>
      <c r="BI314" s="10">
        <f>SUMIFS('[1]2026'!$K:$K,'[1]2026'!$T:$T,$BD314,'[1]2026'!$S:$S,BI$3,'[1]2026'!$P:$P,$AU314)</f>
        <v>5937.5</v>
      </c>
      <c r="BJ314" s="10">
        <f>SUMIFS('[1]2026'!$K:$K,'[1]2026'!$T:$T,$BD314,'[1]2026'!$S:$S,BJ$3,'[1]2026'!$P:$P,$AU314)</f>
        <v>0</v>
      </c>
      <c r="BK314" s="10">
        <f>SUMIFS('[1]2026'!$K:$K,'[1]2026'!$T:$T,$BD314,'[1]2026'!$S:$S,BK$3,'[1]2026'!$P:$P,$AU314)</f>
        <v>0</v>
      </c>
      <c r="BL314" s="6"/>
      <c r="BM314" s="10">
        <f>SUMIFS('[1]2026'!$K:$K,'[1]2026'!$T:$T,$BD314,'[1]2026'!$S:$S,BM$3,'[1]2026'!$P:$P,$AU314)</f>
        <v>0</v>
      </c>
      <c r="BN314" s="10">
        <f>SUMIFS('[1]2026'!$K:$K,'[1]2026'!$T:$T,$BD314,'[1]2026'!$S:$S,BN$3,'[1]2026'!$P:$P,$AU314)</f>
        <v>0</v>
      </c>
      <c r="BO314" s="10">
        <f>SUMIFS('[1]2026'!$K:$K,'[1]2026'!$T:$T,$BD314,'[1]2026'!$S:$S,BO$3,'[1]2026'!$P:$P,$AU314)</f>
        <v>0</v>
      </c>
      <c r="BP314" s="6"/>
      <c r="BQ314" s="6"/>
      <c r="BR314" s="6"/>
      <c r="BS314" s="6"/>
      <c r="BT314" s="6">
        <f>SUM(BH314:BS314)</f>
        <v>5937.5</v>
      </c>
      <c r="BV314" s="6">
        <f t="shared" si="175"/>
        <v>0</v>
      </c>
      <c r="BW314" s="6">
        <f t="shared" si="176"/>
        <v>5937.5</v>
      </c>
      <c r="BX314" s="6">
        <f t="shared" si="177"/>
        <v>0</v>
      </c>
      <c r="BY314" s="6">
        <f t="shared" si="178"/>
        <v>0</v>
      </c>
      <c r="BZ314" s="6">
        <f t="shared" si="179"/>
        <v>0</v>
      </c>
      <c r="CA314" s="6">
        <f t="shared" si="180"/>
        <v>0</v>
      </c>
      <c r="CB314" s="6">
        <f t="shared" si="181"/>
        <v>0</v>
      </c>
      <c r="CC314" s="6">
        <f t="shared" si="182"/>
        <v>0</v>
      </c>
      <c r="CD314" s="6">
        <f t="shared" si="183"/>
        <v>0</v>
      </c>
      <c r="CE314" s="6">
        <f t="shared" si="184"/>
        <v>0</v>
      </c>
      <c r="CF314" s="6">
        <f t="shared" si="185"/>
        <v>0</v>
      </c>
      <c r="CG314" s="6">
        <f t="shared" si="186"/>
        <v>0</v>
      </c>
      <c r="CH314" s="6">
        <f t="shared" si="164"/>
        <v>5937.5</v>
      </c>
    </row>
    <row r="315" spans="1:86" hidden="1" x14ac:dyDescent="0.35">
      <c r="A315" s="3" t="s">
        <v>675</v>
      </c>
      <c r="AN315" s="27">
        <f t="shared" si="172"/>
        <v>0</v>
      </c>
      <c r="AS315" t="str">
        <f>_xlfn.XLOOKUP(AU315,[2]GAE!HZ:HZ,[2]GAE!IA:IA)</f>
        <v>IS &amp; IT</v>
      </c>
      <c r="AT315" t="str">
        <f>_xlfn.XLOOKUP(AU315,[2]GAE!HZ:HZ,[2]GAE!IB:IB)</f>
        <v>DOE - Systems and Applications</v>
      </c>
      <c r="AU315" s="2" t="s">
        <v>594</v>
      </c>
      <c r="AV315" s="2">
        <v>81124101</v>
      </c>
      <c r="AW315" s="2">
        <v>52952103</v>
      </c>
      <c r="AX315" t="str">
        <f>_xlfn.XLOOKUP(AU315,[2]GAE!HZ:HZ,[2]GAE!IF:IF)</f>
        <v>Systems &amp; Applications</v>
      </c>
      <c r="BC315" t="s">
        <v>74</v>
      </c>
      <c r="BD315" s="2" t="s">
        <v>677</v>
      </c>
      <c r="BE315" s="2"/>
      <c r="BF315" t="s">
        <v>42</v>
      </c>
      <c r="BG315" s="37" t="s">
        <v>74</v>
      </c>
      <c r="BI315" s="10">
        <f>SUMIFS('[1]2026'!$K:$K,'[1]2026'!$T:$T,$BD315,'[1]2026'!$S:$S,BI$3,'[1]2026'!$P:$P,$AU315)</f>
        <v>5937.5</v>
      </c>
      <c r="BJ315" s="10">
        <f>SUMIFS('[1]2026'!$K:$K,'[1]2026'!$T:$T,$BD315,'[1]2026'!$S:$S,BJ$3,'[1]2026'!$P:$P,$AU315)</f>
        <v>0</v>
      </c>
      <c r="BK315" s="10">
        <f>SUMIFS('[1]2026'!$K:$K,'[1]2026'!$T:$T,$BD315,'[1]2026'!$S:$S,BK$3,'[1]2026'!$P:$P,$AU315)</f>
        <v>0</v>
      </c>
      <c r="BL315" s="6"/>
      <c r="BM315" s="10">
        <f>SUMIFS('[1]2026'!$K:$K,'[1]2026'!$T:$T,$BD315,'[1]2026'!$S:$S,BM$3,'[1]2026'!$P:$P,$AU315)</f>
        <v>0</v>
      </c>
      <c r="BN315" s="10">
        <f>SUMIFS('[1]2026'!$K:$K,'[1]2026'!$T:$T,$BD315,'[1]2026'!$S:$S,BN$3,'[1]2026'!$P:$P,$AU315)</f>
        <v>0</v>
      </c>
      <c r="BO315" s="10">
        <f>SUMIFS('[1]2026'!$K:$K,'[1]2026'!$T:$T,$BD315,'[1]2026'!$S:$S,BO$3,'[1]2026'!$P:$P,$AU315)</f>
        <v>0</v>
      </c>
      <c r="BP315" s="6"/>
      <c r="BQ315" s="6"/>
      <c r="BR315" s="6"/>
      <c r="BS315" s="6"/>
      <c r="BT315" s="6">
        <f>SUM(BH315:BS315)</f>
        <v>5937.5</v>
      </c>
      <c r="BV315" s="6">
        <f t="shared" si="175"/>
        <v>0</v>
      </c>
      <c r="BW315" s="6">
        <f t="shared" si="176"/>
        <v>5937.5</v>
      </c>
      <c r="BX315" s="6">
        <f t="shared" si="177"/>
        <v>0</v>
      </c>
      <c r="BY315" s="6">
        <f t="shared" si="178"/>
        <v>0</v>
      </c>
      <c r="BZ315" s="6">
        <f t="shared" si="179"/>
        <v>0</v>
      </c>
      <c r="CA315" s="6">
        <f t="shared" si="180"/>
        <v>0</v>
      </c>
      <c r="CB315" s="6">
        <f t="shared" si="181"/>
        <v>0</v>
      </c>
      <c r="CC315" s="6">
        <f t="shared" si="182"/>
        <v>0</v>
      </c>
      <c r="CD315" s="6">
        <f t="shared" si="183"/>
        <v>0</v>
      </c>
      <c r="CE315" s="6">
        <f t="shared" si="184"/>
        <v>0</v>
      </c>
      <c r="CF315" s="6">
        <f t="shared" si="185"/>
        <v>0</v>
      </c>
      <c r="CG315" s="6">
        <f t="shared" si="186"/>
        <v>0</v>
      </c>
      <c r="CH315" s="6">
        <f t="shared" si="164"/>
        <v>5937.5</v>
      </c>
    </row>
    <row r="316" spans="1:86" hidden="1" x14ac:dyDescent="0.35">
      <c r="A316" s="3" t="s">
        <v>675</v>
      </c>
      <c r="AN316" s="27">
        <f t="shared" si="172"/>
        <v>0</v>
      </c>
      <c r="AS316" t="str">
        <f>_xlfn.XLOOKUP(AU316,[2]GAE!HZ:HZ,[2]GAE!IA:IA)</f>
        <v>IS &amp; IT</v>
      </c>
      <c r="AT316" t="str">
        <f>_xlfn.XLOOKUP(AU316,[2]GAE!HZ:HZ,[2]GAE!IB:IB)</f>
        <v>DOE - Systems and Applications</v>
      </c>
      <c r="AU316" s="2" t="s">
        <v>594</v>
      </c>
      <c r="AV316" s="2">
        <v>81124101</v>
      </c>
      <c r="AW316" s="2">
        <v>52952103</v>
      </c>
      <c r="AX316" t="str">
        <f>_xlfn.XLOOKUP(AU316,[2]GAE!HZ:HZ,[2]GAE!IF:IF)</f>
        <v>Systems &amp; Applications</v>
      </c>
      <c r="BC316" t="s">
        <v>74</v>
      </c>
      <c r="BD316" s="2" t="s">
        <v>675</v>
      </c>
      <c r="BE316" s="2"/>
      <c r="BF316" t="s">
        <v>42</v>
      </c>
      <c r="BG316" s="37" t="s">
        <v>74</v>
      </c>
      <c r="BH316" s="10">
        <f>SUMIFS('[1]2026'!$K:$K,'[1]2026'!$T:$T,BD316,'[1]2026'!$S:$S,BH$3,'[1]2026'!$P:$P,AU316)</f>
        <v>0</v>
      </c>
      <c r="BI316" s="10">
        <f>SUMIFS('[1]2026'!$K:$K,'[1]2026'!$T:$T,$BD316,'[1]2026'!$S:$S,BI$3,'[1]2026'!$P:$P,$AU316)</f>
        <v>0</v>
      </c>
      <c r="BJ316" s="10">
        <f>SUMIFS('[1]2026'!$K:$K,'[1]2026'!$T:$T,$BD316,'[1]2026'!$S:$S,BJ$3,'[1]2026'!$P:$P,$AU316)</f>
        <v>130625</v>
      </c>
      <c r="BK316" s="10">
        <f>SUMIFS('[1]2026'!$K:$K,'[1]2026'!$T:$T,$BD316,'[1]2026'!$S:$S,BK$3,'[1]2026'!$P:$P,$AU316)</f>
        <v>0</v>
      </c>
      <c r="BL316" s="10">
        <f>SUMIFS('[1]2026'!$K:$K,'[1]2026'!$T:$T,$BD316,'[1]2026'!$S:$S,BL$3,'[1]2026'!$P:$P,$AU316)</f>
        <v>0</v>
      </c>
      <c r="BM316" s="10">
        <f>SUMIFS('[1]2026'!$K:$K,'[1]2026'!$T:$T,$BD316,'[1]2026'!$S:$S,BM$3,'[1]2026'!$P:$P,$AU316)</f>
        <v>0</v>
      </c>
      <c r="BN316" s="10">
        <f>SUMIFS('[1]2026'!$K:$K,'[1]2026'!$T:$T,$BD316,'[1]2026'!$S:$S,BN$3,'[1]2026'!$P:$P,$AU316)</f>
        <v>0</v>
      </c>
      <c r="BO316" s="10">
        <f>SUMIFS('[1]2026'!$K:$K,'[1]2026'!$T:$T,$BD316,'[1]2026'!$S:$S,BO$3,'[1]2026'!$P:$P,$AU316)</f>
        <v>0</v>
      </c>
      <c r="BP316" s="6">
        <f t="shared" ref="BP316:BS316" si="191">BO316</f>
        <v>0</v>
      </c>
      <c r="BQ316" s="6">
        <f t="shared" si="191"/>
        <v>0</v>
      </c>
      <c r="BR316" s="6">
        <f t="shared" si="191"/>
        <v>0</v>
      </c>
      <c r="BS316" s="6">
        <f t="shared" si="191"/>
        <v>0</v>
      </c>
      <c r="BT316" s="6">
        <f t="shared" ref="BT316" si="192">SUM(BH316:BS316)</f>
        <v>130625</v>
      </c>
      <c r="BV316" s="6">
        <f t="shared" si="175"/>
        <v>0</v>
      </c>
      <c r="BW316" s="6">
        <f t="shared" si="176"/>
        <v>0</v>
      </c>
      <c r="BX316" s="6">
        <f t="shared" si="177"/>
        <v>130625</v>
      </c>
      <c r="BY316" s="6">
        <f t="shared" si="178"/>
        <v>0</v>
      </c>
      <c r="BZ316" s="6">
        <f t="shared" si="179"/>
        <v>0</v>
      </c>
      <c r="CA316" s="6">
        <f t="shared" si="180"/>
        <v>0</v>
      </c>
      <c r="CB316" s="6">
        <f t="shared" si="181"/>
        <v>0</v>
      </c>
      <c r="CC316" s="6">
        <f t="shared" si="182"/>
        <v>0</v>
      </c>
      <c r="CD316" s="6">
        <f t="shared" si="183"/>
        <v>0</v>
      </c>
      <c r="CE316" s="6">
        <f t="shared" si="184"/>
        <v>0</v>
      </c>
      <c r="CF316" s="6">
        <f t="shared" si="185"/>
        <v>0</v>
      </c>
      <c r="CG316" s="6">
        <f t="shared" si="186"/>
        <v>0</v>
      </c>
      <c r="CH316" s="6">
        <f t="shared" si="164"/>
        <v>130625</v>
      </c>
    </row>
    <row r="317" spans="1:86" x14ac:dyDescent="0.35">
      <c r="A317" s="3" t="s">
        <v>678</v>
      </c>
      <c r="B317" s="10">
        <v>458333.33333333331</v>
      </c>
      <c r="C317" s="10">
        <v>458333.33333333331</v>
      </c>
      <c r="D317" s="10">
        <v>458333.33333333331</v>
      </c>
      <c r="E317" s="10">
        <v>458333.33333333331</v>
      </c>
      <c r="F317" s="10">
        <v>458333.33333333331</v>
      </c>
      <c r="G317" s="10">
        <v>458333.33333333331</v>
      </c>
      <c r="H317" s="10">
        <v>458333.33333333331</v>
      </c>
      <c r="I317" s="10">
        <v>458333.33333333331</v>
      </c>
      <c r="J317" s="10">
        <v>458333.33333333331</v>
      </c>
      <c r="K317" s="10">
        <v>458333.33333333331</v>
      </c>
      <c r="L317" s="10">
        <v>458333.33333333331</v>
      </c>
      <c r="M317" s="10">
        <v>458333.33333333331</v>
      </c>
      <c r="N317" s="27">
        <f t="shared" si="188"/>
        <v>5500000</v>
      </c>
      <c r="O317" s="10">
        <v>41666.666666666664</v>
      </c>
      <c r="P317" s="10">
        <v>41666.666666666664</v>
      </c>
      <c r="Q317" s="10">
        <v>41666.666666666664</v>
      </c>
      <c r="R317" s="10">
        <v>41666.666666666664</v>
      </c>
      <c r="S317" s="10">
        <v>41666.666666666664</v>
      </c>
      <c r="T317" s="10">
        <v>41666.666666666664</v>
      </c>
      <c r="U317" s="10">
        <v>41666.666666666664</v>
      </c>
      <c r="V317" s="10">
        <v>41666.666666666664</v>
      </c>
      <c r="W317" s="10">
        <v>41666.666666666664</v>
      </c>
      <c r="X317" s="10">
        <v>41666.666666666664</v>
      </c>
      <c r="Y317" s="10">
        <v>41666.666666666664</v>
      </c>
      <c r="Z317" s="10">
        <v>41666.666666666664</v>
      </c>
      <c r="AA317" s="27">
        <f t="shared" si="189"/>
        <v>500000.00000000006</v>
      </c>
      <c r="AB317" s="10">
        <f t="shared" si="190"/>
        <v>416666.66666666663</v>
      </c>
      <c r="AC317" s="10">
        <f t="shared" si="190"/>
        <v>416666.66666666663</v>
      </c>
      <c r="AD317" s="10">
        <f t="shared" si="190"/>
        <v>416666.66666666663</v>
      </c>
      <c r="AE317" s="10">
        <f t="shared" si="190"/>
        <v>416666.66666666663</v>
      </c>
      <c r="AF317" s="10">
        <f t="shared" si="172"/>
        <v>416666.66666666663</v>
      </c>
      <c r="AG317" s="10">
        <f t="shared" si="172"/>
        <v>416666.66666666663</v>
      </c>
      <c r="AH317" s="10">
        <f t="shared" si="172"/>
        <v>416666.66666666663</v>
      </c>
      <c r="AI317" s="10">
        <f t="shared" si="172"/>
        <v>416666.66666666663</v>
      </c>
      <c r="AJ317" s="10">
        <f t="shared" si="172"/>
        <v>416666.66666666663</v>
      </c>
      <c r="AK317" s="10">
        <f t="shared" si="172"/>
        <v>416666.66666666663</v>
      </c>
      <c r="AL317" s="10">
        <f t="shared" si="172"/>
        <v>416666.66666666663</v>
      </c>
      <c r="AM317" s="10">
        <f t="shared" si="172"/>
        <v>416666.66666666663</v>
      </c>
      <c r="AN317" s="27">
        <f t="shared" si="172"/>
        <v>5000000</v>
      </c>
      <c r="AO317" s="28" t="e">
        <f>SUMIF('[3]2025B and 2025F Details'!$AU:$AU,AP317,'[3]2025B and 2025F Details'!$BH:$BH)</f>
        <v>#VALUE!</v>
      </c>
      <c r="AP317" t="s">
        <v>679</v>
      </c>
      <c r="AS317" t="str">
        <f>_xlfn.XLOOKUP(AU317,[2]GAE!HZ:HZ,[2]GAE!IA:IA)</f>
        <v>IS &amp; IT</v>
      </c>
      <c r="AT317" t="str">
        <f>_xlfn.XLOOKUP(AU317,[2]GAE!HZ:HZ,[2]GAE!IB:IB)</f>
        <v>GAE- Systems &amp; Applications</v>
      </c>
      <c r="AU317" t="s">
        <v>593</v>
      </c>
      <c r="AV317">
        <v>80124101</v>
      </c>
      <c r="AW317">
        <v>61711102</v>
      </c>
      <c r="AX317" t="str">
        <f>_xlfn.XLOOKUP(AU317,[2]GAE!HZ:HZ,[2]GAE!IF:IF)</f>
        <v>Systems &amp; Applications</v>
      </c>
      <c r="BA317" t="s">
        <v>680</v>
      </c>
      <c r="BC317" t="s">
        <v>75</v>
      </c>
      <c r="BD317" t="s">
        <v>681</v>
      </c>
      <c r="BF317" t="s">
        <v>612</v>
      </c>
      <c r="BG317" s="37" t="s">
        <v>75</v>
      </c>
      <c r="BH317" s="10">
        <f>SUMIFS('[1]2026'!$K:$K,'[1]2026'!$T:$T,BD317,'[1]2026'!$S:$S,BH$3,'[1]2026'!$P:$P,AU317)</f>
        <v>427336.76</v>
      </c>
      <c r="BI317" s="10">
        <f>SUMIFS('[1]2026'!$K:$K,'[1]2026'!$T:$T,$BD317,'[1]2026'!$S:$S,BI$3,'[1]2026'!$P:$P,$AU317)</f>
        <v>335764.54000000004</v>
      </c>
      <c r="BJ317" s="10">
        <f>SUMIFS('[1]2026'!$K:$K,'[1]2026'!$T:$T,$BD317,'[1]2026'!$S:$S,BJ$3,'[1]2026'!$P:$P,$AU317)</f>
        <v>381550.68</v>
      </c>
      <c r="BK317" s="10">
        <f>SUMIFS('[1]2026'!$K:$K,'[1]2026'!$T:$T,$BD317,'[1]2026'!$S:$S,BK$3,'[1]2026'!$P:$P,$AU317)</f>
        <v>381550.68</v>
      </c>
      <c r="BL317" s="10">
        <f>SUMIFS('[1]2026'!$K:$K,'[1]2026'!$T:$T,$BD317,'[1]2026'!$S:$S,BL$3,'[1]2026'!$P:$P,$AU317)</f>
        <v>381550.68</v>
      </c>
      <c r="BM317" s="10">
        <f>SUMIFS('[1]2026'!$K:$K,'[1]2026'!$T:$T,$BD317,'[1]2026'!$S:$S,BM$3,'[1]2026'!$P:$P,$AU317)</f>
        <v>381550.68</v>
      </c>
      <c r="BN317" s="10">
        <f>SUMIFS('[1]2026'!$K:$K,'[1]2026'!$T:$T,$BD317,'[1]2026'!$S:$S,BN$3,'[1]2026'!$P:$P,$AU317)</f>
        <v>381550.68</v>
      </c>
      <c r="BO317" s="10">
        <f>SUMIFS('[1]2026'!$K:$K,'[1]2026'!$T:$T,$BD317,'[1]2026'!$S:$S,BO$3,'[1]2026'!$P:$P,$AU317)</f>
        <v>381550.68</v>
      </c>
      <c r="BP317" s="6">
        <v>381550.68</v>
      </c>
      <c r="BQ317" s="6">
        <v>381550.68</v>
      </c>
      <c r="BR317" s="6">
        <v>381550.68</v>
      </c>
      <c r="BS317" s="6">
        <v>381550.68</v>
      </c>
      <c r="BT317" s="6">
        <f t="shared" si="162"/>
        <v>4578608.1000000006</v>
      </c>
      <c r="BV317" s="6">
        <f t="shared" si="175"/>
        <v>10670.093333333381</v>
      </c>
      <c r="BW317" s="6">
        <f t="shared" si="176"/>
        <v>-80902.126666666591</v>
      </c>
      <c r="BX317" s="6">
        <f t="shared" si="177"/>
        <v>-35115.986666666635</v>
      </c>
      <c r="BY317" s="6">
        <f t="shared" si="178"/>
        <v>-35115.986666666635</v>
      </c>
      <c r="BZ317" s="6">
        <f t="shared" si="179"/>
        <v>-35115.986666666635</v>
      </c>
      <c r="CA317" s="6">
        <f t="shared" si="180"/>
        <v>-35115.986666666635</v>
      </c>
      <c r="CB317" s="6">
        <f t="shared" si="181"/>
        <v>-35115.986666666635</v>
      </c>
      <c r="CC317" s="6">
        <f t="shared" si="182"/>
        <v>-35115.986666666635</v>
      </c>
      <c r="CD317" s="6">
        <f t="shared" si="183"/>
        <v>-35115.986666666635</v>
      </c>
      <c r="CE317" s="6">
        <f t="shared" si="184"/>
        <v>-35115.986666666635</v>
      </c>
      <c r="CF317" s="6">
        <f t="shared" si="185"/>
        <v>-35115.986666666635</v>
      </c>
      <c r="CG317" s="6">
        <f t="shared" si="186"/>
        <v>-35115.986666666635</v>
      </c>
      <c r="CH317" s="6">
        <f t="shared" si="164"/>
        <v>-421391.89999999944</v>
      </c>
    </row>
    <row r="318" spans="1:86" x14ac:dyDescent="0.35">
      <c r="A318" s="3" t="s">
        <v>682</v>
      </c>
      <c r="B318" s="10">
        <v>100000</v>
      </c>
      <c r="C318" s="10">
        <v>100000</v>
      </c>
      <c r="D318" s="10">
        <v>200000</v>
      </c>
      <c r="E318" s="10">
        <v>100000</v>
      </c>
      <c r="F318" s="10">
        <v>100000</v>
      </c>
      <c r="G318" s="10">
        <v>100000</v>
      </c>
      <c r="H318" s="10">
        <v>100000</v>
      </c>
      <c r="I318" s="10">
        <v>100000</v>
      </c>
      <c r="J318" s="10">
        <v>100000</v>
      </c>
      <c r="K318" s="10">
        <v>100000</v>
      </c>
      <c r="L318" s="10">
        <v>100000</v>
      </c>
      <c r="M318" s="10">
        <v>100000</v>
      </c>
      <c r="N318" s="27">
        <f t="shared" si="188"/>
        <v>1300000</v>
      </c>
      <c r="O318" s="10">
        <v>57916.666666666664</v>
      </c>
      <c r="P318" s="10">
        <v>57916.666666666664</v>
      </c>
      <c r="Q318" s="10">
        <v>57916.666666666664</v>
      </c>
      <c r="R318" s="10">
        <v>57916.666666666664</v>
      </c>
      <c r="S318" s="10">
        <v>57916.666666666664</v>
      </c>
      <c r="T318" s="10">
        <v>57916.666666666664</v>
      </c>
      <c r="U318" s="10">
        <v>57916.666666666664</v>
      </c>
      <c r="V318" s="10">
        <v>57916.666666666664</v>
      </c>
      <c r="W318" s="10">
        <v>57916.666666666664</v>
      </c>
      <c r="X318" s="10">
        <v>57916.666666666664</v>
      </c>
      <c r="Y318" s="10">
        <v>57916.666666666664</v>
      </c>
      <c r="Z318" s="10">
        <v>57916.666666666664</v>
      </c>
      <c r="AA318" s="27">
        <f t="shared" si="189"/>
        <v>695000</v>
      </c>
      <c r="AB318" s="10">
        <f t="shared" si="190"/>
        <v>42083.333333333336</v>
      </c>
      <c r="AC318" s="10">
        <f t="shared" si="190"/>
        <v>42083.333333333336</v>
      </c>
      <c r="AD318" s="10">
        <f t="shared" si="190"/>
        <v>142083.33333333334</v>
      </c>
      <c r="AE318" s="10">
        <f t="shared" si="190"/>
        <v>42083.333333333336</v>
      </c>
      <c r="AF318" s="10">
        <f t="shared" si="172"/>
        <v>42083.333333333336</v>
      </c>
      <c r="AG318" s="10">
        <f t="shared" si="172"/>
        <v>42083.333333333336</v>
      </c>
      <c r="AH318" s="10">
        <f t="shared" si="172"/>
        <v>42083.333333333336</v>
      </c>
      <c r="AI318" s="10">
        <f t="shared" si="172"/>
        <v>42083.333333333336</v>
      </c>
      <c r="AJ318" s="10">
        <f t="shared" si="172"/>
        <v>42083.333333333336</v>
      </c>
      <c r="AK318" s="10">
        <f t="shared" si="172"/>
        <v>42083.333333333336</v>
      </c>
      <c r="AL318" s="10">
        <f t="shared" si="172"/>
        <v>42083.333333333336</v>
      </c>
      <c r="AM318" s="10">
        <f t="shared" si="172"/>
        <v>42083.333333333336</v>
      </c>
      <c r="AN318" s="27">
        <f t="shared" si="172"/>
        <v>605000</v>
      </c>
      <c r="AO318" s="28">
        <v>550000</v>
      </c>
      <c r="AP318" s="39" t="s">
        <v>683</v>
      </c>
      <c r="AQ318" s="6"/>
      <c r="AR318" t="s">
        <v>684</v>
      </c>
      <c r="AS318" t="str">
        <f>_xlfn.XLOOKUP(AU318,[2]GAE!HZ:HZ,[2]GAE!IA:IA)</f>
        <v>IS &amp; IT</v>
      </c>
      <c r="AT318" t="str">
        <f>_xlfn.XLOOKUP(AU318,[2]GAE!HZ:HZ,[2]GAE!IB:IB)</f>
        <v>GAE- Systems &amp; Applications</v>
      </c>
      <c r="AU318" t="s">
        <v>593</v>
      </c>
      <c r="AV318">
        <v>80124101</v>
      </c>
      <c r="AW318">
        <v>61711102</v>
      </c>
      <c r="AX318" t="str">
        <f>_xlfn.XLOOKUP(AU318,[2]GAE!HZ:HZ,[2]GAE!IF:IF)</f>
        <v>Systems &amp; Applications</v>
      </c>
      <c r="BA318" t="s">
        <v>685</v>
      </c>
      <c r="BF318" t="s">
        <v>612</v>
      </c>
      <c r="BG318" s="37" t="s">
        <v>683</v>
      </c>
      <c r="BH318" s="10">
        <f>SUMIFS('[1]2026'!$K:$K,'[1]2026'!$T:$T,BD318,'[1]2026'!$S:$S,BH$3,'[1]2026'!$P:$P,AU318)</f>
        <v>0</v>
      </c>
      <c r="BI318" s="10">
        <f>SUMIFS('[1]2026'!$K:$K,'[1]2026'!$T:$T,$BD318,'[1]2026'!$S:$S,BI$3,'[1]2026'!$P:$P,$AU318)</f>
        <v>0</v>
      </c>
      <c r="BJ318" s="10">
        <f>SUMIFS('[1]2026'!$K:$K,'[1]2026'!$T:$T,$BD318,'[1]2026'!$S:$S,BJ$3,'[1]2026'!$P:$P,$AU318)</f>
        <v>0</v>
      </c>
      <c r="BK318" s="10">
        <f>SUMIFS('[1]2026'!$K:$K,'[1]2026'!$T:$T,$BD318,'[1]2026'!$S:$S,BK$3,'[1]2026'!$P:$P,$AU318)</f>
        <v>0</v>
      </c>
      <c r="BL318" s="10">
        <f>SUMIFS('[1]2026'!$K:$K,'[1]2026'!$T:$T,$BD318,'[1]2026'!$S:$S,BL$3,'[1]2026'!$P:$P,$AU318)</f>
        <v>0</v>
      </c>
      <c r="BM318" s="10">
        <f>SUMIFS('[1]2026'!$K:$K,'[1]2026'!$T:$T,$BD318,'[1]2026'!$S:$S,BM$3,'[1]2026'!$P:$P,$AU318)</f>
        <v>0</v>
      </c>
      <c r="BN318" s="10">
        <f>SUMIFS('[1]2026'!$K:$K,'[1]2026'!$T:$T,$BD318,'[1]2026'!$S:$S,BN$3,'[1]2026'!$P:$P,$AU318)</f>
        <v>0</v>
      </c>
      <c r="BO318" s="10">
        <f>SUMIFS('[1]2026'!$K:$K,'[1]2026'!$T:$T,$BD318,'[1]2026'!$S:$S,BO$3,'[1]2026'!$P:$P,$AU318)</f>
        <v>0</v>
      </c>
      <c r="BP318" s="6">
        <f t="shared" ref="BP318:BS333" si="193">BO318</f>
        <v>0</v>
      </c>
      <c r="BQ318" s="6">
        <f t="shared" si="193"/>
        <v>0</v>
      </c>
      <c r="BR318" s="6">
        <f t="shared" si="193"/>
        <v>0</v>
      </c>
      <c r="BS318" s="6">
        <f t="shared" si="193"/>
        <v>0</v>
      </c>
      <c r="BT318" s="6">
        <f t="shared" si="162"/>
        <v>0</v>
      </c>
      <c r="BV318" s="6">
        <f t="shared" si="175"/>
        <v>-42083.333333333336</v>
      </c>
      <c r="BW318" s="6">
        <f t="shared" si="176"/>
        <v>-42083.333333333336</v>
      </c>
      <c r="BX318" s="6">
        <f t="shared" si="177"/>
        <v>-142083.33333333334</v>
      </c>
      <c r="BY318" s="6">
        <f t="shared" si="178"/>
        <v>-42083.333333333336</v>
      </c>
      <c r="BZ318" s="6">
        <f t="shared" si="179"/>
        <v>-42083.333333333336</v>
      </c>
      <c r="CA318" s="6">
        <f t="shared" si="180"/>
        <v>-42083.333333333336</v>
      </c>
      <c r="CB318" s="6">
        <f t="shared" si="181"/>
        <v>-42083.333333333336</v>
      </c>
      <c r="CC318" s="6">
        <f t="shared" si="182"/>
        <v>-42083.333333333336</v>
      </c>
      <c r="CD318" s="6">
        <f t="shared" si="183"/>
        <v>-42083.333333333336</v>
      </c>
      <c r="CE318" s="6">
        <f t="shared" si="184"/>
        <v>-42083.333333333336</v>
      </c>
      <c r="CF318" s="6">
        <f t="shared" si="185"/>
        <v>-42083.333333333336</v>
      </c>
      <c r="CG318" s="6">
        <f t="shared" si="186"/>
        <v>-42083.333333333336</v>
      </c>
      <c r="CH318" s="6">
        <f t="shared" si="164"/>
        <v>-605000</v>
      </c>
    </row>
    <row r="319" spans="1:86" hidden="1" x14ac:dyDescent="0.35">
      <c r="A319" s="3" t="s">
        <v>686</v>
      </c>
      <c r="B319" s="10">
        <v>16666.666666666668</v>
      </c>
      <c r="C319" s="10">
        <v>16666.666666666668</v>
      </c>
      <c r="D319" s="10">
        <v>16666.666666666668</v>
      </c>
      <c r="E319" s="10">
        <v>16666.666666666668</v>
      </c>
      <c r="F319" s="10">
        <v>16666.666666666668</v>
      </c>
      <c r="G319" s="10">
        <v>16666.666666666668</v>
      </c>
      <c r="H319" s="10">
        <v>16666.666666666668</v>
      </c>
      <c r="I319" s="10">
        <v>16666.666666666668</v>
      </c>
      <c r="J319" s="10">
        <v>16666.666666666668</v>
      </c>
      <c r="K319" s="10">
        <v>16666.666666666668</v>
      </c>
      <c r="L319" s="10">
        <v>16666.666666666668</v>
      </c>
      <c r="M319" s="10">
        <v>16666.666666666668</v>
      </c>
      <c r="N319" s="27">
        <f t="shared" si="188"/>
        <v>199999.99999999997</v>
      </c>
      <c r="O319" s="38">
        <v>657.68537464526867</v>
      </c>
      <c r="P319" s="38">
        <v>657.68537464526867</v>
      </c>
      <c r="Q319" s="38">
        <v>657.68537464526867</v>
      </c>
      <c r="R319" s="38">
        <v>657.68537464526867</v>
      </c>
      <c r="S319" s="38">
        <v>657.68537464526867</v>
      </c>
      <c r="T319" s="38">
        <v>657.68537464526867</v>
      </c>
      <c r="U319" s="38">
        <v>657.68537464526867</v>
      </c>
      <c r="V319" s="38">
        <v>657.68537464526867</v>
      </c>
      <c r="W319" s="38">
        <v>657.68537464526867</v>
      </c>
      <c r="X319" s="38">
        <v>657.68537464526867</v>
      </c>
      <c r="Y319" s="38">
        <v>657.68537464526867</v>
      </c>
      <c r="Z319" s="38">
        <v>657.68537464526867</v>
      </c>
      <c r="AA319" s="27">
        <f t="shared" si="189"/>
        <v>7892.2244957432258</v>
      </c>
      <c r="AB319" s="10">
        <f t="shared" si="190"/>
        <v>16008.981292021399</v>
      </c>
      <c r="AC319" s="10">
        <f t="shared" si="190"/>
        <v>16008.981292021399</v>
      </c>
      <c r="AD319" s="10">
        <f t="shared" si="190"/>
        <v>16008.981292021399</v>
      </c>
      <c r="AE319" s="10">
        <f t="shared" si="190"/>
        <v>16008.981292021399</v>
      </c>
      <c r="AF319" s="10">
        <f t="shared" si="172"/>
        <v>16008.981292021399</v>
      </c>
      <c r="AG319" s="10">
        <f t="shared" si="172"/>
        <v>16008.981292021399</v>
      </c>
      <c r="AH319" s="10">
        <f t="shared" si="172"/>
        <v>16008.981292021399</v>
      </c>
      <c r="AI319" s="10">
        <f t="shared" si="172"/>
        <v>16008.981292021399</v>
      </c>
      <c r="AJ319" s="10">
        <f t="shared" si="172"/>
        <v>16008.981292021399</v>
      </c>
      <c r="AK319" s="10">
        <f t="shared" si="172"/>
        <v>16008.981292021399</v>
      </c>
      <c r="AL319" s="10">
        <f t="shared" si="172"/>
        <v>16008.981292021399</v>
      </c>
      <c r="AM319" s="10">
        <f t="shared" si="172"/>
        <v>16008.981292021399</v>
      </c>
      <c r="AN319" s="27">
        <f t="shared" si="172"/>
        <v>192107.77550425674</v>
      </c>
      <c r="AO319" s="28" t="e">
        <f>SUMIF('[3]2025B and 2025F Details'!$AU:$AU,AP319,'[3]2025B and 2025F Details'!$BH:$BH)</f>
        <v>#VALUE!</v>
      </c>
      <c r="AP319" t="s">
        <v>687</v>
      </c>
      <c r="AS319" t="str">
        <f>_xlfn.XLOOKUP(AU319,[2]GAE!HZ:HZ,[2]GAE!IA:IA)</f>
        <v>IS &amp; IT</v>
      </c>
      <c r="AT319" t="str">
        <f>_xlfn.XLOOKUP(AU319,[2]GAE!HZ:HZ,[2]GAE!IB:IB)</f>
        <v>DOE - Systems and Applications</v>
      </c>
      <c r="AU319" t="s">
        <v>594</v>
      </c>
      <c r="AV319">
        <v>81124101</v>
      </c>
      <c r="AW319">
        <v>52952103</v>
      </c>
      <c r="AX319" t="str">
        <f>_xlfn.XLOOKUP(AU319,[2]GAE!HZ:HZ,[2]GAE!IF:IF)</f>
        <v>Systems &amp; Applications</v>
      </c>
      <c r="BA319" t="s">
        <v>688</v>
      </c>
      <c r="BF319" t="s">
        <v>612</v>
      </c>
      <c r="BG319" s="37" t="s">
        <v>76</v>
      </c>
      <c r="BH319" s="10">
        <f>SUMIFS('[1]2026'!$K:$K,'[1]2026'!$T:$T,BD319,'[1]2026'!$S:$S,BH$3,'[1]2026'!$P:$P,AU319)</f>
        <v>0</v>
      </c>
      <c r="BI319" s="10">
        <f>SUMIFS('[1]2026'!$K:$K,'[1]2026'!$T:$T,$BD319,'[1]2026'!$S:$S,BI$3,'[1]2026'!$P:$P,$AU319)</f>
        <v>0</v>
      </c>
      <c r="BJ319" s="10">
        <f>SUMIFS('[1]2026'!$K:$K,'[1]2026'!$T:$T,$BD319,'[1]2026'!$S:$S,BJ$3,'[1]2026'!$P:$P,$AU319)</f>
        <v>0</v>
      </c>
      <c r="BK319" s="10">
        <f>SUMIFS('[1]2026'!$K:$K,'[1]2026'!$T:$T,$BD319,'[1]2026'!$S:$S,BK$3,'[1]2026'!$P:$P,$AU319)</f>
        <v>0</v>
      </c>
      <c r="BL319" s="10">
        <f>SUMIFS('[1]2026'!$K:$K,'[1]2026'!$T:$T,$BD319,'[1]2026'!$S:$S,BL$3,'[1]2026'!$P:$P,$AU319)</f>
        <v>0</v>
      </c>
      <c r="BM319" s="10">
        <f>SUMIFS('[1]2026'!$K:$K,'[1]2026'!$T:$T,$BD319,'[1]2026'!$S:$S,BM$3,'[1]2026'!$P:$P,$AU319)</f>
        <v>0</v>
      </c>
      <c r="BN319" s="10">
        <f>SUMIFS('[1]2026'!$K:$K,'[1]2026'!$T:$T,$BD319,'[1]2026'!$S:$S,BN$3,'[1]2026'!$P:$P,$AU319)</f>
        <v>0</v>
      </c>
      <c r="BO319" s="10">
        <f>SUMIFS('[1]2026'!$K:$K,'[1]2026'!$T:$T,$BD319,'[1]2026'!$S:$S,BO$3,'[1]2026'!$P:$P,$AU319)</f>
        <v>0</v>
      </c>
      <c r="BP319" s="6">
        <f t="shared" si="193"/>
        <v>0</v>
      </c>
      <c r="BQ319" s="6">
        <f t="shared" si="193"/>
        <v>0</v>
      </c>
      <c r="BR319" s="6">
        <f t="shared" si="193"/>
        <v>0</v>
      </c>
      <c r="BS319" s="6">
        <f t="shared" si="193"/>
        <v>0</v>
      </c>
      <c r="BT319" s="6">
        <f t="shared" si="162"/>
        <v>0</v>
      </c>
      <c r="BV319" s="6">
        <f t="shared" si="175"/>
        <v>-16008.981292021399</v>
      </c>
      <c r="BW319" s="6">
        <f t="shared" si="176"/>
        <v>-16008.981292021399</v>
      </c>
      <c r="BX319" s="6">
        <f t="shared" si="177"/>
        <v>-16008.981292021399</v>
      </c>
      <c r="BY319" s="6">
        <f t="shared" si="178"/>
        <v>-16008.981292021399</v>
      </c>
      <c r="BZ319" s="6">
        <f t="shared" si="179"/>
        <v>-16008.981292021399</v>
      </c>
      <c r="CA319" s="6">
        <f t="shared" si="180"/>
        <v>-16008.981292021399</v>
      </c>
      <c r="CB319" s="6">
        <f t="shared" si="181"/>
        <v>-16008.981292021399</v>
      </c>
      <c r="CC319" s="6">
        <f t="shared" si="182"/>
        <v>-16008.981292021399</v>
      </c>
      <c r="CD319" s="6">
        <f t="shared" si="183"/>
        <v>-16008.981292021399</v>
      </c>
      <c r="CE319" s="6">
        <f t="shared" si="184"/>
        <v>-16008.981292021399</v>
      </c>
      <c r="CF319" s="6">
        <f t="shared" si="185"/>
        <v>-16008.981292021399</v>
      </c>
      <c r="CG319" s="6">
        <f t="shared" si="186"/>
        <v>-16008.981292021399</v>
      </c>
      <c r="CH319" s="6">
        <f t="shared" si="164"/>
        <v>-192107.77550425674</v>
      </c>
    </row>
    <row r="320" spans="1:86" x14ac:dyDescent="0.35">
      <c r="A320" s="3" t="s">
        <v>687</v>
      </c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N320" s="27">
        <f>N320-AA320</f>
        <v>0</v>
      </c>
      <c r="AS320" t="str">
        <f>_xlfn.XLOOKUP(AU320,[2]GAE!HZ:HZ,[2]GAE!IA:IA)</f>
        <v>IS &amp; IT</v>
      </c>
      <c r="AT320" t="str">
        <f>_xlfn.XLOOKUP(AU320,[2]GAE!HZ:HZ,[2]GAE!IB:IB)</f>
        <v>GAE- Systems &amp; Applications</v>
      </c>
      <c r="AU320" t="s">
        <v>593</v>
      </c>
      <c r="AV320">
        <v>80124101</v>
      </c>
      <c r="AW320">
        <v>61711102</v>
      </c>
      <c r="AX320" t="str">
        <f>_xlfn.XLOOKUP(AU320,[2]GAE!HZ:HZ,[2]GAE!IF:IF)</f>
        <v>Systems &amp; Applications</v>
      </c>
      <c r="BC320" t="s">
        <v>76</v>
      </c>
      <c r="BD320" t="s">
        <v>687</v>
      </c>
      <c r="BF320" t="s">
        <v>612</v>
      </c>
      <c r="BG320" s="37" t="s">
        <v>76</v>
      </c>
      <c r="BJ320" s="10">
        <f>SUMIFS('[1]2026'!$K:$K,'[1]2026'!$T:$T,$BD320,'[1]2026'!$S:$S,BJ$3,'[1]2026'!$P:$P,$AU320)</f>
        <v>15284.77</v>
      </c>
      <c r="BK320" s="10">
        <f>SUMIFS('[1]2026'!$K:$K,'[1]2026'!$T:$T,$BD320,'[1]2026'!$S:$S,BK$3,'[1]2026'!$P:$P,$AU320)</f>
        <v>0</v>
      </c>
      <c r="BL320" s="10">
        <f>SUMIFS('[1]2026'!$K:$K,'[1]2026'!$T:$T,$BD320,'[1]2026'!$S:$S,BL$3,'[1]2026'!$P:$P,$AU320)</f>
        <v>15284.77</v>
      </c>
      <c r="BM320" s="10">
        <f>SUMIFS('[1]2026'!$K:$K,'[1]2026'!$T:$T,$BD320,'[1]2026'!$S:$S,BM$3,'[1]2026'!$P:$P,$AU320)</f>
        <v>0</v>
      </c>
      <c r="BN320" s="10">
        <f>SUMIFS('[1]2026'!$K:$K,'[1]2026'!$T:$T,$BD320,'[1]2026'!$S:$S,BN$3,'[1]2026'!$P:$P,$AU320)</f>
        <v>0</v>
      </c>
      <c r="BO320" s="10">
        <f>SUMIFS('[1]2026'!$K:$K,'[1]2026'!$T:$T,$BD320,'[1]2026'!$S:$S,BO$3,'[1]2026'!$P:$P,$AU320)</f>
        <v>0</v>
      </c>
      <c r="BP320" s="6">
        <f t="shared" si="193"/>
        <v>0</v>
      </c>
      <c r="BQ320" s="6">
        <f t="shared" si="193"/>
        <v>0</v>
      </c>
      <c r="BR320" s="6">
        <f t="shared" si="193"/>
        <v>0</v>
      </c>
      <c r="BS320" s="6">
        <f t="shared" si="193"/>
        <v>0</v>
      </c>
      <c r="BT320" s="6">
        <f t="shared" si="162"/>
        <v>30569.54</v>
      </c>
      <c r="BV320" s="6">
        <f t="shared" si="175"/>
        <v>0</v>
      </c>
      <c r="BW320" s="6">
        <f t="shared" si="176"/>
        <v>0</v>
      </c>
      <c r="BX320" s="6">
        <f t="shared" si="177"/>
        <v>15284.77</v>
      </c>
      <c r="BY320" s="6">
        <f t="shared" si="178"/>
        <v>0</v>
      </c>
      <c r="BZ320" s="6">
        <f t="shared" si="179"/>
        <v>15284.77</v>
      </c>
      <c r="CA320" s="6">
        <f t="shared" si="180"/>
        <v>0</v>
      </c>
      <c r="CB320" s="6">
        <f t="shared" si="181"/>
        <v>0</v>
      </c>
      <c r="CC320" s="6">
        <f t="shared" si="182"/>
        <v>0</v>
      </c>
      <c r="CD320" s="6">
        <f t="shared" si="183"/>
        <v>0</v>
      </c>
      <c r="CE320" s="6">
        <f t="shared" si="184"/>
        <v>0</v>
      </c>
      <c r="CF320" s="6">
        <f t="shared" si="185"/>
        <v>0</v>
      </c>
      <c r="CG320" s="6">
        <f t="shared" si="186"/>
        <v>0</v>
      </c>
      <c r="CH320" s="6">
        <f t="shared" si="164"/>
        <v>30569.54</v>
      </c>
    </row>
    <row r="321" spans="1:86" x14ac:dyDescent="0.35">
      <c r="A321" s="3" t="s">
        <v>689</v>
      </c>
      <c r="B321" s="10">
        <v>48333.333333333336</v>
      </c>
      <c r="C321" s="10">
        <v>48333.333333333336</v>
      </c>
      <c r="D321" s="10">
        <v>48333.333333333336</v>
      </c>
      <c r="E321" s="10">
        <v>48333.333333333336</v>
      </c>
      <c r="F321" s="10">
        <v>48333.333333333336</v>
      </c>
      <c r="G321" s="10">
        <v>48333.333333333336</v>
      </c>
      <c r="H321" s="10">
        <v>48333.333333333336</v>
      </c>
      <c r="I321" s="10">
        <v>48333.333333333336</v>
      </c>
      <c r="J321" s="10">
        <v>48333.333333333336</v>
      </c>
      <c r="K321" s="10">
        <v>48333.333333333336</v>
      </c>
      <c r="L321" s="10">
        <v>48333.333333333336</v>
      </c>
      <c r="M321" s="10">
        <v>48333.333333333336</v>
      </c>
      <c r="N321" s="27">
        <f>SUM(B321:M321)</f>
        <v>580000</v>
      </c>
      <c r="O321" s="10">
        <v>23333.333333333332</v>
      </c>
      <c r="P321" s="10">
        <v>23333.333333333332</v>
      </c>
      <c r="Q321" s="10">
        <v>23333.333333333332</v>
      </c>
      <c r="R321" s="10">
        <v>23333.333333333332</v>
      </c>
      <c r="S321" s="10">
        <v>23333.333333333332</v>
      </c>
      <c r="T321" s="10">
        <v>23333.333333333332</v>
      </c>
      <c r="U321" s="10">
        <v>23333.333333333332</v>
      </c>
      <c r="V321" s="10">
        <v>23333.333333333332</v>
      </c>
      <c r="W321" s="10">
        <v>23333.333333333332</v>
      </c>
      <c r="X321" s="10">
        <v>23333.333333333332</v>
      </c>
      <c r="Y321" s="10">
        <v>23333.333333333332</v>
      </c>
      <c r="Z321" s="10">
        <v>23333.333333333332</v>
      </c>
      <c r="AA321" s="27">
        <f>SUM(O321:Z321)</f>
        <v>280000.00000000006</v>
      </c>
      <c r="AB321" s="10">
        <f t="shared" ref="AB321:AN324" si="194">B321-O321</f>
        <v>25000.000000000004</v>
      </c>
      <c r="AC321" s="10">
        <f t="shared" si="194"/>
        <v>25000.000000000004</v>
      </c>
      <c r="AD321" s="10">
        <f t="shared" si="194"/>
        <v>25000.000000000004</v>
      </c>
      <c r="AE321" s="10">
        <f t="shared" si="194"/>
        <v>25000.000000000004</v>
      </c>
      <c r="AF321" s="10">
        <f t="shared" si="194"/>
        <v>25000.000000000004</v>
      </c>
      <c r="AG321" s="10">
        <f t="shared" si="194"/>
        <v>25000.000000000004</v>
      </c>
      <c r="AH321" s="10">
        <f t="shared" si="194"/>
        <v>25000.000000000004</v>
      </c>
      <c r="AI321" s="10">
        <f t="shared" si="194"/>
        <v>25000.000000000004</v>
      </c>
      <c r="AJ321" s="10">
        <f t="shared" si="194"/>
        <v>25000.000000000004</v>
      </c>
      <c r="AK321" s="10">
        <f t="shared" si="194"/>
        <v>25000.000000000004</v>
      </c>
      <c r="AL321" s="10">
        <f t="shared" si="194"/>
        <v>25000.000000000004</v>
      </c>
      <c r="AM321" s="10">
        <f t="shared" si="194"/>
        <v>25000.000000000004</v>
      </c>
      <c r="AN321" s="27">
        <f t="shared" si="194"/>
        <v>299999.99999999994</v>
      </c>
      <c r="AO321" s="28" t="e">
        <f>SUMIF('[3]2025B and 2025F Details'!$AU:$AU,AP321,'[3]2025B and 2025F Details'!$BH:$BH)</f>
        <v>#VALUE!</v>
      </c>
      <c r="AP321" t="s">
        <v>77</v>
      </c>
      <c r="AS321" t="str">
        <f>_xlfn.XLOOKUP(AU321,[2]GAE!HZ:HZ,[2]GAE!IA:IA)</f>
        <v>IS &amp; IT</v>
      </c>
      <c r="AT321" t="str">
        <f>_xlfn.XLOOKUP(AU321,[2]GAE!HZ:HZ,[2]GAE!IB:IB)</f>
        <v>GAE- Systems &amp; Applications</v>
      </c>
      <c r="AU321" t="s">
        <v>593</v>
      </c>
      <c r="AV321">
        <v>80124101</v>
      </c>
      <c r="AW321">
        <v>61711102</v>
      </c>
      <c r="AX321" t="str">
        <f>_xlfn.XLOOKUP(AU321,[2]GAE!HZ:HZ,[2]GAE!IF:IF)</f>
        <v>Systems &amp; Applications</v>
      </c>
      <c r="BA321" t="s">
        <v>688</v>
      </c>
      <c r="BC321" t="s">
        <v>77</v>
      </c>
      <c r="BD321" t="s">
        <v>77</v>
      </c>
      <c r="BF321" t="s">
        <v>612</v>
      </c>
      <c r="BG321" s="37" t="s">
        <v>77</v>
      </c>
      <c r="BH321" s="10">
        <f>SUMIFS('[1]2026'!$K:$K,'[1]2026'!$T:$T,BD321,'[1]2026'!$S:$S,BH$3,'[1]2026'!$P:$P,AU321)</f>
        <v>8809.5300000000007</v>
      </c>
      <c r="BI321" s="10">
        <f>SUMIFS('[1]2026'!$K:$K,'[1]2026'!$T:$T,$BD321,'[1]2026'!$S:$S,BI$3,'[1]2026'!$P:$P,$AU321)</f>
        <v>8809.5300000000007</v>
      </c>
      <c r="BJ321" s="10">
        <f>SUMIFS('[1]2026'!$K:$K,'[1]2026'!$T:$T,$BD321,'[1]2026'!$S:$S,BJ$3,'[1]2026'!$P:$P,$AU321)</f>
        <v>8809.5300000000007</v>
      </c>
      <c r="BK321" s="10">
        <f>SUMIFS('[1]2026'!$K:$K,'[1]2026'!$T:$T,$BD321,'[1]2026'!$S:$S,BK$3,'[1]2026'!$P:$P,$AU321)</f>
        <v>0</v>
      </c>
      <c r="BL321" s="10">
        <f>SUMIFS('[1]2026'!$K:$K,'[1]2026'!$T:$T,$BD321,'[1]2026'!$S:$S,BL$3,'[1]2026'!$P:$P,$AU321)</f>
        <v>0</v>
      </c>
      <c r="BM321" s="10">
        <f>SUMIFS('[1]2026'!$K:$K,'[1]2026'!$T:$T,$BD321,'[1]2026'!$S:$S,BM$3,'[1]2026'!$P:$P,$AU321)</f>
        <v>0</v>
      </c>
      <c r="BN321" s="10">
        <f>SUMIFS('[1]2026'!$K:$K,'[1]2026'!$T:$T,$BD321,'[1]2026'!$S:$S,BN$3,'[1]2026'!$P:$P,$AU321)</f>
        <v>0</v>
      </c>
      <c r="BO321" s="10">
        <f>SUMIFS('[1]2026'!$K:$K,'[1]2026'!$T:$T,$BD321,'[1]2026'!$S:$S,BO$3,'[1]2026'!$P:$P,$AU321)</f>
        <v>0</v>
      </c>
      <c r="BP321" s="6">
        <f t="shared" si="193"/>
        <v>0</v>
      </c>
      <c r="BQ321" s="6">
        <f t="shared" si="193"/>
        <v>0</v>
      </c>
      <c r="BR321" s="6">
        <f t="shared" si="193"/>
        <v>0</v>
      </c>
      <c r="BS321" s="6">
        <f t="shared" si="193"/>
        <v>0</v>
      </c>
      <c r="BT321" s="6">
        <f>SUM(BH321:BS321)</f>
        <v>26428.590000000004</v>
      </c>
      <c r="BV321" s="6">
        <f t="shared" si="175"/>
        <v>-16190.470000000003</v>
      </c>
      <c r="BW321" s="6">
        <f t="shared" si="176"/>
        <v>-16190.470000000003</v>
      </c>
      <c r="BX321" s="6">
        <f t="shared" si="177"/>
        <v>-16190.470000000003</v>
      </c>
      <c r="BY321" s="6">
        <f t="shared" si="178"/>
        <v>-25000.000000000004</v>
      </c>
      <c r="BZ321" s="6">
        <f t="shared" si="179"/>
        <v>-25000.000000000004</v>
      </c>
      <c r="CA321" s="6">
        <f t="shared" si="180"/>
        <v>-25000.000000000004</v>
      </c>
      <c r="CB321" s="6">
        <f t="shared" si="181"/>
        <v>-25000.000000000004</v>
      </c>
      <c r="CC321" s="6">
        <f t="shared" si="182"/>
        <v>-25000.000000000004</v>
      </c>
      <c r="CD321" s="6">
        <f t="shared" si="183"/>
        <v>-25000.000000000004</v>
      </c>
      <c r="CE321" s="6">
        <f t="shared" si="184"/>
        <v>-25000.000000000004</v>
      </c>
      <c r="CF321" s="6">
        <f t="shared" si="185"/>
        <v>-25000.000000000004</v>
      </c>
      <c r="CG321" s="6">
        <f t="shared" si="186"/>
        <v>-25000.000000000004</v>
      </c>
      <c r="CH321" s="6">
        <f t="shared" si="164"/>
        <v>-273571.40999999992</v>
      </c>
    </row>
    <row r="322" spans="1:86" hidden="1" x14ac:dyDescent="0.35">
      <c r="AN322" s="27">
        <f>N322-AA322</f>
        <v>0</v>
      </c>
      <c r="AS322" t="str">
        <f>_xlfn.XLOOKUP(AU322,[2]GAE!HZ:HZ,[2]GAE!IA:IA)</f>
        <v>IS &amp; IT</v>
      </c>
      <c r="AT322" t="str">
        <f>_xlfn.XLOOKUP(AU322,[2]GAE!HZ:HZ,[2]GAE!IB:IB)</f>
        <v>DOE - Systems and Applications</v>
      </c>
      <c r="AU322" t="s">
        <v>594</v>
      </c>
      <c r="AV322">
        <v>81124101</v>
      </c>
      <c r="AW322">
        <v>52952103</v>
      </c>
      <c r="AX322" t="str">
        <f>_xlfn.XLOOKUP(AU322,[2]GAE!HZ:HZ,[2]GAE!IF:IF)</f>
        <v>Systems &amp; Applications</v>
      </c>
      <c r="BC322" t="s">
        <v>77</v>
      </c>
      <c r="BD322" t="s">
        <v>77</v>
      </c>
      <c r="BF322" t="s">
        <v>612</v>
      </c>
      <c r="BG322" s="37" t="s">
        <v>77</v>
      </c>
      <c r="BH322" s="10">
        <f>SUMIFS('[1]2026'!$K:$K,'[1]2026'!$T:$T,BD322,'[1]2026'!$S:$S,BH$3,'[1]2026'!$P:$P,AU322)</f>
        <v>0</v>
      </c>
      <c r="BI322" s="10">
        <f>SUMIFS('[1]2026'!$K:$K,'[1]2026'!$T:$T,$BD322,'[1]2026'!$S:$S,BI$3,'[1]2026'!$P:$P,$AU322)</f>
        <v>0</v>
      </c>
      <c r="BJ322" s="10">
        <f>SUMIFS('[1]2026'!$K:$K,'[1]2026'!$T:$T,$BD322,'[1]2026'!$S:$S,BJ$3,'[1]2026'!$P:$P,$AU322)</f>
        <v>0</v>
      </c>
      <c r="BK322" s="10">
        <f>SUMIFS('[1]2026'!$K:$K,'[1]2026'!$T:$T,$BD322,'[1]2026'!$S:$S,BK$3,'[1]2026'!$P:$P,$AU322)</f>
        <v>0</v>
      </c>
      <c r="BL322" s="10">
        <f>SUMIFS('[1]2026'!$K:$K,'[1]2026'!$T:$T,$BD322,'[1]2026'!$S:$S,BL$3,'[1]2026'!$P:$P,$AU322)</f>
        <v>0</v>
      </c>
      <c r="BM322" s="10">
        <f>SUMIFS('[1]2026'!$K:$K,'[1]2026'!$T:$T,$BD322,'[1]2026'!$S:$S,BM$3,'[1]2026'!$P:$P,$AU322)</f>
        <v>112142.86</v>
      </c>
      <c r="BN322" s="10">
        <f>SUMIFS('[1]2026'!$K:$K,'[1]2026'!$T:$T,$BD322,'[1]2026'!$S:$S,BN$3,'[1]2026'!$P:$P,$AU322)</f>
        <v>0</v>
      </c>
      <c r="BO322" s="10">
        <f>SUMIFS('[1]2026'!$K:$K,'[1]2026'!$T:$T,$BD322,'[1]2026'!$S:$S,BO$3,'[1]2026'!$P:$P,$AU322)</f>
        <v>0</v>
      </c>
      <c r="BP322" s="6"/>
      <c r="BQ322" s="6"/>
      <c r="BR322" s="6"/>
      <c r="BS322" s="6"/>
      <c r="BT322" s="6">
        <f>SUM(BH322:BS322)</f>
        <v>112142.86</v>
      </c>
      <c r="BV322" s="6">
        <f t="shared" si="175"/>
        <v>0</v>
      </c>
      <c r="BW322" s="6">
        <f t="shared" si="176"/>
        <v>0</v>
      </c>
      <c r="BX322" s="6">
        <f t="shared" si="177"/>
        <v>0</v>
      </c>
      <c r="BY322" s="6">
        <f t="shared" si="178"/>
        <v>0</v>
      </c>
      <c r="BZ322" s="6">
        <f t="shared" si="179"/>
        <v>0</v>
      </c>
      <c r="CA322" s="6">
        <f t="shared" si="180"/>
        <v>112142.86</v>
      </c>
      <c r="CB322" s="6">
        <f t="shared" si="181"/>
        <v>0</v>
      </c>
      <c r="CC322" s="6">
        <f t="shared" si="182"/>
        <v>0</v>
      </c>
      <c r="CD322" s="6">
        <f t="shared" si="183"/>
        <v>0</v>
      </c>
      <c r="CE322" s="6">
        <f t="shared" si="184"/>
        <v>0</v>
      </c>
      <c r="CF322" s="6">
        <f t="shared" si="185"/>
        <v>0</v>
      </c>
      <c r="CG322" s="6">
        <f t="shared" si="186"/>
        <v>0</v>
      </c>
      <c r="CH322" s="6">
        <f t="shared" si="164"/>
        <v>112142.86</v>
      </c>
    </row>
    <row r="323" spans="1:86" hidden="1" x14ac:dyDescent="0.35">
      <c r="A323" s="3" t="s">
        <v>690</v>
      </c>
      <c r="B323" s="10">
        <v>50000</v>
      </c>
      <c r="C323" s="10">
        <v>50000</v>
      </c>
      <c r="D323" s="10">
        <v>50000</v>
      </c>
      <c r="E323" s="10">
        <v>50000</v>
      </c>
      <c r="F323" s="10">
        <v>50000</v>
      </c>
      <c r="G323" s="10">
        <v>50000</v>
      </c>
      <c r="H323" s="10">
        <v>50000</v>
      </c>
      <c r="I323" s="10">
        <v>50000</v>
      </c>
      <c r="J323" s="10">
        <v>50000</v>
      </c>
      <c r="K323" s="10">
        <v>50000</v>
      </c>
      <c r="L323" s="10">
        <v>50000</v>
      </c>
      <c r="M323" s="10">
        <v>50000</v>
      </c>
      <c r="N323" s="27">
        <f>SUM(B323:M323)</f>
        <v>600000</v>
      </c>
      <c r="O323" s="38">
        <v>1973.0561239358065</v>
      </c>
      <c r="P323" s="38">
        <v>1973.0561239358065</v>
      </c>
      <c r="Q323" s="38">
        <v>1973.0561239358065</v>
      </c>
      <c r="R323" s="38">
        <v>1973.0561239358065</v>
      </c>
      <c r="S323" s="38">
        <v>1973.0561239358065</v>
      </c>
      <c r="T323" s="38">
        <v>1973.0561239358065</v>
      </c>
      <c r="U323" s="38">
        <v>1973.0561239358065</v>
      </c>
      <c r="V323" s="38">
        <v>1973.0561239358065</v>
      </c>
      <c r="W323" s="38">
        <v>1973.0561239358065</v>
      </c>
      <c r="X323" s="38">
        <v>1973.0561239358065</v>
      </c>
      <c r="Y323" s="38">
        <v>1973.0561239358065</v>
      </c>
      <c r="Z323" s="38">
        <v>1973.0561239358065</v>
      </c>
      <c r="AA323" s="27">
        <f>SUM(O323:Z323)</f>
        <v>23676.673487229677</v>
      </c>
      <c r="AB323" s="10">
        <f t="shared" si="194"/>
        <v>48026.943876064193</v>
      </c>
      <c r="AC323" s="10">
        <f t="shared" si="194"/>
        <v>48026.943876064193</v>
      </c>
      <c r="AD323" s="10">
        <f t="shared" si="194"/>
        <v>48026.943876064193</v>
      </c>
      <c r="AE323" s="10">
        <f t="shared" si="194"/>
        <v>48026.943876064193</v>
      </c>
      <c r="AF323" s="10">
        <f t="shared" si="194"/>
        <v>48026.943876064193</v>
      </c>
      <c r="AG323" s="10">
        <f t="shared" si="194"/>
        <v>48026.943876064193</v>
      </c>
      <c r="AH323" s="10">
        <f t="shared" si="194"/>
        <v>48026.943876064193</v>
      </c>
      <c r="AI323" s="10">
        <f t="shared" si="194"/>
        <v>48026.943876064193</v>
      </c>
      <c r="AJ323" s="10">
        <f t="shared" si="194"/>
        <v>48026.943876064193</v>
      </c>
      <c r="AK323" s="10">
        <f t="shared" si="194"/>
        <v>48026.943876064193</v>
      </c>
      <c r="AL323" s="10">
        <f t="shared" si="194"/>
        <v>48026.943876064193</v>
      </c>
      <c r="AM323" s="10">
        <f t="shared" si="194"/>
        <v>48026.943876064193</v>
      </c>
      <c r="AN323" s="27">
        <f t="shared" si="194"/>
        <v>576323.32651277038</v>
      </c>
      <c r="AO323" s="28" t="e">
        <f>SUMIF('[3]2025B and 2025F Details'!$AU:$AU,AP323,'[3]2025B and 2025F Details'!$BH:$BH)</f>
        <v>#VALUE!</v>
      </c>
      <c r="AP323" t="s">
        <v>691</v>
      </c>
      <c r="AR323" t="s">
        <v>692</v>
      </c>
      <c r="AS323" t="str">
        <f>_xlfn.XLOOKUP(AU323,[2]GAE!HZ:HZ,[2]GAE!IA:IA)</f>
        <v>IS &amp; IT</v>
      </c>
      <c r="AT323" t="str">
        <f>_xlfn.XLOOKUP(AU323,[2]GAE!HZ:HZ,[2]GAE!IB:IB)</f>
        <v>DOE - Systems and Applications</v>
      </c>
      <c r="AU323" t="s">
        <v>594</v>
      </c>
      <c r="AV323">
        <v>81124101</v>
      </c>
      <c r="AW323">
        <v>52952103</v>
      </c>
      <c r="AX323" t="str">
        <f>_xlfn.XLOOKUP(AU323,[2]GAE!HZ:HZ,[2]GAE!IF:IF)</f>
        <v>Systems &amp; Applications</v>
      </c>
      <c r="BA323" t="s">
        <v>688</v>
      </c>
      <c r="BF323" t="s">
        <v>612</v>
      </c>
      <c r="BG323" s="37" t="s">
        <v>78</v>
      </c>
      <c r="BH323" s="10">
        <f>SUMIFS('[1]2026'!$K:$K,'[1]2026'!$T:$T,BD323,'[1]2026'!$S:$S,BH$3,'[1]2026'!$P:$P,AU323)</f>
        <v>0</v>
      </c>
      <c r="BI323" s="10">
        <f>SUMIFS('[1]2026'!$K:$K,'[1]2026'!$T:$T,$BD323,'[1]2026'!$S:$S,BI$3,'[1]2026'!$P:$P,$AU323)</f>
        <v>0</v>
      </c>
      <c r="BJ323" s="10">
        <f>SUMIFS('[1]2026'!$K:$K,'[1]2026'!$T:$T,$BD323,'[1]2026'!$S:$S,BJ$3,'[1]2026'!$P:$P,$AU323)</f>
        <v>0</v>
      </c>
      <c r="BK323" s="10">
        <f>SUMIFS('[1]2026'!$K:$K,'[1]2026'!$T:$T,$BD323,'[1]2026'!$S:$S,BK$3,'[1]2026'!$P:$P,$AU323)</f>
        <v>0</v>
      </c>
      <c r="BL323" s="10">
        <f>SUMIFS('[1]2026'!$K:$K,'[1]2026'!$T:$T,$BD323,'[1]2026'!$S:$S,BL$3,'[1]2026'!$P:$P,$AU323)</f>
        <v>0</v>
      </c>
      <c r="BM323" s="10">
        <f>SUMIFS('[1]2026'!$K:$K,'[1]2026'!$T:$T,$BD323,'[1]2026'!$S:$S,BM$3,'[1]2026'!$P:$P,$AU323)</f>
        <v>0</v>
      </c>
      <c r="BN323" s="10">
        <f>SUMIFS('[1]2026'!$K:$K,'[1]2026'!$T:$T,$BD323,'[1]2026'!$S:$S,BN$3,'[1]2026'!$P:$P,$AU323)</f>
        <v>0</v>
      </c>
      <c r="BO323" s="10">
        <f>SUMIFS('[1]2026'!$K:$K,'[1]2026'!$T:$T,$BD323,'[1]2026'!$S:$S,BO$3,'[1]2026'!$P:$P,$AU323)</f>
        <v>0</v>
      </c>
      <c r="BP323" s="6">
        <f t="shared" si="193"/>
        <v>0</v>
      </c>
      <c r="BQ323" s="6">
        <f t="shared" si="193"/>
        <v>0</v>
      </c>
      <c r="BR323" s="6">
        <f t="shared" si="193"/>
        <v>0</v>
      </c>
      <c r="BS323" s="6">
        <f t="shared" si="193"/>
        <v>0</v>
      </c>
      <c r="BT323" s="6">
        <f>SUM(BH323:BS323)</f>
        <v>0</v>
      </c>
      <c r="BV323" s="6">
        <f t="shared" si="175"/>
        <v>-48026.943876064193</v>
      </c>
      <c r="BW323" s="6">
        <f t="shared" si="176"/>
        <v>-48026.943876064193</v>
      </c>
      <c r="BX323" s="6">
        <f t="shared" si="177"/>
        <v>-48026.943876064193</v>
      </c>
      <c r="BY323" s="6">
        <f t="shared" si="178"/>
        <v>-48026.943876064193</v>
      </c>
      <c r="BZ323" s="6">
        <f t="shared" si="179"/>
        <v>-48026.943876064193</v>
      </c>
      <c r="CA323" s="6">
        <f t="shared" si="180"/>
        <v>-48026.943876064193</v>
      </c>
      <c r="CB323" s="6">
        <f t="shared" si="181"/>
        <v>-48026.943876064193</v>
      </c>
      <c r="CC323" s="6">
        <f t="shared" si="182"/>
        <v>-48026.943876064193</v>
      </c>
      <c r="CD323" s="6">
        <f t="shared" si="183"/>
        <v>-48026.943876064193</v>
      </c>
      <c r="CE323" s="6">
        <f t="shared" si="184"/>
        <v>-48026.943876064193</v>
      </c>
      <c r="CF323" s="6">
        <f t="shared" si="185"/>
        <v>-48026.943876064193</v>
      </c>
      <c r="CG323" s="6">
        <f t="shared" si="186"/>
        <v>-48026.943876064193</v>
      </c>
      <c r="CH323" s="6">
        <f t="shared" si="164"/>
        <v>-576323.32651277038</v>
      </c>
    </row>
    <row r="324" spans="1:86" hidden="1" x14ac:dyDescent="0.35">
      <c r="A324" s="3" t="s">
        <v>693</v>
      </c>
      <c r="B324" s="10">
        <v>16666.666666666668</v>
      </c>
      <c r="C324" s="10">
        <v>16666.666666666668</v>
      </c>
      <c r="D324" s="10">
        <v>16666.666666666668</v>
      </c>
      <c r="E324" s="10">
        <v>16666.666666666668</v>
      </c>
      <c r="F324" s="10">
        <v>16666.666666666668</v>
      </c>
      <c r="G324" s="10">
        <v>16666.666666666668</v>
      </c>
      <c r="H324" s="10">
        <v>16666.666666666668</v>
      </c>
      <c r="I324" s="10">
        <v>16666.666666666668</v>
      </c>
      <c r="J324" s="10">
        <v>16666.666666666668</v>
      </c>
      <c r="K324" s="10">
        <v>16666.666666666668</v>
      </c>
      <c r="L324" s="10">
        <v>16666.666666666668</v>
      </c>
      <c r="M324" s="10">
        <v>16666.666666666668</v>
      </c>
      <c r="N324" s="27">
        <f>SUM(B324:M324)</f>
        <v>199999.99999999997</v>
      </c>
      <c r="O324" s="38">
        <v>657.68537464526867</v>
      </c>
      <c r="P324" s="38">
        <v>657.68537464526867</v>
      </c>
      <c r="Q324" s="38">
        <v>657.68537464526867</v>
      </c>
      <c r="R324" s="38">
        <v>657.68537464526867</v>
      </c>
      <c r="S324" s="38">
        <v>657.68537464526867</v>
      </c>
      <c r="T324" s="38">
        <v>657.68537464526867</v>
      </c>
      <c r="U324" s="38">
        <v>657.68537464526867</v>
      </c>
      <c r="V324" s="38">
        <v>657.68537464526867</v>
      </c>
      <c r="W324" s="38">
        <v>657.68537464526867</v>
      </c>
      <c r="X324" s="38">
        <v>657.68537464526867</v>
      </c>
      <c r="Y324" s="38">
        <v>657.68537464526867</v>
      </c>
      <c r="Z324" s="38">
        <v>657.68537464526867</v>
      </c>
      <c r="AA324" s="27">
        <f>SUM(O324:Z324)</f>
        <v>7892.2244957432258</v>
      </c>
      <c r="AB324" s="10">
        <f t="shared" si="194"/>
        <v>16008.981292021399</v>
      </c>
      <c r="AC324" s="10">
        <f t="shared" si="194"/>
        <v>16008.981292021399</v>
      </c>
      <c r="AD324" s="10">
        <f t="shared" si="194"/>
        <v>16008.981292021399</v>
      </c>
      <c r="AE324" s="10">
        <f t="shared" si="194"/>
        <v>16008.981292021399</v>
      </c>
      <c r="AF324" s="10">
        <f t="shared" si="194"/>
        <v>16008.981292021399</v>
      </c>
      <c r="AG324" s="10">
        <f t="shared" si="194"/>
        <v>16008.981292021399</v>
      </c>
      <c r="AH324" s="10">
        <f t="shared" si="194"/>
        <v>16008.981292021399</v>
      </c>
      <c r="AI324" s="10">
        <f t="shared" si="194"/>
        <v>16008.981292021399</v>
      </c>
      <c r="AJ324" s="10">
        <f t="shared" si="194"/>
        <v>16008.981292021399</v>
      </c>
      <c r="AK324" s="10">
        <f t="shared" si="194"/>
        <v>16008.981292021399</v>
      </c>
      <c r="AL324" s="10">
        <f t="shared" si="194"/>
        <v>16008.981292021399</v>
      </c>
      <c r="AM324" s="10">
        <f t="shared" si="194"/>
        <v>16008.981292021399</v>
      </c>
      <c r="AN324" s="27">
        <f t="shared" si="194"/>
        <v>192107.77550425674</v>
      </c>
      <c r="AP324" t="s">
        <v>691</v>
      </c>
      <c r="AS324" t="str">
        <f>_xlfn.XLOOKUP(AU324,[2]GAE!HZ:HZ,[2]GAE!IA:IA)</f>
        <v>IS &amp; IT</v>
      </c>
      <c r="AT324" t="str">
        <f>_xlfn.XLOOKUP(AU324,[2]GAE!HZ:HZ,[2]GAE!IB:IB)</f>
        <v>DOE - Systems and Applications</v>
      </c>
      <c r="AU324" t="s">
        <v>594</v>
      </c>
      <c r="AV324">
        <v>81124101</v>
      </c>
      <c r="AW324">
        <v>52952103</v>
      </c>
      <c r="AX324" t="str">
        <f>_xlfn.XLOOKUP(AU324,[2]GAE!HZ:HZ,[2]GAE!IF:IF)</f>
        <v>Systems &amp; Applications</v>
      </c>
      <c r="BA324" t="s">
        <v>688</v>
      </c>
      <c r="BC324" t="s">
        <v>78</v>
      </c>
      <c r="BD324" t="s">
        <v>691</v>
      </c>
      <c r="BF324" t="s">
        <v>612</v>
      </c>
      <c r="BG324" s="37" t="s">
        <v>78</v>
      </c>
      <c r="BH324" s="10">
        <f>SUMIFS('[1]2026'!$K:$K,'[1]2026'!$T:$T,BD324,'[1]2026'!$S:$S,BH$3,'[1]2026'!$P:$P,AU324)</f>
        <v>0</v>
      </c>
      <c r="BI324" s="10">
        <f>SUMIFS('[1]2026'!$K:$K,'[1]2026'!$T:$T,$BD324,'[1]2026'!$S:$S,BI$3,'[1]2026'!$P:$P,$AU324)</f>
        <v>26785.71</v>
      </c>
      <c r="BJ324" s="10">
        <f>SUMIFS('[1]2026'!$K:$K,'[1]2026'!$T:$T,$BD324,'[1]2026'!$S:$S,BJ$3,'[1]2026'!$P:$P,$AU324)</f>
        <v>0</v>
      </c>
      <c r="BK324" s="10">
        <f>SUMIFS('[1]2026'!$K:$K,'[1]2026'!$T:$T,$BD324,'[1]2026'!$S:$S,BK$3,'[1]2026'!$P:$P,$AU324)</f>
        <v>0</v>
      </c>
      <c r="BL324" s="10">
        <f>SUMIFS('[1]2026'!$K:$K,'[1]2026'!$T:$T,$BD324,'[1]2026'!$S:$S,BL$3,'[1]2026'!$P:$P,$AU324)</f>
        <v>0</v>
      </c>
      <c r="BM324" s="10">
        <f>SUMIFS('[1]2026'!$K:$K,'[1]2026'!$T:$T,$BD324,'[1]2026'!$S:$S,BM$3,'[1]2026'!$P:$P,$AU324)</f>
        <v>0</v>
      </c>
      <c r="BN324" s="10">
        <f>SUMIFS('[1]2026'!$K:$K,'[1]2026'!$T:$T,$BD324,'[1]2026'!$S:$S,BN$3,'[1]2026'!$P:$P,$AU324)</f>
        <v>0</v>
      </c>
      <c r="BO324" s="10">
        <f>SUMIFS('[1]2026'!$K:$K,'[1]2026'!$T:$T,$BD324,'[1]2026'!$S:$S,BO$3,'[1]2026'!$P:$P,$AU324)</f>
        <v>0</v>
      </c>
      <c r="BP324" s="6">
        <f t="shared" si="193"/>
        <v>0</v>
      </c>
      <c r="BQ324" s="6">
        <f t="shared" si="193"/>
        <v>0</v>
      </c>
      <c r="BR324" s="6">
        <f t="shared" si="193"/>
        <v>0</v>
      </c>
      <c r="BS324" s="6">
        <f t="shared" si="193"/>
        <v>0</v>
      </c>
      <c r="BT324" s="6">
        <f>SUM(BH324:BS324)</f>
        <v>26785.71</v>
      </c>
      <c r="BV324" s="6">
        <f t="shared" si="175"/>
        <v>-16008.981292021399</v>
      </c>
      <c r="BW324" s="6">
        <f t="shared" si="176"/>
        <v>10776.7287079786</v>
      </c>
      <c r="BX324" s="6">
        <f t="shared" si="177"/>
        <v>-16008.981292021399</v>
      </c>
      <c r="BY324" s="6">
        <f t="shared" si="178"/>
        <v>-16008.981292021399</v>
      </c>
      <c r="BZ324" s="6">
        <f t="shared" si="179"/>
        <v>-16008.981292021399</v>
      </c>
      <c r="CA324" s="6">
        <f t="shared" si="180"/>
        <v>-16008.981292021399</v>
      </c>
      <c r="CB324" s="6">
        <f t="shared" si="181"/>
        <v>-16008.981292021399</v>
      </c>
      <c r="CC324" s="6">
        <f t="shared" si="182"/>
        <v>-16008.981292021399</v>
      </c>
      <c r="CD324" s="6">
        <f t="shared" si="183"/>
        <v>-16008.981292021399</v>
      </c>
      <c r="CE324" s="6">
        <f t="shared" si="184"/>
        <v>-16008.981292021399</v>
      </c>
      <c r="CF324" s="6">
        <f t="shared" si="185"/>
        <v>-16008.981292021399</v>
      </c>
      <c r="CG324" s="6">
        <f t="shared" si="186"/>
        <v>-16008.981292021399</v>
      </c>
      <c r="CH324" s="6">
        <f t="shared" si="164"/>
        <v>-165322.06550425675</v>
      </c>
    </row>
    <row r="325" spans="1:86" x14ac:dyDescent="0.35"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N325" s="27">
        <f>N325-AA325</f>
        <v>0</v>
      </c>
      <c r="AS325" t="str">
        <f>_xlfn.XLOOKUP(AU325,[2]GAE!HZ:HZ,[2]GAE!IA:IA)</f>
        <v>IS &amp; IT</v>
      </c>
      <c r="AT325" t="str">
        <f>_xlfn.XLOOKUP(AU325,[2]GAE!HZ:HZ,[2]GAE!IB:IB)</f>
        <v>GAE- Systems &amp; Applications</v>
      </c>
      <c r="AU325" s="2" t="s">
        <v>593</v>
      </c>
      <c r="AV325" s="2">
        <v>80124101</v>
      </c>
      <c r="AW325" s="2">
        <v>61711102</v>
      </c>
      <c r="AX325" t="str">
        <f>_xlfn.XLOOKUP(AU325,[2]GAE!HZ:HZ,[2]GAE!IF:IF)</f>
        <v>Systems &amp; Applications</v>
      </c>
      <c r="BC325" t="s">
        <v>78</v>
      </c>
      <c r="BD325" t="s">
        <v>691</v>
      </c>
      <c r="BF325" t="s">
        <v>612</v>
      </c>
      <c r="BG325" s="37" t="s">
        <v>78</v>
      </c>
      <c r="BL325" s="10">
        <f>SUMIFS('[1]2026'!$K:$K,'[1]2026'!$T:$T,$BD325,'[1]2026'!$S:$S,BL$3,'[1]2026'!$P:$P,$AU325)</f>
        <v>133195.31</v>
      </c>
      <c r="BM325" s="10">
        <f>SUMIFS('[1]2026'!$K:$K,'[1]2026'!$T:$T,$BD325,'[1]2026'!$S:$S,BM$3,'[1]2026'!$P:$P,$AU325)</f>
        <v>0</v>
      </c>
      <c r="BN325" s="10">
        <f>SUMIFS('[1]2026'!$K:$K,'[1]2026'!$T:$T,$BD325,'[1]2026'!$S:$S,BN$3,'[1]2026'!$P:$P,$AU325)</f>
        <v>0</v>
      </c>
      <c r="BO325" s="10">
        <f>SUMIFS('[1]2026'!$K:$K,'[1]2026'!$T:$T,$BD325,'[1]2026'!$S:$S,BO$3,'[1]2026'!$P:$P,$AU325)</f>
        <v>0</v>
      </c>
      <c r="BP325" s="6">
        <f t="shared" si="193"/>
        <v>0</v>
      </c>
      <c r="BQ325" s="6">
        <f t="shared" si="193"/>
        <v>0</v>
      </c>
      <c r="BR325" s="6">
        <f t="shared" si="193"/>
        <v>0</v>
      </c>
      <c r="BS325" s="6">
        <f t="shared" si="193"/>
        <v>0</v>
      </c>
      <c r="BT325" s="6">
        <f>SUM(BH325:BS325)</f>
        <v>133195.31</v>
      </c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>
        <f t="shared" si="164"/>
        <v>133195.31</v>
      </c>
    </row>
    <row r="326" spans="1:86" x14ac:dyDescent="0.35">
      <c r="A326" s="3" t="s">
        <v>694</v>
      </c>
      <c r="D326" s="10">
        <v>10000</v>
      </c>
      <c r="N326" s="27">
        <f t="shared" si="188"/>
        <v>10000</v>
      </c>
      <c r="O326" s="38"/>
      <c r="P326" s="38"/>
      <c r="Q326" s="38">
        <v>394.61122478716123</v>
      </c>
      <c r="R326" s="38"/>
      <c r="S326" s="38"/>
      <c r="T326" s="38"/>
      <c r="U326" s="38"/>
      <c r="V326" s="38"/>
      <c r="W326" s="38"/>
      <c r="X326" s="38"/>
      <c r="Y326" s="38"/>
      <c r="Z326" s="38"/>
      <c r="AA326" s="27">
        <f t="shared" si="189"/>
        <v>394.61122478716123</v>
      </c>
      <c r="AB326" s="10">
        <f t="shared" si="190"/>
        <v>0</v>
      </c>
      <c r="AC326" s="10">
        <f t="shared" si="190"/>
        <v>0</v>
      </c>
      <c r="AD326" s="10">
        <f t="shared" si="190"/>
        <v>9605.3887752128394</v>
      </c>
      <c r="AE326" s="10">
        <f t="shared" si="190"/>
        <v>0</v>
      </c>
      <c r="AF326" s="10">
        <f t="shared" si="172"/>
        <v>0</v>
      </c>
      <c r="AG326" s="10">
        <f t="shared" si="172"/>
        <v>0</v>
      </c>
      <c r="AH326" s="10">
        <f t="shared" si="172"/>
        <v>0</v>
      </c>
      <c r="AI326" s="10">
        <f t="shared" si="172"/>
        <v>0</v>
      </c>
      <c r="AJ326" s="10">
        <f t="shared" si="172"/>
        <v>0</v>
      </c>
      <c r="AK326" s="10">
        <f t="shared" si="172"/>
        <v>0</v>
      </c>
      <c r="AL326" s="10">
        <f t="shared" si="172"/>
        <v>0</v>
      </c>
      <c r="AM326" s="10">
        <f t="shared" si="172"/>
        <v>0</v>
      </c>
      <c r="AN326" s="27">
        <f t="shared" si="172"/>
        <v>9605.3887752128394</v>
      </c>
      <c r="AO326" s="28" t="e">
        <f>SUMIF('[3]2025B and 2025F Details'!$AU:$AU,AP326,'[3]2025B and 2025F Details'!$BH:$BH)</f>
        <v>#VALUE!</v>
      </c>
      <c r="AP326" t="s">
        <v>695</v>
      </c>
      <c r="AS326" t="str">
        <f>_xlfn.XLOOKUP(AU326,[2]GAE!HZ:HZ,[2]GAE!IA:IA)</f>
        <v>IS &amp; IT</v>
      </c>
      <c r="AT326" t="str">
        <f>_xlfn.XLOOKUP(AU326,[2]GAE!HZ:HZ,[2]GAE!IB:IB)</f>
        <v>GAE- Systems &amp; Applications</v>
      </c>
      <c r="AU326" t="s">
        <v>593</v>
      </c>
      <c r="AV326">
        <v>80124101</v>
      </c>
      <c r="AW326">
        <v>61711102</v>
      </c>
      <c r="AX326" t="str">
        <f>_xlfn.XLOOKUP(AU326,[2]GAE!HZ:HZ,[2]GAE!IF:IF)</f>
        <v>Systems &amp; Applications</v>
      </c>
      <c r="BF326" t="s">
        <v>612</v>
      </c>
      <c r="BG326" s="37" t="s">
        <v>695</v>
      </c>
      <c r="BH326" s="10">
        <f>SUMIFS('[1]2026'!$K:$K,'[1]2026'!$T:$T,BD326,'[1]2026'!$S:$S,BH$3,'[1]2026'!$P:$P,AU326)</f>
        <v>0</v>
      </c>
      <c r="BI326" s="10">
        <f>SUMIFS('[1]2026'!$K:$K,'[1]2026'!$T:$T,$BD326,'[1]2026'!$S:$S,BI$3,'[1]2026'!$P:$P,$AU326)</f>
        <v>0</v>
      </c>
      <c r="BJ326" s="10">
        <f>SUMIFS('[1]2026'!$K:$K,'[1]2026'!$T:$T,$BD326,'[1]2026'!$S:$S,BJ$3,'[1]2026'!$P:$P,$AU326)</f>
        <v>0</v>
      </c>
      <c r="BK326" s="10">
        <f>SUMIFS('[1]2026'!$K:$K,'[1]2026'!$T:$T,$BD326,'[1]2026'!$S:$S,BK$3,'[1]2026'!$P:$P,$AU326)</f>
        <v>0</v>
      </c>
      <c r="BL326" s="10">
        <f>SUMIFS('[1]2026'!$K:$K,'[1]2026'!$T:$T,$BD326,'[1]2026'!$S:$S,BL$3,'[1]2026'!$P:$P,$AU326)</f>
        <v>0</v>
      </c>
      <c r="BM326" s="10">
        <f>SUMIFS('[1]2026'!$K:$K,'[1]2026'!$T:$T,$BD326,'[1]2026'!$S:$S,BM$3,'[1]2026'!$P:$P,$AU326)</f>
        <v>0</v>
      </c>
      <c r="BN326" s="10">
        <f>SUMIFS('[1]2026'!$K:$K,'[1]2026'!$T:$T,$BD326,'[1]2026'!$S:$S,BN$3,'[1]2026'!$P:$P,$AU326)</f>
        <v>0</v>
      </c>
      <c r="BO326" s="10">
        <f>SUMIFS('[1]2026'!$K:$K,'[1]2026'!$T:$T,$BD326,'[1]2026'!$S:$S,BO$3,'[1]2026'!$P:$P,$AU326)</f>
        <v>0</v>
      </c>
      <c r="BP326" s="6">
        <f t="shared" si="193"/>
        <v>0</v>
      </c>
      <c r="BQ326" s="6">
        <f t="shared" si="193"/>
        <v>0</v>
      </c>
      <c r="BR326" s="6">
        <f t="shared" si="193"/>
        <v>0</v>
      </c>
      <c r="BS326" s="6">
        <f t="shared" si="193"/>
        <v>0</v>
      </c>
      <c r="BT326" s="6">
        <f t="shared" si="162"/>
        <v>0</v>
      </c>
      <c r="BV326" s="6">
        <f t="shared" ref="BV326:BV334" si="195">BH326-AB326</f>
        <v>0</v>
      </c>
      <c r="BW326" s="6">
        <f t="shared" ref="BW326:BW334" si="196">BI326-AC326</f>
        <v>0</v>
      </c>
      <c r="BX326" s="6">
        <f t="shared" ref="BX326:BX334" si="197">BJ326-AD326</f>
        <v>-9605.3887752128394</v>
      </c>
      <c r="BY326" s="6">
        <f t="shared" ref="BY326:BY334" si="198">BK326-AE326</f>
        <v>0</v>
      </c>
      <c r="BZ326" s="6">
        <f t="shared" ref="BZ326:BZ334" si="199">BL326-AF326</f>
        <v>0</v>
      </c>
      <c r="CA326" s="6">
        <f t="shared" ref="CA326:CA334" si="200">BM326-AG326</f>
        <v>0</v>
      </c>
      <c r="CB326" s="6">
        <f t="shared" ref="CB326:CB334" si="201">BN326-AH326</f>
        <v>0</v>
      </c>
      <c r="CC326" s="6">
        <f t="shared" ref="CC326:CC334" si="202">BO326-AI326</f>
        <v>0</v>
      </c>
      <c r="CD326" s="6">
        <f t="shared" ref="CD326:CD334" si="203">BP326-AJ326</f>
        <v>0</v>
      </c>
      <c r="CE326" s="6">
        <f t="shared" ref="CE326:CE334" si="204">BQ326-AK326</f>
        <v>0</v>
      </c>
      <c r="CF326" s="6">
        <f t="shared" ref="CF326:CF334" si="205">BR326-AL326</f>
        <v>0</v>
      </c>
      <c r="CG326" s="6">
        <f t="shared" ref="CG326:CG334" si="206">BS326-AM326</f>
        <v>0</v>
      </c>
      <c r="CH326" s="6">
        <f t="shared" si="164"/>
        <v>-9605.3887752128394</v>
      </c>
    </row>
    <row r="327" spans="1:86" x14ac:dyDescent="0.35">
      <c r="A327" s="3" t="s">
        <v>696</v>
      </c>
      <c r="B327" s="10">
        <v>15000</v>
      </c>
      <c r="C327" s="10">
        <v>15000</v>
      </c>
      <c r="D327" s="10">
        <v>15000</v>
      </c>
      <c r="E327" s="10">
        <v>15000</v>
      </c>
      <c r="F327" s="10">
        <v>15000</v>
      </c>
      <c r="G327" s="10">
        <v>15000</v>
      </c>
      <c r="H327" s="10">
        <v>15000</v>
      </c>
      <c r="I327" s="10">
        <v>15000</v>
      </c>
      <c r="J327" s="10">
        <v>15000</v>
      </c>
      <c r="K327" s="10">
        <v>15000</v>
      </c>
      <c r="L327" s="10">
        <v>15000</v>
      </c>
      <c r="M327" s="10">
        <v>15000</v>
      </c>
      <c r="N327" s="27">
        <f t="shared" si="188"/>
        <v>180000</v>
      </c>
      <c r="O327" s="38">
        <v>591.91683718074194</v>
      </c>
      <c r="P327" s="38">
        <v>591.91683718074194</v>
      </c>
      <c r="Q327" s="38">
        <v>591.91683718074194</v>
      </c>
      <c r="R327" s="38">
        <v>591.91683718074194</v>
      </c>
      <c r="S327" s="38">
        <v>591.91683718074194</v>
      </c>
      <c r="T327" s="38">
        <v>591.91683718074194</v>
      </c>
      <c r="U327" s="38">
        <v>591.91683718074194</v>
      </c>
      <c r="V327" s="38">
        <v>591.91683718074194</v>
      </c>
      <c r="W327" s="38">
        <v>591.91683718074194</v>
      </c>
      <c r="X327" s="38">
        <v>591.91683718074194</v>
      </c>
      <c r="Y327" s="38">
        <v>591.91683718074194</v>
      </c>
      <c r="Z327" s="38">
        <v>591.91683718074194</v>
      </c>
      <c r="AA327" s="27">
        <f t="shared" si="189"/>
        <v>7103.0020461689028</v>
      </c>
      <c r="AB327" s="10">
        <f t="shared" si="190"/>
        <v>14408.083162819257</v>
      </c>
      <c r="AC327" s="10">
        <f t="shared" si="190"/>
        <v>14408.083162819257</v>
      </c>
      <c r="AD327" s="10">
        <f t="shared" si="190"/>
        <v>14408.083162819257</v>
      </c>
      <c r="AE327" s="10">
        <f t="shared" si="190"/>
        <v>14408.083162819257</v>
      </c>
      <c r="AF327" s="10">
        <f t="shared" si="172"/>
        <v>14408.083162819257</v>
      </c>
      <c r="AG327" s="10">
        <f t="shared" si="172"/>
        <v>14408.083162819257</v>
      </c>
      <c r="AH327" s="10">
        <f t="shared" si="172"/>
        <v>14408.083162819257</v>
      </c>
      <c r="AI327" s="10">
        <f t="shared" si="172"/>
        <v>14408.083162819257</v>
      </c>
      <c r="AJ327" s="10">
        <f t="shared" si="172"/>
        <v>14408.083162819257</v>
      </c>
      <c r="AK327" s="10">
        <f t="shared" si="172"/>
        <v>14408.083162819257</v>
      </c>
      <c r="AL327" s="10">
        <f t="shared" si="172"/>
        <v>14408.083162819257</v>
      </c>
      <c r="AM327" s="10">
        <f t="shared" si="172"/>
        <v>14408.083162819257</v>
      </c>
      <c r="AN327" s="27">
        <f t="shared" si="172"/>
        <v>172896.9979538311</v>
      </c>
      <c r="AO327" s="28" t="e">
        <f>SUMIF('[3]2025B and 2025F Details'!$AU:$AU,AP327,'[3]2025B and 2025F Details'!$BH:$BH)</f>
        <v>#VALUE!</v>
      </c>
      <c r="AP327" t="s">
        <v>697</v>
      </c>
      <c r="AS327" t="str">
        <f>_xlfn.XLOOKUP(AU327,[2]GAE!HZ:HZ,[2]GAE!IA:IA)</f>
        <v>IS &amp; IT</v>
      </c>
      <c r="AT327" t="str">
        <f>_xlfn.XLOOKUP(AU327,[2]GAE!HZ:HZ,[2]GAE!IB:IB)</f>
        <v>GAE- Systems &amp; Applications</v>
      </c>
      <c r="AU327" t="s">
        <v>593</v>
      </c>
      <c r="AV327">
        <v>80124101</v>
      </c>
      <c r="AW327">
        <v>61711102</v>
      </c>
      <c r="AX327" t="str">
        <f>_xlfn.XLOOKUP(AU327,[2]GAE!HZ:HZ,[2]GAE!IF:IF)</f>
        <v>Systems &amp; Applications</v>
      </c>
      <c r="BC327" t="s">
        <v>79</v>
      </c>
      <c r="BD327" t="s">
        <v>697</v>
      </c>
      <c r="BF327" t="s">
        <v>612</v>
      </c>
      <c r="BG327" s="37" t="s">
        <v>79</v>
      </c>
      <c r="BH327" s="10">
        <f>SUMIFS('[1]2026'!$K:$K,'[1]2026'!$T:$T,BD327,'[1]2026'!$S:$S,BH$3,'[1]2026'!$P:$P,AU327)</f>
        <v>12343.75</v>
      </c>
      <c r="BI327" s="10">
        <f>SUMIFS('[1]2026'!$K:$K,'[1]2026'!$T:$T,$BD327,'[1]2026'!$S:$S,BI$3,'[1]2026'!$P:$P,$AU327)</f>
        <v>6171.88</v>
      </c>
      <c r="BJ327" s="10">
        <f>SUMIFS('[1]2026'!$K:$K,'[1]2026'!$T:$T,$BD327,'[1]2026'!$S:$S,BJ$3,'[1]2026'!$P:$P,$AU327)</f>
        <v>0</v>
      </c>
      <c r="BK327" s="10">
        <f>SUMIFS('[1]2026'!$K:$K,'[1]2026'!$T:$T,$BD327,'[1]2026'!$S:$S,BK$3,'[1]2026'!$P:$P,$AU327)</f>
        <v>0</v>
      </c>
      <c r="BL327" s="10">
        <f>SUMIFS('[1]2026'!$K:$K,'[1]2026'!$T:$T,$BD327,'[1]2026'!$S:$S,BL$3,'[1]2026'!$P:$P,$AU327)</f>
        <v>0</v>
      </c>
      <c r="BM327" s="10">
        <f>SUMIFS('[1]2026'!$K:$K,'[1]2026'!$T:$T,$BD327,'[1]2026'!$S:$S,BM$3,'[1]2026'!$P:$P,$AU327)</f>
        <v>0</v>
      </c>
      <c r="BN327" s="10">
        <f>SUMIFS('[1]2026'!$K:$K,'[1]2026'!$T:$T,$BD327,'[1]2026'!$S:$S,BN$3,'[1]2026'!$P:$P,$AU327)</f>
        <v>0</v>
      </c>
      <c r="BO327" s="10">
        <f>SUMIFS('[1]2026'!$K:$K,'[1]2026'!$T:$T,$BD327,'[1]2026'!$S:$S,BO$3,'[1]2026'!$P:$P,$AU327)</f>
        <v>0</v>
      </c>
      <c r="BP327" s="6">
        <f t="shared" si="193"/>
        <v>0</v>
      </c>
      <c r="BQ327" s="6">
        <f t="shared" si="193"/>
        <v>0</v>
      </c>
      <c r="BR327" s="6">
        <f t="shared" si="193"/>
        <v>0</v>
      </c>
      <c r="BS327" s="6">
        <f t="shared" si="193"/>
        <v>0</v>
      </c>
      <c r="BT327" s="6">
        <f t="shared" si="162"/>
        <v>18515.63</v>
      </c>
      <c r="BV327" s="6">
        <f t="shared" si="195"/>
        <v>-2064.3331628192573</v>
      </c>
      <c r="BW327" s="6">
        <f t="shared" si="196"/>
        <v>-8236.2031628192562</v>
      </c>
      <c r="BX327" s="6">
        <f t="shared" si="197"/>
        <v>-14408.083162819257</v>
      </c>
      <c r="BY327" s="6">
        <f t="shared" si="198"/>
        <v>-14408.083162819257</v>
      </c>
      <c r="BZ327" s="6">
        <f t="shared" si="199"/>
        <v>-14408.083162819257</v>
      </c>
      <c r="CA327" s="6">
        <f t="shared" si="200"/>
        <v>-14408.083162819257</v>
      </c>
      <c r="CB327" s="6">
        <f t="shared" si="201"/>
        <v>-14408.083162819257</v>
      </c>
      <c r="CC327" s="6">
        <f t="shared" si="202"/>
        <v>-14408.083162819257</v>
      </c>
      <c r="CD327" s="6">
        <f t="shared" si="203"/>
        <v>-14408.083162819257</v>
      </c>
      <c r="CE327" s="6">
        <f t="shared" si="204"/>
        <v>-14408.083162819257</v>
      </c>
      <c r="CF327" s="6">
        <f t="shared" si="205"/>
        <v>-14408.083162819257</v>
      </c>
      <c r="CG327" s="6">
        <f t="shared" si="206"/>
        <v>-14408.083162819257</v>
      </c>
      <c r="CH327" s="6">
        <f t="shared" si="164"/>
        <v>-154381.3679538311</v>
      </c>
    </row>
    <row r="328" spans="1:86" hidden="1" x14ac:dyDescent="0.35"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N328" s="27">
        <f>N328-AA328</f>
        <v>0</v>
      </c>
      <c r="AS328" t="str">
        <f>_xlfn.XLOOKUP(AU328,[2]GAE!HZ:HZ,[2]GAE!IA:IA)</f>
        <v>IS &amp; IT</v>
      </c>
      <c r="AT328" t="str">
        <f>_xlfn.XLOOKUP(AU328,[2]GAE!HZ:HZ,[2]GAE!IB:IB)</f>
        <v>DOE - Systems and Applications</v>
      </c>
      <c r="AU328" s="2" t="s">
        <v>594</v>
      </c>
      <c r="AV328" s="2">
        <v>81124101</v>
      </c>
      <c r="AW328" s="2">
        <v>52952103</v>
      </c>
      <c r="AX328" t="str">
        <f>_xlfn.XLOOKUP(AU328,[2]GAE!HZ:HZ,[2]GAE!IF:IF)</f>
        <v>Systems &amp; Applications</v>
      </c>
      <c r="BC328" t="s">
        <v>79</v>
      </c>
      <c r="BD328" t="s">
        <v>697</v>
      </c>
      <c r="BF328" t="s">
        <v>612</v>
      </c>
      <c r="BG328" s="37" t="s">
        <v>79</v>
      </c>
      <c r="BJ328" s="10">
        <f>SUMIFS('[1]2026'!$K:$K,'[1]2026'!$T:$T,$BD328,'[1]2026'!$S:$S,BJ$3,'[1]2026'!$P:$P,$AU328)</f>
        <v>148125</v>
      </c>
      <c r="BK328" s="10">
        <f>SUMIFS('[1]2026'!$K:$K,'[1]2026'!$T:$T,$BD328,'[1]2026'!$S:$S,BK$3,'[1]2026'!$P:$P,$AU328)</f>
        <v>0</v>
      </c>
      <c r="BL328" s="10">
        <f>SUMIFS('[1]2026'!$K:$K,'[1]2026'!$T:$T,$BD328,'[1]2026'!$S:$S,BL$3,'[1]2026'!$P:$P,$AU328)</f>
        <v>0</v>
      </c>
      <c r="BM328" s="10">
        <f>SUMIFS('[1]2026'!$K:$K,'[1]2026'!$T:$T,$BD328,'[1]2026'!$S:$S,BM$3,'[1]2026'!$P:$P,$AU328)</f>
        <v>0</v>
      </c>
      <c r="BN328" s="10">
        <f>SUMIFS('[1]2026'!$K:$K,'[1]2026'!$T:$T,$BD328,'[1]2026'!$S:$S,BN$3,'[1]2026'!$P:$P,$AU328)</f>
        <v>0</v>
      </c>
      <c r="BO328" s="10">
        <f>SUMIFS('[1]2026'!$K:$K,'[1]2026'!$T:$T,$BD328,'[1]2026'!$S:$S,BO$3,'[1]2026'!$P:$P,$AU328)</f>
        <v>0</v>
      </c>
      <c r="BP328" s="6">
        <f t="shared" si="193"/>
        <v>0</v>
      </c>
      <c r="BQ328" s="6">
        <f t="shared" si="193"/>
        <v>0</v>
      </c>
      <c r="BR328" s="6">
        <f t="shared" si="193"/>
        <v>0</v>
      </c>
      <c r="BS328" s="6">
        <f t="shared" si="193"/>
        <v>0</v>
      </c>
      <c r="BT328" s="6">
        <f t="shared" si="162"/>
        <v>148125</v>
      </c>
      <c r="BV328" s="6">
        <f t="shared" si="195"/>
        <v>0</v>
      </c>
      <c r="BW328" s="6">
        <f t="shared" si="196"/>
        <v>0</v>
      </c>
      <c r="BX328" s="6">
        <f t="shared" si="197"/>
        <v>148125</v>
      </c>
      <c r="BY328" s="6">
        <f t="shared" si="198"/>
        <v>0</v>
      </c>
      <c r="BZ328" s="6">
        <f t="shared" si="199"/>
        <v>0</v>
      </c>
      <c r="CA328" s="6">
        <f t="shared" si="200"/>
        <v>0</v>
      </c>
      <c r="CB328" s="6">
        <f t="shared" si="201"/>
        <v>0</v>
      </c>
      <c r="CC328" s="6">
        <f t="shared" si="202"/>
        <v>0</v>
      </c>
      <c r="CD328" s="6">
        <f t="shared" si="203"/>
        <v>0</v>
      </c>
      <c r="CE328" s="6">
        <f t="shared" si="204"/>
        <v>0</v>
      </c>
      <c r="CF328" s="6">
        <f t="shared" si="205"/>
        <v>0</v>
      </c>
      <c r="CG328" s="6">
        <f t="shared" si="206"/>
        <v>0</v>
      </c>
      <c r="CH328" s="6">
        <f t="shared" si="164"/>
        <v>148125</v>
      </c>
    </row>
    <row r="329" spans="1:86" x14ac:dyDescent="0.35">
      <c r="A329" s="3" t="s">
        <v>698</v>
      </c>
      <c r="B329" s="10">
        <v>28750</v>
      </c>
      <c r="C329" s="10">
        <v>28750</v>
      </c>
      <c r="D329" s="10">
        <v>28750</v>
      </c>
      <c r="E329" s="10">
        <v>28750</v>
      </c>
      <c r="F329" s="10">
        <v>28750</v>
      </c>
      <c r="G329" s="10">
        <v>28750</v>
      </c>
      <c r="H329" s="10">
        <v>28750</v>
      </c>
      <c r="I329" s="10">
        <v>28750</v>
      </c>
      <c r="J329" s="10">
        <v>28750</v>
      </c>
      <c r="K329" s="10">
        <v>28750</v>
      </c>
      <c r="L329" s="10">
        <v>28750</v>
      </c>
      <c r="M329" s="10">
        <v>28750</v>
      </c>
      <c r="N329" s="27">
        <f t="shared" ref="N329:N363" si="207">SUM(B329:M329)</f>
        <v>345000</v>
      </c>
      <c r="O329" s="10">
        <v>8333.3333333333339</v>
      </c>
      <c r="P329" s="10">
        <v>8333.3333333333339</v>
      </c>
      <c r="Q329" s="10">
        <v>8333.3333333333339</v>
      </c>
      <c r="R329" s="10">
        <v>8333.3333333333339</v>
      </c>
      <c r="S329" s="10">
        <v>8333.3333333333339</v>
      </c>
      <c r="T329" s="10">
        <v>8333.3333333333339</v>
      </c>
      <c r="U329" s="10">
        <v>8333.3333333333339</v>
      </c>
      <c r="V329" s="10">
        <v>8333.3333333333339</v>
      </c>
      <c r="W329" s="10">
        <v>8333.3333333333339</v>
      </c>
      <c r="X329" s="10">
        <v>8333.3333333333339</v>
      </c>
      <c r="Y329" s="10">
        <v>8333.3333333333339</v>
      </c>
      <c r="Z329" s="10">
        <v>8333.3333333333339</v>
      </c>
      <c r="AA329" s="27">
        <f t="shared" ref="AA329:AA363" si="208">SUM(O329:Z329)</f>
        <v>99999.999999999985</v>
      </c>
      <c r="AB329" s="10">
        <f t="shared" ref="AB329:AN358" si="209">B329-O329</f>
        <v>20416.666666666664</v>
      </c>
      <c r="AC329" s="10">
        <f t="shared" si="209"/>
        <v>20416.666666666664</v>
      </c>
      <c r="AD329" s="10">
        <f t="shared" si="209"/>
        <v>20416.666666666664</v>
      </c>
      <c r="AE329" s="10">
        <f t="shared" si="209"/>
        <v>20416.666666666664</v>
      </c>
      <c r="AF329" s="10">
        <f t="shared" si="209"/>
        <v>20416.666666666664</v>
      </c>
      <c r="AG329" s="10">
        <f t="shared" si="209"/>
        <v>20416.666666666664</v>
      </c>
      <c r="AH329" s="10">
        <f t="shared" si="209"/>
        <v>20416.666666666664</v>
      </c>
      <c r="AI329" s="10">
        <f t="shared" si="209"/>
        <v>20416.666666666664</v>
      </c>
      <c r="AJ329" s="10">
        <f t="shared" si="209"/>
        <v>20416.666666666664</v>
      </c>
      <c r="AK329" s="10">
        <f t="shared" si="209"/>
        <v>20416.666666666664</v>
      </c>
      <c r="AL329" s="10">
        <f t="shared" si="209"/>
        <v>20416.666666666664</v>
      </c>
      <c r="AM329" s="10">
        <f t="shared" si="209"/>
        <v>20416.666666666664</v>
      </c>
      <c r="AN329" s="27">
        <f t="shared" si="209"/>
        <v>245000</v>
      </c>
      <c r="AO329" s="28" t="e">
        <f>SUMIF('[3]2025B and 2025F Details'!$AU:$AU,AP329,'[3]2025B and 2025F Details'!$BH:$BH)</f>
        <v>#VALUE!</v>
      </c>
      <c r="AP329" t="s">
        <v>80</v>
      </c>
      <c r="AS329" t="str">
        <f>_xlfn.XLOOKUP(AU329,[2]GAE!HZ:HZ,[2]GAE!IA:IA)</f>
        <v>IS &amp; IT</v>
      </c>
      <c r="AT329" t="str">
        <f>_xlfn.XLOOKUP(AU329,[2]GAE!HZ:HZ,[2]GAE!IB:IB)</f>
        <v>GAE- Systems &amp; Applications</v>
      </c>
      <c r="AU329" t="s">
        <v>593</v>
      </c>
      <c r="AV329">
        <v>80124101</v>
      </c>
      <c r="AW329">
        <v>61711102</v>
      </c>
      <c r="AX329" t="str">
        <f>_xlfn.XLOOKUP(AU329,[2]GAE!HZ:HZ,[2]GAE!IF:IF)</f>
        <v>Systems &amp; Applications</v>
      </c>
      <c r="BC329" t="s">
        <v>80</v>
      </c>
      <c r="BD329" t="s">
        <v>80</v>
      </c>
      <c r="BF329" t="s">
        <v>612</v>
      </c>
      <c r="BG329" s="37" t="s">
        <v>80</v>
      </c>
      <c r="BH329" s="10">
        <f>SUMIFS('[1]2026'!$K:$K,'[1]2026'!$T:$T,BD329,'[1]2026'!$S:$S,BH$3,'[1]2026'!$P:$P,AU329)</f>
        <v>10937.5</v>
      </c>
      <c r="BI329" s="10">
        <f>SUMIFS('[1]2026'!$K:$K,'[1]2026'!$T:$T,$BD329,'[1]2026'!$S:$S,BI$3,'[1]2026'!$P:$P,$AU329)</f>
        <v>5468.75</v>
      </c>
      <c r="BJ329" s="10">
        <f>SUMIFS('[1]2026'!$K:$K,'[1]2026'!$T:$T,$BD329,'[1]2026'!$S:$S,BJ$3,'[1]2026'!$P:$P,$AU329)</f>
        <v>0</v>
      </c>
      <c r="BK329" s="10">
        <f>SUMIFS('[1]2026'!$K:$K,'[1]2026'!$T:$T,$BD329,'[1]2026'!$S:$S,BK$3,'[1]2026'!$P:$P,$AU329)</f>
        <v>0</v>
      </c>
      <c r="BL329" s="10">
        <f>SUMIFS('[1]2026'!$K:$K,'[1]2026'!$T:$T,$BD329,'[1]2026'!$S:$S,BL$3,'[1]2026'!$P:$P,$AU329)</f>
        <v>0</v>
      </c>
      <c r="BM329" s="10">
        <f>SUMIFS('[1]2026'!$K:$K,'[1]2026'!$T:$T,$BD329,'[1]2026'!$S:$S,BM$3,'[1]2026'!$P:$P,$AU329)</f>
        <v>0</v>
      </c>
      <c r="BN329" s="10">
        <f>SUMIFS('[1]2026'!$K:$K,'[1]2026'!$T:$T,$BD329,'[1]2026'!$S:$S,BN$3,'[1]2026'!$P:$P,$AU329)</f>
        <v>0</v>
      </c>
      <c r="BO329" s="10">
        <f>SUMIFS('[1]2026'!$K:$K,'[1]2026'!$T:$T,$BD329,'[1]2026'!$S:$S,BO$3,'[1]2026'!$P:$P,$AU329)</f>
        <v>0</v>
      </c>
      <c r="BP329" s="6">
        <f t="shared" si="193"/>
        <v>0</v>
      </c>
      <c r="BQ329" s="6">
        <f t="shared" si="193"/>
        <v>0</v>
      </c>
      <c r="BR329" s="6">
        <f t="shared" si="193"/>
        <v>0</v>
      </c>
      <c r="BS329" s="6">
        <f t="shared" si="193"/>
        <v>0</v>
      </c>
      <c r="BT329" s="6">
        <f t="shared" si="162"/>
        <v>16406.25</v>
      </c>
      <c r="BV329" s="6">
        <f t="shared" si="195"/>
        <v>-9479.1666666666642</v>
      </c>
      <c r="BW329" s="6">
        <f t="shared" si="196"/>
        <v>-14947.916666666664</v>
      </c>
      <c r="BX329" s="6">
        <f t="shared" si="197"/>
        <v>-20416.666666666664</v>
      </c>
      <c r="BY329" s="6">
        <f t="shared" si="198"/>
        <v>-20416.666666666664</v>
      </c>
      <c r="BZ329" s="6">
        <f t="shared" si="199"/>
        <v>-20416.666666666664</v>
      </c>
      <c r="CA329" s="6">
        <f t="shared" si="200"/>
        <v>-20416.666666666664</v>
      </c>
      <c r="CB329" s="6">
        <f t="shared" si="201"/>
        <v>-20416.666666666664</v>
      </c>
      <c r="CC329" s="6">
        <f t="shared" si="202"/>
        <v>-20416.666666666664</v>
      </c>
      <c r="CD329" s="6">
        <f t="shared" si="203"/>
        <v>-20416.666666666664</v>
      </c>
      <c r="CE329" s="6">
        <f t="shared" si="204"/>
        <v>-20416.666666666664</v>
      </c>
      <c r="CF329" s="6">
        <f t="shared" si="205"/>
        <v>-20416.666666666664</v>
      </c>
      <c r="CG329" s="6">
        <f t="shared" si="206"/>
        <v>-20416.666666666664</v>
      </c>
      <c r="CH329" s="6">
        <f t="shared" si="164"/>
        <v>-228593.75</v>
      </c>
    </row>
    <row r="330" spans="1:86" hidden="1" x14ac:dyDescent="0.35">
      <c r="AN330" s="27">
        <f>N330-AA330</f>
        <v>0</v>
      </c>
      <c r="AS330" t="str">
        <f>_xlfn.XLOOKUP(AU330,[2]GAE!HZ:HZ,[2]GAE!IA:IA)</f>
        <v>IS &amp; IT</v>
      </c>
      <c r="AT330" t="str">
        <f>_xlfn.XLOOKUP(AU330,[2]GAE!HZ:HZ,[2]GAE!IB:IB)</f>
        <v>DOE - Systems and Applications</v>
      </c>
      <c r="AU330" s="2" t="s">
        <v>594</v>
      </c>
      <c r="AV330" s="2">
        <v>81124101</v>
      </c>
      <c r="AW330" s="2">
        <v>52952103</v>
      </c>
      <c r="AX330" t="str">
        <f>_xlfn.XLOOKUP(AU330,[2]GAE!HZ:HZ,[2]GAE!IF:IF)</f>
        <v>Systems &amp; Applications</v>
      </c>
      <c r="BC330" t="s">
        <v>80</v>
      </c>
      <c r="BD330" t="s">
        <v>80</v>
      </c>
      <c r="BF330" t="s">
        <v>612</v>
      </c>
      <c r="BG330" s="37" t="s">
        <v>80</v>
      </c>
      <c r="BJ330" s="10">
        <f>SUMIFS('[1]2026'!$K:$K,'[1]2026'!$T:$T,$BD330,'[1]2026'!$S:$S,BJ$3,'[1]2026'!$P:$P,$AU330)</f>
        <v>155625</v>
      </c>
      <c r="BK330" s="10">
        <f>SUMIFS('[1]2026'!$K:$K,'[1]2026'!$T:$T,$BD330,'[1]2026'!$S:$S,BK$3,'[1]2026'!$P:$P,$AU330)</f>
        <v>0</v>
      </c>
      <c r="BL330" s="10">
        <f>SUMIFS('[1]2026'!$K:$K,'[1]2026'!$T:$T,$BD330,'[1]2026'!$S:$S,BL$3,'[1]2026'!$P:$P,$AU330)</f>
        <v>0</v>
      </c>
      <c r="BM330" s="10">
        <f>SUMIFS('[1]2026'!$K:$K,'[1]2026'!$T:$T,$BD330,'[1]2026'!$S:$S,BM$3,'[1]2026'!$P:$P,$AU330)</f>
        <v>0</v>
      </c>
      <c r="BN330" s="10">
        <f>SUMIFS('[1]2026'!$K:$K,'[1]2026'!$T:$T,$BD330,'[1]2026'!$S:$S,BN$3,'[1]2026'!$P:$P,$AU330)</f>
        <v>0</v>
      </c>
      <c r="BO330" s="10">
        <f>SUMIFS('[1]2026'!$K:$K,'[1]2026'!$T:$T,$BD330,'[1]2026'!$S:$S,BO$3,'[1]2026'!$P:$P,$AU330)</f>
        <v>0</v>
      </c>
      <c r="BP330" s="6">
        <f t="shared" si="193"/>
        <v>0</v>
      </c>
      <c r="BQ330" s="6">
        <f t="shared" si="193"/>
        <v>0</v>
      </c>
      <c r="BR330" s="6">
        <f t="shared" si="193"/>
        <v>0</v>
      </c>
      <c r="BS330" s="6">
        <f t="shared" si="193"/>
        <v>0</v>
      </c>
      <c r="BT330" s="6">
        <f t="shared" si="162"/>
        <v>155625</v>
      </c>
      <c r="BV330" s="6">
        <f t="shared" si="195"/>
        <v>0</v>
      </c>
      <c r="BW330" s="6">
        <f t="shared" si="196"/>
        <v>0</v>
      </c>
      <c r="BX330" s="6">
        <f t="shared" si="197"/>
        <v>155625</v>
      </c>
      <c r="BY330" s="6">
        <f t="shared" si="198"/>
        <v>0</v>
      </c>
      <c r="BZ330" s="6">
        <f t="shared" si="199"/>
        <v>0</v>
      </c>
      <c r="CA330" s="6">
        <f t="shared" si="200"/>
        <v>0</v>
      </c>
      <c r="CB330" s="6">
        <f t="shared" si="201"/>
        <v>0</v>
      </c>
      <c r="CC330" s="6">
        <f t="shared" si="202"/>
        <v>0</v>
      </c>
      <c r="CD330" s="6">
        <f t="shared" si="203"/>
        <v>0</v>
      </c>
      <c r="CE330" s="6">
        <f t="shared" si="204"/>
        <v>0</v>
      </c>
      <c r="CF330" s="6">
        <f t="shared" si="205"/>
        <v>0</v>
      </c>
      <c r="CG330" s="6">
        <f t="shared" si="206"/>
        <v>0</v>
      </c>
      <c r="CH330" s="6">
        <f t="shared" si="164"/>
        <v>155625</v>
      </c>
    </row>
    <row r="331" spans="1:86" x14ac:dyDescent="0.35">
      <c r="A331" s="3" t="s">
        <v>699</v>
      </c>
      <c r="E331" s="10">
        <v>600000</v>
      </c>
      <c r="N331" s="27">
        <f t="shared" si="207"/>
        <v>600000</v>
      </c>
      <c r="O331" s="38"/>
      <c r="P331" s="38"/>
      <c r="Q331" s="38"/>
      <c r="R331" s="38">
        <v>23676.673487229677</v>
      </c>
      <c r="S331" s="38"/>
      <c r="T331" s="38"/>
      <c r="U331" s="38"/>
      <c r="V331" s="38"/>
      <c r="W331" s="38"/>
      <c r="X331" s="38"/>
      <c r="Y331" s="38"/>
      <c r="Z331" s="38"/>
      <c r="AA331" s="27">
        <f t="shared" si="208"/>
        <v>23676.673487229677</v>
      </c>
      <c r="AB331" s="10">
        <f t="shared" si="209"/>
        <v>0</v>
      </c>
      <c r="AC331" s="10">
        <f t="shared" si="209"/>
        <v>0</v>
      </c>
      <c r="AD331" s="10">
        <f t="shared" si="209"/>
        <v>0</v>
      </c>
      <c r="AE331" s="10">
        <f t="shared" si="209"/>
        <v>576323.32651277038</v>
      </c>
      <c r="AF331" s="10">
        <f t="shared" si="209"/>
        <v>0</v>
      </c>
      <c r="AG331" s="10">
        <f t="shared" si="209"/>
        <v>0</v>
      </c>
      <c r="AH331" s="10">
        <f t="shared" si="209"/>
        <v>0</v>
      </c>
      <c r="AI331" s="10">
        <f t="shared" si="209"/>
        <v>0</v>
      </c>
      <c r="AJ331" s="10">
        <f t="shared" si="209"/>
        <v>0</v>
      </c>
      <c r="AK331" s="10">
        <f t="shared" si="209"/>
        <v>0</v>
      </c>
      <c r="AL331" s="10">
        <f t="shared" si="209"/>
        <v>0</v>
      </c>
      <c r="AM331" s="10">
        <f t="shared" si="209"/>
        <v>0</v>
      </c>
      <c r="AN331" s="27">
        <f t="shared" si="209"/>
        <v>576323.32651277038</v>
      </c>
      <c r="AO331" s="28" t="e">
        <f>SUMIF('[3]2025B and 2025F Details'!$AU:$AU,AP331,'[3]2025B and 2025F Details'!$BH:$BH)</f>
        <v>#VALUE!</v>
      </c>
      <c r="AP331" t="s">
        <v>700</v>
      </c>
      <c r="AS331" t="str">
        <f>_xlfn.XLOOKUP(AU331,[2]GAE!HZ:HZ,[2]GAE!IA:IA)</f>
        <v>IS &amp; IT</v>
      </c>
      <c r="AT331" t="str">
        <f>_xlfn.XLOOKUP(AU331,[2]GAE!HZ:HZ,[2]GAE!IB:IB)</f>
        <v>GAE- Systems &amp; Applications</v>
      </c>
      <c r="AU331" t="s">
        <v>593</v>
      </c>
      <c r="AV331">
        <v>80124101</v>
      </c>
      <c r="AW331">
        <v>61711102</v>
      </c>
      <c r="AX331" t="str">
        <f>_xlfn.XLOOKUP(AU331,[2]GAE!HZ:HZ,[2]GAE!IF:IF)</f>
        <v>Systems &amp; Applications</v>
      </c>
      <c r="BC331" t="s">
        <v>50</v>
      </c>
      <c r="BD331" s="2" t="s">
        <v>50</v>
      </c>
      <c r="BE331" s="2"/>
      <c r="BF331" t="s">
        <v>1256</v>
      </c>
      <c r="BG331" s="37" t="s">
        <v>50</v>
      </c>
      <c r="BH331" s="10">
        <f>SUMIFS('[1]2026'!$K:$K,'[1]2026'!$T:$T,BD331,'[1]2026'!$S:$S,BH$3,'[1]2026'!$P:$P,AU331)</f>
        <v>18973.21</v>
      </c>
      <c r="BI331" s="10">
        <f>SUMIFS('[1]2026'!$K:$K,'[1]2026'!$T:$T,$BD331,'[1]2026'!$S:$S,BI$3,'[1]2026'!$P:$P,$AU331)</f>
        <v>0</v>
      </c>
      <c r="BJ331" s="10">
        <f>SUMIFS('[1]2026'!$K:$K,'[1]2026'!$T:$T,$BD331,'[1]2026'!$S:$S,BJ$3,'[1]2026'!$P:$P,$AU331)</f>
        <v>0</v>
      </c>
      <c r="BK331" s="10">
        <f>SUMIFS('[1]2026'!$K:$K,'[1]2026'!$T:$T,$BD331,'[1]2026'!$S:$S,BK$3,'[1]2026'!$P:$P,$AU331)</f>
        <v>0</v>
      </c>
      <c r="BL331" s="10">
        <f>SUMIFS('[1]2026'!$K:$K,'[1]2026'!$T:$T,$BD331,'[1]2026'!$S:$S,BL$3,'[1]2026'!$P:$P,$AU331)</f>
        <v>0</v>
      </c>
      <c r="BM331" s="10">
        <f>SUMIFS('[1]2026'!$K:$K,'[1]2026'!$T:$T,$BD331,'[1]2026'!$S:$S,BM$3,'[1]2026'!$P:$P,$AU331)</f>
        <v>0</v>
      </c>
      <c r="BN331" s="10">
        <f>SUMIFS('[1]2026'!$K:$K,'[1]2026'!$T:$T,$BD331,'[1]2026'!$S:$S,BN$3,'[1]2026'!$P:$P,$AU331)</f>
        <v>0</v>
      </c>
      <c r="BO331" s="10">
        <f>SUMIFS('[1]2026'!$K:$K,'[1]2026'!$T:$T,$BD331,'[1]2026'!$S:$S,BO$3,'[1]2026'!$P:$P,$AU331)</f>
        <v>0</v>
      </c>
      <c r="BP331" s="6">
        <f t="shared" si="193"/>
        <v>0</v>
      </c>
      <c r="BQ331" s="6">
        <f t="shared" si="193"/>
        <v>0</v>
      </c>
      <c r="BR331" s="6">
        <f t="shared" si="193"/>
        <v>0</v>
      </c>
      <c r="BS331" s="6">
        <f t="shared" si="193"/>
        <v>0</v>
      </c>
      <c r="BT331" s="6">
        <f t="shared" si="162"/>
        <v>18973.21</v>
      </c>
      <c r="BV331" s="6">
        <f t="shared" si="195"/>
        <v>18973.21</v>
      </c>
      <c r="BW331" s="6">
        <f t="shared" si="196"/>
        <v>0</v>
      </c>
      <c r="BX331" s="6">
        <f t="shared" si="197"/>
        <v>0</v>
      </c>
      <c r="BY331" s="6">
        <f t="shared" si="198"/>
        <v>-576323.32651277038</v>
      </c>
      <c r="BZ331" s="6">
        <f t="shared" si="199"/>
        <v>0</v>
      </c>
      <c r="CA331" s="6">
        <f t="shared" si="200"/>
        <v>0</v>
      </c>
      <c r="CB331" s="6">
        <f t="shared" si="201"/>
        <v>0</v>
      </c>
      <c r="CC331" s="6">
        <f t="shared" si="202"/>
        <v>0</v>
      </c>
      <c r="CD331" s="6">
        <f t="shared" si="203"/>
        <v>0</v>
      </c>
      <c r="CE331" s="6">
        <f t="shared" si="204"/>
        <v>0</v>
      </c>
      <c r="CF331" s="6">
        <f t="shared" si="205"/>
        <v>0</v>
      </c>
      <c r="CG331" s="6">
        <f t="shared" si="206"/>
        <v>0</v>
      </c>
      <c r="CH331" s="6">
        <f t="shared" si="164"/>
        <v>-557350.11651277042</v>
      </c>
    </row>
    <row r="332" spans="1:86" x14ac:dyDescent="0.35">
      <c r="A332" s="3" t="s">
        <v>701</v>
      </c>
      <c r="B332" s="10">
        <v>4700</v>
      </c>
      <c r="C332" s="10">
        <v>4700</v>
      </c>
      <c r="D332" s="10">
        <v>4700</v>
      </c>
      <c r="E332" s="10">
        <v>4700</v>
      </c>
      <c r="F332" s="10">
        <v>4700</v>
      </c>
      <c r="G332" s="10">
        <v>4700</v>
      </c>
      <c r="H332" s="10">
        <v>4700</v>
      </c>
      <c r="I332" s="10">
        <v>4700</v>
      </c>
      <c r="J332" s="10">
        <v>4700</v>
      </c>
      <c r="K332" s="10">
        <v>4700</v>
      </c>
      <c r="L332" s="10">
        <v>4700</v>
      </c>
      <c r="M332" s="10">
        <v>4700</v>
      </c>
      <c r="N332" s="27">
        <f t="shared" si="207"/>
        <v>56400</v>
      </c>
      <c r="O332" s="38">
        <v>185.46727564996581</v>
      </c>
      <c r="P332" s="38">
        <v>185.46727564996581</v>
      </c>
      <c r="Q332" s="38">
        <v>185.46727564996581</v>
      </c>
      <c r="R332" s="38">
        <v>185.46727564996581</v>
      </c>
      <c r="S332" s="38">
        <v>185.46727564996581</v>
      </c>
      <c r="T332" s="38">
        <v>185.46727564996581</v>
      </c>
      <c r="U332" s="38">
        <v>185.46727564996581</v>
      </c>
      <c r="V332" s="38">
        <v>185.46727564996581</v>
      </c>
      <c r="W332" s="38">
        <v>185.46727564996581</v>
      </c>
      <c r="X332" s="38">
        <v>185.46727564996581</v>
      </c>
      <c r="Y332" s="38">
        <v>185.46727564996581</v>
      </c>
      <c r="Z332" s="38">
        <v>185.46727564996581</v>
      </c>
      <c r="AA332" s="27">
        <f t="shared" si="208"/>
        <v>2225.6073077995898</v>
      </c>
      <c r="AB332" s="10">
        <f t="shared" si="209"/>
        <v>4514.5327243500342</v>
      </c>
      <c r="AC332" s="10">
        <f t="shared" si="209"/>
        <v>4514.5327243500342</v>
      </c>
      <c r="AD332" s="10">
        <f t="shared" si="209"/>
        <v>4514.5327243500342</v>
      </c>
      <c r="AE332" s="10">
        <f t="shared" si="209"/>
        <v>4514.5327243500342</v>
      </c>
      <c r="AF332" s="10">
        <f t="shared" si="209"/>
        <v>4514.5327243500342</v>
      </c>
      <c r="AG332" s="10">
        <f t="shared" si="209"/>
        <v>4514.5327243500342</v>
      </c>
      <c r="AH332" s="10">
        <f t="shared" si="209"/>
        <v>4514.5327243500342</v>
      </c>
      <c r="AI332" s="10">
        <f t="shared" si="209"/>
        <v>4514.5327243500342</v>
      </c>
      <c r="AJ332" s="10">
        <f t="shared" si="209"/>
        <v>4514.5327243500342</v>
      </c>
      <c r="AK332" s="10">
        <f t="shared" si="209"/>
        <v>4514.5327243500342</v>
      </c>
      <c r="AL332" s="10">
        <f t="shared" si="209"/>
        <v>4514.5327243500342</v>
      </c>
      <c r="AM332" s="10">
        <f t="shared" si="209"/>
        <v>4514.5327243500342</v>
      </c>
      <c r="AN332" s="27">
        <f t="shared" si="209"/>
        <v>54174.39269220041</v>
      </c>
      <c r="AO332" s="28" t="e">
        <f>SUMIF('[3]2025B and 2025F Details'!$AU:$AU,AP332,'[3]2025B and 2025F Details'!$BH:$BH)</f>
        <v>#VALUE!</v>
      </c>
      <c r="AP332" t="s">
        <v>702</v>
      </c>
      <c r="AS332" t="str">
        <f>_xlfn.XLOOKUP(AU332,[2]GAE!HZ:HZ,[2]GAE!IA:IA)</f>
        <v>IS &amp; IT</v>
      </c>
      <c r="AT332" t="str">
        <f>_xlfn.XLOOKUP(AU332,[2]GAE!HZ:HZ,[2]GAE!IB:IB)</f>
        <v>GAE- Systems &amp; Applications</v>
      </c>
      <c r="AU332" t="s">
        <v>593</v>
      </c>
      <c r="AV332">
        <v>80124101</v>
      </c>
      <c r="AW332">
        <v>61711102</v>
      </c>
      <c r="AX332" t="str">
        <f>_xlfn.XLOOKUP(AU332,[2]GAE!HZ:HZ,[2]GAE!IF:IF)</f>
        <v>Systems &amp; Applications</v>
      </c>
      <c r="BF332" t="s">
        <v>612</v>
      </c>
      <c r="BG332" s="37" t="s">
        <v>702</v>
      </c>
      <c r="BH332" s="10">
        <f>SUMIFS('[1]2026'!$K:$K,'[1]2026'!$T:$T,BD332,'[1]2026'!$S:$S,BH$3,'[1]2026'!$P:$P,AU332)</f>
        <v>0</v>
      </c>
      <c r="BI332" s="10">
        <f>SUMIFS('[1]2026'!$K:$K,'[1]2026'!$T:$T,$BD332,'[1]2026'!$S:$S,BI$3,'[1]2026'!$P:$P,$AU332)</f>
        <v>0</v>
      </c>
      <c r="BJ332" s="10">
        <f>SUMIFS('[1]2026'!$K:$K,'[1]2026'!$T:$T,$BD332,'[1]2026'!$S:$S,BJ$3,'[1]2026'!$P:$P,$AU332)</f>
        <v>0</v>
      </c>
      <c r="BK332" s="10">
        <f>SUMIFS('[1]2026'!$K:$K,'[1]2026'!$T:$T,$BD332,'[1]2026'!$S:$S,BK$3,'[1]2026'!$P:$P,$AU332)</f>
        <v>0</v>
      </c>
      <c r="BL332" s="10">
        <f>SUMIFS('[1]2026'!$K:$K,'[1]2026'!$T:$T,$BD332,'[1]2026'!$S:$S,BL$3,'[1]2026'!$P:$P,$AU332)</f>
        <v>0</v>
      </c>
      <c r="BM332" s="10">
        <f>SUMIFS('[1]2026'!$K:$K,'[1]2026'!$T:$T,$BD332,'[1]2026'!$S:$S,BM$3,'[1]2026'!$P:$P,$AU332)</f>
        <v>0</v>
      </c>
      <c r="BN332" s="10">
        <f>SUMIFS('[1]2026'!$K:$K,'[1]2026'!$T:$T,$BD332,'[1]2026'!$S:$S,BN$3,'[1]2026'!$P:$P,$AU332)</f>
        <v>0</v>
      </c>
      <c r="BO332" s="10">
        <f>SUMIFS('[1]2026'!$K:$K,'[1]2026'!$T:$T,$BD332,'[1]2026'!$S:$S,BO$3,'[1]2026'!$P:$P,$AU332)</f>
        <v>0</v>
      </c>
      <c r="BP332" s="6">
        <f t="shared" si="193"/>
        <v>0</v>
      </c>
      <c r="BQ332" s="6">
        <f t="shared" si="193"/>
        <v>0</v>
      </c>
      <c r="BR332" s="6">
        <f t="shared" si="193"/>
        <v>0</v>
      </c>
      <c r="BS332" s="6">
        <f t="shared" si="193"/>
        <v>0</v>
      </c>
      <c r="BT332" s="6">
        <f t="shared" si="162"/>
        <v>0</v>
      </c>
      <c r="BV332" s="6">
        <f t="shared" si="195"/>
        <v>-4514.5327243500342</v>
      </c>
      <c r="BW332" s="6">
        <f t="shared" si="196"/>
        <v>-4514.5327243500342</v>
      </c>
      <c r="BX332" s="6">
        <f t="shared" si="197"/>
        <v>-4514.5327243500342</v>
      </c>
      <c r="BY332" s="6">
        <f t="shared" si="198"/>
        <v>-4514.5327243500342</v>
      </c>
      <c r="BZ332" s="6">
        <f t="shared" si="199"/>
        <v>-4514.5327243500342</v>
      </c>
      <c r="CA332" s="6">
        <f t="shared" si="200"/>
        <v>-4514.5327243500342</v>
      </c>
      <c r="CB332" s="6">
        <f t="shared" si="201"/>
        <v>-4514.5327243500342</v>
      </c>
      <c r="CC332" s="6">
        <f t="shared" si="202"/>
        <v>-4514.5327243500342</v>
      </c>
      <c r="CD332" s="6">
        <f t="shared" si="203"/>
        <v>-4514.5327243500342</v>
      </c>
      <c r="CE332" s="6">
        <f t="shared" si="204"/>
        <v>-4514.5327243500342</v>
      </c>
      <c r="CF332" s="6">
        <f t="shared" si="205"/>
        <v>-4514.5327243500342</v>
      </c>
      <c r="CG332" s="6">
        <f t="shared" si="206"/>
        <v>-4514.5327243500342</v>
      </c>
      <c r="CH332" s="6">
        <f t="shared" si="164"/>
        <v>-54174.39269220041</v>
      </c>
    </row>
    <row r="333" spans="1:86" x14ac:dyDescent="0.35">
      <c r="A333" s="3" t="s">
        <v>703</v>
      </c>
      <c r="E333" s="10">
        <v>700000</v>
      </c>
      <c r="N333" s="27">
        <f t="shared" si="207"/>
        <v>700000</v>
      </c>
      <c r="O333" s="38"/>
      <c r="P333" s="38"/>
      <c r="Q333" s="38"/>
      <c r="R333" s="38">
        <v>27622.78573510129</v>
      </c>
      <c r="S333" s="38"/>
      <c r="T333" s="38"/>
      <c r="U333" s="38"/>
      <c r="V333" s="38"/>
      <c r="W333" s="38"/>
      <c r="X333" s="38"/>
      <c r="Y333" s="38"/>
      <c r="Z333" s="38"/>
      <c r="AA333" s="27">
        <f t="shared" si="208"/>
        <v>27622.78573510129</v>
      </c>
      <c r="AB333" s="10">
        <f t="shared" si="209"/>
        <v>0</v>
      </c>
      <c r="AC333" s="10">
        <f t="shared" si="209"/>
        <v>0</v>
      </c>
      <c r="AD333" s="10">
        <f t="shared" si="209"/>
        <v>0</v>
      </c>
      <c r="AE333" s="10">
        <f t="shared" si="209"/>
        <v>672377.21426489868</v>
      </c>
      <c r="AF333" s="10">
        <f t="shared" si="209"/>
        <v>0</v>
      </c>
      <c r="AG333" s="10">
        <f t="shared" si="209"/>
        <v>0</v>
      </c>
      <c r="AH333" s="10">
        <f t="shared" si="209"/>
        <v>0</v>
      </c>
      <c r="AI333" s="10">
        <f t="shared" si="209"/>
        <v>0</v>
      </c>
      <c r="AJ333" s="10">
        <f t="shared" si="209"/>
        <v>0</v>
      </c>
      <c r="AK333" s="10">
        <f t="shared" si="209"/>
        <v>0</v>
      </c>
      <c r="AL333" s="10">
        <f t="shared" si="209"/>
        <v>0</v>
      </c>
      <c r="AM333" s="10">
        <f t="shared" si="209"/>
        <v>0</v>
      </c>
      <c r="AN333" s="27">
        <f t="shared" si="209"/>
        <v>672377.21426489868</v>
      </c>
      <c r="AO333" s="28" t="e">
        <f>SUMIF('[3]2025B and 2025F Details'!$AU:$AU,AP333,'[3]2025B and 2025F Details'!$BH:$BH)</f>
        <v>#VALUE!</v>
      </c>
      <c r="AP333" t="s">
        <v>704</v>
      </c>
      <c r="AS333" t="str">
        <f>_xlfn.XLOOKUP(AU333,[2]GAE!HZ:HZ,[2]GAE!IA:IA)</f>
        <v>IS &amp; IT</v>
      </c>
      <c r="AT333" t="str">
        <f>_xlfn.XLOOKUP(AU333,[2]GAE!HZ:HZ,[2]GAE!IB:IB)</f>
        <v>GAE- Systems &amp; Applications</v>
      </c>
      <c r="AU333" t="s">
        <v>593</v>
      </c>
      <c r="AV333">
        <v>80124101</v>
      </c>
      <c r="AW333">
        <v>61711102</v>
      </c>
      <c r="AX333" t="str">
        <f>_xlfn.XLOOKUP(AU333,[2]GAE!HZ:HZ,[2]GAE!IF:IF)</f>
        <v>Systems &amp; Applications</v>
      </c>
      <c r="BF333" t="s">
        <v>612</v>
      </c>
      <c r="BG333" s="37" t="s">
        <v>705</v>
      </c>
      <c r="BH333" s="10">
        <f>SUMIFS('[1]2026'!$K:$K,'[1]2026'!$T:$T,BD333,'[1]2026'!$S:$S,BH$3,'[1]2026'!$P:$P,AU333)</f>
        <v>0</v>
      </c>
      <c r="BI333" s="10">
        <f>SUMIFS('[1]2026'!$K:$K,'[1]2026'!$T:$T,$BD333,'[1]2026'!$S:$S,BI$3,'[1]2026'!$P:$P,$AU333)</f>
        <v>0</v>
      </c>
      <c r="BJ333" s="10">
        <f>SUMIFS('[1]2026'!$K:$K,'[1]2026'!$T:$T,$BD333,'[1]2026'!$S:$S,BJ$3,'[1]2026'!$P:$P,$AU333)</f>
        <v>0</v>
      </c>
      <c r="BK333" s="10">
        <f>SUMIFS('[1]2026'!$K:$K,'[1]2026'!$T:$T,$BD333,'[1]2026'!$S:$S,BK$3,'[1]2026'!$P:$P,$AU333)</f>
        <v>0</v>
      </c>
      <c r="BL333" s="10">
        <f>SUMIFS('[1]2026'!$K:$K,'[1]2026'!$T:$T,$BD333,'[1]2026'!$S:$S,BL$3,'[1]2026'!$P:$P,$AU333)</f>
        <v>0</v>
      </c>
      <c r="BM333" s="10">
        <f>SUMIFS('[1]2026'!$K:$K,'[1]2026'!$T:$T,$BD333,'[1]2026'!$S:$S,BM$3,'[1]2026'!$P:$P,$AU333)</f>
        <v>0</v>
      </c>
      <c r="BN333" s="10">
        <f>SUMIFS('[1]2026'!$K:$K,'[1]2026'!$T:$T,$BD333,'[1]2026'!$S:$S,BN$3,'[1]2026'!$P:$P,$AU333)</f>
        <v>0</v>
      </c>
      <c r="BO333" s="10">
        <f>SUMIFS('[1]2026'!$K:$K,'[1]2026'!$T:$T,$BD333,'[1]2026'!$S:$S,BO$3,'[1]2026'!$P:$P,$AU333)</f>
        <v>0</v>
      </c>
      <c r="BP333" s="6">
        <f t="shared" si="193"/>
        <v>0</v>
      </c>
      <c r="BQ333" s="6">
        <f t="shared" si="193"/>
        <v>0</v>
      </c>
      <c r="BR333" s="6">
        <f t="shared" si="193"/>
        <v>0</v>
      </c>
      <c r="BS333" s="6">
        <f t="shared" si="193"/>
        <v>0</v>
      </c>
      <c r="BT333" s="6">
        <f t="shared" si="162"/>
        <v>0</v>
      </c>
      <c r="BV333" s="6">
        <f t="shared" si="195"/>
        <v>0</v>
      </c>
      <c r="BW333" s="6">
        <f t="shared" si="196"/>
        <v>0</v>
      </c>
      <c r="BX333" s="6">
        <f t="shared" si="197"/>
        <v>0</v>
      </c>
      <c r="BY333" s="6">
        <f t="shared" si="198"/>
        <v>-672377.21426489868</v>
      </c>
      <c r="BZ333" s="6">
        <f t="shared" si="199"/>
        <v>0</v>
      </c>
      <c r="CA333" s="6">
        <f t="shared" si="200"/>
        <v>0</v>
      </c>
      <c r="CB333" s="6">
        <f t="shared" si="201"/>
        <v>0</v>
      </c>
      <c r="CC333" s="6">
        <f t="shared" si="202"/>
        <v>0</v>
      </c>
      <c r="CD333" s="6">
        <f t="shared" si="203"/>
        <v>0</v>
      </c>
      <c r="CE333" s="6">
        <f t="shared" si="204"/>
        <v>0</v>
      </c>
      <c r="CF333" s="6">
        <f t="shared" si="205"/>
        <v>0</v>
      </c>
      <c r="CG333" s="6">
        <f t="shared" si="206"/>
        <v>0</v>
      </c>
      <c r="CH333" s="6">
        <f t="shared" si="164"/>
        <v>-672377.21426489868</v>
      </c>
    </row>
    <row r="334" spans="1:86" x14ac:dyDescent="0.35">
      <c r="A334" s="3" t="s">
        <v>706</v>
      </c>
      <c r="H334" s="10">
        <v>15000</v>
      </c>
      <c r="N334" s="27">
        <f t="shared" si="207"/>
        <v>15000</v>
      </c>
      <c r="O334" s="38"/>
      <c r="P334" s="38"/>
      <c r="Q334" s="38"/>
      <c r="R334" s="38"/>
      <c r="S334" s="38"/>
      <c r="T334" s="38"/>
      <c r="U334" s="38">
        <v>591.91683718074205</v>
      </c>
      <c r="V334" s="38"/>
      <c r="W334" s="38"/>
      <c r="X334" s="38"/>
      <c r="Y334" s="38"/>
      <c r="Z334" s="38"/>
      <c r="AA334" s="27">
        <f t="shared" si="208"/>
        <v>591.91683718074205</v>
      </c>
      <c r="AB334" s="10">
        <f t="shared" si="209"/>
        <v>0</v>
      </c>
      <c r="AC334" s="10">
        <f t="shared" si="209"/>
        <v>0</v>
      </c>
      <c r="AD334" s="10">
        <f t="shared" si="209"/>
        <v>0</v>
      </c>
      <c r="AE334" s="10">
        <f t="shared" si="209"/>
        <v>0</v>
      </c>
      <c r="AF334" s="10">
        <f t="shared" si="209"/>
        <v>0</v>
      </c>
      <c r="AG334" s="10">
        <f t="shared" si="209"/>
        <v>0</v>
      </c>
      <c r="AH334" s="10">
        <f t="shared" si="209"/>
        <v>14408.083162819257</v>
      </c>
      <c r="AI334" s="10">
        <f t="shared" si="209"/>
        <v>0</v>
      </c>
      <c r="AJ334" s="10">
        <f t="shared" si="209"/>
        <v>0</v>
      </c>
      <c r="AK334" s="10">
        <f t="shared" si="209"/>
        <v>0</v>
      </c>
      <c r="AL334" s="10">
        <f t="shared" si="209"/>
        <v>0</v>
      </c>
      <c r="AM334" s="10">
        <f t="shared" si="209"/>
        <v>0</v>
      </c>
      <c r="AN334" s="27">
        <f t="shared" si="209"/>
        <v>14408.083162819257</v>
      </c>
      <c r="AO334" s="28" t="e">
        <f>SUMIF('[3]2025B and 2025F Details'!$AU:$AU,AP334,'[3]2025B and 2025F Details'!$BH:$BH)</f>
        <v>#VALUE!</v>
      </c>
      <c r="AP334" t="s">
        <v>81</v>
      </c>
      <c r="AS334" t="str">
        <f>_xlfn.XLOOKUP(AU334,[2]GAE!HZ:HZ,[2]GAE!IA:IA)</f>
        <v>IS &amp; IT</v>
      </c>
      <c r="AT334" t="str">
        <f>_xlfn.XLOOKUP(AU334,[2]GAE!HZ:HZ,[2]GAE!IB:IB)</f>
        <v>GAE- Systems &amp; Applications</v>
      </c>
      <c r="AU334" t="s">
        <v>593</v>
      </c>
      <c r="AV334">
        <v>80124101</v>
      </c>
      <c r="AW334">
        <v>61711102</v>
      </c>
      <c r="AX334" t="str">
        <f>_xlfn.XLOOKUP(AU334,[2]GAE!HZ:HZ,[2]GAE!IF:IF)</f>
        <v>Systems &amp; Applications</v>
      </c>
      <c r="BF334" t="s">
        <v>612</v>
      </c>
      <c r="BG334" s="37" t="s">
        <v>81</v>
      </c>
      <c r="BH334" s="10">
        <f>SUMIFS('[1]2026'!$K:$K,'[1]2026'!$T:$T,BD334,'[1]2026'!$S:$S,BH$3,'[1]2026'!$P:$P,AU334)</f>
        <v>0</v>
      </c>
      <c r="BI334" s="10">
        <f>SUMIFS('[1]2026'!$K:$K,'[1]2026'!$T:$T,$BD334,'[1]2026'!$S:$S,BI$3,'[1]2026'!$P:$P,$AU334)</f>
        <v>0</v>
      </c>
      <c r="BJ334" s="10">
        <f>SUMIFS('[1]2026'!$K:$K,'[1]2026'!$T:$T,$BD334,'[1]2026'!$S:$S,BJ$3,'[1]2026'!$P:$P,$AU334)</f>
        <v>0</v>
      </c>
      <c r="BK334" s="10">
        <f>SUMIFS('[1]2026'!$K:$K,'[1]2026'!$T:$T,$BD334,'[1]2026'!$S:$S,BK$3,'[1]2026'!$P:$P,$AU334)</f>
        <v>0</v>
      </c>
      <c r="BL334" s="10">
        <f>SUMIFS('[1]2026'!$K:$K,'[1]2026'!$T:$T,$BD334,'[1]2026'!$S:$S,BL$3,'[1]2026'!$P:$P,$AU334)</f>
        <v>0</v>
      </c>
      <c r="BM334" s="10">
        <f>SUMIFS('[1]2026'!$K:$K,'[1]2026'!$T:$T,$BD334,'[1]2026'!$S:$S,BM$3,'[1]2026'!$P:$P,$AU334)</f>
        <v>0</v>
      </c>
      <c r="BN334" s="10">
        <f>SUMIFS('[1]2026'!$K:$K,'[1]2026'!$T:$T,$BD334,'[1]2026'!$S:$S,BN$3,'[1]2026'!$P:$P,$AU334)</f>
        <v>0</v>
      </c>
      <c r="BO334" s="10">
        <f>SUMIFS('[1]2026'!$K:$K,'[1]2026'!$T:$T,$BD334,'[1]2026'!$S:$S,BO$3,'[1]2026'!$P:$P,$AU334)</f>
        <v>0</v>
      </c>
      <c r="BP334" s="6">
        <f t="shared" ref="BP334:BS334" si="210">BO334</f>
        <v>0</v>
      </c>
      <c r="BQ334" s="6">
        <f t="shared" si="210"/>
        <v>0</v>
      </c>
      <c r="BR334" s="6">
        <f t="shared" si="210"/>
        <v>0</v>
      </c>
      <c r="BS334" s="6">
        <f t="shared" si="210"/>
        <v>0</v>
      </c>
      <c r="BT334" s="6">
        <f t="shared" si="162"/>
        <v>0</v>
      </c>
      <c r="BV334" s="6">
        <f t="shared" si="195"/>
        <v>0</v>
      </c>
      <c r="BW334" s="6">
        <f t="shared" si="196"/>
        <v>0</v>
      </c>
      <c r="BX334" s="6">
        <f t="shared" si="197"/>
        <v>0</v>
      </c>
      <c r="BY334" s="6">
        <f t="shared" si="198"/>
        <v>0</v>
      </c>
      <c r="BZ334" s="6">
        <f t="shared" si="199"/>
        <v>0</v>
      </c>
      <c r="CA334" s="6">
        <f t="shared" si="200"/>
        <v>0</v>
      </c>
      <c r="CB334" s="6">
        <f t="shared" si="201"/>
        <v>-14408.083162819257</v>
      </c>
      <c r="CC334" s="6">
        <f t="shared" si="202"/>
        <v>0</v>
      </c>
      <c r="CD334" s="6">
        <f t="shared" si="203"/>
        <v>0</v>
      </c>
      <c r="CE334" s="6">
        <f t="shared" si="204"/>
        <v>0</v>
      </c>
      <c r="CF334" s="6">
        <f t="shared" si="205"/>
        <v>0</v>
      </c>
      <c r="CG334" s="6">
        <f t="shared" si="206"/>
        <v>0</v>
      </c>
      <c r="CH334" s="6">
        <f t="shared" si="164"/>
        <v>-14408.083162819257</v>
      </c>
    </row>
    <row r="335" spans="1:86" hidden="1" x14ac:dyDescent="0.35">
      <c r="A335" s="3" t="s">
        <v>81</v>
      </c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N335" s="27">
        <f>N335-AA335</f>
        <v>0</v>
      </c>
      <c r="AS335" t="str">
        <f>_xlfn.XLOOKUP(AU335,[2]GAE!HZ:HZ,[2]GAE!IA:IA)</f>
        <v>IS &amp; IT</v>
      </c>
      <c r="AT335" t="str">
        <f>_xlfn.XLOOKUP(AU335,[2]GAE!HZ:HZ,[2]GAE!IB:IB)</f>
        <v>DOE - Systems and Applications</v>
      </c>
      <c r="AU335" s="2" t="s">
        <v>707</v>
      </c>
      <c r="AV335" s="2">
        <v>90124101</v>
      </c>
      <c r="AW335" s="2">
        <v>52952103</v>
      </c>
      <c r="AX335" t="str">
        <f>_xlfn.XLOOKUP(AU335,[2]GAE!HZ:HZ,[2]GAE!IF:IF)</f>
        <v>Systems &amp; Applications</v>
      </c>
      <c r="BC335" t="s">
        <v>81</v>
      </c>
      <c r="BD335" t="s">
        <v>81</v>
      </c>
      <c r="BF335" t="s">
        <v>612</v>
      </c>
      <c r="BG335" s="37" t="s">
        <v>81</v>
      </c>
      <c r="BM335" s="10">
        <f>SUMIFS('[1]2026'!$K:$K,'[1]2026'!$T:$T,$BD335,'[1]2026'!$S:$S,BM$3,'[1]2026'!$P:$P,$AU335)</f>
        <v>4029.9</v>
      </c>
      <c r="BN335" s="10">
        <f>SUMIFS('[1]2026'!$K:$K,'[1]2026'!$T:$T,$BD335,'[1]2026'!$S:$S,BN$3,'[1]2026'!$P:$P,$AU335)</f>
        <v>0</v>
      </c>
      <c r="BO335" s="10">
        <f>SUMIFS('[1]2026'!$K:$K,'[1]2026'!$T:$T,$BD335,'[1]2026'!$S:$S,BO$3,'[1]2026'!$P:$P,$AU335)</f>
        <v>0</v>
      </c>
      <c r="BP335" s="6"/>
      <c r="BQ335" s="6"/>
      <c r="BR335" s="6"/>
      <c r="BS335" s="6"/>
      <c r="BT335" s="6">
        <f t="shared" si="162"/>
        <v>4029.9</v>
      </c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>
        <f t="shared" si="164"/>
        <v>4029.9</v>
      </c>
    </row>
    <row r="336" spans="1:86" hidden="1" x14ac:dyDescent="0.35">
      <c r="A336" s="3" t="s">
        <v>708</v>
      </c>
      <c r="B336" s="10">
        <v>80000</v>
      </c>
      <c r="C336" s="10">
        <v>80000</v>
      </c>
      <c r="D336" s="10">
        <v>80000</v>
      </c>
      <c r="E336" s="10">
        <v>80000</v>
      </c>
      <c r="F336" s="10">
        <v>80000</v>
      </c>
      <c r="G336" s="10">
        <v>80000</v>
      </c>
      <c r="H336" s="10">
        <v>80000</v>
      </c>
      <c r="I336" s="10">
        <v>80000</v>
      </c>
      <c r="J336" s="10">
        <v>80000</v>
      </c>
      <c r="K336" s="10">
        <v>80000</v>
      </c>
      <c r="L336" s="10">
        <v>80000</v>
      </c>
      <c r="M336" s="10">
        <v>80000</v>
      </c>
      <c r="N336" s="27">
        <f t="shared" si="207"/>
        <v>960000</v>
      </c>
      <c r="O336" s="38">
        <v>3156.8897982972903</v>
      </c>
      <c r="P336" s="38">
        <v>3156.8897982972903</v>
      </c>
      <c r="Q336" s="38">
        <v>3156.8897982972903</v>
      </c>
      <c r="R336" s="38">
        <v>3156.8897982972903</v>
      </c>
      <c r="S336" s="38">
        <v>3156.8897982972903</v>
      </c>
      <c r="T336" s="38">
        <v>3156.8897982972903</v>
      </c>
      <c r="U336" s="38">
        <v>3156.8897982972903</v>
      </c>
      <c r="V336" s="38">
        <v>3156.8897982972903</v>
      </c>
      <c r="W336" s="38">
        <v>3156.8897982972903</v>
      </c>
      <c r="X336" s="38">
        <v>3156.8897982972903</v>
      </c>
      <c r="Y336" s="38">
        <v>3156.8897982972903</v>
      </c>
      <c r="Z336" s="38">
        <v>3156.8897982972903</v>
      </c>
      <c r="AA336" s="27">
        <f t="shared" si="208"/>
        <v>37882.677579567491</v>
      </c>
      <c r="AB336" s="10">
        <f t="shared" si="209"/>
        <v>76843.110201702715</v>
      </c>
      <c r="AC336" s="10">
        <f t="shared" si="209"/>
        <v>76843.110201702715</v>
      </c>
      <c r="AD336" s="10">
        <f t="shared" si="209"/>
        <v>76843.110201702715</v>
      </c>
      <c r="AE336" s="10">
        <f t="shared" si="209"/>
        <v>76843.110201702715</v>
      </c>
      <c r="AF336" s="10">
        <f t="shared" si="209"/>
        <v>76843.110201702715</v>
      </c>
      <c r="AG336" s="10">
        <f t="shared" si="209"/>
        <v>76843.110201702715</v>
      </c>
      <c r="AH336" s="10">
        <f t="shared" si="209"/>
        <v>76843.110201702715</v>
      </c>
      <c r="AI336" s="10">
        <f t="shared" si="209"/>
        <v>76843.110201702715</v>
      </c>
      <c r="AJ336" s="10">
        <f t="shared" si="209"/>
        <v>76843.110201702715</v>
      </c>
      <c r="AK336" s="10">
        <f t="shared" si="209"/>
        <v>76843.110201702715</v>
      </c>
      <c r="AL336" s="10">
        <f t="shared" si="209"/>
        <v>76843.110201702715</v>
      </c>
      <c r="AM336" s="10">
        <f t="shared" si="209"/>
        <v>76843.110201702715</v>
      </c>
      <c r="AN336" s="27">
        <f t="shared" si="209"/>
        <v>922117.32242043247</v>
      </c>
      <c r="AO336" s="28" t="e">
        <f>SUMIF('[3]2025B and 2025F Details'!$AU:$AU,AP336,'[3]2025B and 2025F Details'!$BH:$BH)</f>
        <v>#VALUE!</v>
      </c>
      <c r="AP336" t="s">
        <v>82</v>
      </c>
      <c r="AS336" t="str">
        <f>_xlfn.XLOOKUP(AU336,[2]GAE!HZ:HZ,[2]GAE!IA:IA)</f>
        <v>IS &amp; IT</v>
      </c>
      <c r="AT336" t="str">
        <f>_xlfn.XLOOKUP(AU336,[2]GAE!HZ:HZ,[2]GAE!IB:IB)</f>
        <v>DOE - Systems and Applications</v>
      </c>
      <c r="AU336" t="s">
        <v>594</v>
      </c>
      <c r="AV336">
        <v>81124101</v>
      </c>
      <c r="AW336">
        <v>52952103</v>
      </c>
      <c r="AX336" t="str">
        <f>_xlfn.XLOOKUP(AU336,[2]GAE!HZ:HZ,[2]GAE!IF:IF)</f>
        <v>Systems &amp; Applications</v>
      </c>
      <c r="BC336" t="s">
        <v>83</v>
      </c>
      <c r="BD336" s="2" t="s">
        <v>709</v>
      </c>
      <c r="BE336" s="2"/>
      <c r="BF336" t="s">
        <v>710</v>
      </c>
      <c r="BG336" s="37" t="s">
        <v>83</v>
      </c>
      <c r="BH336" s="10">
        <f>SUMIFS('[1]2026'!$K:$K,'[1]2026'!$T:$T,BD336,'[1]2026'!$S:$S,BH$3,'[1]2026'!$P:$P,AU336)</f>
        <v>0</v>
      </c>
      <c r="BI336" s="10">
        <f>SUMIFS('[1]2026'!$K:$K,'[1]2026'!$T:$T,$BD336,'[1]2026'!$S:$S,BI$3,'[1]2026'!$P:$P,$AU336)</f>
        <v>14558.28</v>
      </c>
      <c r="BJ336" s="10">
        <f>SUMIFS('[1]2026'!$K:$K,'[1]2026'!$T:$T,$BD336,'[1]2026'!$S:$S,BJ$3,'[1]2026'!$P:$P,$AU336)</f>
        <v>14317.2</v>
      </c>
      <c r="BK336" s="10">
        <f>SUMIFS('[1]2026'!$K:$K,'[1]2026'!$T:$T,$BD336,'[1]2026'!$S:$S,BK$3,'[1]2026'!$P:$P,$AU336)</f>
        <v>14877.59</v>
      </c>
      <c r="BL336" s="10">
        <f>SUMIFS('[1]2026'!$K:$K,'[1]2026'!$T:$T,$BD336,'[1]2026'!$S:$S,BL$3,'[1]2026'!$P:$P,$AU336)</f>
        <v>10692.94</v>
      </c>
      <c r="BM336" s="10">
        <f>SUMIFS('[1]2026'!$K:$K,'[1]2026'!$T:$T,$BD336,'[1]2026'!$S:$S,BM$3,'[1]2026'!$P:$P,$AU336)</f>
        <v>9485.2999999999993</v>
      </c>
      <c r="BN336" s="10">
        <f>SUMIFS('[1]2026'!$K:$K,'[1]2026'!$T:$T,$BD336,'[1]2026'!$S:$S,BN$3,'[1]2026'!$P:$P,$AU336)</f>
        <v>9444.1</v>
      </c>
      <c r="BO336" s="10">
        <f>SUMIFS('[1]2026'!$K:$K,'[1]2026'!$T:$T,$BD336,'[1]2026'!$S:$S,BO$3,'[1]2026'!$P:$P,$AU336)</f>
        <v>6344.34</v>
      </c>
      <c r="BP336" s="6">
        <v>10000</v>
      </c>
      <c r="BQ336" s="6">
        <v>10000</v>
      </c>
      <c r="BR336" s="6">
        <v>10000</v>
      </c>
      <c r="BS336" s="6">
        <v>10000</v>
      </c>
      <c r="BT336" s="6">
        <f t="shared" si="162"/>
        <v>119719.75000000001</v>
      </c>
      <c r="BV336" s="6">
        <f t="shared" ref="BV336:CG337" si="211">BH336-AB336</f>
        <v>-76843.110201702715</v>
      </c>
      <c r="BW336" s="6">
        <f t="shared" si="211"/>
        <v>-62284.830201702716</v>
      </c>
      <c r="BX336" s="6">
        <f t="shared" si="211"/>
        <v>-62525.910201702718</v>
      </c>
      <c r="BY336" s="6">
        <f t="shared" si="211"/>
        <v>-61965.520201702719</v>
      </c>
      <c r="BZ336" s="6">
        <f t="shared" si="211"/>
        <v>-66150.170201702713</v>
      </c>
      <c r="CA336" s="6">
        <f t="shared" si="211"/>
        <v>-67357.810201702712</v>
      </c>
      <c r="CB336" s="6">
        <f t="shared" si="211"/>
        <v>-67399.010201702709</v>
      </c>
      <c r="CC336" s="6">
        <f t="shared" si="211"/>
        <v>-70498.770201702719</v>
      </c>
      <c r="CD336" s="6">
        <f t="shared" si="211"/>
        <v>-66843.110201702715</v>
      </c>
      <c r="CE336" s="6">
        <f t="shared" si="211"/>
        <v>-66843.110201702715</v>
      </c>
      <c r="CF336" s="6">
        <f t="shared" si="211"/>
        <v>-66843.110201702715</v>
      </c>
      <c r="CG336" s="6">
        <f t="shared" si="211"/>
        <v>-66843.110201702715</v>
      </c>
      <c r="CH336" s="6">
        <f t="shared" si="164"/>
        <v>-802397.57242043247</v>
      </c>
    </row>
    <row r="337" spans="1:86" hidden="1" x14ac:dyDescent="0.35"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N337" s="27">
        <f t="shared" si="209"/>
        <v>0</v>
      </c>
      <c r="AS337" t="str">
        <f>_xlfn.XLOOKUP(AU337,[2]GAE!HZ:HZ,[2]GAE!IA:IA)</f>
        <v>IS &amp; IT</v>
      </c>
      <c r="AT337" t="str">
        <f>_xlfn.XLOOKUP(AU337,[2]GAE!HZ:HZ,[2]GAE!IB:IB)</f>
        <v>DOE - Systems and Applications</v>
      </c>
      <c r="AU337" s="2" t="s">
        <v>594</v>
      </c>
      <c r="AV337" s="2">
        <v>81124101</v>
      </c>
      <c r="AW337" s="2">
        <v>52952103</v>
      </c>
      <c r="AX337" t="str">
        <f>_xlfn.XLOOKUP(AU337,[2]GAE!HZ:HZ,[2]GAE!IF:IF)</f>
        <v>Systems &amp; Applications</v>
      </c>
      <c r="BC337" t="s">
        <v>83</v>
      </c>
      <c r="BD337" s="2" t="s">
        <v>711</v>
      </c>
      <c r="BE337" s="2"/>
      <c r="BF337" t="s">
        <v>710</v>
      </c>
      <c r="BG337" s="37" t="s">
        <v>83</v>
      </c>
      <c r="BH337" s="10">
        <f>SUMIFS('[1]2026'!$K:$K,'[1]2026'!$T:$T,BD337,'[1]2026'!$S:$S,BH$3,'[1]2026'!$P:$P,AU337)</f>
        <v>0</v>
      </c>
      <c r="BI337" s="10">
        <f>SUMIFS('[1]2026'!$K:$K,'[1]2026'!$T:$T,$BD337,'[1]2026'!$S:$S,BI$3,'[1]2026'!$P:$P,$AU337)</f>
        <v>0</v>
      </c>
      <c r="BJ337" s="10">
        <f>SUMIFS('[1]2026'!$K:$K,'[1]2026'!$T:$T,$BD337,'[1]2026'!$S:$S,BJ$3,'[1]2026'!$P:$P,$AU337)</f>
        <v>0</v>
      </c>
      <c r="BK337" s="10">
        <f>SUMIFS('[1]2026'!$K:$K,'[1]2026'!$T:$T,$BD337,'[1]2026'!$S:$S,BK$3,'[1]2026'!$P:$P,$AU337)</f>
        <v>0</v>
      </c>
      <c r="BL337" s="10">
        <f>SUMIFS('[1]2026'!$K:$K,'[1]2026'!$T:$T,$BD337,'[1]2026'!$S:$S,BL$3,'[1]2026'!$P:$P,$AU337)</f>
        <v>0</v>
      </c>
      <c r="BM337" s="10">
        <f>SUMIFS('[1]2026'!$K:$K,'[1]2026'!$T:$T,$BD337,'[1]2026'!$S:$S,BM$3,'[1]2026'!$P:$P,$AU337)</f>
        <v>7109.31</v>
      </c>
      <c r="BN337" s="10">
        <f>SUMIFS('[1]2026'!$K:$K,'[1]2026'!$T:$T,$BD337,'[1]2026'!$S:$S,BN$3,'[1]2026'!$P:$P,$AU337)</f>
        <v>16997.82</v>
      </c>
      <c r="BO337" s="10">
        <f>SUMIFS('[1]2026'!$K:$K,'[1]2026'!$T:$T,$BD337,'[1]2026'!$S:$S,BO$3,'[1]2026'!$P:$P,$AU337)</f>
        <v>24191.149999999998</v>
      </c>
      <c r="BP337" s="6">
        <v>20000</v>
      </c>
      <c r="BQ337" s="6">
        <v>20000</v>
      </c>
      <c r="BR337" s="6">
        <v>20000</v>
      </c>
      <c r="BS337" s="6">
        <v>20000</v>
      </c>
      <c r="BT337" s="6">
        <f t="shared" si="162"/>
        <v>128298.28</v>
      </c>
      <c r="BV337" s="6">
        <f t="shared" si="211"/>
        <v>0</v>
      </c>
      <c r="BW337" s="6">
        <f t="shared" si="211"/>
        <v>0</v>
      </c>
      <c r="BX337" s="6">
        <f t="shared" si="211"/>
        <v>0</v>
      </c>
      <c r="BY337" s="6">
        <f t="shared" si="211"/>
        <v>0</v>
      </c>
      <c r="BZ337" s="6">
        <f t="shared" si="211"/>
        <v>0</v>
      </c>
      <c r="CA337" s="6">
        <f t="shared" si="211"/>
        <v>7109.31</v>
      </c>
      <c r="CB337" s="6">
        <f t="shared" si="211"/>
        <v>16997.82</v>
      </c>
      <c r="CC337" s="6">
        <f t="shared" si="211"/>
        <v>24191.149999999998</v>
      </c>
      <c r="CD337" s="6">
        <f t="shared" si="211"/>
        <v>20000</v>
      </c>
      <c r="CE337" s="6">
        <f t="shared" si="211"/>
        <v>20000</v>
      </c>
      <c r="CF337" s="6">
        <f t="shared" si="211"/>
        <v>20000</v>
      </c>
      <c r="CG337" s="6">
        <f t="shared" si="211"/>
        <v>20000</v>
      </c>
      <c r="CH337" s="6">
        <f t="shared" ref="CH337:CH372" si="212">BT337-AN337</f>
        <v>128298.28</v>
      </c>
    </row>
    <row r="338" spans="1:86" x14ac:dyDescent="0.35"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N338" s="27">
        <f t="shared" si="209"/>
        <v>0</v>
      </c>
      <c r="AS338" t="str">
        <f>_xlfn.XLOOKUP(AU338,[2]GAE!HZ:HZ,[2]GAE!IA:IA)</f>
        <v>IS &amp; IT</v>
      </c>
      <c r="AT338" t="str">
        <f>_xlfn.XLOOKUP(AU338,[2]GAE!HZ:HZ,[2]GAE!IB:IB)</f>
        <v>GAE- Systems &amp; Applications</v>
      </c>
      <c r="AU338" s="2" t="s">
        <v>593</v>
      </c>
      <c r="AV338" s="2">
        <v>80124101</v>
      </c>
      <c r="AW338" s="2">
        <v>61711102</v>
      </c>
      <c r="AX338" t="str">
        <f>_xlfn.XLOOKUP(AU338,[2]GAE!HZ:HZ,[2]GAE!IF:IF)</f>
        <v>Systems &amp; Applications</v>
      </c>
      <c r="BD338" s="2" t="s">
        <v>711</v>
      </c>
      <c r="BE338" s="2"/>
      <c r="BF338" t="s">
        <v>710</v>
      </c>
      <c r="BG338" s="37" t="s">
        <v>83</v>
      </c>
      <c r="BO338" s="10">
        <f>SUMIFS('[1]2026'!$K:$K,'[1]2026'!$T:$T,$BD338,'[1]2026'!$S:$S,BO$3,'[1]2026'!$P:$P,$AU338)</f>
        <v>20753.62</v>
      </c>
      <c r="BP338" s="6"/>
      <c r="BQ338" s="6"/>
      <c r="BR338" s="6"/>
      <c r="BS338" s="6"/>
      <c r="BT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>
        <f t="shared" si="212"/>
        <v>0</v>
      </c>
    </row>
    <row r="339" spans="1:86" x14ac:dyDescent="0.35"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N339" s="27">
        <f t="shared" si="209"/>
        <v>0</v>
      </c>
      <c r="AS339" t="str">
        <f>_xlfn.XLOOKUP(AU339,[2]GAE!HZ:HZ,[2]GAE!IA:IA)</f>
        <v>IS &amp; IT</v>
      </c>
      <c r="AT339" t="str">
        <f>_xlfn.XLOOKUP(AU339,[2]GAE!HZ:HZ,[2]GAE!IB:IB)</f>
        <v>GAE- Systems &amp; Applications</v>
      </c>
      <c r="AU339" t="s">
        <v>593</v>
      </c>
      <c r="AV339">
        <v>80124101</v>
      </c>
      <c r="AW339">
        <v>61711102</v>
      </c>
      <c r="AX339" t="str">
        <f>_xlfn.XLOOKUP(AU339,[2]GAE!HZ:HZ,[2]GAE!IF:IF)</f>
        <v>Systems &amp; Applications</v>
      </c>
      <c r="BC339" t="s">
        <v>83</v>
      </c>
      <c r="BD339" t="s">
        <v>712</v>
      </c>
      <c r="BF339" t="s">
        <v>710</v>
      </c>
      <c r="BG339" s="37" t="s">
        <v>83</v>
      </c>
      <c r="BH339" s="10">
        <f>SUMIFS('[1]2026'!$K:$K,'[1]2026'!$T:$T,BD339,'[1]2026'!$S:$S,BH$3,'[1]2026'!$P:$P,AU339)</f>
        <v>0</v>
      </c>
      <c r="BI339" s="10">
        <f>SUMIFS('[1]2026'!$K:$K,'[1]2026'!$T:$T,$BD339,'[1]2026'!$S:$S,BI$3,'[1]2026'!$P:$P,$AU339)</f>
        <v>6393.4</v>
      </c>
      <c r="BJ339" s="10">
        <f>SUMIFS('[1]2026'!$K:$K,'[1]2026'!$T:$T,$BD339,'[1]2026'!$S:$S,BJ$3,'[1]2026'!$P:$P,$AU339)</f>
        <v>6407.84</v>
      </c>
      <c r="BK339" s="10">
        <f>SUMIFS('[1]2026'!$K:$K,'[1]2026'!$T:$T,$BD339,'[1]2026'!$S:$S,BK$3,'[1]2026'!$P:$P,$AU339)</f>
        <v>6268.1</v>
      </c>
      <c r="BL339" s="10">
        <f>SUMIFS('[1]2026'!$K:$K,'[1]2026'!$T:$T,$BD339,'[1]2026'!$S:$S,BL$3,'[1]2026'!$P:$P,$AU339)</f>
        <v>6607.44</v>
      </c>
      <c r="BM339" s="10">
        <f>SUMIFS('[1]2026'!$K:$K,'[1]2026'!$T:$T,$BD339,'[1]2026'!$S:$S,BM$3,'[1]2026'!$P:$P,$AU339)</f>
        <v>6694.45</v>
      </c>
      <c r="BN339" s="10">
        <f>SUMIFS('[1]2026'!$K:$K,'[1]2026'!$T:$T,$BD339,'[1]2026'!$S:$S,BN$3,'[1]2026'!$P:$P,$AU339)</f>
        <v>6989.66</v>
      </c>
      <c r="BO339" s="10">
        <f>SUMIFS('[1]2026'!$K:$K,'[1]2026'!$T:$T,$BD339,'[1]2026'!$S:$S,BO$3,'[1]2026'!$P:$P,$AU339)</f>
        <v>8876.0400000000009</v>
      </c>
      <c r="BP339" s="6">
        <v>6694.45</v>
      </c>
      <c r="BQ339" s="6">
        <v>6694.45</v>
      </c>
      <c r="BR339" s="6">
        <v>6694.45</v>
      </c>
      <c r="BS339" s="6">
        <v>6694.45</v>
      </c>
      <c r="BT339" s="6">
        <f t="shared" si="162"/>
        <v>75014.73</v>
      </c>
      <c r="BV339" s="6">
        <f t="shared" ref="BV339:CG339" si="213">BH339-AB339</f>
        <v>0</v>
      </c>
      <c r="BW339" s="6">
        <f t="shared" si="213"/>
        <v>6393.4</v>
      </c>
      <c r="BX339" s="6">
        <f t="shared" si="213"/>
        <v>6407.84</v>
      </c>
      <c r="BY339" s="6">
        <f t="shared" si="213"/>
        <v>6268.1</v>
      </c>
      <c r="BZ339" s="6">
        <f t="shared" si="213"/>
        <v>6607.44</v>
      </c>
      <c r="CA339" s="6">
        <f t="shared" si="213"/>
        <v>6694.45</v>
      </c>
      <c r="CB339" s="6">
        <f t="shared" si="213"/>
        <v>6989.66</v>
      </c>
      <c r="CC339" s="6">
        <f t="shared" si="213"/>
        <v>8876.0400000000009</v>
      </c>
      <c r="CD339" s="6">
        <f t="shared" si="213"/>
        <v>6694.45</v>
      </c>
      <c r="CE339" s="6">
        <f t="shared" si="213"/>
        <v>6694.45</v>
      </c>
      <c r="CF339" s="6">
        <f t="shared" si="213"/>
        <v>6694.45</v>
      </c>
      <c r="CG339" s="6">
        <f t="shared" si="213"/>
        <v>6694.45</v>
      </c>
      <c r="CH339" s="6">
        <f t="shared" si="212"/>
        <v>75014.73</v>
      </c>
    </row>
    <row r="340" spans="1:86" x14ac:dyDescent="0.35"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N340" s="27">
        <f t="shared" si="209"/>
        <v>0</v>
      </c>
      <c r="AS340" t="str">
        <f>_xlfn.XLOOKUP(AU340,[2]GAE!HZ:HZ,[2]GAE!IA:IA)</f>
        <v>IS &amp; IT</v>
      </c>
      <c r="AT340" t="str">
        <f>_xlfn.XLOOKUP(AU340,[2]GAE!HZ:HZ,[2]GAE!IB:IB)</f>
        <v>GAE- Systems &amp; Applications</v>
      </c>
      <c r="AU340" t="s">
        <v>593</v>
      </c>
      <c r="AV340">
        <v>80124101</v>
      </c>
      <c r="AW340">
        <v>61711102</v>
      </c>
      <c r="AX340" t="str">
        <f>_xlfn.XLOOKUP(AU340,[2]GAE!HZ:HZ,[2]GAE!IF:IF)</f>
        <v>Systems &amp; Applications</v>
      </c>
      <c r="BC340" t="s">
        <v>83</v>
      </c>
      <c r="BD340" t="s">
        <v>713</v>
      </c>
      <c r="BF340" t="s">
        <v>710</v>
      </c>
      <c r="BG340" s="37" t="s">
        <v>83</v>
      </c>
      <c r="BH340" s="10">
        <f>SUMIFS('[1]2026'!$K:$K,'[1]2026'!$T:$T,BD340,'[1]2026'!$S:$S,BH$3,'[1]2026'!$P:$P,AU340)</f>
        <v>0</v>
      </c>
      <c r="BI340" s="10">
        <f>SUMIFS('[1]2026'!$K:$K,'[1]2026'!$T:$T,$BD340,'[1]2026'!$S:$S,BI$3,'[1]2026'!$P:$P,$AU340)</f>
        <v>35741.910000000003</v>
      </c>
      <c r="BJ340" s="10">
        <f>SUMIFS('[1]2026'!$K:$K,'[1]2026'!$T:$T,$BD340,'[1]2026'!$S:$S,BJ$3,'[1]2026'!$P:$P,$AU340)</f>
        <v>35287.480000000003</v>
      </c>
      <c r="BK340" s="10">
        <f>SUMIFS('[1]2026'!$K:$K,'[1]2026'!$T:$T,$BD340,'[1]2026'!$S:$S,BK$3,'[1]2026'!$P:$P,$AU340)</f>
        <v>35755.18</v>
      </c>
      <c r="BL340" s="10">
        <f>SUMIFS('[1]2026'!$K:$K,'[1]2026'!$T:$T,$BD340,'[1]2026'!$S:$S,BL$3,'[1]2026'!$P:$P,$AU340)</f>
        <v>36181.29</v>
      </c>
      <c r="BM340" s="10">
        <f>SUMIFS('[1]2026'!$K:$K,'[1]2026'!$T:$T,$BD340,'[1]2026'!$S:$S,BM$3,'[1]2026'!$P:$P,$AU340)</f>
        <v>37183.58</v>
      </c>
      <c r="BN340" s="10">
        <f>SUMIFS('[1]2026'!$K:$K,'[1]2026'!$T:$T,$BD340,'[1]2026'!$S:$S,BN$3,'[1]2026'!$P:$P,$AU340)</f>
        <v>36661.629999999997</v>
      </c>
      <c r="BO340" s="10">
        <f>SUMIFS('[1]2026'!$K:$K,'[1]2026'!$T:$T,$BD340,'[1]2026'!$S:$S,BO$3,'[1]2026'!$P:$P,$AU340)</f>
        <v>37307.74</v>
      </c>
      <c r="BP340" s="6">
        <v>37183.58</v>
      </c>
      <c r="BQ340" s="6">
        <v>37183.58</v>
      </c>
      <c r="BR340" s="6">
        <v>37183.58</v>
      </c>
      <c r="BS340" s="6">
        <v>37183.58</v>
      </c>
      <c r="BT340" s="6">
        <f t="shared" si="162"/>
        <v>402853.13000000006</v>
      </c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>
        <f t="shared" si="212"/>
        <v>402853.13000000006</v>
      </c>
    </row>
    <row r="341" spans="1:86" x14ac:dyDescent="0.35"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N341" s="27">
        <f t="shared" si="209"/>
        <v>0</v>
      </c>
      <c r="AS341" t="str">
        <f>_xlfn.XLOOKUP(AU341,[2]GAE!HZ:HZ,[2]GAE!IA:IA)</f>
        <v>IS &amp; IT</v>
      </c>
      <c r="AT341" t="str">
        <f>_xlfn.XLOOKUP(AU341,[2]GAE!HZ:HZ,[2]GAE!IB:IB)</f>
        <v>GAE- Systems &amp; Applications</v>
      </c>
      <c r="AU341" s="2" t="s">
        <v>593</v>
      </c>
      <c r="AV341" s="2">
        <v>80124101</v>
      </c>
      <c r="AW341" s="2">
        <v>61711102</v>
      </c>
      <c r="AX341" t="str">
        <f>_xlfn.XLOOKUP(AU341,[2]GAE!HZ:HZ,[2]GAE!IF:IF)</f>
        <v>Systems &amp; Applications</v>
      </c>
      <c r="BC341" t="s">
        <v>84</v>
      </c>
      <c r="BD341" t="s">
        <v>714</v>
      </c>
      <c r="BF341" t="s">
        <v>612</v>
      </c>
      <c r="BG341" t="s">
        <v>84</v>
      </c>
      <c r="BI341" s="10">
        <f>SUMIFS('[1]2026'!$K:$K,'[1]2026'!$T:$T,$BD341,'[1]2026'!$S:$S,BI$3,'[1]2026'!$P:$P,$AU341)</f>
        <v>2132.0700000000002</v>
      </c>
      <c r="BJ341" s="10">
        <f>SUMIFS('[1]2026'!$K:$K,'[1]2026'!$T:$T,$BD341,'[1]2026'!$S:$S,BJ$3,'[1]2026'!$P:$P,$AU341)</f>
        <v>2132.37</v>
      </c>
      <c r="BK341" s="10">
        <f>SUMIFS('[1]2026'!$K:$K,'[1]2026'!$T:$T,$BD341,'[1]2026'!$S:$S,BK$3,'[1]2026'!$P:$P,$AU341)</f>
        <v>2108.61</v>
      </c>
      <c r="BL341" s="10">
        <f>SUMIFS('[1]2026'!$K:$K,'[1]2026'!$T:$T,$BD341,'[1]2026'!$S:$S,BL$3,'[1]2026'!$P:$P,$AU341)</f>
        <v>2195.9</v>
      </c>
      <c r="BM341" s="10">
        <f>SUMIFS('[1]2026'!$K:$K,'[1]2026'!$T:$T,$BD341,'[1]2026'!$S:$S,BM$3,'[1]2026'!$P:$P,$AU341)</f>
        <v>2226.0700000000002</v>
      </c>
      <c r="BN341" s="10">
        <f>SUMIFS('[1]2026'!$K:$K,'[1]2026'!$T:$T,$BD341,'[1]2026'!$S:$S,BN$3,'[1]2026'!$P:$P,$AU341)</f>
        <v>2239.37</v>
      </c>
      <c r="BO341" s="10">
        <f>SUMIFS('[1]2026'!$K:$K,'[1]2026'!$T:$T,$BD341,'[1]2026'!$S:$S,BO$3,'[1]2026'!$P:$P,$AU341)</f>
        <v>2231.23</v>
      </c>
      <c r="BP341" s="6">
        <v>2226.0700000000002</v>
      </c>
      <c r="BQ341" s="6">
        <v>2226.0700000000002</v>
      </c>
      <c r="BR341" s="6">
        <v>2226.0700000000002</v>
      </c>
      <c r="BS341" s="6">
        <v>2226.0700000000002</v>
      </c>
      <c r="BT341" s="6">
        <f t="shared" si="162"/>
        <v>24169.899999999998</v>
      </c>
      <c r="BV341" s="6">
        <f t="shared" ref="BV341:CG346" si="214">BH341-AB341</f>
        <v>0</v>
      </c>
      <c r="BW341" s="6">
        <f t="shared" si="214"/>
        <v>2132.0700000000002</v>
      </c>
      <c r="BX341" s="6">
        <f t="shared" si="214"/>
        <v>2132.37</v>
      </c>
      <c r="BY341" s="6">
        <f t="shared" si="214"/>
        <v>2108.61</v>
      </c>
      <c r="BZ341" s="6">
        <f t="shared" si="214"/>
        <v>2195.9</v>
      </c>
      <c r="CA341" s="6">
        <f t="shared" si="214"/>
        <v>2226.0700000000002</v>
      </c>
      <c r="CB341" s="6">
        <f t="shared" si="214"/>
        <v>2239.37</v>
      </c>
      <c r="CC341" s="6">
        <f t="shared" si="214"/>
        <v>2231.23</v>
      </c>
      <c r="CD341" s="6">
        <f t="shared" si="214"/>
        <v>2226.0700000000002</v>
      </c>
      <c r="CE341" s="6">
        <f t="shared" si="214"/>
        <v>2226.0700000000002</v>
      </c>
      <c r="CF341" s="6">
        <f t="shared" si="214"/>
        <v>2226.0700000000002</v>
      </c>
      <c r="CG341" s="6">
        <f t="shared" si="214"/>
        <v>2226.0700000000002</v>
      </c>
      <c r="CH341" s="6">
        <f t="shared" si="212"/>
        <v>24169.899999999998</v>
      </c>
    </row>
    <row r="342" spans="1:86" x14ac:dyDescent="0.35"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N342" s="27">
        <f t="shared" si="209"/>
        <v>0</v>
      </c>
      <c r="AS342" t="str">
        <f>_xlfn.XLOOKUP(AU342,[2]GAE!HZ:HZ,[2]GAE!IA:IA)</f>
        <v>IS &amp; IT</v>
      </c>
      <c r="AT342" t="str">
        <f>_xlfn.XLOOKUP(AU342,[2]GAE!HZ:HZ,[2]GAE!IB:IB)</f>
        <v>GAE- Systems &amp; Applications</v>
      </c>
      <c r="AU342" s="2" t="s">
        <v>593</v>
      </c>
      <c r="AV342" s="2">
        <v>80124101</v>
      </c>
      <c r="AW342" s="2">
        <v>61711102</v>
      </c>
      <c r="AX342" t="str">
        <f>_xlfn.XLOOKUP(AU342,[2]GAE!HZ:HZ,[2]GAE!IF:IF)</f>
        <v>Systems &amp; Applications</v>
      </c>
      <c r="BC342" t="s">
        <v>85</v>
      </c>
      <c r="BD342" t="s">
        <v>85</v>
      </c>
      <c r="BF342" t="s">
        <v>612</v>
      </c>
      <c r="BG342" s="37" t="s">
        <v>85</v>
      </c>
      <c r="BI342" s="10">
        <f>SUMIFS('[1]2026'!$K:$K,'[1]2026'!$T:$T,$BD342,'[1]2026'!$S:$S,BI$3,'[1]2026'!$P:$P,$AU342)</f>
        <v>135192</v>
      </c>
      <c r="BJ342" s="10">
        <f>SUMIFS('[1]2026'!$K:$K,'[1]2026'!$T:$T,$BD342,'[1]2026'!$S:$S,BJ$3,'[1]2026'!$P:$P,$AU342)</f>
        <v>0</v>
      </c>
      <c r="BK342" s="10">
        <f>SUMIFS('[1]2026'!$K:$K,'[1]2026'!$T:$T,$BD342,'[1]2026'!$S:$S,BK$3,'[1]2026'!$P:$P,$AU342)</f>
        <v>0</v>
      </c>
      <c r="BL342" s="10">
        <f>SUMIFS('[1]2026'!$K:$K,'[1]2026'!$T:$T,$BD342,'[1]2026'!$S:$S,BL$3,'[1]2026'!$P:$P,$AU342)</f>
        <v>0</v>
      </c>
      <c r="BM342" s="10">
        <f>SUMIFS('[1]2026'!$K:$K,'[1]2026'!$T:$T,$BD342,'[1]2026'!$S:$S,BM$3,'[1]2026'!$P:$P,$AU342)</f>
        <v>0</v>
      </c>
      <c r="BN342" s="10">
        <f>SUMIFS('[1]2026'!$K:$K,'[1]2026'!$T:$T,$BD342,'[1]2026'!$S:$S,BN$3,'[1]2026'!$P:$P,$AU342)</f>
        <v>0</v>
      </c>
      <c r="BO342" s="10">
        <f>SUMIFS('[1]2026'!$K:$K,'[1]2026'!$T:$T,$BD342,'[1]2026'!$S:$S,BO$3,'[1]2026'!$P:$P,$AU342)</f>
        <v>0</v>
      </c>
      <c r="BP342" s="6">
        <f t="shared" ref="BP342:BS346" si="215">BO342</f>
        <v>0</v>
      </c>
      <c r="BQ342" s="6">
        <f t="shared" si="215"/>
        <v>0</v>
      </c>
      <c r="BR342" s="6">
        <f t="shared" si="215"/>
        <v>0</v>
      </c>
      <c r="BS342" s="6">
        <f t="shared" si="215"/>
        <v>0</v>
      </c>
      <c r="BT342" s="6">
        <f t="shared" si="162"/>
        <v>135192</v>
      </c>
      <c r="BV342" s="6">
        <f t="shared" si="214"/>
        <v>0</v>
      </c>
      <c r="BW342" s="6">
        <f t="shared" si="214"/>
        <v>135192</v>
      </c>
      <c r="BX342" s="6">
        <f t="shared" si="214"/>
        <v>0</v>
      </c>
      <c r="BY342" s="6">
        <f t="shared" si="214"/>
        <v>0</v>
      </c>
      <c r="BZ342" s="6">
        <f t="shared" si="214"/>
        <v>0</v>
      </c>
      <c r="CA342" s="6">
        <f t="shared" si="214"/>
        <v>0</v>
      </c>
      <c r="CB342" s="6">
        <f t="shared" si="214"/>
        <v>0</v>
      </c>
      <c r="CC342" s="6">
        <f t="shared" si="214"/>
        <v>0</v>
      </c>
      <c r="CD342" s="6">
        <f t="shared" si="214"/>
        <v>0</v>
      </c>
      <c r="CE342" s="6">
        <f t="shared" si="214"/>
        <v>0</v>
      </c>
      <c r="CF342" s="6">
        <f t="shared" si="214"/>
        <v>0</v>
      </c>
      <c r="CG342" s="6">
        <f t="shared" si="214"/>
        <v>0</v>
      </c>
      <c r="CH342" s="6">
        <f t="shared" si="212"/>
        <v>135192</v>
      </c>
    </row>
    <row r="343" spans="1:86" hidden="1" x14ac:dyDescent="0.35">
      <c r="A343" s="3" t="s">
        <v>715</v>
      </c>
      <c r="B343" s="10">
        <v>1800</v>
      </c>
      <c r="C343" s="10">
        <v>1800</v>
      </c>
      <c r="D343" s="10">
        <v>1800</v>
      </c>
      <c r="E343" s="10">
        <v>1800</v>
      </c>
      <c r="F343" s="10">
        <v>1800</v>
      </c>
      <c r="G343" s="10">
        <v>1800</v>
      </c>
      <c r="H343" s="10">
        <v>1800</v>
      </c>
      <c r="I343" s="10">
        <v>1800</v>
      </c>
      <c r="J343" s="10">
        <v>1800</v>
      </c>
      <c r="K343" s="10">
        <v>1800</v>
      </c>
      <c r="L343" s="10">
        <v>1800</v>
      </c>
      <c r="M343" s="10">
        <v>1800</v>
      </c>
      <c r="N343" s="27">
        <f t="shared" si="207"/>
        <v>21600</v>
      </c>
      <c r="O343" s="38">
        <v>71.030020461689034</v>
      </c>
      <c r="P343" s="38">
        <v>71.030020461689034</v>
      </c>
      <c r="Q343" s="38">
        <v>71.030020461689034</v>
      </c>
      <c r="R343" s="38">
        <v>71.030020461689034</v>
      </c>
      <c r="S343" s="38">
        <v>71.030020461689034</v>
      </c>
      <c r="T343" s="38">
        <v>71.030020461689034</v>
      </c>
      <c r="U343" s="38">
        <v>71.030020461689034</v>
      </c>
      <c r="V343" s="38">
        <v>71.030020461689034</v>
      </c>
      <c r="W343" s="38">
        <v>71.030020461689034</v>
      </c>
      <c r="X343" s="38">
        <v>71.030020461689034</v>
      </c>
      <c r="Y343" s="38">
        <v>71.030020461689034</v>
      </c>
      <c r="Z343" s="38">
        <v>71.030020461689034</v>
      </c>
      <c r="AA343" s="27">
        <f t="shared" si="208"/>
        <v>852.36024554026824</v>
      </c>
      <c r="AB343" s="10">
        <f t="shared" si="209"/>
        <v>1728.969979538311</v>
      </c>
      <c r="AC343" s="10">
        <f t="shared" si="209"/>
        <v>1728.969979538311</v>
      </c>
      <c r="AD343" s="10">
        <f t="shared" si="209"/>
        <v>1728.969979538311</v>
      </c>
      <c r="AE343" s="10">
        <f t="shared" si="209"/>
        <v>1728.969979538311</v>
      </c>
      <c r="AF343" s="10">
        <f t="shared" si="209"/>
        <v>1728.969979538311</v>
      </c>
      <c r="AG343" s="10">
        <f t="shared" si="209"/>
        <v>1728.969979538311</v>
      </c>
      <c r="AH343" s="10">
        <f t="shared" si="209"/>
        <v>1728.969979538311</v>
      </c>
      <c r="AI343" s="10">
        <f t="shared" si="209"/>
        <v>1728.969979538311</v>
      </c>
      <c r="AJ343" s="10">
        <f t="shared" si="209"/>
        <v>1728.969979538311</v>
      </c>
      <c r="AK343" s="10">
        <f t="shared" si="209"/>
        <v>1728.969979538311</v>
      </c>
      <c r="AL343" s="10">
        <f t="shared" si="209"/>
        <v>1728.969979538311</v>
      </c>
      <c r="AM343" s="10">
        <f t="shared" si="209"/>
        <v>1728.969979538311</v>
      </c>
      <c r="AN343" s="27">
        <f t="shared" si="209"/>
        <v>20747.639754459731</v>
      </c>
      <c r="AO343" s="28" t="e">
        <f>SUMIF('[3]2025B and 2025F Details'!$AU:$AU,AP343,'[3]2025B and 2025F Details'!$BH:$BH)</f>
        <v>#VALUE!</v>
      </c>
      <c r="AP343" t="s">
        <v>716</v>
      </c>
      <c r="AS343" t="str">
        <f>_xlfn.XLOOKUP(AU343,[2]GAE!HZ:HZ,[2]GAE!IA:IA)</f>
        <v>IS &amp; IT</v>
      </c>
      <c r="AT343" t="str">
        <f>_xlfn.XLOOKUP(AU343,[2]GAE!HZ:HZ,[2]GAE!IB:IB)</f>
        <v>DOE - Systems and Applications</v>
      </c>
      <c r="AU343" t="s">
        <v>594</v>
      </c>
      <c r="AV343">
        <v>81124101</v>
      </c>
      <c r="AW343">
        <v>52952103</v>
      </c>
      <c r="AX343" t="str">
        <f>_xlfn.XLOOKUP(AU343,[2]GAE!HZ:HZ,[2]GAE!IF:IF)</f>
        <v>Systems &amp; Applications</v>
      </c>
      <c r="BF343" t="s">
        <v>612</v>
      </c>
      <c r="BG343" s="37" t="s">
        <v>84</v>
      </c>
      <c r="BH343" s="10">
        <f>SUMIFS('[1]2026'!$K:$K,'[1]2026'!$T:$T,BD343,'[1]2026'!$S:$S,BH$3,'[1]2026'!$P:$P,AU343)</f>
        <v>0</v>
      </c>
      <c r="BI343" s="10">
        <f>SUMIFS('[1]2026'!$K:$K,'[1]2026'!$T:$T,$BD343,'[1]2026'!$S:$S,BI$3,'[1]2026'!$P:$P,$AU343)</f>
        <v>0</v>
      </c>
      <c r="BJ343" s="10">
        <f>SUMIFS('[1]2026'!$K:$K,'[1]2026'!$T:$T,$BD343,'[1]2026'!$S:$S,BJ$3,'[1]2026'!$P:$P,$AU343)</f>
        <v>0</v>
      </c>
      <c r="BK343" s="10">
        <f>SUMIFS('[1]2026'!$K:$K,'[1]2026'!$T:$T,$BD343,'[1]2026'!$S:$S,BK$3,'[1]2026'!$P:$P,$AU343)</f>
        <v>0</v>
      </c>
      <c r="BL343" s="10">
        <f>SUMIFS('[1]2026'!$K:$K,'[1]2026'!$T:$T,$BD343,'[1]2026'!$S:$S,BL$3,'[1]2026'!$P:$P,$AU343)</f>
        <v>0</v>
      </c>
      <c r="BM343" s="10">
        <f>SUMIFS('[1]2026'!$K:$K,'[1]2026'!$T:$T,$BD343,'[1]2026'!$S:$S,BM$3,'[1]2026'!$P:$P,$AU343)</f>
        <v>0</v>
      </c>
      <c r="BN343" s="10">
        <f>SUMIFS('[1]2026'!$K:$K,'[1]2026'!$T:$T,$BD343,'[1]2026'!$S:$S,BN$3,'[1]2026'!$P:$P,$AU343)</f>
        <v>0</v>
      </c>
      <c r="BO343" s="10">
        <f>SUMIFS('[1]2026'!$K:$K,'[1]2026'!$T:$T,$BD343,'[1]2026'!$S:$S,BO$3,'[1]2026'!$P:$P,$AU343)</f>
        <v>0</v>
      </c>
      <c r="BP343" s="6">
        <f t="shared" si="215"/>
        <v>0</v>
      </c>
      <c r="BQ343" s="6">
        <f t="shared" si="215"/>
        <v>0</v>
      </c>
      <c r="BR343" s="6">
        <f t="shared" si="215"/>
        <v>0</v>
      </c>
      <c r="BS343" s="6">
        <f t="shared" si="215"/>
        <v>0</v>
      </c>
      <c r="BT343" s="6">
        <f t="shared" ref="BT343:BT399" si="216">SUM(BH343:BS343)</f>
        <v>0</v>
      </c>
      <c r="BV343" s="6">
        <f t="shared" si="214"/>
        <v>-1728.969979538311</v>
      </c>
      <c r="BW343" s="6">
        <f t="shared" si="214"/>
        <v>-1728.969979538311</v>
      </c>
      <c r="BX343" s="6">
        <f t="shared" si="214"/>
        <v>-1728.969979538311</v>
      </c>
      <c r="BY343" s="6">
        <f t="shared" si="214"/>
        <v>-1728.969979538311</v>
      </c>
      <c r="BZ343" s="6">
        <f t="shared" si="214"/>
        <v>-1728.969979538311</v>
      </c>
      <c r="CA343" s="6">
        <f t="shared" si="214"/>
        <v>-1728.969979538311</v>
      </c>
      <c r="CB343" s="6">
        <f t="shared" si="214"/>
        <v>-1728.969979538311</v>
      </c>
      <c r="CC343" s="6">
        <f t="shared" si="214"/>
        <v>-1728.969979538311</v>
      </c>
      <c r="CD343" s="6">
        <f t="shared" si="214"/>
        <v>-1728.969979538311</v>
      </c>
      <c r="CE343" s="6">
        <f t="shared" si="214"/>
        <v>-1728.969979538311</v>
      </c>
      <c r="CF343" s="6">
        <f t="shared" si="214"/>
        <v>-1728.969979538311</v>
      </c>
      <c r="CG343" s="6">
        <f t="shared" si="214"/>
        <v>-1728.969979538311</v>
      </c>
      <c r="CH343" s="6">
        <f t="shared" si="212"/>
        <v>-20747.639754459731</v>
      </c>
    </row>
    <row r="344" spans="1:86" hidden="1" x14ac:dyDescent="0.35">
      <c r="A344" s="3" t="s">
        <v>717</v>
      </c>
      <c r="B344" s="10">
        <v>39000</v>
      </c>
      <c r="C344" s="10">
        <v>39000</v>
      </c>
      <c r="D344" s="10">
        <v>39000</v>
      </c>
      <c r="E344" s="10">
        <v>39000</v>
      </c>
      <c r="F344" s="10">
        <v>39000</v>
      </c>
      <c r="G344" s="10">
        <v>39000</v>
      </c>
      <c r="H344" s="10">
        <v>39000</v>
      </c>
      <c r="I344" s="10">
        <v>39000</v>
      </c>
      <c r="J344" s="10">
        <v>39000</v>
      </c>
      <c r="K344" s="10">
        <v>39000</v>
      </c>
      <c r="L344" s="10">
        <v>39000</v>
      </c>
      <c r="M344" s="10">
        <v>39000</v>
      </c>
      <c r="N344" s="27">
        <f t="shared" si="207"/>
        <v>468000</v>
      </c>
      <c r="O344" s="38">
        <v>1538.9837766699291</v>
      </c>
      <c r="P344" s="38">
        <v>1538.9837766699291</v>
      </c>
      <c r="Q344" s="38">
        <v>1538.9837766699291</v>
      </c>
      <c r="R344" s="38">
        <v>1538.9837766699291</v>
      </c>
      <c r="S344" s="38">
        <v>1538.9837766699291</v>
      </c>
      <c r="T344" s="38">
        <v>1538.9837766699291</v>
      </c>
      <c r="U344" s="38">
        <v>1538.9837766699291</v>
      </c>
      <c r="V344" s="38">
        <v>1538.9837766699291</v>
      </c>
      <c r="W344" s="38">
        <v>1538.9837766699291</v>
      </c>
      <c r="X344" s="38">
        <v>1538.9837766699291</v>
      </c>
      <c r="Y344" s="38">
        <v>1538.9837766699291</v>
      </c>
      <c r="Z344" s="38">
        <v>1538.9837766699291</v>
      </c>
      <c r="AA344" s="27">
        <f t="shared" si="208"/>
        <v>18467.805320039148</v>
      </c>
      <c r="AB344" s="10">
        <f t="shared" si="209"/>
        <v>37461.016223330073</v>
      </c>
      <c r="AC344" s="10">
        <f t="shared" si="209"/>
        <v>37461.016223330073</v>
      </c>
      <c r="AD344" s="10">
        <f t="shared" si="209"/>
        <v>37461.016223330073</v>
      </c>
      <c r="AE344" s="10">
        <f t="shared" si="209"/>
        <v>37461.016223330073</v>
      </c>
      <c r="AF344" s="10">
        <f t="shared" si="209"/>
        <v>37461.016223330073</v>
      </c>
      <c r="AG344" s="10">
        <f t="shared" si="209"/>
        <v>37461.016223330073</v>
      </c>
      <c r="AH344" s="10">
        <f t="shared" si="209"/>
        <v>37461.016223330073</v>
      </c>
      <c r="AI344" s="10">
        <f t="shared" si="209"/>
        <v>37461.016223330073</v>
      </c>
      <c r="AJ344" s="10">
        <f t="shared" si="209"/>
        <v>37461.016223330073</v>
      </c>
      <c r="AK344" s="10">
        <f t="shared" si="209"/>
        <v>37461.016223330073</v>
      </c>
      <c r="AL344" s="10">
        <f t="shared" si="209"/>
        <v>37461.016223330073</v>
      </c>
      <c r="AM344" s="10">
        <f t="shared" si="209"/>
        <v>37461.016223330073</v>
      </c>
      <c r="AN344" s="27">
        <f t="shared" si="209"/>
        <v>449532.19467996084</v>
      </c>
      <c r="AO344" s="28" t="e">
        <f>SUMIF('[3]2025B and 2025F Details'!$AU:$AU,AP344,'[3]2025B and 2025F Details'!$BH:$BH)</f>
        <v>#VALUE!</v>
      </c>
      <c r="AP344" t="s">
        <v>718</v>
      </c>
      <c r="AR344" t="s">
        <v>719</v>
      </c>
      <c r="AS344" t="str">
        <f>_xlfn.XLOOKUP(AU344,[2]GAE!HZ:HZ,[2]GAE!IA:IA)</f>
        <v>IS &amp; IT</v>
      </c>
      <c r="AT344" t="str">
        <f>_xlfn.XLOOKUP(AU344,[2]GAE!HZ:HZ,[2]GAE!IB:IB)</f>
        <v>DOE - Systems and Applications</v>
      </c>
      <c r="AU344" t="s">
        <v>594</v>
      </c>
      <c r="AV344">
        <v>81124101</v>
      </c>
      <c r="AW344">
        <v>52952103</v>
      </c>
      <c r="AX344" t="str">
        <f>_xlfn.XLOOKUP(AU344,[2]GAE!HZ:HZ,[2]GAE!IF:IF)</f>
        <v>Systems &amp; Applications</v>
      </c>
      <c r="BA344" t="s">
        <v>688</v>
      </c>
      <c r="BF344" t="s">
        <v>612</v>
      </c>
      <c r="BG344" s="37" t="s">
        <v>78</v>
      </c>
      <c r="BH344" s="10">
        <f>SUMIFS('[1]2026'!$K:$K,'[1]2026'!$T:$T,BD344,'[1]2026'!$S:$S,BH$3,'[1]2026'!$P:$P,AU344)</f>
        <v>0</v>
      </c>
      <c r="BI344" s="10">
        <f>SUMIFS('[1]2026'!$K:$K,'[1]2026'!$T:$T,$BD344,'[1]2026'!$S:$S,BI$3,'[1]2026'!$P:$P,$AU344)</f>
        <v>0</v>
      </c>
      <c r="BJ344" s="10">
        <f>SUMIFS('[1]2026'!$K:$K,'[1]2026'!$T:$T,$BD344,'[1]2026'!$S:$S,BJ$3,'[1]2026'!$P:$P,$AU344)</f>
        <v>0</v>
      </c>
      <c r="BK344" s="10">
        <f>SUMIFS('[1]2026'!$K:$K,'[1]2026'!$T:$T,$BD344,'[1]2026'!$S:$S,BK$3,'[1]2026'!$P:$P,$AU344)</f>
        <v>0</v>
      </c>
      <c r="BL344" s="10">
        <f>SUMIFS('[1]2026'!$K:$K,'[1]2026'!$T:$T,$BD344,'[1]2026'!$S:$S,BL$3,'[1]2026'!$P:$P,$AU344)</f>
        <v>0</v>
      </c>
      <c r="BM344" s="10">
        <f>SUMIFS('[1]2026'!$K:$K,'[1]2026'!$T:$T,$BD344,'[1]2026'!$S:$S,BM$3,'[1]2026'!$P:$P,$AU344)</f>
        <v>0</v>
      </c>
      <c r="BN344" s="10">
        <f>SUMIFS('[1]2026'!$K:$K,'[1]2026'!$T:$T,$BD344,'[1]2026'!$S:$S,BN$3,'[1]2026'!$P:$P,$AU344)</f>
        <v>0</v>
      </c>
      <c r="BO344" s="10">
        <f>SUMIFS('[1]2026'!$K:$K,'[1]2026'!$T:$T,$BD344,'[1]2026'!$S:$S,BO$3,'[1]2026'!$P:$P,$AU344)</f>
        <v>0</v>
      </c>
      <c r="BP344" s="6">
        <f t="shared" si="215"/>
        <v>0</v>
      </c>
      <c r="BQ344" s="6">
        <f t="shared" si="215"/>
        <v>0</v>
      </c>
      <c r="BR344" s="6">
        <f t="shared" si="215"/>
        <v>0</v>
      </c>
      <c r="BS344" s="6">
        <f t="shared" si="215"/>
        <v>0</v>
      </c>
      <c r="BT344" s="6">
        <f t="shared" si="216"/>
        <v>0</v>
      </c>
      <c r="BV344" s="6">
        <f t="shared" si="214"/>
        <v>-37461.016223330073</v>
      </c>
      <c r="BW344" s="6">
        <f t="shared" si="214"/>
        <v>-37461.016223330073</v>
      </c>
      <c r="BX344" s="6">
        <f t="shared" si="214"/>
        <v>-37461.016223330073</v>
      </c>
      <c r="BY344" s="6">
        <f t="shared" si="214"/>
        <v>-37461.016223330073</v>
      </c>
      <c r="BZ344" s="6">
        <f t="shared" si="214"/>
        <v>-37461.016223330073</v>
      </c>
      <c r="CA344" s="6">
        <f t="shared" si="214"/>
        <v>-37461.016223330073</v>
      </c>
      <c r="CB344" s="6">
        <f t="shared" si="214"/>
        <v>-37461.016223330073</v>
      </c>
      <c r="CC344" s="6">
        <f t="shared" si="214"/>
        <v>-37461.016223330073</v>
      </c>
      <c r="CD344" s="6">
        <f t="shared" si="214"/>
        <v>-37461.016223330073</v>
      </c>
      <c r="CE344" s="6">
        <f t="shared" si="214"/>
        <v>-37461.016223330073</v>
      </c>
      <c r="CF344" s="6">
        <f t="shared" si="214"/>
        <v>-37461.016223330073</v>
      </c>
      <c r="CG344" s="6">
        <f t="shared" si="214"/>
        <v>-37461.016223330073</v>
      </c>
      <c r="CH344" s="6">
        <f t="shared" si="212"/>
        <v>-449532.19467996084</v>
      </c>
    </row>
    <row r="345" spans="1:86" hidden="1" x14ac:dyDescent="0.35">
      <c r="A345" s="3" t="s">
        <v>720</v>
      </c>
      <c r="B345" s="10">
        <v>13333.333333333334</v>
      </c>
      <c r="C345" s="10">
        <v>13333.333333333334</v>
      </c>
      <c r="D345" s="10">
        <v>13333.333333333334</v>
      </c>
      <c r="E345" s="10">
        <v>13333.333333333334</v>
      </c>
      <c r="F345" s="10">
        <v>13333.333333333334</v>
      </c>
      <c r="G345" s="10">
        <v>13333.333333333334</v>
      </c>
      <c r="H345" s="10">
        <v>13333.333333333334</v>
      </c>
      <c r="I345" s="10">
        <v>13333.333333333334</v>
      </c>
      <c r="J345" s="10">
        <v>13333.333333333334</v>
      </c>
      <c r="K345" s="10">
        <v>13333.333333333334</v>
      </c>
      <c r="L345" s="10">
        <v>13333.333333333334</v>
      </c>
      <c r="M345" s="10">
        <v>13333.333333333334</v>
      </c>
      <c r="N345" s="27">
        <f t="shared" si="207"/>
        <v>160000</v>
      </c>
      <c r="O345" s="38">
        <v>526.14829971621509</v>
      </c>
      <c r="P345" s="38">
        <v>526.14829971621509</v>
      </c>
      <c r="Q345" s="38">
        <v>526.14829971621509</v>
      </c>
      <c r="R345" s="38">
        <v>526.14829971621509</v>
      </c>
      <c r="S345" s="38">
        <v>526.14829971621509</v>
      </c>
      <c r="T345" s="38">
        <v>526.14829971621509</v>
      </c>
      <c r="U345" s="38">
        <v>526.14829971621509</v>
      </c>
      <c r="V345" s="38">
        <v>526.14829971621509</v>
      </c>
      <c r="W345" s="38">
        <v>526.14829971621509</v>
      </c>
      <c r="X345" s="38">
        <v>526.14829971621509</v>
      </c>
      <c r="Y345" s="38">
        <v>526.14829971621509</v>
      </c>
      <c r="Z345" s="38">
        <v>526.14829971621509</v>
      </c>
      <c r="AA345" s="27">
        <f t="shared" si="208"/>
        <v>6313.7795965945797</v>
      </c>
      <c r="AB345" s="10">
        <f t="shared" si="209"/>
        <v>12807.185033617119</v>
      </c>
      <c r="AC345" s="10">
        <f t="shared" si="209"/>
        <v>12807.185033617119</v>
      </c>
      <c r="AD345" s="10">
        <f t="shared" si="209"/>
        <v>12807.185033617119</v>
      </c>
      <c r="AE345" s="10">
        <f t="shared" si="209"/>
        <v>12807.185033617119</v>
      </c>
      <c r="AF345" s="10">
        <f t="shared" si="209"/>
        <v>12807.185033617119</v>
      </c>
      <c r="AG345" s="10">
        <f t="shared" si="209"/>
        <v>12807.185033617119</v>
      </c>
      <c r="AH345" s="10">
        <f t="shared" si="209"/>
        <v>12807.185033617119</v>
      </c>
      <c r="AI345" s="10">
        <f t="shared" si="209"/>
        <v>12807.185033617119</v>
      </c>
      <c r="AJ345" s="10">
        <f t="shared" si="209"/>
        <v>12807.185033617119</v>
      </c>
      <c r="AK345" s="10">
        <f t="shared" si="209"/>
        <v>12807.185033617119</v>
      </c>
      <c r="AL345" s="10">
        <f t="shared" si="209"/>
        <v>12807.185033617119</v>
      </c>
      <c r="AM345" s="10">
        <f t="shared" si="209"/>
        <v>12807.185033617119</v>
      </c>
      <c r="AN345" s="27">
        <f t="shared" si="209"/>
        <v>153686.22040340543</v>
      </c>
      <c r="AP345" t="s">
        <v>718</v>
      </c>
      <c r="AR345" t="s">
        <v>721</v>
      </c>
      <c r="AS345" t="str">
        <f>_xlfn.XLOOKUP(AU345,[2]GAE!HZ:HZ,[2]GAE!IA:IA)</f>
        <v>IS &amp; IT</v>
      </c>
      <c r="AT345" t="str">
        <f>_xlfn.XLOOKUP(AU345,[2]GAE!HZ:HZ,[2]GAE!IB:IB)</f>
        <v>DOE - Systems and Applications</v>
      </c>
      <c r="AU345" t="s">
        <v>594</v>
      </c>
      <c r="AV345">
        <v>81124101</v>
      </c>
      <c r="AW345">
        <v>52952103</v>
      </c>
      <c r="AX345" t="str">
        <f>_xlfn.XLOOKUP(AU345,[2]GAE!HZ:HZ,[2]GAE!IF:IF)</f>
        <v>Systems &amp; Applications</v>
      </c>
      <c r="BA345" t="s">
        <v>688</v>
      </c>
      <c r="BF345" t="s">
        <v>612</v>
      </c>
      <c r="BG345" s="37" t="s">
        <v>722</v>
      </c>
      <c r="BH345" s="10">
        <f>SUMIFS('[1]2026'!$K:$K,'[1]2026'!$T:$T,BD345,'[1]2026'!$S:$S,BH$3,'[1]2026'!$P:$P,AU345)</f>
        <v>0</v>
      </c>
      <c r="BI345" s="10">
        <f>SUMIFS('[1]2026'!$K:$K,'[1]2026'!$T:$T,$BD345,'[1]2026'!$S:$S,BI$3,'[1]2026'!$P:$P,$AU345)</f>
        <v>0</v>
      </c>
      <c r="BJ345" s="10">
        <f>SUMIFS('[1]2026'!$K:$K,'[1]2026'!$T:$T,$BD345,'[1]2026'!$S:$S,BJ$3,'[1]2026'!$P:$P,$AU345)</f>
        <v>0</v>
      </c>
      <c r="BK345" s="10">
        <f>SUMIFS('[1]2026'!$K:$K,'[1]2026'!$T:$T,$BD345,'[1]2026'!$S:$S,BK$3,'[1]2026'!$P:$P,$AU345)</f>
        <v>0</v>
      </c>
      <c r="BL345" s="10">
        <f>SUMIFS('[1]2026'!$K:$K,'[1]2026'!$T:$T,$BD345,'[1]2026'!$S:$S,BL$3,'[1]2026'!$P:$P,$AU345)</f>
        <v>0</v>
      </c>
      <c r="BM345" s="10">
        <f>SUMIFS('[1]2026'!$K:$K,'[1]2026'!$T:$T,$BD345,'[1]2026'!$S:$S,BM$3,'[1]2026'!$P:$P,$AU345)</f>
        <v>0</v>
      </c>
      <c r="BN345" s="10">
        <f>SUMIFS('[1]2026'!$K:$K,'[1]2026'!$T:$T,$BD345,'[1]2026'!$S:$S,BN$3,'[1]2026'!$P:$P,$AU345)</f>
        <v>0</v>
      </c>
      <c r="BO345" s="10">
        <f>SUMIFS('[1]2026'!$K:$K,'[1]2026'!$T:$T,$BD345,'[1]2026'!$S:$S,BO$3,'[1]2026'!$P:$P,$AU345)</f>
        <v>0</v>
      </c>
      <c r="BP345" s="6">
        <f t="shared" si="215"/>
        <v>0</v>
      </c>
      <c r="BQ345" s="6">
        <f t="shared" si="215"/>
        <v>0</v>
      </c>
      <c r="BR345" s="6">
        <f t="shared" si="215"/>
        <v>0</v>
      </c>
      <c r="BS345" s="6">
        <f t="shared" si="215"/>
        <v>0</v>
      </c>
      <c r="BT345" s="6">
        <f t="shared" si="216"/>
        <v>0</v>
      </c>
      <c r="BV345" s="6">
        <f t="shared" si="214"/>
        <v>-12807.185033617119</v>
      </c>
      <c r="BW345" s="6">
        <f t="shared" si="214"/>
        <v>-12807.185033617119</v>
      </c>
      <c r="BX345" s="6">
        <f t="shared" si="214"/>
        <v>-12807.185033617119</v>
      </c>
      <c r="BY345" s="6">
        <f t="shared" si="214"/>
        <v>-12807.185033617119</v>
      </c>
      <c r="BZ345" s="6">
        <f t="shared" si="214"/>
        <v>-12807.185033617119</v>
      </c>
      <c r="CA345" s="6">
        <f t="shared" si="214"/>
        <v>-12807.185033617119</v>
      </c>
      <c r="CB345" s="6">
        <f t="shared" si="214"/>
        <v>-12807.185033617119</v>
      </c>
      <c r="CC345" s="6">
        <f t="shared" si="214"/>
        <v>-12807.185033617119</v>
      </c>
      <c r="CD345" s="6">
        <f t="shared" si="214"/>
        <v>-12807.185033617119</v>
      </c>
      <c r="CE345" s="6">
        <f t="shared" si="214"/>
        <v>-12807.185033617119</v>
      </c>
      <c r="CF345" s="6">
        <f t="shared" si="214"/>
        <v>-12807.185033617119</v>
      </c>
      <c r="CG345" s="6">
        <f t="shared" si="214"/>
        <v>-12807.185033617119</v>
      </c>
      <c r="CH345" s="6">
        <f t="shared" si="212"/>
        <v>-153686.22040340543</v>
      </c>
    </row>
    <row r="346" spans="1:86" hidden="1" x14ac:dyDescent="0.35">
      <c r="A346" s="3" t="s">
        <v>723</v>
      </c>
      <c r="B346" s="10">
        <v>2000</v>
      </c>
      <c r="C346" s="10">
        <v>2000</v>
      </c>
      <c r="D346" s="10">
        <v>2000</v>
      </c>
      <c r="E346" s="10">
        <v>2000</v>
      </c>
      <c r="F346" s="10">
        <v>2000</v>
      </c>
      <c r="G346" s="10">
        <v>2000</v>
      </c>
      <c r="H346" s="10">
        <v>2000</v>
      </c>
      <c r="I346" s="10">
        <v>2000</v>
      </c>
      <c r="J346" s="10">
        <v>2000</v>
      </c>
      <c r="K346" s="10">
        <v>2000</v>
      </c>
      <c r="L346" s="10">
        <v>2000</v>
      </c>
      <c r="M346" s="10">
        <v>2000</v>
      </c>
      <c r="N346" s="27">
        <f t="shared" si="207"/>
        <v>24000</v>
      </c>
      <c r="O346" s="38">
        <v>78.922244957432255</v>
      </c>
      <c r="P346" s="38">
        <v>78.922244957432255</v>
      </c>
      <c r="Q346" s="38">
        <v>78.922244957432255</v>
      </c>
      <c r="R346" s="38">
        <v>78.922244957432255</v>
      </c>
      <c r="S346" s="38">
        <v>78.922244957432255</v>
      </c>
      <c r="T346" s="38">
        <v>78.922244957432255</v>
      </c>
      <c r="U346" s="38">
        <v>78.922244957432255</v>
      </c>
      <c r="V346" s="38">
        <v>78.922244957432255</v>
      </c>
      <c r="W346" s="38">
        <v>78.922244957432255</v>
      </c>
      <c r="X346" s="38">
        <v>78.922244957432255</v>
      </c>
      <c r="Y346" s="38">
        <v>78.922244957432255</v>
      </c>
      <c r="Z346" s="38">
        <v>78.922244957432255</v>
      </c>
      <c r="AA346" s="27">
        <f t="shared" si="208"/>
        <v>947.06693948918689</v>
      </c>
      <c r="AB346" s="10">
        <f t="shared" si="209"/>
        <v>1921.0777550425678</v>
      </c>
      <c r="AC346" s="10">
        <f t="shared" si="209"/>
        <v>1921.0777550425678</v>
      </c>
      <c r="AD346" s="10">
        <f t="shared" si="209"/>
        <v>1921.0777550425678</v>
      </c>
      <c r="AE346" s="10">
        <f t="shared" si="209"/>
        <v>1921.0777550425678</v>
      </c>
      <c r="AF346" s="10">
        <f t="shared" si="209"/>
        <v>1921.0777550425678</v>
      </c>
      <c r="AG346" s="10">
        <f t="shared" si="209"/>
        <v>1921.0777550425678</v>
      </c>
      <c r="AH346" s="10">
        <f t="shared" si="209"/>
        <v>1921.0777550425678</v>
      </c>
      <c r="AI346" s="10">
        <f t="shared" si="209"/>
        <v>1921.0777550425678</v>
      </c>
      <c r="AJ346" s="10">
        <f t="shared" si="209"/>
        <v>1921.0777550425678</v>
      </c>
      <c r="AK346" s="10">
        <f t="shared" si="209"/>
        <v>1921.0777550425678</v>
      </c>
      <c r="AL346" s="10">
        <f t="shared" si="209"/>
        <v>1921.0777550425678</v>
      </c>
      <c r="AM346" s="10">
        <f t="shared" si="209"/>
        <v>1921.0777550425678</v>
      </c>
      <c r="AN346" s="27">
        <f t="shared" si="209"/>
        <v>23052.933060510812</v>
      </c>
      <c r="AO346" s="28" t="e">
        <f>SUMIF('[3]2025B and 2025F Details'!$AU:$AU,AP346,'[3]2025B and 2025F Details'!$BH:$BH)</f>
        <v>#VALUE!</v>
      </c>
      <c r="AP346" t="s">
        <v>724</v>
      </c>
      <c r="AS346" t="str">
        <f>_xlfn.XLOOKUP(AU346,[2]GAE!HZ:HZ,[2]GAE!IA:IA)</f>
        <v>IS &amp; IT</v>
      </c>
      <c r="AT346" t="str">
        <f>_xlfn.XLOOKUP(AU346,[2]GAE!HZ:HZ,[2]GAE!IB:IB)</f>
        <v>DOE - Systems and Applications</v>
      </c>
      <c r="AU346" t="s">
        <v>594</v>
      </c>
      <c r="AV346">
        <v>81124101</v>
      </c>
      <c r="AW346">
        <v>52952103</v>
      </c>
      <c r="AX346" t="str">
        <f>_xlfn.XLOOKUP(AU346,[2]GAE!HZ:HZ,[2]GAE!IF:IF)</f>
        <v>Systems &amp; Applications</v>
      </c>
      <c r="BF346" t="s">
        <v>612</v>
      </c>
      <c r="BG346" t="s">
        <v>84</v>
      </c>
      <c r="BH346" s="10">
        <f>SUMIFS('[1]2026'!$K:$K,'[1]2026'!$T:$T,BD346,'[1]2026'!$S:$S,BH$3,'[1]2026'!$P:$P,AU346)</f>
        <v>0</v>
      </c>
      <c r="BI346" s="10">
        <f>SUMIFS('[1]2026'!$K:$K,'[1]2026'!$T:$T,$BD346,'[1]2026'!$S:$S,BI$3,'[1]2026'!$P:$P,$AU346)</f>
        <v>0</v>
      </c>
      <c r="BJ346" s="10">
        <f>SUMIFS('[1]2026'!$K:$K,'[1]2026'!$T:$T,$BD346,'[1]2026'!$S:$S,BJ$3,'[1]2026'!$P:$P,$AU346)</f>
        <v>0</v>
      </c>
      <c r="BK346" s="10">
        <f>SUMIFS('[1]2026'!$K:$K,'[1]2026'!$T:$T,$BD346,'[1]2026'!$S:$S,BK$3,'[1]2026'!$P:$P,$AU346)</f>
        <v>0</v>
      </c>
      <c r="BL346" s="10">
        <f>SUMIFS('[1]2026'!$K:$K,'[1]2026'!$T:$T,$BD346,'[1]2026'!$S:$S,BL$3,'[1]2026'!$P:$P,$AU346)</f>
        <v>0</v>
      </c>
      <c r="BM346" s="10">
        <f>SUMIFS('[1]2026'!$K:$K,'[1]2026'!$T:$T,$BD346,'[1]2026'!$S:$S,BM$3,'[1]2026'!$P:$P,$AU346)</f>
        <v>0</v>
      </c>
      <c r="BN346" s="10">
        <f>SUMIFS('[1]2026'!$K:$K,'[1]2026'!$T:$T,$BD346,'[1]2026'!$S:$S,BN$3,'[1]2026'!$P:$P,$AU346)</f>
        <v>0</v>
      </c>
      <c r="BO346" s="10">
        <f>SUMIFS('[1]2026'!$K:$K,'[1]2026'!$T:$T,$BD346,'[1]2026'!$S:$S,BO$3,'[1]2026'!$P:$P,$AU346)</f>
        <v>0</v>
      </c>
      <c r="BP346" s="6">
        <f t="shared" si="215"/>
        <v>0</v>
      </c>
      <c r="BQ346" s="6">
        <f t="shared" si="215"/>
        <v>0</v>
      </c>
      <c r="BR346" s="6">
        <f t="shared" si="215"/>
        <v>0</v>
      </c>
      <c r="BS346" s="6">
        <f t="shared" si="215"/>
        <v>0</v>
      </c>
      <c r="BT346" s="6">
        <f t="shared" si="216"/>
        <v>0</v>
      </c>
      <c r="BV346" s="6">
        <f t="shared" si="214"/>
        <v>-1921.0777550425678</v>
      </c>
      <c r="BW346" s="6">
        <f t="shared" si="214"/>
        <v>-1921.0777550425678</v>
      </c>
      <c r="BX346" s="6">
        <f t="shared" si="214"/>
        <v>-1921.0777550425678</v>
      </c>
      <c r="BY346" s="6">
        <f t="shared" si="214"/>
        <v>-1921.0777550425678</v>
      </c>
      <c r="BZ346" s="6">
        <f t="shared" si="214"/>
        <v>-1921.0777550425678</v>
      </c>
      <c r="CA346" s="6">
        <f t="shared" si="214"/>
        <v>-1921.0777550425678</v>
      </c>
      <c r="CB346" s="6">
        <f t="shared" si="214"/>
        <v>-1921.0777550425678</v>
      </c>
      <c r="CC346" s="6">
        <f t="shared" si="214"/>
        <v>-1921.0777550425678</v>
      </c>
      <c r="CD346" s="6">
        <f t="shared" si="214"/>
        <v>-1921.0777550425678</v>
      </c>
      <c r="CE346" s="6">
        <f t="shared" si="214"/>
        <v>-1921.0777550425678</v>
      </c>
      <c r="CF346" s="6">
        <f t="shared" si="214"/>
        <v>-1921.0777550425678</v>
      </c>
      <c r="CG346" s="6">
        <f t="shared" si="214"/>
        <v>-1921.0777550425678</v>
      </c>
      <c r="CH346" s="6">
        <f t="shared" si="212"/>
        <v>-23052.933060510812</v>
      </c>
    </row>
    <row r="347" spans="1:86" x14ac:dyDescent="0.35"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N347" s="27">
        <f t="shared" si="209"/>
        <v>0</v>
      </c>
      <c r="AS347" t="str">
        <f>_xlfn.XLOOKUP(AU347,[2]GAE!HZ:HZ,[2]GAE!IA:IA)</f>
        <v>IS &amp; IT</v>
      </c>
      <c r="AT347" t="str">
        <f>_xlfn.XLOOKUP(AU347,[2]GAE!HZ:HZ,[2]GAE!IB:IB)</f>
        <v>GAE- Systems &amp; Applications</v>
      </c>
      <c r="AU347" s="2" t="s">
        <v>593</v>
      </c>
      <c r="AV347" s="2">
        <v>80124101</v>
      </c>
      <c r="AW347" s="2">
        <v>61711102</v>
      </c>
      <c r="AX347" t="str">
        <f>_xlfn.XLOOKUP(AU347,[2]GAE!HZ:HZ,[2]GAE!IF:IF)</f>
        <v>Systems &amp; Applications</v>
      </c>
      <c r="BC347" t="s">
        <v>294</v>
      </c>
      <c r="BD347" s="2" t="s">
        <v>725</v>
      </c>
      <c r="BE347" s="2"/>
      <c r="BF347" t="s">
        <v>612</v>
      </c>
      <c r="BG347" s="37" t="s">
        <v>629</v>
      </c>
      <c r="BL347" s="10">
        <f>SUMIFS('[1]2026'!$K:$K,'[1]2026'!$T:$T,$BD347,'[1]2026'!$S:$S,BL$3,'[1]2026'!$P:$P,$AU347)</f>
        <v>97332.6</v>
      </c>
      <c r="BM347" s="10">
        <f>SUMIFS('[1]2026'!$K:$K,'[1]2026'!$T:$T,$BD347,'[1]2026'!$S:$S,BM$3,'[1]2026'!$P:$P,$AU347)</f>
        <v>0</v>
      </c>
      <c r="BN347" s="10">
        <f>SUMIFS('[1]2026'!$K:$K,'[1]2026'!$T:$T,$BD347,'[1]2026'!$S:$S,BN$3,'[1]2026'!$P:$P,$AU347)</f>
        <v>0</v>
      </c>
      <c r="BO347" s="10">
        <f>SUMIFS('[1]2026'!$K:$K,'[1]2026'!$T:$T,$BD347,'[1]2026'!$S:$S,BO$3,'[1]2026'!$P:$P,$AU347)</f>
        <v>0</v>
      </c>
      <c r="BP347" s="6"/>
      <c r="BQ347" s="6"/>
      <c r="BR347" s="6"/>
      <c r="BS347" s="6"/>
      <c r="BT347" s="6">
        <f t="shared" si="216"/>
        <v>97332.6</v>
      </c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>
        <f t="shared" si="212"/>
        <v>97332.6</v>
      </c>
    </row>
    <row r="348" spans="1:86" x14ac:dyDescent="0.35"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N348" s="27">
        <f t="shared" si="209"/>
        <v>0</v>
      </c>
      <c r="AS348" t="str">
        <f>_xlfn.XLOOKUP(AU348,[2]GAE!HZ:HZ,[2]GAE!IA:IA)</f>
        <v>IS &amp; IT</v>
      </c>
      <c r="AT348" t="str">
        <f>_xlfn.XLOOKUP(AU348,[2]GAE!HZ:HZ,[2]GAE!IB:IB)</f>
        <v>GAE- Systems &amp; Applications</v>
      </c>
      <c r="AU348" s="2" t="s">
        <v>593</v>
      </c>
      <c r="AV348" s="2">
        <v>80124101</v>
      </c>
      <c r="AW348" s="2">
        <v>61711102</v>
      </c>
      <c r="AX348" t="str">
        <f>_xlfn.XLOOKUP(AU348,[2]GAE!HZ:HZ,[2]GAE!IF:IF)</f>
        <v>Systems &amp; Applications</v>
      </c>
      <c r="BC348" t="s">
        <v>294</v>
      </c>
      <c r="BD348" s="2" t="s">
        <v>726</v>
      </c>
      <c r="BE348" s="2"/>
      <c r="BF348" t="s">
        <v>612</v>
      </c>
      <c r="BG348" s="37" t="s">
        <v>629</v>
      </c>
      <c r="BL348" s="10">
        <f>SUMIFS('[1]2026'!$K:$K,'[1]2026'!$T:$T,$BD348,'[1]2026'!$S:$S,BL$3,'[1]2026'!$P:$P,$AU348)</f>
        <v>-1017384.9</v>
      </c>
      <c r="BM348" s="10">
        <f>SUMIFS('[1]2026'!$K:$K,'[1]2026'!$T:$T,$BD348,'[1]2026'!$S:$S,BM$3,'[1]2026'!$P:$P,$AU348)</f>
        <v>0</v>
      </c>
      <c r="BN348" s="10">
        <f>SUMIFS('[1]2026'!$K:$K,'[1]2026'!$T:$T,$BD348,'[1]2026'!$S:$S,BN$3,'[1]2026'!$P:$P,$AU348)</f>
        <v>0</v>
      </c>
      <c r="BO348" s="10">
        <f>SUMIFS('[1]2026'!$K:$K,'[1]2026'!$T:$T,$BD348,'[1]2026'!$S:$S,BO$3,'[1]2026'!$P:$P,$AU348)</f>
        <v>0</v>
      </c>
      <c r="BP348" s="6"/>
      <c r="BQ348" s="6"/>
      <c r="BR348" s="6"/>
      <c r="BS348" s="6"/>
      <c r="BT348" s="6">
        <f t="shared" si="216"/>
        <v>-1017384.9</v>
      </c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>
        <f t="shared" si="212"/>
        <v>-1017384.9</v>
      </c>
    </row>
    <row r="349" spans="1:86" hidden="1" x14ac:dyDescent="0.35">
      <c r="A349" s="3" t="s">
        <v>727</v>
      </c>
      <c r="B349" s="10">
        <v>120000</v>
      </c>
      <c r="C349" s="10">
        <v>120000</v>
      </c>
      <c r="D349" s="10">
        <v>120000</v>
      </c>
      <c r="E349" s="10">
        <v>120000</v>
      </c>
      <c r="F349" s="10">
        <v>120000</v>
      </c>
      <c r="G349" s="10">
        <v>120000</v>
      </c>
      <c r="H349" s="10">
        <v>120000</v>
      </c>
      <c r="I349" s="10">
        <v>120000</v>
      </c>
      <c r="J349" s="10">
        <v>120000</v>
      </c>
      <c r="K349" s="10">
        <v>120000</v>
      </c>
      <c r="L349" s="10">
        <v>120000</v>
      </c>
      <c r="M349" s="10">
        <v>120000</v>
      </c>
      <c r="N349" s="27">
        <f t="shared" si="207"/>
        <v>1440000</v>
      </c>
      <c r="AA349" s="27">
        <f t="shared" si="208"/>
        <v>0</v>
      </c>
      <c r="AB349" s="10">
        <f t="shared" si="209"/>
        <v>120000</v>
      </c>
      <c r="AC349" s="10">
        <f t="shared" si="209"/>
        <v>120000</v>
      </c>
      <c r="AD349" s="10">
        <f t="shared" si="209"/>
        <v>120000</v>
      </c>
      <c r="AE349" s="10">
        <f t="shared" si="209"/>
        <v>120000</v>
      </c>
      <c r="AF349" s="10">
        <f t="shared" si="209"/>
        <v>120000</v>
      </c>
      <c r="AG349" s="10">
        <f t="shared" si="209"/>
        <v>120000</v>
      </c>
      <c r="AH349" s="10">
        <f t="shared" si="209"/>
        <v>120000</v>
      </c>
      <c r="AI349" s="10">
        <f t="shared" si="209"/>
        <v>120000</v>
      </c>
      <c r="AJ349" s="10">
        <f t="shared" si="209"/>
        <v>120000</v>
      </c>
      <c r="AK349" s="10">
        <f t="shared" si="209"/>
        <v>120000</v>
      </c>
      <c r="AL349" s="10">
        <f t="shared" si="209"/>
        <v>120000</v>
      </c>
      <c r="AM349" s="10">
        <f t="shared" si="209"/>
        <v>120000</v>
      </c>
      <c r="AN349" s="27">
        <f t="shared" si="209"/>
        <v>1440000</v>
      </c>
      <c r="AO349" s="28">
        <f>105000*12</f>
        <v>1260000</v>
      </c>
      <c r="AP349" t="s">
        <v>728</v>
      </c>
      <c r="AS349" t="str">
        <f>_xlfn.XLOOKUP(AU349,[2]GAE!HZ:HZ,[2]GAE!IA:IA)</f>
        <v>IS &amp; IT</v>
      </c>
      <c r="AT349" t="str">
        <f>_xlfn.XLOOKUP(AU349,[2]GAE!HZ:HZ,[2]GAE!IB:IB)</f>
        <v>DOE - Prof. Fees - Consultants</v>
      </c>
      <c r="AU349" t="s">
        <v>729</v>
      </c>
      <c r="AV349">
        <v>81124101</v>
      </c>
      <c r="AW349">
        <v>52071104</v>
      </c>
      <c r="AX349" t="str">
        <f>_xlfn.XLOOKUP(AU349,[2]GAE!HZ:HZ,[2]GAE!IF:IF)</f>
        <v>Professional fees</v>
      </c>
      <c r="AY349" t="str">
        <f>_xlfn.XLOOKUP(AU349,[2]GAE!HZ:HZ,[2]GAE!IG:IG)</f>
        <v>Internal and external consultants</v>
      </c>
      <c r="BF349" t="s">
        <v>93</v>
      </c>
      <c r="BG349" s="37" t="s">
        <v>730</v>
      </c>
      <c r="BH349" s="10">
        <f>SUMIFS('[1]2026'!$K:$K,'[1]2026'!$T:$T,BD349,'[1]2026'!$S:$S,BH$3,'[1]2026'!$P:$P,AU349)</f>
        <v>0</v>
      </c>
      <c r="BI349" s="10">
        <f>SUMIFS('[1]2026'!$K:$K,'[1]2026'!$T:$T,$BD349,'[1]2026'!$S:$S,BI$3,'[1]2026'!$P:$P,$AU349)</f>
        <v>0</v>
      </c>
      <c r="BJ349" s="10">
        <f>SUMIFS('[1]2026'!$K:$K,'[1]2026'!$T:$T,$BD349,'[1]2026'!$S:$S,BJ$3,'[1]2026'!$P:$P,$AU349)</f>
        <v>0</v>
      </c>
      <c r="BK349" s="10">
        <f>SUMIFS('[1]2026'!$K:$K,'[1]2026'!$T:$T,$BD349,'[1]2026'!$S:$S,BK$3,'[1]2026'!$P:$P,$AU349)</f>
        <v>0</v>
      </c>
      <c r="BL349" s="10">
        <f>SUMIFS('[1]2026'!$K:$K,'[1]2026'!$T:$T,$BD349,'[1]2026'!$S:$S,BL$3,'[1]2026'!$P:$P,$AU349)</f>
        <v>0</v>
      </c>
      <c r="BM349" s="10">
        <f>SUMIFS('[1]2026'!$K:$K,'[1]2026'!$T:$T,$BD349,'[1]2026'!$S:$S,BM$3,'[1]2026'!$P:$P,$AU349)</f>
        <v>0</v>
      </c>
      <c r="BN349" s="10">
        <f>SUMIFS('[1]2026'!$K:$K,'[1]2026'!$T:$T,$BD349,'[1]2026'!$S:$S,BN$3,'[1]2026'!$P:$P,$AU349)</f>
        <v>0</v>
      </c>
      <c r="BO349" s="10">
        <f>SUMIFS('[1]2026'!$K:$K,'[1]2026'!$T:$T,$BD349,'[1]2026'!$S:$S,BO$3,'[1]2026'!$P:$P,$AU349)</f>
        <v>0</v>
      </c>
      <c r="BP349" s="6">
        <f t="shared" ref="BP349:BS349" si="217">BO349</f>
        <v>0</v>
      </c>
      <c r="BQ349" s="6">
        <f t="shared" si="217"/>
        <v>0</v>
      </c>
      <c r="BR349" s="6">
        <f t="shared" si="217"/>
        <v>0</v>
      </c>
      <c r="BS349" s="6">
        <f t="shared" si="217"/>
        <v>0</v>
      </c>
      <c r="BT349" s="6">
        <f t="shared" si="216"/>
        <v>0</v>
      </c>
      <c r="BV349" s="6">
        <f t="shared" ref="BV349:BV361" si="218">BH349-AB349</f>
        <v>-120000</v>
      </c>
      <c r="BW349" s="6">
        <f t="shared" ref="BW349:BW361" si="219">BI349-AC349</f>
        <v>-120000</v>
      </c>
      <c r="BX349" s="6">
        <f t="shared" ref="BX349:BX361" si="220">BJ349-AD349</f>
        <v>-120000</v>
      </c>
      <c r="BY349" s="6">
        <f t="shared" ref="BY349:BY361" si="221">BK349-AE349</f>
        <v>-120000</v>
      </c>
      <c r="BZ349" s="6">
        <f t="shared" ref="BZ349:BZ361" si="222">BL349-AF349</f>
        <v>-120000</v>
      </c>
      <c r="CA349" s="6">
        <f t="shared" ref="CA349:CA361" si="223">BM349-AG349</f>
        <v>-120000</v>
      </c>
      <c r="CB349" s="6">
        <f t="shared" ref="CB349:CB361" si="224">BN349-AH349</f>
        <v>-120000</v>
      </c>
      <c r="CC349" s="6">
        <f t="shared" ref="CC349:CC361" si="225">BO349-AI349</f>
        <v>-120000</v>
      </c>
      <c r="CD349" s="6">
        <f t="shared" ref="CD349:CD361" si="226">BP349-AJ349</f>
        <v>-120000</v>
      </c>
      <c r="CE349" s="6">
        <f t="shared" ref="CE349:CE361" si="227">BQ349-AK349</f>
        <v>-120000</v>
      </c>
      <c r="CF349" s="6">
        <f t="shared" ref="CF349:CF361" si="228">BR349-AL349</f>
        <v>-120000</v>
      </c>
      <c r="CG349" s="6">
        <f t="shared" ref="CG349:CG361" si="229">BS349-AM349</f>
        <v>-120000</v>
      </c>
      <c r="CH349" s="6">
        <f t="shared" si="212"/>
        <v>-1440000</v>
      </c>
    </row>
    <row r="350" spans="1:86" hidden="1" x14ac:dyDescent="0.35">
      <c r="A350" s="3" t="s">
        <v>731</v>
      </c>
      <c r="B350" s="10">
        <v>60000</v>
      </c>
      <c r="C350" s="10">
        <v>60000</v>
      </c>
      <c r="D350" s="10">
        <v>60000</v>
      </c>
      <c r="E350" s="10">
        <v>60000</v>
      </c>
      <c r="F350" s="10">
        <v>60000</v>
      </c>
      <c r="G350" s="10">
        <v>60000</v>
      </c>
      <c r="H350" s="10">
        <v>60000</v>
      </c>
      <c r="I350" s="10">
        <v>60000</v>
      </c>
      <c r="J350" s="10">
        <v>60000</v>
      </c>
      <c r="K350" s="10">
        <v>60000</v>
      </c>
      <c r="L350" s="10">
        <v>60000</v>
      </c>
      <c r="M350" s="10">
        <v>60000</v>
      </c>
      <c r="N350" s="27">
        <f t="shared" si="207"/>
        <v>720000</v>
      </c>
      <c r="AA350" s="27">
        <f t="shared" si="208"/>
        <v>0</v>
      </c>
      <c r="AB350" s="10">
        <f t="shared" si="209"/>
        <v>60000</v>
      </c>
      <c r="AC350" s="10">
        <f t="shared" si="209"/>
        <v>60000</v>
      </c>
      <c r="AD350" s="10">
        <f t="shared" si="209"/>
        <v>60000</v>
      </c>
      <c r="AE350" s="10">
        <f t="shared" si="209"/>
        <v>60000</v>
      </c>
      <c r="AF350" s="10">
        <f t="shared" si="209"/>
        <v>60000</v>
      </c>
      <c r="AG350" s="10">
        <f t="shared" si="209"/>
        <v>60000</v>
      </c>
      <c r="AH350" s="10">
        <f t="shared" si="209"/>
        <v>60000</v>
      </c>
      <c r="AI350" s="10">
        <f t="shared" si="209"/>
        <v>60000</v>
      </c>
      <c r="AJ350" s="10">
        <f t="shared" si="209"/>
        <v>60000</v>
      </c>
      <c r="AK350" s="10">
        <f t="shared" si="209"/>
        <v>60000</v>
      </c>
      <c r="AL350" s="10">
        <f t="shared" si="209"/>
        <v>60000</v>
      </c>
      <c r="AM350" s="10">
        <f t="shared" si="209"/>
        <v>60000</v>
      </c>
      <c r="AN350" s="27">
        <f t="shared" si="209"/>
        <v>720000</v>
      </c>
      <c r="AO350" s="28">
        <v>0</v>
      </c>
      <c r="AP350" s="6"/>
      <c r="AS350" t="str">
        <f>_xlfn.XLOOKUP(AU350,[2]GAE!HZ:HZ,[2]GAE!IA:IA)</f>
        <v>IS &amp; IT</v>
      </c>
      <c r="AT350" t="str">
        <f>_xlfn.XLOOKUP(AU350,[2]GAE!HZ:HZ,[2]GAE!IB:IB)</f>
        <v>DOE - Prof. Fees - Consultants</v>
      </c>
      <c r="AU350" t="s">
        <v>729</v>
      </c>
      <c r="AV350">
        <v>81124101</v>
      </c>
      <c r="AW350">
        <v>52071104</v>
      </c>
      <c r="AX350" t="str">
        <f>_xlfn.XLOOKUP(AU350,[2]GAE!HZ:HZ,[2]GAE!IF:IF)</f>
        <v>Professional fees</v>
      </c>
      <c r="AY350" t="str">
        <f>_xlfn.XLOOKUP(AU350,[2]GAE!HZ:HZ,[2]GAE!IG:IG)</f>
        <v>Internal and external consultants</v>
      </c>
      <c r="BF350" t="s">
        <v>93</v>
      </c>
      <c r="BG350" s="37" t="s">
        <v>731</v>
      </c>
      <c r="BH350" s="10">
        <f>SUMIFS('[1]2026'!$K:$K,'[1]2026'!$T:$T,BD350,'[1]2026'!$S:$S,BH$3,'[1]2026'!$P:$P,AU350)</f>
        <v>0</v>
      </c>
      <c r="BI350" s="10">
        <f>SUMIFS('[1]2026'!$K:$K,'[1]2026'!$T:$T,$BD350,'[1]2026'!$S:$S,BI$3,'[1]2026'!$P:$P,$AU350)</f>
        <v>0</v>
      </c>
      <c r="BJ350" s="10">
        <f>SUMIFS('[1]2026'!$K:$K,'[1]2026'!$T:$T,$BD350,'[1]2026'!$S:$S,BJ$3,'[1]2026'!$P:$P,$AU350)</f>
        <v>0</v>
      </c>
      <c r="BK350" s="10">
        <f>SUMIFS('[1]2026'!$K:$K,'[1]2026'!$T:$T,$BD350,'[1]2026'!$S:$S,BK$3,'[1]2026'!$P:$P,$AU350)</f>
        <v>0</v>
      </c>
      <c r="BL350" s="10">
        <f>SUMIFS('[1]2026'!$K:$K,'[1]2026'!$T:$T,$BD350,'[1]2026'!$S:$S,BL$3,'[1]2026'!$P:$P,$AU350)</f>
        <v>0</v>
      </c>
      <c r="BM350" s="10">
        <f>SUMIFS('[1]2026'!$K:$K,'[1]2026'!$T:$T,$BD350,'[1]2026'!$S:$S,BM$3,'[1]2026'!$P:$P,$AU350)</f>
        <v>0</v>
      </c>
      <c r="BN350" s="10">
        <f>SUMIFS('[1]2026'!$K:$K,'[1]2026'!$T:$T,$BD350,'[1]2026'!$S:$S,BN$3,'[1]2026'!$P:$P,$AU350)</f>
        <v>0</v>
      </c>
      <c r="BO350" s="10">
        <f>SUMIFS('[1]2026'!$K:$K,'[1]2026'!$T:$T,$BD350,'[1]2026'!$S:$S,BO$3,'[1]2026'!$P:$P,$AU350)</f>
        <v>0</v>
      </c>
      <c r="BP350" s="6"/>
      <c r="BQ350" s="6"/>
      <c r="BR350" s="6"/>
      <c r="BS350" s="6"/>
      <c r="BT350" s="6">
        <f t="shared" si="216"/>
        <v>0</v>
      </c>
      <c r="BV350" s="6">
        <f t="shared" si="218"/>
        <v>-60000</v>
      </c>
      <c r="BW350" s="6">
        <f t="shared" si="219"/>
        <v>-60000</v>
      </c>
      <c r="BX350" s="6">
        <f t="shared" si="220"/>
        <v>-60000</v>
      </c>
      <c r="BY350" s="6">
        <f t="shared" si="221"/>
        <v>-60000</v>
      </c>
      <c r="BZ350" s="6">
        <f t="shared" si="222"/>
        <v>-60000</v>
      </c>
      <c r="CA350" s="6">
        <f t="shared" si="223"/>
        <v>-60000</v>
      </c>
      <c r="CB350" s="6">
        <f t="shared" si="224"/>
        <v>-60000</v>
      </c>
      <c r="CC350" s="6">
        <f t="shared" si="225"/>
        <v>-60000</v>
      </c>
      <c r="CD350" s="6">
        <f t="shared" si="226"/>
        <v>-60000</v>
      </c>
      <c r="CE350" s="6">
        <f t="shared" si="227"/>
        <v>-60000</v>
      </c>
      <c r="CF350" s="6">
        <f t="shared" si="228"/>
        <v>-60000</v>
      </c>
      <c r="CG350" s="6">
        <f t="shared" si="229"/>
        <v>-60000</v>
      </c>
      <c r="CH350" s="6">
        <f t="shared" si="212"/>
        <v>-720000</v>
      </c>
    </row>
    <row r="351" spans="1:86" hidden="1" x14ac:dyDescent="0.35">
      <c r="A351" s="3" t="s">
        <v>732</v>
      </c>
      <c r="B351" s="10">
        <v>40000</v>
      </c>
      <c r="C351" s="10">
        <v>40000</v>
      </c>
      <c r="D351" s="10">
        <v>40000</v>
      </c>
      <c r="E351" s="10">
        <v>40000</v>
      </c>
      <c r="F351" s="10">
        <v>40000</v>
      </c>
      <c r="G351" s="10">
        <v>40000</v>
      </c>
      <c r="H351" s="10">
        <v>40000</v>
      </c>
      <c r="I351" s="10">
        <v>40000</v>
      </c>
      <c r="J351" s="10">
        <v>40000</v>
      </c>
      <c r="K351" s="10">
        <v>40000</v>
      </c>
      <c r="L351" s="10">
        <v>40000</v>
      </c>
      <c r="M351" s="10">
        <v>40000</v>
      </c>
      <c r="N351" s="27">
        <f t="shared" si="207"/>
        <v>480000</v>
      </c>
      <c r="O351" s="10">
        <v>16666.666666666668</v>
      </c>
      <c r="P351" s="10">
        <v>16666.666666666668</v>
      </c>
      <c r="Q351" s="10">
        <v>16666.666666666668</v>
      </c>
      <c r="R351" s="10">
        <v>16666.666666666668</v>
      </c>
      <c r="S351" s="10">
        <v>16666.666666666668</v>
      </c>
      <c r="T351" s="10">
        <v>16666.666666666668</v>
      </c>
      <c r="U351" s="10">
        <v>16666.666666666668</v>
      </c>
      <c r="V351" s="10">
        <v>16666.666666666668</v>
      </c>
      <c r="W351" s="10">
        <v>16666.666666666668</v>
      </c>
      <c r="X351" s="10">
        <v>16666.666666666668</v>
      </c>
      <c r="Y351" s="10">
        <v>16666.666666666668</v>
      </c>
      <c r="Z351" s="10">
        <v>16666.666666666668</v>
      </c>
      <c r="AA351" s="27">
        <f t="shared" si="208"/>
        <v>199999.99999999997</v>
      </c>
      <c r="AB351" s="10">
        <f t="shared" si="209"/>
        <v>23333.333333333332</v>
      </c>
      <c r="AC351" s="10">
        <f t="shared" si="209"/>
        <v>23333.333333333332</v>
      </c>
      <c r="AD351" s="10">
        <f t="shared" si="209"/>
        <v>23333.333333333332</v>
      </c>
      <c r="AE351" s="10">
        <f t="shared" si="209"/>
        <v>23333.333333333332</v>
      </c>
      <c r="AF351" s="10">
        <f t="shared" si="209"/>
        <v>23333.333333333332</v>
      </c>
      <c r="AG351" s="10">
        <f t="shared" si="209"/>
        <v>23333.333333333332</v>
      </c>
      <c r="AH351" s="10">
        <f t="shared" si="209"/>
        <v>23333.333333333332</v>
      </c>
      <c r="AI351" s="10">
        <f t="shared" si="209"/>
        <v>23333.333333333332</v>
      </c>
      <c r="AJ351" s="10">
        <f t="shared" si="209"/>
        <v>23333.333333333332</v>
      </c>
      <c r="AK351" s="10">
        <f t="shared" si="209"/>
        <v>23333.333333333332</v>
      </c>
      <c r="AL351" s="10">
        <f t="shared" si="209"/>
        <v>23333.333333333332</v>
      </c>
      <c r="AM351" s="10">
        <f t="shared" si="209"/>
        <v>23333.333333333332</v>
      </c>
      <c r="AN351" s="27">
        <f t="shared" si="209"/>
        <v>280000</v>
      </c>
      <c r="AO351" s="28">
        <v>24000</v>
      </c>
      <c r="AS351" t="str">
        <f>_xlfn.XLOOKUP(AU351,[2]GAE!HZ:HZ,[2]GAE!IA:IA)</f>
        <v>IS &amp; IT</v>
      </c>
      <c r="AT351" t="str">
        <f>_xlfn.XLOOKUP(AU351,[2]GAE!HZ:HZ,[2]GAE!IB:IB)</f>
        <v>DOE - Prof. Fees - Consultants</v>
      </c>
      <c r="AU351" t="s">
        <v>729</v>
      </c>
      <c r="AV351">
        <v>81124101</v>
      </c>
      <c r="AW351">
        <v>52071104</v>
      </c>
      <c r="AX351" t="str">
        <f>_xlfn.XLOOKUP(AU351,[2]GAE!HZ:HZ,[2]GAE!IF:IF)</f>
        <v>Professional fees</v>
      </c>
      <c r="AY351" t="str">
        <f>_xlfn.XLOOKUP(AU351,[2]GAE!HZ:HZ,[2]GAE!IG:IG)</f>
        <v>Internal and external consultants</v>
      </c>
      <c r="BF351" t="s">
        <v>93</v>
      </c>
      <c r="BG351" s="37" t="s">
        <v>733</v>
      </c>
      <c r="BH351" s="10">
        <f>SUMIFS('[1]2026'!$K:$K,'[1]2026'!$T:$T,BD351,'[1]2026'!$S:$S,BH$3,'[1]2026'!$P:$P,AU351)</f>
        <v>0</v>
      </c>
      <c r="BI351" s="10">
        <f>SUMIFS('[1]2026'!$K:$K,'[1]2026'!$T:$T,$BD351,'[1]2026'!$S:$S,BI$3,'[1]2026'!$P:$P,$AU351)</f>
        <v>0</v>
      </c>
      <c r="BJ351" s="10">
        <f>SUMIFS('[1]2026'!$K:$K,'[1]2026'!$T:$T,$BD351,'[1]2026'!$S:$S,BJ$3,'[1]2026'!$P:$P,$AU351)</f>
        <v>0</v>
      </c>
      <c r="BK351" s="10">
        <f>SUMIFS('[1]2026'!$K:$K,'[1]2026'!$T:$T,$BD351,'[1]2026'!$S:$S,BK$3,'[1]2026'!$P:$P,$AU351)</f>
        <v>0</v>
      </c>
      <c r="BL351" s="10">
        <f>SUMIFS('[1]2026'!$K:$K,'[1]2026'!$T:$T,$BD351,'[1]2026'!$S:$S,BL$3,'[1]2026'!$P:$P,$AU351)</f>
        <v>0</v>
      </c>
      <c r="BM351" s="10">
        <f>SUMIFS('[1]2026'!$K:$K,'[1]2026'!$T:$T,$BD351,'[1]2026'!$S:$S,BM$3,'[1]2026'!$P:$P,$AU351)</f>
        <v>0</v>
      </c>
      <c r="BN351" s="10">
        <f>SUMIFS('[1]2026'!$K:$K,'[1]2026'!$T:$T,$BD351,'[1]2026'!$S:$S,BN$3,'[1]2026'!$P:$P,$AU351)</f>
        <v>0</v>
      </c>
      <c r="BO351" s="10">
        <f>SUMIFS('[1]2026'!$K:$K,'[1]2026'!$T:$T,$BD351,'[1]2026'!$S:$S,BO$3,'[1]2026'!$P:$P,$AU351)</f>
        <v>0</v>
      </c>
      <c r="BP351" s="6">
        <f t="shared" ref="BP351:BS355" si="230">BO351</f>
        <v>0</v>
      </c>
      <c r="BQ351" s="6">
        <f t="shared" si="230"/>
        <v>0</v>
      </c>
      <c r="BR351" s="6">
        <f t="shared" si="230"/>
        <v>0</v>
      </c>
      <c r="BS351" s="6">
        <f t="shared" si="230"/>
        <v>0</v>
      </c>
      <c r="BT351" s="6">
        <f t="shared" si="216"/>
        <v>0</v>
      </c>
      <c r="BV351" s="6">
        <f t="shared" si="218"/>
        <v>-23333.333333333332</v>
      </c>
      <c r="BW351" s="6">
        <f t="shared" si="219"/>
        <v>-23333.333333333332</v>
      </c>
      <c r="BX351" s="6">
        <f t="shared" si="220"/>
        <v>-23333.333333333332</v>
      </c>
      <c r="BY351" s="6">
        <f t="shared" si="221"/>
        <v>-23333.333333333332</v>
      </c>
      <c r="BZ351" s="6">
        <f t="shared" si="222"/>
        <v>-23333.333333333332</v>
      </c>
      <c r="CA351" s="6">
        <f t="shared" si="223"/>
        <v>-23333.333333333332</v>
      </c>
      <c r="CB351" s="6">
        <f t="shared" si="224"/>
        <v>-23333.333333333332</v>
      </c>
      <c r="CC351" s="6">
        <f t="shared" si="225"/>
        <v>-23333.333333333332</v>
      </c>
      <c r="CD351" s="6">
        <f t="shared" si="226"/>
        <v>-23333.333333333332</v>
      </c>
      <c r="CE351" s="6">
        <f t="shared" si="227"/>
        <v>-23333.333333333332</v>
      </c>
      <c r="CF351" s="6">
        <f t="shared" si="228"/>
        <v>-23333.333333333332</v>
      </c>
      <c r="CG351" s="6">
        <f t="shared" si="229"/>
        <v>-23333.333333333332</v>
      </c>
      <c r="CH351" s="6">
        <f t="shared" si="212"/>
        <v>-280000</v>
      </c>
    </row>
    <row r="352" spans="1:86" hidden="1" x14ac:dyDescent="0.35">
      <c r="A352" s="3" t="s">
        <v>734</v>
      </c>
      <c r="B352" s="10">
        <v>400000</v>
      </c>
      <c r="C352" s="10">
        <v>400000</v>
      </c>
      <c r="D352" s="10">
        <v>400000</v>
      </c>
      <c r="E352" s="10">
        <v>400000</v>
      </c>
      <c r="F352" s="10">
        <v>400000</v>
      </c>
      <c r="G352" s="10">
        <v>400000</v>
      </c>
      <c r="N352" s="27">
        <f t="shared" si="207"/>
        <v>2400000</v>
      </c>
      <c r="O352" s="10">
        <v>125000</v>
      </c>
      <c r="P352" s="10">
        <v>125000</v>
      </c>
      <c r="Q352" s="10">
        <v>125000</v>
      </c>
      <c r="R352" s="10">
        <v>125000</v>
      </c>
      <c r="S352" s="10">
        <v>125000</v>
      </c>
      <c r="T352" s="10">
        <v>125000</v>
      </c>
      <c r="U352" s="10">
        <v>125000</v>
      </c>
      <c r="V352" s="10">
        <v>125000</v>
      </c>
      <c r="W352" s="10">
        <v>125000</v>
      </c>
      <c r="X352" s="10">
        <v>125000</v>
      </c>
      <c r="Y352" s="10">
        <v>125000</v>
      </c>
      <c r="Z352" s="10">
        <v>125000</v>
      </c>
      <c r="AA352" s="27">
        <f t="shared" si="208"/>
        <v>1500000</v>
      </c>
      <c r="AB352" s="10">
        <f t="shared" si="209"/>
        <v>275000</v>
      </c>
      <c r="AC352" s="10">
        <f t="shared" si="209"/>
        <v>275000</v>
      </c>
      <c r="AD352" s="10">
        <f t="shared" si="209"/>
        <v>275000</v>
      </c>
      <c r="AE352" s="10">
        <f t="shared" si="209"/>
        <v>275000</v>
      </c>
      <c r="AF352" s="10">
        <f t="shared" si="209"/>
        <v>275000</v>
      </c>
      <c r="AG352" s="10">
        <f t="shared" si="209"/>
        <v>275000</v>
      </c>
      <c r="AH352" s="10">
        <f t="shared" si="209"/>
        <v>-125000</v>
      </c>
      <c r="AI352" s="10">
        <f t="shared" si="209"/>
        <v>-125000</v>
      </c>
      <c r="AJ352" s="10">
        <f t="shared" si="209"/>
        <v>-125000</v>
      </c>
      <c r="AK352" s="10">
        <f t="shared" si="209"/>
        <v>-125000</v>
      </c>
      <c r="AL352" s="10">
        <f t="shared" si="209"/>
        <v>-125000</v>
      </c>
      <c r="AM352" s="10">
        <f t="shared" si="209"/>
        <v>-125000</v>
      </c>
      <c r="AN352" s="27">
        <f t="shared" si="209"/>
        <v>900000</v>
      </c>
      <c r="AO352" s="28">
        <v>0</v>
      </c>
      <c r="AS352" t="str">
        <f>_xlfn.XLOOKUP(AU352,[2]GAE!HZ:HZ,[2]GAE!IA:IA)</f>
        <v>IS &amp; IT</v>
      </c>
      <c r="AT352" t="str">
        <f>_xlfn.XLOOKUP(AU352,[2]GAE!HZ:HZ,[2]GAE!IB:IB)</f>
        <v>DOE - Prof. Fees - Consultants</v>
      </c>
      <c r="AU352" t="s">
        <v>729</v>
      </c>
      <c r="AV352">
        <v>81124101</v>
      </c>
      <c r="AW352">
        <v>52071104</v>
      </c>
      <c r="AX352" t="str">
        <f>_xlfn.XLOOKUP(AU352,[2]GAE!HZ:HZ,[2]GAE!IF:IF)</f>
        <v>Professional fees</v>
      </c>
      <c r="AY352" t="str">
        <f>_xlfn.XLOOKUP(AU352,[2]GAE!HZ:HZ,[2]GAE!IG:IG)</f>
        <v>Internal and external consultants</v>
      </c>
      <c r="BF352" t="s">
        <v>93</v>
      </c>
      <c r="BG352" s="37" t="s">
        <v>735</v>
      </c>
      <c r="BH352" s="10">
        <f>SUMIFS('[1]2026'!$K:$K,'[1]2026'!$T:$T,BD352,'[1]2026'!$S:$S,BH$3,'[1]2026'!$P:$P,AU352)</f>
        <v>0</v>
      </c>
      <c r="BI352" s="10">
        <f>SUMIFS('[1]2026'!$K:$K,'[1]2026'!$T:$T,$BD352,'[1]2026'!$S:$S,BI$3,'[1]2026'!$P:$P,$AU352)</f>
        <v>0</v>
      </c>
      <c r="BJ352" s="10">
        <f>SUMIFS('[1]2026'!$K:$K,'[1]2026'!$T:$T,$BD352,'[1]2026'!$S:$S,BJ$3,'[1]2026'!$P:$P,$AU352)</f>
        <v>0</v>
      </c>
      <c r="BK352" s="10">
        <f>SUMIFS('[1]2026'!$K:$K,'[1]2026'!$T:$T,$BD352,'[1]2026'!$S:$S,BK$3,'[1]2026'!$P:$P,$AU352)</f>
        <v>0</v>
      </c>
      <c r="BL352" s="10">
        <f>SUMIFS('[1]2026'!$K:$K,'[1]2026'!$T:$T,$BD352,'[1]2026'!$S:$S,BL$3,'[1]2026'!$P:$P,$AU352)</f>
        <v>0</v>
      </c>
      <c r="BM352" s="10">
        <f>SUMIFS('[1]2026'!$K:$K,'[1]2026'!$T:$T,$BD352,'[1]2026'!$S:$S,BM$3,'[1]2026'!$P:$P,$AU352)</f>
        <v>0</v>
      </c>
      <c r="BN352" s="10">
        <f>SUMIFS('[1]2026'!$K:$K,'[1]2026'!$T:$T,$BD352,'[1]2026'!$S:$S,BN$3,'[1]2026'!$P:$P,$AU352)</f>
        <v>0</v>
      </c>
      <c r="BO352" s="10">
        <f>SUMIFS('[1]2026'!$K:$K,'[1]2026'!$T:$T,$BD352,'[1]2026'!$S:$S,BO$3,'[1]2026'!$P:$P,$AU352)</f>
        <v>0</v>
      </c>
      <c r="BP352" s="6">
        <f t="shared" si="230"/>
        <v>0</v>
      </c>
      <c r="BQ352" s="6">
        <f t="shared" si="230"/>
        <v>0</v>
      </c>
      <c r="BR352" s="6">
        <f t="shared" si="230"/>
        <v>0</v>
      </c>
      <c r="BS352" s="6">
        <f t="shared" si="230"/>
        <v>0</v>
      </c>
      <c r="BT352" s="6">
        <f t="shared" si="216"/>
        <v>0</v>
      </c>
      <c r="BV352" s="6">
        <f t="shared" si="218"/>
        <v>-275000</v>
      </c>
      <c r="BW352" s="6">
        <f t="shared" si="219"/>
        <v>-275000</v>
      </c>
      <c r="BX352" s="6">
        <f t="shared" si="220"/>
        <v>-275000</v>
      </c>
      <c r="BY352" s="6">
        <f t="shared" si="221"/>
        <v>-275000</v>
      </c>
      <c r="BZ352" s="6">
        <f t="shared" si="222"/>
        <v>-275000</v>
      </c>
      <c r="CA352" s="6">
        <f t="shared" si="223"/>
        <v>-275000</v>
      </c>
      <c r="CB352" s="6">
        <f t="shared" si="224"/>
        <v>125000</v>
      </c>
      <c r="CC352" s="6">
        <f t="shared" si="225"/>
        <v>125000</v>
      </c>
      <c r="CD352" s="6">
        <f t="shared" si="226"/>
        <v>125000</v>
      </c>
      <c r="CE352" s="6">
        <f t="shared" si="227"/>
        <v>125000</v>
      </c>
      <c r="CF352" s="6">
        <f t="shared" si="228"/>
        <v>125000</v>
      </c>
      <c r="CG352" s="6">
        <f t="shared" si="229"/>
        <v>125000</v>
      </c>
      <c r="CH352" s="6">
        <f t="shared" si="212"/>
        <v>-900000</v>
      </c>
    </row>
    <row r="353" spans="1:86" hidden="1" x14ac:dyDescent="0.35">
      <c r="A353" s="3" t="s">
        <v>736</v>
      </c>
      <c r="B353" s="10">
        <v>150000</v>
      </c>
      <c r="H353" s="10">
        <v>150000</v>
      </c>
      <c r="K353" s="10">
        <v>150000</v>
      </c>
      <c r="N353" s="27">
        <f t="shared" si="207"/>
        <v>450000</v>
      </c>
      <c r="O353" s="10">
        <v>100000</v>
      </c>
      <c r="AA353" s="27">
        <f t="shared" si="208"/>
        <v>100000</v>
      </c>
      <c r="AB353" s="10">
        <f t="shared" si="209"/>
        <v>50000</v>
      </c>
      <c r="AC353" s="10">
        <f t="shared" si="209"/>
        <v>0</v>
      </c>
      <c r="AD353" s="10">
        <f t="shared" si="209"/>
        <v>0</v>
      </c>
      <c r="AE353" s="10">
        <f t="shared" si="209"/>
        <v>0</v>
      </c>
      <c r="AF353" s="10">
        <f t="shared" si="209"/>
        <v>0</v>
      </c>
      <c r="AG353" s="10">
        <f t="shared" si="209"/>
        <v>0</v>
      </c>
      <c r="AH353" s="10">
        <f t="shared" si="209"/>
        <v>150000</v>
      </c>
      <c r="AI353" s="10">
        <f t="shared" si="209"/>
        <v>0</v>
      </c>
      <c r="AJ353" s="10">
        <f t="shared" si="209"/>
        <v>0</v>
      </c>
      <c r="AK353" s="10">
        <f t="shared" si="209"/>
        <v>150000</v>
      </c>
      <c r="AL353" s="10">
        <f t="shared" si="209"/>
        <v>0</v>
      </c>
      <c r="AM353" s="10">
        <f t="shared" si="209"/>
        <v>0</v>
      </c>
      <c r="AN353" s="27">
        <f t="shared" si="209"/>
        <v>350000</v>
      </c>
      <c r="AO353" s="28">
        <v>0</v>
      </c>
      <c r="AS353" t="str">
        <f>_xlfn.XLOOKUP(AU353,[2]GAE!HZ:HZ,[2]GAE!IA:IA)</f>
        <v>IS &amp; IT</v>
      </c>
      <c r="AT353" t="str">
        <f>_xlfn.XLOOKUP(AU353,[2]GAE!HZ:HZ,[2]GAE!IB:IB)</f>
        <v>DOE - Prof. Fees - Consultants</v>
      </c>
      <c r="AU353" t="s">
        <v>729</v>
      </c>
      <c r="AV353">
        <v>81124101</v>
      </c>
      <c r="AW353">
        <v>52071104</v>
      </c>
      <c r="AX353" t="str">
        <f>_xlfn.XLOOKUP(AU353,[2]GAE!HZ:HZ,[2]GAE!IF:IF)</f>
        <v>Professional fees</v>
      </c>
      <c r="AY353" t="str">
        <f>_xlfn.XLOOKUP(AU353,[2]GAE!HZ:HZ,[2]GAE!IG:IG)</f>
        <v>Internal and external consultants</v>
      </c>
      <c r="BF353" t="s">
        <v>93</v>
      </c>
      <c r="BG353" s="37" t="s">
        <v>737</v>
      </c>
      <c r="BH353" s="10">
        <f>SUMIFS('[1]2026'!$K:$K,'[1]2026'!$T:$T,BD353,'[1]2026'!$S:$S,BH$3,'[1]2026'!$P:$P,AU353)</f>
        <v>0</v>
      </c>
      <c r="BI353" s="10">
        <f>SUMIFS('[1]2026'!$K:$K,'[1]2026'!$T:$T,$BD353,'[1]2026'!$S:$S,BI$3,'[1]2026'!$P:$P,$AU353)</f>
        <v>0</v>
      </c>
      <c r="BJ353" s="10">
        <f>SUMIFS('[1]2026'!$K:$K,'[1]2026'!$T:$T,$BD353,'[1]2026'!$S:$S,BJ$3,'[1]2026'!$P:$P,$AU353)</f>
        <v>0</v>
      </c>
      <c r="BK353" s="10">
        <f>SUMIFS('[1]2026'!$K:$K,'[1]2026'!$T:$T,$BD353,'[1]2026'!$S:$S,BK$3,'[1]2026'!$P:$P,$AU353)</f>
        <v>0</v>
      </c>
      <c r="BL353" s="10">
        <f>SUMIFS('[1]2026'!$K:$K,'[1]2026'!$T:$T,$BD353,'[1]2026'!$S:$S,BL$3,'[1]2026'!$P:$P,$AU353)</f>
        <v>0</v>
      </c>
      <c r="BM353" s="10">
        <f>SUMIFS('[1]2026'!$K:$K,'[1]2026'!$T:$T,$BD353,'[1]2026'!$S:$S,BM$3,'[1]2026'!$P:$P,$AU353)</f>
        <v>0</v>
      </c>
      <c r="BN353" s="10">
        <f>SUMIFS('[1]2026'!$K:$K,'[1]2026'!$T:$T,$BD353,'[1]2026'!$S:$S,BN$3,'[1]2026'!$P:$P,$AU353)</f>
        <v>0</v>
      </c>
      <c r="BO353" s="10">
        <f>SUMIFS('[1]2026'!$K:$K,'[1]2026'!$T:$T,$BD353,'[1]2026'!$S:$S,BO$3,'[1]2026'!$P:$P,$AU353)</f>
        <v>0</v>
      </c>
      <c r="BP353" s="6">
        <f t="shared" si="230"/>
        <v>0</v>
      </c>
      <c r="BQ353" s="6">
        <f t="shared" si="230"/>
        <v>0</v>
      </c>
      <c r="BR353" s="6">
        <f t="shared" si="230"/>
        <v>0</v>
      </c>
      <c r="BS353" s="6">
        <f t="shared" si="230"/>
        <v>0</v>
      </c>
      <c r="BT353" s="6">
        <f t="shared" si="216"/>
        <v>0</v>
      </c>
      <c r="BV353" s="6">
        <f t="shared" si="218"/>
        <v>-50000</v>
      </c>
      <c r="BW353" s="6">
        <f t="shared" si="219"/>
        <v>0</v>
      </c>
      <c r="BX353" s="6">
        <f t="shared" si="220"/>
        <v>0</v>
      </c>
      <c r="BY353" s="6">
        <f t="shared" si="221"/>
        <v>0</v>
      </c>
      <c r="BZ353" s="6">
        <f t="shared" si="222"/>
        <v>0</v>
      </c>
      <c r="CA353" s="6">
        <f t="shared" si="223"/>
        <v>0</v>
      </c>
      <c r="CB353" s="6">
        <f t="shared" si="224"/>
        <v>-150000</v>
      </c>
      <c r="CC353" s="6">
        <f t="shared" si="225"/>
        <v>0</v>
      </c>
      <c r="CD353" s="6">
        <f t="shared" si="226"/>
        <v>0</v>
      </c>
      <c r="CE353" s="6">
        <f t="shared" si="227"/>
        <v>-150000</v>
      </c>
      <c r="CF353" s="6">
        <f t="shared" si="228"/>
        <v>0</v>
      </c>
      <c r="CG353" s="6">
        <f t="shared" si="229"/>
        <v>0</v>
      </c>
      <c r="CH353" s="6">
        <f t="shared" si="212"/>
        <v>-350000</v>
      </c>
    </row>
    <row r="354" spans="1:86" hidden="1" x14ac:dyDescent="0.35">
      <c r="A354" s="3" t="s">
        <v>738</v>
      </c>
      <c r="B354" s="10">
        <v>50000</v>
      </c>
      <c r="C354" s="10">
        <v>50000</v>
      </c>
      <c r="D354" s="10">
        <v>50000</v>
      </c>
      <c r="E354" s="10">
        <v>50000</v>
      </c>
      <c r="F354" s="10">
        <v>50000</v>
      </c>
      <c r="G354" s="10">
        <v>50000</v>
      </c>
      <c r="H354" s="10">
        <v>50000</v>
      </c>
      <c r="I354" s="10">
        <v>50000</v>
      </c>
      <c r="J354" s="10">
        <v>50000</v>
      </c>
      <c r="K354" s="10">
        <v>50000</v>
      </c>
      <c r="L354" s="10">
        <v>50000</v>
      </c>
      <c r="M354" s="10">
        <v>50000</v>
      </c>
      <c r="N354" s="27">
        <f t="shared" si="207"/>
        <v>600000</v>
      </c>
      <c r="O354" s="10">
        <v>25000</v>
      </c>
      <c r="P354" s="10">
        <v>25000</v>
      </c>
      <c r="Q354" s="10">
        <v>25000</v>
      </c>
      <c r="R354" s="10">
        <v>25000</v>
      </c>
      <c r="S354" s="10">
        <v>25000</v>
      </c>
      <c r="T354" s="10">
        <v>25000</v>
      </c>
      <c r="U354" s="10">
        <v>25000</v>
      </c>
      <c r="V354" s="10">
        <v>25000</v>
      </c>
      <c r="W354" s="10">
        <v>25000</v>
      </c>
      <c r="X354" s="10">
        <v>25000</v>
      </c>
      <c r="Y354" s="10">
        <v>25000</v>
      </c>
      <c r="Z354" s="10">
        <v>25000</v>
      </c>
      <c r="AA354" s="27">
        <f t="shared" si="208"/>
        <v>300000</v>
      </c>
      <c r="AB354" s="10">
        <f t="shared" si="209"/>
        <v>25000</v>
      </c>
      <c r="AC354" s="10">
        <f t="shared" si="209"/>
        <v>25000</v>
      </c>
      <c r="AD354" s="10">
        <f t="shared" si="209"/>
        <v>25000</v>
      </c>
      <c r="AE354" s="10">
        <f t="shared" si="209"/>
        <v>25000</v>
      </c>
      <c r="AF354" s="10">
        <f t="shared" si="209"/>
        <v>25000</v>
      </c>
      <c r="AG354" s="10">
        <f t="shared" si="209"/>
        <v>25000</v>
      </c>
      <c r="AH354" s="10">
        <f t="shared" si="209"/>
        <v>25000</v>
      </c>
      <c r="AI354" s="10">
        <f t="shared" si="209"/>
        <v>25000</v>
      </c>
      <c r="AJ354" s="10">
        <f t="shared" si="209"/>
        <v>25000</v>
      </c>
      <c r="AK354" s="10">
        <f t="shared" si="209"/>
        <v>25000</v>
      </c>
      <c r="AL354" s="10">
        <f t="shared" si="209"/>
        <v>25000</v>
      </c>
      <c r="AM354" s="10">
        <f t="shared" si="209"/>
        <v>25000</v>
      </c>
      <c r="AN354" s="27">
        <f t="shared" si="209"/>
        <v>300000</v>
      </c>
      <c r="AO354" s="28">
        <v>0</v>
      </c>
      <c r="AS354" t="str">
        <f>_xlfn.XLOOKUP(AU354,[2]GAE!HZ:HZ,[2]GAE!IA:IA)</f>
        <v>IS &amp; IT</v>
      </c>
      <c r="AT354" t="str">
        <f>_xlfn.XLOOKUP(AU354,[2]GAE!HZ:HZ,[2]GAE!IB:IB)</f>
        <v>DOE - Prof. Fees - Consultants</v>
      </c>
      <c r="AU354" t="s">
        <v>729</v>
      </c>
      <c r="AV354">
        <v>81124101</v>
      </c>
      <c r="AW354">
        <v>52071104</v>
      </c>
      <c r="AX354" t="str">
        <f>_xlfn.XLOOKUP(AU354,[2]GAE!HZ:HZ,[2]GAE!IF:IF)</f>
        <v>Professional fees</v>
      </c>
      <c r="AY354" t="str">
        <f>_xlfn.XLOOKUP(AU354,[2]GAE!HZ:HZ,[2]GAE!IG:IG)</f>
        <v>Internal and external consultants</v>
      </c>
      <c r="BF354" t="s">
        <v>93</v>
      </c>
      <c r="BG354" s="37" t="s">
        <v>739</v>
      </c>
      <c r="BH354" s="10">
        <f>SUMIFS('[1]2026'!$K:$K,'[1]2026'!$T:$T,BD354,'[1]2026'!$S:$S,BH$3,'[1]2026'!$P:$P,AU354)</f>
        <v>0</v>
      </c>
      <c r="BI354" s="10">
        <f>SUMIFS('[1]2026'!$K:$K,'[1]2026'!$T:$T,$BD354,'[1]2026'!$S:$S,BI$3,'[1]2026'!$P:$P,$AU354)</f>
        <v>0</v>
      </c>
      <c r="BJ354" s="10">
        <f>SUMIFS('[1]2026'!$K:$K,'[1]2026'!$T:$T,$BD354,'[1]2026'!$S:$S,BJ$3,'[1]2026'!$P:$P,$AU354)</f>
        <v>0</v>
      </c>
      <c r="BK354" s="10">
        <f>SUMIFS('[1]2026'!$K:$K,'[1]2026'!$T:$T,$BD354,'[1]2026'!$S:$S,BK$3,'[1]2026'!$P:$P,$AU354)</f>
        <v>0</v>
      </c>
      <c r="BL354" s="10">
        <f>SUMIFS('[1]2026'!$K:$K,'[1]2026'!$T:$T,$BD354,'[1]2026'!$S:$S,BL$3,'[1]2026'!$P:$P,$AU354)</f>
        <v>0</v>
      </c>
      <c r="BM354" s="10">
        <f>SUMIFS('[1]2026'!$K:$K,'[1]2026'!$T:$T,$BD354,'[1]2026'!$S:$S,BM$3,'[1]2026'!$P:$P,$AU354)</f>
        <v>0</v>
      </c>
      <c r="BN354" s="10">
        <f>SUMIFS('[1]2026'!$K:$K,'[1]2026'!$T:$T,$BD354,'[1]2026'!$S:$S,BN$3,'[1]2026'!$P:$P,$AU354)</f>
        <v>0</v>
      </c>
      <c r="BO354" s="10">
        <f>SUMIFS('[1]2026'!$K:$K,'[1]2026'!$T:$T,$BD354,'[1]2026'!$S:$S,BO$3,'[1]2026'!$P:$P,$AU354)</f>
        <v>0</v>
      </c>
      <c r="BP354" s="6">
        <f t="shared" si="230"/>
        <v>0</v>
      </c>
      <c r="BQ354" s="6">
        <f t="shared" si="230"/>
        <v>0</v>
      </c>
      <c r="BR354" s="6">
        <f t="shared" si="230"/>
        <v>0</v>
      </c>
      <c r="BS354" s="6">
        <f t="shared" si="230"/>
        <v>0</v>
      </c>
      <c r="BT354" s="6">
        <f t="shared" si="216"/>
        <v>0</v>
      </c>
      <c r="BV354" s="6">
        <f t="shared" si="218"/>
        <v>-25000</v>
      </c>
      <c r="BW354" s="6">
        <f t="shared" si="219"/>
        <v>-25000</v>
      </c>
      <c r="BX354" s="6">
        <f t="shared" si="220"/>
        <v>-25000</v>
      </c>
      <c r="BY354" s="6">
        <f t="shared" si="221"/>
        <v>-25000</v>
      </c>
      <c r="BZ354" s="6">
        <f t="shared" si="222"/>
        <v>-25000</v>
      </c>
      <c r="CA354" s="6">
        <f t="shared" si="223"/>
        <v>-25000</v>
      </c>
      <c r="CB354" s="6">
        <f t="shared" si="224"/>
        <v>-25000</v>
      </c>
      <c r="CC354" s="6">
        <f t="shared" si="225"/>
        <v>-25000</v>
      </c>
      <c r="CD354" s="6">
        <f t="shared" si="226"/>
        <v>-25000</v>
      </c>
      <c r="CE354" s="6">
        <f t="shared" si="227"/>
        <v>-25000</v>
      </c>
      <c r="CF354" s="6">
        <f t="shared" si="228"/>
        <v>-25000</v>
      </c>
      <c r="CG354" s="6">
        <f t="shared" si="229"/>
        <v>-25000</v>
      </c>
      <c r="CH354" s="6">
        <f t="shared" si="212"/>
        <v>-300000</v>
      </c>
    </row>
    <row r="355" spans="1:86" hidden="1" x14ac:dyDescent="0.35">
      <c r="A355" s="3" t="s">
        <v>740</v>
      </c>
      <c r="B355" s="32"/>
      <c r="C355" s="32"/>
      <c r="D355" s="32"/>
      <c r="E355" s="32"/>
      <c r="F355" s="32"/>
      <c r="G355" s="32"/>
      <c r="H355" s="32">
        <v>400000</v>
      </c>
      <c r="I355" s="32"/>
      <c r="J355" s="32"/>
      <c r="K355" s="32"/>
      <c r="L355" s="32"/>
      <c r="M355" s="32"/>
      <c r="N355" s="27">
        <f t="shared" si="207"/>
        <v>400000</v>
      </c>
      <c r="O355" s="21"/>
      <c r="P355" s="21"/>
      <c r="Q355" s="21"/>
      <c r="R355" s="21"/>
      <c r="S355" s="21"/>
      <c r="T355" s="21"/>
      <c r="U355" s="21">
        <v>400000</v>
      </c>
      <c r="V355" s="21"/>
      <c r="W355" s="21"/>
      <c r="X355" s="21"/>
      <c r="Y355" s="21"/>
      <c r="Z355" s="21"/>
      <c r="AA355" s="27">
        <f t="shared" si="208"/>
        <v>400000</v>
      </c>
      <c r="AB355" s="10">
        <f t="shared" si="209"/>
        <v>0</v>
      </c>
      <c r="AC355" s="10">
        <f t="shared" si="209"/>
        <v>0</v>
      </c>
      <c r="AD355" s="10">
        <f t="shared" si="209"/>
        <v>0</v>
      </c>
      <c r="AE355" s="10">
        <f t="shared" si="209"/>
        <v>0</v>
      </c>
      <c r="AF355" s="10">
        <f t="shared" si="209"/>
        <v>0</v>
      </c>
      <c r="AG355" s="10">
        <f t="shared" si="209"/>
        <v>0</v>
      </c>
      <c r="AH355" s="10">
        <f t="shared" si="209"/>
        <v>0</v>
      </c>
      <c r="AI355" s="10">
        <f t="shared" si="209"/>
        <v>0</v>
      </c>
      <c r="AJ355" s="10">
        <f t="shared" si="209"/>
        <v>0</v>
      </c>
      <c r="AK355" s="10">
        <f t="shared" si="209"/>
        <v>0</v>
      </c>
      <c r="AL355" s="10">
        <f t="shared" si="209"/>
        <v>0</v>
      </c>
      <c r="AM355" s="10">
        <f t="shared" si="209"/>
        <v>0</v>
      </c>
      <c r="AN355" s="27">
        <f t="shared" si="209"/>
        <v>0</v>
      </c>
      <c r="AS355" t="str">
        <f>_xlfn.XLOOKUP(AU355,[2]GAE!HZ:HZ,[2]GAE!IA:IA)</f>
        <v>IS &amp; IT</v>
      </c>
      <c r="AT355" t="str">
        <f>_xlfn.XLOOKUP(AU355,[2]GAE!HZ:HZ,[2]GAE!IB:IB)</f>
        <v>DOE - Prof. Fees - Consultants</v>
      </c>
      <c r="AU355" t="s">
        <v>729</v>
      </c>
      <c r="AV355">
        <v>81124101</v>
      </c>
      <c r="AW355">
        <v>52071104</v>
      </c>
      <c r="AX355" t="str">
        <f>_xlfn.XLOOKUP(AU355,[2]GAE!HZ:HZ,[2]GAE!IF:IF)</f>
        <v>Professional fees</v>
      </c>
      <c r="AY355" t="str">
        <f>_xlfn.XLOOKUP(AU355,[2]GAE!HZ:HZ,[2]GAE!IG:IG)</f>
        <v>Internal and external consultants</v>
      </c>
      <c r="BA355" t="s">
        <v>741</v>
      </c>
      <c r="BF355" s="37" t="s">
        <v>1263</v>
      </c>
      <c r="BG355" s="37" t="s">
        <v>1263</v>
      </c>
      <c r="BH355" s="10">
        <f>SUMIFS('[1]2026'!$K:$K,'[1]2026'!$T:$T,BD355,'[1]2026'!$S:$S,BH$3,'[1]2026'!$P:$P,AU355)</f>
        <v>0</v>
      </c>
      <c r="BI355" s="10">
        <f>SUMIFS('[1]2026'!$K:$K,'[1]2026'!$T:$T,$BD355,'[1]2026'!$S:$S,BI$3,'[1]2026'!$P:$P,$AU355)</f>
        <v>0</v>
      </c>
      <c r="BJ355" s="10">
        <f>SUMIFS('[1]2026'!$K:$K,'[1]2026'!$T:$T,$BD355,'[1]2026'!$S:$S,BJ$3,'[1]2026'!$P:$P,$AU355)</f>
        <v>0</v>
      </c>
      <c r="BK355" s="10">
        <f>SUMIFS('[1]2026'!$K:$K,'[1]2026'!$T:$T,$BD355,'[1]2026'!$S:$S,BK$3,'[1]2026'!$P:$P,$AU355)</f>
        <v>0</v>
      </c>
      <c r="BL355" s="10">
        <f>SUMIFS('[1]2026'!$K:$K,'[1]2026'!$T:$T,$BD355,'[1]2026'!$S:$S,BL$3,'[1]2026'!$P:$P,$AU355)</f>
        <v>0</v>
      </c>
      <c r="BM355" s="10">
        <f>SUMIFS('[1]2026'!$K:$K,'[1]2026'!$T:$T,$BD355,'[1]2026'!$S:$S,BM$3,'[1]2026'!$P:$P,$AU355)</f>
        <v>0</v>
      </c>
      <c r="BN355" s="10">
        <f>SUMIFS('[1]2026'!$K:$K,'[1]2026'!$T:$T,$BD355,'[1]2026'!$S:$S,BN$3,'[1]2026'!$P:$P,$AU355)</f>
        <v>0</v>
      </c>
      <c r="BO355" s="10">
        <f>SUMIFS('[1]2026'!$K:$K,'[1]2026'!$T:$T,$BD355,'[1]2026'!$S:$S,BO$3,'[1]2026'!$P:$P,$AU355)</f>
        <v>0</v>
      </c>
      <c r="BP355" s="6">
        <f t="shared" si="230"/>
        <v>0</v>
      </c>
      <c r="BQ355" s="6">
        <f t="shared" si="230"/>
        <v>0</v>
      </c>
      <c r="BR355" s="6">
        <f t="shared" si="230"/>
        <v>0</v>
      </c>
      <c r="BS355" s="6">
        <f t="shared" si="230"/>
        <v>0</v>
      </c>
      <c r="BT355" s="6">
        <f t="shared" si="216"/>
        <v>0</v>
      </c>
      <c r="BV355" s="6">
        <f t="shared" si="218"/>
        <v>0</v>
      </c>
      <c r="BW355" s="6">
        <f t="shared" si="219"/>
        <v>0</v>
      </c>
      <c r="BX355" s="6">
        <f t="shared" si="220"/>
        <v>0</v>
      </c>
      <c r="BY355" s="6">
        <f t="shared" si="221"/>
        <v>0</v>
      </c>
      <c r="BZ355" s="6">
        <f t="shared" si="222"/>
        <v>0</v>
      </c>
      <c r="CA355" s="6">
        <f t="shared" si="223"/>
        <v>0</v>
      </c>
      <c r="CB355" s="6">
        <f t="shared" si="224"/>
        <v>0</v>
      </c>
      <c r="CC355" s="6">
        <f t="shared" si="225"/>
        <v>0</v>
      </c>
      <c r="CD355" s="6">
        <f t="shared" si="226"/>
        <v>0</v>
      </c>
      <c r="CE355" s="6">
        <f t="shared" si="227"/>
        <v>0</v>
      </c>
      <c r="CF355" s="6">
        <f t="shared" si="228"/>
        <v>0</v>
      </c>
      <c r="CG355" s="6">
        <f t="shared" si="229"/>
        <v>0</v>
      </c>
      <c r="CH355" s="6">
        <f t="shared" si="212"/>
        <v>0</v>
      </c>
    </row>
    <row r="356" spans="1:86" hidden="1" x14ac:dyDescent="0.35">
      <c r="A356" s="3" t="s">
        <v>742</v>
      </c>
      <c r="B356" s="10">
        <v>83333.333333333328</v>
      </c>
      <c r="C356" s="10">
        <v>83333.333333333328</v>
      </c>
      <c r="D356" s="10">
        <v>83333.333333333328</v>
      </c>
      <c r="E356" s="10">
        <v>83333.333333333328</v>
      </c>
      <c r="F356" s="10">
        <v>83333.333333333328</v>
      </c>
      <c r="G356" s="10">
        <v>83333.333333333328</v>
      </c>
      <c r="H356" s="10">
        <v>83333.333333333328</v>
      </c>
      <c r="I356" s="10">
        <v>83333.333333333328</v>
      </c>
      <c r="J356" s="10">
        <v>83333.333333333328</v>
      </c>
      <c r="K356" s="10">
        <v>83333.333333333328</v>
      </c>
      <c r="L356" s="10">
        <v>83333.333333333328</v>
      </c>
      <c r="M356" s="10">
        <v>83333.333333333328</v>
      </c>
      <c r="N356" s="27">
        <f t="shared" si="207"/>
        <v>1000000.0000000001</v>
      </c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7">
        <f t="shared" si="208"/>
        <v>0</v>
      </c>
      <c r="AB356" s="10">
        <f t="shared" si="209"/>
        <v>83333.333333333328</v>
      </c>
      <c r="AC356" s="10">
        <f t="shared" si="209"/>
        <v>83333.333333333328</v>
      </c>
      <c r="AD356" s="10">
        <f t="shared" si="209"/>
        <v>83333.333333333328</v>
      </c>
      <c r="AE356" s="10">
        <f t="shared" si="209"/>
        <v>83333.333333333328</v>
      </c>
      <c r="AF356" s="10">
        <f t="shared" si="209"/>
        <v>83333.333333333328</v>
      </c>
      <c r="AG356" s="10">
        <f t="shared" si="209"/>
        <v>83333.333333333328</v>
      </c>
      <c r="AH356" s="10">
        <f t="shared" si="209"/>
        <v>83333.333333333328</v>
      </c>
      <c r="AI356" s="10">
        <f t="shared" si="209"/>
        <v>83333.333333333328</v>
      </c>
      <c r="AJ356" s="10">
        <f t="shared" si="209"/>
        <v>83333.333333333328</v>
      </c>
      <c r="AK356" s="10">
        <f t="shared" si="209"/>
        <v>83333.333333333328</v>
      </c>
      <c r="AL356" s="10">
        <f t="shared" si="209"/>
        <v>83333.333333333328</v>
      </c>
      <c r="AM356" s="10">
        <f t="shared" si="209"/>
        <v>83333.333333333328</v>
      </c>
      <c r="AN356" s="27">
        <f t="shared" si="209"/>
        <v>1000000.0000000001</v>
      </c>
      <c r="AS356" t="str">
        <f>_xlfn.XLOOKUP(AU356,[2]GAE!HZ:HZ,[2]GAE!IA:IA)</f>
        <v>ADMIN SERVICES</v>
      </c>
      <c r="AT356" t="str">
        <f>_xlfn.XLOOKUP(AU356,[2]GAE!HZ:HZ,[2]GAE!IB:IB)</f>
        <v>GAE - Postal &amp; Communication - Telephone</v>
      </c>
      <c r="AU356" t="s">
        <v>507</v>
      </c>
      <c r="AV356">
        <v>80123102</v>
      </c>
      <c r="AW356">
        <v>61721101</v>
      </c>
      <c r="AX356" t="str">
        <f>_xlfn.XLOOKUP(AU356,[2]GAE!HZ:HZ,[2]GAE!IF:IF)</f>
        <v>Others</v>
      </c>
      <c r="AY356" t="str">
        <f>_xlfn.XLOOKUP(AU356,[2]GAE!HZ:HZ,[2]GAE!IG:IG)</f>
        <v>Postal &amp; Communication</v>
      </c>
      <c r="BC356" t="s">
        <v>30</v>
      </c>
      <c r="BD356" t="s">
        <v>587</v>
      </c>
      <c r="BF356" t="s">
        <v>508</v>
      </c>
      <c r="BG356" t="s">
        <v>30</v>
      </c>
      <c r="BH356" s="10">
        <f>SUMIFS('[1]2026'!$K:$K,'[1]2026'!$T:$T,BD356,'[1]2026'!$S:$S,BH$3,'[1]2026'!$P:$P,AU356)</f>
        <v>48004.35</v>
      </c>
      <c r="BI356" s="10">
        <f>SUMIFS('[1]2026'!$K:$K,'[1]2026'!$T:$T,$BD356,'[1]2026'!$S:$S,BI$3,'[1]2026'!$P:$P,$AU356)</f>
        <v>78305.610000000059</v>
      </c>
      <c r="BJ356" s="10">
        <f>SUMIFS('[1]2026'!$K:$K,'[1]2026'!$T:$T,$BD356,'[1]2026'!$S:$S,BJ$3,'[1]2026'!$P:$P,$AU356)</f>
        <v>76806.760000000038</v>
      </c>
      <c r="BK356" s="10">
        <f>SUMIFS('[1]2026'!$K:$K,'[1]2026'!$T:$T,$BD356,'[1]2026'!$S:$S,BK$3,'[1]2026'!$P:$P,$AU356)</f>
        <v>74313.800000000047</v>
      </c>
      <c r="BL356" s="10">
        <f>SUMIFS('[1]2026'!$K:$K,'[1]2026'!$T:$T,$BD356,'[1]2026'!$S:$S,BL$3,'[1]2026'!$P:$P,$AU356)</f>
        <v>72410.310000000027</v>
      </c>
      <c r="BM356" s="10">
        <f>SUMIFS('[1]2026'!$K:$K,'[1]2026'!$T:$T,$BD356,'[1]2026'!$S:$S,BM$3,'[1]2026'!$P:$P,$AU356)</f>
        <v>70409.73</v>
      </c>
      <c r="BN356" s="10">
        <f>SUMIFS('[1]2026'!$K:$K,'[1]2026'!$T:$T,$BD356,'[1]2026'!$S:$S,BN$3,'[1]2026'!$P:$P,$AU356)</f>
        <v>28382.89999999998</v>
      </c>
      <c r="BO356" s="10">
        <f>SUMIFS('[1]2026'!$K:$K,'[1]2026'!$T:$T,$BD356,'[1]2026'!$S:$S,BO$3,'[1]2026'!$P:$P,$AU356)</f>
        <v>86017.990000000136</v>
      </c>
      <c r="BP356" s="6">
        <v>80000</v>
      </c>
      <c r="BQ356" s="6">
        <v>80000</v>
      </c>
      <c r="BR356" s="6">
        <v>80000</v>
      </c>
      <c r="BS356" s="6">
        <v>80000</v>
      </c>
      <c r="BT356" s="6">
        <f t="shared" si="216"/>
        <v>854651.4500000003</v>
      </c>
      <c r="BV356" s="6">
        <f t="shared" si="218"/>
        <v>-35328.98333333333</v>
      </c>
      <c r="BW356" s="6">
        <f t="shared" si="219"/>
        <v>-5027.7233333332697</v>
      </c>
      <c r="BX356" s="6">
        <f t="shared" si="220"/>
        <v>-6526.5733333332901</v>
      </c>
      <c r="BY356" s="6">
        <f t="shared" si="221"/>
        <v>-9019.5333333332819</v>
      </c>
      <c r="BZ356" s="6">
        <f t="shared" si="222"/>
        <v>-10923.023333333302</v>
      </c>
      <c r="CA356" s="6">
        <f t="shared" si="223"/>
        <v>-12923.603333333333</v>
      </c>
      <c r="CB356" s="6">
        <f t="shared" si="224"/>
        <v>-54950.433333333349</v>
      </c>
      <c r="CC356" s="6">
        <f t="shared" si="225"/>
        <v>2684.6566666668077</v>
      </c>
      <c r="CD356" s="6">
        <f t="shared" si="226"/>
        <v>-3333.3333333333285</v>
      </c>
      <c r="CE356" s="6">
        <f t="shared" si="227"/>
        <v>-3333.3333333333285</v>
      </c>
      <c r="CF356" s="6">
        <f t="shared" si="228"/>
        <v>-3333.3333333333285</v>
      </c>
      <c r="CG356" s="6">
        <f t="shared" si="229"/>
        <v>-3333.3333333333285</v>
      </c>
      <c r="CH356" s="6">
        <f t="shared" si="212"/>
        <v>-145348.54999999981</v>
      </c>
    </row>
    <row r="357" spans="1:86" hidden="1" x14ac:dyDescent="0.35"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N357" s="27">
        <f>N357-AA357</f>
        <v>0</v>
      </c>
      <c r="AS357" t="str">
        <f>_xlfn.XLOOKUP(AU357,[2]GAE!HZ:HZ,[2]GAE!IA:IA)</f>
        <v>IS &amp; IT</v>
      </c>
      <c r="AT357" t="str">
        <f>_xlfn.XLOOKUP(AU357,[2]GAE!HZ:HZ,[2]GAE!IB:IB)</f>
        <v>GAE - Postal &amp; Commctn - Leased Lines/ Internet</v>
      </c>
      <c r="AU357" t="s">
        <v>743</v>
      </c>
      <c r="AV357">
        <v>80124101</v>
      </c>
      <c r="AW357">
        <v>61721105</v>
      </c>
      <c r="AX357" t="str">
        <f>_xlfn.XLOOKUP(AU357,[2]GAE!HZ:HZ,[2]GAE!IF:IF)</f>
        <v>Others</v>
      </c>
      <c r="AY357" t="str">
        <f>_xlfn.XLOOKUP(AU357,[2]GAE!HZ:HZ,[2]GAE!IG:IG)</f>
        <v>Postal &amp; Communication</v>
      </c>
      <c r="BC357" t="s">
        <v>294</v>
      </c>
      <c r="BD357" t="s">
        <v>744</v>
      </c>
      <c r="BF357" s="37" t="s">
        <v>1263</v>
      </c>
      <c r="BG357" s="37" t="s">
        <v>1263</v>
      </c>
      <c r="BH357" s="10">
        <f>SUMIFS('[1]2026'!$K:$K,'[1]2026'!$T:$T,BD357,'[1]2026'!$S:$S,BH$3,'[1]2026'!$P:$P,AU357)</f>
        <v>0</v>
      </c>
      <c r="BI357" s="10">
        <f>SUMIFS('[1]2026'!$K:$K,'[1]2026'!$T:$T,$BD357,'[1]2026'!$S:$S,BI$3,'[1]2026'!$P:$P,$AU357)</f>
        <v>0</v>
      </c>
      <c r="BJ357" s="10">
        <f>SUMIFS('[1]2026'!$K:$K,'[1]2026'!$T:$T,$BD357,'[1]2026'!$S:$S,BJ$3,'[1]2026'!$P:$P,$AU357)</f>
        <v>1209.289999999979</v>
      </c>
      <c r="BK357" s="10">
        <f>SUMIFS('[1]2026'!$K:$K,'[1]2026'!$T:$T,$BD357,'[1]2026'!$S:$S,BK$3,'[1]2026'!$P:$P,$AU357)</f>
        <v>1383.93</v>
      </c>
      <c r="BL357" s="10">
        <f>SUMIFS('[1]2026'!$K:$K,'[1]2026'!$T:$T,$BD357,'[1]2026'!$S:$S,BL$3,'[1]2026'!$P:$P,$AU357)</f>
        <v>3422.5</v>
      </c>
      <c r="BM357" s="10">
        <f>SUMIFS('[1]2026'!$K:$K,'[1]2026'!$T:$T,$BD357,'[1]2026'!$S:$S,BM$3,'[1]2026'!$P:$P,$AU357)</f>
        <v>7270.3600000000006</v>
      </c>
      <c r="BN357" s="10">
        <f>SUMIFS('[1]2026'!$K:$K,'[1]2026'!$T:$T,$BD357,'[1]2026'!$S:$S,BN$3,'[1]2026'!$P:$P,$AU357)</f>
        <v>0</v>
      </c>
      <c r="BO357" s="10">
        <f>SUMIFS('[1]2026'!$K:$K,'[1]2026'!$T:$T,$BD357,'[1]2026'!$S:$S,BO$3,'[1]2026'!$P:$P,$AU357)</f>
        <v>5626.79</v>
      </c>
      <c r="BP357" s="6">
        <v>3811.79</v>
      </c>
      <c r="BQ357" s="6">
        <v>3811.79</v>
      </c>
      <c r="BR357" s="6">
        <v>3811.79</v>
      </c>
      <c r="BS357" s="6">
        <v>3811.79</v>
      </c>
      <c r="BT357" s="6">
        <f t="shared" si="216"/>
        <v>34160.029999999984</v>
      </c>
      <c r="BV357" s="6">
        <f t="shared" si="218"/>
        <v>0</v>
      </c>
      <c r="BW357" s="6">
        <f t="shared" si="219"/>
        <v>0</v>
      </c>
      <c r="BX357" s="6">
        <f t="shared" si="220"/>
        <v>1209.289999999979</v>
      </c>
      <c r="BY357" s="6">
        <f t="shared" si="221"/>
        <v>1383.93</v>
      </c>
      <c r="BZ357" s="6">
        <f t="shared" si="222"/>
        <v>3422.5</v>
      </c>
      <c r="CA357" s="6">
        <f t="shared" si="223"/>
        <v>7270.3600000000006</v>
      </c>
      <c r="CB357" s="6">
        <f t="shared" si="224"/>
        <v>0</v>
      </c>
      <c r="CC357" s="6">
        <f t="shared" si="225"/>
        <v>5626.79</v>
      </c>
      <c r="CD357" s="6">
        <f t="shared" si="226"/>
        <v>3811.79</v>
      </c>
      <c r="CE357" s="6">
        <f t="shared" si="227"/>
        <v>3811.79</v>
      </c>
      <c r="CF357" s="6">
        <f t="shared" si="228"/>
        <v>3811.79</v>
      </c>
      <c r="CG357" s="6">
        <f t="shared" si="229"/>
        <v>3811.79</v>
      </c>
      <c r="CH357" s="6">
        <f t="shared" si="212"/>
        <v>34160.029999999984</v>
      </c>
    </row>
    <row r="358" spans="1:86" hidden="1" x14ac:dyDescent="0.35">
      <c r="A358" s="3" t="s">
        <v>745</v>
      </c>
      <c r="B358" s="10">
        <v>165000</v>
      </c>
      <c r="C358" s="10">
        <v>165000</v>
      </c>
      <c r="D358" s="10">
        <v>165000</v>
      </c>
      <c r="E358" s="10">
        <v>165000</v>
      </c>
      <c r="F358" s="10">
        <v>165000</v>
      </c>
      <c r="G358" s="10">
        <v>165000</v>
      </c>
      <c r="H358" s="10">
        <v>165000</v>
      </c>
      <c r="I358" s="10">
        <v>165000</v>
      </c>
      <c r="J358" s="10">
        <v>165000</v>
      </c>
      <c r="K358" s="10">
        <v>165000</v>
      </c>
      <c r="L358" s="10">
        <v>165000</v>
      </c>
      <c r="M358" s="10">
        <v>165000</v>
      </c>
      <c r="N358" s="27">
        <f t="shared" si="207"/>
        <v>1980000</v>
      </c>
      <c r="AA358" s="27">
        <f t="shared" si="208"/>
        <v>0</v>
      </c>
      <c r="AB358" s="10">
        <f t="shared" si="209"/>
        <v>165000</v>
      </c>
      <c r="AC358" s="10">
        <f t="shared" si="209"/>
        <v>165000</v>
      </c>
      <c r="AD358" s="10">
        <f t="shared" si="209"/>
        <v>165000</v>
      </c>
      <c r="AE358" s="10">
        <f t="shared" si="209"/>
        <v>165000</v>
      </c>
      <c r="AF358" s="10">
        <f t="shared" si="209"/>
        <v>165000</v>
      </c>
      <c r="AG358" s="10">
        <f t="shared" si="209"/>
        <v>165000</v>
      </c>
      <c r="AH358" s="10">
        <f t="shared" si="209"/>
        <v>165000</v>
      </c>
      <c r="AI358" s="10">
        <f t="shared" si="209"/>
        <v>165000</v>
      </c>
      <c r="AJ358" s="10">
        <f t="shared" si="209"/>
        <v>165000</v>
      </c>
      <c r="AK358" s="10">
        <f t="shared" si="209"/>
        <v>165000</v>
      </c>
      <c r="AL358" s="10">
        <f t="shared" si="209"/>
        <v>165000</v>
      </c>
      <c r="AM358" s="10">
        <f t="shared" si="209"/>
        <v>165000</v>
      </c>
      <c r="AN358" s="27">
        <f t="shared" si="209"/>
        <v>1980000</v>
      </c>
      <c r="AO358" s="28">
        <f>165000*12</f>
        <v>1980000</v>
      </c>
      <c r="AP358" t="s">
        <v>86</v>
      </c>
      <c r="AS358" t="str">
        <f>_xlfn.XLOOKUP(AU358,[2]GAE!HZ:HZ,[2]GAE!IA:IA)</f>
        <v>IS &amp; IT</v>
      </c>
      <c r="AT358" t="str">
        <f>_xlfn.XLOOKUP(AU358,[2]GAE!HZ:HZ,[2]GAE!IB:IB)</f>
        <v>GAE - Postal &amp; Commctn - Leased Lines/ Internet</v>
      </c>
      <c r="AU358" t="s">
        <v>743</v>
      </c>
      <c r="AV358">
        <v>80124101</v>
      </c>
      <c r="AW358">
        <v>61721105</v>
      </c>
      <c r="AX358" t="str">
        <f>_xlfn.XLOOKUP(AU358,[2]GAE!HZ:HZ,[2]GAE!IF:IF)</f>
        <v>Others</v>
      </c>
      <c r="AY358" t="str">
        <f>_xlfn.XLOOKUP(AU358,[2]GAE!HZ:HZ,[2]GAE!IG:IG)</f>
        <v>Postal &amp; Communication</v>
      </c>
      <c r="BC358" t="s">
        <v>87</v>
      </c>
      <c r="BD358" t="s">
        <v>87</v>
      </c>
      <c r="BF358" t="s">
        <v>86</v>
      </c>
      <c r="BG358" s="2" t="s">
        <v>87</v>
      </c>
      <c r="BH358" s="10">
        <f>SUMIFS('[1]2026'!$K:$K,'[1]2026'!$T:$T,BD358,'[1]2026'!$S:$S,BH$3,'[1]2026'!$P:$P,AU358)</f>
        <v>165000</v>
      </c>
      <c r="BI358" s="10">
        <f>SUMIFS('[1]2026'!$K:$K,'[1]2026'!$T:$T,$BD358,'[1]2026'!$S:$S,BI$3,'[1]2026'!$P:$P,$AU358)</f>
        <v>165000</v>
      </c>
      <c r="BJ358" s="10">
        <f>SUMIFS('[1]2026'!$K:$K,'[1]2026'!$T:$T,$BD358,'[1]2026'!$S:$S,BJ$3,'[1]2026'!$P:$P,$AU358)</f>
        <v>165000</v>
      </c>
      <c r="BK358" s="10">
        <f>SUMIFS('[1]2026'!$K:$K,'[1]2026'!$T:$T,$BD358,'[1]2026'!$S:$S,BK$3,'[1]2026'!$P:$P,$AU358)</f>
        <v>165000</v>
      </c>
      <c r="BL358" s="10">
        <f>SUMIFS('[1]2026'!$K:$K,'[1]2026'!$T:$T,$BD358,'[1]2026'!$S:$S,BL$3,'[1]2026'!$P:$P,$AU358)</f>
        <v>165000</v>
      </c>
      <c r="BM358" s="10">
        <f>SUMIFS('[1]2026'!$K:$K,'[1]2026'!$T:$T,$BD358,'[1]2026'!$S:$S,BM$3,'[1]2026'!$P:$P,$AU358)</f>
        <v>165000</v>
      </c>
      <c r="BN358" s="10">
        <f>SUMIFS('[1]2026'!$K:$K,'[1]2026'!$T:$T,$BD358,'[1]2026'!$S:$S,BN$3,'[1]2026'!$P:$P,$AU358)</f>
        <v>165000</v>
      </c>
      <c r="BO358" s="10">
        <f>SUMIFS('[1]2026'!$K:$K,'[1]2026'!$T:$T,$BD358,'[1]2026'!$S:$S,BO$3,'[1]2026'!$P:$P,$AU358)</f>
        <v>165000</v>
      </c>
      <c r="BP358" s="6">
        <f t="shared" ref="BP358:BS361" si="231">BO358</f>
        <v>165000</v>
      </c>
      <c r="BQ358" s="6">
        <f t="shared" si="231"/>
        <v>165000</v>
      </c>
      <c r="BR358" s="6">
        <f t="shared" si="231"/>
        <v>165000</v>
      </c>
      <c r="BS358" s="6">
        <f t="shared" si="231"/>
        <v>165000</v>
      </c>
      <c r="BT358" s="6">
        <f t="shared" si="216"/>
        <v>1980000</v>
      </c>
      <c r="BV358" s="6">
        <f t="shared" si="218"/>
        <v>0</v>
      </c>
      <c r="BW358" s="6">
        <f t="shared" si="219"/>
        <v>0</v>
      </c>
      <c r="BX358" s="6">
        <f t="shared" si="220"/>
        <v>0</v>
      </c>
      <c r="BY358" s="6">
        <f t="shared" si="221"/>
        <v>0</v>
      </c>
      <c r="BZ358" s="6">
        <f t="shared" si="222"/>
        <v>0</v>
      </c>
      <c r="CA358" s="6">
        <f t="shared" si="223"/>
        <v>0</v>
      </c>
      <c r="CB358" s="6">
        <f t="shared" si="224"/>
        <v>0</v>
      </c>
      <c r="CC358" s="6">
        <f t="shared" si="225"/>
        <v>0</v>
      </c>
      <c r="CD358" s="6">
        <f t="shared" si="226"/>
        <v>0</v>
      </c>
      <c r="CE358" s="6">
        <f t="shared" si="227"/>
        <v>0</v>
      </c>
      <c r="CF358" s="6">
        <f t="shared" si="228"/>
        <v>0</v>
      </c>
      <c r="CG358" s="6">
        <f t="shared" si="229"/>
        <v>0</v>
      </c>
      <c r="CH358" s="6">
        <f t="shared" si="212"/>
        <v>0</v>
      </c>
    </row>
    <row r="359" spans="1:86" hidden="1" x14ac:dyDescent="0.35">
      <c r="A359" s="3" t="s">
        <v>746</v>
      </c>
      <c r="B359" s="10">
        <v>115000</v>
      </c>
      <c r="C359" s="10">
        <v>115000</v>
      </c>
      <c r="D359" s="10">
        <v>115000</v>
      </c>
      <c r="E359" s="10">
        <v>115000</v>
      </c>
      <c r="F359" s="10">
        <v>115000</v>
      </c>
      <c r="G359" s="10">
        <v>115000</v>
      </c>
      <c r="H359" s="10">
        <v>115000</v>
      </c>
      <c r="I359" s="10">
        <v>115000</v>
      </c>
      <c r="J359" s="10">
        <v>115000</v>
      </c>
      <c r="K359" s="10">
        <v>115000</v>
      </c>
      <c r="L359" s="10">
        <v>115000</v>
      </c>
      <c r="M359" s="10">
        <v>115000</v>
      </c>
      <c r="N359" s="27">
        <f t="shared" si="207"/>
        <v>1380000</v>
      </c>
      <c r="AA359" s="27">
        <f t="shared" si="208"/>
        <v>0</v>
      </c>
      <c r="AB359" s="10">
        <f t="shared" ref="AB359:AN363" si="232">B359-O359</f>
        <v>115000</v>
      </c>
      <c r="AC359" s="10">
        <f t="shared" si="232"/>
        <v>115000</v>
      </c>
      <c r="AD359" s="10">
        <f t="shared" si="232"/>
        <v>115000</v>
      </c>
      <c r="AE359" s="10">
        <f t="shared" si="232"/>
        <v>115000</v>
      </c>
      <c r="AF359" s="10">
        <f t="shared" si="232"/>
        <v>115000</v>
      </c>
      <c r="AG359" s="10">
        <f t="shared" si="232"/>
        <v>115000</v>
      </c>
      <c r="AH359" s="10">
        <f t="shared" si="232"/>
        <v>115000</v>
      </c>
      <c r="AI359" s="10">
        <f t="shared" si="232"/>
        <v>115000</v>
      </c>
      <c r="AJ359" s="10">
        <f t="shared" si="232"/>
        <v>115000</v>
      </c>
      <c r="AK359" s="10">
        <f t="shared" si="232"/>
        <v>115000</v>
      </c>
      <c r="AL359" s="10">
        <f t="shared" si="232"/>
        <v>115000</v>
      </c>
      <c r="AM359" s="10">
        <f t="shared" si="232"/>
        <v>115000</v>
      </c>
      <c r="AN359" s="27">
        <f t="shared" si="232"/>
        <v>1380000</v>
      </c>
      <c r="AO359" s="28">
        <f>115000*12</f>
        <v>1380000</v>
      </c>
      <c r="AP359" t="s">
        <v>86</v>
      </c>
      <c r="AS359" t="str">
        <f>_xlfn.XLOOKUP(AU359,[2]GAE!HZ:HZ,[2]GAE!IA:IA)</f>
        <v>IS &amp; IT</v>
      </c>
      <c r="AT359" t="str">
        <f>_xlfn.XLOOKUP(AU359,[2]GAE!HZ:HZ,[2]GAE!IB:IB)</f>
        <v>GAE - Postal &amp; Commctn - Leased Lines/ Internet</v>
      </c>
      <c r="AU359" t="s">
        <v>743</v>
      </c>
      <c r="AV359">
        <v>80124101</v>
      </c>
      <c r="AW359">
        <v>61721105</v>
      </c>
      <c r="AX359" t="str">
        <f>_xlfn.XLOOKUP(AU359,[2]GAE!HZ:HZ,[2]GAE!IF:IF)</f>
        <v>Others</v>
      </c>
      <c r="AY359" t="str">
        <f>_xlfn.XLOOKUP(AU359,[2]GAE!HZ:HZ,[2]GAE!IG:IG)</f>
        <v>Postal &amp; Communication</v>
      </c>
      <c r="BC359" t="s">
        <v>88</v>
      </c>
      <c r="BD359" t="s">
        <v>88</v>
      </c>
      <c r="BF359" t="s">
        <v>86</v>
      </c>
      <c r="BG359" s="2" t="s">
        <v>88</v>
      </c>
      <c r="BH359" s="10">
        <f>SUMIFS('[1]2026'!$K:$K,'[1]2026'!$T:$T,BD359,'[1]2026'!$S:$S,BH$3,'[1]2026'!$P:$P,AU359)</f>
        <v>115000</v>
      </c>
      <c r="BI359" s="10">
        <f>SUMIFS('[1]2026'!$K:$K,'[1]2026'!$T:$T,$BD359,'[1]2026'!$S:$S,BI$3,'[1]2026'!$P:$P,$AU359)</f>
        <v>115000</v>
      </c>
      <c r="BJ359" s="10">
        <f>SUMIFS('[1]2026'!$K:$K,'[1]2026'!$T:$T,$BD359,'[1]2026'!$S:$S,BJ$3,'[1]2026'!$P:$P,$AU359)</f>
        <v>115000</v>
      </c>
      <c r="BK359" s="10">
        <f>SUMIFS('[1]2026'!$K:$K,'[1]2026'!$T:$T,$BD359,'[1]2026'!$S:$S,BK$3,'[1]2026'!$P:$P,$AU359)</f>
        <v>115000</v>
      </c>
      <c r="BL359" s="10">
        <f>SUMIFS('[1]2026'!$K:$K,'[1]2026'!$T:$T,$BD359,'[1]2026'!$S:$S,BL$3,'[1]2026'!$P:$P,$AU359)</f>
        <v>115000</v>
      </c>
      <c r="BM359" s="10">
        <f>SUMIFS('[1]2026'!$K:$K,'[1]2026'!$T:$T,$BD359,'[1]2026'!$S:$S,BM$3,'[1]2026'!$P:$P,$AU359)</f>
        <v>115000</v>
      </c>
      <c r="BN359" s="10">
        <f>SUMIFS('[1]2026'!$K:$K,'[1]2026'!$T:$T,$BD359,'[1]2026'!$S:$S,BN$3,'[1]2026'!$P:$P,$AU359)</f>
        <v>115000</v>
      </c>
      <c r="BO359" s="10">
        <f>SUMIFS('[1]2026'!$K:$K,'[1]2026'!$T:$T,$BD359,'[1]2026'!$S:$S,BO$3,'[1]2026'!$P:$P,$AU359)</f>
        <v>115000</v>
      </c>
      <c r="BP359" s="6">
        <f t="shared" si="231"/>
        <v>115000</v>
      </c>
      <c r="BQ359" s="6">
        <f t="shared" si="231"/>
        <v>115000</v>
      </c>
      <c r="BR359" s="6">
        <f t="shared" si="231"/>
        <v>115000</v>
      </c>
      <c r="BS359" s="6">
        <f t="shared" si="231"/>
        <v>115000</v>
      </c>
      <c r="BT359" s="6">
        <f t="shared" si="216"/>
        <v>1380000</v>
      </c>
      <c r="BV359" s="6">
        <f t="shared" si="218"/>
        <v>0</v>
      </c>
      <c r="BW359" s="6">
        <f t="shared" si="219"/>
        <v>0</v>
      </c>
      <c r="BX359" s="6">
        <f t="shared" si="220"/>
        <v>0</v>
      </c>
      <c r="BY359" s="6">
        <f t="shared" si="221"/>
        <v>0</v>
      </c>
      <c r="BZ359" s="6">
        <f t="shared" si="222"/>
        <v>0</v>
      </c>
      <c r="CA359" s="6">
        <f t="shared" si="223"/>
        <v>0</v>
      </c>
      <c r="CB359" s="6">
        <f t="shared" si="224"/>
        <v>0</v>
      </c>
      <c r="CC359" s="6">
        <f t="shared" si="225"/>
        <v>0</v>
      </c>
      <c r="CD359" s="6">
        <f t="shared" si="226"/>
        <v>0</v>
      </c>
      <c r="CE359" s="6">
        <f t="shared" si="227"/>
        <v>0</v>
      </c>
      <c r="CF359" s="6">
        <f t="shared" si="228"/>
        <v>0</v>
      </c>
      <c r="CG359" s="6">
        <f t="shared" si="229"/>
        <v>0</v>
      </c>
      <c r="CH359" s="6">
        <f t="shared" si="212"/>
        <v>0</v>
      </c>
    </row>
    <row r="360" spans="1:86" hidden="1" x14ac:dyDescent="0.35">
      <c r="A360" s="3" t="s">
        <v>747</v>
      </c>
      <c r="B360" s="10">
        <v>41530</v>
      </c>
      <c r="C360" s="10">
        <v>41530</v>
      </c>
      <c r="D360" s="10">
        <v>41530</v>
      </c>
      <c r="E360" s="10">
        <v>41530</v>
      </c>
      <c r="F360" s="10">
        <v>41530</v>
      </c>
      <c r="G360" s="10">
        <v>41530</v>
      </c>
      <c r="H360" s="10">
        <v>41530</v>
      </c>
      <c r="I360" s="10">
        <v>41530</v>
      </c>
      <c r="J360" s="10">
        <v>41530</v>
      </c>
      <c r="K360" s="10">
        <v>41530</v>
      </c>
      <c r="L360" s="10">
        <v>41530</v>
      </c>
      <c r="M360" s="10">
        <v>41530</v>
      </c>
      <c r="N360" s="27">
        <f t="shared" si="207"/>
        <v>498360</v>
      </c>
      <c r="O360" s="10">
        <v>41530</v>
      </c>
      <c r="P360" s="10">
        <v>41530</v>
      </c>
      <c r="Q360" s="10">
        <v>41530</v>
      </c>
      <c r="R360" s="10">
        <v>41530</v>
      </c>
      <c r="S360" s="10">
        <v>41530</v>
      </c>
      <c r="T360" s="10">
        <v>41530</v>
      </c>
      <c r="U360" s="10">
        <v>41530</v>
      </c>
      <c r="V360" s="10">
        <v>41530</v>
      </c>
      <c r="W360" s="10">
        <v>41530</v>
      </c>
      <c r="X360" s="10">
        <v>41530</v>
      </c>
      <c r="Y360" s="10">
        <v>41530</v>
      </c>
      <c r="Z360" s="10">
        <v>41530</v>
      </c>
      <c r="AA360" s="27">
        <f t="shared" si="208"/>
        <v>498360</v>
      </c>
      <c r="AB360" s="10">
        <f t="shared" si="232"/>
        <v>0</v>
      </c>
      <c r="AC360" s="10">
        <f t="shared" si="232"/>
        <v>0</v>
      </c>
      <c r="AD360" s="10">
        <f t="shared" si="232"/>
        <v>0</v>
      </c>
      <c r="AE360" s="10">
        <f t="shared" si="232"/>
        <v>0</v>
      </c>
      <c r="AF360" s="10">
        <f t="shared" si="232"/>
        <v>0</v>
      </c>
      <c r="AG360" s="10">
        <f t="shared" si="232"/>
        <v>0</v>
      </c>
      <c r="AH360" s="10">
        <f t="shared" si="232"/>
        <v>0</v>
      </c>
      <c r="AI360" s="10">
        <f t="shared" si="232"/>
        <v>0</v>
      </c>
      <c r="AJ360" s="10">
        <f t="shared" si="232"/>
        <v>0</v>
      </c>
      <c r="AK360" s="10">
        <f t="shared" si="232"/>
        <v>0</v>
      </c>
      <c r="AL360" s="10">
        <f t="shared" si="232"/>
        <v>0</v>
      </c>
      <c r="AM360" s="10">
        <f t="shared" si="232"/>
        <v>0</v>
      </c>
      <c r="AN360" s="27">
        <f t="shared" si="232"/>
        <v>0</v>
      </c>
      <c r="AO360" s="28">
        <f>41530*12</f>
        <v>498360</v>
      </c>
      <c r="AP360" t="s">
        <v>86</v>
      </c>
      <c r="AS360" t="str">
        <f>_xlfn.XLOOKUP(AU360,[2]GAE!HZ:HZ,[2]GAE!IA:IA)</f>
        <v>IS &amp; IT</v>
      </c>
      <c r="AT360" t="str">
        <f>_xlfn.XLOOKUP(AU360,[2]GAE!HZ:HZ,[2]GAE!IB:IB)</f>
        <v>GAE - Postal &amp; Commctn - Leased Lines/ Internet</v>
      </c>
      <c r="AU360" t="s">
        <v>743</v>
      </c>
      <c r="AV360">
        <v>80124101</v>
      </c>
      <c r="AW360">
        <v>61721105</v>
      </c>
      <c r="AX360" t="str">
        <f>_xlfn.XLOOKUP(AU360,[2]GAE!HZ:HZ,[2]GAE!IF:IF)</f>
        <v>Others</v>
      </c>
      <c r="AY360" t="str">
        <f>_xlfn.XLOOKUP(AU360,[2]GAE!HZ:HZ,[2]GAE!IG:IG)</f>
        <v>Postal &amp; Communication</v>
      </c>
      <c r="BA360" s="39" t="s">
        <v>748</v>
      </c>
      <c r="BC360" t="s">
        <v>89</v>
      </c>
      <c r="BD360" t="s">
        <v>89</v>
      </c>
      <c r="BF360" t="s">
        <v>86</v>
      </c>
      <c r="BG360" s="2" t="s">
        <v>89</v>
      </c>
      <c r="BH360" s="10">
        <f>SUMIFS('[1]2026'!$K:$K,'[1]2026'!$T:$T,BD360,'[1]2026'!$S:$S,BH$3,'[1]2026'!$P:$P,AU360)</f>
        <v>41530</v>
      </c>
      <c r="BI360" s="10">
        <f>SUMIFS('[1]2026'!$K:$K,'[1]2026'!$T:$T,$BD360,'[1]2026'!$S:$S,BI$3,'[1]2026'!$P:$P,$AU360)</f>
        <v>41530</v>
      </c>
      <c r="BJ360" s="10">
        <f>SUMIFS('[1]2026'!$K:$K,'[1]2026'!$T:$T,$BD360,'[1]2026'!$S:$S,BJ$3,'[1]2026'!$P:$P,$AU360)</f>
        <v>41530</v>
      </c>
      <c r="BK360" s="10">
        <f>SUMIFS('[1]2026'!$K:$K,'[1]2026'!$T:$T,$BD360,'[1]2026'!$S:$S,BK$3,'[1]2026'!$P:$P,$AU360)</f>
        <v>41530</v>
      </c>
      <c r="BL360" s="10">
        <f>SUMIFS('[1]2026'!$K:$K,'[1]2026'!$T:$T,$BD360,'[1]2026'!$S:$S,BL$3,'[1]2026'!$P:$P,$AU360)</f>
        <v>41530</v>
      </c>
      <c r="BM360" s="10">
        <f>SUMIFS('[1]2026'!$K:$K,'[1]2026'!$T:$T,$BD360,'[1]2026'!$S:$S,BM$3,'[1]2026'!$P:$P,$AU360)</f>
        <v>41530</v>
      </c>
      <c r="BN360" s="10">
        <f>SUMIFS('[1]2026'!$K:$K,'[1]2026'!$T:$T,$BD360,'[1]2026'!$S:$S,BN$3,'[1]2026'!$P:$P,$AU360)</f>
        <v>41530</v>
      </c>
      <c r="BO360" s="10">
        <f>SUMIFS('[1]2026'!$K:$K,'[1]2026'!$T:$T,$BD360,'[1]2026'!$S:$S,BO$3,'[1]2026'!$P:$P,$AU360)</f>
        <v>41530</v>
      </c>
      <c r="BP360" s="6">
        <f t="shared" si="231"/>
        <v>41530</v>
      </c>
      <c r="BQ360" s="6">
        <f t="shared" si="231"/>
        <v>41530</v>
      </c>
      <c r="BR360" s="6">
        <f t="shared" si="231"/>
        <v>41530</v>
      </c>
      <c r="BS360" s="6">
        <f t="shared" si="231"/>
        <v>41530</v>
      </c>
      <c r="BT360" s="6">
        <f t="shared" si="216"/>
        <v>498360</v>
      </c>
      <c r="BV360" s="6">
        <f t="shared" si="218"/>
        <v>41530</v>
      </c>
      <c r="BW360" s="6">
        <f t="shared" si="219"/>
        <v>41530</v>
      </c>
      <c r="BX360" s="6">
        <f t="shared" si="220"/>
        <v>41530</v>
      </c>
      <c r="BY360" s="6">
        <f t="shared" si="221"/>
        <v>41530</v>
      </c>
      <c r="BZ360" s="6">
        <f t="shared" si="222"/>
        <v>41530</v>
      </c>
      <c r="CA360" s="6">
        <f t="shared" si="223"/>
        <v>41530</v>
      </c>
      <c r="CB360" s="6">
        <f t="shared" si="224"/>
        <v>41530</v>
      </c>
      <c r="CC360" s="6">
        <f t="shared" si="225"/>
        <v>41530</v>
      </c>
      <c r="CD360" s="6">
        <f t="shared" si="226"/>
        <v>41530</v>
      </c>
      <c r="CE360" s="6">
        <f t="shared" si="227"/>
        <v>41530</v>
      </c>
      <c r="CF360" s="6">
        <f t="shared" si="228"/>
        <v>41530</v>
      </c>
      <c r="CG360" s="6">
        <f t="shared" si="229"/>
        <v>41530</v>
      </c>
      <c r="CH360" s="6">
        <f t="shared" si="212"/>
        <v>498360</v>
      </c>
    </row>
    <row r="361" spans="1:86" hidden="1" x14ac:dyDescent="0.35">
      <c r="A361" s="3" t="s">
        <v>749</v>
      </c>
      <c r="B361" s="10">
        <v>65000</v>
      </c>
      <c r="C361" s="10">
        <v>65000</v>
      </c>
      <c r="D361" s="10">
        <v>65000</v>
      </c>
      <c r="E361" s="10">
        <v>65000</v>
      </c>
      <c r="F361" s="10">
        <v>65000</v>
      </c>
      <c r="G361" s="10">
        <v>65000</v>
      </c>
      <c r="H361" s="10">
        <v>65000</v>
      </c>
      <c r="I361" s="10">
        <v>65000</v>
      </c>
      <c r="J361" s="10">
        <v>65000</v>
      </c>
      <c r="K361" s="10">
        <v>65000</v>
      </c>
      <c r="L361" s="10">
        <v>65000</v>
      </c>
      <c r="M361" s="10">
        <v>65000</v>
      </c>
      <c r="N361" s="27">
        <f t="shared" si="207"/>
        <v>780000</v>
      </c>
      <c r="O361" s="10">
        <v>65000</v>
      </c>
      <c r="P361" s="10">
        <v>65000</v>
      </c>
      <c r="Q361" s="10">
        <v>65000</v>
      </c>
      <c r="R361" s="10">
        <v>65000</v>
      </c>
      <c r="S361" s="10">
        <v>65000</v>
      </c>
      <c r="T361" s="10">
        <v>65000</v>
      </c>
      <c r="U361" s="10">
        <v>65000</v>
      </c>
      <c r="V361" s="10">
        <v>65000</v>
      </c>
      <c r="W361" s="10">
        <v>65000</v>
      </c>
      <c r="X361" s="10">
        <v>65000</v>
      </c>
      <c r="Y361" s="10">
        <v>65000</v>
      </c>
      <c r="Z361" s="10">
        <v>65000</v>
      </c>
      <c r="AA361" s="27">
        <f t="shared" si="208"/>
        <v>780000</v>
      </c>
      <c r="AB361" s="10">
        <f t="shared" si="232"/>
        <v>0</v>
      </c>
      <c r="AC361" s="10">
        <f t="shared" si="232"/>
        <v>0</v>
      </c>
      <c r="AD361" s="10">
        <f t="shared" si="232"/>
        <v>0</v>
      </c>
      <c r="AE361" s="10">
        <f t="shared" si="232"/>
        <v>0</v>
      </c>
      <c r="AF361" s="10">
        <f t="shared" si="232"/>
        <v>0</v>
      </c>
      <c r="AG361" s="10">
        <f t="shared" si="232"/>
        <v>0</v>
      </c>
      <c r="AH361" s="10">
        <f t="shared" si="232"/>
        <v>0</v>
      </c>
      <c r="AI361" s="10">
        <f t="shared" si="232"/>
        <v>0</v>
      </c>
      <c r="AJ361" s="10">
        <f t="shared" si="232"/>
        <v>0</v>
      </c>
      <c r="AK361" s="10">
        <f t="shared" si="232"/>
        <v>0</v>
      </c>
      <c r="AL361" s="10">
        <f t="shared" si="232"/>
        <v>0</v>
      </c>
      <c r="AM361" s="10">
        <f t="shared" si="232"/>
        <v>0</v>
      </c>
      <c r="AN361" s="27">
        <f t="shared" si="232"/>
        <v>0</v>
      </c>
      <c r="AO361" s="28">
        <f>53022*12</f>
        <v>636264</v>
      </c>
      <c r="AP361" t="s">
        <v>86</v>
      </c>
      <c r="AS361" t="str">
        <f>_xlfn.XLOOKUP(AU361,[2]GAE!HZ:HZ,[2]GAE!IA:IA)</f>
        <v>IS &amp; IT</v>
      </c>
      <c r="AT361" t="str">
        <f>_xlfn.XLOOKUP(AU361,[2]GAE!HZ:HZ,[2]GAE!IB:IB)</f>
        <v>GAE - Postal &amp; Commctn - Leased Lines/ Internet</v>
      </c>
      <c r="AU361" t="s">
        <v>743</v>
      </c>
      <c r="AV361">
        <v>80124101</v>
      </c>
      <c r="AW361">
        <v>61721105</v>
      </c>
      <c r="AX361" t="str">
        <f>_xlfn.XLOOKUP(AU361,[2]GAE!HZ:HZ,[2]GAE!IF:IF)</f>
        <v>Others</v>
      </c>
      <c r="AY361" t="str">
        <f>_xlfn.XLOOKUP(AU361,[2]GAE!HZ:HZ,[2]GAE!IG:IG)</f>
        <v>Postal &amp; Communication</v>
      </c>
      <c r="BA361" s="39" t="s">
        <v>750</v>
      </c>
      <c r="BC361" t="s">
        <v>90</v>
      </c>
      <c r="BD361" t="s">
        <v>90</v>
      </c>
      <c r="BF361" t="s">
        <v>86</v>
      </c>
      <c r="BG361" s="2" t="s">
        <v>90</v>
      </c>
      <c r="BH361" s="10">
        <f>SUMIFS('[1]2026'!$K:$K,'[1]2026'!$T:$T,BD361,'[1]2026'!$S:$S,BH$3,'[1]2026'!$P:$P,AU361)</f>
        <v>0</v>
      </c>
      <c r="BI361" s="10">
        <f>SUMIFS('[1]2026'!$K:$K,'[1]2026'!$T:$T,$BD361,'[1]2026'!$S:$S,BI$3,'[1]2026'!$P:$P,$AU361)</f>
        <v>53022</v>
      </c>
      <c r="BJ361" s="10">
        <f>SUMIFS('[1]2026'!$K:$K,'[1]2026'!$T:$T,$BD361,'[1]2026'!$S:$S,BJ$3,'[1]2026'!$P:$P,$AU361)</f>
        <v>53022</v>
      </c>
      <c r="BK361" s="10">
        <f>SUMIFS('[1]2026'!$K:$K,'[1]2026'!$T:$T,$BD361,'[1]2026'!$S:$S,BK$3,'[1]2026'!$P:$P,$AU361)</f>
        <v>53022</v>
      </c>
      <c r="BL361" s="10">
        <f>SUMIFS('[1]2026'!$K:$K,'[1]2026'!$T:$T,$BD361,'[1]2026'!$S:$S,BL$3,'[1]2026'!$P:$P,$AU361)</f>
        <v>53022</v>
      </c>
      <c r="BM361" s="10">
        <f>SUMIFS('[1]2026'!$K:$K,'[1]2026'!$T:$T,$BD361,'[1]2026'!$S:$S,BM$3,'[1]2026'!$P:$P,$AU361)</f>
        <v>53022</v>
      </c>
      <c r="BN361" s="10">
        <f>SUMIFS('[1]2026'!$K:$K,'[1]2026'!$T:$T,$BD361,'[1]2026'!$S:$S,BN$3,'[1]2026'!$P:$P,$AU361)</f>
        <v>53022</v>
      </c>
      <c r="BO361" s="10">
        <f>SUMIFS('[1]2026'!$K:$K,'[1]2026'!$T:$T,$BD361,'[1]2026'!$S:$S,BO$3,'[1]2026'!$P:$P,$AU361)</f>
        <v>106044</v>
      </c>
      <c r="BP361" s="6">
        <f t="shared" si="231"/>
        <v>106044</v>
      </c>
      <c r="BQ361" s="6">
        <f t="shared" si="231"/>
        <v>106044</v>
      </c>
      <c r="BR361" s="6">
        <f t="shared" si="231"/>
        <v>106044</v>
      </c>
      <c r="BS361" s="6">
        <f t="shared" si="231"/>
        <v>106044</v>
      </c>
      <c r="BT361" s="6">
        <f t="shared" si="216"/>
        <v>848352</v>
      </c>
      <c r="BV361" s="6">
        <f t="shared" si="218"/>
        <v>0</v>
      </c>
      <c r="BW361" s="6">
        <f t="shared" si="219"/>
        <v>53022</v>
      </c>
      <c r="BX361" s="6">
        <f t="shared" si="220"/>
        <v>53022</v>
      </c>
      <c r="BY361" s="6">
        <f t="shared" si="221"/>
        <v>53022</v>
      </c>
      <c r="BZ361" s="6">
        <f t="shared" si="222"/>
        <v>53022</v>
      </c>
      <c r="CA361" s="6">
        <f t="shared" si="223"/>
        <v>53022</v>
      </c>
      <c r="CB361" s="6">
        <f t="shared" si="224"/>
        <v>53022</v>
      </c>
      <c r="CC361" s="6">
        <f t="shared" si="225"/>
        <v>106044</v>
      </c>
      <c r="CD361" s="6">
        <f t="shared" si="226"/>
        <v>106044</v>
      </c>
      <c r="CE361" s="6">
        <f t="shared" si="227"/>
        <v>106044</v>
      </c>
      <c r="CF361" s="6">
        <f t="shared" si="228"/>
        <v>106044</v>
      </c>
      <c r="CG361" s="6">
        <f t="shared" si="229"/>
        <v>106044</v>
      </c>
      <c r="CH361" s="6">
        <f t="shared" si="212"/>
        <v>848352</v>
      </c>
    </row>
    <row r="362" spans="1:86" hidden="1" x14ac:dyDescent="0.35">
      <c r="AN362" s="27">
        <f>N362-AA362</f>
        <v>0</v>
      </c>
      <c r="AS362" t="str">
        <f>_xlfn.XLOOKUP(AU362,[2]GAE!HZ:HZ,[2]GAE!IA:IA)</f>
        <v>ADMIN SERVICES</v>
      </c>
      <c r="AT362" t="str">
        <f>_xlfn.XLOOKUP(AU362,[2]GAE!HZ:HZ,[2]GAE!IB:IB)</f>
        <v>GAE - Postal &amp; Commctn - Leased Lines/ Internet</v>
      </c>
      <c r="AU362" t="s">
        <v>751</v>
      </c>
      <c r="AV362">
        <v>80123102</v>
      </c>
      <c r="AW362">
        <v>61721105</v>
      </c>
      <c r="AX362" t="str">
        <f>_xlfn.XLOOKUP(AU362,[2]GAE!HZ:HZ,[2]GAE!IF:IF)</f>
        <v>Others</v>
      </c>
      <c r="AY362" t="str">
        <f>_xlfn.XLOOKUP(AU362,[2]GAE!HZ:HZ,[2]GAE!IG:IG)</f>
        <v>Postal &amp; Communication</v>
      </c>
      <c r="BA362" s="39"/>
      <c r="BC362" t="s">
        <v>90</v>
      </c>
      <c r="BD362" t="s">
        <v>90</v>
      </c>
      <c r="BF362" t="s">
        <v>86</v>
      </c>
      <c r="BG362" s="2" t="s">
        <v>90</v>
      </c>
      <c r="BH362" s="10">
        <f>SUMIFS('[1]2026'!$K:$K,'[1]2026'!$T:$T,BD362,'[1]2026'!$S:$S,BH$3,'[1]2026'!$P:$P,AU362)</f>
        <v>53022</v>
      </c>
      <c r="BI362" s="10">
        <f>SUMIFS('[1]2026'!$K:$K,'[1]2026'!$T:$T,$BD362,'[1]2026'!$S:$S,BI$3,'[1]2026'!$P:$P,$AU362)</f>
        <v>0</v>
      </c>
      <c r="BJ362" s="10">
        <f>SUMIFS('[1]2026'!$K:$K,'[1]2026'!$T:$T,$BD362,'[1]2026'!$S:$S,BJ$3,'[1]2026'!$P:$P,$AU362)</f>
        <v>0</v>
      </c>
      <c r="BK362" s="10">
        <f>SUMIFS('[1]2026'!$K:$K,'[1]2026'!$T:$T,$BD362,'[1]2026'!$S:$S,BK$3,'[1]2026'!$P:$P,$AU362)</f>
        <v>0</v>
      </c>
      <c r="BL362" s="6"/>
      <c r="BM362" s="10">
        <f>SUMIFS('[1]2026'!$K:$K,'[1]2026'!$T:$T,$BD362,'[1]2026'!$S:$S,BM$3,'[1]2026'!$P:$P,$AU362)</f>
        <v>0</v>
      </c>
      <c r="BN362" s="10">
        <f>SUMIFS('[1]2026'!$K:$K,'[1]2026'!$T:$T,$BD362,'[1]2026'!$S:$S,BN$3,'[1]2026'!$P:$P,$AU362)</f>
        <v>0</v>
      </c>
      <c r="BO362" s="10">
        <f>SUMIFS('[1]2026'!$K:$K,'[1]2026'!$T:$T,$BD362,'[1]2026'!$S:$S,BO$3,'[1]2026'!$P:$P,$AU362)</f>
        <v>-53022</v>
      </c>
      <c r="BP362" s="6"/>
      <c r="BQ362" s="6"/>
      <c r="BR362" s="6"/>
      <c r="BS362" s="6"/>
      <c r="BT362" s="6">
        <f t="shared" si="216"/>
        <v>0</v>
      </c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>
        <f t="shared" si="212"/>
        <v>0</v>
      </c>
    </row>
    <row r="363" spans="1:86" hidden="1" x14ac:dyDescent="0.35">
      <c r="A363" s="3" t="s">
        <v>752</v>
      </c>
      <c r="B363" s="10">
        <v>65000</v>
      </c>
      <c r="C363" s="10">
        <v>65000</v>
      </c>
      <c r="D363" s="10">
        <v>65000</v>
      </c>
      <c r="E363" s="10">
        <v>65000</v>
      </c>
      <c r="F363" s="10">
        <v>65000</v>
      </c>
      <c r="G363" s="10">
        <v>65000</v>
      </c>
      <c r="H363" s="10">
        <v>65000</v>
      </c>
      <c r="I363" s="10">
        <v>65000</v>
      </c>
      <c r="J363" s="10">
        <v>65000</v>
      </c>
      <c r="K363" s="10">
        <v>65000</v>
      </c>
      <c r="L363" s="10">
        <v>65000</v>
      </c>
      <c r="M363" s="10">
        <v>65000</v>
      </c>
      <c r="N363" s="27">
        <f t="shared" si="207"/>
        <v>780000</v>
      </c>
      <c r="AA363" s="27">
        <f t="shared" si="208"/>
        <v>0</v>
      </c>
      <c r="AB363" s="10">
        <f t="shared" si="232"/>
        <v>65000</v>
      </c>
      <c r="AC363" s="10">
        <f t="shared" si="232"/>
        <v>65000</v>
      </c>
      <c r="AD363" s="10">
        <f t="shared" si="232"/>
        <v>65000</v>
      </c>
      <c r="AE363" s="10">
        <f t="shared" si="232"/>
        <v>65000</v>
      </c>
      <c r="AF363" s="10">
        <f t="shared" si="232"/>
        <v>65000</v>
      </c>
      <c r="AG363" s="10">
        <f t="shared" si="232"/>
        <v>65000</v>
      </c>
      <c r="AH363" s="10">
        <f t="shared" si="232"/>
        <v>65000</v>
      </c>
      <c r="AI363" s="10">
        <f t="shared" si="232"/>
        <v>65000</v>
      </c>
      <c r="AJ363" s="10">
        <f t="shared" si="232"/>
        <v>65000</v>
      </c>
      <c r="AK363" s="10">
        <f t="shared" si="232"/>
        <v>65000</v>
      </c>
      <c r="AL363" s="10">
        <f t="shared" si="232"/>
        <v>65000</v>
      </c>
      <c r="AM363" s="10">
        <f t="shared" si="232"/>
        <v>65000</v>
      </c>
      <c r="AN363" s="27">
        <f t="shared" si="232"/>
        <v>780000</v>
      </c>
      <c r="AP363" t="s">
        <v>86</v>
      </c>
      <c r="AR363" t="s">
        <v>753</v>
      </c>
      <c r="AS363" t="str">
        <f>_xlfn.XLOOKUP(AU363,[2]GAE!HZ:HZ,[2]GAE!IA:IA)</f>
        <v>IS &amp; IT</v>
      </c>
      <c r="AT363" t="str">
        <f>_xlfn.XLOOKUP(AU363,[2]GAE!HZ:HZ,[2]GAE!IB:IB)</f>
        <v>GAE - Postal &amp; Commctn - Leased Lines/ Internet</v>
      </c>
      <c r="AU363" t="s">
        <v>743</v>
      </c>
      <c r="AV363">
        <v>80124101</v>
      </c>
      <c r="AW363">
        <v>61721105</v>
      </c>
      <c r="AX363" t="str">
        <f>_xlfn.XLOOKUP(AU363,[2]GAE!HZ:HZ,[2]GAE!IF:IF)</f>
        <v>Others</v>
      </c>
      <c r="AY363" t="str">
        <f>_xlfn.XLOOKUP(AU363,[2]GAE!HZ:HZ,[2]GAE!IG:IG)</f>
        <v>Postal &amp; Communication</v>
      </c>
      <c r="BC363" t="s">
        <v>91</v>
      </c>
      <c r="BD363" t="s">
        <v>91</v>
      </c>
      <c r="BF363" t="s">
        <v>86</v>
      </c>
      <c r="BG363" s="2" t="s">
        <v>91</v>
      </c>
      <c r="BH363" s="10">
        <f>SUMIFS('[1]2026'!$K:$K,'[1]2026'!$T:$T,BD363,'[1]2026'!$S:$S,BH$3,'[1]2026'!$P:$P,AU363)</f>
        <v>50000</v>
      </c>
      <c r="BI363" s="10">
        <f>SUMIFS('[1]2026'!$K:$K,'[1]2026'!$T:$T,$BD363,'[1]2026'!$S:$S,BI$3,'[1]2026'!$P:$P,$AU363)</f>
        <v>50000</v>
      </c>
      <c r="BJ363" s="10">
        <f>SUMIFS('[1]2026'!$K:$K,'[1]2026'!$T:$T,$BD363,'[1]2026'!$S:$S,BJ$3,'[1]2026'!$P:$P,$AU363)</f>
        <v>50000</v>
      </c>
      <c r="BK363" s="10">
        <f>SUMIFS('[1]2026'!$K:$K,'[1]2026'!$T:$T,$BD363,'[1]2026'!$S:$S,BK$3,'[1]2026'!$P:$P,$AU363)</f>
        <v>50000</v>
      </c>
      <c r="BL363" s="10">
        <f>SUMIFS('[1]2026'!$K:$K,'[1]2026'!$T:$T,$BD363,'[1]2026'!$S:$S,BL$3,'[1]2026'!$P:$P,$AU363)</f>
        <v>50000</v>
      </c>
      <c r="BM363" s="10">
        <f>SUMIFS('[1]2026'!$K:$K,'[1]2026'!$T:$T,$BD363,'[1]2026'!$S:$S,BM$3,'[1]2026'!$P:$P,$AU363)</f>
        <v>50000</v>
      </c>
      <c r="BN363" s="10">
        <f>SUMIFS('[1]2026'!$K:$K,'[1]2026'!$T:$T,$BD363,'[1]2026'!$S:$S,BN$3,'[1]2026'!$P:$P,$AU363)</f>
        <v>50000</v>
      </c>
      <c r="BO363" s="10">
        <f>SUMIFS('[1]2026'!$K:$K,'[1]2026'!$T:$T,$BD363,'[1]2026'!$S:$S,BO$3,'[1]2026'!$P:$P,$AU363)</f>
        <v>50000</v>
      </c>
      <c r="BP363" s="6">
        <f t="shared" ref="BP363:BS364" si="233">BO363</f>
        <v>50000</v>
      </c>
      <c r="BQ363" s="6">
        <f t="shared" si="233"/>
        <v>50000</v>
      </c>
      <c r="BR363" s="6">
        <f t="shared" si="233"/>
        <v>50000</v>
      </c>
      <c r="BS363" s="6">
        <f t="shared" si="233"/>
        <v>50000</v>
      </c>
      <c r="BT363" s="6">
        <f t="shared" si="216"/>
        <v>600000</v>
      </c>
      <c r="BV363" s="6">
        <f t="shared" ref="BV363:CG364" si="234">BH363-AB363</f>
        <v>-15000</v>
      </c>
      <c r="BW363" s="6">
        <f t="shared" si="234"/>
        <v>-15000</v>
      </c>
      <c r="BX363" s="6">
        <f t="shared" si="234"/>
        <v>-15000</v>
      </c>
      <c r="BY363" s="6">
        <f t="shared" si="234"/>
        <v>-15000</v>
      </c>
      <c r="BZ363" s="6">
        <f t="shared" si="234"/>
        <v>-15000</v>
      </c>
      <c r="CA363" s="6">
        <f t="shared" si="234"/>
        <v>-15000</v>
      </c>
      <c r="CB363" s="6">
        <f t="shared" si="234"/>
        <v>-15000</v>
      </c>
      <c r="CC363" s="6">
        <f t="shared" si="234"/>
        <v>-15000</v>
      </c>
      <c r="CD363" s="6">
        <f t="shared" si="234"/>
        <v>-15000</v>
      </c>
      <c r="CE363" s="6">
        <f t="shared" si="234"/>
        <v>-15000</v>
      </c>
      <c r="CF363" s="6">
        <f t="shared" si="234"/>
        <v>-15000</v>
      </c>
      <c r="CG363" s="6">
        <f t="shared" si="234"/>
        <v>-15000</v>
      </c>
      <c r="CH363" s="6">
        <f t="shared" si="212"/>
        <v>-180000</v>
      </c>
    </row>
    <row r="364" spans="1:86" hidden="1" x14ac:dyDescent="0.35">
      <c r="AN364" s="27">
        <f>N364-AA364</f>
        <v>0</v>
      </c>
      <c r="AS364" t="str">
        <f>_xlfn.XLOOKUP(AU364,[2]GAE!HZ:HZ,[2]GAE!IA:IA)</f>
        <v>IS &amp; IT</v>
      </c>
      <c r="AT364" t="str">
        <f>_xlfn.XLOOKUP(AU364,[2]GAE!HZ:HZ,[2]GAE!IB:IB)</f>
        <v>GAE - Postal &amp; Commctn - Leased Lines/ Internet</v>
      </c>
      <c r="AU364" t="s">
        <v>743</v>
      </c>
      <c r="AV364">
        <v>80124101</v>
      </c>
      <c r="AW364">
        <v>61721105</v>
      </c>
      <c r="AX364" t="str">
        <f>_xlfn.XLOOKUP(AU364,[2]GAE!HZ:HZ,[2]GAE!IF:IF)</f>
        <v>Others</v>
      </c>
      <c r="AY364" t="str">
        <f>_xlfn.XLOOKUP(AU364,[2]GAE!HZ:HZ,[2]GAE!IG:IG)</f>
        <v>Postal &amp; Communication</v>
      </c>
      <c r="BC364" t="s">
        <v>92</v>
      </c>
      <c r="BD364" t="s">
        <v>92</v>
      </c>
      <c r="BF364" t="s">
        <v>86</v>
      </c>
      <c r="BG364" s="2" t="s">
        <v>92</v>
      </c>
      <c r="BH364" s="10">
        <f>SUMIFS('[1]2026'!$K:$K,'[1]2026'!$T:$T,BD364,'[1]2026'!$S:$S,BH$3,'[1]2026'!$P:$P,AU364)</f>
        <v>45000</v>
      </c>
      <c r="BI364" s="10">
        <f>SUMIFS('[1]2026'!$K:$K,'[1]2026'!$T:$T,$BD364,'[1]2026'!$S:$S,BI$3,'[1]2026'!$P:$P,$AU364)</f>
        <v>45000</v>
      </c>
      <c r="BJ364" s="10">
        <f>SUMIFS('[1]2026'!$K:$K,'[1]2026'!$T:$T,$BD364,'[1]2026'!$S:$S,BJ$3,'[1]2026'!$P:$P,$AU364)</f>
        <v>45000</v>
      </c>
      <c r="BK364" s="10">
        <f>SUMIFS('[1]2026'!$K:$K,'[1]2026'!$T:$T,$BD364,'[1]2026'!$S:$S,BK$3,'[1]2026'!$P:$P,$AU364)</f>
        <v>45000</v>
      </c>
      <c r="BL364" s="10">
        <f>SUMIFS('[1]2026'!$K:$K,'[1]2026'!$T:$T,$BD364,'[1]2026'!$S:$S,BL$3,'[1]2026'!$P:$P,$AU364)</f>
        <v>45000</v>
      </c>
      <c r="BM364" s="10">
        <f>SUMIFS('[1]2026'!$K:$K,'[1]2026'!$T:$T,$BD364,'[1]2026'!$S:$S,BM$3,'[1]2026'!$P:$P,$AU364)</f>
        <v>45000</v>
      </c>
      <c r="BN364" s="10">
        <f>SUMIFS('[1]2026'!$K:$K,'[1]2026'!$T:$T,$BD364,'[1]2026'!$S:$S,BN$3,'[1]2026'!$P:$P,$AU364)</f>
        <v>45000</v>
      </c>
      <c r="BO364" s="10">
        <f>SUMIFS('[1]2026'!$K:$K,'[1]2026'!$T:$T,$BD364,'[1]2026'!$S:$S,BO$3,'[1]2026'!$P:$P,$AU364)</f>
        <v>45000</v>
      </c>
      <c r="BP364" s="6">
        <f t="shared" si="233"/>
        <v>45000</v>
      </c>
      <c r="BQ364" s="6">
        <f t="shared" si="233"/>
        <v>45000</v>
      </c>
      <c r="BR364" s="6">
        <f t="shared" si="233"/>
        <v>45000</v>
      </c>
      <c r="BS364" s="6">
        <f t="shared" si="233"/>
        <v>45000</v>
      </c>
      <c r="BT364" s="6">
        <f t="shared" si="216"/>
        <v>540000</v>
      </c>
      <c r="BV364" s="6">
        <f t="shared" si="234"/>
        <v>45000</v>
      </c>
      <c r="BW364" s="6">
        <f t="shared" si="234"/>
        <v>45000</v>
      </c>
      <c r="BX364" s="6">
        <f t="shared" si="234"/>
        <v>45000</v>
      </c>
      <c r="BY364" s="6">
        <f t="shared" si="234"/>
        <v>45000</v>
      </c>
      <c r="BZ364" s="6">
        <f t="shared" si="234"/>
        <v>45000</v>
      </c>
      <c r="CA364" s="6">
        <f t="shared" si="234"/>
        <v>45000</v>
      </c>
      <c r="CB364" s="6">
        <f t="shared" si="234"/>
        <v>45000</v>
      </c>
      <c r="CC364" s="6">
        <f t="shared" si="234"/>
        <v>45000</v>
      </c>
      <c r="CD364" s="6">
        <f t="shared" si="234"/>
        <v>45000</v>
      </c>
      <c r="CE364" s="6">
        <f t="shared" si="234"/>
        <v>45000</v>
      </c>
      <c r="CF364" s="6">
        <f t="shared" si="234"/>
        <v>45000</v>
      </c>
      <c r="CG364" s="6">
        <f t="shared" si="234"/>
        <v>45000</v>
      </c>
      <c r="CH364" s="6">
        <f t="shared" si="212"/>
        <v>540000</v>
      </c>
    </row>
    <row r="365" spans="1:86" hidden="1" x14ac:dyDescent="0.35">
      <c r="BF365" s="37" t="s">
        <v>1263</v>
      </c>
      <c r="BG365" s="37" t="s">
        <v>1263</v>
      </c>
      <c r="BP365" s="6"/>
      <c r="BQ365" s="6"/>
      <c r="BR365" s="6"/>
      <c r="BS365" s="6"/>
      <c r="BT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>
        <f t="shared" si="212"/>
        <v>0</v>
      </c>
    </row>
    <row r="366" spans="1:86" hidden="1" x14ac:dyDescent="0.35">
      <c r="A366" s="3" t="s">
        <v>754</v>
      </c>
      <c r="E366" s="10">
        <v>300000</v>
      </c>
      <c r="N366" s="27">
        <f t="shared" ref="N366:N381" si="235">SUM(B366:M366)</f>
        <v>300000</v>
      </c>
      <c r="AA366" s="27">
        <f t="shared" ref="AA366:AA381" si="236">SUM(O366:Z366)</f>
        <v>0</v>
      </c>
      <c r="AB366" s="10">
        <f t="shared" ref="AB366:AN381" si="237">B366-O366</f>
        <v>0</v>
      </c>
      <c r="AC366" s="10">
        <f t="shared" si="237"/>
        <v>0</v>
      </c>
      <c r="AD366" s="10">
        <f t="shared" si="237"/>
        <v>0</v>
      </c>
      <c r="AE366" s="10">
        <f t="shared" si="237"/>
        <v>300000</v>
      </c>
      <c r="AF366" s="10">
        <f t="shared" si="237"/>
        <v>0</v>
      </c>
      <c r="AG366" s="10">
        <f t="shared" si="237"/>
        <v>0</v>
      </c>
      <c r="AH366" s="10">
        <f t="shared" si="237"/>
        <v>0</v>
      </c>
      <c r="AI366" s="10">
        <f t="shared" si="237"/>
        <v>0</v>
      </c>
      <c r="AJ366" s="10">
        <f t="shared" si="237"/>
        <v>0</v>
      </c>
      <c r="AK366" s="10">
        <f t="shared" si="237"/>
        <v>0</v>
      </c>
      <c r="AL366" s="10">
        <f t="shared" si="237"/>
        <v>0</v>
      </c>
      <c r="AM366" s="10">
        <f t="shared" si="237"/>
        <v>0</v>
      </c>
      <c r="AN366" s="27">
        <f t="shared" si="237"/>
        <v>300000</v>
      </c>
      <c r="AO366" s="28">
        <v>0</v>
      </c>
      <c r="AS366" t="str">
        <f>_xlfn.XLOOKUP(AU366,[2]GAE!HZ:HZ,[2]GAE!IA:IA)</f>
        <v>HUMAN RESOURCES</v>
      </c>
      <c r="AT366" t="str">
        <f>_xlfn.XLOOKUP(AU366,[2]GAE!HZ:HZ,[2]GAE!IB:IB)</f>
        <v>DOE - Prof. Fees - Consultants</v>
      </c>
      <c r="AU366" t="s">
        <v>755</v>
      </c>
      <c r="AV366">
        <v>90122101</v>
      </c>
      <c r="AW366">
        <v>52071104</v>
      </c>
      <c r="AX366" t="str">
        <f>_xlfn.XLOOKUP(AU366,[2]GAE!HZ:HZ,[2]GAE!IF:IF)</f>
        <v>Professional fees</v>
      </c>
      <c r="AY366" t="str">
        <f>_xlfn.XLOOKUP(AU366,[2]GAE!HZ:HZ,[2]GAE!IG:IG)</f>
        <v>Internal and external consultants</v>
      </c>
      <c r="BF366" t="s">
        <v>93</v>
      </c>
      <c r="BG366" s="37" t="s">
        <v>756</v>
      </c>
      <c r="BH366" s="10">
        <f>SUMIFS('[1]2026'!$K:$K,'[1]2026'!$T:$T,BD366,'[1]2026'!$S:$S,BH$3,'[1]2026'!$P:$P,AU366)</f>
        <v>0</v>
      </c>
      <c r="BI366" s="10">
        <f>SUMIFS('[1]2026'!$K:$K,'[1]2026'!$T:$T,$BD366,'[1]2026'!$S:$S,BI$3,'[1]2026'!$P:$P,$AU366)</f>
        <v>0</v>
      </c>
      <c r="BJ366" s="10">
        <f>SUMIFS('[1]2026'!$K:$K,'[1]2026'!$T:$T,$BD366,'[1]2026'!$S:$S,BJ$3,'[1]2026'!$P:$P,$AU366)</f>
        <v>0</v>
      </c>
      <c r="BK366" s="10">
        <f>SUMIFS('[1]2026'!$K:$K,'[1]2026'!$T:$T,$BD366,'[1]2026'!$S:$S,BK$3,'[1]2026'!$P:$P,$AU366)</f>
        <v>0</v>
      </c>
      <c r="BL366" s="10">
        <f>SUMIFS('[1]2026'!$K:$K,'[1]2026'!$T:$T,$BD366,'[1]2026'!$S:$S,BL$3,'[1]2026'!$P:$P,$AU366)</f>
        <v>0</v>
      </c>
      <c r="BM366" s="10">
        <f>SUMIFS('[1]2026'!$K:$K,'[1]2026'!$T:$T,$BD366,'[1]2026'!$S:$S,BM$3,'[1]2026'!$P:$P,$AU366)</f>
        <v>0</v>
      </c>
      <c r="BN366" s="10">
        <f>SUMIFS('[1]2026'!$K:$K,'[1]2026'!$T:$T,$BD366,'[1]2026'!$S:$S,BN$3,'[1]2026'!$P:$P,$AU366)</f>
        <v>0</v>
      </c>
      <c r="BO366" s="10">
        <f>SUMIFS('[1]2026'!$K:$K,'[1]2026'!$T:$T,$BD366,'[1]2026'!$S:$S,BO$3,'[1]2026'!$P:$P,$AU366)</f>
        <v>0</v>
      </c>
      <c r="BP366" s="6"/>
      <c r="BQ366" s="6"/>
      <c r="BR366" s="6"/>
      <c r="BS366" s="6"/>
      <c r="BT366" s="6">
        <f t="shared" si="216"/>
        <v>0</v>
      </c>
      <c r="BV366" s="6">
        <f t="shared" ref="BV366:BV378" si="238">BH366-AB366</f>
        <v>0</v>
      </c>
      <c r="BW366" s="6">
        <f t="shared" ref="BW366:BW378" si="239">BI366-AC366</f>
        <v>0</v>
      </c>
      <c r="BX366" s="6">
        <f t="shared" ref="BX366:BX378" si="240">BJ366-AD366</f>
        <v>0</v>
      </c>
      <c r="BY366" s="6">
        <f t="shared" ref="BY366:BY378" si="241">BK366-AE366</f>
        <v>-300000</v>
      </c>
      <c r="BZ366" s="6">
        <f t="shared" ref="BZ366:BZ378" si="242">BL366-AF366</f>
        <v>0</v>
      </c>
      <c r="CA366" s="6">
        <f t="shared" ref="CA366:CA378" si="243">BM366-AG366</f>
        <v>0</v>
      </c>
      <c r="CB366" s="6">
        <f t="shared" ref="CB366:CB378" si="244">BN366-AH366</f>
        <v>0</v>
      </c>
      <c r="CC366" s="6">
        <f t="shared" ref="CC366:CC378" si="245">BO366-AI366</f>
        <v>0</v>
      </c>
      <c r="CD366" s="6">
        <f t="shared" ref="CD366:CD378" si="246">BP366-AJ366</f>
        <v>0</v>
      </c>
      <c r="CE366" s="6">
        <f t="shared" ref="CE366:CE378" si="247">BQ366-AK366</f>
        <v>0</v>
      </c>
      <c r="CF366" s="6">
        <f t="shared" ref="CF366:CF378" si="248">BR366-AL366</f>
        <v>0</v>
      </c>
      <c r="CG366" s="6">
        <f t="shared" ref="CG366:CG378" si="249">BS366-AM366</f>
        <v>0</v>
      </c>
      <c r="CH366" s="6">
        <f t="shared" si="212"/>
        <v>-300000</v>
      </c>
    </row>
    <row r="367" spans="1:86" hidden="1" x14ac:dyDescent="0.35">
      <c r="A367" s="3" t="s">
        <v>757</v>
      </c>
      <c r="B367" s="10">
        <v>55000</v>
      </c>
      <c r="N367" s="27">
        <f t="shared" si="235"/>
        <v>55000</v>
      </c>
      <c r="AA367" s="27">
        <f t="shared" si="236"/>
        <v>0</v>
      </c>
      <c r="AB367" s="10">
        <f t="shared" si="237"/>
        <v>55000</v>
      </c>
      <c r="AC367" s="10">
        <f t="shared" si="237"/>
        <v>0</v>
      </c>
      <c r="AD367" s="10">
        <f t="shared" si="237"/>
        <v>0</v>
      </c>
      <c r="AE367" s="10">
        <f t="shared" si="237"/>
        <v>0</v>
      </c>
      <c r="AF367" s="10">
        <f t="shared" si="237"/>
        <v>0</v>
      </c>
      <c r="AG367" s="10">
        <f t="shared" si="237"/>
        <v>0</v>
      </c>
      <c r="AH367" s="10">
        <f t="shared" si="237"/>
        <v>0</v>
      </c>
      <c r="AI367" s="10">
        <f t="shared" si="237"/>
        <v>0</v>
      </c>
      <c r="AJ367" s="10">
        <f t="shared" si="237"/>
        <v>0</v>
      </c>
      <c r="AK367" s="10">
        <f t="shared" si="237"/>
        <v>0</v>
      </c>
      <c r="AL367" s="10">
        <f t="shared" si="237"/>
        <v>0</v>
      </c>
      <c r="AM367" s="10">
        <f t="shared" si="237"/>
        <v>0</v>
      </c>
      <c r="AN367" s="27">
        <f t="shared" si="237"/>
        <v>55000</v>
      </c>
      <c r="AO367" s="28">
        <v>130000</v>
      </c>
      <c r="AP367" t="s">
        <v>758</v>
      </c>
      <c r="AS367" t="str">
        <f>_xlfn.XLOOKUP(AU367,[2]GAE!HZ:HZ,[2]GAE!IA:IA)</f>
        <v>HUMAN RESOURCES</v>
      </c>
      <c r="AT367" t="str">
        <f>_xlfn.XLOOKUP(AU367,[2]GAE!HZ:HZ,[2]GAE!IB:IB)</f>
        <v>GAE - Prof. Fees - Others</v>
      </c>
      <c r="AU367" t="s">
        <v>759</v>
      </c>
      <c r="AV367">
        <v>90122101</v>
      </c>
      <c r="AW367">
        <v>61071099</v>
      </c>
      <c r="AX367" t="str">
        <f>_xlfn.XLOOKUP(AU367,[2]GAE!HZ:HZ,[2]GAE!IF:IF)</f>
        <v>Professional fees</v>
      </c>
      <c r="AY367" t="str">
        <f>_xlfn.XLOOKUP(AU367,[2]GAE!HZ:HZ,[2]GAE!IG:IG)</f>
        <v>Internal and external consultants</v>
      </c>
      <c r="BC367" t="s">
        <v>94</v>
      </c>
      <c r="BD367" t="s">
        <v>760</v>
      </c>
      <c r="BF367" t="s">
        <v>93</v>
      </c>
      <c r="BG367" s="2" t="s">
        <v>1260</v>
      </c>
      <c r="BH367" s="10">
        <f>SUMIFS('[1]2026'!$K:$K,'[1]2026'!$T:$T,BD367,'[1]2026'!$S:$S,BH$3,'[1]2026'!$P:$P,AU367)</f>
        <v>0</v>
      </c>
      <c r="BI367" s="10">
        <f>SUMIFS('[1]2026'!$K:$K,'[1]2026'!$T:$T,$BD367,'[1]2026'!$S:$S,BI$3,'[1]2026'!$P:$P,$AU367)</f>
        <v>0</v>
      </c>
      <c r="BJ367" s="10">
        <f>SUMIFS('[1]2026'!$K:$K,'[1]2026'!$T:$T,$BD367,'[1]2026'!$S:$S,BJ$3,'[1]2026'!$P:$P,$AU367)</f>
        <v>75000</v>
      </c>
      <c r="BK367" s="10">
        <f>SUMIFS('[1]2026'!$K:$K,'[1]2026'!$T:$T,$BD367,'[1]2026'!$S:$S,BK$3,'[1]2026'!$P:$P,$AU367)</f>
        <v>0</v>
      </c>
      <c r="BL367" s="10">
        <f>SUMIFS('[1]2026'!$K:$K,'[1]2026'!$T:$T,$BD367,'[1]2026'!$S:$S,BL$3,'[1]2026'!$P:$P,$AU367)</f>
        <v>0</v>
      </c>
      <c r="BM367" s="10">
        <f>SUMIFS('[1]2026'!$K:$K,'[1]2026'!$T:$T,$BD367,'[1]2026'!$S:$S,BM$3,'[1]2026'!$P:$P,$AU367)</f>
        <v>0</v>
      </c>
      <c r="BN367" s="10">
        <f>SUMIFS('[1]2026'!$K:$K,'[1]2026'!$T:$T,$BD367,'[1]2026'!$S:$S,BN$3,'[1]2026'!$P:$P,$AU367)</f>
        <v>0</v>
      </c>
      <c r="BO367" s="10">
        <f>SUMIFS('[1]2026'!$K:$K,'[1]2026'!$T:$T,$BD367,'[1]2026'!$S:$S,BO$3,'[1]2026'!$P:$P,$AU367)</f>
        <v>0</v>
      </c>
      <c r="BP367" s="6">
        <f t="shared" ref="BP367:BS376" si="250">BO367</f>
        <v>0</v>
      </c>
      <c r="BQ367" s="6">
        <f t="shared" si="250"/>
        <v>0</v>
      </c>
      <c r="BR367" s="6">
        <f t="shared" si="250"/>
        <v>0</v>
      </c>
      <c r="BS367" s="6">
        <f t="shared" si="250"/>
        <v>0</v>
      </c>
      <c r="BT367" s="6">
        <f t="shared" si="216"/>
        <v>75000</v>
      </c>
      <c r="BV367" s="6">
        <f t="shared" si="238"/>
        <v>-55000</v>
      </c>
      <c r="BW367" s="6">
        <f t="shared" si="239"/>
        <v>0</v>
      </c>
      <c r="BX367" s="6">
        <f t="shared" si="240"/>
        <v>75000</v>
      </c>
      <c r="BY367" s="6">
        <f t="shared" si="241"/>
        <v>0</v>
      </c>
      <c r="BZ367" s="6">
        <f t="shared" si="242"/>
        <v>0</v>
      </c>
      <c r="CA367" s="6">
        <f t="shared" si="243"/>
        <v>0</v>
      </c>
      <c r="CB367" s="6">
        <f t="shared" si="244"/>
        <v>0</v>
      </c>
      <c r="CC367" s="6">
        <f t="shared" si="245"/>
        <v>0</v>
      </c>
      <c r="CD367" s="6">
        <f t="shared" si="246"/>
        <v>0</v>
      </c>
      <c r="CE367" s="6">
        <f t="shared" si="247"/>
        <v>0</v>
      </c>
      <c r="CF367" s="6">
        <f t="shared" si="248"/>
        <v>0</v>
      </c>
      <c r="CG367" s="6">
        <f t="shared" si="249"/>
        <v>0</v>
      </c>
      <c r="CH367" s="6">
        <f t="shared" si="212"/>
        <v>20000</v>
      </c>
    </row>
    <row r="368" spans="1:86" hidden="1" x14ac:dyDescent="0.35">
      <c r="A368" s="3" t="s">
        <v>757</v>
      </c>
      <c r="B368" s="10">
        <v>40000</v>
      </c>
      <c r="N368" s="27">
        <f t="shared" si="235"/>
        <v>40000</v>
      </c>
      <c r="AA368" s="27">
        <f t="shared" si="236"/>
        <v>0</v>
      </c>
      <c r="AB368" s="10">
        <f t="shared" si="237"/>
        <v>40000</v>
      </c>
      <c r="AC368" s="10">
        <f t="shared" si="237"/>
        <v>0</v>
      </c>
      <c r="AD368" s="10">
        <f t="shared" si="237"/>
        <v>0</v>
      </c>
      <c r="AE368" s="10">
        <f t="shared" si="237"/>
        <v>0</v>
      </c>
      <c r="AF368" s="10">
        <f t="shared" si="237"/>
        <v>0</v>
      </c>
      <c r="AG368" s="10">
        <f t="shared" si="237"/>
        <v>0</v>
      </c>
      <c r="AH368" s="10">
        <f t="shared" si="237"/>
        <v>0</v>
      </c>
      <c r="AI368" s="10">
        <f t="shared" si="237"/>
        <v>0</v>
      </c>
      <c r="AJ368" s="10">
        <f t="shared" si="237"/>
        <v>0</v>
      </c>
      <c r="AK368" s="10">
        <f t="shared" si="237"/>
        <v>0</v>
      </c>
      <c r="AL368" s="10">
        <f t="shared" si="237"/>
        <v>0</v>
      </c>
      <c r="AM368" s="10">
        <f t="shared" si="237"/>
        <v>0</v>
      </c>
      <c r="AN368" s="27">
        <f t="shared" si="237"/>
        <v>40000</v>
      </c>
      <c r="AP368" t="s">
        <v>758</v>
      </c>
      <c r="AS368" t="str">
        <f>_xlfn.XLOOKUP(AU368,[2]GAE!HZ:HZ,[2]GAE!IA:IA)</f>
        <v>HUMAN RESOURCES</v>
      </c>
      <c r="AT368" t="str">
        <f>_xlfn.XLOOKUP(AU368,[2]GAE!HZ:HZ,[2]GAE!IB:IB)</f>
        <v>DOE - Prof. Fees - Others</v>
      </c>
      <c r="AU368" t="s">
        <v>761</v>
      </c>
      <c r="AV368">
        <v>81122101</v>
      </c>
      <c r="AW368">
        <v>52071199</v>
      </c>
      <c r="AX368" t="str">
        <f>_xlfn.XLOOKUP(AU368,[2]GAE!HZ:HZ,[2]GAE!IF:IF)</f>
        <v>Professional fees</v>
      </c>
      <c r="AY368" t="str">
        <f>_xlfn.XLOOKUP(AU368,[2]GAE!HZ:HZ,[2]GAE!IG:IG)</f>
        <v>Internal and external consultants</v>
      </c>
      <c r="BC368" t="s">
        <v>94</v>
      </c>
      <c r="BD368" t="s">
        <v>760</v>
      </c>
      <c r="BF368" t="s">
        <v>93</v>
      </c>
      <c r="BG368" s="2" t="s">
        <v>1260</v>
      </c>
      <c r="BH368" s="10">
        <f>SUMIFS('[1]2026'!$K:$K,'[1]2026'!$T:$T,BD368,'[1]2026'!$S:$S,BH$3,'[1]2026'!$P:$P,AU368)</f>
        <v>0</v>
      </c>
      <c r="BI368" s="10">
        <f>SUMIFS('[1]2026'!$K:$K,'[1]2026'!$T:$T,$BD368,'[1]2026'!$S:$S,BI$3,'[1]2026'!$P:$P,$AU368)</f>
        <v>0</v>
      </c>
      <c r="BJ368" s="10">
        <f>SUMIFS('[1]2026'!$K:$K,'[1]2026'!$T:$T,$BD368,'[1]2026'!$S:$S,BJ$3,'[1]2026'!$P:$P,$AU368)</f>
        <v>55000</v>
      </c>
      <c r="BK368" s="10">
        <f>SUMIFS('[1]2026'!$K:$K,'[1]2026'!$T:$T,$BD368,'[1]2026'!$S:$S,BK$3,'[1]2026'!$P:$P,$AU368)</f>
        <v>0</v>
      </c>
      <c r="BL368" s="10">
        <f>SUMIFS('[1]2026'!$K:$K,'[1]2026'!$T:$T,$BD368,'[1]2026'!$S:$S,BL$3,'[1]2026'!$P:$P,$AU368)</f>
        <v>0</v>
      </c>
      <c r="BM368" s="10">
        <f>SUMIFS('[1]2026'!$K:$K,'[1]2026'!$T:$T,$BD368,'[1]2026'!$S:$S,BM$3,'[1]2026'!$P:$P,$AU368)</f>
        <v>0</v>
      </c>
      <c r="BN368" s="10">
        <f>SUMIFS('[1]2026'!$K:$K,'[1]2026'!$T:$T,$BD368,'[1]2026'!$S:$S,BN$3,'[1]2026'!$P:$P,$AU368)</f>
        <v>0</v>
      </c>
      <c r="BO368" s="10">
        <f>SUMIFS('[1]2026'!$K:$K,'[1]2026'!$T:$T,$BD368,'[1]2026'!$S:$S,BO$3,'[1]2026'!$P:$P,$AU368)</f>
        <v>0</v>
      </c>
      <c r="BP368" s="6">
        <f t="shared" si="250"/>
        <v>0</v>
      </c>
      <c r="BQ368" s="6">
        <f t="shared" si="250"/>
        <v>0</v>
      </c>
      <c r="BR368" s="6">
        <f t="shared" si="250"/>
        <v>0</v>
      </c>
      <c r="BS368" s="6">
        <f t="shared" si="250"/>
        <v>0</v>
      </c>
      <c r="BT368" s="6">
        <f t="shared" si="216"/>
        <v>55000</v>
      </c>
      <c r="BV368" s="6">
        <f t="shared" si="238"/>
        <v>-40000</v>
      </c>
      <c r="BW368" s="6">
        <f t="shared" si="239"/>
        <v>0</v>
      </c>
      <c r="BX368" s="6">
        <f t="shared" si="240"/>
        <v>55000</v>
      </c>
      <c r="BY368" s="6">
        <f t="shared" si="241"/>
        <v>0</v>
      </c>
      <c r="BZ368" s="6">
        <f t="shared" si="242"/>
        <v>0</v>
      </c>
      <c r="CA368" s="6">
        <f t="shared" si="243"/>
        <v>0</v>
      </c>
      <c r="CB368" s="6">
        <f t="shared" si="244"/>
        <v>0</v>
      </c>
      <c r="CC368" s="6">
        <f t="shared" si="245"/>
        <v>0</v>
      </c>
      <c r="CD368" s="6">
        <f t="shared" si="246"/>
        <v>0</v>
      </c>
      <c r="CE368" s="6">
        <f t="shared" si="247"/>
        <v>0</v>
      </c>
      <c r="CF368" s="6">
        <f t="shared" si="248"/>
        <v>0</v>
      </c>
      <c r="CG368" s="6">
        <f t="shared" si="249"/>
        <v>0</v>
      </c>
      <c r="CH368" s="6">
        <f t="shared" si="212"/>
        <v>15000</v>
      </c>
    </row>
    <row r="369" spans="1:86" hidden="1" x14ac:dyDescent="0.35">
      <c r="A369" s="3" t="s">
        <v>757</v>
      </c>
      <c r="B369" s="10">
        <v>40000</v>
      </c>
      <c r="N369" s="27">
        <f t="shared" si="235"/>
        <v>40000</v>
      </c>
      <c r="AA369" s="27">
        <f t="shared" si="236"/>
        <v>0</v>
      </c>
      <c r="AB369" s="10">
        <f t="shared" si="237"/>
        <v>40000</v>
      </c>
      <c r="AC369" s="10">
        <f t="shared" si="237"/>
        <v>0</v>
      </c>
      <c r="AD369" s="10">
        <f t="shared" si="237"/>
        <v>0</v>
      </c>
      <c r="AE369" s="10">
        <f t="shared" si="237"/>
        <v>0</v>
      </c>
      <c r="AF369" s="10">
        <f t="shared" si="237"/>
        <v>0</v>
      </c>
      <c r="AG369" s="10">
        <f t="shared" si="237"/>
        <v>0</v>
      </c>
      <c r="AH369" s="10">
        <f t="shared" si="237"/>
        <v>0</v>
      </c>
      <c r="AI369" s="10">
        <f t="shared" si="237"/>
        <v>0</v>
      </c>
      <c r="AJ369" s="10">
        <f t="shared" si="237"/>
        <v>0</v>
      </c>
      <c r="AK369" s="10">
        <f t="shared" si="237"/>
        <v>0</v>
      </c>
      <c r="AL369" s="10">
        <f t="shared" si="237"/>
        <v>0</v>
      </c>
      <c r="AM369" s="10">
        <f t="shared" si="237"/>
        <v>0</v>
      </c>
      <c r="AN369" s="27">
        <f t="shared" si="237"/>
        <v>40000</v>
      </c>
      <c r="AP369" t="s">
        <v>758</v>
      </c>
      <c r="AS369" t="str">
        <f>_xlfn.XLOOKUP(AU369,[2]GAE!HZ:HZ,[2]GAE!IA:IA)</f>
        <v>HUMAN RESOURCES</v>
      </c>
      <c r="AT369" t="str">
        <f>_xlfn.XLOOKUP(AU369,[2]GAE!HZ:HZ,[2]GAE!IB:IB)</f>
        <v>GAE - Prof. Fees - Others</v>
      </c>
      <c r="AU369" t="s">
        <v>762</v>
      </c>
      <c r="AV369">
        <v>80122101</v>
      </c>
      <c r="AW369">
        <v>61071099</v>
      </c>
      <c r="AX369" t="str">
        <f>_xlfn.XLOOKUP(AU369,[2]GAE!HZ:HZ,[2]GAE!IF:IF)</f>
        <v>Professional fees</v>
      </c>
      <c r="AY369" t="str">
        <f>_xlfn.XLOOKUP(AU369,[2]GAE!HZ:HZ,[2]GAE!IG:IG)</f>
        <v>Internal and external consultants</v>
      </c>
      <c r="BC369" t="s">
        <v>94</v>
      </c>
      <c r="BD369" t="s">
        <v>760</v>
      </c>
      <c r="BF369" t="s">
        <v>93</v>
      </c>
      <c r="BG369" s="2" t="s">
        <v>1260</v>
      </c>
      <c r="BH369" s="10">
        <f>SUMIFS('[1]2026'!$K:$K,'[1]2026'!$T:$T,BD369,'[1]2026'!$S:$S,BH$3,'[1]2026'!$P:$P,AU369)</f>
        <v>0</v>
      </c>
      <c r="BI369" s="10">
        <f>SUMIFS('[1]2026'!$K:$K,'[1]2026'!$T:$T,$BD369,'[1]2026'!$S:$S,BI$3,'[1]2026'!$P:$P,$AU369)</f>
        <v>100</v>
      </c>
      <c r="BJ369" s="10">
        <f>SUMIFS('[1]2026'!$K:$K,'[1]2026'!$T:$T,$BD369,'[1]2026'!$S:$S,BJ$3,'[1]2026'!$P:$P,$AU369)</f>
        <v>38191.67</v>
      </c>
      <c r="BK369" s="10">
        <f>SUMIFS('[1]2026'!$K:$K,'[1]2026'!$T:$T,$BD369,'[1]2026'!$S:$S,BK$3,'[1]2026'!$P:$P,$AU369)</f>
        <v>0</v>
      </c>
      <c r="BL369" s="10">
        <f>SUMIFS('[1]2026'!$K:$K,'[1]2026'!$T:$T,$BD369,'[1]2026'!$S:$S,BL$3,'[1]2026'!$P:$P,$AU369)</f>
        <v>0</v>
      </c>
      <c r="BM369" s="10">
        <f>SUMIFS('[1]2026'!$K:$K,'[1]2026'!$T:$T,$BD369,'[1]2026'!$S:$S,BM$3,'[1]2026'!$P:$P,$AU369)</f>
        <v>0</v>
      </c>
      <c r="BN369" s="10">
        <f>SUMIFS('[1]2026'!$K:$K,'[1]2026'!$T:$T,$BD369,'[1]2026'!$S:$S,BN$3,'[1]2026'!$P:$P,$AU369)</f>
        <v>0</v>
      </c>
      <c r="BO369" s="10">
        <f>SUMIFS('[1]2026'!$K:$K,'[1]2026'!$T:$T,$BD369,'[1]2026'!$S:$S,BO$3,'[1]2026'!$P:$P,$AU369)</f>
        <v>0</v>
      </c>
      <c r="BP369" s="6">
        <f t="shared" si="250"/>
        <v>0</v>
      </c>
      <c r="BQ369" s="6">
        <f t="shared" si="250"/>
        <v>0</v>
      </c>
      <c r="BR369" s="6">
        <f t="shared" si="250"/>
        <v>0</v>
      </c>
      <c r="BS369" s="6">
        <f t="shared" si="250"/>
        <v>0</v>
      </c>
      <c r="BT369" s="6">
        <f t="shared" si="216"/>
        <v>38291.67</v>
      </c>
      <c r="BV369" s="6">
        <f t="shared" si="238"/>
        <v>-40000</v>
      </c>
      <c r="BW369" s="6">
        <f t="shared" si="239"/>
        <v>100</v>
      </c>
      <c r="BX369" s="6">
        <f t="shared" si="240"/>
        <v>38191.67</v>
      </c>
      <c r="BY369" s="6">
        <f t="shared" si="241"/>
        <v>0</v>
      </c>
      <c r="BZ369" s="6">
        <f t="shared" si="242"/>
        <v>0</v>
      </c>
      <c r="CA369" s="6">
        <f t="shared" si="243"/>
        <v>0</v>
      </c>
      <c r="CB369" s="6">
        <f t="shared" si="244"/>
        <v>0</v>
      </c>
      <c r="CC369" s="6">
        <f t="shared" si="245"/>
        <v>0</v>
      </c>
      <c r="CD369" s="6">
        <f t="shared" si="246"/>
        <v>0</v>
      </c>
      <c r="CE369" s="6">
        <f t="shared" si="247"/>
        <v>0</v>
      </c>
      <c r="CF369" s="6">
        <f t="shared" si="248"/>
        <v>0</v>
      </c>
      <c r="CG369" s="6">
        <f t="shared" si="249"/>
        <v>0</v>
      </c>
      <c r="CH369" s="6">
        <f t="shared" si="212"/>
        <v>-1708.3300000000017</v>
      </c>
    </row>
    <row r="370" spans="1:86" hidden="1" x14ac:dyDescent="0.35">
      <c r="A370" s="3" t="s">
        <v>763</v>
      </c>
      <c r="B370" s="10">
        <v>55000</v>
      </c>
      <c r="N370" s="27">
        <f t="shared" si="235"/>
        <v>55000</v>
      </c>
      <c r="AA370" s="27">
        <f t="shared" si="236"/>
        <v>0</v>
      </c>
      <c r="AB370" s="10">
        <f t="shared" si="237"/>
        <v>55000</v>
      </c>
      <c r="AC370" s="10">
        <f t="shared" si="237"/>
        <v>0</v>
      </c>
      <c r="AD370" s="10">
        <f t="shared" si="237"/>
        <v>0</v>
      </c>
      <c r="AE370" s="10">
        <f t="shared" si="237"/>
        <v>0</v>
      </c>
      <c r="AF370" s="10">
        <f t="shared" si="237"/>
        <v>0</v>
      </c>
      <c r="AG370" s="10">
        <f t="shared" si="237"/>
        <v>0</v>
      </c>
      <c r="AH370" s="10">
        <f t="shared" si="237"/>
        <v>0</v>
      </c>
      <c r="AI370" s="10">
        <f t="shared" si="237"/>
        <v>0</v>
      </c>
      <c r="AJ370" s="10">
        <f t="shared" si="237"/>
        <v>0</v>
      </c>
      <c r="AK370" s="10">
        <f t="shared" si="237"/>
        <v>0</v>
      </c>
      <c r="AL370" s="10">
        <f t="shared" si="237"/>
        <v>0</v>
      </c>
      <c r="AM370" s="10">
        <f t="shared" si="237"/>
        <v>0</v>
      </c>
      <c r="AN370" s="27">
        <f t="shared" si="237"/>
        <v>55000</v>
      </c>
      <c r="AP370" t="s">
        <v>758</v>
      </c>
      <c r="AS370" t="str">
        <f>_xlfn.XLOOKUP(AU370,[2]GAE!HZ:HZ,[2]GAE!IA:IA)</f>
        <v>HUMAN RESOURCES</v>
      </c>
      <c r="AT370" t="str">
        <f>_xlfn.XLOOKUP(AU370,[2]GAE!HZ:HZ,[2]GAE!IB:IB)</f>
        <v>GAE - Prof. Fees - Others</v>
      </c>
      <c r="AU370" t="s">
        <v>759</v>
      </c>
      <c r="AV370">
        <v>90122101</v>
      </c>
      <c r="AW370">
        <v>61071099</v>
      </c>
      <c r="AX370" t="str">
        <f>_xlfn.XLOOKUP(AU370,[2]GAE!HZ:HZ,[2]GAE!IF:IF)</f>
        <v>Professional fees</v>
      </c>
      <c r="AY370" t="str">
        <f>_xlfn.XLOOKUP(AU370,[2]GAE!HZ:HZ,[2]GAE!IG:IG)</f>
        <v>Internal and external consultants</v>
      </c>
      <c r="BF370" t="s">
        <v>93</v>
      </c>
      <c r="BG370" s="2" t="s">
        <v>1260</v>
      </c>
      <c r="BH370" s="10">
        <f>SUMIFS('[1]2026'!$K:$K,'[1]2026'!$T:$T,BD370,'[1]2026'!$S:$S,BH$3,'[1]2026'!$P:$P,AU370)</f>
        <v>0</v>
      </c>
      <c r="BI370" s="10">
        <f>SUMIFS('[1]2026'!$K:$K,'[1]2026'!$T:$T,$BD370,'[1]2026'!$S:$S,BI$3,'[1]2026'!$P:$P,$AU370)</f>
        <v>0</v>
      </c>
      <c r="BJ370" s="10">
        <f>SUMIFS('[1]2026'!$K:$K,'[1]2026'!$T:$T,$BD370,'[1]2026'!$S:$S,BJ$3,'[1]2026'!$P:$P,$AU370)</f>
        <v>0</v>
      </c>
      <c r="BK370" s="10">
        <f>SUMIFS('[1]2026'!$K:$K,'[1]2026'!$T:$T,$BD370,'[1]2026'!$S:$S,BK$3,'[1]2026'!$P:$P,$AU370)</f>
        <v>0</v>
      </c>
      <c r="BL370" s="10">
        <f>SUMIFS('[1]2026'!$K:$K,'[1]2026'!$T:$T,$BD370,'[1]2026'!$S:$S,BL$3,'[1]2026'!$P:$P,$AU370)</f>
        <v>0</v>
      </c>
      <c r="BM370" s="10">
        <f>SUMIFS('[1]2026'!$K:$K,'[1]2026'!$T:$T,$BD370,'[1]2026'!$S:$S,BM$3,'[1]2026'!$P:$P,$AU370)</f>
        <v>0</v>
      </c>
      <c r="BN370" s="10">
        <f>SUMIFS('[1]2026'!$K:$K,'[1]2026'!$T:$T,$BD370,'[1]2026'!$S:$S,BN$3,'[1]2026'!$P:$P,$AU370)</f>
        <v>0</v>
      </c>
      <c r="BO370" s="10">
        <f>SUMIFS('[1]2026'!$K:$K,'[1]2026'!$T:$T,$BD370,'[1]2026'!$S:$S,BO$3,'[1]2026'!$P:$P,$AU370)</f>
        <v>0</v>
      </c>
      <c r="BP370" s="6">
        <f t="shared" si="250"/>
        <v>0</v>
      </c>
      <c r="BQ370" s="6">
        <f t="shared" si="250"/>
        <v>0</v>
      </c>
      <c r="BR370" s="6">
        <f t="shared" si="250"/>
        <v>0</v>
      </c>
      <c r="BS370" s="6">
        <f t="shared" si="250"/>
        <v>0</v>
      </c>
      <c r="BT370" s="6">
        <f t="shared" si="216"/>
        <v>0</v>
      </c>
      <c r="BV370" s="6">
        <f t="shared" si="238"/>
        <v>-55000</v>
      </c>
      <c r="BW370" s="6">
        <f t="shared" si="239"/>
        <v>0</v>
      </c>
      <c r="BX370" s="6">
        <f t="shared" si="240"/>
        <v>0</v>
      </c>
      <c r="BY370" s="6">
        <f t="shared" si="241"/>
        <v>0</v>
      </c>
      <c r="BZ370" s="6">
        <f t="shared" si="242"/>
        <v>0</v>
      </c>
      <c r="CA370" s="6">
        <f t="shared" si="243"/>
        <v>0</v>
      </c>
      <c r="CB370" s="6">
        <f t="shared" si="244"/>
        <v>0</v>
      </c>
      <c r="CC370" s="6">
        <f t="shared" si="245"/>
        <v>0</v>
      </c>
      <c r="CD370" s="6">
        <f t="shared" si="246"/>
        <v>0</v>
      </c>
      <c r="CE370" s="6">
        <f t="shared" si="247"/>
        <v>0</v>
      </c>
      <c r="CF370" s="6">
        <f t="shared" si="248"/>
        <v>0</v>
      </c>
      <c r="CG370" s="6">
        <f t="shared" si="249"/>
        <v>0</v>
      </c>
      <c r="CH370" s="6">
        <f t="shared" si="212"/>
        <v>-55000</v>
      </c>
    </row>
    <row r="371" spans="1:86" hidden="1" x14ac:dyDescent="0.35">
      <c r="A371" s="3" t="s">
        <v>763</v>
      </c>
      <c r="B371" s="10">
        <v>40000</v>
      </c>
      <c r="N371" s="27">
        <f t="shared" si="235"/>
        <v>40000</v>
      </c>
      <c r="AA371" s="27">
        <f t="shared" si="236"/>
        <v>0</v>
      </c>
      <c r="AB371" s="10">
        <f t="shared" si="237"/>
        <v>40000</v>
      </c>
      <c r="AC371" s="10">
        <f t="shared" si="237"/>
        <v>0</v>
      </c>
      <c r="AD371" s="10">
        <f t="shared" si="237"/>
        <v>0</v>
      </c>
      <c r="AE371" s="10">
        <f t="shared" si="237"/>
        <v>0</v>
      </c>
      <c r="AF371" s="10">
        <f t="shared" si="237"/>
        <v>0</v>
      </c>
      <c r="AG371" s="10">
        <f t="shared" si="237"/>
        <v>0</v>
      </c>
      <c r="AH371" s="10">
        <f t="shared" si="237"/>
        <v>0</v>
      </c>
      <c r="AI371" s="10">
        <f t="shared" si="237"/>
        <v>0</v>
      </c>
      <c r="AJ371" s="10">
        <f t="shared" si="237"/>
        <v>0</v>
      </c>
      <c r="AK371" s="10">
        <f t="shared" si="237"/>
        <v>0</v>
      </c>
      <c r="AL371" s="10">
        <f t="shared" si="237"/>
        <v>0</v>
      </c>
      <c r="AM371" s="10">
        <f t="shared" si="237"/>
        <v>0</v>
      </c>
      <c r="AN371" s="27">
        <f t="shared" si="237"/>
        <v>40000</v>
      </c>
      <c r="AP371" t="s">
        <v>758</v>
      </c>
      <c r="AS371" t="str">
        <f>_xlfn.XLOOKUP(AU371,[2]GAE!HZ:HZ,[2]GAE!IA:IA)</f>
        <v>HUMAN RESOURCES</v>
      </c>
      <c r="AT371" t="str">
        <f>_xlfn.XLOOKUP(AU371,[2]GAE!HZ:HZ,[2]GAE!IB:IB)</f>
        <v>DOE - Prof. Fees - Others</v>
      </c>
      <c r="AU371" t="s">
        <v>761</v>
      </c>
      <c r="AV371">
        <v>81122101</v>
      </c>
      <c r="AW371">
        <v>52071199</v>
      </c>
      <c r="AX371" t="str">
        <f>_xlfn.XLOOKUP(AU371,[2]GAE!HZ:HZ,[2]GAE!IF:IF)</f>
        <v>Professional fees</v>
      </c>
      <c r="AY371" t="str">
        <f>_xlfn.XLOOKUP(AU371,[2]GAE!HZ:HZ,[2]GAE!IG:IG)</f>
        <v>Internal and external consultants</v>
      </c>
      <c r="BF371" t="s">
        <v>93</v>
      </c>
      <c r="BG371" s="2" t="s">
        <v>1260</v>
      </c>
      <c r="BH371" s="10">
        <f>SUMIFS('[1]2026'!$K:$K,'[1]2026'!$T:$T,BD371,'[1]2026'!$S:$S,BH$3,'[1]2026'!$P:$P,AU371)</f>
        <v>0</v>
      </c>
      <c r="BI371" s="10">
        <f>SUMIFS('[1]2026'!$K:$K,'[1]2026'!$T:$T,$BD371,'[1]2026'!$S:$S,BI$3,'[1]2026'!$P:$P,$AU371)</f>
        <v>0</v>
      </c>
      <c r="BJ371" s="10">
        <f>SUMIFS('[1]2026'!$K:$K,'[1]2026'!$T:$T,$BD371,'[1]2026'!$S:$S,BJ$3,'[1]2026'!$P:$P,$AU371)</f>
        <v>0</v>
      </c>
      <c r="BK371" s="10">
        <f>SUMIFS('[1]2026'!$K:$K,'[1]2026'!$T:$T,$BD371,'[1]2026'!$S:$S,BK$3,'[1]2026'!$P:$P,$AU371)</f>
        <v>0</v>
      </c>
      <c r="BL371" s="10">
        <f>SUMIFS('[1]2026'!$K:$K,'[1]2026'!$T:$T,$BD371,'[1]2026'!$S:$S,BL$3,'[1]2026'!$P:$P,$AU371)</f>
        <v>0</v>
      </c>
      <c r="BM371" s="10">
        <f>SUMIFS('[1]2026'!$K:$K,'[1]2026'!$T:$T,$BD371,'[1]2026'!$S:$S,BM$3,'[1]2026'!$P:$P,$AU371)</f>
        <v>0</v>
      </c>
      <c r="BN371" s="10">
        <f>SUMIFS('[1]2026'!$K:$K,'[1]2026'!$T:$T,$BD371,'[1]2026'!$S:$S,BN$3,'[1]2026'!$P:$P,$AU371)</f>
        <v>0</v>
      </c>
      <c r="BO371" s="10">
        <f>SUMIFS('[1]2026'!$K:$K,'[1]2026'!$T:$T,$BD371,'[1]2026'!$S:$S,BO$3,'[1]2026'!$P:$P,$AU371)</f>
        <v>0</v>
      </c>
      <c r="BP371" s="6">
        <f t="shared" si="250"/>
        <v>0</v>
      </c>
      <c r="BQ371" s="6">
        <f t="shared" si="250"/>
        <v>0</v>
      </c>
      <c r="BR371" s="6">
        <f t="shared" si="250"/>
        <v>0</v>
      </c>
      <c r="BS371" s="6">
        <f t="shared" si="250"/>
        <v>0</v>
      </c>
      <c r="BT371" s="6">
        <f t="shared" si="216"/>
        <v>0</v>
      </c>
      <c r="BV371" s="6">
        <f t="shared" si="238"/>
        <v>-40000</v>
      </c>
      <c r="BW371" s="6">
        <f t="shared" si="239"/>
        <v>0</v>
      </c>
      <c r="BX371" s="6">
        <f t="shared" si="240"/>
        <v>0</v>
      </c>
      <c r="BY371" s="6">
        <f t="shared" si="241"/>
        <v>0</v>
      </c>
      <c r="BZ371" s="6">
        <f t="shared" si="242"/>
        <v>0</v>
      </c>
      <c r="CA371" s="6">
        <f t="shared" si="243"/>
        <v>0</v>
      </c>
      <c r="CB371" s="6">
        <f t="shared" si="244"/>
        <v>0</v>
      </c>
      <c r="CC371" s="6">
        <f t="shared" si="245"/>
        <v>0</v>
      </c>
      <c r="CD371" s="6">
        <f t="shared" si="246"/>
        <v>0</v>
      </c>
      <c r="CE371" s="6">
        <f t="shared" si="247"/>
        <v>0</v>
      </c>
      <c r="CF371" s="6">
        <f t="shared" si="248"/>
        <v>0</v>
      </c>
      <c r="CG371" s="6">
        <f t="shared" si="249"/>
        <v>0</v>
      </c>
      <c r="CH371" s="6">
        <f t="shared" si="212"/>
        <v>-40000</v>
      </c>
    </row>
    <row r="372" spans="1:86" hidden="1" x14ac:dyDescent="0.35">
      <c r="A372" s="3" t="s">
        <v>763</v>
      </c>
      <c r="B372" s="10">
        <v>40000</v>
      </c>
      <c r="N372" s="27">
        <f t="shared" si="235"/>
        <v>40000</v>
      </c>
      <c r="AA372" s="27">
        <f t="shared" si="236"/>
        <v>0</v>
      </c>
      <c r="AB372" s="10">
        <f t="shared" si="237"/>
        <v>40000</v>
      </c>
      <c r="AC372" s="10">
        <f t="shared" si="237"/>
        <v>0</v>
      </c>
      <c r="AD372" s="10">
        <f t="shared" si="237"/>
        <v>0</v>
      </c>
      <c r="AE372" s="10">
        <f t="shared" si="237"/>
        <v>0</v>
      </c>
      <c r="AF372" s="10">
        <f t="shared" si="237"/>
        <v>0</v>
      </c>
      <c r="AG372" s="10">
        <f t="shared" si="237"/>
        <v>0</v>
      </c>
      <c r="AH372" s="10">
        <f t="shared" si="237"/>
        <v>0</v>
      </c>
      <c r="AI372" s="10">
        <f t="shared" si="237"/>
        <v>0</v>
      </c>
      <c r="AJ372" s="10">
        <f t="shared" si="237"/>
        <v>0</v>
      </c>
      <c r="AK372" s="10">
        <f t="shared" si="237"/>
        <v>0</v>
      </c>
      <c r="AL372" s="10">
        <f t="shared" si="237"/>
        <v>0</v>
      </c>
      <c r="AM372" s="10">
        <f t="shared" si="237"/>
        <v>0</v>
      </c>
      <c r="AN372" s="27">
        <f t="shared" si="237"/>
        <v>40000</v>
      </c>
      <c r="AP372" t="s">
        <v>758</v>
      </c>
      <c r="AS372" t="str">
        <f>_xlfn.XLOOKUP(AU372,[2]GAE!HZ:HZ,[2]GAE!IA:IA)</f>
        <v>HUMAN RESOURCES</v>
      </c>
      <c r="AT372" t="str">
        <f>_xlfn.XLOOKUP(AU372,[2]GAE!HZ:HZ,[2]GAE!IB:IB)</f>
        <v>GAE - Prof. Fees - Others</v>
      </c>
      <c r="AU372" t="s">
        <v>762</v>
      </c>
      <c r="AV372">
        <v>80122101</v>
      </c>
      <c r="AW372">
        <v>61071099</v>
      </c>
      <c r="AX372" t="str">
        <f>_xlfn.XLOOKUP(AU372,[2]GAE!HZ:HZ,[2]GAE!IF:IF)</f>
        <v>Professional fees</v>
      </c>
      <c r="AY372" t="str">
        <f>_xlfn.XLOOKUP(AU372,[2]GAE!HZ:HZ,[2]GAE!IG:IG)</f>
        <v>Internal and external consultants</v>
      </c>
      <c r="BF372" t="s">
        <v>93</v>
      </c>
      <c r="BG372" s="2" t="s">
        <v>1260</v>
      </c>
      <c r="BH372" s="10">
        <f>SUMIFS('[1]2026'!$K:$K,'[1]2026'!$T:$T,BD372,'[1]2026'!$S:$S,BH$3,'[1]2026'!$P:$P,AU372)</f>
        <v>0</v>
      </c>
      <c r="BI372" s="10">
        <f>SUMIFS('[1]2026'!$K:$K,'[1]2026'!$T:$T,$BD372,'[1]2026'!$S:$S,BI$3,'[1]2026'!$P:$P,$AU372)</f>
        <v>0</v>
      </c>
      <c r="BJ372" s="10">
        <f>SUMIFS('[1]2026'!$K:$K,'[1]2026'!$T:$T,$BD372,'[1]2026'!$S:$S,BJ$3,'[1]2026'!$P:$P,$AU372)</f>
        <v>0</v>
      </c>
      <c r="BK372" s="10">
        <f>SUMIFS('[1]2026'!$K:$K,'[1]2026'!$T:$T,$BD372,'[1]2026'!$S:$S,BK$3,'[1]2026'!$P:$P,$AU372)</f>
        <v>0</v>
      </c>
      <c r="BL372" s="10">
        <f>SUMIFS('[1]2026'!$K:$K,'[1]2026'!$T:$T,$BD372,'[1]2026'!$S:$S,BL$3,'[1]2026'!$P:$P,$AU372)</f>
        <v>0</v>
      </c>
      <c r="BM372" s="10">
        <f>SUMIFS('[1]2026'!$K:$K,'[1]2026'!$T:$T,$BD372,'[1]2026'!$S:$S,BM$3,'[1]2026'!$P:$P,$AU372)</f>
        <v>0</v>
      </c>
      <c r="BN372" s="10">
        <f>SUMIFS('[1]2026'!$K:$K,'[1]2026'!$T:$T,$BD372,'[1]2026'!$S:$S,BN$3,'[1]2026'!$P:$P,$AU372)</f>
        <v>0</v>
      </c>
      <c r="BO372" s="10">
        <f>SUMIFS('[1]2026'!$K:$K,'[1]2026'!$T:$T,$BD372,'[1]2026'!$S:$S,BO$3,'[1]2026'!$P:$P,$AU372)</f>
        <v>0</v>
      </c>
      <c r="BP372" s="6">
        <f t="shared" si="250"/>
        <v>0</v>
      </c>
      <c r="BQ372" s="6">
        <f t="shared" si="250"/>
        <v>0</v>
      </c>
      <c r="BR372" s="6">
        <f t="shared" si="250"/>
        <v>0</v>
      </c>
      <c r="BS372" s="6">
        <f t="shared" si="250"/>
        <v>0</v>
      </c>
      <c r="BT372" s="6">
        <f t="shared" si="216"/>
        <v>0</v>
      </c>
      <c r="BV372" s="6">
        <f t="shared" si="238"/>
        <v>-40000</v>
      </c>
      <c r="BW372" s="6">
        <f t="shared" si="239"/>
        <v>0</v>
      </c>
      <c r="BX372" s="6">
        <f t="shared" si="240"/>
        <v>0</v>
      </c>
      <c r="BY372" s="6">
        <f t="shared" si="241"/>
        <v>0</v>
      </c>
      <c r="BZ372" s="6">
        <f t="shared" si="242"/>
        <v>0</v>
      </c>
      <c r="CA372" s="6">
        <f t="shared" si="243"/>
        <v>0</v>
      </c>
      <c r="CB372" s="6">
        <f t="shared" si="244"/>
        <v>0</v>
      </c>
      <c r="CC372" s="6">
        <f t="shared" si="245"/>
        <v>0</v>
      </c>
      <c r="CD372" s="6">
        <f t="shared" si="246"/>
        <v>0</v>
      </c>
      <c r="CE372" s="6">
        <f t="shared" si="247"/>
        <v>0</v>
      </c>
      <c r="CF372" s="6">
        <f t="shared" si="248"/>
        <v>0</v>
      </c>
      <c r="CG372" s="6">
        <f t="shared" si="249"/>
        <v>0</v>
      </c>
      <c r="CH372" s="6">
        <f t="shared" si="212"/>
        <v>-40000</v>
      </c>
    </row>
    <row r="373" spans="1:86" hidden="1" x14ac:dyDescent="0.35">
      <c r="A373" s="3" t="s">
        <v>764</v>
      </c>
      <c r="B373" s="10">
        <v>55000</v>
      </c>
      <c r="N373" s="27">
        <f t="shared" si="235"/>
        <v>55000</v>
      </c>
      <c r="AA373" s="27">
        <f t="shared" si="236"/>
        <v>0</v>
      </c>
      <c r="AB373" s="10">
        <f t="shared" si="237"/>
        <v>55000</v>
      </c>
      <c r="AC373" s="10">
        <f t="shared" si="237"/>
        <v>0</v>
      </c>
      <c r="AD373" s="10">
        <f t="shared" si="237"/>
        <v>0</v>
      </c>
      <c r="AE373" s="10">
        <f t="shared" si="237"/>
        <v>0</v>
      </c>
      <c r="AF373" s="10">
        <f t="shared" si="237"/>
        <v>0</v>
      </c>
      <c r="AG373" s="10">
        <f t="shared" si="237"/>
        <v>0</v>
      </c>
      <c r="AH373" s="10">
        <f t="shared" si="237"/>
        <v>0</v>
      </c>
      <c r="AI373" s="10">
        <f t="shared" si="237"/>
        <v>0</v>
      </c>
      <c r="AJ373" s="10">
        <f t="shared" si="237"/>
        <v>0</v>
      </c>
      <c r="AK373" s="10">
        <f t="shared" si="237"/>
        <v>0</v>
      </c>
      <c r="AL373" s="10">
        <f t="shared" si="237"/>
        <v>0</v>
      </c>
      <c r="AM373" s="10">
        <f t="shared" si="237"/>
        <v>0</v>
      </c>
      <c r="AN373" s="27">
        <f t="shared" si="237"/>
        <v>55000</v>
      </c>
      <c r="AP373" t="s">
        <v>758</v>
      </c>
      <c r="AS373" t="str">
        <f>_xlfn.XLOOKUP(AU373,[2]GAE!HZ:HZ,[2]GAE!IA:IA)</f>
        <v>HUMAN RESOURCES</v>
      </c>
      <c r="AT373" t="str">
        <f>_xlfn.XLOOKUP(AU373,[2]GAE!HZ:HZ,[2]GAE!IB:IB)</f>
        <v>GAE - Prof. Fees - Others</v>
      </c>
      <c r="AU373" t="s">
        <v>759</v>
      </c>
      <c r="AV373">
        <v>90122101</v>
      </c>
      <c r="AW373">
        <v>61071099</v>
      </c>
      <c r="AX373" t="str">
        <f>_xlfn.XLOOKUP(AU373,[2]GAE!HZ:HZ,[2]GAE!IF:IF)</f>
        <v>Professional fees</v>
      </c>
      <c r="AY373" t="str">
        <f>_xlfn.XLOOKUP(AU373,[2]GAE!HZ:HZ,[2]GAE!IG:IG)</f>
        <v>Internal and external consultants</v>
      </c>
      <c r="BF373" t="s">
        <v>93</v>
      </c>
      <c r="BG373" s="2" t="s">
        <v>1260</v>
      </c>
      <c r="BH373" s="10">
        <f>SUMIFS('[1]2026'!$K:$K,'[1]2026'!$T:$T,BD373,'[1]2026'!$S:$S,BH$3,'[1]2026'!$P:$P,AU373)</f>
        <v>0</v>
      </c>
      <c r="BI373" s="10">
        <f>SUMIFS('[1]2026'!$K:$K,'[1]2026'!$T:$T,$BD373,'[1]2026'!$S:$S,BI$3,'[1]2026'!$P:$P,$AU373)</f>
        <v>0</v>
      </c>
      <c r="BJ373" s="10">
        <f>SUMIFS('[1]2026'!$K:$K,'[1]2026'!$T:$T,$BD373,'[1]2026'!$S:$S,BJ$3,'[1]2026'!$P:$P,$AU373)</f>
        <v>0</v>
      </c>
      <c r="BK373" s="10">
        <f>SUMIFS('[1]2026'!$K:$K,'[1]2026'!$T:$T,$BD373,'[1]2026'!$S:$S,BK$3,'[1]2026'!$P:$P,$AU373)</f>
        <v>0</v>
      </c>
      <c r="BL373" s="10">
        <f>SUMIFS('[1]2026'!$K:$K,'[1]2026'!$T:$T,$BD373,'[1]2026'!$S:$S,BL$3,'[1]2026'!$P:$P,$AU373)</f>
        <v>0</v>
      </c>
      <c r="BM373" s="10">
        <f>SUMIFS('[1]2026'!$K:$K,'[1]2026'!$T:$T,$BD373,'[1]2026'!$S:$S,BM$3,'[1]2026'!$P:$P,$AU373)</f>
        <v>0</v>
      </c>
      <c r="BN373" s="10">
        <f>SUMIFS('[1]2026'!$K:$K,'[1]2026'!$T:$T,$BD373,'[1]2026'!$S:$S,BN$3,'[1]2026'!$P:$P,$AU373)</f>
        <v>0</v>
      </c>
      <c r="BO373" s="10">
        <f>SUMIFS('[1]2026'!$K:$K,'[1]2026'!$T:$T,$BD373,'[1]2026'!$S:$S,BO$3,'[1]2026'!$P:$P,$AU373)</f>
        <v>0</v>
      </c>
      <c r="BP373" s="6">
        <f t="shared" si="250"/>
        <v>0</v>
      </c>
      <c r="BQ373" s="6">
        <f t="shared" si="250"/>
        <v>0</v>
      </c>
      <c r="BR373" s="6">
        <f t="shared" si="250"/>
        <v>0</v>
      </c>
      <c r="BS373" s="6">
        <f t="shared" si="250"/>
        <v>0</v>
      </c>
      <c r="BT373" s="6">
        <f t="shared" si="216"/>
        <v>0</v>
      </c>
      <c r="BV373" s="6">
        <f t="shared" si="238"/>
        <v>-55000</v>
      </c>
      <c r="BW373" s="6">
        <f t="shared" si="239"/>
        <v>0</v>
      </c>
      <c r="BX373" s="6">
        <f t="shared" si="240"/>
        <v>0</v>
      </c>
      <c r="BY373" s="6">
        <f t="shared" si="241"/>
        <v>0</v>
      </c>
      <c r="BZ373" s="6">
        <f t="shared" si="242"/>
        <v>0</v>
      </c>
      <c r="CA373" s="6">
        <f t="shared" si="243"/>
        <v>0</v>
      </c>
      <c r="CB373" s="6">
        <f t="shared" si="244"/>
        <v>0</v>
      </c>
      <c r="CC373" s="6">
        <f t="shared" si="245"/>
        <v>0</v>
      </c>
      <c r="CD373" s="6">
        <f t="shared" si="246"/>
        <v>0</v>
      </c>
      <c r="CE373" s="6">
        <f t="shared" si="247"/>
        <v>0</v>
      </c>
      <c r="CF373" s="6">
        <f t="shared" si="248"/>
        <v>0</v>
      </c>
      <c r="CG373" s="6">
        <f t="shared" si="249"/>
        <v>0</v>
      </c>
      <c r="CH373" s="6">
        <f t="shared" ref="CH373:CH436" si="251">BT373-AN373</f>
        <v>-55000</v>
      </c>
    </row>
    <row r="374" spans="1:86" hidden="1" x14ac:dyDescent="0.35">
      <c r="A374" s="3" t="s">
        <v>764</v>
      </c>
      <c r="B374" s="10">
        <v>40000</v>
      </c>
      <c r="N374" s="27">
        <f t="shared" si="235"/>
        <v>40000</v>
      </c>
      <c r="AA374" s="27">
        <f t="shared" si="236"/>
        <v>0</v>
      </c>
      <c r="AB374" s="10">
        <f t="shared" si="237"/>
        <v>40000</v>
      </c>
      <c r="AC374" s="10">
        <f t="shared" si="237"/>
        <v>0</v>
      </c>
      <c r="AD374" s="10">
        <f t="shared" si="237"/>
        <v>0</v>
      </c>
      <c r="AE374" s="10">
        <f t="shared" si="237"/>
        <v>0</v>
      </c>
      <c r="AF374" s="10">
        <f t="shared" si="237"/>
        <v>0</v>
      </c>
      <c r="AG374" s="10">
        <f t="shared" si="237"/>
        <v>0</v>
      </c>
      <c r="AH374" s="10">
        <f t="shared" si="237"/>
        <v>0</v>
      </c>
      <c r="AI374" s="10">
        <f t="shared" si="237"/>
        <v>0</v>
      </c>
      <c r="AJ374" s="10">
        <f t="shared" si="237"/>
        <v>0</v>
      </c>
      <c r="AK374" s="10">
        <f t="shared" si="237"/>
        <v>0</v>
      </c>
      <c r="AL374" s="10">
        <f t="shared" si="237"/>
        <v>0</v>
      </c>
      <c r="AM374" s="10">
        <f t="shared" si="237"/>
        <v>0</v>
      </c>
      <c r="AN374" s="27">
        <f t="shared" si="237"/>
        <v>40000</v>
      </c>
      <c r="AP374" t="s">
        <v>758</v>
      </c>
      <c r="AS374" t="str">
        <f>_xlfn.XLOOKUP(AU374,[2]GAE!HZ:HZ,[2]GAE!IA:IA)</f>
        <v>HUMAN RESOURCES</v>
      </c>
      <c r="AT374" t="str">
        <f>_xlfn.XLOOKUP(AU374,[2]GAE!HZ:HZ,[2]GAE!IB:IB)</f>
        <v>DOE - Prof. Fees - Others</v>
      </c>
      <c r="AU374" t="s">
        <v>761</v>
      </c>
      <c r="AV374">
        <v>81122101</v>
      </c>
      <c r="AW374">
        <v>52071199</v>
      </c>
      <c r="AX374" t="str">
        <f>_xlfn.XLOOKUP(AU374,[2]GAE!HZ:HZ,[2]GAE!IF:IF)</f>
        <v>Professional fees</v>
      </c>
      <c r="AY374" t="str">
        <f>_xlfn.XLOOKUP(AU374,[2]GAE!HZ:HZ,[2]GAE!IG:IG)</f>
        <v>Internal and external consultants</v>
      </c>
      <c r="BF374" t="s">
        <v>93</v>
      </c>
      <c r="BG374" s="2" t="s">
        <v>1260</v>
      </c>
      <c r="BH374" s="10">
        <f>SUMIFS('[1]2026'!$K:$K,'[1]2026'!$T:$T,BD374,'[1]2026'!$S:$S,BH$3,'[1]2026'!$P:$P,AU374)</f>
        <v>0</v>
      </c>
      <c r="BI374" s="10">
        <f>SUMIFS('[1]2026'!$K:$K,'[1]2026'!$T:$T,$BD374,'[1]2026'!$S:$S,BI$3,'[1]2026'!$P:$P,$AU374)</f>
        <v>0</v>
      </c>
      <c r="BJ374" s="10">
        <f>SUMIFS('[1]2026'!$K:$K,'[1]2026'!$T:$T,$BD374,'[1]2026'!$S:$S,BJ$3,'[1]2026'!$P:$P,$AU374)</f>
        <v>0</v>
      </c>
      <c r="BK374" s="10">
        <f>SUMIFS('[1]2026'!$K:$K,'[1]2026'!$T:$T,$BD374,'[1]2026'!$S:$S,BK$3,'[1]2026'!$P:$P,$AU374)</f>
        <v>0</v>
      </c>
      <c r="BL374" s="10">
        <f>SUMIFS('[1]2026'!$K:$K,'[1]2026'!$T:$T,$BD374,'[1]2026'!$S:$S,BL$3,'[1]2026'!$P:$P,$AU374)</f>
        <v>0</v>
      </c>
      <c r="BM374" s="10">
        <f>SUMIFS('[1]2026'!$K:$K,'[1]2026'!$T:$T,$BD374,'[1]2026'!$S:$S,BM$3,'[1]2026'!$P:$P,$AU374)</f>
        <v>0</v>
      </c>
      <c r="BN374" s="10">
        <f>SUMIFS('[1]2026'!$K:$K,'[1]2026'!$T:$T,$BD374,'[1]2026'!$S:$S,BN$3,'[1]2026'!$P:$P,$AU374)</f>
        <v>0</v>
      </c>
      <c r="BO374" s="10">
        <f>SUMIFS('[1]2026'!$K:$K,'[1]2026'!$T:$T,$BD374,'[1]2026'!$S:$S,BO$3,'[1]2026'!$P:$P,$AU374)</f>
        <v>0</v>
      </c>
      <c r="BP374" s="6">
        <f t="shared" si="250"/>
        <v>0</v>
      </c>
      <c r="BQ374" s="6">
        <f t="shared" si="250"/>
        <v>0</v>
      </c>
      <c r="BR374" s="6">
        <f t="shared" si="250"/>
        <v>0</v>
      </c>
      <c r="BS374" s="6">
        <f t="shared" si="250"/>
        <v>0</v>
      </c>
      <c r="BT374" s="6">
        <f t="shared" si="216"/>
        <v>0</v>
      </c>
      <c r="BV374" s="6">
        <f t="shared" si="238"/>
        <v>-40000</v>
      </c>
      <c r="BW374" s="6">
        <f t="shared" si="239"/>
        <v>0</v>
      </c>
      <c r="BX374" s="6">
        <f t="shared" si="240"/>
        <v>0</v>
      </c>
      <c r="BY374" s="6">
        <f t="shared" si="241"/>
        <v>0</v>
      </c>
      <c r="BZ374" s="6">
        <f t="shared" si="242"/>
        <v>0</v>
      </c>
      <c r="CA374" s="6">
        <f t="shared" si="243"/>
        <v>0</v>
      </c>
      <c r="CB374" s="6">
        <f t="shared" si="244"/>
        <v>0</v>
      </c>
      <c r="CC374" s="6">
        <f t="shared" si="245"/>
        <v>0</v>
      </c>
      <c r="CD374" s="6">
        <f t="shared" si="246"/>
        <v>0</v>
      </c>
      <c r="CE374" s="6">
        <f t="shared" si="247"/>
        <v>0</v>
      </c>
      <c r="CF374" s="6">
        <f t="shared" si="248"/>
        <v>0</v>
      </c>
      <c r="CG374" s="6">
        <f t="shared" si="249"/>
        <v>0</v>
      </c>
      <c r="CH374" s="6">
        <f t="shared" si="251"/>
        <v>-40000</v>
      </c>
    </row>
    <row r="375" spans="1:86" hidden="1" x14ac:dyDescent="0.35">
      <c r="A375" s="3" t="s">
        <v>764</v>
      </c>
      <c r="B375" s="10">
        <v>40000</v>
      </c>
      <c r="N375" s="27">
        <f t="shared" si="235"/>
        <v>40000</v>
      </c>
      <c r="AA375" s="27">
        <f t="shared" si="236"/>
        <v>0</v>
      </c>
      <c r="AB375" s="10">
        <f t="shared" si="237"/>
        <v>40000</v>
      </c>
      <c r="AC375" s="10">
        <f t="shared" si="237"/>
        <v>0</v>
      </c>
      <c r="AD375" s="10">
        <f t="shared" si="237"/>
        <v>0</v>
      </c>
      <c r="AE375" s="10">
        <f t="shared" si="237"/>
        <v>0</v>
      </c>
      <c r="AF375" s="10">
        <f t="shared" si="237"/>
        <v>0</v>
      </c>
      <c r="AG375" s="10">
        <f t="shared" si="237"/>
        <v>0</v>
      </c>
      <c r="AH375" s="10">
        <f t="shared" si="237"/>
        <v>0</v>
      </c>
      <c r="AI375" s="10">
        <f t="shared" si="237"/>
        <v>0</v>
      </c>
      <c r="AJ375" s="10">
        <f t="shared" si="237"/>
        <v>0</v>
      </c>
      <c r="AK375" s="10">
        <f t="shared" si="237"/>
        <v>0</v>
      </c>
      <c r="AL375" s="10">
        <f t="shared" si="237"/>
        <v>0</v>
      </c>
      <c r="AM375" s="10">
        <f t="shared" si="237"/>
        <v>0</v>
      </c>
      <c r="AN375" s="27">
        <f t="shared" si="237"/>
        <v>40000</v>
      </c>
      <c r="AP375" t="s">
        <v>758</v>
      </c>
      <c r="AS375" t="str">
        <f>_xlfn.XLOOKUP(AU375,[2]GAE!HZ:HZ,[2]GAE!IA:IA)</f>
        <v>HUMAN RESOURCES</v>
      </c>
      <c r="AT375" t="str">
        <f>_xlfn.XLOOKUP(AU375,[2]GAE!HZ:HZ,[2]GAE!IB:IB)</f>
        <v>GAE - Prof. Fees - Others</v>
      </c>
      <c r="AU375" t="s">
        <v>762</v>
      </c>
      <c r="AV375">
        <v>80122101</v>
      </c>
      <c r="AW375">
        <v>61071099</v>
      </c>
      <c r="AX375" t="str">
        <f>_xlfn.XLOOKUP(AU375,[2]GAE!HZ:HZ,[2]GAE!IF:IF)</f>
        <v>Professional fees</v>
      </c>
      <c r="AY375" t="str">
        <f>_xlfn.XLOOKUP(AU375,[2]GAE!HZ:HZ,[2]GAE!IG:IG)</f>
        <v>Internal and external consultants</v>
      </c>
      <c r="BF375" t="s">
        <v>93</v>
      </c>
      <c r="BG375" s="2" t="s">
        <v>1260</v>
      </c>
      <c r="BH375" s="10">
        <f>SUMIFS('[1]2026'!$K:$K,'[1]2026'!$T:$T,BD375,'[1]2026'!$S:$S,BH$3,'[1]2026'!$P:$P,AU375)</f>
        <v>0</v>
      </c>
      <c r="BI375" s="10">
        <f>SUMIFS('[1]2026'!$K:$K,'[1]2026'!$T:$T,$BD375,'[1]2026'!$S:$S,BI$3,'[1]2026'!$P:$P,$AU375)</f>
        <v>0</v>
      </c>
      <c r="BJ375" s="10">
        <f>SUMIFS('[1]2026'!$K:$K,'[1]2026'!$T:$T,$BD375,'[1]2026'!$S:$S,BJ$3,'[1]2026'!$P:$P,$AU375)</f>
        <v>0</v>
      </c>
      <c r="BK375" s="10">
        <f>SUMIFS('[1]2026'!$K:$K,'[1]2026'!$T:$T,$BD375,'[1]2026'!$S:$S,BK$3,'[1]2026'!$P:$P,$AU375)</f>
        <v>0</v>
      </c>
      <c r="BL375" s="10">
        <f>SUMIFS('[1]2026'!$K:$K,'[1]2026'!$T:$T,$BD375,'[1]2026'!$S:$S,BL$3,'[1]2026'!$P:$P,$AU375)</f>
        <v>0</v>
      </c>
      <c r="BM375" s="10">
        <f>SUMIFS('[1]2026'!$K:$K,'[1]2026'!$T:$T,$BD375,'[1]2026'!$S:$S,BM$3,'[1]2026'!$P:$P,$AU375)</f>
        <v>0</v>
      </c>
      <c r="BN375" s="10">
        <f>SUMIFS('[1]2026'!$K:$K,'[1]2026'!$T:$T,$BD375,'[1]2026'!$S:$S,BN$3,'[1]2026'!$P:$P,$AU375)</f>
        <v>0</v>
      </c>
      <c r="BO375" s="10">
        <f>SUMIFS('[1]2026'!$K:$K,'[1]2026'!$T:$T,$BD375,'[1]2026'!$S:$S,BO$3,'[1]2026'!$P:$P,$AU375)</f>
        <v>0</v>
      </c>
      <c r="BP375" s="6">
        <f t="shared" si="250"/>
        <v>0</v>
      </c>
      <c r="BQ375" s="6">
        <f t="shared" si="250"/>
        <v>0</v>
      </c>
      <c r="BR375" s="6">
        <f t="shared" si="250"/>
        <v>0</v>
      </c>
      <c r="BS375" s="6">
        <f t="shared" si="250"/>
        <v>0</v>
      </c>
      <c r="BT375" s="6">
        <f t="shared" si="216"/>
        <v>0</v>
      </c>
      <c r="BV375" s="6">
        <f t="shared" si="238"/>
        <v>-40000</v>
      </c>
      <c r="BW375" s="6">
        <f t="shared" si="239"/>
        <v>0</v>
      </c>
      <c r="BX375" s="6">
        <f t="shared" si="240"/>
        <v>0</v>
      </c>
      <c r="BY375" s="6">
        <f t="shared" si="241"/>
        <v>0</v>
      </c>
      <c r="BZ375" s="6">
        <f t="shared" si="242"/>
        <v>0</v>
      </c>
      <c r="CA375" s="6">
        <f t="shared" si="243"/>
        <v>0</v>
      </c>
      <c r="CB375" s="6">
        <f t="shared" si="244"/>
        <v>0</v>
      </c>
      <c r="CC375" s="6">
        <f t="shared" si="245"/>
        <v>0</v>
      </c>
      <c r="CD375" s="6">
        <f t="shared" si="246"/>
        <v>0</v>
      </c>
      <c r="CE375" s="6">
        <f t="shared" si="247"/>
        <v>0</v>
      </c>
      <c r="CF375" s="6">
        <f t="shared" si="248"/>
        <v>0</v>
      </c>
      <c r="CG375" s="6">
        <f t="shared" si="249"/>
        <v>0</v>
      </c>
      <c r="CH375" s="6">
        <f t="shared" si="251"/>
        <v>-40000</v>
      </c>
    </row>
    <row r="376" spans="1:86" hidden="1" x14ac:dyDescent="0.35">
      <c r="A376" s="3" t="s">
        <v>765</v>
      </c>
      <c r="B376" s="10">
        <v>55000</v>
      </c>
      <c r="N376" s="27">
        <f t="shared" si="235"/>
        <v>55000</v>
      </c>
      <c r="AA376" s="27">
        <f t="shared" si="236"/>
        <v>0</v>
      </c>
      <c r="AB376" s="10">
        <f t="shared" si="237"/>
        <v>55000</v>
      </c>
      <c r="AC376" s="10">
        <f t="shared" si="237"/>
        <v>0</v>
      </c>
      <c r="AD376" s="10">
        <f t="shared" si="237"/>
        <v>0</v>
      </c>
      <c r="AE376" s="10">
        <f t="shared" si="237"/>
        <v>0</v>
      </c>
      <c r="AF376" s="10">
        <f t="shared" si="237"/>
        <v>0</v>
      </c>
      <c r="AG376" s="10">
        <f t="shared" si="237"/>
        <v>0</v>
      </c>
      <c r="AH376" s="10">
        <f t="shared" si="237"/>
        <v>0</v>
      </c>
      <c r="AI376" s="10">
        <f t="shared" si="237"/>
        <v>0</v>
      </c>
      <c r="AJ376" s="10">
        <f t="shared" si="237"/>
        <v>0</v>
      </c>
      <c r="AK376" s="10">
        <f t="shared" si="237"/>
        <v>0</v>
      </c>
      <c r="AL376" s="10">
        <f t="shared" si="237"/>
        <v>0</v>
      </c>
      <c r="AM376" s="10">
        <f t="shared" si="237"/>
        <v>0</v>
      </c>
      <c r="AN376" s="27">
        <f t="shared" si="237"/>
        <v>55000</v>
      </c>
      <c r="AS376" t="str">
        <f>_xlfn.XLOOKUP(AU376,[2]GAE!HZ:HZ,[2]GAE!IA:IA)</f>
        <v>HUMAN RESOURCES</v>
      </c>
      <c r="AT376" t="str">
        <f>_xlfn.XLOOKUP(AU376,[2]GAE!HZ:HZ,[2]GAE!IB:IB)</f>
        <v>GAE - Prof. Fees - Others</v>
      </c>
      <c r="AU376" t="s">
        <v>759</v>
      </c>
      <c r="AV376">
        <v>90122101</v>
      </c>
      <c r="AW376">
        <v>61071099</v>
      </c>
      <c r="AX376" t="str">
        <f>_xlfn.XLOOKUP(AU376,[2]GAE!HZ:HZ,[2]GAE!IF:IF)</f>
        <v>Professional fees</v>
      </c>
      <c r="AY376" t="str">
        <f>_xlfn.XLOOKUP(AU376,[2]GAE!HZ:HZ,[2]GAE!IG:IG)</f>
        <v>Internal and external consultants</v>
      </c>
      <c r="BF376" t="s">
        <v>93</v>
      </c>
      <c r="BG376" s="3" t="s">
        <v>766</v>
      </c>
      <c r="BH376" s="10">
        <f>SUMIFS('[1]2026'!$K:$K,'[1]2026'!$T:$T,BD376,'[1]2026'!$S:$S,BH$3,'[1]2026'!$P:$P,AU376)</f>
        <v>0</v>
      </c>
      <c r="BI376" s="10">
        <f>SUMIFS('[1]2026'!$K:$K,'[1]2026'!$T:$T,$BD376,'[1]2026'!$S:$S,BI$3,'[1]2026'!$P:$P,$AU376)</f>
        <v>0</v>
      </c>
      <c r="BJ376" s="10">
        <f>SUMIFS('[1]2026'!$K:$K,'[1]2026'!$T:$T,$BD376,'[1]2026'!$S:$S,BJ$3,'[1]2026'!$P:$P,$AU376)</f>
        <v>0</v>
      </c>
      <c r="BK376" s="10">
        <f>SUMIFS('[1]2026'!$K:$K,'[1]2026'!$T:$T,$BD376,'[1]2026'!$S:$S,BK$3,'[1]2026'!$P:$P,$AU376)</f>
        <v>0</v>
      </c>
      <c r="BL376" s="10">
        <f>SUMIFS('[1]2026'!$K:$K,'[1]2026'!$T:$T,$BD376,'[1]2026'!$S:$S,BL$3,'[1]2026'!$P:$P,$AU376)</f>
        <v>0</v>
      </c>
      <c r="BM376" s="10">
        <f>SUMIFS('[1]2026'!$K:$K,'[1]2026'!$T:$T,$BD376,'[1]2026'!$S:$S,BM$3,'[1]2026'!$P:$P,$AU376)</f>
        <v>0</v>
      </c>
      <c r="BN376" s="10">
        <f>SUMIFS('[1]2026'!$K:$K,'[1]2026'!$T:$T,$BD376,'[1]2026'!$S:$S,BN$3,'[1]2026'!$P:$P,$AU376)</f>
        <v>0</v>
      </c>
      <c r="BO376" s="10">
        <f>SUMIFS('[1]2026'!$K:$K,'[1]2026'!$T:$T,$BD376,'[1]2026'!$S:$S,BO$3,'[1]2026'!$P:$P,$AU376)</f>
        <v>0</v>
      </c>
      <c r="BP376" s="6">
        <f t="shared" si="250"/>
        <v>0</v>
      </c>
      <c r="BQ376" s="6">
        <f t="shared" si="250"/>
        <v>0</v>
      </c>
      <c r="BR376" s="6">
        <f t="shared" si="250"/>
        <v>0</v>
      </c>
      <c r="BS376" s="6">
        <f t="shared" si="250"/>
        <v>0</v>
      </c>
      <c r="BT376" s="6">
        <f t="shared" si="216"/>
        <v>0</v>
      </c>
      <c r="BV376" s="6">
        <f t="shared" si="238"/>
        <v>-55000</v>
      </c>
      <c r="BW376" s="6">
        <f t="shared" si="239"/>
        <v>0</v>
      </c>
      <c r="BX376" s="6">
        <f t="shared" si="240"/>
        <v>0</v>
      </c>
      <c r="BY376" s="6">
        <f t="shared" si="241"/>
        <v>0</v>
      </c>
      <c r="BZ376" s="6">
        <f t="shared" si="242"/>
        <v>0</v>
      </c>
      <c r="CA376" s="6">
        <f t="shared" si="243"/>
        <v>0</v>
      </c>
      <c r="CB376" s="6">
        <f t="shared" si="244"/>
        <v>0</v>
      </c>
      <c r="CC376" s="6">
        <f t="shared" si="245"/>
        <v>0</v>
      </c>
      <c r="CD376" s="6">
        <f t="shared" si="246"/>
        <v>0</v>
      </c>
      <c r="CE376" s="6">
        <f t="shared" si="247"/>
        <v>0</v>
      </c>
      <c r="CF376" s="6">
        <f t="shared" si="248"/>
        <v>0</v>
      </c>
      <c r="CG376" s="6">
        <f t="shared" si="249"/>
        <v>0</v>
      </c>
      <c r="CH376" s="6">
        <f t="shared" si="251"/>
        <v>-55000</v>
      </c>
    </row>
    <row r="377" spans="1:86" hidden="1" x14ac:dyDescent="0.35">
      <c r="A377" s="3" t="s">
        <v>95</v>
      </c>
      <c r="B377" s="10">
        <v>39200</v>
      </c>
      <c r="C377" s="10">
        <v>39200</v>
      </c>
      <c r="D377" s="10">
        <v>39200</v>
      </c>
      <c r="E377" s="10">
        <v>39200</v>
      </c>
      <c r="F377" s="10">
        <v>39200</v>
      </c>
      <c r="G377" s="10">
        <v>39200</v>
      </c>
      <c r="H377" s="10">
        <v>39200</v>
      </c>
      <c r="I377" s="10">
        <v>39200</v>
      </c>
      <c r="J377" s="10">
        <v>39200</v>
      </c>
      <c r="K377" s="10">
        <v>39200</v>
      </c>
      <c r="L377" s="10">
        <v>39200</v>
      </c>
      <c r="M377" s="10">
        <v>39200</v>
      </c>
      <c r="N377" s="27">
        <f t="shared" si="235"/>
        <v>470400</v>
      </c>
      <c r="AA377" s="27">
        <f t="shared" si="236"/>
        <v>0</v>
      </c>
      <c r="AB377" s="10">
        <f t="shared" si="237"/>
        <v>39200</v>
      </c>
      <c r="AC377" s="10">
        <f t="shared" si="237"/>
        <v>39200</v>
      </c>
      <c r="AD377" s="10">
        <f t="shared" si="237"/>
        <v>39200</v>
      </c>
      <c r="AE377" s="10">
        <f t="shared" si="237"/>
        <v>39200</v>
      </c>
      <c r="AF377" s="10">
        <f t="shared" si="237"/>
        <v>39200</v>
      </c>
      <c r="AG377" s="10">
        <f t="shared" si="237"/>
        <v>39200</v>
      </c>
      <c r="AH377" s="10">
        <f t="shared" si="237"/>
        <v>39200</v>
      </c>
      <c r="AI377" s="10">
        <f t="shared" si="237"/>
        <v>39200</v>
      </c>
      <c r="AJ377" s="10">
        <f t="shared" si="237"/>
        <v>39200</v>
      </c>
      <c r="AK377" s="10">
        <f t="shared" si="237"/>
        <v>39200</v>
      </c>
      <c r="AL377" s="10">
        <f t="shared" si="237"/>
        <v>39200</v>
      </c>
      <c r="AM377" s="10">
        <f t="shared" si="237"/>
        <v>39200</v>
      </c>
      <c r="AN377" s="27">
        <f t="shared" si="237"/>
        <v>470400</v>
      </c>
      <c r="AS377" t="str">
        <f>_xlfn.XLOOKUP(AU377,[2]GAE!HZ:HZ,[2]GAE!IA:IA)</f>
        <v>HUMAN RESOURCES</v>
      </c>
      <c r="AT377" t="str">
        <f>_xlfn.XLOOKUP(AU377,[2]GAE!HZ:HZ,[2]GAE!IB:IB)</f>
        <v>DOE - Prof. Fees - Consultants</v>
      </c>
      <c r="AU377" t="s">
        <v>755</v>
      </c>
      <c r="AV377">
        <v>90122101</v>
      </c>
      <c r="AW377">
        <v>52071104</v>
      </c>
      <c r="AX377" t="str">
        <f>_xlfn.XLOOKUP(AU377,[2]GAE!HZ:HZ,[2]GAE!IF:IF)</f>
        <v>Professional fees</v>
      </c>
      <c r="AY377" t="str">
        <f>_xlfn.XLOOKUP(AU377,[2]GAE!HZ:HZ,[2]GAE!IG:IG)</f>
        <v>Internal and external consultants</v>
      </c>
      <c r="BC377" t="s">
        <v>95</v>
      </c>
      <c r="BD377" s="2" t="s">
        <v>767</v>
      </c>
      <c r="BE377" s="2"/>
      <c r="BF377" t="s">
        <v>93</v>
      </c>
      <c r="BG377" s="2" t="s">
        <v>95</v>
      </c>
      <c r="BH377" s="10">
        <f>SUMIFS('[1]2026'!$K:$K,'[1]2026'!$T:$T,BD377,'[1]2026'!$S:$S,BH$3,'[1]2026'!$P:$P,AU377)</f>
        <v>0</v>
      </c>
      <c r="BI377" s="10">
        <f>SUMIFS('[1]2026'!$K:$K,'[1]2026'!$T:$T,$BD377,'[1]2026'!$S:$S,BI$3,'[1]2026'!$P:$P,$AU377)</f>
        <v>73684.22</v>
      </c>
      <c r="BJ377" s="10">
        <f>SUMIFS('[1]2026'!$K:$K,'[1]2026'!$T:$T,$BD377,'[1]2026'!$S:$S,BJ$3,'[1]2026'!$P:$P,$AU377)</f>
        <v>147368.44</v>
      </c>
      <c r="BK377" s="10">
        <f>SUMIFS('[1]2026'!$K:$K,'[1]2026'!$T:$T,$BD377,'[1]2026'!$S:$S,BK$3,'[1]2026'!$P:$P,$AU377)</f>
        <v>-184210.55</v>
      </c>
      <c r="BL377" s="10">
        <f>SUMIFS('[1]2026'!$K:$K,'[1]2026'!$T:$T,$BD377,'[1]2026'!$S:$S,BL$3,'[1]2026'!$P:$P,$AU377)</f>
        <v>-36842.11</v>
      </c>
      <c r="BM377" s="10">
        <f>SUMIFS('[1]2026'!$K:$K,'[1]2026'!$T:$T,$BD377,'[1]2026'!$S:$S,BM$3,'[1]2026'!$P:$P,$AU377)</f>
        <v>36842.1</v>
      </c>
      <c r="BN377" s="10">
        <f>SUMIFS('[1]2026'!$K:$K,'[1]2026'!$T:$T,$BD377,'[1]2026'!$S:$S,BN$3,'[1]2026'!$P:$P,$AU377)</f>
        <v>0</v>
      </c>
      <c r="BO377" s="10">
        <f>SUMIFS('[1]2026'!$K:$K,'[1]2026'!$T:$T,$BD377,'[1]2026'!$S:$S,BO$3,'[1]2026'!$P:$P,$AU377)</f>
        <v>0</v>
      </c>
      <c r="BP377" s="6"/>
      <c r="BQ377" s="6"/>
      <c r="BR377" s="6"/>
      <c r="BS377" s="6"/>
      <c r="BT377" s="6">
        <f t="shared" si="216"/>
        <v>36842.100000000013</v>
      </c>
      <c r="BV377" s="6">
        <f t="shared" si="238"/>
        <v>-39200</v>
      </c>
      <c r="BW377" s="6">
        <f t="shared" si="239"/>
        <v>34484.22</v>
      </c>
      <c r="BX377" s="6">
        <f t="shared" si="240"/>
        <v>108168.44</v>
      </c>
      <c r="BY377" s="6">
        <f t="shared" si="241"/>
        <v>-223410.55</v>
      </c>
      <c r="BZ377" s="6">
        <f t="shared" si="242"/>
        <v>-76042.11</v>
      </c>
      <c r="CA377" s="6">
        <f t="shared" si="243"/>
        <v>-2357.9000000000015</v>
      </c>
      <c r="CB377" s="6">
        <f t="shared" si="244"/>
        <v>-39200</v>
      </c>
      <c r="CC377" s="6">
        <f t="shared" si="245"/>
        <v>-39200</v>
      </c>
      <c r="CD377" s="6">
        <f t="shared" si="246"/>
        <v>-39200</v>
      </c>
      <c r="CE377" s="6">
        <f t="shared" si="247"/>
        <v>-39200</v>
      </c>
      <c r="CF377" s="6">
        <f t="shared" si="248"/>
        <v>-39200</v>
      </c>
      <c r="CG377" s="6">
        <f t="shared" si="249"/>
        <v>-39200</v>
      </c>
      <c r="CH377" s="6">
        <f t="shared" si="251"/>
        <v>-433557.89999999997</v>
      </c>
    </row>
    <row r="378" spans="1:86" hidden="1" x14ac:dyDescent="0.35">
      <c r="AN378" s="27">
        <f>N378-AA378</f>
        <v>0</v>
      </c>
      <c r="AS378" t="str">
        <f>_xlfn.XLOOKUP(AU378,[2]GAE!HZ:HZ,[2]GAE!IA:IA)</f>
        <v>HUMAN RESOURCES</v>
      </c>
      <c r="AT378" t="str">
        <f>_xlfn.XLOOKUP(AU378,[2]GAE!HZ:HZ,[2]GAE!IB:IB)</f>
        <v>DOE - Contracted Services - Others</v>
      </c>
      <c r="AU378" s="2" t="s">
        <v>557</v>
      </c>
      <c r="AV378" s="2">
        <v>90122101</v>
      </c>
      <c r="AW378" s="2">
        <v>52041499</v>
      </c>
      <c r="AX378" t="str">
        <f>_xlfn.XLOOKUP(AU378,[2]GAE!HZ:HZ,[2]GAE!IF:IF)</f>
        <v>Contracted services</v>
      </c>
      <c r="AY378" t="str">
        <f>_xlfn.XLOOKUP(AU378,[2]GAE!HZ:HZ,[2]GAE!IG:IG)</f>
        <v>Contracted-Others</v>
      </c>
      <c r="BC378" t="s">
        <v>95</v>
      </c>
      <c r="BD378" s="2" t="s">
        <v>767</v>
      </c>
      <c r="BE378" s="2"/>
      <c r="BF378" t="s">
        <v>93</v>
      </c>
      <c r="BG378" s="2" t="s">
        <v>95</v>
      </c>
      <c r="BH378" s="10">
        <f>SUMIFS('[1]2026'!$K:$K,'[1]2026'!$T:$T,BD378,'[1]2026'!$S:$S,BH$3,'[1]2026'!$P:$P,AU378)</f>
        <v>0</v>
      </c>
      <c r="BI378" s="10">
        <f>SUMIFS('[1]2026'!$K:$K,'[1]2026'!$T:$T,$BD378,'[1]2026'!$S:$S,BI$3,'[1]2026'!$P:$P,$AU378)</f>
        <v>0</v>
      </c>
      <c r="BJ378" s="10">
        <f>SUMIFS('[1]2026'!$K:$K,'[1]2026'!$T:$T,$BD378,'[1]2026'!$S:$S,BJ$3,'[1]2026'!$P:$P,$AU378)</f>
        <v>-110526.33</v>
      </c>
      <c r="BK378" s="10">
        <f>SUMIFS('[1]2026'!$K:$K,'[1]2026'!$T:$T,$BD378,'[1]2026'!$S:$S,BK$3,'[1]2026'!$P:$P,$AU378)</f>
        <v>221052.65999999997</v>
      </c>
      <c r="BL378" s="10">
        <f>SUMIFS('[1]2026'!$K:$K,'[1]2026'!$T:$T,$BD378,'[1]2026'!$S:$S,BL$3,'[1]2026'!$P:$P,$AU378)</f>
        <v>73684.209999999992</v>
      </c>
      <c r="BM378" s="10">
        <f>SUMIFS('[1]2026'!$K:$K,'[1]2026'!$T:$T,$BD378,'[1]2026'!$S:$S,BM$3,'[1]2026'!$P:$P,$AU378)</f>
        <v>0</v>
      </c>
      <c r="BN378" s="10">
        <f>SUMIFS('[1]2026'!$K:$K,'[1]2026'!$T:$T,$BD378,'[1]2026'!$S:$S,BN$3,'[1]2026'!$P:$P,$AU378)</f>
        <v>0</v>
      </c>
      <c r="BO378" s="10">
        <f>SUMIFS('[1]2026'!$K:$K,'[1]2026'!$T:$T,$BD378,'[1]2026'!$S:$S,BO$3,'[1]2026'!$P:$P,$AU378)</f>
        <v>0</v>
      </c>
      <c r="BP378" s="6">
        <v>36842.11</v>
      </c>
      <c r="BQ378" s="6">
        <v>36842.11</v>
      </c>
      <c r="BR378" s="6">
        <v>36842.11</v>
      </c>
      <c r="BS378" s="6">
        <f>36842.11*3</f>
        <v>110526.33</v>
      </c>
      <c r="BT378" s="6">
        <f t="shared" si="216"/>
        <v>405263.19999999995</v>
      </c>
      <c r="BV378" s="6">
        <f t="shared" si="238"/>
        <v>0</v>
      </c>
      <c r="BW378" s="6">
        <f t="shared" si="239"/>
        <v>0</v>
      </c>
      <c r="BX378" s="6">
        <f t="shared" si="240"/>
        <v>-110526.33</v>
      </c>
      <c r="BY378" s="6">
        <f t="shared" si="241"/>
        <v>221052.65999999997</v>
      </c>
      <c r="BZ378" s="6">
        <f t="shared" si="242"/>
        <v>73684.209999999992</v>
      </c>
      <c r="CA378" s="6">
        <f t="shared" si="243"/>
        <v>0</v>
      </c>
      <c r="CB378" s="6">
        <f t="shared" si="244"/>
        <v>0</v>
      </c>
      <c r="CC378" s="6">
        <f t="shared" si="245"/>
        <v>0</v>
      </c>
      <c r="CD378" s="6">
        <f t="shared" si="246"/>
        <v>36842.11</v>
      </c>
      <c r="CE378" s="6">
        <f t="shared" si="247"/>
        <v>36842.11</v>
      </c>
      <c r="CF378" s="6">
        <f t="shared" si="248"/>
        <v>36842.11</v>
      </c>
      <c r="CG378" s="6">
        <f t="shared" si="249"/>
        <v>110526.33</v>
      </c>
      <c r="CH378" s="6">
        <f t="shared" si="251"/>
        <v>405263.19999999995</v>
      </c>
    </row>
    <row r="379" spans="1:86" hidden="1" x14ac:dyDescent="0.35"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N379" s="27">
        <f>N379-AA379</f>
        <v>0</v>
      </c>
      <c r="AS379" t="str">
        <f>_xlfn.XLOOKUP(AU379,[2]GAE!HZ:HZ,[2]GAE!IA:IA)</f>
        <v>HUMAN RESOURCES</v>
      </c>
      <c r="AT379" t="str">
        <f>_xlfn.XLOOKUP(AU379,[2]GAE!HZ:HZ,[2]GAE!IB:IB)</f>
        <v>DOE - Prof. Fees - Others</v>
      </c>
      <c r="AU379" s="2" t="s">
        <v>761</v>
      </c>
      <c r="AV379" s="2">
        <v>81122101</v>
      </c>
      <c r="AW379" s="2">
        <v>52071199</v>
      </c>
      <c r="AX379" t="str">
        <f>_xlfn.XLOOKUP(AU379,[2]GAE!HZ:HZ,[2]GAE!IF:IF)</f>
        <v>Professional fees</v>
      </c>
      <c r="AY379" t="str">
        <f>_xlfn.XLOOKUP(AU379,[2]GAE!HZ:HZ,[2]GAE!IG:IG)</f>
        <v>Internal and external consultants</v>
      </c>
      <c r="BC379" t="s">
        <v>6</v>
      </c>
      <c r="BD379" t="s">
        <v>6</v>
      </c>
      <c r="BF379" t="s">
        <v>7</v>
      </c>
      <c r="BG379" s="2" t="s">
        <v>6</v>
      </c>
      <c r="BL379" s="10">
        <f>SUMIFS('[1]2026'!$K:$K,'[1]2026'!$T:$T,$BD379,'[1]2026'!$S:$S,BL$3,'[1]2026'!$P:$P,$AU379)</f>
        <v>100</v>
      </c>
      <c r="BM379" s="10">
        <f>SUMIFS('[1]2026'!$K:$K,'[1]2026'!$T:$T,$BD379,'[1]2026'!$S:$S,BM$3,'[1]2026'!$P:$P,$AU379)</f>
        <v>0</v>
      </c>
      <c r="BN379" s="10">
        <f>SUMIFS('[1]2026'!$K:$K,'[1]2026'!$T:$T,$BD379,'[1]2026'!$S:$S,BN$3,'[1]2026'!$P:$P,$AU379)</f>
        <v>0</v>
      </c>
      <c r="BO379" s="10">
        <f>SUMIFS('[1]2026'!$K:$K,'[1]2026'!$T:$T,$BD379,'[1]2026'!$S:$S,BO$3,'[1]2026'!$P:$P,$AU379)</f>
        <v>0</v>
      </c>
      <c r="BP379" s="6"/>
      <c r="BQ379" s="6"/>
      <c r="BR379" s="6"/>
      <c r="BS379" s="6"/>
      <c r="BT379" s="6">
        <f t="shared" si="216"/>
        <v>100</v>
      </c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>
        <f t="shared" si="251"/>
        <v>100</v>
      </c>
    </row>
    <row r="380" spans="1:86" hidden="1" x14ac:dyDescent="0.35"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U380" s="2"/>
      <c r="AV380" s="2"/>
      <c r="AW380" s="2"/>
      <c r="BF380" s="37" t="s">
        <v>1263</v>
      </c>
      <c r="BG380" s="37" t="s">
        <v>1263</v>
      </c>
      <c r="BP380" s="6"/>
      <c r="BQ380" s="6"/>
      <c r="BR380" s="6"/>
      <c r="BS380" s="6"/>
      <c r="BT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>
        <f t="shared" si="251"/>
        <v>0</v>
      </c>
    </row>
    <row r="381" spans="1:86" hidden="1" x14ac:dyDescent="0.35">
      <c r="A381" s="3" t="s">
        <v>768</v>
      </c>
      <c r="B381" s="10">
        <v>57500</v>
      </c>
      <c r="C381" s="10">
        <v>57500</v>
      </c>
      <c r="D381" s="10">
        <v>57500</v>
      </c>
      <c r="E381" s="10">
        <v>57500</v>
      </c>
      <c r="F381" s="10">
        <v>57500</v>
      </c>
      <c r="G381" s="10">
        <v>57500</v>
      </c>
      <c r="H381" s="10">
        <v>57500</v>
      </c>
      <c r="I381" s="10">
        <v>57500</v>
      </c>
      <c r="J381" s="10">
        <v>57500</v>
      </c>
      <c r="K381" s="10">
        <v>57500</v>
      </c>
      <c r="L381" s="10">
        <v>57500</v>
      </c>
      <c r="M381" s="10">
        <v>57500</v>
      </c>
      <c r="N381" s="27">
        <f t="shared" si="235"/>
        <v>690000</v>
      </c>
      <c r="AA381" s="27">
        <f t="shared" si="236"/>
        <v>0</v>
      </c>
      <c r="AB381" s="10">
        <f t="shared" si="237"/>
        <v>57500</v>
      </c>
      <c r="AC381" s="10">
        <f t="shared" si="237"/>
        <v>57500</v>
      </c>
      <c r="AD381" s="10">
        <f t="shared" si="237"/>
        <v>57500</v>
      </c>
      <c r="AE381" s="10">
        <f t="shared" si="237"/>
        <v>57500</v>
      </c>
      <c r="AF381" s="10">
        <f t="shared" si="237"/>
        <v>57500</v>
      </c>
      <c r="AG381" s="10">
        <f t="shared" si="237"/>
        <v>57500</v>
      </c>
      <c r="AH381" s="10">
        <f t="shared" si="237"/>
        <v>57500</v>
      </c>
      <c r="AI381" s="10">
        <f t="shared" si="237"/>
        <v>57500</v>
      </c>
      <c r="AJ381" s="10">
        <f t="shared" si="237"/>
        <v>57500</v>
      </c>
      <c r="AK381" s="10">
        <f t="shared" si="237"/>
        <v>57500</v>
      </c>
      <c r="AL381" s="10">
        <f t="shared" si="237"/>
        <v>57500</v>
      </c>
      <c r="AM381" s="10">
        <f t="shared" si="237"/>
        <v>57500</v>
      </c>
      <c r="AN381" s="27">
        <f t="shared" si="237"/>
        <v>690000</v>
      </c>
      <c r="AO381" s="28">
        <f>48541.67*12</f>
        <v>582500.04</v>
      </c>
      <c r="AS381" t="str">
        <f>_xlfn.XLOOKUP(AU381,[2]GAE!HZ:HZ,[2]GAE!IA:IA)</f>
        <v>HUMAN RESOURCES</v>
      </c>
      <c r="AT381" t="str">
        <f>_xlfn.XLOOKUP(AU381,[2]GAE!HZ:HZ,[2]GAE!IB:IB)</f>
        <v>DOE - Recruitment Expense</v>
      </c>
      <c r="AU381" t="s">
        <v>769</v>
      </c>
      <c r="AV381">
        <v>81122101</v>
      </c>
      <c r="AW381">
        <v>52121315</v>
      </c>
      <c r="AX381" t="str">
        <f>_xlfn.XLOOKUP(AU381,[2]GAE!HZ:HZ,[2]GAE!IF:IF)</f>
        <v>Employee Benefits</v>
      </c>
      <c r="AY381" t="str">
        <f>_xlfn.XLOOKUP(AU381,[2]GAE!HZ:HZ,[2]GAE!IG:IG)</f>
        <v>Recruitment</v>
      </c>
      <c r="BF381" t="s">
        <v>96</v>
      </c>
      <c r="BG381" s="3" t="s">
        <v>97</v>
      </c>
      <c r="BH381" s="10">
        <f>SUMIFS('[1]2026'!$K:$K,'[1]2026'!$T:$T,BD381,'[1]2026'!$S:$S,BH$3,'[1]2026'!$P:$P,AU381)</f>
        <v>0</v>
      </c>
      <c r="BI381" s="10">
        <f>SUMIFS('[1]2026'!$K:$K,'[1]2026'!$T:$T,$BD381,'[1]2026'!$S:$S,BI$3,'[1]2026'!$P:$P,$AU381)</f>
        <v>0</v>
      </c>
      <c r="BJ381" s="10">
        <f>SUMIFS('[1]2026'!$K:$K,'[1]2026'!$T:$T,$BD381,'[1]2026'!$S:$S,BJ$3,'[1]2026'!$P:$P,$AU381)</f>
        <v>0</v>
      </c>
      <c r="BK381" s="10">
        <f>SUMIFS('[1]2026'!$K:$K,'[1]2026'!$T:$T,$BD381,'[1]2026'!$S:$S,BK$3,'[1]2026'!$P:$P,$AU381)</f>
        <v>0</v>
      </c>
      <c r="BL381" s="10">
        <f>SUMIFS('[1]2026'!$K:$K,'[1]2026'!$T:$T,$BD381,'[1]2026'!$S:$S,BL$3,'[1]2026'!$P:$P,$AU381)</f>
        <v>0</v>
      </c>
      <c r="BM381" s="10">
        <f>SUMIFS('[1]2026'!$K:$K,'[1]2026'!$T:$T,$BD381,'[1]2026'!$S:$S,BM$3,'[1]2026'!$P:$P,$AU381)</f>
        <v>0</v>
      </c>
      <c r="BN381" s="10">
        <f>SUMIFS('[1]2026'!$K:$K,'[1]2026'!$T:$T,$BD381,'[1]2026'!$S:$S,BN$3,'[1]2026'!$P:$P,$AU381)</f>
        <v>0</v>
      </c>
      <c r="BO381" s="10">
        <f>SUMIFS('[1]2026'!$K:$K,'[1]2026'!$T:$T,$BD381,'[1]2026'!$S:$S,BO$3,'[1]2026'!$P:$P,$AU381)</f>
        <v>0</v>
      </c>
      <c r="BP381" s="6">
        <f t="shared" ref="BP381:BS393" si="252">BO381</f>
        <v>0</v>
      </c>
      <c r="BQ381" s="6">
        <f t="shared" si="252"/>
        <v>0</v>
      </c>
      <c r="BR381" s="6">
        <f t="shared" si="252"/>
        <v>0</v>
      </c>
      <c r="BS381" s="6">
        <f t="shared" si="252"/>
        <v>0</v>
      </c>
      <c r="BT381" s="6">
        <f t="shared" si="216"/>
        <v>0</v>
      </c>
      <c r="BV381" s="6">
        <f t="shared" ref="BV381:BV397" si="253">BH381-AB381</f>
        <v>-57500</v>
      </c>
      <c r="BW381" s="6">
        <f t="shared" ref="BW381:BW397" si="254">BI381-AC381</f>
        <v>-57500</v>
      </c>
      <c r="BX381" s="6">
        <f t="shared" ref="BX381:BX397" si="255">BJ381-AD381</f>
        <v>-57500</v>
      </c>
      <c r="BY381" s="6">
        <f t="shared" ref="BY381:BY397" si="256">BK381-AE381</f>
        <v>-57500</v>
      </c>
      <c r="BZ381" s="6">
        <f t="shared" ref="BZ381:BZ397" si="257">BL381-AF381</f>
        <v>-57500</v>
      </c>
      <c r="CA381" s="6">
        <f t="shared" ref="CA381:CA397" si="258">BM381-AG381</f>
        <v>-57500</v>
      </c>
      <c r="CB381" s="6">
        <f t="shared" ref="CB381:CB397" si="259">BN381-AH381</f>
        <v>-57500</v>
      </c>
      <c r="CC381" s="6">
        <f t="shared" ref="CC381:CC397" si="260">BO381-AI381</f>
        <v>-57500</v>
      </c>
      <c r="CD381" s="6">
        <f t="shared" ref="CD381:CD397" si="261">BP381-AJ381</f>
        <v>-57500</v>
      </c>
      <c r="CE381" s="6">
        <f t="shared" ref="CE381:CE397" si="262">BQ381-AK381</f>
        <v>-57500</v>
      </c>
      <c r="CF381" s="6">
        <f t="shared" ref="CF381:CF397" si="263">BR381-AL381</f>
        <v>-57500</v>
      </c>
      <c r="CG381" s="6">
        <f t="shared" ref="CG381:CG397" si="264">BS381-AM381</f>
        <v>-57500</v>
      </c>
      <c r="CH381" s="6">
        <f t="shared" si="251"/>
        <v>-690000</v>
      </c>
    </row>
    <row r="382" spans="1:86" hidden="1" x14ac:dyDescent="0.35">
      <c r="AN382" s="27">
        <f>N382-AA382</f>
        <v>0</v>
      </c>
      <c r="AS382" t="str">
        <f>_xlfn.XLOOKUP(AU382,[2]GAE!HZ:HZ,[2]GAE!IA:IA)</f>
        <v>HUMAN RESOURCES</v>
      </c>
      <c r="AT382" t="str">
        <f>_xlfn.XLOOKUP(AU382,[2]GAE!HZ:HZ,[2]GAE!IB:IB)</f>
        <v>DOE - Recruitment Expense</v>
      </c>
      <c r="AU382" t="s">
        <v>770</v>
      </c>
      <c r="AV382">
        <v>90122101</v>
      </c>
      <c r="AW382">
        <v>52121315</v>
      </c>
      <c r="AX382" t="str">
        <f>_xlfn.XLOOKUP(AU382,[2]GAE!HZ:HZ,[2]GAE!IF:IF)</f>
        <v>Employee Benefits</v>
      </c>
      <c r="AY382" t="str">
        <f>_xlfn.XLOOKUP(AU382,[2]GAE!HZ:HZ,[2]GAE!IG:IG)</f>
        <v>Recruitment</v>
      </c>
      <c r="BC382" t="s">
        <v>97</v>
      </c>
      <c r="BD382" t="s">
        <v>771</v>
      </c>
      <c r="BF382" t="s">
        <v>96</v>
      </c>
      <c r="BG382" s="2" t="s">
        <v>97</v>
      </c>
      <c r="BH382" s="10">
        <f>SUMIFS('[1]2026'!$K:$K,'[1]2026'!$T:$T,BD382,'[1]2026'!$S:$S,BH$3,'[1]2026'!$P:$P,AU382)</f>
        <v>48635.38</v>
      </c>
      <c r="BI382" s="10">
        <f>SUMIFS('[1]2026'!$K:$K,'[1]2026'!$T:$T,$BD382,'[1]2026'!$S:$S,BI$3,'[1]2026'!$P:$P,$AU382)</f>
        <v>48635.42</v>
      </c>
      <c r="BJ382" s="10">
        <f>SUMIFS('[1]2026'!$K:$K,'[1]2026'!$T:$T,$BD382,'[1]2026'!$S:$S,BJ$3,'[1]2026'!$P:$P,$AU382)</f>
        <v>48635.42</v>
      </c>
      <c r="BK382" s="10">
        <f>SUMIFS('[1]2026'!$K:$K,'[1]2026'!$T:$T,$BD382,'[1]2026'!$S:$S,BK$3,'[1]2026'!$P:$P,$AU382)</f>
        <v>48635.42</v>
      </c>
      <c r="BL382" s="10">
        <f>SUMIFS('[1]2026'!$K:$K,'[1]2026'!$T:$T,$BD382,'[1]2026'!$S:$S,BL$3,'[1]2026'!$P:$P,$AU382)</f>
        <v>48635.42</v>
      </c>
      <c r="BM382" s="10">
        <f>SUMIFS('[1]2026'!$K:$K,'[1]2026'!$T:$T,$BD382,'[1]2026'!$S:$S,BM$3,'[1]2026'!$P:$P,$AU382)</f>
        <v>48635.42</v>
      </c>
      <c r="BN382" s="10">
        <f>SUMIFS('[1]2026'!$K:$K,'[1]2026'!$T:$T,$BD382,'[1]2026'!$S:$S,BN$3,'[1]2026'!$P:$P,$AU382)</f>
        <v>48635.42</v>
      </c>
      <c r="BO382" s="10">
        <f>SUMIFS('[1]2026'!$K:$K,'[1]2026'!$T:$T,$BD382,'[1]2026'!$S:$S,BO$3,'[1]2026'!$P:$P,$AU382)</f>
        <v>48635.42</v>
      </c>
      <c r="BP382" s="6">
        <v>48635.42</v>
      </c>
      <c r="BQ382" s="6">
        <v>48635.42</v>
      </c>
      <c r="BR382" s="6">
        <v>48635.42</v>
      </c>
      <c r="BS382" s="6">
        <v>48635.42</v>
      </c>
      <c r="BT382" s="6">
        <f t="shared" si="216"/>
        <v>583624.99999999988</v>
      </c>
      <c r="BV382" s="6">
        <f t="shared" si="253"/>
        <v>48635.38</v>
      </c>
      <c r="BW382" s="6">
        <f t="shared" si="254"/>
        <v>48635.42</v>
      </c>
      <c r="BX382" s="6">
        <f t="shared" si="255"/>
        <v>48635.42</v>
      </c>
      <c r="BY382" s="6">
        <f t="shared" si="256"/>
        <v>48635.42</v>
      </c>
      <c r="BZ382" s="6">
        <f t="shared" si="257"/>
        <v>48635.42</v>
      </c>
      <c r="CA382" s="6">
        <f t="shared" si="258"/>
        <v>48635.42</v>
      </c>
      <c r="CB382" s="6">
        <f t="shared" si="259"/>
        <v>48635.42</v>
      </c>
      <c r="CC382" s="6">
        <f t="shared" si="260"/>
        <v>48635.42</v>
      </c>
      <c r="CD382" s="6">
        <f t="shared" si="261"/>
        <v>48635.42</v>
      </c>
      <c r="CE382" s="6">
        <f t="shared" si="262"/>
        <v>48635.42</v>
      </c>
      <c r="CF382" s="6">
        <f t="shared" si="263"/>
        <v>48635.42</v>
      </c>
      <c r="CG382" s="6">
        <f t="shared" si="264"/>
        <v>48635.42</v>
      </c>
      <c r="CH382" s="6">
        <f t="shared" si="251"/>
        <v>583624.99999999988</v>
      </c>
    </row>
    <row r="383" spans="1:86" hidden="1" x14ac:dyDescent="0.35">
      <c r="A383" s="3" t="s">
        <v>772</v>
      </c>
      <c r="B383" s="10">
        <v>5833.333333333333</v>
      </c>
      <c r="C383" s="10">
        <v>5833.333333333333</v>
      </c>
      <c r="D383" s="10">
        <v>5833.333333333333</v>
      </c>
      <c r="E383" s="10">
        <v>5833.333333333333</v>
      </c>
      <c r="F383" s="10">
        <v>5833.333333333333</v>
      </c>
      <c r="G383" s="10">
        <v>5833.333333333333</v>
      </c>
      <c r="H383" s="10">
        <v>5833.333333333333</v>
      </c>
      <c r="I383" s="10">
        <v>5833.333333333333</v>
      </c>
      <c r="J383" s="10">
        <v>5833.333333333333</v>
      </c>
      <c r="K383" s="10">
        <v>5833.333333333333</v>
      </c>
      <c r="L383" s="10">
        <v>5833.333333333333</v>
      </c>
      <c r="M383" s="10">
        <v>5833.333333333333</v>
      </c>
      <c r="N383" s="27">
        <f t="shared" ref="N383:N429" si="265">SUM(B383:M383)</f>
        <v>70000.000000000015</v>
      </c>
      <c r="O383" s="10">
        <v>4732.6307128193312</v>
      </c>
      <c r="P383" s="10">
        <v>4732.6307128193312</v>
      </c>
      <c r="Q383" s="10">
        <v>4732.6307128193312</v>
      </c>
      <c r="R383" s="10">
        <v>4732.6307128193312</v>
      </c>
      <c r="S383" s="10">
        <v>4732.6307128193312</v>
      </c>
      <c r="T383" s="10">
        <v>4732.6307128193312</v>
      </c>
      <c r="U383" s="10">
        <v>4732.6307128193312</v>
      </c>
      <c r="V383" s="10">
        <v>4732.6307128193312</v>
      </c>
      <c r="W383" s="10">
        <v>4732.6307128193312</v>
      </c>
      <c r="X383" s="10">
        <v>4732.6307128193312</v>
      </c>
      <c r="Y383" s="10">
        <v>4732.6307128193312</v>
      </c>
      <c r="Z383" s="10">
        <v>4732.6307128193312</v>
      </c>
      <c r="AA383" s="27">
        <f t="shared" ref="AA383:AA429" si="266">SUM(O383:Z383)</f>
        <v>56791.568553831959</v>
      </c>
      <c r="AB383" s="10">
        <f t="shared" ref="AB383:AN403" si="267">B383-O383</f>
        <v>1100.7026205140019</v>
      </c>
      <c r="AC383" s="10">
        <f t="shared" si="267"/>
        <v>1100.7026205140019</v>
      </c>
      <c r="AD383" s="10">
        <f t="shared" si="267"/>
        <v>1100.7026205140019</v>
      </c>
      <c r="AE383" s="10">
        <f t="shared" si="267"/>
        <v>1100.7026205140019</v>
      </c>
      <c r="AF383" s="10">
        <f t="shared" si="267"/>
        <v>1100.7026205140019</v>
      </c>
      <c r="AG383" s="10">
        <f t="shared" si="267"/>
        <v>1100.7026205140019</v>
      </c>
      <c r="AH383" s="10">
        <f t="shared" si="267"/>
        <v>1100.7026205140019</v>
      </c>
      <c r="AI383" s="10">
        <f t="shared" si="267"/>
        <v>1100.7026205140019</v>
      </c>
      <c r="AJ383" s="10">
        <f t="shared" si="267"/>
        <v>1100.7026205140019</v>
      </c>
      <c r="AK383" s="10">
        <f t="shared" si="267"/>
        <v>1100.7026205140019</v>
      </c>
      <c r="AL383" s="10">
        <f t="shared" si="267"/>
        <v>1100.7026205140019</v>
      </c>
      <c r="AM383" s="10">
        <f t="shared" si="267"/>
        <v>1100.7026205140019</v>
      </c>
      <c r="AN383" s="27">
        <f t="shared" si="267"/>
        <v>13208.431446168055</v>
      </c>
      <c r="AO383" s="28">
        <v>9366.2000000000007</v>
      </c>
      <c r="AR383" t="s">
        <v>773</v>
      </c>
      <c r="AS383" t="str">
        <f>_xlfn.XLOOKUP(AU383,[2]GAE!HZ:HZ,[2]GAE!IA:IA)</f>
        <v>HUMAN RESOURCES</v>
      </c>
      <c r="AT383" t="str">
        <f>_xlfn.XLOOKUP(AU383,[2]GAE!HZ:HZ,[2]GAE!IB:IB)</f>
        <v>DOE - Recruitment Expense</v>
      </c>
      <c r="AU383" t="s">
        <v>769</v>
      </c>
      <c r="AV383">
        <v>81122101</v>
      </c>
      <c r="AW383">
        <v>52121315</v>
      </c>
      <c r="AX383" t="str">
        <f>_xlfn.XLOOKUP(AU383,[2]GAE!HZ:HZ,[2]GAE!IF:IF)</f>
        <v>Employee Benefits</v>
      </c>
      <c r="AY383" t="str">
        <f>_xlfn.XLOOKUP(AU383,[2]GAE!HZ:HZ,[2]GAE!IG:IG)</f>
        <v>Recruitment</v>
      </c>
      <c r="BA383" t="s">
        <v>774</v>
      </c>
      <c r="BF383" t="s">
        <v>96</v>
      </c>
      <c r="BG383" s="3" t="s">
        <v>775</v>
      </c>
      <c r="BH383" s="10">
        <f>SUMIFS('[1]2026'!$K:$K,'[1]2026'!$T:$T,BD383,'[1]2026'!$S:$S,BH$3,'[1]2026'!$P:$P,AU383)</f>
        <v>0</v>
      </c>
      <c r="BI383" s="10">
        <f>SUMIFS('[1]2026'!$K:$K,'[1]2026'!$T:$T,$BD383,'[1]2026'!$S:$S,BI$3,'[1]2026'!$P:$P,$AU383)</f>
        <v>0</v>
      </c>
      <c r="BJ383" s="10">
        <f>SUMIFS('[1]2026'!$K:$K,'[1]2026'!$T:$T,$BD383,'[1]2026'!$S:$S,BJ$3,'[1]2026'!$P:$P,$AU383)</f>
        <v>0</v>
      </c>
      <c r="BK383" s="10">
        <f>SUMIFS('[1]2026'!$K:$K,'[1]2026'!$T:$T,$BD383,'[1]2026'!$S:$S,BK$3,'[1]2026'!$P:$P,$AU383)</f>
        <v>0</v>
      </c>
      <c r="BL383" s="10">
        <f>SUMIFS('[1]2026'!$K:$K,'[1]2026'!$T:$T,$BD383,'[1]2026'!$S:$S,BL$3,'[1]2026'!$P:$P,$AU383)</f>
        <v>0</v>
      </c>
      <c r="BM383" s="10">
        <f>SUMIFS('[1]2026'!$K:$K,'[1]2026'!$T:$T,$BD383,'[1]2026'!$S:$S,BM$3,'[1]2026'!$P:$P,$AU383)</f>
        <v>0</v>
      </c>
      <c r="BN383" s="10">
        <f>SUMIFS('[1]2026'!$K:$K,'[1]2026'!$T:$T,$BD383,'[1]2026'!$S:$S,BN$3,'[1]2026'!$P:$P,$AU383)</f>
        <v>0</v>
      </c>
      <c r="BO383" s="10">
        <f>SUMIFS('[1]2026'!$K:$K,'[1]2026'!$T:$T,$BD383,'[1]2026'!$S:$S,BO$3,'[1]2026'!$P:$P,$AU383)</f>
        <v>0</v>
      </c>
      <c r="BP383" s="6">
        <f t="shared" si="252"/>
        <v>0</v>
      </c>
      <c r="BQ383" s="6">
        <f t="shared" si="252"/>
        <v>0</v>
      </c>
      <c r="BR383" s="6">
        <f t="shared" si="252"/>
        <v>0</v>
      </c>
      <c r="BS383" s="6">
        <f t="shared" si="252"/>
        <v>0</v>
      </c>
      <c r="BT383" s="6">
        <f t="shared" si="216"/>
        <v>0</v>
      </c>
      <c r="BV383" s="6">
        <f t="shared" si="253"/>
        <v>-1100.7026205140019</v>
      </c>
      <c r="BW383" s="6">
        <f t="shared" si="254"/>
        <v>-1100.7026205140019</v>
      </c>
      <c r="BX383" s="6">
        <f t="shared" si="255"/>
        <v>-1100.7026205140019</v>
      </c>
      <c r="BY383" s="6">
        <f t="shared" si="256"/>
        <v>-1100.7026205140019</v>
      </c>
      <c r="BZ383" s="6">
        <f t="shared" si="257"/>
        <v>-1100.7026205140019</v>
      </c>
      <c r="CA383" s="6">
        <f t="shared" si="258"/>
        <v>-1100.7026205140019</v>
      </c>
      <c r="CB383" s="6">
        <f t="shared" si="259"/>
        <v>-1100.7026205140019</v>
      </c>
      <c r="CC383" s="6">
        <f t="shared" si="260"/>
        <v>-1100.7026205140019</v>
      </c>
      <c r="CD383" s="6">
        <f t="shared" si="261"/>
        <v>-1100.7026205140019</v>
      </c>
      <c r="CE383" s="6">
        <f t="shared" si="262"/>
        <v>-1100.7026205140019</v>
      </c>
      <c r="CF383" s="6">
        <f t="shared" si="263"/>
        <v>-1100.7026205140019</v>
      </c>
      <c r="CG383" s="6">
        <f t="shared" si="264"/>
        <v>-1100.7026205140019</v>
      </c>
      <c r="CH383" s="6">
        <f t="shared" si="251"/>
        <v>-13208.431446168055</v>
      </c>
    </row>
    <row r="384" spans="1:86" hidden="1" x14ac:dyDescent="0.35">
      <c r="A384" s="3" t="s">
        <v>776</v>
      </c>
      <c r="B384" s="10">
        <v>1666.6666666666667</v>
      </c>
      <c r="C384" s="10">
        <v>1666.6666666666667</v>
      </c>
      <c r="D384" s="10">
        <v>1666.6666666666667</v>
      </c>
      <c r="E384" s="10">
        <v>1666.6666666666667</v>
      </c>
      <c r="F384" s="10">
        <v>1666.6666666666667</v>
      </c>
      <c r="G384" s="10">
        <v>1666.6666666666667</v>
      </c>
      <c r="H384" s="10">
        <v>1666.6666666666667</v>
      </c>
      <c r="I384" s="10">
        <v>1666.6666666666667</v>
      </c>
      <c r="J384" s="10">
        <v>1666.6666666666667</v>
      </c>
      <c r="K384" s="10">
        <v>1666.6666666666667</v>
      </c>
      <c r="L384" s="10">
        <v>1666.6666666666667</v>
      </c>
      <c r="M384" s="10">
        <v>1666.6666666666667</v>
      </c>
      <c r="N384" s="27">
        <f t="shared" si="265"/>
        <v>20000</v>
      </c>
      <c r="O384" s="10">
        <v>1352.1802036626657</v>
      </c>
      <c r="P384" s="10">
        <v>1352.1802036626657</v>
      </c>
      <c r="Q384" s="10">
        <v>1352.1802036626657</v>
      </c>
      <c r="R384" s="10">
        <v>1352.1802036626657</v>
      </c>
      <c r="S384" s="10">
        <v>1352.1802036626657</v>
      </c>
      <c r="T384" s="10">
        <v>1352.1802036626657</v>
      </c>
      <c r="U384" s="10">
        <v>1352.1802036626657</v>
      </c>
      <c r="V384" s="10">
        <v>1352.1802036626657</v>
      </c>
      <c r="W384" s="10">
        <v>1352.1802036626657</v>
      </c>
      <c r="X384" s="10">
        <v>1352.1802036626657</v>
      </c>
      <c r="Y384" s="10">
        <v>1352.1802036626657</v>
      </c>
      <c r="Z384" s="10">
        <v>1352.1802036626657</v>
      </c>
      <c r="AA384" s="27">
        <f t="shared" si="266"/>
        <v>16226.162443951986</v>
      </c>
      <c r="AB384" s="10">
        <f t="shared" si="267"/>
        <v>314.48646300400105</v>
      </c>
      <c r="AC384" s="10">
        <f t="shared" si="267"/>
        <v>314.48646300400105</v>
      </c>
      <c r="AD384" s="10">
        <f t="shared" si="267"/>
        <v>314.48646300400105</v>
      </c>
      <c r="AE384" s="10">
        <f t="shared" si="267"/>
        <v>314.48646300400105</v>
      </c>
      <c r="AF384" s="10">
        <f t="shared" si="267"/>
        <v>314.48646300400105</v>
      </c>
      <c r="AG384" s="10">
        <f t="shared" si="267"/>
        <v>314.48646300400105</v>
      </c>
      <c r="AH384" s="10">
        <f t="shared" si="267"/>
        <v>314.48646300400105</v>
      </c>
      <c r="AI384" s="10">
        <f t="shared" si="267"/>
        <v>314.48646300400105</v>
      </c>
      <c r="AJ384" s="10">
        <f t="shared" si="267"/>
        <v>314.48646300400105</v>
      </c>
      <c r="AK384" s="10">
        <f t="shared" si="267"/>
        <v>314.48646300400105</v>
      </c>
      <c r="AL384" s="10">
        <f t="shared" si="267"/>
        <v>314.48646300400105</v>
      </c>
      <c r="AM384" s="10">
        <f t="shared" si="267"/>
        <v>314.48646300400105</v>
      </c>
      <c r="AN384" s="27">
        <f t="shared" si="267"/>
        <v>3773.8375560480144</v>
      </c>
      <c r="AR384" t="s">
        <v>753</v>
      </c>
      <c r="AS384" t="str">
        <f>_xlfn.XLOOKUP(AU384,[2]GAE!HZ:HZ,[2]GAE!IA:IA)</f>
        <v>HUMAN RESOURCES</v>
      </c>
      <c r="AT384" t="str">
        <f>_xlfn.XLOOKUP(AU384,[2]GAE!HZ:HZ,[2]GAE!IB:IB)</f>
        <v>DOE - Recruitment Expense</v>
      </c>
      <c r="AU384" t="s">
        <v>769</v>
      </c>
      <c r="AV384">
        <v>81122101</v>
      </c>
      <c r="AW384">
        <v>52121315</v>
      </c>
      <c r="AX384" t="str">
        <f>_xlfn.XLOOKUP(AU384,[2]GAE!HZ:HZ,[2]GAE!IF:IF)</f>
        <v>Employee Benefits</v>
      </c>
      <c r="AY384" t="str">
        <f>_xlfn.XLOOKUP(AU384,[2]GAE!HZ:HZ,[2]GAE!IG:IG)</f>
        <v>Recruitment</v>
      </c>
      <c r="BA384" t="s">
        <v>774</v>
      </c>
      <c r="BF384" t="s">
        <v>96</v>
      </c>
      <c r="BG384" s="3" t="s">
        <v>777</v>
      </c>
      <c r="BH384" s="10">
        <f>SUMIFS('[1]2026'!$K:$K,'[1]2026'!$T:$T,BD384,'[1]2026'!$S:$S,BH$3,'[1]2026'!$P:$P,AU384)</f>
        <v>0</v>
      </c>
      <c r="BI384" s="10">
        <f>SUMIFS('[1]2026'!$K:$K,'[1]2026'!$T:$T,$BD384,'[1]2026'!$S:$S,BI$3,'[1]2026'!$P:$P,$AU384)</f>
        <v>0</v>
      </c>
      <c r="BJ384" s="10">
        <f>SUMIFS('[1]2026'!$K:$K,'[1]2026'!$T:$T,$BD384,'[1]2026'!$S:$S,BJ$3,'[1]2026'!$P:$P,$AU384)</f>
        <v>0</v>
      </c>
      <c r="BK384" s="10">
        <f>SUMIFS('[1]2026'!$K:$K,'[1]2026'!$T:$T,$BD384,'[1]2026'!$S:$S,BK$3,'[1]2026'!$P:$P,$AU384)</f>
        <v>0</v>
      </c>
      <c r="BL384" s="10">
        <f>SUMIFS('[1]2026'!$K:$K,'[1]2026'!$T:$T,$BD384,'[1]2026'!$S:$S,BL$3,'[1]2026'!$P:$P,$AU384)</f>
        <v>0</v>
      </c>
      <c r="BM384" s="10">
        <f>SUMIFS('[1]2026'!$K:$K,'[1]2026'!$T:$T,$BD384,'[1]2026'!$S:$S,BM$3,'[1]2026'!$P:$P,$AU384)</f>
        <v>0</v>
      </c>
      <c r="BN384" s="10">
        <f>SUMIFS('[1]2026'!$K:$K,'[1]2026'!$T:$T,$BD384,'[1]2026'!$S:$S,BN$3,'[1]2026'!$P:$P,$AU384)</f>
        <v>0</v>
      </c>
      <c r="BO384" s="10">
        <f>SUMIFS('[1]2026'!$K:$K,'[1]2026'!$T:$T,$BD384,'[1]2026'!$S:$S,BO$3,'[1]2026'!$P:$P,$AU384)</f>
        <v>0</v>
      </c>
      <c r="BP384" s="6">
        <f t="shared" si="252"/>
        <v>0</v>
      </c>
      <c r="BQ384" s="6">
        <f t="shared" si="252"/>
        <v>0</v>
      </c>
      <c r="BR384" s="6">
        <f t="shared" si="252"/>
        <v>0</v>
      </c>
      <c r="BS384" s="6">
        <f t="shared" si="252"/>
        <v>0</v>
      </c>
      <c r="BT384" s="6">
        <f t="shared" si="216"/>
        <v>0</v>
      </c>
      <c r="BV384" s="6">
        <f t="shared" si="253"/>
        <v>-314.48646300400105</v>
      </c>
      <c r="BW384" s="6">
        <f t="shared" si="254"/>
        <v>-314.48646300400105</v>
      </c>
      <c r="BX384" s="6">
        <f t="shared" si="255"/>
        <v>-314.48646300400105</v>
      </c>
      <c r="BY384" s="6">
        <f t="shared" si="256"/>
        <v>-314.48646300400105</v>
      </c>
      <c r="BZ384" s="6">
        <f t="shared" si="257"/>
        <v>-314.48646300400105</v>
      </c>
      <c r="CA384" s="6">
        <f t="shared" si="258"/>
        <v>-314.48646300400105</v>
      </c>
      <c r="CB384" s="6">
        <f t="shared" si="259"/>
        <v>-314.48646300400105</v>
      </c>
      <c r="CC384" s="6">
        <f t="shared" si="260"/>
        <v>-314.48646300400105</v>
      </c>
      <c r="CD384" s="6">
        <f t="shared" si="261"/>
        <v>-314.48646300400105</v>
      </c>
      <c r="CE384" s="6">
        <f t="shared" si="262"/>
        <v>-314.48646300400105</v>
      </c>
      <c r="CF384" s="6">
        <f t="shared" si="263"/>
        <v>-314.48646300400105</v>
      </c>
      <c r="CG384" s="6">
        <f t="shared" si="264"/>
        <v>-314.48646300400105</v>
      </c>
      <c r="CH384" s="6">
        <f t="shared" si="251"/>
        <v>-3773.8375560480144</v>
      </c>
    </row>
    <row r="385" spans="1:86" hidden="1" x14ac:dyDescent="0.35">
      <c r="A385" s="3" t="s">
        <v>778</v>
      </c>
      <c r="B385" s="10">
        <v>5000</v>
      </c>
      <c r="C385" s="10">
        <v>5000</v>
      </c>
      <c r="D385" s="10">
        <v>5000</v>
      </c>
      <c r="E385" s="10">
        <v>5000</v>
      </c>
      <c r="F385" s="10">
        <v>5000</v>
      </c>
      <c r="G385" s="10">
        <v>5000</v>
      </c>
      <c r="H385" s="10">
        <v>5000</v>
      </c>
      <c r="I385" s="10">
        <v>5000</v>
      </c>
      <c r="J385" s="10">
        <v>5000</v>
      </c>
      <c r="K385" s="10">
        <v>5000</v>
      </c>
      <c r="L385" s="10">
        <v>5000</v>
      </c>
      <c r="M385" s="10">
        <v>5000</v>
      </c>
      <c r="N385" s="27">
        <f t="shared" si="265"/>
        <v>60000</v>
      </c>
      <c r="O385" s="10">
        <v>4056.5406109879968</v>
      </c>
      <c r="P385" s="10">
        <v>4056.5406109879968</v>
      </c>
      <c r="Q385" s="10">
        <v>4056.5406109879968</v>
      </c>
      <c r="R385" s="10">
        <v>4056.5406109879968</v>
      </c>
      <c r="S385" s="10">
        <v>4056.5406109879968</v>
      </c>
      <c r="T385" s="10">
        <v>4056.5406109879968</v>
      </c>
      <c r="U385" s="10">
        <v>4056.5406109879968</v>
      </c>
      <c r="V385" s="10">
        <v>4056.5406109879968</v>
      </c>
      <c r="W385" s="10">
        <v>4056.5406109879968</v>
      </c>
      <c r="X385" s="10">
        <v>4056.5406109879968</v>
      </c>
      <c r="Y385" s="10">
        <v>4056.5406109879968</v>
      </c>
      <c r="Z385" s="10">
        <v>4056.5406109879968</v>
      </c>
      <c r="AA385" s="27">
        <f t="shared" si="266"/>
        <v>48678.487331855977</v>
      </c>
      <c r="AB385" s="10">
        <f t="shared" si="267"/>
        <v>943.45938901200316</v>
      </c>
      <c r="AC385" s="10">
        <f t="shared" si="267"/>
        <v>943.45938901200316</v>
      </c>
      <c r="AD385" s="10">
        <f t="shared" si="267"/>
        <v>943.45938901200316</v>
      </c>
      <c r="AE385" s="10">
        <f t="shared" si="267"/>
        <v>943.45938901200316</v>
      </c>
      <c r="AF385" s="10">
        <f t="shared" si="267"/>
        <v>943.45938901200316</v>
      </c>
      <c r="AG385" s="10">
        <f t="shared" si="267"/>
        <v>943.45938901200316</v>
      </c>
      <c r="AH385" s="10">
        <f t="shared" si="267"/>
        <v>943.45938901200316</v>
      </c>
      <c r="AI385" s="10">
        <f t="shared" si="267"/>
        <v>943.45938901200316</v>
      </c>
      <c r="AJ385" s="10">
        <f t="shared" si="267"/>
        <v>943.45938901200316</v>
      </c>
      <c r="AK385" s="10">
        <f t="shared" si="267"/>
        <v>943.45938901200316</v>
      </c>
      <c r="AL385" s="10">
        <f t="shared" si="267"/>
        <v>943.45938901200316</v>
      </c>
      <c r="AM385" s="10">
        <f t="shared" si="267"/>
        <v>943.45938901200316</v>
      </c>
      <c r="AN385" s="27">
        <f t="shared" si="267"/>
        <v>11321.512668144023</v>
      </c>
      <c r="AO385" s="28">
        <v>7000</v>
      </c>
      <c r="AS385" t="str">
        <f>_xlfn.XLOOKUP(AU385,[2]GAE!HZ:HZ,[2]GAE!IA:IA)</f>
        <v>HUMAN RESOURCES</v>
      </c>
      <c r="AT385" t="str">
        <f>_xlfn.XLOOKUP(AU385,[2]GAE!HZ:HZ,[2]GAE!IB:IB)</f>
        <v>GAE - Recruitment Expense</v>
      </c>
      <c r="AU385" t="s">
        <v>779</v>
      </c>
      <c r="AV385">
        <v>80122101</v>
      </c>
      <c r="AW385">
        <v>61021316</v>
      </c>
      <c r="AX385" t="str">
        <f>_xlfn.XLOOKUP(AU385,[2]GAE!HZ:HZ,[2]GAE!IF:IF)</f>
        <v>Employee Benefits</v>
      </c>
      <c r="AY385" t="str">
        <f>_xlfn.XLOOKUP(AU385,[2]GAE!HZ:HZ,[2]GAE!IG:IG)</f>
        <v>Recruitment</v>
      </c>
      <c r="BF385" t="s">
        <v>106</v>
      </c>
      <c r="BG385" s="3" t="s">
        <v>778</v>
      </c>
      <c r="BH385" s="10">
        <f>SUMIFS('[1]2026'!$K:$K,'[1]2026'!$T:$T,BD385,'[1]2026'!$S:$S,BH$3,'[1]2026'!$P:$P,AU385)</f>
        <v>0</v>
      </c>
      <c r="BI385" s="10">
        <f>SUMIFS('[1]2026'!$K:$K,'[1]2026'!$T:$T,$BD385,'[1]2026'!$S:$S,BI$3,'[1]2026'!$P:$P,$AU385)</f>
        <v>0</v>
      </c>
      <c r="BJ385" s="10">
        <f>SUMIFS('[1]2026'!$K:$K,'[1]2026'!$T:$T,$BD385,'[1]2026'!$S:$S,BJ$3,'[1]2026'!$P:$P,$AU385)</f>
        <v>0</v>
      </c>
      <c r="BK385" s="10">
        <f>SUMIFS('[1]2026'!$K:$K,'[1]2026'!$T:$T,$BD385,'[1]2026'!$S:$S,BK$3,'[1]2026'!$P:$P,$AU385)</f>
        <v>0</v>
      </c>
      <c r="BL385" s="10">
        <f>SUMIFS('[1]2026'!$K:$K,'[1]2026'!$T:$T,$BD385,'[1]2026'!$S:$S,BL$3,'[1]2026'!$P:$P,$AU385)</f>
        <v>0</v>
      </c>
      <c r="BM385" s="10">
        <f>SUMIFS('[1]2026'!$K:$K,'[1]2026'!$T:$T,$BD385,'[1]2026'!$S:$S,BM$3,'[1]2026'!$P:$P,$AU385)</f>
        <v>0</v>
      </c>
      <c r="BN385" s="10">
        <f>SUMIFS('[1]2026'!$K:$K,'[1]2026'!$T:$T,$BD385,'[1]2026'!$S:$S,BN$3,'[1]2026'!$P:$P,$AU385)</f>
        <v>0</v>
      </c>
      <c r="BO385" s="10">
        <f>SUMIFS('[1]2026'!$K:$K,'[1]2026'!$T:$T,$BD385,'[1]2026'!$S:$S,BO$3,'[1]2026'!$P:$P,$AU385)</f>
        <v>0</v>
      </c>
      <c r="BP385" s="6">
        <f t="shared" si="252"/>
        <v>0</v>
      </c>
      <c r="BQ385" s="6">
        <f t="shared" si="252"/>
        <v>0</v>
      </c>
      <c r="BR385" s="6">
        <f t="shared" si="252"/>
        <v>0</v>
      </c>
      <c r="BS385" s="6">
        <f t="shared" si="252"/>
        <v>0</v>
      </c>
      <c r="BT385" s="6">
        <f t="shared" si="216"/>
        <v>0</v>
      </c>
      <c r="BV385" s="6">
        <f t="shared" si="253"/>
        <v>-943.45938901200316</v>
      </c>
      <c r="BW385" s="6">
        <f t="shared" si="254"/>
        <v>-943.45938901200316</v>
      </c>
      <c r="BX385" s="6">
        <f t="shared" si="255"/>
        <v>-943.45938901200316</v>
      </c>
      <c r="BY385" s="6">
        <f t="shared" si="256"/>
        <v>-943.45938901200316</v>
      </c>
      <c r="BZ385" s="6">
        <f t="shared" si="257"/>
        <v>-943.45938901200316</v>
      </c>
      <c r="CA385" s="6">
        <f t="shared" si="258"/>
        <v>-943.45938901200316</v>
      </c>
      <c r="CB385" s="6">
        <f t="shared" si="259"/>
        <v>-943.45938901200316</v>
      </c>
      <c r="CC385" s="6">
        <f t="shared" si="260"/>
        <v>-943.45938901200316</v>
      </c>
      <c r="CD385" s="6">
        <f t="shared" si="261"/>
        <v>-943.45938901200316</v>
      </c>
      <c r="CE385" s="6">
        <f t="shared" si="262"/>
        <v>-943.45938901200316</v>
      </c>
      <c r="CF385" s="6">
        <f t="shared" si="263"/>
        <v>-943.45938901200316</v>
      </c>
      <c r="CG385" s="6">
        <f t="shared" si="264"/>
        <v>-943.45938901200316</v>
      </c>
      <c r="CH385" s="6">
        <f t="shared" si="251"/>
        <v>-11321.512668144023</v>
      </c>
    </row>
    <row r="386" spans="1:86" hidden="1" x14ac:dyDescent="0.35">
      <c r="A386" s="3" t="s">
        <v>778</v>
      </c>
      <c r="B386" s="10">
        <v>5000</v>
      </c>
      <c r="C386" s="10">
        <v>5000</v>
      </c>
      <c r="D386" s="10">
        <v>5000</v>
      </c>
      <c r="E386" s="10">
        <v>5000</v>
      </c>
      <c r="F386" s="10">
        <v>5000</v>
      </c>
      <c r="G386" s="10">
        <v>5000</v>
      </c>
      <c r="H386" s="10">
        <v>5000</v>
      </c>
      <c r="I386" s="10">
        <v>5000</v>
      </c>
      <c r="J386" s="10">
        <v>5000</v>
      </c>
      <c r="K386" s="10">
        <v>5000</v>
      </c>
      <c r="L386" s="10">
        <v>5000</v>
      </c>
      <c r="M386" s="10">
        <v>5000</v>
      </c>
      <c r="N386" s="27">
        <f t="shared" si="265"/>
        <v>60000</v>
      </c>
      <c r="O386" s="10">
        <v>4056.5406109879968</v>
      </c>
      <c r="P386" s="10">
        <v>4056.5406109879968</v>
      </c>
      <c r="Q386" s="10">
        <v>4056.5406109879968</v>
      </c>
      <c r="R386" s="10">
        <v>4056.5406109879968</v>
      </c>
      <c r="S386" s="10">
        <v>4056.5406109879968</v>
      </c>
      <c r="T386" s="10">
        <v>4056.5406109879968</v>
      </c>
      <c r="U386" s="10">
        <v>4056.5406109879968</v>
      </c>
      <c r="V386" s="10">
        <v>4056.5406109879968</v>
      </c>
      <c r="W386" s="10">
        <v>4056.5406109879968</v>
      </c>
      <c r="X386" s="10">
        <v>4056.5406109879968</v>
      </c>
      <c r="Y386" s="10">
        <v>4056.5406109879968</v>
      </c>
      <c r="Z386" s="10">
        <v>4056.5406109879968</v>
      </c>
      <c r="AA386" s="27">
        <f t="shared" si="266"/>
        <v>48678.487331855977</v>
      </c>
      <c r="AB386" s="10">
        <f t="shared" si="267"/>
        <v>943.45938901200316</v>
      </c>
      <c r="AC386" s="10">
        <f t="shared" si="267"/>
        <v>943.45938901200316</v>
      </c>
      <c r="AD386" s="10">
        <f t="shared" si="267"/>
        <v>943.45938901200316</v>
      </c>
      <c r="AE386" s="10">
        <f t="shared" si="267"/>
        <v>943.45938901200316</v>
      </c>
      <c r="AF386" s="10">
        <f t="shared" si="267"/>
        <v>943.45938901200316</v>
      </c>
      <c r="AG386" s="10">
        <f t="shared" si="267"/>
        <v>943.45938901200316</v>
      </c>
      <c r="AH386" s="10">
        <f t="shared" si="267"/>
        <v>943.45938901200316</v>
      </c>
      <c r="AI386" s="10">
        <f t="shared" si="267"/>
        <v>943.45938901200316</v>
      </c>
      <c r="AJ386" s="10">
        <f t="shared" si="267"/>
        <v>943.45938901200316</v>
      </c>
      <c r="AK386" s="10">
        <f t="shared" si="267"/>
        <v>943.45938901200316</v>
      </c>
      <c r="AL386" s="10">
        <f t="shared" si="267"/>
        <v>943.45938901200316</v>
      </c>
      <c r="AM386" s="10">
        <f t="shared" si="267"/>
        <v>943.45938901200316</v>
      </c>
      <c r="AN386" s="27">
        <f t="shared" si="267"/>
        <v>11321.512668144023</v>
      </c>
      <c r="AO386" s="28">
        <v>0</v>
      </c>
      <c r="AS386" t="str">
        <f>_xlfn.XLOOKUP(AU386,[2]GAE!HZ:HZ,[2]GAE!IA:IA)</f>
        <v>HUMAN RESOURCES</v>
      </c>
      <c r="AT386" t="str">
        <f>_xlfn.XLOOKUP(AU386,[2]GAE!HZ:HZ,[2]GAE!IB:IB)</f>
        <v>DOE - Recruitment Expense</v>
      </c>
      <c r="AU386" t="s">
        <v>769</v>
      </c>
      <c r="AV386">
        <v>81122101</v>
      </c>
      <c r="AW386">
        <v>52121315</v>
      </c>
      <c r="AX386" t="str">
        <f>_xlfn.XLOOKUP(AU386,[2]GAE!HZ:HZ,[2]GAE!IF:IF)</f>
        <v>Employee Benefits</v>
      </c>
      <c r="AY386" t="str">
        <f>_xlfn.XLOOKUP(AU386,[2]GAE!HZ:HZ,[2]GAE!IG:IG)</f>
        <v>Recruitment</v>
      </c>
      <c r="BF386" t="s">
        <v>106</v>
      </c>
      <c r="BG386" s="3" t="s">
        <v>778</v>
      </c>
      <c r="BH386" s="10">
        <f>SUMIFS('[1]2026'!$K:$K,'[1]2026'!$T:$T,BD386,'[1]2026'!$S:$S,BH$3,'[1]2026'!$P:$P,AU386)</f>
        <v>0</v>
      </c>
      <c r="BI386" s="10">
        <f>SUMIFS('[1]2026'!$K:$K,'[1]2026'!$T:$T,$BD386,'[1]2026'!$S:$S,BI$3,'[1]2026'!$P:$P,$AU386)</f>
        <v>0</v>
      </c>
      <c r="BJ386" s="10">
        <f>SUMIFS('[1]2026'!$K:$K,'[1]2026'!$T:$T,$BD386,'[1]2026'!$S:$S,BJ$3,'[1]2026'!$P:$P,$AU386)</f>
        <v>0</v>
      </c>
      <c r="BK386" s="10">
        <f>SUMIFS('[1]2026'!$K:$K,'[1]2026'!$T:$T,$BD386,'[1]2026'!$S:$S,BK$3,'[1]2026'!$P:$P,$AU386)</f>
        <v>0</v>
      </c>
      <c r="BL386" s="10">
        <f>SUMIFS('[1]2026'!$K:$K,'[1]2026'!$T:$T,$BD386,'[1]2026'!$S:$S,BL$3,'[1]2026'!$P:$P,$AU386)</f>
        <v>0</v>
      </c>
      <c r="BM386" s="10">
        <f>SUMIFS('[1]2026'!$K:$K,'[1]2026'!$T:$T,$BD386,'[1]2026'!$S:$S,BM$3,'[1]2026'!$P:$P,$AU386)</f>
        <v>0</v>
      </c>
      <c r="BN386" s="10">
        <f>SUMIFS('[1]2026'!$K:$K,'[1]2026'!$T:$T,$BD386,'[1]2026'!$S:$S,BN$3,'[1]2026'!$P:$P,$AU386)</f>
        <v>0</v>
      </c>
      <c r="BO386" s="10">
        <f>SUMIFS('[1]2026'!$K:$K,'[1]2026'!$T:$T,$BD386,'[1]2026'!$S:$S,BO$3,'[1]2026'!$P:$P,$AU386)</f>
        <v>0</v>
      </c>
      <c r="BP386" s="6">
        <f t="shared" si="252"/>
        <v>0</v>
      </c>
      <c r="BQ386" s="6">
        <f t="shared" si="252"/>
        <v>0</v>
      </c>
      <c r="BR386" s="6">
        <f t="shared" si="252"/>
        <v>0</v>
      </c>
      <c r="BS386" s="6">
        <f t="shared" si="252"/>
        <v>0</v>
      </c>
      <c r="BT386" s="6">
        <f t="shared" si="216"/>
        <v>0</v>
      </c>
      <c r="BV386" s="6">
        <f t="shared" si="253"/>
        <v>-943.45938901200316</v>
      </c>
      <c r="BW386" s="6">
        <f t="shared" si="254"/>
        <v>-943.45938901200316</v>
      </c>
      <c r="BX386" s="6">
        <f t="shared" si="255"/>
        <v>-943.45938901200316</v>
      </c>
      <c r="BY386" s="6">
        <f t="shared" si="256"/>
        <v>-943.45938901200316</v>
      </c>
      <c r="BZ386" s="6">
        <f t="shared" si="257"/>
        <v>-943.45938901200316</v>
      </c>
      <c r="CA386" s="6">
        <f t="shared" si="258"/>
        <v>-943.45938901200316</v>
      </c>
      <c r="CB386" s="6">
        <f t="shared" si="259"/>
        <v>-943.45938901200316</v>
      </c>
      <c r="CC386" s="6">
        <f t="shared" si="260"/>
        <v>-943.45938901200316</v>
      </c>
      <c r="CD386" s="6">
        <f t="shared" si="261"/>
        <v>-943.45938901200316</v>
      </c>
      <c r="CE386" s="6">
        <f t="shared" si="262"/>
        <v>-943.45938901200316</v>
      </c>
      <c r="CF386" s="6">
        <f t="shared" si="263"/>
        <v>-943.45938901200316</v>
      </c>
      <c r="CG386" s="6">
        <f t="shared" si="264"/>
        <v>-943.45938901200316</v>
      </c>
      <c r="CH386" s="6">
        <f t="shared" si="251"/>
        <v>-11321.512668144023</v>
      </c>
    </row>
    <row r="387" spans="1:86" hidden="1" x14ac:dyDescent="0.35">
      <c r="A387" s="3" t="s">
        <v>778</v>
      </c>
      <c r="B387" s="10">
        <v>5000</v>
      </c>
      <c r="C387" s="10">
        <v>5000</v>
      </c>
      <c r="D387" s="10">
        <v>5000</v>
      </c>
      <c r="E387" s="10">
        <v>5000</v>
      </c>
      <c r="F387" s="10">
        <v>5000</v>
      </c>
      <c r="G387" s="10">
        <v>5000</v>
      </c>
      <c r="H387" s="10">
        <v>5000</v>
      </c>
      <c r="I387" s="10">
        <v>5000</v>
      </c>
      <c r="J387" s="10">
        <v>5000</v>
      </c>
      <c r="K387" s="10">
        <v>5000</v>
      </c>
      <c r="L387" s="10">
        <v>5000</v>
      </c>
      <c r="M387" s="10">
        <v>5000</v>
      </c>
      <c r="N387" s="27">
        <f t="shared" si="265"/>
        <v>60000</v>
      </c>
      <c r="O387" s="10">
        <v>4056.5406109879968</v>
      </c>
      <c r="P387" s="10">
        <v>4056.5406109879968</v>
      </c>
      <c r="Q387" s="10">
        <v>4056.5406109879968</v>
      </c>
      <c r="R387" s="10">
        <v>4056.5406109879968</v>
      </c>
      <c r="S387" s="10">
        <v>4056.5406109879968</v>
      </c>
      <c r="T387" s="10">
        <v>4056.5406109879968</v>
      </c>
      <c r="U387" s="10">
        <v>4056.5406109879968</v>
      </c>
      <c r="V387" s="10">
        <v>4056.5406109879968</v>
      </c>
      <c r="W387" s="10">
        <v>4056.5406109879968</v>
      </c>
      <c r="X387" s="10">
        <v>4056.5406109879968</v>
      </c>
      <c r="Y387" s="10">
        <v>4056.5406109879968</v>
      </c>
      <c r="Z387" s="10">
        <v>4056.5406109879968</v>
      </c>
      <c r="AA387" s="27">
        <f t="shared" si="266"/>
        <v>48678.487331855977</v>
      </c>
      <c r="AB387" s="10">
        <f t="shared" si="267"/>
        <v>943.45938901200316</v>
      </c>
      <c r="AC387" s="10">
        <f t="shared" si="267"/>
        <v>943.45938901200316</v>
      </c>
      <c r="AD387" s="10">
        <f t="shared" si="267"/>
        <v>943.45938901200316</v>
      </c>
      <c r="AE387" s="10">
        <f t="shared" si="267"/>
        <v>943.45938901200316</v>
      </c>
      <c r="AF387" s="10">
        <f t="shared" si="267"/>
        <v>943.45938901200316</v>
      </c>
      <c r="AG387" s="10">
        <f t="shared" si="267"/>
        <v>943.45938901200316</v>
      </c>
      <c r="AH387" s="10">
        <f t="shared" si="267"/>
        <v>943.45938901200316</v>
      </c>
      <c r="AI387" s="10">
        <f t="shared" si="267"/>
        <v>943.45938901200316</v>
      </c>
      <c r="AJ387" s="10">
        <f t="shared" si="267"/>
        <v>943.45938901200316</v>
      </c>
      <c r="AK387" s="10">
        <f t="shared" si="267"/>
        <v>943.45938901200316</v>
      </c>
      <c r="AL387" s="10">
        <f t="shared" si="267"/>
        <v>943.45938901200316</v>
      </c>
      <c r="AM387" s="10">
        <f t="shared" si="267"/>
        <v>943.45938901200316</v>
      </c>
      <c r="AN387" s="27">
        <f t="shared" si="267"/>
        <v>11321.512668144023</v>
      </c>
      <c r="AO387" s="28">
        <v>0</v>
      </c>
      <c r="AS387" t="str">
        <f>_xlfn.XLOOKUP(AU387,[2]GAE!HZ:HZ,[2]GAE!IA:IA)</f>
        <v>HUMAN RESOURCES</v>
      </c>
      <c r="AT387" t="str">
        <f>_xlfn.XLOOKUP(AU387,[2]GAE!HZ:HZ,[2]GAE!IB:IB)</f>
        <v>DOE - Recruitment Expense</v>
      </c>
      <c r="AU387" t="s">
        <v>770</v>
      </c>
      <c r="AV387">
        <v>90122101</v>
      </c>
      <c r="AW387">
        <v>52121315</v>
      </c>
      <c r="AX387" t="str">
        <f>_xlfn.XLOOKUP(AU387,[2]GAE!HZ:HZ,[2]GAE!IF:IF)</f>
        <v>Employee Benefits</v>
      </c>
      <c r="AY387" t="str">
        <f>_xlfn.XLOOKUP(AU387,[2]GAE!HZ:HZ,[2]GAE!IG:IG)</f>
        <v>Recruitment</v>
      </c>
      <c r="BF387" t="s">
        <v>106</v>
      </c>
      <c r="BG387" s="3" t="s">
        <v>778</v>
      </c>
      <c r="BH387" s="10">
        <f>SUMIFS('[1]2026'!$K:$K,'[1]2026'!$T:$T,BD387,'[1]2026'!$S:$S,BH$3,'[1]2026'!$P:$P,AU387)</f>
        <v>0</v>
      </c>
      <c r="BI387" s="10">
        <f>SUMIFS('[1]2026'!$K:$K,'[1]2026'!$T:$T,$BD387,'[1]2026'!$S:$S,BI$3,'[1]2026'!$P:$P,$AU387)</f>
        <v>0</v>
      </c>
      <c r="BJ387" s="10">
        <f>SUMIFS('[1]2026'!$K:$K,'[1]2026'!$T:$T,$BD387,'[1]2026'!$S:$S,BJ$3,'[1]2026'!$P:$P,$AU387)</f>
        <v>0</v>
      </c>
      <c r="BK387" s="10">
        <f>SUMIFS('[1]2026'!$K:$K,'[1]2026'!$T:$T,$BD387,'[1]2026'!$S:$S,BK$3,'[1]2026'!$P:$P,$AU387)</f>
        <v>0</v>
      </c>
      <c r="BL387" s="10">
        <f>SUMIFS('[1]2026'!$K:$K,'[1]2026'!$T:$T,$BD387,'[1]2026'!$S:$S,BL$3,'[1]2026'!$P:$P,$AU387)</f>
        <v>0</v>
      </c>
      <c r="BM387" s="10">
        <f>SUMIFS('[1]2026'!$K:$K,'[1]2026'!$T:$T,$BD387,'[1]2026'!$S:$S,BM$3,'[1]2026'!$P:$P,$AU387)</f>
        <v>0</v>
      </c>
      <c r="BN387" s="10">
        <f>SUMIFS('[1]2026'!$K:$K,'[1]2026'!$T:$T,$BD387,'[1]2026'!$S:$S,BN$3,'[1]2026'!$P:$P,$AU387)</f>
        <v>0</v>
      </c>
      <c r="BO387" s="10">
        <f>SUMIFS('[1]2026'!$K:$K,'[1]2026'!$T:$T,$BD387,'[1]2026'!$S:$S,BO$3,'[1]2026'!$P:$P,$AU387)</f>
        <v>0</v>
      </c>
      <c r="BP387" s="6">
        <f t="shared" si="252"/>
        <v>0</v>
      </c>
      <c r="BQ387" s="6">
        <f t="shared" si="252"/>
        <v>0</v>
      </c>
      <c r="BR387" s="6">
        <f t="shared" si="252"/>
        <v>0</v>
      </c>
      <c r="BS387" s="6">
        <f t="shared" si="252"/>
        <v>0</v>
      </c>
      <c r="BT387" s="6">
        <f t="shared" si="216"/>
        <v>0</v>
      </c>
      <c r="BV387" s="6">
        <f t="shared" si="253"/>
        <v>-943.45938901200316</v>
      </c>
      <c r="BW387" s="6">
        <f t="shared" si="254"/>
        <v>-943.45938901200316</v>
      </c>
      <c r="BX387" s="6">
        <f t="shared" si="255"/>
        <v>-943.45938901200316</v>
      </c>
      <c r="BY387" s="6">
        <f t="shared" si="256"/>
        <v>-943.45938901200316</v>
      </c>
      <c r="BZ387" s="6">
        <f t="shared" si="257"/>
        <v>-943.45938901200316</v>
      </c>
      <c r="CA387" s="6">
        <f t="shared" si="258"/>
        <v>-943.45938901200316</v>
      </c>
      <c r="CB387" s="6">
        <f t="shared" si="259"/>
        <v>-943.45938901200316</v>
      </c>
      <c r="CC387" s="6">
        <f t="shared" si="260"/>
        <v>-943.45938901200316</v>
      </c>
      <c r="CD387" s="6">
        <f t="shared" si="261"/>
        <v>-943.45938901200316</v>
      </c>
      <c r="CE387" s="6">
        <f t="shared" si="262"/>
        <v>-943.45938901200316</v>
      </c>
      <c r="CF387" s="6">
        <f t="shared" si="263"/>
        <v>-943.45938901200316</v>
      </c>
      <c r="CG387" s="6">
        <f t="shared" si="264"/>
        <v>-943.45938901200316</v>
      </c>
      <c r="CH387" s="6">
        <f t="shared" si="251"/>
        <v>-11321.512668144023</v>
      </c>
    </row>
    <row r="388" spans="1:86" hidden="1" x14ac:dyDescent="0.35">
      <c r="A388" s="3" t="s">
        <v>780</v>
      </c>
      <c r="F388" s="10">
        <v>1000000</v>
      </c>
      <c r="N388" s="27">
        <f t="shared" si="265"/>
        <v>1000000</v>
      </c>
      <c r="S388" s="10">
        <v>811308.1221975995</v>
      </c>
      <c r="AA388" s="27">
        <f t="shared" si="266"/>
        <v>811308.1221975995</v>
      </c>
      <c r="AB388" s="10">
        <f t="shared" si="267"/>
        <v>0</v>
      </c>
      <c r="AC388" s="10">
        <f t="shared" si="267"/>
        <v>0</v>
      </c>
      <c r="AD388" s="10">
        <f t="shared" si="267"/>
        <v>0</v>
      </c>
      <c r="AE388" s="10">
        <f t="shared" si="267"/>
        <v>0</v>
      </c>
      <c r="AF388" s="10">
        <f t="shared" si="267"/>
        <v>188691.8778024005</v>
      </c>
      <c r="AG388" s="10">
        <f t="shared" si="267"/>
        <v>0</v>
      </c>
      <c r="AH388" s="10">
        <f t="shared" si="267"/>
        <v>0</v>
      </c>
      <c r="AI388" s="10">
        <f t="shared" si="267"/>
        <v>0</v>
      </c>
      <c r="AJ388" s="10">
        <f t="shared" si="267"/>
        <v>0</v>
      </c>
      <c r="AK388" s="10">
        <f t="shared" si="267"/>
        <v>0</v>
      </c>
      <c r="AL388" s="10">
        <f t="shared" si="267"/>
        <v>0</v>
      </c>
      <c r="AM388" s="10">
        <f t="shared" si="267"/>
        <v>0</v>
      </c>
      <c r="AN388" s="27">
        <f t="shared" si="267"/>
        <v>188691.8778024005</v>
      </c>
      <c r="AO388" s="28">
        <v>0</v>
      </c>
      <c r="AS388" t="str">
        <f>_xlfn.XLOOKUP(AU388,[2]GAE!HZ:HZ,[2]GAE!IA:IA)</f>
        <v>HUMAN RESOURCES</v>
      </c>
      <c r="AT388" t="str">
        <f>_xlfn.XLOOKUP(AU388,[2]GAE!HZ:HZ,[2]GAE!IB:IB)</f>
        <v>DOE - Recruitment Expense</v>
      </c>
      <c r="AU388" t="s">
        <v>769</v>
      </c>
      <c r="AV388">
        <v>81122101</v>
      </c>
      <c r="AW388">
        <v>52121315</v>
      </c>
      <c r="AX388" t="str">
        <f>_xlfn.XLOOKUP(AU388,[2]GAE!HZ:HZ,[2]GAE!IF:IF)</f>
        <v>Employee Benefits</v>
      </c>
      <c r="AY388" t="str">
        <f>_xlfn.XLOOKUP(AU388,[2]GAE!HZ:HZ,[2]GAE!IG:IG)</f>
        <v>Recruitment</v>
      </c>
      <c r="BF388" t="s">
        <v>96</v>
      </c>
      <c r="BG388" s="3" t="s">
        <v>780</v>
      </c>
      <c r="BH388" s="10">
        <f>SUMIFS('[1]2026'!$K:$K,'[1]2026'!$T:$T,BD388,'[1]2026'!$S:$S,BH$3,'[1]2026'!$P:$P,AU388)</f>
        <v>0</v>
      </c>
      <c r="BI388" s="10">
        <f>SUMIFS('[1]2026'!$K:$K,'[1]2026'!$T:$T,$BD388,'[1]2026'!$S:$S,BI$3,'[1]2026'!$P:$P,$AU388)</f>
        <v>0</v>
      </c>
      <c r="BJ388" s="10">
        <f>SUMIFS('[1]2026'!$K:$K,'[1]2026'!$T:$T,$BD388,'[1]2026'!$S:$S,BJ$3,'[1]2026'!$P:$P,$AU388)</f>
        <v>0</v>
      </c>
      <c r="BK388" s="10">
        <f>SUMIFS('[1]2026'!$K:$K,'[1]2026'!$T:$T,$BD388,'[1]2026'!$S:$S,BK$3,'[1]2026'!$P:$P,$AU388)</f>
        <v>0</v>
      </c>
      <c r="BL388" s="10">
        <f>SUMIFS('[1]2026'!$K:$K,'[1]2026'!$T:$T,$BD388,'[1]2026'!$S:$S,BL$3,'[1]2026'!$P:$P,$AU388)</f>
        <v>0</v>
      </c>
      <c r="BM388" s="10">
        <f>SUMIFS('[1]2026'!$K:$K,'[1]2026'!$T:$T,$BD388,'[1]2026'!$S:$S,BM$3,'[1]2026'!$P:$P,$AU388)</f>
        <v>0</v>
      </c>
      <c r="BN388" s="10">
        <f>SUMIFS('[1]2026'!$K:$K,'[1]2026'!$T:$T,$BD388,'[1]2026'!$S:$S,BN$3,'[1]2026'!$P:$P,$AU388)</f>
        <v>0</v>
      </c>
      <c r="BO388" s="10">
        <f>SUMIFS('[1]2026'!$K:$K,'[1]2026'!$T:$T,$BD388,'[1]2026'!$S:$S,BO$3,'[1]2026'!$P:$P,$AU388)</f>
        <v>0</v>
      </c>
      <c r="BP388" s="6">
        <f t="shared" si="252"/>
        <v>0</v>
      </c>
      <c r="BQ388" s="6">
        <f t="shared" si="252"/>
        <v>0</v>
      </c>
      <c r="BR388" s="6">
        <f t="shared" si="252"/>
        <v>0</v>
      </c>
      <c r="BS388" s="6">
        <f t="shared" si="252"/>
        <v>0</v>
      </c>
      <c r="BT388" s="6">
        <f t="shared" si="216"/>
        <v>0</v>
      </c>
      <c r="BV388" s="6">
        <f t="shared" si="253"/>
        <v>0</v>
      </c>
      <c r="BW388" s="6">
        <f t="shared" si="254"/>
        <v>0</v>
      </c>
      <c r="BX388" s="6">
        <f t="shared" si="255"/>
        <v>0</v>
      </c>
      <c r="BY388" s="6">
        <f t="shared" si="256"/>
        <v>0</v>
      </c>
      <c r="BZ388" s="6">
        <f t="shared" si="257"/>
        <v>-188691.8778024005</v>
      </c>
      <c r="CA388" s="6">
        <f t="shared" si="258"/>
        <v>0</v>
      </c>
      <c r="CB388" s="6">
        <f t="shared" si="259"/>
        <v>0</v>
      </c>
      <c r="CC388" s="6">
        <f t="shared" si="260"/>
        <v>0</v>
      </c>
      <c r="CD388" s="6">
        <f t="shared" si="261"/>
        <v>0</v>
      </c>
      <c r="CE388" s="6">
        <f t="shared" si="262"/>
        <v>0</v>
      </c>
      <c r="CF388" s="6">
        <f t="shared" si="263"/>
        <v>0</v>
      </c>
      <c r="CG388" s="6">
        <f t="shared" si="264"/>
        <v>0</v>
      </c>
      <c r="CH388" s="6">
        <f t="shared" si="251"/>
        <v>-188691.8778024005</v>
      </c>
    </row>
    <row r="389" spans="1:86" hidden="1" x14ac:dyDescent="0.35">
      <c r="A389" s="3" t="s">
        <v>781</v>
      </c>
      <c r="B389" s="10">
        <v>5000</v>
      </c>
      <c r="C389" s="10">
        <v>5000</v>
      </c>
      <c r="D389" s="10">
        <v>5000</v>
      </c>
      <c r="E389" s="10">
        <v>5000</v>
      </c>
      <c r="F389" s="10">
        <v>5000</v>
      </c>
      <c r="G389" s="10">
        <v>5000</v>
      </c>
      <c r="H389" s="10">
        <v>5000</v>
      </c>
      <c r="I389" s="10">
        <v>5000</v>
      </c>
      <c r="J389" s="10">
        <v>5000</v>
      </c>
      <c r="K389" s="10">
        <v>5000</v>
      </c>
      <c r="L389" s="10">
        <v>5000</v>
      </c>
      <c r="M389" s="10">
        <v>5000</v>
      </c>
      <c r="N389" s="27">
        <f t="shared" si="265"/>
        <v>60000</v>
      </c>
      <c r="O389" s="10">
        <v>4056.5406109879968</v>
      </c>
      <c r="P389" s="10">
        <v>4056.5406109879968</v>
      </c>
      <c r="Q389" s="10">
        <v>4056.5406109879968</v>
      </c>
      <c r="R389" s="10">
        <v>4056.5406109879968</v>
      </c>
      <c r="S389" s="10">
        <v>4056.5406109879968</v>
      </c>
      <c r="T389" s="10">
        <v>4056.5406109879968</v>
      </c>
      <c r="U389" s="10">
        <v>4056.5406109879968</v>
      </c>
      <c r="V389" s="10">
        <v>4056.5406109879968</v>
      </c>
      <c r="W389" s="10">
        <v>4056.5406109879968</v>
      </c>
      <c r="X389" s="10">
        <v>4056.5406109879968</v>
      </c>
      <c r="Y389" s="10">
        <v>4056.5406109879968</v>
      </c>
      <c r="Z389" s="10">
        <v>4056.5406109879968</v>
      </c>
      <c r="AA389" s="27">
        <f t="shared" si="266"/>
        <v>48678.487331855977</v>
      </c>
      <c r="AB389" s="10">
        <f t="shared" si="267"/>
        <v>943.45938901200316</v>
      </c>
      <c r="AC389" s="10">
        <f t="shared" si="267"/>
        <v>943.45938901200316</v>
      </c>
      <c r="AD389" s="10">
        <f t="shared" si="267"/>
        <v>943.45938901200316</v>
      </c>
      <c r="AE389" s="10">
        <f t="shared" si="267"/>
        <v>943.45938901200316</v>
      </c>
      <c r="AF389" s="10">
        <f t="shared" si="267"/>
        <v>943.45938901200316</v>
      </c>
      <c r="AG389" s="10">
        <f t="shared" si="267"/>
        <v>943.45938901200316</v>
      </c>
      <c r="AH389" s="10">
        <f t="shared" si="267"/>
        <v>943.45938901200316</v>
      </c>
      <c r="AI389" s="10">
        <f t="shared" si="267"/>
        <v>943.45938901200316</v>
      </c>
      <c r="AJ389" s="10">
        <f t="shared" si="267"/>
        <v>943.45938901200316</v>
      </c>
      <c r="AK389" s="10">
        <f t="shared" si="267"/>
        <v>943.45938901200316</v>
      </c>
      <c r="AL389" s="10">
        <f t="shared" si="267"/>
        <v>943.45938901200316</v>
      </c>
      <c r="AM389" s="10">
        <f t="shared" si="267"/>
        <v>943.45938901200316</v>
      </c>
      <c r="AN389" s="27">
        <f t="shared" si="267"/>
        <v>11321.512668144023</v>
      </c>
      <c r="AO389" s="28">
        <v>0</v>
      </c>
      <c r="AS389" t="str">
        <f>_xlfn.XLOOKUP(AU389,[2]GAE!HZ:HZ,[2]GAE!IA:IA)</f>
        <v>HUMAN RESOURCES</v>
      </c>
      <c r="AT389" t="str">
        <f>_xlfn.XLOOKUP(AU389,[2]GAE!HZ:HZ,[2]GAE!IB:IB)</f>
        <v>GAE - Recruitment Expense</v>
      </c>
      <c r="AU389" t="s">
        <v>779</v>
      </c>
      <c r="AV389">
        <v>80122101</v>
      </c>
      <c r="AW389">
        <v>61021316</v>
      </c>
      <c r="AX389" t="str">
        <f>_xlfn.XLOOKUP(AU389,[2]GAE!HZ:HZ,[2]GAE!IF:IF)</f>
        <v>Employee Benefits</v>
      </c>
      <c r="AY389" t="str">
        <f>_xlfn.XLOOKUP(AU389,[2]GAE!HZ:HZ,[2]GAE!IG:IG)</f>
        <v>Recruitment</v>
      </c>
      <c r="BF389" t="s">
        <v>96</v>
      </c>
      <c r="BG389" s="3" t="s">
        <v>781</v>
      </c>
      <c r="BH389" s="10">
        <f>SUMIFS('[1]2026'!$K:$K,'[1]2026'!$T:$T,BD389,'[1]2026'!$S:$S,BH$3,'[1]2026'!$P:$P,AU389)</f>
        <v>0</v>
      </c>
      <c r="BI389" s="10">
        <f>SUMIFS('[1]2026'!$K:$K,'[1]2026'!$T:$T,$BD389,'[1]2026'!$S:$S,BI$3,'[1]2026'!$P:$P,$AU389)</f>
        <v>0</v>
      </c>
      <c r="BJ389" s="10">
        <f>SUMIFS('[1]2026'!$K:$K,'[1]2026'!$T:$T,$BD389,'[1]2026'!$S:$S,BJ$3,'[1]2026'!$P:$P,$AU389)</f>
        <v>0</v>
      </c>
      <c r="BK389" s="10">
        <f>SUMIFS('[1]2026'!$K:$K,'[1]2026'!$T:$T,$BD389,'[1]2026'!$S:$S,BK$3,'[1]2026'!$P:$P,$AU389)</f>
        <v>0</v>
      </c>
      <c r="BL389" s="10">
        <f>SUMIFS('[1]2026'!$K:$K,'[1]2026'!$T:$T,$BD389,'[1]2026'!$S:$S,BL$3,'[1]2026'!$P:$P,$AU389)</f>
        <v>0</v>
      </c>
      <c r="BM389" s="10">
        <f>SUMIFS('[1]2026'!$K:$K,'[1]2026'!$T:$T,$BD389,'[1]2026'!$S:$S,BM$3,'[1]2026'!$P:$P,$AU389)</f>
        <v>0</v>
      </c>
      <c r="BN389" s="10">
        <f>SUMIFS('[1]2026'!$K:$K,'[1]2026'!$T:$T,$BD389,'[1]2026'!$S:$S,BN$3,'[1]2026'!$P:$P,$AU389)</f>
        <v>0</v>
      </c>
      <c r="BO389" s="10">
        <f>SUMIFS('[1]2026'!$K:$K,'[1]2026'!$T:$T,$BD389,'[1]2026'!$S:$S,BO$3,'[1]2026'!$P:$P,$AU389)</f>
        <v>0</v>
      </c>
      <c r="BP389" s="6">
        <f t="shared" si="252"/>
        <v>0</v>
      </c>
      <c r="BQ389" s="6">
        <f t="shared" si="252"/>
        <v>0</v>
      </c>
      <c r="BR389" s="6">
        <f t="shared" si="252"/>
        <v>0</v>
      </c>
      <c r="BS389" s="6">
        <f t="shared" si="252"/>
        <v>0</v>
      </c>
      <c r="BT389" s="6">
        <f t="shared" si="216"/>
        <v>0</v>
      </c>
      <c r="BV389" s="6">
        <f t="shared" si="253"/>
        <v>-943.45938901200316</v>
      </c>
      <c r="BW389" s="6">
        <f t="shared" si="254"/>
        <v>-943.45938901200316</v>
      </c>
      <c r="BX389" s="6">
        <f t="shared" si="255"/>
        <v>-943.45938901200316</v>
      </c>
      <c r="BY389" s="6">
        <f t="shared" si="256"/>
        <v>-943.45938901200316</v>
      </c>
      <c r="BZ389" s="6">
        <f t="shared" si="257"/>
        <v>-943.45938901200316</v>
      </c>
      <c r="CA389" s="6">
        <f t="shared" si="258"/>
        <v>-943.45938901200316</v>
      </c>
      <c r="CB389" s="6">
        <f t="shared" si="259"/>
        <v>-943.45938901200316</v>
      </c>
      <c r="CC389" s="6">
        <f t="shared" si="260"/>
        <v>-943.45938901200316</v>
      </c>
      <c r="CD389" s="6">
        <f t="shared" si="261"/>
        <v>-943.45938901200316</v>
      </c>
      <c r="CE389" s="6">
        <f t="shared" si="262"/>
        <v>-943.45938901200316</v>
      </c>
      <c r="CF389" s="6">
        <f t="shared" si="263"/>
        <v>-943.45938901200316</v>
      </c>
      <c r="CG389" s="6">
        <f t="shared" si="264"/>
        <v>-943.45938901200316</v>
      </c>
      <c r="CH389" s="6">
        <f t="shared" si="251"/>
        <v>-11321.512668144023</v>
      </c>
    </row>
    <row r="390" spans="1:86" hidden="1" x14ac:dyDescent="0.35">
      <c r="A390" s="3" t="s">
        <v>781</v>
      </c>
      <c r="B390" s="10">
        <v>5000</v>
      </c>
      <c r="C390" s="10">
        <v>5000</v>
      </c>
      <c r="D390" s="10">
        <v>5000</v>
      </c>
      <c r="E390" s="10">
        <v>5000</v>
      </c>
      <c r="F390" s="10">
        <v>5000</v>
      </c>
      <c r="G390" s="10">
        <v>5000</v>
      </c>
      <c r="H390" s="10">
        <v>5000</v>
      </c>
      <c r="I390" s="10">
        <v>5000</v>
      </c>
      <c r="J390" s="10">
        <v>5000</v>
      </c>
      <c r="K390" s="10">
        <v>5000</v>
      </c>
      <c r="L390" s="10">
        <v>5000</v>
      </c>
      <c r="M390" s="10">
        <v>5000</v>
      </c>
      <c r="N390" s="27">
        <f t="shared" si="265"/>
        <v>60000</v>
      </c>
      <c r="O390" s="10">
        <v>4056.5406109879968</v>
      </c>
      <c r="P390" s="10">
        <v>4056.5406109879968</v>
      </c>
      <c r="Q390" s="10">
        <v>4056.5406109879968</v>
      </c>
      <c r="R390" s="10">
        <v>4056.5406109879968</v>
      </c>
      <c r="S390" s="10">
        <v>4056.5406109879968</v>
      </c>
      <c r="T390" s="10">
        <v>4056.5406109879968</v>
      </c>
      <c r="U390" s="10">
        <v>4056.5406109879968</v>
      </c>
      <c r="V390" s="10">
        <v>4056.5406109879968</v>
      </c>
      <c r="W390" s="10">
        <v>4056.5406109879968</v>
      </c>
      <c r="X390" s="10">
        <v>4056.5406109879968</v>
      </c>
      <c r="Y390" s="10">
        <v>4056.5406109879968</v>
      </c>
      <c r="Z390" s="10">
        <v>4056.5406109879968</v>
      </c>
      <c r="AA390" s="27">
        <f t="shared" si="266"/>
        <v>48678.487331855977</v>
      </c>
      <c r="AB390" s="10">
        <f t="shared" si="267"/>
        <v>943.45938901200316</v>
      </c>
      <c r="AC390" s="10">
        <f t="shared" si="267"/>
        <v>943.45938901200316</v>
      </c>
      <c r="AD390" s="10">
        <f t="shared" si="267"/>
        <v>943.45938901200316</v>
      </c>
      <c r="AE390" s="10">
        <f t="shared" si="267"/>
        <v>943.45938901200316</v>
      </c>
      <c r="AF390" s="10">
        <f t="shared" si="267"/>
        <v>943.45938901200316</v>
      </c>
      <c r="AG390" s="10">
        <f t="shared" si="267"/>
        <v>943.45938901200316</v>
      </c>
      <c r="AH390" s="10">
        <f t="shared" si="267"/>
        <v>943.45938901200316</v>
      </c>
      <c r="AI390" s="10">
        <f t="shared" si="267"/>
        <v>943.45938901200316</v>
      </c>
      <c r="AJ390" s="10">
        <f t="shared" si="267"/>
        <v>943.45938901200316</v>
      </c>
      <c r="AK390" s="10">
        <f t="shared" si="267"/>
        <v>943.45938901200316</v>
      </c>
      <c r="AL390" s="10">
        <f t="shared" si="267"/>
        <v>943.45938901200316</v>
      </c>
      <c r="AM390" s="10">
        <f t="shared" si="267"/>
        <v>943.45938901200316</v>
      </c>
      <c r="AN390" s="27">
        <f t="shared" si="267"/>
        <v>11321.512668144023</v>
      </c>
      <c r="AO390" s="28">
        <v>0</v>
      </c>
      <c r="AS390" t="str">
        <f>_xlfn.XLOOKUP(AU390,[2]GAE!HZ:HZ,[2]GAE!IA:IA)</f>
        <v>HUMAN RESOURCES</v>
      </c>
      <c r="AT390" t="str">
        <f>_xlfn.XLOOKUP(AU390,[2]GAE!HZ:HZ,[2]GAE!IB:IB)</f>
        <v>DOE - Recruitment Expense</v>
      </c>
      <c r="AU390" t="s">
        <v>769</v>
      </c>
      <c r="AV390">
        <v>81122101</v>
      </c>
      <c r="AW390">
        <v>52121315</v>
      </c>
      <c r="AX390" t="str">
        <f>_xlfn.XLOOKUP(AU390,[2]GAE!HZ:HZ,[2]GAE!IF:IF)</f>
        <v>Employee Benefits</v>
      </c>
      <c r="AY390" t="str">
        <f>_xlfn.XLOOKUP(AU390,[2]GAE!HZ:HZ,[2]GAE!IG:IG)</f>
        <v>Recruitment</v>
      </c>
      <c r="BF390" t="s">
        <v>96</v>
      </c>
      <c r="BG390" s="3" t="s">
        <v>781</v>
      </c>
      <c r="BH390" s="10">
        <f>SUMIFS('[1]2026'!$K:$K,'[1]2026'!$T:$T,BD390,'[1]2026'!$S:$S,BH$3,'[1]2026'!$P:$P,AU390)</f>
        <v>0</v>
      </c>
      <c r="BI390" s="10">
        <f>SUMIFS('[1]2026'!$K:$K,'[1]2026'!$T:$T,$BD390,'[1]2026'!$S:$S,BI$3,'[1]2026'!$P:$P,$AU390)</f>
        <v>0</v>
      </c>
      <c r="BJ390" s="10">
        <f>SUMIFS('[1]2026'!$K:$K,'[1]2026'!$T:$T,$BD390,'[1]2026'!$S:$S,BJ$3,'[1]2026'!$P:$P,$AU390)</f>
        <v>0</v>
      </c>
      <c r="BK390" s="10">
        <f>SUMIFS('[1]2026'!$K:$K,'[1]2026'!$T:$T,$BD390,'[1]2026'!$S:$S,BK$3,'[1]2026'!$P:$P,$AU390)</f>
        <v>0</v>
      </c>
      <c r="BL390" s="10">
        <f>SUMIFS('[1]2026'!$K:$K,'[1]2026'!$T:$T,$BD390,'[1]2026'!$S:$S,BL$3,'[1]2026'!$P:$P,$AU390)</f>
        <v>0</v>
      </c>
      <c r="BM390" s="10">
        <f>SUMIFS('[1]2026'!$K:$K,'[1]2026'!$T:$T,$BD390,'[1]2026'!$S:$S,BM$3,'[1]2026'!$P:$P,$AU390)</f>
        <v>0</v>
      </c>
      <c r="BN390" s="10">
        <f>SUMIFS('[1]2026'!$K:$K,'[1]2026'!$T:$T,$BD390,'[1]2026'!$S:$S,BN$3,'[1]2026'!$P:$P,$AU390)</f>
        <v>0</v>
      </c>
      <c r="BO390" s="10">
        <f>SUMIFS('[1]2026'!$K:$K,'[1]2026'!$T:$T,$BD390,'[1]2026'!$S:$S,BO$3,'[1]2026'!$P:$P,$AU390)</f>
        <v>0</v>
      </c>
      <c r="BP390" s="6">
        <f t="shared" si="252"/>
        <v>0</v>
      </c>
      <c r="BQ390" s="6">
        <f t="shared" si="252"/>
        <v>0</v>
      </c>
      <c r="BR390" s="6">
        <f t="shared" si="252"/>
        <v>0</v>
      </c>
      <c r="BS390" s="6">
        <f t="shared" si="252"/>
        <v>0</v>
      </c>
      <c r="BT390" s="6">
        <f t="shared" si="216"/>
        <v>0</v>
      </c>
      <c r="BV390" s="6">
        <f t="shared" si="253"/>
        <v>-943.45938901200316</v>
      </c>
      <c r="BW390" s="6">
        <f t="shared" si="254"/>
        <v>-943.45938901200316</v>
      </c>
      <c r="BX390" s="6">
        <f t="shared" si="255"/>
        <v>-943.45938901200316</v>
      </c>
      <c r="BY390" s="6">
        <f t="shared" si="256"/>
        <v>-943.45938901200316</v>
      </c>
      <c r="BZ390" s="6">
        <f t="shared" si="257"/>
        <v>-943.45938901200316</v>
      </c>
      <c r="CA390" s="6">
        <f t="shared" si="258"/>
        <v>-943.45938901200316</v>
      </c>
      <c r="CB390" s="6">
        <f t="shared" si="259"/>
        <v>-943.45938901200316</v>
      </c>
      <c r="CC390" s="6">
        <f t="shared" si="260"/>
        <v>-943.45938901200316</v>
      </c>
      <c r="CD390" s="6">
        <f t="shared" si="261"/>
        <v>-943.45938901200316</v>
      </c>
      <c r="CE390" s="6">
        <f t="shared" si="262"/>
        <v>-943.45938901200316</v>
      </c>
      <c r="CF390" s="6">
        <f t="shared" si="263"/>
        <v>-943.45938901200316</v>
      </c>
      <c r="CG390" s="6">
        <f t="shared" si="264"/>
        <v>-943.45938901200316</v>
      </c>
      <c r="CH390" s="6">
        <f t="shared" si="251"/>
        <v>-11321.512668144023</v>
      </c>
    </row>
    <row r="391" spans="1:86" hidden="1" x14ac:dyDescent="0.35">
      <c r="A391" s="3" t="s">
        <v>781</v>
      </c>
      <c r="B391" s="10">
        <v>5000</v>
      </c>
      <c r="C391" s="10">
        <v>5000</v>
      </c>
      <c r="D391" s="10">
        <v>5000</v>
      </c>
      <c r="E391" s="10">
        <v>5000</v>
      </c>
      <c r="F391" s="10">
        <v>5000</v>
      </c>
      <c r="G391" s="10">
        <v>5000</v>
      </c>
      <c r="H391" s="10">
        <v>5000</v>
      </c>
      <c r="I391" s="10">
        <v>5000</v>
      </c>
      <c r="J391" s="10">
        <v>5000</v>
      </c>
      <c r="K391" s="10">
        <v>5000</v>
      </c>
      <c r="L391" s="10">
        <v>5000</v>
      </c>
      <c r="M391" s="10">
        <v>5000</v>
      </c>
      <c r="N391" s="27">
        <f t="shared" si="265"/>
        <v>60000</v>
      </c>
      <c r="O391" s="10">
        <v>4056.5406109879968</v>
      </c>
      <c r="P391" s="10">
        <v>4056.5406109879968</v>
      </c>
      <c r="Q391" s="10">
        <v>4056.5406109879968</v>
      </c>
      <c r="R391" s="10">
        <v>4056.5406109879968</v>
      </c>
      <c r="S391" s="10">
        <v>4056.5406109879968</v>
      </c>
      <c r="T391" s="10">
        <v>4056.5406109879968</v>
      </c>
      <c r="U391" s="10">
        <v>4056.5406109879968</v>
      </c>
      <c r="V391" s="10">
        <v>4056.5406109879968</v>
      </c>
      <c r="W391" s="10">
        <v>4056.5406109879968</v>
      </c>
      <c r="X391" s="10">
        <v>4056.5406109879968</v>
      </c>
      <c r="Y391" s="10">
        <v>4056.5406109879968</v>
      </c>
      <c r="Z391" s="10">
        <v>4056.5406109879968</v>
      </c>
      <c r="AA391" s="27">
        <f t="shared" si="266"/>
        <v>48678.487331855977</v>
      </c>
      <c r="AB391" s="10">
        <f t="shared" si="267"/>
        <v>943.45938901200316</v>
      </c>
      <c r="AC391" s="10">
        <f t="shared" si="267"/>
        <v>943.45938901200316</v>
      </c>
      <c r="AD391" s="10">
        <f t="shared" si="267"/>
        <v>943.45938901200316</v>
      </c>
      <c r="AE391" s="10">
        <f t="shared" si="267"/>
        <v>943.45938901200316</v>
      </c>
      <c r="AF391" s="10">
        <f t="shared" si="267"/>
        <v>943.45938901200316</v>
      </c>
      <c r="AG391" s="10">
        <f t="shared" si="267"/>
        <v>943.45938901200316</v>
      </c>
      <c r="AH391" s="10">
        <f t="shared" si="267"/>
        <v>943.45938901200316</v>
      </c>
      <c r="AI391" s="10">
        <f t="shared" si="267"/>
        <v>943.45938901200316</v>
      </c>
      <c r="AJ391" s="10">
        <f t="shared" si="267"/>
        <v>943.45938901200316</v>
      </c>
      <c r="AK391" s="10">
        <f t="shared" si="267"/>
        <v>943.45938901200316</v>
      </c>
      <c r="AL391" s="10">
        <f t="shared" si="267"/>
        <v>943.45938901200316</v>
      </c>
      <c r="AM391" s="10">
        <f t="shared" si="267"/>
        <v>943.45938901200316</v>
      </c>
      <c r="AN391" s="27">
        <f t="shared" si="267"/>
        <v>11321.512668144023</v>
      </c>
      <c r="AO391" s="28">
        <v>0</v>
      </c>
      <c r="AS391" t="str">
        <f>_xlfn.XLOOKUP(AU391,[2]GAE!HZ:HZ,[2]GAE!IA:IA)</f>
        <v>HUMAN RESOURCES</v>
      </c>
      <c r="AT391" t="str">
        <f>_xlfn.XLOOKUP(AU391,[2]GAE!HZ:HZ,[2]GAE!IB:IB)</f>
        <v>DOE - Recruitment Expense</v>
      </c>
      <c r="AU391" t="s">
        <v>770</v>
      </c>
      <c r="AV391">
        <v>90122101</v>
      </c>
      <c r="AW391">
        <v>52121315</v>
      </c>
      <c r="AX391" t="str">
        <f>_xlfn.XLOOKUP(AU391,[2]GAE!HZ:HZ,[2]GAE!IF:IF)</f>
        <v>Employee Benefits</v>
      </c>
      <c r="AY391" t="str">
        <f>_xlfn.XLOOKUP(AU391,[2]GAE!HZ:HZ,[2]GAE!IG:IG)</f>
        <v>Recruitment</v>
      </c>
      <c r="BF391" t="s">
        <v>96</v>
      </c>
      <c r="BG391" s="3" t="s">
        <v>781</v>
      </c>
      <c r="BH391" s="10">
        <f>SUMIFS('[1]2026'!$K:$K,'[1]2026'!$T:$T,BD391,'[1]2026'!$S:$S,BH$3,'[1]2026'!$P:$P,AU391)</f>
        <v>0</v>
      </c>
      <c r="BI391" s="10">
        <f>SUMIFS('[1]2026'!$K:$K,'[1]2026'!$T:$T,$BD391,'[1]2026'!$S:$S,BI$3,'[1]2026'!$P:$P,$AU391)</f>
        <v>0</v>
      </c>
      <c r="BJ391" s="10">
        <f>SUMIFS('[1]2026'!$K:$K,'[1]2026'!$T:$T,$BD391,'[1]2026'!$S:$S,BJ$3,'[1]2026'!$P:$P,$AU391)</f>
        <v>0</v>
      </c>
      <c r="BK391" s="10">
        <f>SUMIFS('[1]2026'!$K:$K,'[1]2026'!$T:$T,$BD391,'[1]2026'!$S:$S,BK$3,'[1]2026'!$P:$P,$AU391)</f>
        <v>0</v>
      </c>
      <c r="BL391" s="10">
        <f>SUMIFS('[1]2026'!$K:$K,'[1]2026'!$T:$T,$BD391,'[1]2026'!$S:$S,BL$3,'[1]2026'!$P:$P,$AU391)</f>
        <v>0</v>
      </c>
      <c r="BM391" s="10">
        <f>SUMIFS('[1]2026'!$K:$K,'[1]2026'!$T:$T,$BD391,'[1]2026'!$S:$S,BM$3,'[1]2026'!$P:$P,$AU391)</f>
        <v>0</v>
      </c>
      <c r="BN391" s="10">
        <f>SUMIFS('[1]2026'!$K:$K,'[1]2026'!$T:$T,$BD391,'[1]2026'!$S:$S,BN$3,'[1]2026'!$P:$P,$AU391)</f>
        <v>0</v>
      </c>
      <c r="BO391" s="10">
        <f>SUMIFS('[1]2026'!$K:$K,'[1]2026'!$T:$T,$BD391,'[1]2026'!$S:$S,BO$3,'[1]2026'!$P:$P,$AU391)</f>
        <v>0</v>
      </c>
      <c r="BP391" s="6">
        <f t="shared" si="252"/>
        <v>0</v>
      </c>
      <c r="BQ391" s="6">
        <f t="shared" si="252"/>
        <v>0</v>
      </c>
      <c r="BR391" s="6">
        <f t="shared" si="252"/>
        <v>0</v>
      </c>
      <c r="BS391" s="6">
        <f t="shared" si="252"/>
        <v>0</v>
      </c>
      <c r="BT391" s="6">
        <f t="shared" si="216"/>
        <v>0</v>
      </c>
      <c r="BV391" s="6">
        <f t="shared" si="253"/>
        <v>-943.45938901200316</v>
      </c>
      <c r="BW391" s="6">
        <f t="shared" si="254"/>
        <v>-943.45938901200316</v>
      </c>
      <c r="BX391" s="6">
        <f t="shared" si="255"/>
        <v>-943.45938901200316</v>
      </c>
      <c r="BY391" s="6">
        <f t="shared" si="256"/>
        <v>-943.45938901200316</v>
      </c>
      <c r="BZ391" s="6">
        <f t="shared" si="257"/>
        <v>-943.45938901200316</v>
      </c>
      <c r="CA391" s="6">
        <f t="shared" si="258"/>
        <v>-943.45938901200316</v>
      </c>
      <c r="CB391" s="6">
        <f t="shared" si="259"/>
        <v>-943.45938901200316</v>
      </c>
      <c r="CC391" s="6">
        <f t="shared" si="260"/>
        <v>-943.45938901200316</v>
      </c>
      <c r="CD391" s="6">
        <f t="shared" si="261"/>
        <v>-943.45938901200316</v>
      </c>
      <c r="CE391" s="6">
        <f t="shared" si="262"/>
        <v>-943.45938901200316</v>
      </c>
      <c r="CF391" s="6">
        <f t="shared" si="263"/>
        <v>-943.45938901200316</v>
      </c>
      <c r="CG391" s="6">
        <f t="shared" si="264"/>
        <v>-943.45938901200316</v>
      </c>
      <c r="CH391" s="6">
        <f t="shared" si="251"/>
        <v>-11321.512668144023</v>
      </c>
    </row>
    <row r="392" spans="1:86" hidden="1" x14ac:dyDescent="0.35">
      <c r="A392" s="3" t="s">
        <v>782</v>
      </c>
      <c r="F392" s="10">
        <v>125000</v>
      </c>
      <c r="K392" s="10">
        <v>125000</v>
      </c>
      <c r="N392" s="27">
        <f t="shared" si="265"/>
        <v>250000</v>
      </c>
      <c r="S392" s="10">
        <v>101413.5152747</v>
      </c>
      <c r="Y392" s="10">
        <v>101413.5152747</v>
      </c>
      <c r="AA392" s="27">
        <f t="shared" si="266"/>
        <v>202827.03054939999</v>
      </c>
      <c r="AB392" s="10">
        <f t="shared" si="267"/>
        <v>0</v>
      </c>
      <c r="AC392" s="10">
        <f t="shared" si="267"/>
        <v>0</v>
      </c>
      <c r="AD392" s="10">
        <f t="shared" si="267"/>
        <v>0</v>
      </c>
      <c r="AE392" s="10">
        <f t="shared" si="267"/>
        <v>0</v>
      </c>
      <c r="AF392" s="10">
        <f t="shared" si="267"/>
        <v>23586.484725300004</v>
      </c>
      <c r="AG392" s="10">
        <f t="shared" si="267"/>
        <v>0</v>
      </c>
      <c r="AH392" s="10">
        <f t="shared" si="267"/>
        <v>0</v>
      </c>
      <c r="AI392" s="10">
        <f t="shared" si="267"/>
        <v>0</v>
      </c>
      <c r="AJ392" s="10">
        <f t="shared" si="267"/>
        <v>0</v>
      </c>
      <c r="AK392" s="10">
        <f t="shared" si="267"/>
        <v>125000</v>
      </c>
      <c r="AL392" s="10">
        <f t="shared" si="267"/>
        <v>-101413.5152747</v>
      </c>
      <c r="AM392" s="10">
        <f t="shared" si="267"/>
        <v>0</v>
      </c>
      <c r="AN392" s="27">
        <f t="shared" si="267"/>
        <v>47172.969450600009</v>
      </c>
      <c r="AO392" s="28">
        <v>4464.29</v>
      </c>
      <c r="AS392" t="str">
        <f>_xlfn.XLOOKUP(AU392,[2]GAE!HZ:HZ,[2]GAE!IA:IA)</f>
        <v>HUMAN RESOURCES</v>
      </c>
      <c r="AT392" t="str">
        <f>_xlfn.XLOOKUP(AU392,[2]GAE!HZ:HZ,[2]GAE!IB:IB)</f>
        <v>DOE - Recruitment Expense</v>
      </c>
      <c r="AU392" t="s">
        <v>769</v>
      </c>
      <c r="AV392">
        <v>81122101</v>
      </c>
      <c r="AW392">
        <v>52121315</v>
      </c>
      <c r="AX392" t="str">
        <f>_xlfn.XLOOKUP(AU392,[2]GAE!HZ:HZ,[2]GAE!IF:IF)</f>
        <v>Employee Benefits</v>
      </c>
      <c r="AY392" t="str">
        <f>_xlfn.XLOOKUP(AU392,[2]GAE!HZ:HZ,[2]GAE!IG:IG)</f>
        <v>Recruitment</v>
      </c>
      <c r="BF392" t="s">
        <v>96</v>
      </c>
      <c r="BG392" s="3" t="s">
        <v>782</v>
      </c>
      <c r="BH392" s="10">
        <f>SUMIFS('[1]2026'!$K:$K,'[1]2026'!$T:$T,BD392,'[1]2026'!$S:$S,BH$3,'[1]2026'!$P:$P,AU392)</f>
        <v>0</v>
      </c>
      <c r="BI392" s="10">
        <f>SUMIFS('[1]2026'!$K:$K,'[1]2026'!$T:$T,$BD392,'[1]2026'!$S:$S,BI$3,'[1]2026'!$P:$P,$AU392)</f>
        <v>0</v>
      </c>
      <c r="BJ392" s="10">
        <f>SUMIFS('[1]2026'!$K:$K,'[1]2026'!$T:$T,$BD392,'[1]2026'!$S:$S,BJ$3,'[1]2026'!$P:$P,$AU392)</f>
        <v>0</v>
      </c>
      <c r="BK392" s="10">
        <f>SUMIFS('[1]2026'!$K:$K,'[1]2026'!$T:$T,$BD392,'[1]2026'!$S:$S,BK$3,'[1]2026'!$P:$P,$AU392)</f>
        <v>0</v>
      </c>
      <c r="BL392" s="10">
        <f>SUMIFS('[1]2026'!$K:$K,'[1]2026'!$T:$T,$BD392,'[1]2026'!$S:$S,BL$3,'[1]2026'!$P:$P,$AU392)</f>
        <v>0</v>
      </c>
      <c r="BM392" s="10">
        <f>SUMIFS('[1]2026'!$K:$K,'[1]2026'!$T:$T,$BD392,'[1]2026'!$S:$S,BM$3,'[1]2026'!$P:$P,$AU392)</f>
        <v>0</v>
      </c>
      <c r="BN392" s="10">
        <f>SUMIFS('[1]2026'!$K:$K,'[1]2026'!$T:$T,$BD392,'[1]2026'!$S:$S,BN$3,'[1]2026'!$P:$P,$AU392)</f>
        <v>0</v>
      </c>
      <c r="BO392" s="10">
        <f>SUMIFS('[1]2026'!$K:$K,'[1]2026'!$T:$T,$BD392,'[1]2026'!$S:$S,BO$3,'[1]2026'!$P:$P,$AU392)</f>
        <v>0</v>
      </c>
      <c r="BP392" s="6">
        <f t="shared" si="252"/>
        <v>0</v>
      </c>
      <c r="BQ392" s="6">
        <f t="shared" si="252"/>
        <v>0</v>
      </c>
      <c r="BR392" s="6">
        <f t="shared" si="252"/>
        <v>0</v>
      </c>
      <c r="BS392" s="6">
        <f t="shared" si="252"/>
        <v>0</v>
      </c>
      <c r="BT392" s="6">
        <f t="shared" si="216"/>
        <v>0</v>
      </c>
      <c r="BV392" s="6">
        <f t="shared" si="253"/>
        <v>0</v>
      </c>
      <c r="BW392" s="6">
        <f t="shared" si="254"/>
        <v>0</v>
      </c>
      <c r="BX392" s="6">
        <f t="shared" si="255"/>
        <v>0</v>
      </c>
      <c r="BY392" s="6">
        <f t="shared" si="256"/>
        <v>0</v>
      </c>
      <c r="BZ392" s="6">
        <f t="shared" si="257"/>
        <v>-23586.484725300004</v>
      </c>
      <c r="CA392" s="6">
        <f t="shared" si="258"/>
        <v>0</v>
      </c>
      <c r="CB392" s="6">
        <f t="shared" si="259"/>
        <v>0</v>
      </c>
      <c r="CC392" s="6">
        <f t="shared" si="260"/>
        <v>0</v>
      </c>
      <c r="CD392" s="6">
        <f t="shared" si="261"/>
        <v>0</v>
      </c>
      <c r="CE392" s="6">
        <f t="shared" si="262"/>
        <v>-125000</v>
      </c>
      <c r="CF392" s="6">
        <f t="shared" si="263"/>
        <v>101413.5152747</v>
      </c>
      <c r="CG392" s="6">
        <f t="shared" si="264"/>
        <v>0</v>
      </c>
      <c r="CH392" s="6">
        <f t="shared" si="251"/>
        <v>-47172.969450600009</v>
      </c>
    </row>
    <row r="393" spans="1:86" hidden="1" x14ac:dyDescent="0.35">
      <c r="A393" s="3" t="s">
        <v>783</v>
      </c>
      <c r="F393" s="10">
        <v>35000</v>
      </c>
      <c r="K393" s="10">
        <v>35000</v>
      </c>
      <c r="N393" s="27">
        <f t="shared" si="265"/>
        <v>70000</v>
      </c>
      <c r="S393" s="10">
        <v>101413.5152747</v>
      </c>
      <c r="Y393" s="10">
        <v>101413.5152747</v>
      </c>
      <c r="AA393" s="27">
        <f t="shared" si="266"/>
        <v>202827.03054939999</v>
      </c>
      <c r="AB393" s="10">
        <f t="shared" si="267"/>
        <v>0</v>
      </c>
      <c r="AC393" s="10">
        <f t="shared" si="267"/>
        <v>0</v>
      </c>
      <c r="AD393" s="10">
        <f t="shared" si="267"/>
        <v>0</v>
      </c>
      <c r="AE393" s="10">
        <f t="shared" si="267"/>
        <v>0</v>
      </c>
      <c r="AF393" s="10">
        <f t="shared" si="267"/>
        <v>-66413.515274699996</v>
      </c>
      <c r="AG393" s="10">
        <f t="shared" si="267"/>
        <v>0</v>
      </c>
      <c r="AH393" s="10">
        <f t="shared" si="267"/>
        <v>0</v>
      </c>
      <c r="AI393" s="10">
        <f t="shared" si="267"/>
        <v>0</v>
      </c>
      <c r="AJ393" s="10">
        <f t="shared" si="267"/>
        <v>0</v>
      </c>
      <c r="AK393" s="10">
        <f t="shared" si="267"/>
        <v>35000</v>
      </c>
      <c r="AL393" s="10">
        <f t="shared" si="267"/>
        <v>-101413.5152747</v>
      </c>
      <c r="AM393" s="10">
        <f t="shared" si="267"/>
        <v>0</v>
      </c>
      <c r="AN393" s="27">
        <f t="shared" si="267"/>
        <v>-132827.03054939999</v>
      </c>
      <c r="AS393" t="str">
        <f>_xlfn.XLOOKUP(AU393,[2]GAE!HZ:HZ,[2]GAE!IA:IA)</f>
        <v>HUMAN RESOURCES</v>
      </c>
      <c r="AT393" t="str">
        <f>_xlfn.XLOOKUP(AU393,[2]GAE!HZ:HZ,[2]GAE!IB:IB)</f>
        <v>DOE - Recruitment Expense</v>
      </c>
      <c r="AU393" t="s">
        <v>769</v>
      </c>
      <c r="AV393">
        <v>81122101</v>
      </c>
      <c r="AW393">
        <v>52121315</v>
      </c>
      <c r="AX393" t="str">
        <f>_xlfn.XLOOKUP(AU393,[2]GAE!HZ:HZ,[2]GAE!IF:IF)</f>
        <v>Employee Benefits</v>
      </c>
      <c r="AY393" t="str">
        <f>_xlfn.XLOOKUP(AU393,[2]GAE!HZ:HZ,[2]GAE!IG:IG)</f>
        <v>Recruitment</v>
      </c>
      <c r="BF393" t="s">
        <v>96</v>
      </c>
      <c r="BG393" s="3" t="s">
        <v>783</v>
      </c>
      <c r="BH393" s="10">
        <f>SUMIFS('[1]2026'!$K:$K,'[1]2026'!$T:$T,BD393,'[1]2026'!$S:$S,BH$3,'[1]2026'!$P:$P,AU393)</f>
        <v>0</v>
      </c>
      <c r="BI393" s="10">
        <f>SUMIFS('[1]2026'!$K:$K,'[1]2026'!$T:$T,$BD393,'[1]2026'!$S:$S,BI$3,'[1]2026'!$P:$P,$AU393)</f>
        <v>0</v>
      </c>
      <c r="BJ393" s="10">
        <f>SUMIFS('[1]2026'!$K:$K,'[1]2026'!$T:$T,$BD393,'[1]2026'!$S:$S,BJ$3,'[1]2026'!$P:$P,$AU393)</f>
        <v>0</v>
      </c>
      <c r="BK393" s="10">
        <f>SUMIFS('[1]2026'!$K:$K,'[1]2026'!$T:$T,$BD393,'[1]2026'!$S:$S,BK$3,'[1]2026'!$P:$P,$AU393)</f>
        <v>0</v>
      </c>
      <c r="BL393" s="10">
        <f>SUMIFS('[1]2026'!$K:$K,'[1]2026'!$T:$T,$BD393,'[1]2026'!$S:$S,BL$3,'[1]2026'!$P:$P,$AU393)</f>
        <v>0</v>
      </c>
      <c r="BM393" s="10">
        <f>SUMIFS('[1]2026'!$K:$K,'[1]2026'!$T:$T,$BD393,'[1]2026'!$S:$S,BM$3,'[1]2026'!$P:$P,$AU393)</f>
        <v>0</v>
      </c>
      <c r="BN393" s="10">
        <f>SUMIFS('[1]2026'!$K:$K,'[1]2026'!$T:$T,$BD393,'[1]2026'!$S:$S,BN$3,'[1]2026'!$P:$P,$AU393)</f>
        <v>0</v>
      </c>
      <c r="BO393" s="10">
        <f>SUMIFS('[1]2026'!$K:$K,'[1]2026'!$T:$T,$BD393,'[1]2026'!$S:$S,BO$3,'[1]2026'!$P:$P,$AU393)</f>
        <v>0</v>
      </c>
      <c r="BP393" s="6">
        <f t="shared" si="252"/>
        <v>0</v>
      </c>
      <c r="BQ393" s="6">
        <f t="shared" si="252"/>
        <v>0</v>
      </c>
      <c r="BR393" s="6">
        <f t="shared" si="252"/>
        <v>0</v>
      </c>
      <c r="BS393" s="6">
        <f t="shared" si="252"/>
        <v>0</v>
      </c>
      <c r="BT393" s="6">
        <f t="shared" si="216"/>
        <v>0</v>
      </c>
      <c r="BV393" s="6">
        <f t="shared" si="253"/>
        <v>0</v>
      </c>
      <c r="BW393" s="6">
        <f t="shared" si="254"/>
        <v>0</v>
      </c>
      <c r="BX393" s="6">
        <f t="shared" si="255"/>
        <v>0</v>
      </c>
      <c r="BY393" s="6">
        <f t="shared" si="256"/>
        <v>0</v>
      </c>
      <c r="BZ393" s="6">
        <f t="shared" si="257"/>
        <v>66413.515274699996</v>
      </c>
      <c r="CA393" s="6">
        <f t="shared" si="258"/>
        <v>0</v>
      </c>
      <c r="CB393" s="6">
        <f t="shared" si="259"/>
        <v>0</v>
      </c>
      <c r="CC393" s="6">
        <f t="shared" si="260"/>
        <v>0</v>
      </c>
      <c r="CD393" s="6">
        <f t="shared" si="261"/>
        <v>0</v>
      </c>
      <c r="CE393" s="6">
        <f t="shared" si="262"/>
        <v>-35000</v>
      </c>
      <c r="CF393" s="6">
        <f t="shared" si="263"/>
        <v>101413.5152747</v>
      </c>
      <c r="CG393" s="6">
        <f t="shared" si="264"/>
        <v>0</v>
      </c>
      <c r="CH393" s="6">
        <f t="shared" si="251"/>
        <v>132827.03054939999</v>
      </c>
    </row>
    <row r="394" spans="1:86" hidden="1" x14ac:dyDescent="0.35">
      <c r="A394" s="3" t="s">
        <v>98</v>
      </c>
      <c r="B394" s="10">
        <v>10000</v>
      </c>
      <c r="C394" s="10">
        <v>10000</v>
      </c>
      <c r="D394" s="10">
        <v>10000</v>
      </c>
      <c r="E394" s="10">
        <v>10000</v>
      </c>
      <c r="F394" s="10">
        <v>10000</v>
      </c>
      <c r="G394" s="10">
        <v>10000</v>
      </c>
      <c r="H394" s="10">
        <v>10000</v>
      </c>
      <c r="I394" s="10">
        <v>10000</v>
      </c>
      <c r="J394" s="10">
        <v>10000</v>
      </c>
      <c r="K394" s="10">
        <v>10000</v>
      </c>
      <c r="L394" s="10">
        <v>10000</v>
      </c>
      <c r="M394" s="10">
        <v>5000</v>
      </c>
      <c r="N394" s="27">
        <f t="shared" si="265"/>
        <v>115000</v>
      </c>
      <c r="O394" s="10">
        <v>7775.0361710603283</v>
      </c>
      <c r="P394" s="10">
        <v>7775.0361710603283</v>
      </c>
      <c r="Q394" s="10">
        <v>7775.0361710603283</v>
      </c>
      <c r="R394" s="10">
        <v>7775.0361710603283</v>
      </c>
      <c r="S394" s="10">
        <v>7775.0361710603283</v>
      </c>
      <c r="T394" s="10">
        <v>7775.0361710603283</v>
      </c>
      <c r="U394" s="10">
        <v>7775.0361710603283</v>
      </c>
      <c r="V394" s="10">
        <v>7775.0361710603283</v>
      </c>
      <c r="W394" s="10">
        <v>7775.0361710603283</v>
      </c>
      <c r="X394" s="10">
        <v>7775.0361710603283</v>
      </c>
      <c r="Y394" s="10">
        <v>7775.0361710603283</v>
      </c>
      <c r="Z394" s="10">
        <v>7775.0361710603283</v>
      </c>
      <c r="AA394" s="27">
        <f t="shared" si="266"/>
        <v>93300.434052723969</v>
      </c>
      <c r="AB394" s="10">
        <f t="shared" si="267"/>
        <v>2224.9638289396717</v>
      </c>
      <c r="AC394" s="10">
        <f t="shared" si="267"/>
        <v>2224.9638289396717</v>
      </c>
      <c r="AD394" s="10">
        <f t="shared" si="267"/>
        <v>2224.9638289396717</v>
      </c>
      <c r="AE394" s="10">
        <f t="shared" si="267"/>
        <v>2224.9638289396717</v>
      </c>
      <c r="AF394" s="10">
        <f t="shared" si="267"/>
        <v>2224.9638289396717</v>
      </c>
      <c r="AG394" s="10">
        <f t="shared" si="267"/>
        <v>2224.9638289396717</v>
      </c>
      <c r="AH394" s="10">
        <f t="shared" si="267"/>
        <v>2224.9638289396717</v>
      </c>
      <c r="AI394" s="10">
        <f t="shared" si="267"/>
        <v>2224.9638289396717</v>
      </c>
      <c r="AJ394" s="10">
        <f t="shared" si="267"/>
        <v>2224.9638289396717</v>
      </c>
      <c r="AK394" s="10">
        <f t="shared" si="267"/>
        <v>2224.9638289396717</v>
      </c>
      <c r="AL394" s="10">
        <f t="shared" si="267"/>
        <v>2224.9638289396717</v>
      </c>
      <c r="AM394" s="10">
        <f t="shared" si="267"/>
        <v>-2775.0361710603283</v>
      </c>
      <c r="AN394" s="27">
        <f t="shared" si="267"/>
        <v>21699.565947276031</v>
      </c>
      <c r="AO394" s="28">
        <v>71040.17</v>
      </c>
      <c r="AS394" t="str">
        <f>_xlfn.XLOOKUP(AU394,[2]GAE!HZ:HZ,[2]GAE!IA:IA)</f>
        <v>HUMAN RESOURCES</v>
      </c>
      <c r="AT394" t="str">
        <f>_xlfn.XLOOKUP(AU394,[2]GAE!HZ:HZ,[2]GAE!IB:IB)</f>
        <v>GAE - Recruitment Expense</v>
      </c>
      <c r="AU394" t="s">
        <v>779</v>
      </c>
      <c r="AV394">
        <v>80122101</v>
      </c>
      <c r="AW394">
        <v>61021316</v>
      </c>
      <c r="AX394" t="str">
        <f>_xlfn.XLOOKUP(AU394,[2]GAE!HZ:HZ,[2]GAE!IF:IF)</f>
        <v>Employee Benefits</v>
      </c>
      <c r="AY394" t="str">
        <f>_xlfn.XLOOKUP(AU394,[2]GAE!HZ:HZ,[2]GAE!IG:IG)</f>
        <v>Recruitment</v>
      </c>
      <c r="BA394" t="s">
        <v>784</v>
      </c>
      <c r="BC394" t="s">
        <v>98</v>
      </c>
      <c r="BD394" t="s">
        <v>98</v>
      </c>
      <c r="BF394" t="s">
        <v>96</v>
      </c>
      <c r="BG394" s="2" t="s">
        <v>98</v>
      </c>
      <c r="BH394" s="10">
        <f>SUMIFS('[1]2026'!$K:$K,'[1]2026'!$T:$T,BD394,'[1]2026'!$S:$S,BH$3,'[1]2026'!$P:$P,AU394)</f>
        <v>0</v>
      </c>
      <c r="BI394" s="10">
        <f>SUMIFS('[1]2026'!$K:$K,'[1]2026'!$T:$T,$BD394,'[1]2026'!$S:$S,BI$3,'[1]2026'!$P:$P,$AU394)</f>
        <v>0</v>
      </c>
      <c r="BJ394" s="10">
        <f>SUMIFS('[1]2026'!$K:$K,'[1]2026'!$T:$T,$BD394,'[1]2026'!$S:$S,BJ$3,'[1]2026'!$P:$P,$AU394)</f>
        <v>5220</v>
      </c>
      <c r="BK394" s="10">
        <f>SUMIFS('[1]2026'!$K:$K,'[1]2026'!$T:$T,$BD394,'[1]2026'!$S:$S,BK$3,'[1]2026'!$P:$P,$AU394)</f>
        <v>0</v>
      </c>
      <c r="BL394" s="10">
        <f>SUMIFS('[1]2026'!$K:$K,'[1]2026'!$T:$T,$BD394,'[1]2026'!$S:$S,BL$3,'[1]2026'!$P:$P,$AU394)</f>
        <v>0</v>
      </c>
      <c r="BM394" s="10">
        <f>SUMIFS('[1]2026'!$K:$K,'[1]2026'!$T:$T,$BD394,'[1]2026'!$S:$S,BM$3,'[1]2026'!$P:$P,$AU394)</f>
        <v>0</v>
      </c>
      <c r="BN394" s="10">
        <f>SUMIFS('[1]2026'!$K:$K,'[1]2026'!$T:$T,$BD394,'[1]2026'!$S:$S,BN$3,'[1]2026'!$P:$P,$AU394)</f>
        <v>10440</v>
      </c>
      <c r="BO394" s="10">
        <f>SUMIFS('[1]2026'!$K:$K,'[1]2026'!$T:$T,$BD394,'[1]2026'!$S:$S,BO$3,'[1]2026'!$P:$P,$AU394)</f>
        <v>0</v>
      </c>
      <c r="BP394" s="6">
        <v>1740</v>
      </c>
      <c r="BQ394" s="6">
        <v>1740</v>
      </c>
      <c r="BR394" s="6">
        <v>1740</v>
      </c>
      <c r="BS394" s="6">
        <v>1740</v>
      </c>
      <c r="BT394" s="6">
        <f t="shared" si="216"/>
        <v>22620</v>
      </c>
      <c r="BV394" s="6">
        <f t="shared" si="253"/>
        <v>-2224.9638289396717</v>
      </c>
      <c r="BW394" s="6">
        <f t="shared" si="254"/>
        <v>-2224.9638289396717</v>
      </c>
      <c r="BX394" s="6">
        <f t="shared" si="255"/>
        <v>2995.0361710603283</v>
      </c>
      <c r="BY394" s="6">
        <f t="shared" si="256"/>
        <v>-2224.9638289396717</v>
      </c>
      <c r="BZ394" s="6">
        <f t="shared" si="257"/>
        <v>-2224.9638289396717</v>
      </c>
      <c r="CA394" s="6">
        <f t="shared" si="258"/>
        <v>-2224.9638289396717</v>
      </c>
      <c r="CB394" s="6">
        <f t="shared" si="259"/>
        <v>8215.0361710603283</v>
      </c>
      <c r="CC394" s="6">
        <f t="shared" si="260"/>
        <v>-2224.9638289396717</v>
      </c>
      <c r="CD394" s="6">
        <f t="shared" si="261"/>
        <v>-484.96382893967166</v>
      </c>
      <c r="CE394" s="6">
        <f t="shared" si="262"/>
        <v>-484.96382893967166</v>
      </c>
      <c r="CF394" s="6">
        <f t="shared" si="263"/>
        <v>-484.96382893967166</v>
      </c>
      <c r="CG394" s="6">
        <f t="shared" si="264"/>
        <v>4515.0361710603283</v>
      </c>
      <c r="CH394" s="6">
        <f t="shared" si="251"/>
        <v>920.43405272396922</v>
      </c>
    </row>
    <row r="395" spans="1:86" hidden="1" x14ac:dyDescent="0.35">
      <c r="A395" s="3" t="s">
        <v>98</v>
      </c>
      <c r="B395" s="10">
        <v>10000</v>
      </c>
      <c r="C395" s="10">
        <v>10000</v>
      </c>
      <c r="D395" s="10">
        <v>10000</v>
      </c>
      <c r="E395" s="10">
        <v>10000</v>
      </c>
      <c r="F395" s="10">
        <v>10000</v>
      </c>
      <c r="G395" s="10">
        <v>10000</v>
      </c>
      <c r="H395" s="10">
        <v>10000</v>
      </c>
      <c r="I395" s="10">
        <v>10000</v>
      </c>
      <c r="J395" s="10">
        <v>10000</v>
      </c>
      <c r="K395" s="10">
        <v>10000</v>
      </c>
      <c r="L395" s="10">
        <v>10000</v>
      </c>
      <c r="M395" s="10">
        <v>5000</v>
      </c>
      <c r="N395" s="27">
        <f t="shared" si="265"/>
        <v>115000</v>
      </c>
      <c r="O395" s="10">
        <v>7775.0361710603283</v>
      </c>
      <c r="P395" s="10">
        <v>7775.0361710603283</v>
      </c>
      <c r="Q395" s="10">
        <v>7775.0361710603283</v>
      </c>
      <c r="R395" s="10">
        <v>7775.0361710603283</v>
      </c>
      <c r="S395" s="10">
        <v>7775.0361710603283</v>
      </c>
      <c r="T395" s="10">
        <v>7775.0361710603283</v>
      </c>
      <c r="U395" s="10">
        <v>7775.0361710603283</v>
      </c>
      <c r="V395" s="10">
        <v>7775.0361710603283</v>
      </c>
      <c r="W395" s="10">
        <v>7775.0361710603283</v>
      </c>
      <c r="X395" s="10">
        <v>7775.0361710603283</v>
      </c>
      <c r="Y395" s="10">
        <v>7775.0361710603283</v>
      </c>
      <c r="Z395" s="10">
        <v>7775.0361710603283</v>
      </c>
      <c r="AA395" s="27">
        <f t="shared" si="266"/>
        <v>93300.434052723969</v>
      </c>
      <c r="AB395" s="10">
        <f t="shared" si="267"/>
        <v>2224.9638289396717</v>
      </c>
      <c r="AC395" s="10">
        <f t="shared" si="267"/>
        <v>2224.9638289396717</v>
      </c>
      <c r="AD395" s="10">
        <f t="shared" si="267"/>
        <v>2224.9638289396717</v>
      </c>
      <c r="AE395" s="10">
        <f t="shared" si="267"/>
        <v>2224.9638289396717</v>
      </c>
      <c r="AF395" s="10">
        <f t="shared" si="267"/>
        <v>2224.9638289396717</v>
      </c>
      <c r="AG395" s="10">
        <f t="shared" si="267"/>
        <v>2224.9638289396717</v>
      </c>
      <c r="AH395" s="10">
        <f t="shared" si="267"/>
        <v>2224.9638289396717</v>
      </c>
      <c r="AI395" s="10">
        <f t="shared" si="267"/>
        <v>2224.9638289396717</v>
      </c>
      <c r="AJ395" s="10">
        <f t="shared" si="267"/>
        <v>2224.9638289396717</v>
      </c>
      <c r="AK395" s="10">
        <f t="shared" si="267"/>
        <v>2224.9638289396717</v>
      </c>
      <c r="AL395" s="10">
        <f t="shared" si="267"/>
        <v>2224.9638289396717</v>
      </c>
      <c r="AM395" s="10">
        <f t="shared" si="267"/>
        <v>-2775.0361710603283</v>
      </c>
      <c r="AN395" s="27">
        <f t="shared" si="267"/>
        <v>21699.565947276031</v>
      </c>
      <c r="AS395" t="str">
        <f>_xlfn.XLOOKUP(AU395,[2]GAE!HZ:HZ,[2]GAE!IA:IA)</f>
        <v>HUMAN RESOURCES</v>
      </c>
      <c r="AT395" t="str">
        <f>_xlfn.XLOOKUP(AU395,[2]GAE!HZ:HZ,[2]GAE!IB:IB)</f>
        <v>DOE - Recruitment Expense</v>
      </c>
      <c r="AU395" t="s">
        <v>769</v>
      </c>
      <c r="AV395">
        <v>81122101</v>
      </c>
      <c r="AW395">
        <v>52121315</v>
      </c>
      <c r="AX395" t="str">
        <f>_xlfn.XLOOKUP(AU395,[2]GAE!HZ:HZ,[2]GAE!IF:IF)</f>
        <v>Employee Benefits</v>
      </c>
      <c r="AY395" t="str">
        <f>_xlfn.XLOOKUP(AU395,[2]GAE!HZ:HZ,[2]GAE!IG:IG)</f>
        <v>Recruitment</v>
      </c>
      <c r="BA395" t="s">
        <v>784</v>
      </c>
      <c r="BC395" t="s">
        <v>98</v>
      </c>
      <c r="BD395" t="s">
        <v>98</v>
      </c>
      <c r="BF395" t="s">
        <v>96</v>
      </c>
      <c r="BG395" s="2" t="s">
        <v>98</v>
      </c>
      <c r="BH395" s="10">
        <f>SUMIFS('[1]2026'!$K:$K,'[1]2026'!$T:$T,BD395,'[1]2026'!$S:$S,BH$3,'[1]2026'!$P:$P,AU395)</f>
        <v>0</v>
      </c>
      <c r="BI395" s="10">
        <f>SUMIFS('[1]2026'!$K:$K,'[1]2026'!$T:$T,$BD395,'[1]2026'!$S:$S,BI$3,'[1]2026'!$P:$P,$AU395)</f>
        <v>0</v>
      </c>
      <c r="BJ395" s="10">
        <f>SUMIFS('[1]2026'!$K:$K,'[1]2026'!$T:$T,$BD395,'[1]2026'!$S:$S,BJ$3,'[1]2026'!$P:$P,$AU395)</f>
        <v>3480</v>
      </c>
      <c r="BK395" s="10">
        <f>SUMIFS('[1]2026'!$K:$K,'[1]2026'!$T:$T,$BD395,'[1]2026'!$S:$S,BK$3,'[1]2026'!$P:$P,$AU395)</f>
        <v>0</v>
      </c>
      <c r="BL395" s="10">
        <f>SUMIFS('[1]2026'!$K:$K,'[1]2026'!$T:$T,$BD395,'[1]2026'!$S:$S,BL$3,'[1]2026'!$P:$P,$AU395)</f>
        <v>0</v>
      </c>
      <c r="BM395" s="10">
        <f>SUMIFS('[1]2026'!$K:$K,'[1]2026'!$T:$T,$BD395,'[1]2026'!$S:$S,BM$3,'[1]2026'!$P:$P,$AU395)</f>
        <v>1740</v>
      </c>
      <c r="BN395" s="10">
        <f>SUMIFS('[1]2026'!$K:$K,'[1]2026'!$T:$T,$BD395,'[1]2026'!$S:$S,BN$3,'[1]2026'!$P:$P,$AU395)</f>
        <v>0</v>
      </c>
      <c r="BO395" s="10">
        <f>SUMIFS('[1]2026'!$K:$K,'[1]2026'!$T:$T,$BD395,'[1]2026'!$S:$S,BO$3,'[1]2026'!$P:$P,$AU395)</f>
        <v>0</v>
      </c>
      <c r="BP395" s="6">
        <v>1740</v>
      </c>
      <c r="BQ395" s="6">
        <v>1740</v>
      </c>
      <c r="BR395" s="6">
        <v>1740</v>
      </c>
      <c r="BS395" s="6">
        <v>1740</v>
      </c>
      <c r="BT395" s="6">
        <f t="shared" si="216"/>
        <v>12180</v>
      </c>
      <c r="BV395" s="6">
        <f t="shared" si="253"/>
        <v>-2224.9638289396717</v>
      </c>
      <c r="BW395" s="6">
        <f t="shared" si="254"/>
        <v>-2224.9638289396717</v>
      </c>
      <c r="BX395" s="6">
        <f t="shared" si="255"/>
        <v>1255.0361710603283</v>
      </c>
      <c r="BY395" s="6">
        <f t="shared" si="256"/>
        <v>-2224.9638289396717</v>
      </c>
      <c r="BZ395" s="6">
        <f t="shared" si="257"/>
        <v>-2224.9638289396717</v>
      </c>
      <c r="CA395" s="6">
        <f t="shared" si="258"/>
        <v>-484.96382893967166</v>
      </c>
      <c r="CB395" s="6">
        <f t="shared" si="259"/>
        <v>-2224.9638289396717</v>
      </c>
      <c r="CC395" s="6">
        <f t="shared" si="260"/>
        <v>-2224.9638289396717</v>
      </c>
      <c r="CD395" s="6">
        <f t="shared" si="261"/>
        <v>-484.96382893967166</v>
      </c>
      <c r="CE395" s="6">
        <f t="shared" si="262"/>
        <v>-484.96382893967166</v>
      </c>
      <c r="CF395" s="6">
        <f t="shared" si="263"/>
        <v>-484.96382893967166</v>
      </c>
      <c r="CG395" s="6">
        <f t="shared" si="264"/>
        <v>4515.0361710603283</v>
      </c>
      <c r="CH395" s="6">
        <f t="shared" si="251"/>
        <v>-9519.5659472760308</v>
      </c>
    </row>
    <row r="396" spans="1:86" hidden="1" x14ac:dyDescent="0.35">
      <c r="A396" s="3" t="s">
        <v>98</v>
      </c>
      <c r="B396" s="10">
        <v>10000</v>
      </c>
      <c r="C396" s="10">
        <v>10000</v>
      </c>
      <c r="D396" s="10">
        <v>10000</v>
      </c>
      <c r="E396" s="10">
        <v>10000</v>
      </c>
      <c r="F396" s="10">
        <v>10000</v>
      </c>
      <c r="G396" s="10">
        <v>10000</v>
      </c>
      <c r="H396" s="10">
        <v>10000</v>
      </c>
      <c r="I396" s="10">
        <v>10000</v>
      </c>
      <c r="J396" s="10">
        <v>10000</v>
      </c>
      <c r="K396" s="10">
        <v>10000</v>
      </c>
      <c r="L396" s="10">
        <v>10000</v>
      </c>
      <c r="M396" s="10">
        <v>10000</v>
      </c>
      <c r="N396" s="27">
        <f t="shared" si="265"/>
        <v>120000</v>
      </c>
      <c r="O396" s="10">
        <v>8113.0812219759937</v>
      </c>
      <c r="P396" s="10">
        <v>8113.0812219759937</v>
      </c>
      <c r="Q396" s="10">
        <v>8113.0812219759937</v>
      </c>
      <c r="R396" s="10">
        <v>8113.0812219759937</v>
      </c>
      <c r="S396" s="10">
        <v>8113.0812219759937</v>
      </c>
      <c r="T396" s="10">
        <v>8113.0812219759937</v>
      </c>
      <c r="U396" s="10">
        <v>8113.0812219759937</v>
      </c>
      <c r="V396" s="10">
        <v>8113.0812219759937</v>
      </c>
      <c r="W396" s="10">
        <v>8113.0812219759937</v>
      </c>
      <c r="X396" s="10">
        <v>8113.0812219759937</v>
      </c>
      <c r="Y396" s="10">
        <v>8113.0812219759937</v>
      </c>
      <c r="Z396" s="10">
        <v>8113.0812219759937</v>
      </c>
      <c r="AA396" s="27">
        <f t="shared" si="266"/>
        <v>97356.974663711953</v>
      </c>
      <c r="AB396" s="10">
        <f t="shared" si="267"/>
        <v>1886.9187780240063</v>
      </c>
      <c r="AC396" s="10">
        <f t="shared" si="267"/>
        <v>1886.9187780240063</v>
      </c>
      <c r="AD396" s="10">
        <f t="shared" si="267"/>
        <v>1886.9187780240063</v>
      </c>
      <c r="AE396" s="10">
        <f t="shared" si="267"/>
        <v>1886.9187780240063</v>
      </c>
      <c r="AF396" s="10">
        <f t="shared" si="267"/>
        <v>1886.9187780240063</v>
      </c>
      <c r="AG396" s="10">
        <f t="shared" si="267"/>
        <v>1886.9187780240063</v>
      </c>
      <c r="AH396" s="10">
        <f t="shared" si="267"/>
        <v>1886.9187780240063</v>
      </c>
      <c r="AI396" s="10">
        <f t="shared" si="267"/>
        <v>1886.9187780240063</v>
      </c>
      <c r="AJ396" s="10">
        <f t="shared" si="267"/>
        <v>1886.9187780240063</v>
      </c>
      <c r="AK396" s="10">
        <f t="shared" si="267"/>
        <v>1886.9187780240063</v>
      </c>
      <c r="AL396" s="10">
        <f t="shared" si="267"/>
        <v>1886.9187780240063</v>
      </c>
      <c r="AM396" s="10">
        <f t="shared" si="267"/>
        <v>1886.9187780240063</v>
      </c>
      <c r="AN396" s="27">
        <f t="shared" si="267"/>
        <v>22643.025336288047</v>
      </c>
      <c r="AS396" t="str">
        <f>_xlfn.XLOOKUP(AU396,[2]GAE!HZ:HZ,[2]GAE!IA:IA)</f>
        <v>HUMAN RESOURCES</v>
      </c>
      <c r="AT396" t="str">
        <f>_xlfn.XLOOKUP(AU396,[2]GAE!HZ:HZ,[2]GAE!IB:IB)</f>
        <v>DOE - Recruitment Expense</v>
      </c>
      <c r="AU396" t="s">
        <v>770</v>
      </c>
      <c r="AV396">
        <v>90122101</v>
      </c>
      <c r="AW396">
        <v>52121315</v>
      </c>
      <c r="AX396" t="str">
        <f>_xlfn.XLOOKUP(AU396,[2]GAE!HZ:HZ,[2]GAE!IF:IF)</f>
        <v>Employee Benefits</v>
      </c>
      <c r="AY396" t="str">
        <f>_xlfn.XLOOKUP(AU396,[2]GAE!HZ:HZ,[2]GAE!IG:IG)</f>
        <v>Recruitment</v>
      </c>
      <c r="BA396" t="s">
        <v>784</v>
      </c>
      <c r="BC396" t="s">
        <v>98</v>
      </c>
      <c r="BD396" t="s">
        <v>98</v>
      </c>
      <c r="BF396" t="s">
        <v>96</v>
      </c>
      <c r="BG396" s="2" t="s">
        <v>98</v>
      </c>
      <c r="BH396" s="10">
        <f>SUMIFS('[1]2026'!$K:$K,'[1]2026'!$T:$T,BD396,'[1]2026'!$S:$S,BH$3,'[1]2026'!$P:$P,AU396)</f>
        <v>0</v>
      </c>
      <c r="BI396" s="10">
        <f>SUMIFS('[1]2026'!$K:$K,'[1]2026'!$T:$T,$BD396,'[1]2026'!$S:$S,BI$3,'[1]2026'!$P:$P,$AU396)</f>
        <v>0</v>
      </c>
      <c r="BJ396" s="10">
        <f>SUMIFS('[1]2026'!$K:$K,'[1]2026'!$T:$T,$BD396,'[1]2026'!$S:$S,BJ$3,'[1]2026'!$P:$P,$AU396)</f>
        <v>0</v>
      </c>
      <c r="BK396" s="10">
        <f>SUMIFS('[1]2026'!$K:$K,'[1]2026'!$T:$T,$BD396,'[1]2026'!$S:$S,BK$3,'[1]2026'!$P:$P,$AU396)</f>
        <v>5220</v>
      </c>
      <c r="BL396" s="10">
        <f>SUMIFS('[1]2026'!$K:$K,'[1]2026'!$T:$T,$BD396,'[1]2026'!$S:$S,BL$3,'[1]2026'!$P:$P,$AU396)</f>
        <v>1740</v>
      </c>
      <c r="BM396" s="10">
        <f>SUMIFS('[1]2026'!$K:$K,'[1]2026'!$T:$T,$BD396,'[1]2026'!$S:$S,BM$3,'[1]2026'!$P:$P,$AU396)</f>
        <v>3480</v>
      </c>
      <c r="BN396" s="10">
        <f>SUMIFS('[1]2026'!$K:$K,'[1]2026'!$T:$T,$BD396,'[1]2026'!$S:$S,BN$3,'[1]2026'!$P:$P,$AU396)</f>
        <v>0</v>
      </c>
      <c r="BO396" s="10">
        <f>SUMIFS('[1]2026'!$K:$K,'[1]2026'!$T:$T,$BD396,'[1]2026'!$S:$S,BO$3,'[1]2026'!$P:$P,$AU396)</f>
        <v>3480</v>
      </c>
      <c r="BP396" s="6">
        <v>1740</v>
      </c>
      <c r="BQ396" s="6">
        <v>1740</v>
      </c>
      <c r="BR396" s="6">
        <v>1740</v>
      </c>
      <c r="BS396" s="6">
        <v>1740</v>
      </c>
      <c r="BT396" s="6">
        <f t="shared" si="216"/>
        <v>20880</v>
      </c>
      <c r="BV396" s="6">
        <f t="shared" si="253"/>
        <v>-1886.9187780240063</v>
      </c>
      <c r="BW396" s="6">
        <f t="shared" si="254"/>
        <v>-1886.9187780240063</v>
      </c>
      <c r="BX396" s="6">
        <f t="shared" si="255"/>
        <v>-1886.9187780240063</v>
      </c>
      <c r="BY396" s="6">
        <f t="shared" si="256"/>
        <v>3333.0812219759937</v>
      </c>
      <c r="BZ396" s="6">
        <f t="shared" si="257"/>
        <v>-146.91877802400631</v>
      </c>
      <c r="CA396" s="6">
        <f t="shared" si="258"/>
        <v>1593.0812219759937</v>
      </c>
      <c r="CB396" s="6">
        <f t="shared" si="259"/>
        <v>-1886.9187780240063</v>
      </c>
      <c r="CC396" s="6">
        <f t="shared" si="260"/>
        <v>1593.0812219759937</v>
      </c>
      <c r="CD396" s="6">
        <f t="shared" si="261"/>
        <v>-146.91877802400631</v>
      </c>
      <c r="CE396" s="6">
        <f t="shared" si="262"/>
        <v>-146.91877802400631</v>
      </c>
      <c r="CF396" s="6">
        <f t="shared" si="263"/>
        <v>-146.91877802400631</v>
      </c>
      <c r="CG396" s="6">
        <f t="shared" si="264"/>
        <v>-146.91877802400631</v>
      </c>
      <c r="CH396" s="6">
        <f t="shared" si="251"/>
        <v>-1763.0253362880467</v>
      </c>
    </row>
    <row r="397" spans="1:86" hidden="1" x14ac:dyDescent="0.35">
      <c r="A397" s="3" t="s">
        <v>785</v>
      </c>
      <c r="D397" s="10">
        <v>1400000</v>
      </c>
      <c r="N397" s="27">
        <f t="shared" si="265"/>
        <v>1400000</v>
      </c>
      <c r="Q397" s="10">
        <v>1135831.3710766395</v>
      </c>
      <c r="AA397" s="27">
        <f t="shared" si="266"/>
        <v>1135831.3710766395</v>
      </c>
      <c r="AB397" s="10">
        <f t="shared" si="267"/>
        <v>0</v>
      </c>
      <c r="AC397" s="10">
        <f t="shared" si="267"/>
        <v>0</v>
      </c>
      <c r="AD397" s="10">
        <f t="shared" si="267"/>
        <v>264168.62892336049</v>
      </c>
      <c r="AE397" s="10">
        <f t="shared" si="267"/>
        <v>0</v>
      </c>
      <c r="AF397" s="10">
        <f t="shared" si="267"/>
        <v>0</v>
      </c>
      <c r="AG397" s="10">
        <f t="shared" si="267"/>
        <v>0</v>
      </c>
      <c r="AH397" s="10">
        <f t="shared" si="267"/>
        <v>0</v>
      </c>
      <c r="AI397" s="10">
        <f t="shared" si="267"/>
        <v>0</v>
      </c>
      <c r="AJ397" s="10">
        <f t="shared" si="267"/>
        <v>0</v>
      </c>
      <c r="AK397" s="10">
        <f t="shared" si="267"/>
        <v>0</v>
      </c>
      <c r="AL397" s="10">
        <f t="shared" si="267"/>
        <v>0</v>
      </c>
      <c r="AM397" s="10">
        <f t="shared" si="267"/>
        <v>0</v>
      </c>
      <c r="AN397" s="27">
        <f t="shared" si="267"/>
        <v>264168.62892336049</v>
      </c>
      <c r="AP397" t="s">
        <v>786</v>
      </c>
      <c r="AS397" t="str">
        <f>_xlfn.XLOOKUP(AU397,[2]GAE!HZ:HZ,[2]GAE!IA:IA)</f>
        <v>HUMAN RESOURCES</v>
      </c>
      <c r="AT397" t="str">
        <f>_xlfn.XLOOKUP(AU397,[2]GAE!HZ:HZ,[2]GAE!IB:IB)</f>
        <v>DOE - Recruitment Expense</v>
      </c>
      <c r="AU397" t="s">
        <v>770</v>
      </c>
      <c r="AV397">
        <v>90122101</v>
      </c>
      <c r="AW397">
        <v>52121315</v>
      </c>
      <c r="AX397" t="str">
        <f>_xlfn.XLOOKUP(AU397,[2]GAE!HZ:HZ,[2]GAE!IF:IF)</f>
        <v>Employee Benefits</v>
      </c>
      <c r="AY397" t="str">
        <f>_xlfn.XLOOKUP(AU397,[2]GAE!HZ:HZ,[2]GAE!IG:IG)</f>
        <v>Recruitment</v>
      </c>
      <c r="BF397" t="s">
        <v>96</v>
      </c>
      <c r="BG397" s="3" t="s">
        <v>785</v>
      </c>
      <c r="BH397" s="10">
        <f>SUMIFS('[1]2026'!$K:$K,'[1]2026'!$T:$T,BD397,'[1]2026'!$S:$S,BH$3,'[1]2026'!$P:$P,AU397)</f>
        <v>0</v>
      </c>
      <c r="BI397" s="10">
        <f>SUMIFS('[1]2026'!$K:$K,'[1]2026'!$T:$T,$BD397,'[1]2026'!$S:$S,BI$3,'[1]2026'!$P:$P,$AU397)</f>
        <v>0</v>
      </c>
      <c r="BJ397" s="10">
        <f>SUMIFS('[1]2026'!$K:$K,'[1]2026'!$T:$T,$BD397,'[1]2026'!$S:$S,BJ$3,'[1]2026'!$P:$P,$AU397)</f>
        <v>0</v>
      </c>
      <c r="BK397" s="10">
        <f>SUMIFS('[1]2026'!$K:$K,'[1]2026'!$T:$T,$BD397,'[1]2026'!$S:$S,BK$3,'[1]2026'!$P:$P,$AU397)</f>
        <v>0</v>
      </c>
      <c r="BL397" s="10">
        <f>SUMIFS('[1]2026'!$K:$K,'[1]2026'!$T:$T,$BD397,'[1]2026'!$S:$S,BL$3,'[1]2026'!$P:$P,$AU397)</f>
        <v>0</v>
      </c>
      <c r="BM397" s="10">
        <f>SUMIFS('[1]2026'!$K:$K,'[1]2026'!$T:$T,$BD397,'[1]2026'!$S:$S,BM$3,'[1]2026'!$P:$P,$AU397)</f>
        <v>0</v>
      </c>
      <c r="BN397" s="10">
        <f>SUMIFS('[1]2026'!$K:$K,'[1]2026'!$T:$T,$BD397,'[1]2026'!$S:$S,BN$3,'[1]2026'!$P:$P,$AU397)</f>
        <v>0</v>
      </c>
      <c r="BO397" s="10">
        <f>SUMIFS('[1]2026'!$K:$K,'[1]2026'!$T:$T,$BD397,'[1]2026'!$S:$S,BO$3,'[1]2026'!$P:$P,$AU397)</f>
        <v>0</v>
      </c>
      <c r="BP397" s="6">
        <f t="shared" ref="BP397:BS397" si="268">BO397</f>
        <v>0</v>
      </c>
      <c r="BQ397" s="6">
        <f t="shared" si="268"/>
        <v>0</v>
      </c>
      <c r="BR397" s="6">
        <f t="shared" si="268"/>
        <v>0</v>
      </c>
      <c r="BS397" s="6">
        <f t="shared" si="268"/>
        <v>0</v>
      </c>
      <c r="BT397" s="6">
        <f t="shared" si="216"/>
        <v>0</v>
      </c>
      <c r="BV397" s="6">
        <f t="shared" si="253"/>
        <v>0</v>
      </c>
      <c r="BW397" s="6">
        <f t="shared" si="254"/>
        <v>0</v>
      </c>
      <c r="BX397" s="6">
        <f t="shared" si="255"/>
        <v>-264168.62892336049</v>
      </c>
      <c r="BY397" s="6">
        <f t="shared" si="256"/>
        <v>0</v>
      </c>
      <c r="BZ397" s="6">
        <f t="shared" si="257"/>
        <v>0</v>
      </c>
      <c r="CA397" s="6">
        <f t="shared" si="258"/>
        <v>0</v>
      </c>
      <c r="CB397" s="6">
        <f t="shared" si="259"/>
        <v>0</v>
      </c>
      <c r="CC397" s="6">
        <f t="shared" si="260"/>
        <v>0</v>
      </c>
      <c r="CD397" s="6">
        <f t="shared" si="261"/>
        <v>0</v>
      </c>
      <c r="CE397" s="6">
        <f t="shared" si="262"/>
        <v>0</v>
      </c>
      <c r="CF397" s="6">
        <f t="shared" si="263"/>
        <v>0</v>
      </c>
      <c r="CG397" s="6">
        <f t="shared" si="264"/>
        <v>0</v>
      </c>
      <c r="CH397" s="6">
        <f t="shared" si="251"/>
        <v>-264168.62892336049</v>
      </c>
    </row>
    <row r="398" spans="1:86" hidden="1" x14ac:dyDescent="0.35">
      <c r="AN398" s="27">
        <f>N398-AA398</f>
        <v>0</v>
      </c>
      <c r="AS398" t="str">
        <f>_xlfn.XLOOKUP(AU398,[2]GAE!HZ:HZ,[2]GAE!IA:IA)</f>
        <v>HUMAN RESOURCES</v>
      </c>
      <c r="AT398" t="str">
        <f>_xlfn.XLOOKUP(AU398,[2]GAE!HZ:HZ,[2]GAE!IB:IB)</f>
        <v>DOE - Recruitment Expense</v>
      </c>
      <c r="AU398" s="2" t="s">
        <v>770</v>
      </c>
      <c r="AV398" s="2">
        <v>90122101</v>
      </c>
      <c r="AW398" s="2">
        <v>52121315</v>
      </c>
      <c r="AX398" t="str">
        <f>_xlfn.XLOOKUP(AU398,[2]GAE!HZ:HZ,[2]GAE!IF:IF)</f>
        <v>Employee Benefits</v>
      </c>
      <c r="AY398" t="str">
        <f>_xlfn.XLOOKUP(AU398,[2]GAE!HZ:HZ,[2]GAE!IG:IG)</f>
        <v>Recruitment</v>
      </c>
      <c r="BC398" t="s">
        <v>100</v>
      </c>
      <c r="BD398" t="s">
        <v>100</v>
      </c>
      <c r="BF398" t="s">
        <v>93</v>
      </c>
      <c r="BG398" s="2" t="s">
        <v>100</v>
      </c>
      <c r="BL398" s="10">
        <f>SUMIFS('[1]2026'!$K:$K,'[1]2026'!$T:$T,$BD398,'[1]2026'!$S:$S,BL$3,'[1]2026'!$P:$P,$AU398)</f>
        <v>54000</v>
      </c>
      <c r="BM398" s="10">
        <f>SUMIFS('[1]2026'!$K:$K,'[1]2026'!$T:$T,$BD398,'[1]2026'!$S:$S,BM$3,'[1]2026'!$P:$P,$AU398)</f>
        <v>0</v>
      </c>
      <c r="BN398" s="10">
        <f>SUMIFS('[1]2026'!$K:$K,'[1]2026'!$T:$T,$BD398,'[1]2026'!$S:$S,BN$3,'[1]2026'!$P:$P,$AU398)</f>
        <v>0</v>
      </c>
      <c r="BO398" s="10">
        <f>SUMIFS('[1]2026'!$K:$K,'[1]2026'!$T:$T,$BD398,'[1]2026'!$S:$S,BO$3,'[1]2026'!$P:$P,$AU398)</f>
        <v>0</v>
      </c>
      <c r="BP398" s="6"/>
      <c r="BQ398" s="6"/>
      <c r="BR398" s="6"/>
      <c r="BS398" s="6"/>
      <c r="BT398" s="6">
        <f t="shared" si="216"/>
        <v>54000</v>
      </c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>
        <f t="shared" si="251"/>
        <v>54000</v>
      </c>
    </row>
    <row r="399" spans="1:86" hidden="1" x14ac:dyDescent="0.35">
      <c r="A399" s="3" t="s">
        <v>102</v>
      </c>
      <c r="B399" s="10">
        <v>30000</v>
      </c>
      <c r="C399" s="10">
        <v>30000</v>
      </c>
      <c r="D399" s="10">
        <v>30000</v>
      </c>
      <c r="E399" s="10">
        <v>30000</v>
      </c>
      <c r="F399" s="10">
        <v>30000</v>
      </c>
      <c r="G399" s="10">
        <v>40000</v>
      </c>
      <c r="H399" s="10">
        <v>30000</v>
      </c>
      <c r="I399" s="10">
        <v>60000</v>
      </c>
      <c r="J399" s="10">
        <v>30000</v>
      </c>
      <c r="K399" s="10">
        <v>30000</v>
      </c>
      <c r="L399" s="10">
        <v>30000</v>
      </c>
      <c r="M399" s="10">
        <v>30000</v>
      </c>
      <c r="N399" s="27">
        <f t="shared" si="265"/>
        <v>400000</v>
      </c>
      <c r="AA399" s="27">
        <f t="shared" si="266"/>
        <v>0</v>
      </c>
      <c r="AB399" s="10">
        <f t="shared" si="267"/>
        <v>30000</v>
      </c>
      <c r="AC399" s="10">
        <f t="shared" si="267"/>
        <v>30000</v>
      </c>
      <c r="AD399" s="10">
        <f t="shared" si="267"/>
        <v>30000</v>
      </c>
      <c r="AE399" s="10">
        <f t="shared" si="267"/>
        <v>30000</v>
      </c>
      <c r="AF399" s="10">
        <f t="shared" si="267"/>
        <v>30000</v>
      </c>
      <c r="AG399" s="10">
        <f t="shared" si="267"/>
        <v>40000</v>
      </c>
      <c r="AH399" s="10">
        <f t="shared" si="267"/>
        <v>30000</v>
      </c>
      <c r="AI399" s="10">
        <f t="shared" si="267"/>
        <v>60000</v>
      </c>
      <c r="AJ399" s="10">
        <f t="shared" si="267"/>
        <v>30000</v>
      </c>
      <c r="AK399" s="10">
        <f t="shared" si="267"/>
        <v>30000</v>
      </c>
      <c r="AL399" s="10">
        <f t="shared" si="267"/>
        <v>30000</v>
      </c>
      <c r="AM399" s="10">
        <f t="shared" si="267"/>
        <v>30000</v>
      </c>
      <c r="AN399" s="27">
        <f t="shared" si="267"/>
        <v>400000</v>
      </c>
      <c r="AS399" t="str">
        <f>_xlfn.XLOOKUP(AU399,[2]GAE!HZ:HZ,[2]GAE!IA:IA)</f>
        <v>OHI-COMMON</v>
      </c>
      <c r="AT399" t="str">
        <f>_xlfn.XLOOKUP(AU399,[2]GAE!HZ:HZ,[2]GAE!IB:IB)</f>
        <v>GAE - Student Trainee</v>
      </c>
      <c r="AU399" t="s">
        <v>787</v>
      </c>
      <c r="AV399">
        <v>90111101</v>
      </c>
      <c r="AW399">
        <v>61021206</v>
      </c>
      <c r="AX399" t="str">
        <f>_xlfn.XLOOKUP(AU399,[2]GAE!HZ:HZ,[2]GAE!IF:IF)</f>
        <v>Salaries</v>
      </c>
      <c r="AY399" t="str">
        <f>_xlfn.XLOOKUP(AU399,[2]GAE!HZ:HZ,[2]GAE!IG:IG)</f>
        <v>OJT</v>
      </c>
      <c r="BC399" t="s">
        <v>102</v>
      </c>
      <c r="BD399" t="s">
        <v>788</v>
      </c>
      <c r="BF399" t="s">
        <v>101</v>
      </c>
      <c r="BG399" s="2" t="s">
        <v>102</v>
      </c>
      <c r="BH399" s="10">
        <f>SUMIFS('[1]2026'!$K:$K,'[1]2026'!$T:$T,BD399,'[1]2026'!$S:$S,BH$3,'[1]2026'!$P:$P,AU399)</f>
        <v>0</v>
      </c>
      <c r="BI399" s="10">
        <f>SUMIFS('[1]2026'!$K:$K,'[1]2026'!$T:$T,$BD399,'[1]2026'!$S:$S,BI$3,'[1]2026'!$P:$P,$AU399)</f>
        <v>0</v>
      </c>
      <c r="BJ399" s="10">
        <f>SUMIFS('[1]2026'!$K:$K,'[1]2026'!$T:$T,$BD399,'[1]2026'!$S:$S,BJ$3,'[1]2026'!$P:$P,$AU399)</f>
        <v>26593.63</v>
      </c>
      <c r="BK399" s="10">
        <f>SUMIFS('[1]2026'!$K:$K,'[1]2026'!$T:$T,$BD399,'[1]2026'!$S:$S,BK$3,'[1]2026'!$P:$P,$AU399)</f>
        <v>20835.63</v>
      </c>
      <c r="BL399" s="10">
        <f>SUMIFS('[1]2026'!$K:$K,'[1]2026'!$T:$T,$BD399,'[1]2026'!$S:$S,BL$3,'[1]2026'!$P:$P,$AU399)</f>
        <v>0</v>
      </c>
      <c r="BM399" s="10">
        <f>SUMIFS('[1]2026'!$K:$K,'[1]2026'!$T:$T,$BD399,'[1]2026'!$S:$S,BM$3,'[1]2026'!$P:$P,$AU399)</f>
        <v>20890.260000000002</v>
      </c>
      <c r="BN399" s="10">
        <f>SUMIFS('[1]2026'!$K:$K,'[1]2026'!$T:$T,$BD399,'[1]2026'!$S:$S,BN$3,'[1]2026'!$P:$P,$AU399)</f>
        <v>18233.759999999998</v>
      </c>
      <c r="BO399" s="10">
        <f>SUMIFS('[1]2026'!$K:$K,'[1]2026'!$T:$T,$BD399,'[1]2026'!$S:$S,BO$3,'[1]2026'!$P:$P,$AU399)</f>
        <v>12811.5</v>
      </c>
      <c r="BP399" s="6">
        <v>25000</v>
      </c>
      <c r="BQ399" s="6">
        <v>25000</v>
      </c>
      <c r="BR399" s="6">
        <v>25000</v>
      </c>
      <c r="BS399" s="6">
        <v>25000</v>
      </c>
      <c r="BT399" s="6">
        <f t="shared" si="216"/>
        <v>199364.78</v>
      </c>
      <c r="BV399" s="6">
        <f t="shared" ref="BV399:BV439" si="269">BH399-AB399</f>
        <v>-30000</v>
      </c>
      <c r="BW399" s="6">
        <f t="shared" ref="BW399:BW439" si="270">BI399-AC399</f>
        <v>-30000</v>
      </c>
      <c r="BX399" s="6">
        <f t="shared" ref="BX399:BX439" si="271">BJ399-AD399</f>
        <v>-3406.369999999999</v>
      </c>
      <c r="BY399" s="6">
        <f t="shared" ref="BY399:BY439" si="272">BK399-AE399</f>
        <v>-9164.369999999999</v>
      </c>
      <c r="BZ399" s="6">
        <f t="shared" ref="BZ399:BZ439" si="273">BL399-AF399</f>
        <v>-30000</v>
      </c>
      <c r="CA399" s="6">
        <f t="shared" ref="CA399:CA439" si="274">BM399-AG399</f>
        <v>-19109.739999999998</v>
      </c>
      <c r="CB399" s="6">
        <f t="shared" ref="CB399:CB439" si="275">BN399-AH399</f>
        <v>-11766.240000000002</v>
      </c>
      <c r="CC399" s="6">
        <f t="shared" ref="CC399:CC439" si="276">BO399-AI399</f>
        <v>-47188.5</v>
      </c>
      <c r="CD399" s="6">
        <f t="shared" ref="CD399:CD439" si="277">BP399-AJ399</f>
        <v>-5000</v>
      </c>
      <c r="CE399" s="6">
        <f t="shared" ref="CE399:CE439" si="278">BQ399-AK399</f>
        <v>-5000</v>
      </c>
      <c r="CF399" s="6">
        <f t="shared" ref="CF399:CF439" si="279">BR399-AL399</f>
        <v>-5000</v>
      </c>
      <c r="CG399" s="6">
        <f t="shared" ref="CG399:CG439" si="280">BS399-AM399</f>
        <v>-5000</v>
      </c>
      <c r="CH399" s="6">
        <f t="shared" si="251"/>
        <v>-200635.22</v>
      </c>
    </row>
    <row r="400" spans="1:86" hidden="1" x14ac:dyDescent="0.35">
      <c r="A400" s="3" t="s">
        <v>789</v>
      </c>
      <c r="B400" s="21">
        <v>250000</v>
      </c>
      <c r="C400" s="21">
        <v>250000</v>
      </c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7">
        <f t="shared" si="265"/>
        <v>500000</v>
      </c>
      <c r="O400" s="10">
        <f>2525894.45266854/12</f>
        <v>210491.20438904501</v>
      </c>
      <c r="P400" s="10">
        <f>O400</f>
        <v>210491.20438904501</v>
      </c>
      <c r="Q400" s="10">
        <f t="shared" ref="Q400:Z400" si="281">P400</f>
        <v>210491.20438904501</v>
      </c>
      <c r="R400" s="10">
        <f t="shared" si="281"/>
        <v>210491.20438904501</v>
      </c>
      <c r="S400" s="10">
        <f t="shared" si="281"/>
        <v>210491.20438904501</v>
      </c>
      <c r="T400" s="10">
        <f t="shared" si="281"/>
        <v>210491.20438904501</v>
      </c>
      <c r="U400" s="10">
        <f t="shared" si="281"/>
        <v>210491.20438904501</v>
      </c>
      <c r="V400" s="10">
        <f t="shared" si="281"/>
        <v>210491.20438904501</v>
      </c>
      <c r="W400" s="10">
        <f t="shared" si="281"/>
        <v>210491.20438904501</v>
      </c>
      <c r="X400" s="10">
        <f t="shared" si="281"/>
        <v>210491.20438904501</v>
      </c>
      <c r="Y400" s="10">
        <f t="shared" si="281"/>
        <v>210491.20438904501</v>
      </c>
      <c r="Z400" s="10">
        <f t="shared" si="281"/>
        <v>210491.20438904501</v>
      </c>
      <c r="AA400" s="27">
        <f t="shared" si="266"/>
        <v>2525894.4526685402</v>
      </c>
      <c r="AB400" s="10">
        <f t="shared" si="267"/>
        <v>39508.795610954985</v>
      </c>
      <c r="AC400" s="10">
        <f t="shared" si="267"/>
        <v>39508.795610954985</v>
      </c>
      <c r="AD400" s="10">
        <f t="shared" si="267"/>
        <v>-210491.20438904501</v>
      </c>
      <c r="AE400" s="10">
        <f t="shared" si="267"/>
        <v>-210491.20438904501</v>
      </c>
      <c r="AF400" s="10">
        <f t="shared" si="267"/>
        <v>-210491.20438904501</v>
      </c>
      <c r="AG400" s="10">
        <f t="shared" si="267"/>
        <v>-210491.20438904501</v>
      </c>
      <c r="AH400" s="10">
        <f t="shared" si="267"/>
        <v>-210491.20438904501</v>
      </c>
      <c r="AI400" s="10">
        <f t="shared" si="267"/>
        <v>-210491.20438904501</v>
      </c>
      <c r="AJ400" s="10">
        <f t="shared" si="267"/>
        <v>-210491.20438904501</v>
      </c>
      <c r="AK400" s="10">
        <f t="shared" si="267"/>
        <v>-210491.20438904501</v>
      </c>
      <c r="AL400" s="10">
        <f t="shared" si="267"/>
        <v>-210491.20438904501</v>
      </c>
      <c r="AM400" s="10">
        <f t="shared" si="267"/>
        <v>-210491.20438904501</v>
      </c>
      <c r="AN400" s="27">
        <f t="shared" si="267"/>
        <v>-2025894.4526685402</v>
      </c>
      <c r="AO400" s="28">
        <v>0</v>
      </c>
      <c r="AS400" t="str">
        <f>_xlfn.XLOOKUP(AU400,[2]GAE!HZ:HZ,[2]GAE!IA:IA)</f>
        <v>HUMAN RESOURCES</v>
      </c>
      <c r="AT400" t="str">
        <f>_xlfn.XLOOKUP(AU400,[2]GAE!HZ:HZ,[2]GAE!IB:IB)</f>
        <v>DOE - Company Events</v>
      </c>
      <c r="AU400" t="s">
        <v>790</v>
      </c>
      <c r="AV400">
        <v>81122101</v>
      </c>
      <c r="AW400">
        <v>52121401</v>
      </c>
      <c r="AX400" t="str">
        <f>_xlfn.XLOOKUP(AU400,[2]GAE!HZ:HZ,[2]GAE!IF:IF)</f>
        <v>Employee Benefits</v>
      </c>
      <c r="AY400" t="str">
        <f>_xlfn.XLOOKUP(AU400,[2]GAE!HZ:HZ,[2]GAE!IG:IG)</f>
        <v>Employee Programs/Perks</v>
      </c>
      <c r="BA400" t="s">
        <v>791</v>
      </c>
      <c r="BF400" t="s">
        <v>103</v>
      </c>
      <c r="BG400" s="3" t="s">
        <v>789</v>
      </c>
      <c r="BH400" s="10">
        <f>SUMIFS('[1]2026'!$K:$K,'[1]2026'!$T:$T,BD400,'[1]2026'!$S:$S,BH$3,'[1]2026'!$P:$P,AU400)</f>
        <v>0</v>
      </c>
      <c r="BI400" s="10">
        <f>SUMIFS('[1]2026'!$K:$K,'[1]2026'!$T:$T,$BD400,'[1]2026'!$S:$S,BI$3,'[1]2026'!$P:$P,$AU400)</f>
        <v>0</v>
      </c>
      <c r="BJ400" s="10">
        <f>SUMIFS('[1]2026'!$K:$K,'[1]2026'!$T:$T,$BD400,'[1]2026'!$S:$S,BJ$3,'[1]2026'!$P:$P,$AU400)</f>
        <v>0</v>
      </c>
      <c r="BK400" s="10">
        <f>SUMIFS('[1]2026'!$K:$K,'[1]2026'!$T:$T,$BD400,'[1]2026'!$S:$S,BK$3,'[1]2026'!$P:$P,$AU400)</f>
        <v>0</v>
      </c>
      <c r="BL400" s="10">
        <f>SUMIFS('[1]2026'!$K:$K,'[1]2026'!$T:$T,$BD400,'[1]2026'!$S:$S,BL$3,'[1]2026'!$P:$P,$AU400)</f>
        <v>0</v>
      </c>
      <c r="BM400" s="10">
        <f>SUMIFS('[1]2026'!$K:$K,'[1]2026'!$T:$T,$BD400,'[1]2026'!$S:$S,BM$3,'[1]2026'!$P:$P,$AU400)</f>
        <v>0</v>
      </c>
      <c r="BN400" s="10">
        <f>SUMIFS('[1]2026'!$K:$K,'[1]2026'!$T:$T,$BD400,'[1]2026'!$S:$S,BN$3,'[1]2026'!$P:$P,$AU400)</f>
        <v>0</v>
      </c>
      <c r="BO400" s="10">
        <f>SUMIFS('[1]2026'!$K:$K,'[1]2026'!$T:$T,$BD400,'[1]2026'!$S:$S,BO$3,'[1]2026'!$P:$P,$AU400)</f>
        <v>0</v>
      </c>
      <c r="BP400" s="6">
        <v>700000</v>
      </c>
      <c r="BQ400" s="6"/>
      <c r="BR400" s="6"/>
      <c r="BS400" s="6"/>
      <c r="BT400" s="6">
        <f>SUM(BH400:BS400)</f>
        <v>700000</v>
      </c>
      <c r="BV400" s="6">
        <f t="shared" si="269"/>
        <v>-39508.795610954985</v>
      </c>
      <c r="BW400" s="6">
        <f t="shared" si="270"/>
        <v>-39508.795610954985</v>
      </c>
      <c r="BX400" s="6">
        <f t="shared" si="271"/>
        <v>210491.20438904501</v>
      </c>
      <c r="BY400" s="6">
        <f t="shared" si="272"/>
        <v>210491.20438904501</v>
      </c>
      <c r="BZ400" s="6">
        <f t="shared" si="273"/>
        <v>210491.20438904501</v>
      </c>
      <c r="CA400" s="6">
        <f t="shared" si="274"/>
        <v>210491.20438904501</v>
      </c>
      <c r="CB400" s="6">
        <f t="shared" si="275"/>
        <v>210491.20438904501</v>
      </c>
      <c r="CC400" s="6">
        <f t="shared" si="276"/>
        <v>210491.20438904501</v>
      </c>
      <c r="CD400" s="6">
        <f t="shared" si="277"/>
        <v>910491.20438904501</v>
      </c>
      <c r="CE400" s="6">
        <f t="shared" si="278"/>
        <v>210491.20438904501</v>
      </c>
      <c r="CF400" s="6">
        <f t="shared" si="279"/>
        <v>210491.20438904501</v>
      </c>
      <c r="CG400" s="6">
        <f t="shared" si="280"/>
        <v>210491.20438904501</v>
      </c>
      <c r="CH400" s="6">
        <f t="shared" si="251"/>
        <v>2725894.4526685402</v>
      </c>
    </row>
    <row r="401" spans="1:88" hidden="1" x14ac:dyDescent="0.35">
      <c r="A401" s="3" t="s">
        <v>792</v>
      </c>
      <c r="G401" s="10">
        <v>200000</v>
      </c>
      <c r="N401" s="27">
        <f t="shared" si="265"/>
        <v>200000</v>
      </c>
      <c r="AA401" s="27">
        <f t="shared" si="266"/>
        <v>0</v>
      </c>
      <c r="AB401" s="10">
        <f t="shared" si="267"/>
        <v>0</v>
      </c>
      <c r="AC401" s="10">
        <f t="shared" si="267"/>
        <v>0</v>
      </c>
      <c r="AD401" s="10">
        <f t="shared" si="267"/>
        <v>0</v>
      </c>
      <c r="AE401" s="10">
        <f t="shared" si="267"/>
        <v>0</v>
      </c>
      <c r="AF401" s="10">
        <f t="shared" si="267"/>
        <v>0</v>
      </c>
      <c r="AG401" s="10">
        <f t="shared" si="267"/>
        <v>200000</v>
      </c>
      <c r="AH401" s="10">
        <f t="shared" si="267"/>
        <v>0</v>
      </c>
      <c r="AI401" s="10">
        <f t="shared" si="267"/>
        <v>0</v>
      </c>
      <c r="AJ401" s="10">
        <f t="shared" si="267"/>
        <v>0</v>
      </c>
      <c r="AK401" s="10">
        <f t="shared" si="267"/>
        <v>0</v>
      </c>
      <c r="AL401" s="10">
        <f t="shared" si="267"/>
        <v>0</v>
      </c>
      <c r="AM401" s="10">
        <f t="shared" si="267"/>
        <v>0</v>
      </c>
      <c r="AN401" s="27">
        <f t="shared" si="267"/>
        <v>200000</v>
      </c>
      <c r="AO401" s="40"/>
      <c r="AS401" t="str">
        <f>_xlfn.XLOOKUP(AU401,[2]GAE!HZ:HZ,[2]GAE!IA:IA)</f>
        <v>HUMAN RESOURCES</v>
      </c>
      <c r="AT401" t="str">
        <f>_xlfn.XLOOKUP(AU401,[2]GAE!HZ:HZ,[2]GAE!IB:IB)</f>
        <v>DOE - Company Events</v>
      </c>
      <c r="AU401" t="s">
        <v>790</v>
      </c>
      <c r="AV401">
        <v>81122101</v>
      </c>
      <c r="AW401">
        <v>52121401</v>
      </c>
      <c r="AX401" t="str">
        <f>_xlfn.XLOOKUP(AU401,[2]GAE!HZ:HZ,[2]GAE!IF:IF)</f>
        <v>Employee Benefits</v>
      </c>
      <c r="AY401" t="str">
        <f>_xlfn.XLOOKUP(AU401,[2]GAE!HZ:HZ,[2]GAE!IG:IG)</f>
        <v>Employee Programs/Perks</v>
      </c>
      <c r="BA401" t="s">
        <v>793</v>
      </c>
      <c r="BF401" t="s">
        <v>103</v>
      </c>
      <c r="BG401" s="3" t="s">
        <v>792</v>
      </c>
      <c r="BH401" s="10">
        <f>SUMIFS('[1]2026'!$K:$K,'[1]2026'!$T:$T,BD401,'[1]2026'!$S:$S,BH$3,'[1]2026'!$P:$P,AU401)</f>
        <v>0</v>
      </c>
      <c r="BI401" s="10">
        <f>SUMIFS('[1]2026'!$K:$K,'[1]2026'!$T:$T,$BD401,'[1]2026'!$S:$S,BI$3,'[1]2026'!$P:$P,$AU401)</f>
        <v>0</v>
      </c>
      <c r="BJ401" s="10">
        <f>SUMIFS('[1]2026'!$K:$K,'[1]2026'!$T:$T,$BD401,'[1]2026'!$S:$S,BJ$3,'[1]2026'!$P:$P,$AU401)</f>
        <v>0</v>
      </c>
      <c r="BK401" s="10">
        <f>SUMIFS('[1]2026'!$K:$K,'[1]2026'!$T:$T,$BD401,'[1]2026'!$S:$S,BK$3,'[1]2026'!$P:$P,$AU401)</f>
        <v>0</v>
      </c>
      <c r="BL401" s="10">
        <f>SUMIFS('[1]2026'!$K:$K,'[1]2026'!$T:$T,$BD401,'[1]2026'!$S:$S,BL$3,'[1]2026'!$P:$P,$AU401)</f>
        <v>0</v>
      </c>
      <c r="BM401" s="10">
        <f>SUMIFS('[1]2026'!$K:$K,'[1]2026'!$T:$T,$BD401,'[1]2026'!$S:$S,BM$3,'[1]2026'!$P:$P,$AU401)</f>
        <v>0</v>
      </c>
      <c r="BN401" s="10">
        <f>SUMIFS('[1]2026'!$K:$K,'[1]2026'!$T:$T,$BD401,'[1]2026'!$S:$S,BN$3,'[1]2026'!$P:$P,$AU401)</f>
        <v>0</v>
      </c>
      <c r="BO401" s="10">
        <f>SUMIFS('[1]2026'!$K:$K,'[1]2026'!$T:$T,$BD401,'[1]2026'!$S:$S,BO$3,'[1]2026'!$P:$P,$AU401)</f>
        <v>0</v>
      </c>
      <c r="BP401" s="6">
        <f t="shared" ref="BP401:BS403" si="282">AJ401</f>
        <v>0</v>
      </c>
      <c r="BQ401" s="6">
        <f t="shared" si="282"/>
        <v>0</v>
      </c>
      <c r="BR401" s="6">
        <f t="shared" si="282"/>
        <v>0</v>
      </c>
      <c r="BS401" s="6">
        <f t="shared" si="282"/>
        <v>0</v>
      </c>
      <c r="BT401" s="6">
        <f t="shared" ref="BT401:BT464" si="283">SUM(BH401:BS401)</f>
        <v>0</v>
      </c>
      <c r="BV401" s="6">
        <f t="shared" si="269"/>
        <v>0</v>
      </c>
      <c r="BW401" s="6">
        <f t="shared" si="270"/>
        <v>0</v>
      </c>
      <c r="BX401" s="6">
        <f t="shared" si="271"/>
        <v>0</v>
      </c>
      <c r="BY401" s="6">
        <f t="shared" si="272"/>
        <v>0</v>
      </c>
      <c r="BZ401" s="6">
        <f t="shared" si="273"/>
        <v>0</v>
      </c>
      <c r="CA401" s="6">
        <f t="shared" si="274"/>
        <v>-200000</v>
      </c>
      <c r="CB401" s="6">
        <f t="shared" si="275"/>
        <v>0</v>
      </c>
      <c r="CC401" s="6">
        <f t="shared" si="276"/>
        <v>0</v>
      </c>
      <c r="CD401" s="6">
        <f t="shared" si="277"/>
        <v>0</v>
      </c>
      <c r="CE401" s="6">
        <f t="shared" si="278"/>
        <v>0</v>
      </c>
      <c r="CF401" s="6">
        <f t="shared" si="279"/>
        <v>0</v>
      </c>
      <c r="CG401" s="6">
        <f t="shared" si="280"/>
        <v>0</v>
      </c>
      <c r="CH401" s="6">
        <f t="shared" si="251"/>
        <v>-200000</v>
      </c>
    </row>
    <row r="402" spans="1:88" hidden="1" x14ac:dyDescent="0.35">
      <c r="A402" s="3" t="s">
        <v>794</v>
      </c>
      <c r="H402" s="10">
        <v>371000</v>
      </c>
      <c r="N402" s="27">
        <f t="shared" si="265"/>
        <v>371000</v>
      </c>
      <c r="AA402" s="27">
        <f t="shared" si="266"/>
        <v>0</v>
      </c>
      <c r="AB402" s="10">
        <f t="shared" si="267"/>
        <v>0</v>
      </c>
      <c r="AC402" s="10">
        <f t="shared" si="267"/>
        <v>0</v>
      </c>
      <c r="AD402" s="10">
        <f t="shared" si="267"/>
        <v>0</v>
      </c>
      <c r="AE402" s="10">
        <f t="shared" si="267"/>
        <v>0</v>
      </c>
      <c r="AF402" s="10">
        <f t="shared" si="267"/>
        <v>0</v>
      </c>
      <c r="AG402" s="10">
        <f t="shared" si="267"/>
        <v>0</v>
      </c>
      <c r="AH402" s="10">
        <f t="shared" si="267"/>
        <v>371000</v>
      </c>
      <c r="AI402" s="10">
        <f t="shared" si="267"/>
        <v>0</v>
      </c>
      <c r="AJ402" s="10">
        <f t="shared" si="267"/>
        <v>0</v>
      </c>
      <c r="AK402" s="10">
        <f t="shared" si="267"/>
        <v>0</v>
      </c>
      <c r="AL402" s="10">
        <f t="shared" si="267"/>
        <v>0</v>
      </c>
      <c r="AM402" s="10">
        <f t="shared" si="267"/>
        <v>0</v>
      </c>
      <c r="AN402" s="27">
        <f t="shared" si="267"/>
        <v>371000</v>
      </c>
      <c r="AO402" s="28">
        <v>63616.07</v>
      </c>
      <c r="AP402" t="s">
        <v>794</v>
      </c>
      <c r="AR402" t="s">
        <v>795</v>
      </c>
      <c r="AS402" t="str">
        <f>_xlfn.XLOOKUP(AU402,[2]GAE!HZ:HZ,[2]GAE!IA:IA)</f>
        <v>HUMAN RESOURCES</v>
      </c>
      <c r="AT402" t="str">
        <f>_xlfn.XLOOKUP(AU402,[2]GAE!HZ:HZ,[2]GAE!IB:IB)</f>
        <v>DOE - Company Events</v>
      </c>
      <c r="AU402" t="s">
        <v>790</v>
      </c>
      <c r="AV402">
        <v>81122101</v>
      </c>
      <c r="AW402">
        <v>52121401</v>
      </c>
      <c r="AX402" t="str">
        <f>_xlfn.XLOOKUP(AU402,[2]GAE!HZ:HZ,[2]GAE!IF:IF)</f>
        <v>Employee Benefits</v>
      </c>
      <c r="AY402" t="str">
        <f>_xlfn.XLOOKUP(AU402,[2]GAE!HZ:HZ,[2]GAE!IG:IG)</f>
        <v>Employee Programs/Perks</v>
      </c>
      <c r="BF402" t="s">
        <v>103</v>
      </c>
      <c r="BG402" s="3" t="s">
        <v>794</v>
      </c>
      <c r="BH402" s="10">
        <f>SUMIFS('[1]2026'!$K:$K,'[1]2026'!$T:$T,BD402,'[1]2026'!$S:$S,BH$3,'[1]2026'!$P:$P,AU402)</f>
        <v>0</v>
      </c>
      <c r="BI402" s="10">
        <f>SUMIFS('[1]2026'!$K:$K,'[1]2026'!$T:$T,$BD402,'[1]2026'!$S:$S,BI$3,'[1]2026'!$P:$P,$AU402)</f>
        <v>0</v>
      </c>
      <c r="BJ402" s="10">
        <f>SUMIFS('[1]2026'!$K:$K,'[1]2026'!$T:$T,$BD402,'[1]2026'!$S:$S,BJ$3,'[1]2026'!$P:$P,$AU402)</f>
        <v>0</v>
      </c>
      <c r="BK402" s="10">
        <f>SUMIFS('[1]2026'!$K:$K,'[1]2026'!$T:$T,$BD402,'[1]2026'!$S:$S,BK$3,'[1]2026'!$P:$P,$AU402)</f>
        <v>0</v>
      </c>
      <c r="BL402" s="10">
        <f>SUMIFS('[1]2026'!$K:$K,'[1]2026'!$T:$T,$BD402,'[1]2026'!$S:$S,BL$3,'[1]2026'!$P:$P,$AU402)</f>
        <v>0</v>
      </c>
      <c r="BM402" s="10">
        <f>SUMIFS('[1]2026'!$K:$K,'[1]2026'!$T:$T,$BD402,'[1]2026'!$S:$S,BM$3,'[1]2026'!$P:$P,$AU402)</f>
        <v>0</v>
      </c>
      <c r="BN402" s="10">
        <f>SUMIFS('[1]2026'!$K:$K,'[1]2026'!$T:$T,$BD402,'[1]2026'!$S:$S,BN$3,'[1]2026'!$P:$P,$AU402)</f>
        <v>0</v>
      </c>
      <c r="BO402" s="10">
        <f>SUMIFS('[1]2026'!$K:$K,'[1]2026'!$T:$T,$BD402,'[1]2026'!$S:$S,BO$3,'[1]2026'!$P:$P,$AU402)</f>
        <v>0</v>
      </c>
      <c r="BP402" s="6">
        <f t="shared" si="282"/>
        <v>0</v>
      </c>
      <c r="BQ402" s="6">
        <f t="shared" si="282"/>
        <v>0</v>
      </c>
      <c r="BR402" s="6">
        <f t="shared" si="282"/>
        <v>0</v>
      </c>
      <c r="BS402" s="6">
        <f t="shared" si="282"/>
        <v>0</v>
      </c>
      <c r="BT402" s="6">
        <f t="shared" si="283"/>
        <v>0</v>
      </c>
      <c r="BV402" s="6">
        <f t="shared" si="269"/>
        <v>0</v>
      </c>
      <c r="BW402" s="6">
        <f t="shared" si="270"/>
        <v>0</v>
      </c>
      <c r="BX402" s="6">
        <f t="shared" si="271"/>
        <v>0</v>
      </c>
      <c r="BY402" s="6">
        <f t="shared" si="272"/>
        <v>0</v>
      </c>
      <c r="BZ402" s="6">
        <f t="shared" si="273"/>
        <v>0</v>
      </c>
      <c r="CA402" s="6">
        <f t="shared" si="274"/>
        <v>0</v>
      </c>
      <c r="CB402" s="6">
        <f t="shared" si="275"/>
        <v>-371000</v>
      </c>
      <c r="CC402" s="6">
        <f t="shared" si="276"/>
        <v>0</v>
      </c>
      <c r="CD402" s="6">
        <f t="shared" si="277"/>
        <v>0</v>
      </c>
      <c r="CE402" s="6">
        <f t="shared" si="278"/>
        <v>0</v>
      </c>
      <c r="CF402" s="6">
        <f t="shared" si="279"/>
        <v>0</v>
      </c>
      <c r="CG402" s="6">
        <f t="shared" si="280"/>
        <v>0</v>
      </c>
      <c r="CH402" s="6">
        <f t="shared" si="251"/>
        <v>-371000</v>
      </c>
    </row>
    <row r="403" spans="1:88" hidden="1" x14ac:dyDescent="0.35">
      <c r="A403" s="3" t="s">
        <v>796</v>
      </c>
      <c r="D403" s="10">
        <v>15000</v>
      </c>
      <c r="N403" s="27">
        <f t="shared" si="265"/>
        <v>15000</v>
      </c>
      <c r="AA403" s="27">
        <f t="shared" si="266"/>
        <v>0</v>
      </c>
      <c r="AB403" s="10">
        <f t="shared" si="267"/>
        <v>0</v>
      </c>
      <c r="AC403" s="10">
        <f t="shared" si="267"/>
        <v>0</v>
      </c>
      <c r="AD403" s="10">
        <f t="shared" si="267"/>
        <v>15000</v>
      </c>
      <c r="AE403" s="10">
        <f t="shared" si="267"/>
        <v>0</v>
      </c>
      <c r="AF403" s="10">
        <f t="shared" si="267"/>
        <v>0</v>
      </c>
      <c r="AG403" s="10">
        <f t="shared" si="267"/>
        <v>0</v>
      </c>
      <c r="AH403" s="10">
        <f t="shared" si="267"/>
        <v>0</v>
      </c>
      <c r="AI403" s="10">
        <f t="shared" si="267"/>
        <v>0</v>
      </c>
      <c r="AJ403" s="10">
        <f t="shared" ref="AJ403:AN449" si="284">J403-W403</f>
        <v>0</v>
      </c>
      <c r="AK403" s="10">
        <f t="shared" si="284"/>
        <v>0</v>
      </c>
      <c r="AL403" s="10">
        <f t="shared" si="284"/>
        <v>0</v>
      </c>
      <c r="AM403" s="10">
        <f t="shared" si="284"/>
        <v>0</v>
      </c>
      <c r="AN403" s="27">
        <f t="shared" si="284"/>
        <v>15000</v>
      </c>
      <c r="AO403" s="41">
        <v>0</v>
      </c>
      <c r="AS403" t="str">
        <f>_xlfn.XLOOKUP(AU403,[2]GAE!HZ:HZ,[2]GAE!IA:IA)</f>
        <v>HUMAN RESOURCES</v>
      </c>
      <c r="AT403" t="str">
        <f>_xlfn.XLOOKUP(AU403,[2]GAE!HZ:HZ,[2]GAE!IB:IB)</f>
        <v>DOE - Company Events</v>
      </c>
      <c r="AU403" t="s">
        <v>790</v>
      </c>
      <c r="AV403">
        <v>81122101</v>
      </c>
      <c r="AW403">
        <v>52121401</v>
      </c>
      <c r="AX403" t="str">
        <f>_xlfn.XLOOKUP(AU403,[2]GAE!HZ:HZ,[2]GAE!IF:IF)</f>
        <v>Employee Benefits</v>
      </c>
      <c r="AY403" t="str">
        <f>_xlfn.XLOOKUP(AU403,[2]GAE!HZ:HZ,[2]GAE!IG:IG)</f>
        <v>Employee Programs/Perks</v>
      </c>
      <c r="BF403" t="s">
        <v>103</v>
      </c>
      <c r="BG403" s="3" t="s">
        <v>796</v>
      </c>
      <c r="BH403" s="10">
        <f>SUMIFS('[1]2026'!$K:$K,'[1]2026'!$T:$T,BD403,'[1]2026'!$S:$S,BH$3,'[1]2026'!$P:$P,AU403)</f>
        <v>0</v>
      </c>
      <c r="BI403" s="10">
        <f>SUMIFS('[1]2026'!$K:$K,'[1]2026'!$T:$T,$BD403,'[1]2026'!$S:$S,BI$3,'[1]2026'!$P:$P,$AU403)</f>
        <v>0</v>
      </c>
      <c r="BJ403" s="10">
        <f>SUMIFS('[1]2026'!$K:$K,'[1]2026'!$T:$T,$BD403,'[1]2026'!$S:$S,BJ$3,'[1]2026'!$P:$P,$AU403)</f>
        <v>0</v>
      </c>
      <c r="BK403" s="10">
        <f>SUMIFS('[1]2026'!$K:$K,'[1]2026'!$T:$T,$BD403,'[1]2026'!$S:$S,BK$3,'[1]2026'!$P:$P,$AU403)</f>
        <v>0</v>
      </c>
      <c r="BL403" s="10">
        <f>SUMIFS('[1]2026'!$K:$K,'[1]2026'!$T:$T,$BD403,'[1]2026'!$S:$S,BL$3,'[1]2026'!$P:$P,$AU403)</f>
        <v>0</v>
      </c>
      <c r="BM403" s="10">
        <f>SUMIFS('[1]2026'!$K:$K,'[1]2026'!$T:$T,$BD403,'[1]2026'!$S:$S,BM$3,'[1]2026'!$P:$P,$AU403)</f>
        <v>0</v>
      </c>
      <c r="BN403" s="10">
        <f>SUMIFS('[1]2026'!$K:$K,'[1]2026'!$T:$T,$BD403,'[1]2026'!$S:$S,BN$3,'[1]2026'!$P:$P,$AU403)</f>
        <v>0</v>
      </c>
      <c r="BO403" s="10">
        <f>SUMIFS('[1]2026'!$K:$K,'[1]2026'!$T:$T,$BD403,'[1]2026'!$S:$S,BO$3,'[1]2026'!$P:$P,$AU403)</f>
        <v>0</v>
      </c>
      <c r="BP403" s="6">
        <f t="shared" si="282"/>
        <v>0</v>
      </c>
      <c r="BQ403" s="6">
        <f t="shared" si="282"/>
        <v>0</v>
      </c>
      <c r="BR403" s="6">
        <f t="shared" si="282"/>
        <v>0</v>
      </c>
      <c r="BS403" s="6">
        <f t="shared" si="282"/>
        <v>0</v>
      </c>
      <c r="BT403" s="6">
        <f t="shared" si="283"/>
        <v>0</v>
      </c>
      <c r="BV403" s="6">
        <f t="shared" si="269"/>
        <v>0</v>
      </c>
      <c r="BW403" s="6">
        <f t="shared" si="270"/>
        <v>0</v>
      </c>
      <c r="BX403" s="6">
        <f t="shared" si="271"/>
        <v>-15000</v>
      </c>
      <c r="BY403" s="6">
        <f t="shared" si="272"/>
        <v>0</v>
      </c>
      <c r="BZ403" s="6">
        <f t="shared" si="273"/>
        <v>0</v>
      </c>
      <c r="CA403" s="6">
        <f t="shared" si="274"/>
        <v>0</v>
      </c>
      <c r="CB403" s="6">
        <f t="shared" si="275"/>
        <v>0</v>
      </c>
      <c r="CC403" s="6">
        <f t="shared" si="276"/>
        <v>0</v>
      </c>
      <c r="CD403" s="6">
        <f t="shared" si="277"/>
        <v>0</v>
      </c>
      <c r="CE403" s="6">
        <f t="shared" si="278"/>
        <v>0</v>
      </c>
      <c r="CF403" s="6">
        <f t="shared" si="279"/>
        <v>0</v>
      </c>
      <c r="CG403" s="6">
        <f t="shared" si="280"/>
        <v>0</v>
      </c>
      <c r="CH403" s="6">
        <f t="shared" si="251"/>
        <v>-15000</v>
      </c>
    </row>
    <row r="404" spans="1:88" hidden="1" x14ac:dyDescent="0.35">
      <c r="A404" s="3" t="s">
        <v>104</v>
      </c>
      <c r="E404" s="10">
        <v>2000000</v>
      </c>
      <c r="F404" s="10">
        <v>2000000</v>
      </c>
      <c r="N404" s="27">
        <f t="shared" si="265"/>
        <v>4000000</v>
      </c>
      <c r="AA404" s="27">
        <f t="shared" si="266"/>
        <v>0</v>
      </c>
      <c r="AB404" s="10">
        <f t="shared" ref="AB404:AI429" si="285">B404-O404</f>
        <v>0</v>
      </c>
      <c r="AC404" s="10">
        <f t="shared" si="285"/>
        <v>0</v>
      </c>
      <c r="AD404" s="10">
        <f t="shared" si="285"/>
        <v>0</v>
      </c>
      <c r="AE404" s="10">
        <f t="shared" si="285"/>
        <v>2000000</v>
      </c>
      <c r="AF404" s="10">
        <f t="shared" si="285"/>
        <v>2000000</v>
      </c>
      <c r="AG404" s="10">
        <f t="shared" si="285"/>
        <v>0</v>
      </c>
      <c r="AH404" s="10">
        <f t="shared" si="285"/>
        <v>0</v>
      </c>
      <c r="AI404" s="10">
        <f t="shared" si="285"/>
        <v>0</v>
      </c>
      <c r="AJ404" s="10">
        <f t="shared" si="284"/>
        <v>0</v>
      </c>
      <c r="AK404" s="10">
        <f t="shared" si="284"/>
        <v>0</v>
      </c>
      <c r="AL404" s="10">
        <f t="shared" si="284"/>
        <v>0</v>
      </c>
      <c r="AM404" s="10">
        <f t="shared" si="284"/>
        <v>0</v>
      </c>
      <c r="AN404" s="27">
        <f t="shared" si="284"/>
        <v>4000000</v>
      </c>
      <c r="AO404" s="28">
        <v>3085667.13</v>
      </c>
      <c r="AP404" t="s">
        <v>797</v>
      </c>
      <c r="AS404" t="str">
        <f>_xlfn.XLOOKUP(AU404,[2]GAE!HZ:HZ,[2]GAE!IA:IA)</f>
        <v>HUMAN RESOURCES</v>
      </c>
      <c r="AT404" t="str">
        <f>_xlfn.XLOOKUP(AU404,[2]GAE!HZ:HZ,[2]GAE!IB:IB)</f>
        <v>DOE - Company Events</v>
      </c>
      <c r="AU404" t="s">
        <v>790</v>
      </c>
      <c r="AV404">
        <v>81122101</v>
      </c>
      <c r="AW404">
        <v>52121401</v>
      </c>
      <c r="AX404" t="str">
        <f>_xlfn.XLOOKUP(AU404,[2]GAE!HZ:HZ,[2]GAE!IF:IF)</f>
        <v>Employee Benefits</v>
      </c>
      <c r="AY404" t="str">
        <f>_xlfn.XLOOKUP(AU404,[2]GAE!HZ:HZ,[2]GAE!IG:IG)</f>
        <v>Employee Programs/Perks</v>
      </c>
      <c r="BC404" t="s">
        <v>104</v>
      </c>
      <c r="BD404" t="s">
        <v>798</v>
      </c>
      <c r="BF404" t="s">
        <v>103</v>
      </c>
      <c r="BG404" t="s">
        <v>104</v>
      </c>
      <c r="BH404" s="10">
        <f>SUMIFS('[1]2026'!$K:$K,'[1]2026'!$T:$T,BD404,'[1]2026'!$S:$S,BH$3,'[1]2026'!$P:$P,AU404)</f>
        <v>0</v>
      </c>
      <c r="BI404" s="10">
        <f>SUMIFS('[1]2026'!$K:$K,'[1]2026'!$T:$T,$BD404,'[1]2026'!$S:$S,BI$3,'[1]2026'!$P:$P,$AU404)</f>
        <v>0</v>
      </c>
      <c r="BJ404" s="10">
        <f>SUMIFS('[1]2026'!$K:$K,'[1]2026'!$T:$T,$BD404,'[1]2026'!$S:$S,BJ$3,'[1]2026'!$P:$P,$AU404)</f>
        <v>0</v>
      </c>
      <c r="BK404" s="10">
        <f>SUMIFS('[1]2026'!$K:$K,'[1]2026'!$T:$T,$BD404,'[1]2026'!$S:$S,BK$3,'[1]2026'!$P:$P,$AU404)</f>
        <v>0</v>
      </c>
      <c r="BL404" s="10">
        <f>SUMIFS('[1]2026'!$K:$K,'[1]2026'!$T:$T,$BD404,'[1]2026'!$S:$S,BL$3,'[1]2026'!$P:$P,$AU404)</f>
        <v>2289544.64</v>
      </c>
      <c r="BM404" s="10">
        <f>SUMIFS('[1]2026'!$K:$K,'[1]2026'!$T:$T,$BD404,'[1]2026'!$S:$S,BM$3,'[1]2026'!$P:$P,$AU404)</f>
        <v>42074.11</v>
      </c>
      <c r="BN404" s="10">
        <f>SUMIFS('[1]2026'!$K:$K,'[1]2026'!$T:$T,$BD404,'[1]2026'!$S:$S,BN$3,'[1]2026'!$P:$P,$AU404)</f>
        <v>0</v>
      </c>
      <c r="BO404" s="10">
        <f>SUMIFS('[1]2026'!$K:$K,'[1]2026'!$T:$T,$BD404,'[1]2026'!$S:$S,BO$3,'[1]2026'!$P:$P,$AU404)</f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f t="shared" si="283"/>
        <v>2331618.75</v>
      </c>
      <c r="BV404" s="6">
        <f t="shared" si="269"/>
        <v>0</v>
      </c>
      <c r="BW404" s="6">
        <f t="shared" si="270"/>
        <v>0</v>
      </c>
      <c r="BX404" s="6">
        <f t="shared" si="271"/>
        <v>0</v>
      </c>
      <c r="BY404" s="6">
        <f t="shared" si="272"/>
        <v>-2000000</v>
      </c>
      <c r="BZ404" s="6">
        <f t="shared" si="273"/>
        <v>289544.64000000013</v>
      </c>
      <c r="CA404" s="6">
        <f t="shared" si="274"/>
        <v>42074.11</v>
      </c>
      <c r="CB404" s="6">
        <f t="shared" si="275"/>
        <v>0</v>
      </c>
      <c r="CC404" s="6">
        <f t="shared" si="276"/>
        <v>0</v>
      </c>
      <c r="CD404" s="6">
        <f t="shared" si="277"/>
        <v>0</v>
      </c>
      <c r="CE404" s="6">
        <f t="shared" si="278"/>
        <v>0</v>
      </c>
      <c r="CF404" s="6">
        <f t="shared" si="279"/>
        <v>0</v>
      </c>
      <c r="CG404" s="6">
        <f t="shared" si="280"/>
        <v>0</v>
      </c>
      <c r="CH404" s="6">
        <f t="shared" si="251"/>
        <v>-1668381.25</v>
      </c>
      <c r="CI404" t="s">
        <v>799</v>
      </c>
    </row>
    <row r="405" spans="1:88" hidden="1" x14ac:dyDescent="0.35">
      <c r="A405" s="3" t="s">
        <v>800</v>
      </c>
      <c r="L405" s="10">
        <v>1600000</v>
      </c>
      <c r="M405" s="10">
        <v>1600000</v>
      </c>
      <c r="N405" s="27">
        <f t="shared" si="265"/>
        <v>3200000</v>
      </c>
      <c r="AA405" s="27">
        <f t="shared" si="266"/>
        <v>0</v>
      </c>
      <c r="AB405" s="10">
        <f t="shared" si="285"/>
        <v>0</v>
      </c>
      <c r="AC405" s="10">
        <f t="shared" si="285"/>
        <v>0</v>
      </c>
      <c r="AD405" s="10">
        <f t="shared" si="285"/>
        <v>0</v>
      </c>
      <c r="AE405" s="10">
        <f t="shared" si="285"/>
        <v>0</v>
      </c>
      <c r="AF405" s="10">
        <f t="shared" si="285"/>
        <v>0</v>
      </c>
      <c r="AG405" s="10">
        <f t="shared" si="285"/>
        <v>0</v>
      </c>
      <c r="AH405" s="10">
        <f t="shared" si="285"/>
        <v>0</v>
      </c>
      <c r="AI405" s="10">
        <f t="shared" si="285"/>
        <v>0</v>
      </c>
      <c r="AJ405" s="10">
        <f t="shared" si="284"/>
        <v>0</v>
      </c>
      <c r="AK405" s="10">
        <f t="shared" si="284"/>
        <v>0</v>
      </c>
      <c r="AL405" s="10">
        <f t="shared" si="284"/>
        <v>1600000</v>
      </c>
      <c r="AM405" s="10">
        <f t="shared" si="284"/>
        <v>1600000</v>
      </c>
      <c r="AN405" s="27">
        <f t="shared" si="284"/>
        <v>3200000</v>
      </c>
      <c r="AO405" s="28">
        <v>2820000</v>
      </c>
      <c r="AS405" t="str">
        <f>_xlfn.XLOOKUP(AU405,[2]GAE!HZ:HZ,[2]GAE!IA:IA)</f>
        <v>HUMAN RESOURCES</v>
      </c>
      <c r="AT405" t="str">
        <f>_xlfn.XLOOKUP(AU405,[2]GAE!HZ:HZ,[2]GAE!IB:IB)</f>
        <v>DOE - Company Events</v>
      </c>
      <c r="AU405" t="s">
        <v>790</v>
      </c>
      <c r="AV405">
        <v>81122101</v>
      </c>
      <c r="AW405">
        <v>52121401</v>
      </c>
      <c r="AX405" t="str">
        <f>_xlfn.XLOOKUP(AU405,[2]GAE!HZ:HZ,[2]GAE!IF:IF)</f>
        <v>Employee Benefits</v>
      </c>
      <c r="AY405" t="str">
        <f>_xlfn.XLOOKUP(AU405,[2]GAE!HZ:HZ,[2]GAE!IG:IG)</f>
        <v>Employee Programs/Perks</v>
      </c>
      <c r="BA405" t="s">
        <v>248</v>
      </c>
      <c r="BF405" t="s">
        <v>103</v>
      </c>
      <c r="BG405" s="3" t="s">
        <v>800</v>
      </c>
      <c r="BH405" s="10">
        <f>SUMIFS('[1]2026'!$K:$K,'[1]2026'!$T:$T,BD405,'[1]2026'!$S:$S,BH$3,'[1]2026'!$P:$P,AU405)</f>
        <v>0</v>
      </c>
      <c r="BI405" s="10">
        <f>SUMIFS('[1]2026'!$K:$K,'[1]2026'!$T:$T,$BD405,'[1]2026'!$S:$S,BI$3,'[1]2026'!$P:$P,$AU405)</f>
        <v>0</v>
      </c>
      <c r="BJ405" s="10">
        <f>SUMIFS('[1]2026'!$K:$K,'[1]2026'!$T:$T,$BD405,'[1]2026'!$S:$S,BJ$3,'[1]2026'!$P:$P,$AU405)</f>
        <v>0</v>
      </c>
      <c r="BK405" s="10">
        <f>SUMIFS('[1]2026'!$K:$K,'[1]2026'!$T:$T,$BD405,'[1]2026'!$S:$S,BK$3,'[1]2026'!$P:$P,$AU405)</f>
        <v>0</v>
      </c>
      <c r="BL405" s="6"/>
      <c r="BM405" s="10">
        <f>SUMIFS('[1]2026'!$K:$K,'[1]2026'!$T:$T,$BD405,'[1]2026'!$S:$S,BM$3,'[1]2026'!$P:$P,$AU405)</f>
        <v>0</v>
      </c>
      <c r="BN405" s="10">
        <f>SUMIFS('[1]2026'!$K:$K,'[1]2026'!$T:$T,$BD405,'[1]2026'!$S:$S,BN$3,'[1]2026'!$P:$P,$AU405)</f>
        <v>0</v>
      </c>
      <c r="BO405" s="10">
        <f>SUMIFS('[1]2026'!$K:$K,'[1]2026'!$T:$T,$BD405,'[1]2026'!$S:$S,BO$3,'[1]2026'!$P:$P,$AU405)</f>
        <v>0</v>
      </c>
      <c r="BP405" s="6"/>
      <c r="BQ405" s="6"/>
      <c r="BR405" s="6">
        <f>3200000/2</f>
        <v>1600000</v>
      </c>
      <c r="BS405" s="6">
        <f>3200000/2</f>
        <v>1600000</v>
      </c>
      <c r="BT405" s="6">
        <f t="shared" si="283"/>
        <v>3200000</v>
      </c>
      <c r="BV405" s="6">
        <f t="shared" si="269"/>
        <v>0</v>
      </c>
      <c r="BW405" s="6">
        <f t="shared" si="270"/>
        <v>0</v>
      </c>
      <c r="BX405" s="6">
        <f t="shared" si="271"/>
        <v>0</v>
      </c>
      <c r="BY405" s="6">
        <f t="shared" si="272"/>
        <v>0</v>
      </c>
      <c r="BZ405" s="6">
        <f t="shared" si="273"/>
        <v>0</v>
      </c>
      <c r="CA405" s="6">
        <f t="shared" si="274"/>
        <v>0</v>
      </c>
      <c r="CB405" s="6">
        <f t="shared" si="275"/>
        <v>0</v>
      </c>
      <c r="CC405" s="6">
        <f t="shared" si="276"/>
        <v>0</v>
      </c>
      <c r="CD405" s="6">
        <f t="shared" si="277"/>
        <v>0</v>
      </c>
      <c r="CE405" s="6">
        <f t="shared" si="278"/>
        <v>0</v>
      </c>
      <c r="CF405" s="6">
        <f t="shared" si="279"/>
        <v>0</v>
      </c>
      <c r="CG405" s="6">
        <f t="shared" si="280"/>
        <v>0</v>
      </c>
      <c r="CH405" s="6">
        <f t="shared" si="251"/>
        <v>0</v>
      </c>
    </row>
    <row r="406" spans="1:88" hidden="1" x14ac:dyDescent="0.35">
      <c r="AN406" s="27">
        <f>N406-AA406</f>
        <v>0</v>
      </c>
      <c r="AS406" t="str">
        <f>_xlfn.XLOOKUP(AU406,[2]GAE!HZ:HZ,[2]GAE!IA:IA)</f>
        <v>HUMAN RESOURCES</v>
      </c>
      <c r="AT406" t="str">
        <f>_xlfn.XLOOKUP(AU406,[2]GAE!HZ:HZ,[2]GAE!IB:IB)</f>
        <v>DOE - Company Events</v>
      </c>
      <c r="AU406" t="s">
        <v>790</v>
      </c>
      <c r="AV406">
        <v>81122101</v>
      </c>
      <c r="AW406">
        <v>52121401</v>
      </c>
      <c r="AX406" t="str">
        <f>_xlfn.XLOOKUP(AU406,[2]GAE!HZ:HZ,[2]GAE!IF:IF)</f>
        <v>Employee Benefits</v>
      </c>
      <c r="AY406" t="str">
        <f>_xlfn.XLOOKUP(AU406,[2]GAE!HZ:HZ,[2]GAE!IG:IG)</f>
        <v>Employee Programs/Perks</v>
      </c>
      <c r="BC406" t="s">
        <v>294</v>
      </c>
      <c r="BD406" t="s">
        <v>801</v>
      </c>
      <c r="BF406" s="37" t="s">
        <v>1263</v>
      </c>
      <c r="BG406" s="37" t="s">
        <v>1263</v>
      </c>
      <c r="BJ406" s="10">
        <f>SUMIFS('[1]2026'!$K:$K,'[1]2026'!$T:$T,$BD406,'[1]2026'!$S:$S,BJ$3,'[1]2026'!$P:$P,$AU406)</f>
        <v>64396.86</v>
      </c>
      <c r="BK406" s="10">
        <f>SUMIFS('[1]2026'!$K:$K,'[1]2026'!$T:$T,$BD406,'[1]2026'!$S:$S,BK$3,'[1]2026'!$P:$P,$AU406)</f>
        <v>0</v>
      </c>
      <c r="BL406" s="10">
        <f>SUMIFS('[1]2026'!$K:$K,'[1]2026'!$T:$T,$BD406,'[1]2026'!$S:$S,BL$3,'[1]2026'!$P:$P,$AU406)</f>
        <v>0</v>
      </c>
      <c r="BM406" s="10">
        <f>SUMIFS('[1]2026'!$K:$K,'[1]2026'!$T:$T,$BD406,'[1]2026'!$S:$S,BM$3,'[1]2026'!$P:$P,$AU406)</f>
        <v>0</v>
      </c>
      <c r="BN406" s="10">
        <f>SUMIFS('[1]2026'!$K:$K,'[1]2026'!$T:$T,$BD406,'[1]2026'!$S:$S,BN$3,'[1]2026'!$P:$P,$AU406)</f>
        <v>0</v>
      </c>
      <c r="BO406" s="10">
        <f>SUMIFS('[1]2026'!$K:$K,'[1]2026'!$T:$T,$BD406,'[1]2026'!$S:$S,BO$3,'[1]2026'!$P:$P,$AU406)</f>
        <v>0</v>
      </c>
      <c r="BP406" s="6">
        <f t="shared" ref="BP406:BS409" si="286">BO406</f>
        <v>0</v>
      </c>
      <c r="BQ406" s="6">
        <f t="shared" si="286"/>
        <v>0</v>
      </c>
      <c r="BR406" s="6">
        <f t="shared" si="286"/>
        <v>0</v>
      </c>
      <c r="BS406" s="6">
        <f t="shared" si="286"/>
        <v>0</v>
      </c>
      <c r="BT406" s="6">
        <f t="shared" si="283"/>
        <v>64396.86</v>
      </c>
      <c r="BV406" s="6">
        <f t="shared" si="269"/>
        <v>0</v>
      </c>
      <c r="BW406" s="6">
        <f t="shared" si="270"/>
        <v>0</v>
      </c>
      <c r="BX406" s="6">
        <f t="shared" si="271"/>
        <v>64396.86</v>
      </c>
      <c r="BY406" s="6">
        <f t="shared" si="272"/>
        <v>0</v>
      </c>
      <c r="BZ406" s="6">
        <f t="shared" si="273"/>
        <v>0</v>
      </c>
      <c r="CA406" s="6">
        <f t="shared" si="274"/>
        <v>0</v>
      </c>
      <c r="CB406" s="6">
        <f t="shared" si="275"/>
        <v>0</v>
      </c>
      <c r="CC406" s="6">
        <f t="shared" si="276"/>
        <v>0</v>
      </c>
      <c r="CD406" s="6">
        <f t="shared" si="277"/>
        <v>0</v>
      </c>
      <c r="CE406" s="6">
        <f t="shared" si="278"/>
        <v>0</v>
      </c>
      <c r="CF406" s="6">
        <f t="shared" si="279"/>
        <v>0</v>
      </c>
      <c r="CG406" s="6">
        <f t="shared" si="280"/>
        <v>0</v>
      </c>
      <c r="CH406" s="6">
        <f t="shared" si="251"/>
        <v>64396.86</v>
      </c>
    </row>
    <row r="407" spans="1:88" hidden="1" x14ac:dyDescent="0.35">
      <c r="A407" s="3" t="s">
        <v>802</v>
      </c>
      <c r="M407" s="10">
        <v>648000</v>
      </c>
      <c r="N407" s="27">
        <f t="shared" si="265"/>
        <v>648000</v>
      </c>
      <c r="AA407" s="27">
        <f t="shared" si="266"/>
        <v>0</v>
      </c>
      <c r="AB407" s="10">
        <f t="shared" si="285"/>
        <v>0</v>
      </c>
      <c r="AC407" s="10">
        <f t="shared" si="285"/>
        <v>0</v>
      </c>
      <c r="AD407" s="10">
        <f t="shared" si="285"/>
        <v>0</v>
      </c>
      <c r="AE407" s="10">
        <f t="shared" si="285"/>
        <v>0</v>
      </c>
      <c r="AF407" s="10">
        <f t="shared" si="285"/>
        <v>0</v>
      </c>
      <c r="AG407" s="10">
        <f t="shared" si="285"/>
        <v>0</v>
      </c>
      <c r="AH407" s="10">
        <f t="shared" si="285"/>
        <v>0</v>
      </c>
      <c r="AI407" s="10">
        <f t="shared" si="285"/>
        <v>0</v>
      </c>
      <c r="AJ407" s="10">
        <f t="shared" si="284"/>
        <v>0</v>
      </c>
      <c r="AK407" s="10">
        <f t="shared" si="284"/>
        <v>0</v>
      </c>
      <c r="AL407" s="10">
        <f t="shared" si="284"/>
        <v>0</v>
      </c>
      <c r="AM407" s="10">
        <f t="shared" si="284"/>
        <v>648000</v>
      </c>
      <c r="AN407" s="27">
        <f t="shared" si="284"/>
        <v>648000</v>
      </c>
      <c r="AO407" s="28">
        <v>1300000</v>
      </c>
      <c r="AS407" t="str">
        <f>_xlfn.XLOOKUP(AU407,[2]GAE!HZ:HZ,[2]GAE!IA:IA)</f>
        <v>HUMAN RESOURCES</v>
      </c>
      <c r="AT407" t="str">
        <f>_xlfn.XLOOKUP(AU407,[2]GAE!HZ:HZ,[2]GAE!IB:IB)</f>
        <v>DOE - Employee Benefits - Gift Certificates</v>
      </c>
      <c r="AU407" t="s">
        <v>803</v>
      </c>
      <c r="AV407">
        <v>90122101</v>
      </c>
      <c r="AW407">
        <v>52121310</v>
      </c>
      <c r="AX407" t="str">
        <f>_xlfn.XLOOKUP(AU407,[2]GAE!HZ:HZ,[2]GAE!IF:IF)</f>
        <v>Employee Benefits</v>
      </c>
      <c r="AY407" t="str">
        <f>_xlfn.XLOOKUP(AU407,[2]GAE!HZ:HZ,[2]GAE!IG:IG)</f>
        <v>Employee Programs/Perks</v>
      </c>
      <c r="BA407" t="s">
        <v>248</v>
      </c>
      <c r="BF407" t="s">
        <v>106</v>
      </c>
      <c r="BG407" s="3" t="s">
        <v>802</v>
      </c>
      <c r="BH407" s="10">
        <f>SUMIFS('[1]2026'!$K:$K,'[1]2026'!$T:$T,BD407,'[1]2026'!$S:$S,BH$3,'[1]2026'!$P:$P,AU407)</f>
        <v>0</v>
      </c>
      <c r="BI407" s="10">
        <f>SUMIFS('[1]2026'!$K:$K,'[1]2026'!$T:$T,$BD407,'[1]2026'!$S:$S,BI$3,'[1]2026'!$P:$P,$AU407)</f>
        <v>0</v>
      </c>
      <c r="BJ407" s="10">
        <f>SUMIFS('[1]2026'!$K:$K,'[1]2026'!$T:$T,$BD407,'[1]2026'!$S:$S,BJ$3,'[1]2026'!$P:$P,$AU407)</f>
        <v>0</v>
      </c>
      <c r="BK407" s="10">
        <f>SUMIFS('[1]2026'!$K:$K,'[1]2026'!$T:$T,$BD407,'[1]2026'!$S:$S,BK$3,'[1]2026'!$P:$P,$AU407)</f>
        <v>0</v>
      </c>
      <c r="BL407" s="10">
        <f>SUMIFS('[1]2026'!$K:$K,'[1]2026'!$T:$T,$BD407,'[1]2026'!$S:$S,BL$3,'[1]2026'!$P:$P,$AU407)</f>
        <v>0</v>
      </c>
      <c r="BM407" s="10">
        <f>SUMIFS('[1]2026'!$K:$K,'[1]2026'!$T:$T,$BD407,'[1]2026'!$S:$S,BM$3,'[1]2026'!$P:$P,$AU407)</f>
        <v>0</v>
      </c>
      <c r="BN407" s="10">
        <f>SUMIFS('[1]2026'!$K:$K,'[1]2026'!$T:$T,$BD407,'[1]2026'!$S:$S,BN$3,'[1]2026'!$P:$P,$AU407)</f>
        <v>0</v>
      </c>
      <c r="BO407" s="10">
        <f>SUMIFS('[1]2026'!$K:$K,'[1]2026'!$T:$T,$BD407,'[1]2026'!$S:$S,BO$3,'[1]2026'!$P:$P,$AU407)</f>
        <v>0</v>
      </c>
      <c r="BP407" s="6">
        <f t="shared" si="286"/>
        <v>0</v>
      </c>
      <c r="BQ407" s="6">
        <f t="shared" si="286"/>
        <v>0</v>
      </c>
      <c r="BR407" s="6">
        <f t="shared" si="286"/>
        <v>0</v>
      </c>
      <c r="BS407" s="6">
        <f>AN407</f>
        <v>648000</v>
      </c>
      <c r="BT407" s="6">
        <f t="shared" si="283"/>
        <v>648000</v>
      </c>
      <c r="BV407" s="6">
        <f t="shared" si="269"/>
        <v>0</v>
      </c>
      <c r="BW407" s="6">
        <f t="shared" si="270"/>
        <v>0</v>
      </c>
      <c r="BX407" s="6">
        <f t="shared" si="271"/>
        <v>0</v>
      </c>
      <c r="BY407" s="6">
        <f t="shared" si="272"/>
        <v>0</v>
      </c>
      <c r="BZ407" s="6">
        <f t="shared" si="273"/>
        <v>0</v>
      </c>
      <c r="CA407" s="6">
        <f t="shared" si="274"/>
        <v>0</v>
      </c>
      <c r="CB407" s="6">
        <f t="shared" si="275"/>
        <v>0</v>
      </c>
      <c r="CC407" s="6">
        <f t="shared" si="276"/>
        <v>0</v>
      </c>
      <c r="CD407" s="6">
        <f t="shared" si="277"/>
        <v>0</v>
      </c>
      <c r="CE407" s="6">
        <f t="shared" si="278"/>
        <v>0</v>
      </c>
      <c r="CF407" s="6">
        <f t="shared" si="279"/>
        <v>0</v>
      </c>
      <c r="CG407" s="6">
        <f t="shared" si="280"/>
        <v>0</v>
      </c>
      <c r="CH407" s="6">
        <f t="shared" si="251"/>
        <v>0</v>
      </c>
      <c r="CI407" t="s">
        <v>804</v>
      </c>
      <c r="CJ407" s="6"/>
    </row>
    <row r="408" spans="1:88" hidden="1" x14ac:dyDescent="0.35">
      <c r="A408" s="3" t="s">
        <v>802</v>
      </c>
      <c r="M408" s="10">
        <v>279000</v>
      </c>
      <c r="N408" s="27">
        <f t="shared" si="265"/>
        <v>279000</v>
      </c>
      <c r="AA408" s="27">
        <f t="shared" si="266"/>
        <v>0</v>
      </c>
      <c r="AB408" s="10">
        <f t="shared" si="285"/>
        <v>0</v>
      </c>
      <c r="AC408" s="10">
        <f t="shared" si="285"/>
        <v>0</v>
      </c>
      <c r="AD408" s="10">
        <f t="shared" si="285"/>
        <v>0</v>
      </c>
      <c r="AE408" s="10">
        <f t="shared" si="285"/>
        <v>0</v>
      </c>
      <c r="AF408" s="10">
        <f t="shared" si="285"/>
        <v>0</v>
      </c>
      <c r="AG408" s="10">
        <f t="shared" si="285"/>
        <v>0</v>
      </c>
      <c r="AH408" s="10">
        <f t="shared" si="285"/>
        <v>0</v>
      </c>
      <c r="AI408" s="10">
        <f t="shared" si="285"/>
        <v>0</v>
      </c>
      <c r="AJ408" s="10">
        <f t="shared" si="284"/>
        <v>0</v>
      </c>
      <c r="AK408" s="10">
        <f t="shared" si="284"/>
        <v>0</v>
      </c>
      <c r="AL408" s="10">
        <f t="shared" si="284"/>
        <v>0</v>
      </c>
      <c r="AM408" s="10">
        <f t="shared" si="284"/>
        <v>279000</v>
      </c>
      <c r="AN408" s="27">
        <f t="shared" si="284"/>
        <v>279000</v>
      </c>
      <c r="AO408" s="28">
        <v>615000</v>
      </c>
      <c r="AS408" t="str">
        <f>_xlfn.XLOOKUP(AU408,[2]GAE!HZ:HZ,[2]GAE!IA:IA)</f>
        <v>HUMAN RESOURCES</v>
      </c>
      <c r="AT408" t="str">
        <f>_xlfn.XLOOKUP(AU408,[2]GAE!HZ:HZ,[2]GAE!IB:IB)</f>
        <v>DOE - Employee Benefits - Gift Certificates</v>
      </c>
      <c r="AU408" t="s">
        <v>805</v>
      </c>
      <c r="AV408">
        <v>81122101</v>
      </c>
      <c r="AW408">
        <v>52121310</v>
      </c>
      <c r="AX408" t="str">
        <f>_xlfn.XLOOKUP(AU408,[2]GAE!HZ:HZ,[2]GAE!IF:IF)</f>
        <v>Employee Benefits</v>
      </c>
      <c r="AY408" t="str">
        <f>_xlfn.XLOOKUP(AU408,[2]GAE!HZ:HZ,[2]GAE!IG:IG)</f>
        <v>Employee Programs/Perks</v>
      </c>
      <c r="BA408" t="s">
        <v>248</v>
      </c>
      <c r="BF408" t="s">
        <v>106</v>
      </c>
      <c r="BG408" s="3" t="s">
        <v>802</v>
      </c>
      <c r="BH408" s="10">
        <f>SUMIFS('[1]2026'!$K:$K,'[1]2026'!$T:$T,BD408,'[1]2026'!$S:$S,BH$3,'[1]2026'!$P:$P,AU408)</f>
        <v>0</v>
      </c>
      <c r="BI408" s="10">
        <f>SUMIFS('[1]2026'!$K:$K,'[1]2026'!$T:$T,$BD408,'[1]2026'!$S:$S,BI$3,'[1]2026'!$P:$P,$AU408)</f>
        <v>0</v>
      </c>
      <c r="BJ408" s="10">
        <f>SUMIFS('[1]2026'!$K:$K,'[1]2026'!$T:$T,$BD408,'[1]2026'!$S:$S,BJ$3,'[1]2026'!$P:$P,$AU408)</f>
        <v>0</v>
      </c>
      <c r="BK408" s="10">
        <f>SUMIFS('[1]2026'!$K:$K,'[1]2026'!$T:$T,$BD408,'[1]2026'!$S:$S,BK$3,'[1]2026'!$P:$P,$AU408)</f>
        <v>0</v>
      </c>
      <c r="BL408" s="10">
        <f>SUMIFS('[1]2026'!$K:$K,'[1]2026'!$T:$T,$BD408,'[1]2026'!$S:$S,BL$3,'[1]2026'!$P:$P,$AU408)</f>
        <v>0</v>
      </c>
      <c r="BM408" s="10">
        <f>SUMIFS('[1]2026'!$K:$K,'[1]2026'!$T:$T,$BD408,'[1]2026'!$S:$S,BM$3,'[1]2026'!$P:$P,$AU408)</f>
        <v>0</v>
      </c>
      <c r="BN408" s="10">
        <f>SUMIFS('[1]2026'!$K:$K,'[1]2026'!$T:$T,$BD408,'[1]2026'!$S:$S,BN$3,'[1]2026'!$P:$P,$AU408)</f>
        <v>0</v>
      </c>
      <c r="BO408" s="10">
        <f>SUMIFS('[1]2026'!$K:$K,'[1]2026'!$T:$T,$BD408,'[1]2026'!$S:$S,BO$3,'[1]2026'!$P:$P,$AU408)</f>
        <v>0</v>
      </c>
      <c r="BP408" s="6">
        <f t="shared" si="286"/>
        <v>0</v>
      </c>
      <c r="BQ408" s="6">
        <f t="shared" si="286"/>
        <v>0</v>
      </c>
      <c r="BR408" s="6">
        <f t="shared" si="286"/>
        <v>0</v>
      </c>
      <c r="BS408" s="6">
        <f t="shared" ref="BS408:BS409" si="287">AN408</f>
        <v>279000</v>
      </c>
      <c r="BT408" s="6">
        <f t="shared" si="283"/>
        <v>279000</v>
      </c>
      <c r="BV408" s="6">
        <f t="shared" si="269"/>
        <v>0</v>
      </c>
      <c r="BW408" s="6">
        <f t="shared" si="270"/>
        <v>0</v>
      </c>
      <c r="BX408" s="6">
        <f t="shared" si="271"/>
        <v>0</v>
      </c>
      <c r="BY408" s="6">
        <f t="shared" si="272"/>
        <v>0</v>
      </c>
      <c r="BZ408" s="6">
        <f t="shared" si="273"/>
        <v>0</v>
      </c>
      <c r="CA408" s="6">
        <f t="shared" si="274"/>
        <v>0</v>
      </c>
      <c r="CB408" s="6">
        <f t="shared" si="275"/>
        <v>0</v>
      </c>
      <c r="CC408" s="6">
        <f t="shared" si="276"/>
        <v>0</v>
      </c>
      <c r="CD408" s="6">
        <f t="shared" si="277"/>
        <v>0</v>
      </c>
      <c r="CE408" s="6">
        <f t="shared" si="278"/>
        <v>0</v>
      </c>
      <c r="CF408" s="6">
        <f t="shared" si="279"/>
        <v>0</v>
      </c>
      <c r="CG408" s="6">
        <f t="shared" si="280"/>
        <v>0</v>
      </c>
      <c r="CH408" s="6">
        <f t="shared" si="251"/>
        <v>0</v>
      </c>
    </row>
    <row r="409" spans="1:88" hidden="1" x14ac:dyDescent="0.35">
      <c r="A409" s="3" t="s">
        <v>802</v>
      </c>
      <c r="M409" s="10">
        <v>213000</v>
      </c>
      <c r="N409" s="27">
        <f t="shared" si="265"/>
        <v>213000</v>
      </c>
      <c r="AA409" s="27">
        <f t="shared" si="266"/>
        <v>0</v>
      </c>
      <c r="AB409" s="10">
        <f t="shared" si="285"/>
        <v>0</v>
      </c>
      <c r="AC409" s="10">
        <f t="shared" si="285"/>
        <v>0</v>
      </c>
      <c r="AD409" s="10">
        <f t="shared" si="285"/>
        <v>0</v>
      </c>
      <c r="AE409" s="10">
        <f t="shared" si="285"/>
        <v>0</v>
      </c>
      <c r="AF409" s="10">
        <f t="shared" si="285"/>
        <v>0</v>
      </c>
      <c r="AG409" s="10">
        <f t="shared" si="285"/>
        <v>0</v>
      </c>
      <c r="AH409" s="10">
        <f t="shared" si="285"/>
        <v>0</v>
      </c>
      <c r="AI409" s="10">
        <f t="shared" si="285"/>
        <v>0</v>
      </c>
      <c r="AJ409" s="10">
        <f t="shared" si="284"/>
        <v>0</v>
      </c>
      <c r="AK409" s="10">
        <f t="shared" si="284"/>
        <v>0</v>
      </c>
      <c r="AL409" s="10">
        <f t="shared" si="284"/>
        <v>0</v>
      </c>
      <c r="AM409" s="10">
        <f t="shared" si="284"/>
        <v>213000</v>
      </c>
      <c r="AN409" s="27">
        <f t="shared" si="284"/>
        <v>213000</v>
      </c>
      <c r="AO409" s="28">
        <v>390000</v>
      </c>
      <c r="AS409" t="str">
        <f>_xlfn.XLOOKUP(AU409,[2]GAE!HZ:HZ,[2]GAE!IA:IA)</f>
        <v>HUMAN RESOURCES</v>
      </c>
      <c r="AT409" t="str">
        <f>_xlfn.XLOOKUP(AU409,[2]GAE!HZ:HZ,[2]GAE!IB:IB)</f>
        <v>GAE - Employee Benefits - Gift Certificates</v>
      </c>
      <c r="AU409" t="s">
        <v>806</v>
      </c>
      <c r="AV409">
        <v>80122101</v>
      </c>
      <c r="AW409">
        <v>61021311</v>
      </c>
      <c r="AX409" t="str">
        <f>_xlfn.XLOOKUP(AU409,[2]GAE!HZ:HZ,[2]GAE!IF:IF)</f>
        <v>Employee Benefits</v>
      </c>
      <c r="AY409" t="str">
        <f>_xlfn.XLOOKUP(AU409,[2]GAE!HZ:HZ,[2]GAE!IG:IG)</f>
        <v>Employee Programs/Perks</v>
      </c>
      <c r="BA409" t="s">
        <v>248</v>
      </c>
      <c r="BF409" t="s">
        <v>106</v>
      </c>
      <c r="BG409" s="3" t="s">
        <v>802</v>
      </c>
      <c r="BH409" s="10">
        <f>SUMIFS('[1]2026'!$K:$K,'[1]2026'!$T:$T,BD409,'[1]2026'!$S:$S,BH$3,'[1]2026'!$P:$P,AU409)</f>
        <v>0</v>
      </c>
      <c r="BI409" s="10">
        <f>SUMIFS('[1]2026'!$K:$K,'[1]2026'!$T:$T,$BD409,'[1]2026'!$S:$S,BI$3,'[1]2026'!$P:$P,$AU409)</f>
        <v>0</v>
      </c>
      <c r="BJ409" s="10">
        <f>SUMIFS('[1]2026'!$K:$K,'[1]2026'!$T:$T,$BD409,'[1]2026'!$S:$S,BJ$3,'[1]2026'!$P:$P,$AU409)</f>
        <v>0</v>
      </c>
      <c r="BK409" s="10">
        <f>SUMIFS('[1]2026'!$K:$K,'[1]2026'!$T:$T,$BD409,'[1]2026'!$S:$S,BK$3,'[1]2026'!$P:$P,$AU409)</f>
        <v>0</v>
      </c>
      <c r="BL409" s="10">
        <f>SUMIFS('[1]2026'!$K:$K,'[1]2026'!$T:$T,$BD409,'[1]2026'!$S:$S,BL$3,'[1]2026'!$P:$P,$AU409)</f>
        <v>0</v>
      </c>
      <c r="BM409" s="10">
        <f>SUMIFS('[1]2026'!$K:$K,'[1]2026'!$T:$T,$BD409,'[1]2026'!$S:$S,BM$3,'[1]2026'!$P:$P,$AU409)</f>
        <v>0</v>
      </c>
      <c r="BN409" s="10">
        <f>SUMIFS('[1]2026'!$K:$K,'[1]2026'!$T:$T,$BD409,'[1]2026'!$S:$S,BN$3,'[1]2026'!$P:$P,$AU409)</f>
        <v>0</v>
      </c>
      <c r="BO409" s="10">
        <f>SUMIFS('[1]2026'!$K:$K,'[1]2026'!$T:$T,$BD409,'[1]2026'!$S:$S,BO$3,'[1]2026'!$P:$P,$AU409)</f>
        <v>0</v>
      </c>
      <c r="BP409" s="6">
        <f t="shared" si="286"/>
        <v>0</v>
      </c>
      <c r="BQ409" s="6">
        <f t="shared" si="286"/>
        <v>0</v>
      </c>
      <c r="BR409" s="6">
        <f t="shared" si="286"/>
        <v>0</v>
      </c>
      <c r="BS409" s="6">
        <f t="shared" si="287"/>
        <v>213000</v>
      </c>
      <c r="BT409" s="6">
        <f t="shared" si="283"/>
        <v>213000</v>
      </c>
      <c r="BV409" s="6">
        <f t="shared" si="269"/>
        <v>0</v>
      </c>
      <c r="BW409" s="6">
        <f t="shared" si="270"/>
        <v>0</v>
      </c>
      <c r="BX409" s="6">
        <f t="shared" si="271"/>
        <v>0</v>
      </c>
      <c r="BY409" s="6">
        <f t="shared" si="272"/>
        <v>0</v>
      </c>
      <c r="BZ409" s="6">
        <f t="shared" si="273"/>
        <v>0</v>
      </c>
      <c r="CA409" s="6">
        <f t="shared" si="274"/>
        <v>0</v>
      </c>
      <c r="CB409" s="6">
        <f t="shared" si="275"/>
        <v>0</v>
      </c>
      <c r="CC409" s="6">
        <f t="shared" si="276"/>
        <v>0</v>
      </c>
      <c r="CD409" s="6">
        <f t="shared" si="277"/>
        <v>0</v>
      </c>
      <c r="CE409" s="6">
        <f t="shared" si="278"/>
        <v>0</v>
      </c>
      <c r="CF409" s="6">
        <f t="shared" si="279"/>
        <v>0</v>
      </c>
      <c r="CG409" s="6">
        <f t="shared" si="280"/>
        <v>0</v>
      </c>
      <c r="CH409" s="6">
        <f t="shared" si="251"/>
        <v>0</v>
      </c>
    </row>
    <row r="410" spans="1:88" hidden="1" x14ac:dyDescent="0.35">
      <c r="A410" s="3" t="s">
        <v>807</v>
      </c>
      <c r="B410" s="10">
        <v>5000</v>
      </c>
      <c r="C410" s="10">
        <v>5000</v>
      </c>
      <c r="D410" s="10">
        <v>5000</v>
      </c>
      <c r="E410" s="10">
        <v>5000</v>
      </c>
      <c r="F410" s="10">
        <v>5000</v>
      </c>
      <c r="G410" s="10">
        <v>5000</v>
      </c>
      <c r="H410" s="10">
        <v>5000</v>
      </c>
      <c r="I410" s="10">
        <v>5000</v>
      </c>
      <c r="J410" s="10">
        <v>5000</v>
      </c>
      <c r="K410" s="10">
        <v>5000</v>
      </c>
      <c r="L410" s="10">
        <v>5000</v>
      </c>
      <c r="M410" s="10">
        <v>5000</v>
      </c>
      <c r="N410" s="27">
        <f t="shared" si="265"/>
        <v>60000</v>
      </c>
      <c r="O410" s="10">
        <f>565084.507678628/12</f>
        <v>47090.375639885664</v>
      </c>
      <c r="P410" s="10">
        <f>O410</f>
        <v>47090.375639885664</v>
      </c>
      <c r="Q410" s="10">
        <f t="shared" ref="Q410:Z410" si="288">P410</f>
        <v>47090.375639885664</v>
      </c>
      <c r="R410" s="10">
        <f t="shared" si="288"/>
        <v>47090.375639885664</v>
      </c>
      <c r="S410" s="10">
        <f t="shared" si="288"/>
        <v>47090.375639885664</v>
      </c>
      <c r="T410" s="10">
        <f t="shared" si="288"/>
        <v>47090.375639885664</v>
      </c>
      <c r="U410" s="10">
        <f t="shared" si="288"/>
        <v>47090.375639885664</v>
      </c>
      <c r="V410" s="10">
        <f t="shared" si="288"/>
        <v>47090.375639885664</v>
      </c>
      <c r="W410" s="10">
        <f t="shared" si="288"/>
        <v>47090.375639885664</v>
      </c>
      <c r="X410" s="10">
        <f t="shared" si="288"/>
        <v>47090.375639885664</v>
      </c>
      <c r="Y410" s="10">
        <f t="shared" si="288"/>
        <v>47090.375639885664</v>
      </c>
      <c r="Z410" s="10">
        <f t="shared" si="288"/>
        <v>47090.375639885664</v>
      </c>
      <c r="AA410" s="27">
        <f t="shared" si="266"/>
        <v>565084.50767862797</v>
      </c>
      <c r="AB410" s="10">
        <f t="shared" si="285"/>
        <v>-42090.375639885664</v>
      </c>
      <c r="AC410" s="10">
        <f t="shared" si="285"/>
        <v>-42090.375639885664</v>
      </c>
      <c r="AD410" s="10">
        <f t="shared" si="285"/>
        <v>-42090.375639885664</v>
      </c>
      <c r="AE410" s="10">
        <f t="shared" si="285"/>
        <v>-42090.375639885664</v>
      </c>
      <c r="AF410" s="10">
        <f t="shared" si="285"/>
        <v>-42090.375639885664</v>
      </c>
      <c r="AG410" s="10">
        <f t="shared" si="285"/>
        <v>-42090.375639885664</v>
      </c>
      <c r="AH410" s="10">
        <f t="shared" si="285"/>
        <v>-42090.375639885664</v>
      </c>
      <c r="AI410" s="10">
        <f t="shared" si="285"/>
        <v>-42090.375639885664</v>
      </c>
      <c r="AJ410" s="10">
        <f t="shared" si="284"/>
        <v>-42090.375639885664</v>
      </c>
      <c r="AK410" s="10">
        <f t="shared" si="284"/>
        <v>-42090.375639885664</v>
      </c>
      <c r="AL410" s="10">
        <f t="shared" si="284"/>
        <v>-42090.375639885664</v>
      </c>
      <c r="AM410" s="10">
        <f t="shared" si="284"/>
        <v>-42090.375639885664</v>
      </c>
      <c r="AN410" s="27">
        <f t="shared" si="284"/>
        <v>-505084.50767862797</v>
      </c>
      <c r="AO410" s="28">
        <f>1339.29+7366.07+849.25+14242.11</f>
        <v>23796.720000000001</v>
      </c>
      <c r="AP410" t="s">
        <v>808</v>
      </c>
      <c r="AS410" t="str">
        <f>_xlfn.XLOOKUP(AU410,[2]GAE!HZ:HZ,[2]GAE!IA:IA)</f>
        <v>HUMAN RESOURCES</v>
      </c>
      <c r="AT410" t="str">
        <f>_xlfn.XLOOKUP(AU410,[2]GAE!HZ:HZ,[2]GAE!IB:IB)</f>
        <v>DOE - Employees' Welfare</v>
      </c>
      <c r="AU410" t="s">
        <v>809</v>
      </c>
      <c r="AV410">
        <v>81122101</v>
      </c>
      <c r="AW410">
        <v>52121402</v>
      </c>
      <c r="AX410" t="str">
        <f>_xlfn.XLOOKUP(AU410,[2]GAE!HZ:HZ,[2]GAE!IF:IF)</f>
        <v>Employee Benefits</v>
      </c>
      <c r="AY410" t="str">
        <f>_xlfn.XLOOKUP(AU410,[2]GAE!HZ:HZ,[2]GAE!IG:IG)</f>
        <v>Employee Programs/Perks</v>
      </c>
      <c r="BC410" t="s">
        <v>6</v>
      </c>
      <c r="BD410" t="s">
        <v>6</v>
      </c>
      <c r="BF410" t="s">
        <v>7</v>
      </c>
      <c r="BG410" s="2" t="s">
        <v>6</v>
      </c>
      <c r="BH410" s="10">
        <f>SUMIFS('[1]2026'!$K:$K,'[1]2026'!$T:$T,BD410,'[1]2026'!$S:$S,BH$3,'[1]2026'!$P:$P,AU410)</f>
        <v>0</v>
      </c>
      <c r="BI410" s="10">
        <f>SUMIFS('[1]2026'!$K:$K,'[1]2026'!$T:$T,$BD410,'[1]2026'!$S:$S,BI$3,'[1]2026'!$P:$P,$AU410)</f>
        <v>0</v>
      </c>
      <c r="BJ410" s="10">
        <f>SUMIFS('[1]2026'!$K:$K,'[1]2026'!$T:$T,$BD410,'[1]2026'!$S:$S,BJ$3,'[1]2026'!$P:$P,$AU410)</f>
        <v>0</v>
      </c>
      <c r="BK410" s="10">
        <f>SUMIFS('[1]2026'!$K:$K,'[1]2026'!$T:$T,$BD410,'[1]2026'!$S:$S,BK$3,'[1]2026'!$P:$P,$AU410)</f>
        <v>900</v>
      </c>
      <c r="BL410" s="10">
        <f>SUMIFS('[1]2026'!$K:$K,'[1]2026'!$T:$T,$BD410,'[1]2026'!$S:$S,BL$3,'[1]2026'!$P:$P,$AU410)</f>
        <v>0</v>
      </c>
      <c r="BM410" s="10">
        <f>SUMIFS('[1]2026'!$K:$K,'[1]2026'!$T:$T,$BD410,'[1]2026'!$S:$S,BM$3,'[1]2026'!$P:$P,$AU410)</f>
        <v>0</v>
      </c>
      <c r="BN410" s="10">
        <f>SUMIFS('[1]2026'!$K:$K,'[1]2026'!$T:$T,$BD410,'[1]2026'!$S:$S,BN$3,'[1]2026'!$P:$P,$AU410)</f>
        <v>0</v>
      </c>
      <c r="BO410" s="10">
        <f>SUMIFS('[1]2026'!$K:$K,'[1]2026'!$T:$T,$BD410,'[1]2026'!$S:$S,BO$3,'[1]2026'!$P:$P,$AU410)</f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f t="shared" si="283"/>
        <v>900</v>
      </c>
      <c r="BV410" s="6">
        <f t="shared" si="269"/>
        <v>42090.375639885664</v>
      </c>
      <c r="BW410" s="6">
        <f t="shared" si="270"/>
        <v>42090.375639885664</v>
      </c>
      <c r="BX410" s="6">
        <f t="shared" si="271"/>
        <v>42090.375639885664</v>
      </c>
      <c r="BY410" s="6">
        <f t="shared" si="272"/>
        <v>42990.375639885664</v>
      </c>
      <c r="BZ410" s="6">
        <f t="shared" si="273"/>
        <v>42090.375639885664</v>
      </c>
      <c r="CA410" s="6">
        <f t="shared" si="274"/>
        <v>42090.375639885664</v>
      </c>
      <c r="CB410" s="6">
        <f t="shared" si="275"/>
        <v>42090.375639885664</v>
      </c>
      <c r="CC410" s="6">
        <f t="shared" si="276"/>
        <v>42090.375639885664</v>
      </c>
      <c r="CD410" s="6">
        <f t="shared" si="277"/>
        <v>42090.375639885664</v>
      </c>
      <c r="CE410" s="6">
        <f t="shared" si="278"/>
        <v>42090.375639885664</v>
      </c>
      <c r="CF410" s="6">
        <f t="shared" si="279"/>
        <v>42090.375639885664</v>
      </c>
      <c r="CG410" s="6">
        <f t="shared" si="280"/>
        <v>42090.375639885664</v>
      </c>
      <c r="CH410" s="6">
        <f t="shared" si="251"/>
        <v>505984.50767862797</v>
      </c>
    </row>
    <row r="411" spans="1:88" hidden="1" x14ac:dyDescent="0.35">
      <c r="A411" s="3" t="s">
        <v>810</v>
      </c>
      <c r="B411" s="21">
        <v>250000</v>
      </c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7">
        <f t="shared" si="265"/>
        <v>250000</v>
      </c>
      <c r="AA411" s="27">
        <f t="shared" si="266"/>
        <v>0</v>
      </c>
      <c r="AB411" s="10">
        <f t="shared" si="285"/>
        <v>250000</v>
      </c>
      <c r="AC411" s="10">
        <f t="shared" si="285"/>
        <v>0</v>
      </c>
      <c r="AD411" s="10">
        <f t="shared" si="285"/>
        <v>0</v>
      </c>
      <c r="AE411" s="10">
        <f t="shared" si="285"/>
        <v>0</v>
      </c>
      <c r="AF411" s="10">
        <f t="shared" si="285"/>
        <v>0</v>
      </c>
      <c r="AG411" s="10">
        <f t="shared" si="285"/>
        <v>0</v>
      </c>
      <c r="AH411" s="10">
        <f t="shared" si="285"/>
        <v>0</v>
      </c>
      <c r="AI411" s="10">
        <f t="shared" si="285"/>
        <v>0</v>
      </c>
      <c r="AJ411" s="10">
        <f t="shared" si="284"/>
        <v>0</v>
      </c>
      <c r="AK411" s="10">
        <f t="shared" si="284"/>
        <v>0</v>
      </c>
      <c r="AL411" s="10">
        <f t="shared" si="284"/>
        <v>0</v>
      </c>
      <c r="AM411" s="10">
        <f t="shared" si="284"/>
        <v>0</v>
      </c>
      <c r="AN411" s="27">
        <f t="shared" si="284"/>
        <v>250000</v>
      </c>
      <c r="AO411" s="28">
        <v>0</v>
      </c>
      <c r="AS411" t="str">
        <f>_xlfn.XLOOKUP(AU411,[2]GAE!HZ:HZ,[2]GAE!IA:IA)</f>
        <v>HUMAN RESOURCES</v>
      </c>
      <c r="AT411" t="str">
        <f>_xlfn.XLOOKUP(AU411,[2]GAE!HZ:HZ,[2]GAE!IB:IB)</f>
        <v>DOE - Employees' Welfare</v>
      </c>
      <c r="AU411" t="s">
        <v>809</v>
      </c>
      <c r="AV411">
        <v>81122101</v>
      </c>
      <c r="AW411">
        <v>52121402</v>
      </c>
      <c r="AX411" t="str">
        <f>_xlfn.XLOOKUP(AU411,[2]GAE!HZ:HZ,[2]GAE!IF:IF)</f>
        <v>Employee Benefits</v>
      </c>
      <c r="AY411" t="str">
        <f>_xlfn.XLOOKUP(AU411,[2]GAE!HZ:HZ,[2]GAE!IG:IG)</f>
        <v>Employee Programs/Perks</v>
      </c>
      <c r="BA411" t="s">
        <v>811</v>
      </c>
      <c r="BF411" t="s">
        <v>106</v>
      </c>
      <c r="BG411" s="3" t="s">
        <v>812</v>
      </c>
      <c r="BH411" s="10">
        <f>SUMIFS('[1]2026'!$K:$K,'[1]2026'!$T:$T,BD411,'[1]2026'!$S:$S,BH$3,'[1]2026'!$P:$P,AU411)</f>
        <v>0</v>
      </c>
      <c r="BI411" s="10">
        <f>SUMIFS('[1]2026'!$K:$K,'[1]2026'!$T:$T,$BD411,'[1]2026'!$S:$S,BI$3,'[1]2026'!$P:$P,$AU411)</f>
        <v>0</v>
      </c>
      <c r="BJ411" s="10">
        <f>SUMIFS('[1]2026'!$K:$K,'[1]2026'!$T:$T,$BD411,'[1]2026'!$S:$S,BJ$3,'[1]2026'!$P:$P,$AU411)</f>
        <v>0</v>
      </c>
      <c r="BK411" s="10">
        <f>SUMIFS('[1]2026'!$K:$K,'[1]2026'!$T:$T,$BD411,'[1]2026'!$S:$S,BK$3,'[1]2026'!$P:$P,$AU411)</f>
        <v>0</v>
      </c>
      <c r="BL411" s="10">
        <f>SUMIFS('[1]2026'!$K:$K,'[1]2026'!$T:$T,$BD411,'[1]2026'!$S:$S,BL$3,'[1]2026'!$P:$P,$AU411)</f>
        <v>0</v>
      </c>
      <c r="BM411" s="10">
        <f>SUMIFS('[1]2026'!$K:$K,'[1]2026'!$T:$T,$BD411,'[1]2026'!$S:$S,BM$3,'[1]2026'!$P:$P,$AU411)</f>
        <v>0</v>
      </c>
      <c r="BN411" s="10">
        <f>SUMIFS('[1]2026'!$K:$K,'[1]2026'!$T:$T,$BD411,'[1]2026'!$S:$S,BN$3,'[1]2026'!$P:$P,$AU411)</f>
        <v>0</v>
      </c>
      <c r="BO411" s="10">
        <f>SUMIFS('[1]2026'!$K:$K,'[1]2026'!$T:$T,$BD411,'[1]2026'!$S:$S,BO$3,'[1]2026'!$P:$P,$AU411)</f>
        <v>0</v>
      </c>
      <c r="BP411" s="6">
        <f t="shared" ref="BP411:BS414" si="289">BO411</f>
        <v>0</v>
      </c>
      <c r="BQ411" s="6">
        <f t="shared" si="289"/>
        <v>0</v>
      </c>
      <c r="BR411" s="6">
        <f t="shared" si="289"/>
        <v>0</v>
      </c>
      <c r="BS411" s="6">
        <f t="shared" si="289"/>
        <v>0</v>
      </c>
      <c r="BT411" s="6">
        <f t="shared" si="283"/>
        <v>0</v>
      </c>
      <c r="BV411" s="6">
        <f t="shared" si="269"/>
        <v>-250000</v>
      </c>
      <c r="BW411" s="6">
        <f t="shared" si="270"/>
        <v>0</v>
      </c>
      <c r="BX411" s="6">
        <f t="shared" si="271"/>
        <v>0</v>
      </c>
      <c r="BY411" s="6">
        <f t="shared" si="272"/>
        <v>0</v>
      </c>
      <c r="BZ411" s="6">
        <f t="shared" si="273"/>
        <v>0</v>
      </c>
      <c r="CA411" s="6">
        <f t="shared" si="274"/>
        <v>0</v>
      </c>
      <c r="CB411" s="6">
        <f t="shared" si="275"/>
        <v>0</v>
      </c>
      <c r="CC411" s="6">
        <f t="shared" si="276"/>
        <v>0</v>
      </c>
      <c r="CD411" s="6">
        <f t="shared" si="277"/>
        <v>0</v>
      </c>
      <c r="CE411" s="6">
        <f t="shared" si="278"/>
        <v>0</v>
      </c>
      <c r="CF411" s="6">
        <f t="shared" si="279"/>
        <v>0</v>
      </c>
      <c r="CG411" s="6">
        <f t="shared" si="280"/>
        <v>0</v>
      </c>
      <c r="CH411" s="6">
        <f t="shared" si="251"/>
        <v>-250000</v>
      </c>
    </row>
    <row r="412" spans="1:88" hidden="1" x14ac:dyDescent="0.35">
      <c r="A412" s="3" t="s">
        <v>813</v>
      </c>
      <c r="C412" s="10">
        <v>30000</v>
      </c>
      <c r="N412" s="27">
        <f t="shared" si="265"/>
        <v>30000</v>
      </c>
      <c r="AA412" s="27">
        <f t="shared" si="266"/>
        <v>0</v>
      </c>
      <c r="AB412" s="10">
        <f t="shared" si="285"/>
        <v>0</v>
      </c>
      <c r="AC412" s="10">
        <f t="shared" si="285"/>
        <v>30000</v>
      </c>
      <c r="AD412" s="10">
        <f t="shared" si="285"/>
        <v>0</v>
      </c>
      <c r="AE412" s="10">
        <f t="shared" si="285"/>
        <v>0</v>
      </c>
      <c r="AF412" s="10">
        <f t="shared" si="285"/>
        <v>0</v>
      </c>
      <c r="AG412" s="10">
        <f t="shared" si="285"/>
        <v>0</v>
      </c>
      <c r="AH412" s="10">
        <f t="shared" si="285"/>
        <v>0</v>
      </c>
      <c r="AI412" s="10">
        <f t="shared" si="285"/>
        <v>0</v>
      </c>
      <c r="AJ412" s="10">
        <f t="shared" si="284"/>
        <v>0</v>
      </c>
      <c r="AK412" s="10">
        <f t="shared" si="284"/>
        <v>0</v>
      </c>
      <c r="AL412" s="10">
        <f t="shared" si="284"/>
        <v>0</v>
      </c>
      <c r="AM412" s="10">
        <f t="shared" si="284"/>
        <v>0</v>
      </c>
      <c r="AN412" s="27">
        <f t="shared" si="284"/>
        <v>30000</v>
      </c>
      <c r="AO412" s="28">
        <v>10607.14</v>
      </c>
      <c r="AS412" t="str">
        <f>_xlfn.XLOOKUP(AU412,[2]GAE!HZ:HZ,[2]GAE!IA:IA)</f>
        <v>HUMAN RESOURCES</v>
      </c>
      <c r="AT412" t="str">
        <f>_xlfn.XLOOKUP(AU412,[2]GAE!HZ:HZ,[2]GAE!IB:IB)</f>
        <v>DOE - Company Events</v>
      </c>
      <c r="AU412" t="s">
        <v>790</v>
      </c>
      <c r="AV412">
        <v>81122101</v>
      </c>
      <c r="AW412">
        <v>52121401</v>
      </c>
      <c r="AX412" t="str">
        <f>_xlfn.XLOOKUP(AU412,[2]GAE!HZ:HZ,[2]GAE!IF:IF)</f>
        <v>Employee Benefits</v>
      </c>
      <c r="AY412" t="str">
        <f>_xlfn.XLOOKUP(AU412,[2]GAE!HZ:HZ,[2]GAE!IG:IG)</f>
        <v>Employee Programs/Perks</v>
      </c>
      <c r="BF412" t="s">
        <v>103</v>
      </c>
      <c r="BG412" s="3" t="s">
        <v>813</v>
      </c>
      <c r="BH412" s="10">
        <f>SUMIFS('[1]2026'!$K:$K,'[1]2026'!$T:$T,BD412,'[1]2026'!$S:$S,BH$3,'[1]2026'!$P:$P,AU412)</f>
        <v>0</v>
      </c>
      <c r="BI412" s="10">
        <f>SUMIFS('[1]2026'!$K:$K,'[1]2026'!$T:$T,$BD412,'[1]2026'!$S:$S,BI$3,'[1]2026'!$P:$P,$AU412)</f>
        <v>0</v>
      </c>
      <c r="BJ412" s="10">
        <f>SUMIFS('[1]2026'!$K:$K,'[1]2026'!$T:$T,$BD412,'[1]2026'!$S:$S,BJ$3,'[1]2026'!$P:$P,$AU412)</f>
        <v>0</v>
      </c>
      <c r="BK412" s="10">
        <f>SUMIFS('[1]2026'!$K:$K,'[1]2026'!$T:$T,$BD412,'[1]2026'!$S:$S,BK$3,'[1]2026'!$P:$P,$AU412)</f>
        <v>0</v>
      </c>
      <c r="BL412" s="10">
        <f>SUMIFS('[1]2026'!$K:$K,'[1]2026'!$T:$T,$BD412,'[1]2026'!$S:$S,BL$3,'[1]2026'!$P:$P,$AU412)</f>
        <v>0</v>
      </c>
      <c r="BM412" s="10">
        <f>SUMIFS('[1]2026'!$K:$K,'[1]2026'!$T:$T,$BD412,'[1]2026'!$S:$S,BM$3,'[1]2026'!$P:$P,$AU412)</f>
        <v>0</v>
      </c>
      <c r="BN412" s="10">
        <f>SUMIFS('[1]2026'!$K:$K,'[1]2026'!$T:$T,$BD412,'[1]2026'!$S:$S,BN$3,'[1]2026'!$P:$P,$AU412)</f>
        <v>0</v>
      </c>
      <c r="BO412" s="10">
        <f>SUMIFS('[1]2026'!$K:$K,'[1]2026'!$T:$T,$BD412,'[1]2026'!$S:$S,BO$3,'[1]2026'!$P:$P,$AU412)</f>
        <v>0</v>
      </c>
      <c r="BP412" s="6">
        <f t="shared" si="289"/>
        <v>0</v>
      </c>
      <c r="BQ412" s="6">
        <f t="shared" si="289"/>
        <v>0</v>
      </c>
      <c r="BR412" s="6">
        <f t="shared" si="289"/>
        <v>0</v>
      </c>
      <c r="BS412" s="6">
        <f t="shared" si="289"/>
        <v>0</v>
      </c>
      <c r="BT412" s="6">
        <f t="shared" si="283"/>
        <v>0</v>
      </c>
      <c r="BV412" s="6">
        <f t="shared" si="269"/>
        <v>0</v>
      </c>
      <c r="BW412" s="6">
        <f t="shared" si="270"/>
        <v>-30000</v>
      </c>
      <c r="BX412" s="6">
        <f t="shared" si="271"/>
        <v>0</v>
      </c>
      <c r="BY412" s="6">
        <f t="shared" si="272"/>
        <v>0</v>
      </c>
      <c r="BZ412" s="6">
        <f t="shared" si="273"/>
        <v>0</v>
      </c>
      <c r="CA412" s="6">
        <f t="shared" si="274"/>
        <v>0</v>
      </c>
      <c r="CB412" s="6">
        <f t="shared" si="275"/>
        <v>0</v>
      </c>
      <c r="CC412" s="6">
        <f t="shared" si="276"/>
        <v>0</v>
      </c>
      <c r="CD412" s="6">
        <f t="shared" si="277"/>
        <v>0</v>
      </c>
      <c r="CE412" s="6">
        <f t="shared" si="278"/>
        <v>0</v>
      </c>
      <c r="CF412" s="6">
        <f t="shared" si="279"/>
        <v>0</v>
      </c>
      <c r="CG412" s="6">
        <f t="shared" si="280"/>
        <v>0</v>
      </c>
      <c r="CH412" s="6">
        <f t="shared" si="251"/>
        <v>-30000</v>
      </c>
    </row>
    <row r="413" spans="1:88" hidden="1" x14ac:dyDescent="0.35">
      <c r="A413" s="3" t="s">
        <v>814</v>
      </c>
      <c r="C413" s="10">
        <v>30000</v>
      </c>
      <c r="N413" s="27">
        <f t="shared" si="265"/>
        <v>30000</v>
      </c>
      <c r="AA413" s="27">
        <f t="shared" si="266"/>
        <v>0</v>
      </c>
      <c r="AB413" s="10">
        <f t="shared" si="285"/>
        <v>0</v>
      </c>
      <c r="AC413" s="10">
        <f t="shared" si="285"/>
        <v>30000</v>
      </c>
      <c r="AD413" s="10">
        <f t="shared" si="285"/>
        <v>0</v>
      </c>
      <c r="AE413" s="10">
        <f t="shared" si="285"/>
        <v>0</v>
      </c>
      <c r="AF413" s="10">
        <f t="shared" si="285"/>
        <v>0</v>
      </c>
      <c r="AG413" s="10">
        <f t="shared" si="285"/>
        <v>0</v>
      </c>
      <c r="AH413" s="10">
        <f t="shared" si="285"/>
        <v>0</v>
      </c>
      <c r="AI413" s="10">
        <f t="shared" si="285"/>
        <v>0</v>
      </c>
      <c r="AJ413" s="10">
        <f t="shared" si="284"/>
        <v>0</v>
      </c>
      <c r="AK413" s="10">
        <f t="shared" si="284"/>
        <v>0</v>
      </c>
      <c r="AL413" s="10">
        <f t="shared" si="284"/>
        <v>0</v>
      </c>
      <c r="AM413" s="10">
        <f t="shared" si="284"/>
        <v>0</v>
      </c>
      <c r="AN413" s="27">
        <f t="shared" si="284"/>
        <v>30000</v>
      </c>
      <c r="AO413" s="28">
        <v>19994</v>
      </c>
      <c r="AS413" t="str">
        <f>_xlfn.XLOOKUP(AU413,[2]GAE!HZ:HZ,[2]GAE!IA:IA)</f>
        <v>HUMAN RESOURCES</v>
      </c>
      <c r="AT413" t="str">
        <f>_xlfn.XLOOKUP(AU413,[2]GAE!HZ:HZ,[2]GAE!IB:IB)</f>
        <v>DOE - Company Events</v>
      </c>
      <c r="AU413" t="s">
        <v>790</v>
      </c>
      <c r="AV413">
        <v>81122101</v>
      </c>
      <c r="AW413">
        <v>52121401</v>
      </c>
      <c r="AX413" t="str">
        <f>_xlfn.XLOOKUP(AU413,[2]GAE!HZ:HZ,[2]GAE!IF:IF)</f>
        <v>Employee Benefits</v>
      </c>
      <c r="AY413" t="str">
        <f>_xlfn.XLOOKUP(AU413,[2]GAE!HZ:HZ,[2]GAE!IG:IG)</f>
        <v>Employee Programs/Perks</v>
      </c>
      <c r="BF413" t="s">
        <v>103</v>
      </c>
      <c r="BG413" s="3" t="s">
        <v>814</v>
      </c>
      <c r="BH413" s="10">
        <f>SUMIFS('[1]2026'!$K:$K,'[1]2026'!$T:$T,BD413,'[1]2026'!$S:$S,BH$3,'[1]2026'!$P:$P,AU413)</f>
        <v>0</v>
      </c>
      <c r="BI413" s="10">
        <f>SUMIFS('[1]2026'!$K:$K,'[1]2026'!$T:$T,$BD413,'[1]2026'!$S:$S,BI$3,'[1]2026'!$P:$P,$AU413)</f>
        <v>0</v>
      </c>
      <c r="BJ413" s="10">
        <f>SUMIFS('[1]2026'!$K:$K,'[1]2026'!$T:$T,$BD413,'[1]2026'!$S:$S,BJ$3,'[1]2026'!$P:$P,$AU413)</f>
        <v>0</v>
      </c>
      <c r="BK413" s="10">
        <f>SUMIFS('[1]2026'!$K:$K,'[1]2026'!$T:$T,$BD413,'[1]2026'!$S:$S,BK$3,'[1]2026'!$P:$P,$AU413)</f>
        <v>0</v>
      </c>
      <c r="BL413" s="10">
        <f>SUMIFS('[1]2026'!$K:$K,'[1]2026'!$T:$T,$BD413,'[1]2026'!$S:$S,BL$3,'[1]2026'!$P:$P,$AU413)</f>
        <v>0</v>
      </c>
      <c r="BM413" s="10">
        <f>SUMIFS('[1]2026'!$K:$K,'[1]2026'!$T:$T,$BD413,'[1]2026'!$S:$S,BM$3,'[1]2026'!$P:$P,$AU413)</f>
        <v>0</v>
      </c>
      <c r="BN413" s="10">
        <f>SUMIFS('[1]2026'!$K:$K,'[1]2026'!$T:$T,$BD413,'[1]2026'!$S:$S,BN$3,'[1]2026'!$P:$P,$AU413)</f>
        <v>0</v>
      </c>
      <c r="BO413" s="10">
        <f>SUMIFS('[1]2026'!$K:$K,'[1]2026'!$T:$T,$BD413,'[1]2026'!$S:$S,BO$3,'[1]2026'!$P:$P,$AU413)</f>
        <v>0</v>
      </c>
      <c r="BP413" s="6">
        <f t="shared" si="289"/>
        <v>0</v>
      </c>
      <c r="BQ413" s="6">
        <f t="shared" si="289"/>
        <v>0</v>
      </c>
      <c r="BR413" s="6">
        <f t="shared" si="289"/>
        <v>0</v>
      </c>
      <c r="BS413" s="6">
        <f t="shared" si="289"/>
        <v>0</v>
      </c>
      <c r="BT413" s="6">
        <f t="shared" si="283"/>
        <v>0</v>
      </c>
      <c r="BV413" s="6">
        <f t="shared" si="269"/>
        <v>0</v>
      </c>
      <c r="BW413" s="6">
        <f t="shared" si="270"/>
        <v>-30000</v>
      </c>
      <c r="BX413" s="6">
        <f t="shared" si="271"/>
        <v>0</v>
      </c>
      <c r="BY413" s="6">
        <f t="shared" si="272"/>
        <v>0</v>
      </c>
      <c r="BZ413" s="6">
        <f t="shared" si="273"/>
        <v>0</v>
      </c>
      <c r="CA413" s="6">
        <f t="shared" si="274"/>
        <v>0</v>
      </c>
      <c r="CB413" s="6">
        <f t="shared" si="275"/>
        <v>0</v>
      </c>
      <c r="CC413" s="6">
        <f t="shared" si="276"/>
        <v>0</v>
      </c>
      <c r="CD413" s="6">
        <f t="shared" si="277"/>
        <v>0</v>
      </c>
      <c r="CE413" s="6">
        <f t="shared" si="278"/>
        <v>0</v>
      </c>
      <c r="CF413" s="6">
        <f t="shared" si="279"/>
        <v>0</v>
      </c>
      <c r="CG413" s="6">
        <f t="shared" si="280"/>
        <v>0</v>
      </c>
      <c r="CH413" s="6">
        <f t="shared" si="251"/>
        <v>-30000</v>
      </c>
    </row>
    <row r="414" spans="1:88" hidden="1" x14ac:dyDescent="0.35">
      <c r="A414" s="3" t="s">
        <v>815</v>
      </c>
      <c r="D414" s="10">
        <v>20000</v>
      </c>
      <c r="N414" s="27">
        <f t="shared" si="265"/>
        <v>20000</v>
      </c>
      <c r="AA414" s="27">
        <f t="shared" si="266"/>
        <v>0</v>
      </c>
      <c r="AB414" s="10">
        <f t="shared" si="285"/>
        <v>0</v>
      </c>
      <c r="AC414" s="10">
        <f t="shared" si="285"/>
        <v>0</v>
      </c>
      <c r="AD414" s="10">
        <f t="shared" si="285"/>
        <v>20000</v>
      </c>
      <c r="AE414" s="10">
        <f t="shared" si="285"/>
        <v>0</v>
      </c>
      <c r="AF414" s="10">
        <f t="shared" si="285"/>
        <v>0</v>
      </c>
      <c r="AG414" s="10">
        <f t="shared" si="285"/>
        <v>0</v>
      </c>
      <c r="AH414" s="10">
        <f t="shared" si="285"/>
        <v>0</v>
      </c>
      <c r="AI414" s="10">
        <f t="shared" si="285"/>
        <v>0</v>
      </c>
      <c r="AJ414" s="10">
        <f t="shared" si="284"/>
        <v>0</v>
      </c>
      <c r="AK414" s="10">
        <f t="shared" si="284"/>
        <v>0</v>
      </c>
      <c r="AL414" s="10">
        <f t="shared" si="284"/>
        <v>0</v>
      </c>
      <c r="AM414" s="10">
        <f t="shared" si="284"/>
        <v>0</v>
      </c>
      <c r="AN414" s="27">
        <f t="shared" si="284"/>
        <v>20000</v>
      </c>
      <c r="AO414" s="28">
        <v>0</v>
      </c>
      <c r="AS414" t="str">
        <f>_xlfn.XLOOKUP(AU414,[2]GAE!HZ:HZ,[2]GAE!IA:IA)</f>
        <v>HUMAN RESOURCES</v>
      </c>
      <c r="AT414" t="str">
        <f>_xlfn.XLOOKUP(AU414,[2]GAE!HZ:HZ,[2]GAE!IB:IB)</f>
        <v>DOE - Company Events</v>
      </c>
      <c r="AU414" t="s">
        <v>790</v>
      </c>
      <c r="AV414">
        <v>81122101</v>
      </c>
      <c r="AW414">
        <v>52121401</v>
      </c>
      <c r="AX414" t="str">
        <f>_xlfn.XLOOKUP(AU414,[2]GAE!HZ:HZ,[2]GAE!IF:IF)</f>
        <v>Employee Benefits</v>
      </c>
      <c r="AY414" t="str">
        <f>_xlfn.XLOOKUP(AU414,[2]GAE!HZ:HZ,[2]GAE!IG:IG)</f>
        <v>Employee Programs/Perks</v>
      </c>
      <c r="BF414" t="s">
        <v>103</v>
      </c>
      <c r="BG414" s="3" t="s">
        <v>815</v>
      </c>
      <c r="BH414" s="10">
        <f>SUMIFS('[1]2026'!$K:$K,'[1]2026'!$T:$T,BD414,'[1]2026'!$S:$S,BH$3,'[1]2026'!$P:$P,AU414)</f>
        <v>0</v>
      </c>
      <c r="BI414" s="10">
        <f>SUMIFS('[1]2026'!$K:$K,'[1]2026'!$T:$T,$BD414,'[1]2026'!$S:$S,BI$3,'[1]2026'!$P:$P,$AU414)</f>
        <v>0</v>
      </c>
      <c r="BJ414" s="10">
        <f>SUMIFS('[1]2026'!$K:$K,'[1]2026'!$T:$T,$BD414,'[1]2026'!$S:$S,BJ$3,'[1]2026'!$P:$P,$AU414)</f>
        <v>0</v>
      </c>
      <c r="BK414" s="10">
        <f>SUMIFS('[1]2026'!$K:$K,'[1]2026'!$T:$T,$BD414,'[1]2026'!$S:$S,BK$3,'[1]2026'!$P:$P,$AU414)</f>
        <v>0</v>
      </c>
      <c r="BL414" s="10">
        <f>SUMIFS('[1]2026'!$K:$K,'[1]2026'!$T:$T,$BD414,'[1]2026'!$S:$S,BL$3,'[1]2026'!$P:$P,$AU414)</f>
        <v>0</v>
      </c>
      <c r="BM414" s="10">
        <f>SUMIFS('[1]2026'!$K:$K,'[1]2026'!$T:$T,$BD414,'[1]2026'!$S:$S,BM$3,'[1]2026'!$P:$P,$AU414)</f>
        <v>0</v>
      </c>
      <c r="BN414" s="10">
        <f>SUMIFS('[1]2026'!$K:$K,'[1]2026'!$T:$T,$BD414,'[1]2026'!$S:$S,BN$3,'[1]2026'!$P:$P,$AU414)</f>
        <v>0</v>
      </c>
      <c r="BO414" s="10">
        <f>SUMIFS('[1]2026'!$K:$K,'[1]2026'!$T:$T,$BD414,'[1]2026'!$S:$S,BO$3,'[1]2026'!$P:$P,$AU414)</f>
        <v>0</v>
      </c>
      <c r="BP414" s="6">
        <f t="shared" si="289"/>
        <v>0</v>
      </c>
      <c r="BQ414" s="6">
        <f t="shared" si="289"/>
        <v>0</v>
      </c>
      <c r="BR414" s="6">
        <f t="shared" si="289"/>
        <v>0</v>
      </c>
      <c r="BS414" s="6">
        <f t="shared" si="289"/>
        <v>0</v>
      </c>
      <c r="BT414" s="6">
        <f t="shared" si="283"/>
        <v>0</v>
      </c>
      <c r="BV414" s="6">
        <f t="shared" si="269"/>
        <v>0</v>
      </c>
      <c r="BW414" s="6">
        <f t="shared" si="270"/>
        <v>0</v>
      </c>
      <c r="BX414" s="6">
        <f t="shared" si="271"/>
        <v>-20000</v>
      </c>
      <c r="BY414" s="6">
        <f t="shared" si="272"/>
        <v>0</v>
      </c>
      <c r="BZ414" s="6">
        <f t="shared" si="273"/>
        <v>0</v>
      </c>
      <c r="CA414" s="6">
        <f t="shared" si="274"/>
        <v>0</v>
      </c>
      <c r="CB414" s="6">
        <f t="shared" si="275"/>
        <v>0</v>
      </c>
      <c r="CC414" s="6">
        <f t="shared" si="276"/>
        <v>0</v>
      </c>
      <c r="CD414" s="6">
        <f t="shared" si="277"/>
        <v>0</v>
      </c>
      <c r="CE414" s="6">
        <f t="shared" si="278"/>
        <v>0</v>
      </c>
      <c r="CF414" s="6">
        <f t="shared" si="279"/>
        <v>0</v>
      </c>
      <c r="CG414" s="6">
        <f t="shared" si="280"/>
        <v>0</v>
      </c>
      <c r="CH414" s="6">
        <f t="shared" si="251"/>
        <v>-20000</v>
      </c>
    </row>
    <row r="415" spans="1:88" hidden="1" x14ac:dyDescent="0.35">
      <c r="A415" s="3" t="s">
        <v>816</v>
      </c>
      <c r="F415" s="10">
        <v>30000</v>
      </c>
      <c r="N415" s="27">
        <f t="shared" si="265"/>
        <v>30000</v>
      </c>
      <c r="AA415" s="27">
        <f t="shared" si="266"/>
        <v>0</v>
      </c>
      <c r="AB415" s="10">
        <f t="shared" si="285"/>
        <v>0</v>
      </c>
      <c r="AC415" s="10">
        <f t="shared" si="285"/>
        <v>0</v>
      </c>
      <c r="AD415" s="10">
        <f t="shared" si="285"/>
        <v>0</v>
      </c>
      <c r="AE415" s="10">
        <f t="shared" si="285"/>
        <v>0</v>
      </c>
      <c r="AF415" s="10">
        <f t="shared" si="285"/>
        <v>30000</v>
      </c>
      <c r="AG415" s="10">
        <f t="shared" si="285"/>
        <v>0</v>
      </c>
      <c r="AH415" s="10">
        <f t="shared" si="285"/>
        <v>0</v>
      </c>
      <c r="AI415" s="10">
        <f t="shared" si="285"/>
        <v>0</v>
      </c>
      <c r="AJ415" s="10">
        <f t="shared" si="284"/>
        <v>0</v>
      </c>
      <c r="AK415" s="10">
        <f t="shared" si="284"/>
        <v>0</v>
      </c>
      <c r="AL415" s="10">
        <f t="shared" si="284"/>
        <v>0</v>
      </c>
      <c r="AM415" s="10">
        <f t="shared" si="284"/>
        <v>0</v>
      </c>
      <c r="AN415" s="27">
        <f t="shared" si="284"/>
        <v>30000</v>
      </c>
      <c r="AO415" s="28">
        <v>0</v>
      </c>
      <c r="AS415" t="str">
        <f>_xlfn.XLOOKUP(AU415,[2]GAE!HZ:HZ,[2]GAE!IA:IA)</f>
        <v>HUMAN RESOURCES</v>
      </c>
      <c r="AT415" t="str">
        <f>_xlfn.XLOOKUP(AU415,[2]GAE!HZ:HZ,[2]GAE!IB:IB)</f>
        <v>DOE - Company Events</v>
      </c>
      <c r="AU415" t="s">
        <v>790</v>
      </c>
      <c r="AV415">
        <v>81122101</v>
      </c>
      <c r="AW415">
        <v>52121401</v>
      </c>
      <c r="AX415" t="str">
        <f>_xlfn.XLOOKUP(AU415,[2]GAE!HZ:HZ,[2]GAE!IF:IF)</f>
        <v>Employee Benefits</v>
      </c>
      <c r="AY415" t="str">
        <f>_xlfn.XLOOKUP(AU415,[2]GAE!HZ:HZ,[2]GAE!IG:IG)</f>
        <v>Employee Programs/Perks</v>
      </c>
      <c r="BF415" t="s">
        <v>103</v>
      </c>
      <c r="BG415" s="3" t="s">
        <v>816</v>
      </c>
      <c r="BH415" s="10">
        <f>SUMIFS('[1]2026'!$K:$K,'[1]2026'!$T:$T,BD415,'[1]2026'!$S:$S,BH$3,'[1]2026'!$P:$P,AU415)</f>
        <v>0</v>
      </c>
      <c r="BI415" s="10">
        <f>SUMIFS('[1]2026'!$K:$K,'[1]2026'!$T:$T,$BD415,'[1]2026'!$S:$S,BI$3,'[1]2026'!$P:$P,$AU415)</f>
        <v>0</v>
      </c>
      <c r="BJ415" s="10">
        <f>SUMIFS('[1]2026'!$K:$K,'[1]2026'!$T:$T,$BD415,'[1]2026'!$S:$S,BJ$3,'[1]2026'!$P:$P,$AU415)</f>
        <v>0</v>
      </c>
      <c r="BK415" s="10">
        <f>SUMIFS('[1]2026'!$K:$K,'[1]2026'!$T:$T,$BD415,'[1]2026'!$S:$S,BK$3,'[1]2026'!$P:$P,$AU415)</f>
        <v>0</v>
      </c>
      <c r="BL415" s="10">
        <f>SUMIFS('[1]2026'!$K:$K,'[1]2026'!$T:$T,$BD415,'[1]2026'!$S:$S,BL$3,'[1]2026'!$P:$P,$AU415)</f>
        <v>0</v>
      </c>
      <c r="BM415" s="10">
        <f>SUMIFS('[1]2026'!$K:$K,'[1]2026'!$T:$T,$BD415,'[1]2026'!$S:$S,BM$3,'[1]2026'!$P:$P,$AU415)</f>
        <v>0</v>
      </c>
      <c r="BN415" s="10">
        <f>SUMIFS('[1]2026'!$K:$K,'[1]2026'!$T:$T,$BD415,'[1]2026'!$S:$S,BN$3,'[1]2026'!$P:$P,$AU415)</f>
        <v>0</v>
      </c>
      <c r="BO415" s="10">
        <f>SUMIFS('[1]2026'!$K:$K,'[1]2026'!$T:$T,$BD415,'[1]2026'!$S:$S,BO$3,'[1]2026'!$P:$P,$AU415)</f>
        <v>0</v>
      </c>
      <c r="BP415" s="6"/>
      <c r="BQ415" s="6"/>
      <c r="BR415" s="6"/>
      <c r="BS415" s="6"/>
      <c r="BT415" s="6">
        <f t="shared" si="283"/>
        <v>0</v>
      </c>
      <c r="BV415" s="6">
        <f t="shared" si="269"/>
        <v>0</v>
      </c>
      <c r="BW415" s="6">
        <f t="shared" si="270"/>
        <v>0</v>
      </c>
      <c r="BX415" s="6">
        <f t="shared" si="271"/>
        <v>0</v>
      </c>
      <c r="BY415" s="6">
        <f t="shared" si="272"/>
        <v>0</v>
      </c>
      <c r="BZ415" s="6">
        <f t="shared" si="273"/>
        <v>-30000</v>
      </c>
      <c r="CA415" s="6">
        <f t="shared" si="274"/>
        <v>0</v>
      </c>
      <c r="CB415" s="6">
        <f t="shared" si="275"/>
        <v>0</v>
      </c>
      <c r="CC415" s="6">
        <f t="shared" si="276"/>
        <v>0</v>
      </c>
      <c r="CD415" s="6">
        <f t="shared" si="277"/>
        <v>0</v>
      </c>
      <c r="CE415" s="6">
        <f t="shared" si="278"/>
        <v>0</v>
      </c>
      <c r="CF415" s="6">
        <f t="shared" si="279"/>
        <v>0</v>
      </c>
      <c r="CG415" s="6">
        <f t="shared" si="280"/>
        <v>0</v>
      </c>
      <c r="CH415" s="6">
        <f t="shared" si="251"/>
        <v>-30000</v>
      </c>
    </row>
    <row r="416" spans="1:88" hidden="1" x14ac:dyDescent="0.35">
      <c r="A416" s="3" t="s">
        <v>817</v>
      </c>
      <c r="F416" s="10">
        <v>30000</v>
      </c>
      <c r="N416" s="27">
        <f t="shared" si="265"/>
        <v>30000</v>
      </c>
      <c r="AA416" s="27">
        <f t="shared" si="266"/>
        <v>0</v>
      </c>
      <c r="AB416" s="10">
        <f t="shared" si="285"/>
        <v>0</v>
      </c>
      <c r="AC416" s="10">
        <f t="shared" si="285"/>
        <v>0</v>
      </c>
      <c r="AD416" s="10">
        <f t="shared" si="285"/>
        <v>0</v>
      </c>
      <c r="AE416" s="10">
        <f t="shared" si="285"/>
        <v>0</v>
      </c>
      <c r="AF416" s="10">
        <f t="shared" si="285"/>
        <v>30000</v>
      </c>
      <c r="AG416" s="10">
        <f t="shared" si="285"/>
        <v>0</v>
      </c>
      <c r="AH416" s="10">
        <f t="shared" si="285"/>
        <v>0</v>
      </c>
      <c r="AI416" s="10">
        <f t="shared" si="285"/>
        <v>0</v>
      </c>
      <c r="AJ416" s="10">
        <f t="shared" si="284"/>
        <v>0</v>
      </c>
      <c r="AK416" s="10">
        <f t="shared" si="284"/>
        <v>0</v>
      </c>
      <c r="AL416" s="10">
        <f t="shared" si="284"/>
        <v>0</v>
      </c>
      <c r="AM416" s="10">
        <f t="shared" si="284"/>
        <v>0</v>
      </c>
      <c r="AN416" s="27">
        <f t="shared" si="284"/>
        <v>30000</v>
      </c>
      <c r="AO416" s="28">
        <v>0</v>
      </c>
      <c r="AS416" t="str">
        <f>_xlfn.XLOOKUP(AU416,[2]GAE!HZ:HZ,[2]GAE!IA:IA)</f>
        <v>HUMAN RESOURCES</v>
      </c>
      <c r="AT416" t="str">
        <f>_xlfn.XLOOKUP(AU416,[2]GAE!HZ:HZ,[2]GAE!IB:IB)</f>
        <v>DOE - Company Events</v>
      </c>
      <c r="AU416" t="s">
        <v>790</v>
      </c>
      <c r="AV416">
        <v>81122101</v>
      </c>
      <c r="AW416">
        <v>52121401</v>
      </c>
      <c r="AX416" t="str">
        <f>_xlfn.XLOOKUP(AU416,[2]GAE!HZ:HZ,[2]GAE!IF:IF)</f>
        <v>Employee Benefits</v>
      </c>
      <c r="AY416" t="str">
        <f>_xlfn.XLOOKUP(AU416,[2]GAE!HZ:HZ,[2]GAE!IG:IG)</f>
        <v>Employee Programs/Perks</v>
      </c>
      <c r="BF416" t="s">
        <v>103</v>
      </c>
      <c r="BG416" s="3" t="s">
        <v>817</v>
      </c>
      <c r="BH416" s="10">
        <f>SUMIFS('[1]2026'!$K:$K,'[1]2026'!$T:$T,BD416,'[1]2026'!$S:$S,BH$3,'[1]2026'!$P:$P,AU416)</f>
        <v>0</v>
      </c>
      <c r="BI416" s="10">
        <f>SUMIFS('[1]2026'!$K:$K,'[1]2026'!$T:$T,$BD416,'[1]2026'!$S:$S,BI$3,'[1]2026'!$P:$P,$AU416)</f>
        <v>0</v>
      </c>
      <c r="BJ416" s="10">
        <f>SUMIFS('[1]2026'!$K:$K,'[1]2026'!$T:$T,$BD416,'[1]2026'!$S:$S,BJ$3,'[1]2026'!$P:$P,$AU416)</f>
        <v>0</v>
      </c>
      <c r="BK416" s="10">
        <f>SUMIFS('[1]2026'!$K:$K,'[1]2026'!$T:$T,$BD416,'[1]2026'!$S:$S,BK$3,'[1]2026'!$P:$P,$AU416)</f>
        <v>0</v>
      </c>
      <c r="BL416" s="10">
        <f>SUMIFS('[1]2026'!$K:$K,'[1]2026'!$T:$T,$BD416,'[1]2026'!$S:$S,BL$3,'[1]2026'!$P:$P,$AU416)</f>
        <v>0</v>
      </c>
      <c r="BM416" s="10">
        <f>SUMIFS('[1]2026'!$K:$K,'[1]2026'!$T:$T,$BD416,'[1]2026'!$S:$S,BM$3,'[1]2026'!$P:$P,$AU416)</f>
        <v>0</v>
      </c>
      <c r="BN416" s="10">
        <f>SUMIFS('[1]2026'!$K:$K,'[1]2026'!$T:$T,$BD416,'[1]2026'!$S:$S,BN$3,'[1]2026'!$P:$P,$AU416)</f>
        <v>0</v>
      </c>
      <c r="BO416" s="10">
        <f>SUMIFS('[1]2026'!$K:$K,'[1]2026'!$T:$T,$BD416,'[1]2026'!$S:$S,BO$3,'[1]2026'!$P:$P,$AU416)</f>
        <v>0</v>
      </c>
      <c r="BP416" s="6"/>
      <c r="BQ416" s="6"/>
      <c r="BR416" s="6"/>
      <c r="BS416" s="6"/>
      <c r="BT416" s="6">
        <f t="shared" si="283"/>
        <v>0</v>
      </c>
      <c r="BV416" s="6">
        <f t="shared" si="269"/>
        <v>0</v>
      </c>
      <c r="BW416" s="6">
        <f t="shared" si="270"/>
        <v>0</v>
      </c>
      <c r="BX416" s="6">
        <f t="shared" si="271"/>
        <v>0</v>
      </c>
      <c r="BY416" s="6">
        <f t="shared" si="272"/>
        <v>0</v>
      </c>
      <c r="BZ416" s="6">
        <f t="shared" si="273"/>
        <v>-30000</v>
      </c>
      <c r="CA416" s="6">
        <f t="shared" si="274"/>
        <v>0</v>
      </c>
      <c r="CB416" s="6">
        <f t="shared" si="275"/>
        <v>0</v>
      </c>
      <c r="CC416" s="6">
        <f t="shared" si="276"/>
        <v>0</v>
      </c>
      <c r="CD416" s="6">
        <f t="shared" si="277"/>
        <v>0</v>
      </c>
      <c r="CE416" s="6">
        <f t="shared" si="278"/>
        <v>0</v>
      </c>
      <c r="CF416" s="6">
        <f t="shared" si="279"/>
        <v>0</v>
      </c>
      <c r="CG416" s="6">
        <f t="shared" si="280"/>
        <v>0</v>
      </c>
      <c r="CH416" s="6">
        <f t="shared" si="251"/>
        <v>-30000</v>
      </c>
    </row>
    <row r="417" spans="1:87" hidden="1" x14ac:dyDescent="0.35">
      <c r="A417" s="3" t="s">
        <v>818</v>
      </c>
      <c r="G417" s="10">
        <v>30000</v>
      </c>
      <c r="N417" s="27">
        <f t="shared" si="265"/>
        <v>30000</v>
      </c>
      <c r="AA417" s="27">
        <f t="shared" si="266"/>
        <v>0</v>
      </c>
      <c r="AB417" s="10">
        <f t="shared" si="285"/>
        <v>0</v>
      </c>
      <c r="AC417" s="10">
        <f t="shared" si="285"/>
        <v>0</v>
      </c>
      <c r="AD417" s="10">
        <f t="shared" si="285"/>
        <v>0</v>
      </c>
      <c r="AE417" s="10">
        <f t="shared" si="285"/>
        <v>0</v>
      </c>
      <c r="AF417" s="10">
        <f t="shared" si="285"/>
        <v>0</v>
      </c>
      <c r="AG417" s="10">
        <f t="shared" si="285"/>
        <v>30000</v>
      </c>
      <c r="AH417" s="10">
        <f t="shared" si="285"/>
        <v>0</v>
      </c>
      <c r="AI417" s="10">
        <f t="shared" si="285"/>
        <v>0</v>
      </c>
      <c r="AJ417" s="10">
        <f t="shared" si="284"/>
        <v>0</v>
      </c>
      <c r="AK417" s="10">
        <f t="shared" si="284"/>
        <v>0</v>
      </c>
      <c r="AL417" s="10">
        <f t="shared" si="284"/>
        <v>0</v>
      </c>
      <c r="AM417" s="10">
        <f t="shared" si="284"/>
        <v>0</v>
      </c>
      <c r="AN417" s="27">
        <f t="shared" si="284"/>
        <v>30000</v>
      </c>
      <c r="AO417" s="28">
        <v>0</v>
      </c>
      <c r="AS417" t="str">
        <f>_xlfn.XLOOKUP(AU417,[2]GAE!HZ:HZ,[2]GAE!IA:IA)</f>
        <v>HUMAN RESOURCES</v>
      </c>
      <c r="AT417" t="str">
        <f>_xlfn.XLOOKUP(AU417,[2]GAE!HZ:HZ,[2]GAE!IB:IB)</f>
        <v>DOE - Company Events</v>
      </c>
      <c r="AU417" t="s">
        <v>790</v>
      </c>
      <c r="AV417">
        <v>81122101</v>
      </c>
      <c r="AW417">
        <v>52121401</v>
      </c>
      <c r="AX417" t="str">
        <f>_xlfn.XLOOKUP(AU417,[2]GAE!HZ:HZ,[2]GAE!IF:IF)</f>
        <v>Employee Benefits</v>
      </c>
      <c r="AY417" t="str">
        <f>_xlfn.XLOOKUP(AU417,[2]GAE!HZ:HZ,[2]GAE!IG:IG)</f>
        <v>Employee Programs/Perks</v>
      </c>
      <c r="BF417" t="s">
        <v>103</v>
      </c>
      <c r="BG417" s="3" t="s">
        <v>818</v>
      </c>
      <c r="BH417" s="10">
        <f>SUMIFS('[1]2026'!$K:$K,'[1]2026'!$T:$T,BD417,'[1]2026'!$S:$S,BH$3,'[1]2026'!$P:$P,AU417)</f>
        <v>0</v>
      </c>
      <c r="BI417" s="10">
        <f>SUMIFS('[1]2026'!$K:$K,'[1]2026'!$T:$T,$BD417,'[1]2026'!$S:$S,BI$3,'[1]2026'!$P:$P,$AU417)</f>
        <v>0</v>
      </c>
      <c r="BJ417" s="10">
        <f>SUMIFS('[1]2026'!$K:$K,'[1]2026'!$T:$T,$BD417,'[1]2026'!$S:$S,BJ$3,'[1]2026'!$P:$P,$AU417)</f>
        <v>0</v>
      </c>
      <c r="BK417" s="10">
        <f>SUMIFS('[1]2026'!$K:$K,'[1]2026'!$T:$T,$BD417,'[1]2026'!$S:$S,BK$3,'[1]2026'!$P:$P,$AU417)</f>
        <v>0</v>
      </c>
      <c r="BL417" s="6"/>
      <c r="BM417" s="10">
        <f>SUMIFS('[1]2026'!$K:$K,'[1]2026'!$T:$T,$BD417,'[1]2026'!$S:$S,BM$3,'[1]2026'!$P:$P,$AU417)</f>
        <v>0</v>
      </c>
      <c r="BN417" s="10">
        <f>SUMIFS('[1]2026'!$K:$K,'[1]2026'!$T:$T,$BD417,'[1]2026'!$S:$S,BN$3,'[1]2026'!$P:$P,$AU417)</f>
        <v>0</v>
      </c>
      <c r="BO417" s="10">
        <f>SUMIFS('[1]2026'!$K:$K,'[1]2026'!$T:$T,$BD417,'[1]2026'!$S:$S,BO$3,'[1]2026'!$P:$P,$AU417)</f>
        <v>0</v>
      </c>
      <c r="BP417" s="6"/>
      <c r="BQ417" s="6"/>
      <c r="BR417" s="6"/>
      <c r="BS417" s="6"/>
      <c r="BT417" s="6">
        <f t="shared" si="283"/>
        <v>0</v>
      </c>
      <c r="BV417" s="6">
        <f t="shared" si="269"/>
        <v>0</v>
      </c>
      <c r="BW417" s="6">
        <f t="shared" si="270"/>
        <v>0</v>
      </c>
      <c r="BX417" s="6">
        <f t="shared" si="271"/>
        <v>0</v>
      </c>
      <c r="BY417" s="6">
        <f t="shared" si="272"/>
        <v>0</v>
      </c>
      <c r="BZ417" s="6">
        <f t="shared" si="273"/>
        <v>0</v>
      </c>
      <c r="CA417" s="6">
        <f t="shared" si="274"/>
        <v>-30000</v>
      </c>
      <c r="CB417" s="6">
        <f t="shared" si="275"/>
        <v>0</v>
      </c>
      <c r="CC417" s="6">
        <f t="shared" si="276"/>
        <v>0</v>
      </c>
      <c r="CD417" s="6">
        <f t="shared" si="277"/>
        <v>0</v>
      </c>
      <c r="CE417" s="6">
        <f t="shared" si="278"/>
        <v>0</v>
      </c>
      <c r="CF417" s="6">
        <f t="shared" si="279"/>
        <v>0</v>
      </c>
      <c r="CG417" s="6">
        <f t="shared" si="280"/>
        <v>0</v>
      </c>
      <c r="CH417" s="6">
        <f t="shared" si="251"/>
        <v>-30000</v>
      </c>
    </row>
    <row r="418" spans="1:87" hidden="1" x14ac:dyDescent="0.35">
      <c r="A418" s="3" t="s">
        <v>819</v>
      </c>
      <c r="G418" s="10">
        <v>20000</v>
      </c>
      <c r="N418" s="27">
        <f t="shared" si="265"/>
        <v>20000</v>
      </c>
      <c r="AA418" s="27">
        <f t="shared" si="266"/>
        <v>0</v>
      </c>
      <c r="AB418" s="10">
        <f t="shared" si="285"/>
        <v>0</v>
      </c>
      <c r="AC418" s="10">
        <f t="shared" si="285"/>
        <v>0</v>
      </c>
      <c r="AD418" s="10">
        <f t="shared" si="285"/>
        <v>0</v>
      </c>
      <c r="AE418" s="10">
        <f t="shared" si="285"/>
        <v>0</v>
      </c>
      <c r="AF418" s="10">
        <f t="shared" si="285"/>
        <v>0</v>
      </c>
      <c r="AG418" s="10">
        <f t="shared" si="285"/>
        <v>20000</v>
      </c>
      <c r="AH418" s="10">
        <f t="shared" si="285"/>
        <v>0</v>
      </c>
      <c r="AI418" s="10">
        <f t="shared" si="285"/>
        <v>0</v>
      </c>
      <c r="AJ418" s="10">
        <f t="shared" si="284"/>
        <v>0</v>
      </c>
      <c r="AK418" s="10">
        <f t="shared" si="284"/>
        <v>0</v>
      </c>
      <c r="AL418" s="10">
        <f t="shared" si="284"/>
        <v>0</v>
      </c>
      <c r="AM418" s="10">
        <f t="shared" si="284"/>
        <v>0</v>
      </c>
      <c r="AN418" s="27">
        <f t="shared" si="284"/>
        <v>20000</v>
      </c>
      <c r="AO418" s="28">
        <v>18880</v>
      </c>
      <c r="AS418" t="str">
        <f>_xlfn.XLOOKUP(AU418,[2]GAE!HZ:HZ,[2]GAE!IA:IA)</f>
        <v>HUMAN RESOURCES</v>
      </c>
      <c r="AT418" t="str">
        <f>_xlfn.XLOOKUP(AU418,[2]GAE!HZ:HZ,[2]GAE!IB:IB)</f>
        <v>DOE - Company Events</v>
      </c>
      <c r="AU418" t="s">
        <v>790</v>
      </c>
      <c r="AV418">
        <v>81122101</v>
      </c>
      <c r="AW418">
        <v>52121401</v>
      </c>
      <c r="AX418" t="str">
        <f>_xlfn.XLOOKUP(AU418,[2]GAE!HZ:HZ,[2]GAE!IF:IF)</f>
        <v>Employee Benefits</v>
      </c>
      <c r="AY418" t="str">
        <f>_xlfn.XLOOKUP(AU418,[2]GAE!HZ:HZ,[2]GAE!IG:IG)</f>
        <v>Employee Programs/Perks</v>
      </c>
      <c r="BF418" t="s">
        <v>103</v>
      </c>
      <c r="BG418" s="3" t="s">
        <v>819</v>
      </c>
      <c r="BH418" s="10">
        <f>SUMIFS('[1]2026'!$K:$K,'[1]2026'!$T:$T,BD418,'[1]2026'!$S:$S,BH$3,'[1]2026'!$P:$P,AU418)</f>
        <v>0</v>
      </c>
      <c r="BI418" s="10">
        <f>SUMIFS('[1]2026'!$K:$K,'[1]2026'!$T:$T,$BD418,'[1]2026'!$S:$S,BI$3,'[1]2026'!$P:$P,$AU418)</f>
        <v>0</v>
      </c>
      <c r="BJ418" s="10">
        <f>SUMIFS('[1]2026'!$K:$K,'[1]2026'!$T:$T,$BD418,'[1]2026'!$S:$S,BJ$3,'[1]2026'!$P:$P,$AU418)</f>
        <v>0</v>
      </c>
      <c r="BK418" s="10">
        <f>SUMIFS('[1]2026'!$K:$K,'[1]2026'!$T:$T,$BD418,'[1]2026'!$S:$S,BK$3,'[1]2026'!$P:$P,$AU418)</f>
        <v>0</v>
      </c>
      <c r="BL418" s="6"/>
      <c r="BM418" s="10">
        <f>SUMIFS('[1]2026'!$K:$K,'[1]2026'!$T:$T,$BD418,'[1]2026'!$S:$S,BM$3,'[1]2026'!$P:$P,$AU418)</f>
        <v>0</v>
      </c>
      <c r="BN418" s="10">
        <f>SUMIFS('[1]2026'!$K:$K,'[1]2026'!$T:$T,$BD418,'[1]2026'!$S:$S,BN$3,'[1]2026'!$P:$P,$AU418)</f>
        <v>0</v>
      </c>
      <c r="BO418" s="10">
        <f>SUMIFS('[1]2026'!$K:$K,'[1]2026'!$T:$T,$BD418,'[1]2026'!$S:$S,BO$3,'[1]2026'!$P:$P,$AU418)</f>
        <v>0</v>
      </c>
      <c r="BP418" s="6"/>
      <c r="BQ418" s="6"/>
      <c r="BR418" s="6"/>
      <c r="BS418" s="6"/>
      <c r="BT418" s="6">
        <f t="shared" si="283"/>
        <v>0</v>
      </c>
      <c r="BV418" s="6">
        <f t="shared" si="269"/>
        <v>0</v>
      </c>
      <c r="BW418" s="6">
        <f t="shared" si="270"/>
        <v>0</v>
      </c>
      <c r="BX418" s="6">
        <f t="shared" si="271"/>
        <v>0</v>
      </c>
      <c r="BY418" s="6">
        <f t="shared" si="272"/>
        <v>0</v>
      </c>
      <c r="BZ418" s="6">
        <f t="shared" si="273"/>
        <v>0</v>
      </c>
      <c r="CA418" s="6">
        <f t="shared" si="274"/>
        <v>-20000</v>
      </c>
      <c r="CB418" s="6">
        <f t="shared" si="275"/>
        <v>0</v>
      </c>
      <c r="CC418" s="6">
        <f t="shared" si="276"/>
        <v>0</v>
      </c>
      <c r="CD418" s="6">
        <f t="shared" si="277"/>
        <v>0</v>
      </c>
      <c r="CE418" s="6">
        <f t="shared" si="278"/>
        <v>0</v>
      </c>
      <c r="CF418" s="6">
        <f t="shared" si="279"/>
        <v>0</v>
      </c>
      <c r="CG418" s="6">
        <f t="shared" si="280"/>
        <v>0</v>
      </c>
      <c r="CH418" s="6">
        <f t="shared" si="251"/>
        <v>-20000</v>
      </c>
    </row>
    <row r="419" spans="1:87" hidden="1" x14ac:dyDescent="0.35">
      <c r="A419" s="3" t="s">
        <v>820</v>
      </c>
      <c r="I419" s="10">
        <v>30000</v>
      </c>
      <c r="N419" s="27">
        <f t="shared" si="265"/>
        <v>30000</v>
      </c>
      <c r="AA419" s="27">
        <f t="shared" si="266"/>
        <v>0</v>
      </c>
      <c r="AB419" s="10">
        <f t="shared" si="285"/>
        <v>0</v>
      </c>
      <c r="AC419" s="10">
        <f t="shared" si="285"/>
        <v>0</v>
      </c>
      <c r="AD419" s="10">
        <f t="shared" si="285"/>
        <v>0</v>
      </c>
      <c r="AE419" s="10">
        <f t="shared" si="285"/>
        <v>0</v>
      </c>
      <c r="AF419" s="10">
        <f t="shared" si="285"/>
        <v>0</v>
      </c>
      <c r="AG419" s="10">
        <f t="shared" si="285"/>
        <v>0</v>
      </c>
      <c r="AH419" s="10">
        <f t="shared" si="285"/>
        <v>0</v>
      </c>
      <c r="AI419" s="10">
        <f t="shared" si="285"/>
        <v>30000</v>
      </c>
      <c r="AJ419" s="10">
        <f t="shared" si="284"/>
        <v>0</v>
      </c>
      <c r="AK419" s="10">
        <f t="shared" si="284"/>
        <v>0</v>
      </c>
      <c r="AL419" s="10">
        <f t="shared" si="284"/>
        <v>0</v>
      </c>
      <c r="AM419" s="10">
        <f t="shared" si="284"/>
        <v>0</v>
      </c>
      <c r="AN419" s="27">
        <f t="shared" si="284"/>
        <v>30000</v>
      </c>
      <c r="AO419" s="28">
        <v>0</v>
      </c>
      <c r="AS419" t="str">
        <f>_xlfn.XLOOKUP(AU419,[2]GAE!HZ:HZ,[2]GAE!IA:IA)</f>
        <v>HUMAN RESOURCES</v>
      </c>
      <c r="AT419" t="str">
        <f>_xlfn.XLOOKUP(AU419,[2]GAE!HZ:HZ,[2]GAE!IB:IB)</f>
        <v>DOE - Company Events</v>
      </c>
      <c r="AU419" t="s">
        <v>790</v>
      </c>
      <c r="AV419">
        <v>81122101</v>
      </c>
      <c r="AW419">
        <v>52121401</v>
      </c>
      <c r="AX419" t="str">
        <f>_xlfn.XLOOKUP(AU419,[2]GAE!HZ:HZ,[2]GAE!IF:IF)</f>
        <v>Employee Benefits</v>
      </c>
      <c r="AY419" t="str">
        <f>_xlfn.XLOOKUP(AU419,[2]GAE!HZ:HZ,[2]GAE!IG:IG)</f>
        <v>Employee Programs/Perks</v>
      </c>
      <c r="BF419" t="s">
        <v>103</v>
      </c>
      <c r="BG419" s="3" t="s">
        <v>820</v>
      </c>
      <c r="BH419" s="10">
        <f>SUMIFS('[1]2026'!$K:$K,'[1]2026'!$T:$T,BD419,'[1]2026'!$S:$S,BH$3,'[1]2026'!$P:$P,AU419)</f>
        <v>0</v>
      </c>
      <c r="BI419" s="10">
        <f>SUMIFS('[1]2026'!$K:$K,'[1]2026'!$T:$T,$BD419,'[1]2026'!$S:$S,BI$3,'[1]2026'!$P:$P,$AU419)</f>
        <v>0</v>
      </c>
      <c r="BJ419" s="10">
        <f>SUMIFS('[1]2026'!$K:$K,'[1]2026'!$T:$T,$BD419,'[1]2026'!$S:$S,BJ$3,'[1]2026'!$P:$P,$AU419)</f>
        <v>0</v>
      </c>
      <c r="BK419" s="10">
        <f>SUMIFS('[1]2026'!$K:$K,'[1]2026'!$T:$T,$BD419,'[1]2026'!$S:$S,BK$3,'[1]2026'!$P:$P,$AU419)</f>
        <v>0</v>
      </c>
      <c r="BL419" s="6"/>
      <c r="BM419" s="10">
        <f>SUMIFS('[1]2026'!$K:$K,'[1]2026'!$T:$T,$BD419,'[1]2026'!$S:$S,BM$3,'[1]2026'!$P:$P,$AU419)</f>
        <v>0</v>
      </c>
      <c r="BN419" s="10">
        <f>SUMIFS('[1]2026'!$K:$K,'[1]2026'!$T:$T,$BD419,'[1]2026'!$S:$S,BN$3,'[1]2026'!$P:$P,$AU419)</f>
        <v>0</v>
      </c>
      <c r="BO419" s="10">
        <f>SUMIFS('[1]2026'!$K:$K,'[1]2026'!$T:$T,$BD419,'[1]2026'!$S:$S,BO$3,'[1]2026'!$P:$P,$AU419)</f>
        <v>0</v>
      </c>
      <c r="BP419" s="6"/>
      <c r="BQ419" s="6"/>
      <c r="BR419" s="6"/>
      <c r="BS419" s="6"/>
      <c r="BT419" s="6">
        <f t="shared" si="283"/>
        <v>0</v>
      </c>
      <c r="BV419" s="6">
        <f t="shared" si="269"/>
        <v>0</v>
      </c>
      <c r="BW419" s="6">
        <f t="shared" si="270"/>
        <v>0</v>
      </c>
      <c r="BX419" s="6">
        <f t="shared" si="271"/>
        <v>0</v>
      </c>
      <c r="BY419" s="6">
        <f t="shared" si="272"/>
        <v>0</v>
      </c>
      <c r="BZ419" s="6">
        <f t="shared" si="273"/>
        <v>0</v>
      </c>
      <c r="CA419" s="6">
        <f t="shared" si="274"/>
        <v>0</v>
      </c>
      <c r="CB419" s="6">
        <f t="shared" si="275"/>
        <v>0</v>
      </c>
      <c r="CC419" s="6">
        <f t="shared" si="276"/>
        <v>-30000</v>
      </c>
      <c r="CD419" s="6">
        <f t="shared" si="277"/>
        <v>0</v>
      </c>
      <c r="CE419" s="6">
        <f t="shared" si="278"/>
        <v>0</v>
      </c>
      <c r="CF419" s="6">
        <f t="shared" si="279"/>
        <v>0</v>
      </c>
      <c r="CG419" s="6">
        <f t="shared" si="280"/>
        <v>0</v>
      </c>
      <c r="CH419" s="6">
        <f t="shared" si="251"/>
        <v>-30000</v>
      </c>
    </row>
    <row r="420" spans="1:87" hidden="1" x14ac:dyDescent="0.35">
      <c r="A420" s="3" t="s">
        <v>821</v>
      </c>
      <c r="K420" s="10">
        <v>50000</v>
      </c>
      <c r="N420" s="27">
        <f t="shared" si="265"/>
        <v>50000</v>
      </c>
      <c r="AA420" s="27">
        <f t="shared" si="266"/>
        <v>0</v>
      </c>
      <c r="AB420" s="10">
        <f t="shared" si="285"/>
        <v>0</v>
      </c>
      <c r="AC420" s="10">
        <f t="shared" si="285"/>
        <v>0</v>
      </c>
      <c r="AD420" s="10">
        <f t="shared" si="285"/>
        <v>0</v>
      </c>
      <c r="AE420" s="10">
        <f t="shared" si="285"/>
        <v>0</v>
      </c>
      <c r="AF420" s="10">
        <f t="shared" si="285"/>
        <v>0</v>
      </c>
      <c r="AG420" s="10">
        <f t="shared" si="285"/>
        <v>0</v>
      </c>
      <c r="AH420" s="10">
        <f t="shared" si="285"/>
        <v>0</v>
      </c>
      <c r="AI420" s="10">
        <f t="shared" si="285"/>
        <v>0</v>
      </c>
      <c r="AJ420" s="10">
        <f t="shared" si="284"/>
        <v>0</v>
      </c>
      <c r="AK420" s="10">
        <f t="shared" si="284"/>
        <v>50000</v>
      </c>
      <c r="AL420" s="10">
        <f t="shared" si="284"/>
        <v>0</v>
      </c>
      <c r="AM420" s="10">
        <f t="shared" si="284"/>
        <v>0</v>
      </c>
      <c r="AN420" s="27">
        <f t="shared" si="284"/>
        <v>50000</v>
      </c>
      <c r="AO420" s="28">
        <v>38702</v>
      </c>
      <c r="AS420" t="str">
        <f>_xlfn.XLOOKUP(AU420,[2]GAE!HZ:HZ,[2]GAE!IA:IA)</f>
        <v>HUMAN RESOURCES</v>
      </c>
      <c r="AT420" t="str">
        <f>_xlfn.XLOOKUP(AU420,[2]GAE!HZ:HZ,[2]GAE!IB:IB)</f>
        <v>DOE - Company Events</v>
      </c>
      <c r="AU420" t="s">
        <v>790</v>
      </c>
      <c r="AV420">
        <v>81122101</v>
      </c>
      <c r="AW420">
        <v>52121401</v>
      </c>
      <c r="AX420" t="str">
        <f>_xlfn.XLOOKUP(AU420,[2]GAE!HZ:HZ,[2]GAE!IF:IF)</f>
        <v>Employee Benefits</v>
      </c>
      <c r="AY420" t="str">
        <f>_xlfn.XLOOKUP(AU420,[2]GAE!HZ:HZ,[2]GAE!IG:IG)</f>
        <v>Employee Programs/Perks</v>
      </c>
      <c r="BA420" t="s">
        <v>793</v>
      </c>
      <c r="BF420" t="s">
        <v>103</v>
      </c>
      <c r="BG420" s="3" t="s">
        <v>821</v>
      </c>
      <c r="BH420" s="10">
        <f>SUMIFS('[1]2026'!$K:$K,'[1]2026'!$T:$T,BD420,'[1]2026'!$S:$S,BH$3,'[1]2026'!$P:$P,AU420)</f>
        <v>0</v>
      </c>
      <c r="BI420" s="10">
        <f>SUMIFS('[1]2026'!$K:$K,'[1]2026'!$T:$T,$BD420,'[1]2026'!$S:$S,BI$3,'[1]2026'!$P:$P,$AU420)</f>
        <v>0</v>
      </c>
      <c r="BJ420" s="10">
        <f>SUMIFS('[1]2026'!$K:$K,'[1]2026'!$T:$T,$BD420,'[1]2026'!$S:$S,BJ$3,'[1]2026'!$P:$P,$AU420)</f>
        <v>0</v>
      </c>
      <c r="BK420" s="10">
        <f>SUMIFS('[1]2026'!$K:$K,'[1]2026'!$T:$T,$BD420,'[1]2026'!$S:$S,BK$3,'[1]2026'!$P:$P,$AU420)</f>
        <v>0</v>
      </c>
      <c r="BL420" s="6"/>
      <c r="BM420" s="10">
        <f>SUMIFS('[1]2026'!$K:$K,'[1]2026'!$T:$T,$BD420,'[1]2026'!$S:$S,BM$3,'[1]2026'!$P:$P,$AU420)</f>
        <v>0</v>
      </c>
      <c r="BN420" s="10">
        <f>SUMIFS('[1]2026'!$K:$K,'[1]2026'!$T:$T,$BD420,'[1]2026'!$S:$S,BN$3,'[1]2026'!$P:$P,$AU420)</f>
        <v>0</v>
      </c>
      <c r="BO420" s="10">
        <f>SUMIFS('[1]2026'!$K:$K,'[1]2026'!$T:$T,$BD420,'[1]2026'!$S:$S,BO$3,'[1]2026'!$P:$P,$AU420)</f>
        <v>0</v>
      </c>
      <c r="BP420" s="6"/>
      <c r="BQ420" s="6"/>
      <c r="BR420" s="6"/>
      <c r="BS420" s="6"/>
      <c r="BT420" s="6">
        <f t="shared" si="283"/>
        <v>0</v>
      </c>
      <c r="BV420" s="6">
        <f t="shared" si="269"/>
        <v>0</v>
      </c>
      <c r="BW420" s="6">
        <f t="shared" si="270"/>
        <v>0</v>
      </c>
      <c r="BX420" s="6">
        <f t="shared" si="271"/>
        <v>0</v>
      </c>
      <c r="BY420" s="6">
        <f t="shared" si="272"/>
        <v>0</v>
      </c>
      <c r="BZ420" s="6">
        <f t="shared" si="273"/>
        <v>0</v>
      </c>
      <c r="CA420" s="6">
        <f t="shared" si="274"/>
        <v>0</v>
      </c>
      <c r="CB420" s="6">
        <f t="shared" si="275"/>
        <v>0</v>
      </c>
      <c r="CC420" s="6">
        <f t="shared" si="276"/>
        <v>0</v>
      </c>
      <c r="CD420" s="6">
        <f t="shared" si="277"/>
        <v>0</v>
      </c>
      <c r="CE420" s="6">
        <f t="shared" si="278"/>
        <v>-50000</v>
      </c>
      <c r="CF420" s="6">
        <f t="shared" si="279"/>
        <v>0</v>
      </c>
      <c r="CG420" s="6">
        <f t="shared" si="280"/>
        <v>0</v>
      </c>
      <c r="CH420" s="6">
        <f t="shared" si="251"/>
        <v>-50000</v>
      </c>
      <c r="CI420" s="6"/>
    </row>
    <row r="421" spans="1:87" hidden="1" x14ac:dyDescent="0.35">
      <c r="A421" s="3" t="s">
        <v>822</v>
      </c>
      <c r="K421" s="10">
        <v>20000</v>
      </c>
      <c r="N421" s="27">
        <f t="shared" si="265"/>
        <v>20000</v>
      </c>
      <c r="AA421" s="27">
        <f t="shared" si="266"/>
        <v>0</v>
      </c>
      <c r="AB421" s="10">
        <f t="shared" si="285"/>
        <v>0</v>
      </c>
      <c r="AC421" s="10">
        <f t="shared" si="285"/>
        <v>0</v>
      </c>
      <c r="AD421" s="10">
        <f t="shared" si="285"/>
        <v>0</v>
      </c>
      <c r="AE421" s="10">
        <f t="shared" si="285"/>
        <v>0</v>
      </c>
      <c r="AF421" s="10">
        <f t="shared" si="285"/>
        <v>0</v>
      </c>
      <c r="AG421" s="10">
        <f t="shared" si="285"/>
        <v>0</v>
      </c>
      <c r="AH421" s="10">
        <f t="shared" si="285"/>
        <v>0</v>
      </c>
      <c r="AI421" s="10">
        <f t="shared" si="285"/>
        <v>0</v>
      </c>
      <c r="AJ421" s="10">
        <f t="shared" si="284"/>
        <v>0</v>
      </c>
      <c r="AK421" s="10">
        <f t="shared" si="284"/>
        <v>20000</v>
      </c>
      <c r="AL421" s="10">
        <f t="shared" si="284"/>
        <v>0</v>
      </c>
      <c r="AM421" s="10">
        <f t="shared" si="284"/>
        <v>0</v>
      </c>
      <c r="AN421" s="27">
        <f t="shared" si="284"/>
        <v>20000</v>
      </c>
      <c r="AO421" s="28">
        <v>0</v>
      </c>
      <c r="AS421" t="str">
        <f>_xlfn.XLOOKUP(AU421,[2]GAE!HZ:HZ,[2]GAE!IA:IA)</f>
        <v>HUMAN RESOURCES</v>
      </c>
      <c r="AT421" t="str">
        <f>_xlfn.XLOOKUP(AU421,[2]GAE!HZ:HZ,[2]GAE!IB:IB)</f>
        <v>DOE - Company Events</v>
      </c>
      <c r="AU421" t="s">
        <v>790</v>
      </c>
      <c r="AV421">
        <v>81122101</v>
      </c>
      <c r="AW421">
        <v>52121401</v>
      </c>
      <c r="AX421" t="str">
        <f>_xlfn.XLOOKUP(AU421,[2]GAE!HZ:HZ,[2]GAE!IF:IF)</f>
        <v>Employee Benefits</v>
      </c>
      <c r="AY421" t="str">
        <f>_xlfn.XLOOKUP(AU421,[2]GAE!HZ:HZ,[2]GAE!IG:IG)</f>
        <v>Employee Programs/Perks</v>
      </c>
      <c r="BF421" t="s">
        <v>103</v>
      </c>
      <c r="BG421" s="3" t="s">
        <v>822</v>
      </c>
      <c r="BH421" s="10">
        <f>SUMIFS('[1]2026'!$K:$K,'[1]2026'!$T:$T,BD421,'[1]2026'!$S:$S,BH$3,'[1]2026'!$P:$P,AU421)</f>
        <v>0</v>
      </c>
      <c r="BI421" s="10">
        <f>SUMIFS('[1]2026'!$K:$K,'[1]2026'!$T:$T,$BD421,'[1]2026'!$S:$S,BI$3,'[1]2026'!$P:$P,$AU421)</f>
        <v>0</v>
      </c>
      <c r="BJ421" s="10">
        <f>SUMIFS('[1]2026'!$K:$K,'[1]2026'!$T:$T,$BD421,'[1]2026'!$S:$S,BJ$3,'[1]2026'!$P:$P,$AU421)</f>
        <v>0</v>
      </c>
      <c r="BK421" s="10">
        <f>SUMIFS('[1]2026'!$K:$K,'[1]2026'!$T:$T,$BD421,'[1]2026'!$S:$S,BK$3,'[1]2026'!$P:$P,$AU421)</f>
        <v>0</v>
      </c>
      <c r="BL421" s="6"/>
      <c r="BM421" s="10">
        <f>SUMIFS('[1]2026'!$K:$K,'[1]2026'!$T:$T,$BD421,'[1]2026'!$S:$S,BM$3,'[1]2026'!$P:$P,$AU421)</f>
        <v>0</v>
      </c>
      <c r="BN421" s="10">
        <f>SUMIFS('[1]2026'!$K:$K,'[1]2026'!$T:$T,$BD421,'[1]2026'!$S:$S,BN$3,'[1]2026'!$P:$P,$AU421)</f>
        <v>0</v>
      </c>
      <c r="BO421" s="10">
        <f>SUMIFS('[1]2026'!$K:$K,'[1]2026'!$T:$T,$BD421,'[1]2026'!$S:$S,BO$3,'[1]2026'!$P:$P,$AU421)</f>
        <v>0</v>
      </c>
      <c r="BP421" s="6"/>
      <c r="BQ421" s="6"/>
      <c r="BR421" s="6"/>
      <c r="BS421" s="6"/>
      <c r="BT421" s="6">
        <f t="shared" si="283"/>
        <v>0</v>
      </c>
      <c r="BV421" s="6">
        <f t="shared" si="269"/>
        <v>0</v>
      </c>
      <c r="BW421" s="6">
        <f t="shared" si="270"/>
        <v>0</v>
      </c>
      <c r="BX421" s="6">
        <f t="shared" si="271"/>
        <v>0</v>
      </c>
      <c r="BY421" s="6">
        <f t="shared" si="272"/>
        <v>0</v>
      </c>
      <c r="BZ421" s="6">
        <f t="shared" si="273"/>
        <v>0</v>
      </c>
      <c r="CA421" s="6">
        <f t="shared" si="274"/>
        <v>0</v>
      </c>
      <c r="CB421" s="6">
        <f t="shared" si="275"/>
        <v>0</v>
      </c>
      <c r="CC421" s="6">
        <f t="shared" si="276"/>
        <v>0</v>
      </c>
      <c r="CD421" s="6">
        <f t="shared" si="277"/>
        <v>0</v>
      </c>
      <c r="CE421" s="6">
        <f t="shared" si="278"/>
        <v>-20000</v>
      </c>
      <c r="CF421" s="6">
        <f t="shared" si="279"/>
        <v>0</v>
      </c>
      <c r="CG421" s="6">
        <f t="shared" si="280"/>
        <v>0</v>
      </c>
      <c r="CH421" s="6">
        <f t="shared" si="251"/>
        <v>-20000</v>
      </c>
    </row>
    <row r="422" spans="1:87" hidden="1" x14ac:dyDescent="0.35">
      <c r="A422" s="3" t="s">
        <v>823</v>
      </c>
      <c r="L422" s="10">
        <v>30000</v>
      </c>
      <c r="N422" s="27">
        <f t="shared" si="265"/>
        <v>30000</v>
      </c>
      <c r="AA422" s="27">
        <f t="shared" si="266"/>
        <v>0</v>
      </c>
      <c r="AB422" s="10">
        <f t="shared" si="285"/>
        <v>0</v>
      </c>
      <c r="AC422" s="10">
        <f t="shared" si="285"/>
        <v>0</v>
      </c>
      <c r="AD422" s="10">
        <f t="shared" si="285"/>
        <v>0</v>
      </c>
      <c r="AE422" s="10">
        <f t="shared" si="285"/>
        <v>0</v>
      </c>
      <c r="AF422" s="10">
        <f t="shared" si="285"/>
        <v>0</v>
      </c>
      <c r="AG422" s="10">
        <f t="shared" si="285"/>
        <v>0</v>
      </c>
      <c r="AH422" s="10">
        <f t="shared" si="285"/>
        <v>0</v>
      </c>
      <c r="AI422" s="10">
        <f t="shared" si="285"/>
        <v>0</v>
      </c>
      <c r="AJ422" s="10">
        <f t="shared" si="284"/>
        <v>0</v>
      </c>
      <c r="AK422" s="10">
        <f t="shared" si="284"/>
        <v>0</v>
      </c>
      <c r="AL422" s="10">
        <f t="shared" si="284"/>
        <v>30000</v>
      </c>
      <c r="AM422" s="10">
        <f t="shared" si="284"/>
        <v>0</v>
      </c>
      <c r="AN422" s="27">
        <f t="shared" si="284"/>
        <v>30000</v>
      </c>
      <c r="AO422" s="40"/>
      <c r="AS422" t="str">
        <f>_xlfn.XLOOKUP(AU422,[2]GAE!HZ:HZ,[2]GAE!IA:IA)</f>
        <v>HUMAN RESOURCES</v>
      </c>
      <c r="AT422" t="str">
        <f>_xlfn.XLOOKUP(AU422,[2]GAE!HZ:HZ,[2]GAE!IB:IB)</f>
        <v>DOE - Company Events</v>
      </c>
      <c r="AU422" t="s">
        <v>790</v>
      </c>
      <c r="AV422">
        <v>81122101</v>
      </c>
      <c r="AW422">
        <v>52121401</v>
      </c>
      <c r="AX422" t="str">
        <f>_xlfn.XLOOKUP(AU422,[2]GAE!HZ:HZ,[2]GAE!IF:IF)</f>
        <v>Employee Benefits</v>
      </c>
      <c r="AY422" t="str">
        <f>_xlfn.XLOOKUP(AU422,[2]GAE!HZ:HZ,[2]GAE!IG:IG)</f>
        <v>Employee Programs/Perks</v>
      </c>
      <c r="BA422" t="s">
        <v>793</v>
      </c>
      <c r="BF422" t="s">
        <v>103</v>
      </c>
      <c r="BG422" t="s">
        <v>824</v>
      </c>
      <c r="BH422" s="10">
        <f>SUMIFS('[1]2026'!$K:$K,'[1]2026'!$T:$T,BD422,'[1]2026'!$S:$S,BH$3,'[1]2026'!$P:$P,AU422)</f>
        <v>0</v>
      </c>
      <c r="BI422" s="10">
        <f>SUMIFS('[1]2026'!$K:$K,'[1]2026'!$T:$T,$BD422,'[1]2026'!$S:$S,BI$3,'[1]2026'!$P:$P,$AU422)</f>
        <v>0</v>
      </c>
      <c r="BJ422" s="10">
        <f>SUMIFS('[1]2026'!$K:$K,'[1]2026'!$T:$T,$BD422,'[1]2026'!$S:$S,BJ$3,'[1]2026'!$P:$P,$AU422)</f>
        <v>0</v>
      </c>
      <c r="BK422" s="10">
        <f>SUMIFS('[1]2026'!$K:$K,'[1]2026'!$T:$T,$BD422,'[1]2026'!$S:$S,BK$3,'[1]2026'!$P:$P,$AU422)</f>
        <v>0</v>
      </c>
      <c r="BL422" s="6"/>
      <c r="BM422" s="10">
        <f>SUMIFS('[1]2026'!$K:$K,'[1]2026'!$T:$T,$BD422,'[1]2026'!$S:$S,BM$3,'[1]2026'!$P:$P,$AU422)</f>
        <v>0</v>
      </c>
      <c r="BN422" s="10">
        <f>SUMIFS('[1]2026'!$K:$K,'[1]2026'!$T:$T,$BD422,'[1]2026'!$S:$S,BN$3,'[1]2026'!$P:$P,$AU422)</f>
        <v>0</v>
      </c>
      <c r="BO422" s="10">
        <f>SUMIFS('[1]2026'!$K:$K,'[1]2026'!$T:$T,$BD422,'[1]2026'!$S:$S,BO$3,'[1]2026'!$P:$P,$AU422)</f>
        <v>0</v>
      </c>
      <c r="BP422" s="6"/>
      <c r="BQ422" s="6"/>
      <c r="BR422" s="6">
        <f>(120*250)+5000+10000+15000</f>
        <v>60000</v>
      </c>
      <c r="BS422" s="6"/>
      <c r="BT422" s="6">
        <f t="shared" si="283"/>
        <v>60000</v>
      </c>
      <c r="BV422" s="6">
        <f t="shared" si="269"/>
        <v>0</v>
      </c>
      <c r="BW422" s="6">
        <f t="shared" si="270"/>
        <v>0</v>
      </c>
      <c r="BX422" s="6">
        <f t="shared" si="271"/>
        <v>0</v>
      </c>
      <c r="BY422" s="6">
        <f t="shared" si="272"/>
        <v>0</v>
      </c>
      <c r="BZ422" s="6">
        <f t="shared" si="273"/>
        <v>0</v>
      </c>
      <c r="CA422" s="6">
        <f t="shared" si="274"/>
        <v>0</v>
      </c>
      <c r="CB422" s="6">
        <f t="shared" si="275"/>
        <v>0</v>
      </c>
      <c r="CC422" s="6">
        <f t="shared" si="276"/>
        <v>0</v>
      </c>
      <c r="CD422" s="6">
        <f t="shared" si="277"/>
        <v>0</v>
      </c>
      <c r="CE422" s="6">
        <f t="shared" si="278"/>
        <v>0</v>
      </c>
      <c r="CF422" s="6">
        <f t="shared" si="279"/>
        <v>30000</v>
      </c>
      <c r="CG422" s="6">
        <f t="shared" si="280"/>
        <v>0</v>
      </c>
      <c r="CH422" s="6">
        <f t="shared" si="251"/>
        <v>30000</v>
      </c>
      <c r="CI422" s="6"/>
    </row>
    <row r="423" spans="1:87" hidden="1" x14ac:dyDescent="0.35">
      <c r="A423" t="s">
        <v>105</v>
      </c>
      <c r="AN423" s="27">
        <f>N423-AA423</f>
        <v>0</v>
      </c>
      <c r="AO423" s="40"/>
      <c r="AS423" t="str">
        <f>_xlfn.XLOOKUP(AU423,[2]GAE!HZ:HZ,[2]GAE!IA:IA)</f>
        <v>HUMAN RESOURCES</v>
      </c>
      <c r="AT423" t="str">
        <f>_xlfn.XLOOKUP(AU423,[2]GAE!HZ:HZ,[2]GAE!IB:IB)</f>
        <v>DOE - Company Events</v>
      </c>
      <c r="AU423" t="s">
        <v>790</v>
      </c>
      <c r="AV423">
        <v>81122101</v>
      </c>
      <c r="AW423">
        <v>52121401</v>
      </c>
      <c r="AX423" t="str">
        <f>_xlfn.XLOOKUP(AU423,[2]GAE!HZ:HZ,[2]GAE!IF:IF)</f>
        <v>Employee Benefits</v>
      </c>
      <c r="AY423" t="str">
        <f>_xlfn.XLOOKUP(AU423,[2]GAE!HZ:HZ,[2]GAE!IG:IG)</f>
        <v>Employee Programs/Perks</v>
      </c>
      <c r="BC423" t="s">
        <v>105</v>
      </c>
      <c r="BD423" t="s">
        <v>105</v>
      </c>
      <c r="BF423" t="s">
        <v>103</v>
      </c>
      <c r="BG423" s="2" t="s">
        <v>824</v>
      </c>
      <c r="BJ423" s="10">
        <f>SUMIFS('[1]2026'!$K:$K,'[1]2026'!$T:$T,$BD423,'[1]2026'!$S:$S,BJ$3,'[1]2026'!$P:$P,$AU423)</f>
        <v>5010</v>
      </c>
      <c r="BK423" s="10">
        <f>SUMIFS('[1]2026'!$K:$K,'[1]2026'!$T:$T,$BD423,'[1]2026'!$S:$S,BK$3,'[1]2026'!$P:$P,$AU423)</f>
        <v>0</v>
      </c>
      <c r="BL423" s="10">
        <f>SUMIFS('[1]2026'!$K:$K,'[1]2026'!$T:$T,$BD423,'[1]2026'!$S:$S,BL$3,'[1]2026'!$P:$P,$AU423)</f>
        <v>0</v>
      </c>
      <c r="BM423" s="10">
        <f>SUMIFS('[1]2026'!$K:$K,'[1]2026'!$T:$T,$BD423,'[1]2026'!$S:$S,BM$3,'[1]2026'!$P:$P,$AU423)</f>
        <v>0</v>
      </c>
      <c r="BN423" s="10">
        <f>SUMIFS('[1]2026'!$K:$K,'[1]2026'!$T:$T,$BD423,'[1]2026'!$S:$S,BN$3,'[1]2026'!$P:$P,$AU423)</f>
        <v>0</v>
      </c>
      <c r="BO423" s="10">
        <f>SUMIFS('[1]2026'!$K:$K,'[1]2026'!$T:$T,$BD423,'[1]2026'!$S:$S,BO$3,'[1]2026'!$P:$P,$AU423)</f>
        <v>0</v>
      </c>
      <c r="BP423" s="6">
        <f t="shared" ref="BP423:BS424" si="290">BO423</f>
        <v>0</v>
      </c>
      <c r="BQ423" s="6">
        <f t="shared" si="290"/>
        <v>0</v>
      </c>
      <c r="BR423" s="6">
        <f t="shared" si="290"/>
        <v>0</v>
      </c>
      <c r="BS423" s="6">
        <f t="shared" si="290"/>
        <v>0</v>
      </c>
      <c r="BT423" s="6">
        <f t="shared" si="283"/>
        <v>5010</v>
      </c>
      <c r="BV423" s="6">
        <f t="shared" si="269"/>
        <v>0</v>
      </c>
      <c r="BW423" s="6">
        <f t="shared" si="270"/>
        <v>0</v>
      </c>
      <c r="BX423" s="6">
        <f t="shared" si="271"/>
        <v>5010</v>
      </c>
      <c r="BY423" s="6">
        <f t="shared" si="272"/>
        <v>0</v>
      </c>
      <c r="BZ423" s="6">
        <f t="shared" si="273"/>
        <v>0</v>
      </c>
      <c r="CA423" s="6">
        <f t="shared" si="274"/>
        <v>0</v>
      </c>
      <c r="CB423" s="6">
        <f t="shared" si="275"/>
        <v>0</v>
      </c>
      <c r="CC423" s="6">
        <f t="shared" si="276"/>
        <v>0</v>
      </c>
      <c r="CD423" s="6">
        <f t="shared" si="277"/>
        <v>0</v>
      </c>
      <c r="CE423" s="6">
        <f t="shared" si="278"/>
        <v>0</v>
      </c>
      <c r="CF423" s="6">
        <f t="shared" si="279"/>
        <v>0</v>
      </c>
      <c r="CG423" s="6">
        <f t="shared" si="280"/>
        <v>0</v>
      </c>
      <c r="CH423" s="6">
        <f t="shared" si="251"/>
        <v>5010</v>
      </c>
    </row>
    <row r="424" spans="1:87" hidden="1" x14ac:dyDescent="0.35">
      <c r="A424" s="3" t="s">
        <v>107</v>
      </c>
      <c r="B424" s="10">
        <v>20000</v>
      </c>
      <c r="C424" s="10">
        <v>20000</v>
      </c>
      <c r="D424" s="10">
        <v>20000</v>
      </c>
      <c r="E424" s="10">
        <v>20000</v>
      </c>
      <c r="I424" s="10">
        <v>20000</v>
      </c>
      <c r="J424" s="10">
        <v>20000</v>
      </c>
      <c r="K424" s="10">
        <v>20000</v>
      </c>
      <c r="L424" s="10">
        <v>20000</v>
      </c>
      <c r="N424" s="27">
        <f t="shared" si="265"/>
        <v>160000</v>
      </c>
      <c r="AA424" s="27">
        <f t="shared" si="266"/>
        <v>0</v>
      </c>
      <c r="AB424" s="10">
        <f t="shared" si="285"/>
        <v>20000</v>
      </c>
      <c r="AC424" s="10">
        <f t="shared" si="285"/>
        <v>20000</v>
      </c>
      <c r="AD424" s="10">
        <f t="shared" si="285"/>
        <v>20000</v>
      </c>
      <c r="AE424" s="10">
        <f t="shared" si="285"/>
        <v>20000</v>
      </c>
      <c r="AF424" s="10">
        <f t="shared" si="285"/>
        <v>0</v>
      </c>
      <c r="AG424" s="10">
        <f t="shared" si="285"/>
        <v>0</v>
      </c>
      <c r="AH424" s="10">
        <f t="shared" si="285"/>
        <v>0</v>
      </c>
      <c r="AI424" s="10">
        <f t="shared" si="285"/>
        <v>20000</v>
      </c>
      <c r="AJ424" s="10">
        <f t="shared" si="284"/>
        <v>20000</v>
      </c>
      <c r="AK424" s="10">
        <f t="shared" si="284"/>
        <v>20000</v>
      </c>
      <c r="AL424" s="10">
        <f t="shared" si="284"/>
        <v>20000</v>
      </c>
      <c r="AM424" s="10">
        <f t="shared" si="284"/>
        <v>0</v>
      </c>
      <c r="AN424" s="27">
        <f t="shared" si="284"/>
        <v>160000</v>
      </c>
      <c r="AO424" s="28">
        <f>45899.37+19246.7+7828.95</f>
        <v>72975.02</v>
      </c>
      <c r="AP424" t="s">
        <v>825</v>
      </c>
      <c r="AS424" t="str">
        <f>_xlfn.XLOOKUP(AU424,[2]GAE!HZ:HZ,[2]GAE!IA:IA)</f>
        <v>HUMAN RESOURCES</v>
      </c>
      <c r="AT424" t="str">
        <f>_xlfn.XLOOKUP(AU424,[2]GAE!HZ:HZ,[2]GAE!IB:IB)</f>
        <v>DOE - Employees' Welfare</v>
      </c>
      <c r="AU424" t="s">
        <v>809</v>
      </c>
      <c r="AV424">
        <v>81122101</v>
      </c>
      <c r="AW424">
        <v>52121402</v>
      </c>
      <c r="AX424" t="str">
        <f>_xlfn.XLOOKUP(AU424,[2]GAE!HZ:HZ,[2]GAE!IF:IF)</f>
        <v>Employee Benefits</v>
      </c>
      <c r="AY424" t="str">
        <f>_xlfn.XLOOKUP(AU424,[2]GAE!HZ:HZ,[2]GAE!IG:IG)</f>
        <v>Employee Programs/Perks</v>
      </c>
      <c r="BC424" t="s">
        <v>107</v>
      </c>
      <c r="BD424" s="3" t="s">
        <v>107</v>
      </c>
      <c r="BE424" s="3"/>
      <c r="BF424" t="s">
        <v>106</v>
      </c>
      <c r="BG424" t="s">
        <v>107</v>
      </c>
      <c r="BH424" s="10">
        <f>SUMIFS('[1]2026'!$K:$K,'[1]2026'!$T:$T,BD424,'[1]2026'!$S:$S,BH$3,'[1]2026'!$P:$P,AU424)</f>
        <v>0</v>
      </c>
      <c r="BI424" s="10">
        <f>SUMIFS('[1]2026'!$K:$K,'[1]2026'!$T:$T,$BD424,'[1]2026'!$S:$S,BI$3,'[1]2026'!$P:$P,$AU424)</f>
        <v>1000</v>
      </c>
      <c r="BJ424" s="10">
        <f>SUMIFS('[1]2026'!$K:$K,'[1]2026'!$T:$T,$BD424,'[1]2026'!$S:$S,BJ$3,'[1]2026'!$P:$P,$AU424)</f>
        <v>0</v>
      </c>
      <c r="BK424" s="10">
        <f>SUMIFS('[1]2026'!$K:$K,'[1]2026'!$T:$T,$BD424,'[1]2026'!$S:$S,BK$3,'[1]2026'!$P:$P,$AU424)</f>
        <v>0</v>
      </c>
      <c r="BL424" s="10">
        <f>SUMIFS('[1]2026'!$K:$K,'[1]2026'!$T:$T,$BD424,'[1]2026'!$S:$S,BL$3,'[1]2026'!$P:$P,$AU424)</f>
        <v>0</v>
      </c>
      <c r="BM424" s="10">
        <f>SUMIFS('[1]2026'!$K:$K,'[1]2026'!$T:$T,$BD424,'[1]2026'!$S:$S,BM$3,'[1]2026'!$P:$P,$AU424)</f>
        <v>0</v>
      </c>
      <c r="BN424" s="10">
        <f>SUMIFS('[1]2026'!$K:$K,'[1]2026'!$T:$T,$BD424,'[1]2026'!$S:$S,BN$3,'[1]2026'!$P:$P,$AU424)</f>
        <v>0</v>
      </c>
      <c r="BO424" s="10">
        <f>SUMIFS('[1]2026'!$K:$K,'[1]2026'!$T:$T,$BD424,'[1]2026'!$S:$S,BO$3,'[1]2026'!$P:$P,$AU424)</f>
        <v>0</v>
      </c>
      <c r="BP424" s="6">
        <f t="shared" si="290"/>
        <v>0</v>
      </c>
      <c r="BQ424" s="6">
        <f t="shared" si="290"/>
        <v>0</v>
      </c>
      <c r="BR424" s="6">
        <f t="shared" si="290"/>
        <v>0</v>
      </c>
      <c r="BS424" s="6">
        <f t="shared" si="290"/>
        <v>0</v>
      </c>
      <c r="BT424" s="6">
        <f t="shared" si="283"/>
        <v>1000</v>
      </c>
      <c r="BV424" s="6">
        <f t="shared" si="269"/>
        <v>-20000</v>
      </c>
      <c r="BW424" s="6">
        <f t="shared" si="270"/>
        <v>-19000</v>
      </c>
      <c r="BX424" s="6">
        <f t="shared" si="271"/>
        <v>-20000</v>
      </c>
      <c r="BY424" s="6">
        <f t="shared" si="272"/>
        <v>-20000</v>
      </c>
      <c r="BZ424" s="6">
        <f t="shared" si="273"/>
        <v>0</v>
      </c>
      <c r="CA424" s="6">
        <f t="shared" si="274"/>
        <v>0</v>
      </c>
      <c r="CB424" s="6">
        <f t="shared" si="275"/>
        <v>0</v>
      </c>
      <c r="CC424" s="6">
        <f t="shared" si="276"/>
        <v>-20000</v>
      </c>
      <c r="CD424" s="6">
        <f t="shared" si="277"/>
        <v>-20000</v>
      </c>
      <c r="CE424" s="6">
        <f t="shared" si="278"/>
        <v>-20000</v>
      </c>
      <c r="CF424" s="6">
        <f t="shared" si="279"/>
        <v>-20000</v>
      </c>
      <c r="CG424" s="6">
        <f t="shared" si="280"/>
        <v>0</v>
      </c>
      <c r="CH424" s="6">
        <f t="shared" si="251"/>
        <v>-159000</v>
      </c>
    </row>
    <row r="425" spans="1:87" hidden="1" x14ac:dyDescent="0.35">
      <c r="A425" s="3" t="s">
        <v>107</v>
      </c>
      <c r="AN425" s="27">
        <f>N425-AA425</f>
        <v>0</v>
      </c>
      <c r="AS425" t="str">
        <f>_xlfn.XLOOKUP(AU425,[2]GAE!HZ:HZ,[2]GAE!IA:IA)</f>
        <v>HUMAN RESOURCES</v>
      </c>
      <c r="AT425" t="str">
        <f>_xlfn.XLOOKUP(AU425,[2]GAE!HZ:HZ,[2]GAE!IB:IB)</f>
        <v>DOE - Company Events</v>
      </c>
      <c r="AU425" t="s">
        <v>790</v>
      </c>
      <c r="AV425">
        <v>81122101</v>
      </c>
      <c r="AW425">
        <v>52121401</v>
      </c>
      <c r="AX425" t="str">
        <f>_xlfn.XLOOKUP(AU425,[2]GAE!HZ:HZ,[2]GAE!IF:IF)</f>
        <v>Employee Benefits</v>
      </c>
      <c r="AY425" t="str">
        <f>_xlfn.XLOOKUP(AU425,[2]GAE!HZ:HZ,[2]GAE!IG:IG)</f>
        <v>Employee Programs/Perks</v>
      </c>
      <c r="BD425" s="3" t="s">
        <v>107</v>
      </c>
      <c r="BE425" s="3"/>
      <c r="BF425" t="s">
        <v>106</v>
      </c>
      <c r="BG425" t="s">
        <v>107</v>
      </c>
      <c r="BJ425" s="10">
        <f>SUMIFS('[1]2026'!$K:$K,'[1]2026'!$T:$T,$BD425,'[1]2026'!$S:$S,BJ$3,'[1]2026'!$P:$P,$AU425)</f>
        <v>16601.29</v>
      </c>
      <c r="BK425" s="10">
        <f>SUMIFS('[1]2026'!$K:$K,'[1]2026'!$T:$T,$BD425,'[1]2026'!$S:$S,BK$3,'[1]2026'!$P:$P,$AU425)</f>
        <v>0</v>
      </c>
      <c r="BL425" s="6"/>
      <c r="BM425" s="10">
        <f>SUMIFS('[1]2026'!$K:$K,'[1]2026'!$T:$T,$BD425,'[1]2026'!$S:$S,BM$3,'[1]2026'!$P:$P,$AU425)</f>
        <v>0</v>
      </c>
      <c r="BN425" s="10">
        <f>SUMIFS('[1]2026'!$K:$K,'[1]2026'!$T:$T,$BD425,'[1]2026'!$S:$S,BN$3,'[1]2026'!$P:$P,$AU425)</f>
        <v>0</v>
      </c>
      <c r="BO425" s="10">
        <f>SUMIFS('[1]2026'!$K:$K,'[1]2026'!$T:$T,$BD425,'[1]2026'!$S:$S,BO$3,'[1]2026'!$P:$P,$AU425)</f>
        <v>0</v>
      </c>
      <c r="BP425" s="6"/>
      <c r="BQ425" s="6"/>
      <c r="BR425" s="6"/>
      <c r="BS425" s="6">
        <v>129200</v>
      </c>
      <c r="BT425" s="6">
        <f t="shared" si="283"/>
        <v>145801.29</v>
      </c>
      <c r="BV425" s="6">
        <f t="shared" si="269"/>
        <v>0</v>
      </c>
      <c r="BW425" s="6">
        <f t="shared" si="270"/>
        <v>0</v>
      </c>
      <c r="BX425" s="6">
        <f t="shared" si="271"/>
        <v>16601.29</v>
      </c>
      <c r="BY425" s="6">
        <f t="shared" si="272"/>
        <v>0</v>
      </c>
      <c r="BZ425" s="6">
        <f t="shared" si="273"/>
        <v>0</v>
      </c>
      <c r="CA425" s="6">
        <f t="shared" si="274"/>
        <v>0</v>
      </c>
      <c r="CB425" s="6">
        <f t="shared" si="275"/>
        <v>0</v>
      </c>
      <c r="CC425" s="6">
        <f t="shared" si="276"/>
        <v>0</v>
      </c>
      <c r="CD425" s="6">
        <f t="shared" si="277"/>
        <v>0</v>
      </c>
      <c r="CE425" s="6">
        <f t="shared" si="278"/>
        <v>0</v>
      </c>
      <c r="CF425" s="6">
        <f t="shared" si="279"/>
        <v>0</v>
      </c>
      <c r="CG425" s="6">
        <f t="shared" si="280"/>
        <v>129200</v>
      </c>
      <c r="CH425" s="6">
        <f t="shared" si="251"/>
        <v>145801.29</v>
      </c>
    </row>
    <row r="426" spans="1:87" hidden="1" x14ac:dyDescent="0.35">
      <c r="A426" s="3" t="s">
        <v>826</v>
      </c>
      <c r="F426" s="10">
        <v>100000</v>
      </c>
      <c r="H426" s="10">
        <v>100000</v>
      </c>
      <c r="J426" s="10">
        <v>100000</v>
      </c>
      <c r="N426" s="27">
        <f t="shared" si="265"/>
        <v>300000</v>
      </c>
      <c r="AA426" s="27">
        <f t="shared" si="266"/>
        <v>0</v>
      </c>
      <c r="AB426" s="10">
        <f t="shared" si="285"/>
        <v>0</v>
      </c>
      <c r="AC426" s="10">
        <f t="shared" si="285"/>
        <v>0</v>
      </c>
      <c r="AD426" s="10">
        <f t="shared" si="285"/>
        <v>0</v>
      </c>
      <c r="AE426" s="10">
        <f t="shared" si="285"/>
        <v>0</v>
      </c>
      <c r="AF426" s="10">
        <f t="shared" si="285"/>
        <v>100000</v>
      </c>
      <c r="AG426" s="10">
        <f t="shared" si="285"/>
        <v>0</v>
      </c>
      <c r="AH426" s="10">
        <f t="shared" si="285"/>
        <v>100000</v>
      </c>
      <c r="AI426" s="10">
        <f t="shared" si="285"/>
        <v>0</v>
      </c>
      <c r="AJ426" s="10">
        <f t="shared" si="284"/>
        <v>100000</v>
      </c>
      <c r="AK426" s="10">
        <f t="shared" si="284"/>
        <v>0</v>
      </c>
      <c r="AL426" s="10">
        <f t="shared" si="284"/>
        <v>0</v>
      </c>
      <c r="AM426" s="10">
        <f t="shared" si="284"/>
        <v>0</v>
      </c>
      <c r="AN426" s="27">
        <f t="shared" si="284"/>
        <v>300000</v>
      </c>
      <c r="AO426" s="40"/>
      <c r="AS426" t="str">
        <f>_xlfn.XLOOKUP(AU426,[2]GAE!HZ:HZ,[2]GAE!IA:IA)</f>
        <v>HUMAN RESOURCES</v>
      </c>
      <c r="AT426" t="str">
        <f>_xlfn.XLOOKUP(AU426,[2]GAE!HZ:HZ,[2]GAE!IB:IB)</f>
        <v>DOE - Company Events</v>
      </c>
      <c r="AU426" t="s">
        <v>790</v>
      </c>
      <c r="AV426">
        <v>81122101</v>
      </c>
      <c r="AW426">
        <v>52121401</v>
      </c>
      <c r="AX426" t="str">
        <f>_xlfn.XLOOKUP(AU426,[2]GAE!HZ:HZ,[2]GAE!IF:IF)</f>
        <v>Employee Benefits</v>
      </c>
      <c r="AY426" t="str">
        <f>_xlfn.XLOOKUP(AU426,[2]GAE!HZ:HZ,[2]GAE!IG:IG)</f>
        <v>Employee Programs/Perks</v>
      </c>
      <c r="BF426" t="s">
        <v>103</v>
      </c>
      <c r="BG426" s="3" t="s">
        <v>826</v>
      </c>
      <c r="BH426" s="10">
        <f>SUMIFS('[1]2026'!$K:$K,'[1]2026'!$T:$T,BD426,'[1]2026'!$S:$S,BH$3,'[1]2026'!$P:$P,AU426)</f>
        <v>0</v>
      </c>
      <c r="BI426" s="10">
        <f>SUMIFS('[1]2026'!$K:$K,'[1]2026'!$T:$T,$BD426,'[1]2026'!$S:$S,BI$3,'[1]2026'!$P:$P,$AU426)</f>
        <v>0</v>
      </c>
      <c r="BJ426" s="10">
        <f>SUMIFS('[1]2026'!$K:$K,'[1]2026'!$T:$T,$BD426,'[1]2026'!$S:$S,BJ$3,'[1]2026'!$P:$P,$AU426)</f>
        <v>0</v>
      </c>
      <c r="BK426" s="10">
        <f>SUMIFS('[1]2026'!$K:$K,'[1]2026'!$T:$T,$BD426,'[1]2026'!$S:$S,BK$3,'[1]2026'!$P:$P,$AU426)</f>
        <v>0</v>
      </c>
      <c r="BL426" s="10">
        <f>SUMIFS('[1]2026'!$K:$K,'[1]2026'!$T:$T,$BD426,'[1]2026'!$S:$S,BL$3,'[1]2026'!$P:$P,$AU426)</f>
        <v>0</v>
      </c>
      <c r="BM426" s="10">
        <f>SUMIFS('[1]2026'!$K:$K,'[1]2026'!$T:$T,$BD426,'[1]2026'!$S:$S,BM$3,'[1]2026'!$P:$P,$AU426)</f>
        <v>0</v>
      </c>
      <c r="BN426" s="10">
        <f>SUMIFS('[1]2026'!$K:$K,'[1]2026'!$T:$T,$BD426,'[1]2026'!$S:$S,BN$3,'[1]2026'!$P:$P,$AU426)</f>
        <v>0</v>
      </c>
      <c r="BO426" s="10">
        <f>SUMIFS('[1]2026'!$K:$K,'[1]2026'!$T:$T,$BD426,'[1]2026'!$S:$S,BO$3,'[1]2026'!$P:$P,$AU426)</f>
        <v>0</v>
      </c>
      <c r="BP426" s="6"/>
      <c r="BQ426" s="6">
        <f>AK426</f>
        <v>0</v>
      </c>
      <c r="BR426" s="6">
        <f>AL426</f>
        <v>0</v>
      </c>
      <c r="BS426" s="6">
        <v>16000</v>
      </c>
      <c r="BT426" s="6">
        <f t="shared" si="283"/>
        <v>16000</v>
      </c>
      <c r="BV426" s="6">
        <f t="shared" si="269"/>
        <v>0</v>
      </c>
      <c r="BW426" s="6">
        <f t="shared" si="270"/>
        <v>0</v>
      </c>
      <c r="BX426" s="6">
        <f t="shared" si="271"/>
        <v>0</v>
      </c>
      <c r="BY426" s="6">
        <f t="shared" si="272"/>
        <v>0</v>
      </c>
      <c r="BZ426" s="6">
        <f t="shared" si="273"/>
        <v>-100000</v>
      </c>
      <c r="CA426" s="6">
        <f t="shared" si="274"/>
        <v>0</v>
      </c>
      <c r="CB426" s="6">
        <f t="shared" si="275"/>
        <v>-100000</v>
      </c>
      <c r="CC426" s="6">
        <f t="shared" si="276"/>
        <v>0</v>
      </c>
      <c r="CD426" s="6">
        <f t="shared" si="277"/>
        <v>-100000</v>
      </c>
      <c r="CE426" s="6">
        <f t="shared" si="278"/>
        <v>0</v>
      </c>
      <c r="CF426" s="6">
        <f t="shared" si="279"/>
        <v>0</v>
      </c>
      <c r="CG426" s="6">
        <f t="shared" si="280"/>
        <v>16000</v>
      </c>
      <c r="CH426" s="6">
        <f t="shared" si="251"/>
        <v>-284000</v>
      </c>
      <c r="CI426" t="s">
        <v>827</v>
      </c>
    </row>
    <row r="427" spans="1:87" hidden="1" x14ac:dyDescent="0.35">
      <c r="A427" s="3" t="s">
        <v>828</v>
      </c>
      <c r="C427" s="10">
        <v>25000</v>
      </c>
      <c r="J427" s="10">
        <v>25000</v>
      </c>
      <c r="N427" s="27">
        <f t="shared" si="265"/>
        <v>50000</v>
      </c>
      <c r="AA427" s="27">
        <f t="shared" si="266"/>
        <v>0</v>
      </c>
      <c r="AB427" s="10">
        <f t="shared" si="285"/>
        <v>0</v>
      </c>
      <c r="AC427" s="10">
        <f t="shared" si="285"/>
        <v>25000</v>
      </c>
      <c r="AD427" s="10">
        <f t="shared" si="285"/>
        <v>0</v>
      </c>
      <c r="AE427" s="10">
        <f t="shared" si="285"/>
        <v>0</v>
      </c>
      <c r="AF427" s="10">
        <f t="shared" si="285"/>
        <v>0</v>
      </c>
      <c r="AG427" s="10">
        <f t="shared" si="285"/>
        <v>0</v>
      </c>
      <c r="AH427" s="10">
        <f t="shared" si="285"/>
        <v>0</v>
      </c>
      <c r="AI427" s="10">
        <f t="shared" si="285"/>
        <v>0</v>
      </c>
      <c r="AJ427" s="10">
        <f t="shared" si="284"/>
        <v>25000</v>
      </c>
      <c r="AK427" s="10">
        <f t="shared" si="284"/>
        <v>0</v>
      </c>
      <c r="AL427" s="10">
        <f t="shared" si="284"/>
        <v>0</v>
      </c>
      <c r="AM427" s="10">
        <f t="shared" si="284"/>
        <v>0</v>
      </c>
      <c r="AN427" s="27">
        <f t="shared" si="284"/>
        <v>50000</v>
      </c>
      <c r="AO427" s="41">
        <v>0</v>
      </c>
      <c r="AS427" t="str">
        <f>_xlfn.XLOOKUP(AU427,[2]GAE!HZ:HZ,[2]GAE!IA:IA)</f>
        <v>HUMAN RESOURCES</v>
      </c>
      <c r="AT427" t="str">
        <f>_xlfn.XLOOKUP(AU427,[2]GAE!HZ:HZ,[2]GAE!IB:IB)</f>
        <v>DOE - Employees' Welfare</v>
      </c>
      <c r="AU427" t="s">
        <v>809</v>
      </c>
      <c r="AV427">
        <v>81122101</v>
      </c>
      <c r="AW427">
        <v>52121402</v>
      </c>
      <c r="AX427" t="str">
        <f>_xlfn.XLOOKUP(AU427,[2]GAE!HZ:HZ,[2]GAE!IF:IF)</f>
        <v>Employee Benefits</v>
      </c>
      <c r="AY427" t="str">
        <f>_xlfn.XLOOKUP(AU427,[2]GAE!HZ:HZ,[2]GAE!IG:IG)</f>
        <v>Employee Programs/Perks</v>
      </c>
      <c r="BF427" t="s">
        <v>106</v>
      </c>
      <c r="BG427" s="3" t="s">
        <v>828</v>
      </c>
      <c r="BH427" s="10">
        <f>SUMIFS('[1]2026'!$K:$K,'[1]2026'!$T:$T,BD427,'[1]2026'!$S:$S,BH$3,'[1]2026'!$P:$P,AU427)</f>
        <v>0</v>
      </c>
      <c r="BI427" s="10">
        <f>SUMIFS('[1]2026'!$K:$K,'[1]2026'!$T:$T,$BD427,'[1]2026'!$S:$S,BI$3,'[1]2026'!$P:$P,$AU427)</f>
        <v>0</v>
      </c>
      <c r="BJ427" s="10">
        <f>SUMIFS('[1]2026'!$K:$K,'[1]2026'!$T:$T,$BD427,'[1]2026'!$S:$S,BJ$3,'[1]2026'!$P:$P,$AU427)</f>
        <v>0</v>
      </c>
      <c r="BK427" s="10">
        <f>SUMIFS('[1]2026'!$K:$K,'[1]2026'!$T:$T,$BD427,'[1]2026'!$S:$S,BK$3,'[1]2026'!$P:$P,$AU427)</f>
        <v>0</v>
      </c>
      <c r="BL427" s="10">
        <f>SUMIFS('[1]2026'!$K:$K,'[1]2026'!$T:$T,$BD427,'[1]2026'!$S:$S,BL$3,'[1]2026'!$P:$P,$AU427)</f>
        <v>0</v>
      </c>
      <c r="BM427" s="10">
        <f>SUMIFS('[1]2026'!$K:$K,'[1]2026'!$T:$T,$BD427,'[1]2026'!$S:$S,BM$3,'[1]2026'!$P:$P,$AU427)</f>
        <v>0</v>
      </c>
      <c r="BN427" s="10">
        <f>SUMIFS('[1]2026'!$K:$K,'[1]2026'!$T:$T,$BD427,'[1]2026'!$S:$S,BN$3,'[1]2026'!$P:$P,$AU427)</f>
        <v>0</v>
      </c>
      <c r="BO427" s="10">
        <f>SUMIFS('[1]2026'!$K:$K,'[1]2026'!$T:$T,$BD427,'[1]2026'!$S:$S,BO$3,'[1]2026'!$P:$P,$AU427)</f>
        <v>0</v>
      </c>
      <c r="BP427" s="6">
        <v>15000</v>
      </c>
      <c r="BQ427" s="6"/>
      <c r="BR427" s="6"/>
      <c r="BS427" s="6"/>
      <c r="BT427" s="6">
        <f t="shared" si="283"/>
        <v>15000</v>
      </c>
      <c r="BV427" s="6">
        <f t="shared" si="269"/>
        <v>0</v>
      </c>
      <c r="BW427" s="6">
        <f t="shared" si="270"/>
        <v>-25000</v>
      </c>
      <c r="BX427" s="6">
        <f t="shared" si="271"/>
        <v>0</v>
      </c>
      <c r="BY427" s="6">
        <f t="shared" si="272"/>
        <v>0</v>
      </c>
      <c r="BZ427" s="6">
        <f t="shared" si="273"/>
        <v>0</v>
      </c>
      <c r="CA427" s="6">
        <f t="shared" si="274"/>
        <v>0</v>
      </c>
      <c r="CB427" s="6">
        <f t="shared" si="275"/>
        <v>0</v>
      </c>
      <c r="CC427" s="6">
        <f t="shared" si="276"/>
        <v>0</v>
      </c>
      <c r="CD427" s="6">
        <f t="shared" si="277"/>
        <v>-10000</v>
      </c>
      <c r="CE427" s="6">
        <f t="shared" si="278"/>
        <v>0</v>
      </c>
      <c r="CF427" s="6">
        <f t="shared" si="279"/>
        <v>0</v>
      </c>
      <c r="CG427" s="6">
        <f t="shared" si="280"/>
        <v>0</v>
      </c>
      <c r="CH427" s="6">
        <f t="shared" si="251"/>
        <v>-35000</v>
      </c>
    </row>
    <row r="428" spans="1:87" hidden="1" x14ac:dyDescent="0.35">
      <c r="A428" s="3" t="s">
        <v>108</v>
      </c>
      <c r="B428" s="10">
        <v>275000</v>
      </c>
      <c r="N428" s="27">
        <f t="shared" si="265"/>
        <v>275000</v>
      </c>
      <c r="AA428" s="27">
        <f t="shared" si="266"/>
        <v>0</v>
      </c>
      <c r="AB428" s="10">
        <f t="shared" si="285"/>
        <v>275000</v>
      </c>
      <c r="AC428" s="10">
        <f t="shared" si="285"/>
        <v>0</v>
      </c>
      <c r="AD428" s="10">
        <f t="shared" si="285"/>
        <v>0</v>
      </c>
      <c r="AE428" s="10">
        <f t="shared" si="285"/>
        <v>0</v>
      </c>
      <c r="AF428" s="10">
        <f t="shared" si="285"/>
        <v>0</v>
      </c>
      <c r="AG428" s="10">
        <f t="shared" si="285"/>
        <v>0</v>
      </c>
      <c r="AH428" s="10">
        <f t="shared" si="285"/>
        <v>0</v>
      </c>
      <c r="AI428" s="10">
        <f t="shared" si="285"/>
        <v>0</v>
      </c>
      <c r="AJ428" s="10">
        <f t="shared" si="284"/>
        <v>0</v>
      </c>
      <c r="AK428" s="10">
        <f t="shared" si="284"/>
        <v>0</v>
      </c>
      <c r="AL428" s="10">
        <f t="shared" si="284"/>
        <v>0</v>
      </c>
      <c r="AM428" s="10">
        <f t="shared" si="284"/>
        <v>0</v>
      </c>
      <c r="AN428" s="27">
        <f t="shared" si="284"/>
        <v>275000</v>
      </c>
      <c r="AO428" s="28">
        <v>255951.77999999997</v>
      </c>
      <c r="AP428" t="s">
        <v>829</v>
      </c>
      <c r="AS428" t="str">
        <f>_xlfn.XLOOKUP(AU428,[2]GAE!HZ:HZ,[2]GAE!IA:IA)</f>
        <v>HUMAN RESOURCES</v>
      </c>
      <c r="AT428" t="str">
        <f>_xlfn.XLOOKUP(AU428,[2]GAE!HZ:HZ,[2]GAE!IB:IB)</f>
        <v>DOE - Employees' Welfare</v>
      </c>
      <c r="AU428" t="s">
        <v>809</v>
      </c>
      <c r="AV428">
        <v>81122101</v>
      </c>
      <c r="AW428">
        <v>52121402</v>
      </c>
      <c r="AX428" t="str">
        <f>_xlfn.XLOOKUP(AU428,[2]GAE!HZ:HZ,[2]GAE!IF:IF)</f>
        <v>Employee Benefits</v>
      </c>
      <c r="AY428" t="str">
        <f>_xlfn.XLOOKUP(AU428,[2]GAE!HZ:HZ,[2]GAE!IG:IG)</f>
        <v>Employee Programs/Perks</v>
      </c>
      <c r="BC428" t="s">
        <v>108</v>
      </c>
      <c r="BD428" t="s">
        <v>108</v>
      </c>
      <c r="BF428" t="s">
        <v>106</v>
      </c>
      <c r="BG428" t="s">
        <v>108</v>
      </c>
      <c r="BH428" s="10">
        <f>SUMIFS('[1]2026'!$K:$K,'[1]2026'!$T:$T,BD428,'[1]2026'!$S:$S,BH$3,'[1]2026'!$P:$P,AU428)</f>
        <v>0</v>
      </c>
      <c r="BI428" s="10">
        <f>SUMIFS('[1]2026'!$K:$K,'[1]2026'!$T:$T,$BD428,'[1]2026'!$S:$S,BI$3,'[1]2026'!$P:$P,$AU428)</f>
        <v>0</v>
      </c>
      <c r="BJ428" s="10">
        <f>SUMIFS('[1]2026'!$K:$K,'[1]2026'!$T:$T,$BD428,'[1]2026'!$S:$S,BJ$3,'[1]2026'!$P:$P,$AU428)</f>
        <v>0</v>
      </c>
      <c r="BK428" s="10">
        <f>SUMIFS('[1]2026'!$K:$K,'[1]2026'!$T:$T,$BD428,'[1]2026'!$S:$S,BK$3,'[1]2026'!$P:$P,$AU428)</f>
        <v>214285.71</v>
      </c>
      <c r="BL428" s="6"/>
      <c r="BM428" s="10">
        <f>SUMIFS('[1]2026'!$K:$K,'[1]2026'!$T:$T,$BD428,'[1]2026'!$S:$S,BM$3,'[1]2026'!$P:$P,$AU428)</f>
        <v>0</v>
      </c>
      <c r="BN428" s="10">
        <f>SUMIFS('[1]2026'!$K:$K,'[1]2026'!$T:$T,$BD428,'[1]2026'!$S:$S,BN$3,'[1]2026'!$P:$P,$AU428)</f>
        <v>0</v>
      </c>
      <c r="BO428" s="10">
        <f>SUMIFS('[1]2026'!$K:$K,'[1]2026'!$T:$T,$BD428,'[1]2026'!$S:$S,BO$3,'[1]2026'!$P:$P,$AU428)</f>
        <v>0</v>
      </c>
      <c r="BP428" s="6"/>
      <c r="BQ428" s="6"/>
      <c r="BR428" s="6"/>
      <c r="BS428" s="6">
        <v>30000</v>
      </c>
      <c r="BT428" s="6">
        <f t="shared" si="283"/>
        <v>244285.71</v>
      </c>
      <c r="BV428" s="6">
        <f t="shared" si="269"/>
        <v>-275000</v>
      </c>
      <c r="BW428" s="6">
        <f t="shared" si="270"/>
        <v>0</v>
      </c>
      <c r="BX428" s="6">
        <f t="shared" si="271"/>
        <v>0</v>
      </c>
      <c r="BY428" s="6">
        <f t="shared" si="272"/>
        <v>214285.71</v>
      </c>
      <c r="BZ428" s="6">
        <f t="shared" si="273"/>
        <v>0</v>
      </c>
      <c r="CA428" s="6">
        <f t="shared" si="274"/>
        <v>0</v>
      </c>
      <c r="CB428" s="6">
        <f t="shared" si="275"/>
        <v>0</v>
      </c>
      <c r="CC428" s="6">
        <f t="shared" si="276"/>
        <v>0</v>
      </c>
      <c r="CD428" s="6">
        <f t="shared" si="277"/>
        <v>0</v>
      </c>
      <c r="CE428" s="6">
        <f t="shared" si="278"/>
        <v>0</v>
      </c>
      <c r="CF428" s="6">
        <f t="shared" si="279"/>
        <v>0</v>
      </c>
      <c r="CG428" s="6">
        <f t="shared" si="280"/>
        <v>30000</v>
      </c>
      <c r="CH428" s="6">
        <f t="shared" si="251"/>
        <v>-30714.290000000008</v>
      </c>
      <c r="CI428" s="6"/>
    </row>
    <row r="429" spans="1:87" hidden="1" x14ac:dyDescent="0.35">
      <c r="A429" s="3" t="s">
        <v>109</v>
      </c>
      <c r="B429" s="10">
        <v>10000</v>
      </c>
      <c r="C429" s="10">
        <v>10000</v>
      </c>
      <c r="D429" s="10">
        <v>10000</v>
      </c>
      <c r="E429" s="10">
        <v>10000</v>
      </c>
      <c r="F429" s="10">
        <v>10000</v>
      </c>
      <c r="G429" s="10">
        <v>10000</v>
      </c>
      <c r="H429" s="10">
        <v>10000</v>
      </c>
      <c r="I429" s="10">
        <v>10000</v>
      </c>
      <c r="J429" s="10">
        <v>10000</v>
      </c>
      <c r="K429" s="10">
        <v>10000</v>
      </c>
      <c r="L429" s="10">
        <v>10000</v>
      </c>
      <c r="M429" s="10">
        <v>10000</v>
      </c>
      <c r="N429" s="27">
        <f t="shared" si="265"/>
        <v>120000</v>
      </c>
      <c r="AA429" s="27">
        <f t="shared" si="266"/>
        <v>0</v>
      </c>
      <c r="AB429" s="10">
        <f t="shared" si="285"/>
        <v>10000</v>
      </c>
      <c r="AC429" s="10">
        <f t="shared" si="285"/>
        <v>10000</v>
      </c>
      <c r="AD429" s="10">
        <f t="shared" si="285"/>
        <v>10000</v>
      </c>
      <c r="AE429" s="10">
        <f t="shared" si="285"/>
        <v>10000</v>
      </c>
      <c r="AF429" s="10">
        <f t="shared" si="285"/>
        <v>10000</v>
      </c>
      <c r="AG429" s="10">
        <f t="shared" si="285"/>
        <v>10000</v>
      </c>
      <c r="AH429" s="10">
        <f t="shared" si="285"/>
        <v>10000</v>
      </c>
      <c r="AI429" s="10">
        <f t="shared" si="285"/>
        <v>10000</v>
      </c>
      <c r="AJ429" s="10">
        <f t="shared" si="284"/>
        <v>10000</v>
      </c>
      <c r="AK429" s="10">
        <f t="shared" si="284"/>
        <v>10000</v>
      </c>
      <c r="AL429" s="10">
        <f t="shared" si="284"/>
        <v>10000</v>
      </c>
      <c r="AM429" s="10">
        <f t="shared" si="284"/>
        <v>10000</v>
      </c>
      <c r="AN429" s="27">
        <f t="shared" si="284"/>
        <v>120000</v>
      </c>
      <c r="AO429" s="28">
        <v>47648.6</v>
      </c>
      <c r="AP429" t="s">
        <v>109</v>
      </c>
      <c r="AS429" t="str">
        <f>_xlfn.XLOOKUP(AU429,[2]GAE!HZ:HZ,[2]GAE!IA:IA)</f>
        <v>HUMAN RESOURCES</v>
      </c>
      <c r="AT429" t="str">
        <f>_xlfn.XLOOKUP(AU429,[2]GAE!HZ:HZ,[2]GAE!IB:IB)</f>
        <v>DOE - Supplies</v>
      </c>
      <c r="AU429" t="s">
        <v>830</v>
      </c>
      <c r="AV429">
        <v>81122101</v>
      </c>
      <c r="AW429">
        <v>52111101</v>
      </c>
      <c r="AX429" t="str">
        <f>_xlfn.XLOOKUP(AU429,[2]GAE!HZ:HZ,[2]GAE!IF:IF)</f>
        <v>Employee Benefits</v>
      </c>
      <c r="AY429" t="str">
        <f>_xlfn.XLOOKUP(AU429,[2]GAE!HZ:HZ,[2]GAE!IG:IG)</f>
        <v>Employee Programs/Perks</v>
      </c>
      <c r="BC429" t="s">
        <v>109</v>
      </c>
      <c r="BD429" t="s">
        <v>109</v>
      </c>
      <c r="BF429" t="s">
        <v>13</v>
      </c>
      <c r="BG429" t="s">
        <v>109</v>
      </c>
      <c r="BH429" s="10">
        <f>SUMIFS('[1]2026'!$K:$K,'[1]2026'!$T:$T,BD429,'[1]2026'!$S:$S,BH$3,'[1]2026'!$P:$P,AU429)</f>
        <v>0</v>
      </c>
      <c r="BI429" s="10">
        <f>SUMIFS('[1]2026'!$K:$K,'[1]2026'!$T:$T,$BD429,'[1]2026'!$S:$S,BI$3,'[1]2026'!$P:$P,$AU429)</f>
        <v>0</v>
      </c>
      <c r="BJ429" s="10">
        <f>SUMIFS('[1]2026'!$K:$K,'[1]2026'!$T:$T,$BD429,'[1]2026'!$S:$S,BJ$3,'[1]2026'!$P:$P,$AU429)</f>
        <v>0</v>
      </c>
      <c r="BK429" s="10">
        <f>SUMIFS('[1]2026'!$K:$K,'[1]2026'!$T:$T,$BD429,'[1]2026'!$S:$S,BK$3,'[1]2026'!$P:$P,$AU429)</f>
        <v>0</v>
      </c>
      <c r="BL429" s="10">
        <f>SUMIFS('[1]2026'!$K:$K,'[1]2026'!$T:$T,$BD429,'[1]2026'!$S:$S,BL$3,'[1]2026'!$P:$P,$AU429)</f>
        <v>0</v>
      </c>
      <c r="BM429" s="10">
        <f>SUMIFS('[1]2026'!$K:$K,'[1]2026'!$T:$T,$BD429,'[1]2026'!$S:$S,BM$3,'[1]2026'!$P:$P,$AU429)</f>
        <v>0</v>
      </c>
      <c r="BN429" s="10">
        <f>SUMIFS('[1]2026'!$K:$K,'[1]2026'!$T:$T,$BD429,'[1]2026'!$S:$S,BN$3,'[1]2026'!$P:$P,$AU429)</f>
        <v>0</v>
      </c>
      <c r="BO429" s="10">
        <f>SUMIFS('[1]2026'!$K:$K,'[1]2026'!$T:$T,$BD429,'[1]2026'!$S:$S,BO$3,'[1]2026'!$P:$P,$AU429)</f>
        <v>0</v>
      </c>
      <c r="BP429" s="6">
        <f t="shared" ref="BP429:BS431" si="291">BO429</f>
        <v>0</v>
      </c>
      <c r="BQ429" s="6">
        <f t="shared" si="291"/>
        <v>0</v>
      </c>
      <c r="BR429" s="6">
        <f t="shared" si="291"/>
        <v>0</v>
      </c>
      <c r="BS429" s="6">
        <f t="shared" si="291"/>
        <v>0</v>
      </c>
      <c r="BT429" s="6">
        <f t="shared" si="283"/>
        <v>0</v>
      </c>
      <c r="BV429" s="6">
        <f t="shared" si="269"/>
        <v>-10000</v>
      </c>
      <c r="BW429" s="6">
        <f t="shared" si="270"/>
        <v>-10000</v>
      </c>
      <c r="BX429" s="6">
        <f t="shared" si="271"/>
        <v>-10000</v>
      </c>
      <c r="BY429" s="6">
        <f t="shared" si="272"/>
        <v>-10000</v>
      </c>
      <c r="BZ429" s="6">
        <f t="shared" si="273"/>
        <v>-10000</v>
      </c>
      <c r="CA429" s="6">
        <f t="shared" si="274"/>
        <v>-10000</v>
      </c>
      <c r="CB429" s="6">
        <f t="shared" si="275"/>
        <v>-10000</v>
      </c>
      <c r="CC429" s="6">
        <f t="shared" si="276"/>
        <v>-10000</v>
      </c>
      <c r="CD429" s="6">
        <f t="shared" si="277"/>
        <v>-10000</v>
      </c>
      <c r="CE429" s="6">
        <f t="shared" si="278"/>
        <v>-10000</v>
      </c>
      <c r="CF429" s="6">
        <f t="shared" si="279"/>
        <v>-10000</v>
      </c>
      <c r="CG429" s="6">
        <f t="shared" si="280"/>
        <v>-10000</v>
      </c>
      <c r="CH429" s="6">
        <f t="shared" si="251"/>
        <v>-120000</v>
      </c>
    </row>
    <row r="430" spans="1:87" hidden="1" x14ac:dyDescent="0.35">
      <c r="A430" s="3" t="s">
        <v>109</v>
      </c>
      <c r="AN430" s="27">
        <f t="shared" si="284"/>
        <v>0</v>
      </c>
      <c r="AS430" t="str">
        <f>_xlfn.XLOOKUP(AU430,[2]GAE!HZ:HZ,[2]GAE!IA:IA)</f>
        <v>HUMAN RESOURCES</v>
      </c>
      <c r="AT430" t="str">
        <f>_xlfn.XLOOKUP(AU430,[2]GAE!HZ:HZ,[2]GAE!IB:IB)</f>
        <v>DOE - Employees' Welfare</v>
      </c>
      <c r="AU430" t="s">
        <v>831</v>
      </c>
      <c r="AV430">
        <v>90122101</v>
      </c>
      <c r="AW430">
        <v>52121402</v>
      </c>
      <c r="AX430" t="str">
        <f>_xlfn.XLOOKUP(AU430,[2]GAE!HZ:HZ,[2]GAE!IF:IF)</f>
        <v>Employee Benefits</v>
      </c>
      <c r="AY430" t="str">
        <f>_xlfn.XLOOKUP(AU430,[2]GAE!HZ:HZ,[2]GAE!IG:IG)</f>
        <v>Employee Programs/Perks</v>
      </c>
      <c r="BD430" t="s">
        <v>109</v>
      </c>
      <c r="BF430" t="s">
        <v>13</v>
      </c>
      <c r="BG430" t="s">
        <v>109</v>
      </c>
      <c r="BH430" s="10">
        <f>SUMIFS('[1]2026'!$K:$K,'[1]2026'!$T:$T,BD430,'[1]2026'!$S:$S,BH$3,'[1]2026'!$P:$P,AU430)</f>
        <v>89</v>
      </c>
      <c r="BI430" s="10">
        <f>SUMIFS('[1]2026'!$K:$K,'[1]2026'!$T:$T,$BD430,'[1]2026'!$S:$S,BI$3,'[1]2026'!$P:$P,$AU430)</f>
        <v>0</v>
      </c>
      <c r="BJ430" s="10">
        <f>SUMIFS('[1]2026'!$K:$K,'[1]2026'!$T:$T,$BD430,'[1]2026'!$S:$S,BJ$3,'[1]2026'!$P:$P,$AU430)</f>
        <v>0</v>
      </c>
      <c r="BK430" s="10">
        <f>SUMIFS('[1]2026'!$K:$K,'[1]2026'!$T:$T,$BD430,'[1]2026'!$S:$S,BK$3,'[1]2026'!$P:$P,$AU430)</f>
        <v>0</v>
      </c>
      <c r="BL430" s="10">
        <f>SUMIFS('[1]2026'!$K:$K,'[1]2026'!$T:$T,$BD430,'[1]2026'!$S:$S,BL$3,'[1]2026'!$P:$P,$AU430)</f>
        <v>0</v>
      </c>
      <c r="BM430" s="10">
        <f>SUMIFS('[1]2026'!$K:$K,'[1]2026'!$T:$T,$BD430,'[1]2026'!$S:$S,BM$3,'[1]2026'!$P:$P,$AU430)</f>
        <v>0</v>
      </c>
      <c r="BN430" s="10">
        <f>SUMIFS('[1]2026'!$K:$K,'[1]2026'!$T:$T,$BD430,'[1]2026'!$S:$S,BN$3,'[1]2026'!$P:$P,$AU430)</f>
        <v>0</v>
      </c>
      <c r="BO430" s="10">
        <f>SUMIFS('[1]2026'!$K:$K,'[1]2026'!$T:$T,$BD430,'[1]2026'!$S:$S,BO$3,'[1]2026'!$P:$P,$AU430)</f>
        <v>0</v>
      </c>
      <c r="BP430" s="6">
        <f t="shared" si="291"/>
        <v>0</v>
      </c>
      <c r="BQ430" s="6">
        <f t="shared" si="291"/>
        <v>0</v>
      </c>
      <c r="BR430" s="6">
        <f t="shared" si="291"/>
        <v>0</v>
      </c>
      <c r="BS430" s="6">
        <f t="shared" si="291"/>
        <v>0</v>
      </c>
      <c r="BT430" s="6">
        <f t="shared" si="283"/>
        <v>89</v>
      </c>
      <c r="BV430" s="6">
        <f t="shared" si="269"/>
        <v>89</v>
      </c>
      <c r="BW430" s="6">
        <f t="shared" si="270"/>
        <v>0</v>
      </c>
      <c r="BX430" s="6">
        <f t="shared" si="271"/>
        <v>0</v>
      </c>
      <c r="BY430" s="6">
        <f t="shared" si="272"/>
        <v>0</v>
      </c>
      <c r="BZ430" s="6">
        <f t="shared" si="273"/>
        <v>0</v>
      </c>
      <c r="CA430" s="6">
        <f t="shared" si="274"/>
        <v>0</v>
      </c>
      <c r="CB430" s="6">
        <f t="shared" si="275"/>
        <v>0</v>
      </c>
      <c r="CC430" s="6">
        <f t="shared" si="276"/>
        <v>0</v>
      </c>
      <c r="CD430" s="6">
        <f t="shared" si="277"/>
        <v>0</v>
      </c>
      <c r="CE430" s="6">
        <f t="shared" si="278"/>
        <v>0</v>
      </c>
      <c r="CF430" s="6">
        <f t="shared" si="279"/>
        <v>0</v>
      </c>
      <c r="CG430" s="6">
        <f t="shared" si="280"/>
        <v>0</v>
      </c>
      <c r="CH430" s="6">
        <f t="shared" si="251"/>
        <v>89</v>
      </c>
    </row>
    <row r="431" spans="1:87" hidden="1" x14ac:dyDescent="0.35">
      <c r="A431" s="3" t="s">
        <v>109</v>
      </c>
      <c r="AN431" s="27">
        <f t="shared" si="284"/>
        <v>0</v>
      </c>
      <c r="AS431" t="str">
        <f>_xlfn.XLOOKUP(AU431,[2]GAE!HZ:HZ,[2]GAE!IA:IA)</f>
        <v>HUMAN RESOURCES</v>
      </c>
      <c r="AT431" t="str">
        <f>_xlfn.XLOOKUP(AU431,[2]GAE!HZ:HZ,[2]GAE!IB:IB)</f>
        <v>DOE - Employees' Welfare</v>
      </c>
      <c r="AU431" t="s">
        <v>809</v>
      </c>
      <c r="AV431">
        <v>81122101</v>
      </c>
      <c r="AW431">
        <v>52121402</v>
      </c>
      <c r="AX431" t="str">
        <f>_xlfn.XLOOKUP(AU431,[2]GAE!HZ:HZ,[2]GAE!IF:IF)</f>
        <v>Employee Benefits</v>
      </c>
      <c r="AY431" t="str">
        <f>_xlfn.XLOOKUP(AU431,[2]GAE!HZ:HZ,[2]GAE!IG:IG)</f>
        <v>Employee Programs/Perks</v>
      </c>
      <c r="BD431" t="s">
        <v>109</v>
      </c>
      <c r="BF431" t="s">
        <v>13</v>
      </c>
      <c r="BG431" t="s">
        <v>109</v>
      </c>
      <c r="BH431" s="10">
        <f>SUMIFS('[1]2026'!$K:$K,'[1]2026'!$T:$T,BD431,'[1]2026'!$S:$S,BH$3,'[1]2026'!$P:$P,AU431)</f>
        <v>95</v>
      </c>
      <c r="BI431" s="10">
        <f>SUMIFS('[1]2026'!$K:$K,'[1]2026'!$T:$T,$BD431,'[1]2026'!$S:$S,BI$3,'[1]2026'!$P:$P,$AU431)</f>
        <v>2967</v>
      </c>
      <c r="BJ431" s="10">
        <f>SUMIFS('[1]2026'!$K:$K,'[1]2026'!$T:$T,$BD431,'[1]2026'!$S:$S,BJ$3,'[1]2026'!$P:$P,$AU431)</f>
        <v>13029.46</v>
      </c>
      <c r="BK431" s="10">
        <f>SUMIFS('[1]2026'!$K:$K,'[1]2026'!$T:$T,$BD431,'[1]2026'!$S:$S,BK$3,'[1]2026'!$P:$P,$AU431)</f>
        <v>0</v>
      </c>
      <c r="BL431" s="10">
        <f>SUMIFS('[1]2026'!$K:$K,'[1]2026'!$T:$T,$BD431,'[1]2026'!$S:$S,BL$3,'[1]2026'!$P:$P,$AU431)</f>
        <v>2095</v>
      </c>
      <c r="BM431" s="10">
        <f>SUMIFS('[1]2026'!$K:$K,'[1]2026'!$T:$T,$BD431,'[1]2026'!$S:$S,BM$3,'[1]2026'!$P:$P,$AU431)</f>
        <v>0</v>
      </c>
      <c r="BN431" s="10">
        <f>SUMIFS('[1]2026'!$K:$K,'[1]2026'!$T:$T,$BD431,'[1]2026'!$S:$S,BN$3,'[1]2026'!$P:$P,$AU431)</f>
        <v>13326.98</v>
      </c>
      <c r="BO431" s="10">
        <f>SUMIFS('[1]2026'!$K:$K,'[1]2026'!$T:$T,$BD431,'[1]2026'!$S:$S,BO$3,'[1]2026'!$P:$P,$AU431)</f>
        <v>0</v>
      </c>
      <c r="BP431" s="6">
        <f t="shared" si="291"/>
        <v>0</v>
      </c>
      <c r="BQ431" s="6">
        <f t="shared" si="291"/>
        <v>0</v>
      </c>
      <c r="BR431" s="6">
        <f t="shared" si="291"/>
        <v>0</v>
      </c>
      <c r="BS431" s="6">
        <v>15000</v>
      </c>
      <c r="BT431" s="6">
        <f t="shared" si="283"/>
        <v>46513.440000000002</v>
      </c>
      <c r="BV431" s="6">
        <f t="shared" si="269"/>
        <v>95</v>
      </c>
      <c r="BW431" s="6">
        <f t="shared" si="270"/>
        <v>2967</v>
      </c>
      <c r="BX431" s="6">
        <f t="shared" si="271"/>
        <v>13029.46</v>
      </c>
      <c r="BY431" s="6">
        <f t="shared" si="272"/>
        <v>0</v>
      </c>
      <c r="BZ431" s="6">
        <f t="shared" si="273"/>
        <v>2095</v>
      </c>
      <c r="CA431" s="6">
        <f t="shared" si="274"/>
        <v>0</v>
      </c>
      <c r="CB431" s="6">
        <f t="shared" si="275"/>
        <v>13326.98</v>
      </c>
      <c r="CC431" s="6">
        <f t="shared" si="276"/>
        <v>0</v>
      </c>
      <c r="CD431" s="6">
        <f t="shared" si="277"/>
        <v>0</v>
      </c>
      <c r="CE431" s="6">
        <f t="shared" si="278"/>
        <v>0</v>
      </c>
      <c r="CF431" s="6">
        <f t="shared" si="279"/>
        <v>0</v>
      </c>
      <c r="CG431" s="6">
        <f t="shared" si="280"/>
        <v>15000</v>
      </c>
      <c r="CH431" s="6">
        <f t="shared" si="251"/>
        <v>46513.440000000002</v>
      </c>
    </row>
    <row r="432" spans="1:87" hidden="1" x14ac:dyDescent="0.35">
      <c r="A432" s="3" t="s">
        <v>110</v>
      </c>
      <c r="B432" s="10">
        <v>162000</v>
      </c>
      <c r="N432" s="27">
        <f t="shared" ref="N432:N495" si="292">SUM(B432:M432)</f>
        <v>162000</v>
      </c>
      <c r="AA432" s="27">
        <f t="shared" ref="AA432:AA495" si="293">SUM(O432:Z432)</f>
        <v>0</v>
      </c>
      <c r="AB432" s="10">
        <f t="shared" ref="AB432:AN458" si="294">B432-O432</f>
        <v>162000</v>
      </c>
      <c r="AC432" s="10">
        <f t="shared" si="294"/>
        <v>0</v>
      </c>
      <c r="AD432" s="10">
        <f t="shared" si="294"/>
        <v>0</v>
      </c>
      <c r="AE432" s="10">
        <f t="shared" si="294"/>
        <v>0</v>
      </c>
      <c r="AF432" s="10">
        <f t="shared" si="294"/>
        <v>0</v>
      </c>
      <c r="AG432" s="10">
        <f t="shared" si="294"/>
        <v>0</v>
      </c>
      <c r="AH432" s="10">
        <f t="shared" si="294"/>
        <v>0</v>
      </c>
      <c r="AI432" s="10">
        <f t="shared" si="294"/>
        <v>0</v>
      </c>
      <c r="AJ432" s="10">
        <f t="shared" si="294"/>
        <v>0</v>
      </c>
      <c r="AK432" s="10">
        <f t="shared" si="294"/>
        <v>0</v>
      </c>
      <c r="AL432" s="10">
        <f t="shared" si="294"/>
        <v>0</v>
      </c>
      <c r="AM432" s="10">
        <f t="shared" si="294"/>
        <v>0</v>
      </c>
      <c r="AN432" s="27">
        <f t="shared" si="284"/>
        <v>162000</v>
      </c>
      <c r="AO432" s="28">
        <v>115400</v>
      </c>
      <c r="AP432" t="s">
        <v>110</v>
      </c>
      <c r="AS432" t="str">
        <f>_xlfn.XLOOKUP(AU432,[2]GAE!HZ:HZ,[2]GAE!IA:IA)</f>
        <v>HUMAN RESOURCES</v>
      </c>
      <c r="AT432" t="str">
        <f>_xlfn.XLOOKUP(AU432,[2]GAE!HZ:HZ,[2]GAE!IB:IB)</f>
        <v>DOE - Employees' Welfare</v>
      </c>
      <c r="AU432" t="s">
        <v>831</v>
      </c>
      <c r="AV432">
        <v>90122101</v>
      </c>
      <c r="AW432">
        <v>52121402</v>
      </c>
      <c r="AX432" t="str">
        <f>_xlfn.XLOOKUP(AU432,[2]GAE!HZ:HZ,[2]GAE!IF:IF)</f>
        <v>Employee Benefits</v>
      </c>
      <c r="AY432" t="str">
        <f>_xlfn.XLOOKUP(AU432,[2]GAE!HZ:HZ,[2]GAE!IG:IG)</f>
        <v>Employee Programs/Perks</v>
      </c>
      <c r="BC432" t="s">
        <v>110</v>
      </c>
      <c r="BD432" t="s">
        <v>110</v>
      </c>
      <c r="BF432" t="s">
        <v>106</v>
      </c>
      <c r="BG432" t="s">
        <v>110</v>
      </c>
      <c r="BH432" s="10">
        <f>SUMIFS('[1]2026'!$K:$K,'[1]2026'!$T:$T,BD432,'[1]2026'!$S:$S,BH$3,'[1]2026'!$P:$P,AU432)</f>
        <v>0</v>
      </c>
      <c r="BI432" s="10">
        <f>SUMIFS('[1]2026'!$K:$K,'[1]2026'!$T:$T,$BD432,'[1]2026'!$S:$S,BI$3,'[1]2026'!$P:$P,$AU432)</f>
        <v>0</v>
      </c>
      <c r="BJ432" s="10">
        <f>SUMIFS('[1]2026'!$K:$K,'[1]2026'!$T:$T,$BD432,'[1]2026'!$S:$S,BJ$3,'[1]2026'!$P:$P,$AU432)</f>
        <v>30000</v>
      </c>
      <c r="BK432" s="10">
        <f>SUMIFS('[1]2026'!$K:$K,'[1]2026'!$T:$T,$BD432,'[1]2026'!$S:$S,BK$3,'[1]2026'!$P:$P,$AU432)</f>
        <v>0</v>
      </c>
      <c r="BL432" s="10">
        <f>SUMIFS('[1]2026'!$K:$K,'[1]2026'!$T:$T,$BD432,'[1]2026'!$S:$S,BL$3,'[1]2026'!$P:$P,$AU432)</f>
        <v>0</v>
      </c>
      <c r="BM432" s="10">
        <f>SUMIFS('[1]2026'!$K:$K,'[1]2026'!$T:$T,$BD432,'[1]2026'!$S:$S,BM$3,'[1]2026'!$P:$P,$AU432)</f>
        <v>0</v>
      </c>
      <c r="BN432" s="10">
        <f>SUMIFS('[1]2026'!$K:$K,'[1]2026'!$T:$T,$BD432,'[1]2026'!$S:$S,BN$3,'[1]2026'!$P:$P,$AU432)</f>
        <v>10000</v>
      </c>
      <c r="BO432" s="10">
        <f>SUMIFS('[1]2026'!$K:$K,'[1]2026'!$T:$T,$BD432,'[1]2026'!$S:$S,BO$3,'[1]2026'!$P:$P,$AU432)</f>
        <v>13900</v>
      </c>
      <c r="BP432" s="6">
        <v>10000</v>
      </c>
      <c r="BQ432" s="6">
        <v>10000</v>
      </c>
      <c r="BR432" s="6">
        <v>10000</v>
      </c>
      <c r="BS432" s="6">
        <v>10000</v>
      </c>
      <c r="BT432" s="6">
        <f t="shared" si="283"/>
        <v>93900</v>
      </c>
      <c r="BV432" s="6">
        <f t="shared" si="269"/>
        <v>-162000</v>
      </c>
      <c r="BW432" s="6">
        <f t="shared" si="270"/>
        <v>0</v>
      </c>
      <c r="BX432" s="6">
        <f t="shared" si="271"/>
        <v>30000</v>
      </c>
      <c r="BY432" s="6">
        <f t="shared" si="272"/>
        <v>0</v>
      </c>
      <c r="BZ432" s="6">
        <f t="shared" si="273"/>
        <v>0</v>
      </c>
      <c r="CA432" s="6">
        <f t="shared" si="274"/>
        <v>0</v>
      </c>
      <c r="CB432" s="6">
        <f t="shared" si="275"/>
        <v>10000</v>
      </c>
      <c r="CC432" s="6">
        <f t="shared" si="276"/>
        <v>13900</v>
      </c>
      <c r="CD432" s="6">
        <f t="shared" si="277"/>
        <v>10000</v>
      </c>
      <c r="CE432" s="6">
        <f t="shared" si="278"/>
        <v>10000</v>
      </c>
      <c r="CF432" s="6">
        <f t="shared" si="279"/>
        <v>10000</v>
      </c>
      <c r="CG432" s="6">
        <f t="shared" si="280"/>
        <v>10000</v>
      </c>
      <c r="CH432" s="6">
        <f t="shared" si="251"/>
        <v>-68100</v>
      </c>
    </row>
    <row r="433" spans="1:86" hidden="1" x14ac:dyDescent="0.35">
      <c r="A433" s="3" t="s">
        <v>110</v>
      </c>
      <c r="B433" s="10">
        <v>79800</v>
      </c>
      <c r="N433" s="27">
        <f t="shared" si="292"/>
        <v>79800</v>
      </c>
      <c r="AA433" s="27">
        <f t="shared" si="293"/>
        <v>0</v>
      </c>
      <c r="AB433" s="10">
        <f t="shared" si="294"/>
        <v>79800</v>
      </c>
      <c r="AC433" s="10">
        <f t="shared" si="294"/>
        <v>0</v>
      </c>
      <c r="AD433" s="10">
        <f t="shared" si="294"/>
        <v>0</v>
      </c>
      <c r="AE433" s="10">
        <f t="shared" si="294"/>
        <v>0</v>
      </c>
      <c r="AF433" s="10">
        <f t="shared" si="294"/>
        <v>0</v>
      </c>
      <c r="AG433" s="10">
        <f t="shared" si="294"/>
        <v>0</v>
      </c>
      <c r="AH433" s="10">
        <f t="shared" si="294"/>
        <v>0</v>
      </c>
      <c r="AI433" s="10">
        <f t="shared" si="294"/>
        <v>0</v>
      </c>
      <c r="AJ433" s="10">
        <f t="shared" si="294"/>
        <v>0</v>
      </c>
      <c r="AK433" s="10">
        <f t="shared" si="294"/>
        <v>0</v>
      </c>
      <c r="AL433" s="10">
        <f t="shared" si="294"/>
        <v>0</v>
      </c>
      <c r="AM433" s="10">
        <f t="shared" si="294"/>
        <v>0</v>
      </c>
      <c r="AN433" s="27">
        <f t="shared" si="284"/>
        <v>79800</v>
      </c>
      <c r="AO433" s="41">
        <v>0</v>
      </c>
      <c r="AS433" t="str">
        <f>_xlfn.XLOOKUP(AU433,[2]GAE!HZ:HZ,[2]GAE!IA:IA)</f>
        <v>HUMAN RESOURCES</v>
      </c>
      <c r="AT433" t="str">
        <f>_xlfn.XLOOKUP(AU433,[2]GAE!HZ:HZ,[2]GAE!IB:IB)</f>
        <v>DOE - Employees' Welfare</v>
      </c>
      <c r="AU433" t="s">
        <v>809</v>
      </c>
      <c r="AV433">
        <v>81122101</v>
      </c>
      <c r="AW433">
        <v>52121402</v>
      </c>
      <c r="AX433" t="str">
        <f>_xlfn.XLOOKUP(AU433,[2]GAE!HZ:HZ,[2]GAE!IF:IF)</f>
        <v>Employee Benefits</v>
      </c>
      <c r="AY433" t="str">
        <f>_xlfn.XLOOKUP(AU433,[2]GAE!HZ:HZ,[2]GAE!IG:IG)</f>
        <v>Employee Programs/Perks</v>
      </c>
      <c r="BC433" t="s">
        <v>110</v>
      </c>
      <c r="BD433" t="s">
        <v>110</v>
      </c>
      <c r="BF433" t="s">
        <v>106</v>
      </c>
      <c r="BG433" t="s">
        <v>110</v>
      </c>
      <c r="BH433" s="10">
        <f>SUMIFS('[1]2026'!$K:$K,'[1]2026'!$T:$T,BD433,'[1]2026'!$S:$S,BH$3,'[1]2026'!$P:$P,AU433)</f>
        <v>3000</v>
      </c>
      <c r="BI433" s="10">
        <f>SUMIFS('[1]2026'!$K:$K,'[1]2026'!$T:$T,$BD433,'[1]2026'!$S:$S,BI$3,'[1]2026'!$P:$P,$AU433)</f>
        <v>0</v>
      </c>
      <c r="BJ433" s="10">
        <f>SUMIFS('[1]2026'!$K:$K,'[1]2026'!$T:$T,$BD433,'[1]2026'!$S:$S,BJ$3,'[1]2026'!$P:$P,$AU433)</f>
        <v>3900</v>
      </c>
      <c r="BK433" s="10">
        <f>SUMIFS('[1]2026'!$K:$K,'[1]2026'!$T:$T,$BD433,'[1]2026'!$S:$S,BK$3,'[1]2026'!$P:$P,$AU433)</f>
        <v>0</v>
      </c>
      <c r="BL433" s="10">
        <f>SUMIFS('[1]2026'!$K:$K,'[1]2026'!$T:$T,$BD433,'[1]2026'!$S:$S,BL$3,'[1]2026'!$P:$P,$AU433)</f>
        <v>3700</v>
      </c>
      <c r="BM433" s="10">
        <f>SUMIFS('[1]2026'!$K:$K,'[1]2026'!$T:$T,$BD433,'[1]2026'!$S:$S,BM$3,'[1]2026'!$P:$P,$AU433)</f>
        <v>0</v>
      </c>
      <c r="BN433" s="10">
        <f>SUMIFS('[1]2026'!$K:$K,'[1]2026'!$T:$T,$BD433,'[1]2026'!$S:$S,BN$3,'[1]2026'!$P:$P,$AU433)</f>
        <v>6000</v>
      </c>
      <c r="BO433" s="10">
        <f>SUMIFS('[1]2026'!$K:$K,'[1]2026'!$T:$T,$BD433,'[1]2026'!$S:$S,BO$3,'[1]2026'!$P:$P,$AU433)</f>
        <v>13450</v>
      </c>
      <c r="BP433" s="6">
        <v>10000</v>
      </c>
      <c r="BQ433" s="6">
        <v>10000</v>
      </c>
      <c r="BR433" s="6">
        <v>10000</v>
      </c>
      <c r="BS433" s="6">
        <v>10000</v>
      </c>
      <c r="BT433" s="6">
        <f t="shared" si="283"/>
        <v>70050</v>
      </c>
      <c r="BV433" s="6">
        <f t="shared" si="269"/>
        <v>-76800</v>
      </c>
      <c r="BW433" s="6">
        <f t="shared" si="270"/>
        <v>0</v>
      </c>
      <c r="BX433" s="6">
        <f t="shared" si="271"/>
        <v>3900</v>
      </c>
      <c r="BY433" s="6">
        <f t="shared" si="272"/>
        <v>0</v>
      </c>
      <c r="BZ433" s="6">
        <f t="shared" si="273"/>
        <v>3700</v>
      </c>
      <c r="CA433" s="6">
        <f t="shared" si="274"/>
        <v>0</v>
      </c>
      <c r="CB433" s="6">
        <f t="shared" si="275"/>
        <v>6000</v>
      </c>
      <c r="CC433" s="6">
        <f t="shared" si="276"/>
        <v>13450</v>
      </c>
      <c r="CD433" s="6">
        <f t="shared" si="277"/>
        <v>10000</v>
      </c>
      <c r="CE433" s="6">
        <f t="shared" si="278"/>
        <v>10000</v>
      </c>
      <c r="CF433" s="6">
        <f t="shared" si="279"/>
        <v>10000</v>
      </c>
      <c r="CG433" s="6">
        <f t="shared" si="280"/>
        <v>10000</v>
      </c>
      <c r="CH433" s="6">
        <f t="shared" si="251"/>
        <v>-9750</v>
      </c>
    </row>
    <row r="434" spans="1:86" hidden="1" x14ac:dyDescent="0.35">
      <c r="A434" s="3" t="s">
        <v>110</v>
      </c>
      <c r="B434" s="10">
        <v>58200</v>
      </c>
      <c r="N434" s="27">
        <f t="shared" si="292"/>
        <v>58200</v>
      </c>
      <c r="AA434" s="27">
        <f t="shared" si="293"/>
        <v>0</v>
      </c>
      <c r="AB434" s="10">
        <f t="shared" si="294"/>
        <v>58200</v>
      </c>
      <c r="AC434" s="10">
        <f t="shared" si="294"/>
        <v>0</v>
      </c>
      <c r="AD434" s="10">
        <f t="shared" si="294"/>
        <v>0</v>
      </c>
      <c r="AE434" s="10">
        <f t="shared" si="294"/>
        <v>0</v>
      </c>
      <c r="AF434" s="10">
        <f t="shared" si="294"/>
        <v>0</v>
      </c>
      <c r="AG434" s="10">
        <f t="shared" si="294"/>
        <v>0</v>
      </c>
      <c r="AH434" s="10">
        <f t="shared" si="294"/>
        <v>0</v>
      </c>
      <c r="AI434" s="10">
        <f t="shared" si="294"/>
        <v>0</v>
      </c>
      <c r="AJ434" s="10">
        <f t="shared" si="294"/>
        <v>0</v>
      </c>
      <c r="AK434" s="10">
        <f t="shared" si="294"/>
        <v>0</v>
      </c>
      <c r="AL434" s="10">
        <f t="shared" si="294"/>
        <v>0</v>
      </c>
      <c r="AM434" s="10">
        <f t="shared" si="294"/>
        <v>0</v>
      </c>
      <c r="AN434" s="27">
        <f t="shared" si="284"/>
        <v>58200</v>
      </c>
      <c r="AO434" s="41">
        <v>0</v>
      </c>
      <c r="AS434" t="str">
        <f>_xlfn.XLOOKUP(AU434,[2]GAE!HZ:HZ,[2]GAE!IA:IA)</f>
        <v>HUMAN RESOURCES</v>
      </c>
      <c r="AT434" t="str">
        <f>_xlfn.XLOOKUP(AU434,[2]GAE!HZ:HZ,[2]GAE!IB:IB)</f>
        <v>GAE - Employees' Welfare</v>
      </c>
      <c r="AU434" t="s">
        <v>832</v>
      </c>
      <c r="AV434">
        <v>80122101</v>
      </c>
      <c r="AW434">
        <v>61021403</v>
      </c>
      <c r="AX434" t="str">
        <f>_xlfn.XLOOKUP(AU434,[2]GAE!HZ:HZ,[2]GAE!IF:IF)</f>
        <v>Employee Benefits</v>
      </c>
      <c r="AY434" t="str">
        <f>_xlfn.XLOOKUP(AU434,[2]GAE!HZ:HZ,[2]GAE!IG:IG)</f>
        <v>Employee Programs/Perks</v>
      </c>
      <c r="BD434" t="s">
        <v>110</v>
      </c>
      <c r="BF434" t="s">
        <v>106</v>
      </c>
      <c r="BG434" t="s">
        <v>110</v>
      </c>
      <c r="BH434" s="10">
        <f>SUMIFS('[1]2026'!$K:$K,'[1]2026'!$T:$T,BD434,'[1]2026'!$S:$S,BH$3,'[1]2026'!$P:$P,AU434)</f>
        <v>0</v>
      </c>
      <c r="BI434" s="10">
        <f>SUMIFS('[1]2026'!$K:$K,'[1]2026'!$T:$T,$BD434,'[1]2026'!$S:$S,BI$3,'[1]2026'!$P:$P,$AU434)</f>
        <v>0</v>
      </c>
      <c r="BJ434" s="10">
        <f>SUMIFS('[1]2026'!$K:$K,'[1]2026'!$T:$T,$BD434,'[1]2026'!$S:$S,BJ$3,'[1]2026'!$P:$P,$AU434)</f>
        <v>0</v>
      </c>
      <c r="BK434" s="10">
        <f>SUMIFS('[1]2026'!$K:$K,'[1]2026'!$T:$T,$BD434,'[1]2026'!$S:$S,BK$3,'[1]2026'!$P:$P,$AU434)</f>
        <v>0</v>
      </c>
      <c r="BL434" s="10">
        <f>SUMIFS('[1]2026'!$K:$K,'[1]2026'!$T:$T,$BD434,'[1]2026'!$S:$S,BL$3,'[1]2026'!$P:$P,$AU434)</f>
        <v>0</v>
      </c>
      <c r="BM434" s="10">
        <f>SUMIFS('[1]2026'!$K:$K,'[1]2026'!$T:$T,$BD434,'[1]2026'!$S:$S,BM$3,'[1]2026'!$P:$P,$AU434)</f>
        <v>0</v>
      </c>
      <c r="BN434" s="10">
        <f>SUMIFS('[1]2026'!$K:$K,'[1]2026'!$T:$T,$BD434,'[1]2026'!$S:$S,BN$3,'[1]2026'!$P:$P,$AU434)</f>
        <v>0</v>
      </c>
      <c r="BO434" s="10">
        <f>SUMIFS('[1]2026'!$K:$K,'[1]2026'!$T:$T,$BD434,'[1]2026'!$S:$S,BO$3,'[1]2026'!$P:$P,$AU434)</f>
        <v>0</v>
      </c>
      <c r="BP434" s="6">
        <f t="shared" ref="BP434:BS445" si="295">BO434</f>
        <v>0</v>
      </c>
      <c r="BQ434" s="6">
        <f t="shared" si="295"/>
        <v>0</v>
      </c>
      <c r="BR434" s="6">
        <f t="shared" si="295"/>
        <v>0</v>
      </c>
      <c r="BS434" s="6">
        <f t="shared" si="295"/>
        <v>0</v>
      </c>
      <c r="BT434" s="6">
        <f t="shared" si="283"/>
        <v>0</v>
      </c>
      <c r="BV434" s="6">
        <f t="shared" si="269"/>
        <v>-58200</v>
      </c>
      <c r="BW434" s="6">
        <f t="shared" si="270"/>
        <v>0</v>
      </c>
      <c r="BX434" s="6">
        <f t="shared" si="271"/>
        <v>0</v>
      </c>
      <c r="BY434" s="6">
        <f t="shared" si="272"/>
        <v>0</v>
      </c>
      <c r="BZ434" s="6">
        <f t="shared" si="273"/>
        <v>0</v>
      </c>
      <c r="CA434" s="6">
        <f t="shared" si="274"/>
        <v>0</v>
      </c>
      <c r="CB434" s="6">
        <f t="shared" si="275"/>
        <v>0</v>
      </c>
      <c r="CC434" s="6">
        <f t="shared" si="276"/>
        <v>0</v>
      </c>
      <c r="CD434" s="6">
        <f t="shared" si="277"/>
        <v>0</v>
      </c>
      <c r="CE434" s="6">
        <f t="shared" si="278"/>
        <v>0</v>
      </c>
      <c r="CF434" s="6">
        <f t="shared" si="279"/>
        <v>0</v>
      </c>
      <c r="CG434" s="6">
        <f t="shared" si="280"/>
        <v>0</v>
      </c>
      <c r="CH434" s="6">
        <f t="shared" si="251"/>
        <v>-58200</v>
      </c>
    </row>
    <row r="435" spans="1:86" hidden="1" x14ac:dyDescent="0.35">
      <c r="A435" s="3" t="s">
        <v>111</v>
      </c>
      <c r="B435" s="10">
        <v>64800</v>
      </c>
      <c r="N435" s="27">
        <f t="shared" si="292"/>
        <v>64800</v>
      </c>
      <c r="AA435" s="27">
        <f t="shared" si="293"/>
        <v>0</v>
      </c>
      <c r="AB435" s="10">
        <f t="shared" si="294"/>
        <v>64800</v>
      </c>
      <c r="AC435" s="10">
        <f t="shared" si="294"/>
        <v>0</v>
      </c>
      <c r="AD435" s="10">
        <f t="shared" si="294"/>
        <v>0</v>
      </c>
      <c r="AE435" s="10">
        <f t="shared" si="294"/>
        <v>0</v>
      </c>
      <c r="AF435" s="10">
        <f t="shared" si="294"/>
        <v>0</v>
      </c>
      <c r="AG435" s="10">
        <f t="shared" si="294"/>
        <v>0</v>
      </c>
      <c r="AH435" s="10">
        <f t="shared" si="294"/>
        <v>0</v>
      </c>
      <c r="AI435" s="10">
        <f t="shared" si="294"/>
        <v>0</v>
      </c>
      <c r="AJ435" s="10">
        <f t="shared" si="294"/>
        <v>0</v>
      </c>
      <c r="AK435" s="10">
        <f t="shared" si="294"/>
        <v>0</v>
      </c>
      <c r="AL435" s="10">
        <f t="shared" si="294"/>
        <v>0</v>
      </c>
      <c r="AM435" s="10">
        <f t="shared" si="294"/>
        <v>0</v>
      </c>
      <c r="AN435" s="27">
        <f t="shared" si="284"/>
        <v>64800</v>
      </c>
      <c r="AO435" s="28">
        <v>44413</v>
      </c>
      <c r="AP435" t="s">
        <v>833</v>
      </c>
      <c r="AS435" t="str">
        <f>_xlfn.XLOOKUP(AU435,[2]GAE!HZ:HZ,[2]GAE!IA:IA)</f>
        <v>HUMAN RESOURCES</v>
      </c>
      <c r="AT435" t="str">
        <f>_xlfn.XLOOKUP(AU435,[2]GAE!HZ:HZ,[2]GAE!IB:IB)</f>
        <v>DOE - Employees' Welfare</v>
      </c>
      <c r="AU435" t="s">
        <v>831</v>
      </c>
      <c r="AV435">
        <v>90122101</v>
      </c>
      <c r="AW435">
        <v>52121402</v>
      </c>
      <c r="AX435" t="str">
        <f>_xlfn.XLOOKUP(AU435,[2]GAE!HZ:HZ,[2]GAE!IF:IF)</f>
        <v>Employee Benefits</v>
      </c>
      <c r="AY435" t="str">
        <f>_xlfn.XLOOKUP(AU435,[2]GAE!HZ:HZ,[2]GAE!IG:IG)</f>
        <v>Employee Programs/Perks</v>
      </c>
      <c r="BF435" t="s">
        <v>106</v>
      </c>
      <c r="BG435" t="s">
        <v>111</v>
      </c>
      <c r="BH435" s="10">
        <f>SUMIFS('[1]2026'!$K:$K,'[1]2026'!$T:$T,BD435,'[1]2026'!$S:$S,BH$3,'[1]2026'!$P:$P,AU435)</f>
        <v>0</v>
      </c>
      <c r="BI435" s="10">
        <f>SUMIFS('[1]2026'!$K:$K,'[1]2026'!$T:$T,$BD435,'[1]2026'!$S:$S,BI$3,'[1]2026'!$P:$P,$AU435)</f>
        <v>0</v>
      </c>
      <c r="BJ435" s="10">
        <f>SUMIFS('[1]2026'!$K:$K,'[1]2026'!$T:$T,$BD435,'[1]2026'!$S:$S,BJ$3,'[1]2026'!$P:$P,$AU435)</f>
        <v>0</v>
      </c>
      <c r="BK435" s="10">
        <f>SUMIFS('[1]2026'!$K:$K,'[1]2026'!$T:$T,$BD435,'[1]2026'!$S:$S,BK$3,'[1]2026'!$P:$P,$AU435)</f>
        <v>0</v>
      </c>
      <c r="BL435" s="10">
        <f>SUMIFS('[1]2026'!$K:$K,'[1]2026'!$T:$T,$BD435,'[1]2026'!$S:$S,BL$3,'[1]2026'!$P:$P,$AU435)</f>
        <v>0</v>
      </c>
      <c r="BM435" s="10">
        <f>SUMIFS('[1]2026'!$K:$K,'[1]2026'!$T:$T,$BD435,'[1]2026'!$S:$S,BM$3,'[1]2026'!$P:$P,$AU435)</f>
        <v>0</v>
      </c>
      <c r="BN435" s="10">
        <f>SUMIFS('[1]2026'!$K:$K,'[1]2026'!$T:$T,$BD435,'[1]2026'!$S:$S,BN$3,'[1]2026'!$P:$P,$AU435)</f>
        <v>0</v>
      </c>
      <c r="BO435" s="10">
        <f>SUMIFS('[1]2026'!$K:$K,'[1]2026'!$T:$T,$BD435,'[1]2026'!$S:$S,BO$3,'[1]2026'!$P:$P,$AU435)</f>
        <v>0</v>
      </c>
      <c r="BP435" s="6">
        <v>1000</v>
      </c>
      <c r="BQ435" s="6">
        <v>1000</v>
      </c>
      <c r="BR435" s="6">
        <v>1000</v>
      </c>
      <c r="BS435" s="6">
        <v>1000</v>
      </c>
      <c r="BT435" s="6">
        <f t="shared" si="283"/>
        <v>4000</v>
      </c>
      <c r="BV435" s="6">
        <f t="shared" si="269"/>
        <v>-64800</v>
      </c>
      <c r="BW435" s="6">
        <f t="shared" si="270"/>
        <v>0</v>
      </c>
      <c r="BX435" s="6">
        <f t="shared" si="271"/>
        <v>0</v>
      </c>
      <c r="BY435" s="6">
        <f t="shared" si="272"/>
        <v>0</v>
      </c>
      <c r="BZ435" s="6">
        <f t="shared" si="273"/>
        <v>0</v>
      </c>
      <c r="CA435" s="6">
        <f t="shared" si="274"/>
        <v>0</v>
      </c>
      <c r="CB435" s="6">
        <f t="shared" si="275"/>
        <v>0</v>
      </c>
      <c r="CC435" s="6">
        <f t="shared" si="276"/>
        <v>0</v>
      </c>
      <c r="CD435" s="6">
        <f t="shared" si="277"/>
        <v>1000</v>
      </c>
      <c r="CE435" s="6">
        <f t="shared" si="278"/>
        <v>1000</v>
      </c>
      <c r="CF435" s="6">
        <f t="shared" si="279"/>
        <v>1000</v>
      </c>
      <c r="CG435" s="6">
        <f t="shared" si="280"/>
        <v>1000</v>
      </c>
      <c r="CH435" s="6">
        <f t="shared" si="251"/>
        <v>-60800</v>
      </c>
    </row>
    <row r="436" spans="1:86" hidden="1" x14ac:dyDescent="0.35">
      <c r="A436" s="3" t="s">
        <v>111</v>
      </c>
      <c r="B436" s="10">
        <v>31920</v>
      </c>
      <c r="N436" s="27">
        <f t="shared" si="292"/>
        <v>31920</v>
      </c>
      <c r="AA436" s="27">
        <f t="shared" si="293"/>
        <v>0</v>
      </c>
      <c r="AB436" s="10">
        <f t="shared" si="294"/>
        <v>31920</v>
      </c>
      <c r="AC436" s="10">
        <f t="shared" si="294"/>
        <v>0</v>
      </c>
      <c r="AD436" s="10">
        <f t="shared" si="294"/>
        <v>0</v>
      </c>
      <c r="AE436" s="10">
        <f t="shared" si="294"/>
        <v>0</v>
      </c>
      <c r="AF436" s="10">
        <f t="shared" si="294"/>
        <v>0</v>
      </c>
      <c r="AG436" s="10">
        <f t="shared" si="294"/>
        <v>0</v>
      </c>
      <c r="AH436" s="10">
        <f t="shared" si="294"/>
        <v>0</v>
      </c>
      <c r="AI436" s="10">
        <f t="shared" si="294"/>
        <v>0</v>
      </c>
      <c r="AJ436" s="10">
        <f t="shared" si="294"/>
        <v>0</v>
      </c>
      <c r="AK436" s="10">
        <f t="shared" si="294"/>
        <v>0</v>
      </c>
      <c r="AL436" s="10">
        <f t="shared" si="294"/>
        <v>0</v>
      </c>
      <c r="AM436" s="10">
        <f t="shared" si="294"/>
        <v>0</v>
      </c>
      <c r="AN436" s="27">
        <f t="shared" si="284"/>
        <v>31920</v>
      </c>
      <c r="AO436" s="41">
        <v>0</v>
      </c>
      <c r="AS436" t="str">
        <f>_xlfn.XLOOKUP(AU436,[2]GAE!HZ:HZ,[2]GAE!IA:IA)</f>
        <v>HUMAN RESOURCES</v>
      </c>
      <c r="AT436" t="str">
        <f>_xlfn.XLOOKUP(AU436,[2]GAE!HZ:HZ,[2]GAE!IB:IB)</f>
        <v>DOE - Employees' Welfare</v>
      </c>
      <c r="AU436" t="s">
        <v>809</v>
      </c>
      <c r="AV436">
        <v>81122101</v>
      </c>
      <c r="AW436">
        <v>52121402</v>
      </c>
      <c r="AX436" t="str">
        <f>_xlfn.XLOOKUP(AU436,[2]GAE!HZ:HZ,[2]GAE!IF:IF)</f>
        <v>Employee Benefits</v>
      </c>
      <c r="AY436" t="str">
        <f>_xlfn.XLOOKUP(AU436,[2]GAE!HZ:HZ,[2]GAE!IG:IG)</f>
        <v>Employee Programs/Perks</v>
      </c>
      <c r="BC436" t="s">
        <v>111</v>
      </c>
      <c r="BD436" t="s">
        <v>833</v>
      </c>
      <c r="BF436" t="s">
        <v>106</v>
      </c>
      <c r="BG436" t="s">
        <v>111</v>
      </c>
      <c r="BH436" s="10">
        <f>SUMIFS('[1]2026'!$K:$K,'[1]2026'!$T:$T,BD436,'[1]2026'!$S:$S,BH$3,'[1]2026'!$P:$P,AU436)</f>
        <v>0</v>
      </c>
      <c r="BI436" s="10">
        <f>SUMIFS('[1]2026'!$K:$K,'[1]2026'!$T:$T,$BD436,'[1]2026'!$S:$S,BI$3,'[1]2026'!$P:$P,$AU436)</f>
        <v>925</v>
      </c>
      <c r="BJ436" s="10">
        <f>SUMIFS('[1]2026'!$K:$K,'[1]2026'!$T:$T,$BD436,'[1]2026'!$S:$S,BJ$3,'[1]2026'!$P:$P,$AU436)</f>
        <v>0</v>
      </c>
      <c r="BK436" s="10">
        <f>SUMIFS('[1]2026'!$K:$K,'[1]2026'!$T:$T,$BD436,'[1]2026'!$S:$S,BK$3,'[1]2026'!$P:$P,$AU436)</f>
        <v>0</v>
      </c>
      <c r="BL436" s="10">
        <f>SUMIFS('[1]2026'!$K:$K,'[1]2026'!$T:$T,$BD436,'[1]2026'!$S:$S,BL$3,'[1]2026'!$P:$P,$AU436)</f>
        <v>0</v>
      </c>
      <c r="BM436" s="10">
        <f>SUMIFS('[1]2026'!$K:$K,'[1]2026'!$T:$T,$BD436,'[1]2026'!$S:$S,BM$3,'[1]2026'!$P:$P,$AU436)</f>
        <v>0</v>
      </c>
      <c r="BN436" s="10">
        <f>SUMIFS('[1]2026'!$K:$K,'[1]2026'!$T:$T,$BD436,'[1]2026'!$S:$S,BN$3,'[1]2026'!$P:$P,$AU436)</f>
        <v>986.85</v>
      </c>
      <c r="BO436" s="10">
        <f>SUMIFS('[1]2026'!$K:$K,'[1]2026'!$T:$T,$BD436,'[1]2026'!$S:$S,BO$3,'[1]2026'!$P:$P,$AU436)</f>
        <v>0</v>
      </c>
      <c r="BP436" s="6">
        <f t="shared" si="295"/>
        <v>0</v>
      </c>
      <c r="BQ436" s="6">
        <f t="shared" si="295"/>
        <v>0</v>
      </c>
      <c r="BR436" s="6">
        <f t="shared" si="295"/>
        <v>0</v>
      </c>
      <c r="BS436" s="6">
        <f t="shared" si="295"/>
        <v>0</v>
      </c>
      <c r="BT436" s="6">
        <f t="shared" si="283"/>
        <v>1911.85</v>
      </c>
      <c r="BV436" s="6">
        <f t="shared" si="269"/>
        <v>-31920</v>
      </c>
      <c r="BW436" s="6">
        <f t="shared" si="270"/>
        <v>925</v>
      </c>
      <c r="BX436" s="6">
        <f t="shared" si="271"/>
        <v>0</v>
      </c>
      <c r="BY436" s="6">
        <f t="shared" si="272"/>
        <v>0</v>
      </c>
      <c r="BZ436" s="6">
        <f t="shared" si="273"/>
        <v>0</v>
      </c>
      <c r="CA436" s="6">
        <f t="shared" si="274"/>
        <v>0</v>
      </c>
      <c r="CB436" s="6">
        <f t="shared" si="275"/>
        <v>986.85</v>
      </c>
      <c r="CC436" s="6">
        <f t="shared" si="276"/>
        <v>0</v>
      </c>
      <c r="CD436" s="6">
        <f t="shared" si="277"/>
        <v>0</v>
      </c>
      <c r="CE436" s="6">
        <f t="shared" si="278"/>
        <v>0</v>
      </c>
      <c r="CF436" s="6">
        <f t="shared" si="279"/>
        <v>0</v>
      </c>
      <c r="CG436" s="6">
        <f t="shared" si="280"/>
        <v>0</v>
      </c>
      <c r="CH436" s="6">
        <f t="shared" si="251"/>
        <v>-30008.15</v>
      </c>
    </row>
    <row r="437" spans="1:86" hidden="1" x14ac:dyDescent="0.35">
      <c r="A437" s="3" t="s">
        <v>111</v>
      </c>
      <c r="B437" s="10">
        <v>23280</v>
      </c>
      <c r="N437" s="27">
        <f t="shared" si="292"/>
        <v>23280</v>
      </c>
      <c r="AA437" s="27">
        <f t="shared" si="293"/>
        <v>0</v>
      </c>
      <c r="AB437" s="10">
        <f t="shared" si="294"/>
        <v>23280</v>
      </c>
      <c r="AC437" s="10">
        <f t="shared" si="294"/>
        <v>0</v>
      </c>
      <c r="AD437" s="10">
        <f t="shared" si="294"/>
        <v>0</v>
      </c>
      <c r="AE437" s="10">
        <f t="shared" si="294"/>
        <v>0</v>
      </c>
      <c r="AF437" s="10">
        <f t="shared" si="294"/>
        <v>0</v>
      </c>
      <c r="AG437" s="10">
        <f t="shared" si="294"/>
        <v>0</v>
      </c>
      <c r="AH437" s="10">
        <f t="shared" si="294"/>
        <v>0</v>
      </c>
      <c r="AI437" s="10">
        <f t="shared" si="294"/>
        <v>0</v>
      </c>
      <c r="AJ437" s="10">
        <f t="shared" si="294"/>
        <v>0</v>
      </c>
      <c r="AK437" s="10">
        <f t="shared" si="294"/>
        <v>0</v>
      </c>
      <c r="AL437" s="10">
        <f t="shared" si="294"/>
        <v>0</v>
      </c>
      <c r="AM437" s="10">
        <f t="shared" si="294"/>
        <v>0</v>
      </c>
      <c r="AN437" s="27">
        <f t="shared" si="284"/>
        <v>23280</v>
      </c>
      <c r="AO437" s="41">
        <v>0</v>
      </c>
      <c r="AS437" t="str">
        <f>_xlfn.XLOOKUP(AU437,[2]GAE!HZ:HZ,[2]GAE!IA:IA)</f>
        <v>HUMAN RESOURCES</v>
      </c>
      <c r="AT437" t="str">
        <f>_xlfn.XLOOKUP(AU437,[2]GAE!HZ:HZ,[2]GAE!IB:IB)</f>
        <v>GAE - Employees' Welfare</v>
      </c>
      <c r="AU437" t="s">
        <v>832</v>
      </c>
      <c r="AV437">
        <v>80122101</v>
      </c>
      <c r="AW437">
        <v>61021403</v>
      </c>
      <c r="AX437" t="str">
        <f>_xlfn.XLOOKUP(AU437,[2]GAE!HZ:HZ,[2]GAE!IF:IF)</f>
        <v>Employee Benefits</v>
      </c>
      <c r="AY437" t="str">
        <f>_xlfn.XLOOKUP(AU437,[2]GAE!HZ:HZ,[2]GAE!IG:IG)</f>
        <v>Employee Programs/Perks</v>
      </c>
      <c r="BF437" t="s">
        <v>106</v>
      </c>
      <c r="BG437" t="s">
        <v>111</v>
      </c>
      <c r="BH437" s="10">
        <f>SUMIFS('[1]2026'!$K:$K,'[1]2026'!$T:$T,BD437,'[1]2026'!$S:$S,BH$3,'[1]2026'!$P:$P,AU437)</f>
        <v>0</v>
      </c>
      <c r="BI437" s="10">
        <f>SUMIFS('[1]2026'!$K:$K,'[1]2026'!$T:$T,$BD437,'[1]2026'!$S:$S,BI$3,'[1]2026'!$P:$P,$AU437)</f>
        <v>0</v>
      </c>
      <c r="BJ437" s="10">
        <f>SUMIFS('[1]2026'!$K:$K,'[1]2026'!$T:$T,$BD437,'[1]2026'!$S:$S,BJ$3,'[1]2026'!$P:$P,$AU437)</f>
        <v>0</v>
      </c>
      <c r="BK437" s="10">
        <f>SUMIFS('[1]2026'!$K:$K,'[1]2026'!$T:$T,$BD437,'[1]2026'!$S:$S,BK$3,'[1]2026'!$P:$P,$AU437)</f>
        <v>0</v>
      </c>
      <c r="BL437" s="10">
        <f>SUMIFS('[1]2026'!$K:$K,'[1]2026'!$T:$T,$BD437,'[1]2026'!$S:$S,BL$3,'[1]2026'!$P:$P,$AU437)</f>
        <v>0</v>
      </c>
      <c r="BM437" s="10">
        <f>SUMIFS('[1]2026'!$K:$K,'[1]2026'!$T:$T,$BD437,'[1]2026'!$S:$S,BM$3,'[1]2026'!$P:$P,$AU437)</f>
        <v>0</v>
      </c>
      <c r="BN437" s="10">
        <f>SUMIFS('[1]2026'!$K:$K,'[1]2026'!$T:$T,$BD437,'[1]2026'!$S:$S,BN$3,'[1]2026'!$P:$P,$AU437)</f>
        <v>0</v>
      </c>
      <c r="BO437" s="10">
        <f>SUMIFS('[1]2026'!$K:$K,'[1]2026'!$T:$T,$BD437,'[1]2026'!$S:$S,BO$3,'[1]2026'!$P:$P,$AU437)</f>
        <v>0</v>
      </c>
      <c r="BP437" s="6">
        <f t="shared" si="295"/>
        <v>0</v>
      </c>
      <c r="BQ437" s="6">
        <f t="shared" si="295"/>
        <v>0</v>
      </c>
      <c r="BR437" s="6">
        <f t="shared" si="295"/>
        <v>0</v>
      </c>
      <c r="BS437" s="6">
        <f t="shared" si="295"/>
        <v>0</v>
      </c>
      <c r="BT437" s="6">
        <f t="shared" si="283"/>
        <v>0</v>
      </c>
      <c r="BV437" s="6">
        <f t="shared" si="269"/>
        <v>-23280</v>
      </c>
      <c r="BW437" s="6">
        <f t="shared" si="270"/>
        <v>0</v>
      </c>
      <c r="BX437" s="6">
        <f t="shared" si="271"/>
        <v>0</v>
      </c>
      <c r="BY437" s="6">
        <f t="shared" si="272"/>
        <v>0</v>
      </c>
      <c r="BZ437" s="6">
        <f t="shared" si="273"/>
        <v>0</v>
      </c>
      <c r="CA437" s="6">
        <f t="shared" si="274"/>
        <v>0</v>
      </c>
      <c r="CB437" s="6">
        <f t="shared" si="275"/>
        <v>0</v>
      </c>
      <c r="CC437" s="6">
        <f t="shared" si="276"/>
        <v>0</v>
      </c>
      <c r="CD437" s="6">
        <f t="shared" si="277"/>
        <v>0</v>
      </c>
      <c r="CE437" s="6">
        <f t="shared" si="278"/>
        <v>0</v>
      </c>
      <c r="CF437" s="6">
        <f t="shared" si="279"/>
        <v>0</v>
      </c>
      <c r="CG437" s="6">
        <f t="shared" si="280"/>
        <v>0</v>
      </c>
      <c r="CH437" s="6">
        <f t="shared" ref="CH437:CH500" si="296">BT437-AN437</f>
        <v>-23280</v>
      </c>
    </row>
    <row r="438" spans="1:86" hidden="1" x14ac:dyDescent="0.35">
      <c r="A438" s="3" t="s">
        <v>834</v>
      </c>
      <c r="B438" s="10">
        <v>90000</v>
      </c>
      <c r="N438" s="27">
        <f t="shared" si="292"/>
        <v>90000</v>
      </c>
      <c r="AA438" s="27">
        <f t="shared" si="293"/>
        <v>0</v>
      </c>
      <c r="AB438" s="10">
        <f t="shared" si="294"/>
        <v>90000</v>
      </c>
      <c r="AC438" s="10">
        <f t="shared" si="294"/>
        <v>0</v>
      </c>
      <c r="AD438" s="10">
        <f t="shared" si="294"/>
        <v>0</v>
      </c>
      <c r="AE438" s="10">
        <f t="shared" si="294"/>
        <v>0</v>
      </c>
      <c r="AF438" s="10">
        <f t="shared" si="294"/>
        <v>0</v>
      </c>
      <c r="AG438" s="10">
        <f t="shared" si="294"/>
        <v>0</v>
      </c>
      <c r="AH438" s="10">
        <f t="shared" si="294"/>
        <v>0</v>
      </c>
      <c r="AI438" s="10">
        <f t="shared" si="294"/>
        <v>0</v>
      </c>
      <c r="AJ438" s="10">
        <f t="shared" si="294"/>
        <v>0</v>
      </c>
      <c r="AK438" s="10">
        <f t="shared" si="294"/>
        <v>0</v>
      </c>
      <c r="AL438" s="10">
        <f t="shared" si="294"/>
        <v>0</v>
      </c>
      <c r="AM438" s="10">
        <f t="shared" si="294"/>
        <v>0</v>
      </c>
      <c r="AN438" s="27">
        <f t="shared" si="284"/>
        <v>90000</v>
      </c>
      <c r="AO438" s="28">
        <v>192371.21999999997</v>
      </c>
      <c r="AP438" t="s">
        <v>273</v>
      </c>
      <c r="AS438" t="str">
        <f>_xlfn.XLOOKUP(AU438,[2]GAE!HZ:HZ,[2]GAE!IA:IA)</f>
        <v>HUMAN RESOURCES</v>
      </c>
      <c r="AT438" t="str">
        <f>_xlfn.XLOOKUP(AU438,[2]GAE!HZ:HZ,[2]GAE!IB:IB)</f>
        <v>DOE - Supplies</v>
      </c>
      <c r="AU438" t="s">
        <v>830</v>
      </c>
      <c r="AV438">
        <v>81122101</v>
      </c>
      <c r="AW438">
        <v>52111101</v>
      </c>
      <c r="AX438" t="str">
        <f>_xlfn.XLOOKUP(AU438,[2]GAE!HZ:HZ,[2]GAE!IF:IF)</f>
        <v>Employee Benefits</v>
      </c>
      <c r="AY438" t="str">
        <f>_xlfn.XLOOKUP(AU438,[2]GAE!HZ:HZ,[2]GAE!IG:IG)</f>
        <v>Employee Programs/Perks</v>
      </c>
      <c r="BF438" t="s">
        <v>106</v>
      </c>
      <c r="BG438" t="s">
        <v>835</v>
      </c>
      <c r="BH438" s="10">
        <f>SUMIFS('[1]2026'!$K:$K,'[1]2026'!$T:$T,BD438,'[1]2026'!$S:$S,BH$3,'[1]2026'!$P:$P,AU438)</f>
        <v>0</v>
      </c>
      <c r="BI438" s="10">
        <f>SUMIFS('[1]2026'!$K:$K,'[1]2026'!$T:$T,$BD438,'[1]2026'!$S:$S,BI$3,'[1]2026'!$P:$P,$AU438)</f>
        <v>0</v>
      </c>
      <c r="BJ438" s="10">
        <f>SUMIFS('[1]2026'!$K:$K,'[1]2026'!$T:$T,$BD438,'[1]2026'!$S:$S,BJ$3,'[1]2026'!$P:$P,$AU438)</f>
        <v>0</v>
      </c>
      <c r="BK438" s="10">
        <f>SUMIFS('[1]2026'!$K:$K,'[1]2026'!$T:$T,$BD438,'[1]2026'!$S:$S,BK$3,'[1]2026'!$P:$P,$AU438)</f>
        <v>0</v>
      </c>
      <c r="BL438" s="10">
        <f>SUMIFS('[1]2026'!$K:$K,'[1]2026'!$T:$T,$BD438,'[1]2026'!$S:$S,BL$3,'[1]2026'!$P:$P,$AU438)</f>
        <v>0</v>
      </c>
      <c r="BM438" s="10">
        <f>SUMIFS('[1]2026'!$K:$K,'[1]2026'!$T:$T,$BD438,'[1]2026'!$S:$S,BM$3,'[1]2026'!$P:$P,$AU438)</f>
        <v>0</v>
      </c>
      <c r="BN438" s="10">
        <f>SUMIFS('[1]2026'!$K:$K,'[1]2026'!$T:$T,$BD438,'[1]2026'!$S:$S,BN$3,'[1]2026'!$P:$P,$AU438)</f>
        <v>0</v>
      </c>
      <c r="BO438" s="10">
        <f>SUMIFS('[1]2026'!$K:$K,'[1]2026'!$T:$T,$BD438,'[1]2026'!$S:$S,BO$3,'[1]2026'!$P:$P,$AU438)</f>
        <v>0</v>
      </c>
      <c r="BP438" s="6">
        <f t="shared" si="295"/>
        <v>0</v>
      </c>
      <c r="BQ438" s="6">
        <f t="shared" si="295"/>
        <v>0</v>
      </c>
      <c r="BR438" s="6">
        <f t="shared" si="295"/>
        <v>0</v>
      </c>
      <c r="BS438" s="6">
        <f t="shared" si="295"/>
        <v>0</v>
      </c>
      <c r="BT438" s="6">
        <f t="shared" si="283"/>
        <v>0</v>
      </c>
      <c r="BV438" s="6">
        <f t="shared" si="269"/>
        <v>-90000</v>
      </c>
      <c r="BW438" s="6">
        <f t="shared" si="270"/>
        <v>0</v>
      </c>
      <c r="BX438" s="6">
        <f t="shared" si="271"/>
        <v>0</v>
      </c>
      <c r="BY438" s="6">
        <f t="shared" si="272"/>
        <v>0</v>
      </c>
      <c r="BZ438" s="6">
        <f t="shared" si="273"/>
        <v>0</v>
      </c>
      <c r="CA438" s="6">
        <f t="shared" si="274"/>
        <v>0</v>
      </c>
      <c r="CB438" s="6">
        <f t="shared" si="275"/>
        <v>0</v>
      </c>
      <c r="CC438" s="6">
        <f t="shared" si="276"/>
        <v>0</v>
      </c>
      <c r="CD438" s="6">
        <f t="shared" si="277"/>
        <v>0</v>
      </c>
      <c r="CE438" s="6">
        <f t="shared" si="278"/>
        <v>0</v>
      </c>
      <c r="CF438" s="6">
        <f t="shared" si="279"/>
        <v>0</v>
      </c>
      <c r="CG438" s="6">
        <f t="shared" si="280"/>
        <v>0</v>
      </c>
      <c r="CH438" s="6">
        <f t="shared" si="296"/>
        <v>-90000</v>
      </c>
    </row>
    <row r="439" spans="1:86" hidden="1" x14ac:dyDescent="0.35">
      <c r="A439" t="s">
        <v>112</v>
      </c>
      <c r="AN439" s="27">
        <f t="shared" si="284"/>
        <v>0</v>
      </c>
      <c r="AS439" t="str">
        <f>_xlfn.XLOOKUP(AU439,[2]GAE!HZ:HZ,[2]GAE!IA:IA)</f>
        <v>HUMAN RESOURCES</v>
      </c>
      <c r="AT439" t="str">
        <f>_xlfn.XLOOKUP(AU439,[2]GAE!HZ:HZ,[2]GAE!IB:IB)</f>
        <v>DOE - Employees' Welfare</v>
      </c>
      <c r="AU439" t="s">
        <v>831</v>
      </c>
      <c r="AV439">
        <v>90122101</v>
      </c>
      <c r="AW439">
        <v>52121402</v>
      </c>
      <c r="AX439" t="str">
        <f>_xlfn.XLOOKUP(AU439,[2]GAE!HZ:HZ,[2]GAE!IF:IF)</f>
        <v>Employee Benefits</v>
      </c>
      <c r="AY439" t="str">
        <f>_xlfn.XLOOKUP(AU439,[2]GAE!HZ:HZ,[2]GAE!IG:IG)</f>
        <v>Employee Programs/Perks</v>
      </c>
      <c r="BC439" t="s">
        <v>112</v>
      </c>
      <c r="BD439" t="s">
        <v>112</v>
      </c>
      <c r="BF439" t="s">
        <v>106</v>
      </c>
      <c r="BG439" t="s">
        <v>835</v>
      </c>
      <c r="BJ439" s="10">
        <f>SUMIFS('[1]2026'!$K:$K,'[1]2026'!$T:$T,$BD439,'[1]2026'!$S:$S,BJ$3,'[1]2026'!$P:$P,$AU439)</f>
        <v>28960</v>
      </c>
      <c r="BK439" s="10">
        <f>SUMIFS('[1]2026'!$K:$K,'[1]2026'!$T:$T,$BD439,'[1]2026'!$S:$S,BK$3,'[1]2026'!$P:$P,$AU439)</f>
        <v>0</v>
      </c>
      <c r="BL439" s="10">
        <f>SUMIFS('[1]2026'!$K:$K,'[1]2026'!$T:$T,$BD439,'[1]2026'!$S:$S,BL$3,'[1]2026'!$P:$P,$AU439)</f>
        <v>0</v>
      </c>
      <c r="BM439" s="10">
        <f>SUMIFS('[1]2026'!$K:$K,'[1]2026'!$T:$T,$BD439,'[1]2026'!$S:$S,BM$3,'[1]2026'!$P:$P,$AU439)</f>
        <v>0</v>
      </c>
      <c r="BN439" s="10">
        <f>SUMIFS('[1]2026'!$K:$K,'[1]2026'!$T:$T,$BD439,'[1]2026'!$S:$S,BN$3,'[1]2026'!$P:$P,$AU439)</f>
        <v>0</v>
      </c>
      <c r="BO439" s="10">
        <f>SUMIFS('[1]2026'!$K:$K,'[1]2026'!$T:$T,$BD439,'[1]2026'!$S:$S,BO$3,'[1]2026'!$P:$P,$AU439)</f>
        <v>0</v>
      </c>
      <c r="BP439" s="6">
        <v>10000</v>
      </c>
      <c r="BQ439" s="6">
        <v>10000</v>
      </c>
      <c r="BR439" s="6">
        <v>10000</v>
      </c>
      <c r="BS439" s="6">
        <v>10000</v>
      </c>
      <c r="BT439" s="6">
        <f t="shared" si="283"/>
        <v>68960</v>
      </c>
      <c r="BV439" s="6">
        <f t="shared" si="269"/>
        <v>0</v>
      </c>
      <c r="BW439" s="6">
        <f t="shared" si="270"/>
        <v>0</v>
      </c>
      <c r="BX439" s="6">
        <f t="shared" si="271"/>
        <v>28960</v>
      </c>
      <c r="BY439" s="6">
        <f t="shared" si="272"/>
        <v>0</v>
      </c>
      <c r="BZ439" s="6">
        <f t="shared" si="273"/>
        <v>0</v>
      </c>
      <c r="CA439" s="6">
        <f t="shared" si="274"/>
        <v>0</v>
      </c>
      <c r="CB439" s="6">
        <f t="shared" si="275"/>
        <v>0</v>
      </c>
      <c r="CC439" s="6">
        <f t="shared" si="276"/>
        <v>0</v>
      </c>
      <c r="CD439" s="6">
        <f t="shared" si="277"/>
        <v>10000</v>
      </c>
      <c r="CE439" s="6">
        <f t="shared" si="278"/>
        <v>10000</v>
      </c>
      <c r="CF439" s="6">
        <f t="shared" si="279"/>
        <v>10000</v>
      </c>
      <c r="CG439" s="6">
        <f t="shared" si="280"/>
        <v>10000</v>
      </c>
      <c r="CH439" s="6">
        <f t="shared" si="296"/>
        <v>68960</v>
      </c>
    </row>
    <row r="440" spans="1:86" hidden="1" x14ac:dyDescent="0.35">
      <c r="A440" t="s">
        <v>112</v>
      </c>
      <c r="AN440" s="27">
        <f t="shared" si="284"/>
        <v>0</v>
      </c>
      <c r="AS440" t="str">
        <f>_xlfn.XLOOKUP(AU440,[2]GAE!HZ:HZ,[2]GAE!IA:IA)</f>
        <v>HUMAN RESOURCES</v>
      </c>
      <c r="AT440" t="str">
        <f>_xlfn.XLOOKUP(AU440,[2]GAE!HZ:HZ,[2]GAE!IB:IB)</f>
        <v>DOE - Employees' Welfare</v>
      </c>
      <c r="AU440" s="2" t="s">
        <v>809</v>
      </c>
      <c r="AV440" s="2">
        <v>81122101</v>
      </c>
      <c r="AW440" s="2">
        <v>52121402</v>
      </c>
      <c r="AX440" t="str">
        <f>_xlfn.XLOOKUP(AU440,[2]GAE!HZ:HZ,[2]GAE!IF:IF)</f>
        <v>Employee Benefits</v>
      </c>
      <c r="AY440" t="str">
        <f>_xlfn.XLOOKUP(AU440,[2]GAE!HZ:HZ,[2]GAE!IG:IG)</f>
        <v>Employee Programs/Perks</v>
      </c>
      <c r="BC440" t="s">
        <v>112</v>
      </c>
      <c r="BD440" t="s">
        <v>112</v>
      </c>
      <c r="BF440" t="s">
        <v>106</v>
      </c>
      <c r="BG440" t="s">
        <v>835</v>
      </c>
      <c r="BH440" s="10">
        <f>SUMIFS('[1]2026'!$K:$K,'[1]2026'!$T:$T,BD440,'[1]2026'!$S:$S,BH$3,'[1]2026'!$P:$P,AU440)</f>
        <v>0</v>
      </c>
      <c r="BI440" s="10">
        <f>SUMIFS('[1]2026'!$K:$K,'[1]2026'!$T:$T,$BD440,'[1]2026'!$S:$S,BI$3,'[1]2026'!$P:$P,$AU440)</f>
        <v>0</v>
      </c>
      <c r="BJ440" s="10">
        <f>SUMIFS('[1]2026'!$K:$K,'[1]2026'!$T:$T,$BD440,'[1]2026'!$S:$S,BJ$3,'[1]2026'!$P:$P,$AU440)</f>
        <v>0</v>
      </c>
      <c r="BK440" s="10">
        <f>SUMIFS('[1]2026'!$K:$K,'[1]2026'!$T:$T,$BD440,'[1]2026'!$S:$S,BK$3,'[1]2026'!$P:$P,$AU440)</f>
        <v>13880</v>
      </c>
      <c r="BL440" s="10">
        <f>SUMIFS('[1]2026'!$K:$K,'[1]2026'!$T:$T,$BD440,'[1]2026'!$S:$S,BL$3,'[1]2026'!$P:$P,$AU440)</f>
        <v>14280</v>
      </c>
      <c r="BM440" s="10">
        <f>SUMIFS('[1]2026'!$K:$K,'[1]2026'!$T:$T,$BD440,'[1]2026'!$S:$S,BM$3,'[1]2026'!$P:$P,$AU440)</f>
        <v>0</v>
      </c>
      <c r="BN440" s="10">
        <f>SUMIFS('[1]2026'!$K:$K,'[1]2026'!$T:$T,$BD440,'[1]2026'!$S:$S,BN$3,'[1]2026'!$P:$P,$AU440)</f>
        <v>19040</v>
      </c>
      <c r="BO440" s="10">
        <f>SUMIFS('[1]2026'!$K:$K,'[1]2026'!$T:$T,$BD440,'[1]2026'!$S:$S,BO$3,'[1]2026'!$P:$P,$AU440)</f>
        <v>0</v>
      </c>
      <c r="BP440" s="6">
        <f t="shared" si="295"/>
        <v>0</v>
      </c>
      <c r="BQ440" s="6">
        <f t="shared" si="295"/>
        <v>0</v>
      </c>
      <c r="BR440" s="6">
        <f t="shared" si="295"/>
        <v>0</v>
      </c>
      <c r="BS440" s="6">
        <f t="shared" si="295"/>
        <v>0</v>
      </c>
      <c r="BT440" s="6">
        <f t="shared" si="283"/>
        <v>47200</v>
      </c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>
        <f t="shared" si="296"/>
        <v>47200</v>
      </c>
    </row>
    <row r="441" spans="1:86" hidden="1" x14ac:dyDescent="0.35">
      <c r="A441" s="3" t="s">
        <v>14</v>
      </c>
      <c r="B441" s="10">
        <v>5000</v>
      </c>
      <c r="C441" s="10">
        <v>5000</v>
      </c>
      <c r="D441" s="10">
        <v>5000</v>
      </c>
      <c r="E441" s="10">
        <v>5000</v>
      </c>
      <c r="F441" s="10">
        <v>5000</v>
      </c>
      <c r="G441" s="10">
        <v>5000</v>
      </c>
      <c r="H441" s="10">
        <v>5000</v>
      </c>
      <c r="I441" s="10">
        <v>5000</v>
      </c>
      <c r="J441" s="10">
        <v>5000</v>
      </c>
      <c r="K441" s="10">
        <v>5000</v>
      </c>
      <c r="L441" s="10">
        <v>5000</v>
      </c>
      <c r="M441" s="10">
        <v>5000</v>
      </c>
      <c r="N441" s="27">
        <f t="shared" si="292"/>
        <v>60000</v>
      </c>
      <c r="AA441" s="27">
        <f t="shared" si="293"/>
        <v>0</v>
      </c>
      <c r="AB441" s="10">
        <f t="shared" si="294"/>
        <v>5000</v>
      </c>
      <c r="AC441" s="10">
        <f t="shared" si="294"/>
        <v>5000</v>
      </c>
      <c r="AD441" s="10">
        <f t="shared" si="294"/>
        <v>5000</v>
      </c>
      <c r="AE441" s="10">
        <f t="shared" si="294"/>
        <v>5000</v>
      </c>
      <c r="AF441" s="10">
        <f t="shared" si="294"/>
        <v>5000</v>
      </c>
      <c r="AG441" s="10">
        <f t="shared" si="294"/>
        <v>5000</v>
      </c>
      <c r="AH441" s="10">
        <f t="shared" si="294"/>
        <v>5000</v>
      </c>
      <c r="AI441" s="10">
        <f t="shared" si="294"/>
        <v>5000</v>
      </c>
      <c r="AJ441" s="10">
        <f t="shared" si="294"/>
        <v>5000</v>
      </c>
      <c r="AK441" s="10">
        <f t="shared" si="294"/>
        <v>5000</v>
      </c>
      <c r="AL441" s="10">
        <f t="shared" si="294"/>
        <v>5000</v>
      </c>
      <c r="AM441" s="10">
        <f t="shared" si="294"/>
        <v>5000</v>
      </c>
      <c r="AN441" s="27">
        <f t="shared" si="284"/>
        <v>60000</v>
      </c>
      <c r="AO441" s="28">
        <v>73705.67</v>
      </c>
      <c r="AP441" t="s">
        <v>14</v>
      </c>
      <c r="AS441" t="str">
        <f>_xlfn.XLOOKUP(AU441,[2]GAE!HZ:HZ,[2]GAE!IA:IA)</f>
        <v>HUMAN RESOURCES</v>
      </c>
      <c r="AT441" t="str">
        <f>_xlfn.XLOOKUP(AU441,[2]GAE!HZ:HZ,[2]GAE!IB:IB)</f>
        <v>DOE - Supplies</v>
      </c>
      <c r="AU441" t="s">
        <v>830</v>
      </c>
      <c r="AV441">
        <v>81122101</v>
      </c>
      <c r="AW441">
        <v>52111101</v>
      </c>
      <c r="AX441" t="str">
        <f>_xlfn.XLOOKUP(AU441,[2]GAE!HZ:HZ,[2]GAE!IF:IF)</f>
        <v>Employee Benefits</v>
      </c>
      <c r="AY441" t="str">
        <f>_xlfn.XLOOKUP(AU441,[2]GAE!HZ:HZ,[2]GAE!IG:IG)</f>
        <v>Employee Programs/Perks</v>
      </c>
      <c r="BC441" t="s">
        <v>14</v>
      </c>
      <c r="BD441" t="s">
        <v>290</v>
      </c>
      <c r="BF441" t="s">
        <v>13</v>
      </c>
      <c r="BG441" t="s">
        <v>14</v>
      </c>
      <c r="BH441" s="10">
        <f>SUMIFS('[1]2026'!$K:$K,'[1]2026'!$T:$T,BD441,'[1]2026'!$S:$S,BH$3,'[1]2026'!$P:$P,AU441)</f>
        <v>0</v>
      </c>
      <c r="BI441" s="10">
        <f>SUMIFS('[1]2026'!$K:$K,'[1]2026'!$T:$T,$BD441,'[1]2026'!$S:$S,BI$3,'[1]2026'!$P:$P,$AU441)</f>
        <v>0</v>
      </c>
      <c r="BJ441" s="10">
        <f>SUMIFS('[1]2026'!$K:$K,'[1]2026'!$T:$T,$BD441,'[1]2026'!$S:$S,BJ$3,'[1]2026'!$P:$P,$AU441)</f>
        <v>0</v>
      </c>
      <c r="BK441" s="10">
        <f>SUMIFS('[1]2026'!$K:$K,'[1]2026'!$T:$T,$BD441,'[1]2026'!$S:$S,BK$3,'[1]2026'!$P:$P,$AU441)</f>
        <v>17236.61</v>
      </c>
      <c r="BL441" s="10">
        <f>SUMIFS('[1]2026'!$K:$K,'[1]2026'!$T:$T,$BD441,'[1]2026'!$S:$S,BL$3,'[1]2026'!$P:$P,$AU441)</f>
        <v>17236.62</v>
      </c>
      <c r="BM441" s="10">
        <f>SUMIFS('[1]2026'!$K:$K,'[1]2026'!$T:$T,$BD441,'[1]2026'!$S:$S,BM$3,'[1]2026'!$P:$P,$AU441)</f>
        <v>11491.08</v>
      </c>
      <c r="BN441" s="10">
        <f>SUMIFS('[1]2026'!$K:$K,'[1]2026'!$T:$T,$BD441,'[1]2026'!$S:$S,BN$3,'[1]2026'!$P:$P,$AU441)</f>
        <v>11810.27</v>
      </c>
      <c r="BO441" s="10">
        <f>SUMIFS('[1]2026'!$K:$K,'[1]2026'!$T:$T,$BD441,'[1]2026'!$S:$S,BO$3,'[1]2026'!$P:$P,$AU441)</f>
        <v>0</v>
      </c>
      <c r="BP441" s="6">
        <v>15000</v>
      </c>
      <c r="BQ441" s="6">
        <v>15000</v>
      </c>
      <c r="BR441" s="6">
        <v>15000</v>
      </c>
      <c r="BS441" s="6">
        <v>15000</v>
      </c>
      <c r="BT441" s="6">
        <f t="shared" si="283"/>
        <v>117774.58</v>
      </c>
      <c r="BV441" s="6">
        <f t="shared" ref="BV441:CG444" si="297">BH441-AB441</f>
        <v>-5000</v>
      </c>
      <c r="BW441" s="6">
        <f t="shared" si="297"/>
        <v>-5000</v>
      </c>
      <c r="BX441" s="6">
        <f t="shared" si="297"/>
        <v>-5000</v>
      </c>
      <c r="BY441" s="6">
        <f t="shared" si="297"/>
        <v>12236.61</v>
      </c>
      <c r="BZ441" s="6">
        <f t="shared" si="297"/>
        <v>12236.619999999999</v>
      </c>
      <c r="CA441" s="6">
        <f t="shared" si="297"/>
        <v>6491.08</v>
      </c>
      <c r="CB441" s="6">
        <f t="shared" si="297"/>
        <v>6810.27</v>
      </c>
      <c r="CC441" s="6">
        <f t="shared" si="297"/>
        <v>-5000</v>
      </c>
      <c r="CD441" s="6">
        <f t="shared" si="297"/>
        <v>10000</v>
      </c>
      <c r="CE441" s="6">
        <f t="shared" si="297"/>
        <v>10000</v>
      </c>
      <c r="CF441" s="6">
        <f t="shared" si="297"/>
        <v>10000</v>
      </c>
      <c r="CG441" s="6">
        <f t="shared" si="297"/>
        <v>10000</v>
      </c>
      <c r="CH441" s="6">
        <f t="shared" si="296"/>
        <v>57774.58</v>
      </c>
    </row>
    <row r="442" spans="1:86" hidden="1" x14ac:dyDescent="0.35">
      <c r="A442" s="3" t="s">
        <v>113</v>
      </c>
      <c r="B442" s="10">
        <v>12500</v>
      </c>
      <c r="C442" s="10">
        <v>12500</v>
      </c>
      <c r="D442" s="10">
        <v>12500</v>
      </c>
      <c r="E442" s="10">
        <v>12500</v>
      </c>
      <c r="F442" s="10">
        <v>12500</v>
      </c>
      <c r="G442" s="10">
        <v>12500</v>
      </c>
      <c r="H442" s="10">
        <v>12500</v>
      </c>
      <c r="I442" s="10">
        <v>12500</v>
      </c>
      <c r="J442" s="10">
        <v>12500</v>
      </c>
      <c r="K442" s="10">
        <v>12500</v>
      </c>
      <c r="L442" s="10">
        <v>12500</v>
      </c>
      <c r="M442" s="10">
        <v>12500</v>
      </c>
      <c r="N442" s="27">
        <f t="shared" si="292"/>
        <v>150000</v>
      </c>
      <c r="AA442" s="27">
        <f t="shared" si="293"/>
        <v>0</v>
      </c>
      <c r="AB442" s="10">
        <f t="shared" si="294"/>
        <v>12500</v>
      </c>
      <c r="AC442" s="10">
        <f t="shared" si="294"/>
        <v>12500</v>
      </c>
      <c r="AD442" s="10">
        <f t="shared" si="294"/>
        <v>12500</v>
      </c>
      <c r="AE442" s="10">
        <f t="shared" si="294"/>
        <v>12500</v>
      </c>
      <c r="AF442" s="10">
        <f t="shared" si="294"/>
        <v>12500</v>
      </c>
      <c r="AG442" s="10">
        <f t="shared" si="294"/>
        <v>12500</v>
      </c>
      <c r="AH442" s="10">
        <f t="shared" si="294"/>
        <v>12500</v>
      </c>
      <c r="AI442" s="10">
        <f t="shared" si="294"/>
        <v>12500</v>
      </c>
      <c r="AJ442" s="10">
        <f t="shared" si="294"/>
        <v>12500</v>
      </c>
      <c r="AK442" s="10">
        <f t="shared" si="294"/>
        <v>12500</v>
      </c>
      <c r="AL442" s="10">
        <f t="shared" si="294"/>
        <v>12500</v>
      </c>
      <c r="AM442" s="10">
        <f t="shared" si="294"/>
        <v>12500</v>
      </c>
      <c r="AN442" s="27">
        <f t="shared" si="284"/>
        <v>150000</v>
      </c>
      <c r="AO442" s="28">
        <v>194357.24</v>
      </c>
      <c r="AP442" t="s">
        <v>113</v>
      </c>
      <c r="AS442" t="str">
        <f>_xlfn.XLOOKUP(AU442,[2]GAE!HZ:HZ,[2]GAE!IA:IA)</f>
        <v>HUMAN RESOURCES</v>
      </c>
      <c r="AT442" t="str">
        <f>_xlfn.XLOOKUP(AU442,[2]GAE!HZ:HZ,[2]GAE!IB:IB)</f>
        <v>DOE - Supplies</v>
      </c>
      <c r="AU442" t="s">
        <v>830</v>
      </c>
      <c r="AV442">
        <v>81122101</v>
      </c>
      <c r="AW442">
        <v>52111101</v>
      </c>
      <c r="AX442" t="str">
        <f>_xlfn.XLOOKUP(AU442,[2]GAE!HZ:HZ,[2]GAE!IF:IF)</f>
        <v>Employee Benefits</v>
      </c>
      <c r="AY442" t="str">
        <f>_xlfn.XLOOKUP(AU442,[2]GAE!HZ:HZ,[2]GAE!IG:IG)</f>
        <v>Employee Programs/Perks</v>
      </c>
      <c r="BD442" t="s">
        <v>113</v>
      </c>
      <c r="BF442" t="s">
        <v>13</v>
      </c>
      <c r="BG442" t="s">
        <v>113</v>
      </c>
      <c r="BH442" s="10">
        <f>SUMIFS('[1]2026'!$K:$K,'[1]2026'!$T:$T,BD442,'[1]2026'!$S:$S,BH$3,'[1]2026'!$P:$P,AU442)</f>
        <v>0</v>
      </c>
      <c r="BI442" s="10">
        <f>SUMIFS('[1]2026'!$K:$K,'[1]2026'!$T:$T,$BD442,'[1]2026'!$S:$S,BI$3,'[1]2026'!$P:$P,$AU442)</f>
        <v>0</v>
      </c>
      <c r="BJ442" s="10">
        <f>SUMIFS('[1]2026'!$K:$K,'[1]2026'!$T:$T,$BD442,'[1]2026'!$S:$S,BJ$3,'[1]2026'!$P:$P,$AU442)</f>
        <v>0</v>
      </c>
      <c r="BK442" s="10">
        <f>SUMIFS('[1]2026'!$K:$K,'[1]2026'!$T:$T,$BD442,'[1]2026'!$S:$S,BK$3,'[1]2026'!$P:$P,$AU442)</f>
        <v>0</v>
      </c>
      <c r="BL442" s="10">
        <f>SUMIFS('[1]2026'!$K:$K,'[1]2026'!$T:$T,$BD442,'[1]2026'!$S:$S,BL$3,'[1]2026'!$P:$P,$AU442)</f>
        <v>0</v>
      </c>
      <c r="BM442" s="10">
        <f>SUMIFS('[1]2026'!$K:$K,'[1]2026'!$T:$T,$BD442,'[1]2026'!$S:$S,BM$3,'[1]2026'!$P:$P,$AU442)</f>
        <v>0</v>
      </c>
      <c r="BN442" s="10">
        <f>SUMIFS('[1]2026'!$K:$K,'[1]2026'!$T:$T,$BD442,'[1]2026'!$S:$S,BN$3,'[1]2026'!$P:$P,$AU442)</f>
        <v>0</v>
      </c>
      <c r="BO442" s="10">
        <f>SUMIFS('[1]2026'!$K:$K,'[1]2026'!$T:$T,$BD442,'[1]2026'!$S:$S,BO$3,'[1]2026'!$P:$P,$AU442)</f>
        <v>0</v>
      </c>
      <c r="BP442" s="6">
        <f t="shared" si="295"/>
        <v>0</v>
      </c>
      <c r="BQ442" s="6">
        <f t="shared" si="295"/>
        <v>0</v>
      </c>
      <c r="BR442" s="6">
        <f t="shared" si="295"/>
        <v>0</v>
      </c>
      <c r="BS442" s="6">
        <f t="shared" si="295"/>
        <v>0</v>
      </c>
      <c r="BT442" s="6">
        <f t="shared" si="283"/>
        <v>0</v>
      </c>
      <c r="BV442" s="6">
        <f t="shared" si="297"/>
        <v>-12500</v>
      </c>
      <c r="BW442" s="6">
        <f t="shared" si="297"/>
        <v>-12500</v>
      </c>
      <c r="BX442" s="6">
        <f t="shared" si="297"/>
        <v>-12500</v>
      </c>
      <c r="BY442" s="6">
        <f t="shared" si="297"/>
        <v>-12500</v>
      </c>
      <c r="BZ442" s="6">
        <f t="shared" si="297"/>
        <v>-12500</v>
      </c>
      <c r="CA442" s="6">
        <f t="shared" si="297"/>
        <v>-12500</v>
      </c>
      <c r="CB442" s="6">
        <f t="shared" si="297"/>
        <v>-12500</v>
      </c>
      <c r="CC442" s="6">
        <f t="shared" si="297"/>
        <v>-12500</v>
      </c>
      <c r="CD442" s="6">
        <f t="shared" si="297"/>
        <v>-12500</v>
      </c>
      <c r="CE442" s="6">
        <f t="shared" si="297"/>
        <v>-12500</v>
      </c>
      <c r="CF442" s="6">
        <f t="shared" si="297"/>
        <v>-12500</v>
      </c>
      <c r="CG442" s="6">
        <f t="shared" si="297"/>
        <v>-12500</v>
      </c>
      <c r="CH442" s="6">
        <f t="shared" si="296"/>
        <v>-150000</v>
      </c>
    </row>
    <row r="443" spans="1:86" hidden="1" x14ac:dyDescent="0.35">
      <c r="A443" t="s">
        <v>113</v>
      </c>
      <c r="AN443" s="27">
        <f t="shared" si="284"/>
        <v>0</v>
      </c>
      <c r="AS443" t="str">
        <f>_xlfn.XLOOKUP(AU443,[2]GAE!HZ:HZ,[2]GAE!IA:IA)</f>
        <v>HUMAN RESOURCES</v>
      </c>
      <c r="AT443" t="str">
        <f>_xlfn.XLOOKUP(AU443,[2]GAE!HZ:HZ,[2]GAE!IB:IB)</f>
        <v>DOE - Employees' Welfare</v>
      </c>
      <c r="AU443" s="2" t="s">
        <v>831</v>
      </c>
      <c r="AV443" s="2">
        <v>90122101</v>
      </c>
      <c r="AW443" s="2">
        <v>52121402</v>
      </c>
      <c r="AX443" t="str">
        <f>_xlfn.XLOOKUP(AU443,[2]GAE!HZ:HZ,[2]GAE!IF:IF)</f>
        <v>Employee Benefits</v>
      </c>
      <c r="AY443" t="str">
        <f>_xlfn.XLOOKUP(AU443,[2]GAE!HZ:HZ,[2]GAE!IG:IG)</f>
        <v>Employee Programs/Perks</v>
      </c>
      <c r="BC443" t="s">
        <v>113</v>
      </c>
      <c r="BD443" t="s">
        <v>113</v>
      </c>
      <c r="BF443" t="s">
        <v>13</v>
      </c>
      <c r="BG443" t="s">
        <v>113</v>
      </c>
      <c r="BH443" s="10">
        <f>SUMIFS('[1]2026'!$K:$K,'[1]2026'!$T:$T,BD443,'[1]2026'!$S:$S,BH$3,'[1]2026'!$P:$P,AU443)</f>
        <v>0</v>
      </c>
      <c r="BI443" s="10">
        <f>SUMIFS('[1]2026'!$K:$K,'[1]2026'!$T:$T,$BD443,'[1]2026'!$S:$S,BI$3,'[1]2026'!$P:$P,$AU443)</f>
        <v>0</v>
      </c>
      <c r="BJ443" s="10">
        <f>SUMIFS('[1]2026'!$K:$K,'[1]2026'!$T:$T,$BD443,'[1]2026'!$S:$S,BJ$3,'[1]2026'!$P:$P,$AU443)</f>
        <v>-1214.29</v>
      </c>
      <c r="BK443" s="10">
        <f>SUMIFS('[1]2026'!$K:$K,'[1]2026'!$T:$T,$BD443,'[1]2026'!$S:$S,BK$3,'[1]2026'!$P:$P,$AU443)</f>
        <v>0</v>
      </c>
      <c r="BL443" s="10">
        <f>SUMIFS('[1]2026'!$K:$K,'[1]2026'!$T:$T,$BD443,'[1]2026'!$S:$S,BL$3,'[1]2026'!$P:$P,$AU443)</f>
        <v>0</v>
      </c>
      <c r="BM443" s="10">
        <f>SUMIFS('[1]2026'!$K:$K,'[1]2026'!$T:$T,$BD443,'[1]2026'!$S:$S,BM$3,'[1]2026'!$P:$P,$AU443)</f>
        <v>0</v>
      </c>
      <c r="BN443" s="10">
        <f>SUMIFS('[1]2026'!$K:$K,'[1]2026'!$T:$T,$BD443,'[1]2026'!$S:$S,BN$3,'[1]2026'!$P:$P,$AU443)</f>
        <v>0</v>
      </c>
      <c r="BO443" s="10">
        <f>SUMIFS('[1]2026'!$K:$K,'[1]2026'!$T:$T,$BD443,'[1]2026'!$S:$S,BO$3,'[1]2026'!$P:$P,$AU443)</f>
        <v>0</v>
      </c>
      <c r="BP443" s="6">
        <f t="shared" si="295"/>
        <v>0</v>
      </c>
      <c r="BQ443" s="6">
        <f t="shared" si="295"/>
        <v>0</v>
      </c>
      <c r="BR443" s="6">
        <f t="shared" si="295"/>
        <v>0</v>
      </c>
      <c r="BS443" s="6">
        <f t="shared" si="295"/>
        <v>0</v>
      </c>
      <c r="BT443" s="6">
        <f t="shared" si="283"/>
        <v>-1214.29</v>
      </c>
      <c r="BV443" s="6">
        <f t="shared" si="297"/>
        <v>0</v>
      </c>
      <c r="BW443" s="6">
        <f t="shared" si="297"/>
        <v>0</v>
      </c>
      <c r="BX443" s="6">
        <f t="shared" si="297"/>
        <v>-1214.29</v>
      </c>
      <c r="BY443" s="6">
        <f t="shared" si="297"/>
        <v>0</v>
      </c>
      <c r="BZ443" s="6">
        <f t="shared" si="297"/>
        <v>0</v>
      </c>
      <c r="CA443" s="6">
        <f t="shared" si="297"/>
        <v>0</v>
      </c>
      <c r="CB443" s="6">
        <f t="shared" si="297"/>
        <v>0</v>
      </c>
      <c r="CC443" s="6">
        <f t="shared" si="297"/>
        <v>0</v>
      </c>
      <c r="CD443" s="6">
        <f t="shared" si="297"/>
        <v>0</v>
      </c>
      <c r="CE443" s="6">
        <f t="shared" si="297"/>
        <v>0</v>
      </c>
      <c r="CF443" s="6">
        <f t="shared" si="297"/>
        <v>0</v>
      </c>
      <c r="CG443" s="6">
        <f t="shared" si="297"/>
        <v>0</v>
      </c>
      <c r="CH443" s="6">
        <f t="shared" si="296"/>
        <v>-1214.29</v>
      </c>
    </row>
    <row r="444" spans="1:86" hidden="1" x14ac:dyDescent="0.35">
      <c r="A444" t="s">
        <v>113</v>
      </c>
      <c r="AN444" s="27">
        <f t="shared" si="284"/>
        <v>0</v>
      </c>
      <c r="AS444" t="str">
        <f>_xlfn.XLOOKUP(AU444,[2]GAE!HZ:HZ,[2]GAE!IA:IA)</f>
        <v>OHI-COMMON</v>
      </c>
      <c r="AT444" t="str">
        <f>_xlfn.XLOOKUP(AU444,[2]GAE!HZ:HZ,[2]GAE!IB:IB)</f>
        <v>GAE - Employees' Welfare</v>
      </c>
      <c r="AU444" s="2" t="s">
        <v>836</v>
      </c>
      <c r="AV444" s="2">
        <v>90111101</v>
      </c>
      <c r="AW444" s="2">
        <v>61021403</v>
      </c>
      <c r="AX444" t="str">
        <f>_xlfn.XLOOKUP(AU444,[2]GAE!HZ:HZ,[2]GAE!IF:IF)</f>
        <v>Employee Benefits</v>
      </c>
      <c r="AY444" t="str">
        <f>_xlfn.XLOOKUP(AU444,[2]GAE!HZ:HZ,[2]GAE!IG:IG)</f>
        <v>Employee Programs/Perks</v>
      </c>
      <c r="BC444" t="s">
        <v>113</v>
      </c>
      <c r="BD444" t="s">
        <v>113</v>
      </c>
      <c r="BF444" t="s">
        <v>13</v>
      </c>
      <c r="BG444" t="s">
        <v>113</v>
      </c>
      <c r="BH444" s="10">
        <f>SUMIFS('[1]2026'!$K:$K,'[1]2026'!$T:$T,BD444,'[1]2026'!$S:$S,BH$3,'[1]2026'!$P:$P,AU444)</f>
        <v>0</v>
      </c>
      <c r="BI444" s="10">
        <f>SUMIFS('[1]2026'!$K:$K,'[1]2026'!$T:$T,$BD444,'[1]2026'!$S:$S,BI$3,'[1]2026'!$P:$P,$AU444)</f>
        <v>0</v>
      </c>
      <c r="BJ444" s="10">
        <f>SUMIFS('[1]2026'!$K:$K,'[1]2026'!$T:$T,$BD444,'[1]2026'!$S:$S,BJ$3,'[1]2026'!$P:$P,$AU444)</f>
        <v>-10500</v>
      </c>
      <c r="BK444" s="10">
        <f>SUMIFS('[1]2026'!$K:$K,'[1]2026'!$T:$T,$BD444,'[1]2026'!$S:$S,BK$3,'[1]2026'!$P:$P,$AU444)</f>
        <v>0</v>
      </c>
      <c r="BL444" s="10">
        <f>SUMIFS('[1]2026'!$K:$K,'[1]2026'!$T:$T,$BD444,'[1]2026'!$S:$S,BL$3,'[1]2026'!$P:$P,$AU444)</f>
        <v>0</v>
      </c>
      <c r="BM444" s="10">
        <f>SUMIFS('[1]2026'!$K:$K,'[1]2026'!$T:$T,$BD444,'[1]2026'!$S:$S,BM$3,'[1]2026'!$P:$P,$AU444)</f>
        <v>0</v>
      </c>
      <c r="BN444" s="10">
        <f>SUMIFS('[1]2026'!$K:$K,'[1]2026'!$T:$T,$BD444,'[1]2026'!$S:$S,BN$3,'[1]2026'!$P:$P,$AU444)</f>
        <v>0</v>
      </c>
      <c r="BO444" s="10">
        <f>SUMIFS('[1]2026'!$K:$K,'[1]2026'!$T:$T,$BD444,'[1]2026'!$S:$S,BO$3,'[1]2026'!$P:$P,$AU444)</f>
        <v>0</v>
      </c>
      <c r="BP444" s="6">
        <f t="shared" si="295"/>
        <v>0</v>
      </c>
      <c r="BQ444" s="6">
        <f t="shared" si="295"/>
        <v>0</v>
      </c>
      <c r="BR444" s="6">
        <f t="shared" si="295"/>
        <v>0</v>
      </c>
      <c r="BS444" s="6">
        <f t="shared" si="295"/>
        <v>0</v>
      </c>
      <c r="BT444" s="6">
        <f t="shared" si="283"/>
        <v>-10500</v>
      </c>
      <c r="BV444" s="6">
        <f t="shared" si="297"/>
        <v>0</v>
      </c>
      <c r="BW444" s="6">
        <f t="shared" si="297"/>
        <v>0</v>
      </c>
      <c r="BX444" s="6">
        <f t="shared" si="297"/>
        <v>-10500</v>
      </c>
      <c r="BY444" s="6">
        <f t="shared" si="297"/>
        <v>0</v>
      </c>
      <c r="BZ444" s="6">
        <f t="shared" si="297"/>
        <v>0</v>
      </c>
      <c r="CA444" s="6">
        <f t="shared" si="297"/>
        <v>0</v>
      </c>
      <c r="CB444" s="6">
        <f t="shared" si="297"/>
        <v>0</v>
      </c>
      <c r="CC444" s="6">
        <f t="shared" si="297"/>
        <v>0</v>
      </c>
      <c r="CD444" s="6">
        <f t="shared" si="297"/>
        <v>0</v>
      </c>
      <c r="CE444" s="6">
        <f t="shared" si="297"/>
        <v>0</v>
      </c>
      <c r="CF444" s="6">
        <f t="shared" si="297"/>
        <v>0</v>
      </c>
      <c r="CG444" s="6">
        <f t="shared" si="297"/>
        <v>0</v>
      </c>
      <c r="CH444" s="6">
        <f t="shared" si="296"/>
        <v>-10500</v>
      </c>
    </row>
    <row r="445" spans="1:86" hidden="1" x14ac:dyDescent="0.35">
      <c r="A445"/>
      <c r="AN445" s="27">
        <f t="shared" si="284"/>
        <v>0</v>
      </c>
      <c r="AS445" t="str">
        <f>_xlfn.XLOOKUP(AU445,[2]GAE!HZ:HZ,[2]GAE!IA:IA)</f>
        <v>OHI-COMMON</v>
      </c>
      <c r="AT445" t="str">
        <f>_xlfn.XLOOKUP(AU445,[2]GAE!HZ:HZ,[2]GAE!IB:IB)</f>
        <v>GAE - Employees' Welfare</v>
      </c>
      <c r="AU445" s="2" t="s">
        <v>836</v>
      </c>
      <c r="AV445" s="2">
        <v>90111101</v>
      </c>
      <c r="AW445" s="2">
        <v>61021403</v>
      </c>
      <c r="AX445" t="str">
        <f>_xlfn.XLOOKUP(AU445,[2]GAE!HZ:HZ,[2]GAE!IF:IF)</f>
        <v>Employee Benefits</v>
      </c>
      <c r="AY445" t="str">
        <f>_xlfn.XLOOKUP(AU445,[2]GAE!HZ:HZ,[2]GAE!IG:IG)</f>
        <v>Employee Programs/Perks</v>
      </c>
      <c r="BC445" t="s">
        <v>6</v>
      </c>
      <c r="BD445" t="s">
        <v>6</v>
      </c>
      <c r="BF445" t="s">
        <v>7</v>
      </c>
      <c r="BG445" t="s">
        <v>6</v>
      </c>
      <c r="BL445" s="10">
        <f>SUMIFS('[1]2026'!$K:$K,'[1]2026'!$T:$T,$BD445,'[1]2026'!$S:$S,BL$3,'[1]2026'!$P:$P,$AU445)</f>
        <v>-47949.210000000006</v>
      </c>
      <c r="BM445" s="10">
        <f>SUMIFS('[1]2026'!$K:$K,'[1]2026'!$T:$T,$BD445,'[1]2026'!$S:$S,BM$3,'[1]2026'!$P:$P,$AU445)</f>
        <v>0</v>
      </c>
      <c r="BN445" s="10">
        <f>SUMIFS('[1]2026'!$K:$K,'[1]2026'!$T:$T,$BD445,'[1]2026'!$S:$S,BN$3,'[1]2026'!$P:$P,$AU445)</f>
        <v>0</v>
      </c>
      <c r="BO445" s="10">
        <f>SUMIFS('[1]2026'!$K:$K,'[1]2026'!$T:$T,$BD445,'[1]2026'!$S:$S,BO$3,'[1]2026'!$P:$P,$AU445)</f>
        <v>0</v>
      </c>
      <c r="BP445" s="6">
        <f t="shared" si="295"/>
        <v>0</v>
      </c>
      <c r="BQ445" s="6">
        <f t="shared" si="295"/>
        <v>0</v>
      </c>
      <c r="BR445" s="6">
        <f t="shared" si="295"/>
        <v>0</v>
      </c>
      <c r="BS445" s="6">
        <f t="shared" si="295"/>
        <v>0</v>
      </c>
      <c r="BT445" s="6">
        <f t="shared" si="283"/>
        <v>-47949.210000000006</v>
      </c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>
        <f t="shared" si="296"/>
        <v>-47949.210000000006</v>
      </c>
    </row>
    <row r="446" spans="1:86" hidden="1" x14ac:dyDescent="0.35">
      <c r="A446" s="3" t="s">
        <v>837</v>
      </c>
      <c r="C446" s="10">
        <v>20000</v>
      </c>
      <c r="E446" s="10">
        <v>20000</v>
      </c>
      <c r="G446" s="10">
        <v>20000</v>
      </c>
      <c r="I446" s="10">
        <v>20000</v>
      </c>
      <c r="K446" s="10">
        <v>20000</v>
      </c>
      <c r="N446" s="27">
        <f t="shared" si="292"/>
        <v>100000</v>
      </c>
      <c r="AA446" s="27">
        <f t="shared" si="293"/>
        <v>0</v>
      </c>
      <c r="AB446" s="10">
        <f t="shared" si="294"/>
        <v>0</v>
      </c>
      <c r="AC446" s="10">
        <f t="shared" si="294"/>
        <v>20000</v>
      </c>
      <c r="AD446" s="10">
        <f t="shared" si="294"/>
        <v>0</v>
      </c>
      <c r="AE446" s="10">
        <f t="shared" si="294"/>
        <v>20000</v>
      </c>
      <c r="AF446" s="10">
        <f t="shared" si="294"/>
        <v>0</v>
      </c>
      <c r="AG446" s="10">
        <f t="shared" si="294"/>
        <v>20000</v>
      </c>
      <c r="AH446" s="10">
        <f t="shared" si="294"/>
        <v>0</v>
      </c>
      <c r="AI446" s="10">
        <f t="shared" si="294"/>
        <v>20000</v>
      </c>
      <c r="AJ446" s="10">
        <f t="shared" si="294"/>
        <v>0</v>
      </c>
      <c r="AK446" s="10">
        <f t="shared" si="294"/>
        <v>20000</v>
      </c>
      <c r="AL446" s="10">
        <f t="shared" si="294"/>
        <v>0</v>
      </c>
      <c r="AM446" s="10">
        <f t="shared" si="294"/>
        <v>0</v>
      </c>
      <c r="AN446" s="27">
        <f t="shared" si="284"/>
        <v>100000</v>
      </c>
      <c r="AO446" s="28">
        <v>0</v>
      </c>
      <c r="AS446" t="str">
        <f>_xlfn.XLOOKUP(AU446,[2]GAE!HZ:HZ,[2]GAE!IA:IA)</f>
        <v>HUMAN RESOURCES</v>
      </c>
      <c r="AT446" t="str">
        <f>_xlfn.XLOOKUP(AU446,[2]GAE!HZ:HZ,[2]GAE!IB:IB)</f>
        <v>DOE - Employees' Welfare</v>
      </c>
      <c r="AU446" t="s">
        <v>809</v>
      </c>
      <c r="AV446">
        <v>81122101</v>
      </c>
      <c r="AW446">
        <v>52121402</v>
      </c>
      <c r="AX446" t="str">
        <f>_xlfn.XLOOKUP(AU446,[2]GAE!HZ:HZ,[2]GAE!IF:IF)</f>
        <v>Employee Benefits</v>
      </c>
      <c r="AY446" t="str">
        <f>_xlfn.XLOOKUP(AU446,[2]GAE!HZ:HZ,[2]GAE!IG:IG)</f>
        <v>Employee Programs/Perks</v>
      </c>
      <c r="BF446" t="s">
        <v>106</v>
      </c>
      <c r="BG446" s="3" t="s">
        <v>837</v>
      </c>
      <c r="BH446" s="10">
        <f>SUMIFS('[1]2026'!$K:$K,'[1]2026'!$T:$T,BD446,'[1]2026'!$S:$S,BH$3,'[1]2026'!$P:$P,AU446)</f>
        <v>0</v>
      </c>
      <c r="BI446" s="10">
        <f>SUMIFS('[1]2026'!$K:$K,'[1]2026'!$T:$T,$BD446,'[1]2026'!$S:$S,BI$3,'[1]2026'!$P:$P,$AU446)</f>
        <v>0</v>
      </c>
      <c r="BJ446" s="10">
        <f>SUMIFS('[1]2026'!$K:$K,'[1]2026'!$T:$T,$BD446,'[1]2026'!$S:$S,BJ$3,'[1]2026'!$P:$P,$AU446)</f>
        <v>0</v>
      </c>
      <c r="BK446" s="10">
        <f>SUMIFS('[1]2026'!$K:$K,'[1]2026'!$T:$T,$BD446,'[1]2026'!$S:$S,BK$3,'[1]2026'!$P:$P,$AU446)</f>
        <v>0</v>
      </c>
      <c r="BL446" s="10">
        <f>SUMIFS('[1]2026'!$K:$K,'[1]2026'!$T:$T,$BD446,'[1]2026'!$S:$S,BL$3,'[1]2026'!$P:$P,$AU446)</f>
        <v>0</v>
      </c>
      <c r="BM446" s="10">
        <f>SUMIFS('[1]2026'!$K:$K,'[1]2026'!$T:$T,$BD446,'[1]2026'!$S:$S,BM$3,'[1]2026'!$P:$P,$AU446)</f>
        <v>0</v>
      </c>
      <c r="BN446" s="10">
        <f>SUMIFS('[1]2026'!$K:$K,'[1]2026'!$T:$T,$BD446,'[1]2026'!$S:$S,BN$3,'[1]2026'!$P:$P,$AU446)</f>
        <v>0</v>
      </c>
      <c r="BO446" s="10">
        <f>SUMIFS('[1]2026'!$K:$K,'[1]2026'!$T:$T,$BD446,'[1]2026'!$S:$S,BO$3,'[1]2026'!$P:$P,$AU446)</f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f t="shared" si="283"/>
        <v>0</v>
      </c>
      <c r="BV446" s="6">
        <f t="shared" ref="BV446:CG447" si="298">BH446-AB446</f>
        <v>0</v>
      </c>
      <c r="BW446" s="6">
        <f t="shared" si="298"/>
        <v>-20000</v>
      </c>
      <c r="BX446" s="6">
        <f t="shared" si="298"/>
        <v>0</v>
      </c>
      <c r="BY446" s="6">
        <f t="shared" si="298"/>
        <v>-20000</v>
      </c>
      <c r="BZ446" s="6">
        <f t="shared" si="298"/>
        <v>0</v>
      </c>
      <c r="CA446" s="6">
        <f t="shared" si="298"/>
        <v>-20000</v>
      </c>
      <c r="CB446" s="6">
        <f t="shared" si="298"/>
        <v>0</v>
      </c>
      <c r="CC446" s="6">
        <f t="shared" si="298"/>
        <v>-20000</v>
      </c>
      <c r="CD446" s="6">
        <f t="shared" si="298"/>
        <v>0</v>
      </c>
      <c r="CE446" s="6">
        <f t="shared" si="298"/>
        <v>-20000</v>
      </c>
      <c r="CF446" s="6">
        <f t="shared" si="298"/>
        <v>0</v>
      </c>
      <c r="CG446" s="6">
        <f t="shared" si="298"/>
        <v>0</v>
      </c>
      <c r="CH446" s="6">
        <f t="shared" si="296"/>
        <v>-100000</v>
      </c>
    </row>
    <row r="447" spans="1:86" hidden="1" x14ac:dyDescent="0.35">
      <c r="A447" s="3" t="s">
        <v>838</v>
      </c>
      <c r="B447" s="10">
        <v>10000</v>
      </c>
      <c r="C447" s="10">
        <v>10000</v>
      </c>
      <c r="D447" s="10">
        <v>10000</v>
      </c>
      <c r="E447" s="10">
        <v>10000</v>
      </c>
      <c r="F447" s="10">
        <v>10000</v>
      </c>
      <c r="G447" s="10">
        <v>10000</v>
      </c>
      <c r="H447" s="10">
        <v>10000</v>
      </c>
      <c r="I447" s="10">
        <v>10000</v>
      </c>
      <c r="J447" s="10">
        <v>10000</v>
      </c>
      <c r="K447" s="10">
        <v>10000</v>
      </c>
      <c r="L447" s="10">
        <v>10000</v>
      </c>
      <c r="M447" s="10">
        <v>10000</v>
      </c>
      <c r="N447" s="27">
        <f t="shared" si="292"/>
        <v>120000</v>
      </c>
      <c r="AA447" s="27">
        <f t="shared" si="293"/>
        <v>0</v>
      </c>
      <c r="AB447" s="10">
        <f t="shared" si="294"/>
        <v>10000</v>
      </c>
      <c r="AC447" s="10">
        <f t="shared" si="294"/>
        <v>10000</v>
      </c>
      <c r="AD447" s="10">
        <f t="shared" si="294"/>
        <v>10000</v>
      </c>
      <c r="AE447" s="10">
        <f t="shared" si="294"/>
        <v>10000</v>
      </c>
      <c r="AF447" s="10">
        <f t="shared" si="294"/>
        <v>10000</v>
      </c>
      <c r="AG447" s="10">
        <f t="shared" si="294"/>
        <v>10000</v>
      </c>
      <c r="AH447" s="10">
        <f t="shared" si="294"/>
        <v>10000</v>
      </c>
      <c r="AI447" s="10">
        <f t="shared" si="294"/>
        <v>10000</v>
      </c>
      <c r="AJ447" s="10">
        <f t="shared" si="294"/>
        <v>10000</v>
      </c>
      <c r="AK447" s="10">
        <f t="shared" si="294"/>
        <v>10000</v>
      </c>
      <c r="AL447" s="10">
        <f t="shared" si="294"/>
        <v>10000</v>
      </c>
      <c r="AM447" s="10">
        <f t="shared" si="294"/>
        <v>10000</v>
      </c>
      <c r="AN447" s="27">
        <f t="shared" si="284"/>
        <v>120000</v>
      </c>
      <c r="AO447" s="28">
        <v>41665.65</v>
      </c>
      <c r="AP447" t="s">
        <v>114</v>
      </c>
      <c r="AS447" t="str">
        <f>_xlfn.XLOOKUP(AU447,[2]GAE!HZ:HZ,[2]GAE!IA:IA)</f>
        <v>HUMAN RESOURCES</v>
      </c>
      <c r="AT447" t="str">
        <f>_xlfn.XLOOKUP(AU447,[2]GAE!HZ:HZ,[2]GAE!IB:IB)</f>
        <v>DOE - Employees' Welfare</v>
      </c>
      <c r="AU447" t="s">
        <v>809</v>
      </c>
      <c r="AV447">
        <v>81122101</v>
      </c>
      <c r="AW447">
        <v>52121402</v>
      </c>
      <c r="AX447" t="str">
        <f>_xlfn.XLOOKUP(AU447,[2]GAE!HZ:HZ,[2]GAE!IF:IF)</f>
        <v>Employee Benefits</v>
      </c>
      <c r="AY447" t="str">
        <f>_xlfn.XLOOKUP(AU447,[2]GAE!HZ:HZ,[2]GAE!IG:IG)</f>
        <v>Employee Programs/Perks</v>
      </c>
      <c r="BF447" t="s">
        <v>106</v>
      </c>
      <c r="BG447" s="3" t="s">
        <v>114</v>
      </c>
      <c r="BH447" s="10">
        <f>SUMIFS('[1]2026'!$K:$K,'[1]2026'!$T:$T,BD447,'[1]2026'!$S:$S,BH$3,'[1]2026'!$P:$P,AU447)</f>
        <v>0</v>
      </c>
      <c r="BI447" s="10">
        <f>SUMIFS('[1]2026'!$K:$K,'[1]2026'!$T:$T,$BD447,'[1]2026'!$S:$S,BI$3,'[1]2026'!$P:$P,$AU447)</f>
        <v>0</v>
      </c>
      <c r="BJ447" s="10">
        <f>SUMIFS('[1]2026'!$K:$K,'[1]2026'!$T:$T,$BD447,'[1]2026'!$S:$S,BJ$3,'[1]2026'!$P:$P,$AU447)</f>
        <v>0</v>
      </c>
      <c r="BK447" s="10">
        <f>SUMIFS('[1]2026'!$K:$K,'[1]2026'!$T:$T,$BD447,'[1]2026'!$S:$S,BK$3,'[1]2026'!$P:$P,$AU447)</f>
        <v>0</v>
      </c>
      <c r="BL447" s="10">
        <f>SUMIFS('[1]2026'!$K:$K,'[1]2026'!$T:$T,$BD447,'[1]2026'!$S:$S,BL$3,'[1]2026'!$P:$P,$AU447)</f>
        <v>0</v>
      </c>
      <c r="BM447" s="10">
        <f>SUMIFS('[1]2026'!$K:$K,'[1]2026'!$T:$T,$BD447,'[1]2026'!$S:$S,BM$3,'[1]2026'!$P:$P,$AU447)</f>
        <v>0</v>
      </c>
      <c r="BN447" s="10">
        <f>SUMIFS('[1]2026'!$K:$K,'[1]2026'!$T:$T,$BD447,'[1]2026'!$S:$S,BN$3,'[1]2026'!$P:$P,$AU447)</f>
        <v>0</v>
      </c>
      <c r="BO447" s="10">
        <f>SUMIFS('[1]2026'!$K:$K,'[1]2026'!$T:$T,$BD447,'[1]2026'!$S:$S,BO$3,'[1]2026'!$P:$P,$AU447)</f>
        <v>0</v>
      </c>
      <c r="BP447" s="6">
        <f t="shared" ref="BP447:BS451" si="299">BO447</f>
        <v>0</v>
      </c>
      <c r="BQ447" s="6">
        <f t="shared" si="299"/>
        <v>0</v>
      </c>
      <c r="BR447" s="6">
        <f t="shared" si="299"/>
        <v>0</v>
      </c>
      <c r="BS447" s="6">
        <f t="shared" si="299"/>
        <v>0</v>
      </c>
      <c r="BT447" s="6">
        <f t="shared" si="283"/>
        <v>0</v>
      </c>
      <c r="BV447" s="6">
        <f t="shared" si="298"/>
        <v>-10000</v>
      </c>
      <c r="BW447" s="6">
        <f t="shared" si="298"/>
        <v>-10000</v>
      </c>
      <c r="BX447" s="6">
        <f t="shared" si="298"/>
        <v>-10000</v>
      </c>
      <c r="BY447" s="6">
        <f t="shared" si="298"/>
        <v>-10000</v>
      </c>
      <c r="BZ447" s="6">
        <f t="shared" si="298"/>
        <v>-10000</v>
      </c>
      <c r="CA447" s="6">
        <f t="shared" si="298"/>
        <v>-10000</v>
      </c>
      <c r="CB447" s="6">
        <f t="shared" si="298"/>
        <v>-10000</v>
      </c>
      <c r="CC447" s="6">
        <f t="shared" si="298"/>
        <v>-10000</v>
      </c>
      <c r="CD447" s="6">
        <f t="shared" si="298"/>
        <v>-10000</v>
      </c>
      <c r="CE447" s="6">
        <f t="shared" si="298"/>
        <v>-10000</v>
      </c>
      <c r="CF447" s="6">
        <f t="shared" si="298"/>
        <v>-10000</v>
      </c>
      <c r="CG447" s="6">
        <f t="shared" si="298"/>
        <v>-10000</v>
      </c>
      <c r="CH447" s="6">
        <f t="shared" si="296"/>
        <v>-120000</v>
      </c>
    </row>
    <row r="448" spans="1:86" hidden="1" x14ac:dyDescent="0.35">
      <c r="A448" t="s">
        <v>114</v>
      </c>
      <c r="AN448" s="27">
        <f>N448-AA448</f>
        <v>0</v>
      </c>
      <c r="AS448" t="str">
        <f>_xlfn.XLOOKUP(AU448,[2]GAE!HZ:HZ,[2]GAE!IA:IA)</f>
        <v>HUMAN RESOURCES</v>
      </c>
      <c r="AT448" t="str">
        <f>_xlfn.XLOOKUP(AU448,[2]GAE!HZ:HZ,[2]GAE!IB:IB)</f>
        <v>DOE - Company Events</v>
      </c>
      <c r="AU448" t="s">
        <v>790</v>
      </c>
      <c r="AV448">
        <v>81122101</v>
      </c>
      <c r="AW448">
        <v>52121401</v>
      </c>
      <c r="AX448" t="str">
        <f>_xlfn.XLOOKUP(AU448,[2]GAE!HZ:HZ,[2]GAE!IF:IF)</f>
        <v>Employee Benefits</v>
      </c>
      <c r="AY448" t="str">
        <f>_xlfn.XLOOKUP(AU448,[2]GAE!HZ:HZ,[2]GAE!IG:IG)</f>
        <v>Employee Programs/Perks</v>
      </c>
      <c r="BC448" t="s">
        <v>114</v>
      </c>
      <c r="BD448" t="s">
        <v>114</v>
      </c>
      <c r="BF448" t="s">
        <v>106</v>
      </c>
      <c r="BG448" t="s">
        <v>114</v>
      </c>
      <c r="BJ448" s="10">
        <f>SUMIFS('[1]2026'!$K:$K,'[1]2026'!$T:$T,$BD448,'[1]2026'!$S:$S,BJ$3,'[1]2026'!$P:$P,$AU448)</f>
        <v>37990.519999999997</v>
      </c>
      <c r="BK448" s="10">
        <f>SUMIFS('[1]2026'!$K:$K,'[1]2026'!$T:$T,$BD448,'[1]2026'!$S:$S,BK$3,'[1]2026'!$P:$P,$AU448)</f>
        <v>0</v>
      </c>
      <c r="BL448" s="10">
        <f>SUMIFS('[1]2026'!$K:$K,'[1]2026'!$T:$T,$BD448,'[1]2026'!$S:$S,BL$3,'[1]2026'!$P:$P,$AU448)</f>
        <v>0</v>
      </c>
      <c r="BM448" s="10">
        <f>SUMIFS('[1]2026'!$K:$K,'[1]2026'!$T:$T,$BD448,'[1]2026'!$S:$S,BM$3,'[1]2026'!$P:$P,$AU448)</f>
        <v>0</v>
      </c>
      <c r="BN448" s="10">
        <f>SUMIFS('[1]2026'!$K:$K,'[1]2026'!$T:$T,$BD448,'[1]2026'!$S:$S,BN$3,'[1]2026'!$P:$P,$AU448)</f>
        <v>0</v>
      </c>
      <c r="BO448" s="10">
        <f>SUMIFS('[1]2026'!$K:$K,'[1]2026'!$T:$T,$BD448,'[1]2026'!$S:$S,BO$3,'[1]2026'!$P:$P,$AU448)</f>
        <v>106909.92</v>
      </c>
      <c r="BP448" s="6">
        <v>20000</v>
      </c>
      <c r="BQ448" s="6"/>
      <c r="BR448" s="6"/>
      <c r="BS448" s="6">
        <v>25000</v>
      </c>
      <c r="BT448" s="6">
        <f t="shared" si="283"/>
        <v>189900.44</v>
      </c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>
        <f t="shared" si="296"/>
        <v>189900.44</v>
      </c>
    </row>
    <row r="449" spans="1:86" hidden="1" x14ac:dyDescent="0.35">
      <c r="A449" s="3" t="s">
        <v>115</v>
      </c>
      <c r="B449" s="10">
        <v>45000</v>
      </c>
      <c r="N449" s="27">
        <f t="shared" si="292"/>
        <v>45000</v>
      </c>
      <c r="AA449" s="27">
        <f t="shared" si="293"/>
        <v>0</v>
      </c>
      <c r="AB449" s="10">
        <f t="shared" si="294"/>
        <v>45000</v>
      </c>
      <c r="AC449" s="10">
        <f t="shared" si="294"/>
        <v>0</v>
      </c>
      <c r="AD449" s="10">
        <f t="shared" si="294"/>
        <v>0</v>
      </c>
      <c r="AE449" s="10">
        <f t="shared" si="294"/>
        <v>0</v>
      </c>
      <c r="AF449" s="10">
        <f t="shared" si="294"/>
        <v>0</v>
      </c>
      <c r="AG449" s="10">
        <f t="shared" si="294"/>
        <v>0</v>
      </c>
      <c r="AH449" s="10">
        <f t="shared" si="294"/>
        <v>0</v>
      </c>
      <c r="AI449" s="10">
        <f t="shared" si="294"/>
        <v>0</v>
      </c>
      <c r="AJ449" s="10">
        <f t="shared" si="294"/>
        <v>0</v>
      </c>
      <c r="AK449" s="10">
        <f t="shared" si="294"/>
        <v>0</v>
      </c>
      <c r="AL449" s="10">
        <f t="shared" si="294"/>
        <v>0</v>
      </c>
      <c r="AM449" s="10">
        <f t="shared" si="294"/>
        <v>0</v>
      </c>
      <c r="AN449" s="27">
        <f t="shared" si="284"/>
        <v>45000</v>
      </c>
      <c r="AO449" s="28">
        <v>0</v>
      </c>
      <c r="AS449" t="str">
        <f>_xlfn.XLOOKUP(AU449,[2]GAE!HZ:HZ,[2]GAE!IA:IA)</f>
        <v>HUMAN RESOURCES</v>
      </c>
      <c r="AT449" t="str">
        <f>_xlfn.XLOOKUP(AU449,[2]GAE!HZ:HZ,[2]GAE!IB:IB)</f>
        <v>DOE - Supplies</v>
      </c>
      <c r="AU449" t="s">
        <v>830</v>
      </c>
      <c r="AV449">
        <v>81122101</v>
      </c>
      <c r="AW449">
        <v>52111101</v>
      </c>
      <c r="AX449" t="str">
        <f>_xlfn.XLOOKUP(AU449,[2]GAE!HZ:HZ,[2]GAE!IF:IF)</f>
        <v>Employee Benefits</v>
      </c>
      <c r="AY449" t="str">
        <f>_xlfn.XLOOKUP(AU449,[2]GAE!HZ:HZ,[2]GAE!IG:IG)</f>
        <v>Employee Programs/Perks</v>
      </c>
      <c r="BC449" t="s">
        <v>115</v>
      </c>
      <c r="BD449" t="s">
        <v>839</v>
      </c>
      <c r="BF449" t="s">
        <v>13</v>
      </c>
      <c r="BG449" t="s">
        <v>115</v>
      </c>
      <c r="BH449" s="10">
        <f>SUMIFS('[1]2026'!$K:$K,'[1]2026'!$T:$T,BD449,'[1]2026'!$S:$S,BH$3,'[1]2026'!$P:$P,AU449)</f>
        <v>0</v>
      </c>
      <c r="BI449" s="10">
        <f>SUMIFS('[1]2026'!$K:$K,'[1]2026'!$T:$T,$BD449,'[1]2026'!$S:$S,BI$3,'[1]2026'!$P:$P,$AU449)</f>
        <v>0</v>
      </c>
      <c r="BJ449" s="10">
        <f>SUMIFS('[1]2026'!$K:$K,'[1]2026'!$T:$T,$BD449,'[1]2026'!$S:$S,BJ$3,'[1]2026'!$P:$P,$AU449)</f>
        <v>0</v>
      </c>
      <c r="BK449" s="10">
        <f>SUMIFS('[1]2026'!$K:$K,'[1]2026'!$T:$T,$BD449,'[1]2026'!$S:$S,BK$3,'[1]2026'!$P:$P,$AU449)</f>
        <v>7741.07</v>
      </c>
      <c r="BL449" s="10">
        <f>SUMIFS('[1]2026'!$K:$K,'[1]2026'!$T:$T,$BD449,'[1]2026'!$S:$S,BL$3,'[1]2026'!$P:$P,$AU449)</f>
        <v>0</v>
      </c>
      <c r="BM449" s="10">
        <f>SUMIFS('[1]2026'!$K:$K,'[1]2026'!$T:$T,$BD449,'[1]2026'!$S:$S,BM$3,'[1]2026'!$P:$P,$AU449)</f>
        <v>0</v>
      </c>
      <c r="BN449" s="10">
        <f>SUMIFS('[1]2026'!$K:$K,'[1]2026'!$T:$T,$BD449,'[1]2026'!$S:$S,BN$3,'[1]2026'!$P:$P,$AU449)</f>
        <v>30964.29</v>
      </c>
      <c r="BO449" s="10">
        <f>SUMIFS('[1]2026'!$K:$K,'[1]2026'!$T:$T,$BD449,'[1]2026'!$S:$S,BO$3,'[1]2026'!$P:$P,$AU449)</f>
        <v>0</v>
      </c>
      <c r="BP449" s="6">
        <f t="shared" ref="BP449:BR449" si="300">BO449</f>
        <v>0</v>
      </c>
      <c r="BQ449" s="6">
        <f t="shared" si="300"/>
        <v>0</v>
      </c>
      <c r="BR449" s="6">
        <f t="shared" si="300"/>
        <v>0</v>
      </c>
      <c r="BS449" s="6">
        <v>40000</v>
      </c>
      <c r="BT449" s="6">
        <f t="shared" si="283"/>
        <v>78705.36</v>
      </c>
      <c r="BV449" s="6">
        <f t="shared" ref="BV449:BV463" si="301">BH449-AB449</f>
        <v>-45000</v>
      </c>
      <c r="BW449" s="6">
        <f t="shared" ref="BW449:BW463" si="302">BI449-AC449</f>
        <v>0</v>
      </c>
      <c r="BX449" s="6">
        <f t="shared" ref="BX449:BX463" si="303">BJ449-AD449</f>
        <v>0</v>
      </c>
      <c r="BY449" s="6">
        <f t="shared" ref="BY449:BY463" si="304">BK449-AE449</f>
        <v>7741.07</v>
      </c>
      <c r="BZ449" s="6">
        <f t="shared" ref="BZ449:BZ463" si="305">BL449-AF449</f>
        <v>0</v>
      </c>
      <c r="CA449" s="6">
        <f t="shared" ref="CA449:CA463" si="306">BM449-AG449</f>
        <v>0</v>
      </c>
      <c r="CB449" s="6">
        <f t="shared" ref="CB449:CB463" si="307">BN449-AH449</f>
        <v>30964.29</v>
      </c>
      <c r="CC449" s="6">
        <f t="shared" ref="CC449:CC463" si="308">BO449-AI449</f>
        <v>0</v>
      </c>
      <c r="CD449" s="6">
        <f t="shared" ref="CD449:CD463" si="309">BP449-AJ449</f>
        <v>0</v>
      </c>
      <c r="CE449" s="6">
        <f t="shared" ref="CE449:CE463" si="310">BQ449-AK449</f>
        <v>0</v>
      </c>
      <c r="CF449" s="6">
        <f t="shared" ref="CF449:CF463" si="311">BR449-AL449</f>
        <v>0</v>
      </c>
      <c r="CG449" s="6">
        <f t="shared" ref="CG449:CG463" si="312">BS449-AM449</f>
        <v>40000</v>
      </c>
      <c r="CH449" s="6">
        <f t="shared" si="296"/>
        <v>33705.360000000001</v>
      </c>
    </row>
    <row r="450" spans="1:86" hidden="1" x14ac:dyDescent="0.35">
      <c r="A450" s="3" t="s">
        <v>840</v>
      </c>
      <c r="B450" s="10">
        <v>25000</v>
      </c>
      <c r="N450" s="27">
        <f t="shared" si="292"/>
        <v>25000</v>
      </c>
      <c r="AA450" s="27">
        <f t="shared" si="293"/>
        <v>0</v>
      </c>
      <c r="AB450" s="10">
        <f t="shared" si="294"/>
        <v>25000</v>
      </c>
      <c r="AC450" s="10">
        <f t="shared" si="294"/>
        <v>0</v>
      </c>
      <c r="AD450" s="10">
        <f t="shared" si="294"/>
        <v>0</v>
      </c>
      <c r="AE450" s="10">
        <f t="shared" si="294"/>
        <v>0</v>
      </c>
      <c r="AF450" s="10">
        <f t="shared" si="294"/>
        <v>0</v>
      </c>
      <c r="AG450" s="10">
        <f t="shared" si="294"/>
        <v>0</v>
      </c>
      <c r="AH450" s="10">
        <f t="shared" si="294"/>
        <v>0</v>
      </c>
      <c r="AI450" s="10">
        <f t="shared" si="294"/>
        <v>0</v>
      </c>
      <c r="AJ450" s="10">
        <f t="shared" si="294"/>
        <v>0</v>
      </c>
      <c r="AK450" s="10">
        <f t="shared" si="294"/>
        <v>0</v>
      </c>
      <c r="AL450" s="10">
        <f t="shared" si="294"/>
        <v>0</v>
      </c>
      <c r="AM450" s="10">
        <f t="shared" si="294"/>
        <v>0</v>
      </c>
      <c r="AN450" s="27">
        <f t="shared" si="294"/>
        <v>25000</v>
      </c>
      <c r="AO450" s="28">
        <v>0</v>
      </c>
      <c r="AS450" t="str">
        <f>_xlfn.XLOOKUP(AU450,[2]GAE!HZ:HZ,[2]GAE!IA:IA)</f>
        <v>HUMAN RESOURCES</v>
      </c>
      <c r="AT450" t="str">
        <f>_xlfn.XLOOKUP(AU450,[2]GAE!HZ:HZ,[2]GAE!IB:IB)</f>
        <v>DOE - Supplies</v>
      </c>
      <c r="AU450" t="s">
        <v>830</v>
      </c>
      <c r="AV450">
        <v>81122101</v>
      </c>
      <c r="AW450">
        <v>52111101</v>
      </c>
      <c r="AX450" t="str">
        <f>_xlfn.XLOOKUP(AU450,[2]GAE!HZ:HZ,[2]GAE!IF:IF)</f>
        <v>Employee Benefits</v>
      </c>
      <c r="AY450" t="str">
        <f>_xlfn.XLOOKUP(AU450,[2]GAE!HZ:HZ,[2]GAE!IG:IG)</f>
        <v>Employee Programs/Perks</v>
      </c>
      <c r="BF450" t="s">
        <v>13</v>
      </c>
      <c r="BG450" s="3" t="s">
        <v>841</v>
      </c>
      <c r="BH450" s="10">
        <f>SUMIFS('[1]2026'!$K:$K,'[1]2026'!$T:$T,BD450,'[1]2026'!$S:$S,BH$3,'[1]2026'!$P:$P,AU450)</f>
        <v>0</v>
      </c>
      <c r="BI450" s="10">
        <f>SUMIFS('[1]2026'!$K:$K,'[1]2026'!$T:$T,$BD450,'[1]2026'!$S:$S,BI$3,'[1]2026'!$P:$P,$AU450)</f>
        <v>0</v>
      </c>
      <c r="BJ450" s="10">
        <f>SUMIFS('[1]2026'!$K:$K,'[1]2026'!$T:$T,$BD450,'[1]2026'!$S:$S,BJ$3,'[1]2026'!$P:$P,$AU450)</f>
        <v>0</v>
      </c>
      <c r="BK450" s="10">
        <f>SUMIFS('[1]2026'!$K:$K,'[1]2026'!$T:$T,$BD450,'[1]2026'!$S:$S,BK$3,'[1]2026'!$P:$P,$AU450)</f>
        <v>0</v>
      </c>
      <c r="BL450" s="10">
        <f>SUMIFS('[1]2026'!$K:$K,'[1]2026'!$T:$T,$BD450,'[1]2026'!$S:$S,BL$3,'[1]2026'!$P:$P,$AU450)</f>
        <v>0</v>
      </c>
      <c r="BM450" s="10">
        <f>SUMIFS('[1]2026'!$K:$K,'[1]2026'!$T:$T,$BD450,'[1]2026'!$S:$S,BM$3,'[1]2026'!$P:$P,$AU450)</f>
        <v>0</v>
      </c>
      <c r="BN450" s="10">
        <f>SUMIFS('[1]2026'!$K:$K,'[1]2026'!$T:$T,$BD450,'[1]2026'!$S:$S,BN$3,'[1]2026'!$P:$P,$AU450)</f>
        <v>0</v>
      </c>
      <c r="BO450" s="10">
        <f>SUMIFS('[1]2026'!$K:$K,'[1]2026'!$T:$T,$BD450,'[1]2026'!$S:$S,BO$3,'[1]2026'!$P:$P,$AU450)</f>
        <v>0</v>
      </c>
      <c r="BP450" s="6">
        <f t="shared" si="299"/>
        <v>0</v>
      </c>
      <c r="BQ450" s="6">
        <f t="shared" si="299"/>
        <v>0</v>
      </c>
      <c r="BR450" s="6">
        <f t="shared" si="299"/>
        <v>0</v>
      </c>
      <c r="BS450" s="6">
        <f t="shared" si="299"/>
        <v>0</v>
      </c>
      <c r="BT450" s="6">
        <f t="shared" si="283"/>
        <v>0</v>
      </c>
      <c r="BV450" s="6">
        <f t="shared" si="301"/>
        <v>-25000</v>
      </c>
      <c r="BW450" s="6">
        <f t="shared" si="302"/>
        <v>0</v>
      </c>
      <c r="BX450" s="6">
        <f t="shared" si="303"/>
        <v>0</v>
      </c>
      <c r="BY450" s="6">
        <f t="shared" si="304"/>
        <v>0</v>
      </c>
      <c r="BZ450" s="6">
        <f t="shared" si="305"/>
        <v>0</v>
      </c>
      <c r="CA450" s="6">
        <f t="shared" si="306"/>
        <v>0</v>
      </c>
      <c r="CB450" s="6">
        <f t="shared" si="307"/>
        <v>0</v>
      </c>
      <c r="CC450" s="6">
        <f t="shared" si="308"/>
        <v>0</v>
      </c>
      <c r="CD450" s="6">
        <f t="shared" si="309"/>
        <v>0</v>
      </c>
      <c r="CE450" s="6">
        <f t="shared" si="310"/>
        <v>0</v>
      </c>
      <c r="CF450" s="6">
        <f t="shared" si="311"/>
        <v>0</v>
      </c>
      <c r="CG450" s="6">
        <f t="shared" si="312"/>
        <v>0</v>
      </c>
      <c r="CH450" s="6">
        <f t="shared" si="296"/>
        <v>-25000</v>
      </c>
    </row>
    <row r="451" spans="1:86" hidden="1" x14ac:dyDescent="0.35">
      <c r="A451" s="3" t="s">
        <v>842</v>
      </c>
      <c r="B451" s="21">
        <v>20000</v>
      </c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7">
        <f t="shared" si="292"/>
        <v>20000</v>
      </c>
      <c r="AA451" s="27">
        <f t="shared" si="293"/>
        <v>0</v>
      </c>
      <c r="AB451" s="10">
        <f t="shared" si="294"/>
        <v>20000</v>
      </c>
      <c r="AC451" s="10">
        <f t="shared" si="294"/>
        <v>0</v>
      </c>
      <c r="AD451" s="10">
        <f t="shared" si="294"/>
        <v>0</v>
      </c>
      <c r="AE451" s="10">
        <f t="shared" si="294"/>
        <v>0</v>
      </c>
      <c r="AF451" s="10">
        <f t="shared" si="294"/>
        <v>0</v>
      </c>
      <c r="AG451" s="10">
        <f t="shared" si="294"/>
        <v>0</v>
      </c>
      <c r="AH451" s="10">
        <f t="shared" si="294"/>
        <v>0</v>
      </c>
      <c r="AI451" s="10">
        <f t="shared" si="294"/>
        <v>0</v>
      </c>
      <c r="AJ451" s="10">
        <f t="shared" si="294"/>
        <v>0</v>
      </c>
      <c r="AK451" s="10">
        <f t="shared" si="294"/>
        <v>0</v>
      </c>
      <c r="AL451" s="10">
        <f t="shared" si="294"/>
        <v>0</v>
      </c>
      <c r="AM451" s="10">
        <f t="shared" si="294"/>
        <v>0</v>
      </c>
      <c r="AN451" s="27">
        <f t="shared" si="294"/>
        <v>20000</v>
      </c>
      <c r="AO451" s="40"/>
      <c r="AS451" t="str">
        <f>_xlfn.XLOOKUP(AU451,[2]GAE!HZ:HZ,[2]GAE!IA:IA)</f>
        <v>HUMAN RESOURCES</v>
      </c>
      <c r="AT451" t="str">
        <f>_xlfn.XLOOKUP(AU451,[2]GAE!HZ:HZ,[2]GAE!IB:IB)</f>
        <v>DOE - Supplies</v>
      </c>
      <c r="AU451" t="s">
        <v>830</v>
      </c>
      <c r="AV451">
        <v>81122101</v>
      </c>
      <c r="AW451">
        <v>52111101</v>
      </c>
      <c r="AX451" t="str">
        <f>_xlfn.XLOOKUP(AU451,[2]GAE!HZ:HZ,[2]GAE!IF:IF)</f>
        <v>Employee Benefits</v>
      </c>
      <c r="AY451" t="str">
        <f>_xlfn.XLOOKUP(AU451,[2]GAE!HZ:HZ,[2]GAE!IG:IG)</f>
        <v>Employee Programs/Perks</v>
      </c>
      <c r="BA451" t="s">
        <v>843</v>
      </c>
      <c r="BC451" t="s">
        <v>6</v>
      </c>
      <c r="BD451" s="2" t="s">
        <v>6</v>
      </c>
      <c r="BE451" s="2"/>
      <c r="BF451" t="s">
        <v>13</v>
      </c>
      <c r="BG451" s="3" t="s">
        <v>842</v>
      </c>
      <c r="BH451" s="10">
        <f>SUMIFS('[1]2026'!$K:$K,'[1]2026'!$T:$T,BD451,'[1]2026'!$S:$S,BH$3,'[1]2026'!$P:$P,AU451)</f>
        <v>0</v>
      </c>
      <c r="BI451" s="10">
        <f>SUMIFS('[1]2026'!$K:$K,'[1]2026'!$T:$T,$BD451,'[1]2026'!$S:$S,BI$3,'[1]2026'!$P:$P,$AU451)</f>
        <v>0</v>
      </c>
      <c r="BJ451" s="10">
        <f>SUMIFS('[1]2026'!$K:$K,'[1]2026'!$T:$T,$BD451,'[1]2026'!$S:$S,BJ$3,'[1]2026'!$P:$P,$AU451)</f>
        <v>0</v>
      </c>
      <c r="BK451" s="10">
        <f>SUMIFS('[1]2026'!$K:$K,'[1]2026'!$T:$T,$BD451,'[1]2026'!$S:$S,BK$3,'[1]2026'!$P:$P,$AU451)</f>
        <v>0</v>
      </c>
      <c r="BL451" s="10">
        <f>SUMIFS('[1]2026'!$K:$K,'[1]2026'!$T:$T,$BD451,'[1]2026'!$S:$S,BL$3,'[1]2026'!$P:$P,$AU451)</f>
        <v>120</v>
      </c>
      <c r="BM451" s="10">
        <f>SUMIFS('[1]2026'!$K:$K,'[1]2026'!$T:$T,$BD451,'[1]2026'!$S:$S,BM$3,'[1]2026'!$P:$P,$AU451)</f>
        <v>0</v>
      </c>
      <c r="BN451" s="10">
        <f>SUMIFS('[1]2026'!$K:$K,'[1]2026'!$T:$T,$BD451,'[1]2026'!$S:$S,BN$3,'[1]2026'!$P:$P,$AU451)</f>
        <v>0</v>
      </c>
      <c r="BO451" s="10">
        <f>SUMIFS('[1]2026'!$K:$K,'[1]2026'!$T:$T,$BD451,'[1]2026'!$S:$S,BO$3,'[1]2026'!$P:$P,$AU451)</f>
        <v>0</v>
      </c>
      <c r="BP451" s="6">
        <v>100</v>
      </c>
      <c r="BQ451" s="6">
        <v>100</v>
      </c>
      <c r="BR451" s="6">
        <v>100</v>
      </c>
      <c r="BS451" s="6">
        <f t="shared" si="299"/>
        <v>100</v>
      </c>
      <c r="BT451" s="6">
        <f t="shared" si="283"/>
        <v>520</v>
      </c>
      <c r="BV451" s="6">
        <f t="shared" si="301"/>
        <v>-20000</v>
      </c>
      <c r="BW451" s="6">
        <f t="shared" si="302"/>
        <v>0</v>
      </c>
      <c r="BX451" s="6">
        <f t="shared" si="303"/>
        <v>0</v>
      </c>
      <c r="BY451" s="6">
        <f t="shared" si="304"/>
        <v>0</v>
      </c>
      <c r="BZ451" s="6">
        <f t="shared" si="305"/>
        <v>120</v>
      </c>
      <c r="CA451" s="6">
        <f t="shared" si="306"/>
        <v>0</v>
      </c>
      <c r="CB451" s="6">
        <f t="shared" si="307"/>
        <v>0</v>
      </c>
      <c r="CC451" s="6">
        <f t="shared" si="308"/>
        <v>0</v>
      </c>
      <c r="CD451" s="6">
        <f t="shared" si="309"/>
        <v>100</v>
      </c>
      <c r="CE451" s="6">
        <f t="shared" si="310"/>
        <v>100</v>
      </c>
      <c r="CF451" s="6">
        <f t="shared" si="311"/>
        <v>100</v>
      </c>
      <c r="CG451" s="6">
        <f t="shared" si="312"/>
        <v>100</v>
      </c>
      <c r="CH451" s="6">
        <f t="shared" si="296"/>
        <v>-19480</v>
      </c>
    </row>
    <row r="452" spans="1:86" hidden="1" x14ac:dyDescent="0.35">
      <c r="A452" s="3" t="s">
        <v>844</v>
      </c>
      <c r="K452" s="10">
        <v>450000</v>
      </c>
      <c r="N452" s="27">
        <f t="shared" si="292"/>
        <v>450000</v>
      </c>
      <c r="AA452" s="27">
        <f t="shared" si="293"/>
        <v>0</v>
      </c>
      <c r="AB452" s="10">
        <f t="shared" si="294"/>
        <v>0</v>
      </c>
      <c r="AC452" s="10">
        <f t="shared" si="294"/>
        <v>0</v>
      </c>
      <c r="AD452" s="10">
        <f t="shared" si="294"/>
        <v>0</v>
      </c>
      <c r="AE452" s="10">
        <f t="shared" si="294"/>
        <v>0</v>
      </c>
      <c r="AF452" s="10">
        <f t="shared" si="294"/>
        <v>0</v>
      </c>
      <c r="AG452" s="10">
        <f t="shared" si="294"/>
        <v>0</v>
      </c>
      <c r="AH452" s="10">
        <f t="shared" si="294"/>
        <v>0</v>
      </c>
      <c r="AI452" s="10">
        <f t="shared" si="294"/>
        <v>0</v>
      </c>
      <c r="AJ452" s="10">
        <f t="shared" si="294"/>
        <v>0</v>
      </c>
      <c r="AK452" s="10">
        <f t="shared" si="294"/>
        <v>450000</v>
      </c>
      <c r="AL452" s="10">
        <f t="shared" si="294"/>
        <v>0</v>
      </c>
      <c r="AM452" s="10">
        <f t="shared" si="294"/>
        <v>0</v>
      </c>
      <c r="AN452" s="27">
        <f t="shared" si="294"/>
        <v>450000</v>
      </c>
      <c r="AO452" s="28">
        <v>0</v>
      </c>
      <c r="AS452" t="str">
        <f>_xlfn.XLOOKUP(AU452,[2]GAE!HZ:HZ,[2]GAE!IA:IA)</f>
        <v>HUMAN RESOURCES</v>
      </c>
      <c r="AT452" t="str">
        <f>_xlfn.XLOOKUP(AU452,[2]GAE!HZ:HZ,[2]GAE!IB:IB)</f>
        <v>DOE - Employees' Welfare</v>
      </c>
      <c r="AU452" t="s">
        <v>809</v>
      </c>
      <c r="AV452">
        <v>81122101</v>
      </c>
      <c r="AW452">
        <v>52121402</v>
      </c>
      <c r="AX452" t="str">
        <f>_xlfn.XLOOKUP(AU452,[2]GAE!HZ:HZ,[2]GAE!IF:IF)</f>
        <v>Employee Benefits</v>
      </c>
      <c r="AY452" t="str">
        <f>_xlfn.XLOOKUP(AU452,[2]GAE!HZ:HZ,[2]GAE!IG:IG)</f>
        <v>Employee Programs/Perks</v>
      </c>
      <c r="BF452" t="s">
        <v>103</v>
      </c>
      <c r="BG452" s="3" t="s">
        <v>844</v>
      </c>
      <c r="BH452" s="10">
        <f>SUMIFS('[1]2026'!$K:$K,'[1]2026'!$T:$T,BD452,'[1]2026'!$S:$S,BH$3,'[1]2026'!$P:$P,AU452)</f>
        <v>0</v>
      </c>
      <c r="BI452" s="10">
        <f>SUMIFS('[1]2026'!$K:$K,'[1]2026'!$T:$T,$BD452,'[1]2026'!$S:$S,BI$3,'[1]2026'!$P:$P,$AU452)</f>
        <v>0</v>
      </c>
      <c r="BJ452" s="10">
        <f>SUMIFS('[1]2026'!$K:$K,'[1]2026'!$T:$T,$BD452,'[1]2026'!$S:$S,BJ$3,'[1]2026'!$P:$P,$AU452)</f>
        <v>0</v>
      </c>
      <c r="BK452" s="10">
        <f>SUMIFS('[1]2026'!$K:$K,'[1]2026'!$T:$T,$BD452,'[1]2026'!$S:$S,BK$3,'[1]2026'!$P:$P,$AU452)</f>
        <v>0</v>
      </c>
      <c r="BL452" s="10">
        <f>SUMIFS('[1]2026'!$K:$K,'[1]2026'!$T:$T,$BD452,'[1]2026'!$S:$S,BL$3,'[1]2026'!$P:$P,$AU452)</f>
        <v>0</v>
      </c>
      <c r="BM452" s="10">
        <f>SUMIFS('[1]2026'!$K:$K,'[1]2026'!$T:$T,$BD452,'[1]2026'!$S:$S,BM$3,'[1]2026'!$P:$P,$AU452)</f>
        <v>0</v>
      </c>
      <c r="BN452" s="10">
        <f>SUMIFS('[1]2026'!$K:$K,'[1]2026'!$T:$T,$BD452,'[1]2026'!$S:$S,BN$3,'[1]2026'!$P:$P,$AU452)</f>
        <v>0</v>
      </c>
      <c r="BO452" s="10">
        <f>SUMIFS('[1]2026'!$K:$K,'[1]2026'!$T:$T,$BD452,'[1]2026'!$S:$S,BO$3,'[1]2026'!$P:$P,$AU452)</f>
        <v>0</v>
      </c>
      <c r="BP452" s="6">
        <f>AJ452</f>
        <v>0</v>
      </c>
      <c r="BQ452" s="6"/>
      <c r="BR452" s="6">
        <f>AL452</f>
        <v>0</v>
      </c>
      <c r="BS452" s="6">
        <f>AM452</f>
        <v>0</v>
      </c>
      <c r="BT452" s="6">
        <f t="shared" si="283"/>
        <v>0</v>
      </c>
      <c r="BV452" s="6">
        <f t="shared" si="301"/>
        <v>0</v>
      </c>
      <c r="BW452" s="6">
        <f t="shared" si="302"/>
        <v>0</v>
      </c>
      <c r="BX452" s="6">
        <f t="shared" si="303"/>
        <v>0</v>
      </c>
      <c r="BY452" s="6">
        <f t="shared" si="304"/>
        <v>0</v>
      </c>
      <c r="BZ452" s="6">
        <f t="shared" si="305"/>
        <v>0</v>
      </c>
      <c r="CA452" s="6">
        <f t="shared" si="306"/>
        <v>0</v>
      </c>
      <c r="CB452" s="6">
        <f t="shared" si="307"/>
        <v>0</v>
      </c>
      <c r="CC452" s="6">
        <f t="shared" si="308"/>
        <v>0</v>
      </c>
      <c r="CD452" s="6">
        <f t="shared" si="309"/>
        <v>0</v>
      </c>
      <c r="CE452" s="6">
        <f t="shared" si="310"/>
        <v>-450000</v>
      </c>
      <c r="CF452" s="6">
        <f t="shared" si="311"/>
        <v>0</v>
      </c>
      <c r="CG452" s="6">
        <f t="shared" si="312"/>
        <v>0</v>
      </c>
      <c r="CH452" s="6">
        <f t="shared" si="296"/>
        <v>-450000</v>
      </c>
    </row>
    <row r="453" spans="1:86" hidden="1" x14ac:dyDescent="0.35">
      <c r="A453" s="3" t="s">
        <v>845</v>
      </c>
      <c r="M453" s="10">
        <v>900000</v>
      </c>
      <c r="N453" s="27">
        <f t="shared" si="292"/>
        <v>900000</v>
      </c>
      <c r="AA453" s="27">
        <f t="shared" si="293"/>
        <v>0</v>
      </c>
      <c r="AB453" s="10">
        <f t="shared" si="294"/>
        <v>0</v>
      </c>
      <c r="AC453" s="10">
        <f t="shared" si="294"/>
        <v>0</v>
      </c>
      <c r="AD453" s="10">
        <f t="shared" si="294"/>
        <v>0</v>
      </c>
      <c r="AE453" s="10">
        <f t="shared" si="294"/>
        <v>0</v>
      </c>
      <c r="AF453" s="10">
        <f t="shared" si="294"/>
        <v>0</v>
      </c>
      <c r="AG453" s="10">
        <f t="shared" si="294"/>
        <v>0</v>
      </c>
      <c r="AH453" s="10">
        <f t="shared" si="294"/>
        <v>0</v>
      </c>
      <c r="AI453" s="10">
        <f t="shared" si="294"/>
        <v>0</v>
      </c>
      <c r="AJ453" s="10">
        <f t="shared" si="294"/>
        <v>0</v>
      </c>
      <c r="AK453" s="10">
        <f t="shared" si="294"/>
        <v>0</v>
      </c>
      <c r="AL453" s="10">
        <f t="shared" si="294"/>
        <v>0</v>
      </c>
      <c r="AM453" s="10">
        <f t="shared" si="294"/>
        <v>900000</v>
      </c>
      <c r="AN453" s="27">
        <f t="shared" si="294"/>
        <v>900000</v>
      </c>
      <c r="AO453" s="41">
        <v>95250</v>
      </c>
      <c r="AR453" t="s">
        <v>795</v>
      </c>
      <c r="AS453" t="str">
        <f>_xlfn.XLOOKUP(AU453,[2]GAE!HZ:HZ,[2]GAE!IA:IA)</f>
        <v>OHI-COMMON</v>
      </c>
      <c r="AT453" t="str">
        <f>_xlfn.XLOOKUP(AU453,[2]GAE!HZ:HZ,[2]GAE!IB:IB)</f>
        <v>DOE - Employee Benefits -De Minimis-Service Awards</v>
      </c>
      <c r="AU453" t="s">
        <v>846</v>
      </c>
      <c r="AV453">
        <v>90111101</v>
      </c>
      <c r="AW453">
        <v>52121314</v>
      </c>
      <c r="AX453" t="str">
        <f>_xlfn.XLOOKUP(AU453,[2]GAE!HZ:HZ,[2]GAE!IF:IF)</f>
        <v>Employee Benefits</v>
      </c>
      <c r="AY453" t="str">
        <f>_xlfn.XLOOKUP(AU453,[2]GAE!HZ:HZ,[2]GAE!IG:IG)</f>
        <v>Employee Programs/Perks</v>
      </c>
      <c r="BA453" t="s">
        <v>248</v>
      </c>
      <c r="BF453" t="s">
        <v>106</v>
      </c>
      <c r="BG453" s="3" t="s">
        <v>845</v>
      </c>
      <c r="BH453" s="10">
        <f>SUMIFS('[1]2026'!$K:$K,'[1]2026'!$T:$T,BD453,'[1]2026'!$S:$S,BH$3,'[1]2026'!$P:$P,AU453)</f>
        <v>0</v>
      </c>
      <c r="BI453" s="10">
        <f>SUMIFS('[1]2026'!$K:$K,'[1]2026'!$T:$T,$BD453,'[1]2026'!$S:$S,BI$3,'[1]2026'!$P:$P,$AU453)</f>
        <v>0</v>
      </c>
      <c r="BJ453" s="10">
        <f>SUMIFS('[1]2026'!$K:$K,'[1]2026'!$T:$T,$BD453,'[1]2026'!$S:$S,BJ$3,'[1]2026'!$P:$P,$AU453)</f>
        <v>0</v>
      </c>
      <c r="BK453" s="10">
        <f>SUMIFS('[1]2026'!$K:$K,'[1]2026'!$T:$T,$BD453,'[1]2026'!$S:$S,BK$3,'[1]2026'!$P:$P,$AU453)</f>
        <v>0</v>
      </c>
      <c r="BL453" s="6"/>
      <c r="BM453" s="10">
        <f>SUMIFS('[1]2026'!$K:$K,'[1]2026'!$T:$T,$BD453,'[1]2026'!$S:$S,BM$3,'[1]2026'!$P:$P,$AU453)</f>
        <v>0</v>
      </c>
      <c r="BN453" s="10">
        <f>SUMIFS('[1]2026'!$K:$K,'[1]2026'!$T:$T,$BD453,'[1]2026'!$S:$S,BN$3,'[1]2026'!$P:$P,$AU453)</f>
        <v>0</v>
      </c>
      <c r="BO453" s="10">
        <f>SUMIFS('[1]2026'!$K:$K,'[1]2026'!$T:$T,$BD453,'[1]2026'!$S:$S,BO$3,'[1]2026'!$P:$P,$AU453)</f>
        <v>0</v>
      </c>
      <c r="BP453" s="6"/>
      <c r="BQ453" s="6"/>
      <c r="BR453" s="6"/>
      <c r="BS453" s="6">
        <f>AN453</f>
        <v>900000</v>
      </c>
      <c r="BT453" s="6">
        <f t="shared" si="283"/>
        <v>900000</v>
      </c>
      <c r="BV453" s="6">
        <f t="shared" si="301"/>
        <v>0</v>
      </c>
      <c r="BW453" s="6">
        <f t="shared" si="302"/>
        <v>0</v>
      </c>
      <c r="BX453" s="6">
        <f t="shared" si="303"/>
        <v>0</v>
      </c>
      <c r="BY453" s="6">
        <f t="shared" si="304"/>
        <v>0</v>
      </c>
      <c r="BZ453" s="6">
        <f t="shared" si="305"/>
        <v>0</v>
      </c>
      <c r="CA453" s="6">
        <f t="shared" si="306"/>
        <v>0</v>
      </c>
      <c r="CB453" s="6">
        <f t="shared" si="307"/>
        <v>0</v>
      </c>
      <c r="CC453" s="6">
        <f t="shared" si="308"/>
        <v>0</v>
      </c>
      <c r="CD453" s="6">
        <f t="shared" si="309"/>
        <v>0</v>
      </c>
      <c r="CE453" s="6">
        <f t="shared" si="310"/>
        <v>0</v>
      </c>
      <c r="CF453" s="6">
        <f t="shared" si="311"/>
        <v>0</v>
      </c>
      <c r="CG453" s="6">
        <f t="shared" si="312"/>
        <v>0</v>
      </c>
      <c r="CH453" s="6">
        <f t="shared" si="296"/>
        <v>0</v>
      </c>
    </row>
    <row r="454" spans="1:86" hidden="1" x14ac:dyDescent="0.35">
      <c r="A454" s="3" t="s">
        <v>845</v>
      </c>
      <c r="M454" s="10">
        <v>35000</v>
      </c>
      <c r="N454" s="27">
        <f t="shared" si="292"/>
        <v>35000</v>
      </c>
      <c r="AA454" s="27">
        <f t="shared" si="293"/>
        <v>0</v>
      </c>
      <c r="AB454" s="10">
        <f t="shared" si="294"/>
        <v>0</v>
      </c>
      <c r="AC454" s="10">
        <f t="shared" si="294"/>
        <v>0</v>
      </c>
      <c r="AD454" s="10">
        <f t="shared" si="294"/>
        <v>0</v>
      </c>
      <c r="AE454" s="10">
        <f t="shared" si="294"/>
        <v>0</v>
      </c>
      <c r="AF454" s="10">
        <f t="shared" si="294"/>
        <v>0</v>
      </c>
      <c r="AG454" s="10">
        <f t="shared" si="294"/>
        <v>0</v>
      </c>
      <c r="AH454" s="10">
        <f t="shared" si="294"/>
        <v>0</v>
      </c>
      <c r="AI454" s="10">
        <f t="shared" si="294"/>
        <v>0</v>
      </c>
      <c r="AJ454" s="10">
        <f t="shared" si="294"/>
        <v>0</v>
      </c>
      <c r="AK454" s="10">
        <f t="shared" si="294"/>
        <v>0</v>
      </c>
      <c r="AL454" s="10">
        <f t="shared" si="294"/>
        <v>0</v>
      </c>
      <c r="AM454" s="10">
        <f t="shared" si="294"/>
        <v>35000</v>
      </c>
      <c r="AN454" s="27">
        <f t="shared" si="294"/>
        <v>35000</v>
      </c>
      <c r="AO454" s="41">
        <v>21000</v>
      </c>
      <c r="AR454" t="s">
        <v>795</v>
      </c>
      <c r="AS454" t="str">
        <f>_xlfn.XLOOKUP(AU454,[2]GAE!HZ:HZ,[2]GAE!IA:IA)</f>
        <v>OCLP-COMMON</v>
      </c>
      <c r="AT454" t="str">
        <f>_xlfn.XLOOKUP(AU454,[2]GAE!HZ:HZ,[2]GAE!IB:IB)</f>
        <v>GAE - Employee Benefits -De Minimis-Service Awards</v>
      </c>
      <c r="AU454" t="s">
        <v>847</v>
      </c>
      <c r="AV454">
        <v>80111101</v>
      </c>
      <c r="AW454">
        <v>61021315</v>
      </c>
      <c r="AX454" t="str">
        <f>_xlfn.XLOOKUP(AU454,[2]GAE!HZ:HZ,[2]GAE!IF:IF)</f>
        <v>Employee Benefits</v>
      </c>
      <c r="AY454" t="str">
        <f>_xlfn.XLOOKUP(AU454,[2]GAE!HZ:HZ,[2]GAE!IG:IG)</f>
        <v>Employee Programs/Perks</v>
      </c>
      <c r="BA454" t="s">
        <v>248</v>
      </c>
      <c r="BF454" t="s">
        <v>106</v>
      </c>
      <c r="BG454" s="3" t="s">
        <v>845</v>
      </c>
      <c r="BH454" s="10">
        <f>SUMIFS('[1]2026'!$K:$K,'[1]2026'!$T:$T,BD454,'[1]2026'!$S:$S,BH$3,'[1]2026'!$P:$P,AU454)</f>
        <v>0</v>
      </c>
      <c r="BI454" s="10">
        <f>SUMIFS('[1]2026'!$K:$K,'[1]2026'!$T:$T,$BD454,'[1]2026'!$S:$S,BI$3,'[1]2026'!$P:$P,$AU454)</f>
        <v>0</v>
      </c>
      <c r="BJ454" s="10">
        <f>SUMIFS('[1]2026'!$K:$K,'[1]2026'!$T:$T,$BD454,'[1]2026'!$S:$S,BJ$3,'[1]2026'!$P:$P,$AU454)</f>
        <v>0</v>
      </c>
      <c r="BK454" s="10">
        <f>SUMIFS('[1]2026'!$K:$K,'[1]2026'!$T:$T,$BD454,'[1]2026'!$S:$S,BK$3,'[1]2026'!$P:$P,$AU454)</f>
        <v>0</v>
      </c>
      <c r="BL454" s="6"/>
      <c r="BM454" s="10">
        <f>SUMIFS('[1]2026'!$K:$K,'[1]2026'!$T:$T,$BD454,'[1]2026'!$S:$S,BM$3,'[1]2026'!$P:$P,$AU454)</f>
        <v>0</v>
      </c>
      <c r="BN454" s="10">
        <f>SUMIFS('[1]2026'!$K:$K,'[1]2026'!$T:$T,$BD454,'[1]2026'!$S:$S,BN$3,'[1]2026'!$P:$P,$AU454)</f>
        <v>0</v>
      </c>
      <c r="BO454" s="10">
        <f>SUMIFS('[1]2026'!$K:$K,'[1]2026'!$T:$T,$BD454,'[1]2026'!$S:$S,BO$3,'[1]2026'!$P:$P,$AU454)</f>
        <v>0</v>
      </c>
      <c r="BP454" s="6"/>
      <c r="BQ454" s="6"/>
      <c r="BR454" s="6"/>
      <c r="BS454" s="6">
        <f t="shared" ref="BS454:BS455" si="313">AN454</f>
        <v>35000</v>
      </c>
      <c r="BT454" s="6">
        <f t="shared" si="283"/>
        <v>35000</v>
      </c>
      <c r="BV454" s="6">
        <f t="shared" si="301"/>
        <v>0</v>
      </c>
      <c r="BW454" s="6">
        <f t="shared" si="302"/>
        <v>0</v>
      </c>
      <c r="BX454" s="6">
        <f t="shared" si="303"/>
        <v>0</v>
      </c>
      <c r="BY454" s="6">
        <f t="shared" si="304"/>
        <v>0</v>
      </c>
      <c r="BZ454" s="6">
        <f t="shared" si="305"/>
        <v>0</v>
      </c>
      <c r="CA454" s="6">
        <f t="shared" si="306"/>
        <v>0</v>
      </c>
      <c r="CB454" s="6">
        <f t="shared" si="307"/>
        <v>0</v>
      </c>
      <c r="CC454" s="6">
        <f t="shared" si="308"/>
        <v>0</v>
      </c>
      <c r="CD454" s="6">
        <f t="shared" si="309"/>
        <v>0</v>
      </c>
      <c r="CE454" s="6">
        <f t="shared" si="310"/>
        <v>0</v>
      </c>
      <c r="CF454" s="6">
        <f t="shared" si="311"/>
        <v>0</v>
      </c>
      <c r="CG454" s="6">
        <f t="shared" si="312"/>
        <v>0</v>
      </c>
      <c r="CH454" s="6">
        <f t="shared" si="296"/>
        <v>0</v>
      </c>
    </row>
    <row r="455" spans="1:86" hidden="1" x14ac:dyDescent="0.35">
      <c r="A455" s="3" t="s">
        <v>845</v>
      </c>
      <c r="M455" s="10">
        <v>35000</v>
      </c>
      <c r="N455" s="27">
        <f t="shared" si="292"/>
        <v>35000</v>
      </c>
      <c r="AA455" s="27">
        <f t="shared" si="293"/>
        <v>0</v>
      </c>
      <c r="AB455" s="10">
        <f t="shared" si="294"/>
        <v>0</v>
      </c>
      <c r="AC455" s="10">
        <f t="shared" si="294"/>
        <v>0</v>
      </c>
      <c r="AD455" s="10">
        <f t="shared" si="294"/>
        <v>0</v>
      </c>
      <c r="AE455" s="10">
        <f t="shared" si="294"/>
        <v>0</v>
      </c>
      <c r="AF455" s="10">
        <f t="shared" si="294"/>
        <v>0</v>
      </c>
      <c r="AG455" s="10">
        <f t="shared" si="294"/>
        <v>0</v>
      </c>
      <c r="AH455" s="10">
        <f t="shared" si="294"/>
        <v>0</v>
      </c>
      <c r="AI455" s="10">
        <f t="shared" si="294"/>
        <v>0</v>
      </c>
      <c r="AJ455" s="10">
        <f t="shared" si="294"/>
        <v>0</v>
      </c>
      <c r="AK455" s="10">
        <f t="shared" si="294"/>
        <v>0</v>
      </c>
      <c r="AL455" s="10">
        <f t="shared" si="294"/>
        <v>0</v>
      </c>
      <c r="AM455" s="10">
        <f t="shared" si="294"/>
        <v>35000</v>
      </c>
      <c r="AN455" s="27">
        <f t="shared" si="294"/>
        <v>35000</v>
      </c>
      <c r="AO455" s="41">
        <v>42000</v>
      </c>
      <c r="AR455" t="s">
        <v>795</v>
      </c>
      <c r="AS455" t="str">
        <f>_xlfn.XLOOKUP(AU455,[2]GAE!HZ:HZ,[2]GAE!IA:IA)</f>
        <v>CCC-COMMON</v>
      </c>
      <c r="AT455" t="str">
        <f>_xlfn.XLOOKUP(AU455,[2]GAE!HZ:HZ,[2]GAE!IB:IB)</f>
        <v>DOE - Employee Benefits -De Minimis-Service Awards</v>
      </c>
      <c r="AU455" t="s">
        <v>848</v>
      </c>
      <c r="AV455">
        <v>81111101</v>
      </c>
      <c r="AW455">
        <v>52121314</v>
      </c>
      <c r="AX455" t="str">
        <f>_xlfn.XLOOKUP(AU455,[2]GAE!HZ:HZ,[2]GAE!IF:IF)</f>
        <v>Employee Benefits</v>
      </c>
      <c r="AY455" t="str">
        <f>_xlfn.XLOOKUP(AU455,[2]GAE!HZ:HZ,[2]GAE!IG:IG)</f>
        <v>Employee Programs/Perks</v>
      </c>
      <c r="BA455" t="s">
        <v>248</v>
      </c>
      <c r="BF455" t="s">
        <v>106</v>
      </c>
      <c r="BG455" s="3" t="s">
        <v>845</v>
      </c>
      <c r="BH455" s="10">
        <f>SUMIFS('[1]2026'!$K:$K,'[1]2026'!$T:$T,BD455,'[1]2026'!$S:$S,BH$3,'[1]2026'!$P:$P,AU455)</f>
        <v>0</v>
      </c>
      <c r="BI455" s="10">
        <f>SUMIFS('[1]2026'!$K:$K,'[1]2026'!$T:$T,$BD455,'[1]2026'!$S:$S,BI$3,'[1]2026'!$P:$P,$AU455)</f>
        <v>0</v>
      </c>
      <c r="BJ455" s="10">
        <f>SUMIFS('[1]2026'!$K:$K,'[1]2026'!$T:$T,$BD455,'[1]2026'!$S:$S,BJ$3,'[1]2026'!$P:$P,$AU455)</f>
        <v>0</v>
      </c>
      <c r="BK455" s="10">
        <f>SUMIFS('[1]2026'!$K:$K,'[1]2026'!$T:$T,$BD455,'[1]2026'!$S:$S,BK$3,'[1]2026'!$P:$P,$AU455)</f>
        <v>0</v>
      </c>
      <c r="BL455" s="6"/>
      <c r="BM455" s="10">
        <f>SUMIFS('[1]2026'!$K:$K,'[1]2026'!$T:$T,$BD455,'[1]2026'!$S:$S,BM$3,'[1]2026'!$P:$P,$AU455)</f>
        <v>0</v>
      </c>
      <c r="BN455" s="10">
        <f>SUMIFS('[1]2026'!$K:$K,'[1]2026'!$T:$T,$BD455,'[1]2026'!$S:$S,BN$3,'[1]2026'!$P:$P,$AU455)</f>
        <v>0</v>
      </c>
      <c r="BO455" s="10">
        <f>SUMIFS('[1]2026'!$K:$K,'[1]2026'!$T:$T,$BD455,'[1]2026'!$S:$S,BO$3,'[1]2026'!$P:$P,$AU455)</f>
        <v>0</v>
      </c>
      <c r="BP455" s="6"/>
      <c r="BQ455" s="6"/>
      <c r="BR455" s="6"/>
      <c r="BS455" s="6">
        <f t="shared" si="313"/>
        <v>35000</v>
      </c>
      <c r="BT455" s="6">
        <f t="shared" si="283"/>
        <v>35000</v>
      </c>
      <c r="BV455" s="6">
        <f t="shared" si="301"/>
        <v>0</v>
      </c>
      <c r="BW455" s="6">
        <f t="shared" si="302"/>
        <v>0</v>
      </c>
      <c r="BX455" s="6">
        <f t="shared" si="303"/>
        <v>0</v>
      </c>
      <c r="BY455" s="6">
        <f t="shared" si="304"/>
        <v>0</v>
      </c>
      <c r="BZ455" s="6">
        <f t="shared" si="305"/>
        <v>0</v>
      </c>
      <c r="CA455" s="6">
        <f t="shared" si="306"/>
        <v>0</v>
      </c>
      <c r="CB455" s="6">
        <f t="shared" si="307"/>
        <v>0</v>
      </c>
      <c r="CC455" s="6">
        <f t="shared" si="308"/>
        <v>0</v>
      </c>
      <c r="CD455" s="6">
        <f t="shared" si="309"/>
        <v>0</v>
      </c>
      <c r="CE455" s="6">
        <f t="shared" si="310"/>
        <v>0</v>
      </c>
      <c r="CF455" s="6">
        <f t="shared" si="311"/>
        <v>0</v>
      </c>
      <c r="CG455" s="6">
        <f t="shared" si="312"/>
        <v>0</v>
      </c>
      <c r="CH455" s="6">
        <f t="shared" si="296"/>
        <v>0</v>
      </c>
    </row>
    <row r="456" spans="1:86" hidden="1" x14ac:dyDescent="0.35">
      <c r="A456" s="3" t="s">
        <v>116</v>
      </c>
      <c r="G456" s="10">
        <v>243000</v>
      </c>
      <c r="N456" s="27">
        <f t="shared" si="292"/>
        <v>243000</v>
      </c>
      <c r="AA456" s="27">
        <f t="shared" si="293"/>
        <v>0</v>
      </c>
      <c r="AB456" s="10">
        <f t="shared" si="294"/>
        <v>0</v>
      </c>
      <c r="AC456" s="10">
        <f t="shared" si="294"/>
        <v>0</v>
      </c>
      <c r="AD456" s="10">
        <f t="shared" si="294"/>
        <v>0</v>
      </c>
      <c r="AE456" s="10">
        <f t="shared" si="294"/>
        <v>0</v>
      </c>
      <c r="AF456" s="10">
        <f t="shared" si="294"/>
        <v>0</v>
      </c>
      <c r="AG456" s="10">
        <f t="shared" si="294"/>
        <v>243000</v>
      </c>
      <c r="AH456" s="10">
        <f t="shared" si="294"/>
        <v>0</v>
      </c>
      <c r="AI456" s="10">
        <f t="shared" si="294"/>
        <v>0</v>
      </c>
      <c r="AJ456" s="10">
        <f t="shared" si="294"/>
        <v>0</v>
      </c>
      <c r="AK456" s="10">
        <f t="shared" si="294"/>
        <v>0</v>
      </c>
      <c r="AL456" s="10">
        <f t="shared" si="294"/>
        <v>0</v>
      </c>
      <c r="AM456" s="10">
        <f t="shared" si="294"/>
        <v>0</v>
      </c>
      <c r="AN456" s="27">
        <f t="shared" si="294"/>
        <v>243000</v>
      </c>
      <c r="AO456" s="28">
        <v>100090.72</v>
      </c>
      <c r="AS456" t="str">
        <f>_xlfn.XLOOKUP(AU456,[2]GAE!HZ:HZ,[2]GAE!IA:IA)</f>
        <v>HUMAN RESOURCES</v>
      </c>
      <c r="AT456" t="str">
        <f>_xlfn.XLOOKUP(AU456,[2]GAE!HZ:HZ,[2]GAE!IB:IB)</f>
        <v>DOE - Employees' Welfare</v>
      </c>
      <c r="AU456" t="s">
        <v>831</v>
      </c>
      <c r="AV456">
        <v>90122101</v>
      </c>
      <c r="AW456">
        <v>52121402</v>
      </c>
      <c r="AX456" t="str">
        <f>_xlfn.XLOOKUP(AU456,[2]GAE!HZ:HZ,[2]GAE!IF:IF)</f>
        <v>Employee Benefits</v>
      </c>
      <c r="AY456" t="str">
        <f>_xlfn.XLOOKUP(AU456,[2]GAE!HZ:HZ,[2]GAE!IG:IG)</f>
        <v>Employee Programs/Perks</v>
      </c>
      <c r="BC456" t="s">
        <v>116</v>
      </c>
      <c r="BD456" t="s">
        <v>849</v>
      </c>
      <c r="BF456" t="s">
        <v>106</v>
      </c>
      <c r="BG456" t="s">
        <v>116</v>
      </c>
      <c r="BH456" s="10">
        <f>SUMIFS('[1]2026'!$K:$K,'[1]2026'!$T:$T,BD456,'[1]2026'!$S:$S,BH$3,'[1]2026'!$P:$P,AU456)</f>
        <v>0</v>
      </c>
      <c r="BI456" s="10">
        <f>SUMIFS('[1]2026'!$K:$K,'[1]2026'!$T:$T,$BD456,'[1]2026'!$S:$S,BI$3,'[1]2026'!$P:$P,$AU456)</f>
        <v>0</v>
      </c>
      <c r="BJ456" s="10">
        <f>SUMIFS('[1]2026'!$K:$K,'[1]2026'!$T:$T,$BD456,'[1]2026'!$S:$S,BJ$3,'[1]2026'!$P:$P,$AU456)</f>
        <v>0</v>
      </c>
      <c r="BK456" s="10">
        <f>SUMIFS('[1]2026'!$K:$K,'[1]2026'!$T:$T,$BD456,'[1]2026'!$S:$S,BK$3,'[1]2026'!$P:$P,$AU456)</f>
        <v>6616.09</v>
      </c>
      <c r="BL456" s="10">
        <f>SUMIFS('[1]2026'!$K:$K,'[1]2026'!$T:$T,$BD456,'[1]2026'!$S:$S,BL$3,'[1]2026'!$P:$P,$AU456)</f>
        <v>0</v>
      </c>
      <c r="BM456" s="10">
        <f>SUMIFS('[1]2026'!$K:$K,'[1]2026'!$T:$T,$BD456,'[1]2026'!$S:$S,BM$3,'[1]2026'!$P:$P,$AU456)</f>
        <v>126542.68</v>
      </c>
      <c r="BN456" s="10">
        <f>SUMIFS('[1]2026'!$K:$K,'[1]2026'!$T:$T,$BD456,'[1]2026'!$S:$S,BN$3,'[1]2026'!$P:$P,$AU456)</f>
        <v>0</v>
      </c>
      <c r="BO456" s="10">
        <f>SUMIFS('[1]2026'!$K:$K,'[1]2026'!$T:$T,$BD456,'[1]2026'!$S:$S,BO$3,'[1]2026'!$P:$P,$AU456)</f>
        <v>0</v>
      </c>
      <c r="BP456" s="6"/>
      <c r="BQ456" s="6"/>
      <c r="BR456" s="6"/>
      <c r="BS456" s="6">
        <f t="shared" ref="BS456:BS459" si="314">BR456</f>
        <v>0</v>
      </c>
      <c r="BT456" s="6">
        <f t="shared" si="283"/>
        <v>133158.76999999999</v>
      </c>
      <c r="BV456" s="6">
        <f t="shared" si="301"/>
        <v>0</v>
      </c>
      <c r="BW456" s="6">
        <f t="shared" si="302"/>
        <v>0</v>
      </c>
      <c r="BX456" s="6">
        <f t="shared" si="303"/>
        <v>0</v>
      </c>
      <c r="BY456" s="6">
        <f t="shared" si="304"/>
        <v>6616.09</v>
      </c>
      <c r="BZ456" s="6">
        <f t="shared" si="305"/>
        <v>0</v>
      </c>
      <c r="CA456" s="6">
        <f t="shared" si="306"/>
        <v>-116457.32</v>
      </c>
      <c r="CB456" s="6">
        <f t="shared" si="307"/>
        <v>0</v>
      </c>
      <c r="CC456" s="6">
        <f t="shared" si="308"/>
        <v>0</v>
      </c>
      <c r="CD456" s="6">
        <f t="shared" si="309"/>
        <v>0</v>
      </c>
      <c r="CE456" s="6">
        <f t="shared" si="310"/>
        <v>0</v>
      </c>
      <c r="CF456" s="6">
        <f t="shared" si="311"/>
        <v>0</v>
      </c>
      <c r="CG456" s="6">
        <f t="shared" si="312"/>
        <v>0</v>
      </c>
      <c r="CH456" s="6">
        <f t="shared" si="296"/>
        <v>-109841.23000000001</v>
      </c>
    </row>
    <row r="457" spans="1:86" hidden="1" x14ac:dyDescent="0.35">
      <c r="A457" s="3" t="s">
        <v>116</v>
      </c>
      <c r="G457" s="10">
        <v>87300</v>
      </c>
      <c r="N457" s="27">
        <f t="shared" si="292"/>
        <v>87300</v>
      </c>
      <c r="AA457" s="27">
        <f t="shared" si="293"/>
        <v>0</v>
      </c>
      <c r="AB457" s="10">
        <f t="shared" si="294"/>
        <v>0</v>
      </c>
      <c r="AC457" s="10">
        <f t="shared" si="294"/>
        <v>0</v>
      </c>
      <c r="AD457" s="10">
        <f t="shared" si="294"/>
        <v>0</v>
      </c>
      <c r="AE457" s="10">
        <f t="shared" si="294"/>
        <v>0</v>
      </c>
      <c r="AF457" s="10">
        <f t="shared" si="294"/>
        <v>0</v>
      </c>
      <c r="AG457" s="10">
        <f t="shared" si="294"/>
        <v>87300</v>
      </c>
      <c r="AH457" s="10">
        <f t="shared" si="294"/>
        <v>0</v>
      </c>
      <c r="AI457" s="10">
        <f t="shared" si="294"/>
        <v>0</v>
      </c>
      <c r="AJ457" s="10">
        <f t="shared" si="294"/>
        <v>0</v>
      </c>
      <c r="AK457" s="10">
        <f t="shared" si="294"/>
        <v>0</v>
      </c>
      <c r="AL457" s="10">
        <f t="shared" si="294"/>
        <v>0</v>
      </c>
      <c r="AM457" s="10">
        <f t="shared" si="294"/>
        <v>0</v>
      </c>
      <c r="AN457" s="27">
        <f t="shared" si="294"/>
        <v>87300</v>
      </c>
      <c r="AO457" s="28">
        <v>29333.57</v>
      </c>
      <c r="AS457" t="str">
        <f>_xlfn.XLOOKUP(AU457,[2]GAE!HZ:HZ,[2]GAE!IA:IA)</f>
        <v>HUMAN RESOURCES</v>
      </c>
      <c r="AT457" t="str">
        <f>_xlfn.XLOOKUP(AU457,[2]GAE!HZ:HZ,[2]GAE!IB:IB)</f>
        <v>GAE - Employees' Welfare</v>
      </c>
      <c r="AU457" t="s">
        <v>832</v>
      </c>
      <c r="AV457">
        <v>80122101</v>
      </c>
      <c r="AW457">
        <v>61021403</v>
      </c>
      <c r="AX457" t="str">
        <f>_xlfn.XLOOKUP(AU457,[2]GAE!HZ:HZ,[2]GAE!IF:IF)</f>
        <v>Employee Benefits</v>
      </c>
      <c r="AY457" t="str">
        <f>_xlfn.XLOOKUP(AU457,[2]GAE!HZ:HZ,[2]GAE!IG:IG)</f>
        <v>Employee Programs/Perks</v>
      </c>
      <c r="BC457" t="s">
        <v>116</v>
      </c>
      <c r="BD457" t="s">
        <v>849</v>
      </c>
      <c r="BF457" t="s">
        <v>106</v>
      </c>
      <c r="BG457" t="s">
        <v>116</v>
      </c>
      <c r="BH457" s="10">
        <f>SUMIFS('[1]2026'!$K:$K,'[1]2026'!$T:$T,BD457,'[1]2026'!$S:$S,BH$3,'[1]2026'!$P:$P,AU457)</f>
        <v>0</v>
      </c>
      <c r="BI457" s="10">
        <f>SUMIFS('[1]2026'!$K:$K,'[1]2026'!$T:$T,$BD457,'[1]2026'!$S:$S,BI$3,'[1]2026'!$P:$P,$AU457)</f>
        <v>0</v>
      </c>
      <c r="BJ457" s="10">
        <f>SUMIFS('[1]2026'!$K:$K,'[1]2026'!$T:$T,$BD457,'[1]2026'!$S:$S,BJ$3,'[1]2026'!$P:$P,$AU457)</f>
        <v>0</v>
      </c>
      <c r="BK457" s="10">
        <f>SUMIFS('[1]2026'!$K:$K,'[1]2026'!$T:$T,$BD457,'[1]2026'!$S:$S,BK$3,'[1]2026'!$P:$P,$AU457)</f>
        <v>0</v>
      </c>
      <c r="BL457" s="10">
        <f>SUMIFS('[1]2026'!$K:$K,'[1]2026'!$T:$T,$BD457,'[1]2026'!$S:$S,BL$3,'[1]2026'!$P:$P,$AU457)</f>
        <v>0</v>
      </c>
      <c r="BM457" s="10">
        <f>SUMIFS('[1]2026'!$K:$K,'[1]2026'!$T:$T,$BD457,'[1]2026'!$S:$S,BM$3,'[1]2026'!$P:$P,$AU457)</f>
        <v>42180.89</v>
      </c>
      <c r="BN457" s="10">
        <f>SUMIFS('[1]2026'!$K:$K,'[1]2026'!$T:$T,$BD457,'[1]2026'!$S:$S,BN$3,'[1]2026'!$P:$P,$AU457)</f>
        <v>0</v>
      </c>
      <c r="BO457" s="10">
        <f>SUMIFS('[1]2026'!$K:$K,'[1]2026'!$T:$T,$BD457,'[1]2026'!$S:$S,BO$3,'[1]2026'!$P:$P,$AU457)</f>
        <v>0</v>
      </c>
      <c r="BP457" s="6"/>
      <c r="BQ457" s="6"/>
      <c r="BR457" s="6"/>
      <c r="BS457" s="6">
        <f t="shared" si="314"/>
        <v>0</v>
      </c>
      <c r="BT457" s="6">
        <f t="shared" si="283"/>
        <v>42180.89</v>
      </c>
      <c r="BV457" s="6">
        <f t="shared" si="301"/>
        <v>0</v>
      </c>
      <c r="BW457" s="6">
        <f t="shared" si="302"/>
        <v>0</v>
      </c>
      <c r="BX457" s="6">
        <f t="shared" si="303"/>
        <v>0</v>
      </c>
      <c r="BY457" s="6">
        <f t="shared" si="304"/>
        <v>0</v>
      </c>
      <c r="BZ457" s="6">
        <f t="shared" si="305"/>
        <v>0</v>
      </c>
      <c r="CA457" s="6">
        <f t="shared" si="306"/>
        <v>-45119.11</v>
      </c>
      <c r="CB457" s="6">
        <f t="shared" si="307"/>
        <v>0</v>
      </c>
      <c r="CC457" s="6">
        <f t="shared" si="308"/>
        <v>0</v>
      </c>
      <c r="CD457" s="6">
        <f t="shared" si="309"/>
        <v>0</v>
      </c>
      <c r="CE457" s="6">
        <f t="shared" si="310"/>
        <v>0</v>
      </c>
      <c r="CF457" s="6">
        <f t="shared" si="311"/>
        <v>0</v>
      </c>
      <c r="CG457" s="6">
        <f t="shared" si="312"/>
        <v>0</v>
      </c>
      <c r="CH457" s="6">
        <f t="shared" si="296"/>
        <v>-45119.11</v>
      </c>
    </row>
    <row r="458" spans="1:86" hidden="1" x14ac:dyDescent="0.35">
      <c r="A458" s="3" t="s">
        <v>116</v>
      </c>
      <c r="G458" s="10">
        <v>119700</v>
      </c>
      <c r="N458" s="27">
        <f t="shared" si="292"/>
        <v>119700</v>
      </c>
      <c r="AA458" s="27">
        <f t="shared" si="293"/>
        <v>0</v>
      </c>
      <c r="AB458" s="10">
        <f t="shared" si="294"/>
        <v>0</v>
      </c>
      <c r="AC458" s="10">
        <f t="shared" si="294"/>
        <v>0</v>
      </c>
      <c r="AD458" s="10">
        <f t="shared" si="294"/>
        <v>0</v>
      </c>
      <c r="AE458" s="10">
        <f t="shared" si="294"/>
        <v>0</v>
      </c>
      <c r="AF458" s="10">
        <f t="shared" si="294"/>
        <v>0</v>
      </c>
      <c r="AG458" s="10">
        <f t="shared" si="294"/>
        <v>119700</v>
      </c>
      <c r="AH458" s="10">
        <f t="shared" si="294"/>
        <v>0</v>
      </c>
      <c r="AI458" s="10">
        <f t="shared" ref="AI458:AN499" si="315">I458-V458</f>
        <v>0</v>
      </c>
      <c r="AJ458" s="10">
        <f t="shared" si="315"/>
        <v>0</v>
      </c>
      <c r="AK458" s="10">
        <f t="shared" si="315"/>
        <v>0</v>
      </c>
      <c r="AL458" s="10">
        <f t="shared" si="315"/>
        <v>0</v>
      </c>
      <c r="AM458" s="10">
        <f t="shared" si="315"/>
        <v>0</v>
      </c>
      <c r="AN458" s="27">
        <f t="shared" si="315"/>
        <v>119700</v>
      </c>
      <c r="AO458" s="28">
        <v>43791.43</v>
      </c>
      <c r="AS458" t="str">
        <f>_xlfn.XLOOKUP(AU458,[2]GAE!HZ:HZ,[2]GAE!IA:IA)</f>
        <v>HUMAN RESOURCES</v>
      </c>
      <c r="AT458" t="str">
        <f>_xlfn.XLOOKUP(AU458,[2]GAE!HZ:HZ,[2]GAE!IB:IB)</f>
        <v>DOE - Employees' Welfare</v>
      </c>
      <c r="AU458" t="s">
        <v>809</v>
      </c>
      <c r="AV458">
        <v>81122101</v>
      </c>
      <c r="AW458">
        <v>52121402</v>
      </c>
      <c r="AX458" t="str">
        <f>_xlfn.XLOOKUP(AU458,[2]GAE!HZ:HZ,[2]GAE!IF:IF)</f>
        <v>Employee Benefits</v>
      </c>
      <c r="AY458" t="str">
        <f>_xlfn.XLOOKUP(AU458,[2]GAE!HZ:HZ,[2]GAE!IG:IG)</f>
        <v>Employee Programs/Perks</v>
      </c>
      <c r="BD458" t="s">
        <v>849</v>
      </c>
      <c r="BF458" t="s">
        <v>106</v>
      </c>
      <c r="BG458" t="s">
        <v>116</v>
      </c>
      <c r="BH458" s="10">
        <f>SUMIFS('[1]2026'!$K:$K,'[1]2026'!$T:$T,BD458,'[1]2026'!$S:$S,BH$3,'[1]2026'!$P:$P,AU458)</f>
        <v>0</v>
      </c>
      <c r="BI458" s="10">
        <f>SUMIFS('[1]2026'!$K:$K,'[1]2026'!$T:$T,$BD458,'[1]2026'!$S:$S,BI$3,'[1]2026'!$P:$P,$AU458)</f>
        <v>0</v>
      </c>
      <c r="BJ458" s="10">
        <f>SUMIFS('[1]2026'!$K:$K,'[1]2026'!$T:$T,$BD458,'[1]2026'!$S:$S,BJ$3,'[1]2026'!$P:$P,$AU458)</f>
        <v>0</v>
      </c>
      <c r="BK458" s="10">
        <f>SUMIFS('[1]2026'!$K:$K,'[1]2026'!$T:$T,$BD458,'[1]2026'!$S:$S,BK$3,'[1]2026'!$P:$P,$AU458)</f>
        <v>0</v>
      </c>
      <c r="BL458" s="10">
        <f>SUMIFS('[1]2026'!$K:$K,'[1]2026'!$T:$T,$BD458,'[1]2026'!$S:$S,BL$3,'[1]2026'!$P:$P,$AU458)</f>
        <v>0</v>
      </c>
      <c r="BM458" s="10">
        <f>SUMIFS('[1]2026'!$K:$K,'[1]2026'!$T:$T,$BD458,'[1]2026'!$S:$S,BM$3,'[1]2026'!$P:$P,$AU458)</f>
        <v>0</v>
      </c>
      <c r="BN458" s="10">
        <f>SUMIFS('[1]2026'!$K:$K,'[1]2026'!$T:$T,$BD458,'[1]2026'!$S:$S,BN$3,'[1]2026'!$P:$P,$AU458)</f>
        <v>0</v>
      </c>
      <c r="BO458" s="10">
        <f>SUMIFS('[1]2026'!$K:$K,'[1]2026'!$T:$T,$BD458,'[1]2026'!$S:$S,BO$3,'[1]2026'!$P:$P,$AU458)</f>
        <v>36317.5</v>
      </c>
      <c r="BP458" s="6"/>
      <c r="BQ458" s="6"/>
      <c r="BR458" s="6"/>
      <c r="BS458" s="6">
        <f t="shared" si="314"/>
        <v>0</v>
      </c>
      <c r="BT458" s="6">
        <f t="shared" si="283"/>
        <v>36317.5</v>
      </c>
      <c r="BV458" s="6">
        <f t="shared" si="301"/>
        <v>0</v>
      </c>
      <c r="BW458" s="6">
        <f t="shared" si="302"/>
        <v>0</v>
      </c>
      <c r="BX458" s="6">
        <f t="shared" si="303"/>
        <v>0</v>
      </c>
      <c r="BY458" s="6">
        <f t="shared" si="304"/>
        <v>0</v>
      </c>
      <c r="BZ458" s="6">
        <f t="shared" si="305"/>
        <v>0</v>
      </c>
      <c r="CA458" s="6">
        <f t="shared" si="306"/>
        <v>-119700</v>
      </c>
      <c r="CB458" s="6">
        <f t="shared" si="307"/>
        <v>0</v>
      </c>
      <c r="CC458" s="6">
        <f t="shared" si="308"/>
        <v>36317.5</v>
      </c>
      <c r="CD458" s="6">
        <f t="shared" si="309"/>
        <v>0</v>
      </c>
      <c r="CE458" s="6">
        <f t="shared" si="310"/>
        <v>0</v>
      </c>
      <c r="CF458" s="6">
        <f t="shared" si="311"/>
        <v>0</v>
      </c>
      <c r="CG458" s="6">
        <f t="shared" si="312"/>
        <v>0</v>
      </c>
      <c r="CH458" s="6">
        <f t="shared" si="296"/>
        <v>-83382.5</v>
      </c>
    </row>
    <row r="459" spans="1:86" hidden="1" x14ac:dyDescent="0.35">
      <c r="A459" s="3" t="s">
        <v>850</v>
      </c>
      <c r="B459" s="10">
        <v>3000</v>
      </c>
      <c r="C459" s="10">
        <v>3000</v>
      </c>
      <c r="D459" s="10">
        <v>3000</v>
      </c>
      <c r="E459" s="10">
        <v>3000</v>
      </c>
      <c r="F459" s="10">
        <v>3000</v>
      </c>
      <c r="G459" s="10">
        <v>3000</v>
      </c>
      <c r="H459" s="10">
        <v>3000</v>
      </c>
      <c r="I459" s="10">
        <v>3000</v>
      </c>
      <c r="J459" s="10">
        <v>3000</v>
      </c>
      <c r="K459" s="10">
        <v>3000</v>
      </c>
      <c r="L459" s="10">
        <v>3000</v>
      </c>
      <c r="M459" s="10">
        <v>3000</v>
      </c>
      <c r="N459" s="27">
        <f t="shared" si="292"/>
        <v>36000</v>
      </c>
      <c r="AA459" s="27">
        <f t="shared" si="293"/>
        <v>0</v>
      </c>
      <c r="AB459" s="10">
        <f t="shared" ref="AB459:AN500" si="316">B459-O459</f>
        <v>3000</v>
      </c>
      <c r="AC459" s="10">
        <f t="shared" si="316"/>
        <v>3000</v>
      </c>
      <c r="AD459" s="10">
        <f t="shared" si="316"/>
        <v>3000</v>
      </c>
      <c r="AE459" s="10">
        <f t="shared" si="316"/>
        <v>3000</v>
      </c>
      <c r="AF459" s="10">
        <f t="shared" si="316"/>
        <v>3000</v>
      </c>
      <c r="AG459" s="10">
        <f t="shared" si="316"/>
        <v>3000</v>
      </c>
      <c r="AH459" s="10">
        <f t="shared" si="316"/>
        <v>3000</v>
      </c>
      <c r="AI459" s="10">
        <f t="shared" si="315"/>
        <v>3000</v>
      </c>
      <c r="AJ459" s="10">
        <f t="shared" si="315"/>
        <v>3000</v>
      </c>
      <c r="AK459" s="10">
        <f t="shared" si="315"/>
        <v>3000</v>
      </c>
      <c r="AL459" s="10">
        <f t="shared" si="315"/>
        <v>3000</v>
      </c>
      <c r="AM459" s="10">
        <f t="shared" si="315"/>
        <v>3000</v>
      </c>
      <c r="AN459" s="27">
        <f t="shared" si="315"/>
        <v>36000</v>
      </c>
      <c r="AO459" s="28">
        <v>0</v>
      </c>
      <c r="AS459" t="str">
        <f>_xlfn.XLOOKUP(AU459,[2]GAE!HZ:HZ,[2]GAE!IA:IA)</f>
        <v>HUMAN RESOURCES</v>
      </c>
      <c r="AT459" t="str">
        <f>_xlfn.XLOOKUP(AU459,[2]GAE!HZ:HZ,[2]GAE!IB:IB)</f>
        <v>DOE - Employees' Welfare</v>
      </c>
      <c r="AU459" t="s">
        <v>809</v>
      </c>
      <c r="AV459">
        <v>81122101</v>
      </c>
      <c r="AW459">
        <v>52121402</v>
      </c>
      <c r="AX459" t="str">
        <f>_xlfn.XLOOKUP(AU459,[2]GAE!HZ:HZ,[2]GAE!IF:IF)</f>
        <v>Employee Benefits</v>
      </c>
      <c r="AY459" t="str">
        <f>_xlfn.XLOOKUP(AU459,[2]GAE!HZ:HZ,[2]GAE!IG:IG)</f>
        <v>Employee Programs/Perks</v>
      </c>
      <c r="BF459" t="s">
        <v>106</v>
      </c>
      <c r="BG459" t="s">
        <v>850</v>
      </c>
      <c r="BH459" s="10">
        <f>SUMIFS('[1]2026'!$K:$K,'[1]2026'!$T:$T,BD459,'[1]2026'!$S:$S,BH$3,'[1]2026'!$P:$P,AU459)</f>
        <v>0</v>
      </c>
      <c r="BI459" s="10">
        <f>SUMIFS('[1]2026'!$K:$K,'[1]2026'!$T:$T,$BD459,'[1]2026'!$S:$S,BI$3,'[1]2026'!$P:$P,$AU459)</f>
        <v>0</v>
      </c>
      <c r="BJ459" s="10">
        <f>SUMIFS('[1]2026'!$K:$K,'[1]2026'!$T:$T,$BD459,'[1]2026'!$S:$S,BJ$3,'[1]2026'!$P:$P,$AU459)</f>
        <v>0</v>
      </c>
      <c r="BK459" s="10">
        <f>SUMIFS('[1]2026'!$K:$K,'[1]2026'!$T:$T,$BD459,'[1]2026'!$S:$S,BK$3,'[1]2026'!$P:$P,$AU459)</f>
        <v>0</v>
      </c>
      <c r="BL459" s="10">
        <f>SUMIFS('[1]2026'!$K:$K,'[1]2026'!$T:$T,$BD459,'[1]2026'!$S:$S,BL$3,'[1]2026'!$P:$P,$AU459)</f>
        <v>0</v>
      </c>
      <c r="BM459" s="10">
        <f>SUMIFS('[1]2026'!$K:$K,'[1]2026'!$T:$T,$BD459,'[1]2026'!$S:$S,BM$3,'[1]2026'!$P:$P,$AU459)</f>
        <v>0</v>
      </c>
      <c r="BN459" s="10">
        <f>SUMIFS('[1]2026'!$K:$K,'[1]2026'!$T:$T,$BD459,'[1]2026'!$S:$S,BN$3,'[1]2026'!$P:$P,$AU459)</f>
        <v>0</v>
      </c>
      <c r="BO459" s="10">
        <f>SUMIFS('[1]2026'!$K:$K,'[1]2026'!$T:$T,$BD459,'[1]2026'!$S:$S,BO$3,'[1]2026'!$P:$P,$AU459)</f>
        <v>0</v>
      </c>
      <c r="BP459" s="6">
        <f t="shared" ref="BP459:BS464" si="317">BO459</f>
        <v>0</v>
      </c>
      <c r="BQ459" s="6">
        <f t="shared" si="317"/>
        <v>0</v>
      </c>
      <c r="BR459" s="6">
        <f t="shared" si="317"/>
        <v>0</v>
      </c>
      <c r="BS459" s="6">
        <f t="shared" si="314"/>
        <v>0</v>
      </c>
      <c r="BT459" s="6">
        <f t="shared" si="283"/>
        <v>0</v>
      </c>
      <c r="BV459" s="6">
        <f t="shared" si="301"/>
        <v>-3000</v>
      </c>
      <c r="BW459" s="6">
        <f t="shared" si="302"/>
        <v>-3000</v>
      </c>
      <c r="BX459" s="6">
        <f t="shared" si="303"/>
        <v>-3000</v>
      </c>
      <c r="BY459" s="6">
        <f t="shared" si="304"/>
        <v>-3000</v>
      </c>
      <c r="BZ459" s="6">
        <f t="shared" si="305"/>
        <v>-3000</v>
      </c>
      <c r="CA459" s="6">
        <f t="shared" si="306"/>
        <v>-3000</v>
      </c>
      <c r="CB459" s="6">
        <f t="shared" si="307"/>
        <v>-3000</v>
      </c>
      <c r="CC459" s="6">
        <f t="shared" si="308"/>
        <v>-3000</v>
      </c>
      <c r="CD459" s="6">
        <f t="shared" si="309"/>
        <v>-3000</v>
      </c>
      <c r="CE459" s="6">
        <f t="shared" si="310"/>
        <v>-3000</v>
      </c>
      <c r="CF459" s="6">
        <f t="shared" si="311"/>
        <v>-3000</v>
      </c>
      <c r="CG459" s="6">
        <f t="shared" si="312"/>
        <v>-3000</v>
      </c>
      <c r="CH459" s="6">
        <f t="shared" si="296"/>
        <v>-36000</v>
      </c>
    </row>
    <row r="460" spans="1:86" hidden="1" x14ac:dyDescent="0.35">
      <c r="A460" s="3" t="s">
        <v>851</v>
      </c>
      <c r="D460" s="10">
        <v>30000</v>
      </c>
      <c r="G460" s="10">
        <v>30000</v>
      </c>
      <c r="N460" s="27">
        <f t="shared" si="292"/>
        <v>60000</v>
      </c>
      <c r="AA460" s="27">
        <f t="shared" si="293"/>
        <v>0</v>
      </c>
      <c r="AB460" s="10">
        <f t="shared" si="316"/>
        <v>0</v>
      </c>
      <c r="AC460" s="10">
        <f t="shared" si="316"/>
        <v>0</v>
      </c>
      <c r="AD460" s="10">
        <f t="shared" si="316"/>
        <v>30000</v>
      </c>
      <c r="AE460" s="10">
        <f t="shared" si="316"/>
        <v>0</v>
      </c>
      <c r="AF460" s="10">
        <f t="shared" si="316"/>
        <v>0</v>
      </c>
      <c r="AG460" s="10">
        <f t="shared" si="316"/>
        <v>30000</v>
      </c>
      <c r="AH460" s="10">
        <f t="shared" si="316"/>
        <v>0</v>
      </c>
      <c r="AI460" s="10">
        <f t="shared" si="315"/>
        <v>0</v>
      </c>
      <c r="AJ460" s="10">
        <f t="shared" si="315"/>
        <v>0</v>
      </c>
      <c r="AK460" s="10">
        <f t="shared" si="315"/>
        <v>0</v>
      </c>
      <c r="AL460" s="10">
        <f t="shared" si="315"/>
        <v>0</v>
      </c>
      <c r="AM460" s="10">
        <f t="shared" si="315"/>
        <v>0</v>
      </c>
      <c r="AN460" s="27">
        <f t="shared" si="315"/>
        <v>60000</v>
      </c>
      <c r="AO460" s="28">
        <v>24838.959999999999</v>
      </c>
      <c r="AS460" t="str">
        <f>_xlfn.XLOOKUP(AU460,[2]GAE!HZ:HZ,[2]GAE!IA:IA)</f>
        <v>HUMAN RESOURCES</v>
      </c>
      <c r="AT460" t="str">
        <f>_xlfn.XLOOKUP(AU460,[2]GAE!HZ:HZ,[2]GAE!IB:IB)</f>
        <v>DOE - Employees' Welfare</v>
      </c>
      <c r="AU460" t="s">
        <v>809</v>
      </c>
      <c r="AV460">
        <v>81122101</v>
      </c>
      <c r="AW460">
        <v>52121402</v>
      </c>
      <c r="AX460" t="str">
        <f>_xlfn.XLOOKUP(AU460,[2]GAE!HZ:HZ,[2]GAE!IF:IF)</f>
        <v>Employee Benefits</v>
      </c>
      <c r="AY460" t="str">
        <f>_xlfn.XLOOKUP(AU460,[2]GAE!HZ:HZ,[2]GAE!IG:IG)</f>
        <v>Employee Programs/Perks</v>
      </c>
      <c r="BF460" t="s">
        <v>106</v>
      </c>
      <c r="BG460" s="3" t="s">
        <v>851</v>
      </c>
      <c r="BH460" s="10">
        <f>SUMIFS('[1]2026'!$K:$K,'[1]2026'!$T:$T,BD460,'[1]2026'!$S:$S,BH$3,'[1]2026'!$P:$P,AU460)</f>
        <v>0</v>
      </c>
      <c r="BI460" s="10">
        <f>SUMIFS('[1]2026'!$K:$K,'[1]2026'!$T:$T,$BD460,'[1]2026'!$S:$S,BI$3,'[1]2026'!$P:$P,$AU460)</f>
        <v>0</v>
      </c>
      <c r="BJ460" s="10">
        <f>SUMIFS('[1]2026'!$K:$K,'[1]2026'!$T:$T,$BD460,'[1]2026'!$S:$S,BJ$3,'[1]2026'!$P:$P,$AU460)</f>
        <v>0</v>
      </c>
      <c r="BK460" s="10">
        <f>SUMIFS('[1]2026'!$K:$K,'[1]2026'!$T:$T,$BD460,'[1]2026'!$S:$S,BK$3,'[1]2026'!$P:$P,$AU460)</f>
        <v>0</v>
      </c>
      <c r="BL460" s="10">
        <f>SUMIFS('[1]2026'!$K:$K,'[1]2026'!$T:$T,$BD460,'[1]2026'!$S:$S,BL$3,'[1]2026'!$P:$P,$AU460)</f>
        <v>0</v>
      </c>
      <c r="BM460" s="10">
        <f>SUMIFS('[1]2026'!$K:$K,'[1]2026'!$T:$T,$BD460,'[1]2026'!$S:$S,BM$3,'[1]2026'!$P:$P,$AU460)</f>
        <v>0</v>
      </c>
      <c r="BN460" s="10">
        <f>SUMIFS('[1]2026'!$K:$K,'[1]2026'!$T:$T,$BD460,'[1]2026'!$S:$S,BN$3,'[1]2026'!$P:$P,$AU460)</f>
        <v>0</v>
      </c>
      <c r="BO460" s="10">
        <f>SUMIFS('[1]2026'!$K:$K,'[1]2026'!$T:$T,$BD460,'[1]2026'!$S:$S,BO$3,'[1]2026'!$P:$P,$AU460)</f>
        <v>0</v>
      </c>
      <c r="BP460" s="6">
        <f t="shared" si="317"/>
        <v>0</v>
      </c>
      <c r="BQ460" s="6">
        <v>60000</v>
      </c>
      <c r="BR460" s="6"/>
      <c r="BS460" s="6"/>
      <c r="BT460" s="6">
        <f t="shared" si="283"/>
        <v>60000</v>
      </c>
      <c r="BV460" s="6">
        <f t="shared" si="301"/>
        <v>0</v>
      </c>
      <c r="BW460" s="6">
        <f t="shared" si="302"/>
        <v>0</v>
      </c>
      <c r="BX460" s="6">
        <f t="shared" si="303"/>
        <v>-30000</v>
      </c>
      <c r="BY460" s="6">
        <f t="shared" si="304"/>
        <v>0</v>
      </c>
      <c r="BZ460" s="6">
        <f t="shared" si="305"/>
        <v>0</v>
      </c>
      <c r="CA460" s="6">
        <f t="shared" si="306"/>
        <v>-30000</v>
      </c>
      <c r="CB460" s="6">
        <f t="shared" si="307"/>
        <v>0</v>
      </c>
      <c r="CC460" s="6">
        <f t="shared" si="308"/>
        <v>0</v>
      </c>
      <c r="CD460" s="6">
        <f t="shared" si="309"/>
        <v>0</v>
      </c>
      <c r="CE460" s="6">
        <f t="shared" si="310"/>
        <v>60000</v>
      </c>
      <c r="CF460" s="6">
        <f t="shared" si="311"/>
        <v>0</v>
      </c>
      <c r="CG460" s="6">
        <f t="shared" si="312"/>
        <v>0</v>
      </c>
      <c r="CH460" s="6">
        <f t="shared" si="296"/>
        <v>0</v>
      </c>
    </row>
    <row r="461" spans="1:86" hidden="1" x14ac:dyDescent="0.35">
      <c r="A461" s="3" t="s">
        <v>852</v>
      </c>
      <c r="F461" s="10">
        <v>25000</v>
      </c>
      <c r="H461" s="10">
        <v>25000</v>
      </c>
      <c r="N461" s="27">
        <f t="shared" si="292"/>
        <v>50000</v>
      </c>
      <c r="AA461" s="27">
        <f t="shared" si="293"/>
        <v>0</v>
      </c>
      <c r="AB461" s="10">
        <f t="shared" si="316"/>
        <v>0</v>
      </c>
      <c r="AC461" s="10">
        <f t="shared" si="316"/>
        <v>0</v>
      </c>
      <c r="AD461" s="10">
        <f t="shared" si="316"/>
        <v>0</v>
      </c>
      <c r="AE461" s="10">
        <f t="shared" si="316"/>
        <v>0</v>
      </c>
      <c r="AF461" s="10">
        <f t="shared" si="316"/>
        <v>25000</v>
      </c>
      <c r="AG461" s="10">
        <f t="shared" si="316"/>
        <v>0</v>
      </c>
      <c r="AH461" s="10">
        <f t="shared" si="316"/>
        <v>25000</v>
      </c>
      <c r="AI461" s="10">
        <f t="shared" si="315"/>
        <v>0</v>
      </c>
      <c r="AJ461" s="10">
        <f t="shared" si="315"/>
        <v>0</v>
      </c>
      <c r="AK461" s="10">
        <f t="shared" si="315"/>
        <v>0</v>
      </c>
      <c r="AL461" s="10">
        <f t="shared" si="315"/>
        <v>0</v>
      </c>
      <c r="AM461" s="10">
        <f t="shared" si="315"/>
        <v>0</v>
      </c>
      <c r="AN461" s="27">
        <f t="shared" si="315"/>
        <v>50000</v>
      </c>
      <c r="AO461" s="28">
        <v>0</v>
      </c>
      <c r="AR461" t="s">
        <v>753</v>
      </c>
      <c r="AS461" t="str">
        <f>_xlfn.XLOOKUP(AU461,[2]GAE!HZ:HZ,[2]GAE!IA:IA)</f>
        <v>HUMAN RESOURCES</v>
      </c>
      <c r="AT461" t="str">
        <f>_xlfn.XLOOKUP(AU461,[2]GAE!HZ:HZ,[2]GAE!IB:IB)</f>
        <v>DOE - Employees' Welfare</v>
      </c>
      <c r="AU461" t="s">
        <v>831</v>
      </c>
      <c r="AV461">
        <v>90122101</v>
      </c>
      <c r="AW461">
        <v>52121402</v>
      </c>
      <c r="AX461" t="str">
        <f>_xlfn.XLOOKUP(AU461,[2]GAE!HZ:HZ,[2]GAE!IF:IF)</f>
        <v>Employee Benefits</v>
      </c>
      <c r="AY461" t="str">
        <f>_xlfn.XLOOKUP(AU461,[2]GAE!HZ:HZ,[2]GAE!IG:IG)</f>
        <v>Employee Programs/Perks</v>
      </c>
      <c r="BF461" t="s">
        <v>106</v>
      </c>
      <c r="BG461" s="3" t="s">
        <v>852</v>
      </c>
      <c r="BH461" s="10">
        <f>SUMIFS('[1]2026'!$K:$K,'[1]2026'!$T:$T,BD461,'[1]2026'!$S:$S,BH$3,'[1]2026'!$P:$P,AU461)</f>
        <v>0</v>
      </c>
      <c r="BI461" s="10">
        <f>SUMIFS('[1]2026'!$K:$K,'[1]2026'!$T:$T,$BD461,'[1]2026'!$S:$S,BI$3,'[1]2026'!$P:$P,$AU461)</f>
        <v>0</v>
      </c>
      <c r="BJ461" s="10">
        <f>SUMIFS('[1]2026'!$K:$K,'[1]2026'!$T:$T,$BD461,'[1]2026'!$S:$S,BJ$3,'[1]2026'!$P:$P,$AU461)</f>
        <v>0</v>
      </c>
      <c r="BK461" s="10">
        <f>SUMIFS('[1]2026'!$K:$K,'[1]2026'!$T:$T,$BD461,'[1]2026'!$S:$S,BK$3,'[1]2026'!$P:$P,$AU461)</f>
        <v>0</v>
      </c>
      <c r="BL461" s="10">
        <f>SUMIFS('[1]2026'!$K:$K,'[1]2026'!$T:$T,$BD461,'[1]2026'!$S:$S,BL$3,'[1]2026'!$P:$P,$AU461)</f>
        <v>0</v>
      </c>
      <c r="BM461" s="10">
        <f>SUMIFS('[1]2026'!$K:$K,'[1]2026'!$T:$T,$BD461,'[1]2026'!$S:$S,BM$3,'[1]2026'!$P:$P,$AU461)</f>
        <v>0</v>
      </c>
      <c r="BN461" s="10">
        <f>SUMIFS('[1]2026'!$K:$K,'[1]2026'!$T:$T,$BD461,'[1]2026'!$S:$S,BN$3,'[1]2026'!$P:$P,$AU461)</f>
        <v>0</v>
      </c>
      <c r="BO461" s="10">
        <f>SUMIFS('[1]2026'!$K:$K,'[1]2026'!$T:$T,$BD461,'[1]2026'!$S:$S,BO$3,'[1]2026'!$P:$P,$AU461)</f>
        <v>0</v>
      </c>
      <c r="BP461" s="6">
        <f t="shared" si="317"/>
        <v>0</v>
      </c>
      <c r="BQ461" s="6">
        <f t="shared" si="317"/>
        <v>0</v>
      </c>
      <c r="BR461" s="6">
        <f t="shared" si="317"/>
        <v>0</v>
      </c>
      <c r="BS461" s="6">
        <f t="shared" si="317"/>
        <v>0</v>
      </c>
      <c r="BT461" s="6">
        <f t="shared" si="283"/>
        <v>0</v>
      </c>
      <c r="BV461" s="6">
        <f t="shared" si="301"/>
        <v>0</v>
      </c>
      <c r="BW461" s="6">
        <f t="shared" si="302"/>
        <v>0</v>
      </c>
      <c r="BX461" s="6">
        <f t="shared" si="303"/>
        <v>0</v>
      </c>
      <c r="BY461" s="6">
        <f t="shared" si="304"/>
        <v>0</v>
      </c>
      <c r="BZ461" s="6">
        <f t="shared" si="305"/>
        <v>-25000</v>
      </c>
      <c r="CA461" s="6">
        <f t="shared" si="306"/>
        <v>0</v>
      </c>
      <c r="CB461" s="6">
        <f t="shared" si="307"/>
        <v>-25000</v>
      </c>
      <c r="CC461" s="6">
        <f t="shared" si="308"/>
        <v>0</v>
      </c>
      <c r="CD461" s="6">
        <f t="shared" si="309"/>
        <v>0</v>
      </c>
      <c r="CE461" s="6">
        <f t="shared" si="310"/>
        <v>0</v>
      </c>
      <c r="CF461" s="6">
        <f t="shared" si="311"/>
        <v>0</v>
      </c>
      <c r="CG461" s="6">
        <f t="shared" si="312"/>
        <v>0</v>
      </c>
      <c r="CH461" s="6">
        <f t="shared" si="296"/>
        <v>-50000</v>
      </c>
    </row>
    <row r="462" spans="1:86" hidden="1" x14ac:dyDescent="0.35">
      <c r="A462" s="3" t="s">
        <v>852</v>
      </c>
      <c r="F462" s="10">
        <v>25000</v>
      </c>
      <c r="H462" s="10">
        <v>25000</v>
      </c>
      <c r="N462" s="27">
        <f t="shared" si="292"/>
        <v>50000</v>
      </c>
      <c r="AA462" s="27">
        <f t="shared" si="293"/>
        <v>0</v>
      </c>
      <c r="AB462" s="10">
        <f t="shared" si="316"/>
        <v>0</v>
      </c>
      <c r="AC462" s="10">
        <f t="shared" si="316"/>
        <v>0</v>
      </c>
      <c r="AD462" s="10">
        <f t="shared" si="316"/>
        <v>0</v>
      </c>
      <c r="AE462" s="10">
        <f t="shared" si="316"/>
        <v>0</v>
      </c>
      <c r="AF462" s="10">
        <f t="shared" si="316"/>
        <v>25000</v>
      </c>
      <c r="AG462" s="10">
        <f t="shared" si="316"/>
        <v>0</v>
      </c>
      <c r="AH462" s="10">
        <f t="shared" si="316"/>
        <v>25000</v>
      </c>
      <c r="AI462" s="10">
        <f t="shared" si="315"/>
        <v>0</v>
      </c>
      <c r="AJ462" s="10">
        <f t="shared" si="315"/>
        <v>0</v>
      </c>
      <c r="AK462" s="10">
        <f t="shared" si="315"/>
        <v>0</v>
      </c>
      <c r="AL462" s="10">
        <f t="shared" si="315"/>
        <v>0</v>
      </c>
      <c r="AM462" s="10">
        <f t="shared" si="315"/>
        <v>0</v>
      </c>
      <c r="AN462" s="27">
        <f t="shared" si="315"/>
        <v>50000</v>
      </c>
      <c r="AO462" s="28">
        <v>0</v>
      </c>
      <c r="AR462" t="s">
        <v>753</v>
      </c>
      <c r="AS462" t="str">
        <f>_xlfn.XLOOKUP(AU462,[2]GAE!HZ:HZ,[2]GAE!IA:IA)</f>
        <v>HUMAN RESOURCES</v>
      </c>
      <c r="AT462" t="str">
        <f>_xlfn.XLOOKUP(AU462,[2]GAE!HZ:HZ,[2]GAE!IB:IB)</f>
        <v>GAE - Employees' Welfare</v>
      </c>
      <c r="AU462" t="s">
        <v>832</v>
      </c>
      <c r="AV462">
        <v>80122101</v>
      </c>
      <c r="AW462">
        <v>61021403</v>
      </c>
      <c r="AX462" t="str">
        <f>_xlfn.XLOOKUP(AU462,[2]GAE!HZ:HZ,[2]GAE!IF:IF)</f>
        <v>Employee Benefits</v>
      </c>
      <c r="AY462" t="str">
        <f>_xlfn.XLOOKUP(AU462,[2]GAE!HZ:HZ,[2]GAE!IG:IG)</f>
        <v>Employee Programs/Perks</v>
      </c>
      <c r="BF462" t="s">
        <v>106</v>
      </c>
      <c r="BG462" s="3" t="s">
        <v>852</v>
      </c>
      <c r="BH462" s="10">
        <f>SUMIFS('[1]2026'!$K:$K,'[1]2026'!$T:$T,BD462,'[1]2026'!$S:$S,BH$3,'[1]2026'!$P:$P,AU462)</f>
        <v>0</v>
      </c>
      <c r="BI462" s="10">
        <f>SUMIFS('[1]2026'!$K:$K,'[1]2026'!$T:$T,$BD462,'[1]2026'!$S:$S,BI$3,'[1]2026'!$P:$P,$AU462)</f>
        <v>0</v>
      </c>
      <c r="BJ462" s="10">
        <f>SUMIFS('[1]2026'!$K:$K,'[1]2026'!$T:$T,$BD462,'[1]2026'!$S:$S,BJ$3,'[1]2026'!$P:$P,$AU462)</f>
        <v>0</v>
      </c>
      <c r="BK462" s="10">
        <f>SUMIFS('[1]2026'!$K:$K,'[1]2026'!$T:$T,$BD462,'[1]2026'!$S:$S,BK$3,'[1]2026'!$P:$P,$AU462)</f>
        <v>0</v>
      </c>
      <c r="BL462" s="10">
        <f>SUMIFS('[1]2026'!$K:$K,'[1]2026'!$T:$T,$BD462,'[1]2026'!$S:$S,BL$3,'[1]2026'!$P:$P,$AU462)</f>
        <v>0</v>
      </c>
      <c r="BM462" s="10">
        <f>SUMIFS('[1]2026'!$K:$K,'[1]2026'!$T:$T,$BD462,'[1]2026'!$S:$S,BM$3,'[1]2026'!$P:$P,$AU462)</f>
        <v>0</v>
      </c>
      <c r="BN462" s="10">
        <f>SUMIFS('[1]2026'!$K:$K,'[1]2026'!$T:$T,$BD462,'[1]2026'!$S:$S,BN$3,'[1]2026'!$P:$P,$AU462)</f>
        <v>0</v>
      </c>
      <c r="BO462" s="10">
        <f>SUMIFS('[1]2026'!$K:$K,'[1]2026'!$T:$T,$BD462,'[1]2026'!$S:$S,BO$3,'[1]2026'!$P:$P,$AU462)</f>
        <v>0</v>
      </c>
      <c r="BP462" s="6">
        <f t="shared" si="317"/>
        <v>0</v>
      </c>
      <c r="BQ462" s="6">
        <f t="shared" si="317"/>
        <v>0</v>
      </c>
      <c r="BR462" s="6">
        <f t="shared" si="317"/>
        <v>0</v>
      </c>
      <c r="BS462" s="6">
        <f t="shared" si="317"/>
        <v>0</v>
      </c>
      <c r="BT462" s="6">
        <f t="shared" si="283"/>
        <v>0</v>
      </c>
      <c r="BV462" s="6">
        <f t="shared" si="301"/>
        <v>0</v>
      </c>
      <c r="BW462" s="6">
        <f t="shared" si="302"/>
        <v>0</v>
      </c>
      <c r="BX462" s="6">
        <f t="shared" si="303"/>
        <v>0</v>
      </c>
      <c r="BY462" s="6">
        <f t="shared" si="304"/>
        <v>0</v>
      </c>
      <c r="BZ462" s="6">
        <f t="shared" si="305"/>
        <v>-25000</v>
      </c>
      <c r="CA462" s="6">
        <f t="shared" si="306"/>
        <v>0</v>
      </c>
      <c r="CB462" s="6">
        <f t="shared" si="307"/>
        <v>-25000</v>
      </c>
      <c r="CC462" s="6">
        <f t="shared" si="308"/>
        <v>0</v>
      </c>
      <c r="CD462" s="6">
        <f t="shared" si="309"/>
        <v>0</v>
      </c>
      <c r="CE462" s="6">
        <f t="shared" si="310"/>
        <v>0</v>
      </c>
      <c r="CF462" s="6">
        <f t="shared" si="311"/>
        <v>0</v>
      </c>
      <c r="CG462" s="6">
        <f t="shared" si="312"/>
        <v>0</v>
      </c>
      <c r="CH462" s="6">
        <f t="shared" si="296"/>
        <v>-50000</v>
      </c>
    </row>
    <row r="463" spans="1:86" hidden="1" x14ac:dyDescent="0.35">
      <c r="A463" s="3" t="s">
        <v>852</v>
      </c>
      <c r="F463" s="10">
        <v>25000</v>
      </c>
      <c r="H463" s="10">
        <v>25000</v>
      </c>
      <c r="N463" s="27">
        <f t="shared" si="292"/>
        <v>50000</v>
      </c>
      <c r="AA463" s="27">
        <f t="shared" si="293"/>
        <v>0</v>
      </c>
      <c r="AB463" s="10">
        <f t="shared" si="316"/>
        <v>0</v>
      </c>
      <c r="AC463" s="10">
        <f t="shared" si="316"/>
        <v>0</v>
      </c>
      <c r="AD463" s="10">
        <f t="shared" si="316"/>
        <v>0</v>
      </c>
      <c r="AE463" s="10">
        <f t="shared" si="316"/>
        <v>0</v>
      </c>
      <c r="AF463" s="10">
        <f t="shared" si="316"/>
        <v>25000</v>
      </c>
      <c r="AG463" s="10">
        <f t="shared" si="316"/>
        <v>0</v>
      </c>
      <c r="AH463" s="10">
        <f t="shared" si="316"/>
        <v>25000</v>
      </c>
      <c r="AI463" s="10">
        <f t="shared" si="315"/>
        <v>0</v>
      </c>
      <c r="AJ463" s="10">
        <f t="shared" si="315"/>
        <v>0</v>
      </c>
      <c r="AK463" s="10">
        <f t="shared" si="315"/>
        <v>0</v>
      </c>
      <c r="AL463" s="10">
        <f t="shared" si="315"/>
        <v>0</v>
      </c>
      <c r="AM463" s="10">
        <f t="shared" si="315"/>
        <v>0</v>
      </c>
      <c r="AN463" s="27">
        <f t="shared" si="315"/>
        <v>50000</v>
      </c>
      <c r="AO463" s="28">
        <v>0</v>
      </c>
      <c r="AR463" t="s">
        <v>753</v>
      </c>
      <c r="AS463" t="str">
        <f>_xlfn.XLOOKUP(AU463,[2]GAE!HZ:HZ,[2]GAE!IA:IA)</f>
        <v>HUMAN RESOURCES</v>
      </c>
      <c r="AT463" t="str">
        <f>_xlfn.XLOOKUP(AU463,[2]GAE!HZ:HZ,[2]GAE!IB:IB)</f>
        <v>DOE - Employees' Welfare</v>
      </c>
      <c r="AU463" t="s">
        <v>809</v>
      </c>
      <c r="AV463">
        <v>81122101</v>
      </c>
      <c r="AW463">
        <v>52121402</v>
      </c>
      <c r="AX463" t="str">
        <f>_xlfn.XLOOKUP(AU463,[2]GAE!HZ:HZ,[2]GAE!IF:IF)</f>
        <v>Employee Benefits</v>
      </c>
      <c r="AY463" t="str">
        <f>_xlfn.XLOOKUP(AU463,[2]GAE!HZ:HZ,[2]GAE!IG:IG)</f>
        <v>Employee Programs/Perks</v>
      </c>
      <c r="BF463" t="s">
        <v>106</v>
      </c>
      <c r="BG463" s="3" t="s">
        <v>852</v>
      </c>
      <c r="BH463" s="10">
        <f>SUMIFS('[1]2026'!$K:$K,'[1]2026'!$T:$T,BD463,'[1]2026'!$S:$S,BH$3,'[1]2026'!$P:$P,AU463)</f>
        <v>0</v>
      </c>
      <c r="BI463" s="10">
        <f>SUMIFS('[1]2026'!$K:$K,'[1]2026'!$T:$T,$BD463,'[1]2026'!$S:$S,BI$3,'[1]2026'!$P:$P,$AU463)</f>
        <v>0</v>
      </c>
      <c r="BJ463" s="10">
        <f>SUMIFS('[1]2026'!$K:$K,'[1]2026'!$T:$T,$BD463,'[1]2026'!$S:$S,BJ$3,'[1]2026'!$P:$P,$AU463)</f>
        <v>0</v>
      </c>
      <c r="BK463" s="10">
        <f>SUMIFS('[1]2026'!$K:$K,'[1]2026'!$T:$T,$BD463,'[1]2026'!$S:$S,BK$3,'[1]2026'!$P:$P,$AU463)</f>
        <v>0</v>
      </c>
      <c r="BL463" s="10">
        <f>SUMIFS('[1]2026'!$K:$K,'[1]2026'!$T:$T,$BD463,'[1]2026'!$S:$S,BL$3,'[1]2026'!$P:$P,$AU463)</f>
        <v>0</v>
      </c>
      <c r="BM463" s="10">
        <f>SUMIFS('[1]2026'!$K:$K,'[1]2026'!$T:$T,$BD463,'[1]2026'!$S:$S,BM$3,'[1]2026'!$P:$P,$AU463)</f>
        <v>0</v>
      </c>
      <c r="BN463" s="10">
        <f>SUMIFS('[1]2026'!$K:$K,'[1]2026'!$T:$T,$BD463,'[1]2026'!$S:$S,BN$3,'[1]2026'!$P:$P,$AU463)</f>
        <v>0</v>
      </c>
      <c r="BO463" s="10">
        <f>SUMIFS('[1]2026'!$K:$K,'[1]2026'!$T:$T,$BD463,'[1]2026'!$S:$S,BO$3,'[1]2026'!$P:$P,$AU463)</f>
        <v>0</v>
      </c>
      <c r="BP463" s="6">
        <f t="shared" si="317"/>
        <v>0</v>
      </c>
      <c r="BQ463" s="6">
        <f t="shared" si="317"/>
        <v>0</v>
      </c>
      <c r="BR463" s="6">
        <f t="shared" si="317"/>
        <v>0</v>
      </c>
      <c r="BS463" s="6">
        <f t="shared" si="317"/>
        <v>0</v>
      </c>
      <c r="BT463" s="6">
        <f t="shared" si="283"/>
        <v>0</v>
      </c>
      <c r="BV463" s="6">
        <f t="shared" si="301"/>
        <v>0</v>
      </c>
      <c r="BW463" s="6">
        <f t="shared" si="302"/>
        <v>0</v>
      </c>
      <c r="BX463" s="6">
        <f t="shared" si="303"/>
        <v>0</v>
      </c>
      <c r="BY463" s="6">
        <f t="shared" si="304"/>
        <v>0</v>
      </c>
      <c r="BZ463" s="6">
        <f t="shared" si="305"/>
        <v>-25000</v>
      </c>
      <c r="CA463" s="6">
        <f t="shared" si="306"/>
        <v>0</v>
      </c>
      <c r="CB463" s="6">
        <f t="shared" si="307"/>
        <v>-25000</v>
      </c>
      <c r="CC463" s="6">
        <f t="shared" si="308"/>
        <v>0</v>
      </c>
      <c r="CD463" s="6">
        <f t="shared" si="309"/>
        <v>0</v>
      </c>
      <c r="CE463" s="6">
        <f t="shared" si="310"/>
        <v>0</v>
      </c>
      <c r="CF463" s="6">
        <f t="shared" si="311"/>
        <v>0</v>
      </c>
      <c r="CG463" s="6">
        <f t="shared" si="312"/>
        <v>0</v>
      </c>
      <c r="CH463" s="6">
        <f t="shared" si="296"/>
        <v>-50000</v>
      </c>
    </row>
    <row r="464" spans="1:86" hidden="1" x14ac:dyDescent="0.35">
      <c r="AS464" t="str">
        <f>_xlfn.XLOOKUP(AU464,[2]GAE!HZ:HZ,[2]GAE!IA:IA)</f>
        <v>HUMAN RESOURCES</v>
      </c>
      <c r="AT464" t="str">
        <f>_xlfn.XLOOKUP(AU464,[2]GAE!HZ:HZ,[2]GAE!IB:IB)</f>
        <v>DOE - Employees' Welfare</v>
      </c>
      <c r="AU464" t="s">
        <v>831</v>
      </c>
      <c r="AV464">
        <v>90122101</v>
      </c>
      <c r="AW464">
        <v>52121402</v>
      </c>
      <c r="AX464" t="str">
        <f>_xlfn.XLOOKUP(AU464,[2]GAE!HZ:HZ,[2]GAE!IF:IF)</f>
        <v>Employee Benefits</v>
      </c>
      <c r="AY464" t="str">
        <f>_xlfn.XLOOKUP(AU464,[2]GAE!HZ:HZ,[2]GAE!IG:IG)</f>
        <v>Employee Programs/Perks</v>
      </c>
      <c r="BC464" s="35" t="s">
        <v>853</v>
      </c>
      <c r="BD464" s="35" t="s">
        <v>853</v>
      </c>
      <c r="BE464" s="35"/>
      <c r="BF464" t="s">
        <v>106</v>
      </c>
      <c r="BG464" s="35" t="s">
        <v>6</v>
      </c>
      <c r="BH464" s="10">
        <f>SUMIFS('[1]2026'!$K:$K,'[1]2026'!$T:$T,BD464,'[1]2026'!$S:$S,BH$3,'[1]2026'!$P:$P,AU464)</f>
        <v>0</v>
      </c>
      <c r="BI464" s="10">
        <f>SUMIFS('[1]2026'!$K:$K,'[1]2026'!$T:$T,$BD464,'[1]2026'!$S:$S,BI$3,'[1]2026'!$P:$P,$AU464)</f>
        <v>0</v>
      </c>
      <c r="BJ464" s="10">
        <f>SUMIFS('[1]2026'!$K:$K,'[1]2026'!$T:$T,$BD464,'[1]2026'!$S:$S,BJ$3,'[1]2026'!$P:$P,$AU464)</f>
        <v>0</v>
      </c>
      <c r="BK464" s="10">
        <f>SUMIFS('[1]2026'!$K:$K,'[1]2026'!$T:$T,$BD464,'[1]2026'!$S:$S,BK$3,'[1]2026'!$P:$P,$AU464)</f>
        <v>-5812.3000000000011</v>
      </c>
      <c r="BL464" s="10">
        <f>SUMIFS('[1]2026'!$K:$K,'[1]2026'!$T:$T,$BD464,'[1]2026'!$S:$S,BL$3,'[1]2026'!$P:$P,$AU464)</f>
        <v>0</v>
      </c>
      <c r="BM464" s="10">
        <f>SUMIFS('[1]2026'!$K:$K,'[1]2026'!$T:$T,$BD464,'[1]2026'!$S:$S,BM$3,'[1]2026'!$P:$P,$AU464)</f>
        <v>0</v>
      </c>
      <c r="BN464" s="10">
        <f>SUMIFS('[1]2026'!$K:$K,'[1]2026'!$T:$T,$BD464,'[1]2026'!$S:$S,BN$3,'[1]2026'!$P:$P,$AU464)</f>
        <v>0</v>
      </c>
      <c r="BO464" s="10">
        <f>SUMIFS('[1]2026'!$K:$K,'[1]2026'!$T:$T,$BD464,'[1]2026'!$S:$S,BO$3,'[1]2026'!$P:$P,$AU464)</f>
        <v>0</v>
      </c>
      <c r="BP464" s="6">
        <f t="shared" si="317"/>
        <v>0</v>
      </c>
      <c r="BQ464" s="6">
        <f t="shared" si="317"/>
        <v>0</v>
      </c>
      <c r="BR464" s="6">
        <f t="shared" si="317"/>
        <v>0</v>
      </c>
      <c r="BS464" s="6">
        <f t="shared" si="317"/>
        <v>0</v>
      </c>
      <c r="BT464" s="6">
        <f t="shared" si="283"/>
        <v>-5812.3000000000011</v>
      </c>
      <c r="BV464" s="6">
        <v>-50000</v>
      </c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>
        <f t="shared" si="296"/>
        <v>-5812.3000000000011</v>
      </c>
    </row>
    <row r="465" spans="1:86" hidden="1" x14ac:dyDescent="0.35">
      <c r="A465" s="3" t="s">
        <v>854</v>
      </c>
      <c r="K465" s="10">
        <v>150000</v>
      </c>
      <c r="N465" s="27">
        <f t="shared" si="292"/>
        <v>150000</v>
      </c>
      <c r="AA465" s="27">
        <f t="shared" si="293"/>
        <v>0</v>
      </c>
      <c r="AB465" s="10">
        <f t="shared" si="316"/>
        <v>0</v>
      </c>
      <c r="AC465" s="10">
        <f t="shared" si="316"/>
        <v>0</v>
      </c>
      <c r="AD465" s="10">
        <f t="shared" si="316"/>
        <v>0</v>
      </c>
      <c r="AE465" s="10">
        <f t="shared" si="316"/>
        <v>0</v>
      </c>
      <c r="AF465" s="10">
        <f t="shared" si="316"/>
        <v>0</v>
      </c>
      <c r="AG465" s="10">
        <f t="shared" si="316"/>
        <v>0</v>
      </c>
      <c r="AH465" s="10">
        <f t="shared" si="316"/>
        <v>0</v>
      </c>
      <c r="AI465" s="10">
        <f t="shared" si="315"/>
        <v>0</v>
      </c>
      <c r="AJ465" s="10">
        <f t="shared" si="315"/>
        <v>0</v>
      </c>
      <c r="AK465" s="10">
        <f t="shared" si="315"/>
        <v>150000</v>
      </c>
      <c r="AL465" s="10">
        <f t="shared" si="315"/>
        <v>0</v>
      </c>
      <c r="AM465" s="10">
        <f t="shared" si="315"/>
        <v>0</v>
      </c>
      <c r="AN465" s="27">
        <f t="shared" si="315"/>
        <v>150000</v>
      </c>
      <c r="AO465" s="28">
        <v>137120</v>
      </c>
      <c r="AS465" t="str">
        <f>_xlfn.XLOOKUP(AU465,[2]GAE!HZ:HZ,[2]GAE!IA:IA)</f>
        <v>HUMAN RESOURCES</v>
      </c>
      <c r="AT465" t="str">
        <f>_xlfn.XLOOKUP(AU465,[2]GAE!HZ:HZ,[2]GAE!IB:IB)</f>
        <v>DOE - Employees' Welfare</v>
      </c>
      <c r="AU465" t="s">
        <v>809</v>
      </c>
      <c r="AV465">
        <v>81122101</v>
      </c>
      <c r="AW465">
        <v>52121402</v>
      </c>
      <c r="AX465" t="str">
        <f>_xlfn.XLOOKUP(AU465,[2]GAE!HZ:HZ,[2]GAE!IF:IF)</f>
        <v>Employee Benefits</v>
      </c>
      <c r="AY465" t="str">
        <f>_xlfn.XLOOKUP(AU465,[2]GAE!HZ:HZ,[2]GAE!IG:IG)</f>
        <v>Employee Programs/Perks</v>
      </c>
      <c r="BA465" t="s">
        <v>855</v>
      </c>
      <c r="BF465" t="s">
        <v>106</v>
      </c>
      <c r="BG465" s="3" t="s">
        <v>854</v>
      </c>
      <c r="BH465" s="10">
        <f>SUMIFS('[1]2026'!$K:$K,'[1]2026'!$T:$T,BD465,'[1]2026'!$S:$S,BH$3,'[1]2026'!$P:$P,AU465)</f>
        <v>0</v>
      </c>
      <c r="BI465" s="10">
        <f>SUMIFS('[1]2026'!$K:$K,'[1]2026'!$T:$T,$BD465,'[1]2026'!$S:$S,BI$3,'[1]2026'!$P:$P,$AU465)</f>
        <v>0</v>
      </c>
      <c r="BJ465" s="10">
        <f>SUMIFS('[1]2026'!$K:$K,'[1]2026'!$T:$T,$BD465,'[1]2026'!$S:$S,BJ$3,'[1]2026'!$P:$P,$AU465)</f>
        <v>0</v>
      </c>
      <c r="BK465" s="10">
        <f>SUMIFS('[1]2026'!$K:$K,'[1]2026'!$T:$T,$BD465,'[1]2026'!$S:$S,BK$3,'[1]2026'!$P:$P,$AU465)</f>
        <v>0</v>
      </c>
      <c r="BL465" s="6"/>
      <c r="BM465" s="10">
        <f>SUMIFS('[1]2026'!$K:$K,'[1]2026'!$T:$T,$BD465,'[1]2026'!$S:$S,BM$3,'[1]2026'!$P:$P,$AU465)</f>
        <v>0</v>
      </c>
      <c r="BN465" s="10">
        <f>SUMIFS('[1]2026'!$K:$K,'[1]2026'!$T:$T,$BD465,'[1]2026'!$S:$S,BN$3,'[1]2026'!$P:$P,$AU465)</f>
        <v>0</v>
      </c>
      <c r="BO465" s="10">
        <f>SUMIFS('[1]2026'!$K:$K,'[1]2026'!$T:$T,$BD465,'[1]2026'!$S:$S,BO$3,'[1]2026'!$P:$P,$AU465)</f>
        <v>0</v>
      </c>
      <c r="BP465" s="6"/>
      <c r="BQ465" s="6"/>
      <c r="BR465" s="6">
        <v>200000</v>
      </c>
      <c r="BS465" s="6"/>
      <c r="BT465" s="6">
        <f t="shared" ref="BT465:BT530" si="318">SUM(BH465:BS465)</f>
        <v>200000</v>
      </c>
      <c r="BV465" s="6">
        <f t="shared" ref="BV465:CG467" si="319">BH465-AB465</f>
        <v>0</v>
      </c>
      <c r="BW465" s="6">
        <f t="shared" si="319"/>
        <v>0</v>
      </c>
      <c r="BX465" s="6">
        <f t="shared" si="319"/>
        <v>0</v>
      </c>
      <c r="BY465" s="6">
        <f t="shared" si="319"/>
        <v>0</v>
      </c>
      <c r="BZ465" s="6">
        <f t="shared" si="319"/>
        <v>0</v>
      </c>
      <c r="CA465" s="6">
        <f t="shared" si="319"/>
        <v>0</v>
      </c>
      <c r="CB465" s="6">
        <f t="shared" si="319"/>
        <v>0</v>
      </c>
      <c r="CC465" s="6">
        <f t="shared" si="319"/>
        <v>0</v>
      </c>
      <c r="CD465" s="6">
        <f t="shared" si="319"/>
        <v>0</v>
      </c>
      <c r="CE465" s="6">
        <f t="shared" si="319"/>
        <v>-150000</v>
      </c>
      <c r="CF465" s="6">
        <f t="shared" si="319"/>
        <v>200000</v>
      </c>
      <c r="CG465" s="6">
        <f t="shared" si="319"/>
        <v>0</v>
      </c>
      <c r="CH465" s="6">
        <f t="shared" si="296"/>
        <v>50000</v>
      </c>
    </row>
    <row r="466" spans="1:86" hidden="1" x14ac:dyDescent="0.35">
      <c r="AN466" s="27">
        <f t="shared" si="315"/>
        <v>0</v>
      </c>
      <c r="AS466" t="str">
        <f>_xlfn.XLOOKUP(AU466,[2]GAE!HZ:HZ,[2]GAE!IA:IA)</f>
        <v>HUMAN RESOURCES</v>
      </c>
      <c r="AT466" t="str">
        <f>_xlfn.XLOOKUP(AU466,[2]GAE!HZ:HZ,[2]GAE!IB:IB)</f>
        <v>GAE - Office Supplies</v>
      </c>
      <c r="AU466" t="s">
        <v>856</v>
      </c>
      <c r="AV466">
        <v>90122101</v>
      </c>
      <c r="AW466">
        <v>61111101</v>
      </c>
      <c r="AX466" t="str">
        <f>_xlfn.XLOOKUP(AU466,[2]GAE!HZ:HZ,[2]GAE!IF:IF)</f>
        <v>Employee Benefits</v>
      </c>
      <c r="AY466" t="str">
        <f>_xlfn.XLOOKUP(AU466,[2]GAE!HZ:HZ,[2]GAE!IG:IG)</f>
        <v>Employee Programs/Perks</v>
      </c>
      <c r="BD466" t="s">
        <v>857</v>
      </c>
      <c r="BF466" s="37" t="s">
        <v>1263</v>
      </c>
      <c r="BG466" s="37" t="s">
        <v>1263</v>
      </c>
      <c r="BJ466" s="10">
        <f>SUMIFS('[1]2026'!$K:$K,'[1]2026'!$T:$T,$BD466,'[1]2026'!$S:$S,BJ$3,'[1]2026'!$P:$P,$AU466)</f>
        <v>120</v>
      </c>
      <c r="BK466" s="10">
        <f>SUMIFS('[1]2026'!$K:$K,'[1]2026'!$T:$T,$BD466,'[1]2026'!$S:$S,BK$3,'[1]2026'!$P:$P,$AU466)</f>
        <v>-120</v>
      </c>
      <c r="BL466" s="6"/>
      <c r="BM466" s="10">
        <f>SUMIFS('[1]2026'!$K:$K,'[1]2026'!$T:$T,$BD466,'[1]2026'!$S:$S,BM$3,'[1]2026'!$P:$P,$AU466)</f>
        <v>0</v>
      </c>
      <c r="BN466" s="10">
        <f>SUMIFS('[1]2026'!$K:$K,'[1]2026'!$T:$T,$BD466,'[1]2026'!$S:$S,BN$3,'[1]2026'!$P:$P,$AU466)</f>
        <v>0</v>
      </c>
      <c r="BO466" s="10">
        <f>SUMIFS('[1]2026'!$K:$K,'[1]2026'!$T:$T,$BD466,'[1]2026'!$S:$S,BO$3,'[1]2026'!$P:$P,$AU466)</f>
        <v>0</v>
      </c>
      <c r="BP466" s="6"/>
      <c r="BQ466" s="6"/>
      <c r="BR466" s="6"/>
      <c r="BS466" s="6"/>
      <c r="BT466" s="6">
        <f t="shared" si="318"/>
        <v>0</v>
      </c>
      <c r="BV466" s="6">
        <f t="shared" si="319"/>
        <v>0</v>
      </c>
      <c r="BW466" s="6">
        <f t="shared" si="319"/>
        <v>0</v>
      </c>
      <c r="BX466" s="6">
        <f t="shared" si="319"/>
        <v>120</v>
      </c>
      <c r="BY466" s="6">
        <f t="shared" si="319"/>
        <v>-120</v>
      </c>
      <c r="BZ466" s="6">
        <f t="shared" si="319"/>
        <v>0</v>
      </c>
      <c r="CA466" s="6">
        <f t="shared" si="319"/>
        <v>0</v>
      </c>
      <c r="CB466" s="6">
        <f t="shared" si="319"/>
        <v>0</v>
      </c>
      <c r="CC466" s="6">
        <f t="shared" si="319"/>
        <v>0</v>
      </c>
      <c r="CD466" s="6">
        <f t="shared" si="319"/>
        <v>0</v>
      </c>
      <c r="CE466" s="6">
        <f t="shared" si="319"/>
        <v>0</v>
      </c>
      <c r="CF466" s="6">
        <f t="shared" si="319"/>
        <v>0</v>
      </c>
      <c r="CG466" s="6">
        <f t="shared" si="319"/>
        <v>0</v>
      </c>
      <c r="CH466" s="6">
        <f t="shared" si="296"/>
        <v>0</v>
      </c>
    </row>
    <row r="467" spans="1:86" hidden="1" x14ac:dyDescent="0.35">
      <c r="AN467" s="27">
        <f t="shared" si="315"/>
        <v>0</v>
      </c>
      <c r="AS467" t="str">
        <f>_xlfn.XLOOKUP(AU467,[2]GAE!HZ:HZ,[2]GAE!IA:IA)</f>
        <v>OCLP-COMMON</v>
      </c>
      <c r="AT467" t="str">
        <f>_xlfn.XLOOKUP(AU467,[2]GAE!HZ:HZ,[2]GAE!IB:IB)</f>
        <v>GAE - Employees' Welfare</v>
      </c>
      <c r="AU467" t="s">
        <v>858</v>
      </c>
      <c r="AV467">
        <v>80111101</v>
      </c>
      <c r="AW467">
        <v>61021403</v>
      </c>
      <c r="AX467" t="str">
        <f>_xlfn.XLOOKUP(AU467,[2]GAE!HZ:HZ,[2]GAE!IF:IF)</f>
        <v>Employee Benefits</v>
      </c>
      <c r="AY467" t="str">
        <f>_xlfn.XLOOKUP(AU467,[2]GAE!HZ:HZ,[2]GAE!IG:IG)</f>
        <v>Employee Programs/Perks</v>
      </c>
      <c r="BC467" t="s">
        <v>294</v>
      </c>
      <c r="BD467" t="s">
        <v>744</v>
      </c>
      <c r="BF467" s="37" t="s">
        <v>1263</v>
      </c>
      <c r="BG467" s="37" t="s">
        <v>1263</v>
      </c>
      <c r="BH467" s="10">
        <f>SUMIFS('[1]2026'!$K:$K,'[1]2026'!$T:$T,BD467,'[1]2026'!$S:$S,BH$3,'[1]2026'!$P:$P,AU467)</f>
        <v>0</v>
      </c>
      <c r="BI467" s="10">
        <f>SUMIFS('[1]2026'!$K:$K,'[1]2026'!$T:$T,$BD467,'[1]2026'!$S:$S,BI$3,'[1]2026'!$P:$P,$AU467)</f>
        <v>0</v>
      </c>
      <c r="BJ467" s="10">
        <f>SUMIFS('[1]2026'!$K:$K,'[1]2026'!$T:$T,$BD467,'[1]2026'!$S:$S,BJ$3,'[1]2026'!$P:$P,$AU467)</f>
        <v>-141366.07</v>
      </c>
      <c r="BK467" s="10">
        <f>SUMIFS('[1]2026'!$K:$K,'[1]2026'!$T:$T,$BD467,'[1]2026'!$S:$S,BK$3,'[1]2026'!$P:$P,$AU467)</f>
        <v>0</v>
      </c>
      <c r="BL467" s="6"/>
      <c r="BM467" s="10">
        <f>SUMIFS('[1]2026'!$K:$K,'[1]2026'!$T:$T,$BD467,'[1]2026'!$S:$S,BM$3,'[1]2026'!$P:$P,$AU467)</f>
        <v>0</v>
      </c>
      <c r="BN467" s="10">
        <f>SUMIFS('[1]2026'!$K:$K,'[1]2026'!$T:$T,$BD467,'[1]2026'!$S:$S,BN$3,'[1]2026'!$P:$P,$AU467)</f>
        <v>0</v>
      </c>
      <c r="BO467" s="10">
        <f>SUMIFS('[1]2026'!$K:$K,'[1]2026'!$T:$T,$BD467,'[1]2026'!$S:$S,BO$3,'[1]2026'!$P:$P,$AU467)</f>
        <v>0</v>
      </c>
      <c r="BP467" s="6"/>
      <c r="BQ467" s="6"/>
      <c r="BR467" s="6"/>
      <c r="BS467" s="6"/>
      <c r="BT467" s="6">
        <f t="shared" si="318"/>
        <v>-141366.07</v>
      </c>
      <c r="BV467" s="6">
        <f t="shared" si="319"/>
        <v>0</v>
      </c>
      <c r="BW467" s="6">
        <f t="shared" si="319"/>
        <v>0</v>
      </c>
      <c r="BX467" s="6">
        <f t="shared" si="319"/>
        <v>-141366.07</v>
      </c>
      <c r="BY467" s="6">
        <f t="shared" si="319"/>
        <v>0</v>
      </c>
      <c r="BZ467" s="6">
        <f t="shared" si="319"/>
        <v>0</v>
      </c>
      <c r="CA467" s="6">
        <f t="shared" si="319"/>
        <v>0</v>
      </c>
      <c r="CB467" s="6">
        <f t="shared" si="319"/>
        <v>0</v>
      </c>
      <c r="CC467" s="6">
        <f t="shared" si="319"/>
        <v>0</v>
      </c>
      <c r="CD467" s="6">
        <f t="shared" si="319"/>
        <v>0</v>
      </c>
      <c r="CE467" s="6">
        <f t="shared" si="319"/>
        <v>0</v>
      </c>
      <c r="CF467" s="6">
        <f t="shared" si="319"/>
        <v>0</v>
      </c>
      <c r="CG467" s="6">
        <f t="shared" si="319"/>
        <v>0</v>
      </c>
      <c r="CH467" s="6">
        <f t="shared" si="296"/>
        <v>-141366.07</v>
      </c>
    </row>
    <row r="468" spans="1:86" hidden="1" x14ac:dyDescent="0.35">
      <c r="AN468" s="27">
        <f t="shared" si="315"/>
        <v>0</v>
      </c>
      <c r="AS468" t="str">
        <f>_xlfn.XLOOKUP(AU468,[2]GAE!HZ:HZ,[2]GAE!IA:IA)</f>
        <v>RED-COMMON</v>
      </c>
      <c r="AT468" t="str">
        <f>_xlfn.XLOOKUP(AU468,[2]GAE!HZ:HZ,[2]GAE!IB:IB)</f>
        <v>DOE - Employees' Welfare</v>
      </c>
      <c r="AU468" s="2" t="s">
        <v>859</v>
      </c>
      <c r="AV468" s="2">
        <v>90311101</v>
      </c>
      <c r="AW468" s="2">
        <v>52121402</v>
      </c>
      <c r="AX468" t="str">
        <f>_xlfn.XLOOKUP(AU468,[2]GAE!HZ:HZ,[2]GAE!IF:IF)</f>
        <v>Employee Benefits</v>
      </c>
      <c r="AY468" t="str">
        <f>_xlfn.XLOOKUP(AU468,[2]GAE!HZ:HZ,[2]GAE!IG:IG)</f>
        <v>Employee Programs/Perks</v>
      </c>
      <c r="BC468" t="s">
        <v>6</v>
      </c>
      <c r="BD468" t="s">
        <v>6</v>
      </c>
      <c r="BF468" t="s">
        <v>7</v>
      </c>
      <c r="BG468" s="2" t="s">
        <v>6</v>
      </c>
      <c r="BH468" s="10">
        <f>SUMIFS('[1]2026'!$K:$K,'[1]2026'!$T:$T,BD468,'[1]2026'!$S:$S,BH$3,'[1]2026'!$P:$P,AU468)</f>
        <v>0</v>
      </c>
      <c r="BI468" s="10">
        <f>SUMIFS('[1]2026'!$K:$K,'[1]2026'!$T:$T,$BD468,'[1]2026'!$S:$S,BI$3,'[1]2026'!$P:$P,$AU468)</f>
        <v>0</v>
      </c>
      <c r="BJ468" s="10">
        <f>SUMIFS('[1]2026'!$K:$K,'[1]2026'!$T:$T,$BD468,'[1]2026'!$S:$S,BJ$3,'[1]2026'!$P:$P,$AU468)</f>
        <v>0</v>
      </c>
      <c r="BK468" s="10">
        <f>SUMIFS('[1]2026'!$K:$K,'[1]2026'!$T:$T,$BD468,'[1]2026'!$S:$S,BK$3,'[1]2026'!$P:$P,$AU468)</f>
        <v>-874</v>
      </c>
      <c r="BL468" s="6"/>
      <c r="BM468" s="10">
        <f>SUMIFS('[1]2026'!$K:$K,'[1]2026'!$T:$T,$BD468,'[1]2026'!$S:$S,BM$3,'[1]2026'!$P:$P,$AU468)</f>
        <v>0</v>
      </c>
      <c r="BN468" s="10">
        <f>SUMIFS('[1]2026'!$K:$K,'[1]2026'!$T:$T,$BD468,'[1]2026'!$S:$S,BN$3,'[1]2026'!$P:$P,$AU468)</f>
        <v>0</v>
      </c>
      <c r="BO468" s="10">
        <f>SUMIFS('[1]2026'!$K:$K,'[1]2026'!$T:$T,$BD468,'[1]2026'!$S:$S,BO$3,'[1]2026'!$P:$P,$AU468)</f>
        <v>0</v>
      </c>
      <c r="BP468" s="6"/>
      <c r="BQ468" s="6"/>
      <c r="BR468" s="6"/>
      <c r="BS468" s="6"/>
      <c r="BT468" s="6">
        <f t="shared" si="318"/>
        <v>-874</v>
      </c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>
        <f t="shared" si="296"/>
        <v>-874</v>
      </c>
    </row>
    <row r="469" spans="1:86" hidden="1" x14ac:dyDescent="0.35">
      <c r="A469" s="3" t="s">
        <v>118</v>
      </c>
      <c r="B469" s="10">
        <v>83333.333333333328</v>
      </c>
      <c r="C469" s="10">
        <v>83333.333333333328</v>
      </c>
      <c r="D469" s="10">
        <v>83333.333333333328</v>
      </c>
      <c r="E469" s="10">
        <v>83333.333333333328</v>
      </c>
      <c r="F469" s="10">
        <v>83333.333333333328</v>
      </c>
      <c r="G469" s="10">
        <v>83333.333333333328</v>
      </c>
      <c r="H469" s="10">
        <v>83333.333333333328</v>
      </c>
      <c r="I469" s="10">
        <v>83333.333333333328</v>
      </c>
      <c r="J469" s="10">
        <v>83333.333333333328</v>
      </c>
      <c r="K469" s="10">
        <v>83333.333333333328</v>
      </c>
      <c r="L469" s="10">
        <v>83333.333333333328</v>
      </c>
      <c r="M469" s="10">
        <v>83333.333333333328</v>
      </c>
      <c r="N469" s="27">
        <f t="shared" si="292"/>
        <v>1000000.0000000001</v>
      </c>
      <c r="O469" s="10">
        <v>59261.177915769535</v>
      </c>
      <c r="P469" s="10">
        <v>59261.177915769535</v>
      </c>
      <c r="Q469" s="10">
        <v>59261.177915769535</v>
      </c>
      <c r="R469" s="10">
        <v>59261.177915769535</v>
      </c>
      <c r="S469" s="10">
        <v>59261.177915769535</v>
      </c>
      <c r="T469" s="10">
        <v>59261.177915769535</v>
      </c>
      <c r="U469" s="10">
        <v>59261.177915769535</v>
      </c>
      <c r="V469" s="10">
        <v>59261.177915769535</v>
      </c>
      <c r="W469" s="10">
        <v>59261.177915769535</v>
      </c>
      <c r="X469" s="10">
        <v>59261.177915769535</v>
      </c>
      <c r="Y469" s="10">
        <v>59261.177915769535</v>
      </c>
      <c r="Z469" s="10">
        <v>59261.177915769535</v>
      </c>
      <c r="AA469" s="27">
        <f t="shared" si="293"/>
        <v>711134.13498923427</v>
      </c>
      <c r="AB469" s="10">
        <f t="shared" si="316"/>
        <v>24072.155417563794</v>
      </c>
      <c r="AC469" s="10">
        <f t="shared" si="316"/>
        <v>24072.155417563794</v>
      </c>
      <c r="AD469" s="10">
        <f t="shared" si="316"/>
        <v>24072.155417563794</v>
      </c>
      <c r="AE469" s="10">
        <f t="shared" si="316"/>
        <v>24072.155417563794</v>
      </c>
      <c r="AF469" s="10">
        <f t="shared" si="316"/>
        <v>24072.155417563794</v>
      </c>
      <c r="AG469" s="10">
        <f t="shared" si="316"/>
        <v>24072.155417563794</v>
      </c>
      <c r="AH469" s="10">
        <f t="shared" si="316"/>
        <v>24072.155417563794</v>
      </c>
      <c r="AI469" s="10">
        <f t="shared" si="315"/>
        <v>24072.155417563794</v>
      </c>
      <c r="AJ469" s="10">
        <f t="shared" si="315"/>
        <v>24072.155417563794</v>
      </c>
      <c r="AK469" s="10">
        <f t="shared" si="315"/>
        <v>24072.155417563794</v>
      </c>
      <c r="AL469" s="10">
        <f t="shared" si="315"/>
        <v>24072.155417563794</v>
      </c>
      <c r="AM469" s="10">
        <f t="shared" si="315"/>
        <v>24072.155417563794</v>
      </c>
      <c r="AN469" s="27">
        <f t="shared" si="315"/>
        <v>288865.86501076585</v>
      </c>
      <c r="AO469" s="28">
        <v>638929.52</v>
      </c>
      <c r="AS469" t="str">
        <f>_xlfn.XLOOKUP(AU469,[2]GAE!HZ:HZ,[2]GAE!IA:IA)</f>
        <v>HUMAN RESOURCES</v>
      </c>
      <c r="AT469" t="str">
        <f>_xlfn.XLOOKUP(AU469,[2]GAE!HZ:HZ,[2]GAE!IB:IB)</f>
        <v>DOE - Training - Local</v>
      </c>
      <c r="AU469" t="s">
        <v>860</v>
      </c>
      <c r="AV469">
        <v>90122101</v>
      </c>
      <c r="AW469">
        <v>52121502</v>
      </c>
      <c r="AX469" t="str">
        <f>_xlfn.XLOOKUP(AU469,[2]GAE!HZ:HZ,[2]GAE!IF:IF)</f>
        <v>Employee Benefits</v>
      </c>
      <c r="AY469" t="str">
        <f>_xlfn.XLOOKUP(AU469,[2]GAE!HZ:HZ,[2]GAE!IG:IG)</f>
        <v>Trainings &amp; Seminars</v>
      </c>
      <c r="BA469" t="s">
        <v>861</v>
      </c>
      <c r="BC469" t="s">
        <v>118</v>
      </c>
      <c r="BD469" t="s">
        <v>862</v>
      </c>
      <c r="BF469" t="s">
        <v>117</v>
      </c>
      <c r="BG469" s="2" t="s">
        <v>118</v>
      </c>
      <c r="BH469" s="10">
        <f>SUMIFS('[1]2026'!$K:$K,'[1]2026'!$T:$T,BD469,'[1]2026'!$S:$S,BH$3,'[1]2026'!$P:$P,AU469)</f>
        <v>39232</v>
      </c>
      <c r="BI469" s="10">
        <f>SUMIFS('[1]2026'!$K:$K,'[1]2026'!$T:$T,$BD469,'[1]2026'!$S:$S,BI$3,'[1]2026'!$P:$P,$AU469)</f>
        <v>11500</v>
      </c>
      <c r="BJ469" s="10">
        <f>SUMIFS('[1]2026'!$K:$K,'[1]2026'!$T:$T,$BD469,'[1]2026'!$S:$S,BJ$3,'[1]2026'!$P:$P,$AU469)</f>
        <v>0</v>
      </c>
      <c r="BK469" s="10">
        <f>SUMIFS('[1]2026'!$K:$K,'[1]2026'!$T:$T,$BD469,'[1]2026'!$S:$S,BK$3,'[1]2026'!$P:$P,$AU469)</f>
        <v>0</v>
      </c>
      <c r="BL469" s="10">
        <f>SUMIFS('[1]2026'!$K:$K,'[1]2026'!$T:$T,$BD469,'[1]2026'!$S:$S,BL$3,'[1]2026'!$P:$P,$AU469)</f>
        <v>0</v>
      </c>
      <c r="BM469" s="10">
        <f>SUMIFS('[1]2026'!$K:$K,'[1]2026'!$T:$T,$BD469,'[1]2026'!$S:$S,BM$3,'[1]2026'!$P:$P,$AU469)</f>
        <v>15000</v>
      </c>
      <c r="BN469" s="10">
        <f>SUMIFS('[1]2026'!$K:$K,'[1]2026'!$T:$T,$BD469,'[1]2026'!$S:$S,BN$3,'[1]2026'!$P:$P,$AU469)</f>
        <v>0</v>
      </c>
      <c r="BO469" s="10">
        <f>SUMIFS('[1]2026'!$K:$K,'[1]2026'!$T:$T,$BD469,'[1]2026'!$S:$S,BO$3,'[1]2026'!$P:$P,$AU469)</f>
        <v>0</v>
      </c>
      <c r="BP469" s="6"/>
      <c r="BQ469" s="6"/>
      <c r="BR469" s="6"/>
      <c r="BS469" s="6">
        <v>250000</v>
      </c>
      <c r="BT469" s="6">
        <f t="shared" si="318"/>
        <v>315732</v>
      </c>
      <c r="BV469" s="6">
        <f t="shared" ref="BV469:BV500" si="320">BH469-AB469</f>
        <v>15159.844582436206</v>
      </c>
      <c r="BW469" s="6">
        <f t="shared" ref="BW469:BW500" si="321">BI469-AC469</f>
        <v>-12572.155417563794</v>
      </c>
      <c r="BX469" s="6">
        <f t="shared" ref="BX469:BX500" si="322">BJ469-AD469</f>
        <v>-24072.155417563794</v>
      </c>
      <c r="BY469" s="6">
        <f t="shared" ref="BY469:BY500" si="323">BK469-AE469</f>
        <v>-24072.155417563794</v>
      </c>
      <c r="BZ469" s="6">
        <f t="shared" ref="BZ469:BZ500" si="324">BL469-AF469</f>
        <v>-24072.155417563794</v>
      </c>
      <c r="CA469" s="6">
        <f t="shared" ref="CA469:CA500" si="325">BM469-AG469</f>
        <v>-9072.1554175637939</v>
      </c>
      <c r="CB469" s="6">
        <f t="shared" ref="CB469:CB500" si="326">BN469-AH469</f>
        <v>-24072.155417563794</v>
      </c>
      <c r="CC469" s="6">
        <f t="shared" ref="CC469:CC500" si="327">BO469-AI469</f>
        <v>-24072.155417563794</v>
      </c>
      <c r="CD469" s="6">
        <f t="shared" ref="CD469:CD500" si="328">BP469-AJ469</f>
        <v>-24072.155417563794</v>
      </c>
      <c r="CE469" s="6">
        <f t="shared" ref="CE469:CE500" si="329">BQ469-AK469</f>
        <v>-24072.155417563794</v>
      </c>
      <c r="CF469" s="6">
        <f t="shared" ref="CF469:CF500" si="330">BR469-AL469</f>
        <v>-24072.155417563794</v>
      </c>
      <c r="CG469" s="6">
        <f t="shared" ref="CG469:CG500" si="331">BS469-AM469</f>
        <v>225927.8445824362</v>
      </c>
      <c r="CH469" s="6">
        <f t="shared" si="296"/>
        <v>26866.134989234153</v>
      </c>
    </row>
    <row r="470" spans="1:86" hidden="1" x14ac:dyDescent="0.35">
      <c r="A470" s="3" t="s">
        <v>118</v>
      </c>
      <c r="B470" s="10">
        <v>25000</v>
      </c>
      <c r="C470" s="10">
        <v>25000</v>
      </c>
      <c r="D470" s="10">
        <v>25000</v>
      </c>
      <c r="E470" s="10">
        <v>25000</v>
      </c>
      <c r="F470" s="10">
        <v>25000</v>
      </c>
      <c r="G470" s="10">
        <v>25000</v>
      </c>
      <c r="H470" s="10">
        <v>25000</v>
      </c>
      <c r="I470" s="10">
        <v>25000</v>
      </c>
      <c r="J470" s="10">
        <v>25000</v>
      </c>
      <c r="K470" s="10">
        <v>25000</v>
      </c>
      <c r="L470" s="10">
        <v>25000</v>
      </c>
      <c r="M470" s="10">
        <v>25000</v>
      </c>
      <c r="N470" s="27">
        <f t="shared" si="292"/>
        <v>300000</v>
      </c>
      <c r="O470" s="10">
        <v>17778.353374730857</v>
      </c>
      <c r="P470" s="10">
        <v>17778.353374730857</v>
      </c>
      <c r="Q470" s="10">
        <v>17778.353374730857</v>
      </c>
      <c r="R470" s="10">
        <v>17778.353374730857</v>
      </c>
      <c r="S470" s="10">
        <v>17778.353374730857</v>
      </c>
      <c r="T470" s="10">
        <v>17778.353374730857</v>
      </c>
      <c r="U470" s="10">
        <v>17778.353374730857</v>
      </c>
      <c r="V470" s="10">
        <v>17778.353374730857</v>
      </c>
      <c r="W470" s="10">
        <v>17778.353374730857</v>
      </c>
      <c r="X470" s="10">
        <v>17778.353374730857</v>
      </c>
      <c r="Y470" s="10">
        <v>17778.353374730857</v>
      </c>
      <c r="Z470" s="10">
        <v>17778.353374730857</v>
      </c>
      <c r="AA470" s="27">
        <f t="shared" si="293"/>
        <v>213340.24049677028</v>
      </c>
      <c r="AB470" s="10">
        <f t="shared" si="316"/>
        <v>7221.6466252691425</v>
      </c>
      <c r="AC470" s="10">
        <f t="shared" si="316"/>
        <v>7221.6466252691425</v>
      </c>
      <c r="AD470" s="10">
        <f t="shared" si="316"/>
        <v>7221.6466252691425</v>
      </c>
      <c r="AE470" s="10">
        <f t="shared" si="316"/>
        <v>7221.6466252691425</v>
      </c>
      <c r="AF470" s="10">
        <f t="shared" si="316"/>
        <v>7221.6466252691425</v>
      </c>
      <c r="AG470" s="10">
        <f t="shared" si="316"/>
        <v>7221.6466252691425</v>
      </c>
      <c r="AH470" s="10">
        <f t="shared" si="316"/>
        <v>7221.6466252691425</v>
      </c>
      <c r="AI470" s="10">
        <f t="shared" si="315"/>
        <v>7221.6466252691425</v>
      </c>
      <c r="AJ470" s="10">
        <f t="shared" si="315"/>
        <v>7221.6466252691425</v>
      </c>
      <c r="AK470" s="10">
        <f t="shared" si="315"/>
        <v>7221.6466252691425</v>
      </c>
      <c r="AL470" s="10">
        <f t="shared" si="315"/>
        <v>7221.6466252691425</v>
      </c>
      <c r="AM470" s="10">
        <f t="shared" si="315"/>
        <v>7221.6466252691425</v>
      </c>
      <c r="AN470" s="27">
        <f t="shared" si="315"/>
        <v>86659.759503229725</v>
      </c>
      <c r="AS470" t="str">
        <f>_xlfn.XLOOKUP(AU470,[2]GAE!HZ:HZ,[2]GAE!IA:IA)</f>
        <v>HUMAN RESOURCES</v>
      </c>
      <c r="AT470" t="str">
        <f>_xlfn.XLOOKUP(AU470,[2]GAE!HZ:HZ,[2]GAE!IB:IB)</f>
        <v>DOE - Training - Local</v>
      </c>
      <c r="AU470" t="s">
        <v>863</v>
      </c>
      <c r="AV470">
        <v>81122101</v>
      </c>
      <c r="AW470">
        <v>52121502</v>
      </c>
      <c r="AX470" t="str">
        <f>_xlfn.XLOOKUP(AU470,[2]GAE!HZ:HZ,[2]GAE!IF:IF)</f>
        <v>Employee Benefits</v>
      </c>
      <c r="AY470" t="str">
        <f>_xlfn.XLOOKUP(AU470,[2]GAE!HZ:HZ,[2]GAE!IG:IG)</f>
        <v>Trainings &amp; Seminars</v>
      </c>
      <c r="BC470" t="s">
        <v>118</v>
      </c>
      <c r="BD470" t="s">
        <v>862</v>
      </c>
      <c r="BF470" t="s">
        <v>117</v>
      </c>
      <c r="BG470" s="2" t="s">
        <v>118</v>
      </c>
      <c r="BH470" s="10">
        <f>SUMIFS('[1]2026'!$K:$K,'[1]2026'!$T:$T,BD470,'[1]2026'!$S:$S,BH$3,'[1]2026'!$P:$P,AU470)</f>
        <v>0</v>
      </c>
      <c r="BI470" s="10">
        <f>SUMIFS('[1]2026'!$K:$K,'[1]2026'!$T:$T,$BD470,'[1]2026'!$S:$S,BI$3,'[1]2026'!$P:$P,$AU470)</f>
        <v>0</v>
      </c>
      <c r="BJ470" s="10">
        <f>SUMIFS('[1]2026'!$K:$K,'[1]2026'!$T:$T,$BD470,'[1]2026'!$S:$S,BJ$3,'[1]2026'!$P:$P,$AU470)</f>
        <v>8000</v>
      </c>
      <c r="BK470" s="10">
        <f>SUMIFS('[1]2026'!$K:$K,'[1]2026'!$T:$T,$BD470,'[1]2026'!$S:$S,BK$3,'[1]2026'!$P:$P,$AU470)</f>
        <v>0</v>
      </c>
      <c r="BL470" s="10">
        <f>SUMIFS('[1]2026'!$K:$K,'[1]2026'!$T:$T,$BD470,'[1]2026'!$S:$S,BL$3,'[1]2026'!$P:$P,$AU470)</f>
        <v>0</v>
      </c>
      <c r="BM470" s="10">
        <f>SUMIFS('[1]2026'!$K:$K,'[1]2026'!$T:$T,$BD470,'[1]2026'!$S:$S,BM$3,'[1]2026'!$P:$P,$AU470)</f>
        <v>0</v>
      </c>
      <c r="BN470" s="10">
        <f>SUMIFS('[1]2026'!$K:$K,'[1]2026'!$T:$T,$BD470,'[1]2026'!$S:$S,BN$3,'[1]2026'!$P:$P,$AU470)</f>
        <v>0</v>
      </c>
      <c r="BO470" s="10">
        <f>SUMIFS('[1]2026'!$K:$K,'[1]2026'!$T:$T,$BD470,'[1]2026'!$S:$S,BO$3,'[1]2026'!$P:$P,$AU470)</f>
        <v>0</v>
      </c>
      <c r="BP470" s="6"/>
      <c r="BQ470" s="6"/>
      <c r="BR470" s="6"/>
      <c r="BS470" s="6"/>
      <c r="BT470" s="6">
        <f t="shared" si="318"/>
        <v>8000</v>
      </c>
      <c r="BV470" s="6">
        <f t="shared" si="320"/>
        <v>-7221.6466252691425</v>
      </c>
      <c r="BW470" s="6">
        <f t="shared" si="321"/>
        <v>-7221.6466252691425</v>
      </c>
      <c r="BX470" s="6">
        <f t="shared" si="322"/>
        <v>778.35337473085747</v>
      </c>
      <c r="BY470" s="6">
        <f t="shared" si="323"/>
        <v>-7221.6466252691425</v>
      </c>
      <c r="BZ470" s="6">
        <f t="shared" si="324"/>
        <v>-7221.6466252691425</v>
      </c>
      <c r="CA470" s="6">
        <f t="shared" si="325"/>
        <v>-7221.6466252691425</v>
      </c>
      <c r="CB470" s="6">
        <f t="shared" si="326"/>
        <v>-7221.6466252691425</v>
      </c>
      <c r="CC470" s="6">
        <f t="shared" si="327"/>
        <v>-7221.6466252691425</v>
      </c>
      <c r="CD470" s="6">
        <f t="shared" si="328"/>
        <v>-7221.6466252691425</v>
      </c>
      <c r="CE470" s="6">
        <f t="shared" si="329"/>
        <v>-7221.6466252691425</v>
      </c>
      <c r="CF470" s="6">
        <f t="shared" si="330"/>
        <v>-7221.6466252691425</v>
      </c>
      <c r="CG470" s="6">
        <f t="shared" si="331"/>
        <v>-7221.6466252691425</v>
      </c>
      <c r="CH470" s="6">
        <f t="shared" si="296"/>
        <v>-78659.759503229725</v>
      </c>
    </row>
    <row r="471" spans="1:86" hidden="1" x14ac:dyDescent="0.35">
      <c r="A471" s="3" t="s">
        <v>118</v>
      </c>
      <c r="B471" s="10">
        <v>16666.666666666668</v>
      </c>
      <c r="C471" s="10">
        <v>16666.666666666668</v>
      </c>
      <c r="D471" s="10">
        <v>16666.666666666668</v>
      </c>
      <c r="E471" s="10">
        <v>16666.666666666668</v>
      </c>
      <c r="F471" s="10">
        <v>16666.666666666668</v>
      </c>
      <c r="G471" s="10">
        <v>16666.666666666668</v>
      </c>
      <c r="H471" s="10">
        <v>16666.666666666668</v>
      </c>
      <c r="I471" s="10">
        <v>16666.666666666668</v>
      </c>
      <c r="J471" s="10">
        <v>16666.666666666668</v>
      </c>
      <c r="K471" s="10">
        <v>16666.666666666668</v>
      </c>
      <c r="L471" s="10">
        <v>16666.666666666668</v>
      </c>
      <c r="M471" s="10">
        <v>16666.666666666668</v>
      </c>
      <c r="N471" s="27">
        <f t="shared" si="292"/>
        <v>199999.99999999997</v>
      </c>
      <c r="O471" s="10">
        <v>11852.235583153904</v>
      </c>
      <c r="P471" s="10">
        <v>11852.235583153904</v>
      </c>
      <c r="Q471" s="10">
        <v>11852.235583153904</v>
      </c>
      <c r="R471" s="10">
        <v>11852.235583153904</v>
      </c>
      <c r="S471" s="10">
        <v>11852.235583153904</v>
      </c>
      <c r="T471" s="10">
        <v>11852.235583153904</v>
      </c>
      <c r="U471" s="10">
        <v>11852.235583153904</v>
      </c>
      <c r="V471" s="10">
        <v>11852.235583153904</v>
      </c>
      <c r="W471" s="10">
        <v>11852.235583153904</v>
      </c>
      <c r="X471" s="10">
        <v>11852.235583153904</v>
      </c>
      <c r="Y471" s="10">
        <v>11852.235583153904</v>
      </c>
      <c r="Z471" s="10">
        <v>11852.235583153904</v>
      </c>
      <c r="AA471" s="27">
        <f t="shared" si="293"/>
        <v>142226.82699784686</v>
      </c>
      <c r="AB471" s="10">
        <f t="shared" si="316"/>
        <v>4814.4310835127635</v>
      </c>
      <c r="AC471" s="10">
        <f t="shared" si="316"/>
        <v>4814.4310835127635</v>
      </c>
      <c r="AD471" s="10">
        <f t="shared" si="316"/>
        <v>4814.4310835127635</v>
      </c>
      <c r="AE471" s="10">
        <f t="shared" si="316"/>
        <v>4814.4310835127635</v>
      </c>
      <c r="AF471" s="10">
        <f t="shared" si="316"/>
        <v>4814.4310835127635</v>
      </c>
      <c r="AG471" s="10">
        <f t="shared" si="316"/>
        <v>4814.4310835127635</v>
      </c>
      <c r="AH471" s="10">
        <f t="shared" si="316"/>
        <v>4814.4310835127635</v>
      </c>
      <c r="AI471" s="10">
        <f t="shared" si="315"/>
        <v>4814.4310835127635</v>
      </c>
      <c r="AJ471" s="10">
        <f t="shared" si="315"/>
        <v>4814.4310835127635</v>
      </c>
      <c r="AK471" s="10">
        <f t="shared" si="315"/>
        <v>4814.4310835127635</v>
      </c>
      <c r="AL471" s="10">
        <f t="shared" si="315"/>
        <v>4814.4310835127635</v>
      </c>
      <c r="AM471" s="10">
        <f t="shared" si="315"/>
        <v>4814.4310835127635</v>
      </c>
      <c r="AN471" s="27">
        <f t="shared" si="315"/>
        <v>57773.173002153111</v>
      </c>
      <c r="AS471" t="str">
        <f>_xlfn.XLOOKUP(AU471,[2]GAE!HZ:HZ,[2]GAE!IA:IA)</f>
        <v>HUMAN RESOURCES</v>
      </c>
      <c r="AT471" t="str">
        <f>_xlfn.XLOOKUP(AU471,[2]GAE!HZ:HZ,[2]GAE!IB:IB)</f>
        <v>GAE - Training - Corporate - Local Int/Ext</v>
      </c>
      <c r="AU471" t="s">
        <v>864</v>
      </c>
      <c r="AV471">
        <v>80122101</v>
      </c>
      <c r="AW471">
        <v>61021502</v>
      </c>
      <c r="AX471" t="str">
        <f>_xlfn.XLOOKUP(AU471,[2]GAE!HZ:HZ,[2]GAE!IF:IF)</f>
        <v>Employee Benefits</v>
      </c>
      <c r="AY471" t="str">
        <f>_xlfn.XLOOKUP(AU471,[2]GAE!HZ:HZ,[2]GAE!IG:IG)</f>
        <v>Trainings &amp; Seminars</v>
      </c>
      <c r="BF471" t="s">
        <v>117</v>
      </c>
      <c r="BG471" s="2" t="s">
        <v>118</v>
      </c>
      <c r="BH471" s="10">
        <f>SUMIFS('[1]2026'!$K:$K,'[1]2026'!$T:$T,BD471,'[1]2026'!$S:$S,BH$3,'[1]2026'!$P:$P,AU471)</f>
        <v>0</v>
      </c>
      <c r="BI471" s="10">
        <f>SUMIFS('[1]2026'!$K:$K,'[1]2026'!$T:$T,$BD471,'[1]2026'!$S:$S,BI$3,'[1]2026'!$P:$P,$AU471)</f>
        <v>0</v>
      </c>
      <c r="BJ471" s="10">
        <f>SUMIFS('[1]2026'!$K:$K,'[1]2026'!$T:$T,$BD471,'[1]2026'!$S:$S,BJ$3,'[1]2026'!$P:$P,$AU471)</f>
        <v>0</v>
      </c>
      <c r="BK471" s="10">
        <f>SUMIFS('[1]2026'!$K:$K,'[1]2026'!$T:$T,$BD471,'[1]2026'!$S:$S,BK$3,'[1]2026'!$P:$P,$AU471)</f>
        <v>0</v>
      </c>
      <c r="BL471" s="10">
        <f>SUMIFS('[1]2026'!$K:$K,'[1]2026'!$T:$T,$BD471,'[1]2026'!$S:$S,BL$3,'[1]2026'!$P:$P,$AU471)</f>
        <v>0</v>
      </c>
      <c r="BM471" s="10">
        <f>SUMIFS('[1]2026'!$K:$K,'[1]2026'!$T:$T,$BD471,'[1]2026'!$S:$S,BM$3,'[1]2026'!$P:$P,$AU471)</f>
        <v>0</v>
      </c>
      <c r="BN471" s="10">
        <f>SUMIFS('[1]2026'!$K:$K,'[1]2026'!$T:$T,$BD471,'[1]2026'!$S:$S,BN$3,'[1]2026'!$P:$P,$AU471)</f>
        <v>0</v>
      </c>
      <c r="BO471" s="10">
        <f>SUMIFS('[1]2026'!$K:$K,'[1]2026'!$T:$T,$BD471,'[1]2026'!$S:$S,BO$3,'[1]2026'!$P:$P,$AU471)</f>
        <v>0</v>
      </c>
      <c r="BP471" s="6"/>
      <c r="BQ471" s="6"/>
      <c r="BR471" s="6"/>
      <c r="BS471" s="6"/>
      <c r="BT471" s="6">
        <f t="shared" si="318"/>
        <v>0</v>
      </c>
      <c r="BV471" s="6">
        <f t="shared" si="320"/>
        <v>-4814.4310835127635</v>
      </c>
      <c r="BW471" s="6">
        <f t="shared" si="321"/>
        <v>-4814.4310835127635</v>
      </c>
      <c r="BX471" s="6">
        <f t="shared" si="322"/>
        <v>-4814.4310835127635</v>
      </c>
      <c r="BY471" s="6">
        <f t="shared" si="323"/>
        <v>-4814.4310835127635</v>
      </c>
      <c r="BZ471" s="6">
        <f t="shared" si="324"/>
        <v>-4814.4310835127635</v>
      </c>
      <c r="CA471" s="6">
        <f t="shared" si="325"/>
        <v>-4814.4310835127635</v>
      </c>
      <c r="CB471" s="6">
        <f t="shared" si="326"/>
        <v>-4814.4310835127635</v>
      </c>
      <c r="CC471" s="6">
        <f t="shared" si="327"/>
        <v>-4814.4310835127635</v>
      </c>
      <c r="CD471" s="6">
        <f t="shared" si="328"/>
        <v>-4814.4310835127635</v>
      </c>
      <c r="CE471" s="6">
        <f t="shared" si="329"/>
        <v>-4814.4310835127635</v>
      </c>
      <c r="CF471" s="6">
        <f t="shared" si="330"/>
        <v>-4814.4310835127635</v>
      </c>
      <c r="CG471" s="6">
        <f t="shared" si="331"/>
        <v>-4814.4310835127635</v>
      </c>
      <c r="CH471" s="6">
        <f t="shared" si="296"/>
        <v>-57773.173002153111</v>
      </c>
    </row>
    <row r="472" spans="1:86" hidden="1" x14ac:dyDescent="0.35">
      <c r="A472" s="3" t="s">
        <v>865</v>
      </c>
      <c r="B472" s="10">
        <v>66666.666666666672</v>
      </c>
      <c r="C472" s="10">
        <v>66666.666666666672</v>
      </c>
      <c r="D472" s="10">
        <v>66666.666666666672</v>
      </c>
      <c r="E472" s="10">
        <v>66666.666666666672</v>
      </c>
      <c r="F472" s="10">
        <v>66666.666666666672</v>
      </c>
      <c r="G472" s="10">
        <v>66666.666666666672</v>
      </c>
      <c r="H472" s="10">
        <v>66666.666666666672</v>
      </c>
      <c r="I472" s="10">
        <v>66666.666666666672</v>
      </c>
      <c r="J472" s="10">
        <v>66666.666666666672</v>
      </c>
      <c r="K472" s="10">
        <v>66666.666666666672</v>
      </c>
      <c r="L472" s="10">
        <v>66666.666666666672</v>
      </c>
      <c r="M472" s="10">
        <v>66666.666666666672</v>
      </c>
      <c r="N472" s="27">
        <f t="shared" si="292"/>
        <v>799999.99999999988</v>
      </c>
      <c r="O472" s="10">
        <v>47408.942332615617</v>
      </c>
      <c r="P472" s="10">
        <v>47408.942332615617</v>
      </c>
      <c r="Q472" s="10">
        <v>47408.942332615617</v>
      </c>
      <c r="R472" s="10">
        <v>47408.942332615617</v>
      </c>
      <c r="S472" s="10">
        <v>47408.942332615617</v>
      </c>
      <c r="T472" s="10">
        <v>47408.942332615617</v>
      </c>
      <c r="U472" s="10">
        <v>47408.942332615617</v>
      </c>
      <c r="V472" s="10">
        <v>47408.942332615617</v>
      </c>
      <c r="W472" s="10">
        <v>47408.942332615617</v>
      </c>
      <c r="X472" s="10">
        <v>47408.942332615617</v>
      </c>
      <c r="Y472" s="10">
        <v>47408.942332615617</v>
      </c>
      <c r="Z472" s="10">
        <v>47408.942332615617</v>
      </c>
      <c r="AA472" s="27">
        <f t="shared" si="293"/>
        <v>568907.30799138744</v>
      </c>
      <c r="AB472" s="10">
        <f t="shared" si="316"/>
        <v>19257.724334051054</v>
      </c>
      <c r="AC472" s="10">
        <f t="shared" si="316"/>
        <v>19257.724334051054</v>
      </c>
      <c r="AD472" s="10">
        <f t="shared" si="316"/>
        <v>19257.724334051054</v>
      </c>
      <c r="AE472" s="10">
        <f t="shared" si="316"/>
        <v>19257.724334051054</v>
      </c>
      <c r="AF472" s="10">
        <f t="shared" si="316"/>
        <v>19257.724334051054</v>
      </c>
      <c r="AG472" s="10">
        <f t="shared" si="316"/>
        <v>19257.724334051054</v>
      </c>
      <c r="AH472" s="10">
        <f t="shared" si="316"/>
        <v>19257.724334051054</v>
      </c>
      <c r="AI472" s="10">
        <f t="shared" si="315"/>
        <v>19257.724334051054</v>
      </c>
      <c r="AJ472" s="10">
        <f t="shared" si="315"/>
        <v>19257.724334051054</v>
      </c>
      <c r="AK472" s="10">
        <f t="shared" si="315"/>
        <v>19257.724334051054</v>
      </c>
      <c r="AL472" s="10">
        <f t="shared" si="315"/>
        <v>19257.724334051054</v>
      </c>
      <c r="AM472" s="10">
        <f t="shared" si="315"/>
        <v>19257.724334051054</v>
      </c>
      <c r="AN472" s="27">
        <f t="shared" si="315"/>
        <v>231092.69200861244</v>
      </c>
      <c r="AS472" t="str">
        <f>_xlfn.XLOOKUP(AU472,[2]GAE!HZ:HZ,[2]GAE!IA:IA)</f>
        <v>HUMAN RESOURCES</v>
      </c>
      <c r="AT472" t="str">
        <f>_xlfn.XLOOKUP(AU472,[2]GAE!HZ:HZ,[2]GAE!IB:IB)</f>
        <v>DOE - Training - Local</v>
      </c>
      <c r="AU472" t="s">
        <v>860</v>
      </c>
      <c r="AV472">
        <v>90122101</v>
      </c>
      <c r="AW472">
        <v>52121502</v>
      </c>
      <c r="AX472" t="str">
        <f>_xlfn.XLOOKUP(AU472,[2]GAE!HZ:HZ,[2]GAE!IF:IF)</f>
        <v>Employee Benefits</v>
      </c>
      <c r="AY472" t="str">
        <f>_xlfn.XLOOKUP(AU472,[2]GAE!HZ:HZ,[2]GAE!IG:IG)</f>
        <v>Trainings &amp; Seminars</v>
      </c>
      <c r="BF472" t="s">
        <v>117</v>
      </c>
      <c r="BG472" t="s">
        <v>865</v>
      </c>
      <c r="BH472" s="10">
        <f>SUMIFS('[1]2026'!$K:$K,'[1]2026'!$T:$T,BD472,'[1]2026'!$S:$S,BH$3,'[1]2026'!$P:$P,AU472)</f>
        <v>0</v>
      </c>
      <c r="BI472" s="10">
        <f>SUMIFS('[1]2026'!$K:$K,'[1]2026'!$T:$T,$BD472,'[1]2026'!$S:$S,BI$3,'[1]2026'!$P:$P,$AU472)</f>
        <v>0</v>
      </c>
      <c r="BJ472" s="10">
        <f>SUMIFS('[1]2026'!$K:$K,'[1]2026'!$T:$T,$BD472,'[1]2026'!$S:$S,BJ$3,'[1]2026'!$P:$P,$AU472)</f>
        <v>0</v>
      </c>
      <c r="BK472" s="10">
        <f>SUMIFS('[1]2026'!$K:$K,'[1]2026'!$T:$T,$BD472,'[1]2026'!$S:$S,BK$3,'[1]2026'!$P:$P,$AU472)</f>
        <v>0</v>
      </c>
      <c r="BL472" s="10">
        <f>SUMIFS('[1]2026'!$K:$K,'[1]2026'!$T:$T,$BD472,'[1]2026'!$S:$S,BL$3,'[1]2026'!$P:$P,$AU472)</f>
        <v>0</v>
      </c>
      <c r="BM472" s="10">
        <f>SUMIFS('[1]2026'!$K:$K,'[1]2026'!$T:$T,$BD472,'[1]2026'!$S:$S,BM$3,'[1]2026'!$P:$P,$AU472)</f>
        <v>0</v>
      </c>
      <c r="BN472" s="10">
        <f>SUMIFS('[1]2026'!$K:$K,'[1]2026'!$T:$T,$BD472,'[1]2026'!$S:$S,BN$3,'[1]2026'!$P:$P,$AU472)</f>
        <v>0</v>
      </c>
      <c r="BO472" s="10">
        <f>SUMIFS('[1]2026'!$K:$K,'[1]2026'!$T:$T,$BD472,'[1]2026'!$S:$S,BO$3,'[1]2026'!$P:$P,$AU472)</f>
        <v>0</v>
      </c>
      <c r="BP472" s="6"/>
      <c r="BQ472" s="6"/>
      <c r="BR472" s="6"/>
      <c r="BS472" s="6"/>
      <c r="BT472" s="6">
        <f t="shared" si="318"/>
        <v>0</v>
      </c>
      <c r="BV472" s="6">
        <f t="shared" si="320"/>
        <v>-19257.724334051054</v>
      </c>
      <c r="BW472" s="6">
        <f t="shared" si="321"/>
        <v>-19257.724334051054</v>
      </c>
      <c r="BX472" s="6">
        <f t="shared" si="322"/>
        <v>-19257.724334051054</v>
      </c>
      <c r="BY472" s="6">
        <f t="shared" si="323"/>
        <v>-19257.724334051054</v>
      </c>
      <c r="BZ472" s="6">
        <f t="shared" si="324"/>
        <v>-19257.724334051054</v>
      </c>
      <c r="CA472" s="6">
        <f t="shared" si="325"/>
        <v>-19257.724334051054</v>
      </c>
      <c r="CB472" s="6">
        <f t="shared" si="326"/>
        <v>-19257.724334051054</v>
      </c>
      <c r="CC472" s="6">
        <f t="shared" si="327"/>
        <v>-19257.724334051054</v>
      </c>
      <c r="CD472" s="6">
        <f t="shared" si="328"/>
        <v>-19257.724334051054</v>
      </c>
      <c r="CE472" s="6">
        <f t="shared" si="329"/>
        <v>-19257.724334051054</v>
      </c>
      <c r="CF472" s="6">
        <f t="shared" si="330"/>
        <v>-19257.724334051054</v>
      </c>
      <c r="CG472" s="6">
        <f t="shared" si="331"/>
        <v>-19257.724334051054</v>
      </c>
      <c r="CH472" s="6">
        <f t="shared" si="296"/>
        <v>-231092.69200861244</v>
      </c>
    </row>
    <row r="473" spans="1:86" hidden="1" x14ac:dyDescent="0.35">
      <c r="A473" s="3" t="s">
        <v>865</v>
      </c>
      <c r="B473" s="10">
        <v>25000</v>
      </c>
      <c r="C473" s="10">
        <v>25000</v>
      </c>
      <c r="D473" s="10">
        <v>25000</v>
      </c>
      <c r="E473" s="10">
        <v>25000</v>
      </c>
      <c r="F473" s="10">
        <v>25000</v>
      </c>
      <c r="G473" s="10">
        <v>25000</v>
      </c>
      <c r="H473" s="10">
        <v>25000</v>
      </c>
      <c r="I473" s="10">
        <v>25000</v>
      </c>
      <c r="J473" s="10">
        <v>25000</v>
      </c>
      <c r="K473" s="10">
        <v>25000</v>
      </c>
      <c r="L473" s="10">
        <v>25000</v>
      </c>
      <c r="M473" s="10">
        <v>25000</v>
      </c>
      <c r="N473" s="27">
        <f t="shared" si="292"/>
        <v>300000</v>
      </c>
      <c r="O473" s="10">
        <v>17778.353374730857</v>
      </c>
      <c r="P473" s="10">
        <v>17778.353374730857</v>
      </c>
      <c r="Q473" s="10">
        <v>17778.353374730857</v>
      </c>
      <c r="R473" s="10">
        <v>17778.353374730857</v>
      </c>
      <c r="S473" s="10">
        <v>17778.353374730857</v>
      </c>
      <c r="T473" s="10">
        <v>17778.353374730857</v>
      </c>
      <c r="U473" s="10">
        <v>17778.353374730857</v>
      </c>
      <c r="V473" s="10">
        <v>17778.353374730857</v>
      </c>
      <c r="W473" s="10">
        <v>17778.353374730857</v>
      </c>
      <c r="X473" s="10">
        <v>17778.353374730857</v>
      </c>
      <c r="Y473" s="10">
        <v>17778.353374730857</v>
      </c>
      <c r="Z473" s="10">
        <v>17778.353374730857</v>
      </c>
      <c r="AA473" s="27">
        <f t="shared" si="293"/>
        <v>213340.24049677028</v>
      </c>
      <c r="AB473" s="10">
        <f t="shared" si="316"/>
        <v>7221.6466252691425</v>
      </c>
      <c r="AC473" s="10">
        <f t="shared" si="316"/>
        <v>7221.6466252691425</v>
      </c>
      <c r="AD473" s="10">
        <f t="shared" si="316"/>
        <v>7221.6466252691425</v>
      </c>
      <c r="AE473" s="10">
        <f t="shared" si="316"/>
        <v>7221.6466252691425</v>
      </c>
      <c r="AF473" s="10">
        <f t="shared" si="316"/>
        <v>7221.6466252691425</v>
      </c>
      <c r="AG473" s="10">
        <f t="shared" si="316"/>
        <v>7221.6466252691425</v>
      </c>
      <c r="AH473" s="10">
        <f t="shared" si="316"/>
        <v>7221.6466252691425</v>
      </c>
      <c r="AI473" s="10">
        <f t="shared" si="315"/>
        <v>7221.6466252691425</v>
      </c>
      <c r="AJ473" s="10">
        <f t="shared" si="315"/>
        <v>7221.6466252691425</v>
      </c>
      <c r="AK473" s="10">
        <f t="shared" si="315"/>
        <v>7221.6466252691425</v>
      </c>
      <c r="AL473" s="10">
        <f t="shared" si="315"/>
        <v>7221.6466252691425</v>
      </c>
      <c r="AM473" s="10">
        <f t="shared" si="315"/>
        <v>7221.6466252691425</v>
      </c>
      <c r="AN473" s="27">
        <f t="shared" si="315"/>
        <v>86659.759503229725</v>
      </c>
      <c r="AS473" t="str">
        <f>_xlfn.XLOOKUP(AU473,[2]GAE!HZ:HZ,[2]GAE!IA:IA)</f>
        <v>HUMAN RESOURCES</v>
      </c>
      <c r="AT473" t="str">
        <f>_xlfn.XLOOKUP(AU473,[2]GAE!HZ:HZ,[2]GAE!IB:IB)</f>
        <v>DOE - Training - Local</v>
      </c>
      <c r="AU473" t="s">
        <v>863</v>
      </c>
      <c r="AV473">
        <v>81122101</v>
      </c>
      <c r="AW473">
        <v>52121502</v>
      </c>
      <c r="AX473" t="str">
        <f>_xlfn.XLOOKUP(AU473,[2]GAE!HZ:HZ,[2]GAE!IF:IF)</f>
        <v>Employee Benefits</v>
      </c>
      <c r="AY473" t="str">
        <f>_xlfn.XLOOKUP(AU473,[2]GAE!HZ:HZ,[2]GAE!IG:IG)</f>
        <v>Trainings &amp; Seminars</v>
      </c>
      <c r="BF473" t="s">
        <v>117</v>
      </c>
      <c r="BG473" t="s">
        <v>865</v>
      </c>
      <c r="BH473" s="10">
        <f>SUMIFS('[1]2026'!$K:$K,'[1]2026'!$T:$T,BD473,'[1]2026'!$S:$S,BH$3,'[1]2026'!$P:$P,AU473)</f>
        <v>0</v>
      </c>
      <c r="BI473" s="10">
        <f>SUMIFS('[1]2026'!$K:$K,'[1]2026'!$T:$T,$BD473,'[1]2026'!$S:$S,BI$3,'[1]2026'!$P:$P,$AU473)</f>
        <v>0</v>
      </c>
      <c r="BJ473" s="10">
        <f>SUMIFS('[1]2026'!$K:$K,'[1]2026'!$T:$T,$BD473,'[1]2026'!$S:$S,BJ$3,'[1]2026'!$P:$P,$AU473)</f>
        <v>0</v>
      </c>
      <c r="BK473" s="10">
        <f>SUMIFS('[1]2026'!$K:$K,'[1]2026'!$T:$T,$BD473,'[1]2026'!$S:$S,BK$3,'[1]2026'!$P:$P,$AU473)</f>
        <v>0</v>
      </c>
      <c r="BL473" s="10">
        <f>SUMIFS('[1]2026'!$K:$K,'[1]2026'!$T:$T,$BD473,'[1]2026'!$S:$S,BL$3,'[1]2026'!$P:$P,$AU473)</f>
        <v>0</v>
      </c>
      <c r="BM473" s="10">
        <f>SUMIFS('[1]2026'!$K:$K,'[1]2026'!$T:$T,$BD473,'[1]2026'!$S:$S,BM$3,'[1]2026'!$P:$P,$AU473)</f>
        <v>0</v>
      </c>
      <c r="BN473" s="10">
        <f>SUMIFS('[1]2026'!$K:$K,'[1]2026'!$T:$T,$BD473,'[1]2026'!$S:$S,BN$3,'[1]2026'!$P:$P,$AU473)</f>
        <v>0</v>
      </c>
      <c r="BO473" s="10">
        <f>SUMIFS('[1]2026'!$K:$K,'[1]2026'!$T:$T,$BD473,'[1]2026'!$S:$S,BO$3,'[1]2026'!$P:$P,$AU473)</f>
        <v>0</v>
      </c>
      <c r="BP473" s="6"/>
      <c r="BQ473" s="6"/>
      <c r="BR473" s="6"/>
      <c r="BS473" s="6"/>
      <c r="BT473" s="6">
        <f t="shared" si="318"/>
        <v>0</v>
      </c>
      <c r="BV473" s="6">
        <f t="shared" si="320"/>
        <v>-7221.6466252691425</v>
      </c>
      <c r="BW473" s="6">
        <f t="shared" si="321"/>
        <v>-7221.6466252691425</v>
      </c>
      <c r="BX473" s="6">
        <f t="shared" si="322"/>
        <v>-7221.6466252691425</v>
      </c>
      <c r="BY473" s="6">
        <f t="shared" si="323"/>
        <v>-7221.6466252691425</v>
      </c>
      <c r="BZ473" s="6">
        <f t="shared" si="324"/>
        <v>-7221.6466252691425</v>
      </c>
      <c r="CA473" s="6">
        <f t="shared" si="325"/>
        <v>-7221.6466252691425</v>
      </c>
      <c r="CB473" s="6">
        <f t="shared" si="326"/>
        <v>-7221.6466252691425</v>
      </c>
      <c r="CC473" s="6">
        <f t="shared" si="327"/>
        <v>-7221.6466252691425</v>
      </c>
      <c r="CD473" s="6">
        <f t="shared" si="328"/>
        <v>-7221.6466252691425</v>
      </c>
      <c r="CE473" s="6">
        <f t="shared" si="329"/>
        <v>-7221.6466252691425</v>
      </c>
      <c r="CF473" s="6">
        <f t="shared" si="330"/>
        <v>-7221.6466252691425</v>
      </c>
      <c r="CG473" s="6">
        <f t="shared" si="331"/>
        <v>-7221.6466252691425</v>
      </c>
      <c r="CH473" s="6">
        <f t="shared" si="296"/>
        <v>-86659.759503229725</v>
      </c>
    </row>
    <row r="474" spans="1:86" hidden="1" x14ac:dyDescent="0.35">
      <c r="A474" s="3" t="s">
        <v>865</v>
      </c>
      <c r="B474" s="10">
        <v>16666.666666666668</v>
      </c>
      <c r="C474" s="10">
        <v>16666.666666666668</v>
      </c>
      <c r="D474" s="10">
        <v>16666.666666666668</v>
      </c>
      <c r="E474" s="10">
        <v>16666.666666666668</v>
      </c>
      <c r="F474" s="10">
        <v>16666.666666666668</v>
      </c>
      <c r="G474" s="10">
        <v>16666.666666666668</v>
      </c>
      <c r="H474" s="10">
        <v>16666.666666666668</v>
      </c>
      <c r="I474" s="10">
        <v>16666.666666666668</v>
      </c>
      <c r="J474" s="10">
        <v>16666.666666666668</v>
      </c>
      <c r="K474" s="10">
        <v>16666.666666666668</v>
      </c>
      <c r="L474" s="10">
        <v>16666.666666666668</v>
      </c>
      <c r="M474" s="10">
        <v>16666.666666666668</v>
      </c>
      <c r="N474" s="27">
        <f t="shared" si="292"/>
        <v>199999.99999999997</v>
      </c>
      <c r="O474" s="10">
        <v>11852.235583153904</v>
      </c>
      <c r="P474" s="10">
        <v>11852.235583153904</v>
      </c>
      <c r="Q474" s="10">
        <v>11852.235583153904</v>
      </c>
      <c r="R474" s="10">
        <v>11852.235583153904</v>
      </c>
      <c r="S474" s="10">
        <v>11852.235583153904</v>
      </c>
      <c r="T474" s="10">
        <v>11852.235583153904</v>
      </c>
      <c r="U474" s="10">
        <v>11852.235583153904</v>
      </c>
      <c r="V474" s="10">
        <v>11852.235583153904</v>
      </c>
      <c r="W474" s="10">
        <v>11852.235583153904</v>
      </c>
      <c r="X474" s="10">
        <v>11852.235583153904</v>
      </c>
      <c r="Y474" s="10">
        <v>11852.235583153904</v>
      </c>
      <c r="Z474" s="10">
        <v>11852.235583153904</v>
      </c>
      <c r="AA474" s="27">
        <f t="shared" si="293"/>
        <v>142226.82699784686</v>
      </c>
      <c r="AB474" s="10">
        <f t="shared" si="316"/>
        <v>4814.4310835127635</v>
      </c>
      <c r="AC474" s="10">
        <f t="shared" si="316"/>
        <v>4814.4310835127635</v>
      </c>
      <c r="AD474" s="10">
        <f t="shared" si="316"/>
        <v>4814.4310835127635</v>
      </c>
      <c r="AE474" s="10">
        <f t="shared" si="316"/>
        <v>4814.4310835127635</v>
      </c>
      <c r="AF474" s="10">
        <f t="shared" si="316"/>
        <v>4814.4310835127635</v>
      </c>
      <c r="AG474" s="10">
        <f t="shared" si="316"/>
        <v>4814.4310835127635</v>
      </c>
      <c r="AH474" s="10">
        <f t="shared" si="316"/>
        <v>4814.4310835127635</v>
      </c>
      <c r="AI474" s="10">
        <f t="shared" si="315"/>
        <v>4814.4310835127635</v>
      </c>
      <c r="AJ474" s="10">
        <f t="shared" si="315"/>
        <v>4814.4310835127635</v>
      </c>
      <c r="AK474" s="10">
        <f t="shared" si="315"/>
        <v>4814.4310835127635</v>
      </c>
      <c r="AL474" s="10">
        <f t="shared" si="315"/>
        <v>4814.4310835127635</v>
      </c>
      <c r="AM474" s="10">
        <f t="shared" si="315"/>
        <v>4814.4310835127635</v>
      </c>
      <c r="AN474" s="27">
        <f t="shared" si="315"/>
        <v>57773.173002153111</v>
      </c>
      <c r="AS474" t="str">
        <f>_xlfn.XLOOKUP(AU474,[2]GAE!HZ:HZ,[2]GAE!IA:IA)</f>
        <v>HUMAN RESOURCES</v>
      </c>
      <c r="AT474" t="str">
        <f>_xlfn.XLOOKUP(AU474,[2]GAE!HZ:HZ,[2]GAE!IB:IB)</f>
        <v>GAE - Training - Corporate - Local Int/Ext</v>
      </c>
      <c r="AU474" t="s">
        <v>864</v>
      </c>
      <c r="AV474">
        <v>80122101</v>
      </c>
      <c r="AW474">
        <v>61021502</v>
      </c>
      <c r="AX474" t="str">
        <f>_xlfn.XLOOKUP(AU474,[2]GAE!HZ:HZ,[2]GAE!IF:IF)</f>
        <v>Employee Benefits</v>
      </c>
      <c r="AY474" t="str">
        <f>_xlfn.XLOOKUP(AU474,[2]GAE!HZ:HZ,[2]GAE!IG:IG)</f>
        <v>Trainings &amp; Seminars</v>
      </c>
      <c r="BF474" t="s">
        <v>117</v>
      </c>
      <c r="BG474" t="s">
        <v>865</v>
      </c>
      <c r="BH474" s="10">
        <f>SUMIFS('[1]2026'!$K:$K,'[1]2026'!$T:$T,BD474,'[1]2026'!$S:$S,BH$3,'[1]2026'!$P:$P,AU474)</f>
        <v>0</v>
      </c>
      <c r="BI474" s="10">
        <f>SUMIFS('[1]2026'!$K:$K,'[1]2026'!$T:$T,$BD474,'[1]2026'!$S:$S,BI$3,'[1]2026'!$P:$P,$AU474)</f>
        <v>0</v>
      </c>
      <c r="BJ474" s="10">
        <f>SUMIFS('[1]2026'!$K:$K,'[1]2026'!$T:$T,$BD474,'[1]2026'!$S:$S,BJ$3,'[1]2026'!$P:$P,$AU474)</f>
        <v>0</v>
      </c>
      <c r="BK474" s="10">
        <f>SUMIFS('[1]2026'!$K:$K,'[1]2026'!$T:$T,$BD474,'[1]2026'!$S:$S,BK$3,'[1]2026'!$P:$P,$AU474)</f>
        <v>0</v>
      </c>
      <c r="BL474" s="10">
        <f>SUMIFS('[1]2026'!$K:$K,'[1]2026'!$T:$T,$BD474,'[1]2026'!$S:$S,BL$3,'[1]2026'!$P:$P,$AU474)</f>
        <v>0</v>
      </c>
      <c r="BM474" s="10">
        <f>SUMIFS('[1]2026'!$K:$K,'[1]2026'!$T:$T,$BD474,'[1]2026'!$S:$S,BM$3,'[1]2026'!$P:$P,$AU474)</f>
        <v>0</v>
      </c>
      <c r="BN474" s="10">
        <f>SUMIFS('[1]2026'!$K:$K,'[1]2026'!$T:$T,$BD474,'[1]2026'!$S:$S,BN$3,'[1]2026'!$P:$P,$AU474)</f>
        <v>0</v>
      </c>
      <c r="BO474" s="10">
        <f>SUMIFS('[1]2026'!$K:$K,'[1]2026'!$T:$T,$BD474,'[1]2026'!$S:$S,BO$3,'[1]2026'!$P:$P,$AU474)</f>
        <v>0</v>
      </c>
      <c r="BP474" s="6"/>
      <c r="BQ474" s="6"/>
      <c r="BR474" s="6"/>
      <c r="BS474" s="6"/>
      <c r="BT474" s="6">
        <f t="shared" si="318"/>
        <v>0</v>
      </c>
      <c r="BV474" s="6">
        <f t="shared" si="320"/>
        <v>-4814.4310835127635</v>
      </c>
      <c r="BW474" s="6">
        <f t="shared" si="321"/>
        <v>-4814.4310835127635</v>
      </c>
      <c r="BX474" s="6">
        <f t="shared" si="322"/>
        <v>-4814.4310835127635</v>
      </c>
      <c r="BY474" s="6">
        <f t="shared" si="323"/>
        <v>-4814.4310835127635</v>
      </c>
      <c r="BZ474" s="6">
        <f t="shared" si="324"/>
        <v>-4814.4310835127635</v>
      </c>
      <c r="CA474" s="6">
        <f t="shared" si="325"/>
        <v>-4814.4310835127635</v>
      </c>
      <c r="CB474" s="6">
        <f t="shared" si="326"/>
        <v>-4814.4310835127635</v>
      </c>
      <c r="CC474" s="6">
        <f t="shared" si="327"/>
        <v>-4814.4310835127635</v>
      </c>
      <c r="CD474" s="6">
        <f t="shared" si="328"/>
        <v>-4814.4310835127635</v>
      </c>
      <c r="CE474" s="6">
        <f t="shared" si="329"/>
        <v>-4814.4310835127635</v>
      </c>
      <c r="CF474" s="6">
        <f t="shared" si="330"/>
        <v>-4814.4310835127635</v>
      </c>
      <c r="CG474" s="6">
        <f t="shared" si="331"/>
        <v>-4814.4310835127635</v>
      </c>
      <c r="CH474" s="6">
        <f t="shared" si="296"/>
        <v>-57773.173002153111</v>
      </c>
    </row>
    <row r="475" spans="1:86" hidden="1" x14ac:dyDescent="0.35">
      <c r="A475" s="3" t="s">
        <v>866</v>
      </c>
      <c r="B475" s="10">
        <v>25000</v>
      </c>
      <c r="C475" s="10">
        <v>25000</v>
      </c>
      <c r="D475" s="10">
        <v>25000</v>
      </c>
      <c r="E475" s="10">
        <v>25000</v>
      </c>
      <c r="F475" s="10">
        <v>25000</v>
      </c>
      <c r="G475" s="10">
        <v>25000</v>
      </c>
      <c r="H475" s="10">
        <v>25000</v>
      </c>
      <c r="I475" s="10">
        <v>25000</v>
      </c>
      <c r="J475" s="10">
        <v>25000</v>
      </c>
      <c r="K475" s="10">
        <v>25000</v>
      </c>
      <c r="L475" s="10">
        <v>25000</v>
      </c>
      <c r="M475" s="10">
        <v>25000</v>
      </c>
      <c r="N475" s="27">
        <f t="shared" si="292"/>
        <v>300000</v>
      </c>
      <c r="O475" s="10">
        <v>17778.353374730857</v>
      </c>
      <c r="P475" s="10">
        <v>17778.353374730857</v>
      </c>
      <c r="Q475" s="10">
        <v>17778.353374730857</v>
      </c>
      <c r="R475" s="10">
        <v>17778.353374730857</v>
      </c>
      <c r="S475" s="10">
        <v>17778.353374730857</v>
      </c>
      <c r="T475" s="10">
        <v>17778.353374730857</v>
      </c>
      <c r="U475" s="10">
        <v>17778.353374730857</v>
      </c>
      <c r="V475" s="10">
        <v>17778.353374730857</v>
      </c>
      <c r="W475" s="10">
        <v>17778.353374730857</v>
      </c>
      <c r="X475" s="10">
        <v>17778.353374730857</v>
      </c>
      <c r="Y475" s="10">
        <v>17778.353374730857</v>
      </c>
      <c r="Z475" s="10">
        <v>17778.353374730857</v>
      </c>
      <c r="AA475" s="27">
        <f t="shared" si="293"/>
        <v>213340.24049677028</v>
      </c>
      <c r="AB475" s="10">
        <f t="shared" si="316"/>
        <v>7221.6466252691425</v>
      </c>
      <c r="AC475" s="10">
        <f t="shared" si="316"/>
        <v>7221.6466252691425</v>
      </c>
      <c r="AD475" s="10">
        <f t="shared" si="316"/>
        <v>7221.6466252691425</v>
      </c>
      <c r="AE475" s="10">
        <f t="shared" si="316"/>
        <v>7221.6466252691425</v>
      </c>
      <c r="AF475" s="10">
        <f t="shared" si="316"/>
        <v>7221.6466252691425</v>
      </c>
      <c r="AG475" s="10">
        <f t="shared" si="316"/>
        <v>7221.6466252691425</v>
      </c>
      <c r="AH475" s="10">
        <f t="shared" si="316"/>
        <v>7221.6466252691425</v>
      </c>
      <c r="AI475" s="10">
        <f t="shared" si="315"/>
        <v>7221.6466252691425</v>
      </c>
      <c r="AJ475" s="10">
        <f t="shared" si="315"/>
        <v>7221.6466252691425</v>
      </c>
      <c r="AK475" s="10">
        <f t="shared" si="315"/>
        <v>7221.6466252691425</v>
      </c>
      <c r="AL475" s="10">
        <f t="shared" si="315"/>
        <v>7221.6466252691425</v>
      </c>
      <c r="AM475" s="10">
        <f t="shared" si="315"/>
        <v>7221.6466252691425</v>
      </c>
      <c r="AN475" s="27">
        <f t="shared" si="315"/>
        <v>86659.759503229725</v>
      </c>
      <c r="AS475" t="str">
        <f>_xlfn.XLOOKUP(AU475,[2]GAE!HZ:HZ,[2]GAE!IA:IA)</f>
        <v>HUMAN RESOURCES</v>
      </c>
      <c r="AT475" t="str">
        <f>_xlfn.XLOOKUP(AU475,[2]GAE!HZ:HZ,[2]GAE!IB:IB)</f>
        <v>DOE - Training - Local</v>
      </c>
      <c r="AU475" t="s">
        <v>860</v>
      </c>
      <c r="AV475">
        <v>90122101</v>
      </c>
      <c r="AW475">
        <v>52121502</v>
      </c>
      <c r="AX475" t="str">
        <f>_xlfn.XLOOKUP(AU475,[2]GAE!HZ:HZ,[2]GAE!IF:IF)</f>
        <v>Employee Benefits</v>
      </c>
      <c r="AY475" t="str">
        <f>_xlfn.XLOOKUP(AU475,[2]GAE!HZ:HZ,[2]GAE!IG:IG)</f>
        <v>Trainings &amp; Seminars</v>
      </c>
      <c r="BF475" t="s">
        <v>117</v>
      </c>
      <c r="BG475" t="s">
        <v>866</v>
      </c>
      <c r="BH475" s="10">
        <f>SUMIFS('[1]2026'!$K:$K,'[1]2026'!$T:$T,BD475,'[1]2026'!$S:$S,BH$3,'[1]2026'!$P:$P,AU475)</f>
        <v>0</v>
      </c>
      <c r="BI475" s="10">
        <f>SUMIFS('[1]2026'!$K:$K,'[1]2026'!$T:$T,$BD475,'[1]2026'!$S:$S,BI$3,'[1]2026'!$P:$P,$AU475)</f>
        <v>0</v>
      </c>
      <c r="BJ475" s="10">
        <f>SUMIFS('[1]2026'!$K:$K,'[1]2026'!$T:$T,$BD475,'[1]2026'!$S:$S,BJ$3,'[1]2026'!$P:$P,$AU475)</f>
        <v>0</v>
      </c>
      <c r="BK475" s="10">
        <f>SUMIFS('[1]2026'!$K:$K,'[1]2026'!$T:$T,$BD475,'[1]2026'!$S:$S,BK$3,'[1]2026'!$P:$P,$AU475)</f>
        <v>0</v>
      </c>
      <c r="BL475" s="10">
        <f>SUMIFS('[1]2026'!$K:$K,'[1]2026'!$T:$T,$BD475,'[1]2026'!$S:$S,BL$3,'[1]2026'!$P:$P,$AU475)</f>
        <v>0</v>
      </c>
      <c r="BM475" s="10">
        <f>SUMIFS('[1]2026'!$K:$K,'[1]2026'!$T:$T,$BD475,'[1]2026'!$S:$S,BM$3,'[1]2026'!$P:$P,$AU475)</f>
        <v>0</v>
      </c>
      <c r="BN475" s="10">
        <f>SUMIFS('[1]2026'!$K:$K,'[1]2026'!$T:$T,$BD475,'[1]2026'!$S:$S,BN$3,'[1]2026'!$P:$P,$AU475)</f>
        <v>0</v>
      </c>
      <c r="BO475" s="10">
        <f>SUMIFS('[1]2026'!$K:$K,'[1]2026'!$T:$T,$BD475,'[1]2026'!$S:$S,BO$3,'[1]2026'!$P:$P,$AU475)</f>
        <v>0</v>
      </c>
      <c r="BP475" s="6"/>
      <c r="BQ475" s="6"/>
      <c r="BR475" s="6"/>
      <c r="BS475" s="6"/>
      <c r="BT475" s="6">
        <f t="shared" si="318"/>
        <v>0</v>
      </c>
      <c r="BV475" s="6">
        <f t="shared" si="320"/>
        <v>-7221.6466252691425</v>
      </c>
      <c r="BW475" s="6">
        <f t="shared" si="321"/>
        <v>-7221.6466252691425</v>
      </c>
      <c r="BX475" s="6">
        <f t="shared" si="322"/>
        <v>-7221.6466252691425</v>
      </c>
      <c r="BY475" s="6">
        <f t="shared" si="323"/>
        <v>-7221.6466252691425</v>
      </c>
      <c r="BZ475" s="6">
        <f t="shared" si="324"/>
        <v>-7221.6466252691425</v>
      </c>
      <c r="CA475" s="6">
        <f t="shared" si="325"/>
        <v>-7221.6466252691425</v>
      </c>
      <c r="CB475" s="6">
        <f t="shared" si="326"/>
        <v>-7221.6466252691425</v>
      </c>
      <c r="CC475" s="6">
        <f t="shared" si="327"/>
        <v>-7221.6466252691425</v>
      </c>
      <c r="CD475" s="6">
        <f t="shared" si="328"/>
        <v>-7221.6466252691425</v>
      </c>
      <c r="CE475" s="6">
        <f t="shared" si="329"/>
        <v>-7221.6466252691425</v>
      </c>
      <c r="CF475" s="6">
        <f t="shared" si="330"/>
        <v>-7221.6466252691425</v>
      </c>
      <c r="CG475" s="6">
        <f t="shared" si="331"/>
        <v>-7221.6466252691425</v>
      </c>
      <c r="CH475" s="6">
        <f t="shared" si="296"/>
        <v>-86659.759503229725</v>
      </c>
    </row>
    <row r="476" spans="1:86" hidden="1" x14ac:dyDescent="0.35">
      <c r="A476" s="3" t="s">
        <v>866</v>
      </c>
      <c r="B476" s="10">
        <v>2500</v>
      </c>
      <c r="C476" s="10">
        <v>2500</v>
      </c>
      <c r="D476" s="10">
        <v>2500</v>
      </c>
      <c r="E476" s="10">
        <v>2500</v>
      </c>
      <c r="F476" s="10">
        <v>2500</v>
      </c>
      <c r="G476" s="10">
        <v>2500</v>
      </c>
      <c r="H476" s="10">
        <v>2500</v>
      </c>
      <c r="I476" s="10">
        <v>2500</v>
      </c>
      <c r="J476" s="10">
        <v>2500</v>
      </c>
      <c r="K476" s="10">
        <v>2500</v>
      </c>
      <c r="L476" s="10">
        <v>2500</v>
      </c>
      <c r="M476" s="10">
        <v>2500</v>
      </c>
      <c r="N476" s="27">
        <f t="shared" si="292"/>
        <v>30000</v>
      </c>
      <c r="O476" s="10">
        <v>1777.8353374730859</v>
      </c>
      <c r="P476" s="10">
        <v>1777.8353374730859</v>
      </c>
      <c r="Q476" s="10">
        <v>1777.8353374730859</v>
      </c>
      <c r="R476" s="10">
        <v>1777.8353374730859</v>
      </c>
      <c r="S476" s="10">
        <v>1777.8353374730859</v>
      </c>
      <c r="T476" s="10">
        <v>1777.8353374730859</v>
      </c>
      <c r="U476" s="10">
        <v>1777.8353374730859</v>
      </c>
      <c r="V476" s="10">
        <v>1777.8353374730859</v>
      </c>
      <c r="W476" s="10">
        <v>1777.8353374730859</v>
      </c>
      <c r="X476" s="10">
        <v>1777.8353374730859</v>
      </c>
      <c r="Y476" s="10">
        <v>1777.8353374730859</v>
      </c>
      <c r="Z476" s="10">
        <v>1777.8353374730859</v>
      </c>
      <c r="AA476" s="27">
        <f t="shared" si="293"/>
        <v>21334.024049677038</v>
      </c>
      <c r="AB476" s="10">
        <f t="shared" si="316"/>
        <v>722.16466252691407</v>
      </c>
      <c r="AC476" s="10">
        <f t="shared" si="316"/>
        <v>722.16466252691407</v>
      </c>
      <c r="AD476" s="10">
        <f t="shared" si="316"/>
        <v>722.16466252691407</v>
      </c>
      <c r="AE476" s="10">
        <f t="shared" si="316"/>
        <v>722.16466252691407</v>
      </c>
      <c r="AF476" s="10">
        <f t="shared" si="316"/>
        <v>722.16466252691407</v>
      </c>
      <c r="AG476" s="10">
        <f t="shared" si="316"/>
        <v>722.16466252691407</v>
      </c>
      <c r="AH476" s="10">
        <f t="shared" si="316"/>
        <v>722.16466252691407</v>
      </c>
      <c r="AI476" s="10">
        <f t="shared" si="315"/>
        <v>722.16466252691407</v>
      </c>
      <c r="AJ476" s="10">
        <f t="shared" si="315"/>
        <v>722.16466252691407</v>
      </c>
      <c r="AK476" s="10">
        <f t="shared" si="315"/>
        <v>722.16466252691407</v>
      </c>
      <c r="AL476" s="10">
        <f t="shared" si="315"/>
        <v>722.16466252691407</v>
      </c>
      <c r="AM476" s="10">
        <f t="shared" si="315"/>
        <v>722.16466252691407</v>
      </c>
      <c r="AN476" s="27">
        <f t="shared" si="315"/>
        <v>8665.9759503229616</v>
      </c>
      <c r="AS476" t="str">
        <f>_xlfn.XLOOKUP(AU476,[2]GAE!HZ:HZ,[2]GAE!IA:IA)</f>
        <v>HUMAN RESOURCES</v>
      </c>
      <c r="AT476" t="str">
        <f>_xlfn.XLOOKUP(AU476,[2]GAE!HZ:HZ,[2]GAE!IB:IB)</f>
        <v>DOE - Training - Local</v>
      </c>
      <c r="AU476" t="s">
        <v>863</v>
      </c>
      <c r="AV476">
        <v>81122101</v>
      </c>
      <c r="AW476">
        <v>52121502</v>
      </c>
      <c r="AX476" t="str">
        <f>_xlfn.XLOOKUP(AU476,[2]GAE!HZ:HZ,[2]GAE!IF:IF)</f>
        <v>Employee Benefits</v>
      </c>
      <c r="AY476" t="str">
        <f>_xlfn.XLOOKUP(AU476,[2]GAE!HZ:HZ,[2]GAE!IG:IG)</f>
        <v>Trainings &amp; Seminars</v>
      </c>
      <c r="BF476" t="s">
        <v>117</v>
      </c>
      <c r="BG476" t="s">
        <v>866</v>
      </c>
      <c r="BH476" s="10">
        <f>SUMIFS('[1]2026'!$K:$K,'[1]2026'!$T:$T,BD476,'[1]2026'!$S:$S,BH$3,'[1]2026'!$P:$P,AU476)</f>
        <v>0</v>
      </c>
      <c r="BI476" s="10">
        <f>SUMIFS('[1]2026'!$K:$K,'[1]2026'!$T:$T,$BD476,'[1]2026'!$S:$S,BI$3,'[1]2026'!$P:$P,$AU476)</f>
        <v>0</v>
      </c>
      <c r="BJ476" s="10">
        <f>SUMIFS('[1]2026'!$K:$K,'[1]2026'!$T:$T,$BD476,'[1]2026'!$S:$S,BJ$3,'[1]2026'!$P:$P,$AU476)</f>
        <v>0</v>
      </c>
      <c r="BK476" s="10">
        <f>SUMIFS('[1]2026'!$K:$K,'[1]2026'!$T:$T,$BD476,'[1]2026'!$S:$S,BK$3,'[1]2026'!$P:$P,$AU476)</f>
        <v>0</v>
      </c>
      <c r="BL476" s="10">
        <f>SUMIFS('[1]2026'!$K:$K,'[1]2026'!$T:$T,$BD476,'[1]2026'!$S:$S,BL$3,'[1]2026'!$P:$P,$AU476)</f>
        <v>0</v>
      </c>
      <c r="BM476" s="10">
        <f>SUMIFS('[1]2026'!$K:$K,'[1]2026'!$T:$T,$BD476,'[1]2026'!$S:$S,BM$3,'[1]2026'!$P:$P,$AU476)</f>
        <v>0</v>
      </c>
      <c r="BN476" s="10">
        <f>SUMIFS('[1]2026'!$K:$K,'[1]2026'!$T:$T,$BD476,'[1]2026'!$S:$S,BN$3,'[1]2026'!$P:$P,$AU476)</f>
        <v>0</v>
      </c>
      <c r="BO476" s="10">
        <f>SUMIFS('[1]2026'!$K:$K,'[1]2026'!$T:$T,$BD476,'[1]2026'!$S:$S,BO$3,'[1]2026'!$P:$P,$AU476)</f>
        <v>0</v>
      </c>
      <c r="BP476" s="6"/>
      <c r="BQ476" s="6"/>
      <c r="BR476" s="6"/>
      <c r="BS476" s="6"/>
      <c r="BT476" s="6">
        <f t="shared" si="318"/>
        <v>0</v>
      </c>
      <c r="BV476" s="6">
        <f t="shared" si="320"/>
        <v>-722.16466252691407</v>
      </c>
      <c r="BW476" s="6">
        <f t="shared" si="321"/>
        <v>-722.16466252691407</v>
      </c>
      <c r="BX476" s="6">
        <f t="shared" si="322"/>
        <v>-722.16466252691407</v>
      </c>
      <c r="BY476" s="6">
        <f t="shared" si="323"/>
        <v>-722.16466252691407</v>
      </c>
      <c r="BZ476" s="6">
        <f t="shared" si="324"/>
        <v>-722.16466252691407</v>
      </c>
      <c r="CA476" s="6">
        <f t="shared" si="325"/>
        <v>-722.16466252691407</v>
      </c>
      <c r="CB476" s="6">
        <f t="shared" si="326"/>
        <v>-722.16466252691407</v>
      </c>
      <c r="CC476" s="6">
        <f t="shared" si="327"/>
        <v>-722.16466252691407</v>
      </c>
      <c r="CD476" s="6">
        <f t="shared" si="328"/>
        <v>-722.16466252691407</v>
      </c>
      <c r="CE476" s="6">
        <f t="shared" si="329"/>
        <v>-722.16466252691407</v>
      </c>
      <c r="CF476" s="6">
        <f t="shared" si="330"/>
        <v>-722.16466252691407</v>
      </c>
      <c r="CG476" s="6">
        <f t="shared" si="331"/>
        <v>-722.16466252691407</v>
      </c>
      <c r="CH476" s="6">
        <f t="shared" si="296"/>
        <v>-8665.9759503229616</v>
      </c>
    </row>
    <row r="477" spans="1:86" hidden="1" x14ac:dyDescent="0.35">
      <c r="A477" s="3" t="s">
        <v>866</v>
      </c>
      <c r="B477" s="10">
        <v>2500</v>
      </c>
      <c r="C477" s="10">
        <v>2500</v>
      </c>
      <c r="D477" s="10">
        <v>2500</v>
      </c>
      <c r="E477" s="10">
        <v>2500</v>
      </c>
      <c r="F477" s="10">
        <v>2500</v>
      </c>
      <c r="G477" s="10">
        <v>2500</v>
      </c>
      <c r="H477" s="10">
        <v>2500</v>
      </c>
      <c r="I477" s="10">
        <v>2500</v>
      </c>
      <c r="J477" s="10">
        <v>2500</v>
      </c>
      <c r="K477" s="10">
        <v>2500</v>
      </c>
      <c r="L477" s="10">
        <v>2500</v>
      </c>
      <c r="M477" s="10">
        <v>2500</v>
      </c>
      <c r="N477" s="27">
        <f t="shared" si="292"/>
        <v>30000</v>
      </c>
      <c r="O477" s="10">
        <v>1777.8353374730859</v>
      </c>
      <c r="P477" s="10">
        <v>1777.8353374730859</v>
      </c>
      <c r="Q477" s="10">
        <v>1777.8353374730859</v>
      </c>
      <c r="R477" s="10">
        <v>1777.8353374730859</v>
      </c>
      <c r="S477" s="10">
        <v>1777.8353374730859</v>
      </c>
      <c r="T477" s="10">
        <v>1777.8353374730859</v>
      </c>
      <c r="U477" s="10">
        <v>1777.8353374730859</v>
      </c>
      <c r="V477" s="10">
        <v>1777.8353374730859</v>
      </c>
      <c r="W477" s="10">
        <v>1777.8353374730859</v>
      </c>
      <c r="X477" s="10">
        <v>1777.8353374730859</v>
      </c>
      <c r="Y477" s="10">
        <v>1777.8353374730859</v>
      </c>
      <c r="Z477" s="10">
        <v>1777.8353374730859</v>
      </c>
      <c r="AA477" s="27">
        <f t="shared" si="293"/>
        <v>21334.024049677038</v>
      </c>
      <c r="AB477" s="10">
        <f t="shared" si="316"/>
        <v>722.16466252691407</v>
      </c>
      <c r="AC477" s="10">
        <f t="shared" si="316"/>
        <v>722.16466252691407</v>
      </c>
      <c r="AD477" s="10">
        <f t="shared" si="316"/>
        <v>722.16466252691407</v>
      </c>
      <c r="AE477" s="10">
        <f t="shared" si="316"/>
        <v>722.16466252691407</v>
      </c>
      <c r="AF477" s="10">
        <f t="shared" si="316"/>
        <v>722.16466252691407</v>
      </c>
      <c r="AG477" s="10">
        <f t="shared" si="316"/>
        <v>722.16466252691407</v>
      </c>
      <c r="AH477" s="10">
        <f t="shared" si="316"/>
        <v>722.16466252691407</v>
      </c>
      <c r="AI477" s="10">
        <f t="shared" si="315"/>
        <v>722.16466252691407</v>
      </c>
      <c r="AJ477" s="10">
        <f t="shared" si="315"/>
        <v>722.16466252691407</v>
      </c>
      <c r="AK477" s="10">
        <f t="shared" si="315"/>
        <v>722.16466252691407</v>
      </c>
      <c r="AL477" s="10">
        <f t="shared" si="315"/>
        <v>722.16466252691407</v>
      </c>
      <c r="AM477" s="10">
        <f t="shared" si="315"/>
        <v>722.16466252691407</v>
      </c>
      <c r="AN477" s="27">
        <f t="shared" si="315"/>
        <v>8665.9759503229616</v>
      </c>
      <c r="AS477" t="str">
        <f>_xlfn.XLOOKUP(AU477,[2]GAE!HZ:HZ,[2]GAE!IA:IA)</f>
        <v>HUMAN RESOURCES</v>
      </c>
      <c r="AT477" t="str">
        <f>_xlfn.XLOOKUP(AU477,[2]GAE!HZ:HZ,[2]GAE!IB:IB)</f>
        <v>GAE - Training - Corporate - Local Int/Ext</v>
      </c>
      <c r="AU477" t="s">
        <v>864</v>
      </c>
      <c r="AV477">
        <v>80122101</v>
      </c>
      <c r="AW477">
        <v>61021502</v>
      </c>
      <c r="AX477" t="str">
        <f>_xlfn.XLOOKUP(AU477,[2]GAE!HZ:HZ,[2]GAE!IF:IF)</f>
        <v>Employee Benefits</v>
      </c>
      <c r="AY477" t="str">
        <f>_xlfn.XLOOKUP(AU477,[2]GAE!HZ:HZ,[2]GAE!IG:IG)</f>
        <v>Trainings &amp; Seminars</v>
      </c>
      <c r="BF477" t="s">
        <v>117</v>
      </c>
      <c r="BG477" t="s">
        <v>866</v>
      </c>
      <c r="BH477" s="10">
        <f>SUMIFS('[1]2026'!$K:$K,'[1]2026'!$T:$T,BD477,'[1]2026'!$S:$S,BH$3,'[1]2026'!$P:$P,AU477)</f>
        <v>0</v>
      </c>
      <c r="BI477" s="10">
        <f>SUMIFS('[1]2026'!$K:$K,'[1]2026'!$T:$T,$BD477,'[1]2026'!$S:$S,BI$3,'[1]2026'!$P:$P,$AU477)</f>
        <v>0</v>
      </c>
      <c r="BJ477" s="10">
        <f>SUMIFS('[1]2026'!$K:$K,'[1]2026'!$T:$T,$BD477,'[1]2026'!$S:$S,BJ$3,'[1]2026'!$P:$P,$AU477)</f>
        <v>0</v>
      </c>
      <c r="BK477" s="10">
        <f>SUMIFS('[1]2026'!$K:$K,'[1]2026'!$T:$T,$BD477,'[1]2026'!$S:$S,BK$3,'[1]2026'!$P:$P,$AU477)</f>
        <v>0</v>
      </c>
      <c r="BL477" s="10">
        <f>SUMIFS('[1]2026'!$K:$K,'[1]2026'!$T:$T,$BD477,'[1]2026'!$S:$S,BL$3,'[1]2026'!$P:$P,$AU477)</f>
        <v>0</v>
      </c>
      <c r="BM477" s="10">
        <f>SUMIFS('[1]2026'!$K:$K,'[1]2026'!$T:$T,$BD477,'[1]2026'!$S:$S,BM$3,'[1]2026'!$P:$P,$AU477)</f>
        <v>0</v>
      </c>
      <c r="BN477" s="10">
        <f>SUMIFS('[1]2026'!$K:$K,'[1]2026'!$T:$T,$BD477,'[1]2026'!$S:$S,BN$3,'[1]2026'!$P:$P,$AU477)</f>
        <v>0</v>
      </c>
      <c r="BO477" s="10">
        <f>SUMIFS('[1]2026'!$K:$K,'[1]2026'!$T:$T,$BD477,'[1]2026'!$S:$S,BO$3,'[1]2026'!$P:$P,$AU477)</f>
        <v>0</v>
      </c>
      <c r="BP477" s="6"/>
      <c r="BQ477" s="6"/>
      <c r="BR477" s="6"/>
      <c r="BS477" s="6"/>
      <c r="BT477" s="6">
        <f t="shared" si="318"/>
        <v>0</v>
      </c>
      <c r="BV477" s="6">
        <f t="shared" si="320"/>
        <v>-722.16466252691407</v>
      </c>
      <c r="BW477" s="6">
        <f t="shared" si="321"/>
        <v>-722.16466252691407</v>
      </c>
      <c r="BX477" s="6">
        <f t="shared" si="322"/>
        <v>-722.16466252691407</v>
      </c>
      <c r="BY477" s="6">
        <f t="shared" si="323"/>
        <v>-722.16466252691407</v>
      </c>
      <c r="BZ477" s="6">
        <f t="shared" si="324"/>
        <v>-722.16466252691407</v>
      </c>
      <c r="CA477" s="6">
        <f t="shared" si="325"/>
        <v>-722.16466252691407</v>
      </c>
      <c r="CB477" s="6">
        <f t="shared" si="326"/>
        <v>-722.16466252691407</v>
      </c>
      <c r="CC477" s="6">
        <f t="shared" si="327"/>
        <v>-722.16466252691407</v>
      </c>
      <c r="CD477" s="6">
        <f t="shared" si="328"/>
        <v>-722.16466252691407</v>
      </c>
      <c r="CE477" s="6">
        <f t="shared" si="329"/>
        <v>-722.16466252691407</v>
      </c>
      <c r="CF477" s="6">
        <f t="shared" si="330"/>
        <v>-722.16466252691407</v>
      </c>
      <c r="CG477" s="6">
        <f t="shared" si="331"/>
        <v>-722.16466252691407</v>
      </c>
      <c r="CH477" s="6">
        <f t="shared" si="296"/>
        <v>-8665.9759503229616</v>
      </c>
    </row>
    <row r="478" spans="1:86" hidden="1" x14ac:dyDescent="0.35">
      <c r="A478" s="3" t="s">
        <v>867</v>
      </c>
      <c r="B478" s="10">
        <v>54166.666666666664</v>
      </c>
      <c r="C478" s="10">
        <v>54166.666666666664</v>
      </c>
      <c r="D478" s="10">
        <v>54166.666666666664</v>
      </c>
      <c r="E478" s="10">
        <v>54166.666666666664</v>
      </c>
      <c r="F478" s="10">
        <v>54166.666666666664</v>
      </c>
      <c r="G478" s="10">
        <v>54166.666666666664</v>
      </c>
      <c r="H478" s="10">
        <v>54166.666666666664</v>
      </c>
      <c r="I478" s="10">
        <v>54166.666666666664</v>
      </c>
      <c r="J478" s="10">
        <v>54166.666666666664</v>
      </c>
      <c r="K478" s="10">
        <v>54166.666666666664</v>
      </c>
      <c r="L478" s="10">
        <v>54166.666666666664</v>
      </c>
      <c r="M478" s="10">
        <v>54166.666666666664</v>
      </c>
      <c r="N478" s="27">
        <f t="shared" si="292"/>
        <v>650000</v>
      </c>
      <c r="O478" s="10">
        <v>38519.765645250191</v>
      </c>
      <c r="P478" s="10">
        <v>38519.765645250191</v>
      </c>
      <c r="Q478" s="10">
        <v>38519.765645250191</v>
      </c>
      <c r="R478" s="10">
        <v>38519.765645250191</v>
      </c>
      <c r="S478" s="10">
        <v>38519.765645250191</v>
      </c>
      <c r="T478" s="10">
        <v>38519.765645250191</v>
      </c>
      <c r="U478" s="10">
        <v>38519.765645250191</v>
      </c>
      <c r="V478" s="10">
        <v>38519.765645250191</v>
      </c>
      <c r="W478" s="10">
        <v>38519.765645250191</v>
      </c>
      <c r="X478" s="10">
        <v>38519.765645250191</v>
      </c>
      <c r="Y478" s="10">
        <v>38519.765645250191</v>
      </c>
      <c r="Z478" s="10">
        <v>38519.765645250191</v>
      </c>
      <c r="AA478" s="27">
        <f t="shared" si="293"/>
        <v>462237.18774300237</v>
      </c>
      <c r="AB478" s="10">
        <f t="shared" si="316"/>
        <v>15646.901021416474</v>
      </c>
      <c r="AC478" s="10">
        <f t="shared" si="316"/>
        <v>15646.901021416474</v>
      </c>
      <c r="AD478" s="10">
        <f t="shared" si="316"/>
        <v>15646.901021416474</v>
      </c>
      <c r="AE478" s="10">
        <f t="shared" si="316"/>
        <v>15646.901021416474</v>
      </c>
      <c r="AF478" s="10">
        <f t="shared" si="316"/>
        <v>15646.901021416474</v>
      </c>
      <c r="AG478" s="10">
        <f t="shared" si="316"/>
        <v>15646.901021416474</v>
      </c>
      <c r="AH478" s="10">
        <f t="shared" si="316"/>
        <v>15646.901021416474</v>
      </c>
      <c r="AI478" s="10">
        <f t="shared" si="315"/>
        <v>15646.901021416474</v>
      </c>
      <c r="AJ478" s="10">
        <f t="shared" si="315"/>
        <v>15646.901021416474</v>
      </c>
      <c r="AK478" s="10">
        <f t="shared" si="315"/>
        <v>15646.901021416474</v>
      </c>
      <c r="AL478" s="10">
        <f t="shared" si="315"/>
        <v>15646.901021416474</v>
      </c>
      <c r="AM478" s="10">
        <f t="shared" si="315"/>
        <v>15646.901021416474</v>
      </c>
      <c r="AN478" s="27">
        <f t="shared" si="315"/>
        <v>187762.81225699763</v>
      </c>
      <c r="AS478" t="str">
        <f>_xlfn.XLOOKUP(AU478,[2]GAE!HZ:HZ,[2]GAE!IA:IA)</f>
        <v>HUMAN RESOURCES</v>
      </c>
      <c r="AT478" t="str">
        <f>_xlfn.XLOOKUP(AU478,[2]GAE!HZ:HZ,[2]GAE!IB:IB)</f>
        <v>DOE - Training - Local</v>
      </c>
      <c r="AU478" t="s">
        <v>863</v>
      </c>
      <c r="AV478">
        <v>81122101</v>
      </c>
      <c r="AW478">
        <v>52121502</v>
      </c>
      <c r="AX478" t="str">
        <f>_xlfn.XLOOKUP(AU478,[2]GAE!HZ:HZ,[2]GAE!IF:IF)</f>
        <v>Employee Benefits</v>
      </c>
      <c r="AY478" t="str">
        <f>_xlfn.XLOOKUP(AU478,[2]GAE!HZ:HZ,[2]GAE!IG:IG)</f>
        <v>Trainings &amp; Seminars</v>
      </c>
      <c r="BF478" t="s">
        <v>117</v>
      </c>
      <c r="BG478" t="s">
        <v>1241</v>
      </c>
      <c r="BH478" s="10">
        <f>SUMIFS('[1]2026'!$K:$K,'[1]2026'!$T:$T,BD478,'[1]2026'!$S:$S,BH$3,'[1]2026'!$P:$P,AU478)</f>
        <v>0</v>
      </c>
      <c r="BI478" s="10">
        <f>SUMIFS('[1]2026'!$K:$K,'[1]2026'!$T:$T,$BD478,'[1]2026'!$S:$S,BI$3,'[1]2026'!$P:$P,$AU478)</f>
        <v>0</v>
      </c>
      <c r="BJ478" s="10">
        <f>SUMIFS('[1]2026'!$K:$K,'[1]2026'!$T:$T,$BD478,'[1]2026'!$S:$S,BJ$3,'[1]2026'!$P:$P,$AU478)</f>
        <v>0</v>
      </c>
      <c r="BK478" s="10">
        <f>SUMIFS('[1]2026'!$K:$K,'[1]2026'!$T:$T,$BD478,'[1]2026'!$S:$S,BK$3,'[1]2026'!$P:$P,$AU478)</f>
        <v>0</v>
      </c>
      <c r="BL478" s="10">
        <f>SUMIFS('[1]2026'!$K:$K,'[1]2026'!$T:$T,$BD478,'[1]2026'!$S:$S,BL$3,'[1]2026'!$P:$P,$AU478)</f>
        <v>0</v>
      </c>
      <c r="BM478" s="10">
        <f>SUMIFS('[1]2026'!$K:$K,'[1]2026'!$T:$T,$BD478,'[1]2026'!$S:$S,BM$3,'[1]2026'!$P:$P,$AU478)</f>
        <v>0</v>
      </c>
      <c r="BN478" s="10">
        <f>SUMIFS('[1]2026'!$K:$K,'[1]2026'!$T:$T,$BD478,'[1]2026'!$S:$S,BN$3,'[1]2026'!$P:$P,$AU478)</f>
        <v>0</v>
      </c>
      <c r="BO478" s="10">
        <f>SUMIFS('[1]2026'!$K:$K,'[1]2026'!$T:$T,$BD478,'[1]2026'!$S:$S,BO$3,'[1]2026'!$P:$P,$AU478)</f>
        <v>0</v>
      </c>
      <c r="BP478" s="6"/>
      <c r="BQ478" s="6"/>
      <c r="BR478" s="6"/>
      <c r="BS478" s="6"/>
      <c r="BT478" s="6">
        <f t="shared" si="318"/>
        <v>0</v>
      </c>
      <c r="BV478" s="6">
        <f t="shared" si="320"/>
        <v>-15646.901021416474</v>
      </c>
      <c r="BW478" s="6">
        <f t="shared" si="321"/>
        <v>-15646.901021416474</v>
      </c>
      <c r="BX478" s="6">
        <f t="shared" si="322"/>
        <v>-15646.901021416474</v>
      </c>
      <c r="BY478" s="6">
        <f t="shared" si="323"/>
        <v>-15646.901021416474</v>
      </c>
      <c r="BZ478" s="6">
        <f t="shared" si="324"/>
        <v>-15646.901021416474</v>
      </c>
      <c r="CA478" s="6">
        <f t="shared" si="325"/>
        <v>-15646.901021416474</v>
      </c>
      <c r="CB478" s="6">
        <f t="shared" si="326"/>
        <v>-15646.901021416474</v>
      </c>
      <c r="CC478" s="6">
        <f t="shared" si="327"/>
        <v>-15646.901021416474</v>
      </c>
      <c r="CD478" s="6">
        <f t="shared" si="328"/>
        <v>-15646.901021416474</v>
      </c>
      <c r="CE478" s="6">
        <f t="shared" si="329"/>
        <v>-15646.901021416474</v>
      </c>
      <c r="CF478" s="6">
        <f t="shared" si="330"/>
        <v>-15646.901021416474</v>
      </c>
      <c r="CG478" s="6">
        <f t="shared" si="331"/>
        <v>-15646.901021416474</v>
      </c>
      <c r="CH478" s="6">
        <f t="shared" si="296"/>
        <v>-187762.81225699763</v>
      </c>
    </row>
    <row r="479" spans="1:86" hidden="1" x14ac:dyDescent="0.35">
      <c r="A479" s="3" t="s">
        <v>868</v>
      </c>
      <c r="B479" s="10">
        <v>33333.333333333336</v>
      </c>
      <c r="C479" s="10">
        <v>33333.333333333336</v>
      </c>
      <c r="D479" s="10">
        <v>33333.333333333336</v>
      </c>
      <c r="E479" s="10">
        <v>33333.333333333336</v>
      </c>
      <c r="F479" s="10">
        <v>33333.333333333336</v>
      </c>
      <c r="G479" s="10">
        <v>33333.333333333336</v>
      </c>
      <c r="H479" s="10">
        <v>33333.333333333336</v>
      </c>
      <c r="I479" s="10">
        <v>33333.333333333336</v>
      </c>
      <c r="J479" s="10">
        <v>33333.333333333336</v>
      </c>
      <c r="K479" s="10">
        <v>33333.333333333336</v>
      </c>
      <c r="L479" s="10">
        <v>33333.333333333336</v>
      </c>
      <c r="M479" s="10">
        <v>33333.333333333336</v>
      </c>
      <c r="N479" s="27">
        <f t="shared" si="292"/>
        <v>399999.99999999994</v>
      </c>
      <c r="O479" s="10">
        <v>23704.471166307809</v>
      </c>
      <c r="P479" s="10">
        <v>23704.471166307809</v>
      </c>
      <c r="Q479" s="10">
        <v>23704.471166307809</v>
      </c>
      <c r="R479" s="10">
        <v>23704.471166307809</v>
      </c>
      <c r="S479" s="10">
        <v>23704.471166307809</v>
      </c>
      <c r="T479" s="10">
        <v>23704.471166307809</v>
      </c>
      <c r="U479" s="10">
        <v>23704.471166307809</v>
      </c>
      <c r="V479" s="10">
        <v>23704.471166307809</v>
      </c>
      <c r="W479" s="10">
        <v>23704.471166307809</v>
      </c>
      <c r="X479" s="10">
        <v>23704.471166307809</v>
      </c>
      <c r="Y479" s="10">
        <v>23704.471166307809</v>
      </c>
      <c r="Z479" s="10">
        <v>23704.471166307809</v>
      </c>
      <c r="AA479" s="27">
        <f t="shared" si="293"/>
        <v>284453.65399569372</v>
      </c>
      <c r="AB479" s="10">
        <f t="shared" si="316"/>
        <v>9628.862167025527</v>
      </c>
      <c r="AC479" s="10">
        <f t="shared" si="316"/>
        <v>9628.862167025527</v>
      </c>
      <c r="AD479" s="10">
        <f t="shared" si="316"/>
        <v>9628.862167025527</v>
      </c>
      <c r="AE479" s="10">
        <f t="shared" si="316"/>
        <v>9628.862167025527</v>
      </c>
      <c r="AF479" s="10">
        <f t="shared" si="316"/>
        <v>9628.862167025527</v>
      </c>
      <c r="AG479" s="10">
        <f t="shared" si="316"/>
        <v>9628.862167025527</v>
      </c>
      <c r="AH479" s="10">
        <f t="shared" si="316"/>
        <v>9628.862167025527</v>
      </c>
      <c r="AI479" s="10">
        <f t="shared" si="315"/>
        <v>9628.862167025527</v>
      </c>
      <c r="AJ479" s="10">
        <f t="shared" si="315"/>
        <v>9628.862167025527</v>
      </c>
      <c r="AK479" s="10">
        <f t="shared" si="315"/>
        <v>9628.862167025527</v>
      </c>
      <c r="AL479" s="10">
        <f t="shared" si="315"/>
        <v>9628.862167025527</v>
      </c>
      <c r="AM479" s="10">
        <f t="shared" si="315"/>
        <v>9628.862167025527</v>
      </c>
      <c r="AN479" s="27">
        <f t="shared" si="315"/>
        <v>115546.34600430622</v>
      </c>
      <c r="AS479" t="str">
        <f>_xlfn.XLOOKUP(AU479,[2]GAE!HZ:HZ,[2]GAE!IA:IA)</f>
        <v>HUMAN RESOURCES</v>
      </c>
      <c r="AT479" t="str">
        <f>_xlfn.XLOOKUP(AU479,[2]GAE!HZ:HZ,[2]GAE!IB:IB)</f>
        <v>DOE - Training - Local</v>
      </c>
      <c r="AU479" t="s">
        <v>863</v>
      </c>
      <c r="AV479">
        <v>81122101</v>
      </c>
      <c r="AW479">
        <v>52121502</v>
      </c>
      <c r="AX479" t="str">
        <f>_xlfn.XLOOKUP(AU479,[2]GAE!HZ:HZ,[2]GAE!IF:IF)</f>
        <v>Employee Benefits</v>
      </c>
      <c r="AY479" t="str">
        <f>_xlfn.XLOOKUP(AU479,[2]GAE!HZ:HZ,[2]GAE!IG:IG)</f>
        <v>Trainings &amp; Seminars</v>
      </c>
      <c r="BF479" t="s">
        <v>117</v>
      </c>
      <c r="BG479" t="s">
        <v>868</v>
      </c>
      <c r="BH479" s="10">
        <f>SUMIFS('[1]2026'!$K:$K,'[1]2026'!$T:$T,BD479,'[1]2026'!$S:$S,BH$3,'[1]2026'!$P:$P,AU479)</f>
        <v>0</v>
      </c>
      <c r="BI479" s="10">
        <f>SUMIFS('[1]2026'!$K:$K,'[1]2026'!$T:$T,$BD479,'[1]2026'!$S:$S,BI$3,'[1]2026'!$P:$P,$AU479)</f>
        <v>0</v>
      </c>
      <c r="BJ479" s="10">
        <f>SUMIFS('[1]2026'!$K:$K,'[1]2026'!$T:$T,$BD479,'[1]2026'!$S:$S,BJ$3,'[1]2026'!$P:$P,$AU479)</f>
        <v>0</v>
      </c>
      <c r="BK479" s="10">
        <f>SUMIFS('[1]2026'!$K:$K,'[1]2026'!$T:$T,$BD479,'[1]2026'!$S:$S,BK$3,'[1]2026'!$P:$P,$AU479)</f>
        <v>0</v>
      </c>
      <c r="BL479" s="10">
        <f>SUMIFS('[1]2026'!$K:$K,'[1]2026'!$T:$T,$BD479,'[1]2026'!$S:$S,BL$3,'[1]2026'!$P:$P,$AU479)</f>
        <v>0</v>
      </c>
      <c r="BM479" s="10">
        <f>SUMIFS('[1]2026'!$K:$K,'[1]2026'!$T:$T,$BD479,'[1]2026'!$S:$S,BM$3,'[1]2026'!$P:$P,$AU479)</f>
        <v>0</v>
      </c>
      <c r="BN479" s="10">
        <f>SUMIFS('[1]2026'!$K:$K,'[1]2026'!$T:$T,$BD479,'[1]2026'!$S:$S,BN$3,'[1]2026'!$P:$P,$AU479)</f>
        <v>0</v>
      </c>
      <c r="BO479" s="10">
        <f>SUMIFS('[1]2026'!$K:$K,'[1]2026'!$T:$T,$BD479,'[1]2026'!$S:$S,BO$3,'[1]2026'!$P:$P,$AU479)</f>
        <v>0</v>
      </c>
      <c r="BP479" s="6"/>
      <c r="BQ479" s="6"/>
      <c r="BR479" s="6"/>
      <c r="BS479" s="6"/>
      <c r="BT479" s="6">
        <f t="shared" si="318"/>
        <v>0</v>
      </c>
      <c r="BV479" s="6">
        <f t="shared" si="320"/>
        <v>-9628.862167025527</v>
      </c>
      <c r="BW479" s="6">
        <f t="shared" si="321"/>
        <v>-9628.862167025527</v>
      </c>
      <c r="BX479" s="6">
        <f t="shared" si="322"/>
        <v>-9628.862167025527</v>
      </c>
      <c r="BY479" s="6">
        <f t="shared" si="323"/>
        <v>-9628.862167025527</v>
      </c>
      <c r="BZ479" s="6">
        <f t="shared" si="324"/>
        <v>-9628.862167025527</v>
      </c>
      <c r="CA479" s="6">
        <f t="shared" si="325"/>
        <v>-9628.862167025527</v>
      </c>
      <c r="CB479" s="6">
        <f t="shared" si="326"/>
        <v>-9628.862167025527</v>
      </c>
      <c r="CC479" s="6">
        <f t="shared" si="327"/>
        <v>-9628.862167025527</v>
      </c>
      <c r="CD479" s="6">
        <f t="shared" si="328"/>
        <v>-9628.862167025527</v>
      </c>
      <c r="CE479" s="6">
        <f t="shared" si="329"/>
        <v>-9628.862167025527</v>
      </c>
      <c r="CF479" s="6">
        <f t="shared" si="330"/>
        <v>-9628.862167025527</v>
      </c>
      <c r="CG479" s="6">
        <f t="shared" si="331"/>
        <v>-9628.862167025527</v>
      </c>
      <c r="CH479" s="6">
        <f t="shared" si="296"/>
        <v>-115546.34600430622</v>
      </c>
    </row>
    <row r="480" spans="1:86" hidden="1" x14ac:dyDescent="0.35">
      <c r="A480" s="3" t="s">
        <v>869</v>
      </c>
      <c r="B480" s="10">
        <v>2000</v>
      </c>
      <c r="C480" s="10">
        <v>2000</v>
      </c>
      <c r="D480" s="10">
        <v>2000</v>
      </c>
      <c r="E480" s="10">
        <v>2000</v>
      </c>
      <c r="F480" s="10">
        <v>2000</v>
      </c>
      <c r="G480" s="10">
        <v>2000</v>
      </c>
      <c r="H480" s="10">
        <v>2000</v>
      </c>
      <c r="I480" s="10">
        <v>2000</v>
      </c>
      <c r="J480" s="10">
        <v>2000</v>
      </c>
      <c r="K480" s="10">
        <v>2000</v>
      </c>
      <c r="L480" s="10">
        <v>2000</v>
      </c>
      <c r="M480" s="10">
        <v>2000</v>
      </c>
      <c r="N480" s="27">
        <f t="shared" si="292"/>
        <v>24000</v>
      </c>
      <c r="O480" s="10">
        <v>1422.2682699784689</v>
      </c>
      <c r="P480" s="10">
        <v>1422.2682699784689</v>
      </c>
      <c r="Q480" s="10">
        <v>1422.2682699784689</v>
      </c>
      <c r="R480" s="10">
        <v>1422.2682699784689</v>
      </c>
      <c r="S480" s="10">
        <v>1422.2682699784689</v>
      </c>
      <c r="T480" s="10">
        <v>1422.2682699784689</v>
      </c>
      <c r="U480" s="10">
        <v>1422.2682699784689</v>
      </c>
      <c r="V480" s="10">
        <v>1422.2682699784689</v>
      </c>
      <c r="W480" s="10">
        <v>1422.2682699784689</v>
      </c>
      <c r="X480" s="10">
        <v>1422.2682699784689</v>
      </c>
      <c r="Y480" s="10">
        <v>1422.2682699784689</v>
      </c>
      <c r="Z480" s="10">
        <v>1422.2682699784689</v>
      </c>
      <c r="AA480" s="27">
        <f t="shared" si="293"/>
        <v>17067.219239741626</v>
      </c>
      <c r="AB480" s="10">
        <f t="shared" si="316"/>
        <v>577.73173002153112</v>
      </c>
      <c r="AC480" s="10">
        <f t="shared" si="316"/>
        <v>577.73173002153112</v>
      </c>
      <c r="AD480" s="10">
        <f t="shared" si="316"/>
        <v>577.73173002153112</v>
      </c>
      <c r="AE480" s="10">
        <f t="shared" si="316"/>
        <v>577.73173002153112</v>
      </c>
      <c r="AF480" s="10">
        <f t="shared" si="316"/>
        <v>577.73173002153112</v>
      </c>
      <c r="AG480" s="10">
        <f t="shared" si="316"/>
        <v>577.73173002153112</v>
      </c>
      <c r="AH480" s="10">
        <f t="shared" si="316"/>
        <v>577.73173002153112</v>
      </c>
      <c r="AI480" s="10">
        <f t="shared" si="315"/>
        <v>577.73173002153112</v>
      </c>
      <c r="AJ480" s="10">
        <f t="shared" si="315"/>
        <v>577.73173002153112</v>
      </c>
      <c r="AK480" s="10">
        <f t="shared" si="315"/>
        <v>577.73173002153112</v>
      </c>
      <c r="AL480" s="10">
        <f t="shared" si="315"/>
        <v>577.73173002153112</v>
      </c>
      <c r="AM480" s="10">
        <f t="shared" si="315"/>
        <v>577.73173002153112</v>
      </c>
      <c r="AN480" s="27">
        <f t="shared" si="315"/>
        <v>6932.7807602583744</v>
      </c>
      <c r="AS480" t="str">
        <f>_xlfn.XLOOKUP(AU480,[2]GAE!HZ:HZ,[2]GAE!IA:IA)</f>
        <v>HUMAN RESOURCES</v>
      </c>
      <c r="AT480" t="str">
        <f>_xlfn.XLOOKUP(AU480,[2]GAE!HZ:HZ,[2]GAE!IB:IB)</f>
        <v>DOE - Training - Local</v>
      </c>
      <c r="AU480" t="s">
        <v>863</v>
      </c>
      <c r="AV480">
        <v>81122101</v>
      </c>
      <c r="AW480">
        <v>52121502</v>
      </c>
      <c r="AX480" t="str">
        <f>_xlfn.XLOOKUP(AU480,[2]GAE!HZ:HZ,[2]GAE!IF:IF)</f>
        <v>Employee Benefits</v>
      </c>
      <c r="AY480" t="str">
        <f>_xlfn.XLOOKUP(AU480,[2]GAE!HZ:HZ,[2]GAE!IG:IG)</f>
        <v>Trainings &amp; Seminars</v>
      </c>
      <c r="BF480" t="s">
        <v>117</v>
      </c>
      <c r="BG480" t="s">
        <v>869</v>
      </c>
      <c r="BH480" s="10">
        <f>SUMIFS('[1]2026'!$K:$K,'[1]2026'!$T:$T,BD480,'[1]2026'!$S:$S,BH$3,'[1]2026'!$P:$P,AU480)</f>
        <v>0</v>
      </c>
      <c r="BI480" s="10">
        <f>SUMIFS('[1]2026'!$K:$K,'[1]2026'!$T:$T,$BD480,'[1]2026'!$S:$S,BI$3,'[1]2026'!$P:$P,$AU480)</f>
        <v>0</v>
      </c>
      <c r="BJ480" s="10">
        <f>SUMIFS('[1]2026'!$K:$K,'[1]2026'!$T:$T,$BD480,'[1]2026'!$S:$S,BJ$3,'[1]2026'!$P:$P,$AU480)</f>
        <v>0</v>
      </c>
      <c r="BK480" s="10">
        <f>SUMIFS('[1]2026'!$K:$K,'[1]2026'!$T:$T,$BD480,'[1]2026'!$S:$S,BK$3,'[1]2026'!$P:$P,$AU480)</f>
        <v>0</v>
      </c>
      <c r="BL480" s="10">
        <f>SUMIFS('[1]2026'!$K:$K,'[1]2026'!$T:$T,$BD480,'[1]2026'!$S:$S,BL$3,'[1]2026'!$P:$P,$AU480)</f>
        <v>0</v>
      </c>
      <c r="BM480" s="10">
        <f>SUMIFS('[1]2026'!$K:$K,'[1]2026'!$T:$T,$BD480,'[1]2026'!$S:$S,BM$3,'[1]2026'!$P:$P,$AU480)</f>
        <v>0</v>
      </c>
      <c r="BN480" s="10">
        <f>SUMIFS('[1]2026'!$K:$K,'[1]2026'!$T:$T,$BD480,'[1]2026'!$S:$S,BN$3,'[1]2026'!$P:$P,$AU480)</f>
        <v>0</v>
      </c>
      <c r="BO480" s="10">
        <f>SUMIFS('[1]2026'!$K:$K,'[1]2026'!$T:$T,$BD480,'[1]2026'!$S:$S,BO$3,'[1]2026'!$P:$P,$AU480)</f>
        <v>0</v>
      </c>
      <c r="BP480" s="6"/>
      <c r="BQ480" s="6"/>
      <c r="BR480" s="6"/>
      <c r="BS480" s="6"/>
      <c r="BT480" s="6">
        <f t="shared" si="318"/>
        <v>0</v>
      </c>
      <c r="BV480" s="6">
        <f t="shared" si="320"/>
        <v>-577.73173002153112</v>
      </c>
      <c r="BW480" s="6">
        <f t="shared" si="321"/>
        <v>-577.73173002153112</v>
      </c>
      <c r="BX480" s="6">
        <f t="shared" si="322"/>
        <v>-577.73173002153112</v>
      </c>
      <c r="BY480" s="6">
        <f t="shared" si="323"/>
        <v>-577.73173002153112</v>
      </c>
      <c r="BZ480" s="6">
        <f t="shared" si="324"/>
        <v>-577.73173002153112</v>
      </c>
      <c r="CA480" s="6">
        <f t="shared" si="325"/>
        <v>-577.73173002153112</v>
      </c>
      <c r="CB480" s="6">
        <f t="shared" si="326"/>
        <v>-577.73173002153112</v>
      </c>
      <c r="CC480" s="6">
        <f t="shared" si="327"/>
        <v>-577.73173002153112</v>
      </c>
      <c r="CD480" s="6">
        <f t="shared" si="328"/>
        <v>-577.73173002153112</v>
      </c>
      <c r="CE480" s="6">
        <f t="shared" si="329"/>
        <v>-577.73173002153112</v>
      </c>
      <c r="CF480" s="6">
        <f t="shared" si="330"/>
        <v>-577.73173002153112</v>
      </c>
      <c r="CG480" s="6">
        <f t="shared" si="331"/>
        <v>-577.73173002153112</v>
      </c>
      <c r="CH480" s="6">
        <f t="shared" si="296"/>
        <v>-6932.7807602583744</v>
      </c>
    </row>
    <row r="481" spans="1:86" hidden="1" x14ac:dyDescent="0.35">
      <c r="A481" s="3" t="s">
        <v>870</v>
      </c>
      <c r="B481" s="10">
        <v>4166.666666666667</v>
      </c>
      <c r="C481" s="10">
        <v>4166.666666666667</v>
      </c>
      <c r="D481" s="10">
        <v>4166.666666666667</v>
      </c>
      <c r="E481" s="10">
        <v>4166.666666666667</v>
      </c>
      <c r="F481" s="10">
        <v>4166.666666666667</v>
      </c>
      <c r="G481" s="10">
        <v>4166.666666666667</v>
      </c>
      <c r="H481" s="10">
        <v>4166.666666666667</v>
      </c>
      <c r="I481" s="10">
        <v>4166.666666666667</v>
      </c>
      <c r="J481" s="10">
        <v>4166.666666666667</v>
      </c>
      <c r="K481" s="10">
        <v>4166.666666666667</v>
      </c>
      <c r="L481" s="10">
        <v>4166.666666666667</v>
      </c>
      <c r="M481" s="10">
        <v>4166.666666666667</v>
      </c>
      <c r="N481" s="27">
        <f t="shared" si="292"/>
        <v>49999.999999999993</v>
      </c>
      <c r="O481" s="10">
        <v>2963.0588957884761</v>
      </c>
      <c r="P481" s="10">
        <v>2963.0588957884761</v>
      </c>
      <c r="Q481" s="10">
        <v>2963.0588957884761</v>
      </c>
      <c r="R481" s="10">
        <v>2963.0588957884761</v>
      </c>
      <c r="S481" s="10">
        <v>2963.0588957884761</v>
      </c>
      <c r="T481" s="10">
        <v>2963.0588957884761</v>
      </c>
      <c r="U481" s="10">
        <v>2963.0588957884761</v>
      </c>
      <c r="V481" s="10">
        <v>2963.0588957884761</v>
      </c>
      <c r="W481" s="10">
        <v>2963.0588957884761</v>
      </c>
      <c r="X481" s="10">
        <v>2963.0588957884761</v>
      </c>
      <c r="Y481" s="10">
        <v>2963.0588957884761</v>
      </c>
      <c r="Z481" s="10">
        <v>2963.0588957884761</v>
      </c>
      <c r="AA481" s="27">
        <f t="shared" si="293"/>
        <v>35556.706749461715</v>
      </c>
      <c r="AB481" s="10">
        <f t="shared" si="316"/>
        <v>1203.6077708781909</v>
      </c>
      <c r="AC481" s="10">
        <f t="shared" si="316"/>
        <v>1203.6077708781909</v>
      </c>
      <c r="AD481" s="10">
        <f t="shared" si="316"/>
        <v>1203.6077708781909</v>
      </c>
      <c r="AE481" s="10">
        <f t="shared" si="316"/>
        <v>1203.6077708781909</v>
      </c>
      <c r="AF481" s="10">
        <f t="shared" si="316"/>
        <v>1203.6077708781909</v>
      </c>
      <c r="AG481" s="10">
        <f t="shared" si="316"/>
        <v>1203.6077708781909</v>
      </c>
      <c r="AH481" s="10">
        <f t="shared" si="316"/>
        <v>1203.6077708781909</v>
      </c>
      <c r="AI481" s="10">
        <f t="shared" si="315"/>
        <v>1203.6077708781909</v>
      </c>
      <c r="AJ481" s="10">
        <f t="shared" si="315"/>
        <v>1203.6077708781909</v>
      </c>
      <c r="AK481" s="10">
        <f t="shared" si="315"/>
        <v>1203.6077708781909</v>
      </c>
      <c r="AL481" s="10">
        <f t="shared" si="315"/>
        <v>1203.6077708781909</v>
      </c>
      <c r="AM481" s="10">
        <f t="shared" si="315"/>
        <v>1203.6077708781909</v>
      </c>
      <c r="AN481" s="27">
        <f t="shared" si="315"/>
        <v>14443.293250538278</v>
      </c>
      <c r="AS481" t="str">
        <f>_xlfn.XLOOKUP(AU481,[2]GAE!HZ:HZ,[2]GAE!IA:IA)</f>
        <v>HUMAN RESOURCES</v>
      </c>
      <c r="AT481" t="str">
        <f>_xlfn.XLOOKUP(AU481,[2]GAE!HZ:HZ,[2]GAE!IB:IB)</f>
        <v>DOE - Training - Local</v>
      </c>
      <c r="AU481" t="s">
        <v>860</v>
      </c>
      <c r="AV481">
        <v>90122101</v>
      </c>
      <c r="AW481">
        <v>52121502</v>
      </c>
      <c r="AX481" t="str">
        <f>_xlfn.XLOOKUP(AU481,[2]GAE!HZ:HZ,[2]GAE!IF:IF)</f>
        <v>Employee Benefits</v>
      </c>
      <c r="AY481" t="str">
        <f>_xlfn.XLOOKUP(AU481,[2]GAE!HZ:HZ,[2]GAE!IG:IG)</f>
        <v>Trainings &amp; Seminars</v>
      </c>
      <c r="BF481" t="s">
        <v>124</v>
      </c>
      <c r="BG481" t="s">
        <v>130</v>
      </c>
      <c r="BH481" s="10">
        <f>SUMIFS('[1]2026'!$K:$K,'[1]2026'!$T:$T,BD481,'[1]2026'!$S:$S,BH$3,'[1]2026'!$P:$P,AU481)</f>
        <v>0</v>
      </c>
      <c r="BI481" s="10">
        <f>SUMIFS('[1]2026'!$K:$K,'[1]2026'!$T:$T,$BD481,'[1]2026'!$S:$S,BI$3,'[1]2026'!$P:$P,$AU481)</f>
        <v>0</v>
      </c>
      <c r="BJ481" s="10">
        <f>SUMIFS('[1]2026'!$K:$K,'[1]2026'!$T:$T,$BD481,'[1]2026'!$S:$S,BJ$3,'[1]2026'!$P:$P,$AU481)</f>
        <v>0</v>
      </c>
      <c r="BK481" s="10">
        <f>SUMIFS('[1]2026'!$K:$K,'[1]2026'!$T:$T,$BD481,'[1]2026'!$S:$S,BK$3,'[1]2026'!$P:$P,$AU481)</f>
        <v>0</v>
      </c>
      <c r="BL481" s="10">
        <f>SUMIFS('[1]2026'!$K:$K,'[1]2026'!$T:$T,$BD481,'[1]2026'!$S:$S,BL$3,'[1]2026'!$P:$P,$AU481)</f>
        <v>0</v>
      </c>
      <c r="BM481" s="10">
        <f>SUMIFS('[1]2026'!$K:$K,'[1]2026'!$T:$T,$BD481,'[1]2026'!$S:$S,BM$3,'[1]2026'!$P:$P,$AU481)</f>
        <v>0</v>
      </c>
      <c r="BN481" s="10">
        <f>SUMIFS('[1]2026'!$K:$K,'[1]2026'!$T:$T,$BD481,'[1]2026'!$S:$S,BN$3,'[1]2026'!$P:$P,$AU481)</f>
        <v>0</v>
      </c>
      <c r="BO481" s="10">
        <f>SUMIFS('[1]2026'!$K:$K,'[1]2026'!$T:$T,$BD481,'[1]2026'!$S:$S,BO$3,'[1]2026'!$P:$P,$AU481)</f>
        <v>0</v>
      </c>
      <c r="BP481" s="6"/>
      <c r="BQ481" s="6"/>
      <c r="BR481" s="6"/>
      <c r="BS481" s="6"/>
      <c r="BT481" s="6">
        <f t="shared" si="318"/>
        <v>0</v>
      </c>
      <c r="BV481" s="6">
        <f t="shared" si="320"/>
        <v>-1203.6077708781909</v>
      </c>
      <c r="BW481" s="6">
        <f t="shared" si="321"/>
        <v>-1203.6077708781909</v>
      </c>
      <c r="BX481" s="6">
        <f t="shared" si="322"/>
        <v>-1203.6077708781909</v>
      </c>
      <c r="BY481" s="6">
        <f t="shared" si="323"/>
        <v>-1203.6077708781909</v>
      </c>
      <c r="BZ481" s="6">
        <f t="shared" si="324"/>
        <v>-1203.6077708781909</v>
      </c>
      <c r="CA481" s="6">
        <f t="shared" si="325"/>
        <v>-1203.6077708781909</v>
      </c>
      <c r="CB481" s="6">
        <f t="shared" si="326"/>
        <v>-1203.6077708781909</v>
      </c>
      <c r="CC481" s="6">
        <f t="shared" si="327"/>
        <v>-1203.6077708781909</v>
      </c>
      <c r="CD481" s="6">
        <f t="shared" si="328"/>
        <v>-1203.6077708781909</v>
      </c>
      <c r="CE481" s="6">
        <f t="shared" si="329"/>
        <v>-1203.6077708781909</v>
      </c>
      <c r="CF481" s="6">
        <f t="shared" si="330"/>
        <v>-1203.6077708781909</v>
      </c>
      <c r="CG481" s="6">
        <f t="shared" si="331"/>
        <v>-1203.6077708781909</v>
      </c>
      <c r="CH481" s="6">
        <f t="shared" si="296"/>
        <v>-14443.293250538278</v>
      </c>
    </row>
    <row r="482" spans="1:86" hidden="1" x14ac:dyDescent="0.35">
      <c r="A482" s="3" t="s">
        <v>871</v>
      </c>
      <c r="D482" s="10">
        <v>68500</v>
      </c>
      <c r="G482" s="10">
        <v>68500</v>
      </c>
      <c r="J482" s="10">
        <v>68500</v>
      </c>
      <c r="M482" s="10">
        <v>68500</v>
      </c>
      <c r="N482" s="27">
        <f t="shared" si="292"/>
        <v>274000</v>
      </c>
      <c r="Q482" s="10">
        <v>6185.2549004191751</v>
      </c>
      <c r="T482" s="10">
        <v>6185.2549004191751</v>
      </c>
      <c r="W482" s="10">
        <v>6185.2549004191751</v>
      </c>
      <c r="Z482" s="10">
        <v>6185.2549004191751</v>
      </c>
      <c r="AA482" s="27">
        <f t="shared" si="293"/>
        <v>24741.0196016767</v>
      </c>
      <c r="AB482" s="10">
        <f t="shared" si="316"/>
        <v>0</v>
      </c>
      <c r="AC482" s="10">
        <f t="shared" si="316"/>
        <v>0</v>
      </c>
      <c r="AD482" s="10">
        <f t="shared" si="316"/>
        <v>62314.745099580825</v>
      </c>
      <c r="AE482" s="10">
        <f t="shared" si="316"/>
        <v>0</v>
      </c>
      <c r="AF482" s="10">
        <f t="shared" si="316"/>
        <v>0</v>
      </c>
      <c r="AG482" s="10">
        <f t="shared" si="316"/>
        <v>62314.745099580825</v>
      </c>
      <c r="AH482" s="10">
        <f t="shared" si="316"/>
        <v>0</v>
      </c>
      <c r="AI482" s="10">
        <f t="shared" si="315"/>
        <v>0</v>
      </c>
      <c r="AJ482" s="10">
        <f t="shared" si="315"/>
        <v>62314.745099580825</v>
      </c>
      <c r="AK482" s="10">
        <f t="shared" si="315"/>
        <v>0</v>
      </c>
      <c r="AL482" s="10">
        <f t="shared" si="315"/>
        <v>0</v>
      </c>
      <c r="AM482" s="10">
        <f t="shared" si="315"/>
        <v>62314.745099580825</v>
      </c>
      <c r="AN482" s="27">
        <f t="shared" si="315"/>
        <v>249258.9803983233</v>
      </c>
      <c r="AO482" s="28">
        <v>158921.62666666668</v>
      </c>
      <c r="AS482" t="str">
        <f>_xlfn.XLOOKUP(AU482,[2]GAE!HZ:HZ,[2]GAE!IA:IA)</f>
        <v>OCLP-COMMON</v>
      </c>
      <c r="AT482" t="str">
        <f>_xlfn.XLOOKUP(AU482,[2]GAE!HZ:HZ,[2]GAE!IB:IB)</f>
        <v>GAE - Employee Benefits - Fringe Benefits Tax</v>
      </c>
      <c r="AU482" t="s">
        <v>872</v>
      </c>
      <c r="AV482">
        <v>80111101</v>
      </c>
      <c r="AW482">
        <v>61021314</v>
      </c>
      <c r="AX482" t="str">
        <f>_xlfn.XLOOKUP(AU482,[2]GAE!HZ:HZ,[2]GAE!IF:IF)</f>
        <v>Employee Benefits</v>
      </c>
      <c r="AY482" t="str">
        <f>_xlfn.XLOOKUP(AU482,[2]GAE!HZ:HZ,[2]GAE!IG:IG)</f>
        <v>FBT</v>
      </c>
      <c r="BC482" t="s">
        <v>120</v>
      </c>
      <c r="BD482" t="s">
        <v>120</v>
      </c>
      <c r="BF482" t="s">
        <v>119</v>
      </c>
      <c r="BG482" t="s">
        <v>120</v>
      </c>
      <c r="BH482" s="10">
        <f>SUMIFS('[1]2026'!$K:$K,'[1]2026'!$T:$T,BD482,'[1]2026'!$S:$S,BH$3,'[1]2026'!$P:$P,AU482)</f>
        <v>0</v>
      </c>
      <c r="BI482" s="10">
        <f>SUMIFS('[1]2026'!$K:$K,'[1]2026'!$T:$T,$BD482,'[1]2026'!$S:$S,BI$3,'[1]2026'!$P:$P,$AU482)</f>
        <v>0</v>
      </c>
      <c r="BJ482" s="10">
        <f>SUMIFS('[1]2026'!$K:$K,'[1]2026'!$T:$T,$BD482,'[1]2026'!$S:$S,BJ$3,'[1]2026'!$P:$P,$AU482)</f>
        <v>0</v>
      </c>
      <c r="BK482" s="10">
        <f>SUMIFS('[1]2026'!$K:$K,'[1]2026'!$T:$T,$BD482,'[1]2026'!$S:$S,BK$3,'[1]2026'!$P:$P,$AU482)</f>
        <v>0</v>
      </c>
      <c r="BL482" s="10">
        <f>SUMIFS('[1]2026'!$K:$K,'[1]2026'!$T:$T,$BD482,'[1]2026'!$S:$S,BL$3,'[1]2026'!$P:$P,$AU482)</f>
        <v>51868.89</v>
      </c>
      <c r="BM482" s="10">
        <f>SUMIFS('[1]2026'!$K:$K,'[1]2026'!$T:$T,$BD482,'[1]2026'!$S:$S,BM$3,'[1]2026'!$P:$P,$AU482)</f>
        <v>0</v>
      </c>
      <c r="BN482" s="10">
        <f>SUMIFS('[1]2026'!$K:$K,'[1]2026'!$T:$T,$BD482,'[1]2026'!$S:$S,BN$3,'[1]2026'!$P:$P,$AU482)</f>
        <v>0</v>
      </c>
      <c r="BO482" s="10">
        <f>SUMIFS('[1]2026'!$K:$K,'[1]2026'!$T:$T,$BD482,'[1]2026'!$S:$S,BO$3,'[1]2026'!$P:$P,$AU482)</f>
        <v>68006.720000000001</v>
      </c>
      <c r="BP482" s="6">
        <v>55000</v>
      </c>
      <c r="BQ482" s="6"/>
      <c r="BR482" s="6"/>
      <c r="BS482" s="6">
        <v>55000</v>
      </c>
      <c r="BT482" s="6">
        <f t="shared" si="318"/>
        <v>229875.61</v>
      </c>
      <c r="BV482" s="6">
        <f t="shared" si="320"/>
        <v>0</v>
      </c>
      <c r="BW482" s="6">
        <f t="shared" si="321"/>
        <v>0</v>
      </c>
      <c r="BX482" s="6">
        <f t="shared" si="322"/>
        <v>-62314.745099580825</v>
      </c>
      <c r="BY482" s="6">
        <f t="shared" si="323"/>
        <v>0</v>
      </c>
      <c r="BZ482" s="6">
        <f t="shared" si="324"/>
        <v>51868.89</v>
      </c>
      <c r="CA482" s="6">
        <f t="shared" si="325"/>
        <v>-62314.745099580825</v>
      </c>
      <c r="CB482" s="6">
        <f t="shared" si="326"/>
        <v>0</v>
      </c>
      <c r="CC482" s="6">
        <f t="shared" si="327"/>
        <v>68006.720000000001</v>
      </c>
      <c r="CD482" s="6">
        <f t="shared" si="328"/>
        <v>-7314.7450995808249</v>
      </c>
      <c r="CE482" s="6">
        <f t="shared" si="329"/>
        <v>0</v>
      </c>
      <c r="CF482" s="6">
        <f t="shared" si="330"/>
        <v>0</v>
      </c>
      <c r="CG482" s="6">
        <f t="shared" si="331"/>
        <v>-7314.7450995808249</v>
      </c>
      <c r="CH482" s="6">
        <f t="shared" si="296"/>
        <v>-19383.370398323314</v>
      </c>
    </row>
    <row r="483" spans="1:86" hidden="1" x14ac:dyDescent="0.35">
      <c r="A483" s="3" t="s">
        <v>873</v>
      </c>
      <c r="D483" s="10">
        <v>1375000</v>
      </c>
      <c r="G483" s="10">
        <v>1375000</v>
      </c>
      <c r="J483" s="10">
        <v>1375000</v>
      </c>
      <c r="M483" s="10">
        <v>1375000</v>
      </c>
      <c r="N483" s="27">
        <f t="shared" si="292"/>
        <v>5500000</v>
      </c>
      <c r="Q483" s="10">
        <v>496626.30587307201</v>
      </c>
      <c r="T483" s="10">
        <v>496626.30587307201</v>
      </c>
      <c r="W483" s="10">
        <v>496626.30587307201</v>
      </c>
      <c r="Z483" s="10">
        <v>496626.30587307201</v>
      </c>
      <c r="AA483" s="27">
        <f t="shared" si="293"/>
        <v>1986505.223492288</v>
      </c>
      <c r="AB483" s="10">
        <f t="shared" si="316"/>
        <v>0</v>
      </c>
      <c r="AC483" s="10">
        <f t="shared" si="316"/>
        <v>0</v>
      </c>
      <c r="AD483" s="10">
        <f t="shared" si="316"/>
        <v>878373.69412692799</v>
      </c>
      <c r="AE483" s="10">
        <f t="shared" si="316"/>
        <v>0</v>
      </c>
      <c r="AF483" s="10">
        <f t="shared" si="316"/>
        <v>0</v>
      </c>
      <c r="AG483" s="10">
        <f t="shared" si="316"/>
        <v>878373.69412692799</v>
      </c>
      <c r="AH483" s="10">
        <f t="shared" si="316"/>
        <v>0</v>
      </c>
      <c r="AI483" s="10">
        <f t="shared" si="315"/>
        <v>0</v>
      </c>
      <c r="AJ483" s="10">
        <f t="shared" si="315"/>
        <v>878373.69412692799</v>
      </c>
      <c r="AK483" s="10">
        <f t="shared" si="315"/>
        <v>0</v>
      </c>
      <c r="AL483" s="10">
        <f t="shared" si="315"/>
        <v>0</v>
      </c>
      <c r="AM483" s="10">
        <f t="shared" si="315"/>
        <v>878373.69412692799</v>
      </c>
      <c r="AN483" s="27">
        <f t="shared" si="315"/>
        <v>3513494.776507712</v>
      </c>
      <c r="AO483" s="28">
        <v>3410765.5300000003</v>
      </c>
      <c r="AS483" t="str">
        <f>_xlfn.XLOOKUP(AU483,[2]GAE!HZ:HZ,[2]GAE!IA:IA)</f>
        <v>OHI-COMMON</v>
      </c>
      <c r="AT483" t="str">
        <f>_xlfn.XLOOKUP(AU483,[2]GAE!HZ:HZ,[2]GAE!IB:IB)</f>
        <v>DOE - Employee Benefits - Fringe Benefits Tax</v>
      </c>
      <c r="AU483" t="s">
        <v>874</v>
      </c>
      <c r="AV483">
        <v>90111101</v>
      </c>
      <c r="AW483">
        <v>52121313</v>
      </c>
      <c r="AX483" t="str">
        <f>_xlfn.XLOOKUP(AU483,[2]GAE!HZ:HZ,[2]GAE!IF:IF)</f>
        <v>Employee Benefits</v>
      </c>
      <c r="AY483" t="str">
        <f>_xlfn.XLOOKUP(AU483,[2]GAE!HZ:HZ,[2]GAE!IG:IG)</f>
        <v>FBT</v>
      </c>
      <c r="BC483" t="s">
        <v>120</v>
      </c>
      <c r="BD483" t="s">
        <v>120</v>
      </c>
      <c r="BF483" t="s">
        <v>119</v>
      </c>
      <c r="BG483" t="s">
        <v>120</v>
      </c>
      <c r="BH483" s="10">
        <f>SUMIFS('[1]2026'!$K:$K,'[1]2026'!$T:$T,BD483,'[1]2026'!$S:$S,BH$3,'[1]2026'!$P:$P,AU483)</f>
        <v>0</v>
      </c>
      <c r="BI483" s="10">
        <f>SUMIFS('[1]2026'!$K:$K,'[1]2026'!$T:$T,$BD483,'[1]2026'!$S:$S,BI$3,'[1]2026'!$P:$P,$AU483)</f>
        <v>0</v>
      </c>
      <c r="BJ483" s="10">
        <f>SUMIFS('[1]2026'!$K:$K,'[1]2026'!$T:$T,$BD483,'[1]2026'!$S:$S,BJ$3,'[1]2026'!$P:$P,$AU483)</f>
        <v>1051640.8500000001</v>
      </c>
      <c r="BK483" s="10">
        <f>SUMIFS('[1]2026'!$K:$K,'[1]2026'!$T:$T,$BD483,'[1]2026'!$S:$S,BK$3,'[1]2026'!$P:$P,$AU483)</f>
        <v>136398</v>
      </c>
      <c r="BL483" s="10">
        <f>SUMIFS('[1]2026'!$K:$K,'[1]2026'!$T:$T,$BD483,'[1]2026'!$S:$S,BL$3,'[1]2026'!$P:$P,$AU483)</f>
        <v>0.47999999998137355</v>
      </c>
      <c r="BM483" s="10">
        <f>SUMIFS('[1]2026'!$K:$K,'[1]2026'!$T:$T,$BD483,'[1]2026'!$S:$S,BM$3,'[1]2026'!$P:$P,$AU483)</f>
        <v>1051640.8500000001</v>
      </c>
      <c r="BN483" s="10">
        <f>SUMIFS('[1]2026'!$K:$K,'[1]2026'!$T:$T,$BD483,'[1]2026'!$S:$S,BN$3,'[1]2026'!$P:$P,$AU483)</f>
        <v>0</v>
      </c>
      <c r="BO483" s="10">
        <f>SUMIFS('[1]2026'!$K:$K,'[1]2026'!$T:$T,$BD483,'[1]2026'!$S:$S,BO$3,'[1]2026'!$P:$P,$AU483)</f>
        <v>166681.55999999982</v>
      </c>
      <c r="BP483" s="6">
        <v>1200000</v>
      </c>
      <c r="BQ483" s="6"/>
      <c r="BR483" s="6"/>
      <c r="BS483" s="6">
        <v>1200000</v>
      </c>
      <c r="BT483" s="6">
        <f t="shared" si="318"/>
        <v>4806361.74</v>
      </c>
      <c r="BV483" s="6">
        <f t="shared" si="320"/>
        <v>0</v>
      </c>
      <c r="BW483" s="6">
        <f t="shared" si="321"/>
        <v>0</v>
      </c>
      <c r="BX483" s="6">
        <f t="shared" si="322"/>
        <v>173267.1558730721</v>
      </c>
      <c r="BY483" s="6">
        <f t="shared" si="323"/>
        <v>136398</v>
      </c>
      <c r="BZ483" s="6">
        <f t="shared" si="324"/>
        <v>0.47999999998137355</v>
      </c>
      <c r="CA483" s="6">
        <f t="shared" si="325"/>
        <v>173267.1558730721</v>
      </c>
      <c r="CB483" s="6">
        <f t="shared" si="326"/>
        <v>0</v>
      </c>
      <c r="CC483" s="6">
        <f t="shared" si="327"/>
        <v>166681.55999999982</v>
      </c>
      <c r="CD483" s="6">
        <f t="shared" si="328"/>
        <v>321626.30587307201</v>
      </c>
      <c r="CE483" s="6">
        <f t="shared" si="329"/>
        <v>0</v>
      </c>
      <c r="CF483" s="6">
        <f t="shared" si="330"/>
        <v>0</v>
      </c>
      <c r="CG483" s="6">
        <f t="shared" si="331"/>
        <v>321626.30587307201</v>
      </c>
      <c r="CH483" s="6">
        <f t="shared" si="296"/>
        <v>1292866.9634922883</v>
      </c>
    </row>
    <row r="484" spans="1:86" hidden="1" x14ac:dyDescent="0.35">
      <c r="A484" s="3" t="s">
        <v>875</v>
      </c>
      <c r="D484" s="10">
        <v>155000</v>
      </c>
      <c r="G484" s="10">
        <v>155000</v>
      </c>
      <c r="J484" s="10">
        <v>155000</v>
      </c>
      <c r="M484" s="10">
        <v>155000</v>
      </c>
      <c r="N484" s="27">
        <f t="shared" si="292"/>
        <v>620000</v>
      </c>
      <c r="Q484" s="10">
        <v>13995.832256422926</v>
      </c>
      <c r="T484" s="10">
        <v>13995.832256422926</v>
      </c>
      <c r="W484" s="10">
        <v>13995.832256422926</v>
      </c>
      <c r="Z484" s="10">
        <v>13995.832256422926</v>
      </c>
      <c r="AA484" s="27">
        <f t="shared" si="293"/>
        <v>55983.329025691703</v>
      </c>
      <c r="AB484" s="10">
        <f t="shared" si="316"/>
        <v>0</v>
      </c>
      <c r="AC484" s="10">
        <f t="shared" si="316"/>
        <v>0</v>
      </c>
      <c r="AD484" s="10">
        <f t="shared" si="316"/>
        <v>141004.16774357707</v>
      </c>
      <c r="AE484" s="10">
        <f t="shared" si="316"/>
        <v>0</v>
      </c>
      <c r="AF484" s="10">
        <f t="shared" si="316"/>
        <v>0</v>
      </c>
      <c r="AG484" s="10">
        <f t="shared" si="316"/>
        <v>141004.16774357707</v>
      </c>
      <c r="AH484" s="10">
        <f t="shared" si="316"/>
        <v>0</v>
      </c>
      <c r="AI484" s="10">
        <f t="shared" si="315"/>
        <v>0</v>
      </c>
      <c r="AJ484" s="10">
        <f t="shared" si="315"/>
        <v>141004.16774357707</v>
      </c>
      <c r="AK484" s="10">
        <f t="shared" si="315"/>
        <v>0</v>
      </c>
      <c r="AL484" s="10">
        <f t="shared" si="315"/>
        <v>0</v>
      </c>
      <c r="AM484" s="10">
        <f t="shared" si="315"/>
        <v>141004.16774357707</v>
      </c>
      <c r="AN484" s="27">
        <f t="shared" si="315"/>
        <v>564016.67097430828</v>
      </c>
      <c r="AO484" s="28">
        <v>313804.06</v>
      </c>
      <c r="AS484" t="str">
        <f>_xlfn.XLOOKUP(AU484,[2]GAE!HZ:HZ,[2]GAE!IA:IA)</f>
        <v>CCC-COMMON</v>
      </c>
      <c r="AT484" t="str">
        <f>_xlfn.XLOOKUP(AU484,[2]GAE!HZ:HZ,[2]GAE!IB:IB)</f>
        <v>DOE - Employee Benefits - Fringe Benefits Tax</v>
      </c>
      <c r="AU484" t="s">
        <v>876</v>
      </c>
      <c r="AV484">
        <v>81111101</v>
      </c>
      <c r="AW484">
        <v>52121313</v>
      </c>
      <c r="AX484" t="str">
        <f>_xlfn.XLOOKUP(AU484,[2]GAE!HZ:HZ,[2]GAE!IF:IF)</f>
        <v>Employee Benefits</v>
      </c>
      <c r="AY484" t="str">
        <f>_xlfn.XLOOKUP(AU484,[2]GAE!HZ:HZ,[2]GAE!IG:IG)</f>
        <v>FBT</v>
      </c>
      <c r="BC484" t="s">
        <v>120</v>
      </c>
      <c r="BD484" t="s">
        <v>120</v>
      </c>
      <c r="BF484" t="s">
        <v>119</v>
      </c>
      <c r="BG484" t="s">
        <v>120</v>
      </c>
      <c r="BH484" s="10">
        <f>SUMIFS('[1]2026'!$K:$K,'[1]2026'!$T:$T,BD484,'[1]2026'!$S:$S,BH$3,'[1]2026'!$P:$P,AU484)</f>
        <v>0</v>
      </c>
      <c r="BI484" s="10">
        <f>SUMIFS('[1]2026'!$K:$K,'[1]2026'!$T:$T,$BD484,'[1]2026'!$S:$S,BI$3,'[1]2026'!$P:$P,$AU484)</f>
        <v>0</v>
      </c>
      <c r="BJ484" s="10">
        <f>SUMIFS('[1]2026'!$K:$K,'[1]2026'!$T:$T,$BD484,'[1]2026'!$S:$S,BJ$3,'[1]2026'!$P:$P,$AU484)</f>
        <v>0</v>
      </c>
      <c r="BK484" s="10">
        <f>SUMIFS('[1]2026'!$K:$K,'[1]2026'!$T:$T,$BD484,'[1]2026'!$S:$S,BK$3,'[1]2026'!$P:$P,$AU484)</f>
        <v>0</v>
      </c>
      <c r="BL484" s="10">
        <f>SUMIFS('[1]2026'!$K:$K,'[1]2026'!$T:$T,$BD484,'[1]2026'!$S:$S,BL$3,'[1]2026'!$P:$P,$AU484)</f>
        <v>0</v>
      </c>
      <c r="BM484" s="10">
        <f>SUMIFS('[1]2026'!$K:$K,'[1]2026'!$T:$T,$BD484,'[1]2026'!$S:$S,BM$3,'[1]2026'!$P:$P,$AU484)</f>
        <v>97568.11</v>
      </c>
      <c r="BN484" s="10">
        <f>SUMIFS('[1]2026'!$K:$K,'[1]2026'!$T:$T,$BD484,'[1]2026'!$S:$S,BN$3,'[1]2026'!$P:$P,$AU484)</f>
        <v>0</v>
      </c>
      <c r="BO484" s="10">
        <f>SUMIFS('[1]2026'!$K:$K,'[1]2026'!$T:$T,$BD484,'[1]2026'!$S:$S,BO$3,'[1]2026'!$P:$P,$AU484)</f>
        <v>112274.64</v>
      </c>
      <c r="BP484" s="6">
        <v>141004.16774357707</v>
      </c>
      <c r="BQ484" s="6"/>
      <c r="BR484" s="6"/>
      <c r="BS484" s="6">
        <v>141004.16774357707</v>
      </c>
      <c r="BT484" s="6">
        <f t="shared" si="318"/>
        <v>491851.08548715408</v>
      </c>
      <c r="BV484" s="6">
        <f t="shared" si="320"/>
        <v>0</v>
      </c>
      <c r="BW484" s="6">
        <f t="shared" si="321"/>
        <v>0</v>
      </c>
      <c r="BX484" s="6">
        <f t="shared" si="322"/>
        <v>-141004.16774357707</v>
      </c>
      <c r="BY484" s="6">
        <f t="shared" si="323"/>
        <v>0</v>
      </c>
      <c r="BZ484" s="6">
        <f t="shared" si="324"/>
        <v>0</v>
      </c>
      <c r="CA484" s="6">
        <f t="shared" si="325"/>
        <v>-43436.057743577068</v>
      </c>
      <c r="CB484" s="6">
        <f t="shared" si="326"/>
        <v>0</v>
      </c>
      <c r="CC484" s="6">
        <f t="shared" si="327"/>
        <v>112274.64</v>
      </c>
      <c r="CD484" s="6">
        <f t="shared" si="328"/>
        <v>0</v>
      </c>
      <c r="CE484" s="6">
        <f t="shared" si="329"/>
        <v>0</v>
      </c>
      <c r="CF484" s="6">
        <f t="shared" si="330"/>
        <v>0</v>
      </c>
      <c r="CG484" s="6">
        <f t="shared" si="331"/>
        <v>0</v>
      </c>
      <c r="CH484" s="6">
        <f t="shared" si="296"/>
        <v>-72165.585487154196</v>
      </c>
    </row>
    <row r="485" spans="1:86" hidden="1" x14ac:dyDescent="0.35">
      <c r="AN485" s="27">
        <f>N485-AA485</f>
        <v>0</v>
      </c>
      <c r="AS485" t="str">
        <f>_xlfn.XLOOKUP(AU485,[2]GAE!HZ:HZ,[2]GAE!IA:IA)</f>
        <v>CCC-COMMON</v>
      </c>
      <c r="AT485" t="str">
        <f>_xlfn.XLOOKUP(AU485,[2]GAE!HZ:HZ,[2]GAE!IB:IB)</f>
        <v>DOE - Employee Benefits - Fringe Benefits Tax</v>
      </c>
      <c r="AU485" t="s">
        <v>876</v>
      </c>
      <c r="AV485">
        <v>81111101</v>
      </c>
      <c r="AW485">
        <v>52121313</v>
      </c>
      <c r="AX485" t="str">
        <f>_xlfn.XLOOKUP(AU485,[2]GAE!HZ:HZ,[2]GAE!IF:IF)</f>
        <v>Employee Benefits</v>
      </c>
      <c r="AY485" t="str">
        <f>_xlfn.XLOOKUP(AU485,[2]GAE!HZ:HZ,[2]GAE!IG:IG)</f>
        <v>FBT</v>
      </c>
      <c r="BD485" t="s">
        <v>877</v>
      </c>
      <c r="BF485" s="37" t="s">
        <v>1263</v>
      </c>
      <c r="BG485" s="37" t="s">
        <v>1263</v>
      </c>
      <c r="BJ485" s="10">
        <f>SUMIFS('[1]2026'!$K:$K,'[1]2026'!$T:$T,$BD485,'[1]2026'!$S:$S,BJ$3,'[1]2026'!$P:$P,$AU485)</f>
        <v>0</v>
      </c>
      <c r="BK485" s="10">
        <f>SUMIFS('[1]2026'!$K:$K,'[1]2026'!$T:$T,$BD485,'[1]2026'!$S:$S,BK$3,'[1]2026'!$P:$P,$AU485)</f>
        <v>0</v>
      </c>
      <c r="BL485" s="6"/>
      <c r="BM485" s="10">
        <f>SUMIFS('[1]2026'!$K:$K,'[1]2026'!$T:$T,$BD485,'[1]2026'!$S:$S,BM$3,'[1]2026'!$P:$P,$AU485)</f>
        <v>0</v>
      </c>
      <c r="BN485" s="10">
        <f>SUMIFS('[1]2026'!$K:$K,'[1]2026'!$T:$T,$BD485,'[1]2026'!$S:$S,BN$3,'[1]2026'!$P:$P,$AU485)</f>
        <v>0</v>
      </c>
      <c r="BO485" s="10">
        <f>SUMIFS('[1]2026'!$K:$K,'[1]2026'!$T:$T,$BD485,'[1]2026'!$S:$S,BO$3,'[1]2026'!$P:$P,$AU485)</f>
        <v>0</v>
      </c>
      <c r="BP485" s="6"/>
      <c r="BQ485" s="6"/>
      <c r="BR485" s="6"/>
      <c r="BS485" s="6"/>
      <c r="BT485" s="6">
        <f t="shared" si="318"/>
        <v>0</v>
      </c>
      <c r="BV485" s="6">
        <f t="shared" si="320"/>
        <v>0</v>
      </c>
      <c r="BW485" s="6">
        <f t="shared" si="321"/>
        <v>0</v>
      </c>
      <c r="BX485" s="6">
        <f t="shared" si="322"/>
        <v>0</v>
      </c>
      <c r="BY485" s="6">
        <f t="shared" si="323"/>
        <v>0</v>
      </c>
      <c r="BZ485" s="6">
        <f t="shared" si="324"/>
        <v>0</v>
      </c>
      <c r="CA485" s="6">
        <f t="shared" si="325"/>
        <v>0</v>
      </c>
      <c r="CB485" s="6">
        <f t="shared" si="326"/>
        <v>0</v>
      </c>
      <c r="CC485" s="6">
        <f t="shared" si="327"/>
        <v>0</v>
      </c>
      <c r="CD485" s="6">
        <f t="shared" si="328"/>
        <v>0</v>
      </c>
      <c r="CE485" s="6">
        <f t="shared" si="329"/>
        <v>0</v>
      </c>
      <c r="CF485" s="6">
        <f t="shared" si="330"/>
        <v>0</v>
      </c>
      <c r="CG485" s="6">
        <f t="shared" si="331"/>
        <v>0</v>
      </c>
      <c r="CH485" s="6">
        <f t="shared" si="296"/>
        <v>0</v>
      </c>
    </row>
    <row r="486" spans="1:86" hidden="1" x14ac:dyDescent="0.35">
      <c r="A486" s="3" t="s">
        <v>878</v>
      </c>
      <c r="B486" s="10">
        <v>7227.073875</v>
      </c>
      <c r="C486" s="10">
        <v>7227.073875</v>
      </c>
      <c r="D486" s="10">
        <v>7227.073875</v>
      </c>
      <c r="E486" s="10">
        <v>7227.073875</v>
      </c>
      <c r="F486" s="10">
        <v>7227.073875</v>
      </c>
      <c r="G486" s="10">
        <v>7227.073875</v>
      </c>
      <c r="H486" s="10">
        <v>7227.073875</v>
      </c>
      <c r="I486" s="10">
        <v>7227.073875</v>
      </c>
      <c r="J486" s="10">
        <v>7227.073875</v>
      </c>
      <c r="K486" s="10">
        <v>7227.073875</v>
      </c>
      <c r="L486" s="10">
        <v>7227.073875</v>
      </c>
      <c r="M486" s="10">
        <v>7227.073875</v>
      </c>
      <c r="N486" s="27">
        <f t="shared" si="292"/>
        <v>86724.886500000008</v>
      </c>
      <c r="AA486" s="27">
        <f t="shared" si="293"/>
        <v>0</v>
      </c>
      <c r="AB486" s="10">
        <f t="shared" si="316"/>
        <v>7227.073875</v>
      </c>
      <c r="AC486" s="10">
        <f t="shared" si="316"/>
        <v>7227.073875</v>
      </c>
      <c r="AD486" s="10">
        <f t="shared" si="316"/>
        <v>7227.073875</v>
      </c>
      <c r="AE486" s="10">
        <f t="shared" si="316"/>
        <v>7227.073875</v>
      </c>
      <c r="AF486" s="10">
        <f t="shared" si="316"/>
        <v>7227.073875</v>
      </c>
      <c r="AG486" s="10">
        <f t="shared" si="316"/>
        <v>7227.073875</v>
      </c>
      <c r="AH486" s="10">
        <f t="shared" si="316"/>
        <v>7227.073875</v>
      </c>
      <c r="AI486" s="10">
        <f t="shared" si="315"/>
        <v>7227.073875</v>
      </c>
      <c r="AJ486" s="10">
        <f t="shared" si="315"/>
        <v>7227.073875</v>
      </c>
      <c r="AK486" s="10">
        <f t="shared" si="315"/>
        <v>7227.073875</v>
      </c>
      <c r="AL486" s="10">
        <f t="shared" si="315"/>
        <v>7227.073875</v>
      </c>
      <c r="AM486" s="10">
        <f t="shared" si="315"/>
        <v>7227.073875</v>
      </c>
      <c r="AN486" s="27">
        <f t="shared" si="315"/>
        <v>86724.886500000008</v>
      </c>
      <c r="AS486" t="str">
        <f>_xlfn.XLOOKUP(AU486,[2]GAE!HZ:HZ,[2]GAE!IA:IA)</f>
        <v>ADMIN SERVICES</v>
      </c>
      <c r="AT486" t="str">
        <f>_xlfn.XLOOKUP(AU486,[2]GAE!HZ:HZ,[2]GAE!IB:IB)</f>
        <v>DOE - Janitorial - Common</v>
      </c>
      <c r="AU486" t="s">
        <v>564</v>
      </c>
      <c r="AV486">
        <v>81123102</v>
      </c>
      <c r="AW486">
        <v>52041405</v>
      </c>
      <c r="AX486" t="str">
        <f>_xlfn.XLOOKUP(AU486,[2]GAE!HZ:HZ,[2]GAE!IF:IF)</f>
        <v>Contracted services</v>
      </c>
      <c r="AY486" t="str">
        <f>_xlfn.XLOOKUP(AU486,[2]GAE!HZ:HZ,[2]GAE!IG:IG)</f>
        <v>Janitorial</v>
      </c>
      <c r="BD486" s="35" t="s">
        <v>40</v>
      </c>
      <c r="BE486" s="35"/>
      <c r="BF486" t="s">
        <v>40</v>
      </c>
      <c r="BG486" t="s">
        <v>40</v>
      </c>
      <c r="BH486" s="10">
        <f>SUMIFS('[1]2026'!$K:$K,'[1]2026'!$T:$T,BD486,'[1]2026'!$S:$S,BH$3,'[1]2026'!$P:$P,AU486)</f>
        <v>0</v>
      </c>
      <c r="BI486" s="10">
        <f>SUMIFS('[1]2026'!$K:$K,'[1]2026'!$T:$T,$BD486,'[1]2026'!$S:$S,BI$3,'[1]2026'!$P:$P,$AU486)</f>
        <v>0</v>
      </c>
      <c r="BJ486" s="6"/>
      <c r="BK486" s="10">
        <f>SUMIFS('[1]2026'!$K:$K,'[1]2026'!$T:$T,$BD486,'[1]2026'!$S:$S,BK$3,'[1]2026'!$P:$P,$AU486)</f>
        <v>0</v>
      </c>
      <c r="BL486" s="6"/>
      <c r="BM486" s="10">
        <f>SUMIFS('[1]2026'!$K:$K,'[1]2026'!$T:$T,$BD486,'[1]2026'!$S:$S,BM$3,'[1]2026'!$P:$P,$AU486)</f>
        <v>0</v>
      </c>
      <c r="BN486" s="10">
        <f>SUMIFS('[1]2026'!$K:$K,'[1]2026'!$T:$T,$BD486,'[1]2026'!$S:$S,BN$3,'[1]2026'!$P:$P,$AU486)</f>
        <v>0</v>
      </c>
      <c r="BO486" s="10">
        <f>SUMIFS('[1]2026'!$K:$K,'[1]2026'!$T:$T,$BD486,'[1]2026'!$S:$S,BO$3,'[1]2026'!$P:$P,$AU486)</f>
        <v>0</v>
      </c>
      <c r="BP486" s="6"/>
      <c r="BQ486" s="6"/>
      <c r="BR486" s="6"/>
      <c r="BS486" s="6"/>
      <c r="BT486" s="6">
        <f t="shared" si="318"/>
        <v>0</v>
      </c>
      <c r="BV486" s="6">
        <f t="shared" si="320"/>
        <v>-7227.073875</v>
      </c>
      <c r="BW486" s="6">
        <f t="shared" si="321"/>
        <v>-7227.073875</v>
      </c>
      <c r="BX486" s="6">
        <f t="shared" si="322"/>
        <v>-7227.073875</v>
      </c>
      <c r="BY486" s="6">
        <f t="shared" si="323"/>
        <v>-7227.073875</v>
      </c>
      <c r="BZ486" s="6">
        <f t="shared" si="324"/>
        <v>-7227.073875</v>
      </c>
      <c r="CA486" s="6">
        <f t="shared" si="325"/>
        <v>-7227.073875</v>
      </c>
      <c r="CB486" s="6">
        <f t="shared" si="326"/>
        <v>-7227.073875</v>
      </c>
      <c r="CC486" s="6">
        <f t="shared" si="327"/>
        <v>-7227.073875</v>
      </c>
      <c r="CD486" s="6">
        <f t="shared" si="328"/>
        <v>-7227.073875</v>
      </c>
      <c r="CE486" s="6">
        <f t="shared" si="329"/>
        <v>-7227.073875</v>
      </c>
      <c r="CF486" s="6">
        <f t="shared" si="330"/>
        <v>-7227.073875</v>
      </c>
      <c r="CG486" s="6">
        <f t="shared" si="331"/>
        <v>-7227.073875</v>
      </c>
      <c r="CH486" s="6">
        <f t="shared" si="296"/>
        <v>-86724.886500000008</v>
      </c>
    </row>
    <row r="487" spans="1:86" hidden="1" x14ac:dyDescent="0.35">
      <c r="A487" s="3" t="s">
        <v>879</v>
      </c>
      <c r="B487" s="10">
        <v>6068.1228300000002</v>
      </c>
      <c r="C487" s="10">
        <v>6068.1228300000002</v>
      </c>
      <c r="D487" s="10">
        <v>6068.1228300000002</v>
      </c>
      <c r="E487" s="10">
        <v>6068.1228300000002</v>
      </c>
      <c r="F487" s="10">
        <v>6068.1228300000002</v>
      </c>
      <c r="G487" s="10">
        <v>6068.1228300000002</v>
      </c>
      <c r="H487" s="10">
        <v>6068.1228300000002</v>
      </c>
      <c r="I487" s="10">
        <v>6068.1228300000002</v>
      </c>
      <c r="J487" s="10">
        <v>6068.1228300000002</v>
      </c>
      <c r="K487" s="10">
        <v>6068.1228300000002</v>
      </c>
      <c r="L487" s="10">
        <v>6068.1228300000002</v>
      </c>
      <c r="M487" s="10">
        <v>6068.1228300000002</v>
      </c>
      <c r="N487" s="27">
        <f t="shared" si="292"/>
        <v>72817.473960000003</v>
      </c>
      <c r="AA487" s="27">
        <f t="shared" si="293"/>
        <v>0</v>
      </c>
      <c r="AB487" s="10">
        <f t="shared" si="316"/>
        <v>6068.1228300000002</v>
      </c>
      <c r="AC487" s="10">
        <f t="shared" si="316"/>
        <v>6068.1228300000002</v>
      </c>
      <c r="AD487" s="10">
        <f t="shared" si="316"/>
        <v>6068.1228300000002</v>
      </c>
      <c r="AE487" s="10">
        <f t="shared" si="316"/>
        <v>6068.1228300000002</v>
      </c>
      <c r="AF487" s="10">
        <f t="shared" si="316"/>
        <v>6068.1228300000002</v>
      </c>
      <c r="AG487" s="10">
        <f t="shared" si="316"/>
        <v>6068.1228300000002</v>
      </c>
      <c r="AH487" s="10">
        <f t="shared" si="316"/>
        <v>6068.1228300000002</v>
      </c>
      <c r="AI487" s="10">
        <f t="shared" si="315"/>
        <v>6068.1228300000002</v>
      </c>
      <c r="AJ487" s="10">
        <f t="shared" si="315"/>
        <v>6068.1228300000002</v>
      </c>
      <c r="AK487" s="10">
        <f t="shared" si="315"/>
        <v>6068.1228300000002</v>
      </c>
      <c r="AL487" s="10">
        <f t="shared" si="315"/>
        <v>6068.1228300000002</v>
      </c>
      <c r="AM487" s="10">
        <f t="shared" si="315"/>
        <v>6068.1228300000002</v>
      </c>
      <c r="AN487" s="27">
        <f t="shared" si="315"/>
        <v>72817.473960000003</v>
      </c>
      <c r="AS487" t="str">
        <f>_xlfn.XLOOKUP(AU487,[2]GAE!HZ:HZ,[2]GAE!IA:IA)</f>
        <v>ADMIN SERVICES</v>
      </c>
      <c r="AT487" t="str">
        <f>_xlfn.XLOOKUP(AU487,[2]GAE!HZ:HZ,[2]GAE!IB:IB)</f>
        <v>DOE - Janitorial - Common</v>
      </c>
      <c r="AU487" t="s">
        <v>564</v>
      </c>
      <c r="AV487">
        <v>81123102</v>
      </c>
      <c r="AW487">
        <v>52041405</v>
      </c>
      <c r="AX487" t="str">
        <f>_xlfn.XLOOKUP(AU487,[2]GAE!HZ:HZ,[2]GAE!IF:IF)</f>
        <v>Contracted services</v>
      </c>
      <c r="AY487" t="str">
        <f>_xlfn.XLOOKUP(AU487,[2]GAE!HZ:HZ,[2]GAE!IG:IG)</f>
        <v>Janitorial</v>
      </c>
      <c r="BD487" s="35" t="s">
        <v>40</v>
      </c>
      <c r="BE487" s="35"/>
      <c r="BF487" t="s">
        <v>40</v>
      </c>
      <c r="BG487" t="s">
        <v>40</v>
      </c>
      <c r="BH487" s="10">
        <f>SUMIFS('[1]2026'!$K:$K,'[1]2026'!$T:$T,BD487,'[1]2026'!$S:$S,BH$3,'[1]2026'!$P:$P,AU487)</f>
        <v>0</v>
      </c>
      <c r="BI487" s="10">
        <f>SUMIFS('[1]2026'!$K:$K,'[1]2026'!$T:$T,$BD487,'[1]2026'!$S:$S,BI$3,'[1]2026'!$P:$P,$AU487)</f>
        <v>0</v>
      </c>
      <c r="BJ487" s="6"/>
      <c r="BK487" s="10">
        <f>SUMIFS('[1]2026'!$K:$K,'[1]2026'!$T:$T,$BD487,'[1]2026'!$S:$S,BK$3,'[1]2026'!$P:$P,$AU487)</f>
        <v>0</v>
      </c>
      <c r="BL487" s="6"/>
      <c r="BM487" s="10">
        <f>SUMIFS('[1]2026'!$K:$K,'[1]2026'!$T:$T,$BD487,'[1]2026'!$S:$S,BM$3,'[1]2026'!$P:$P,$AU487)</f>
        <v>0</v>
      </c>
      <c r="BN487" s="10">
        <f>SUMIFS('[1]2026'!$K:$K,'[1]2026'!$T:$T,$BD487,'[1]2026'!$S:$S,BN$3,'[1]2026'!$P:$P,$AU487)</f>
        <v>0</v>
      </c>
      <c r="BO487" s="10">
        <f>SUMIFS('[1]2026'!$K:$K,'[1]2026'!$T:$T,$BD487,'[1]2026'!$S:$S,BO$3,'[1]2026'!$P:$P,$AU487)</f>
        <v>0</v>
      </c>
      <c r="BP487" s="6"/>
      <c r="BQ487" s="6"/>
      <c r="BR487" s="6"/>
      <c r="BS487" s="6"/>
      <c r="BT487" s="6">
        <f t="shared" si="318"/>
        <v>0</v>
      </c>
      <c r="BV487" s="6">
        <f t="shared" si="320"/>
        <v>-6068.1228300000002</v>
      </c>
      <c r="BW487" s="6">
        <f t="shared" si="321"/>
        <v>-6068.1228300000002</v>
      </c>
      <c r="BX487" s="6">
        <f t="shared" si="322"/>
        <v>-6068.1228300000002</v>
      </c>
      <c r="BY487" s="6">
        <f t="shared" si="323"/>
        <v>-6068.1228300000002</v>
      </c>
      <c r="BZ487" s="6">
        <f t="shared" si="324"/>
        <v>-6068.1228300000002</v>
      </c>
      <c r="CA487" s="6">
        <f t="shared" si="325"/>
        <v>-6068.1228300000002</v>
      </c>
      <c r="CB487" s="6">
        <f t="shared" si="326"/>
        <v>-6068.1228300000002</v>
      </c>
      <c r="CC487" s="6">
        <f t="shared" si="327"/>
        <v>-6068.1228300000002</v>
      </c>
      <c r="CD487" s="6">
        <f t="shared" si="328"/>
        <v>-6068.1228300000002</v>
      </c>
      <c r="CE487" s="6">
        <f t="shared" si="329"/>
        <v>-6068.1228300000002</v>
      </c>
      <c r="CF487" s="6">
        <f t="shared" si="330"/>
        <v>-6068.1228300000002</v>
      </c>
      <c r="CG487" s="6">
        <f t="shared" si="331"/>
        <v>-6068.1228300000002</v>
      </c>
      <c r="CH487" s="6">
        <f t="shared" si="296"/>
        <v>-72817.473960000003</v>
      </c>
    </row>
    <row r="488" spans="1:86" hidden="1" x14ac:dyDescent="0.35">
      <c r="A488" s="3" t="s">
        <v>880</v>
      </c>
      <c r="B488" s="32">
        <v>342000</v>
      </c>
      <c r="C488" s="32">
        <v>45000</v>
      </c>
      <c r="D488" s="32">
        <v>45000</v>
      </c>
      <c r="E488" s="32">
        <v>45000</v>
      </c>
      <c r="F488" s="32">
        <v>45000</v>
      </c>
      <c r="G488" s="32">
        <v>45000</v>
      </c>
      <c r="H488" s="32">
        <v>45000</v>
      </c>
      <c r="I488" s="32">
        <v>45000</v>
      </c>
      <c r="J488" s="32">
        <v>45000</v>
      </c>
      <c r="K488" s="32">
        <v>45000</v>
      </c>
      <c r="L488" s="32">
        <v>45000</v>
      </c>
      <c r="M488" s="32">
        <v>50000</v>
      </c>
      <c r="N488" s="27">
        <f t="shared" si="292"/>
        <v>842000</v>
      </c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7">
        <f t="shared" si="293"/>
        <v>0</v>
      </c>
      <c r="AB488" s="10">
        <f t="shared" si="316"/>
        <v>342000</v>
      </c>
      <c r="AC488" s="10">
        <f t="shared" si="316"/>
        <v>45000</v>
      </c>
      <c r="AD488" s="10">
        <f t="shared" si="316"/>
        <v>45000</v>
      </c>
      <c r="AE488" s="10">
        <f t="shared" si="316"/>
        <v>45000</v>
      </c>
      <c r="AF488" s="10">
        <f t="shared" si="316"/>
        <v>45000</v>
      </c>
      <c r="AG488" s="10">
        <f t="shared" si="316"/>
        <v>45000</v>
      </c>
      <c r="AH488" s="10">
        <f t="shared" si="316"/>
        <v>45000</v>
      </c>
      <c r="AI488" s="10">
        <f t="shared" si="315"/>
        <v>45000</v>
      </c>
      <c r="AJ488" s="10">
        <f t="shared" si="315"/>
        <v>45000</v>
      </c>
      <c r="AK488" s="10">
        <f t="shared" si="315"/>
        <v>45000</v>
      </c>
      <c r="AL488" s="10">
        <f t="shared" si="315"/>
        <v>45000</v>
      </c>
      <c r="AM488" s="10">
        <f t="shared" si="315"/>
        <v>50000</v>
      </c>
      <c r="AN488" s="27">
        <f t="shared" si="315"/>
        <v>842000</v>
      </c>
      <c r="AO488" s="28">
        <v>459000</v>
      </c>
      <c r="AS488" t="str">
        <f>_xlfn.XLOOKUP(AU488,[2]GAE!HZ:HZ,[2]GAE!IA:IA)</f>
        <v>HUMAN RESOURCES</v>
      </c>
      <c r="AT488" t="str">
        <f>_xlfn.XLOOKUP(AU488,[2]GAE!HZ:HZ,[2]GAE!IB:IB)</f>
        <v>DOE - Prof. Fees - Consultants</v>
      </c>
      <c r="AU488" t="s">
        <v>755</v>
      </c>
      <c r="AV488">
        <v>90122101</v>
      </c>
      <c r="AW488">
        <v>52071104</v>
      </c>
      <c r="AX488" t="str">
        <f>_xlfn.XLOOKUP(AU488,[2]GAE!HZ:HZ,[2]GAE!IF:IF)</f>
        <v>Professional fees</v>
      </c>
      <c r="AY488" t="str">
        <f>_xlfn.XLOOKUP(AU488,[2]GAE!HZ:HZ,[2]GAE!IG:IG)</f>
        <v>Internal and external consultants</v>
      </c>
      <c r="BC488" t="s">
        <v>121</v>
      </c>
      <c r="BD488" t="s">
        <v>881</v>
      </c>
      <c r="BF488" t="s">
        <v>93</v>
      </c>
      <c r="BG488" s="2" t="s">
        <v>121</v>
      </c>
      <c r="BH488" s="10">
        <f>SUMIFS('[1]2026'!$K:$K,'[1]2026'!$T:$T,BD488,'[1]2026'!$S:$S,BH$3,'[1]2026'!$P:$P,AU488)</f>
        <v>0</v>
      </c>
      <c r="BI488" s="10">
        <f>SUMIFS('[1]2026'!$K:$K,'[1]2026'!$T:$T,$BD488,'[1]2026'!$S:$S,BI$3,'[1]2026'!$P:$P,$AU488)</f>
        <v>12000</v>
      </c>
      <c r="BJ488" s="10">
        <f>SUMIFS('[1]2026'!$K:$K,'[1]2026'!$T:$T,$BD488,'[1]2026'!$S:$S,BJ$3,'[1]2026'!$P:$P,$AU488)</f>
        <v>12000</v>
      </c>
      <c r="BK488" s="10">
        <f>SUMIFS('[1]2026'!$K:$K,'[1]2026'!$T:$T,$BD488,'[1]2026'!$S:$S,BK$3,'[1]2026'!$P:$P,$AU488)</f>
        <v>16600</v>
      </c>
      <c r="BL488" s="10">
        <f>SUMIFS('[1]2026'!$K:$K,'[1]2026'!$T:$T,$BD488,'[1]2026'!$S:$S,BL$3,'[1]2026'!$P:$P,$AU488)</f>
        <v>16400</v>
      </c>
      <c r="BM488" s="10">
        <f>SUMIFS('[1]2026'!$K:$K,'[1]2026'!$T:$T,$BD488,'[1]2026'!$S:$S,BM$3,'[1]2026'!$P:$P,$AU488)</f>
        <v>12000</v>
      </c>
      <c r="BN488" s="10">
        <f>SUMIFS('[1]2026'!$K:$K,'[1]2026'!$T:$T,$BD488,'[1]2026'!$S:$S,BN$3,'[1]2026'!$P:$P,$AU488)</f>
        <v>12000</v>
      </c>
      <c r="BO488" s="10">
        <f>SUMIFS('[1]2026'!$K:$K,'[1]2026'!$T:$T,$BD488,'[1]2026'!$S:$S,BO$3,'[1]2026'!$P:$P,$AU488)</f>
        <v>12000</v>
      </c>
      <c r="BP488" s="6">
        <f t="shared" ref="BP488:BS488" si="332">BO488</f>
        <v>12000</v>
      </c>
      <c r="BQ488" s="6">
        <f t="shared" si="332"/>
        <v>12000</v>
      </c>
      <c r="BR488" s="6">
        <f t="shared" si="332"/>
        <v>12000</v>
      </c>
      <c r="BS488" s="6">
        <f t="shared" si="332"/>
        <v>12000</v>
      </c>
      <c r="BT488" s="6">
        <f t="shared" si="318"/>
        <v>141000</v>
      </c>
      <c r="BV488" s="6">
        <f t="shared" si="320"/>
        <v>-342000</v>
      </c>
      <c r="BW488" s="6">
        <f t="shared" si="321"/>
        <v>-33000</v>
      </c>
      <c r="BX488" s="6">
        <f t="shared" si="322"/>
        <v>-33000</v>
      </c>
      <c r="BY488" s="6">
        <f t="shared" si="323"/>
        <v>-28400</v>
      </c>
      <c r="BZ488" s="6">
        <f t="shared" si="324"/>
        <v>-28600</v>
      </c>
      <c r="CA488" s="6">
        <f t="shared" si="325"/>
        <v>-33000</v>
      </c>
      <c r="CB488" s="6">
        <f t="shared" si="326"/>
        <v>-33000</v>
      </c>
      <c r="CC488" s="6">
        <f t="shared" si="327"/>
        <v>-33000</v>
      </c>
      <c r="CD488" s="6">
        <f t="shared" si="328"/>
        <v>-33000</v>
      </c>
      <c r="CE488" s="6">
        <f t="shared" si="329"/>
        <v>-33000</v>
      </c>
      <c r="CF488" s="6">
        <f t="shared" si="330"/>
        <v>-33000</v>
      </c>
      <c r="CG488" s="6">
        <f t="shared" si="331"/>
        <v>-38000</v>
      </c>
      <c r="CH488" s="6">
        <f t="shared" si="296"/>
        <v>-701000</v>
      </c>
    </row>
    <row r="489" spans="1:86" hidden="1" x14ac:dyDescent="0.35">
      <c r="A489" s="3" t="s">
        <v>121</v>
      </c>
      <c r="B489" s="32">
        <v>20000</v>
      </c>
      <c r="C489" s="32">
        <v>20000</v>
      </c>
      <c r="D489" s="32">
        <v>20000</v>
      </c>
      <c r="E489" s="32">
        <v>20000</v>
      </c>
      <c r="F489" s="32">
        <v>20000</v>
      </c>
      <c r="G489" s="32">
        <v>20000</v>
      </c>
      <c r="H489" s="32">
        <v>20000</v>
      </c>
      <c r="I489" s="32">
        <v>20000</v>
      </c>
      <c r="J489" s="32">
        <v>20000</v>
      </c>
      <c r="K489" s="32">
        <v>20000</v>
      </c>
      <c r="L489" s="32">
        <v>20000</v>
      </c>
      <c r="M489" s="32">
        <v>20000</v>
      </c>
      <c r="N489" s="27">
        <f t="shared" si="292"/>
        <v>240000</v>
      </c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7">
        <f t="shared" si="293"/>
        <v>0</v>
      </c>
      <c r="AB489" s="10">
        <f t="shared" si="316"/>
        <v>20000</v>
      </c>
      <c r="AC489" s="10">
        <f t="shared" si="316"/>
        <v>20000</v>
      </c>
      <c r="AD489" s="10">
        <f t="shared" si="316"/>
        <v>20000</v>
      </c>
      <c r="AE489" s="10">
        <f t="shared" si="316"/>
        <v>20000</v>
      </c>
      <c r="AF489" s="10">
        <f t="shared" si="316"/>
        <v>20000</v>
      </c>
      <c r="AG489" s="10">
        <f t="shared" si="316"/>
        <v>20000</v>
      </c>
      <c r="AH489" s="10">
        <f t="shared" si="316"/>
        <v>20000</v>
      </c>
      <c r="AI489" s="10">
        <f t="shared" si="315"/>
        <v>20000</v>
      </c>
      <c r="AJ489" s="10">
        <f t="shared" si="315"/>
        <v>20000</v>
      </c>
      <c r="AK489" s="10">
        <f t="shared" si="315"/>
        <v>20000</v>
      </c>
      <c r="AL489" s="10">
        <f t="shared" si="315"/>
        <v>20000</v>
      </c>
      <c r="AM489" s="10">
        <f t="shared" si="315"/>
        <v>20000</v>
      </c>
      <c r="AN489" s="27">
        <f t="shared" si="315"/>
        <v>240000</v>
      </c>
      <c r="AR489" t="s">
        <v>753</v>
      </c>
      <c r="AS489" t="str">
        <f>_xlfn.XLOOKUP(AU489,[2]GAE!HZ:HZ,[2]GAE!IA:IA)</f>
        <v>HUMAN RESOURCES</v>
      </c>
      <c r="AT489" t="str">
        <f>_xlfn.XLOOKUP(AU489,[2]GAE!HZ:HZ,[2]GAE!IB:IB)</f>
        <v>DOE - Prof. Fees - Consultants</v>
      </c>
      <c r="AU489" t="s">
        <v>755</v>
      </c>
      <c r="AV489">
        <v>90122101</v>
      </c>
      <c r="AW489">
        <v>52071104</v>
      </c>
      <c r="AX489" t="str">
        <f>_xlfn.XLOOKUP(AU489,[2]GAE!HZ:HZ,[2]GAE!IF:IF)</f>
        <v>Professional fees</v>
      </c>
      <c r="AY489" t="str">
        <f>_xlfn.XLOOKUP(AU489,[2]GAE!HZ:HZ,[2]GAE!IG:IG)</f>
        <v>Internal and external consultants</v>
      </c>
      <c r="BF489" t="s">
        <v>93</v>
      </c>
      <c r="BG489" s="2" t="s">
        <v>121</v>
      </c>
      <c r="BH489" s="10">
        <f>SUMIFS('[1]2026'!$K:$K,'[1]2026'!$T:$T,BD489,'[1]2026'!$S:$S,BH$3,'[1]2026'!$P:$P,AU489)</f>
        <v>0</v>
      </c>
      <c r="BI489" s="10">
        <f>SUMIFS('[1]2026'!$K:$K,'[1]2026'!$T:$T,$BD489,'[1]2026'!$S:$S,BI$3,'[1]2026'!$P:$P,$AU489)</f>
        <v>0</v>
      </c>
      <c r="BJ489" s="6"/>
      <c r="BK489" s="10">
        <f>SUMIFS('[1]2026'!$K:$K,'[1]2026'!$T:$T,$BD489,'[1]2026'!$S:$S,BK$3,'[1]2026'!$P:$P,$AU489)</f>
        <v>0</v>
      </c>
      <c r="BL489" s="6"/>
      <c r="BM489" s="10">
        <f>SUMIFS('[1]2026'!$K:$K,'[1]2026'!$T:$T,$BD489,'[1]2026'!$S:$S,BM$3,'[1]2026'!$P:$P,$AU489)</f>
        <v>0</v>
      </c>
      <c r="BN489" s="10">
        <f>SUMIFS('[1]2026'!$K:$K,'[1]2026'!$T:$T,$BD489,'[1]2026'!$S:$S,BN$3,'[1]2026'!$P:$P,$AU489)</f>
        <v>0</v>
      </c>
      <c r="BO489" s="10">
        <f>SUMIFS('[1]2026'!$K:$K,'[1]2026'!$T:$T,$BD489,'[1]2026'!$S:$S,BO$3,'[1]2026'!$P:$P,$AU489)</f>
        <v>0</v>
      </c>
      <c r="BP489" s="6"/>
      <c r="BQ489" s="6"/>
      <c r="BR489" s="6"/>
      <c r="BS489" s="6"/>
      <c r="BT489" s="6">
        <f t="shared" si="318"/>
        <v>0</v>
      </c>
      <c r="BV489" s="6">
        <f t="shared" si="320"/>
        <v>-20000</v>
      </c>
      <c r="BW489" s="6">
        <f t="shared" si="321"/>
        <v>-20000</v>
      </c>
      <c r="BX489" s="6">
        <f t="shared" si="322"/>
        <v>-20000</v>
      </c>
      <c r="BY489" s="6">
        <f t="shared" si="323"/>
        <v>-20000</v>
      </c>
      <c r="BZ489" s="6">
        <f t="shared" si="324"/>
        <v>-20000</v>
      </c>
      <c r="CA489" s="6">
        <f t="shared" si="325"/>
        <v>-20000</v>
      </c>
      <c r="CB489" s="6">
        <f t="shared" si="326"/>
        <v>-20000</v>
      </c>
      <c r="CC489" s="6">
        <f t="shared" si="327"/>
        <v>-20000</v>
      </c>
      <c r="CD489" s="6">
        <f t="shared" si="328"/>
        <v>-20000</v>
      </c>
      <c r="CE489" s="6">
        <f t="shared" si="329"/>
        <v>-20000</v>
      </c>
      <c r="CF489" s="6">
        <f t="shared" si="330"/>
        <v>-20000</v>
      </c>
      <c r="CG489" s="6">
        <f t="shared" si="331"/>
        <v>-20000</v>
      </c>
      <c r="CH489" s="6">
        <f t="shared" si="296"/>
        <v>-240000</v>
      </c>
    </row>
    <row r="490" spans="1:86" hidden="1" x14ac:dyDescent="0.35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N490" s="27">
        <f>N490-AA490</f>
        <v>0</v>
      </c>
      <c r="AS490" t="str">
        <f>_xlfn.XLOOKUP(AU490,[2]GAE!HZ:HZ,[2]GAE!IA:IA)</f>
        <v>HUMAN RESOURCES</v>
      </c>
      <c r="AT490" t="str">
        <f>_xlfn.XLOOKUP(AU490,[2]GAE!HZ:HZ,[2]GAE!IB:IB)</f>
        <v>DOE - Prof. Fees - Consultants</v>
      </c>
      <c r="AU490" s="2" t="s">
        <v>755</v>
      </c>
      <c r="AV490" s="2">
        <v>90122101</v>
      </c>
      <c r="AW490" s="2">
        <v>52071104</v>
      </c>
      <c r="AX490" t="str">
        <f>_xlfn.XLOOKUP(AU490,[2]GAE!HZ:HZ,[2]GAE!IF:IF)</f>
        <v>Professional fees</v>
      </c>
      <c r="AY490" t="str">
        <f>_xlfn.XLOOKUP(AU490,[2]GAE!HZ:HZ,[2]GAE!IG:IG)</f>
        <v>Internal and external consultants</v>
      </c>
      <c r="BC490" t="s">
        <v>121</v>
      </c>
      <c r="BD490" t="s">
        <v>882</v>
      </c>
      <c r="BF490" t="s">
        <v>93</v>
      </c>
      <c r="BG490" s="2" t="s">
        <v>121</v>
      </c>
      <c r="BI490" s="10">
        <f>SUMIFS('[1]2026'!$K:$K,'[1]2026'!$T:$T,$BD490,'[1]2026'!$S:$S,BI$3,'[1]2026'!$P:$P,$AU490)</f>
        <v>315846.84999999998</v>
      </c>
      <c r="BJ490" s="10">
        <f>SUMIFS('[1]2026'!$K:$K,'[1]2026'!$T:$T,$BD490,'[1]2026'!$S:$S,BJ$3,'[1]2026'!$P:$P,$AU490)</f>
        <v>0</v>
      </c>
      <c r="BK490" s="10">
        <f>SUMIFS('[1]2026'!$K:$K,'[1]2026'!$T:$T,$BD490,'[1]2026'!$S:$S,BK$3,'[1]2026'!$P:$P,$AU490)</f>
        <v>0</v>
      </c>
      <c r="BL490" s="6"/>
      <c r="BM490" s="10">
        <f>SUMIFS('[1]2026'!$K:$K,'[1]2026'!$T:$T,$BD490,'[1]2026'!$S:$S,BM$3,'[1]2026'!$P:$P,$AU490)</f>
        <v>0</v>
      </c>
      <c r="BN490" s="10">
        <f>SUMIFS('[1]2026'!$K:$K,'[1]2026'!$T:$T,$BD490,'[1]2026'!$S:$S,BN$3,'[1]2026'!$P:$P,$AU490)</f>
        <v>0</v>
      </c>
      <c r="BO490" s="10">
        <f>SUMIFS('[1]2026'!$K:$K,'[1]2026'!$T:$T,$BD490,'[1]2026'!$S:$S,BO$3,'[1]2026'!$P:$P,$AU490)</f>
        <v>0</v>
      </c>
      <c r="BP490" s="6"/>
      <c r="BQ490" s="6"/>
      <c r="BR490" s="6"/>
      <c r="BS490" s="6"/>
      <c r="BT490" s="6">
        <f t="shared" si="318"/>
        <v>315846.84999999998</v>
      </c>
      <c r="BV490" s="6">
        <f t="shared" si="320"/>
        <v>0</v>
      </c>
      <c r="BW490" s="6">
        <f t="shared" si="321"/>
        <v>315846.84999999998</v>
      </c>
      <c r="BX490" s="6">
        <f t="shared" si="322"/>
        <v>0</v>
      </c>
      <c r="BY490" s="6">
        <f t="shared" si="323"/>
        <v>0</v>
      </c>
      <c r="BZ490" s="6">
        <f t="shared" si="324"/>
        <v>0</v>
      </c>
      <c r="CA490" s="6">
        <f t="shared" si="325"/>
        <v>0</v>
      </c>
      <c r="CB490" s="6">
        <f t="shared" si="326"/>
        <v>0</v>
      </c>
      <c r="CC490" s="6">
        <f t="shared" si="327"/>
        <v>0</v>
      </c>
      <c r="CD490" s="6">
        <f t="shared" si="328"/>
        <v>0</v>
      </c>
      <c r="CE490" s="6">
        <f t="shared" si="329"/>
        <v>0</v>
      </c>
      <c r="CF490" s="6">
        <f t="shared" si="330"/>
        <v>0</v>
      </c>
      <c r="CG490" s="6">
        <f t="shared" si="331"/>
        <v>0</v>
      </c>
      <c r="CH490" s="6">
        <f t="shared" si="296"/>
        <v>315846.84999999998</v>
      </c>
    </row>
    <row r="491" spans="1:86" hidden="1" x14ac:dyDescent="0.35">
      <c r="A491" s="3" t="s">
        <v>123</v>
      </c>
      <c r="B491" s="21">
        <v>700000</v>
      </c>
      <c r="C491" s="21">
        <v>700000</v>
      </c>
      <c r="D491" s="21">
        <v>700000</v>
      </c>
      <c r="E491" s="21">
        <v>700000</v>
      </c>
      <c r="F491" s="21">
        <v>700000</v>
      </c>
      <c r="G491" s="21">
        <v>700000</v>
      </c>
      <c r="H491" s="21">
        <v>700000</v>
      </c>
      <c r="I491" s="21">
        <v>700000</v>
      </c>
      <c r="J491" s="21">
        <v>700000</v>
      </c>
      <c r="K491" s="21">
        <v>700000</v>
      </c>
      <c r="L491" s="21">
        <v>700000</v>
      </c>
      <c r="M491" s="21">
        <v>700000</v>
      </c>
      <c r="N491" s="27">
        <f t="shared" si="292"/>
        <v>8400000</v>
      </c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7">
        <f t="shared" si="293"/>
        <v>0</v>
      </c>
      <c r="AB491" s="10">
        <f t="shared" si="316"/>
        <v>700000</v>
      </c>
      <c r="AC491" s="10">
        <f t="shared" si="316"/>
        <v>700000</v>
      </c>
      <c r="AD491" s="10">
        <f t="shared" si="316"/>
        <v>700000</v>
      </c>
      <c r="AE491" s="10">
        <f t="shared" si="316"/>
        <v>700000</v>
      </c>
      <c r="AF491" s="10">
        <f t="shared" si="316"/>
        <v>700000</v>
      </c>
      <c r="AG491" s="10">
        <f t="shared" si="316"/>
        <v>700000</v>
      </c>
      <c r="AH491" s="10">
        <f t="shared" si="316"/>
        <v>700000</v>
      </c>
      <c r="AI491" s="10">
        <f t="shared" si="315"/>
        <v>700000</v>
      </c>
      <c r="AJ491" s="10">
        <f t="shared" si="315"/>
        <v>700000</v>
      </c>
      <c r="AK491" s="10">
        <f t="shared" si="315"/>
        <v>700000</v>
      </c>
      <c r="AL491" s="10">
        <f t="shared" si="315"/>
        <v>700000</v>
      </c>
      <c r="AM491" s="10">
        <f t="shared" si="315"/>
        <v>700000</v>
      </c>
      <c r="AN491" s="27">
        <f t="shared" si="315"/>
        <v>8400000</v>
      </c>
      <c r="AO491" s="28">
        <v>7837423.8200000003</v>
      </c>
      <c r="AP491" t="s">
        <v>883</v>
      </c>
      <c r="AS491" t="str">
        <f>_xlfn.XLOOKUP(AU491,[2]GAE!HZ:HZ,[2]GAE!IA:IA)</f>
        <v>HUMAN RESOURCES</v>
      </c>
      <c r="AT491" t="str">
        <f>_xlfn.XLOOKUP(AU491,[2]GAE!HZ:HZ,[2]GAE!IB:IB)</f>
        <v>DOE - Prof. Fees - Consultants</v>
      </c>
      <c r="AU491" t="s">
        <v>884</v>
      </c>
      <c r="AV491">
        <v>81122101</v>
      </c>
      <c r="AW491">
        <v>52071104</v>
      </c>
      <c r="AX491" t="str">
        <f>_xlfn.XLOOKUP(AU491,[2]GAE!HZ:HZ,[2]GAE!IF:IF)</f>
        <v>Professional fees</v>
      </c>
      <c r="AY491" t="str">
        <f>_xlfn.XLOOKUP(AU491,[2]GAE!HZ:HZ,[2]GAE!IG:IG)</f>
        <v>Internal and external consultants</v>
      </c>
      <c r="BA491" t="s">
        <v>885</v>
      </c>
      <c r="BC491" t="s">
        <v>123</v>
      </c>
      <c r="BD491" t="s">
        <v>886</v>
      </c>
      <c r="BF491" t="s">
        <v>889</v>
      </c>
      <c r="BG491" s="2" t="s">
        <v>123</v>
      </c>
      <c r="BH491" s="10">
        <f>SUMIFS('[1]2026'!$K:$K,'[1]2026'!$T:$T,BD491,'[1]2026'!$S:$S,BH$3,'[1]2026'!$P:$P,AU491)</f>
        <v>514038.93</v>
      </c>
      <c r="BI491" s="10">
        <f>SUMIFS('[1]2026'!$K:$K,'[1]2026'!$T:$T,$BD491,'[1]2026'!$S:$S,BI$3,'[1]2026'!$P:$P,$AU491)</f>
        <v>521069.46</v>
      </c>
      <c r="BJ491" s="10">
        <f>SUMIFS('[1]2026'!$K:$K,'[1]2026'!$T:$T,$BD491,'[1]2026'!$S:$S,BJ$3,'[1]2026'!$P:$P,$AU491)</f>
        <v>523038.93</v>
      </c>
      <c r="BK491" s="10">
        <f>SUMIFS('[1]2026'!$K:$K,'[1]2026'!$T:$T,$BD491,'[1]2026'!$S:$S,BK$3,'[1]2026'!$P:$P,$AU491)</f>
        <v>513008.39</v>
      </c>
      <c r="BL491" s="10">
        <f>SUMIFS('[1]2026'!$K:$K,'[1]2026'!$T:$T,$BD491,'[1]2026'!$S:$S,BL$3,'[1]2026'!$P:$P,$AU491)</f>
        <v>685588.54999999993</v>
      </c>
      <c r="BM491" s="10">
        <f>SUMIFS('[1]2026'!$K:$K,'[1]2026'!$T:$T,$BD491,'[1]2026'!$S:$S,BM$3,'[1]2026'!$P:$P,$AU491)</f>
        <v>657347.32000000007</v>
      </c>
      <c r="BN491" s="10">
        <f>SUMIFS('[1]2026'!$K:$K,'[1]2026'!$T:$T,$BD491,'[1]2026'!$S:$S,BN$3,'[1]2026'!$P:$P,$AU491)</f>
        <v>1121347.3299999998</v>
      </c>
      <c r="BO491" s="10">
        <f>SUMIFS('[1]2026'!$K:$K,'[1]2026'!$T:$T,$BD491,'[1]2026'!$S:$S,BO$3,'[1]2026'!$P:$P,$AU491)</f>
        <v>1077538.93</v>
      </c>
      <c r="BP491" s="6">
        <v>1121347.3299999998</v>
      </c>
      <c r="BQ491" s="6">
        <v>1121347.3299999998</v>
      </c>
      <c r="BR491" s="6">
        <v>1121347.3299999998</v>
      </c>
      <c r="BS491" s="6">
        <v>1121347.3299999998</v>
      </c>
      <c r="BT491" s="6">
        <f t="shared" si="318"/>
        <v>10098367.16</v>
      </c>
      <c r="BV491" s="6">
        <f t="shared" si="320"/>
        <v>-185961.07</v>
      </c>
      <c r="BW491" s="6">
        <f t="shared" si="321"/>
        <v>-178930.53999999998</v>
      </c>
      <c r="BX491" s="6">
        <f t="shared" si="322"/>
        <v>-176961.07</v>
      </c>
      <c r="BY491" s="6">
        <f t="shared" si="323"/>
        <v>-186991.61</v>
      </c>
      <c r="BZ491" s="6">
        <f t="shared" si="324"/>
        <v>-14411.45000000007</v>
      </c>
      <c r="CA491" s="6">
        <f t="shared" si="325"/>
        <v>-42652.679999999935</v>
      </c>
      <c r="CB491" s="6">
        <f t="shared" si="326"/>
        <v>421347.32999999984</v>
      </c>
      <c r="CC491" s="6">
        <f t="shared" si="327"/>
        <v>377538.92999999993</v>
      </c>
      <c r="CD491" s="6">
        <f t="shared" si="328"/>
        <v>421347.32999999984</v>
      </c>
      <c r="CE491" s="6">
        <f t="shared" si="329"/>
        <v>421347.32999999984</v>
      </c>
      <c r="CF491" s="6">
        <f t="shared" si="330"/>
        <v>421347.32999999984</v>
      </c>
      <c r="CG491" s="6">
        <f t="shared" si="331"/>
        <v>421347.32999999984</v>
      </c>
      <c r="CH491" s="6">
        <f t="shared" si="296"/>
        <v>1698367.1600000001</v>
      </c>
    </row>
    <row r="492" spans="1:86" hidden="1" x14ac:dyDescent="0.35"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N492" s="27">
        <f>N492-AA492</f>
        <v>0</v>
      </c>
      <c r="AS492" t="str">
        <f>_xlfn.XLOOKUP(AU492,[2]GAE!HZ:HZ,[2]GAE!IA:IA)</f>
        <v>HUMAN RESOURCES</v>
      </c>
      <c r="AT492" t="str">
        <f>_xlfn.XLOOKUP(AU492,[2]GAE!HZ:HZ,[2]GAE!IB:IB)</f>
        <v>DOE - Prof. Fees - Consultants</v>
      </c>
      <c r="AU492" t="s">
        <v>884</v>
      </c>
      <c r="AV492">
        <v>81122101</v>
      </c>
      <c r="AW492">
        <v>52071104</v>
      </c>
      <c r="AX492" t="str">
        <f>_xlfn.XLOOKUP(AU492,[2]GAE!HZ:HZ,[2]GAE!IF:IF)</f>
        <v>Professional fees</v>
      </c>
      <c r="AY492" t="str">
        <f>_xlfn.XLOOKUP(AU492,[2]GAE!HZ:HZ,[2]GAE!IG:IG)</f>
        <v>Internal and external consultants</v>
      </c>
      <c r="BC492" t="s">
        <v>294</v>
      </c>
      <c r="BD492" s="2" t="s">
        <v>887</v>
      </c>
      <c r="BE492" s="2"/>
      <c r="BF492" s="37" t="s">
        <v>1263</v>
      </c>
      <c r="BG492" s="37" t="s">
        <v>1263</v>
      </c>
      <c r="BI492" s="10">
        <f>SUMIFS('[1]2026'!$K:$K,'[1]2026'!$T:$T,$BD492,'[1]2026'!$S:$S,BI$3,'[1]2026'!$P:$P,$AU492)</f>
        <v>58946.559999999998</v>
      </c>
      <c r="BJ492" s="10">
        <f>SUMIFS('[1]2026'!$K:$K,'[1]2026'!$T:$T,$BD492,'[1]2026'!$S:$S,BJ$3,'[1]2026'!$P:$P,$AU492)</f>
        <v>0</v>
      </c>
      <c r="BK492" s="10">
        <f>SUMIFS('[1]2026'!$K:$K,'[1]2026'!$T:$T,$BD492,'[1]2026'!$S:$S,BK$3,'[1]2026'!$P:$P,$AU492)</f>
        <v>0</v>
      </c>
      <c r="BL492" s="6"/>
      <c r="BM492" s="10">
        <f>SUMIFS('[1]2026'!$K:$K,'[1]2026'!$T:$T,$BD492,'[1]2026'!$S:$S,BM$3,'[1]2026'!$P:$P,$AU492)</f>
        <v>0</v>
      </c>
      <c r="BN492" s="10">
        <f>SUMIFS('[1]2026'!$K:$K,'[1]2026'!$T:$T,$BD492,'[1]2026'!$S:$S,BN$3,'[1]2026'!$P:$P,$AU492)</f>
        <v>0</v>
      </c>
      <c r="BO492" s="10">
        <f>SUMIFS('[1]2026'!$K:$K,'[1]2026'!$T:$T,$BD492,'[1]2026'!$S:$S,BO$3,'[1]2026'!$P:$P,$AU492)</f>
        <v>0</v>
      </c>
      <c r="BP492" s="6"/>
      <c r="BQ492" s="6"/>
      <c r="BR492" s="6"/>
      <c r="BS492" s="6"/>
      <c r="BT492" s="6">
        <f t="shared" si="318"/>
        <v>58946.559999999998</v>
      </c>
      <c r="BV492" s="6">
        <f t="shared" si="320"/>
        <v>0</v>
      </c>
      <c r="BW492" s="6">
        <f t="shared" si="321"/>
        <v>58946.559999999998</v>
      </c>
      <c r="BX492" s="6">
        <f t="shared" si="322"/>
        <v>0</v>
      </c>
      <c r="BY492" s="6">
        <f t="shared" si="323"/>
        <v>0</v>
      </c>
      <c r="BZ492" s="6">
        <f t="shared" si="324"/>
        <v>0</v>
      </c>
      <c r="CA492" s="6">
        <f t="shared" si="325"/>
        <v>0</v>
      </c>
      <c r="CB492" s="6">
        <f t="shared" si="326"/>
        <v>0</v>
      </c>
      <c r="CC492" s="6">
        <f t="shared" si="327"/>
        <v>0</v>
      </c>
      <c r="CD492" s="6">
        <f t="shared" si="328"/>
        <v>0</v>
      </c>
      <c r="CE492" s="6">
        <f t="shared" si="329"/>
        <v>0</v>
      </c>
      <c r="CF492" s="6">
        <f t="shared" si="330"/>
        <v>0</v>
      </c>
      <c r="CG492" s="6">
        <f t="shared" si="331"/>
        <v>0</v>
      </c>
      <c r="CH492" s="6">
        <f t="shared" si="296"/>
        <v>58946.559999999998</v>
      </c>
    </row>
    <row r="493" spans="1:86" hidden="1" x14ac:dyDescent="0.35">
      <c r="A493" s="3" t="s">
        <v>123</v>
      </c>
      <c r="B493" s="21">
        <v>3083333.3333333335</v>
      </c>
      <c r="C493" s="21">
        <v>3083333.3333333335</v>
      </c>
      <c r="D493" s="21">
        <v>3083333.3333333335</v>
      </c>
      <c r="E493" s="21">
        <v>3083333.3333333335</v>
      </c>
      <c r="F493" s="21">
        <v>3083333.3333333335</v>
      </c>
      <c r="G493" s="21">
        <v>3083333.3333333335</v>
      </c>
      <c r="H493" s="21">
        <v>3083333.3333333335</v>
      </c>
      <c r="I493" s="21">
        <v>3083333.3333333335</v>
      </c>
      <c r="J493" s="21">
        <v>3083333.3333333335</v>
      </c>
      <c r="K493" s="21">
        <v>3083333.3333333335</v>
      </c>
      <c r="L493" s="21">
        <v>3083333.3333333335</v>
      </c>
      <c r="M493" s="21">
        <v>3083333.3333333335</v>
      </c>
      <c r="N493" s="27">
        <f t="shared" si="292"/>
        <v>37000000</v>
      </c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7">
        <f t="shared" si="293"/>
        <v>0</v>
      </c>
      <c r="AB493" s="10">
        <f t="shared" si="316"/>
        <v>3083333.3333333335</v>
      </c>
      <c r="AC493" s="10">
        <f t="shared" si="316"/>
        <v>3083333.3333333335</v>
      </c>
      <c r="AD493" s="10">
        <f t="shared" si="316"/>
        <v>3083333.3333333335</v>
      </c>
      <c r="AE493" s="10">
        <f t="shared" si="316"/>
        <v>3083333.3333333335</v>
      </c>
      <c r="AF493" s="10">
        <f t="shared" si="316"/>
        <v>3083333.3333333335</v>
      </c>
      <c r="AG493" s="10">
        <f t="shared" si="316"/>
        <v>3083333.3333333335</v>
      </c>
      <c r="AH493" s="10">
        <f t="shared" si="316"/>
        <v>3083333.3333333335</v>
      </c>
      <c r="AI493" s="10">
        <f t="shared" si="315"/>
        <v>3083333.3333333335</v>
      </c>
      <c r="AJ493" s="10">
        <f t="shared" si="315"/>
        <v>3083333.3333333335</v>
      </c>
      <c r="AK493" s="10">
        <f t="shared" si="315"/>
        <v>3083333.3333333335</v>
      </c>
      <c r="AL493" s="10">
        <f t="shared" si="315"/>
        <v>3083333.3333333335</v>
      </c>
      <c r="AM493" s="10">
        <f t="shared" si="315"/>
        <v>3083333.3333333335</v>
      </c>
      <c r="AN493" s="27">
        <f t="shared" si="315"/>
        <v>37000000</v>
      </c>
      <c r="AO493" s="28">
        <v>32303955.839999996</v>
      </c>
      <c r="AP493" t="s">
        <v>888</v>
      </c>
      <c r="AQ493" s="6"/>
      <c r="AS493" t="str">
        <f>_xlfn.XLOOKUP(AU493,[2]GAE!HZ:HZ,[2]GAE!IA:IA)</f>
        <v>HUMAN RESOURCES</v>
      </c>
      <c r="AT493" t="str">
        <f>_xlfn.XLOOKUP(AU493,[2]GAE!HZ:HZ,[2]GAE!IB:IB)</f>
        <v>DOE - Prof. Fees - Consultants</v>
      </c>
      <c r="AU493" t="s">
        <v>755</v>
      </c>
      <c r="AV493">
        <v>90122101</v>
      </c>
      <c r="AW493">
        <v>52071104</v>
      </c>
      <c r="AX493" t="str">
        <f>_xlfn.XLOOKUP(AU493,[2]GAE!HZ:HZ,[2]GAE!IF:IF)</f>
        <v>Professional fees</v>
      </c>
      <c r="AY493" t="s">
        <v>889</v>
      </c>
      <c r="BA493" t="s">
        <v>885</v>
      </c>
      <c r="BC493" t="s">
        <v>123</v>
      </c>
      <c r="BD493" t="s">
        <v>890</v>
      </c>
      <c r="BF493" t="s">
        <v>889</v>
      </c>
      <c r="BG493" s="2" t="s">
        <v>123</v>
      </c>
      <c r="BH493" s="10">
        <f>SUMIFS('[1]2026'!$K:$K,'[1]2026'!$T:$T,BD493,'[1]2026'!$S:$S,BH$3,'[1]2026'!$P:$P,AU493)</f>
        <v>2599422.79</v>
      </c>
      <c r="BI493" s="10">
        <f>SUMIFS('[1]2026'!$K:$K,'[1]2026'!$T:$T,$BD493,'[1]2026'!$S:$S,BI$3,'[1]2026'!$P:$P,$AU493)</f>
        <v>2599422.79</v>
      </c>
      <c r="BJ493" s="10">
        <f>SUMIFS('[1]2026'!$K:$K,'[1]2026'!$T:$T,$BD493,'[1]2026'!$S:$S,BJ$3,'[1]2026'!$P:$P,$AU493)</f>
        <v>2969716.91</v>
      </c>
      <c r="BK493" s="10">
        <f>SUMIFS('[1]2026'!$K:$K,'[1]2026'!$T:$T,$BD493,'[1]2026'!$S:$S,BK$3,'[1]2026'!$P:$P,$AU493)</f>
        <v>2599422.79</v>
      </c>
      <c r="BL493" s="10">
        <f>SUMIFS('[1]2026'!$K:$K,'[1]2026'!$T:$T,$BD493,'[1]2026'!$S:$S,BL$3,'[1]2026'!$P:$P,$AU493)</f>
        <v>2011187.5</v>
      </c>
      <c r="BM493" s="10">
        <f>SUMIFS('[1]2026'!$K:$K,'[1]2026'!$T:$T,$BD493,'[1]2026'!$S:$S,BM$3,'[1]2026'!$P:$P,$AU493)</f>
        <v>2011187.5</v>
      </c>
      <c r="BN493" s="10">
        <f>SUMIFS('[1]2026'!$K:$K,'[1]2026'!$T:$T,$BD493,'[1]2026'!$S:$S,BN$3,'[1]2026'!$P:$P,$AU493)</f>
        <v>2011187.5</v>
      </c>
      <c r="BO493" s="10">
        <f>SUMIFS('[1]2026'!$K:$K,'[1]2026'!$T:$T,$BD493,'[1]2026'!$S:$S,BO$3,'[1]2026'!$P:$P,$AU493)</f>
        <v>2084871.72</v>
      </c>
      <c r="BP493" s="6">
        <f>BO493*1.15</f>
        <v>2397602.4779999997</v>
      </c>
      <c r="BQ493" s="6">
        <v>2100000</v>
      </c>
      <c r="BR493" s="6">
        <v>2100000</v>
      </c>
      <c r="BS493" s="6">
        <f>BR493*1.15</f>
        <v>2415000</v>
      </c>
      <c r="BT493" s="6">
        <f t="shared" si="318"/>
        <v>27899021.978</v>
      </c>
      <c r="BV493" s="6">
        <f t="shared" si="320"/>
        <v>-483910.54333333345</v>
      </c>
      <c r="BW493" s="6">
        <f t="shared" si="321"/>
        <v>-483910.54333333345</v>
      </c>
      <c r="BX493" s="6">
        <f t="shared" si="322"/>
        <v>-113616.42333333334</v>
      </c>
      <c r="BY493" s="6">
        <f t="shared" si="323"/>
        <v>-483910.54333333345</v>
      </c>
      <c r="BZ493" s="6">
        <f t="shared" si="324"/>
        <v>-1072145.8333333335</v>
      </c>
      <c r="CA493" s="6">
        <f t="shared" si="325"/>
        <v>-1072145.8333333335</v>
      </c>
      <c r="CB493" s="6">
        <f t="shared" si="326"/>
        <v>-1072145.8333333335</v>
      </c>
      <c r="CC493" s="6">
        <f t="shared" si="327"/>
        <v>-998461.61333333352</v>
      </c>
      <c r="CD493" s="6">
        <f t="shared" si="328"/>
        <v>-685730.85533333384</v>
      </c>
      <c r="CE493" s="6">
        <f t="shared" si="329"/>
        <v>-983333.33333333349</v>
      </c>
      <c r="CF493" s="6">
        <f t="shared" si="330"/>
        <v>-983333.33333333349</v>
      </c>
      <c r="CG493" s="6">
        <f t="shared" si="331"/>
        <v>-668333.33333333349</v>
      </c>
      <c r="CH493" s="6">
        <f t="shared" si="296"/>
        <v>-9100978.0219999999</v>
      </c>
    </row>
    <row r="494" spans="1:86" hidden="1" x14ac:dyDescent="0.35">
      <c r="A494" s="3" t="s">
        <v>891</v>
      </c>
      <c r="C494" s="10">
        <v>15000</v>
      </c>
      <c r="N494" s="27">
        <f t="shared" si="292"/>
        <v>15000</v>
      </c>
      <c r="AA494" s="27">
        <f t="shared" si="293"/>
        <v>0</v>
      </c>
      <c r="AB494" s="10">
        <f t="shared" si="316"/>
        <v>0</v>
      </c>
      <c r="AC494" s="10">
        <f t="shared" si="316"/>
        <v>15000</v>
      </c>
      <c r="AD494" s="10">
        <f t="shared" si="316"/>
        <v>0</v>
      </c>
      <c r="AE494" s="10">
        <f t="shared" si="316"/>
        <v>0</v>
      </c>
      <c r="AF494" s="10">
        <f t="shared" si="316"/>
        <v>0</v>
      </c>
      <c r="AG494" s="10">
        <f t="shared" si="316"/>
        <v>0</v>
      </c>
      <c r="AH494" s="10">
        <f t="shared" si="316"/>
        <v>0</v>
      </c>
      <c r="AI494" s="10">
        <f t="shared" si="315"/>
        <v>0</v>
      </c>
      <c r="AJ494" s="10">
        <f t="shared" si="315"/>
        <v>0</v>
      </c>
      <c r="AK494" s="10">
        <f t="shared" si="315"/>
        <v>0</v>
      </c>
      <c r="AL494" s="10">
        <f t="shared" si="315"/>
        <v>0</v>
      </c>
      <c r="AM494" s="10">
        <f t="shared" si="315"/>
        <v>0</v>
      </c>
      <c r="AN494" s="27">
        <f t="shared" si="315"/>
        <v>15000</v>
      </c>
      <c r="AO494" s="28">
        <v>126808.57</v>
      </c>
      <c r="AS494" t="str">
        <f>_xlfn.XLOOKUP(AU494,[2]GAE!HZ:HZ,[2]GAE!IA:IA)</f>
        <v>HUMAN RESOURCES</v>
      </c>
      <c r="AT494" t="str">
        <f>_xlfn.XLOOKUP(AU494,[2]GAE!HZ:HZ,[2]GAE!IB:IB)</f>
        <v>DOE - Dues &amp; Fees</v>
      </c>
      <c r="AU494" t="s">
        <v>892</v>
      </c>
      <c r="AV494">
        <v>81122101</v>
      </c>
      <c r="AW494">
        <v>52952101</v>
      </c>
      <c r="AX494" t="str">
        <f>_xlfn.XLOOKUP(AU494,[2]GAE!HZ:HZ,[2]GAE!IF:IF)</f>
        <v>Others</v>
      </c>
      <c r="AY494" t="str">
        <f>_xlfn.XLOOKUP(AU494,[2]GAE!HZ:HZ,[2]GAE!IG:IG)</f>
        <v>Dues and Fees</v>
      </c>
      <c r="BF494" t="s">
        <v>124</v>
      </c>
      <c r="BG494" t="s">
        <v>891</v>
      </c>
      <c r="BH494" s="10">
        <f>SUMIFS('[1]2026'!$K:$K,'[1]2026'!$T:$T,BD494,'[1]2026'!$S:$S,BH$3,'[1]2026'!$P:$P,AU494)</f>
        <v>0</v>
      </c>
      <c r="BI494" s="10">
        <f>SUMIFS('[1]2026'!$K:$K,'[1]2026'!$T:$T,$BD494,'[1]2026'!$S:$S,BI$3,'[1]2026'!$P:$P,$AU494)</f>
        <v>0</v>
      </c>
      <c r="BJ494" s="10">
        <f>SUMIFS('[1]2026'!$K:$K,'[1]2026'!$T:$T,$BD494,'[1]2026'!$S:$S,BJ$3,'[1]2026'!$P:$P,$AU494)</f>
        <v>0</v>
      </c>
      <c r="BK494" s="10">
        <f>SUMIFS('[1]2026'!$K:$K,'[1]2026'!$T:$T,$BD494,'[1]2026'!$S:$S,BK$3,'[1]2026'!$P:$P,$AU494)</f>
        <v>0</v>
      </c>
      <c r="BL494" s="10">
        <f>SUMIFS('[1]2026'!$K:$K,'[1]2026'!$T:$T,$BD494,'[1]2026'!$S:$S,BL$3,'[1]2026'!$P:$P,$AU494)</f>
        <v>0</v>
      </c>
      <c r="BM494" s="10">
        <f>SUMIFS('[1]2026'!$K:$K,'[1]2026'!$T:$T,$BD494,'[1]2026'!$S:$S,BM$3,'[1]2026'!$P:$P,$AU494)</f>
        <v>0</v>
      </c>
      <c r="BN494" s="10">
        <f>SUMIFS('[1]2026'!$K:$K,'[1]2026'!$T:$T,$BD494,'[1]2026'!$S:$S,BN$3,'[1]2026'!$P:$P,$AU494)</f>
        <v>0</v>
      </c>
      <c r="BO494" s="10">
        <f>SUMIFS('[1]2026'!$K:$K,'[1]2026'!$T:$T,$BD494,'[1]2026'!$S:$S,BO$3,'[1]2026'!$P:$P,$AU494)</f>
        <v>0</v>
      </c>
      <c r="BP494" s="6"/>
      <c r="BQ494" s="6"/>
      <c r="BR494" s="6"/>
      <c r="BS494" s="6"/>
      <c r="BT494" s="6">
        <f t="shared" si="318"/>
        <v>0</v>
      </c>
      <c r="BV494" s="6">
        <f t="shared" si="320"/>
        <v>0</v>
      </c>
      <c r="BW494" s="6">
        <f t="shared" si="321"/>
        <v>-15000</v>
      </c>
      <c r="BX494" s="6">
        <f t="shared" si="322"/>
        <v>0</v>
      </c>
      <c r="BY494" s="6">
        <f t="shared" si="323"/>
        <v>0</v>
      </c>
      <c r="BZ494" s="6">
        <f t="shared" si="324"/>
        <v>0</v>
      </c>
      <c r="CA494" s="6">
        <f t="shared" si="325"/>
        <v>0</v>
      </c>
      <c r="CB494" s="6">
        <f t="shared" si="326"/>
        <v>0</v>
      </c>
      <c r="CC494" s="6">
        <f t="shared" si="327"/>
        <v>0</v>
      </c>
      <c r="CD494" s="6">
        <f t="shared" si="328"/>
        <v>0</v>
      </c>
      <c r="CE494" s="6">
        <f t="shared" si="329"/>
        <v>0</v>
      </c>
      <c r="CF494" s="6">
        <f t="shared" si="330"/>
        <v>0</v>
      </c>
      <c r="CG494" s="6">
        <f t="shared" si="331"/>
        <v>0</v>
      </c>
      <c r="CH494" s="6">
        <f t="shared" si="296"/>
        <v>-15000</v>
      </c>
    </row>
    <row r="495" spans="1:86" hidden="1" x14ac:dyDescent="0.35">
      <c r="A495" s="3" t="s">
        <v>6</v>
      </c>
      <c r="H495" s="10">
        <v>25000</v>
      </c>
      <c r="J495" s="10">
        <v>25000</v>
      </c>
      <c r="L495" s="10">
        <v>25000</v>
      </c>
      <c r="N495" s="27">
        <f t="shared" si="292"/>
        <v>75000</v>
      </c>
      <c r="AA495" s="27">
        <f t="shared" si="293"/>
        <v>0</v>
      </c>
      <c r="AB495" s="10">
        <f t="shared" si="316"/>
        <v>0</v>
      </c>
      <c r="AC495" s="10">
        <f t="shared" si="316"/>
        <v>0</v>
      </c>
      <c r="AD495" s="10">
        <f t="shared" si="316"/>
        <v>0</v>
      </c>
      <c r="AE495" s="10">
        <f t="shared" si="316"/>
        <v>0</v>
      </c>
      <c r="AF495" s="10">
        <f t="shared" si="316"/>
        <v>0</v>
      </c>
      <c r="AG495" s="10">
        <f t="shared" si="316"/>
        <v>0</v>
      </c>
      <c r="AH495" s="10">
        <f t="shared" si="316"/>
        <v>25000</v>
      </c>
      <c r="AI495" s="10">
        <f t="shared" si="315"/>
        <v>0</v>
      </c>
      <c r="AJ495" s="10">
        <f t="shared" si="315"/>
        <v>25000</v>
      </c>
      <c r="AK495" s="10">
        <f t="shared" si="315"/>
        <v>0</v>
      </c>
      <c r="AL495" s="10">
        <f t="shared" si="315"/>
        <v>25000</v>
      </c>
      <c r="AM495" s="10">
        <f t="shared" si="315"/>
        <v>0</v>
      </c>
      <c r="AN495" s="27">
        <f t="shared" si="315"/>
        <v>75000</v>
      </c>
      <c r="AS495" t="str">
        <f>_xlfn.XLOOKUP(AU495,[2]GAE!HZ:HZ,[2]GAE!IA:IA)</f>
        <v>HUMAN RESOURCES</v>
      </c>
      <c r="AT495" t="str">
        <f>_xlfn.XLOOKUP(AU495,[2]GAE!HZ:HZ,[2]GAE!IB:IB)</f>
        <v>DOE - Dues &amp; Fees</v>
      </c>
      <c r="AU495" t="s">
        <v>892</v>
      </c>
      <c r="AV495">
        <v>81122101</v>
      </c>
      <c r="AW495">
        <v>52952101</v>
      </c>
      <c r="AX495" t="str">
        <f>_xlfn.XLOOKUP(AU495,[2]GAE!HZ:HZ,[2]GAE!IF:IF)</f>
        <v>Others</v>
      </c>
      <c r="AY495" t="str">
        <f>_xlfn.XLOOKUP(AU495,[2]GAE!HZ:HZ,[2]GAE!IG:IG)</f>
        <v>Dues and Fees</v>
      </c>
      <c r="BC495" t="s">
        <v>125</v>
      </c>
      <c r="BD495" s="30" t="s">
        <v>893</v>
      </c>
      <c r="BE495" s="30"/>
      <c r="BF495" t="s">
        <v>124</v>
      </c>
      <c r="BG495" s="2" t="s">
        <v>1259</v>
      </c>
      <c r="BH495" s="10">
        <f>SUMIFS('[1]2026'!$K:$K,'[1]2026'!$T:$T,BD495,'[1]2026'!$S:$S,BH$3,'[1]2026'!$P:$P,AU495)</f>
        <v>0</v>
      </c>
      <c r="BI495" s="10">
        <f>SUMIFS('[1]2026'!$K:$K,'[1]2026'!$T:$T,$BD495,'[1]2026'!$S:$S,BI$3,'[1]2026'!$P:$P,$AU495)</f>
        <v>0</v>
      </c>
      <c r="BJ495" s="10">
        <f>SUMIFS('[1]2026'!$K:$K,'[1]2026'!$T:$T,$BD495,'[1]2026'!$S:$S,BJ$3,'[1]2026'!$P:$P,$AU495)</f>
        <v>0</v>
      </c>
      <c r="BK495" s="10">
        <f>SUMIFS('[1]2026'!$K:$K,'[1]2026'!$T:$T,$BD495,'[1]2026'!$S:$S,BK$3,'[1]2026'!$P:$P,$AU495)</f>
        <v>0</v>
      </c>
      <c r="BL495" s="10">
        <f>SUMIFS('[1]2026'!$K:$K,'[1]2026'!$T:$T,$BD495,'[1]2026'!$S:$S,BL$3,'[1]2026'!$P:$P,$AU495)</f>
        <v>0</v>
      </c>
      <c r="BM495" s="10">
        <f>SUMIFS('[1]2026'!$K:$K,'[1]2026'!$T:$T,$BD495,'[1]2026'!$S:$S,BM$3,'[1]2026'!$P:$P,$AU495)</f>
        <v>0</v>
      </c>
      <c r="BN495" s="10">
        <f>SUMIFS('[1]2026'!$K:$K,'[1]2026'!$T:$T,$BD495,'[1]2026'!$S:$S,BN$3,'[1]2026'!$P:$P,$AU495)</f>
        <v>530</v>
      </c>
      <c r="BO495" s="10">
        <f>SUMIFS('[1]2026'!$K:$K,'[1]2026'!$T:$T,$BD495,'[1]2026'!$S:$S,BO$3,'[1]2026'!$P:$P,$AU495)</f>
        <v>0</v>
      </c>
      <c r="BP495" s="6"/>
      <c r="BQ495" s="6"/>
      <c r="BR495" s="6"/>
      <c r="BS495" s="6"/>
      <c r="BT495" s="6">
        <f t="shared" si="318"/>
        <v>530</v>
      </c>
      <c r="BV495" s="6">
        <f t="shared" si="320"/>
        <v>0</v>
      </c>
      <c r="BW495" s="6">
        <f t="shared" si="321"/>
        <v>0</v>
      </c>
      <c r="BX495" s="6">
        <f t="shared" si="322"/>
        <v>0</v>
      </c>
      <c r="BY495" s="6">
        <f t="shared" si="323"/>
        <v>0</v>
      </c>
      <c r="BZ495" s="6">
        <f t="shared" si="324"/>
        <v>0</v>
      </c>
      <c r="CA495" s="6">
        <f t="shared" si="325"/>
        <v>0</v>
      </c>
      <c r="CB495" s="6">
        <f t="shared" si="326"/>
        <v>-24470</v>
      </c>
      <c r="CC495" s="6">
        <f t="shared" si="327"/>
        <v>0</v>
      </c>
      <c r="CD495" s="6">
        <f t="shared" si="328"/>
        <v>-25000</v>
      </c>
      <c r="CE495" s="6">
        <f t="shared" si="329"/>
        <v>0</v>
      </c>
      <c r="CF495" s="6">
        <f t="shared" si="330"/>
        <v>-25000</v>
      </c>
      <c r="CG495" s="6">
        <f t="shared" si="331"/>
        <v>0</v>
      </c>
      <c r="CH495" s="6">
        <f t="shared" si="296"/>
        <v>-74470</v>
      </c>
    </row>
    <row r="496" spans="1:86" hidden="1" x14ac:dyDescent="0.35">
      <c r="A496" s="3" t="s">
        <v>894</v>
      </c>
      <c r="F496" s="10">
        <v>20000</v>
      </c>
      <c r="N496" s="27">
        <f t="shared" ref="N496:N512" si="333">SUM(B496:M496)</f>
        <v>20000</v>
      </c>
      <c r="AA496" s="27">
        <f t="shared" ref="AA496:AA512" si="334">SUM(O496:Z496)</f>
        <v>0</v>
      </c>
      <c r="AB496" s="10">
        <f t="shared" si="316"/>
        <v>0</v>
      </c>
      <c r="AC496" s="10">
        <f t="shared" si="316"/>
        <v>0</v>
      </c>
      <c r="AD496" s="10">
        <f t="shared" si="316"/>
        <v>0</v>
      </c>
      <c r="AE496" s="10">
        <f t="shared" si="316"/>
        <v>0</v>
      </c>
      <c r="AF496" s="10">
        <f t="shared" si="316"/>
        <v>20000</v>
      </c>
      <c r="AG496" s="10">
        <f t="shared" si="316"/>
        <v>0</v>
      </c>
      <c r="AH496" s="10">
        <f t="shared" si="316"/>
        <v>0</v>
      </c>
      <c r="AI496" s="10">
        <f t="shared" si="315"/>
        <v>0</v>
      </c>
      <c r="AJ496" s="10">
        <f t="shared" si="315"/>
        <v>0</v>
      </c>
      <c r="AK496" s="10">
        <f t="shared" si="315"/>
        <v>0</v>
      </c>
      <c r="AL496" s="10">
        <f t="shared" si="315"/>
        <v>0</v>
      </c>
      <c r="AM496" s="10">
        <f t="shared" si="315"/>
        <v>0</v>
      </c>
      <c r="AN496" s="27">
        <f t="shared" si="315"/>
        <v>20000</v>
      </c>
      <c r="AS496" t="str">
        <f>_xlfn.XLOOKUP(AU496,[2]GAE!HZ:HZ,[2]GAE!IA:IA)</f>
        <v>HUMAN RESOURCES</v>
      </c>
      <c r="AT496" t="str">
        <f>_xlfn.XLOOKUP(AU496,[2]GAE!HZ:HZ,[2]GAE!IB:IB)</f>
        <v>DOE - Dues &amp; Fees</v>
      </c>
      <c r="AU496" t="s">
        <v>895</v>
      </c>
      <c r="AV496">
        <v>90122101</v>
      </c>
      <c r="AW496">
        <v>52952101</v>
      </c>
      <c r="AX496" t="str">
        <f>_xlfn.XLOOKUP(AU496,[2]GAE!HZ:HZ,[2]GAE!IF:IF)</f>
        <v>Others</v>
      </c>
      <c r="AY496" t="str">
        <f>_xlfn.XLOOKUP(AU496,[2]GAE!HZ:HZ,[2]GAE!IG:IG)</f>
        <v>Dues and Fees</v>
      </c>
      <c r="BF496" t="s">
        <v>124</v>
      </c>
      <c r="BG496" t="s">
        <v>894</v>
      </c>
      <c r="BH496" s="10">
        <f>SUMIFS('[1]2026'!$K:$K,'[1]2026'!$T:$T,BD496,'[1]2026'!$S:$S,BH$3,'[1]2026'!$P:$P,AU496)</f>
        <v>0</v>
      </c>
      <c r="BI496" s="10">
        <f>SUMIFS('[1]2026'!$K:$K,'[1]2026'!$T:$T,$BD496,'[1]2026'!$S:$S,BI$3,'[1]2026'!$P:$P,$AU496)</f>
        <v>0</v>
      </c>
      <c r="BJ496" s="10">
        <f>SUMIFS('[1]2026'!$K:$K,'[1]2026'!$T:$T,$BD496,'[1]2026'!$S:$S,BJ$3,'[1]2026'!$P:$P,$AU496)</f>
        <v>0</v>
      </c>
      <c r="BK496" s="10">
        <f>SUMIFS('[1]2026'!$K:$K,'[1]2026'!$T:$T,$BD496,'[1]2026'!$S:$S,BK$3,'[1]2026'!$P:$P,$AU496)</f>
        <v>0</v>
      </c>
      <c r="BL496" s="10">
        <f>SUMIFS('[1]2026'!$K:$K,'[1]2026'!$T:$T,$BD496,'[1]2026'!$S:$S,BL$3,'[1]2026'!$P:$P,$AU496)</f>
        <v>0</v>
      </c>
      <c r="BM496" s="10">
        <f>SUMIFS('[1]2026'!$K:$K,'[1]2026'!$T:$T,$BD496,'[1]2026'!$S:$S,BM$3,'[1]2026'!$P:$P,$AU496)</f>
        <v>0</v>
      </c>
      <c r="BN496" s="10">
        <f>SUMIFS('[1]2026'!$K:$K,'[1]2026'!$T:$T,$BD496,'[1]2026'!$S:$S,BN$3,'[1]2026'!$P:$P,$AU496)</f>
        <v>0</v>
      </c>
      <c r="BO496" s="10">
        <f>SUMIFS('[1]2026'!$K:$K,'[1]2026'!$T:$T,$BD496,'[1]2026'!$S:$S,BO$3,'[1]2026'!$P:$P,$AU496)</f>
        <v>0</v>
      </c>
      <c r="BP496" s="6"/>
      <c r="BQ496" s="6"/>
      <c r="BR496" s="6"/>
      <c r="BS496" s="6"/>
      <c r="BT496" s="6">
        <f t="shared" si="318"/>
        <v>0</v>
      </c>
      <c r="BV496" s="6">
        <f t="shared" si="320"/>
        <v>0</v>
      </c>
      <c r="BW496" s="6">
        <f t="shared" si="321"/>
        <v>0</v>
      </c>
      <c r="BX496" s="6">
        <f t="shared" si="322"/>
        <v>0</v>
      </c>
      <c r="BY496" s="6">
        <f t="shared" si="323"/>
        <v>0</v>
      </c>
      <c r="BZ496" s="6">
        <f t="shared" si="324"/>
        <v>-20000</v>
      </c>
      <c r="CA496" s="6">
        <f t="shared" si="325"/>
        <v>0</v>
      </c>
      <c r="CB496" s="6">
        <f t="shared" si="326"/>
        <v>0</v>
      </c>
      <c r="CC496" s="6">
        <f t="shared" si="327"/>
        <v>0</v>
      </c>
      <c r="CD496" s="6">
        <f t="shared" si="328"/>
        <v>0</v>
      </c>
      <c r="CE496" s="6">
        <f t="shared" si="329"/>
        <v>0</v>
      </c>
      <c r="CF496" s="6">
        <f t="shared" si="330"/>
        <v>0</v>
      </c>
      <c r="CG496" s="6">
        <f t="shared" si="331"/>
        <v>0</v>
      </c>
      <c r="CH496" s="6">
        <f t="shared" si="296"/>
        <v>-20000</v>
      </c>
    </row>
    <row r="497" spans="1:86" hidden="1" x14ac:dyDescent="0.35">
      <c r="A497" s="3" t="s">
        <v>126</v>
      </c>
      <c r="B497" s="10">
        <v>3000</v>
      </c>
      <c r="D497" s="10">
        <v>3000</v>
      </c>
      <c r="G497" s="10">
        <v>3000</v>
      </c>
      <c r="I497" s="10">
        <v>3000</v>
      </c>
      <c r="K497" s="10">
        <v>3000</v>
      </c>
      <c r="M497" s="10">
        <v>3000</v>
      </c>
      <c r="N497" s="27">
        <f t="shared" si="333"/>
        <v>18000</v>
      </c>
      <c r="AA497" s="27">
        <f t="shared" si="334"/>
        <v>0</v>
      </c>
      <c r="AB497" s="10">
        <f t="shared" si="316"/>
        <v>3000</v>
      </c>
      <c r="AC497" s="10">
        <f t="shared" si="316"/>
        <v>0</v>
      </c>
      <c r="AD497" s="10">
        <f t="shared" si="316"/>
        <v>3000</v>
      </c>
      <c r="AE497" s="10">
        <f t="shared" si="316"/>
        <v>0</v>
      </c>
      <c r="AF497" s="10">
        <f t="shared" si="316"/>
        <v>0</v>
      </c>
      <c r="AG497" s="10">
        <f t="shared" si="316"/>
        <v>3000</v>
      </c>
      <c r="AH497" s="10">
        <f t="shared" si="316"/>
        <v>0</v>
      </c>
      <c r="AI497" s="10">
        <f t="shared" si="315"/>
        <v>3000</v>
      </c>
      <c r="AJ497" s="10">
        <f t="shared" si="315"/>
        <v>0</v>
      </c>
      <c r="AK497" s="10">
        <f t="shared" si="315"/>
        <v>3000</v>
      </c>
      <c r="AL497" s="10">
        <f t="shared" si="315"/>
        <v>0</v>
      </c>
      <c r="AM497" s="10">
        <f t="shared" si="315"/>
        <v>3000</v>
      </c>
      <c r="AN497" s="27">
        <f t="shared" si="315"/>
        <v>18000</v>
      </c>
      <c r="AS497" t="str">
        <f>_xlfn.XLOOKUP(AU497,[2]GAE!HZ:HZ,[2]GAE!IA:IA)</f>
        <v>HUMAN RESOURCES</v>
      </c>
      <c r="AT497" t="str">
        <f>_xlfn.XLOOKUP(AU497,[2]GAE!HZ:HZ,[2]GAE!IB:IB)</f>
        <v>GAE - Dues &amp; Fees</v>
      </c>
      <c r="AU497" t="s">
        <v>896</v>
      </c>
      <c r="AV497">
        <v>90122101</v>
      </c>
      <c r="AW497">
        <v>61711101</v>
      </c>
      <c r="AX497" t="str">
        <f>_xlfn.XLOOKUP(AU497,[2]GAE!HZ:HZ,[2]GAE!IF:IF)</f>
        <v>Others</v>
      </c>
      <c r="AY497" t="str">
        <f>_xlfn.XLOOKUP(AU497,[2]GAE!HZ:HZ,[2]GAE!IG:IG)</f>
        <v>Dues and Fees</v>
      </c>
      <c r="BC497" t="s">
        <v>126</v>
      </c>
      <c r="BD497" t="s">
        <v>897</v>
      </c>
      <c r="BF497" t="s">
        <v>124</v>
      </c>
      <c r="BG497" s="2" t="s">
        <v>126</v>
      </c>
      <c r="BH497" s="10">
        <f>SUMIFS('[1]2026'!$K:$K,'[1]2026'!$T:$T,BD497,'[1]2026'!$S:$S,BH$3,'[1]2026'!$P:$P,AU497)</f>
        <v>0</v>
      </c>
      <c r="BI497" s="10">
        <f>SUMIFS('[1]2026'!$K:$K,'[1]2026'!$T:$T,$BD497,'[1]2026'!$S:$S,BI$3,'[1]2026'!$P:$P,$AU497)</f>
        <v>0</v>
      </c>
      <c r="BJ497" s="10">
        <f>SUMIFS('[1]2026'!$K:$K,'[1]2026'!$T:$T,$BD497,'[1]2026'!$S:$S,BJ$3,'[1]2026'!$P:$P,$AU497)</f>
        <v>0</v>
      </c>
      <c r="BK497" s="10">
        <f>SUMIFS('[1]2026'!$K:$K,'[1]2026'!$T:$T,$BD497,'[1]2026'!$S:$S,BK$3,'[1]2026'!$P:$P,$AU497)</f>
        <v>0</v>
      </c>
      <c r="BL497" s="10">
        <f>SUMIFS('[1]2026'!$K:$K,'[1]2026'!$T:$T,$BD497,'[1]2026'!$S:$S,BL$3,'[1]2026'!$P:$P,$AU497)</f>
        <v>450</v>
      </c>
      <c r="BM497" s="10">
        <f>SUMIFS('[1]2026'!$K:$K,'[1]2026'!$T:$T,$BD497,'[1]2026'!$S:$S,BM$3,'[1]2026'!$P:$P,$AU497)</f>
        <v>2200</v>
      </c>
      <c r="BN497" s="10">
        <f>SUMIFS('[1]2026'!$K:$K,'[1]2026'!$T:$T,$BD497,'[1]2026'!$S:$S,BN$3,'[1]2026'!$P:$P,$AU497)</f>
        <v>0</v>
      </c>
      <c r="BO497" s="10">
        <f>SUMIFS('[1]2026'!$K:$K,'[1]2026'!$T:$T,$BD497,'[1]2026'!$S:$S,BO$3,'[1]2026'!$P:$P,$AU497)</f>
        <v>0</v>
      </c>
      <c r="BP497" s="6"/>
      <c r="BQ497" s="6"/>
      <c r="BR497" s="6"/>
      <c r="BS497" s="6"/>
      <c r="BT497" s="6">
        <f t="shared" si="318"/>
        <v>2650</v>
      </c>
      <c r="BV497" s="6">
        <f t="shared" si="320"/>
        <v>-3000</v>
      </c>
      <c r="BW497" s="6">
        <f t="shared" si="321"/>
        <v>0</v>
      </c>
      <c r="BX497" s="6">
        <f t="shared" si="322"/>
        <v>-3000</v>
      </c>
      <c r="BY497" s="6">
        <f t="shared" si="323"/>
        <v>0</v>
      </c>
      <c r="BZ497" s="6">
        <f t="shared" si="324"/>
        <v>450</v>
      </c>
      <c r="CA497" s="6">
        <f t="shared" si="325"/>
        <v>-800</v>
      </c>
      <c r="CB497" s="6">
        <f t="shared" si="326"/>
        <v>0</v>
      </c>
      <c r="CC497" s="6">
        <f t="shared" si="327"/>
        <v>-3000</v>
      </c>
      <c r="CD497" s="6">
        <f t="shared" si="328"/>
        <v>0</v>
      </c>
      <c r="CE497" s="6">
        <f t="shared" si="329"/>
        <v>-3000</v>
      </c>
      <c r="CF497" s="6">
        <f t="shared" si="330"/>
        <v>0</v>
      </c>
      <c r="CG497" s="6">
        <f t="shared" si="331"/>
        <v>-3000</v>
      </c>
      <c r="CH497" s="6">
        <f t="shared" si="296"/>
        <v>-15350</v>
      </c>
    </row>
    <row r="498" spans="1:86" hidden="1" x14ac:dyDescent="0.35">
      <c r="A498" s="3" t="s">
        <v>126</v>
      </c>
      <c r="B498" s="10">
        <v>3000</v>
      </c>
      <c r="D498" s="10">
        <v>3000</v>
      </c>
      <c r="G498" s="10">
        <v>3000</v>
      </c>
      <c r="I498" s="10">
        <v>3000</v>
      </c>
      <c r="K498" s="10">
        <v>3000</v>
      </c>
      <c r="M498" s="10">
        <v>3000</v>
      </c>
      <c r="N498" s="27">
        <f t="shared" si="333"/>
        <v>18000</v>
      </c>
      <c r="AA498" s="27">
        <f t="shared" si="334"/>
        <v>0</v>
      </c>
      <c r="AB498" s="10">
        <f t="shared" si="316"/>
        <v>3000</v>
      </c>
      <c r="AC498" s="10">
        <f t="shared" si="316"/>
        <v>0</v>
      </c>
      <c r="AD498" s="10">
        <f t="shared" si="316"/>
        <v>3000</v>
      </c>
      <c r="AE498" s="10">
        <f t="shared" si="316"/>
        <v>0</v>
      </c>
      <c r="AF498" s="10">
        <f t="shared" si="316"/>
        <v>0</v>
      </c>
      <c r="AG498" s="10">
        <f t="shared" si="316"/>
        <v>3000</v>
      </c>
      <c r="AH498" s="10">
        <f t="shared" si="316"/>
        <v>0</v>
      </c>
      <c r="AI498" s="10">
        <f t="shared" si="315"/>
        <v>3000</v>
      </c>
      <c r="AJ498" s="10">
        <f t="shared" si="315"/>
        <v>0</v>
      </c>
      <c r="AK498" s="10">
        <f t="shared" si="315"/>
        <v>3000</v>
      </c>
      <c r="AL498" s="10">
        <f t="shared" si="315"/>
        <v>0</v>
      </c>
      <c r="AM498" s="10">
        <f t="shared" si="315"/>
        <v>3000</v>
      </c>
      <c r="AN498" s="27">
        <f t="shared" si="315"/>
        <v>18000</v>
      </c>
      <c r="AS498" t="str">
        <f>_xlfn.XLOOKUP(AU498,[2]GAE!HZ:HZ,[2]GAE!IA:IA)</f>
        <v>HUMAN RESOURCES</v>
      </c>
      <c r="AT498" t="str">
        <f>_xlfn.XLOOKUP(AU498,[2]GAE!HZ:HZ,[2]GAE!IB:IB)</f>
        <v>DOE - Dues &amp; Fees</v>
      </c>
      <c r="AU498" t="s">
        <v>892</v>
      </c>
      <c r="AV498">
        <v>81122101</v>
      </c>
      <c r="AW498">
        <v>52952101</v>
      </c>
      <c r="AX498" t="str">
        <f>_xlfn.XLOOKUP(AU498,[2]GAE!HZ:HZ,[2]GAE!IF:IF)</f>
        <v>Others</v>
      </c>
      <c r="AY498" t="str">
        <f>_xlfn.XLOOKUP(AU498,[2]GAE!HZ:HZ,[2]GAE!IG:IG)</f>
        <v>Dues and Fees</v>
      </c>
      <c r="BF498" t="s">
        <v>124</v>
      </c>
      <c r="BG498" t="s">
        <v>126</v>
      </c>
      <c r="BH498" s="10">
        <f>SUMIFS('[1]2026'!$K:$K,'[1]2026'!$T:$T,BD498,'[1]2026'!$S:$S,BH$3,'[1]2026'!$P:$P,AU498)</f>
        <v>0</v>
      </c>
      <c r="BI498" s="10">
        <f>SUMIFS('[1]2026'!$K:$K,'[1]2026'!$T:$T,$BD498,'[1]2026'!$S:$S,BI$3,'[1]2026'!$P:$P,$AU498)</f>
        <v>0</v>
      </c>
      <c r="BJ498" s="10">
        <f>SUMIFS('[1]2026'!$K:$K,'[1]2026'!$T:$T,$BD498,'[1]2026'!$S:$S,BJ$3,'[1]2026'!$P:$P,$AU498)</f>
        <v>0</v>
      </c>
      <c r="BK498" s="10">
        <f>SUMIFS('[1]2026'!$K:$K,'[1]2026'!$T:$T,$BD498,'[1]2026'!$S:$S,BK$3,'[1]2026'!$P:$P,$AU498)</f>
        <v>0</v>
      </c>
      <c r="BL498" s="10">
        <f>SUMIFS('[1]2026'!$K:$K,'[1]2026'!$T:$T,$BD498,'[1]2026'!$S:$S,BL$3,'[1]2026'!$P:$P,$AU498)</f>
        <v>0</v>
      </c>
      <c r="BM498" s="10">
        <f>SUMIFS('[1]2026'!$K:$K,'[1]2026'!$T:$T,$BD498,'[1]2026'!$S:$S,BM$3,'[1]2026'!$P:$P,$AU498)</f>
        <v>0</v>
      </c>
      <c r="BN498" s="10">
        <f>SUMIFS('[1]2026'!$K:$K,'[1]2026'!$T:$T,$BD498,'[1]2026'!$S:$S,BN$3,'[1]2026'!$P:$P,$AU498)</f>
        <v>0</v>
      </c>
      <c r="BO498" s="10">
        <f>SUMIFS('[1]2026'!$K:$K,'[1]2026'!$T:$T,$BD498,'[1]2026'!$S:$S,BO$3,'[1]2026'!$P:$P,$AU498)</f>
        <v>0</v>
      </c>
      <c r="BP498" s="6"/>
      <c r="BQ498" s="6"/>
      <c r="BR498" s="6"/>
      <c r="BS498" s="6"/>
      <c r="BT498" s="6">
        <f t="shared" si="318"/>
        <v>0</v>
      </c>
      <c r="BV498" s="6">
        <f t="shared" si="320"/>
        <v>-3000</v>
      </c>
      <c r="BW498" s="6">
        <f t="shared" si="321"/>
        <v>0</v>
      </c>
      <c r="BX498" s="6">
        <f t="shared" si="322"/>
        <v>-3000</v>
      </c>
      <c r="BY498" s="6">
        <f t="shared" si="323"/>
        <v>0</v>
      </c>
      <c r="BZ498" s="6">
        <f t="shared" si="324"/>
        <v>0</v>
      </c>
      <c r="CA498" s="6">
        <f t="shared" si="325"/>
        <v>-3000</v>
      </c>
      <c r="CB498" s="6">
        <f t="shared" si="326"/>
        <v>0</v>
      </c>
      <c r="CC498" s="6">
        <f t="shared" si="327"/>
        <v>-3000</v>
      </c>
      <c r="CD498" s="6">
        <f t="shared" si="328"/>
        <v>0</v>
      </c>
      <c r="CE498" s="6">
        <f t="shared" si="329"/>
        <v>-3000</v>
      </c>
      <c r="CF498" s="6">
        <f t="shared" si="330"/>
        <v>0</v>
      </c>
      <c r="CG498" s="6">
        <f t="shared" si="331"/>
        <v>-3000</v>
      </c>
      <c r="CH498" s="6">
        <f t="shared" si="296"/>
        <v>-18000</v>
      </c>
    </row>
    <row r="499" spans="1:86" hidden="1" x14ac:dyDescent="0.35">
      <c r="A499" s="3" t="s">
        <v>126</v>
      </c>
      <c r="B499" s="10">
        <v>3000</v>
      </c>
      <c r="D499" s="10">
        <v>3000</v>
      </c>
      <c r="G499" s="10">
        <v>3000</v>
      </c>
      <c r="I499" s="10">
        <v>3000</v>
      </c>
      <c r="K499" s="10">
        <v>3000</v>
      </c>
      <c r="M499" s="10">
        <v>3000</v>
      </c>
      <c r="N499" s="27">
        <f t="shared" si="333"/>
        <v>18000</v>
      </c>
      <c r="AA499" s="27">
        <f t="shared" si="334"/>
        <v>0</v>
      </c>
      <c r="AB499" s="10">
        <f t="shared" si="316"/>
        <v>3000</v>
      </c>
      <c r="AC499" s="10">
        <f t="shared" si="316"/>
        <v>0</v>
      </c>
      <c r="AD499" s="10">
        <f t="shared" si="316"/>
        <v>3000</v>
      </c>
      <c r="AE499" s="10">
        <f t="shared" si="316"/>
        <v>0</v>
      </c>
      <c r="AF499" s="10">
        <f t="shared" si="316"/>
        <v>0</v>
      </c>
      <c r="AG499" s="10">
        <f t="shared" si="316"/>
        <v>3000</v>
      </c>
      <c r="AH499" s="10">
        <f t="shared" si="316"/>
        <v>0</v>
      </c>
      <c r="AI499" s="10">
        <f t="shared" si="315"/>
        <v>3000</v>
      </c>
      <c r="AJ499" s="10">
        <f t="shared" si="315"/>
        <v>0</v>
      </c>
      <c r="AK499" s="10">
        <f t="shared" si="315"/>
        <v>3000</v>
      </c>
      <c r="AL499" s="10">
        <f t="shared" si="315"/>
        <v>0</v>
      </c>
      <c r="AM499" s="10">
        <f t="shared" si="315"/>
        <v>3000</v>
      </c>
      <c r="AN499" s="27">
        <f t="shared" si="315"/>
        <v>18000</v>
      </c>
      <c r="AS499" t="str">
        <f>_xlfn.XLOOKUP(AU499,[2]GAE!HZ:HZ,[2]GAE!IA:IA)</f>
        <v>HUMAN RESOURCES</v>
      </c>
      <c r="AT499" t="str">
        <f>_xlfn.XLOOKUP(AU499,[2]GAE!HZ:HZ,[2]GAE!IB:IB)</f>
        <v>GAE - Dues &amp; Fees</v>
      </c>
      <c r="AU499" t="s">
        <v>898</v>
      </c>
      <c r="AV499">
        <v>80122101</v>
      </c>
      <c r="AW499">
        <v>61711101</v>
      </c>
      <c r="AX499" t="str">
        <f>_xlfn.XLOOKUP(AU499,[2]GAE!HZ:HZ,[2]GAE!IF:IF)</f>
        <v>Others</v>
      </c>
      <c r="AY499" t="str">
        <f>_xlfn.XLOOKUP(AU499,[2]GAE!HZ:HZ,[2]GAE!IG:IG)</f>
        <v>Dues and Fees</v>
      </c>
      <c r="BC499" t="s">
        <v>126</v>
      </c>
      <c r="BD499" t="s">
        <v>897</v>
      </c>
      <c r="BF499" t="s">
        <v>124</v>
      </c>
      <c r="BG499" s="2" t="s">
        <v>126</v>
      </c>
      <c r="BH499" s="10">
        <f>SUMIFS('[1]2026'!$K:$K,'[1]2026'!$T:$T,BD499,'[1]2026'!$S:$S,BH$3,'[1]2026'!$P:$P,AU499)</f>
        <v>0</v>
      </c>
      <c r="BI499" s="10">
        <f>SUMIFS('[1]2026'!$K:$K,'[1]2026'!$T:$T,$BD499,'[1]2026'!$S:$S,BI$3,'[1]2026'!$P:$P,$AU499)</f>
        <v>0</v>
      </c>
      <c r="BJ499" s="10">
        <f>SUMIFS('[1]2026'!$K:$K,'[1]2026'!$T:$T,$BD499,'[1]2026'!$S:$S,BJ$3,'[1]2026'!$P:$P,$AU499)</f>
        <v>3628</v>
      </c>
      <c r="BK499" s="10">
        <f>SUMIFS('[1]2026'!$K:$K,'[1]2026'!$T:$T,$BD499,'[1]2026'!$S:$S,BK$3,'[1]2026'!$P:$P,$AU499)</f>
        <v>0</v>
      </c>
      <c r="BL499" s="10">
        <f>SUMIFS('[1]2026'!$K:$K,'[1]2026'!$T:$T,$BD499,'[1]2026'!$S:$S,BL$3,'[1]2026'!$P:$P,$AU499)</f>
        <v>0</v>
      </c>
      <c r="BM499" s="10">
        <f>SUMIFS('[1]2026'!$K:$K,'[1]2026'!$T:$T,$BD499,'[1]2026'!$S:$S,BM$3,'[1]2026'!$P:$P,$AU499)</f>
        <v>530</v>
      </c>
      <c r="BN499" s="10">
        <f>SUMIFS('[1]2026'!$K:$K,'[1]2026'!$T:$T,$BD499,'[1]2026'!$S:$S,BN$3,'[1]2026'!$P:$P,$AU499)</f>
        <v>1500</v>
      </c>
      <c r="BO499" s="10">
        <f>SUMIFS('[1]2026'!$K:$K,'[1]2026'!$T:$T,$BD499,'[1]2026'!$S:$S,BO$3,'[1]2026'!$P:$P,$AU499)</f>
        <v>0</v>
      </c>
      <c r="BP499" s="6"/>
      <c r="BQ499" s="6"/>
      <c r="BR499" s="6"/>
      <c r="BS499" s="6"/>
      <c r="BT499" s="6">
        <f t="shared" si="318"/>
        <v>5658</v>
      </c>
      <c r="BV499" s="6">
        <f t="shared" si="320"/>
        <v>-3000</v>
      </c>
      <c r="BW499" s="6">
        <f t="shared" si="321"/>
        <v>0</v>
      </c>
      <c r="BX499" s="6">
        <f t="shared" si="322"/>
        <v>628</v>
      </c>
      <c r="BY499" s="6">
        <f t="shared" si="323"/>
        <v>0</v>
      </c>
      <c r="BZ499" s="6">
        <f t="shared" si="324"/>
        <v>0</v>
      </c>
      <c r="CA499" s="6">
        <f t="shared" si="325"/>
        <v>-2470</v>
      </c>
      <c r="CB499" s="6">
        <f t="shared" si="326"/>
        <v>1500</v>
      </c>
      <c r="CC499" s="6">
        <f t="shared" si="327"/>
        <v>-3000</v>
      </c>
      <c r="CD499" s="6">
        <f t="shared" si="328"/>
        <v>0</v>
      </c>
      <c r="CE499" s="6">
        <f t="shared" si="329"/>
        <v>-3000</v>
      </c>
      <c r="CF499" s="6">
        <f t="shared" si="330"/>
        <v>0</v>
      </c>
      <c r="CG499" s="6">
        <f t="shared" si="331"/>
        <v>-3000</v>
      </c>
      <c r="CH499" s="6">
        <f t="shared" si="296"/>
        <v>-12342</v>
      </c>
    </row>
    <row r="500" spans="1:86" hidden="1" x14ac:dyDescent="0.35">
      <c r="A500" s="3" t="s">
        <v>894</v>
      </c>
      <c r="F500" s="10">
        <v>20000</v>
      </c>
      <c r="N500" s="27">
        <f t="shared" si="333"/>
        <v>20000</v>
      </c>
      <c r="AA500" s="27">
        <f t="shared" si="334"/>
        <v>0</v>
      </c>
      <c r="AB500" s="10">
        <f t="shared" si="316"/>
        <v>0</v>
      </c>
      <c r="AC500" s="10">
        <f t="shared" si="316"/>
        <v>0</v>
      </c>
      <c r="AD500" s="10">
        <f t="shared" si="316"/>
        <v>0</v>
      </c>
      <c r="AE500" s="10">
        <f t="shared" si="316"/>
        <v>0</v>
      </c>
      <c r="AF500" s="10">
        <f t="shared" si="316"/>
        <v>20000</v>
      </c>
      <c r="AG500" s="10">
        <f t="shared" si="316"/>
        <v>0</v>
      </c>
      <c r="AH500" s="10">
        <f t="shared" si="316"/>
        <v>0</v>
      </c>
      <c r="AI500" s="10">
        <f t="shared" si="316"/>
        <v>0</v>
      </c>
      <c r="AJ500" s="10">
        <f t="shared" si="316"/>
        <v>0</v>
      </c>
      <c r="AK500" s="10">
        <f t="shared" si="316"/>
        <v>0</v>
      </c>
      <c r="AL500" s="10">
        <f t="shared" si="316"/>
        <v>0</v>
      </c>
      <c r="AM500" s="10">
        <f t="shared" si="316"/>
        <v>0</v>
      </c>
      <c r="AN500" s="27">
        <f t="shared" si="316"/>
        <v>20000</v>
      </c>
      <c r="AS500" t="str">
        <f>_xlfn.XLOOKUP(AU500,[2]GAE!HZ:HZ,[2]GAE!IA:IA)</f>
        <v>HUMAN RESOURCES</v>
      </c>
      <c r="AT500" t="str">
        <f>_xlfn.XLOOKUP(AU500,[2]GAE!HZ:HZ,[2]GAE!IB:IB)</f>
        <v>GAE - Dues &amp; Fees</v>
      </c>
      <c r="AU500" t="s">
        <v>896</v>
      </c>
      <c r="AV500">
        <v>90122101</v>
      </c>
      <c r="AW500">
        <v>61711101</v>
      </c>
      <c r="AX500" t="str">
        <f>_xlfn.XLOOKUP(AU500,[2]GAE!HZ:HZ,[2]GAE!IF:IF)</f>
        <v>Others</v>
      </c>
      <c r="AY500" t="str">
        <f>_xlfn.XLOOKUP(AU500,[2]GAE!HZ:HZ,[2]GAE!IG:IG)</f>
        <v>Dues and Fees</v>
      </c>
      <c r="BC500" t="s">
        <v>127</v>
      </c>
      <c r="BD500" t="s">
        <v>899</v>
      </c>
      <c r="BF500" t="s">
        <v>124</v>
      </c>
      <c r="BG500" s="2" t="s">
        <v>1261</v>
      </c>
      <c r="BH500" s="10">
        <f>SUMIFS('[1]2026'!$K:$K,'[1]2026'!$T:$T,BD500,'[1]2026'!$S:$S,BH$3,'[1]2026'!$P:$P,AU500)</f>
        <v>0</v>
      </c>
      <c r="BI500" s="10">
        <f>SUMIFS('[1]2026'!$K:$K,'[1]2026'!$T:$T,$BD500,'[1]2026'!$S:$S,BI$3,'[1]2026'!$P:$P,$AU500)</f>
        <v>0</v>
      </c>
      <c r="BJ500" s="10">
        <f>SUMIFS('[1]2026'!$K:$K,'[1]2026'!$T:$T,$BD500,'[1]2026'!$S:$S,BJ$3,'[1]2026'!$P:$P,$AU500)</f>
        <v>0</v>
      </c>
      <c r="BK500" s="10">
        <f>SUMIFS('[1]2026'!$K:$K,'[1]2026'!$T:$T,$BD500,'[1]2026'!$S:$S,BK$3,'[1]2026'!$P:$P,$AU500)</f>
        <v>0</v>
      </c>
      <c r="BL500" s="10">
        <f>SUMIFS('[1]2026'!$K:$K,'[1]2026'!$T:$T,$BD500,'[1]2026'!$S:$S,BL$3,'[1]2026'!$P:$P,$AU500)</f>
        <v>0</v>
      </c>
      <c r="BM500" s="10">
        <f>SUMIFS('[1]2026'!$K:$K,'[1]2026'!$T:$T,$BD500,'[1]2026'!$S:$S,BM$3,'[1]2026'!$P:$P,$AU500)</f>
        <v>0</v>
      </c>
      <c r="BN500" s="10">
        <f>SUMIFS('[1]2026'!$K:$K,'[1]2026'!$T:$T,$BD500,'[1]2026'!$S:$S,BN$3,'[1]2026'!$P:$P,$AU500)</f>
        <v>21589.29</v>
      </c>
      <c r="BO500" s="10">
        <f>SUMIFS('[1]2026'!$K:$K,'[1]2026'!$T:$T,$BD500,'[1]2026'!$S:$S,BO$3,'[1]2026'!$P:$P,$AU500)</f>
        <v>0</v>
      </c>
      <c r="BP500" s="6"/>
      <c r="BQ500" s="6"/>
      <c r="BR500" s="6"/>
      <c r="BS500" s="6"/>
      <c r="BT500" s="6">
        <f t="shared" si="318"/>
        <v>21589.29</v>
      </c>
      <c r="BV500" s="6">
        <f t="shared" si="320"/>
        <v>0</v>
      </c>
      <c r="BW500" s="6">
        <f t="shared" si="321"/>
        <v>0</v>
      </c>
      <c r="BX500" s="6">
        <f t="shared" si="322"/>
        <v>0</v>
      </c>
      <c r="BY500" s="6">
        <f t="shared" si="323"/>
        <v>0</v>
      </c>
      <c r="BZ500" s="6">
        <f t="shared" si="324"/>
        <v>-20000</v>
      </c>
      <c r="CA500" s="6">
        <f t="shared" si="325"/>
        <v>0</v>
      </c>
      <c r="CB500" s="6">
        <f t="shared" si="326"/>
        <v>21589.29</v>
      </c>
      <c r="CC500" s="6">
        <f t="shared" si="327"/>
        <v>0</v>
      </c>
      <c r="CD500" s="6">
        <f t="shared" si="328"/>
        <v>0</v>
      </c>
      <c r="CE500" s="6">
        <f t="shared" si="329"/>
        <v>0</v>
      </c>
      <c r="CF500" s="6">
        <f t="shared" si="330"/>
        <v>0</v>
      </c>
      <c r="CG500" s="6">
        <f t="shared" si="331"/>
        <v>0</v>
      </c>
      <c r="CH500" s="6">
        <f t="shared" si="296"/>
        <v>1589.2900000000009</v>
      </c>
    </row>
    <row r="501" spans="1:86" hidden="1" x14ac:dyDescent="0.35">
      <c r="A501" s="3" t="s">
        <v>894</v>
      </c>
      <c r="F501" s="10">
        <v>20000</v>
      </c>
      <c r="N501" s="27">
        <f t="shared" si="333"/>
        <v>20000</v>
      </c>
      <c r="AA501" s="27">
        <f t="shared" si="334"/>
        <v>0</v>
      </c>
      <c r="AB501" s="10">
        <f t="shared" ref="AB501:AN512" si="335">B501-O501</f>
        <v>0</v>
      </c>
      <c r="AC501" s="10">
        <f t="shared" si="335"/>
        <v>0</v>
      </c>
      <c r="AD501" s="10">
        <f t="shared" si="335"/>
        <v>0</v>
      </c>
      <c r="AE501" s="10">
        <f t="shared" si="335"/>
        <v>0</v>
      </c>
      <c r="AF501" s="10">
        <f t="shared" si="335"/>
        <v>20000</v>
      </c>
      <c r="AG501" s="10">
        <f t="shared" si="335"/>
        <v>0</v>
      </c>
      <c r="AH501" s="10">
        <f t="shared" si="335"/>
        <v>0</v>
      </c>
      <c r="AI501" s="10">
        <f t="shared" si="335"/>
        <v>0</v>
      </c>
      <c r="AJ501" s="10">
        <f t="shared" si="335"/>
        <v>0</v>
      </c>
      <c r="AK501" s="10">
        <f t="shared" si="335"/>
        <v>0</v>
      </c>
      <c r="AL501" s="10">
        <f t="shared" si="335"/>
        <v>0</v>
      </c>
      <c r="AM501" s="10">
        <f t="shared" si="335"/>
        <v>0</v>
      </c>
      <c r="AN501" s="27">
        <f t="shared" si="335"/>
        <v>20000</v>
      </c>
      <c r="AS501" t="str">
        <f>_xlfn.XLOOKUP(AU501,[2]GAE!HZ:HZ,[2]GAE!IA:IA)</f>
        <v>HUMAN RESOURCES</v>
      </c>
      <c r="AT501" t="str">
        <f>_xlfn.XLOOKUP(AU501,[2]GAE!HZ:HZ,[2]GAE!IB:IB)</f>
        <v>DOE - Dues &amp; Fees</v>
      </c>
      <c r="AU501" t="s">
        <v>892</v>
      </c>
      <c r="AV501">
        <v>81122101</v>
      </c>
      <c r="AW501">
        <v>52952101</v>
      </c>
      <c r="AX501" t="str">
        <f>_xlfn.XLOOKUP(AU501,[2]GAE!HZ:HZ,[2]GAE!IF:IF)</f>
        <v>Others</v>
      </c>
      <c r="AY501" t="str">
        <f>_xlfn.XLOOKUP(AU501,[2]GAE!HZ:HZ,[2]GAE!IG:IG)</f>
        <v>Dues and Fees</v>
      </c>
      <c r="BF501" t="s">
        <v>124</v>
      </c>
      <c r="BG501" t="s">
        <v>894</v>
      </c>
      <c r="BH501" s="10">
        <f>SUMIFS('[1]2026'!$K:$K,'[1]2026'!$T:$T,BD501,'[1]2026'!$S:$S,BH$3,'[1]2026'!$P:$P,AU501)</f>
        <v>0</v>
      </c>
      <c r="BI501" s="10">
        <f>SUMIFS('[1]2026'!$K:$K,'[1]2026'!$T:$T,$BD501,'[1]2026'!$S:$S,BI$3,'[1]2026'!$P:$P,$AU501)</f>
        <v>0</v>
      </c>
      <c r="BJ501" s="10">
        <f>SUMIFS('[1]2026'!$K:$K,'[1]2026'!$T:$T,$BD501,'[1]2026'!$S:$S,BJ$3,'[1]2026'!$P:$P,$AU501)</f>
        <v>0</v>
      </c>
      <c r="BK501" s="10">
        <f>SUMIFS('[1]2026'!$K:$K,'[1]2026'!$T:$T,$BD501,'[1]2026'!$S:$S,BK$3,'[1]2026'!$P:$P,$AU501)</f>
        <v>0</v>
      </c>
      <c r="BL501" s="10">
        <f>SUMIFS('[1]2026'!$K:$K,'[1]2026'!$T:$T,$BD501,'[1]2026'!$S:$S,BL$3,'[1]2026'!$P:$P,$AU501)</f>
        <v>0</v>
      </c>
      <c r="BM501" s="10">
        <f>SUMIFS('[1]2026'!$K:$K,'[1]2026'!$T:$T,$BD501,'[1]2026'!$S:$S,BM$3,'[1]2026'!$P:$P,$AU501)</f>
        <v>0</v>
      </c>
      <c r="BN501" s="10">
        <f>SUMIFS('[1]2026'!$K:$K,'[1]2026'!$T:$T,$BD501,'[1]2026'!$S:$S,BN$3,'[1]2026'!$P:$P,$AU501)</f>
        <v>0</v>
      </c>
      <c r="BO501" s="10">
        <f>SUMIFS('[1]2026'!$K:$K,'[1]2026'!$T:$T,$BD501,'[1]2026'!$S:$S,BO$3,'[1]2026'!$P:$P,$AU501)</f>
        <v>0</v>
      </c>
      <c r="BP501" s="6"/>
      <c r="BQ501" s="6"/>
      <c r="BR501" s="6"/>
      <c r="BS501" s="6"/>
      <c r="BT501" s="6">
        <f t="shared" si="318"/>
        <v>0</v>
      </c>
      <c r="BV501" s="6">
        <f t="shared" ref="BV501:BV532" si="336">BH501-AB501</f>
        <v>0</v>
      </c>
      <c r="BW501" s="6">
        <f t="shared" ref="BW501:BW532" si="337">BI501-AC501</f>
        <v>0</v>
      </c>
      <c r="BX501" s="6">
        <f t="shared" ref="BX501:BX532" si="338">BJ501-AD501</f>
        <v>0</v>
      </c>
      <c r="BY501" s="6">
        <f t="shared" ref="BY501:BY532" si="339">BK501-AE501</f>
        <v>0</v>
      </c>
      <c r="BZ501" s="6">
        <f t="shared" ref="BZ501:BZ532" si="340">BL501-AF501</f>
        <v>-20000</v>
      </c>
      <c r="CA501" s="6">
        <f t="shared" ref="CA501:CA532" si="341">BM501-AG501</f>
        <v>0</v>
      </c>
      <c r="CB501" s="6">
        <f t="shared" ref="CB501:CB532" si="342">BN501-AH501</f>
        <v>0</v>
      </c>
      <c r="CC501" s="6">
        <f t="shared" ref="CC501:CC532" si="343">BO501-AI501</f>
        <v>0</v>
      </c>
      <c r="CD501" s="6">
        <f t="shared" ref="CD501:CD532" si="344">BP501-AJ501</f>
        <v>0</v>
      </c>
      <c r="CE501" s="6">
        <f t="shared" ref="CE501:CE532" si="345">BQ501-AK501</f>
        <v>0</v>
      </c>
      <c r="CF501" s="6">
        <f t="shared" ref="CF501:CF532" si="346">BR501-AL501</f>
        <v>0</v>
      </c>
      <c r="CG501" s="6">
        <f t="shared" ref="CG501:CG532" si="347">BS501-AM501</f>
        <v>0</v>
      </c>
      <c r="CH501" s="6">
        <f t="shared" ref="CH501:CH564" si="348">BT501-AN501</f>
        <v>-20000</v>
      </c>
    </row>
    <row r="502" spans="1:86" hidden="1" x14ac:dyDescent="0.35">
      <c r="A502" s="3" t="s">
        <v>128</v>
      </c>
      <c r="B502" s="21">
        <v>10000</v>
      </c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7">
        <f t="shared" si="333"/>
        <v>10000</v>
      </c>
      <c r="AA502" s="27">
        <f t="shared" si="334"/>
        <v>0</v>
      </c>
      <c r="AB502" s="10">
        <f t="shared" si="335"/>
        <v>10000</v>
      </c>
      <c r="AC502" s="10">
        <f t="shared" si="335"/>
        <v>0</v>
      </c>
      <c r="AD502" s="10">
        <f t="shared" si="335"/>
        <v>0</v>
      </c>
      <c r="AE502" s="10">
        <f t="shared" si="335"/>
        <v>0</v>
      </c>
      <c r="AF502" s="10">
        <f t="shared" si="335"/>
        <v>0</v>
      </c>
      <c r="AG502" s="10">
        <f t="shared" si="335"/>
        <v>0</v>
      </c>
      <c r="AH502" s="10">
        <f t="shared" si="335"/>
        <v>0</v>
      </c>
      <c r="AI502" s="10">
        <f t="shared" si="335"/>
        <v>0</v>
      </c>
      <c r="AJ502" s="10">
        <f t="shared" si="335"/>
        <v>0</v>
      </c>
      <c r="AK502" s="10">
        <f t="shared" si="335"/>
        <v>0</v>
      </c>
      <c r="AL502" s="10">
        <f t="shared" si="335"/>
        <v>0</v>
      </c>
      <c r="AM502" s="10">
        <f t="shared" si="335"/>
        <v>0</v>
      </c>
      <c r="AN502" s="27">
        <f t="shared" si="335"/>
        <v>10000</v>
      </c>
      <c r="AS502" t="str">
        <f>_xlfn.XLOOKUP(AU502,[2]GAE!HZ:HZ,[2]GAE!IA:IA)</f>
        <v>HUMAN RESOURCES</v>
      </c>
      <c r="AT502" t="str">
        <f>_xlfn.XLOOKUP(AU502,[2]GAE!HZ:HZ,[2]GAE!IB:IB)</f>
        <v>GAE - Dues &amp; Fees</v>
      </c>
      <c r="AU502" t="s">
        <v>896</v>
      </c>
      <c r="AV502">
        <v>90122101</v>
      </c>
      <c r="AW502">
        <v>61711101</v>
      </c>
      <c r="AX502" t="str">
        <f>_xlfn.XLOOKUP(AU502,[2]GAE!HZ:HZ,[2]GAE!IF:IF)</f>
        <v>Others</v>
      </c>
      <c r="AY502" t="str">
        <f>_xlfn.XLOOKUP(AU502,[2]GAE!HZ:HZ,[2]GAE!IG:IG)</f>
        <v>Dues and Fees</v>
      </c>
      <c r="BF502" t="s">
        <v>124</v>
      </c>
      <c r="BG502" s="2" t="s">
        <v>128</v>
      </c>
      <c r="BH502" s="10">
        <f>SUMIFS('[1]2026'!$K:$K,'[1]2026'!$T:$T,BD502,'[1]2026'!$S:$S,BH$3,'[1]2026'!$P:$P,AU502)</f>
        <v>0</v>
      </c>
      <c r="BI502" s="10">
        <f>SUMIFS('[1]2026'!$K:$K,'[1]2026'!$T:$T,$BD502,'[1]2026'!$S:$S,BI$3,'[1]2026'!$P:$P,$AU502)</f>
        <v>0</v>
      </c>
      <c r="BJ502" s="10">
        <f>SUMIFS('[1]2026'!$K:$K,'[1]2026'!$T:$T,$BD502,'[1]2026'!$S:$S,BJ$3,'[1]2026'!$P:$P,$AU502)</f>
        <v>0</v>
      </c>
      <c r="BK502" s="10">
        <f>SUMIFS('[1]2026'!$K:$K,'[1]2026'!$T:$T,$BD502,'[1]2026'!$S:$S,BK$3,'[1]2026'!$P:$P,$AU502)</f>
        <v>0</v>
      </c>
      <c r="BL502" s="10">
        <f>SUMIFS('[1]2026'!$K:$K,'[1]2026'!$T:$T,$BD502,'[1]2026'!$S:$S,BL$3,'[1]2026'!$P:$P,$AU502)</f>
        <v>0</v>
      </c>
      <c r="BM502" s="10">
        <f>SUMIFS('[1]2026'!$K:$K,'[1]2026'!$T:$T,$BD502,'[1]2026'!$S:$S,BM$3,'[1]2026'!$P:$P,$AU502)</f>
        <v>0</v>
      </c>
      <c r="BN502" s="10">
        <f>SUMIFS('[1]2026'!$K:$K,'[1]2026'!$T:$T,$BD502,'[1]2026'!$S:$S,BN$3,'[1]2026'!$P:$P,$AU502)</f>
        <v>0</v>
      </c>
      <c r="BO502" s="10">
        <f>SUMIFS('[1]2026'!$K:$K,'[1]2026'!$T:$T,$BD502,'[1]2026'!$S:$S,BO$3,'[1]2026'!$P:$P,$AU502)</f>
        <v>0</v>
      </c>
      <c r="BP502" s="6"/>
      <c r="BQ502" s="6"/>
      <c r="BR502" s="6"/>
      <c r="BS502" s="6"/>
      <c r="BT502" s="6">
        <f t="shared" si="318"/>
        <v>0</v>
      </c>
      <c r="BV502" s="6">
        <f t="shared" si="336"/>
        <v>-10000</v>
      </c>
      <c r="BW502" s="6">
        <f t="shared" si="337"/>
        <v>0</v>
      </c>
      <c r="BX502" s="6">
        <f t="shared" si="338"/>
        <v>0</v>
      </c>
      <c r="BY502" s="6">
        <f t="shared" si="339"/>
        <v>0</v>
      </c>
      <c r="BZ502" s="6">
        <f t="shared" si="340"/>
        <v>0</v>
      </c>
      <c r="CA502" s="6">
        <f t="shared" si="341"/>
        <v>0</v>
      </c>
      <c r="CB502" s="6">
        <f t="shared" si="342"/>
        <v>0</v>
      </c>
      <c r="CC502" s="6">
        <f t="shared" si="343"/>
        <v>0</v>
      </c>
      <c r="CD502" s="6">
        <f t="shared" si="344"/>
        <v>0</v>
      </c>
      <c r="CE502" s="6">
        <f t="shared" si="345"/>
        <v>0</v>
      </c>
      <c r="CF502" s="6">
        <f t="shared" si="346"/>
        <v>0</v>
      </c>
      <c r="CG502" s="6">
        <f t="shared" si="347"/>
        <v>0</v>
      </c>
      <c r="CH502" s="6">
        <f t="shared" si="348"/>
        <v>-10000</v>
      </c>
    </row>
    <row r="503" spans="1:86" hidden="1" x14ac:dyDescent="0.35"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AN503" s="27">
        <f>N503-AA503</f>
        <v>0</v>
      </c>
      <c r="AS503" t="str">
        <f>_xlfn.XLOOKUP(AU503,[2]GAE!HZ:HZ,[2]GAE!IA:IA)</f>
        <v>LEGAL</v>
      </c>
      <c r="AT503" t="str">
        <f>_xlfn.XLOOKUP(AU503,[2]GAE!HZ:HZ,[2]GAE!IB:IB)</f>
        <v>GAE - Dues &amp; Fees</v>
      </c>
      <c r="AU503" t="s">
        <v>900</v>
      </c>
      <c r="AV503">
        <v>90123101</v>
      </c>
      <c r="AW503">
        <v>61711101</v>
      </c>
      <c r="AX503" t="str">
        <f>_xlfn.XLOOKUP(AU503,[2]GAE!HZ:HZ,[2]GAE!IF:IF)</f>
        <v>Others</v>
      </c>
      <c r="AY503" t="str">
        <f>_xlfn.XLOOKUP(AU503,[2]GAE!HZ:HZ,[2]GAE!IG:IG)</f>
        <v>Dues and Fees</v>
      </c>
      <c r="BC503" t="s">
        <v>128</v>
      </c>
      <c r="BD503" t="s">
        <v>901</v>
      </c>
      <c r="BF503" t="s">
        <v>124</v>
      </c>
      <c r="BG503" s="2" t="s">
        <v>128</v>
      </c>
      <c r="BJ503" s="10">
        <f>SUMIFS('[1]2026'!$K:$K,'[1]2026'!$T:$T,$BD503,'[1]2026'!$S:$S,BJ$3,'[1]2026'!$P:$P,$AU503)</f>
        <v>20000</v>
      </c>
      <c r="BK503" s="10">
        <f>SUMIFS('[1]2026'!$K:$K,'[1]2026'!$T:$T,$BD503,'[1]2026'!$S:$S,BK$3,'[1]2026'!$P:$P,$AU503)</f>
        <v>0</v>
      </c>
      <c r="BL503" s="10">
        <f>SUMIFS('[1]2026'!$K:$K,'[1]2026'!$T:$T,$BD503,'[1]2026'!$S:$S,BL$3,'[1]2026'!$P:$P,$AU503)</f>
        <v>0</v>
      </c>
      <c r="BM503" s="10">
        <f>SUMIFS('[1]2026'!$K:$K,'[1]2026'!$T:$T,$BD503,'[1]2026'!$S:$S,BM$3,'[1]2026'!$P:$P,$AU503)</f>
        <v>0</v>
      </c>
      <c r="BN503" s="10">
        <f>SUMIFS('[1]2026'!$K:$K,'[1]2026'!$T:$T,$BD503,'[1]2026'!$S:$S,BN$3,'[1]2026'!$P:$P,$AU503)</f>
        <v>0</v>
      </c>
      <c r="BO503" s="10">
        <f>SUMIFS('[1]2026'!$K:$K,'[1]2026'!$T:$T,$BD503,'[1]2026'!$S:$S,BO$3,'[1]2026'!$P:$P,$AU503)</f>
        <v>0</v>
      </c>
      <c r="BP503" s="6"/>
      <c r="BQ503" s="6"/>
      <c r="BR503" s="6"/>
      <c r="BS503" s="6"/>
      <c r="BT503" s="6">
        <f t="shared" si="318"/>
        <v>20000</v>
      </c>
      <c r="BV503" s="6">
        <f t="shared" si="336"/>
        <v>0</v>
      </c>
      <c r="BW503" s="6">
        <f t="shared" si="337"/>
        <v>0</v>
      </c>
      <c r="BX503" s="6">
        <f t="shared" si="338"/>
        <v>20000</v>
      </c>
      <c r="BY503" s="6">
        <f t="shared" si="339"/>
        <v>0</v>
      </c>
      <c r="BZ503" s="6">
        <f t="shared" si="340"/>
        <v>0</v>
      </c>
      <c r="CA503" s="6">
        <f t="shared" si="341"/>
        <v>0</v>
      </c>
      <c r="CB503" s="6">
        <f t="shared" si="342"/>
        <v>0</v>
      </c>
      <c r="CC503" s="6">
        <f t="shared" si="343"/>
        <v>0</v>
      </c>
      <c r="CD503" s="6">
        <f t="shared" si="344"/>
        <v>0</v>
      </c>
      <c r="CE503" s="6">
        <f t="shared" si="345"/>
        <v>0</v>
      </c>
      <c r="CF503" s="6">
        <f t="shared" si="346"/>
        <v>0</v>
      </c>
      <c r="CG503" s="6">
        <f t="shared" si="347"/>
        <v>0</v>
      </c>
      <c r="CH503" s="6">
        <f t="shared" si="348"/>
        <v>20000</v>
      </c>
    </row>
    <row r="504" spans="1:86" hidden="1" x14ac:dyDescent="0.35">
      <c r="A504" s="3" t="s">
        <v>129</v>
      </c>
      <c r="B504" s="10">
        <v>5000</v>
      </c>
      <c r="N504" s="27">
        <f t="shared" si="333"/>
        <v>5000</v>
      </c>
      <c r="AA504" s="27">
        <f t="shared" si="334"/>
        <v>0</v>
      </c>
      <c r="AB504" s="10">
        <f t="shared" si="335"/>
        <v>5000</v>
      </c>
      <c r="AC504" s="10">
        <f t="shared" si="335"/>
        <v>0</v>
      </c>
      <c r="AD504" s="10">
        <f t="shared" si="335"/>
        <v>0</v>
      </c>
      <c r="AE504" s="10">
        <f t="shared" si="335"/>
        <v>0</v>
      </c>
      <c r="AF504" s="10">
        <f t="shared" si="335"/>
        <v>0</v>
      </c>
      <c r="AG504" s="10">
        <f t="shared" si="335"/>
        <v>0</v>
      </c>
      <c r="AH504" s="10">
        <f t="shared" si="335"/>
        <v>0</v>
      </c>
      <c r="AI504" s="10">
        <f t="shared" si="335"/>
        <v>0</v>
      </c>
      <c r="AJ504" s="10">
        <f t="shared" si="335"/>
        <v>0</v>
      </c>
      <c r="AK504" s="10">
        <f t="shared" si="335"/>
        <v>0</v>
      </c>
      <c r="AL504" s="10">
        <f t="shared" si="335"/>
        <v>0</v>
      </c>
      <c r="AM504" s="10">
        <f t="shared" si="335"/>
        <v>0</v>
      </c>
      <c r="AN504" s="27">
        <f t="shared" si="335"/>
        <v>5000</v>
      </c>
      <c r="AS504" t="str">
        <f>_xlfn.XLOOKUP(AU504,[2]GAE!HZ:HZ,[2]GAE!IA:IA)</f>
        <v>HUMAN RESOURCES</v>
      </c>
      <c r="AT504" t="str">
        <f>_xlfn.XLOOKUP(AU504,[2]GAE!HZ:HZ,[2]GAE!IB:IB)</f>
        <v>GAE - Dues &amp; Fees</v>
      </c>
      <c r="AU504" t="s">
        <v>896</v>
      </c>
      <c r="AV504">
        <v>90122101</v>
      </c>
      <c r="AW504">
        <v>61711101</v>
      </c>
      <c r="AX504" t="str">
        <f>_xlfn.XLOOKUP(AU504,[2]GAE!HZ:HZ,[2]GAE!IF:IF)</f>
        <v>Others</v>
      </c>
      <c r="AY504" t="str">
        <f>_xlfn.XLOOKUP(AU504,[2]GAE!HZ:HZ,[2]GAE!IG:IG)</f>
        <v>Dues and Fees</v>
      </c>
      <c r="BC504" t="s">
        <v>129</v>
      </c>
      <c r="BD504" t="s">
        <v>902</v>
      </c>
      <c r="BF504" t="s">
        <v>124</v>
      </c>
      <c r="BG504" s="2" t="s">
        <v>129</v>
      </c>
      <c r="BH504" s="10">
        <f>SUMIFS('[1]2026'!$K:$K,'[1]2026'!$T:$T,BD504,'[1]2026'!$S:$S,BH$3,'[1]2026'!$P:$P,AU504)</f>
        <v>0</v>
      </c>
      <c r="BI504" s="10">
        <f>SUMIFS('[1]2026'!$K:$K,'[1]2026'!$T:$T,$BD504,'[1]2026'!$S:$S,BI$3,'[1]2026'!$P:$P,$AU504)</f>
        <v>0</v>
      </c>
      <c r="BJ504" s="10">
        <f>SUMIFS('[1]2026'!$K:$K,'[1]2026'!$T:$T,$BD504,'[1]2026'!$S:$S,BJ$3,'[1]2026'!$P:$P,$AU504)</f>
        <v>0</v>
      </c>
      <c r="BK504" s="10">
        <f>SUMIFS('[1]2026'!$K:$K,'[1]2026'!$T:$T,$BD504,'[1]2026'!$S:$S,BK$3,'[1]2026'!$P:$P,$AU504)</f>
        <v>0</v>
      </c>
      <c r="BL504" s="10">
        <f>SUMIFS('[1]2026'!$K:$K,'[1]2026'!$T:$T,$BD504,'[1]2026'!$S:$S,BL$3,'[1]2026'!$P:$P,$AU504)</f>
        <v>660</v>
      </c>
      <c r="BM504" s="10">
        <f>SUMIFS('[1]2026'!$K:$K,'[1]2026'!$T:$T,$BD504,'[1]2026'!$S:$S,BM$3,'[1]2026'!$P:$P,$AU504)</f>
        <v>0</v>
      </c>
      <c r="BN504" s="10">
        <f>SUMIFS('[1]2026'!$K:$K,'[1]2026'!$T:$T,$BD504,'[1]2026'!$S:$S,BN$3,'[1]2026'!$P:$P,$AU504)</f>
        <v>0</v>
      </c>
      <c r="BO504" s="10">
        <f>SUMIFS('[1]2026'!$K:$K,'[1]2026'!$T:$T,$BD504,'[1]2026'!$S:$S,BO$3,'[1]2026'!$P:$P,$AU504)</f>
        <v>0</v>
      </c>
      <c r="BP504" s="6"/>
      <c r="BQ504" s="6"/>
      <c r="BR504" s="6"/>
      <c r="BS504" s="6"/>
      <c r="BT504" s="6">
        <f t="shared" si="318"/>
        <v>660</v>
      </c>
      <c r="BV504" s="6">
        <f t="shared" si="336"/>
        <v>-5000</v>
      </c>
      <c r="BW504" s="6">
        <f t="shared" si="337"/>
        <v>0</v>
      </c>
      <c r="BX504" s="6">
        <f t="shared" si="338"/>
        <v>0</v>
      </c>
      <c r="BY504" s="6">
        <f t="shared" si="339"/>
        <v>0</v>
      </c>
      <c r="BZ504" s="6">
        <f t="shared" si="340"/>
        <v>660</v>
      </c>
      <c r="CA504" s="6">
        <f t="shared" si="341"/>
        <v>0</v>
      </c>
      <c r="CB504" s="6">
        <f t="shared" si="342"/>
        <v>0</v>
      </c>
      <c r="CC504" s="6">
        <f t="shared" si="343"/>
        <v>0</v>
      </c>
      <c r="CD504" s="6">
        <f t="shared" si="344"/>
        <v>0</v>
      </c>
      <c r="CE504" s="6">
        <f t="shared" si="345"/>
        <v>0</v>
      </c>
      <c r="CF504" s="6">
        <f t="shared" si="346"/>
        <v>0</v>
      </c>
      <c r="CG504" s="6">
        <f t="shared" si="347"/>
        <v>0</v>
      </c>
      <c r="CH504" s="6">
        <f t="shared" si="348"/>
        <v>-4340</v>
      </c>
    </row>
    <row r="505" spans="1:86" hidden="1" x14ac:dyDescent="0.35">
      <c r="A505" s="3" t="s">
        <v>129</v>
      </c>
      <c r="B505" s="10">
        <v>5000</v>
      </c>
      <c r="N505" s="27">
        <f t="shared" si="333"/>
        <v>5000</v>
      </c>
      <c r="AA505" s="27">
        <f t="shared" si="334"/>
        <v>0</v>
      </c>
      <c r="AB505" s="10">
        <f t="shared" si="335"/>
        <v>5000</v>
      </c>
      <c r="AC505" s="10">
        <f t="shared" si="335"/>
        <v>0</v>
      </c>
      <c r="AD505" s="10">
        <f t="shared" si="335"/>
        <v>0</v>
      </c>
      <c r="AE505" s="10">
        <f t="shared" si="335"/>
        <v>0</v>
      </c>
      <c r="AF505" s="10">
        <f t="shared" si="335"/>
        <v>0</v>
      </c>
      <c r="AG505" s="10">
        <f t="shared" si="335"/>
        <v>0</v>
      </c>
      <c r="AH505" s="10">
        <f t="shared" si="335"/>
        <v>0</v>
      </c>
      <c r="AI505" s="10">
        <f t="shared" si="335"/>
        <v>0</v>
      </c>
      <c r="AJ505" s="10">
        <f t="shared" si="335"/>
        <v>0</v>
      </c>
      <c r="AK505" s="10">
        <f t="shared" si="335"/>
        <v>0</v>
      </c>
      <c r="AL505" s="10">
        <f t="shared" si="335"/>
        <v>0</v>
      </c>
      <c r="AM505" s="10">
        <f t="shared" si="335"/>
        <v>0</v>
      </c>
      <c r="AN505" s="27">
        <f t="shared" si="335"/>
        <v>5000</v>
      </c>
      <c r="AS505" t="str">
        <f>_xlfn.XLOOKUP(AU505,[2]GAE!HZ:HZ,[2]GAE!IA:IA)</f>
        <v>HUMAN RESOURCES</v>
      </c>
      <c r="AT505" t="str">
        <f>_xlfn.XLOOKUP(AU505,[2]GAE!HZ:HZ,[2]GAE!IB:IB)</f>
        <v>GAE - Dues &amp; Fees</v>
      </c>
      <c r="AU505" t="s">
        <v>896</v>
      </c>
      <c r="AV505">
        <v>90122101</v>
      </c>
      <c r="AW505">
        <v>61711101</v>
      </c>
      <c r="AX505" t="str">
        <f>_xlfn.XLOOKUP(AU505,[2]GAE!HZ:HZ,[2]GAE!IF:IF)</f>
        <v>Others</v>
      </c>
      <c r="AY505" t="str">
        <f>_xlfn.XLOOKUP(AU505,[2]GAE!HZ:HZ,[2]GAE!IG:IG)</f>
        <v>Dues and Fees</v>
      </c>
      <c r="BF505" t="s">
        <v>124</v>
      </c>
      <c r="BG505" s="2" t="s">
        <v>129</v>
      </c>
      <c r="BH505" s="10">
        <f>SUMIFS('[1]2026'!$K:$K,'[1]2026'!$T:$T,BD505,'[1]2026'!$S:$S,BH$3,'[1]2026'!$P:$P,AU505)</f>
        <v>0</v>
      </c>
      <c r="BI505" s="10">
        <f>SUMIFS('[1]2026'!$K:$K,'[1]2026'!$T:$T,$BD505,'[1]2026'!$S:$S,BI$3,'[1]2026'!$P:$P,$AU505)</f>
        <v>0</v>
      </c>
      <c r="BJ505" s="10">
        <f>SUMIFS('[1]2026'!$K:$K,'[1]2026'!$T:$T,$BD505,'[1]2026'!$S:$S,BJ$3,'[1]2026'!$P:$P,$AU505)</f>
        <v>0</v>
      </c>
      <c r="BK505" s="10">
        <f>SUMIFS('[1]2026'!$K:$K,'[1]2026'!$T:$T,$BD505,'[1]2026'!$S:$S,BK$3,'[1]2026'!$P:$P,$AU505)</f>
        <v>0</v>
      </c>
      <c r="BL505" s="10">
        <f>SUMIFS('[1]2026'!$K:$K,'[1]2026'!$T:$T,$BD505,'[1]2026'!$S:$S,BL$3,'[1]2026'!$P:$P,$AU505)</f>
        <v>0</v>
      </c>
      <c r="BM505" s="10">
        <f>SUMIFS('[1]2026'!$K:$K,'[1]2026'!$T:$T,$BD505,'[1]2026'!$S:$S,BM$3,'[1]2026'!$P:$P,$AU505)</f>
        <v>0</v>
      </c>
      <c r="BN505" s="10">
        <f>SUMIFS('[1]2026'!$K:$K,'[1]2026'!$T:$T,$BD505,'[1]2026'!$S:$S,BN$3,'[1]2026'!$P:$P,$AU505)</f>
        <v>0</v>
      </c>
      <c r="BO505" s="10">
        <f>SUMIFS('[1]2026'!$K:$K,'[1]2026'!$T:$T,$BD505,'[1]2026'!$S:$S,BO$3,'[1]2026'!$P:$P,$AU505)</f>
        <v>0</v>
      </c>
      <c r="BP505" s="6"/>
      <c r="BQ505" s="6"/>
      <c r="BR505" s="6"/>
      <c r="BS505" s="6"/>
      <c r="BT505" s="6">
        <f t="shared" si="318"/>
        <v>0</v>
      </c>
      <c r="BV505" s="6">
        <f t="shared" si="336"/>
        <v>-5000</v>
      </c>
      <c r="BW505" s="6">
        <f t="shared" si="337"/>
        <v>0</v>
      </c>
      <c r="BX505" s="6">
        <f t="shared" si="338"/>
        <v>0</v>
      </c>
      <c r="BY505" s="6">
        <f t="shared" si="339"/>
        <v>0</v>
      </c>
      <c r="BZ505" s="6">
        <f t="shared" si="340"/>
        <v>0</v>
      </c>
      <c r="CA505" s="6">
        <f t="shared" si="341"/>
        <v>0</v>
      </c>
      <c r="CB505" s="6">
        <f t="shared" si="342"/>
        <v>0</v>
      </c>
      <c r="CC505" s="6">
        <f t="shared" si="343"/>
        <v>0</v>
      </c>
      <c r="CD505" s="6">
        <f t="shared" si="344"/>
        <v>0</v>
      </c>
      <c r="CE505" s="6">
        <f t="shared" si="345"/>
        <v>0</v>
      </c>
      <c r="CF505" s="6">
        <f t="shared" si="346"/>
        <v>0</v>
      </c>
      <c r="CG505" s="6">
        <f t="shared" si="347"/>
        <v>0</v>
      </c>
      <c r="CH505" s="6">
        <f t="shared" si="348"/>
        <v>-5000</v>
      </c>
    </row>
    <row r="506" spans="1:86" hidden="1" x14ac:dyDescent="0.35">
      <c r="A506" s="3" t="s">
        <v>129</v>
      </c>
      <c r="B506" s="10">
        <v>5000</v>
      </c>
      <c r="N506" s="27">
        <f t="shared" si="333"/>
        <v>5000</v>
      </c>
      <c r="AA506" s="27">
        <f t="shared" si="334"/>
        <v>0</v>
      </c>
      <c r="AB506" s="10">
        <f t="shared" si="335"/>
        <v>5000</v>
      </c>
      <c r="AC506" s="10">
        <f t="shared" si="335"/>
        <v>0</v>
      </c>
      <c r="AD506" s="10">
        <f t="shared" si="335"/>
        <v>0</v>
      </c>
      <c r="AE506" s="10">
        <f t="shared" si="335"/>
        <v>0</v>
      </c>
      <c r="AF506" s="10">
        <f t="shared" si="335"/>
        <v>0</v>
      </c>
      <c r="AG506" s="10">
        <f t="shared" si="335"/>
        <v>0</v>
      </c>
      <c r="AH506" s="10">
        <f t="shared" si="335"/>
        <v>0</v>
      </c>
      <c r="AI506" s="10">
        <f t="shared" si="335"/>
        <v>0</v>
      </c>
      <c r="AJ506" s="10">
        <f t="shared" si="335"/>
        <v>0</v>
      </c>
      <c r="AK506" s="10">
        <f t="shared" si="335"/>
        <v>0</v>
      </c>
      <c r="AL506" s="10">
        <f t="shared" si="335"/>
        <v>0</v>
      </c>
      <c r="AM506" s="10">
        <f t="shared" si="335"/>
        <v>0</v>
      </c>
      <c r="AN506" s="27">
        <f t="shared" si="335"/>
        <v>5000</v>
      </c>
      <c r="AS506" t="str">
        <f>_xlfn.XLOOKUP(AU506,[2]GAE!HZ:HZ,[2]GAE!IA:IA)</f>
        <v>HUMAN RESOURCES</v>
      </c>
      <c r="AT506" t="str">
        <f>_xlfn.XLOOKUP(AU506,[2]GAE!HZ:HZ,[2]GAE!IB:IB)</f>
        <v>GAE - Dues &amp; Fees</v>
      </c>
      <c r="AU506" t="s">
        <v>896</v>
      </c>
      <c r="AV506">
        <v>90122101</v>
      </c>
      <c r="AW506">
        <v>61711101</v>
      </c>
      <c r="AX506" t="str">
        <f>_xlfn.XLOOKUP(AU506,[2]GAE!HZ:HZ,[2]GAE!IF:IF)</f>
        <v>Others</v>
      </c>
      <c r="AY506" t="str">
        <f>_xlfn.XLOOKUP(AU506,[2]GAE!HZ:HZ,[2]GAE!IG:IG)</f>
        <v>Dues and Fees</v>
      </c>
      <c r="BF506" t="s">
        <v>124</v>
      </c>
      <c r="BG506" s="2" t="s">
        <v>129</v>
      </c>
      <c r="BH506" s="10">
        <f>SUMIFS('[1]2026'!$K:$K,'[1]2026'!$T:$T,BD506,'[1]2026'!$S:$S,BH$3,'[1]2026'!$P:$P,AU506)</f>
        <v>0</v>
      </c>
      <c r="BI506" s="10">
        <f>SUMIFS('[1]2026'!$K:$K,'[1]2026'!$T:$T,$BD506,'[1]2026'!$S:$S,BI$3,'[1]2026'!$P:$P,$AU506)</f>
        <v>0</v>
      </c>
      <c r="BJ506" s="10">
        <f>SUMIFS('[1]2026'!$K:$K,'[1]2026'!$T:$T,$BD506,'[1]2026'!$S:$S,BJ$3,'[1]2026'!$P:$P,$AU506)</f>
        <v>0</v>
      </c>
      <c r="BK506" s="10">
        <f>SUMIFS('[1]2026'!$K:$K,'[1]2026'!$T:$T,$BD506,'[1]2026'!$S:$S,BK$3,'[1]2026'!$P:$P,$AU506)</f>
        <v>0</v>
      </c>
      <c r="BL506" s="10">
        <f>SUMIFS('[1]2026'!$K:$K,'[1]2026'!$T:$T,$BD506,'[1]2026'!$S:$S,BL$3,'[1]2026'!$P:$P,$AU506)</f>
        <v>0</v>
      </c>
      <c r="BM506" s="10">
        <f>SUMIFS('[1]2026'!$K:$K,'[1]2026'!$T:$T,$BD506,'[1]2026'!$S:$S,BM$3,'[1]2026'!$P:$P,$AU506)</f>
        <v>0</v>
      </c>
      <c r="BN506" s="10">
        <f>SUMIFS('[1]2026'!$K:$K,'[1]2026'!$T:$T,$BD506,'[1]2026'!$S:$S,BN$3,'[1]2026'!$P:$P,$AU506)</f>
        <v>0</v>
      </c>
      <c r="BO506" s="10">
        <f>SUMIFS('[1]2026'!$K:$K,'[1]2026'!$T:$T,$BD506,'[1]2026'!$S:$S,BO$3,'[1]2026'!$P:$P,$AU506)</f>
        <v>0</v>
      </c>
      <c r="BP506" s="6"/>
      <c r="BQ506" s="6"/>
      <c r="BR506" s="6"/>
      <c r="BS506" s="6"/>
      <c r="BT506" s="6">
        <f t="shared" si="318"/>
        <v>0</v>
      </c>
      <c r="BV506" s="6">
        <f t="shared" si="336"/>
        <v>-5000</v>
      </c>
      <c r="BW506" s="6">
        <f t="shared" si="337"/>
        <v>0</v>
      </c>
      <c r="BX506" s="6">
        <f t="shared" si="338"/>
        <v>0</v>
      </c>
      <c r="BY506" s="6">
        <f t="shared" si="339"/>
        <v>0</v>
      </c>
      <c r="BZ506" s="6">
        <f t="shared" si="340"/>
        <v>0</v>
      </c>
      <c r="CA506" s="6">
        <f t="shared" si="341"/>
        <v>0</v>
      </c>
      <c r="CB506" s="6">
        <f t="shared" si="342"/>
        <v>0</v>
      </c>
      <c r="CC506" s="6">
        <f t="shared" si="343"/>
        <v>0</v>
      </c>
      <c r="CD506" s="6">
        <f t="shared" si="344"/>
        <v>0</v>
      </c>
      <c r="CE506" s="6">
        <f t="shared" si="345"/>
        <v>0</v>
      </c>
      <c r="CF506" s="6">
        <f t="shared" si="346"/>
        <v>0</v>
      </c>
      <c r="CG506" s="6">
        <f t="shared" si="347"/>
        <v>0</v>
      </c>
      <c r="CH506" s="6">
        <f t="shared" si="348"/>
        <v>-5000</v>
      </c>
    </row>
    <row r="507" spans="1:86" hidden="1" x14ac:dyDescent="0.35">
      <c r="A507" s="3" t="s">
        <v>903</v>
      </c>
      <c r="B507" s="32">
        <v>9000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27">
        <f t="shared" si="333"/>
        <v>9000</v>
      </c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27">
        <f t="shared" si="334"/>
        <v>0</v>
      </c>
      <c r="AB507" s="10">
        <f t="shared" si="335"/>
        <v>9000</v>
      </c>
      <c r="AC507" s="10">
        <f t="shared" si="335"/>
        <v>0</v>
      </c>
      <c r="AD507" s="10">
        <f t="shared" si="335"/>
        <v>0</v>
      </c>
      <c r="AE507" s="10">
        <f t="shared" si="335"/>
        <v>0</v>
      </c>
      <c r="AF507" s="10">
        <f t="shared" si="335"/>
        <v>0</v>
      </c>
      <c r="AG507" s="10">
        <f t="shared" si="335"/>
        <v>0</v>
      </c>
      <c r="AH507" s="10">
        <f t="shared" si="335"/>
        <v>0</v>
      </c>
      <c r="AI507" s="10">
        <f t="shared" si="335"/>
        <v>0</v>
      </c>
      <c r="AJ507" s="10">
        <f t="shared" si="335"/>
        <v>0</v>
      </c>
      <c r="AK507" s="10">
        <f t="shared" si="335"/>
        <v>0</v>
      </c>
      <c r="AL507" s="10">
        <f t="shared" si="335"/>
        <v>0</v>
      </c>
      <c r="AM507" s="10">
        <f t="shared" si="335"/>
        <v>0</v>
      </c>
      <c r="AN507" s="27">
        <f t="shared" si="335"/>
        <v>9000</v>
      </c>
      <c r="AP507" t="s">
        <v>904</v>
      </c>
      <c r="AS507" t="str">
        <f>_xlfn.XLOOKUP(AU507,[2]GAE!HZ:HZ,[2]GAE!IA:IA)</f>
        <v>HUMAN RESOURCES</v>
      </c>
      <c r="AT507" t="str">
        <f>_xlfn.XLOOKUP(AU507,[2]GAE!HZ:HZ,[2]GAE!IB:IB)</f>
        <v>DOE - Dues &amp; Fees</v>
      </c>
      <c r="AU507" t="s">
        <v>892</v>
      </c>
      <c r="AV507">
        <v>81122101</v>
      </c>
      <c r="AW507">
        <v>52952101</v>
      </c>
      <c r="AX507" t="str">
        <f>_xlfn.XLOOKUP(AU507,[2]GAE!HZ:HZ,[2]GAE!IF:IF)</f>
        <v>Others</v>
      </c>
      <c r="AY507" t="str">
        <f>_xlfn.XLOOKUP(AU507,[2]GAE!HZ:HZ,[2]GAE!IG:IG)</f>
        <v>Dues and Fees</v>
      </c>
      <c r="BF507" t="s">
        <v>96</v>
      </c>
      <c r="BG507" s="2" t="s">
        <v>903</v>
      </c>
      <c r="BH507" s="10">
        <f>SUMIFS('[1]2026'!$K:$K,'[1]2026'!$T:$T,BD507,'[1]2026'!$S:$S,BH$3,'[1]2026'!$P:$P,AU507)</f>
        <v>0</v>
      </c>
      <c r="BI507" s="10">
        <f>SUMIFS('[1]2026'!$K:$K,'[1]2026'!$T:$T,$BD507,'[1]2026'!$S:$S,BI$3,'[1]2026'!$P:$P,$AU507)</f>
        <v>0</v>
      </c>
      <c r="BJ507" s="10">
        <f>SUMIFS('[1]2026'!$K:$K,'[1]2026'!$T:$T,$BD507,'[1]2026'!$S:$S,BJ$3,'[1]2026'!$P:$P,$AU507)</f>
        <v>0</v>
      </c>
      <c r="BK507" s="10">
        <f>SUMIFS('[1]2026'!$K:$K,'[1]2026'!$T:$T,$BD507,'[1]2026'!$S:$S,BK$3,'[1]2026'!$P:$P,$AU507)</f>
        <v>0</v>
      </c>
      <c r="BL507" s="10">
        <f>SUMIFS('[1]2026'!$K:$K,'[1]2026'!$T:$T,$BD507,'[1]2026'!$S:$S,BL$3,'[1]2026'!$P:$P,$AU507)</f>
        <v>0</v>
      </c>
      <c r="BM507" s="10">
        <f>SUMIFS('[1]2026'!$K:$K,'[1]2026'!$T:$T,$BD507,'[1]2026'!$S:$S,BM$3,'[1]2026'!$P:$P,$AU507)</f>
        <v>0</v>
      </c>
      <c r="BN507" s="10">
        <f>SUMIFS('[1]2026'!$K:$K,'[1]2026'!$T:$T,$BD507,'[1]2026'!$S:$S,BN$3,'[1]2026'!$P:$P,$AU507)</f>
        <v>0</v>
      </c>
      <c r="BO507" s="10">
        <f>SUMIFS('[1]2026'!$K:$K,'[1]2026'!$T:$T,$BD507,'[1]2026'!$S:$S,BO$3,'[1]2026'!$P:$P,$AU507)</f>
        <v>0</v>
      </c>
      <c r="BP507" s="6"/>
      <c r="BQ507" s="6"/>
      <c r="BR507" s="6"/>
      <c r="BS507" s="6"/>
      <c r="BT507" s="6">
        <f t="shared" si="318"/>
        <v>0</v>
      </c>
      <c r="BV507" s="6">
        <f t="shared" si="336"/>
        <v>-9000</v>
      </c>
      <c r="BW507" s="6">
        <f t="shared" si="337"/>
        <v>0</v>
      </c>
      <c r="BX507" s="6">
        <f t="shared" si="338"/>
        <v>0</v>
      </c>
      <c r="BY507" s="6">
        <f t="shared" si="339"/>
        <v>0</v>
      </c>
      <c r="BZ507" s="6">
        <f t="shared" si="340"/>
        <v>0</v>
      </c>
      <c r="CA507" s="6">
        <f t="shared" si="341"/>
        <v>0</v>
      </c>
      <c r="CB507" s="6">
        <f t="shared" si="342"/>
        <v>0</v>
      </c>
      <c r="CC507" s="6">
        <f t="shared" si="343"/>
        <v>0</v>
      </c>
      <c r="CD507" s="6">
        <f t="shared" si="344"/>
        <v>0</v>
      </c>
      <c r="CE507" s="6">
        <f t="shared" si="345"/>
        <v>0</v>
      </c>
      <c r="CF507" s="6">
        <f t="shared" si="346"/>
        <v>0</v>
      </c>
      <c r="CG507" s="6">
        <f t="shared" si="347"/>
        <v>0</v>
      </c>
      <c r="CH507" s="6">
        <f t="shared" si="348"/>
        <v>-9000</v>
      </c>
    </row>
    <row r="508" spans="1:86" hidden="1" x14ac:dyDescent="0.35">
      <c r="A508" s="3" t="s">
        <v>905</v>
      </c>
      <c r="B508" s="10">
        <v>15000</v>
      </c>
      <c r="N508" s="27">
        <f t="shared" si="333"/>
        <v>15000</v>
      </c>
      <c r="AA508" s="27">
        <f t="shared" si="334"/>
        <v>0</v>
      </c>
      <c r="AB508" s="10">
        <f t="shared" si="335"/>
        <v>15000</v>
      </c>
      <c r="AC508" s="10">
        <f t="shared" si="335"/>
        <v>0</v>
      </c>
      <c r="AD508" s="10">
        <f t="shared" si="335"/>
        <v>0</v>
      </c>
      <c r="AE508" s="10">
        <f t="shared" si="335"/>
        <v>0</v>
      </c>
      <c r="AF508" s="10">
        <f t="shared" si="335"/>
        <v>0</v>
      </c>
      <c r="AG508" s="10">
        <f t="shared" si="335"/>
        <v>0</v>
      </c>
      <c r="AH508" s="10">
        <f t="shared" si="335"/>
        <v>0</v>
      </c>
      <c r="AI508" s="10">
        <f t="shared" si="335"/>
        <v>0</v>
      </c>
      <c r="AJ508" s="10">
        <f t="shared" si="335"/>
        <v>0</v>
      </c>
      <c r="AK508" s="10">
        <f t="shared" si="335"/>
        <v>0</v>
      </c>
      <c r="AL508" s="10">
        <f t="shared" si="335"/>
        <v>0</v>
      </c>
      <c r="AM508" s="10">
        <f t="shared" si="335"/>
        <v>0</v>
      </c>
      <c r="AN508" s="27">
        <f t="shared" si="335"/>
        <v>15000</v>
      </c>
      <c r="AS508" t="str">
        <f>_xlfn.XLOOKUP(AU508,[2]GAE!HZ:HZ,[2]GAE!IA:IA)</f>
        <v>HUMAN RESOURCES</v>
      </c>
      <c r="AT508" t="str">
        <f>_xlfn.XLOOKUP(AU508,[2]GAE!HZ:HZ,[2]GAE!IB:IB)</f>
        <v>GAE - Dues &amp; Fees</v>
      </c>
      <c r="AU508" t="s">
        <v>896</v>
      </c>
      <c r="AV508">
        <v>90122101</v>
      </c>
      <c r="AW508">
        <v>61711101</v>
      </c>
      <c r="AX508" t="str">
        <f>_xlfn.XLOOKUP(AU508,[2]GAE!HZ:HZ,[2]GAE!IF:IF)</f>
        <v>Others</v>
      </c>
      <c r="AY508" t="str">
        <f>_xlfn.XLOOKUP(AU508,[2]GAE!HZ:HZ,[2]GAE!IG:IG)</f>
        <v>Dues and Fees</v>
      </c>
      <c r="BC508" t="s">
        <v>130</v>
      </c>
      <c r="BD508" t="s">
        <v>906</v>
      </c>
      <c r="BF508" t="s">
        <v>124</v>
      </c>
      <c r="BG508" s="2" t="s">
        <v>130</v>
      </c>
      <c r="BH508" s="10">
        <f>SUMIFS('[1]2026'!$K:$K,'[1]2026'!$T:$T,BD508,'[1]2026'!$S:$S,BH$3,'[1]2026'!$P:$P,AU508)</f>
        <v>0</v>
      </c>
      <c r="BI508" s="10">
        <f>SUMIFS('[1]2026'!$K:$K,'[1]2026'!$T:$T,$BD508,'[1]2026'!$S:$S,BI$3,'[1]2026'!$P:$P,$AU508)</f>
        <v>0</v>
      </c>
      <c r="BJ508" s="10">
        <f>SUMIFS('[1]2026'!$K:$K,'[1]2026'!$T:$T,$BD508,'[1]2026'!$S:$S,BJ$3,'[1]2026'!$P:$P,$AU508)</f>
        <v>0</v>
      </c>
      <c r="BK508" s="10">
        <f>SUMIFS('[1]2026'!$K:$K,'[1]2026'!$T:$T,$BD508,'[1]2026'!$S:$S,BK$3,'[1]2026'!$P:$P,$AU508)</f>
        <v>0</v>
      </c>
      <c r="BL508" s="10">
        <f>SUMIFS('[1]2026'!$K:$K,'[1]2026'!$T:$T,$BD508,'[1]2026'!$S:$S,BL$3,'[1]2026'!$P:$P,$AU508)</f>
        <v>0</v>
      </c>
      <c r="BM508" s="10">
        <f>SUMIFS('[1]2026'!$K:$K,'[1]2026'!$T:$T,$BD508,'[1]2026'!$S:$S,BM$3,'[1]2026'!$P:$P,$AU508)</f>
        <v>13000</v>
      </c>
      <c r="BN508" s="10">
        <f>SUMIFS('[1]2026'!$K:$K,'[1]2026'!$T:$T,$BD508,'[1]2026'!$S:$S,BN$3,'[1]2026'!$P:$P,$AU508)</f>
        <v>0</v>
      </c>
      <c r="BO508" s="10">
        <f>SUMIFS('[1]2026'!$K:$K,'[1]2026'!$T:$T,$BD508,'[1]2026'!$S:$S,BO$3,'[1]2026'!$P:$P,$AU508)</f>
        <v>0</v>
      </c>
      <c r="BP508" s="6"/>
      <c r="BQ508" s="6"/>
      <c r="BR508" s="6"/>
      <c r="BS508" s="6"/>
      <c r="BT508" s="6">
        <f t="shared" si="318"/>
        <v>13000</v>
      </c>
      <c r="BV508" s="6">
        <f t="shared" si="336"/>
        <v>-15000</v>
      </c>
      <c r="BW508" s="6">
        <f t="shared" si="337"/>
        <v>0</v>
      </c>
      <c r="BX508" s="6">
        <f t="shared" si="338"/>
        <v>0</v>
      </c>
      <c r="BY508" s="6">
        <f t="shared" si="339"/>
        <v>0</v>
      </c>
      <c r="BZ508" s="6">
        <f t="shared" si="340"/>
        <v>0</v>
      </c>
      <c r="CA508" s="6">
        <f t="shared" si="341"/>
        <v>13000</v>
      </c>
      <c r="CB508" s="6">
        <f t="shared" si="342"/>
        <v>0</v>
      </c>
      <c r="CC508" s="6">
        <f t="shared" si="343"/>
        <v>0</v>
      </c>
      <c r="CD508" s="6">
        <f t="shared" si="344"/>
        <v>0</v>
      </c>
      <c r="CE508" s="6">
        <f t="shared" si="345"/>
        <v>0</v>
      </c>
      <c r="CF508" s="6">
        <f t="shared" si="346"/>
        <v>0</v>
      </c>
      <c r="CG508" s="6">
        <f t="shared" si="347"/>
        <v>0</v>
      </c>
      <c r="CH508" s="6">
        <f t="shared" si="348"/>
        <v>-2000</v>
      </c>
    </row>
    <row r="509" spans="1:86" hidden="1" x14ac:dyDescent="0.35">
      <c r="A509" s="3" t="s">
        <v>907</v>
      </c>
      <c r="B509" s="10">
        <v>15000</v>
      </c>
      <c r="N509" s="27">
        <f t="shared" si="333"/>
        <v>15000</v>
      </c>
      <c r="AA509" s="27">
        <f t="shared" si="334"/>
        <v>0</v>
      </c>
      <c r="AB509" s="10">
        <f t="shared" si="335"/>
        <v>15000</v>
      </c>
      <c r="AC509" s="10">
        <f t="shared" si="335"/>
        <v>0</v>
      </c>
      <c r="AD509" s="10">
        <f t="shared" si="335"/>
        <v>0</v>
      </c>
      <c r="AE509" s="10">
        <f t="shared" si="335"/>
        <v>0</v>
      </c>
      <c r="AF509" s="10">
        <f t="shared" si="335"/>
        <v>0</v>
      </c>
      <c r="AG509" s="10">
        <f t="shared" si="335"/>
        <v>0</v>
      </c>
      <c r="AH509" s="10">
        <f t="shared" si="335"/>
        <v>0</v>
      </c>
      <c r="AI509" s="10">
        <f t="shared" si="335"/>
        <v>0</v>
      </c>
      <c r="AJ509" s="10">
        <f t="shared" si="335"/>
        <v>0</v>
      </c>
      <c r="AK509" s="10">
        <f t="shared" si="335"/>
        <v>0</v>
      </c>
      <c r="AL509" s="10">
        <f t="shared" si="335"/>
        <v>0</v>
      </c>
      <c r="AM509" s="10">
        <f t="shared" si="335"/>
        <v>0</v>
      </c>
      <c r="AN509" s="27">
        <f t="shared" si="335"/>
        <v>15000</v>
      </c>
      <c r="AS509" t="str">
        <f>_xlfn.XLOOKUP(AU509,[2]GAE!HZ:HZ,[2]GAE!IA:IA)</f>
        <v>HUMAN RESOURCES</v>
      </c>
      <c r="AT509" t="str">
        <f>_xlfn.XLOOKUP(AU509,[2]GAE!HZ:HZ,[2]GAE!IB:IB)</f>
        <v>GAE - Dues &amp; Fees</v>
      </c>
      <c r="AU509" t="s">
        <v>896</v>
      </c>
      <c r="AV509">
        <v>90122101</v>
      </c>
      <c r="AW509">
        <v>61711101</v>
      </c>
      <c r="AX509" t="str">
        <f>_xlfn.XLOOKUP(AU509,[2]GAE!HZ:HZ,[2]GAE!IF:IF)</f>
        <v>Others</v>
      </c>
      <c r="AY509" t="str">
        <f>_xlfn.XLOOKUP(AU509,[2]GAE!HZ:HZ,[2]GAE!IG:IG)</f>
        <v>Dues and Fees</v>
      </c>
      <c r="BC509" t="s">
        <v>131</v>
      </c>
      <c r="BD509" t="s">
        <v>908</v>
      </c>
      <c r="BF509" t="s">
        <v>124</v>
      </c>
      <c r="BG509" s="2" t="s">
        <v>131</v>
      </c>
      <c r="BH509" s="10">
        <f>SUMIFS('[1]2026'!$K:$K,'[1]2026'!$T:$T,BD509,'[1]2026'!$S:$S,BH$3,'[1]2026'!$P:$P,AU509)</f>
        <v>10000</v>
      </c>
      <c r="BI509" s="10">
        <f>SUMIFS('[1]2026'!$K:$K,'[1]2026'!$T:$T,$BD509,'[1]2026'!$S:$S,BI$3,'[1]2026'!$P:$P,$AU509)</f>
        <v>0</v>
      </c>
      <c r="BJ509" s="10">
        <f>SUMIFS('[1]2026'!$K:$K,'[1]2026'!$T:$T,$BD509,'[1]2026'!$S:$S,BJ$3,'[1]2026'!$P:$P,$AU509)</f>
        <v>0</v>
      </c>
      <c r="BK509" s="10">
        <f>SUMIFS('[1]2026'!$K:$K,'[1]2026'!$T:$T,$BD509,'[1]2026'!$S:$S,BK$3,'[1]2026'!$P:$P,$AU509)</f>
        <v>0</v>
      </c>
      <c r="BL509" s="10">
        <f>SUMIFS('[1]2026'!$K:$K,'[1]2026'!$T:$T,$BD509,'[1]2026'!$S:$S,BL$3,'[1]2026'!$P:$P,$AU509)</f>
        <v>0</v>
      </c>
      <c r="BM509" s="10">
        <f>SUMIFS('[1]2026'!$K:$K,'[1]2026'!$T:$T,$BD509,'[1]2026'!$S:$S,BM$3,'[1]2026'!$P:$P,$AU509)</f>
        <v>0</v>
      </c>
      <c r="BN509" s="10">
        <f>SUMIFS('[1]2026'!$K:$K,'[1]2026'!$T:$T,$BD509,'[1]2026'!$S:$S,BN$3,'[1]2026'!$P:$P,$AU509)</f>
        <v>0</v>
      </c>
      <c r="BO509" s="10">
        <f>SUMIFS('[1]2026'!$K:$K,'[1]2026'!$T:$T,$BD509,'[1]2026'!$S:$S,BO$3,'[1]2026'!$P:$P,$AU509)</f>
        <v>0</v>
      </c>
      <c r="BP509" s="6"/>
      <c r="BQ509" s="6"/>
      <c r="BR509" s="6"/>
      <c r="BS509" s="6"/>
      <c r="BT509" s="6">
        <f t="shared" si="318"/>
        <v>10000</v>
      </c>
      <c r="BV509" s="6">
        <f t="shared" si="336"/>
        <v>-5000</v>
      </c>
      <c r="BW509" s="6">
        <f t="shared" si="337"/>
        <v>0</v>
      </c>
      <c r="BX509" s="6">
        <f t="shared" si="338"/>
        <v>0</v>
      </c>
      <c r="BY509" s="6">
        <f t="shared" si="339"/>
        <v>0</v>
      </c>
      <c r="BZ509" s="6">
        <f t="shared" si="340"/>
        <v>0</v>
      </c>
      <c r="CA509" s="6">
        <f t="shared" si="341"/>
        <v>0</v>
      </c>
      <c r="CB509" s="6">
        <f t="shared" si="342"/>
        <v>0</v>
      </c>
      <c r="CC509" s="6">
        <f t="shared" si="343"/>
        <v>0</v>
      </c>
      <c r="CD509" s="6">
        <f t="shared" si="344"/>
        <v>0</v>
      </c>
      <c r="CE509" s="6">
        <f t="shared" si="345"/>
        <v>0</v>
      </c>
      <c r="CF509" s="6">
        <f t="shared" si="346"/>
        <v>0</v>
      </c>
      <c r="CG509" s="6">
        <f t="shared" si="347"/>
        <v>0</v>
      </c>
      <c r="CH509" s="6">
        <f t="shared" si="348"/>
        <v>-5000</v>
      </c>
    </row>
    <row r="510" spans="1:86" hidden="1" x14ac:dyDescent="0.35">
      <c r="A510" s="3" t="s">
        <v>909</v>
      </c>
      <c r="B510" s="10">
        <v>10000</v>
      </c>
      <c r="F510" s="10">
        <v>10000</v>
      </c>
      <c r="N510" s="27">
        <f t="shared" si="333"/>
        <v>20000</v>
      </c>
      <c r="AA510" s="27">
        <f t="shared" si="334"/>
        <v>0</v>
      </c>
      <c r="AB510" s="10">
        <f t="shared" si="335"/>
        <v>10000</v>
      </c>
      <c r="AC510" s="10">
        <f t="shared" si="335"/>
        <v>0</v>
      </c>
      <c r="AD510" s="10">
        <f t="shared" si="335"/>
        <v>0</v>
      </c>
      <c r="AE510" s="10">
        <f t="shared" si="335"/>
        <v>0</v>
      </c>
      <c r="AF510" s="10">
        <f t="shared" si="335"/>
        <v>10000</v>
      </c>
      <c r="AG510" s="10">
        <f t="shared" si="335"/>
        <v>0</v>
      </c>
      <c r="AH510" s="10">
        <f t="shared" si="335"/>
        <v>0</v>
      </c>
      <c r="AI510" s="10">
        <f t="shared" si="335"/>
        <v>0</v>
      </c>
      <c r="AJ510" s="10">
        <f t="shared" si="335"/>
        <v>0</v>
      </c>
      <c r="AK510" s="10">
        <f t="shared" si="335"/>
        <v>0</v>
      </c>
      <c r="AL510" s="10">
        <f t="shared" si="335"/>
        <v>0</v>
      </c>
      <c r="AM510" s="10">
        <f t="shared" si="335"/>
        <v>0</v>
      </c>
      <c r="AN510" s="27">
        <f t="shared" si="335"/>
        <v>20000</v>
      </c>
      <c r="AO510" s="28">
        <v>0</v>
      </c>
      <c r="AS510" t="str">
        <f>_xlfn.XLOOKUP(AU510,[2]GAE!HZ:HZ,[2]GAE!IA:IA)</f>
        <v>HUMAN RESOURCES</v>
      </c>
      <c r="AT510" t="str">
        <f>_xlfn.XLOOKUP(AU510,[2]GAE!HZ:HZ,[2]GAE!IB:IB)</f>
        <v>GAE - Dues &amp; Fees</v>
      </c>
      <c r="AU510" t="s">
        <v>896</v>
      </c>
      <c r="AV510">
        <v>90122101</v>
      </c>
      <c r="AW510">
        <v>61711101</v>
      </c>
      <c r="AX510" t="str">
        <f>_xlfn.XLOOKUP(AU510,[2]GAE!HZ:HZ,[2]GAE!IF:IF)</f>
        <v>Others</v>
      </c>
      <c r="AY510" t="str">
        <f>_xlfn.XLOOKUP(AU510,[2]GAE!HZ:HZ,[2]GAE!IG:IG)</f>
        <v>Dues and Fees</v>
      </c>
      <c r="BF510" t="s">
        <v>96</v>
      </c>
      <c r="BG510" s="3" t="s">
        <v>909</v>
      </c>
      <c r="BH510" s="10">
        <f>SUMIFS('[1]2026'!$K:$K,'[1]2026'!$T:$T,BD510,'[1]2026'!$S:$S,BH$3,'[1]2026'!$P:$P,AU510)</f>
        <v>0</v>
      </c>
      <c r="BI510" s="10">
        <f>SUMIFS('[1]2026'!$K:$K,'[1]2026'!$T:$T,$BD510,'[1]2026'!$S:$S,BI$3,'[1]2026'!$P:$P,$AU510)</f>
        <v>0</v>
      </c>
      <c r="BJ510" s="10">
        <f>SUMIFS('[1]2026'!$K:$K,'[1]2026'!$T:$T,$BD510,'[1]2026'!$S:$S,BJ$3,'[1]2026'!$P:$P,$AU510)</f>
        <v>0</v>
      </c>
      <c r="BK510" s="10">
        <f>SUMIFS('[1]2026'!$K:$K,'[1]2026'!$T:$T,$BD510,'[1]2026'!$S:$S,BK$3,'[1]2026'!$P:$P,$AU510)</f>
        <v>0</v>
      </c>
      <c r="BL510" s="10">
        <f>SUMIFS('[1]2026'!$K:$K,'[1]2026'!$T:$T,$BD510,'[1]2026'!$S:$S,BL$3,'[1]2026'!$P:$P,$AU510)</f>
        <v>0</v>
      </c>
      <c r="BM510" s="10">
        <f>SUMIFS('[1]2026'!$K:$K,'[1]2026'!$T:$T,$BD510,'[1]2026'!$S:$S,BM$3,'[1]2026'!$P:$P,$AU510)</f>
        <v>0</v>
      </c>
      <c r="BN510" s="10">
        <f>SUMIFS('[1]2026'!$K:$K,'[1]2026'!$T:$T,$BD510,'[1]2026'!$S:$S,BN$3,'[1]2026'!$P:$P,$AU510)</f>
        <v>0</v>
      </c>
      <c r="BO510" s="10">
        <f>SUMIFS('[1]2026'!$K:$K,'[1]2026'!$T:$T,$BD510,'[1]2026'!$S:$S,BO$3,'[1]2026'!$P:$P,$AU510)</f>
        <v>0</v>
      </c>
      <c r="BP510" s="6"/>
      <c r="BQ510" s="6"/>
      <c r="BR510" s="6"/>
      <c r="BS510" s="6"/>
      <c r="BT510" s="6">
        <f t="shared" si="318"/>
        <v>0</v>
      </c>
      <c r="BV510" s="6">
        <f t="shared" si="336"/>
        <v>-10000</v>
      </c>
      <c r="BW510" s="6">
        <f t="shared" si="337"/>
        <v>0</v>
      </c>
      <c r="BX510" s="6">
        <f t="shared" si="338"/>
        <v>0</v>
      </c>
      <c r="BY510" s="6">
        <f t="shared" si="339"/>
        <v>0</v>
      </c>
      <c r="BZ510" s="6">
        <f t="shared" si="340"/>
        <v>-10000</v>
      </c>
      <c r="CA510" s="6">
        <f t="shared" si="341"/>
        <v>0</v>
      </c>
      <c r="CB510" s="6">
        <f t="shared" si="342"/>
        <v>0</v>
      </c>
      <c r="CC510" s="6">
        <f t="shared" si="343"/>
        <v>0</v>
      </c>
      <c r="CD510" s="6">
        <f t="shared" si="344"/>
        <v>0</v>
      </c>
      <c r="CE510" s="6">
        <f t="shared" si="345"/>
        <v>0</v>
      </c>
      <c r="CF510" s="6">
        <f t="shared" si="346"/>
        <v>0</v>
      </c>
      <c r="CG510" s="6">
        <f t="shared" si="347"/>
        <v>0</v>
      </c>
      <c r="CH510" s="6">
        <f t="shared" si="348"/>
        <v>-20000</v>
      </c>
    </row>
    <row r="511" spans="1:86" hidden="1" x14ac:dyDescent="0.35">
      <c r="A511" s="3" t="s">
        <v>910</v>
      </c>
      <c r="B511" s="10">
        <v>420000</v>
      </c>
      <c r="N511" s="27">
        <f t="shared" si="333"/>
        <v>420000</v>
      </c>
      <c r="AA511" s="27">
        <f t="shared" si="334"/>
        <v>0</v>
      </c>
      <c r="AB511" s="10">
        <f t="shared" si="335"/>
        <v>420000</v>
      </c>
      <c r="AC511" s="10">
        <f t="shared" si="335"/>
        <v>0</v>
      </c>
      <c r="AD511" s="10">
        <f t="shared" si="335"/>
        <v>0</v>
      </c>
      <c r="AE511" s="10">
        <f t="shared" si="335"/>
        <v>0</v>
      </c>
      <c r="AF511" s="10">
        <f t="shared" si="335"/>
        <v>0</v>
      </c>
      <c r="AG511" s="10">
        <f t="shared" si="335"/>
        <v>0</v>
      </c>
      <c r="AH511" s="10">
        <f t="shared" si="335"/>
        <v>0</v>
      </c>
      <c r="AI511" s="10">
        <f t="shared" si="335"/>
        <v>0</v>
      </c>
      <c r="AJ511" s="10">
        <f t="shared" si="335"/>
        <v>0</v>
      </c>
      <c r="AK511" s="10">
        <f t="shared" si="335"/>
        <v>0</v>
      </c>
      <c r="AL511" s="10">
        <f t="shared" si="335"/>
        <v>0</v>
      </c>
      <c r="AM511" s="10">
        <f t="shared" si="335"/>
        <v>0</v>
      </c>
      <c r="AN511" s="27">
        <f t="shared" si="335"/>
        <v>420000</v>
      </c>
      <c r="AR511" t="s">
        <v>753</v>
      </c>
      <c r="AS511" t="str">
        <f>_xlfn.XLOOKUP(AU511,[2]GAE!HZ:HZ,[2]GAE!IA:IA)</f>
        <v>HUMAN RESOURCES</v>
      </c>
      <c r="AT511" t="str">
        <f>_xlfn.XLOOKUP(AU511,[2]GAE!HZ:HZ,[2]GAE!IB:IB)</f>
        <v>GAE - Dues &amp; Fees</v>
      </c>
      <c r="AU511" t="s">
        <v>896</v>
      </c>
      <c r="AV511">
        <v>90122101</v>
      </c>
      <c r="AW511">
        <v>61711101</v>
      </c>
      <c r="AX511" t="str">
        <f>_xlfn.XLOOKUP(AU511,[2]GAE!HZ:HZ,[2]GAE!IF:IF)</f>
        <v>Others</v>
      </c>
      <c r="AY511" t="str">
        <f>_xlfn.XLOOKUP(AU511,[2]GAE!HZ:HZ,[2]GAE!IG:IG)</f>
        <v>Dues and Fees</v>
      </c>
      <c r="BF511" t="s">
        <v>101</v>
      </c>
      <c r="BG511" t="s">
        <v>1242</v>
      </c>
      <c r="BH511" s="10">
        <f>SUMIFS('[1]2026'!$K:$K,'[1]2026'!$T:$T,BD511,'[1]2026'!$S:$S,BH$3,'[1]2026'!$P:$P,AU511)</f>
        <v>0</v>
      </c>
      <c r="BI511" s="10">
        <f>SUMIFS('[1]2026'!$K:$K,'[1]2026'!$T:$T,$BD511,'[1]2026'!$S:$S,BI$3,'[1]2026'!$P:$P,$AU511)</f>
        <v>0</v>
      </c>
      <c r="BJ511" s="10">
        <f>SUMIFS('[1]2026'!$K:$K,'[1]2026'!$T:$T,$BD511,'[1]2026'!$S:$S,BJ$3,'[1]2026'!$P:$P,$AU511)</f>
        <v>0</v>
      </c>
      <c r="BK511" s="10">
        <f>SUMIFS('[1]2026'!$K:$K,'[1]2026'!$T:$T,$BD511,'[1]2026'!$S:$S,BK$3,'[1]2026'!$P:$P,$AU511)</f>
        <v>0</v>
      </c>
      <c r="BL511" s="10">
        <f>SUMIFS('[1]2026'!$K:$K,'[1]2026'!$T:$T,$BD511,'[1]2026'!$S:$S,BL$3,'[1]2026'!$P:$P,$AU511)</f>
        <v>0</v>
      </c>
      <c r="BM511" s="10">
        <f>SUMIFS('[1]2026'!$K:$K,'[1]2026'!$T:$T,$BD511,'[1]2026'!$S:$S,BM$3,'[1]2026'!$P:$P,$AU511)</f>
        <v>0</v>
      </c>
      <c r="BN511" s="10">
        <f>SUMIFS('[1]2026'!$K:$K,'[1]2026'!$T:$T,$BD511,'[1]2026'!$S:$S,BN$3,'[1]2026'!$P:$P,$AU511)</f>
        <v>0</v>
      </c>
      <c r="BO511" s="10">
        <f>SUMIFS('[1]2026'!$K:$K,'[1]2026'!$T:$T,$BD511,'[1]2026'!$S:$S,BO$3,'[1]2026'!$P:$P,$AU511)</f>
        <v>0</v>
      </c>
      <c r="BP511" s="6"/>
      <c r="BQ511" s="6"/>
      <c r="BR511" s="6"/>
      <c r="BS511" s="6"/>
      <c r="BT511" s="6">
        <f t="shared" si="318"/>
        <v>0</v>
      </c>
      <c r="BV511" s="6">
        <f t="shared" si="336"/>
        <v>-420000</v>
      </c>
      <c r="BW511" s="6">
        <f t="shared" si="337"/>
        <v>0</v>
      </c>
      <c r="BX511" s="6">
        <f t="shared" si="338"/>
        <v>0</v>
      </c>
      <c r="BY511" s="6">
        <f t="shared" si="339"/>
        <v>0</v>
      </c>
      <c r="BZ511" s="6">
        <f t="shared" si="340"/>
        <v>0</v>
      </c>
      <c r="CA511" s="6">
        <f t="shared" si="341"/>
        <v>0</v>
      </c>
      <c r="CB511" s="6">
        <f t="shared" si="342"/>
        <v>0</v>
      </c>
      <c r="CC511" s="6">
        <f t="shared" si="343"/>
        <v>0</v>
      </c>
      <c r="CD511" s="6">
        <f t="shared" si="344"/>
        <v>0</v>
      </c>
      <c r="CE511" s="6">
        <f t="shared" si="345"/>
        <v>0</v>
      </c>
      <c r="CF511" s="6">
        <f t="shared" si="346"/>
        <v>0</v>
      </c>
      <c r="CG511" s="6">
        <f t="shared" si="347"/>
        <v>0</v>
      </c>
      <c r="CH511" s="6">
        <f t="shared" si="348"/>
        <v>-420000</v>
      </c>
    </row>
    <row r="512" spans="1:86" hidden="1" x14ac:dyDescent="0.35">
      <c r="A512" s="3" t="s">
        <v>911</v>
      </c>
      <c r="L512" s="10">
        <v>420000</v>
      </c>
      <c r="N512" s="27">
        <f t="shared" si="333"/>
        <v>420000</v>
      </c>
      <c r="AA512" s="27">
        <f t="shared" si="334"/>
        <v>0</v>
      </c>
      <c r="AB512" s="10">
        <f t="shared" si="335"/>
        <v>0</v>
      </c>
      <c r="AC512" s="10">
        <f t="shared" si="335"/>
        <v>0</v>
      </c>
      <c r="AD512" s="10">
        <f t="shared" si="335"/>
        <v>0</v>
      </c>
      <c r="AE512" s="10">
        <f t="shared" si="335"/>
        <v>0</v>
      </c>
      <c r="AF512" s="10">
        <f t="shared" si="335"/>
        <v>0</v>
      </c>
      <c r="AG512" s="10">
        <f t="shared" si="335"/>
        <v>0</v>
      </c>
      <c r="AH512" s="10">
        <f t="shared" si="335"/>
        <v>0</v>
      </c>
      <c r="AI512" s="10">
        <f t="shared" si="335"/>
        <v>0</v>
      </c>
      <c r="AJ512" s="10">
        <f t="shared" si="335"/>
        <v>0</v>
      </c>
      <c r="AK512" s="10">
        <f t="shared" si="335"/>
        <v>0</v>
      </c>
      <c r="AL512" s="10">
        <f t="shared" si="335"/>
        <v>420000</v>
      </c>
      <c r="AM512" s="10">
        <f t="shared" si="335"/>
        <v>0</v>
      </c>
      <c r="AN512" s="27">
        <f t="shared" si="335"/>
        <v>420000</v>
      </c>
      <c r="AR512" t="s">
        <v>753</v>
      </c>
      <c r="AS512" t="str">
        <f>_xlfn.XLOOKUP(AU512,[2]GAE!HZ:HZ,[2]GAE!IA:IA)</f>
        <v>HUMAN RESOURCES</v>
      </c>
      <c r="AT512" t="str">
        <f>_xlfn.XLOOKUP(AU512,[2]GAE!HZ:HZ,[2]GAE!IB:IB)</f>
        <v>GAE - Dues &amp; Fees</v>
      </c>
      <c r="AU512" t="s">
        <v>896</v>
      </c>
      <c r="AV512">
        <v>90122101</v>
      </c>
      <c r="AW512">
        <v>61711101</v>
      </c>
      <c r="AX512" t="str">
        <f>_xlfn.XLOOKUP(AU512,[2]GAE!HZ:HZ,[2]GAE!IF:IF)</f>
        <v>Others</v>
      </c>
      <c r="AY512" t="str">
        <f>_xlfn.XLOOKUP(AU512,[2]GAE!HZ:HZ,[2]GAE!IG:IG)</f>
        <v>Dues and Fees</v>
      </c>
      <c r="BF512" t="s">
        <v>101</v>
      </c>
      <c r="BG512" s="2" t="s">
        <v>132</v>
      </c>
      <c r="BH512" s="10">
        <f>SUMIFS('[1]2026'!$K:$K,'[1]2026'!$T:$T,BD512,'[1]2026'!$S:$S,BH$3,'[1]2026'!$P:$P,AU512)</f>
        <v>0</v>
      </c>
      <c r="BI512" s="10">
        <f>SUMIFS('[1]2026'!$K:$K,'[1]2026'!$T:$T,$BD512,'[1]2026'!$S:$S,BI$3,'[1]2026'!$P:$P,$AU512)</f>
        <v>0</v>
      </c>
      <c r="BJ512" s="10">
        <f>SUMIFS('[1]2026'!$K:$K,'[1]2026'!$T:$T,$BD512,'[1]2026'!$S:$S,BJ$3,'[1]2026'!$P:$P,$AU512)</f>
        <v>0</v>
      </c>
      <c r="BK512" s="10">
        <f>SUMIFS('[1]2026'!$K:$K,'[1]2026'!$T:$T,$BD512,'[1]2026'!$S:$S,BK$3,'[1]2026'!$P:$P,$AU512)</f>
        <v>0</v>
      </c>
      <c r="BL512" s="10">
        <f>SUMIFS('[1]2026'!$K:$K,'[1]2026'!$T:$T,$BD512,'[1]2026'!$S:$S,BL$3,'[1]2026'!$P:$P,$AU512)</f>
        <v>0</v>
      </c>
      <c r="BM512" s="10">
        <f>SUMIFS('[1]2026'!$K:$K,'[1]2026'!$T:$T,$BD512,'[1]2026'!$S:$S,BM$3,'[1]2026'!$P:$P,$AU512)</f>
        <v>0</v>
      </c>
      <c r="BN512" s="10">
        <f>SUMIFS('[1]2026'!$K:$K,'[1]2026'!$T:$T,$BD512,'[1]2026'!$S:$S,BN$3,'[1]2026'!$P:$P,$AU512)</f>
        <v>0</v>
      </c>
      <c r="BO512" s="10">
        <f>SUMIFS('[1]2026'!$K:$K,'[1]2026'!$T:$T,$BD512,'[1]2026'!$S:$S,BO$3,'[1]2026'!$P:$P,$AU512)</f>
        <v>0</v>
      </c>
      <c r="BP512" s="6"/>
      <c r="BQ512" s="6"/>
      <c r="BR512" s="6"/>
      <c r="BS512" s="6"/>
      <c r="BT512" s="6">
        <f t="shared" si="318"/>
        <v>0</v>
      </c>
      <c r="BV512" s="6">
        <f t="shared" si="336"/>
        <v>0</v>
      </c>
      <c r="BW512" s="6">
        <f t="shared" si="337"/>
        <v>0</v>
      </c>
      <c r="BX512" s="6">
        <f t="shared" si="338"/>
        <v>0</v>
      </c>
      <c r="BY512" s="6">
        <f t="shared" si="339"/>
        <v>0</v>
      </c>
      <c r="BZ512" s="6">
        <f t="shared" si="340"/>
        <v>0</v>
      </c>
      <c r="CA512" s="6">
        <f t="shared" si="341"/>
        <v>0</v>
      </c>
      <c r="CB512" s="6">
        <f t="shared" si="342"/>
        <v>0</v>
      </c>
      <c r="CC512" s="6">
        <f t="shared" si="343"/>
        <v>0</v>
      </c>
      <c r="CD512" s="6">
        <f t="shared" si="344"/>
        <v>0</v>
      </c>
      <c r="CE512" s="6">
        <f t="shared" si="345"/>
        <v>0</v>
      </c>
      <c r="CF512" s="6">
        <f t="shared" si="346"/>
        <v>-420000</v>
      </c>
      <c r="CG512" s="6">
        <f t="shared" si="347"/>
        <v>0</v>
      </c>
      <c r="CH512" s="6">
        <f t="shared" si="348"/>
        <v>-420000</v>
      </c>
    </row>
    <row r="513" spans="1:86" hidden="1" x14ac:dyDescent="0.35">
      <c r="A513" t="s">
        <v>911</v>
      </c>
      <c r="AN513" s="27">
        <f>N513-AA513</f>
        <v>0</v>
      </c>
      <c r="AS513" t="str">
        <f>_xlfn.XLOOKUP(AU513,[2]GAE!HZ:HZ,[2]GAE!IA:IA)</f>
        <v>OHI-COMMON</v>
      </c>
      <c r="AT513" t="str">
        <f>_xlfn.XLOOKUP(AU513,[2]GAE!HZ:HZ,[2]GAE!IB:IB)</f>
        <v>DOE - Health Premium / APE</v>
      </c>
      <c r="AU513" t="s">
        <v>912</v>
      </c>
      <c r="AV513">
        <v>90111101</v>
      </c>
      <c r="AW513">
        <v>52121303</v>
      </c>
      <c r="AX513" t="str">
        <f>_xlfn.XLOOKUP(AU513,[2]GAE!HZ:HZ,[2]GAE!IF:IF)</f>
        <v>Employee Benefits</v>
      </c>
      <c r="AY513" t="str">
        <f>_xlfn.XLOOKUP(AU513,[2]GAE!HZ:HZ,[2]GAE!IG:IG)</f>
        <v>Medical/Insurance</v>
      </c>
      <c r="BC513" t="s">
        <v>132</v>
      </c>
      <c r="BD513" t="s">
        <v>911</v>
      </c>
      <c r="BF513" t="s">
        <v>101</v>
      </c>
      <c r="BG513" s="2" t="s">
        <v>132</v>
      </c>
      <c r="BH513" s="10">
        <f>SUMIFS('[1]2026'!$K:$K,'[1]2026'!$T:$T,BD513,'[1]2026'!$S:$S,BH$3,'[1]2026'!$P:$P,AU513)</f>
        <v>38124.080000000002</v>
      </c>
      <c r="BI513" s="10">
        <f>SUMIFS('[1]2026'!$K:$K,'[1]2026'!$T:$T,$BD513,'[1]2026'!$S:$S,BI$3,'[1]2026'!$P:$P,$AU513)</f>
        <v>38124.080000000002</v>
      </c>
      <c r="BJ513" s="10">
        <f>SUMIFS('[1]2026'!$K:$K,'[1]2026'!$T:$T,$BD513,'[1]2026'!$S:$S,BJ$3,'[1]2026'!$P:$P,$AU513)</f>
        <v>38124.080000000002</v>
      </c>
      <c r="BK513" s="10">
        <f>SUMIFS('[1]2026'!$K:$K,'[1]2026'!$T:$T,$BD513,'[1]2026'!$S:$S,BK$3,'[1]2026'!$P:$P,$AU513)</f>
        <v>38124.080000000002</v>
      </c>
      <c r="BL513" s="10">
        <f>SUMIFS('[1]2026'!$K:$K,'[1]2026'!$T:$T,$BD513,'[1]2026'!$S:$S,BL$3,'[1]2026'!$P:$P,$AU513)</f>
        <v>38124.080000000002</v>
      </c>
      <c r="BM513" s="10">
        <f>SUMIFS('[1]2026'!$K:$K,'[1]2026'!$T:$T,$BD513,'[1]2026'!$S:$S,BM$3,'[1]2026'!$P:$P,$AU513)</f>
        <v>38124.080000000002</v>
      </c>
      <c r="BN513" s="10">
        <f>SUMIFS('[1]2026'!$K:$K,'[1]2026'!$T:$T,$BD513,'[1]2026'!$S:$S,BN$3,'[1]2026'!$P:$P,$AU513)</f>
        <v>38124.080000000002</v>
      </c>
      <c r="BO513" s="10">
        <f>SUMIFS('[1]2026'!$K:$K,'[1]2026'!$T:$T,$BD513,'[1]2026'!$S:$S,BO$3,'[1]2026'!$P:$P,$AU513)</f>
        <v>38124.080000000002</v>
      </c>
      <c r="BP513" s="6">
        <v>38124.080000000002</v>
      </c>
      <c r="BQ513" s="6">
        <v>38124.080000000002</v>
      </c>
      <c r="BR513" s="6">
        <v>38124.080000000002</v>
      </c>
      <c r="BS513" s="6">
        <v>38124.080000000002</v>
      </c>
      <c r="BT513" s="6">
        <f t="shared" si="318"/>
        <v>457488.96000000014</v>
      </c>
      <c r="BV513" s="6">
        <f t="shared" si="336"/>
        <v>38124.080000000002</v>
      </c>
      <c r="BW513" s="6">
        <f t="shared" si="337"/>
        <v>38124.080000000002</v>
      </c>
      <c r="BX513" s="6">
        <f t="shared" si="338"/>
        <v>38124.080000000002</v>
      </c>
      <c r="BY513" s="6">
        <f t="shared" si="339"/>
        <v>38124.080000000002</v>
      </c>
      <c r="BZ513" s="6">
        <f t="shared" si="340"/>
        <v>38124.080000000002</v>
      </c>
      <c r="CA513" s="6">
        <f t="shared" si="341"/>
        <v>38124.080000000002</v>
      </c>
      <c r="CB513" s="6">
        <f t="shared" si="342"/>
        <v>38124.080000000002</v>
      </c>
      <c r="CC513" s="6">
        <f t="shared" si="343"/>
        <v>38124.080000000002</v>
      </c>
      <c r="CD513" s="6">
        <f t="shared" si="344"/>
        <v>38124.080000000002</v>
      </c>
      <c r="CE513" s="6">
        <f t="shared" si="345"/>
        <v>38124.080000000002</v>
      </c>
      <c r="CF513" s="6">
        <f t="shared" si="346"/>
        <v>38124.080000000002</v>
      </c>
      <c r="CG513" s="6">
        <f t="shared" si="347"/>
        <v>38124.080000000002</v>
      </c>
      <c r="CH513" s="6">
        <f t="shared" si="348"/>
        <v>457488.96000000014</v>
      </c>
    </row>
    <row r="514" spans="1:86" hidden="1" x14ac:dyDescent="0.35">
      <c r="A514" s="3" t="s">
        <v>133</v>
      </c>
      <c r="I514" s="10">
        <v>201805</v>
      </c>
      <c r="N514" s="27">
        <f>SUM(B514:M514)</f>
        <v>201805</v>
      </c>
      <c r="AA514" s="27">
        <f>SUM(O514:Z514)</f>
        <v>0</v>
      </c>
      <c r="AB514" s="10">
        <f t="shared" ref="AB514:AN514" si="349">B514-O514</f>
        <v>0</v>
      </c>
      <c r="AC514" s="10">
        <f t="shared" si="349"/>
        <v>0</v>
      </c>
      <c r="AD514" s="10">
        <f t="shared" si="349"/>
        <v>0</v>
      </c>
      <c r="AE514" s="10">
        <f t="shared" si="349"/>
        <v>0</v>
      </c>
      <c r="AF514" s="10">
        <f t="shared" si="349"/>
        <v>0</v>
      </c>
      <c r="AG514" s="10">
        <f t="shared" si="349"/>
        <v>0</v>
      </c>
      <c r="AH514" s="10">
        <f t="shared" si="349"/>
        <v>0</v>
      </c>
      <c r="AI514" s="10">
        <f t="shared" si="349"/>
        <v>201805</v>
      </c>
      <c r="AJ514" s="10">
        <f t="shared" si="349"/>
        <v>0</v>
      </c>
      <c r="AK514" s="10">
        <f t="shared" si="349"/>
        <v>0</v>
      </c>
      <c r="AL514" s="10">
        <f t="shared" si="349"/>
        <v>0</v>
      </c>
      <c r="AM514" s="10">
        <f t="shared" si="349"/>
        <v>0</v>
      </c>
      <c r="AN514" s="27">
        <f t="shared" si="349"/>
        <v>201805</v>
      </c>
      <c r="AR514" t="s">
        <v>753</v>
      </c>
      <c r="AS514" t="str">
        <f>_xlfn.XLOOKUP(AU514,[2]GAE!HZ:HZ,[2]GAE!IA:IA)</f>
        <v>HUMAN RESOURCES</v>
      </c>
      <c r="AT514" t="str">
        <f>_xlfn.XLOOKUP(AU514,[2]GAE!HZ:HZ,[2]GAE!IB:IB)</f>
        <v>GAE - Dues &amp; Fees</v>
      </c>
      <c r="AU514" t="s">
        <v>896</v>
      </c>
      <c r="AV514">
        <v>90122101</v>
      </c>
      <c r="AW514">
        <v>61711101</v>
      </c>
      <c r="AX514" t="str">
        <f>_xlfn.XLOOKUP(AU514,[2]GAE!HZ:HZ,[2]GAE!IF:IF)</f>
        <v>Others</v>
      </c>
      <c r="AY514" t="str">
        <f>_xlfn.XLOOKUP(AU514,[2]GAE!HZ:HZ,[2]GAE!IG:IG)</f>
        <v>Dues and Fees</v>
      </c>
      <c r="BF514" t="s">
        <v>101</v>
      </c>
      <c r="BG514" s="2" t="s">
        <v>133</v>
      </c>
      <c r="BH514" s="10">
        <f>SUMIFS('[1]2026'!$K:$K,'[1]2026'!$T:$T,BD514,'[1]2026'!$S:$S,BH$3,'[1]2026'!$P:$P,AU514)</f>
        <v>0</v>
      </c>
      <c r="BI514" s="10">
        <f>SUMIFS('[1]2026'!$K:$K,'[1]2026'!$T:$T,$BD514,'[1]2026'!$S:$S,BI$3,'[1]2026'!$P:$P,$AU514)</f>
        <v>0</v>
      </c>
      <c r="BJ514" s="10">
        <f>SUMIFS('[1]2026'!$K:$K,'[1]2026'!$T:$T,$BD514,'[1]2026'!$S:$S,BJ$3,'[1]2026'!$P:$P,$AU514)</f>
        <v>0</v>
      </c>
      <c r="BK514" s="10">
        <f>SUMIFS('[1]2026'!$K:$K,'[1]2026'!$T:$T,$BD514,'[1]2026'!$S:$S,BK$3,'[1]2026'!$P:$P,$AU514)</f>
        <v>0</v>
      </c>
      <c r="BL514" s="10">
        <f>SUMIFS('[1]2026'!$K:$K,'[1]2026'!$T:$T,$BD514,'[1]2026'!$S:$S,BL$3,'[1]2026'!$P:$P,$AU514)</f>
        <v>0</v>
      </c>
      <c r="BM514" s="10">
        <f>SUMIFS('[1]2026'!$K:$K,'[1]2026'!$T:$T,$BD514,'[1]2026'!$S:$S,BM$3,'[1]2026'!$P:$P,$AU514)</f>
        <v>0</v>
      </c>
      <c r="BN514" s="10">
        <f>SUMIFS('[1]2026'!$K:$K,'[1]2026'!$T:$T,$BD514,'[1]2026'!$S:$S,BN$3,'[1]2026'!$P:$P,$AU514)</f>
        <v>0</v>
      </c>
      <c r="BO514" s="10">
        <f>SUMIFS('[1]2026'!$K:$K,'[1]2026'!$T:$T,$BD514,'[1]2026'!$S:$S,BO$3,'[1]2026'!$P:$P,$AU514)</f>
        <v>0</v>
      </c>
      <c r="BP514" s="6"/>
      <c r="BQ514" s="6"/>
      <c r="BR514" s="6"/>
      <c r="BS514" s="6"/>
      <c r="BT514" s="6">
        <f t="shared" si="318"/>
        <v>0</v>
      </c>
      <c r="BV514" s="6">
        <f t="shared" si="336"/>
        <v>0</v>
      </c>
      <c r="BW514" s="6">
        <f t="shared" si="337"/>
        <v>0</v>
      </c>
      <c r="BX514" s="6">
        <f t="shared" si="338"/>
        <v>0</v>
      </c>
      <c r="BY514" s="6">
        <f t="shared" si="339"/>
        <v>0</v>
      </c>
      <c r="BZ514" s="6">
        <f t="shared" si="340"/>
        <v>0</v>
      </c>
      <c r="CA514" s="6">
        <f t="shared" si="341"/>
        <v>0</v>
      </c>
      <c r="CB514" s="6">
        <f t="shared" si="342"/>
        <v>0</v>
      </c>
      <c r="CC514" s="6">
        <f t="shared" si="343"/>
        <v>-201805</v>
      </c>
      <c r="CD514" s="6">
        <f t="shared" si="344"/>
        <v>0</v>
      </c>
      <c r="CE514" s="6">
        <f t="shared" si="345"/>
        <v>0</v>
      </c>
      <c r="CF514" s="6">
        <f t="shared" si="346"/>
        <v>0</v>
      </c>
      <c r="CG514" s="6">
        <f t="shared" si="347"/>
        <v>0</v>
      </c>
      <c r="CH514" s="6">
        <f t="shared" si="348"/>
        <v>-201805</v>
      </c>
    </row>
    <row r="515" spans="1:86" hidden="1" x14ac:dyDescent="0.35">
      <c r="A515" t="s">
        <v>133</v>
      </c>
      <c r="AN515" s="27">
        <f>N515-AA515</f>
        <v>0</v>
      </c>
      <c r="AS515" t="str">
        <f>_xlfn.XLOOKUP(AU515,[2]GAE!HZ:HZ,[2]GAE!IA:IA)</f>
        <v>OHI-COMMON</v>
      </c>
      <c r="AT515" t="str">
        <f>_xlfn.XLOOKUP(AU515,[2]GAE!HZ:HZ,[2]GAE!IB:IB)</f>
        <v>DOE - Employee Life Insurance</v>
      </c>
      <c r="AU515" t="s">
        <v>913</v>
      </c>
      <c r="AV515">
        <v>90111101</v>
      </c>
      <c r="AW515">
        <v>52121301</v>
      </c>
      <c r="AX515" t="str">
        <f>_xlfn.XLOOKUP(AU515,[2]GAE!HZ:HZ,[2]GAE!IF:IF)</f>
        <v>Employee Benefits</v>
      </c>
      <c r="AY515" t="str">
        <f>_xlfn.XLOOKUP(AU515,[2]GAE!HZ:HZ,[2]GAE!IG:IG)</f>
        <v>Medical/Insurance</v>
      </c>
      <c r="BC515" t="s">
        <v>133</v>
      </c>
      <c r="BD515" t="s">
        <v>133</v>
      </c>
      <c r="BF515" t="s">
        <v>101</v>
      </c>
      <c r="BG515" s="2" t="s">
        <v>133</v>
      </c>
      <c r="BH515" s="10">
        <f>SUMIFS('[1]2026'!$K:$K,'[1]2026'!$T:$T,BD515,'[1]2026'!$S:$S,BH$3,'[1]2026'!$P:$P,AU515)</f>
        <v>16817.080000000002</v>
      </c>
      <c r="BI515" s="10">
        <f>SUMIFS('[1]2026'!$K:$K,'[1]2026'!$T:$T,$BD515,'[1]2026'!$S:$S,BI$3,'[1]2026'!$P:$P,$AU515)</f>
        <v>16817.080000000002</v>
      </c>
      <c r="BJ515" s="10">
        <f>SUMIFS('[1]2026'!$K:$K,'[1]2026'!$T:$T,$BD515,'[1]2026'!$S:$S,BJ$3,'[1]2026'!$P:$P,$AU515)</f>
        <v>16817.080000000002</v>
      </c>
      <c r="BK515" s="10">
        <f>SUMIFS('[1]2026'!$K:$K,'[1]2026'!$T:$T,$BD515,'[1]2026'!$S:$S,BK$3,'[1]2026'!$P:$P,$AU515)</f>
        <v>16817.080000000002</v>
      </c>
      <c r="BL515" s="10">
        <f>SUMIFS('[1]2026'!$K:$K,'[1]2026'!$T:$T,$BD515,'[1]2026'!$S:$S,BL$3,'[1]2026'!$P:$P,$AU515)</f>
        <v>16817.080000000002</v>
      </c>
      <c r="BM515" s="10">
        <f>SUMIFS('[1]2026'!$K:$K,'[1]2026'!$T:$T,$BD515,'[1]2026'!$S:$S,BM$3,'[1]2026'!$P:$P,$AU515)</f>
        <v>16817.080000000002</v>
      </c>
      <c r="BN515" s="10">
        <f>SUMIFS('[1]2026'!$K:$K,'[1]2026'!$T:$T,$BD515,'[1]2026'!$S:$S,BN$3,'[1]2026'!$P:$P,$AU515)</f>
        <v>16817.080000000002</v>
      </c>
      <c r="BO515" s="10">
        <f>SUMIFS('[1]2026'!$K:$K,'[1]2026'!$T:$T,$BD515,'[1]2026'!$S:$S,BO$3,'[1]2026'!$P:$P,$AU515)</f>
        <v>16817.12</v>
      </c>
      <c r="BP515" s="6">
        <v>16817.080000000002</v>
      </c>
      <c r="BQ515" s="6">
        <v>16817.080000000002</v>
      </c>
      <c r="BR515" s="6">
        <v>16817.080000000002</v>
      </c>
      <c r="BS515" s="6">
        <v>16817.080000000002</v>
      </c>
      <c r="BT515" s="6">
        <f t="shared" si="318"/>
        <v>201805.00000000006</v>
      </c>
      <c r="BV515" s="6">
        <f t="shared" si="336"/>
        <v>16817.080000000002</v>
      </c>
      <c r="BW515" s="6">
        <f t="shared" si="337"/>
        <v>16817.080000000002</v>
      </c>
      <c r="BX515" s="6">
        <f t="shared" si="338"/>
        <v>16817.080000000002</v>
      </c>
      <c r="BY515" s="6">
        <f t="shared" si="339"/>
        <v>16817.080000000002</v>
      </c>
      <c r="BZ515" s="6">
        <f t="shared" si="340"/>
        <v>16817.080000000002</v>
      </c>
      <c r="CA515" s="6">
        <f t="shared" si="341"/>
        <v>16817.080000000002</v>
      </c>
      <c r="CB515" s="6">
        <f t="shared" si="342"/>
        <v>16817.080000000002</v>
      </c>
      <c r="CC515" s="6">
        <f t="shared" si="343"/>
        <v>16817.12</v>
      </c>
      <c r="CD515" s="6">
        <f t="shared" si="344"/>
        <v>16817.080000000002</v>
      </c>
      <c r="CE515" s="6">
        <f t="shared" si="345"/>
        <v>16817.080000000002</v>
      </c>
      <c r="CF515" s="6">
        <f t="shared" si="346"/>
        <v>16817.080000000002</v>
      </c>
      <c r="CG515" s="6">
        <f t="shared" si="347"/>
        <v>16817.080000000002</v>
      </c>
      <c r="CH515" s="6">
        <f t="shared" si="348"/>
        <v>201805.00000000006</v>
      </c>
    </row>
    <row r="516" spans="1:86" hidden="1" x14ac:dyDescent="0.35">
      <c r="A516" s="3" t="s">
        <v>914</v>
      </c>
      <c r="C516" s="10">
        <v>25000</v>
      </c>
      <c r="G516" s="10">
        <v>25000</v>
      </c>
      <c r="N516" s="27">
        <f t="shared" ref="N516:N536" si="350">SUM(B516:M516)</f>
        <v>50000</v>
      </c>
      <c r="AA516" s="27">
        <f t="shared" ref="AA516:AA536" si="351">SUM(O516:Z516)</f>
        <v>0</v>
      </c>
      <c r="AB516" s="10">
        <f t="shared" ref="AB516:AN535" si="352">B516-O516</f>
        <v>0</v>
      </c>
      <c r="AC516" s="10">
        <f t="shared" si="352"/>
        <v>25000</v>
      </c>
      <c r="AD516" s="10">
        <f t="shared" si="352"/>
        <v>0</v>
      </c>
      <c r="AE516" s="10">
        <f t="shared" si="352"/>
        <v>0</v>
      </c>
      <c r="AF516" s="10">
        <f t="shared" si="352"/>
        <v>0</v>
      </c>
      <c r="AG516" s="10">
        <f t="shared" si="352"/>
        <v>25000</v>
      </c>
      <c r="AH516" s="10">
        <f t="shared" si="352"/>
        <v>0</v>
      </c>
      <c r="AI516" s="10">
        <f t="shared" si="352"/>
        <v>0</v>
      </c>
      <c r="AJ516" s="10">
        <f t="shared" si="352"/>
        <v>0</v>
      </c>
      <c r="AK516" s="10">
        <f t="shared" si="352"/>
        <v>0</v>
      </c>
      <c r="AL516" s="10">
        <f t="shared" si="352"/>
        <v>0</v>
      </c>
      <c r="AM516" s="10">
        <f t="shared" si="352"/>
        <v>0</v>
      </c>
      <c r="AN516" s="27">
        <f t="shared" si="352"/>
        <v>50000</v>
      </c>
      <c r="AO516" s="28">
        <v>0</v>
      </c>
      <c r="AS516" t="str">
        <f>_xlfn.XLOOKUP(AU516,[2]GAE!HZ:HZ,[2]GAE!IA:IA)</f>
        <v>HUMAN RESOURCES</v>
      </c>
      <c r="AT516" t="str">
        <f>_xlfn.XLOOKUP(AU516,[2]GAE!HZ:HZ,[2]GAE!IB:IB)</f>
        <v>GAE - Dues &amp; Fees</v>
      </c>
      <c r="AU516" t="s">
        <v>896</v>
      </c>
      <c r="AV516">
        <v>90122101</v>
      </c>
      <c r="AW516">
        <v>61711101</v>
      </c>
      <c r="AX516" t="str">
        <f>_xlfn.XLOOKUP(AU516,[2]GAE!HZ:HZ,[2]GAE!IF:IF)</f>
        <v>Others</v>
      </c>
      <c r="AY516" t="str">
        <f>_xlfn.XLOOKUP(AU516,[2]GAE!HZ:HZ,[2]GAE!IG:IG)</f>
        <v>Dues and Fees</v>
      </c>
      <c r="BF516" t="s">
        <v>124</v>
      </c>
      <c r="BG516" t="s">
        <v>1243</v>
      </c>
      <c r="BH516" s="10">
        <f>SUMIFS('[1]2026'!$K:$K,'[1]2026'!$T:$T,BD516,'[1]2026'!$S:$S,BH$3,'[1]2026'!$P:$P,AU516)</f>
        <v>0</v>
      </c>
      <c r="BI516" s="10">
        <f>SUMIFS('[1]2026'!$K:$K,'[1]2026'!$T:$T,$BD516,'[1]2026'!$S:$S,BI$3,'[1]2026'!$P:$P,$AU516)</f>
        <v>0</v>
      </c>
      <c r="BJ516" s="10">
        <f>SUMIFS('[1]2026'!$K:$K,'[1]2026'!$T:$T,$BD516,'[1]2026'!$S:$S,BJ$3,'[1]2026'!$P:$P,$AU516)</f>
        <v>0</v>
      </c>
      <c r="BK516" s="10">
        <f>SUMIFS('[1]2026'!$K:$K,'[1]2026'!$T:$T,$BD516,'[1]2026'!$S:$S,BK$3,'[1]2026'!$P:$P,$AU516)</f>
        <v>0</v>
      </c>
      <c r="BL516" s="10">
        <f>SUMIFS('[1]2026'!$K:$K,'[1]2026'!$T:$T,$BD516,'[1]2026'!$S:$S,BL$3,'[1]2026'!$P:$P,$AU516)</f>
        <v>0</v>
      </c>
      <c r="BM516" s="10">
        <f>SUMIFS('[1]2026'!$K:$K,'[1]2026'!$T:$T,$BD516,'[1]2026'!$S:$S,BM$3,'[1]2026'!$P:$P,$AU516)</f>
        <v>0</v>
      </c>
      <c r="BN516" s="10">
        <f>SUMIFS('[1]2026'!$K:$K,'[1]2026'!$T:$T,$BD516,'[1]2026'!$S:$S,BN$3,'[1]2026'!$P:$P,$AU516)</f>
        <v>0</v>
      </c>
      <c r="BO516" s="10">
        <f>SUMIFS('[1]2026'!$K:$K,'[1]2026'!$T:$T,$BD516,'[1]2026'!$S:$S,BO$3,'[1]2026'!$P:$P,$AU516)</f>
        <v>0</v>
      </c>
      <c r="BP516" s="6"/>
      <c r="BQ516" s="6"/>
      <c r="BR516" s="6"/>
      <c r="BS516" s="6"/>
      <c r="BT516" s="6">
        <f t="shared" si="318"/>
        <v>0</v>
      </c>
      <c r="BV516" s="6">
        <f t="shared" si="336"/>
        <v>0</v>
      </c>
      <c r="BW516" s="6">
        <f t="shared" si="337"/>
        <v>-25000</v>
      </c>
      <c r="BX516" s="6">
        <f t="shared" si="338"/>
        <v>0</v>
      </c>
      <c r="BY516" s="6">
        <f t="shared" si="339"/>
        <v>0</v>
      </c>
      <c r="BZ516" s="6">
        <f t="shared" si="340"/>
        <v>0</v>
      </c>
      <c r="CA516" s="6">
        <f t="shared" si="341"/>
        <v>-25000</v>
      </c>
      <c r="CB516" s="6">
        <f t="shared" si="342"/>
        <v>0</v>
      </c>
      <c r="CC516" s="6">
        <f t="shared" si="343"/>
        <v>0</v>
      </c>
      <c r="CD516" s="6">
        <f t="shared" si="344"/>
        <v>0</v>
      </c>
      <c r="CE516" s="6">
        <f t="shared" si="345"/>
        <v>0</v>
      </c>
      <c r="CF516" s="6">
        <f t="shared" si="346"/>
        <v>0</v>
      </c>
      <c r="CG516" s="6">
        <f t="shared" si="347"/>
        <v>0</v>
      </c>
      <c r="CH516" s="6">
        <f t="shared" si="348"/>
        <v>-50000</v>
      </c>
    </row>
    <row r="517" spans="1:86" hidden="1" x14ac:dyDescent="0.35">
      <c r="A517" s="3" t="s">
        <v>915</v>
      </c>
      <c r="D517" s="10">
        <v>737857.14</v>
      </c>
      <c r="F517" s="10">
        <v>737857.14</v>
      </c>
      <c r="H517" s="10">
        <v>737857.14</v>
      </c>
      <c r="K517" s="10">
        <v>737857.14</v>
      </c>
      <c r="M517" s="10">
        <v>737857.14</v>
      </c>
      <c r="N517" s="27">
        <f t="shared" si="350"/>
        <v>3689285.7</v>
      </c>
      <c r="AA517" s="27">
        <f t="shared" si="351"/>
        <v>0</v>
      </c>
      <c r="AB517" s="10">
        <f t="shared" si="352"/>
        <v>0</v>
      </c>
      <c r="AC517" s="10">
        <f t="shared" si="352"/>
        <v>0</v>
      </c>
      <c r="AD517" s="10">
        <f t="shared" si="352"/>
        <v>737857.14</v>
      </c>
      <c r="AE517" s="10">
        <f t="shared" si="352"/>
        <v>0</v>
      </c>
      <c r="AF517" s="10">
        <f t="shared" si="352"/>
        <v>737857.14</v>
      </c>
      <c r="AG517" s="10">
        <f t="shared" si="352"/>
        <v>0</v>
      </c>
      <c r="AH517" s="10">
        <f t="shared" si="352"/>
        <v>737857.14</v>
      </c>
      <c r="AI517" s="10">
        <f t="shared" si="352"/>
        <v>0</v>
      </c>
      <c r="AJ517" s="10">
        <f t="shared" si="352"/>
        <v>0</v>
      </c>
      <c r="AK517" s="10">
        <f t="shared" si="352"/>
        <v>737857.14</v>
      </c>
      <c r="AL517" s="10">
        <f t="shared" si="352"/>
        <v>0</v>
      </c>
      <c r="AM517" s="10">
        <f t="shared" si="352"/>
        <v>737857.14</v>
      </c>
      <c r="AN517" s="27">
        <f t="shared" si="352"/>
        <v>3689285.7</v>
      </c>
      <c r="AO517" s="28">
        <v>2951428.56</v>
      </c>
      <c r="AS517" t="str">
        <f>_xlfn.XLOOKUP(AU517,[2]GAE!HZ:HZ,[2]GAE!IA:IA)</f>
        <v>CORPORATE ACCOUNTING</v>
      </c>
      <c r="AT517" t="str">
        <f>_xlfn.XLOOKUP(AU517,[2]GAE!HZ:HZ,[2]GAE!IB:IB)</f>
        <v>DOE - Meeting - BOD per Diem</v>
      </c>
      <c r="AU517" t="s">
        <v>916</v>
      </c>
      <c r="AV517">
        <v>90134102</v>
      </c>
      <c r="AW517">
        <v>52091103</v>
      </c>
      <c r="AX517" t="str">
        <f>_xlfn.XLOOKUP(AU517,[2]GAE!HZ:HZ,[2]GAE!IF:IF)</f>
        <v>Others</v>
      </c>
      <c r="AY517" t="str">
        <f>_xlfn.XLOOKUP(AU517,[2]GAE!HZ:HZ,[2]GAE!IG:IG)</f>
        <v>BOD Meeting</v>
      </c>
      <c r="BC517" t="s">
        <v>135</v>
      </c>
      <c r="BD517" t="s">
        <v>917</v>
      </c>
      <c r="BF517" t="s">
        <v>134</v>
      </c>
      <c r="BG517" s="2" t="s">
        <v>135</v>
      </c>
      <c r="BH517" s="10">
        <f>SUMIFS('[1]2026'!$K:$K,'[1]2026'!$T:$T,BD517,'[1]2026'!$S:$S,BH$3,'[1]2026'!$P:$P,AU517)</f>
        <v>0</v>
      </c>
      <c r="BI517" s="10">
        <f>SUMIFS('[1]2026'!$K:$K,'[1]2026'!$T:$T,$BD517,'[1]2026'!$S:$S,BI$3,'[1]2026'!$P:$P,$AU517)</f>
        <v>0</v>
      </c>
      <c r="BJ517" s="10">
        <f>SUMIFS('[1]2026'!$K:$K,'[1]2026'!$T:$T,$BD517,'[1]2026'!$S:$S,BJ$3,'[1]2026'!$P:$P,$AU517)</f>
        <v>737857.14</v>
      </c>
      <c r="BK517" s="10">
        <f>SUMIFS('[1]2026'!$K:$K,'[1]2026'!$T:$T,$BD517,'[1]2026'!$S:$S,BK$3,'[1]2026'!$P:$P,$AU517)</f>
        <v>0</v>
      </c>
      <c r="BL517" s="10">
        <f>SUMIFS('[1]2026'!$K:$K,'[1]2026'!$T:$T,$BD517,'[1]2026'!$S:$S,BL$3,'[1]2026'!$P:$P,$AU517)</f>
        <v>0</v>
      </c>
      <c r="BM517" s="10">
        <f>SUMIFS('[1]2026'!$K:$K,'[1]2026'!$T:$T,$BD517,'[1]2026'!$S:$S,BM$3,'[1]2026'!$P:$P,$AU517)</f>
        <v>0</v>
      </c>
      <c r="BN517" s="10">
        <f>SUMIFS('[1]2026'!$K:$K,'[1]2026'!$T:$T,$BD517,'[1]2026'!$S:$S,BN$3,'[1]2026'!$P:$P,$AU517)</f>
        <v>737857.14</v>
      </c>
      <c r="BO517" s="10">
        <f>SUMIFS('[1]2026'!$K:$K,'[1]2026'!$T:$T,$BD517,'[1]2026'!$S:$S,BO$3,'[1]2026'!$P:$P,$AU517)</f>
        <v>0</v>
      </c>
      <c r="BP517" s="6">
        <f t="shared" ref="BP517:BS518" si="353">AJ517</f>
        <v>0</v>
      </c>
      <c r="BQ517" s="6">
        <f t="shared" si="353"/>
        <v>737857.14</v>
      </c>
      <c r="BR517" s="6">
        <f t="shared" si="353"/>
        <v>0</v>
      </c>
      <c r="BS517" s="6">
        <f t="shared" si="353"/>
        <v>737857.14</v>
      </c>
      <c r="BT517" s="6">
        <f t="shared" si="318"/>
        <v>2951428.56</v>
      </c>
      <c r="BV517" s="6">
        <f t="shared" si="336"/>
        <v>0</v>
      </c>
      <c r="BW517" s="6">
        <f t="shared" si="337"/>
        <v>0</v>
      </c>
      <c r="BX517" s="6">
        <f t="shared" si="338"/>
        <v>0</v>
      </c>
      <c r="BY517" s="6">
        <f t="shared" si="339"/>
        <v>0</v>
      </c>
      <c r="BZ517" s="6">
        <f t="shared" si="340"/>
        <v>-737857.14</v>
      </c>
      <c r="CA517" s="6">
        <f t="shared" si="341"/>
        <v>0</v>
      </c>
      <c r="CB517" s="6">
        <f t="shared" si="342"/>
        <v>0</v>
      </c>
      <c r="CC517" s="6">
        <f t="shared" si="343"/>
        <v>0</v>
      </c>
      <c r="CD517" s="6">
        <f t="shared" si="344"/>
        <v>0</v>
      </c>
      <c r="CE517" s="6">
        <f t="shared" si="345"/>
        <v>0</v>
      </c>
      <c r="CF517" s="6">
        <f t="shared" si="346"/>
        <v>0</v>
      </c>
      <c r="CG517" s="6">
        <f t="shared" si="347"/>
        <v>0</v>
      </c>
      <c r="CH517" s="6">
        <f t="shared" si="348"/>
        <v>-737857.14000000013</v>
      </c>
    </row>
    <row r="518" spans="1:86" hidden="1" x14ac:dyDescent="0.35">
      <c r="A518" s="3" t="s">
        <v>918</v>
      </c>
      <c r="B518" s="21"/>
      <c r="C518" s="21"/>
      <c r="D518" s="21">
        <v>1954464.28</v>
      </c>
      <c r="E518" s="21"/>
      <c r="F518" s="21"/>
      <c r="G518" s="21"/>
      <c r="H518" s="21">
        <v>1954464.28</v>
      </c>
      <c r="I518" s="21"/>
      <c r="J518" s="21"/>
      <c r="K518" s="21">
        <v>1954464.28</v>
      </c>
      <c r="L518" s="21"/>
      <c r="M518" s="21">
        <f>J518</f>
        <v>0</v>
      </c>
      <c r="N518" s="27">
        <f t="shared" si="350"/>
        <v>5863392.8399999999</v>
      </c>
      <c r="AA518" s="27">
        <f t="shared" si="351"/>
        <v>0</v>
      </c>
      <c r="AB518" s="10">
        <f t="shared" si="352"/>
        <v>0</v>
      </c>
      <c r="AC518" s="10">
        <f t="shared" si="352"/>
        <v>0</v>
      </c>
      <c r="AD518" s="10">
        <f t="shared" si="352"/>
        <v>1954464.28</v>
      </c>
      <c r="AE518" s="10">
        <f t="shared" si="352"/>
        <v>0</v>
      </c>
      <c r="AF518" s="10">
        <f t="shared" si="352"/>
        <v>0</v>
      </c>
      <c r="AG518" s="10">
        <f t="shared" si="352"/>
        <v>0</v>
      </c>
      <c r="AH518" s="10">
        <f t="shared" si="352"/>
        <v>1954464.28</v>
      </c>
      <c r="AI518" s="10">
        <f t="shared" si="352"/>
        <v>0</v>
      </c>
      <c r="AJ518" s="10">
        <f t="shared" si="352"/>
        <v>0</v>
      </c>
      <c r="AK518" s="10">
        <f t="shared" si="352"/>
        <v>1954464.28</v>
      </c>
      <c r="AL518" s="10">
        <f t="shared" si="352"/>
        <v>0</v>
      </c>
      <c r="AM518" s="10">
        <f t="shared" si="352"/>
        <v>0</v>
      </c>
      <c r="AN518" s="27">
        <f t="shared" si="352"/>
        <v>5863392.8399999999</v>
      </c>
      <c r="AO518" s="28">
        <v>7817857.1200000001</v>
      </c>
      <c r="AS518" t="str">
        <f>_xlfn.XLOOKUP(AU518,[2]GAE!HZ:HZ,[2]GAE!IA:IA)</f>
        <v>CORPORATE ACCOUNTING</v>
      </c>
      <c r="AT518" t="str">
        <f>_xlfn.XLOOKUP(AU518,[2]GAE!HZ:HZ,[2]GAE!IB:IB)</f>
        <v>DOE - Prof. Fees - Directors</v>
      </c>
      <c r="AU518" t="s">
        <v>919</v>
      </c>
      <c r="AV518">
        <v>90134102</v>
      </c>
      <c r="AW518">
        <v>52071103</v>
      </c>
      <c r="AX518" t="str">
        <f>_xlfn.XLOOKUP(AU518,[2]GAE!HZ:HZ,[2]GAE!IF:IF)</f>
        <v>Professional fees</v>
      </c>
      <c r="AY518" t="str">
        <f>_xlfn.XLOOKUP(AU518,[2]GAE!HZ:HZ,[2]GAE!IG:IG)</f>
        <v>BOD</v>
      </c>
      <c r="BC518" t="s">
        <v>136</v>
      </c>
      <c r="BD518" t="s">
        <v>920</v>
      </c>
      <c r="BF518" t="s">
        <v>134</v>
      </c>
      <c r="BG518" s="2" t="s">
        <v>136</v>
      </c>
      <c r="BH518" s="10">
        <f>SUMIFS('[1]2026'!$K:$K,'[1]2026'!$T:$T,BD518,'[1]2026'!$S:$S,BH$3,'[1]2026'!$P:$P,AU518)</f>
        <v>0</v>
      </c>
      <c r="BI518" s="10">
        <f>SUMIFS('[1]2026'!$K:$K,'[1]2026'!$T:$T,$BD518,'[1]2026'!$S:$S,BI$3,'[1]2026'!$P:$P,$AU518)</f>
        <v>0</v>
      </c>
      <c r="BJ518" s="10">
        <f>SUMIFS('[1]2026'!$K:$K,'[1]2026'!$T:$T,$BD518,'[1]2026'!$S:$S,BJ$3,'[1]2026'!$P:$P,$AU518)</f>
        <v>1954464.28</v>
      </c>
      <c r="BK518" s="10">
        <f>SUMIFS('[1]2026'!$K:$K,'[1]2026'!$T:$T,$BD518,'[1]2026'!$S:$S,BK$3,'[1]2026'!$P:$P,$AU518)</f>
        <v>0</v>
      </c>
      <c r="BL518" s="10">
        <f>SUMIFS('[1]2026'!$K:$K,'[1]2026'!$T:$T,$BD518,'[1]2026'!$S:$S,BL$3,'[1]2026'!$P:$P,$AU518)</f>
        <v>0</v>
      </c>
      <c r="BM518" s="10">
        <f>SUMIFS('[1]2026'!$K:$K,'[1]2026'!$T:$T,$BD518,'[1]2026'!$S:$S,BM$3,'[1]2026'!$P:$P,$AU518)</f>
        <v>0</v>
      </c>
      <c r="BN518" s="10">
        <f>SUMIFS('[1]2026'!$K:$K,'[1]2026'!$T:$T,$BD518,'[1]2026'!$S:$S,BN$3,'[1]2026'!$P:$P,$AU518)</f>
        <v>1954464.28</v>
      </c>
      <c r="BO518" s="10">
        <f>SUMIFS('[1]2026'!$K:$K,'[1]2026'!$T:$T,$BD518,'[1]2026'!$S:$S,BO$3,'[1]2026'!$P:$P,$AU518)</f>
        <v>0</v>
      </c>
      <c r="BP518" s="6">
        <f t="shared" si="353"/>
        <v>0</v>
      </c>
      <c r="BQ518" s="6">
        <f t="shared" si="353"/>
        <v>1954464.28</v>
      </c>
      <c r="BR518" s="6">
        <f t="shared" si="353"/>
        <v>0</v>
      </c>
      <c r="BS518" s="6">
        <f t="shared" si="353"/>
        <v>0</v>
      </c>
      <c r="BT518" s="6">
        <f t="shared" si="318"/>
        <v>5863392.8399999999</v>
      </c>
      <c r="BV518" s="6">
        <f t="shared" si="336"/>
        <v>0</v>
      </c>
      <c r="BW518" s="6">
        <f t="shared" si="337"/>
        <v>0</v>
      </c>
      <c r="BX518" s="6">
        <f t="shared" si="338"/>
        <v>0</v>
      </c>
      <c r="BY518" s="6">
        <f t="shared" si="339"/>
        <v>0</v>
      </c>
      <c r="BZ518" s="6">
        <f t="shared" si="340"/>
        <v>0</v>
      </c>
      <c r="CA518" s="6">
        <f t="shared" si="341"/>
        <v>0</v>
      </c>
      <c r="CB518" s="6">
        <f t="shared" si="342"/>
        <v>0</v>
      </c>
      <c r="CC518" s="6">
        <f t="shared" si="343"/>
        <v>0</v>
      </c>
      <c r="CD518" s="6">
        <f t="shared" si="344"/>
        <v>0</v>
      </c>
      <c r="CE518" s="6">
        <f t="shared" si="345"/>
        <v>0</v>
      </c>
      <c r="CF518" s="6">
        <f t="shared" si="346"/>
        <v>0</v>
      </c>
      <c r="CG518" s="6">
        <f t="shared" si="347"/>
        <v>0</v>
      </c>
      <c r="CH518" s="6">
        <f t="shared" si="348"/>
        <v>0</v>
      </c>
    </row>
    <row r="519" spans="1:86" hidden="1" x14ac:dyDescent="0.35">
      <c r="A519" s="3" t="s">
        <v>921</v>
      </c>
      <c r="M519" s="10">
        <v>1500000</v>
      </c>
      <c r="N519" s="27">
        <f t="shared" si="350"/>
        <v>1500000</v>
      </c>
      <c r="AA519" s="27">
        <f t="shared" si="351"/>
        <v>0</v>
      </c>
      <c r="AB519" s="10">
        <f t="shared" si="352"/>
        <v>0</v>
      </c>
      <c r="AC519" s="10">
        <f t="shared" si="352"/>
        <v>0</v>
      </c>
      <c r="AD519" s="10">
        <f t="shared" si="352"/>
        <v>0</v>
      </c>
      <c r="AE519" s="10">
        <f t="shared" si="352"/>
        <v>0</v>
      </c>
      <c r="AF519" s="10">
        <f t="shared" si="352"/>
        <v>0</v>
      </c>
      <c r="AG519" s="10">
        <f t="shared" si="352"/>
        <v>0</v>
      </c>
      <c r="AH519" s="10">
        <f t="shared" si="352"/>
        <v>0</v>
      </c>
      <c r="AI519" s="10">
        <f t="shared" si="352"/>
        <v>0</v>
      </c>
      <c r="AJ519" s="10">
        <f t="shared" si="352"/>
        <v>0</v>
      </c>
      <c r="AK519" s="10">
        <f t="shared" si="352"/>
        <v>0</v>
      </c>
      <c r="AL519" s="10">
        <f t="shared" si="352"/>
        <v>0</v>
      </c>
      <c r="AM519" s="10">
        <f t="shared" si="352"/>
        <v>1500000</v>
      </c>
      <c r="AN519" s="27">
        <f t="shared" si="352"/>
        <v>1500000</v>
      </c>
      <c r="AO519" s="28">
        <v>0</v>
      </c>
      <c r="AS519" t="str">
        <f>_xlfn.XLOOKUP(AU519,[2]GAE!HZ:HZ,[2]GAE!IA:IA)</f>
        <v>CORPORATE ACCOUNTING</v>
      </c>
      <c r="AT519" t="str">
        <f>_xlfn.XLOOKUP(AU519,[2]GAE!HZ:HZ,[2]GAE!IB:IB)</f>
        <v>DOE - Taxes &amp; Licenses - DST</v>
      </c>
      <c r="AU519" t="s">
        <v>922</v>
      </c>
      <c r="AV519">
        <v>81134102</v>
      </c>
      <c r="AW519">
        <v>52031103</v>
      </c>
      <c r="AX519" t="str">
        <f>_xlfn.XLOOKUP(AU519,[2]GAE!HZ:HZ,[2]GAE!IF:IF)</f>
        <v>Taxes &amp; Licenses</v>
      </c>
      <c r="BD519" t="s">
        <v>137</v>
      </c>
      <c r="BF519" t="s">
        <v>38</v>
      </c>
      <c r="BG519" s="2" t="s">
        <v>137</v>
      </c>
      <c r="BH519" s="10">
        <f>SUMIFS('[1]2026'!$K:$K,'[1]2026'!$T:$T,BD519,'[1]2026'!$S:$S,BH$3,'[1]2026'!$P:$P,AU519)</f>
        <v>0</v>
      </c>
      <c r="BI519" s="10">
        <f>SUMIFS('[1]2026'!$K:$K,'[1]2026'!$T:$T,$BD519,'[1]2026'!$S:$S,BI$3,'[1]2026'!$P:$P,$AU519)</f>
        <v>0</v>
      </c>
      <c r="BJ519" s="10">
        <f>SUMIFS('[1]2026'!$K:$K,'[1]2026'!$T:$T,$BD519,'[1]2026'!$S:$S,BJ$3,'[1]2026'!$P:$P,$AU519)</f>
        <v>0</v>
      </c>
      <c r="BK519" s="10">
        <f>SUMIFS('[1]2026'!$K:$K,'[1]2026'!$T:$T,$BD519,'[1]2026'!$S:$S,BK$3,'[1]2026'!$P:$P,$AU519)</f>
        <v>0</v>
      </c>
      <c r="BL519" s="6"/>
      <c r="BM519" s="10">
        <f>SUMIFS('[1]2026'!$K:$K,'[1]2026'!$T:$T,$BD519,'[1]2026'!$S:$S,BM$3,'[1]2026'!$P:$P,$AU519)</f>
        <v>0</v>
      </c>
      <c r="BN519" s="10">
        <f>SUMIFS('[1]2026'!$K:$K,'[1]2026'!$T:$T,$BD519,'[1]2026'!$S:$S,BN$3,'[1]2026'!$P:$P,$AU519)</f>
        <v>0</v>
      </c>
      <c r="BO519" s="10">
        <f>SUMIFS('[1]2026'!$K:$K,'[1]2026'!$T:$T,$BD519,'[1]2026'!$S:$S,BO$3,'[1]2026'!$P:$P,$AU519)</f>
        <v>0</v>
      </c>
      <c r="BP519" s="6"/>
      <c r="BQ519" s="6"/>
      <c r="BR519" s="6"/>
      <c r="BS519" s="6"/>
      <c r="BT519" s="6">
        <f t="shared" si="318"/>
        <v>0</v>
      </c>
      <c r="BV519" s="6">
        <f t="shared" si="336"/>
        <v>0</v>
      </c>
      <c r="BW519" s="6">
        <f t="shared" si="337"/>
        <v>0</v>
      </c>
      <c r="BX519" s="6">
        <f t="shared" si="338"/>
        <v>0</v>
      </c>
      <c r="BY519" s="6">
        <f t="shared" si="339"/>
        <v>0</v>
      </c>
      <c r="BZ519" s="6">
        <f t="shared" si="340"/>
        <v>0</v>
      </c>
      <c r="CA519" s="6">
        <f t="shared" si="341"/>
        <v>0</v>
      </c>
      <c r="CB519" s="6">
        <f t="shared" si="342"/>
        <v>0</v>
      </c>
      <c r="CC519" s="6">
        <f t="shared" si="343"/>
        <v>0</v>
      </c>
      <c r="CD519" s="6">
        <f t="shared" si="344"/>
        <v>0</v>
      </c>
      <c r="CE519" s="6">
        <f t="shared" si="345"/>
        <v>0</v>
      </c>
      <c r="CF519" s="6">
        <f t="shared" si="346"/>
        <v>0</v>
      </c>
      <c r="CG519" s="6">
        <f t="shared" si="347"/>
        <v>-1500000</v>
      </c>
      <c r="CH519" s="6">
        <f t="shared" si="348"/>
        <v>-1500000</v>
      </c>
    </row>
    <row r="520" spans="1:86" hidden="1" x14ac:dyDescent="0.35">
      <c r="A520" s="3" t="s">
        <v>923</v>
      </c>
      <c r="B520" s="21">
        <v>58000</v>
      </c>
      <c r="C520" s="21">
        <v>58000</v>
      </c>
      <c r="D520" s="21">
        <v>58000</v>
      </c>
      <c r="E520" s="21">
        <v>58000</v>
      </c>
      <c r="F520" s="21">
        <v>58000</v>
      </c>
      <c r="G520" s="21">
        <v>58000</v>
      </c>
      <c r="H520" s="21">
        <v>58000</v>
      </c>
      <c r="I520" s="21">
        <v>58000</v>
      </c>
      <c r="J520" s="21">
        <v>58000</v>
      </c>
      <c r="K520" s="21">
        <v>58000</v>
      </c>
      <c r="L520" s="21">
        <v>58000</v>
      </c>
      <c r="M520" s="21">
        <v>58000</v>
      </c>
      <c r="N520" s="27">
        <f t="shared" si="350"/>
        <v>696000</v>
      </c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7">
        <f t="shared" si="351"/>
        <v>0</v>
      </c>
      <c r="AB520" s="10">
        <f t="shared" si="352"/>
        <v>58000</v>
      </c>
      <c r="AC520" s="10">
        <f t="shared" si="352"/>
        <v>58000</v>
      </c>
      <c r="AD520" s="10">
        <f t="shared" si="352"/>
        <v>58000</v>
      </c>
      <c r="AE520" s="10">
        <f t="shared" si="352"/>
        <v>58000</v>
      </c>
      <c r="AF520" s="10">
        <f t="shared" si="352"/>
        <v>58000</v>
      </c>
      <c r="AG520" s="10">
        <f t="shared" si="352"/>
        <v>58000</v>
      </c>
      <c r="AH520" s="10">
        <f t="shared" si="352"/>
        <v>58000</v>
      </c>
      <c r="AI520" s="10">
        <f t="shared" si="352"/>
        <v>58000</v>
      </c>
      <c r="AJ520" s="10">
        <f t="shared" si="352"/>
        <v>58000</v>
      </c>
      <c r="AK520" s="10">
        <f t="shared" si="352"/>
        <v>58000</v>
      </c>
      <c r="AL520" s="10">
        <f t="shared" si="352"/>
        <v>58000</v>
      </c>
      <c r="AM520" s="10">
        <f t="shared" si="352"/>
        <v>58000</v>
      </c>
      <c r="AN520" s="27">
        <f t="shared" si="352"/>
        <v>696000</v>
      </c>
      <c r="AO520" s="28">
        <v>7246628.580000001</v>
      </c>
      <c r="AS520" t="str">
        <f>_xlfn.XLOOKUP(AU520,[2]GAE!HZ:HZ,[2]GAE!IA:IA)</f>
        <v>CORPORATE ACCOUNTING</v>
      </c>
      <c r="AT520" t="str">
        <f>_xlfn.XLOOKUP(AU520,[2]GAE!HZ:HZ,[2]GAE!IB:IB)</f>
        <v>GAE - Dues &amp; Fees</v>
      </c>
      <c r="AU520" t="s">
        <v>924</v>
      </c>
      <c r="AV520">
        <v>80134102</v>
      </c>
      <c r="AW520">
        <v>61711101</v>
      </c>
      <c r="AX520" t="str">
        <f>_xlfn.XLOOKUP(AU520,[2]GAE!HZ:HZ,[2]GAE!IF:IF)</f>
        <v>Others</v>
      </c>
      <c r="AY520" t="str">
        <f>_xlfn.XLOOKUP(AU520,[2]GAE!HZ:HZ,[2]GAE!IG:IG)</f>
        <v>Valle Verde</v>
      </c>
      <c r="BA520" t="s">
        <v>843</v>
      </c>
      <c r="BC520" t="s">
        <v>139</v>
      </c>
      <c r="BD520" s="2" t="s">
        <v>925</v>
      </c>
      <c r="BE520" s="2"/>
      <c r="BF520" t="s">
        <v>138</v>
      </c>
      <c r="BG520" s="2" t="s">
        <v>139</v>
      </c>
      <c r="BH520" s="10">
        <f>SUMIFS('[1]2026'!$K:$K,'[1]2026'!$T:$T,BD520,'[1]2026'!$S:$S,BH$3,'[1]2026'!$P:$P,AU520)</f>
        <v>57589.24</v>
      </c>
      <c r="BI520" s="10">
        <f>SUMIFS('[1]2026'!$K:$K,'[1]2026'!$T:$T,$BD520,'[1]2026'!$S:$S,BI$3,'[1]2026'!$P:$P,$AU520)</f>
        <v>57589.29</v>
      </c>
      <c r="BJ520" s="10">
        <f>SUMIFS('[1]2026'!$K:$K,'[1]2026'!$T:$T,$BD520,'[1]2026'!$S:$S,BJ$3,'[1]2026'!$P:$P,$AU520)</f>
        <v>57589.29</v>
      </c>
      <c r="BK520" s="10">
        <f>SUMIFS('[1]2026'!$K:$K,'[1]2026'!$T:$T,$BD520,'[1]2026'!$S:$S,BK$3,'[1]2026'!$P:$P,$AU520)</f>
        <v>57589.29</v>
      </c>
      <c r="BL520" s="10">
        <f>SUMIFS('[1]2026'!$K:$K,'[1]2026'!$T:$T,$BD520,'[1]2026'!$S:$S,BL$3,'[1]2026'!$P:$P,$AU520)</f>
        <v>57589.29</v>
      </c>
      <c r="BM520" s="10">
        <f>SUMIFS('[1]2026'!$K:$K,'[1]2026'!$T:$T,$BD520,'[1]2026'!$S:$S,BM$3,'[1]2026'!$P:$P,$AU520)</f>
        <v>57589.29</v>
      </c>
      <c r="BN520" s="10">
        <f>SUMIFS('[1]2026'!$K:$K,'[1]2026'!$T:$T,$BD520,'[1]2026'!$S:$S,BN$3,'[1]2026'!$P:$P,$AU520)</f>
        <v>57589.29</v>
      </c>
      <c r="BO520" s="10">
        <f>SUMIFS('[1]2026'!$K:$K,'[1]2026'!$T:$T,$BD520,'[1]2026'!$S:$S,BO$3,'[1]2026'!$P:$P,$AU520)</f>
        <v>57589.29</v>
      </c>
      <c r="BP520" s="6">
        <f t="shared" ref="BP520:BS523" si="354">BO520</f>
        <v>57589.29</v>
      </c>
      <c r="BQ520" s="6">
        <f t="shared" si="354"/>
        <v>57589.29</v>
      </c>
      <c r="BR520" s="6">
        <f t="shared" si="354"/>
        <v>57589.29</v>
      </c>
      <c r="BS520" s="6">
        <f t="shared" si="354"/>
        <v>57589.29</v>
      </c>
      <c r="BT520" s="6">
        <f t="shared" si="318"/>
        <v>691071.43</v>
      </c>
      <c r="BV520" s="6">
        <f t="shared" si="336"/>
        <v>-410.76000000000204</v>
      </c>
      <c r="BW520" s="6">
        <f t="shared" si="337"/>
        <v>-410.70999999999913</v>
      </c>
      <c r="BX520" s="6">
        <f t="shared" si="338"/>
        <v>-410.70999999999913</v>
      </c>
      <c r="BY520" s="6">
        <f t="shared" si="339"/>
        <v>-410.70999999999913</v>
      </c>
      <c r="BZ520" s="6">
        <f t="shared" si="340"/>
        <v>-410.70999999999913</v>
      </c>
      <c r="CA520" s="6">
        <f t="shared" si="341"/>
        <v>-410.70999999999913</v>
      </c>
      <c r="CB520" s="6">
        <f t="shared" si="342"/>
        <v>-410.70999999999913</v>
      </c>
      <c r="CC520" s="6">
        <f t="shared" si="343"/>
        <v>-410.70999999999913</v>
      </c>
      <c r="CD520" s="6">
        <f t="shared" si="344"/>
        <v>-410.70999999999913</v>
      </c>
      <c r="CE520" s="6">
        <f t="shared" si="345"/>
        <v>-410.70999999999913</v>
      </c>
      <c r="CF520" s="6">
        <f t="shared" si="346"/>
        <v>-410.70999999999913</v>
      </c>
      <c r="CG520" s="6">
        <f t="shared" si="347"/>
        <v>-410.70999999999913</v>
      </c>
      <c r="CH520" s="6">
        <f t="shared" si="348"/>
        <v>-4928.5699999999488</v>
      </c>
    </row>
    <row r="521" spans="1:86" hidden="1" x14ac:dyDescent="0.35">
      <c r="A521" s="3" t="s">
        <v>926</v>
      </c>
      <c r="B521" s="21">
        <v>144000</v>
      </c>
      <c r="C521" s="21">
        <v>144000</v>
      </c>
      <c r="D521" s="21">
        <v>144000</v>
      </c>
      <c r="E521" s="21">
        <v>144000</v>
      </c>
      <c r="F521" s="21">
        <v>144000</v>
      </c>
      <c r="G521" s="21">
        <v>144000</v>
      </c>
      <c r="H521" s="21">
        <v>144000</v>
      </c>
      <c r="I521" s="21">
        <v>144000</v>
      </c>
      <c r="J521" s="21">
        <v>144000</v>
      </c>
      <c r="K521" s="21">
        <v>144000</v>
      </c>
      <c r="L521" s="21">
        <v>144000</v>
      </c>
      <c r="M521" s="21">
        <v>144000</v>
      </c>
      <c r="N521" s="27">
        <f t="shared" si="350"/>
        <v>1728000</v>
      </c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7">
        <f t="shared" si="351"/>
        <v>0</v>
      </c>
      <c r="AB521" s="10">
        <f t="shared" si="352"/>
        <v>144000</v>
      </c>
      <c r="AC521" s="10">
        <f t="shared" si="352"/>
        <v>144000</v>
      </c>
      <c r="AD521" s="10">
        <f t="shared" si="352"/>
        <v>144000</v>
      </c>
      <c r="AE521" s="10">
        <f t="shared" si="352"/>
        <v>144000</v>
      </c>
      <c r="AF521" s="10">
        <f t="shared" si="352"/>
        <v>144000</v>
      </c>
      <c r="AG521" s="10">
        <f t="shared" si="352"/>
        <v>144000</v>
      </c>
      <c r="AH521" s="10">
        <f t="shared" si="352"/>
        <v>144000</v>
      </c>
      <c r="AI521" s="10">
        <f t="shared" si="352"/>
        <v>144000</v>
      </c>
      <c r="AJ521" s="10">
        <f t="shared" si="352"/>
        <v>144000</v>
      </c>
      <c r="AK521" s="10">
        <f t="shared" si="352"/>
        <v>144000</v>
      </c>
      <c r="AL521" s="10">
        <f t="shared" si="352"/>
        <v>144000</v>
      </c>
      <c r="AM521" s="10">
        <f t="shared" si="352"/>
        <v>144000</v>
      </c>
      <c r="AN521" s="27">
        <f t="shared" si="352"/>
        <v>1728000</v>
      </c>
      <c r="AS521" t="str">
        <f>_xlfn.XLOOKUP(AU521,[2]GAE!HZ:HZ,[2]GAE!IA:IA)</f>
        <v>CORPORATE ACCOUNTING</v>
      </c>
      <c r="AT521" t="str">
        <f>_xlfn.XLOOKUP(AU521,[2]GAE!HZ:HZ,[2]GAE!IB:IB)</f>
        <v>GAE - Dues &amp; Fees</v>
      </c>
      <c r="AU521" t="s">
        <v>924</v>
      </c>
      <c r="AV521">
        <v>80134102</v>
      </c>
      <c r="AW521">
        <v>61711101</v>
      </c>
      <c r="AX521" t="str">
        <f>_xlfn.XLOOKUP(AU521,[2]GAE!HZ:HZ,[2]GAE!IF:IF)</f>
        <v>Others</v>
      </c>
      <c r="AY521" t="str">
        <f>_xlfn.XLOOKUP(AU521,[2]GAE!HZ:HZ,[2]GAE!IG:IG)</f>
        <v>Valle Verde</v>
      </c>
      <c r="BA521" t="s">
        <v>843</v>
      </c>
      <c r="BC521" t="s">
        <v>140</v>
      </c>
      <c r="BD521" s="2" t="s">
        <v>927</v>
      </c>
      <c r="BE521" s="2"/>
      <c r="BF521" t="s">
        <v>138</v>
      </c>
      <c r="BG521" s="2" t="s">
        <v>140</v>
      </c>
      <c r="BH521" s="10">
        <f>SUMIFS('[1]2026'!$K:$K,'[1]2026'!$T:$T,BD521,'[1]2026'!$S:$S,BH$3,'[1]2026'!$P:$P,AU521)</f>
        <v>125625</v>
      </c>
      <c r="BI521" s="10">
        <f>SUMIFS('[1]2026'!$K:$K,'[1]2026'!$T:$T,$BD521,'[1]2026'!$S:$S,BI$3,'[1]2026'!$P:$P,$AU521)</f>
        <v>126375</v>
      </c>
      <c r="BJ521" s="10">
        <f>SUMIFS('[1]2026'!$K:$K,'[1]2026'!$T:$T,$BD521,'[1]2026'!$S:$S,BJ$3,'[1]2026'!$P:$P,$AU521)</f>
        <v>125625</v>
      </c>
      <c r="BK521" s="10">
        <f>SUMIFS('[1]2026'!$K:$K,'[1]2026'!$T:$T,$BD521,'[1]2026'!$S:$S,BK$3,'[1]2026'!$P:$P,$AU521)</f>
        <v>125625</v>
      </c>
      <c r="BL521" s="10">
        <f>SUMIFS('[1]2026'!$K:$K,'[1]2026'!$T:$T,$BD521,'[1]2026'!$S:$S,BL$3,'[1]2026'!$P:$P,$AU521)</f>
        <v>125625</v>
      </c>
      <c r="BM521" s="10">
        <f>SUMIFS('[1]2026'!$K:$K,'[1]2026'!$T:$T,$BD521,'[1]2026'!$S:$S,BM$3,'[1]2026'!$P:$P,$AU521)</f>
        <v>125625</v>
      </c>
      <c r="BN521" s="10">
        <f>SUMIFS('[1]2026'!$K:$K,'[1]2026'!$T:$T,$BD521,'[1]2026'!$S:$S,BN$3,'[1]2026'!$P:$P,$AU521)</f>
        <v>125625</v>
      </c>
      <c r="BO521" s="10">
        <f>SUMIFS('[1]2026'!$K:$K,'[1]2026'!$T:$T,$BD521,'[1]2026'!$S:$S,BO$3,'[1]2026'!$P:$P,$AU521)</f>
        <v>125625</v>
      </c>
      <c r="BP521" s="6">
        <f t="shared" si="354"/>
        <v>125625</v>
      </c>
      <c r="BQ521" s="6">
        <f t="shared" si="354"/>
        <v>125625</v>
      </c>
      <c r="BR521" s="6">
        <f t="shared" si="354"/>
        <v>125625</v>
      </c>
      <c r="BS521" s="6">
        <f t="shared" si="354"/>
        <v>125625</v>
      </c>
      <c r="BT521" s="6">
        <f t="shared" si="318"/>
        <v>1508250</v>
      </c>
      <c r="BV521" s="6">
        <f t="shared" si="336"/>
        <v>-18375</v>
      </c>
      <c r="BW521" s="6">
        <f t="shared" si="337"/>
        <v>-17625</v>
      </c>
      <c r="BX521" s="6">
        <f t="shared" si="338"/>
        <v>-18375</v>
      </c>
      <c r="BY521" s="6">
        <f t="shared" si="339"/>
        <v>-18375</v>
      </c>
      <c r="BZ521" s="6">
        <f t="shared" si="340"/>
        <v>-18375</v>
      </c>
      <c r="CA521" s="6">
        <f t="shared" si="341"/>
        <v>-18375</v>
      </c>
      <c r="CB521" s="6">
        <f t="shared" si="342"/>
        <v>-18375</v>
      </c>
      <c r="CC521" s="6">
        <f t="shared" si="343"/>
        <v>-18375</v>
      </c>
      <c r="CD521" s="6">
        <f t="shared" si="344"/>
        <v>-18375</v>
      </c>
      <c r="CE521" s="6">
        <f t="shared" si="345"/>
        <v>-18375</v>
      </c>
      <c r="CF521" s="6">
        <f t="shared" si="346"/>
        <v>-18375</v>
      </c>
      <c r="CG521" s="6">
        <f t="shared" si="347"/>
        <v>-18375</v>
      </c>
      <c r="CH521" s="6">
        <f t="shared" si="348"/>
        <v>-219750</v>
      </c>
    </row>
    <row r="522" spans="1:86" hidden="1" x14ac:dyDescent="0.35">
      <c r="A522" s="3" t="s">
        <v>928</v>
      </c>
      <c r="B522" s="21">
        <v>347000</v>
      </c>
      <c r="C522" s="21">
        <v>347000</v>
      </c>
      <c r="D522" s="21">
        <v>347000</v>
      </c>
      <c r="E522" s="21">
        <v>347000</v>
      </c>
      <c r="F522" s="21">
        <v>347000</v>
      </c>
      <c r="G522" s="21">
        <v>347000</v>
      </c>
      <c r="H522" s="21">
        <v>347000</v>
      </c>
      <c r="I522" s="21">
        <v>347000</v>
      </c>
      <c r="J522" s="21">
        <v>347000</v>
      </c>
      <c r="K522" s="21">
        <v>347000</v>
      </c>
      <c r="L522" s="21">
        <v>347000</v>
      </c>
      <c r="M522" s="21">
        <v>347000</v>
      </c>
      <c r="N522" s="27">
        <f t="shared" si="350"/>
        <v>4164000</v>
      </c>
      <c r="AA522" s="27">
        <f t="shared" si="351"/>
        <v>0</v>
      </c>
      <c r="AB522" s="10">
        <f t="shared" si="352"/>
        <v>347000</v>
      </c>
      <c r="AC522" s="10">
        <f t="shared" si="352"/>
        <v>347000</v>
      </c>
      <c r="AD522" s="10">
        <f t="shared" si="352"/>
        <v>347000</v>
      </c>
      <c r="AE522" s="10">
        <f t="shared" si="352"/>
        <v>347000</v>
      </c>
      <c r="AF522" s="10">
        <f t="shared" si="352"/>
        <v>347000</v>
      </c>
      <c r="AG522" s="10">
        <f t="shared" si="352"/>
        <v>347000</v>
      </c>
      <c r="AH522" s="10">
        <f t="shared" si="352"/>
        <v>347000</v>
      </c>
      <c r="AI522" s="10">
        <f t="shared" si="352"/>
        <v>347000</v>
      </c>
      <c r="AJ522" s="10">
        <f t="shared" si="352"/>
        <v>347000</v>
      </c>
      <c r="AK522" s="10">
        <f t="shared" si="352"/>
        <v>347000</v>
      </c>
      <c r="AL522" s="10">
        <f t="shared" si="352"/>
        <v>347000</v>
      </c>
      <c r="AM522" s="10">
        <f t="shared" si="352"/>
        <v>347000</v>
      </c>
      <c r="AN522" s="27">
        <f t="shared" si="352"/>
        <v>4164000</v>
      </c>
      <c r="AS522" t="str">
        <f>_xlfn.XLOOKUP(AU522,[2]GAE!HZ:HZ,[2]GAE!IA:IA)</f>
        <v>CORPORATE ACCOUNTING</v>
      </c>
      <c r="AT522" t="str">
        <f>_xlfn.XLOOKUP(AU522,[2]GAE!HZ:HZ,[2]GAE!IB:IB)</f>
        <v>GAE - Dues &amp; Fees</v>
      </c>
      <c r="AU522" t="s">
        <v>924</v>
      </c>
      <c r="AV522">
        <v>80134102</v>
      </c>
      <c r="AW522">
        <v>61711101</v>
      </c>
      <c r="AX522" t="str">
        <f>_xlfn.XLOOKUP(AU522,[2]GAE!HZ:HZ,[2]GAE!IF:IF)</f>
        <v>Others</v>
      </c>
      <c r="AY522" t="str">
        <f>_xlfn.XLOOKUP(AU522,[2]GAE!HZ:HZ,[2]GAE!IG:IG)</f>
        <v>Valle Verde</v>
      </c>
      <c r="BA522" t="s">
        <v>843</v>
      </c>
      <c r="BC522" t="s">
        <v>141</v>
      </c>
      <c r="BD522" t="s">
        <v>929</v>
      </c>
      <c r="BF522" t="s">
        <v>138</v>
      </c>
      <c r="BG522" s="2" t="s">
        <v>141</v>
      </c>
      <c r="BH522" s="10">
        <f>SUMIFS('[1]2026'!$K:$K,'[1]2026'!$T:$T,BD522,'[1]2026'!$S:$S,BH$3,'[1]2026'!$P:$P,AU522)</f>
        <v>346041.63</v>
      </c>
      <c r="BI522" s="10">
        <f>SUMIFS('[1]2026'!$K:$K,'[1]2026'!$T:$T,$BD522,'[1]2026'!$S:$S,BI$3,'[1]2026'!$P:$P,$AU522)</f>
        <v>346041.67</v>
      </c>
      <c r="BJ522" s="10">
        <f>SUMIFS('[1]2026'!$K:$K,'[1]2026'!$T:$T,$BD522,'[1]2026'!$S:$S,BJ$3,'[1]2026'!$P:$P,$AU522)</f>
        <v>346041.67</v>
      </c>
      <c r="BK522" s="10">
        <f>SUMIFS('[1]2026'!$K:$K,'[1]2026'!$T:$T,$BD522,'[1]2026'!$S:$S,BK$3,'[1]2026'!$P:$P,$AU522)</f>
        <v>346041.67</v>
      </c>
      <c r="BL522" s="10">
        <f>SUMIFS('[1]2026'!$K:$K,'[1]2026'!$T:$T,$BD522,'[1]2026'!$S:$S,BL$3,'[1]2026'!$P:$P,$AU522)</f>
        <v>346041.67</v>
      </c>
      <c r="BM522" s="10">
        <f>SUMIFS('[1]2026'!$K:$K,'[1]2026'!$T:$T,$BD522,'[1]2026'!$S:$S,BM$3,'[1]2026'!$P:$P,$AU522)</f>
        <v>346041.67</v>
      </c>
      <c r="BN522" s="10">
        <f>SUMIFS('[1]2026'!$K:$K,'[1]2026'!$T:$T,$BD522,'[1]2026'!$S:$S,BN$3,'[1]2026'!$P:$P,$AU522)</f>
        <v>346041.67</v>
      </c>
      <c r="BO522" s="10">
        <f>SUMIFS('[1]2026'!$K:$K,'[1]2026'!$T:$T,$BD522,'[1]2026'!$S:$S,BO$3,'[1]2026'!$P:$P,$AU522)</f>
        <v>346041.67</v>
      </c>
      <c r="BP522" s="6">
        <f t="shared" si="354"/>
        <v>346041.67</v>
      </c>
      <c r="BQ522" s="6">
        <f t="shared" si="354"/>
        <v>346041.67</v>
      </c>
      <c r="BR522" s="6">
        <f t="shared" si="354"/>
        <v>346041.67</v>
      </c>
      <c r="BS522" s="6">
        <f t="shared" si="354"/>
        <v>346041.67</v>
      </c>
      <c r="BT522" s="6">
        <f t="shared" si="318"/>
        <v>4152499.9999999995</v>
      </c>
      <c r="BV522" s="6">
        <f t="shared" si="336"/>
        <v>-958.36999999999534</v>
      </c>
      <c r="BW522" s="6">
        <f t="shared" si="337"/>
        <v>-958.3300000000163</v>
      </c>
      <c r="BX522" s="6">
        <f t="shared" si="338"/>
        <v>-958.3300000000163</v>
      </c>
      <c r="BY522" s="6">
        <f t="shared" si="339"/>
        <v>-958.3300000000163</v>
      </c>
      <c r="BZ522" s="6">
        <f t="shared" si="340"/>
        <v>-958.3300000000163</v>
      </c>
      <c r="CA522" s="6">
        <f t="shared" si="341"/>
        <v>-958.3300000000163</v>
      </c>
      <c r="CB522" s="6">
        <f t="shared" si="342"/>
        <v>-958.3300000000163</v>
      </c>
      <c r="CC522" s="6">
        <f t="shared" si="343"/>
        <v>-958.3300000000163</v>
      </c>
      <c r="CD522" s="6">
        <f t="shared" si="344"/>
        <v>-958.3300000000163</v>
      </c>
      <c r="CE522" s="6">
        <f t="shared" si="345"/>
        <v>-958.3300000000163</v>
      </c>
      <c r="CF522" s="6">
        <f t="shared" si="346"/>
        <v>-958.3300000000163</v>
      </c>
      <c r="CG522" s="6">
        <f t="shared" si="347"/>
        <v>-958.3300000000163</v>
      </c>
      <c r="CH522" s="6">
        <f t="shared" si="348"/>
        <v>-11500.000000000466</v>
      </c>
    </row>
    <row r="523" spans="1:86" hidden="1" x14ac:dyDescent="0.35">
      <c r="A523" s="3" t="s">
        <v>930</v>
      </c>
      <c r="B523" s="21"/>
      <c r="C523" s="21"/>
      <c r="D523" s="21"/>
      <c r="E523" s="21">
        <v>528500</v>
      </c>
      <c r="F523" s="21"/>
      <c r="G523" s="21"/>
      <c r="H523" s="21"/>
      <c r="I523" s="21"/>
      <c r="J523" s="21"/>
      <c r="K523" s="21"/>
      <c r="L523" s="21"/>
      <c r="M523" s="21"/>
      <c r="N523" s="27">
        <f t="shared" si="350"/>
        <v>528500</v>
      </c>
      <c r="AA523" s="27">
        <f t="shared" si="351"/>
        <v>0</v>
      </c>
      <c r="AB523" s="10">
        <f t="shared" si="352"/>
        <v>0</v>
      </c>
      <c r="AC523" s="10">
        <f t="shared" si="352"/>
        <v>0</v>
      </c>
      <c r="AD523" s="10">
        <f t="shared" si="352"/>
        <v>0</v>
      </c>
      <c r="AE523" s="10">
        <f t="shared" si="352"/>
        <v>528500</v>
      </c>
      <c r="AF523" s="10">
        <f t="shared" si="352"/>
        <v>0</v>
      </c>
      <c r="AG523" s="10">
        <f t="shared" si="352"/>
        <v>0</v>
      </c>
      <c r="AH523" s="10">
        <f t="shared" si="352"/>
        <v>0</v>
      </c>
      <c r="AI523" s="10">
        <f t="shared" si="352"/>
        <v>0</v>
      </c>
      <c r="AJ523" s="10">
        <f t="shared" si="352"/>
        <v>0</v>
      </c>
      <c r="AK523" s="10">
        <f t="shared" si="352"/>
        <v>0</v>
      </c>
      <c r="AL523" s="10">
        <f t="shared" si="352"/>
        <v>0</v>
      </c>
      <c r="AM523" s="10">
        <f t="shared" si="352"/>
        <v>0</v>
      </c>
      <c r="AN523" s="27">
        <f t="shared" si="352"/>
        <v>528500</v>
      </c>
      <c r="AS523" t="str">
        <f>_xlfn.XLOOKUP(AU523,[2]GAE!HZ:HZ,[2]GAE!IA:IA)</f>
        <v>CORPORATE ACCOUNTING</v>
      </c>
      <c r="AT523" t="str">
        <f>_xlfn.XLOOKUP(AU523,[2]GAE!HZ:HZ,[2]GAE!IB:IB)</f>
        <v>GAE - Dues &amp; Fees</v>
      </c>
      <c r="AU523" t="s">
        <v>924</v>
      </c>
      <c r="AV523">
        <v>80134102</v>
      </c>
      <c r="AW523">
        <v>61711101</v>
      </c>
      <c r="AX523" t="str">
        <f>_xlfn.XLOOKUP(AU523,[2]GAE!HZ:HZ,[2]GAE!IF:IF)</f>
        <v>Others</v>
      </c>
      <c r="AY523" t="str">
        <f>_xlfn.XLOOKUP(AU523,[2]GAE!HZ:HZ,[2]GAE!IG:IG)</f>
        <v>Valle Verde</v>
      </c>
      <c r="BF523" t="s">
        <v>138</v>
      </c>
      <c r="BG523" s="2" t="s">
        <v>930</v>
      </c>
      <c r="BH523" s="10">
        <f>SUMIFS('[1]2026'!$K:$K,'[1]2026'!$T:$T,BD523,'[1]2026'!$S:$S,BH$3,'[1]2026'!$P:$P,AU523)</f>
        <v>0</v>
      </c>
      <c r="BI523" s="10">
        <f>SUMIFS('[1]2026'!$K:$K,'[1]2026'!$T:$T,$BD523,'[1]2026'!$S:$S,BI$3,'[1]2026'!$P:$P,$AU523)</f>
        <v>0</v>
      </c>
      <c r="BJ523" s="10">
        <f>SUMIFS('[1]2026'!$K:$K,'[1]2026'!$T:$T,$BD523,'[1]2026'!$S:$S,BJ$3,'[1]2026'!$P:$P,$AU523)</f>
        <v>0</v>
      </c>
      <c r="BK523" s="10">
        <f>SUMIFS('[1]2026'!$K:$K,'[1]2026'!$T:$T,$BD523,'[1]2026'!$S:$S,BK$3,'[1]2026'!$P:$P,$AU523)</f>
        <v>0</v>
      </c>
      <c r="BL523" s="10">
        <f>SUMIFS('[1]2026'!$K:$K,'[1]2026'!$T:$T,$BD523,'[1]2026'!$S:$S,BL$3,'[1]2026'!$P:$P,$AU523)</f>
        <v>0</v>
      </c>
      <c r="BM523" s="10">
        <f>SUMIFS('[1]2026'!$K:$K,'[1]2026'!$T:$T,$BD523,'[1]2026'!$S:$S,BM$3,'[1]2026'!$P:$P,$AU523)</f>
        <v>0</v>
      </c>
      <c r="BN523" s="10">
        <f>SUMIFS('[1]2026'!$K:$K,'[1]2026'!$T:$T,$BD523,'[1]2026'!$S:$S,BN$3,'[1]2026'!$P:$P,$AU523)</f>
        <v>0</v>
      </c>
      <c r="BO523" s="10">
        <f>SUMIFS('[1]2026'!$K:$K,'[1]2026'!$T:$T,$BD523,'[1]2026'!$S:$S,BO$3,'[1]2026'!$P:$P,$AU523)</f>
        <v>0</v>
      </c>
      <c r="BP523" s="6">
        <f t="shared" si="354"/>
        <v>0</v>
      </c>
      <c r="BQ523" s="6">
        <f t="shared" si="354"/>
        <v>0</v>
      </c>
      <c r="BR523" s="6">
        <f t="shared" si="354"/>
        <v>0</v>
      </c>
      <c r="BS523" s="6">
        <f t="shared" si="354"/>
        <v>0</v>
      </c>
      <c r="BT523" s="6">
        <f t="shared" si="318"/>
        <v>0</v>
      </c>
      <c r="BV523" s="6">
        <f t="shared" si="336"/>
        <v>0</v>
      </c>
      <c r="BW523" s="6">
        <f t="shared" si="337"/>
        <v>0</v>
      </c>
      <c r="BX523" s="6">
        <f t="shared" si="338"/>
        <v>0</v>
      </c>
      <c r="BY523" s="6">
        <f t="shared" si="339"/>
        <v>-528500</v>
      </c>
      <c r="BZ523" s="6">
        <f t="shared" si="340"/>
        <v>0</v>
      </c>
      <c r="CA523" s="6">
        <f t="shared" si="341"/>
        <v>0</v>
      </c>
      <c r="CB523" s="6">
        <f t="shared" si="342"/>
        <v>0</v>
      </c>
      <c r="CC523" s="6">
        <f t="shared" si="343"/>
        <v>0</v>
      </c>
      <c r="CD523" s="6">
        <f t="shared" si="344"/>
        <v>0</v>
      </c>
      <c r="CE523" s="6">
        <f t="shared" si="345"/>
        <v>0</v>
      </c>
      <c r="CF523" s="6">
        <f t="shared" si="346"/>
        <v>0</v>
      </c>
      <c r="CG523" s="6">
        <f t="shared" si="347"/>
        <v>0</v>
      </c>
      <c r="CH523" s="6">
        <f t="shared" si="348"/>
        <v>-528500</v>
      </c>
    </row>
    <row r="524" spans="1:86" hidden="1" x14ac:dyDescent="0.35">
      <c r="A524" s="3" t="s">
        <v>931</v>
      </c>
      <c r="E524" s="10">
        <v>300</v>
      </c>
      <c r="N524" s="27">
        <f t="shared" si="350"/>
        <v>300</v>
      </c>
      <c r="AA524" s="27">
        <f t="shared" si="351"/>
        <v>0</v>
      </c>
      <c r="AB524" s="10">
        <f t="shared" si="352"/>
        <v>0</v>
      </c>
      <c r="AC524" s="10">
        <f t="shared" si="352"/>
        <v>0</v>
      </c>
      <c r="AD524" s="10">
        <f t="shared" si="352"/>
        <v>0</v>
      </c>
      <c r="AE524" s="10">
        <f t="shared" si="352"/>
        <v>300</v>
      </c>
      <c r="AF524" s="10">
        <f t="shared" si="352"/>
        <v>0</v>
      </c>
      <c r="AG524" s="10">
        <f t="shared" si="352"/>
        <v>0</v>
      </c>
      <c r="AH524" s="10">
        <f t="shared" si="352"/>
        <v>0</v>
      </c>
      <c r="AI524" s="10">
        <f t="shared" si="352"/>
        <v>0</v>
      </c>
      <c r="AJ524" s="10">
        <f t="shared" si="352"/>
        <v>0</v>
      </c>
      <c r="AK524" s="10">
        <f t="shared" si="352"/>
        <v>0</v>
      </c>
      <c r="AL524" s="10">
        <f t="shared" si="352"/>
        <v>0</v>
      </c>
      <c r="AM524" s="10">
        <f t="shared" si="352"/>
        <v>0</v>
      </c>
      <c r="AN524" s="27">
        <f t="shared" si="352"/>
        <v>300</v>
      </c>
      <c r="AS524" t="str">
        <f>_xlfn.XLOOKUP(AU524,[2]GAE!HZ:HZ,[2]GAE!IA:IA)</f>
        <v>CORPORATE ACCOUNTING</v>
      </c>
      <c r="AT524" t="str">
        <f>_xlfn.XLOOKUP(AU524,[2]GAE!HZ:HZ,[2]GAE!IB:IB)</f>
        <v>DOE - Dues &amp; Fees</v>
      </c>
      <c r="AU524" t="s">
        <v>932</v>
      </c>
      <c r="AV524">
        <v>81134102</v>
      </c>
      <c r="AW524">
        <v>52952101</v>
      </c>
      <c r="AX524" t="str">
        <f>_xlfn.XLOOKUP(AU524,[2]GAE!HZ:HZ,[2]GAE!IF:IF)</f>
        <v>Others</v>
      </c>
      <c r="AY524" t="str">
        <f>_xlfn.XLOOKUP(AU524,[2]GAE!HZ:HZ,[2]GAE!IG:IG)</f>
        <v>Dues and Fees</v>
      </c>
      <c r="BF524" t="s">
        <v>7</v>
      </c>
      <c r="BG524" s="2" t="s">
        <v>1244</v>
      </c>
      <c r="BH524" s="10">
        <f>SUMIFS('[1]2026'!$K:$K,'[1]2026'!$T:$T,BD524,'[1]2026'!$S:$S,BH$3,'[1]2026'!$P:$P,AU524)</f>
        <v>0</v>
      </c>
      <c r="BI524" s="10">
        <f>SUMIFS('[1]2026'!$K:$K,'[1]2026'!$T:$T,$BD524,'[1]2026'!$S:$S,BI$3,'[1]2026'!$P:$P,$AU524)</f>
        <v>0</v>
      </c>
      <c r="BJ524" s="10">
        <f>SUMIFS('[1]2026'!$K:$K,'[1]2026'!$T:$T,$BD524,'[1]2026'!$S:$S,BJ$3,'[1]2026'!$P:$P,$AU524)</f>
        <v>0</v>
      </c>
      <c r="BK524" s="10">
        <f>SUMIFS('[1]2026'!$K:$K,'[1]2026'!$T:$T,$BD524,'[1]2026'!$S:$S,BK$3,'[1]2026'!$P:$P,$AU524)</f>
        <v>0</v>
      </c>
      <c r="BL524" s="10">
        <f>SUMIFS('[1]2026'!$K:$K,'[1]2026'!$T:$T,$BD524,'[1]2026'!$S:$S,BL$3,'[1]2026'!$P:$P,$AU524)</f>
        <v>0</v>
      </c>
      <c r="BM524" s="10">
        <f>SUMIFS('[1]2026'!$K:$K,'[1]2026'!$T:$T,$BD524,'[1]2026'!$S:$S,BM$3,'[1]2026'!$P:$P,$AU524)</f>
        <v>0</v>
      </c>
      <c r="BN524" s="10">
        <f>SUMIFS('[1]2026'!$K:$K,'[1]2026'!$T:$T,$BD524,'[1]2026'!$S:$S,BN$3,'[1]2026'!$P:$P,$AU524)</f>
        <v>0</v>
      </c>
      <c r="BO524" s="10">
        <f>SUMIFS('[1]2026'!$K:$K,'[1]2026'!$T:$T,$BD524,'[1]2026'!$S:$S,BO$3,'[1]2026'!$P:$P,$AU524)</f>
        <v>0</v>
      </c>
      <c r="BP524" s="6"/>
      <c r="BQ524" s="6"/>
      <c r="BR524" s="6"/>
      <c r="BS524" s="6"/>
      <c r="BT524" s="6">
        <f t="shared" si="318"/>
        <v>0</v>
      </c>
      <c r="BV524" s="6">
        <f t="shared" si="336"/>
        <v>0</v>
      </c>
      <c r="BW524" s="6">
        <f t="shared" si="337"/>
        <v>0</v>
      </c>
      <c r="BX524" s="6">
        <f t="shared" si="338"/>
        <v>0</v>
      </c>
      <c r="BY524" s="6">
        <f t="shared" si="339"/>
        <v>-300</v>
      </c>
      <c r="BZ524" s="6">
        <f t="shared" si="340"/>
        <v>0</v>
      </c>
      <c r="CA524" s="6">
        <f t="shared" si="341"/>
        <v>0</v>
      </c>
      <c r="CB524" s="6">
        <f t="shared" si="342"/>
        <v>0</v>
      </c>
      <c r="CC524" s="6">
        <f t="shared" si="343"/>
        <v>0</v>
      </c>
      <c r="CD524" s="6">
        <f t="shared" si="344"/>
        <v>0</v>
      </c>
      <c r="CE524" s="6">
        <f t="shared" si="345"/>
        <v>0</v>
      </c>
      <c r="CF524" s="6">
        <f t="shared" si="346"/>
        <v>0</v>
      </c>
      <c r="CG524" s="6">
        <f t="shared" si="347"/>
        <v>0</v>
      </c>
      <c r="CH524" s="6">
        <f t="shared" si="348"/>
        <v>-300</v>
      </c>
    </row>
    <row r="525" spans="1:86" hidden="1" x14ac:dyDescent="0.35">
      <c r="A525" s="3" t="s">
        <v>931</v>
      </c>
      <c r="E525" s="10">
        <v>300</v>
      </c>
      <c r="N525" s="27">
        <f t="shared" si="350"/>
        <v>300</v>
      </c>
      <c r="AA525" s="27">
        <f t="shared" si="351"/>
        <v>0</v>
      </c>
      <c r="AB525" s="10">
        <f t="shared" si="352"/>
        <v>0</v>
      </c>
      <c r="AC525" s="10">
        <f t="shared" si="352"/>
        <v>0</v>
      </c>
      <c r="AD525" s="10">
        <f t="shared" si="352"/>
        <v>0</v>
      </c>
      <c r="AE525" s="10">
        <f t="shared" si="352"/>
        <v>300</v>
      </c>
      <c r="AF525" s="10">
        <f t="shared" si="352"/>
        <v>0</v>
      </c>
      <c r="AG525" s="10">
        <f t="shared" si="352"/>
        <v>0</v>
      </c>
      <c r="AH525" s="10">
        <f t="shared" si="352"/>
        <v>0</v>
      </c>
      <c r="AI525" s="10">
        <f t="shared" si="352"/>
        <v>0</v>
      </c>
      <c r="AJ525" s="10">
        <f t="shared" si="352"/>
        <v>0</v>
      </c>
      <c r="AK525" s="10">
        <f t="shared" si="352"/>
        <v>0</v>
      </c>
      <c r="AL525" s="10">
        <f t="shared" si="352"/>
        <v>0</v>
      </c>
      <c r="AM525" s="10">
        <f t="shared" si="352"/>
        <v>0</v>
      </c>
      <c r="AN525" s="27">
        <f t="shared" si="352"/>
        <v>300</v>
      </c>
      <c r="AS525" t="str">
        <f>_xlfn.XLOOKUP(AU525,[2]GAE!HZ:HZ,[2]GAE!IA:IA)</f>
        <v>CORPORATE ACCOUNTING</v>
      </c>
      <c r="AT525" t="str">
        <f>_xlfn.XLOOKUP(AU525,[2]GAE!HZ:HZ,[2]GAE!IB:IB)</f>
        <v>DOE - Dues &amp; Fees</v>
      </c>
      <c r="AU525" t="s">
        <v>933</v>
      </c>
      <c r="AV525">
        <v>90134102</v>
      </c>
      <c r="AW525">
        <v>52952101</v>
      </c>
      <c r="AX525" t="str">
        <f>_xlfn.XLOOKUP(AU525,[2]GAE!HZ:HZ,[2]GAE!IF:IF)</f>
        <v>Others</v>
      </c>
      <c r="AY525" t="str">
        <f>_xlfn.XLOOKUP(AU525,[2]GAE!HZ:HZ,[2]GAE!IG:IG)</f>
        <v>Dues and Fees</v>
      </c>
      <c r="BF525" t="s">
        <v>7</v>
      </c>
      <c r="BG525" s="2" t="s">
        <v>1244</v>
      </c>
      <c r="BH525" s="10">
        <f>SUMIFS('[1]2026'!$K:$K,'[1]2026'!$T:$T,BD525,'[1]2026'!$S:$S,BH$3,'[1]2026'!$P:$P,AU525)</f>
        <v>0</v>
      </c>
      <c r="BI525" s="10">
        <f>SUMIFS('[1]2026'!$K:$K,'[1]2026'!$T:$T,$BD525,'[1]2026'!$S:$S,BI$3,'[1]2026'!$P:$P,$AU525)</f>
        <v>0</v>
      </c>
      <c r="BJ525" s="10">
        <f>SUMIFS('[1]2026'!$K:$K,'[1]2026'!$T:$T,$BD525,'[1]2026'!$S:$S,BJ$3,'[1]2026'!$P:$P,$AU525)</f>
        <v>0</v>
      </c>
      <c r="BK525" s="10">
        <f>SUMIFS('[1]2026'!$K:$K,'[1]2026'!$T:$T,$BD525,'[1]2026'!$S:$S,BK$3,'[1]2026'!$P:$P,$AU525)</f>
        <v>0</v>
      </c>
      <c r="BL525" s="10">
        <f>SUMIFS('[1]2026'!$K:$K,'[1]2026'!$T:$T,$BD525,'[1]2026'!$S:$S,BL$3,'[1]2026'!$P:$P,$AU525)</f>
        <v>0</v>
      </c>
      <c r="BM525" s="10">
        <f>SUMIFS('[1]2026'!$K:$K,'[1]2026'!$T:$T,$BD525,'[1]2026'!$S:$S,BM$3,'[1]2026'!$P:$P,$AU525)</f>
        <v>0</v>
      </c>
      <c r="BN525" s="10">
        <f>SUMIFS('[1]2026'!$K:$K,'[1]2026'!$T:$T,$BD525,'[1]2026'!$S:$S,BN$3,'[1]2026'!$P:$P,$AU525)</f>
        <v>0</v>
      </c>
      <c r="BO525" s="10">
        <f>SUMIFS('[1]2026'!$K:$K,'[1]2026'!$T:$T,$BD525,'[1]2026'!$S:$S,BO$3,'[1]2026'!$P:$P,$AU525)</f>
        <v>0</v>
      </c>
      <c r="BP525" s="6"/>
      <c r="BQ525" s="6"/>
      <c r="BR525" s="6"/>
      <c r="BS525" s="6"/>
      <c r="BT525" s="6">
        <f t="shared" si="318"/>
        <v>0</v>
      </c>
      <c r="BV525" s="6">
        <f t="shared" si="336"/>
        <v>0</v>
      </c>
      <c r="BW525" s="6">
        <f t="shared" si="337"/>
        <v>0</v>
      </c>
      <c r="BX525" s="6">
        <f t="shared" si="338"/>
        <v>0</v>
      </c>
      <c r="BY525" s="6">
        <f t="shared" si="339"/>
        <v>-300</v>
      </c>
      <c r="BZ525" s="6">
        <f t="shared" si="340"/>
        <v>0</v>
      </c>
      <c r="CA525" s="6">
        <f t="shared" si="341"/>
        <v>0</v>
      </c>
      <c r="CB525" s="6">
        <f t="shared" si="342"/>
        <v>0</v>
      </c>
      <c r="CC525" s="6">
        <f t="shared" si="343"/>
        <v>0</v>
      </c>
      <c r="CD525" s="6">
        <f t="shared" si="344"/>
        <v>0</v>
      </c>
      <c r="CE525" s="6">
        <f t="shared" si="345"/>
        <v>0</v>
      </c>
      <c r="CF525" s="6">
        <f t="shared" si="346"/>
        <v>0</v>
      </c>
      <c r="CG525" s="6">
        <f t="shared" si="347"/>
        <v>0</v>
      </c>
      <c r="CH525" s="6">
        <f t="shared" si="348"/>
        <v>-300</v>
      </c>
    </row>
    <row r="526" spans="1:86" hidden="1" x14ac:dyDescent="0.35">
      <c r="A526" s="3" t="s">
        <v>934</v>
      </c>
      <c r="E526" s="10">
        <v>1600</v>
      </c>
      <c r="N526" s="27">
        <f t="shared" si="350"/>
        <v>1600</v>
      </c>
      <c r="AA526" s="27">
        <f t="shared" si="351"/>
        <v>0</v>
      </c>
      <c r="AB526" s="10">
        <f t="shared" si="352"/>
        <v>0</v>
      </c>
      <c r="AC526" s="10">
        <f t="shared" si="352"/>
        <v>0</v>
      </c>
      <c r="AD526" s="10">
        <f t="shared" si="352"/>
        <v>0</v>
      </c>
      <c r="AE526" s="10">
        <f t="shared" si="352"/>
        <v>1600</v>
      </c>
      <c r="AF526" s="10">
        <f t="shared" si="352"/>
        <v>0</v>
      </c>
      <c r="AG526" s="10">
        <f t="shared" si="352"/>
        <v>0</v>
      </c>
      <c r="AH526" s="10">
        <f t="shared" si="352"/>
        <v>0</v>
      </c>
      <c r="AI526" s="10">
        <f t="shared" si="352"/>
        <v>0</v>
      </c>
      <c r="AJ526" s="10">
        <f t="shared" si="352"/>
        <v>0</v>
      </c>
      <c r="AK526" s="10">
        <f t="shared" si="352"/>
        <v>0</v>
      </c>
      <c r="AL526" s="10">
        <f t="shared" si="352"/>
        <v>0</v>
      </c>
      <c r="AM526" s="10">
        <f t="shared" si="352"/>
        <v>0</v>
      </c>
      <c r="AN526" s="27">
        <f t="shared" si="352"/>
        <v>1600</v>
      </c>
      <c r="AS526" t="str">
        <f>_xlfn.XLOOKUP(AU526,[2]GAE!HZ:HZ,[2]GAE!IA:IA)</f>
        <v>CORPORATE ACCOUNTING</v>
      </c>
      <c r="AT526" t="str">
        <f>_xlfn.XLOOKUP(AU526,[2]GAE!HZ:HZ,[2]GAE!IB:IB)</f>
        <v>DOE - Dues &amp; Fees</v>
      </c>
      <c r="AU526" t="s">
        <v>933</v>
      </c>
      <c r="AV526">
        <v>90134102</v>
      </c>
      <c r="AW526">
        <v>52952101</v>
      </c>
      <c r="AX526" t="str">
        <f>_xlfn.XLOOKUP(AU526,[2]GAE!HZ:HZ,[2]GAE!IF:IF)</f>
        <v>Others</v>
      </c>
      <c r="AY526" t="str">
        <f>_xlfn.XLOOKUP(AU526,[2]GAE!HZ:HZ,[2]GAE!IG:IG)</f>
        <v>Dues and Fees</v>
      </c>
      <c r="BF526" t="s">
        <v>7</v>
      </c>
      <c r="BG526" s="2" t="s">
        <v>1244</v>
      </c>
      <c r="BH526" s="10">
        <f>SUMIFS('[1]2026'!$K:$K,'[1]2026'!$T:$T,BD526,'[1]2026'!$S:$S,BH$3,'[1]2026'!$P:$P,AU526)</f>
        <v>0</v>
      </c>
      <c r="BI526" s="10">
        <f>SUMIFS('[1]2026'!$K:$K,'[1]2026'!$T:$T,$BD526,'[1]2026'!$S:$S,BI$3,'[1]2026'!$P:$P,$AU526)</f>
        <v>0</v>
      </c>
      <c r="BJ526" s="10">
        <f>SUMIFS('[1]2026'!$K:$K,'[1]2026'!$T:$T,$BD526,'[1]2026'!$S:$S,BJ$3,'[1]2026'!$P:$P,$AU526)</f>
        <v>0</v>
      </c>
      <c r="BK526" s="10">
        <f>SUMIFS('[1]2026'!$K:$K,'[1]2026'!$T:$T,$BD526,'[1]2026'!$S:$S,BK$3,'[1]2026'!$P:$P,$AU526)</f>
        <v>0</v>
      </c>
      <c r="BL526" s="10">
        <f>SUMIFS('[1]2026'!$K:$K,'[1]2026'!$T:$T,$BD526,'[1]2026'!$S:$S,BL$3,'[1]2026'!$P:$P,$AU526)</f>
        <v>0</v>
      </c>
      <c r="BM526" s="10">
        <f>SUMIFS('[1]2026'!$K:$K,'[1]2026'!$T:$T,$BD526,'[1]2026'!$S:$S,BM$3,'[1]2026'!$P:$P,$AU526)</f>
        <v>0</v>
      </c>
      <c r="BN526" s="10">
        <f>SUMIFS('[1]2026'!$K:$K,'[1]2026'!$T:$T,$BD526,'[1]2026'!$S:$S,BN$3,'[1]2026'!$P:$P,$AU526)</f>
        <v>0</v>
      </c>
      <c r="BO526" s="10">
        <f>SUMIFS('[1]2026'!$K:$K,'[1]2026'!$T:$T,$BD526,'[1]2026'!$S:$S,BO$3,'[1]2026'!$P:$P,$AU526)</f>
        <v>0</v>
      </c>
      <c r="BP526" s="6"/>
      <c r="BQ526" s="6"/>
      <c r="BR526" s="6"/>
      <c r="BS526" s="6"/>
      <c r="BT526" s="6">
        <f t="shared" si="318"/>
        <v>0</v>
      </c>
      <c r="BV526" s="6">
        <f t="shared" si="336"/>
        <v>0</v>
      </c>
      <c r="BW526" s="6">
        <f t="shared" si="337"/>
        <v>0</v>
      </c>
      <c r="BX526" s="6">
        <f t="shared" si="338"/>
        <v>0</v>
      </c>
      <c r="BY526" s="6">
        <f t="shared" si="339"/>
        <v>-1600</v>
      </c>
      <c r="BZ526" s="6">
        <f t="shared" si="340"/>
        <v>0</v>
      </c>
      <c r="CA526" s="6">
        <f t="shared" si="341"/>
        <v>0</v>
      </c>
      <c r="CB526" s="6">
        <f t="shared" si="342"/>
        <v>0</v>
      </c>
      <c r="CC526" s="6">
        <f t="shared" si="343"/>
        <v>0</v>
      </c>
      <c r="CD526" s="6">
        <f t="shared" si="344"/>
        <v>0</v>
      </c>
      <c r="CE526" s="6">
        <f t="shared" si="345"/>
        <v>0</v>
      </c>
      <c r="CF526" s="6">
        <f t="shared" si="346"/>
        <v>0</v>
      </c>
      <c r="CG526" s="6">
        <f t="shared" si="347"/>
        <v>0</v>
      </c>
      <c r="CH526" s="6">
        <f t="shared" si="348"/>
        <v>-1600</v>
      </c>
    </row>
    <row r="527" spans="1:86" hidden="1" x14ac:dyDescent="0.35">
      <c r="A527" s="3" t="s">
        <v>935</v>
      </c>
      <c r="E527" s="10">
        <v>1600</v>
      </c>
      <c r="N527" s="27">
        <f t="shared" si="350"/>
        <v>1600</v>
      </c>
      <c r="AA527" s="27">
        <f t="shared" si="351"/>
        <v>0</v>
      </c>
      <c r="AB527" s="10">
        <f t="shared" si="352"/>
        <v>0</v>
      </c>
      <c r="AC527" s="10">
        <f t="shared" si="352"/>
        <v>0</v>
      </c>
      <c r="AD527" s="10">
        <f t="shared" si="352"/>
        <v>0</v>
      </c>
      <c r="AE527" s="10">
        <f t="shared" si="352"/>
        <v>1600</v>
      </c>
      <c r="AF527" s="10">
        <f t="shared" si="352"/>
        <v>0</v>
      </c>
      <c r="AG527" s="10">
        <f t="shared" si="352"/>
        <v>0</v>
      </c>
      <c r="AH527" s="10">
        <f t="shared" si="352"/>
        <v>0</v>
      </c>
      <c r="AI527" s="10">
        <f t="shared" si="352"/>
        <v>0</v>
      </c>
      <c r="AJ527" s="10">
        <f t="shared" si="352"/>
        <v>0</v>
      </c>
      <c r="AK527" s="10">
        <f t="shared" si="352"/>
        <v>0</v>
      </c>
      <c r="AL527" s="10">
        <f t="shared" si="352"/>
        <v>0</v>
      </c>
      <c r="AM527" s="10">
        <f t="shared" si="352"/>
        <v>0</v>
      </c>
      <c r="AN527" s="27">
        <f t="shared" si="352"/>
        <v>1600</v>
      </c>
      <c r="AS527" t="str">
        <f>_xlfn.XLOOKUP(AU527,[2]GAE!HZ:HZ,[2]GAE!IA:IA)</f>
        <v>CORPORATE ACCOUNTING</v>
      </c>
      <c r="AT527" t="str">
        <f>_xlfn.XLOOKUP(AU527,[2]GAE!HZ:HZ,[2]GAE!IB:IB)</f>
        <v>DOE - Dues &amp; Fees</v>
      </c>
      <c r="AU527" t="s">
        <v>932</v>
      </c>
      <c r="AV527">
        <v>81134102</v>
      </c>
      <c r="AW527">
        <v>52952101</v>
      </c>
      <c r="AX527" t="str">
        <f>_xlfn.XLOOKUP(AU527,[2]GAE!HZ:HZ,[2]GAE!IF:IF)</f>
        <v>Others</v>
      </c>
      <c r="AY527" t="str">
        <f>_xlfn.XLOOKUP(AU527,[2]GAE!HZ:HZ,[2]GAE!IG:IG)</f>
        <v>Dues and Fees</v>
      </c>
      <c r="BC527" t="s">
        <v>142</v>
      </c>
      <c r="BD527" s="30" t="s">
        <v>936</v>
      </c>
      <c r="BE527" s="30"/>
      <c r="BF527" t="s">
        <v>7</v>
      </c>
      <c r="BG527" s="2" t="s">
        <v>1244</v>
      </c>
      <c r="BH527" s="10">
        <f>SUMIFS('[1]2026'!$K:$K,'[1]2026'!$T:$T,BD527,'[1]2026'!$S:$S,BH$3,'[1]2026'!$P:$P,AU527)</f>
        <v>0</v>
      </c>
      <c r="BI527" s="10">
        <f>SUMIFS('[1]2026'!$K:$K,'[1]2026'!$T:$T,$BD527,'[1]2026'!$S:$S,BI$3,'[1]2026'!$P:$P,$AU527)</f>
        <v>1000</v>
      </c>
      <c r="BJ527" s="10">
        <f>SUMIFS('[1]2026'!$K:$K,'[1]2026'!$T:$T,$BD527,'[1]2026'!$S:$S,BJ$3,'[1]2026'!$P:$P,$AU527)</f>
        <v>0</v>
      </c>
      <c r="BK527" s="10">
        <f>SUMIFS('[1]2026'!$K:$K,'[1]2026'!$T:$T,$BD527,'[1]2026'!$S:$S,BK$3,'[1]2026'!$P:$P,$AU527)</f>
        <v>0</v>
      </c>
      <c r="BL527" s="10">
        <f>SUMIFS('[1]2026'!$K:$K,'[1]2026'!$T:$T,$BD527,'[1]2026'!$S:$S,BL$3,'[1]2026'!$P:$P,$AU527)</f>
        <v>0</v>
      </c>
      <c r="BM527" s="10">
        <f>SUMIFS('[1]2026'!$K:$K,'[1]2026'!$T:$T,$BD527,'[1]2026'!$S:$S,BM$3,'[1]2026'!$P:$P,$AU527)</f>
        <v>0</v>
      </c>
      <c r="BN527" s="10">
        <f>SUMIFS('[1]2026'!$K:$K,'[1]2026'!$T:$T,$BD527,'[1]2026'!$S:$S,BN$3,'[1]2026'!$P:$P,$AU527)</f>
        <v>0</v>
      </c>
      <c r="BO527" s="10">
        <f>SUMIFS('[1]2026'!$K:$K,'[1]2026'!$T:$T,$BD527,'[1]2026'!$S:$S,BO$3,'[1]2026'!$P:$P,$AU527)</f>
        <v>0</v>
      </c>
      <c r="BP527" s="6"/>
      <c r="BQ527" s="6"/>
      <c r="BR527" s="6"/>
      <c r="BS527" s="6"/>
      <c r="BT527" s="6">
        <f t="shared" si="318"/>
        <v>1000</v>
      </c>
      <c r="BV527" s="6">
        <f t="shared" si="336"/>
        <v>0</v>
      </c>
      <c r="BW527" s="6">
        <f t="shared" si="337"/>
        <v>1000</v>
      </c>
      <c r="BX527" s="6">
        <f t="shared" si="338"/>
        <v>0</v>
      </c>
      <c r="BY527" s="6">
        <f t="shared" si="339"/>
        <v>-1600</v>
      </c>
      <c r="BZ527" s="6">
        <f t="shared" si="340"/>
        <v>0</v>
      </c>
      <c r="CA527" s="6">
        <f t="shared" si="341"/>
        <v>0</v>
      </c>
      <c r="CB527" s="6">
        <f t="shared" si="342"/>
        <v>0</v>
      </c>
      <c r="CC527" s="6">
        <f t="shared" si="343"/>
        <v>0</v>
      </c>
      <c r="CD527" s="6">
        <f t="shared" si="344"/>
        <v>0</v>
      </c>
      <c r="CE527" s="6">
        <f t="shared" si="345"/>
        <v>0</v>
      </c>
      <c r="CF527" s="6">
        <f t="shared" si="346"/>
        <v>0</v>
      </c>
      <c r="CG527" s="6">
        <f t="shared" si="347"/>
        <v>0</v>
      </c>
      <c r="CH527" s="6">
        <f t="shared" si="348"/>
        <v>-600</v>
      </c>
    </row>
    <row r="528" spans="1:86" hidden="1" x14ac:dyDescent="0.35">
      <c r="A528" s="3" t="s">
        <v>935</v>
      </c>
      <c r="E528" s="10">
        <v>1600</v>
      </c>
      <c r="N528" s="27">
        <f t="shared" si="350"/>
        <v>1600</v>
      </c>
      <c r="AA528" s="27">
        <f t="shared" si="351"/>
        <v>0</v>
      </c>
      <c r="AB528" s="10">
        <f t="shared" si="352"/>
        <v>0</v>
      </c>
      <c r="AC528" s="10">
        <f t="shared" si="352"/>
        <v>0</v>
      </c>
      <c r="AD528" s="10">
        <f t="shared" si="352"/>
        <v>0</v>
      </c>
      <c r="AE528" s="10">
        <f t="shared" si="352"/>
        <v>1600</v>
      </c>
      <c r="AF528" s="10">
        <f t="shared" si="352"/>
        <v>0</v>
      </c>
      <c r="AG528" s="10">
        <f t="shared" si="352"/>
        <v>0</v>
      </c>
      <c r="AH528" s="10">
        <f t="shared" si="352"/>
        <v>0</v>
      </c>
      <c r="AI528" s="10">
        <f t="shared" si="352"/>
        <v>0</v>
      </c>
      <c r="AJ528" s="10">
        <f t="shared" si="352"/>
        <v>0</v>
      </c>
      <c r="AK528" s="10">
        <f t="shared" si="352"/>
        <v>0</v>
      </c>
      <c r="AL528" s="10">
        <f t="shared" si="352"/>
        <v>0</v>
      </c>
      <c r="AM528" s="10">
        <f t="shared" si="352"/>
        <v>0</v>
      </c>
      <c r="AN528" s="27">
        <f t="shared" si="352"/>
        <v>1600</v>
      </c>
      <c r="AS528" t="str">
        <f>_xlfn.XLOOKUP(AU528,[2]GAE!HZ:HZ,[2]GAE!IA:IA)</f>
        <v>CORPORATE ACCOUNTING</v>
      </c>
      <c r="AT528" t="str">
        <f>_xlfn.XLOOKUP(AU528,[2]GAE!HZ:HZ,[2]GAE!IB:IB)</f>
        <v>DOE - Dues &amp; Fees</v>
      </c>
      <c r="AU528" t="s">
        <v>933</v>
      </c>
      <c r="AV528">
        <v>90134102</v>
      </c>
      <c r="AW528">
        <v>52952101</v>
      </c>
      <c r="AX528" t="str">
        <f>_xlfn.XLOOKUP(AU528,[2]GAE!HZ:HZ,[2]GAE!IF:IF)</f>
        <v>Others</v>
      </c>
      <c r="AY528" t="str">
        <f>_xlfn.XLOOKUP(AU528,[2]GAE!HZ:HZ,[2]GAE!IG:IG)</f>
        <v>Dues and Fees</v>
      </c>
      <c r="BF528" t="s">
        <v>7</v>
      </c>
      <c r="BG528" s="2" t="s">
        <v>1244</v>
      </c>
      <c r="BH528" s="10">
        <f>SUMIFS('[1]2026'!$K:$K,'[1]2026'!$T:$T,BD528,'[1]2026'!$S:$S,BH$3,'[1]2026'!$P:$P,AU528)</f>
        <v>0</v>
      </c>
      <c r="BI528" s="10">
        <f>SUMIFS('[1]2026'!$K:$K,'[1]2026'!$T:$T,$BD528,'[1]2026'!$S:$S,BI$3,'[1]2026'!$P:$P,$AU528)</f>
        <v>0</v>
      </c>
      <c r="BJ528" s="10">
        <f>SUMIFS('[1]2026'!$K:$K,'[1]2026'!$T:$T,$BD528,'[1]2026'!$S:$S,BJ$3,'[1]2026'!$P:$P,$AU528)</f>
        <v>0</v>
      </c>
      <c r="BK528" s="10">
        <f>SUMIFS('[1]2026'!$K:$K,'[1]2026'!$T:$T,$BD528,'[1]2026'!$S:$S,BK$3,'[1]2026'!$P:$P,$AU528)</f>
        <v>0</v>
      </c>
      <c r="BL528" s="10">
        <f>SUMIFS('[1]2026'!$K:$K,'[1]2026'!$T:$T,$BD528,'[1]2026'!$S:$S,BL$3,'[1]2026'!$P:$P,$AU528)</f>
        <v>0</v>
      </c>
      <c r="BM528" s="10">
        <f>SUMIFS('[1]2026'!$K:$K,'[1]2026'!$T:$T,$BD528,'[1]2026'!$S:$S,BM$3,'[1]2026'!$P:$P,$AU528)</f>
        <v>0</v>
      </c>
      <c r="BN528" s="10">
        <f>SUMIFS('[1]2026'!$K:$K,'[1]2026'!$T:$T,$BD528,'[1]2026'!$S:$S,BN$3,'[1]2026'!$P:$P,$AU528)</f>
        <v>0</v>
      </c>
      <c r="BO528" s="10">
        <f>SUMIFS('[1]2026'!$K:$K,'[1]2026'!$T:$T,$BD528,'[1]2026'!$S:$S,BO$3,'[1]2026'!$P:$P,$AU528)</f>
        <v>0</v>
      </c>
      <c r="BP528" s="6"/>
      <c r="BQ528" s="6"/>
      <c r="BR528" s="6"/>
      <c r="BS528" s="6"/>
      <c r="BT528" s="6">
        <f t="shared" si="318"/>
        <v>0</v>
      </c>
      <c r="BV528" s="6">
        <f t="shared" si="336"/>
        <v>0</v>
      </c>
      <c r="BW528" s="6">
        <f t="shared" si="337"/>
        <v>0</v>
      </c>
      <c r="BX528" s="6">
        <f t="shared" si="338"/>
        <v>0</v>
      </c>
      <c r="BY528" s="6">
        <f t="shared" si="339"/>
        <v>-1600</v>
      </c>
      <c r="BZ528" s="6">
        <f t="shared" si="340"/>
        <v>0</v>
      </c>
      <c r="CA528" s="6">
        <f t="shared" si="341"/>
        <v>0</v>
      </c>
      <c r="CB528" s="6">
        <f t="shared" si="342"/>
        <v>0</v>
      </c>
      <c r="CC528" s="6">
        <f t="shared" si="343"/>
        <v>0</v>
      </c>
      <c r="CD528" s="6">
        <f t="shared" si="344"/>
        <v>0</v>
      </c>
      <c r="CE528" s="6">
        <f t="shared" si="345"/>
        <v>0</v>
      </c>
      <c r="CF528" s="6">
        <f t="shared" si="346"/>
        <v>0</v>
      </c>
      <c r="CG528" s="6">
        <f t="shared" si="347"/>
        <v>0</v>
      </c>
      <c r="CH528" s="6">
        <f t="shared" si="348"/>
        <v>-1600</v>
      </c>
    </row>
    <row r="529" spans="1:87" hidden="1" x14ac:dyDescent="0.35">
      <c r="A529" s="3" t="s">
        <v>937</v>
      </c>
      <c r="B529" s="10">
        <v>22500</v>
      </c>
      <c r="N529" s="27">
        <f t="shared" si="350"/>
        <v>22500</v>
      </c>
      <c r="AA529" s="27">
        <f t="shared" si="351"/>
        <v>0</v>
      </c>
      <c r="AB529" s="10">
        <f t="shared" si="352"/>
        <v>22500</v>
      </c>
      <c r="AC529" s="10">
        <f t="shared" si="352"/>
        <v>0</v>
      </c>
      <c r="AD529" s="10">
        <f t="shared" si="352"/>
        <v>0</v>
      </c>
      <c r="AE529" s="10">
        <f t="shared" si="352"/>
        <v>0</v>
      </c>
      <c r="AF529" s="10">
        <f t="shared" si="352"/>
        <v>0</v>
      </c>
      <c r="AG529" s="10">
        <f t="shared" si="352"/>
        <v>0</v>
      </c>
      <c r="AH529" s="10">
        <f t="shared" si="352"/>
        <v>0</v>
      </c>
      <c r="AI529" s="10">
        <f t="shared" si="352"/>
        <v>0</v>
      </c>
      <c r="AJ529" s="10">
        <f t="shared" si="352"/>
        <v>0</v>
      </c>
      <c r="AK529" s="10">
        <f t="shared" si="352"/>
        <v>0</v>
      </c>
      <c r="AL529" s="10">
        <f t="shared" si="352"/>
        <v>0</v>
      </c>
      <c r="AM529" s="10">
        <f t="shared" si="352"/>
        <v>0</v>
      </c>
      <c r="AN529" s="27">
        <f t="shared" si="352"/>
        <v>22500</v>
      </c>
      <c r="AO529" s="28">
        <v>20089.29</v>
      </c>
      <c r="AS529" t="str">
        <f>_xlfn.XLOOKUP(AU529,[2]GAE!HZ:HZ,[2]GAE!IA:IA)</f>
        <v>OFFICE OF THE CFO</v>
      </c>
      <c r="AT529" t="str">
        <f>_xlfn.XLOOKUP(AU529,[2]GAE!HZ:HZ,[2]GAE!IB:IB)</f>
        <v>GAE - Dues &amp; Fees</v>
      </c>
      <c r="AU529" t="s">
        <v>938</v>
      </c>
      <c r="AV529">
        <v>90111204</v>
      </c>
      <c r="AW529">
        <v>61711101</v>
      </c>
      <c r="AX529" t="str">
        <f>_xlfn.XLOOKUP(AU529,[2]GAE!HZ:HZ,[2]GAE!IF:IF)</f>
        <v>Others</v>
      </c>
      <c r="AY529" t="str">
        <f>_xlfn.XLOOKUP(AU529,[2]GAE!HZ:HZ,[2]GAE!IG:IG)</f>
        <v>Dues and Fees</v>
      </c>
      <c r="BC529" t="s">
        <v>143</v>
      </c>
      <c r="BD529" t="s">
        <v>939</v>
      </c>
      <c r="BF529" t="s">
        <v>124</v>
      </c>
      <c r="BG529" s="2" t="s">
        <v>143</v>
      </c>
      <c r="BH529" s="10">
        <f>SUMIFS('[1]2026'!$K:$K,'[1]2026'!$T:$T,BD529,'[1]2026'!$S:$S,BH$3,'[1]2026'!$P:$P,AU529)</f>
        <v>20089.29</v>
      </c>
      <c r="BI529" s="10">
        <f>SUMIFS('[1]2026'!$K:$K,'[1]2026'!$T:$T,$BD529,'[1]2026'!$S:$S,BI$3,'[1]2026'!$P:$P,$AU529)</f>
        <v>0</v>
      </c>
      <c r="BJ529" s="10">
        <f>SUMIFS('[1]2026'!$K:$K,'[1]2026'!$T:$T,$BD529,'[1]2026'!$S:$S,BJ$3,'[1]2026'!$P:$P,$AU529)</f>
        <v>0</v>
      </c>
      <c r="BK529" s="10">
        <f>SUMIFS('[1]2026'!$K:$K,'[1]2026'!$T:$T,$BD529,'[1]2026'!$S:$S,BK$3,'[1]2026'!$P:$P,$AU529)</f>
        <v>0</v>
      </c>
      <c r="BL529" s="10">
        <f>SUMIFS('[1]2026'!$K:$K,'[1]2026'!$T:$T,$BD529,'[1]2026'!$S:$S,BL$3,'[1]2026'!$P:$P,$AU529)</f>
        <v>0</v>
      </c>
      <c r="BM529" s="10">
        <f>SUMIFS('[1]2026'!$K:$K,'[1]2026'!$T:$T,$BD529,'[1]2026'!$S:$S,BM$3,'[1]2026'!$P:$P,$AU529)</f>
        <v>0</v>
      </c>
      <c r="BN529" s="10">
        <f>SUMIFS('[1]2026'!$K:$K,'[1]2026'!$T:$T,$BD529,'[1]2026'!$S:$S,BN$3,'[1]2026'!$P:$P,$AU529)</f>
        <v>0</v>
      </c>
      <c r="BO529" s="10">
        <f>SUMIFS('[1]2026'!$K:$K,'[1]2026'!$T:$T,$BD529,'[1]2026'!$S:$S,BO$3,'[1]2026'!$P:$P,$AU529)</f>
        <v>0</v>
      </c>
      <c r="BP529" s="6"/>
      <c r="BQ529" s="6"/>
      <c r="BR529" s="6"/>
      <c r="BS529" s="6"/>
      <c r="BT529" s="6">
        <f t="shared" si="318"/>
        <v>20089.29</v>
      </c>
      <c r="BV529" s="6">
        <f t="shared" si="336"/>
        <v>-2410.7099999999991</v>
      </c>
      <c r="BW529" s="6">
        <f t="shared" si="337"/>
        <v>0</v>
      </c>
      <c r="BX529" s="6">
        <f t="shared" si="338"/>
        <v>0</v>
      </c>
      <c r="BY529" s="6">
        <f t="shared" si="339"/>
        <v>0</v>
      </c>
      <c r="BZ529" s="6">
        <f t="shared" si="340"/>
        <v>0</v>
      </c>
      <c r="CA529" s="6">
        <f t="shared" si="341"/>
        <v>0</v>
      </c>
      <c r="CB529" s="6">
        <f t="shared" si="342"/>
        <v>0</v>
      </c>
      <c r="CC529" s="6">
        <f t="shared" si="343"/>
        <v>0</v>
      </c>
      <c r="CD529" s="6">
        <f t="shared" si="344"/>
        <v>0</v>
      </c>
      <c r="CE529" s="6">
        <f t="shared" si="345"/>
        <v>0</v>
      </c>
      <c r="CF529" s="6">
        <f t="shared" si="346"/>
        <v>0</v>
      </c>
      <c r="CG529" s="6">
        <f t="shared" si="347"/>
        <v>0</v>
      </c>
      <c r="CH529" s="6">
        <f t="shared" si="348"/>
        <v>-2410.7099999999991</v>
      </c>
    </row>
    <row r="530" spans="1:87" hidden="1" x14ac:dyDescent="0.35">
      <c r="A530" s="3" t="s">
        <v>940</v>
      </c>
      <c r="M530" s="10">
        <v>67000000</v>
      </c>
      <c r="N530" s="27">
        <f t="shared" si="350"/>
        <v>67000000</v>
      </c>
      <c r="AA530" s="27">
        <f t="shared" si="351"/>
        <v>0</v>
      </c>
      <c r="AB530" s="10">
        <f t="shared" si="352"/>
        <v>0</v>
      </c>
      <c r="AC530" s="10">
        <f t="shared" si="352"/>
        <v>0</v>
      </c>
      <c r="AD530" s="10">
        <f t="shared" si="352"/>
        <v>0</v>
      </c>
      <c r="AE530" s="10">
        <f t="shared" si="352"/>
        <v>0</v>
      </c>
      <c r="AF530" s="10">
        <f t="shared" si="352"/>
        <v>0</v>
      </c>
      <c r="AG530" s="10">
        <f t="shared" si="352"/>
        <v>0</v>
      </c>
      <c r="AH530" s="10">
        <f t="shared" si="352"/>
        <v>0</v>
      </c>
      <c r="AI530" s="10">
        <f t="shared" si="352"/>
        <v>0</v>
      </c>
      <c r="AJ530" s="10">
        <f t="shared" si="352"/>
        <v>0</v>
      </c>
      <c r="AK530" s="10">
        <f t="shared" si="352"/>
        <v>0</v>
      </c>
      <c r="AL530" s="10">
        <f t="shared" si="352"/>
        <v>0</v>
      </c>
      <c r="AM530" s="10">
        <f t="shared" si="352"/>
        <v>67000000</v>
      </c>
      <c r="AN530" s="27">
        <f t="shared" si="352"/>
        <v>67000000</v>
      </c>
      <c r="AO530" s="28">
        <v>64890000</v>
      </c>
      <c r="AS530" t="str">
        <f>_xlfn.XLOOKUP(AU530,[2]GAE!HZ:HZ,[2]GAE!IA:IA)</f>
        <v>CORPORATE ACCOUNTING</v>
      </c>
      <c r="AT530" t="str">
        <f>_xlfn.XLOOKUP(AU530,[2]GAE!HZ:HZ,[2]GAE!IB:IB)</f>
        <v>DOE - Systems Costs</v>
      </c>
      <c r="AU530" t="s">
        <v>941</v>
      </c>
      <c r="AV530">
        <v>90134102</v>
      </c>
      <c r="AW530">
        <v>52041494</v>
      </c>
      <c r="AX530" t="str">
        <f>_xlfn.XLOOKUP(AU530,[2]GAE!HZ:HZ,[2]GAE!IF:IF)</f>
        <v>Professional fees</v>
      </c>
      <c r="AY530" t="str">
        <f>_xlfn.XLOOKUP(AU530,[2]GAE!HZ:HZ,[2]GAE!IG:IG)</f>
        <v>Systems cost</v>
      </c>
      <c r="BA530" t="s">
        <v>843</v>
      </c>
      <c r="BF530" t="s">
        <v>1247</v>
      </c>
      <c r="BG530" t="s">
        <v>1245</v>
      </c>
      <c r="BH530" s="10">
        <f>SUMIFS('[1]2026'!$K:$K,'[1]2026'!$T:$T,BD530,'[1]2026'!$S:$S,BH$3,'[1]2026'!$P:$P,AU530)</f>
        <v>0</v>
      </c>
      <c r="BI530" s="10">
        <f>SUMIFS('[1]2026'!$K:$K,'[1]2026'!$T:$T,$BD530,'[1]2026'!$S:$S,BI$3,'[1]2026'!$P:$P,$AU530)</f>
        <v>0</v>
      </c>
      <c r="BJ530" s="10">
        <f>SUMIFS('[1]2026'!$K:$K,'[1]2026'!$T:$T,$BD530,'[1]2026'!$S:$S,BJ$3,'[1]2026'!$P:$P,$AU530)</f>
        <v>0</v>
      </c>
      <c r="BK530" s="10">
        <f>SUMIFS('[1]2026'!$K:$K,'[1]2026'!$T:$T,$BD530,'[1]2026'!$S:$S,BK$3,'[1]2026'!$P:$P,$AU530)</f>
        <v>0</v>
      </c>
      <c r="BL530" s="10">
        <f>SUMIFS('[1]2026'!$K:$K,'[1]2026'!$T:$T,$BD530,'[1]2026'!$S:$S,BL$3,'[1]2026'!$P:$P,$AU530)</f>
        <v>0</v>
      </c>
      <c r="BM530" s="10">
        <f>SUMIFS('[1]2026'!$K:$K,'[1]2026'!$T:$T,$BD530,'[1]2026'!$S:$S,BM$3,'[1]2026'!$P:$P,$AU530)</f>
        <v>0</v>
      </c>
      <c r="BN530" s="10">
        <f>SUMIFS('[1]2026'!$K:$K,'[1]2026'!$T:$T,$BD530,'[1]2026'!$S:$S,BN$3,'[1]2026'!$P:$P,$AU530)</f>
        <v>0</v>
      </c>
      <c r="BO530" s="10">
        <f>SUMIFS('[1]2026'!$K:$K,'[1]2026'!$T:$T,$BD530,'[1]2026'!$S:$S,BO$3,'[1]2026'!$P:$P,$AU530)</f>
        <v>0</v>
      </c>
      <c r="BP530" s="6">
        <f t="shared" ref="BP530:BS536" si="355">BO530</f>
        <v>0</v>
      </c>
      <c r="BQ530" s="6">
        <f t="shared" si="355"/>
        <v>0</v>
      </c>
      <c r="BR530" s="6">
        <f t="shared" si="355"/>
        <v>0</v>
      </c>
      <c r="BS530" s="6">
        <f>AM530</f>
        <v>67000000</v>
      </c>
      <c r="BT530" s="6">
        <f t="shared" si="318"/>
        <v>67000000</v>
      </c>
      <c r="BV530" s="6">
        <f t="shared" si="336"/>
        <v>0</v>
      </c>
      <c r="BW530" s="6">
        <f t="shared" si="337"/>
        <v>0</v>
      </c>
      <c r="BX530" s="6">
        <f t="shared" si="338"/>
        <v>0</v>
      </c>
      <c r="BY530" s="6">
        <f t="shared" si="339"/>
        <v>0</v>
      </c>
      <c r="BZ530" s="6">
        <f t="shared" si="340"/>
        <v>0</v>
      </c>
      <c r="CA530" s="6">
        <f t="shared" si="341"/>
        <v>0</v>
      </c>
      <c r="CB530" s="6">
        <f t="shared" si="342"/>
        <v>0</v>
      </c>
      <c r="CC530" s="6">
        <f t="shared" si="343"/>
        <v>0</v>
      </c>
      <c r="CD530" s="6">
        <f t="shared" si="344"/>
        <v>0</v>
      </c>
      <c r="CE530" s="6">
        <f t="shared" si="345"/>
        <v>0</v>
      </c>
      <c r="CF530" s="6">
        <f t="shared" si="346"/>
        <v>0</v>
      </c>
      <c r="CG530" s="6">
        <f t="shared" si="347"/>
        <v>0</v>
      </c>
      <c r="CH530" s="6">
        <f t="shared" si="348"/>
        <v>0</v>
      </c>
    </row>
    <row r="531" spans="1:87" hidden="1" x14ac:dyDescent="0.35">
      <c r="A531" s="3" t="s">
        <v>942</v>
      </c>
      <c r="M531" s="10">
        <v>12000000</v>
      </c>
      <c r="N531" s="27">
        <f t="shared" si="350"/>
        <v>12000000</v>
      </c>
      <c r="AA531" s="27">
        <f t="shared" si="351"/>
        <v>0</v>
      </c>
      <c r="AB531" s="10">
        <f t="shared" si="352"/>
        <v>0</v>
      </c>
      <c r="AC531" s="10">
        <f t="shared" si="352"/>
        <v>0</v>
      </c>
      <c r="AD531" s="10">
        <f t="shared" si="352"/>
        <v>0</v>
      </c>
      <c r="AE531" s="10">
        <f t="shared" si="352"/>
        <v>0</v>
      </c>
      <c r="AF531" s="10">
        <f t="shared" si="352"/>
        <v>0</v>
      </c>
      <c r="AG531" s="10">
        <f t="shared" si="352"/>
        <v>0</v>
      </c>
      <c r="AH531" s="10">
        <f t="shared" si="352"/>
        <v>0</v>
      </c>
      <c r="AI531" s="10">
        <f t="shared" si="352"/>
        <v>0</v>
      </c>
      <c r="AJ531" s="10">
        <f t="shared" si="352"/>
        <v>0</v>
      </c>
      <c r="AK531" s="10">
        <f t="shared" si="352"/>
        <v>0</v>
      </c>
      <c r="AL531" s="10">
        <f t="shared" si="352"/>
        <v>0</v>
      </c>
      <c r="AM531" s="10">
        <f t="shared" si="352"/>
        <v>12000000</v>
      </c>
      <c r="AN531" s="27">
        <f t="shared" si="352"/>
        <v>12000000</v>
      </c>
      <c r="AO531" s="28">
        <v>11000000</v>
      </c>
      <c r="AS531" t="str">
        <f>_xlfn.XLOOKUP(AU531,[2]GAE!HZ:HZ,[2]GAE!IA:IA)</f>
        <v>CORPORATE ACCOUNTING</v>
      </c>
      <c r="AT531" t="str">
        <f>_xlfn.XLOOKUP(AU531,[2]GAE!HZ:HZ,[2]GAE!IB:IB)</f>
        <v>DOE - Systems Costs</v>
      </c>
      <c r="AU531" t="s">
        <v>941</v>
      </c>
      <c r="AV531">
        <v>90134102</v>
      </c>
      <c r="AW531">
        <v>52041494</v>
      </c>
      <c r="AX531" t="str">
        <f>_xlfn.XLOOKUP(AU531,[2]GAE!HZ:HZ,[2]GAE!IF:IF)</f>
        <v>Professional fees</v>
      </c>
      <c r="AY531" t="str">
        <f>_xlfn.XLOOKUP(AU531,[2]GAE!HZ:HZ,[2]GAE!IG:IG)</f>
        <v>Systems cost</v>
      </c>
      <c r="BF531" t="s">
        <v>1247</v>
      </c>
      <c r="BG531" t="s">
        <v>1246</v>
      </c>
      <c r="BH531" s="10">
        <f>SUMIFS('[1]2026'!$K:$K,'[1]2026'!$T:$T,BD531,'[1]2026'!$S:$S,BH$3,'[1]2026'!$P:$P,AU531)</f>
        <v>0</v>
      </c>
      <c r="BI531" s="10">
        <f>SUMIFS('[1]2026'!$K:$K,'[1]2026'!$T:$T,$BD531,'[1]2026'!$S:$S,BI$3,'[1]2026'!$P:$P,$AU531)</f>
        <v>0</v>
      </c>
      <c r="BJ531" s="10">
        <f>SUMIFS('[1]2026'!$K:$K,'[1]2026'!$T:$T,$BD531,'[1]2026'!$S:$S,BJ$3,'[1]2026'!$P:$P,$AU531)</f>
        <v>0</v>
      </c>
      <c r="BK531" s="10">
        <f>SUMIFS('[1]2026'!$K:$K,'[1]2026'!$T:$T,$BD531,'[1]2026'!$S:$S,BK$3,'[1]2026'!$P:$P,$AU531)</f>
        <v>0</v>
      </c>
      <c r="BL531" s="10">
        <f>SUMIFS('[1]2026'!$K:$K,'[1]2026'!$T:$T,$BD531,'[1]2026'!$S:$S,BL$3,'[1]2026'!$P:$P,$AU531)</f>
        <v>0</v>
      </c>
      <c r="BM531" s="10">
        <f>SUMIFS('[1]2026'!$K:$K,'[1]2026'!$T:$T,$BD531,'[1]2026'!$S:$S,BM$3,'[1]2026'!$P:$P,$AU531)</f>
        <v>0</v>
      </c>
      <c r="BN531" s="10">
        <f>SUMIFS('[1]2026'!$K:$K,'[1]2026'!$T:$T,$BD531,'[1]2026'!$S:$S,BN$3,'[1]2026'!$P:$P,$AU531)</f>
        <v>0</v>
      </c>
      <c r="BO531" s="10">
        <f>SUMIFS('[1]2026'!$K:$K,'[1]2026'!$T:$T,$BD531,'[1]2026'!$S:$S,BO$3,'[1]2026'!$P:$P,$AU531)</f>
        <v>0</v>
      </c>
      <c r="BP531" s="6">
        <f t="shared" si="355"/>
        <v>0</v>
      </c>
      <c r="BQ531" s="6">
        <f t="shared" si="355"/>
        <v>0</v>
      </c>
      <c r="BR531" s="6">
        <f t="shared" si="355"/>
        <v>0</v>
      </c>
      <c r="BS531" s="6">
        <f>AM531</f>
        <v>12000000</v>
      </c>
      <c r="BT531" s="6">
        <f t="shared" ref="BT531:BT598" si="356">SUM(BH531:BS531)</f>
        <v>12000000</v>
      </c>
      <c r="BV531" s="6">
        <f t="shared" si="336"/>
        <v>0</v>
      </c>
      <c r="BW531" s="6">
        <f t="shared" si="337"/>
        <v>0</v>
      </c>
      <c r="BX531" s="6">
        <f t="shared" si="338"/>
        <v>0</v>
      </c>
      <c r="BY531" s="6">
        <f t="shared" si="339"/>
        <v>0</v>
      </c>
      <c r="BZ531" s="6">
        <f t="shared" si="340"/>
        <v>0</v>
      </c>
      <c r="CA531" s="6">
        <f t="shared" si="341"/>
        <v>0</v>
      </c>
      <c r="CB531" s="6">
        <f t="shared" si="342"/>
        <v>0</v>
      </c>
      <c r="CC531" s="6">
        <f t="shared" si="343"/>
        <v>0</v>
      </c>
      <c r="CD531" s="6">
        <f t="shared" si="344"/>
        <v>0</v>
      </c>
      <c r="CE531" s="6">
        <f t="shared" si="345"/>
        <v>0</v>
      </c>
      <c r="CF531" s="6">
        <f t="shared" si="346"/>
        <v>0</v>
      </c>
      <c r="CG531" s="6">
        <f t="shared" si="347"/>
        <v>0</v>
      </c>
      <c r="CH531" s="6">
        <f t="shared" si="348"/>
        <v>0</v>
      </c>
    </row>
    <row r="532" spans="1:87" hidden="1" x14ac:dyDescent="0.35">
      <c r="A532" s="3" t="s">
        <v>943</v>
      </c>
      <c r="B532" s="21">
        <v>300000</v>
      </c>
      <c r="C532" s="21">
        <v>300000</v>
      </c>
      <c r="D532" s="21">
        <v>300000</v>
      </c>
      <c r="E532" s="21">
        <v>300000</v>
      </c>
      <c r="F532" s="21">
        <v>300000</v>
      </c>
      <c r="G532" s="21">
        <v>300000</v>
      </c>
      <c r="H532" s="21">
        <v>300000</v>
      </c>
      <c r="I532" s="21">
        <v>300000</v>
      </c>
      <c r="J532" s="21">
        <v>300000</v>
      </c>
      <c r="K532" s="21">
        <v>300000</v>
      </c>
      <c r="L532" s="21">
        <v>300000</v>
      </c>
      <c r="M532" s="21">
        <v>300000</v>
      </c>
      <c r="N532" s="27">
        <f t="shared" si="350"/>
        <v>3600000</v>
      </c>
      <c r="O532" s="10">
        <v>300000</v>
      </c>
      <c r="P532" s="10">
        <v>300000</v>
      </c>
      <c r="Q532" s="10">
        <v>300000</v>
      </c>
      <c r="R532" s="10">
        <v>300000</v>
      </c>
      <c r="S532" s="10">
        <v>300000</v>
      </c>
      <c r="T532" s="10">
        <v>300000</v>
      </c>
      <c r="U532" s="10">
        <v>300000</v>
      </c>
      <c r="V532" s="10">
        <v>300000</v>
      </c>
      <c r="W532" s="10">
        <v>300000</v>
      </c>
      <c r="X532" s="10">
        <v>300000</v>
      </c>
      <c r="Y532" s="10">
        <v>300000</v>
      </c>
      <c r="Z532" s="10">
        <v>300000</v>
      </c>
      <c r="AA532" s="27">
        <f t="shared" si="351"/>
        <v>3600000</v>
      </c>
      <c r="AB532" s="10">
        <f t="shared" si="352"/>
        <v>0</v>
      </c>
      <c r="AC532" s="10">
        <f t="shared" si="352"/>
        <v>0</v>
      </c>
      <c r="AD532" s="10">
        <f t="shared" si="352"/>
        <v>0</v>
      </c>
      <c r="AE532" s="10">
        <f t="shared" si="352"/>
        <v>0</v>
      </c>
      <c r="AF532" s="10">
        <f t="shared" si="352"/>
        <v>0</v>
      </c>
      <c r="AG532" s="10">
        <f t="shared" si="352"/>
        <v>0</v>
      </c>
      <c r="AH532" s="10">
        <f t="shared" si="352"/>
        <v>0</v>
      </c>
      <c r="AI532" s="10">
        <f t="shared" si="352"/>
        <v>0</v>
      </c>
      <c r="AJ532" s="10">
        <f t="shared" si="352"/>
        <v>0</v>
      </c>
      <c r="AK532" s="10">
        <f t="shared" si="352"/>
        <v>0</v>
      </c>
      <c r="AL532" s="10">
        <f t="shared" si="352"/>
        <v>0</v>
      </c>
      <c r="AM532" s="10">
        <f t="shared" si="352"/>
        <v>0</v>
      </c>
      <c r="AN532" s="27">
        <f t="shared" si="352"/>
        <v>0</v>
      </c>
      <c r="AO532" s="28">
        <v>4188719.7700000005</v>
      </c>
      <c r="AR532" t="s">
        <v>795</v>
      </c>
      <c r="AS532" t="str">
        <f>_xlfn.XLOOKUP(AU532,[2]GAE!HZ:HZ,[2]GAE!IA:IA)</f>
        <v>CORPORATE MARKETING</v>
      </c>
      <c r="AT532" t="str">
        <f>_xlfn.XLOOKUP(AU532,[2]GAE!HZ:HZ,[2]GAE!IB:IB)</f>
        <v>DOE - Promos</v>
      </c>
      <c r="AU532" s="3" t="s">
        <v>944</v>
      </c>
      <c r="AV532" s="3">
        <v>81314101</v>
      </c>
      <c r="AW532" s="3">
        <v>52551201</v>
      </c>
      <c r="AX532" t="str">
        <f>_xlfn.XLOOKUP(AU532,[2]GAE!HZ:HZ,[2]GAE!IF:IF)</f>
        <v>Ad &amp; Promo</v>
      </c>
      <c r="BA532" s="3" t="s">
        <v>945</v>
      </c>
      <c r="BF532" s="37" t="s">
        <v>1263</v>
      </c>
      <c r="BG532" s="37" t="s">
        <v>1263</v>
      </c>
      <c r="BH532" s="10">
        <f>SUMIFS('[1]2026'!$K:$K,'[1]2026'!$T:$T,BD532,'[1]2026'!$S:$S,BH$3,'[1]2026'!$P:$P,AU532)</f>
        <v>0</v>
      </c>
      <c r="BI532" s="10">
        <f>SUMIFS('[1]2026'!$K:$K,'[1]2026'!$T:$T,$BD532,'[1]2026'!$S:$S,BI$3,'[1]2026'!$P:$P,$AU532)</f>
        <v>0</v>
      </c>
      <c r="BJ532" s="10">
        <f>SUMIFS('[1]2026'!$K:$K,'[1]2026'!$T:$T,$BD532,'[1]2026'!$S:$S,BJ$3,'[1]2026'!$P:$P,$AU532)</f>
        <v>0</v>
      </c>
      <c r="BK532" s="10">
        <f>SUMIFS('[1]2026'!$K:$K,'[1]2026'!$T:$T,$BD532,'[1]2026'!$S:$S,BK$3,'[1]2026'!$P:$P,$AU532)</f>
        <v>0</v>
      </c>
      <c r="BL532" s="10">
        <f>SUMIFS('[1]2026'!$K:$K,'[1]2026'!$T:$T,$BD532,'[1]2026'!$S:$S,BL$3,'[1]2026'!$P:$P,$AU532)</f>
        <v>0</v>
      </c>
      <c r="BM532" s="10">
        <f>SUMIFS('[1]2026'!$K:$K,'[1]2026'!$T:$T,$BD532,'[1]2026'!$S:$S,BM$3,'[1]2026'!$P:$P,$AU532)</f>
        <v>0</v>
      </c>
      <c r="BN532" s="10">
        <f>SUMIFS('[1]2026'!$K:$K,'[1]2026'!$T:$T,$BD532,'[1]2026'!$S:$S,BN$3,'[1]2026'!$P:$P,$AU532)</f>
        <v>0</v>
      </c>
      <c r="BO532" s="10">
        <f>SUMIFS('[1]2026'!$K:$K,'[1]2026'!$T:$T,$BD532,'[1]2026'!$S:$S,BO$3,'[1]2026'!$P:$P,$AU532)</f>
        <v>0</v>
      </c>
      <c r="BP532" s="6">
        <f t="shared" si="355"/>
        <v>0</v>
      </c>
      <c r="BQ532" s="6">
        <f t="shared" si="355"/>
        <v>0</v>
      </c>
      <c r="BR532" s="6">
        <f t="shared" si="355"/>
        <v>0</v>
      </c>
      <c r="BS532" s="6">
        <f t="shared" si="355"/>
        <v>0</v>
      </c>
      <c r="BT532" s="6">
        <f t="shared" si="356"/>
        <v>0</v>
      </c>
      <c r="BV532" s="6">
        <f t="shared" si="336"/>
        <v>0</v>
      </c>
      <c r="BW532" s="6">
        <f t="shared" si="337"/>
        <v>0</v>
      </c>
      <c r="BX532" s="6">
        <f t="shared" si="338"/>
        <v>0</v>
      </c>
      <c r="BY532" s="6">
        <f t="shared" si="339"/>
        <v>0</v>
      </c>
      <c r="BZ532" s="6">
        <f t="shared" si="340"/>
        <v>0</v>
      </c>
      <c r="CA532" s="6">
        <f t="shared" si="341"/>
        <v>0</v>
      </c>
      <c r="CB532" s="6">
        <f t="shared" si="342"/>
        <v>0</v>
      </c>
      <c r="CC532" s="6">
        <f t="shared" si="343"/>
        <v>0</v>
      </c>
      <c r="CD532" s="6">
        <f t="shared" si="344"/>
        <v>0</v>
      </c>
      <c r="CE532" s="6">
        <f t="shared" si="345"/>
        <v>0</v>
      </c>
      <c r="CF532" s="6">
        <f t="shared" si="346"/>
        <v>0</v>
      </c>
      <c r="CG532" s="6">
        <f t="shared" si="347"/>
        <v>0</v>
      </c>
      <c r="CH532" s="6">
        <f t="shared" si="348"/>
        <v>0</v>
      </c>
    </row>
    <row r="533" spans="1:87" hidden="1" x14ac:dyDescent="0.35">
      <c r="A533" s="3" t="s">
        <v>946</v>
      </c>
      <c r="B533" s="21">
        <v>754166.66666666663</v>
      </c>
      <c r="C533" s="21">
        <v>754166.66666666663</v>
      </c>
      <c r="D533" s="21">
        <v>754166.66666666663</v>
      </c>
      <c r="E533" s="21">
        <v>754166.66666666663</v>
      </c>
      <c r="F533" s="21">
        <v>754166.66666666663</v>
      </c>
      <c r="G533" s="21">
        <v>754166.66666666663</v>
      </c>
      <c r="H533" s="21">
        <v>754166.66666666663</v>
      </c>
      <c r="I533" s="21">
        <v>754166.66666666663</v>
      </c>
      <c r="J533" s="21">
        <v>754166.66666666663</v>
      </c>
      <c r="K533" s="21">
        <v>754166.66666666663</v>
      </c>
      <c r="L533" s="21">
        <v>754166.66666666663</v>
      </c>
      <c r="M533" s="21">
        <v>754166.66666666663</v>
      </c>
      <c r="N533" s="27">
        <f t="shared" si="350"/>
        <v>9050000.0000000019</v>
      </c>
      <c r="O533" s="10">
        <v>754166.66666666686</v>
      </c>
      <c r="P533" s="10">
        <v>754166.66666666686</v>
      </c>
      <c r="Q533" s="10">
        <v>754166.66666666686</v>
      </c>
      <c r="R533" s="10">
        <v>754166.66666666686</v>
      </c>
      <c r="S533" s="10">
        <v>754166.66666666686</v>
      </c>
      <c r="T533" s="10">
        <v>754166.66666666686</v>
      </c>
      <c r="U533" s="10">
        <v>754166.66666666686</v>
      </c>
      <c r="V533" s="10">
        <v>754166.66666666686</v>
      </c>
      <c r="W533" s="10">
        <v>754166.66666666686</v>
      </c>
      <c r="X533" s="10">
        <v>754166.66666666686</v>
      </c>
      <c r="Y533" s="10">
        <v>754166.66666666686</v>
      </c>
      <c r="Z533" s="10">
        <v>754166.66666666686</v>
      </c>
      <c r="AA533" s="27">
        <f t="shared" si="351"/>
        <v>9050000.0000000019</v>
      </c>
      <c r="AB533" s="10">
        <f t="shared" si="352"/>
        <v>0</v>
      </c>
      <c r="AC533" s="10">
        <f t="shared" si="352"/>
        <v>0</v>
      </c>
      <c r="AD533" s="10">
        <f t="shared" si="352"/>
        <v>0</v>
      </c>
      <c r="AE533" s="10">
        <f t="shared" si="352"/>
        <v>0</v>
      </c>
      <c r="AF533" s="10">
        <f t="shared" si="352"/>
        <v>0</v>
      </c>
      <c r="AG533" s="10">
        <f t="shared" si="352"/>
        <v>0</v>
      </c>
      <c r="AH533" s="10">
        <f t="shared" si="352"/>
        <v>0</v>
      </c>
      <c r="AI533" s="10">
        <f t="shared" si="352"/>
        <v>0</v>
      </c>
      <c r="AJ533" s="10">
        <f t="shared" si="352"/>
        <v>0</v>
      </c>
      <c r="AK533" s="10">
        <f t="shared" si="352"/>
        <v>0</v>
      </c>
      <c r="AL533" s="10">
        <f t="shared" si="352"/>
        <v>0</v>
      </c>
      <c r="AM533" s="10">
        <f t="shared" si="352"/>
        <v>0</v>
      </c>
      <c r="AN533" s="27">
        <f t="shared" si="352"/>
        <v>0</v>
      </c>
      <c r="AR533" t="s">
        <v>795</v>
      </c>
      <c r="AS533" t="str">
        <f>_xlfn.XLOOKUP(AU533,[2]GAE!HZ:HZ,[2]GAE!IA:IA)</f>
        <v>CORPORATE MARKETING</v>
      </c>
      <c r="AT533" t="str">
        <f>_xlfn.XLOOKUP(AU533,[2]GAE!HZ:HZ,[2]GAE!IB:IB)</f>
        <v>DOE - Promos</v>
      </c>
      <c r="AU533" s="3" t="s">
        <v>944</v>
      </c>
      <c r="AV533" s="3">
        <v>81314101</v>
      </c>
      <c r="AW533" s="3">
        <v>52551201</v>
      </c>
      <c r="AX533" t="str">
        <f>_xlfn.XLOOKUP(AU533,[2]GAE!HZ:HZ,[2]GAE!IF:IF)</f>
        <v>Ad &amp; Promo</v>
      </c>
      <c r="BA533" s="3" t="s">
        <v>945</v>
      </c>
      <c r="BF533" s="37" t="s">
        <v>1263</v>
      </c>
      <c r="BG533" s="37" t="s">
        <v>1263</v>
      </c>
      <c r="BH533" s="10">
        <f>SUMIFS('[1]2026'!$K:$K,'[1]2026'!$T:$T,BD533,'[1]2026'!$S:$S,BH$3,'[1]2026'!$P:$P,AU533)</f>
        <v>0</v>
      </c>
      <c r="BI533" s="10">
        <f>SUMIFS('[1]2026'!$K:$K,'[1]2026'!$T:$T,$BD533,'[1]2026'!$S:$S,BI$3,'[1]2026'!$P:$P,$AU533)</f>
        <v>0</v>
      </c>
      <c r="BJ533" s="10">
        <f>SUMIFS('[1]2026'!$K:$K,'[1]2026'!$T:$T,$BD533,'[1]2026'!$S:$S,BJ$3,'[1]2026'!$P:$P,$AU533)</f>
        <v>0</v>
      </c>
      <c r="BK533" s="10">
        <f>SUMIFS('[1]2026'!$K:$K,'[1]2026'!$T:$T,$BD533,'[1]2026'!$S:$S,BK$3,'[1]2026'!$P:$P,$AU533)</f>
        <v>0</v>
      </c>
      <c r="BL533" s="10">
        <f>SUMIFS('[1]2026'!$K:$K,'[1]2026'!$T:$T,$BD533,'[1]2026'!$S:$S,BL$3,'[1]2026'!$P:$P,$AU533)</f>
        <v>0</v>
      </c>
      <c r="BM533" s="10">
        <f>SUMIFS('[1]2026'!$K:$K,'[1]2026'!$T:$T,$BD533,'[1]2026'!$S:$S,BM$3,'[1]2026'!$P:$P,$AU533)</f>
        <v>0</v>
      </c>
      <c r="BN533" s="10">
        <f>SUMIFS('[1]2026'!$K:$K,'[1]2026'!$T:$T,$BD533,'[1]2026'!$S:$S,BN$3,'[1]2026'!$P:$P,$AU533)</f>
        <v>0</v>
      </c>
      <c r="BO533" s="10">
        <f>SUMIFS('[1]2026'!$K:$K,'[1]2026'!$T:$T,$BD533,'[1]2026'!$S:$S,BO$3,'[1]2026'!$P:$P,$AU533)</f>
        <v>0</v>
      </c>
      <c r="BP533" s="6">
        <f t="shared" si="355"/>
        <v>0</v>
      </c>
      <c r="BQ533" s="6">
        <f t="shared" si="355"/>
        <v>0</v>
      </c>
      <c r="BR533" s="6">
        <f t="shared" si="355"/>
        <v>0</v>
      </c>
      <c r="BS533" s="6">
        <f t="shared" si="355"/>
        <v>0</v>
      </c>
      <c r="BT533" s="6">
        <f t="shared" si="356"/>
        <v>0</v>
      </c>
      <c r="BV533" s="6">
        <f t="shared" ref="BV533:BV546" si="357">BH533-AB533</f>
        <v>0</v>
      </c>
      <c r="BW533" s="6">
        <f t="shared" ref="BW533:BW546" si="358">BI533-AC533</f>
        <v>0</v>
      </c>
      <c r="BX533" s="6">
        <f t="shared" ref="BX533:BX546" si="359">BJ533-AD533</f>
        <v>0</v>
      </c>
      <c r="BY533" s="6">
        <f t="shared" ref="BY533:BY546" si="360">BK533-AE533</f>
        <v>0</v>
      </c>
      <c r="BZ533" s="6">
        <f t="shared" ref="BZ533:BZ546" si="361">BL533-AF533</f>
        <v>0</v>
      </c>
      <c r="CA533" s="6">
        <f t="shared" ref="CA533:CA546" si="362">BM533-AG533</f>
        <v>0</v>
      </c>
      <c r="CB533" s="6">
        <f t="shared" ref="CB533:CB546" si="363">BN533-AH533</f>
        <v>0</v>
      </c>
      <c r="CC533" s="6">
        <f t="shared" ref="CC533:CC546" si="364">BO533-AI533</f>
        <v>0</v>
      </c>
      <c r="CD533" s="6">
        <f t="shared" ref="CD533:CD546" si="365">BP533-AJ533</f>
        <v>0</v>
      </c>
      <c r="CE533" s="6">
        <f t="shared" ref="CE533:CE546" si="366">BQ533-AK533</f>
        <v>0</v>
      </c>
      <c r="CF533" s="6">
        <f t="shared" ref="CF533:CF546" si="367">BR533-AL533</f>
        <v>0</v>
      </c>
      <c r="CG533" s="6">
        <f t="shared" ref="CG533:CG546" si="368">BS533-AM533</f>
        <v>0</v>
      </c>
      <c r="CH533" s="6">
        <f t="shared" si="348"/>
        <v>0</v>
      </c>
    </row>
    <row r="534" spans="1:87" hidden="1" x14ac:dyDescent="0.35">
      <c r="A534" s="3" t="s">
        <v>947</v>
      </c>
      <c r="B534" s="21">
        <v>100000</v>
      </c>
      <c r="C534" s="21">
        <v>100000</v>
      </c>
      <c r="D534" s="21">
        <v>100000</v>
      </c>
      <c r="E534" s="21">
        <v>100000</v>
      </c>
      <c r="F534" s="21">
        <v>100000</v>
      </c>
      <c r="G534" s="21">
        <v>100000</v>
      </c>
      <c r="H534" s="21">
        <v>100000</v>
      </c>
      <c r="I534" s="21">
        <v>100000</v>
      </c>
      <c r="J534" s="21">
        <v>100000</v>
      </c>
      <c r="K534" s="21">
        <v>100000</v>
      </c>
      <c r="L534" s="21">
        <v>100000</v>
      </c>
      <c r="M534" s="21">
        <v>100000</v>
      </c>
      <c r="N534" s="27">
        <f t="shared" si="350"/>
        <v>1200000</v>
      </c>
      <c r="O534" s="10">
        <v>100000</v>
      </c>
      <c r="P534" s="10">
        <v>100000</v>
      </c>
      <c r="Q534" s="10">
        <v>100000</v>
      </c>
      <c r="R534" s="10">
        <v>100000</v>
      </c>
      <c r="S534" s="10">
        <v>100000</v>
      </c>
      <c r="T534" s="10">
        <v>100000</v>
      </c>
      <c r="U534" s="10">
        <v>100000</v>
      </c>
      <c r="V534" s="10">
        <v>100000</v>
      </c>
      <c r="W534" s="10">
        <v>100000</v>
      </c>
      <c r="X534" s="10">
        <v>100000</v>
      </c>
      <c r="Y534" s="10">
        <v>100000</v>
      </c>
      <c r="Z534" s="10">
        <v>100000</v>
      </c>
      <c r="AA534" s="27">
        <f t="shared" si="351"/>
        <v>1200000</v>
      </c>
      <c r="AB534" s="10">
        <f t="shared" si="352"/>
        <v>0</v>
      </c>
      <c r="AC534" s="10">
        <f t="shared" si="352"/>
        <v>0</v>
      </c>
      <c r="AD534" s="10">
        <f t="shared" si="352"/>
        <v>0</v>
      </c>
      <c r="AE534" s="10">
        <f t="shared" si="352"/>
        <v>0</v>
      </c>
      <c r="AF534" s="10">
        <f t="shared" si="352"/>
        <v>0</v>
      </c>
      <c r="AG534" s="10">
        <f t="shared" si="352"/>
        <v>0</v>
      </c>
      <c r="AH534" s="10">
        <f t="shared" si="352"/>
        <v>0</v>
      </c>
      <c r="AI534" s="10">
        <f t="shared" si="352"/>
        <v>0</v>
      </c>
      <c r="AJ534" s="10">
        <f t="shared" si="352"/>
        <v>0</v>
      </c>
      <c r="AK534" s="10">
        <f t="shared" si="352"/>
        <v>0</v>
      </c>
      <c r="AL534" s="10">
        <f t="shared" si="352"/>
        <v>0</v>
      </c>
      <c r="AM534" s="10">
        <f t="shared" si="352"/>
        <v>0</v>
      </c>
      <c r="AN534" s="27">
        <f t="shared" si="352"/>
        <v>0</v>
      </c>
      <c r="AR534" t="s">
        <v>795</v>
      </c>
      <c r="AS534" t="str">
        <f>_xlfn.XLOOKUP(AU534,[2]GAE!HZ:HZ,[2]GAE!IA:IA)</f>
        <v>CORPORATE MARKETING</v>
      </c>
      <c r="AT534" t="str">
        <f>_xlfn.XLOOKUP(AU534,[2]GAE!HZ:HZ,[2]GAE!IB:IB)</f>
        <v>DOE - Promos</v>
      </c>
      <c r="AU534" s="3" t="s">
        <v>944</v>
      </c>
      <c r="AV534" s="3">
        <v>81314101</v>
      </c>
      <c r="AW534" s="3">
        <v>52551201</v>
      </c>
      <c r="AX534" t="str">
        <f>_xlfn.XLOOKUP(AU534,[2]GAE!HZ:HZ,[2]GAE!IF:IF)</f>
        <v>Ad &amp; Promo</v>
      </c>
      <c r="BA534" s="3" t="s">
        <v>945</v>
      </c>
      <c r="BF534" s="37" t="s">
        <v>1263</v>
      </c>
      <c r="BG534" s="37" t="s">
        <v>1263</v>
      </c>
      <c r="BH534" s="10">
        <f>SUMIFS('[1]2026'!$K:$K,'[1]2026'!$T:$T,BD534,'[1]2026'!$S:$S,BH$3,'[1]2026'!$P:$P,AU534)</f>
        <v>0</v>
      </c>
      <c r="BI534" s="10">
        <f>SUMIFS('[1]2026'!$K:$K,'[1]2026'!$T:$T,$BD534,'[1]2026'!$S:$S,BI$3,'[1]2026'!$P:$P,$AU534)</f>
        <v>0</v>
      </c>
      <c r="BJ534" s="10">
        <f>SUMIFS('[1]2026'!$K:$K,'[1]2026'!$T:$T,$BD534,'[1]2026'!$S:$S,BJ$3,'[1]2026'!$P:$P,$AU534)</f>
        <v>0</v>
      </c>
      <c r="BK534" s="10">
        <f>SUMIFS('[1]2026'!$K:$K,'[1]2026'!$T:$T,$BD534,'[1]2026'!$S:$S,BK$3,'[1]2026'!$P:$P,$AU534)</f>
        <v>0</v>
      </c>
      <c r="BL534" s="10">
        <f>SUMIFS('[1]2026'!$K:$K,'[1]2026'!$T:$T,$BD534,'[1]2026'!$S:$S,BL$3,'[1]2026'!$P:$P,$AU534)</f>
        <v>0</v>
      </c>
      <c r="BM534" s="10">
        <f>SUMIFS('[1]2026'!$K:$K,'[1]2026'!$T:$T,$BD534,'[1]2026'!$S:$S,BM$3,'[1]2026'!$P:$P,$AU534)</f>
        <v>0</v>
      </c>
      <c r="BN534" s="10">
        <f>SUMIFS('[1]2026'!$K:$K,'[1]2026'!$T:$T,$BD534,'[1]2026'!$S:$S,BN$3,'[1]2026'!$P:$P,$AU534)</f>
        <v>0</v>
      </c>
      <c r="BO534" s="10">
        <f>SUMIFS('[1]2026'!$K:$K,'[1]2026'!$T:$T,$BD534,'[1]2026'!$S:$S,BO$3,'[1]2026'!$P:$P,$AU534)</f>
        <v>0</v>
      </c>
      <c r="BP534" s="6">
        <f t="shared" si="355"/>
        <v>0</v>
      </c>
      <c r="BQ534" s="6">
        <f t="shared" si="355"/>
        <v>0</v>
      </c>
      <c r="BR534" s="6">
        <f t="shared" si="355"/>
        <v>0</v>
      </c>
      <c r="BS534" s="6">
        <f t="shared" si="355"/>
        <v>0</v>
      </c>
      <c r="BT534" s="6">
        <f t="shared" si="356"/>
        <v>0</v>
      </c>
      <c r="BV534" s="6">
        <f t="shared" si="357"/>
        <v>0</v>
      </c>
      <c r="BW534" s="6">
        <f t="shared" si="358"/>
        <v>0</v>
      </c>
      <c r="BX534" s="6">
        <f t="shared" si="359"/>
        <v>0</v>
      </c>
      <c r="BY534" s="6">
        <f t="shared" si="360"/>
        <v>0</v>
      </c>
      <c r="BZ534" s="6">
        <f t="shared" si="361"/>
        <v>0</v>
      </c>
      <c r="CA534" s="6">
        <f t="shared" si="362"/>
        <v>0</v>
      </c>
      <c r="CB534" s="6">
        <f t="shared" si="363"/>
        <v>0</v>
      </c>
      <c r="CC534" s="6">
        <f t="shared" si="364"/>
        <v>0</v>
      </c>
      <c r="CD534" s="6">
        <f t="shared" si="365"/>
        <v>0</v>
      </c>
      <c r="CE534" s="6">
        <f t="shared" si="366"/>
        <v>0</v>
      </c>
      <c r="CF534" s="6">
        <f t="shared" si="367"/>
        <v>0</v>
      </c>
      <c r="CG534" s="6">
        <f t="shared" si="368"/>
        <v>0</v>
      </c>
      <c r="CH534" s="6">
        <f t="shared" si="348"/>
        <v>0</v>
      </c>
    </row>
    <row r="535" spans="1:87" hidden="1" x14ac:dyDescent="0.35">
      <c r="A535" s="3" t="s">
        <v>948</v>
      </c>
      <c r="B535" s="21">
        <v>125000</v>
      </c>
      <c r="C535" s="21">
        <v>125000</v>
      </c>
      <c r="D535" s="21">
        <v>125000</v>
      </c>
      <c r="E535" s="21">
        <v>125000</v>
      </c>
      <c r="F535" s="21">
        <v>125000</v>
      </c>
      <c r="G535" s="21">
        <v>125000</v>
      </c>
      <c r="H535" s="21">
        <v>125000</v>
      </c>
      <c r="I535" s="21">
        <v>125000</v>
      </c>
      <c r="J535" s="21">
        <v>125000</v>
      </c>
      <c r="K535" s="21">
        <v>125000</v>
      </c>
      <c r="L535" s="21">
        <v>125000</v>
      </c>
      <c r="M535" s="21">
        <v>125000</v>
      </c>
      <c r="N535" s="27">
        <f t="shared" si="350"/>
        <v>1500000</v>
      </c>
      <c r="O535" s="10">
        <v>125000</v>
      </c>
      <c r="P535" s="10">
        <v>125000</v>
      </c>
      <c r="Q535" s="10">
        <v>125000</v>
      </c>
      <c r="R535" s="10">
        <v>125000</v>
      </c>
      <c r="S535" s="10">
        <v>125000</v>
      </c>
      <c r="T535" s="10">
        <v>125000</v>
      </c>
      <c r="U535" s="10">
        <v>125000</v>
      </c>
      <c r="V535" s="10">
        <v>125000</v>
      </c>
      <c r="W535" s="10">
        <v>125000</v>
      </c>
      <c r="X535" s="10">
        <v>125000</v>
      </c>
      <c r="Y535" s="10">
        <v>125000</v>
      </c>
      <c r="Z535" s="10">
        <v>125000</v>
      </c>
      <c r="AA535" s="27">
        <f t="shared" si="351"/>
        <v>1500000</v>
      </c>
      <c r="AB535" s="10">
        <f t="shared" si="352"/>
        <v>0</v>
      </c>
      <c r="AC535" s="10">
        <f t="shared" si="352"/>
        <v>0</v>
      </c>
      <c r="AD535" s="10">
        <f t="shared" si="352"/>
        <v>0</v>
      </c>
      <c r="AE535" s="10">
        <f t="shared" si="352"/>
        <v>0</v>
      </c>
      <c r="AF535" s="10">
        <f t="shared" si="352"/>
        <v>0</v>
      </c>
      <c r="AG535" s="10">
        <f t="shared" si="352"/>
        <v>0</v>
      </c>
      <c r="AH535" s="10">
        <f t="shared" si="352"/>
        <v>0</v>
      </c>
      <c r="AI535" s="10">
        <f t="shared" si="352"/>
        <v>0</v>
      </c>
      <c r="AJ535" s="10">
        <f t="shared" ref="AJ535:AN548" si="369">J535-W535</f>
        <v>0</v>
      </c>
      <c r="AK535" s="10">
        <f t="shared" si="369"/>
        <v>0</v>
      </c>
      <c r="AL535" s="10">
        <f t="shared" si="369"/>
        <v>0</v>
      </c>
      <c r="AM535" s="10">
        <f t="shared" si="369"/>
        <v>0</v>
      </c>
      <c r="AN535" s="27">
        <f t="shared" si="369"/>
        <v>0</v>
      </c>
      <c r="AR535" t="s">
        <v>795</v>
      </c>
      <c r="AS535" t="str">
        <f>_xlfn.XLOOKUP(AU535,[2]GAE!HZ:HZ,[2]GAE!IA:IA)</f>
        <v>CORPORATE MARKETING</v>
      </c>
      <c r="AT535" t="str">
        <f>_xlfn.XLOOKUP(AU535,[2]GAE!HZ:HZ,[2]GAE!IB:IB)</f>
        <v>DOE - Promos</v>
      </c>
      <c r="AU535" s="3" t="s">
        <v>944</v>
      </c>
      <c r="AV535" s="3">
        <v>81314101</v>
      </c>
      <c r="AW535" s="3">
        <v>52551201</v>
      </c>
      <c r="AX535" t="str">
        <f>_xlfn.XLOOKUP(AU535,[2]GAE!HZ:HZ,[2]GAE!IF:IF)</f>
        <v>Ad &amp; Promo</v>
      </c>
      <c r="BA535" s="3" t="s">
        <v>945</v>
      </c>
      <c r="BF535" s="37" t="s">
        <v>1263</v>
      </c>
      <c r="BG535" s="37" t="s">
        <v>1263</v>
      </c>
      <c r="BH535" s="10">
        <f>SUMIFS('[1]2026'!$K:$K,'[1]2026'!$T:$T,BD535,'[1]2026'!$S:$S,BH$3,'[1]2026'!$P:$P,AU535)</f>
        <v>0</v>
      </c>
      <c r="BI535" s="10">
        <f>SUMIFS('[1]2026'!$K:$K,'[1]2026'!$T:$T,$BD535,'[1]2026'!$S:$S,BI$3,'[1]2026'!$P:$P,$AU535)</f>
        <v>0</v>
      </c>
      <c r="BJ535" s="10">
        <f>SUMIFS('[1]2026'!$K:$K,'[1]2026'!$T:$T,$BD535,'[1]2026'!$S:$S,BJ$3,'[1]2026'!$P:$P,$AU535)</f>
        <v>0</v>
      </c>
      <c r="BK535" s="10">
        <f>SUMIFS('[1]2026'!$K:$K,'[1]2026'!$T:$T,$BD535,'[1]2026'!$S:$S,BK$3,'[1]2026'!$P:$P,$AU535)</f>
        <v>0</v>
      </c>
      <c r="BL535" s="10">
        <f>SUMIFS('[1]2026'!$K:$K,'[1]2026'!$T:$T,$BD535,'[1]2026'!$S:$S,BL$3,'[1]2026'!$P:$P,$AU535)</f>
        <v>0</v>
      </c>
      <c r="BM535" s="10">
        <f>SUMIFS('[1]2026'!$K:$K,'[1]2026'!$T:$T,$BD535,'[1]2026'!$S:$S,BM$3,'[1]2026'!$P:$P,$AU535)</f>
        <v>0</v>
      </c>
      <c r="BN535" s="10">
        <f>SUMIFS('[1]2026'!$K:$K,'[1]2026'!$T:$T,$BD535,'[1]2026'!$S:$S,BN$3,'[1]2026'!$P:$P,$AU535)</f>
        <v>0</v>
      </c>
      <c r="BO535" s="10">
        <f>SUMIFS('[1]2026'!$K:$K,'[1]2026'!$T:$T,$BD535,'[1]2026'!$S:$S,BO$3,'[1]2026'!$P:$P,$AU535)</f>
        <v>0</v>
      </c>
      <c r="BP535" s="6">
        <f t="shared" si="355"/>
        <v>0</v>
      </c>
      <c r="BQ535" s="6">
        <f t="shared" si="355"/>
        <v>0</v>
      </c>
      <c r="BR535" s="6">
        <f t="shared" si="355"/>
        <v>0</v>
      </c>
      <c r="BS535" s="6">
        <f t="shared" si="355"/>
        <v>0</v>
      </c>
      <c r="BT535" s="6">
        <f t="shared" si="356"/>
        <v>0</v>
      </c>
      <c r="BV535" s="6">
        <f t="shared" si="357"/>
        <v>0</v>
      </c>
      <c r="BW535" s="6">
        <f t="shared" si="358"/>
        <v>0</v>
      </c>
      <c r="BX535" s="6">
        <f t="shared" si="359"/>
        <v>0</v>
      </c>
      <c r="BY535" s="6">
        <f t="shared" si="360"/>
        <v>0</v>
      </c>
      <c r="BZ535" s="6">
        <f t="shared" si="361"/>
        <v>0</v>
      </c>
      <c r="CA535" s="6">
        <f t="shared" si="362"/>
        <v>0</v>
      </c>
      <c r="CB535" s="6">
        <f t="shared" si="363"/>
        <v>0</v>
      </c>
      <c r="CC535" s="6">
        <f t="shared" si="364"/>
        <v>0</v>
      </c>
      <c r="CD535" s="6">
        <f t="shared" si="365"/>
        <v>0</v>
      </c>
      <c r="CE535" s="6">
        <f t="shared" si="366"/>
        <v>0</v>
      </c>
      <c r="CF535" s="6">
        <f t="shared" si="367"/>
        <v>0</v>
      </c>
      <c r="CG535" s="6">
        <f t="shared" si="368"/>
        <v>0</v>
      </c>
      <c r="CH535" s="6">
        <f t="shared" si="348"/>
        <v>0</v>
      </c>
    </row>
    <row r="536" spans="1:87" hidden="1" x14ac:dyDescent="0.35">
      <c r="A536" s="3" t="s">
        <v>949</v>
      </c>
      <c r="B536" s="21">
        <v>83333.333333333328</v>
      </c>
      <c r="C536" s="21">
        <v>83333.333333333328</v>
      </c>
      <c r="D536" s="21">
        <v>83333.333333333328</v>
      </c>
      <c r="E536" s="21">
        <v>83333.333333333328</v>
      </c>
      <c r="F536" s="21">
        <v>83333.333333333328</v>
      </c>
      <c r="G536" s="21">
        <v>83333.333333333328</v>
      </c>
      <c r="H536" s="21">
        <v>83333.333333333328</v>
      </c>
      <c r="I536" s="21">
        <v>83333.333333333328</v>
      </c>
      <c r="J536" s="21">
        <v>83333.333333333328</v>
      </c>
      <c r="K536" s="21">
        <v>83333.333333333328</v>
      </c>
      <c r="L536" s="21">
        <v>83333.333333333328</v>
      </c>
      <c r="M536" s="21">
        <v>83333.333333333328</v>
      </c>
      <c r="N536" s="27">
        <f t="shared" si="350"/>
        <v>1000000.0000000001</v>
      </c>
      <c r="O536" s="10">
        <v>83333.333333333343</v>
      </c>
      <c r="P536" s="10">
        <v>83333.333333333343</v>
      </c>
      <c r="Q536" s="10">
        <v>83333.333333333343</v>
      </c>
      <c r="R536" s="10">
        <v>83333.333333333343</v>
      </c>
      <c r="S536" s="10">
        <v>83333.333333333343</v>
      </c>
      <c r="T536" s="10">
        <v>83333.333333333343</v>
      </c>
      <c r="U536" s="10">
        <v>83333.333333333343</v>
      </c>
      <c r="V536" s="10">
        <v>83333.333333333343</v>
      </c>
      <c r="W536" s="10">
        <v>83333.333333333343</v>
      </c>
      <c r="X536" s="10">
        <v>83333.333333333343</v>
      </c>
      <c r="Y536" s="10">
        <v>83333.333333333343</v>
      </c>
      <c r="Z536" s="10">
        <v>83333.333333333343</v>
      </c>
      <c r="AA536" s="27">
        <f t="shared" si="351"/>
        <v>1000000.0000000003</v>
      </c>
      <c r="AB536" s="10">
        <f t="shared" ref="AB536:AI536" si="370">B536-O536</f>
        <v>0</v>
      </c>
      <c r="AC536" s="10">
        <f t="shared" si="370"/>
        <v>0</v>
      </c>
      <c r="AD536" s="10">
        <f t="shared" si="370"/>
        <v>0</v>
      </c>
      <c r="AE536" s="10">
        <f t="shared" si="370"/>
        <v>0</v>
      </c>
      <c r="AF536" s="10">
        <f t="shared" si="370"/>
        <v>0</v>
      </c>
      <c r="AG536" s="10">
        <f t="shared" si="370"/>
        <v>0</v>
      </c>
      <c r="AH536" s="10">
        <f t="shared" si="370"/>
        <v>0</v>
      </c>
      <c r="AI536" s="10">
        <f t="shared" si="370"/>
        <v>0</v>
      </c>
      <c r="AJ536" s="10">
        <f t="shared" si="369"/>
        <v>0</v>
      </c>
      <c r="AK536" s="10">
        <f t="shared" si="369"/>
        <v>0</v>
      </c>
      <c r="AL536" s="10">
        <f t="shared" si="369"/>
        <v>0</v>
      </c>
      <c r="AM536" s="10">
        <f t="shared" si="369"/>
        <v>0</v>
      </c>
      <c r="AN536" s="27">
        <f t="shared" si="369"/>
        <v>0</v>
      </c>
      <c r="AR536" t="s">
        <v>795</v>
      </c>
      <c r="AS536" t="str">
        <f>_xlfn.XLOOKUP(AU536,[2]GAE!HZ:HZ,[2]GAE!IA:IA)</f>
        <v>CORPORATE MARKETING</v>
      </c>
      <c r="AT536" t="str">
        <f>_xlfn.XLOOKUP(AU536,[2]GAE!HZ:HZ,[2]GAE!IB:IB)</f>
        <v>DOE - Promos</v>
      </c>
      <c r="AU536" s="3" t="s">
        <v>944</v>
      </c>
      <c r="AV536" s="3">
        <v>81314101</v>
      </c>
      <c r="AW536" s="3">
        <v>52551201</v>
      </c>
      <c r="AX536" t="str">
        <f>_xlfn.XLOOKUP(AU536,[2]GAE!HZ:HZ,[2]GAE!IF:IF)</f>
        <v>Ad &amp; Promo</v>
      </c>
      <c r="BA536" s="3" t="s">
        <v>945</v>
      </c>
      <c r="BF536" s="37" t="s">
        <v>1263</v>
      </c>
      <c r="BG536" s="37" t="s">
        <v>1263</v>
      </c>
      <c r="BH536" s="10">
        <f>SUMIFS('[1]2026'!$K:$K,'[1]2026'!$T:$T,BD536,'[1]2026'!$S:$S,BH$3,'[1]2026'!$P:$P,AU536)</f>
        <v>0</v>
      </c>
      <c r="BI536" s="10">
        <f>SUMIFS('[1]2026'!$K:$K,'[1]2026'!$T:$T,$BD536,'[1]2026'!$S:$S,BI$3,'[1]2026'!$P:$P,$AU536)</f>
        <v>0</v>
      </c>
      <c r="BJ536" s="10">
        <f>SUMIFS('[1]2026'!$K:$K,'[1]2026'!$T:$T,$BD536,'[1]2026'!$S:$S,BJ$3,'[1]2026'!$P:$P,$AU536)</f>
        <v>0</v>
      </c>
      <c r="BK536" s="10">
        <f>SUMIFS('[1]2026'!$K:$K,'[1]2026'!$T:$T,$BD536,'[1]2026'!$S:$S,BK$3,'[1]2026'!$P:$P,$AU536)</f>
        <v>0</v>
      </c>
      <c r="BL536" s="10">
        <f>SUMIFS('[1]2026'!$K:$K,'[1]2026'!$T:$T,$BD536,'[1]2026'!$S:$S,BL$3,'[1]2026'!$P:$P,$AU536)</f>
        <v>0</v>
      </c>
      <c r="BM536" s="10">
        <f>SUMIFS('[1]2026'!$K:$K,'[1]2026'!$T:$T,$BD536,'[1]2026'!$S:$S,BM$3,'[1]2026'!$P:$P,$AU536)</f>
        <v>0</v>
      </c>
      <c r="BN536" s="10">
        <f>SUMIFS('[1]2026'!$K:$K,'[1]2026'!$T:$T,$BD536,'[1]2026'!$S:$S,BN$3,'[1]2026'!$P:$P,$AU536)</f>
        <v>0</v>
      </c>
      <c r="BO536" s="10">
        <f>SUMIFS('[1]2026'!$K:$K,'[1]2026'!$T:$T,$BD536,'[1]2026'!$S:$S,BO$3,'[1]2026'!$P:$P,$AU536)</f>
        <v>0</v>
      </c>
      <c r="BP536" s="6">
        <f t="shared" si="355"/>
        <v>0</v>
      </c>
      <c r="BQ536" s="6">
        <f t="shared" si="355"/>
        <v>0</v>
      </c>
      <c r="BR536" s="6">
        <f t="shared" si="355"/>
        <v>0</v>
      </c>
      <c r="BS536" s="6">
        <f t="shared" si="355"/>
        <v>0</v>
      </c>
      <c r="BT536" s="6">
        <f t="shared" si="356"/>
        <v>0</v>
      </c>
      <c r="BV536" s="6">
        <f t="shared" si="357"/>
        <v>0</v>
      </c>
      <c r="BW536" s="6">
        <f t="shared" si="358"/>
        <v>0</v>
      </c>
      <c r="BX536" s="6">
        <f t="shared" si="359"/>
        <v>0</v>
      </c>
      <c r="BY536" s="6">
        <f t="shared" si="360"/>
        <v>0</v>
      </c>
      <c r="BZ536" s="6">
        <f t="shared" si="361"/>
        <v>0</v>
      </c>
      <c r="CA536" s="6">
        <f t="shared" si="362"/>
        <v>0</v>
      </c>
      <c r="CB536" s="6">
        <f t="shared" si="363"/>
        <v>0</v>
      </c>
      <c r="CC536" s="6">
        <f t="shared" si="364"/>
        <v>0</v>
      </c>
      <c r="CD536" s="6">
        <f t="shared" si="365"/>
        <v>0</v>
      </c>
      <c r="CE536" s="6">
        <f t="shared" si="366"/>
        <v>0</v>
      </c>
      <c r="CF536" s="6">
        <f t="shared" si="367"/>
        <v>0</v>
      </c>
      <c r="CG536" s="6">
        <f t="shared" si="368"/>
        <v>0</v>
      </c>
      <c r="CH536" s="6">
        <f t="shared" si="348"/>
        <v>0</v>
      </c>
    </row>
    <row r="537" spans="1:87" hidden="1" x14ac:dyDescent="0.35"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AN537" s="27">
        <f t="shared" si="369"/>
        <v>0</v>
      </c>
      <c r="AS537" t="str">
        <f>_xlfn.XLOOKUP(AU537,[2]GAE!HZ:HZ,[2]GAE!IA:IA)</f>
        <v>CORPORATE MARKETING</v>
      </c>
      <c r="AT537" t="str">
        <f>_xlfn.XLOOKUP(AU537,[2]GAE!HZ:HZ,[2]GAE!IB:IB)</f>
        <v>GAE - Promos - Corporate Branding</v>
      </c>
      <c r="AU537" s="3" t="s">
        <v>950</v>
      </c>
      <c r="AV537" s="3">
        <v>80314101</v>
      </c>
      <c r="AW537" s="3">
        <v>61731103</v>
      </c>
      <c r="AX537" t="str">
        <f>_xlfn.XLOOKUP(AU537,[2]GAE!HZ:HZ,[2]GAE!IF:IF)</f>
        <v>Ad &amp; Promo</v>
      </c>
      <c r="BA537" s="3"/>
      <c r="BC537" t="s">
        <v>145</v>
      </c>
      <c r="BD537" t="s">
        <v>145</v>
      </c>
      <c r="BF537" t="s">
        <v>144</v>
      </c>
      <c r="BG537" t="s">
        <v>145</v>
      </c>
      <c r="BH537" s="10">
        <f>SUMIFS('[1]2026'!$K:$K,'[1]2026'!$T:$T,BD537,'[1]2026'!$S:$S,BH$3,'[1]2026'!$P:$P,AU537)</f>
        <v>30000</v>
      </c>
      <c r="BI537" s="10">
        <f>SUMIFS('[1]2026'!$K:$K,'[1]2026'!$T:$T,$BD537,'[1]2026'!$S:$S,BI$3,'[1]2026'!$P:$P,$AU537)</f>
        <v>0</v>
      </c>
      <c r="BJ537" s="10">
        <f>SUMIFS('[1]2026'!$K:$K,'[1]2026'!$T:$T,$BD537,'[1]2026'!$S:$S,BJ$3,'[1]2026'!$P:$P,$AU537)</f>
        <v>0</v>
      </c>
      <c r="BK537" s="10">
        <f>SUMIFS('[1]2026'!$K:$K,'[1]2026'!$T:$T,$BD537,'[1]2026'!$S:$S,BK$3,'[1]2026'!$P:$P,$AU537)</f>
        <v>0</v>
      </c>
      <c r="BL537" s="10">
        <v>0</v>
      </c>
      <c r="BM537" s="10">
        <f>SUMIFS('[1]2026'!$K:$K,'[1]2026'!$T:$T,$BD537,'[1]2026'!$S:$S,BM$3,'[1]2026'!$P:$P,$AU537)</f>
        <v>0</v>
      </c>
      <c r="BN537" s="10">
        <f>SUMIFS('[1]2026'!$K:$K,'[1]2026'!$T:$T,$BD537,'[1]2026'!$S:$S,BN$3,'[1]2026'!$P:$P,$AU537)</f>
        <v>0</v>
      </c>
      <c r="BO537" s="10">
        <f>SUMIFS('[1]2026'!$K:$K,'[1]2026'!$T:$T,$BD537,'[1]2026'!$S:$S,BO$3,'[1]2026'!$P:$P,$AU537)</f>
        <v>0</v>
      </c>
      <c r="BP537" s="6"/>
      <c r="BQ537" s="6"/>
      <c r="BR537" s="6"/>
      <c r="BS537" s="6"/>
      <c r="BT537" s="6">
        <f t="shared" si="356"/>
        <v>30000</v>
      </c>
      <c r="BV537" s="6">
        <f t="shared" si="357"/>
        <v>30000</v>
      </c>
      <c r="BW537" s="6">
        <f t="shared" si="358"/>
        <v>0</v>
      </c>
      <c r="BX537" s="6">
        <f t="shared" si="359"/>
        <v>0</v>
      </c>
      <c r="BY537" s="6">
        <f t="shared" si="360"/>
        <v>0</v>
      </c>
      <c r="BZ537" s="6">
        <f t="shared" si="361"/>
        <v>0</v>
      </c>
      <c r="CA537" s="6">
        <f t="shared" si="362"/>
        <v>0</v>
      </c>
      <c r="CB537" s="6">
        <f t="shared" si="363"/>
        <v>0</v>
      </c>
      <c r="CC537" s="6">
        <f t="shared" si="364"/>
        <v>0</v>
      </c>
      <c r="CD537" s="6">
        <f t="shared" si="365"/>
        <v>0</v>
      </c>
      <c r="CE537" s="6">
        <f t="shared" si="366"/>
        <v>0</v>
      </c>
      <c r="CF537" s="6">
        <f t="shared" si="367"/>
        <v>0</v>
      </c>
      <c r="CG537" s="6">
        <f t="shared" si="368"/>
        <v>0</v>
      </c>
      <c r="CH537" s="6">
        <f t="shared" si="348"/>
        <v>30000</v>
      </c>
      <c r="CI537" s="6"/>
    </row>
    <row r="538" spans="1:87" hidden="1" x14ac:dyDescent="0.35"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AN538" s="27">
        <f t="shared" si="369"/>
        <v>0</v>
      </c>
      <c r="AS538" t="str">
        <f>_xlfn.XLOOKUP(AU538,[2]GAE!HZ:HZ,[2]GAE!IA:IA)</f>
        <v>CORPORATE MARKETING</v>
      </c>
      <c r="AT538" t="str">
        <f>_xlfn.XLOOKUP(AU538,[2]GAE!HZ:HZ,[2]GAE!IB:IB)</f>
        <v>GAE - Promos - Corporate Branding</v>
      </c>
      <c r="AU538" s="3" t="s">
        <v>950</v>
      </c>
      <c r="AV538" s="3">
        <v>80314101</v>
      </c>
      <c r="AW538" s="3">
        <v>61731103</v>
      </c>
      <c r="AX538" t="str">
        <f>_xlfn.XLOOKUP(AU538,[2]GAE!HZ:HZ,[2]GAE!IF:IF)</f>
        <v>Ad &amp; Promo</v>
      </c>
      <c r="BA538" s="3"/>
      <c r="BC538" t="s">
        <v>146</v>
      </c>
      <c r="BD538" t="s">
        <v>146</v>
      </c>
      <c r="BF538" t="s">
        <v>144</v>
      </c>
      <c r="BG538" t="s">
        <v>146</v>
      </c>
      <c r="BH538" s="10">
        <f>SUMIFS('[1]2026'!$K:$K,'[1]2026'!$T:$T,BD538,'[1]2026'!$S:$S,BH$3,'[1]2026'!$P:$P,AU538)</f>
        <v>37500</v>
      </c>
      <c r="BI538" s="10">
        <f>SUMIFS('[1]2026'!$K:$K,'[1]2026'!$T:$T,$BD538,'[1]2026'!$S:$S,BI$3,'[1]2026'!$P:$P,$AU538)</f>
        <v>0</v>
      </c>
      <c r="BJ538" s="10">
        <f>SUMIFS('[1]2026'!$K:$K,'[1]2026'!$T:$T,$BD538,'[1]2026'!$S:$S,BJ$3,'[1]2026'!$P:$P,$AU538)</f>
        <v>0</v>
      </c>
      <c r="BK538" s="10">
        <f>SUMIFS('[1]2026'!$K:$K,'[1]2026'!$T:$T,$BD538,'[1]2026'!$S:$S,BK$3,'[1]2026'!$P:$P,$AU538)</f>
        <v>0</v>
      </c>
      <c r="BL538" s="10">
        <v>37500</v>
      </c>
      <c r="BM538" s="10">
        <f>SUMIFS('[1]2026'!$K:$K,'[1]2026'!$T:$T,$BD538,'[1]2026'!$S:$S,BM$3,'[1]2026'!$P:$P,$AU538)</f>
        <v>0</v>
      </c>
      <c r="BN538" s="10">
        <f>SUMIFS('[1]2026'!$K:$K,'[1]2026'!$T:$T,$BD538,'[1]2026'!$S:$S,BN$3,'[1]2026'!$P:$P,$AU538)</f>
        <v>0</v>
      </c>
      <c r="BO538" s="10">
        <f>SUMIFS('[1]2026'!$K:$K,'[1]2026'!$T:$T,$BD538,'[1]2026'!$S:$S,BO$3,'[1]2026'!$P:$P,$AU538)</f>
        <v>0</v>
      </c>
      <c r="BP538" s="6"/>
      <c r="BQ538" s="6"/>
      <c r="BR538" s="6"/>
      <c r="BS538" s="6"/>
      <c r="BT538" s="6">
        <f t="shared" si="356"/>
        <v>75000</v>
      </c>
      <c r="BV538" s="6">
        <f t="shared" si="357"/>
        <v>37500</v>
      </c>
      <c r="BW538" s="6">
        <f t="shared" si="358"/>
        <v>0</v>
      </c>
      <c r="BX538" s="6">
        <f t="shared" si="359"/>
        <v>0</v>
      </c>
      <c r="BY538" s="6">
        <f t="shared" si="360"/>
        <v>0</v>
      </c>
      <c r="BZ538" s="6">
        <f t="shared" si="361"/>
        <v>37500</v>
      </c>
      <c r="CA538" s="6">
        <f t="shared" si="362"/>
        <v>0</v>
      </c>
      <c r="CB538" s="6">
        <f t="shared" si="363"/>
        <v>0</v>
      </c>
      <c r="CC538" s="6">
        <f t="shared" si="364"/>
        <v>0</v>
      </c>
      <c r="CD538" s="6">
        <f t="shared" si="365"/>
        <v>0</v>
      </c>
      <c r="CE538" s="6">
        <f t="shared" si="366"/>
        <v>0</v>
      </c>
      <c r="CF538" s="6">
        <f t="shared" si="367"/>
        <v>0</v>
      </c>
      <c r="CG538" s="6">
        <f t="shared" si="368"/>
        <v>0</v>
      </c>
      <c r="CH538" s="6">
        <f t="shared" si="348"/>
        <v>75000</v>
      </c>
      <c r="CI538" s="6"/>
    </row>
    <row r="539" spans="1:87" hidden="1" x14ac:dyDescent="0.35"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AN539" s="27">
        <f t="shared" si="369"/>
        <v>0</v>
      </c>
      <c r="AS539" t="str">
        <f>_xlfn.XLOOKUP(AU539,[2]GAE!HZ:HZ,[2]GAE!IA:IA)</f>
        <v>CORPORATE MARKETING</v>
      </c>
      <c r="AT539" t="str">
        <f>_xlfn.XLOOKUP(AU539,[2]GAE!HZ:HZ,[2]GAE!IB:IB)</f>
        <v>GAE - Promos - Corporate Branding</v>
      </c>
      <c r="AU539" s="3" t="s">
        <v>950</v>
      </c>
      <c r="AV539" s="3">
        <v>80314101</v>
      </c>
      <c r="AW539" s="3">
        <v>61731103</v>
      </c>
      <c r="AX539" t="str">
        <f>_xlfn.XLOOKUP(AU539,[2]GAE!HZ:HZ,[2]GAE!IF:IF)</f>
        <v>Ad &amp; Promo</v>
      </c>
      <c r="BA539" s="3"/>
      <c r="BC539" t="s">
        <v>294</v>
      </c>
      <c r="BD539" t="s">
        <v>951</v>
      </c>
      <c r="BF539" s="37" t="s">
        <v>1263</v>
      </c>
      <c r="BG539" s="37" t="s">
        <v>1263</v>
      </c>
      <c r="BH539" s="10">
        <f>SUMIFS('[1]2026'!$K:$K,'[1]2026'!$T:$T,BD539,'[1]2026'!$S:$S,BH$3,'[1]2026'!$P:$P,AU539)</f>
        <v>37500</v>
      </c>
      <c r="BI539" s="10">
        <f>SUMIFS('[1]2026'!$K:$K,'[1]2026'!$T:$T,$BD539,'[1]2026'!$S:$S,BI$3,'[1]2026'!$P:$P,$AU539)</f>
        <v>0</v>
      </c>
      <c r="BJ539" s="10">
        <f>SUMIFS('[1]2026'!$K:$K,'[1]2026'!$T:$T,$BD539,'[1]2026'!$S:$S,BJ$3,'[1]2026'!$P:$P,$AU539)</f>
        <v>0</v>
      </c>
      <c r="BK539" s="10">
        <f>SUMIFS('[1]2026'!$K:$K,'[1]2026'!$T:$T,$BD539,'[1]2026'!$S:$S,BK$3,'[1]2026'!$P:$P,$AU539)</f>
        <v>0</v>
      </c>
      <c r="BL539" s="10">
        <f>SUMIFS('[1]2026'!$K:$K,'[1]2026'!$T:$T,$BD539,'[1]2026'!$S:$S,BL$3,'[1]2026'!$P:$P,$AU539)</f>
        <v>0</v>
      </c>
      <c r="BM539" s="10">
        <f>SUMIFS('[1]2026'!$K:$K,'[1]2026'!$T:$T,$BD539,'[1]2026'!$S:$S,BM$3,'[1]2026'!$P:$P,$AU539)</f>
        <v>0</v>
      </c>
      <c r="BN539" s="10">
        <f>SUMIFS('[1]2026'!$K:$K,'[1]2026'!$T:$T,$BD539,'[1]2026'!$S:$S,BN$3,'[1]2026'!$P:$P,$AU539)</f>
        <v>0</v>
      </c>
      <c r="BO539" s="10">
        <f>SUMIFS('[1]2026'!$K:$K,'[1]2026'!$T:$T,$BD539,'[1]2026'!$S:$S,BO$3,'[1]2026'!$P:$P,$AU539)</f>
        <v>0</v>
      </c>
      <c r="BP539" s="6"/>
      <c r="BQ539" s="6"/>
      <c r="BR539" s="6"/>
      <c r="BS539" s="6"/>
      <c r="BT539" s="6">
        <f t="shared" si="356"/>
        <v>37500</v>
      </c>
      <c r="BV539" s="6">
        <f t="shared" si="357"/>
        <v>37500</v>
      </c>
      <c r="BW539" s="6">
        <f t="shared" si="358"/>
        <v>0</v>
      </c>
      <c r="BX539" s="6">
        <f t="shared" si="359"/>
        <v>0</v>
      </c>
      <c r="BY539" s="6">
        <f t="shared" si="360"/>
        <v>0</v>
      </c>
      <c r="BZ539" s="6">
        <f t="shared" si="361"/>
        <v>0</v>
      </c>
      <c r="CA539" s="6">
        <f t="shared" si="362"/>
        <v>0</v>
      </c>
      <c r="CB539" s="6">
        <f t="shared" si="363"/>
        <v>0</v>
      </c>
      <c r="CC539" s="6">
        <f t="shared" si="364"/>
        <v>0</v>
      </c>
      <c r="CD539" s="6">
        <f t="shared" si="365"/>
        <v>0</v>
      </c>
      <c r="CE539" s="6">
        <f t="shared" si="366"/>
        <v>0</v>
      </c>
      <c r="CF539" s="6">
        <f t="shared" si="367"/>
        <v>0</v>
      </c>
      <c r="CG539" s="6">
        <f t="shared" si="368"/>
        <v>0</v>
      </c>
      <c r="CH539" s="6">
        <f t="shared" si="348"/>
        <v>37500</v>
      </c>
      <c r="CI539" s="6"/>
    </row>
    <row r="540" spans="1:87" hidden="1" x14ac:dyDescent="0.35"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AN540" s="27">
        <f t="shared" si="369"/>
        <v>0</v>
      </c>
      <c r="AS540" t="str">
        <f>_xlfn.XLOOKUP(AU540,[2]GAE!HZ:HZ,[2]GAE!IA:IA)</f>
        <v>CORPORATE MARKETING</v>
      </c>
      <c r="AT540" t="str">
        <f>_xlfn.XLOOKUP(AU540,[2]GAE!HZ:HZ,[2]GAE!IB:IB)</f>
        <v>GAE - Promos - Corporate Branding</v>
      </c>
      <c r="AU540" s="3" t="s">
        <v>950</v>
      </c>
      <c r="AV540" s="3">
        <v>80314101</v>
      </c>
      <c r="AW540" s="3">
        <v>61731103</v>
      </c>
      <c r="AX540" t="str">
        <f>_xlfn.XLOOKUP(AU540,[2]GAE!HZ:HZ,[2]GAE!IF:IF)</f>
        <v>Ad &amp; Promo</v>
      </c>
      <c r="BA540" s="3"/>
      <c r="BC540" t="s">
        <v>147</v>
      </c>
      <c r="BD540" t="s">
        <v>147</v>
      </c>
      <c r="BF540" t="s">
        <v>144</v>
      </c>
      <c r="BG540" t="s">
        <v>147</v>
      </c>
      <c r="BH540" s="10">
        <f>SUMIFS('[1]2026'!$K:$K,'[1]2026'!$T:$T,BD540,'[1]2026'!$S:$S,BH$3,'[1]2026'!$P:$P,AU540)</f>
        <v>148809.53</v>
      </c>
      <c r="BI540" s="10">
        <f>SUMIFS('[1]2026'!$K:$K,'[1]2026'!$T:$T,$BD540,'[1]2026'!$S:$S,BI$3,'[1]2026'!$P:$P,$AU540)</f>
        <v>148809.53</v>
      </c>
      <c r="BJ540" s="10">
        <f>SUMIFS('[1]2026'!$K:$K,'[1]2026'!$T:$T,$BD540,'[1]2026'!$S:$S,BJ$3,'[1]2026'!$P:$P,$AU540)</f>
        <v>148809.53</v>
      </c>
      <c r="BK540" s="10">
        <f>SUMIFS('[1]2026'!$K:$K,'[1]2026'!$T:$T,$BD540,'[1]2026'!$S:$S,BK$3,'[1]2026'!$P:$P,$AU540)</f>
        <v>0</v>
      </c>
      <c r="BL540" s="10">
        <f>SUMIFS('[1]2026'!$K:$K,'[1]2026'!$T:$T,$BD540,'[1]2026'!$S:$S,BL$3,'[1]2026'!$P:$P,$AU540)</f>
        <v>0</v>
      </c>
      <c r="BM540" s="10">
        <f>SUMIFS('[1]2026'!$K:$K,'[1]2026'!$T:$T,$BD540,'[1]2026'!$S:$S,BM$3,'[1]2026'!$P:$P,$AU540)</f>
        <v>0</v>
      </c>
      <c r="BN540" s="10">
        <f>SUMIFS('[1]2026'!$K:$K,'[1]2026'!$T:$T,$BD540,'[1]2026'!$S:$S,BN$3,'[1]2026'!$P:$P,$AU540)</f>
        <v>0</v>
      </c>
      <c r="BO540" s="10">
        <f>SUMIFS('[1]2026'!$K:$K,'[1]2026'!$T:$T,$BD540,'[1]2026'!$S:$S,BO$3,'[1]2026'!$P:$P,$AU540)</f>
        <v>0</v>
      </c>
      <c r="BP540" s="6"/>
      <c r="BQ540" s="6"/>
      <c r="BR540" s="6"/>
      <c r="BS540" s="6"/>
      <c r="BT540" s="6">
        <f t="shared" si="356"/>
        <v>446428.58999999997</v>
      </c>
      <c r="BV540" s="6">
        <f t="shared" si="357"/>
        <v>148809.53</v>
      </c>
      <c r="BW540" s="6">
        <f t="shared" si="358"/>
        <v>148809.53</v>
      </c>
      <c r="BX540" s="6">
        <f t="shared" si="359"/>
        <v>148809.53</v>
      </c>
      <c r="BY540" s="6">
        <f t="shared" si="360"/>
        <v>0</v>
      </c>
      <c r="BZ540" s="6">
        <f t="shared" si="361"/>
        <v>0</v>
      </c>
      <c r="CA540" s="6">
        <f t="shared" si="362"/>
        <v>0</v>
      </c>
      <c r="CB540" s="6">
        <f t="shared" si="363"/>
        <v>0</v>
      </c>
      <c r="CC540" s="6">
        <f t="shared" si="364"/>
        <v>0</v>
      </c>
      <c r="CD540" s="6">
        <f t="shared" si="365"/>
        <v>0</v>
      </c>
      <c r="CE540" s="6">
        <f t="shared" si="366"/>
        <v>0</v>
      </c>
      <c r="CF540" s="6">
        <f t="shared" si="367"/>
        <v>0</v>
      </c>
      <c r="CG540" s="6">
        <f t="shared" si="368"/>
        <v>0</v>
      </c>
      <c r="CH540" s="6">
        <f t="shared" si="348"/>
        <v>446428.58999999997</v>
      </c>
      <c r="CI540" s="6"/>
    </row>
    <row r="541" spans="1:87" hidden="1" x14ac:dyDescent="0.35"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AN541" s="27">
        <f t="shared" si="369"/>
        <v>0</v>
      </c>
      <c r="AS541" t="str">
        <f>_xlfn.XLOOKUP(AU541,[2]GAE!HZ:HZ,[2]GAE!IA:IA)</f>
        <v>CORPORATE MARKETING</v>
      </c>
      <c r="AT541" t="str">
        <f>_xlfn.XLOOKUP(AU541,[2]GAE!HZ:HZ,[2]GAE!IB:IB)</f>
        <v>GAE - Promos - Corporate Branding</v>
      </c>
      <c r="AU541" s="3" t="s">
        <v>950</v>
      </c>
      <c r="AV541" s="3">
        <v>80314101</v>
      </c>
      <c r="AW541" s="3">
        <v>61731103</v>
      </c>
      <c r="AX541" t="str">
        <f>_xlfn.XLOOKUP(AU541,[2]GAE!HZ:HZ,[2]GAE!IF:IF)</f>
        <v>Ad &amp; Promo</v>
      </c>
      <c r="BA541" s="3"/>
      <c r="BC541" t="s">
        <v>149</v>
      </c>
      <c r="BD541" t="s">
        <v>952</v>
      </c>
      <c r="BF541" t="s">
        <v>148</v>
      </c>
      <c r="BG541" t="s">
        <v>149</v>
      </c>
      <c r="BH541" s="10">
        <f>SUMIFS('[1]2026'!$K:$K,'[1]2026'!$T:$T,BD541,'[1]2026'!$S:$S,BH$3,'[1]2026'!$P:$P,AU541)</f>
        <v>0</v>
      </c>
      <c r="BI541" s="10">
        <f>SUMIFS('[1]2026'!$K:$K,'[1]2026'!$T:$T,$BD541,'[1]2026'!$S:$S,BI$3,'[1]2026'!$P:$P,$AU541)</f>
        <v>13767.12</v>
      </c>
      <c r="BJ541" s="10">
        <f>SUMIFS('[1]2026'!$K:$K,'[1]2026'!$T:$T,$BD541,'[1]2026'!$S:$S,BJ$3,'[1]2026'!$P:$P,$AU541)</f>
        <v>-13767.13</v>
      </c>
      <c r="BK541" s="10">
        <f>SUMIFS('[1]2026'!$K:$K,'[1]2026'!$T:$T,$BD541,'[1]2026'!$S:$S,BK$3,'[1]2026'!$P:$P,$AU541)</f>
        <v>10054.290000000001</v>
      </c>
      <c r="BL541" s="6"/>
      <c r="BM541" s="10">
        <f>SUMIFS('[1]2026'!$K:$K,'[1]2026'!$T:$T,$BD541,'[1]2026'!$S:$S,BM$3,'[1]2026'!$P:$P,$AU541)</f>
        <v>0</v>
      </c>
      <c r="BN541" s="10">
        <f>SUMIFS('[1]2026'!$K:$K,'[1]2026'!$T:$T,$BD541,'[1]2026'!$S:$S,BN$3,'[1]2026'!$P:$P,$AU541)</f>
        <v>0</v>
      </c>
      <c r="BO541" s="10">
        <f>SUMIFS('[1]2026'!$K:$K,'[1]2026'!$T:$T,$BD541,'[1]2026'!$S:$S,BO$3,'[1]2026'!$P:$P,$AU541)</f>
        <v>0</v>
      </c>
      <c r="BP541" s="6"/>
      <c r="BQ541" s="6"/>
      <c r="BR541" s="6"/>
      <c r="BS541" s="6"/>
      <c r="BT541" s="6">
        <f t="shared" si="356"/>
        <v>10054.280000000002</v>
      </c>
      <c r="BV541" s="6">
        <f t="shared" si="357"/>
        <v>0</v>
      </c>
      <c r="BW541" s="6">
        <f t="shared" si="358"/>
        <v>13767.12</v>
      </c>
      <c r="BX541" s="6">
        <f t="shared" si="359"/>
        <v>-13767.13</v>
      </c>
      <c r="BY541" s="6">
        <f t="shared" si="360"/>
        <v>10054.290000000001</v>
      </c>
      <c r="BZ541" s="6">
        <f t="shared" si="361"/>
        <v>0</v>
      </c>
      <c r="CA541" s="6">
        <f t="shared" si="362"/>
        <v>0</v>
      </c>
      <c r="CB541" s="6">
        <f t="shared" si="363"/>
        <v>0</v>
      </c>
      <c r="CC541" s="6">
        <f t="shared" si="364"/>
        <v>0</v>
      </c>
      <c r="CD541" s="6">
        <f t="shared" si="365"/>
        <v>0</v>
      </c>
      <c r="CE541" s="6">
        <f t="shared" si="366"/>
        <v>0</v>
      </c>
      <c r="CF541" s="6">
        <f t="shared" si="367"/>
        <v>0</v>
      </c>
      <c r="CG541" s="6">
        <f t="shared" si="368"/>
        <v>0</v>
      </c>
      <c r="CH541" s="6">
        <f t="shared" si="348"/>
        <v>10054.280000000002</v>
      </c>
      <c r="CI541" s="6"/>
    </row>
    <row r="542" spans="1:87" hidden="1" x14ac:dyDescent="0.35"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AN542" s="27">
        <f t="shared" si="369"/>
        <v>0</v>
      </c>
      <c r="AS542" t="str">
        <f>_xlfn.XLOOKUP(AU542,[2]GAE!HZ:HZ,[2]GAE!IA:IA)</f>
        <v>CORPORATE MARKETING</v>
      </c>
      <c r="AT542" t="str">
        <f>_xlfn.XLOOKUP(AU542,[2]GAE!HZ:HZ,[2]GAE!IB:IB)</f>
        <v>GAE - Promos - Corporate Branding</v>
      </c>
      <c r="AU542" s="3" t="s">
        <v>950</v>
      </c>
      <c r="AV542" s="3">
        <v>80314101</v>
      </c>
      <c r="AW542" s="3">
        <v>61731103</v>
      </c>
      <c r="AX542" t="str">
        <f>_xlfn.XLOOKUP(AU542,[2]GAE!HZ:HZ,[2]GAE!IF:IF)</f>
        <v>Ad &amp; Promo</v>
      </c>
      <c r="BA542" s="3"/>
      <c r="BC542" t="s">
        <v>151</v>
      </c>
      <c r="BD542" t="s">
        <v>151</v>
      </c>
      <c r="BF542" t="s">
        <v>150</v>
      </c>
      <c r="BG542" t="s">
        <v>151</v>
      </c>
      <c r="BH542" s="10">
        <f>SUMIFS('[1]2026'!$K:$K,'[1]2026'!$T:$T,BD542,'[1]2026'!$S:$S,BH$3,'[1]2026'!$P:$P,AU542)</f>
        <v>0</v>
      </c>
      <c r="BI542" s="10">
        <f>SUMIFS('[1]2026'!$K:$K,'[1]2026'!$T:$T,$BD542,'[1]2026'!$S:$S,BI$3,'[1]2026'!$P:$P,$AU542)</f>
        <v>1245.6600000000001</v>
      </c>
      <c r="BJ542" s="10">
        <f>SUMIFS('[1]2026'!$K:$K,'[1]2026'!$T:$T,$BD542,'[1]2026'!$S:$S,BJ$3,'[1]2026'!$P:$P,$AU542)</f>
        <v>1245.6600000000001</v>
      </c>
      <c r="BK542" s="10">
        <f>SUMIFS('[1]2026'!$K:$K,'[1]2026'!$T:$T,$BD542,'[1]2026'!$S:$S,BK$3,'[1]2026'!$P:$P,$AU542)</f>
        <v>1245.6600000000001</v>
      </c>
      <c r="BL542" s="10">
        <f>SUMIFS('[1]2026'!$K:$K,'[1]2026'!$T:$T,$BD542,'[1]2026'!$S:$S,BL$3,'[1]2026'!$P:$P,$AU542)</f>
        <v>1245.6600000000001</v>
      </c>
      <c r="BM542" s="10">
        <f>SUMIFS('[1]2026'!$K:$K,'[1]2026'!$T:$T,$BD542,'[1]2026'!$S:$S,BM$3,'[1]2026'!$P:$P,$AU542)</f>
        <v>1384.01</v>
      </c>
      <c r="BN542" s="10">
        <f>SUMIFS('[1]2026'!$K:$K,'[1]2026'!$T:$T,$BD542,'[1]2026'!$S:$S,BN$3,'[1]2026'!$P:$P,$AU542)</f>
        <v>1384.01</v>
      </c>
      <c r="BO542" s="10">
        <f>SUMIFS('[1]2026'!$K:$K,'[1]2026'!$T:$T,$BD542,'[1]2026'!$S:$S,BO$3,'[1]2026'!$P:$P,$AU542)</f>
        <v>1384.01</v>
      </c>
      <c r="BP542" s="6">
        <v>1384.01</v>
      </c>
      <c r="BQ542" s="6">
        <v>1384.01</v>
      </c>
      <c r="BR542" s="6">
        <v>1384.01</v>
      </c>
      <c r="BS542" s="6">
        <v>1384.01</v>
      </c>
      <c r="BT542" s="6">
        <f t="shared" si="356"/>
        <v>14670.710000000001</v>
      </c>
      <c r="BV542" s="6">
        <f t="shared" si="357"/>
        <v>0</v>
      </c>
      <c r="BW542" s="6">
        <f t="shared" si="358"/>
        <v>1245.6600000000001</v>
      </c>
      <c r="BX542" s="6">
        <f t="shared" si="359"/>
        <v>1245.6600000000001</v>
      </c>
      <c r="BY542" s="6">
        <f t="shared" si="360"/>
        <v>1245.6600000000001</v>
      </c>
      <c r="BZ542" s="6">
        <f t="shared" si="361"/>
        <v>1245.6600000000001</v>
      </c>
      <c r="CA542" s="6">
        <f t="shared" si="362"/>
        <v>1384.01</v>
      </c>
      <c r="CB542" s="6">
        <f t="shared" si="363"/>
        <v>1384.01</v>
      </c>
      <c r="CC542" s="6">
        <f t="shared" si="364"/>
        <v>1384.01</v>
      </c>
      <c r="CD542" s="6">
        <f t="shared" si="365"/>
        <v>1384.01</v>
      </c>
      <c r="CE542" s="6">
        <f t="shared" si="366"/>
        <v>1384.01</v>
      </c>
      <c r="CF542" s="6">
        <f t="shared" si="367"/>
        <v>1384.01</v>
      </c>
      <c r="CG542" s="6">
        <f t="shared" si="368"/>
        <v>1384.01</v>
      </c>
      <c r="CH542" s="6">
        <f t="shared" si="348"/>
        <v>14670.710000000001</v>
      </c>
      <c r="CI542" s="6"/>
    </row>
    <row r="543" spans="1:87" hidden="1" x14ac:dyDescent="0.35"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AN543" s="27">
        <f t="shared" si="369"/>
        <v>0</v>
      </c>
      <c r="AS543" t="str">
        <f>_xlfn.XLOOKUP(AU543,[2]GAE!HZ:HZ,[2]GAE!IA:IA)</f>
        <v>CORPORATE MARKETING</v>
      </c>
      <c r="AT543" t="str">
        <f>_xlfn.XLOOKUP(AU543,[2]GAE!HZ:HZ,[2]GAE!IB:IB)</f>
        <v>GAE - Promos - Corporate Branding</v>
      </c>
      <c r="AU543" s="3" t="s">
        <v>950</v>
      </c>
      <c r="AV543" s="3">
        <v>80314101</v>
      </c>
      <c r="AW543" s="3">
        <v>61731103</v>
      </c>
      <c r="AX543" t="str">
        <f>_xlfn.XLOOKUP(AU543,[2]GAE!HZ:HZ,[2]GAE!IF:IF)</f>
        <v>Ad &amp; Promo</v>
      </c>
      <c r="BA543" s="3"/>
      <c r="BC543" t="s">
        <v>81</v>
      </c>
      <c r="BD543" t="s">
        <v>81</v>
      </c>
      <c r="BF543" t="s">
        <v>612</v>
      </c>
      <c r="BG543" t="s">
        <v>81</v>
      </c>
      <c r="BH543" s="10">
        <f>SUMIFS('[1]2026'!$K:$K,'[1]2026'!$T:$T,BD543,'[1]2026'!$S:$S,BH$3,'[1]2026'!$P:$P,AU543)</f>
        <v>0</v>
      </c>
      <c r="BI543" s="10">
        <f>SUMIFS('[1]2026'!$K:$K,'[1]2026'!$T:$T,$BD543,'[1]2026'!$S:$S,BI$3,'[1]2026'!$P:$P,$AU543)</f>
        <v>6969</v>
      </c>
      <c r="BJ543" s="10">
        <f>SUMIFS('[1]2026'!$K:$K,'[1]2026'!$T:$T,$BD543,'[1]2026'!$S:$S,BJ$3,'[1]2026'!$P:$P,$AU543)</f>
        <v>0</v>
      </c>
      <c r="BK543" s="10">
        <f>SUMIFS('[1]2026'!$K:$K,'[1]2026'!$T:$T,$BD543,'[1]2026'!$S:$S,BK$3,'[1]2026'!$P:$P,$AU543)</f>
        <v>0</v>
      </c>
      <c r="BL543" s="10">
        <f>SUMIFS('[1]2026'!$K:$K,'[1]2026'!$T:$T,$BD543,'[1]2026'!$S:$S,BL$3,'[1]2026'!$P:$P,$AU543)</f>
        <v>0</v>
      </c>
      <c r="BM543" s="10">
        <f>SUMIFS('[1]2026'!$K:$K,'[1]2026'!$T:$T,$BD543,'[1]2026'!$S:$S,BM$3,'[1]2026'!$P:$P,$AU543)</f>
        <v>0</v>
      </c>
      <c r="BN543" s="10">
        <f>SUMIFS('[1]2026'!$K:$K,'[1]2026'!$T:$T,$BD543,'[1]2026'!$S:$S,BN$3,'[1]2026'!$P:$P,$AU543)</f>
        <v>0</v>
      </c>
      <c r="BO543" s="10">
        <f>SUMIFS('[1]2026'!$K:$K,'[1]2026'!$T:$T,$BD543,'[1]2026'!$S:$S,BO$3,'[1]2026'!$P:$P,$AU543)</f>
        <v>0</v>
      </c>
      <c r="BP543" s="6">
        <f t="shared" ref="BP543:BS545" si="371">BO543</f>
        <v>0</v>
      </c>
      <c r="BQ543" s="6">
        <f t="shared" si="371"/>
        <v>0</v>
      </c>
      <c r="BR543" s="6">
        <f t="shared" si="371"/>
        <v>0</v>
      </c>
      <c r="BS543" s="6">
        <f t="shared" si="371"/>
        <v>0</v>
      </c>
      <c r="BT543" s="6">
        <f t="shared" si="356"/>
        <v>6969</v>
      </c>
      <c r="BV543" s="6">
        <f t="shared" si="357"/>
        <v>0</v>
      </c>
      <c r="BW543" s="6">
        <f t="shared" si="358"/>
        <v>6969</v>
      </c>
      <c r="BX543" s="6">
        <f t="shared" si="359"/>
        <v>0</v>
      </c>
      <c r="BY543" s="6">
        <f t="shared" si="360"/>
        <v>0</v>
      </c>
      <c r="BZ543" s="6">
        <f t="shared" si="361"/>
        <v>0</v>
      </c>
      <c r="CA543" s="6">
        <f t="shared" si="362"/>
        <v>0</v>
      </c>
      <c r="CB543" s="6">
        <f t="shared" si="363"/>
        <v>0</v>
      </c>
      <c r="CC543" s="6">
        <f t="shared" si="364"/>
        <v>0</v>
      </c>
      <c r="CD543" s="6">
        <f t="shared" si="365"/>
        <v>0</v>
      </c>
      <c r="CE543" s="6">
        <f t="shared" si="366"/>
        <v>0</v>
      </c>
      <c r="CF543" s="6">
        <f t="shared" si="367"/>
        <v>0</v>
      </c>
      <c r="CG543" s="6">
        <f t="shared" si="368"/>
        <v>0</v>
      </c>
      <c r="CH543" s="6">
        <f t="shared" si="348"/>
        <v>6969</v>
      </c>
      <c r="CI543" s="6"/>
    </row>
    <row r="544" spans="1:87" hidden="1" x14ac:dyDescent="0.35"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AN544" s="27">
        <f t="shared" si="369"/>
        <v>0</v>
      </c>
      <c r="AS544" t="str">
        <f>_xlfn.XLOOKUP(AU544,[2]GAE!HZ:HZ,[2]GAE!IA:IA)</f>
        <v>CORPORATE MARKETING</v>
      </c>
      <c r="AT544" t="str">
        <f>_xlfn.XLOOKUP(AU544,[2]GAE!HZ:HZ,[2]GAE!IB:IB)</f>
        <v>GAE - Promos - Corporate Branding</v>
      </c>
      <c r="AU544" s="3" t="s">
        <v>950</v>
      </c>
      <c r="AV544" s="3">
        <v>80314101</v>
      </c>
      <c r="AW544" s="3">
        <v>61731103</v>
      </c>
      <c r="AX544" t="str">
        <f>_xlfn.XLOOKUP(AU544,[2]GAE!HZ:HZ,[2]GAE!IF:IF)</f>
        <v>Ad &amp; Promo</v>
      </c>
      <c r="BA544" s="3"/>
      <c r="BD544" t="s">
        <v>152</v>
      </c>
      <c r="BF544" t="s">
        <v>148</v>
      </c>
      <c r="BG544" t="s">
        <v>152</v>
      </c>
      <c r="BH544" s="10">
        <f>SUMIFS('[1]2026'!$K:$K,'[1]2026'!$T:$T,BD544,'[1]2026'!$S:$S,BH$3,'[1]2026'!$P:$P,AU544)</f>
        <v>0</v>
      </c>
      <c r="BI544" s="10">
        <f>SUMIFS('[1]2026'!$K:$K,'[1]2026'!$T:$T,$BD544,'[1]2026'!$S:$S,BI$3,'[1]2026'!$P:$P,$AU544)</f>
        <v>375000</v>
      </c>
      <c r="BJ544" s="10">
        <f>SUMIFS('[1]2026'!$K:$K,'[1]2026'!$T:$T,$BD544,'[1]2026'!$S:$S,BJ$3,'[1]2026'!$P:$P,$AU544)</f>
        <v>-375000</v>
      </c>
      <c r="BK544" s="10">
        <f>SUMIFS('[1]2026'!$K:$K,'[1]2026'!$T:$T,$BD544,'[1]2026'!$S:$S,BK$3,'[1]2026'!$P:$P,$AU544)</f>
        <v>0</v>
      </c>
      <c r="BL544" s="10">
        <f>SUMIFS('[1]2026'!$K:$K,'[1]2026'!$T:$T,$BD544,'[1]2026'!$S:$S,BL$3,'[1]2026'!$P:$P,$AU544)</f>
        <v>0</v>
      </c>
      <c r="BM544" s="10">
        <f>SUMIFS('[1]2026'!$K:$K,'[1]2026'!$T:$T,$BD544,'[1]2026'!$S:$S,BM$3,'[1]2026'!$P:$P,$AU544)</f>
        <v>0</v>
      </c>
      <c r="BN544" s="10">
        <f>SUMIFS('[1]2026'!$K:$K,'[1]2026'!$T:$T,$BD544,'[1]2026'!$S:$S,BN$3,'[1]2026'!$P:$P,$AU544)</f>
        <v>0</v>
      </c>
      <c r="BO544" s="10">
        <f>SUMIFS('[1]2026'!$K:$K,'[1]2026'!$T:$T,$BD544,'[1]2026'!$S:$S,BO$3,'[1]2026'!$P:$P,$AU544)</f>
        <v>0</v>
      </c>
      <c r="BP544" s="6">
        <f t="shared" si="371"/>
        <v>0</v>
      </c>
      <c r="BQ544" s="6">
        <f t="shared" si="371"/>
        <v>0</v>
      </c>
      <c r="BR544" s="6">
        <f t="shared" si="371"/>
        <v>0</v>
      </c>
      <c r="BS544" s="6">
        <f t="shared" si="371"/>
        <v>0</v>
      </c>
      <c r="BT544" s="6">
        <f t="shared" si="356"/>
        <v>0</v>
      </c>
      <c r="BV544" s="6">
        <f t="shared" si="357"/>
        <v>0</v>
      </c>
      <c r="BW544" s="6">
        <f t="shared" si="358"/>
        <v>375000</v>
      </c>
      <c r="BX544" s="6">
        <f t="shared" si="359"/>
        <v>-375000</v>
      </c>
      <c r="BY544" s="6">
        <f t="shared" si="360"/>
        <v>0</v>
      </c>
      <c r="BZ544" s="6">
        <f t="shared" si="361"/>
        <v>0</v>
      </c>
      <c r="CA544" s="6">
        <f t="shared" si="362"/>
        <v>0</v>
      </c>
      <c r="CB544" s="6">
        <f t="shared" si="363"/>
        <v>0</v>
      </c>
      <c r="CC544" s="6">
        <f t="shared" si="364"/>
        <v>0</v>
      </c>
      <c r="CD544" s="6">
        <f t="shared" si="365"/>
        <v>0</v>
      </c>
      <c r="CE544" s="6">
        <f t="shared" si="366"/>
        <v>0</v>
      </c>
      <c r="CF544" s="6">
        <f t="shared" si="367"/>
        <v>0</v>
      </c>
      <c r="CG544" s="6">
        <f t="shared" si="368"/>
        <v>0</v>
      </c>
      <c r="CH544" s="6">
        <f t="shared" si="348"/>
        <v>0</v>
      </c>
      <c r="CI544" s="6"/>
    </row>
    <row r="545" spans="1:87" hidden="1" x14ac:dyDescent="0.35"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AN545" s="27">
        <f t="shared" si="369"/>
        <v>0</v>
      </c>
      <c r="AS545" t="str">
        <f>_xlfn.XLOOKUP(AU545,[2]GAE!HZ:HZ,[2]GAE!IA:IA)</f>
        <v>CORPORATE MARKETING</v>
      </c>
      <c r="AT545" t="str">
        <f>_xlfn.XLOOKUP(AU545,[2]GAE!HZ:HZ,[2]GAE!IB:IB)</f>
        <v>GAE - Promos - Corporate Branding</v>
      </c>
      <c r="AU545" s="3" t="s">
        <v>950</v>
      </c>
      <c r="AV545" s="3">
        <v>80314101</v>
      </c>
      <c r="AW545" s="3">
        <v>61731103</v>
      </c>
      <c r="AX545" t="str">
        <f>_xlfn.XLOOKUP(AU545,[2]GAE!HZ:HZ,[2]GAE!IF:IF)</f>
        <v>Ad &amp; Promo</v>
      </c>
      <c r="BA545" s="3"/>
      <c r="BD545" t="s">
        <v>953</v>
      </c>
      <c r="BF545" s="37" t="s">
        <v>1263</v>
      </c>
      <c r="BG545" s="37" t="s">
        <v>1263</v>
      </c>
      <c r="BH545" s="10">
        <f>SUMIFS('[1]2026'!$K:$K,'[1]2026'!$T:$T,BD545,'[1]2026'!$S:$S,BH$3,'[1]2026'!$P:$P,AU545)</f>
        <v>0</v>
      </c>
      <c r="BI545" s="10">
        <f>SUMIFS('[1]2026'!$K:$K,'[1]2026'!$T:$T,$BD545,'[1]2026'!$S:$S,BI$3,'[1]2026'!$P:$P,$AU545)</f>
        <v>0</v>
      </c>
      <c r="BJ545" s="10">
        <f>SUMIFS('[1]2026'!$K:$K,'[1]2026'!$T:$T,$BD545,'[1]2026'!$S:$S,BJ$3,'[1]2026'!$P:$P,$AU545)</f>
        <v>0</v>
      </c>
      <c r="BK545" s="10">
        <f>SUMIFS('[1]2026'!$K:$K,'[1]2026'!$T:$T,$BD545,'[1]2026'!$S:$S,BK$3,'[1]2026'!$P:$P,$AU545)</f>
        <v>0</v>
      </c>
      <c r="BL545" s="10">
        <f>SUMIFS('[1]2026'!$K:$K,'[1]2026'!$T:$T,$BD545,'[1]2026'!$S:$S,BL$3,'[1]2026'!$P:$P,$AU545)</f>
        <v>0</v>
      </c>
      <c r="BM545" s="10">
        <f>SUMIFS('[1]2026'!$K:$K,'[1]2026'!$T:$T,$BD545,'[1]2026'!$S:$S,BM$3,'[1]2026'!$P:$P,$AU545)</f>
        <v>0</v>
      </c>
      <c r="BN545" s="10">
        <f>SUMIFS('[1]2026'!$K:$K,'[1]2026'!$T:$T,$BD545,'[1]2026'!$S:$S,BN$3,'[1]2026'!$P:$P,$AU545)</f>
        <v>0</v>
      </c>
      <c r="BO545" s="10">
        <f>SUMIFS('[1]2026'!$K:$K,'[1]2026'!$T:$T,$BD545,'[1]2026'!$S:$S,BO$3,'[1]2026'!$P:$P,$AU545)</f>
        <v>0</v>
      </c>
      <c r="BP545" s="6">
        <f t="shared" si="371"/>
        <v>0</v>
      </c>
      <c r="BQ545" s="6">
        <f t="shared" si="371"/>
        <v>0</v>
      </c>
      <c r="BR545" s="6">
        <f t="shared" si="371"/>
        <v>0</v>
      </c>
      <c r="BS545" s="6">
        <f t="shared" si="371"/>
        <v>0</v>
      </c>
      <c r="BT545" s="6">
        <f t="shared" si="356"/>
        <v>0</v>
      </c>
      <c r="BV545" s="6">
        <f t="shared" si="357"/>
        <v>0</v>
      </c>
      <c r="BW545" s="6">
        <f t="shared" si="358"/>
        <v>0</v>
      </c>
      <c r="BX545" s="6">
        <f t="shared" si="359"/>
        <v>0</v>
      </c>
      <c r="BY545" s="6">
        <f t="shared" si="360"/>
        <v>0</v>
      </c>
      <c r="BZ545" s="6">
        <f t="shared" si="361"/>
        <v>0</v>
      </c>
      <c r="CA545" s="6">
        <f t="shared" si="362"/>
        <v>0</v>
      </c>
      <c r="CB545" s="6">
        <f t="shared" si="363"/>
        <v>0</v>
      </c>
      <c r="CC545" s="6">
        <f t="shared" si="364"/>
        <v>0</v>
      </c>
      <c r="CD545" s="6">
        <f t="shared" si="365"/>
        <v>0</v>
      </c>
      <c r="CE545" s="6">
        <f t="shared" si="366"/>
        <v>0</v>
      </c>
      <c r="CF545" s="6">
        <f t="shared" si="367"/>
        <v>0</v>
      </c>
      <c r="CG545" s="6">
        <f t="shared" si="368"/>
        <v>0</v>
      </c>
      <c r="CH545" s="6">
        <f t="shared" si="348"/>
        <v>0</v>
      </c>
      <c r="CI545" s="6"/>
    </row>
    <row r="546" spans="1:87" hidden="1" x14ac:dyDescent="0.35"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AN546" s="27">
        <f t="shared" si="369"/>
        <v>0</v>
      </c>
      <c r="AS546" t="str">
        <f>_xlfn.XLOOKUP(AU546,[2]GAE!HZ:HZ,[2]GAE!IA:IA)</f>
        <v>CORPORATE MARKETING</v>
      </c>
      <c r="AT546" t="str">
        <f>_xlfn.XLOOKUP(AU546,[2]GAE!HZ:HZ,[2]GAE!IB:IB)</f>
        <v>GAE - Promos - Corporate Branding</v>
      </c>
      <c r="AU546" s="3" t="s">
        <v>950</v>
      </c>
      <c r="AV546" s="3">
        <v>80314101</v>
      </c>
      <c r="AW546" s="3">
        <v>61731103</v>
      </c>
      <c r="AX546" t="str">
        <f>_xlfn.XLOOKUP(AU546,[2]GAE!HZ:HZ,[2]GAE!IF:IF)</f>
        <v>Ad &amp; Promo</v>
      </c>
      <c r="BA546" s="3"/>
      <c r="BC546" t="s">
        <v>153</v>
      </c>
      <c r="BD546" t="s">
        <v>153</v>
      </c>
      <c r="BF546" t="s">
        <v>150</v>
      </c>
      <c r="BG546" t="s">
        <v>153</v>
      </c>
      <c r="BH546" s="10">
        <f>SUMIFS('[1]2026'!$K:$K,'[1]2026'!$T:$T,BD546,'[1]2026'!$S:$S,BH$3,'[1]2026'!$P:$P,AU546)</f>
        <v>0</v>
      </c>
      <c r="BI546" s="10">
        <f>SUMIFS('[1]2026'!$K:$K,'[1]2026'!$T:$T,$BD546,'[1]2026'!$S:$S,BI$3,'[1]2026'!$P:$P,$AU546)</f>
        <v>0</v>
      </c>
      <c r="BJ546" s="10">
        <f>SUMIFS('[1]2026'!$K:$K,'[1]2026'!$T:$T,$BD546,'[1]2026'!$S:$S,BJ$3,'[1]2026'!$P:$P,$AU546)</f>
        <v>0</v>
      </c>
      <c r="BK546" s="10">
        <f>SUMIFS('[1]2026'!$K:$K,'[1]2026'!$T:$T,$BD546,'[1]2026'!$S:$S,BK$3,'[1]2026'!$P:$P,$AU546)</f>
        <v>1733.16</v>
      </c>
      <c r="BL546" s="6"/>
      <c r="BM546" s="10">
        <f>SUMIFS('[1]2026'!$K:$K,'[1]2026'!$T:$T,$BD546,'[1]2026'!$S:$S,BM$3,'[1]2026'!$P:$P,$AU546)</f>
        <v>0</v>
      </c>
      <c r="BN546" s="10">
        <f>SUMIFS('[1]2026'!$K:$K,'[1]2026'!$T:$T,$BD546,'[1]2026'!$S:$S,BN$3,'[1]2026'!$P:$P,$AU546)</f>
        <v>0</v>
      </c>
      <c r="BO546" s="10">
        <f>SUMIFS('[1]2026'!$K:$K,'[1]2026'!$T:$T,$BD546,'[1]2026'!$S:$S,BO$3,'[1]2026'!$P:$P,$AU546)</f>
        <v>0</v>
      </c>
      <c r="BP546" s="6"/>
      <c r="BQ546" s="6"/>
      <c r="BR546" s="6"/>
      <c r="BS546" s="6"/>
      <c r="BT546" s="6">
        <f t="shared" si="356"/>
        <v>1733.16</v>
      </c>
      <c r="BV546" s="6">
        <f t="shared" si="357"/>
        <v>0</v>
      </c>
      <c r="BW546" s="6">
        <f t="shared" si="358"/>
        <v>0</v>
      </c>
      <c r="BX546" s="6">
        <f t="shared" si="359"/>
        <v>0</v>
      </c>
      <c r="BY546" s="6">
        <f t="shared" si="360"/>
        <v>1733.16</v>
      </c>
      <c r="BZ546" s="6">
        <f t="shared" si="361"/>
        <v>0</v>
      </c>
      <c r="CA546" s="6">
        <f t="shared" si="362"/>
        <v>0</v>
      </c>
      <c r="CB546" s="6">
        <f t="shared" si="363"/>
        <v>0</v>
      </c>
      <c r="CC546" s="6">
        <f t="shared" si="364"/>
        <v>0</v>
      </c>
      <c r="CD546" s="6">
        <f t="shared" si="365"/>
        <v>0</v>
      </c>
      <c r="CE546" s="6">
        <f t="shared" si="366"/>
        <v>0</v>
      </c>
      <c r="CF546" s="6">
        <f t="shared" si="367"/>
        <v>0</v>
      </c>
      <c r="CG546" s="6">
        <f t="shared" si="368"/>
        <v>0</v>
      </c>
      <c r="CH546" s="6">
        <f t="shared" si="348"/>
        <v>1733.16</v>
      </c>
      <c r="CI546" s="6"/>
    </row>
    <row r="547" spans="1:87" hidden="1" x14ac:dyDescent="0.35"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AN547" s="27">
        <f t="shared" si="369"/>
        <v>0</v>
      </c>
      <c r="AS547" t="str">
        <f>_xlfn.XLOOKUP(AU547,[2]GAE!HZ:HZ,[2]GAE!IA:IA)</f>
        <v>CORPORATE MARKETING</v>
      </c>
      <c r="AT547" t="str">
        <f>_xlfn.XLOOKUP(AU547,[2]GAE!HZ:HZ,[2]GAE!IB:IB)</f>
        <v>GAE - Promos - Corporate Branding</v>
      </c>
      <c r="AU547" s="2" t="s">
        <v>950</v>
      </c>
      <c r="AV547" s="2">
        <v>80314101</v>
      </c>
      <c r="AW547" s="2">
        <v>61731103</v>
      </c>
      <c r="AX547" t="str">
        <f>_xlfn.XLOOKUP(AU547,[2]GAE!HZ:HZ,[2]GAE!IF:IF)</f>
        <v>Ad &amp; Promo</v>
      </c>
      <c r="BA547" s="3"/>
      <c r="BC547" t="s">
        <v>154</v>
      </c>
      <c r="BD547" s="2" t="s">
        <v>154</v>
      </c>
      <c r="BE547" s="2"/>
      <c r="BF547" t="s">
        <v>150</v>
      </c>
      <c r="BG547" s="2" t="s">
        <v>154</v>
      </c>
      <c r="BL547" s="6"/>
      <c r="BM547" s="10">
        <f>SUMIFS('[1]2026'!$K:$K,'[1]2026'!$T:$T,$BD547,'[1]2026'!$S:$S,BM$3,'[1]2026'!$P:$P,$AU547)</f>
        <v>2171.5</v>
      </c>
      <c r="BN547" s="10">
        <f>SUMIFS('[1]2026'!$K:$K,'[1]2026'!$T:$T,$BD547,'[1]2026'!$S:$S,BN$3,'[1]2026'!$P:$P,$AU547)</f>
        <v>0</v>
      </c>
      <c r="BO547" s="10">
        <f>SUMIFS('[1]2026'!$K:$K,'[1]2026'!$T:$T,$BD547,'[1]2026'!$S:$S,BO$3,'[1]2026'!$P:$P,$AU547)</f>
        <v>0</v>
      </c>
      <c r="BP547" s="6"/>
      <c r="BQ547" s="6"/>
      <c r="BR547" s="6"/>
      <c r="BS547" s="6"/>
      <c r="BT547" s="6">
        <f t="shared" si="356"/>
        <v>2171.5</v>
      </c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>
        <f t="shared" si="348"/>
        <v>2171.5</v>
      </c>
      <c r="CI547" s="6"/>
    </row>
    <row r="548" spans="1:87" hidden="1" x14ac:dyDescent="0.35"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AN548" s="27">
        <f t="shared" si="369"/>
        <v>0</v>
      </c>
      <c r="AS548" t="str">
        <f>_xlfn.XLOOKUP(AU548,[2]GAE!HZ:HZ,[2]GAE!IA:IA)</f>
        <v>CORPORATE MARKETING</v>
      </c>
      <c r="AT548" t="str">
        <f>_xlfn.XLOOKUP(AU548,[2]GAE!HZ:HZ,[2]GAE!IB:IB)</f>
        <v>DOE - Promos</v>
      </c>
      <c r="AU548" s="2" t="s">
        <v>954</v>
      </c>
      <c r="AV548" s="2">
        <v>80314101</v>
      </c>
      <c r="AW548" s="2">
        <v>52551201</v>
      </c>
      <c r="AX548" t="str">
        <f>_xlfn.XLOOKUP(AU548,[2]GAE!HZ:HZ,[2]GAE!IF:IF)</f>
        <v>Ad &amp; Promo</v>
      </c>
      <c r="BA548" s="3"/>
      <c r="BD548" t="s">
        <v>155</v>
      </c>
      <c r="BF548" t="s">
        <v>148</v>
      </c>
      <c r="BG548" t="s">
        <v>155</v>
      </c>
      <c r="BH548" s="10">
        <f>SUMIFS('[1]2026'!$K:$K,'[1]2026'!$T:$T,BD548,'[1]2026'!$S:$S,BH$3,'[1]2026'!$P:$P,AU548)</f>
        <v>0</v>
      </c>
      <c r="BI548" s="10">
        <f>SUMIFS('[1]2026'!$K:$K,'[1]2026'!$T:$T,$BD548,'[1]2026'!$S:$S,BI$3,'[1]2026'!$P:$P,$AU548)</f>
        <v>0</v>
      </c>
      <c r="BJ548" s="10">
        <f>SUMIFS('[1]2026'!$K:$K,'[1]2026'!$T:$T,$BD548,'[1]2026'!$S:$S,BJ$3,'[1]2026'!$P:$P,$AU548)</f>
        <v>105000</v>
      </c>
      <c r="BK548" s="10">
        <f>SUMIFS('[1]2026'!$K:$K,'[1]2026'!$T:$T,$BD548,'[1]2026'!$S:$S,BK$3,'[1]2026'!$P:$P,$AU548)</f>
        <v>-105000</v>
      </c>
      <c r="BL548" s="6"/>
      <c r="BM548" s="10">
        <f>SUMIFS('[1]2026'!$K:$K,'[1]2026'!$T:$T,$BD548,'[1]2026'!$S:$S,BM$3,'[1]2026'!$P:$P,$AU548)</f>
        <v>0</v>
      </c>
      <c r="BN548" s="10">
        <f>SUMIFS('[1]2026'!$K:$K,'[1]2026'!$T:$T,$BD548,'[1]2026'!$S:$S,BN$3,'[1]2026'!$P:$P,$AU548)</f>
        <v>0</v>
      </c>
      <c r="BO548" s="10">
        <f>SUMIFS('[1]2026'!$K:$K,'[1]2026'!$T:$T,$BD548,'[1]2026'!$S:$S,BO$3,'[1]2026'!$P:$P,$AU548)</f>
        <v>0</v>
      </c>
      <c r="BP548" s="6"/>
      <c r="BQ548" s="6"/>
      <c r="BR548" s="6"/>
      <c r="BS548" s="6"/>
      <c r="BT548" s="6">
        <f t="shared" si="356"/>
        <v>0</v>
      </c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>
        <f t="shared" si="348"/>
        <v>0</v>
      </c>
      <c r="CI548" s="6"/>
    </row>
    <row r="549" spans="1:87" hidden="1" x14ac:dyDescent="0.35">
      <c r="A549" s="3" t="s">
        <v>955</v>
      </c>
      <c r="M549" s="10">
        <v>3000</v>
      </c>
      <c r="N549" s="27">
        <f t="shared" ref="N549:N556" si="372">SUM(B549:M549)</f>
        <v>3000</v>
      </c>
      <c r="AA549" s="27">
        <f t="shared" ref="AA549:AA556" si="373">SUM(O549:Z549)</f>
        <v>0</v>
      </c>
      <c r="AB549" s="10">
        <f t="shared" ref="AB549:AN556" si="374">B549-O549</f>
        <v>0</v>
      </c>
      <c r="AC549" s="10">
        <f t="shared" si="374"/>
        <v>0</v>
      </c>
      <c r="AD549" s="10">
        <f t="shared" si="374"/>
        <v>0</v>
      </c>
      <c r="AE549" s="10">
        <f t="shared" si="374"/>
        <v>0</v>
      </c>
      <c r="AF549" s="10">
        <f t="shared" si="374"/>
        <v>0</v>
      </c>
      <c r="AG549" s="10">
        <f t="shared" si="374"/>
        <v>0</v>
      </c>
      <c r="AH549" s="10">
        <f t="shared" si="374"/>
        <v>0</v>
      </c>
      <c r="AI549" s="10">
        <f t="shared" si="374"/>
        <v>0</v>
      </c>
      <c r="AJ549" s="10">
        <f t="shared" si="374"/>
        <v>0</v>
      </c>
      <c r="AK549" s="10">
        <f t="shared" si="374"/>
        <v>0</v>
      </c>
      <c r="AL549" s="10">
        <f t="shared" si="374"/>
        <v>0</v>
      </c>
      <c r="AM549" s="10">
        <f t="shared" si="374"/>
        <v>3000</v>
      </c>
      <c r="AN549" s="27">
        <f t="shared" si="374"/>
        <v>3000</v>
      </c>
      <c r="AS549" t="str">
        <f>_xlfn.XLOOKUP(AU549,[2]GAE!HZ:HZ,[2]GAE!IA:IA)</f>
        <v>EXTERNAL AFFAIRS DEP</v>
      </c>
      <c r="AT549" t="str">
        <f>_xlfn.XLOOKUP(AU549,[2]GAE!HZ:HZ,[2]GAE!IB:IB)</f>
        <v>GAE - Contribution &amp; Community Relations</v>
      </c>
      <c r="AU549" t="s">
        <v>956</v>
      </c>
      <c r="AV549">
        <v>80125101</v>
      </c>
      <c r="AW549">
        <v>61959102</v>
      </c>
      <c r="AX549" t="str">
        <f>_xlfn.XLOOKUP(AU549,[2]GAE!HZ:HZ,[2]GAE!IF:IF)</f>
        <v>Others</v>
      </c>
      <c r="AY549" t="str">
        <f>_xlfn.XLOOKUP(AU549,[2]GAE!HZ:HZ,[2]GAE!IG:IG)</f>
        <v>Donations, Contributions and Miscellaneous Expenses</v>
      </c>
      <c r="BF549" t="s">
        <v>1249</v>
      </c>
      <c r="BG549" t="s">
        <v>1248</v>
      </c>
      <c r="BH549" s="10">
        <f>SUMIFS('[1]2026'!$K:$K,'[1]2026'!$T:$T,BD549,'[1]2026'!$S:$S,BH$3,'[1]2026'!$P:$P,AU549)</f>
        <v>0</v>
      </c>
      <c r="BI549" s="10">
        <f>SUMIFS('[1]2026'!$K:$K,'[1]2026'!$T:$T,$BD549,'[1]2026'!$S:$S,BI$3,'[1]2026'!$P:$P,$AU549)</f>
        <v>0</v>
      </c>
      <c r="BJ549" s="10">
        <f>SUMIFS('[1]2026'!$K:$K,'[1]2026'!$T:$T,$BD549,'[1]2026'!$S:$S,BJ$3,'[1]2026'!$P:$P,$AU549)</f>
        <v>0</v>
      </c>
      <c r="BK549" s="10">
        <f>SUMIFS('[1]2026'!$K:$K,'[1]2026'!$T:$T,$BD549,'[1]2026'!$S:$S,BK$3,'[1]2026'!$P:$P,$AU549)</f>
        <v>0</v>
      </c>
      <c r="BL549" s="10">
        <f>SUMIFS('[1]2026'!$K:$K,'[1]2026'!$T:$T,$BD549,'[1]2026'!$S:$S,BL$3,'[1]2026'!$P:$P,$AU549)</f>
        <v>0</v>
      </c>
      <c r="BM549" s="10">
        <f>SUMIFS('[1]2026'!$K:$K,'[1]2026'!$T:$T,$BD549,'[1]2026'!$S:$S,BM$3,'[1]2026'!$P:$P,$AU549)</f>
        <v>0</v>
      </c>
      <c r="BN549" s="10">
        <f>SUMIFS('[1]2026'!$K:$K,'[1]2026'!$T:$T,$BD549,'[1]2026'!$S:$S,BN$3,'[1]2026'!$P:$P,$AU549)</f>
        <v>0</v>
      </c>
      <c r="BO549" s="10">
        <f>SUMIFS('[1]2026'!$K:$K,'[1]2026'!$T:$T,$BD549,'[1]2026'!$S:$S,BO$3,'[1]2026'!$P:$P,$AU549)</f>
        <v>0</v>
      </c>
      <c r="BP549" s="6">
        <f>($AN549-($BH549+$BI549+$BJ549+$BK549+$BL549+$BM549+$BN549+$BO549))/4</f>
        <v>750</v>
      </c>
      <c r="BQ549" s="6">
        <f t="shared" ref="BQ549:BS550" si="375">BP549</f>
        <v>750</v>
      </c>
      <c r="BR549" s="6">
        <f t="shared" si="375"/>
        <v>750</v>
      </c>
      <c r="BS549" s="6">
        <f t="shared" si="375"/>
        <v>750</v>
      </c>
      <c r="BT549" s="6">
        <f t="shared" si="356"/>
        <v>3000</v>
      </c>
      <c r="BV549" s="6">
        <f t="shared" ref="BV549:BV592" si="376">BH549-AB549</f>
        <v>0</v>
      </c>
      <c r="BW549" s="6">
        <f t="shared" ref="BW549:BW592" si="377">BI549-AC549</f>
        <v>0</v>
      </c>
      <c r="BX549" s="6">
        <f t="shared" ref="BX549:BX592" si="378">BJ549-AD549</f>
        <v>0</v>
      </c>
      <c r="BY549" s="6">
        <f t="shared" ref="BY549:BY592" si="379">BK549-AE549</f>
        <v>0</v>
      </c>
      <c r="BZ549" s="6">
        <f t="shared" ref="BZ549:BZ592" si="380">BL549-AF549</f>
        <v>0</v>
      </c>
      <c r="CA549" s="6">
        <f t="shared" ref="CA549:CA592" si="381">BM549-AG549</f>
        <v>0</v>
      </c>
      <c r="CB549" s="6">
        <f t="shared" ref="CB549:CB592" si="382">BN549-AH549</f>
        <v>0</v>
      </c>
      <c r="CC549" s="6">
        <f t="shared" ref="CC549:CC592" si="383">BO549-AI549</f>
        <v>0</v>
      </c>
      <c r="CD549" s="6">
        <f t="shared" ref="CD549:CD592" si="384">BP549-AJ549</f>
        <v>750</v>
      </c>
      <c r="CE549" s="6">
        <f t="shared" ref="CE549:CE592" si="385">BQ549-AK549</f>
        <v>750</v>
      </c>
      <c r="CF549" s="6">
        <f t="shared" ref="CF549:CF592" si="386">BR549-AL549</f>
        <v>750</v>
      </c>
      <c r="CG549" s="6">
        <f t="shared" ref="CG549:CG592" si="387">BS549-AM549</f>
        <v>-2250</v>
      </c>
      <c r="CH549" s="6">
        <f t="shared" si="348"/>
        <v>0</v>
      </c>
    </row>
    <row r="550" spans="1:87" hidden="1" x14ac:dyDescent="0.35">
      <c r="A550" s="3" t="s">
        <v>957</v>
      </c>
      <c r="G550" s="10">
        <v>200000</v>
      </c>
      <c r="M550" s="10">
        <v>200000</v>
      </c>
      <c r="N550" s="27">
        <f t="shared" si="372"/>
        <v>400000</v>
      </c>
      <c r="AA550" s="27">
        <f t="shared" si="373"/>
        <v>0</v>
      </c>
      <c r="AB550" s="10">
        <f t="shared" si="374"/>
        <v>0</v>
      </c>
      <c r="AC550" s="10">
        <f t="shared" si="374"/>
        <v>0</v>
      </c>
      <c r="AD550" s="10">
        <f t="shared" si="374"/>
        <v>0</v>
      </c>
      <c r="AE550" s="10">
        <f t="shared" si="374"/>
        <v>0</v>
      </c>
      <c r="AF550" s="10">
        <f t="shared" si="374"/>
        <v>0</v>
      </c>
      <c r="AG550" s="10">
        <f t="shared" si="374"/>
        <v>200000</v>
      </c>
      <c r="AH550" s="10">
        <f t="shared" si="374"/>
        <v>0</v>
      </c>
      <c r="AI550" s="10">
        <f t="shared" si="374"/>
        <v>0</v>
      </c>
      <c r="AJ550" s="10">
        <f t="shared" si="374"/>
        <v>0</v>
      </c>
      <c r="AK550" s="10">
        <f t="shared" si="374"/>
        <v>0</v>
      </c>
      <c r="AL550" s="10">
        <f t="shared" si="374"/>
        <v>0</v>
      </c>
      <c r="AM550" s="10">
        <f t="shared" si="374"/>
        <v>200000</v>
      </c>
      <c r="AN550" s="27">
        <f t="shared" si="374"/>
        <v>400000</v>
      </c>
      <c r="AO550" s="28">
        <v>350000</v>
      </c>
      <c r="AS550" t="str">
        <f>_xlfn.XLOOKUP(AU550,[2]GAE!HZ:HZ,[2]GAE!IA:IA)</f>
        <v>EXTERNAL AFFAIRS DEP</v>
      </c>
      <c r="AT550" t="str">
        <f>_xlfn.XLOOKUP(AU550,[2]GAE!HZ:HZ,[2]GAE!IB:IB)</f>
        <v>GAE - Contribution &amp; Community Relations</v>
      </c>
      <c r="AU550" t="s">
        <v>956</v>
      </c>
      <c r="AV550">
        <v>80125101</v>
      </c>
      <c r="AW550">
        <v>61959102</v>
      </c>
      <c r="AX550" t="str">
        <f>_xlfn.XLOOKUP(AU550,[2]GAE!HZ:HZ,[2]GAE!IF:IF)</f>
        <v>Others</v>
      </c>
      <c r="AY550" t="str">
        <f>_xlfn.XLOOKUP(AU550,[2]GAE!HZ:HZ,[2]GAE!IG:IG)</f>
        <v>Donations, Contributions and Miscellaneous Expenses</v>
      </c>
      <c r="BF550" t="s">
        <v>1249</v>
      </c>
      <c r="BG550" t="s">
        <v>1248</v>
      </c>
      <c r="BH550" s="10">
        <f>SUMIFS('[1]2026'!$K:$K,'[1]2026'!$T:$T,BD550,'[1]2026'!$S:$S,BH$3,'[1]2026'!$P:$P,AU550)</f>
        <v>0</v>
      </c>
      <c r="BI550" s="10">
        <f>SUMIFS('[1]2026'!$K:$K,'[1]2026'!$T:$T,$BD550,'[1]2026'!$S:$S,BI$3,'[1]2026'!$P:$P,$AU550)</f>
        <v>0</v>
      </c>
      <c r="BJ550" s="10">
        <f>SUMIFS('[1]2026'!$K:$K,'[1]2026'!$T:$T,$BD550,'[1]2026'!$S:$S,BJ$3,'[1]2026'!$P:$P,$AU550)</f>
        <v>0</v>
      </c>
      <c r="BK550" s="10">
        <f>SUMIFS('[1]2026'!$K:$K,'[1]2026'!$T:$T,$BD550,'[1]2026'!$S:$S,BK$3,'[1]2026'!$P:$P,$AU550)</f>
        <v>0</v>
      </c>
      <c r="BL550" s="10">
        <f>SUMIFS('[1]2026'!$K:$K,'[1]2026'!$T:$T,$BD550,'[1]2026'!$S:$S,BL$3,'[1]2026'!$P:$P,$AU550)</f>
        <v>0</v>
      </c>
      <c r="BM550" s="10">
        <f>SUMIFS('[1]2026'!$K:$K,'[1]2026'!$T:$T,$BD550,'[1]2026'!$S:$S,BM$3,'[1]2026'!$P:$P,$AU550)</f>
        <v>0</v>
      </c>
      <c r="BN550" s="10">
        <f>SUMIFS('[1]2026'!$K:$K,'[1]2026'!$T:$T,$BD550,'[1]2026'!$S:$S,BN$3,'[1]2026'!$P:$P,$AU550)</f>
        <v>0</v>
      </c>
      <c r="BO550" s="10">
        <f>SUMIFS('[1]2026'!$K:$K,'[1]2026'!$T:$T,$BD550,'[1]2026'!$S:$S,BO$3,'[1]2026'!$P:$P,$AU550)</f>
        <v>0</v>
      </c>
      <c r="BP550" s="6">
        <f t="shared" ref="BP550" si="388">BO550</f>
        <v>0</v>
      </c>
      <c r="BQ550" s="6">
        <f t="shared" si="375"/>
        <v>0</v>
      </c>
      <c r="BR550" s="6">
        <f t="shared" si="375"/>
        <v>0</v>
      </c>
      <c r="BS550" s="6">
        <f>AN550</f>
        <v>400000</v>
      </c>
      <c r="BT550" s="6">
        <f t="shared" si="356"/>
        <v>400000</v>
      </c>
      <c r="BV550" s="6">
        <f t="shared" si="376"/>
        <v>0</v>
      </c>
      <c r="BW550" s="6">
        <f t="shared" si="377"/>
        <v>0</v>
      </c>
      <c r="BX550" s="6">
        <f t="shared" si="378"/>
        <v>0</v>
      </c>
      <c r="BY550" s="6">
        <f t="shared" si="379"/>
        <v>0</v>
      </c>
      <c r="BZ550" s="6">
        <f t="shared" si="380"/>
        <v>0</v>
      </c>
      <c r="CA550" s="6">
        <f t="shared" si="381"/>
        <v>-200000</v>
      </c>
      <c r="CB550" s="6">
        <f t="shared" si="382"/>
        <v>0</v>
      </c>
      <c r="CC550" s="6">
        <f t="shared" si="383"/>
        <v>0</v>
      </c>
      <c r="CD550" s="6">
        <f t="shared" si="384"/>
        <v>0</v>
      </c>
      <c r="CE550" s="6">
        <f t="shared" si="385"/>
        <v>0</v>
      </c>
      <c r="CF550" s="6">
        <f t="shared" si="386"/>
        <v>0</v>
      </c>
      <c r="CG550" s="6">
        <f t="shared" si="387"/>
        <v>200000</v>
      </c>
      <c r="CH550" s="6">
        <f t="shared" si="348"/>
        <v>0</v>
      </c>
    </row>
    <row r="551" spans="1:87" hidden="1" x14ac:dyDescent="0.35">
      <c r="A551" s="3" t="s">
        <v>958</v>
      </c>
      <c r="G551" s="10">
        <v>50000</v>
      </c>
      <c r="M551" s="10">
        <v>50000</v>
      </c>
      <c r="N551" s="27">
        <f t="shared" si="372"/>
        <v>100000</v>
      </c>
      <c r="AA551" s="27">
        <f t="shared" si="373"/>
        <v>0</v>
      </c>
      <c r="AB551" s="10">
        <f t="shared" si="374"/>
        <v>0</v>
      </c>
      <c r="AC551" s="10">
        <f t="shared" si="374"/>
        <v>0</v>
      </c>
      <c r="AD551" s="10">
        <f t="shared" si="374"/>
        <v>0</v>
      </c>
      <c r="AE551" s="10">
        <f t="shared" si="374"/>
        <v>0</v>
      </c>
      <c r="AF551" s="10">
        <f t="shared" si="374"/>
        <v>0</v>
      </c>
      <c r="AG551" s="10">
        <f t="shared" si="374"/>
        <v>50000</v>
      </c>
      <c r="AH551" s="10">
        <f t="shared" si="374"/>
        <v>0</v>
      </c>
      <c r="AI551" s="10">
        <f t="shared" si="374"/>
        <v>0</v>
      </c>
      <c r="AJ551" s="10">
        <f t="shared" si="374"/>
        <v>0</v>
      </c>
      <c r="AK551" s="10">
        <f t="shared" si="374"/>
        <v>0</v>
      </c>
      <c r="AL551" s="10">
        <f t="shared" si="374"/>
        <v>0</v>
      </c>
      <c r="AM551" s="10">
        <f t="shared" si="374"/>
        <v>50000</v>
      </c>
      <c r="AN551" s="27">
        <f t="shared" si="374"/>
        <v>100000</v>
      </c>
      <c r="AS551" t="str">
        <f>_xlfn.XLOOKUP(AU551,[2]GAE!HZ:HZ,[2]GAE!IA:IA)</f>
        <v>EXTERNAL AFFAIRS DEP</v>
      </c>
      <c r="AT551" t="str">
        <f>_xlfn.XLOOKUP(AU551,[2]GAE!HZ:HZ,[2]GAE!IB:IB)</f>
        <v>GAE - Representation</v>
      </c>
      <c r="AU551" t="s">
        <v>959</v>
      </c>
      <c r="AV551">
        <v>80125101</v>
      </c>
      <c r="AW551">
        <v>61091101</v>
      </c>
      <c r="AX551" t="str">
        <f>_xlfn.XLOOKUP(AU551,[2]GAE!HZ:HZ,[2]GAE!IF:IF)</f>
        <v>Others</v>
      </c>
      <c r="AY551" t="str">
        <f>_xlfn.XLOOKUP(AU551,[2]GAE!HZ:HZ,[2]GAE!IG:IG)</f>
        <v>Entertainment, Amusement &amp; Recreation</v>
      </c>
      <c r="BC551" t="s">
        <v>156</v>
      </c>
      <c r="BD551" s="2" t="s">
        <v>156</v>
      </c>
      <c r="BE551" s="2"/>
      <c r="BF551" t="s">
        <v>156</v>
      </c>
      <c r="BG551" s="2" t="s">
        <v>156</v>
      </c>
      <c r="BH551" s="10">
        <f>SUMIFS('[1]2026'!$K:$K,'[1]2026'!$T:$T,BD551,'[1]2026'!$S:$S,BH$3,'[1]2026'!$P:$P,AU551)</f>
        <v>0</v>
      </c>
      <c r="BI551" s="10">
        <f>SUMIFS('[1]2026'!$K:$K,'[1]2026'!$T:$T,$BD551,'[1]2026'!$S:$S,BI$3,'[1]2026'!$P:$P,$AU551)</f>
        <v>0</v>
      </c>
      <c r="BJ551" s="10">
        <f>SUMIFS('[1]2026'!$K:$K,'[1]2026'!$T:$T,$BD551,'[1]2026'!$S:$S,BJ$3,'[1]2026'!$P:$P,$AU551)</f>
        <v>0</v>
      </c>
      <c r="BK551" s="10">
        <f>SUMIFS('[1]2026'!$K:$K,'[1]2026'!$T:$T,$BD551,'[1]2026'!$S:$S,BK$3,'[1]2026'!$P:$P,$AU551)</f>
        <v>14687.68</v>
      </c>
      <c r="BL551" s="10">
        <f>SUMIFS('[1]2026'!$K:$K,'[1]2026'!$T:$T,$BD551,'[1]2026'!$S:$S,BL$3,'[1]2026'!$P:$P,$AU551)</f>
        <v>3906</v>
      </c>
      <c r="BM551" s="10">
        <f>SUMIFS('[1]2026'!$K:$K,'[1]2026'!$T:$T,$BD551,'[1]2026'!$S:$S,BM$3,'[1]2026'!$P:$P,$AU551)</f>
        <v>0</v>
      </c>
      <c r="BN551" s="10">
        <f>SUMIFS('[1]2026'!$K:$K,'[1]2026'!$T:$T,$BD551,'[1]2026'!$S:$S,BN$3,'[1]2026'!$P:$P,$AU551)</f>
        <v>0</v>
      </c>
      <c r="BO551" s="10">
        <f>SUMIFS('[1]2026'!$K:$K,'[1]2026'!$T:$T,$BD551,'[1]2026'!$S:$S,BO$3,'[1]2026'!$P:$P,$AU551)</f>
        <v>6441.27</v>
      </c>
      <c r="BP551" s="6">
        <v>10000</v>
      </c>
      <c r="BQ551" s="6">
        <v>10000</v>
      </c>
      <c r="BR551" s="6">
        <v>10000</v>
      </c>
      <c r="BS551" s="6">
        <v>10000</v>
      </c>
      <c r="BT551" s="6">
        <f t="shared" si="356"/>
        <v>65034.95</v>
      </c>
      <c r="BV551" s="6">
        <f t="shared" si="376"/>
        <v>0</v>
      </c>
      <c r="BW551" s="6">
        <f t="shared" si="377"/>
        <v>0</v>
      </c>
      <c r="BX551" s="6">
        <f t="shared" si="378"/>
        <v>0</v>
      </c>
      <c r="BY551" s="6">
        <f t="shared" si="379"/>
        <v>14687.68</v>
      </c>
      <c r="BZ551" s="6">
        <f t="shared" si="380"/>
        <v>3906</v>
      </c>
      <c r="CA551" s="6">
        <f t="shared" si="381"/>
        <v>-50000</v>
      </c>
      <c r="CB551" s="6">
        <f t="shared" si="382"/>
        <v>0</v>
      </c>
      <c r="CC551" s="6">
        <f t="shared" si="383"/>
        <v>6441.27</v>
      </c>
      <c r="CD551" s="6">
        <f t="shared" si="384"/>
        <v>10000</v>
      </c>
      <c r="CE551" s="6">
        <f t="shared" si="385"/>
        <v>10000</v>
      </c>
      <c r="CF551" s="6">
        <f t="shared" si="386"/>
        <v>10000</v>
      </c>
      <c r="CG551" s="6">
        <f t="shared" si="387"/>
        <v>-40000</v>
      </c>
      <c r="CH551" s="6">
        <f t="shared" si="348"/>
        <v>-34965.050000000003</v>
      </c>
    </row>
    <row r="552" spans="1:87" hidden="1" x14ac:dyDescent="0.35">
      <c r="A552" s="3" t="s">
        <v>957</v>
      </c>
      <c r="G552" s="10">
        <v>175000</v>
      </c>
      <c r="M552" s="10">
        <v>175000</v>
      </c>
      <c r="N552" s="27">
        <f t="shared" si="372"/>
        <v>350000</v>
      </c>
      <c r="AA552" s="27">
        <f t="shared" si="373"/>
        <v>0</v>
      </c>
      <c r="AB552" s="10">
        <f t="shared" si="374"/>
        <v>0</v>
      </c>
      <c r="AC552" s="10">
        <f t="shared" si="374"/>
        <v>0</v>
      </c>
      <c r="AD552" s="10">
        <f t="shared" si="374"/>
        <v>0</v>
      </c>
      <c r="AE552" s="10">
        <f t="shared" si="374"/>
        <v>0</v>
      </c>
      <c r="AF552" s="10">
        <f t="shared" si="374"/>
        <v>0</v>
      </c>
      <c r="AG552" s="10">
        <f t="shared" si="374"/>
        <v>175000</v>
      </c>
      <c r="AH552" s="10">
        <f t="shared" si="374"/>
        <v>0</v>
      </c>
      <c r="AI552" s="10">
        <f t="shared" si="374"/>
        <v>0</v>
      </c>
      <c r="AJ552" s="10">
        <f t="shared" si="374"/>
        <v>0</v>
      </c>
      <c r="AK552" s="10">
        <f t="shared" si="374"/>
        <v>0</v>
      </c>
      <c r="AL552" s="10">
        <f t="shared" si="374"/>
        <v>0</v>
      </c>
      <c r="AM552" s="10">
        <f t="shared" si="374"/>
        <v>175000</v>
      </c>
      <c r="AN552" s="27">
        <f t="shared" si="374"/>
        <v>350000</v>
      </c>
      <c r="AO552" s="28">
        <v>350000</v>
      </c>
      <c r="AS552" t="str">
        <f>_xlfn.XLOOKUP(AU552,[2]GAE!HZ:HZ,[2]GAE!IA:IA)</f>
        <v>EXTERNAL AFFAIRS DEP</v>
      </c>
      <c r="AT552" t="str">
        <f>_xlfn.XLOOKUP(AU552,[2]GAE!HZ:HZ,[2]GAE!IB:IB)</f>
        <v>DOE - Donations &amp; Contributions</v>
      </c>
      <c r="AU552" t="s">
        <v>960</v>
      </c>
      <c r="AV552">
        <v>81125101</v>
      </c>
      <c r="AW552">
        <v>52959903</v>
      </c>
      <c r="AX552" t="str">
        <f>_xlfn.XLOOKUP(AU552,[2]GAE!HZ:HZ,[2]GAE!IF:IF)</f>
        <v>Others</v>
      </c>
      <c r="AY552" t="str">
        <f>_xlfn.XLOOKUP(AU552,[2]GAE!HZ:HZ,[2]GAE!IG:IG)</f>
        <v>Donations, Contributions and Miscellaneous Expenses</v>
      </c>
      <c r="BF552" t="s">
        <v>1249</v>
      </c>
      <c r="BG552" t="s">
        <v>1248</v>
      </c>
      <c r="BH552" s="10">
        <f>SUMIFS('[1]2026'!$K:$K,'[1]2026'!$T:$T,BD552,'[1]2026'!$S:$S,BH$3,'[1]2026'!$P:$P,AU552)</f>
        <v>0</v>
      </c>
      <c r="BI552" s="10">
        <f>SUMIFS('[1]2026'!$K:$K,'[1]2026'!$T:$T,$BD552,'[1]2026'!$S:$S,BI$3,'[1]2026'!$P:$P,$AU552)</f>
        <v>0</v>
      </c>
      <c r="BJ552" s="10">
        <f>SUMIFS('[1]2026'!$K:$K,'[1]2026'!$T:$T,$BD552,'[1]2026'!$S:$S,BJ$3,'[1]2026'!$P:$P,$AU552)</f>
        <v>0</v>
      </c>
      <c r="BK552" s="10">
        <f>SUMIFS('[1]2026'!$K:$K,'[1]2026'!$T:$T,$BD552,'[1]2026'!$S:$S,BK$3,'[1]2026'!$P:$P,$AU552)</f>
        <v>0</v>
      </c>
      <c r="BL552" s="10">
        <f>SUMIFS('[1]2026'!$K:$K,'[1]2026'!$T:$T,$BD552,'[1]2026'!$S:$S,BL$3,'[1]2026'!$P:$P,$AU552)</f>
        <v>0</v>
      </c>
      <c r="BM552" s="10">
        <f>SUMIFS('[1]2026'!$K:$K,'[1]2026'!$T:$T,$BD552,'[1]2026'!$S:$S,BM$3,'[1]2026'!$P:$P,$AU552)</f>
        <v>0</v>
      </c>
      <c r="BN552" s="10">
        <f>SUMIFS('[1]2026'!$K:$K,'[1]2026'!$T:$T,$BD552,'[1]2026'!$S:$S,BN$3,'[1]2026'!$P:$P,$AU552)</f>
        <v>0</v>
      </c>
      <c r="BO552" s="10">
        <f>SUMIFS('[1]2026'!$K:$K,'[1]2026'!$T:$T,$BD552,'[1]2026'!$S:$S,BO$3,'[1]2026'!$P:$P,$AU552)</f>
        <v>0</v>
      </c>
      <c r="BP552" s="6">
        <f t="shared" ref="BP552:BR552" si="389">BO552</f>
        <v>0</v>
      </c>
      <c r="BQ552" s="6">
        <f t="shared" si="389"/>
        <v>0</v>
      </c>
      <c r="BR552" s="6">
        <f t="shared" si="389"/>
        <v>0</v>
      </c>
      <c r="BS552" s="6">
        <f>AN552</f>
        <v>350000</v>
      </c>
      <c r="BT552" s="6">
        <f t="shared" si="356"/>
        <v>350000</v>
      </c>
      <c r="BV552" s="6">
        <f t="shared" si="376"/>
        <v>0</v>
      </c>
      <c r="BW552" s="6">
        <f t="shared" si="377"/>
        <v>0</v>
      </c>
      <c r="BX552" s="6">
        <f t="shared" si="378"/>
        <v>0</v>
      </c>
      <c r="BY552" s="6">
        <f t="shared" si="379"/>
        <v>0</v>
      </c>
      <c r="BZ552" s="6">
        <f t="shared" si="380"/>
        <v>0</v>
      </c>
      <c r="CA552" s="6">
        <f t="shared" si="381"/>
        <v>-175000</v>
      </c>
      <c r="CB552" s="6">
        <f t="shared" si="382"/>
        <v>0</v>
      </c>
      <c r="CC552" s="6">
        <f t="shared" si="383"/>
        <v>0</v>
      </c>
      <c r="CD552" s="6">
        <f t="shared" si="384"/>
        <v>0</v>
      </c>
      <c r="CE552" s="6">
        <f t="shared" si="385"/>
        <v>0</v>
      </c>
      <c r="CF552" s="6">
        <f t="shared" si="386"/>
        <v>0</v>
      </c>
      <c r="CG552" s="6">
        <f t="shared" si="387"/>
        <v>175000</v>
      </c>
      <c r="CH552" s="6">
        <f t="shared" si="348"/>
        <v>0</v>
      </c>
    </row>
    <row r="553" spans="1:87" hidden="1" x14ac:dyDescent="0.35">
      <c r="A553" s="3" t="s">
        <v>958</v>
      </c>
      <c r="G553" s="10">
        <v>20000</v>
      </c>
      <c r="M553" s="10">
        <v>20000</v>
      </c>
      <c r="N553" s="27">
        <f t="shared" si="372"/>
        <v>40000</v>
      </c>
      <c r="AA553" s="27">
        <f t="shared" si="373"/>
        <v>0</v>
      </c>
      <c r="AB553" s="10">
        <f t="shared" si="374"/>
        <v>0</v>
      </c>
      <c r="AC553" s="10">
        <f t="shared" si="374"/>
        <v>0</v>
      </c>
      <c r="AD553" s="10">
        <f t="shared" si="374"/>
        <v>0</v>
      </c>
      <c r="AE553" s="10">
        <f t="shared" si="374"/>
        <v>0</v>
      </c>
      <c r="AF553" s="10">
        <f t="shared" si="374"/>
        <v>0</v>
      </c>
      <c r="AG553" s="10">
        <f t="shared" si="374"/>
        <v>20000</v>
      </c>
      <c r="AH553" s="10">
        <f t="shared" si="374"/>
        <v>0</v>
      </c>
      <c r="AI553" s="10">
        <f t="shared" si="374"/>
        <v>0</v>
      </c>
      <c r="AJ553" s="10">
        <f t="shared" si="374"/>
        <v>0</v>
      </c>
      <c r="AK553" s="10">
        <f t="shared" si="374"/>
        <v>0</v>
      </c>
      <c r="AL553" s="10">
        <f t="shared" si="374"/>
        <v>0</v>
      </c>
      <c r="AM553" s="10">
        <f t="shared" si="374"/>
        <v>20000</v>
      </c>
      <c r="AN553" s="27">
        <f t="shared" si="374"/>
        <v>40000</v>
      </c>
      <c r="AS553" t="str">
        <f>_xlfn.XLOOKUP(AU553,[2]GAE!HZ:HZ,[2]GAE!IA:IA)</f>
        <v>EXTERNAL AFFAIRS DEP</v>
      </c>
      <c r="AT553" t="str">
        <f>_xlfn.XLOOKUP(AU553,[2]GAE!HZ:HZ,[2]GAE!IB:IB)</f>
        <v>DOE - Representation</v>
      </c>
      <c r="AU553" t="s">
        <v>961</v>
      </c>
      <c r="AV553">
        <v>81125101</v>
      </c>
      <c r="AW553">
        <v>52091101</v>
      </c>
      <c r="AX553" t="str">
        <f>_xlfn.XLOOKUP(AU553,[2]GAE!HZ:HZ,[2]GAE!IF:IF)</f>
        <v>Others</v>
      </c>
      <c r="AY553" t="str">
        <f>_xlfn.XLOOKUP(AU553,[2]GAE!HZ:HZ,[2]GAE!IG:IG)</f>
        <v>Entertainment, Amusement &amp; Recreation</v>
      </c>
      <c r="BF553" t="s">
        <v>176</v>
      </c>
      <c r="BG553" t="s">
        <v>1250</v>
      </c>
      <c r="BH553" s="10">
        <f>SUMIFS('[1]2026'!$K:$K,'[1]2026'!$T:$T,BD553,'[1]2026'!$S:$S,BH$3,'[1]2026'!$P:$P,AU553)</f>
        <v>0</v>
      </c>
      <c r="BI553" s="10">
        <f>SUMIFS('[1]2026'!$K:$K,'[1]2026'!$T:$T,$BD553,'[1]2026'!$S:$S,BI$3,'[1]2026'!$P:$P,$AU553)</f>
        <v>0</v>
      </c>
      <c r="BJ553" s="10">
        <f>SUMIFS('[1]2026'!$K:$K,'[1]2026'!$T:$T,$BD553,'[1]2026'!$S:$S,BJ$3,'[1]2026'!$P:$P,$AU553)</f>
        <v>0</v>
      </c>
      <c r="BK553" s="10">
        <f>SUMIFS('[1]2026'!$K:$K,'[1]2026'!$T:$T,$BD553,'[1]2026'!$S:$S,BK$3,'[1]2026'!$P:$P,$AU553)</f>
        <v>0</v>
      </c>
      <c r="BL553" s="10">
        <f>SUMIFS('[1]2026'!$K:$K,'[1]2026'!$T:$T,$BD553,'[1]2026'!$S:$S,BL$3,'[1]2026'!$P:$P,$AU553)</f>
        <v>0</v>
      </c>
      <c r="BM553" s="10">
        <f>SUMIFS('[1]2026'!$K:$K,'[1]2026'!$T:$T,$BD553,'[1]2026'!$S:$S,BM$3,'[1]2026'!$P:$P,$AU553)</f>
        <v>0</v>
      </c>
      <c r="BN553" s="10">
        <f>SUMIFS('[1]2026'!$K:$K,'[1]2026'!$T:$T,$BD553,'[1]2026'!$S:$S,BN$3,'[1]2026'!$P:$P,$AU553)</f>
        <v>0</v>
      </c>
      <c r="BO553" s="10">
        <f>SUMIFS('[1]2026'!$K:$K,'[1]2026'!$T:$T,$BD553,'[1]2026'!$S:$S,BO$3,'[1]2026'!$P:$P,$AU553)</f>
        <v>0</v>
      </c>
      <c r="BP553" s="6"/>
      <c r="BQ553" s="6"/>
      <c r="BR553" s="6"/>
      <c r="BS553" s="6"/>
      <c r="BT553" s="6">
        <f t="shared" si="356"/>
        <v>0</v>
      </c>
      <c r="BV553" s="6">
        <f t="shared" si="376"/>
        <v>0</v>
      </c>
      <c r="BW553" s="6">
        <f t="shared" si="377"/>
        <v>0</v>
      </c>
      <c r="BX553" s="6">
        <f t="shared" si="378"/>
        <v>0</v>
      </c>
      <c r="BY553" s="6">
        <f t="shared" si="379"/>
        <v>0</v>
      </c>
      <c r="BZ553" s="6">
        <f t="shared" si="380"/>
        <v>0</v>
      </c>
      <c r="CA553" s="6">
        <f t="shared" si="381"/>
        <v>-20000</v>
      </c>
      <c r="CB553" s="6">
        <f t="shared" si="382"/>
        <v>0</v>
      </c>
      <c r="CC553" s="6">
        <f t="shared" si="383"/>
        <v>0</v>
      </c>
      <c r="CD553" s="6">
        <f t="shared" si="384"/>
        <v>0</v>
      </c>
      <c r="CE553" s="6">
        <f t="shared" si="385"/>
        <v>0</v>
      </c>
      <c r="CF553" s="6">
        <f t="shared" si="386"/>
        <v>0</v>
      </c>
      <c r="CG553" s="6">
        <f t="shared" si="387"/>
        <v>-20000</v>
      </c>
      <c r="CH553" s="6">
        <f t="shared" si="348"/>
        <v>-40000</v>
      </c>
    </row>
    <row r="554" spans="1:87" hidden="1" x14ac:dyDescent="0.35">
      <c r="A554" s="3" t="s">
        <v>958</v>
      </c>
      <c r="G554" s="10">
        <v>20000</v>
      </c>
      <c r="M554" s="10">
        <v>20000</v>
      </c>
      <c r="N554" s="27">
        <f t="shared" si="372"/>
        <v>40000</v>
      </c>
      <c r="AA554" s="27">
        <f t="shared" si="373"/>
        <v>0</v>
      </c>
      <c r="AB554" s="10">
        <f t="shared" si="374"/>
        <v>0</v>
      </c>
      <c r="AC554" s="10">
        <f t="shared" si="374"/>
        <v>0</v>
      </c>
      <c r="AD554" s="10">
        <f t="shared" si="374"/>
        <v>0</v>
      </c>
      <c r="AE554" s="10">
        <f t="shared" si="374"/>
        <v>0</v>
      </c>
      <c r="AF554" s="10">
        <f t="shared" si="374"/>
        <v>0</v>
      </c>
      <c r="AG554" s="10">
        <f t="shared" si="374"/>
        <v>20000</v>
      </c>
      <c r="AH554" s="10">
        <f t="shared" si="374"/>
        <v>0</v>
      </c>
      <c r="AI554" s="10">
        <f t="shared" si="374"/>
        <v>0</v>
      </c>
      <c r="AJ554" s="10">
        <f t="shared" si="374"/>
        <v>0</v>
      </c>
      <c r="AK554" s="10">
        <f t="shared" si="374"/>
        <v>0</v>
      </c>
      <c r="AL554" s="10">
        <f t="shared" si="374"/>
        <v>0</v>
      </c>
      <c r="AM554" s="10">
        <f t="shared" si="374"/>
        <v>20000</v>
      </c>
      <c r="AN554" s="27">
        <f t="shared" si="374"/>
        <v>40000</v>
      </c>
      <c r="AS554" t="str">
        <f>_xlfn.XLOOKUP(AU554,[2]GAE!HZ:HZ,[2]GAE!IA:IA)</f>
        <v>EXTERNAL AFFAIRS DEP</v>
      </c>
      <c r="AT554" t="str">
        <f>_xlfn.XLOOKUP(AU554,[2]GAE!HZ:HZ,[2]GAE!IB:IB)</f>
        <v>GAE - Representation</v>
      </c>
      <c r="AU554" t="s">
        <v>962</v>
      </c>
      <c r="AV554">
        <v>90125101</v>
      </c>
      <c r="AW554">
        <v>61091101</v>
      </c>
      <c r="AX554" t="str">
        <f>_xlfn.XLOOKUP(AU554,[2]GAE!HZ:HZ,[2]GAE!IF:IF)</f>
        <v>Others</v>
      </c>
      <c r="AY554" t="str">
        <f>_xlfn.XLOOKUP(AU554,[2]GAE!HZ:HZ,[2]GAE!IG:IG)</f>
        <v>Entertainment, Amusement &amp; Recreation</v>
      </c>
      <c r="BF554" t="s">
        <v>176</v>
      </c>
      <c r="BG554" t="s">
        <v>1250</v>
      </c>
      <c r="BH554" s="10">
        <f>SUMIFS('[1]2026'!$K:$K,'[1]2026'!$T:$T,BD554,'[1]2026'!$S:$S,BH$3,'[1]2026'!$P:$P,AU554)</f>
        <v>0</v>
      </c>
      <c r="BI554" s="10">
        <f>SUMIFS('[1]2026'!$K:$K,'[1]2026'!$T:$T,$BD554,'[1]2026'!$S:$S,BI$3,'[1]2026'!$P:$P,$AU554)</f>
        <v>0</v>
      </c>
      <c r="BJ554" s="10">
        <f>SUMIFS('[1]2026'!$K:$K,'[1]2026'!$T:$T,$BD554,'[1]2026'!$S:$S,BJ$3,'[1]2026'!$P:$P,$AU554)</f>
        <v>0</v>
      </c>
      <c r="BK554" s="10">
        <f>SUMIFS('[1]2026'!$K:$K,'[1]2026'!$T:$T,$BD554,'[1]2026'!$S:$S,BK$3,'[1]2026'!$P:$P,$AU554)</f>
        <v>0</v>
      </c>
      <c r="BL554" s="10">
        <f>SUMIFS('[1]2026'!$K:$K,'[1]2026'!$T:$T,$BD554,'[1]2026'!$S:$S,BL$3,'[1]2026'!$P:$P,$AU554)</f>
        <v>0</v>
      </c>
      <c r="BM554" s="10">
        <f>SUMIFS('[1]2026'!$K:$K,'[1]2026'!$T:$T,$BD554,'[1]2026'!$S:$S,BM$3,'[1]2026'!$P:$P,$AU554)</f>
        <v>0</v>
      </c>
      <c r="BN554" s="10">
        <f>SUMIFS('[1]2026'!$K:$K,'[1]2026'!$T:$T,$BD554,'[1]2026'!$S:$S,BN$3,'[1]2026'!$P:$P,$AU554)</f>
        <v>0</v>
      </c>
      <c r="BO554" s="10">
        <f>SUMIFS('[1]2026'!$K:$K,'[1]2026'!$T:$T,$BD554,'[1]2026'!$S:$S,BO$3,'[1]2026'!$P:$P,$AU554)</f>
        <v>0</v>
      </c>
      <c r="BP554" s="6"/>
      <c r="BQ554" s="6"/>
      <c r="BR554" s="6"/>
      <c r="BS554" s="6"/>
      <c r="BT554" s="6">
        <f t="shared" si="356"/>
        <v>0</v>
      </c>
      <c r="BV554" s="6">
        <f t="shared" si="376"/>
        <v>0</v>
      </c>
      <c r="BW554" s="6">
        <f t="shared" si="377"/>
        <v>0</v>
      </c>
      <c r="BX554" s="6">
        <f t="shared" si="378"/>
        <v>0</v>
      </c>
      <c r="BY554" s="6">
        <f t="shared" si="379"/>
        <v>0</v>
      </c>
      <c r="BZ554" s="6">
        <f t="shared" si="380"/>
        <v>0</v>
      </c>
      <c r="CA554" s="6">
        <f t="shared" si="381"/>
        <v>-20000</v>
      </c>
      <c r="CB554" s="6">
        <f t="shared" si="382"/>
        <v>0</v>
      </c>
      <c r="CC554" s="6">
        <f t="shared" si="383"/>
        <v>0</v>
      </c>
      <c r="CD554" s="6">
        <f t="shared" si="384"/>
        <v>0</v>
      </c>
      <c r="CE554" s="6">
        <f t="shared" si="385"/>
        <v>0</v>
      </c>
      <c r="CF554" s="6">
        <f t="shared" si="386"/>
        <v>0</v>
      </c>
      <c r="CG554" s="6">
        <f t="shared" si="387"/>
        <v>-20000</v>
      </c>
      <c r="CH554" s="6">
        <f t="shared" si="348"/>
        <v>-40000</v>
      </c>
    </row>
    <row r="555" spans="1:87" hidden="1" x14ac:dyDescent="0.35">
      <c r="A555" s="3" t="s">
        <v>963</v>
      </c>
      <c r="B555" s="10">
        <v>6750</v>
      </c>
      <c r="C555" s="10">
        <v>6750</v>
      </c>
      <c r="D555" s="10">
        <v>6750</v>
      </c>
      <c r="E555" s="10">
        <v>6750</v>
      </c>
      <c r="F555" s="10">
        <v>6750</v>
      </c>
      <c r="G555" s="10">
        <v>6750</v>
      </c>
      <c r="H555" s="10">
        <v>6750</v>
      </c>
      <c r="I555" s="10">
        <v>6750</v>
      </c>
      <c r="J555" s="10">
        <v>6750</v>
      </c>
      <c r="K555" s="10">
        <v>6750</v>
      </c>
      <c r="L555" s="10">
        <v>6750</v>
      </c>
      <c r="M555" s="10">
        <v>6750</v>
      </c>
      <c r="N555" s="27">
        <f t="shared" si="372"/>
        <v>81000</v>
      </c>
      <c r="AA555" s="27">
        <f t="shared" si="373"/>
        <v>0</v>
      </c>
      <c r="AB555" s="10">
        <f t="shared" si="374"/>
        <v>6750</v>
      </c>
      <c r="AC555" s="10">
        <f t="shared" si="374"/>
        <v>6750</v>
      </c>
      <c r="AD555" s="10">
        <f t="shared" si="374"/>
        <v>6750</v>
      </c>
      <c r="AE555" s="10">
        <f t="shared" si="374"/>
        <v>6750</v>
      </c>
      <c r="AF555" s="10">
        <f t="shared" si="374"/>
        <v>6750</v>
      </c>
      <c r="AG555" s="10">
        <f t="shared" si="374"/>
        <v>6750</v>
      </c>
      <c r="AH555" s="10">
        <f t="shared" si="374"/>
        <v>6750</v>
      </c>
      <c r="AI555" s="10">
        <f t="shared" si="374"/>
        <v>6750</v>
      </c>
      <c r="AJ555" s="10">
        <f t="shared" si="374"/>
        <v>6750</v>
      </c>
      <c r="AK555" s="10">
        <f t="shared" si="374"/>
        <v>6750</v>
      </c>
      <c r="AL555" s="10">
        <f t="shared" si="374"/>
        <v>6750</v>
      </c>
      <c r="AM555" s="10">
        <f t="shared" si="374"/>
        <v>6750</v>
      </c>
      <c r="AN555" s="27">
        <f t="shared" si="374"/>
        <v>81000</v>
      </c>
      <c r="AO555" s="28">
        <v>49150</v>
      </c>
      <c r="AS555" t="str">
        <f>_xlfn.XLOOKUP(AU555,[2]GAE!HZ:HZ,[2]GAE!IA:IA)</f>
        <v>LEGAL</v>
      </c>
      <c r="AT555" t="str">
        <f>_xlfn.XLOOKUP(AU555,[2]GAE!HZ:HZ,[2]GAE!IB:IB)</f>
        <v>GAE - Prof. Fees - Others</v>
      </c>
      <c r="AU555" t="s">
        <v>964</v>
      </c>
      <c r="AV555">
        <v>80123101</v>
      </c>
      <c r="AW555">
        <v>61071099</v>
      </c>
      <c r="AX555" t="str">
        <f>_xlfn.XLOOKUP(AU555,[2]GAE!HZ:HZ,[2]GAE!IF:IF)</f>
        <v>Professional fees</v>
      </c>
      <c r="AY555" t="str">
        <f>_xlfn.XLOOKUP(AU555,[2]GAE!HZ:HZ,[2]GAE!IG:IG)</f>
        <v>Internal and external consultants</v>
      </c>
      <c r="BB555" t="s">
        <v>965</v>
      </c>
      <c r="BC555" t="s">
        <v>157</v>
      </c>
      <c r="BD555" t="s">
        <v>157</v>
      </c>
      <c r="BF555" t="s">
        <v>157</v>
      </c>
      <c r="BG555" s="2" t="s">
        <v>157</v>
      </c>
      <c r="BH555" s="10">
        <f>SUMIFS('[1]2026'!$K:$K,'[1]2026'!$T:$T,BD555,'[1]2026'!$S:$S,BH$3,'[1]2026'!$P:$P,AU555)</f>
        <v>0</v>
      </c>
      <c r="BI555" s="10">
        <f>SUMIFS('[1]2026'!$K:$K,'[1]2026'!$T:$T,$BD555,'[1]2026'!$S:$S,BI$3,'[1]2026'!$P:$P,$AU555)</f>
        <v>5550</v>
      </c>
      <c r="BJ555" s="10">
        <f>SUMIFS('[1]2026'!$K:$K,'[1]2026'!$T:$T,$BD555,'[1]2026'!$S:$S,BJ$3,'[1]2026'!$P:$P,$AU555)</f>
        <v>2850</v>
      </c>
      <c r="BK555" s="10">
        <f>SUMIFS('[1]2026'!$K:$K,'[1]2026'!$T:$T,$BD555,'[1]2026'!$S:$S,BK$3,'[1]2026'!$P:$P,$AU555)</f>
        <v>0</v>
      </c>
      <c r="BL555" s="10">
        <f>SUMIFS('[1]2026'!$K:$K,'[1]2026'!$T:$T,$BD555,'[1]2026'!$S:$S,BL$3,'[1]2026'!$P:$P,$AU555)</f>
        <v>0</v>
      </c>
      <c r="BM555" s="10">
        <f>SUMIFS('[1]2026'!$K:$K,'[1]2026'!$T:$T,$BD555,'[1]2026'!$S:$S,BM$3,'[1]2026'!$P:$P,$AU555)</f>
        <v>0</v>
      </c>
      <c r="BN555" s="10">
        <f>SUMIFS('[1]2026'!$K:$K,'[1]2026'!$T:$T,$BD555,'[1]2026'!$S:$S,BN$3,'[1]2026'!$P:$P,$AU555)</f>
        <v>0</v>
      </c>
      <c r="BO555" s="10">
        <f>SUMIFS('[1]2026'!$K:$K,'[1]2026'!$T:$T,$BD555,'[1]2026'!$S:$S,BO$3,'[1]2026'!$P:$P,$AU555)</f>
        <v>0</v>
      </c>
      <c r="BP555" s="6">
        <f t="shared" ref="BP555:BS557" si="390">BO555</f>
        <v>0</v>
      </c>
      <c r="BQ555" s="6">
        <f t="shared" si="390"/>
        <v>0</v>
      </c>
      <c r="BR555" s="6">
        <f t="shared" si="390"/>
        <v>0</v>
      </c>
      <c r="BS555" s="6">
        <f t="shared" si="390"/>
        <v>0</v>
      </c>
      <c r="BT555" s="6">
        <f t="shared" si="356"/>
        <v>8400</v>
      </c>
      <c r="BU555" t="s">
        <v>965</v>
      </c>
      <c r="BV555" s="6">
        <f t="shared" si="376"/>
        <v>-6750</v>
      </c>
      <c r="BW555" s="6">
        <f t="shared" si="377"/>
        <v>-1200</v>
      </c>
      <c r="BX555" s="6">
        <f t="shared" si="378"/>
        <v>-3900</v>
      </c>
      <c r="BY555" s="6">
        <f t="shared" si="379"/>
        <v>-6750</v>
      </c>
      <c r="BZ555" s="6">
        <f t="shared" si="380"/>
        <v>-6750</v>
      </c>
      <c r="CA555" s="6">
        <f t="shared" si="381"/>
        <v>-6750</v>
      </c>
      <c r="CB555" s="6">
        <f t="shared" si="382"/>
        <v>-6750</v>
      </c>
      <c r="CC555" s="6">
        <f t="shared" si="383"/>
        <v>-6750</v>
      </c>
      <c r="CD555" s="6">
        <f t="shared" si="384"/>
        <v>-6750</v>
      </c>
      <c r="CE555" s="6">
        <f t="shared" si="385"/>
        <v>-6750</v>
      </c>
      <c r="CF555" s="6">
        <f t="shared" si="386"/>
        <v>-6750</v>
      </c>
      <c r="CG555" s="6">
        <f t="shared" si="387"/>
        <v>-6750</v>
      </c>
      <c r="CH555" s="6">
        <f t="shared" si="348"/>
        <v>-72600</v>
      </c>
    </row>
    <row r="556" spans="1:87" hidden="1" x14ac:dyDescent="0.35">
      <c r="A556" s="3" t="s">
        <v>963</v>
      </c>
      <c r="B556" s="10">
        <v>4500</v>
      </c>
      <c r="C556" s="10">
        <v>4500</v>
      </c>
      <c r="D556" s="10">
        <v>4500</v>
      </c>
      <c r="E556" s="10">
        <v>4500</v>
      </c>
      <c r="F556" s="10">
        <v>4500</v>
      </c>
      <c r="G556" s="10">
        <v>4500</v>
      </c>
      <c r="H556" s="10">
        <v>4500</v>
      </c>
      <c r="I556" s="10">
        <v>4500</v>
      </c>
      <c r="J556" s="10">
        <v>4500</v>
      </c>
      <c r="K556" s="10">
        <v>4500</v>
      </c>
      <c r="L556" s="10">
        <v>4500</v>
      </c>
      <c r="M556" s="10">
        <v>4500</v>
      </c>
      <c r="N556" s="27">
        <f t="shared" si="372"/>
        <v>54000</v>
      </c>
      <c r="AA556" s="27">
        <f t="shared" si="373"/>
        <v>0</v>
      </c>
      <c r="AB556" s="10">
        <f t="shared" si="374"/>
        <v>4500</v>
      </c>
      <c r="AC556" s="10">
        <f t="shared" si="374"/>
        <v>4500</v>
      </c>
      <c r="AD556" s="10">
        <f t="shared" si="374"/>
        <v>4500</v>
      </c>
      <c r="AE556" s="10">
        <f t="shared" si="374"/>
        <v>4500</v>
      </c>
      <c r="AF556" s="10">
        <f t="shared" si="374"/>
        <v>4500</v>
      </c>
      <c r="AG556" s="10">
        <f t="shared" si="374"/>
        <v>4500</v>
      </c>
      <c r="AH556" s="10">
        <f t="shared" si="374"/>
        <v>4500</v>
      </c>
      <c r="AI556" s="10">
        <f t="shared" si="374"/>
        <v>4500</v>
      </c>
      <c r="AJ556" s="10">
        <f t="shared" si="374"/>
        <v>4500</v>
      </c>
      <c r="AK556" s="10">
        <f t="shared" si="374"/>
        <v>4500</v>
      </c>
      <c r="AL556" s="10">
        <f t="shared" si="374"/>
        <v>4500</v>
      </c>
      <c r="AM556" s="10">
        <f t="shared" si="374"/>
        <v>4500</v>
      </c>
      <c r="AN556" s="27">
        <f t="shared" si="374"/>
        <v>54000</v>
      </c>
      <c r="AS556" t="str">
        <f>_xlfn.XLOOKUP(AU556,[2]GAE!HZ:HZ,[2]GAE!IA:IA)</f>
        <v>LEGAL</v>
      </c>
      <c r="AT556" t="str">
        <f>_xlfn.XLOOKUP(AU556,[2]GAE!HZ:HZ,[2]GAE!IB:IB)</f>
        <v>GAE - Prof. Fees - Others</v>
      </c>
      <c r="AU556" t="s">
        <v>966</v>
      </c>
      <c r="AV556">
        <v>81123101</v>
      </c>
      <c r="AW556">
        <v>61071099</v>
      </c>
      <c r="AX556" t="str">
        <f>_xlfn.XLOOKUP(AU556,[2]GAE!HZ:HZ,[2]GAE!IF:IF)</f>
        <v>Professional fees</v>
      </c>
      <c r="AY556" t="str">
        <f>_xlfn.XLOOKUP(AU556,[2]GAE!HZ:HZ,[2]GAE!IG:IG)</f>
        <v>Internal and external consultants</v>
      </c>
      <c r="BB556" t="s">
        <v>967</v>
      </c>
      <c r="BF556" t="s">
        <v>157</v>
      </c>
      <c r="BG556" s="2" t="s">
        <v>157</v>
      </c>
      <c r="BH556" s="10">
        <f>SUMIFS('[1]2026'!$K:$K,'[1]2026'!$T:$T,BD556,'[1]2026'!$S:$S,BH$3,'[1]2026'!$P:$P,AU556)</f>
        <v>0</v>
      </c>
      <c r="BI556" s="10">
        <f>SUMIFS('[1]2026'!$K:$K,'[1]2026'!$T:$T,$BD556,'[1]2026'!$S:$S,BI$3,'[1]2026'!$P:$P,$AU556)</f>
        <v>0</v>
      </c>
      <c r="BJ556" s="10">
        <f>SUMIFS('[1]2026'!$K:$K,'[1]2026'!$T:$T,$BD556,'[1]2026'!$S:$S,BJ$3,'[1]2026'!$P:$P,$AU556)</f>
        <v>0</v>
      </c>
      <c r="BK556" s="10">
        <f>SUMIFS('[1]2026'!$K:$K,'[1]2026'!$T:$T,$BD556,'[1]2026'!$S:$S,BK$3,'[1]2026'!$P:$P,$AU556)</f>
        <v>0</v>
      </c>
      <c r="BL556" s="10">
        <f>SUMIFS('[1]2026'!$K:$K,'[1]2026'!$T:$T,$BD556,'[1]2026'!$S:$S,BL$3,'[1]2026'!$P:$P,$AU556)</f>
        <v>0</v>
      </c>
      <c r="BM556" s="10">
        <f>SUMIFS('[1]2026'!$K:$K,'[1]2026'!$T:$T,$BD556,'[1]2026'!$S:$S,BM$3,'[1]2026'!$P:$P,$AU556)</f>
        <v>0</v>
      </c>
      <c r="BN556" s="10">
        <f>SUMIFS('[1]2026'!$K:$K,'[1]2026'!$T:$T,$BD556,'[1]2026'!$S:$S,BN$3,'[1]2026'!$P:$P,$AU556)</f>
        <v>0</v>
      </c>
      <c r="BO556" s="10">
        <f>SUMIFS('[1]2026'!$K:$K,'[1]2026'!$T:$T,$BD556,'[1]2026'!$S:$S,BO$3,'[1]2026'!$P:$P,$AU556)</f>
        <v>0</v>
      </c>
      <c r="BP556" s="6">
        <f t="shared" si="390"/>
        <v>0</v>
      </c>
      <c r="BQ556" s="6">
        <f t="shared" si="390"/>
        <v>0</v>
      </c>
      <c r="BR556" s="6">
        <f t="shared" si="390"/>
        <v>0</v>
      </c>
      <c r="BS556" s="6">
        <f t="shared" si="390"/>
        <v>0</v>
      </c>
      <c r="BT556" s="6">
        <f t="shared" si="356"/>
        <v>0</v>
      </c>
      <c r="BU556" t="s">
        <v>967</v>
      </c>
      <c r="BV556" s="6">
        <f t="shared" si="376"/>
        <v>-4500</v>
      </c>
      <c r="BW556" s="6">
        <f t="shared" si="377"/>
        <v>-4500</v>
      </c>
      <c r="BX556" s="6">
        <f t="shared" si="378"/>
        <v>-4500</v>
      </c>
      <c r="BY556" s="6">
        <f t="shared" si="379"/>
        <v>-4500</v>
      </c>
      <c r="BZ556" s="6">
        <f t="shared" si="380"/>
        <v>-4500</v>
      </c>
      <c r="CA556" s="6">
        <f t="shared" si="381"/>
        <v>-4500</v>
      </c>
      <c r="CB556" s="6">
        <f t="shared" si="382"/>
        <v>-4500</v>
      </c>
      <c r="CC556" s="6">
        <f t="shared" si="383"/>
        <v>-4500</v>
      </c>
      <c r="CD556" s="6">
        <f t="shared" si="384"/>
        <v>-4500</v>
      </c>
      <c r="CE556" s="6">
        <f t="shared" si="385"/>
        <v>-4500</v>
      </c>
      <c r="CF556" s="6">
        <f t="shared" si="386"/>
        <v>-4500</v>
      </c>
      <c r="CG556" s="6">
        <f t="shared" si="387"/>
        <v>-4500</v>
      </c>
      <c r="CH556" s="6">
        <f t="shared" si="348"/>
        <v>-54000</v>
      </c>
    </row>
    <row r="557" spans="1:87" hidden="1" x14ac:dyDescent="0.35">
      <c r="AN557" s="27">
        <f>N557-AA557</f>
        <v>0</v>
      </c>
      <c r="AS557" t="str">
        <f>_xlfn.XLOOKUP(AU557,[2]GAE!HZ:HZ,[2]GAE!IA:IA)</f>
        <v>HUMAN RESOURCES</v>
      </c>
      <c r="AT557" t="str">
        <f>_xlfn.XLOOKUP(AU557,[2]GAE!HZ:HZ,[2]GAE!IB:IB)</f>
        <v>GAE - Prof. Fees - Others</v>
      </c>
      <c r="AU557" t="s">
        <v>759</v>
      </c>
      <c r="AV557">
        <v>90122101</v>
      </c>
      <c r="AW557">
        <v>61071099</v>
      </c>
      <c r="AX557" t="str">
        <f>_xlfn.XLOOKUP(AU557,[2]GAE!HZ:HZ,[2]GAE!IF:IF)</f>
        <v>Professional fees</v>
      </c>
      <c r="AY557" t="str">
        <f>_xlfn.XLOOKUP(AU557,[2]GAE!HZ:HZ,[2]GAE!IG:IG)</f>
        <v>Internal and external consultants</v>
      </c>
      <c r="BD557" t="s">
        <v>963</v>
      </c>
      <c r="BF557" s="37" t="s">
        <v>1263</v>
      </c>
      <c r="BG557" s="37" t="s">
        <v>1263</v>
      </c>
      <c r="BH557" s="10">
        <f>SUMIFS('[1]2026'!$K:$K,'[1]2026'!$T:$T,BD557,'[1]2026'!$S:$S,BH$3,'[1]2026'!$P:$P,AU557)</f>
        <v>100</v>
      </c>
      <c r="BI557" s="10">
        <f>SUMIFS('[1]2026'!$K:$K,'[1]2026'!$T:$T,$BD557,'[1]2026'!$S:$S,BI$3,'[1]2026'!$P:$P,$AU557)</f>
        <v>0</v>
      </c>
      <c r="BJ557" s="10">
        <f>SUMIFS('[1]2026'!$K:$K,'[1]2026'!$T:$T,$BD557,'[1]2026'!$S:$S,BJ$3,'[1]2026'!$P:$P,$AU557)</f>
        <v>100</v>
      </c>
      <c r="BK557" s="10">
        <f>SUMIFS('[1]2026'!$K:$K,'[1]2026'!$T:$T,$BD557,'[1]2026'!$S:$S,BK$3,'[1]2026'!$P:$P,$AU557)</f>
        <v>0</v>
      </c>
      <c r="BL557" s="10">
        <f>SUMIFS('[1]2026'!$K:$K,'[1]2026'!$T:$T,$BD557,'[1]2026'!$S:$S,BL$3,'[1]2026'!$P:$P,$AU557)</f>
        <v>0</v>
      </c>
      <c r="BM557" s="10">
        <f>SUMIFS('[1]2026'!$K:$K,'[1]2026'!$T:$T,$BD557,'[1]2026'!$S:$S,BM$3,'[1]2026'!$P:$P,$AU557)</f>
        <v>0</v>
      </c>
      <c r="BN557" s="10">
        <f>SUMIFS('[1]2026'!$K:$K,'[1]2026'!$T:$T,$BD557,'[1]2026'!$S:$S,BN$3,'[1]2026'!$P:$P,$AU557)</f>
        <v>0</v>
      </c>
      <c r="BO557" s="10">
        <f>SUMIFS('[1]2026'!$K:$K,'[1]2026'!$T:$T,$BD557,'[1]2026'!$S:$S,BO$3,'[1]2026'!$P:$P,$AU557)</f>
        <v>0</v>
      </c>
      <c r="BP557" s="6">
        <f t="shared" si="390"/>
        <v>0</v>
      </c>
      <c r="BQ557" s="6">
        <f t="shared" si="390"/>
        <v>0</v>
      </c>
      <c r="BR557" s="6">
        <f t="shared" si="390"/>
        <v>0</v>
      </c>
      <c r="BS557" s="6">
        <f t="shared" si="390"/>
        <v>0</v>
      </c>
      <c r="BT557" s="6">
        <f t="shared" si="356"/>
        <v>200</v>
      </c>
      <c r="BV557" s="6">
        <f t="shared" si="376"/>
        <v>100</v>
      </c>
      <c r="BW557" s="6">
        <f t="shared" si="377"/>
        <v>0</v>
      </c>
      <c r="BX557" s="6">
        <f t="shared" si="378"/>
        <v>100</v>
      </c>
      <c r="BY557" s="6">
        <f t="shared" si="379"/>
        <v>0</v>
      </c>
      <c r="BZ557" s="6">
        <f t="shared" si="380"/>
        <v>0</v>
      </c>
      <c r="CA557" s="6">
        <f t="shared" si="381"/>
        <v>0</v>
      </c>
      <c r="CB557" s="6">
        <f t="shared" si="382"/>
        <v>0</v>
      </c>
      <c r="CC557" s="6">
        <f t="shared" si="383"/>
        <v>0</v>
      </c>
      <c r="CD557" s="6">
        <f t="shared" si="384"/>
        <v>0</v>
      </c>
      <c r="CE557" s="6">
        <f t="shared" si="385"/>
        <v>0</v>
      </c>
      <c r="CF557" s="6">
        <f t="shared" si="386"/>
        <v>0</v>
      </c>
      <c r="CG557" s="6">
        <f t="shared" si="387"/>
        <v>0</v>
      </c>
      <c r="CH557" s="6">
        <f t="shared" si="348"/>
        <v>200</v>
      </c>
    </row>
    <row r="558" spans="1:87" hidden="1" x14ac:dyDescent="0.35">
      <c r="A558" s="3" t="s">
        <v>968</v>
      </c>
      <c r="B558" s="10">
        <v>90000</v>
      </c>
      <c r="N558" s="27">
        <f>SUM(B558:M558)</f>
        <v>90000</v>
      </c>
      <c r="AA558" s="27">
        <f>SUM(O558:Z558)</f>
        <v>0</v>
      </c>
      <c r="AB558" s="10">
        <f t="shared" ref="AB558:AN561" si="391">B558-O558</f>
        <v>90000</v>
      </c>
      <c r="AC558" s="10">
        <f t="shared" si="391"/>
        <v>0</v>
      </c>
      <c r="AD558" s="10">
        <f t="shared" si="391"/>
        <v>0</v>
      </c>
      <c r="AE558" s="10">
        <f t="shared" si="391"/>
        <v>0</v>
      </c>
      <c r="AF558" s="10">
        <f t="shared" si="391"/>
        <v>0</v>
      </c>
      <c r="AG558" s="10">
        <f t="shared" si="391"/>
        <v>0</v>
      </c>
      <c r="AH558" s="10">
        <f t="shared" si="391"/>
        <v>0</v>
      </c>
      <c r="AI558" s="10">
        <f t="shared" si="391"/>
        <v>0</v>
      </c>
      <c r="AJ558" s="10">
        <f t="shared" si="391"/>
        <v>0</v>
      </c>
      <c r="AK558" s="10">
        <f t="shared" si="391"/>
        <v>0</v>
      </c>
      <c r="AL558" s="10">
        <f t="shared" si="391"/>
        <v>0</v>
      </c>
      <c r="AM558" s="10">
        <f t="shared" si="391"/>
        <v>0</v>
      </c>
      <c r="AN558" s="27">
        <f t="shared" si="391"/>
        <v>90000</v>
      </c>
      <c r="AO558" s="28">
        <v>0</v>
      </c>
      <c r="AP558" s="10"/>
      <c r="AS558" t="str">
        <f>_xlfn.XLOOKUP(AU558,[2]GAE!HZ:HZ,[2]GAE!IA:IA)</f>
        <v>LEGAL</v>
      </c>
      <c r="AT558" t="str">
        <f>_xlfn.XLOOKUP(AU558,[2]GAE!HZ:HZ,[2]GAE!IB:IB)</f>
        <v>GAE - Dues &amp; Fees</v>
      </c>
      <c r="AU558" t="s">
        <v>969</v>
      </c>
      <c r="AV558">
        <v>80123101</v>
      </c>
      <c r="AW558">
        <v>61711101</v>
      </c>
      <c r="AX558" t="str">
        <f>_xlfn.XLOOKUP(AU558,[2]GAE!HZ:HZ,[2]GAE!IF:IF)</f>
        <v>Others</v>
      </c>
      <c r="AY558" t="str">
        <f>_xlfn.XLOOKUP(AU558,[2]GAE!HZ:HZ,[2]GAE!IG:IG)</f>
        <v>Dues and Fees</v>
      </c>
      <c r="BC558" t="s">
        <v>158</v>
      </c>
      <c r="BD558" t="s">
        <v>970</v>
      </c>
      <c r="BF558" t="s">
        <v>124</v>
      </c>
      <c r="BG558" s="2" t="s">
        <v>158</v>
      </c>
      <c r="BH558" s="10">
        <f>SUMIFS('[1]2026'!$K:$K,'[1]2026'!$T:$T,BD558,'[1]2026'!$S:$S,BH$3,'[1]2026'!$P:$P,AU558)</f>
        <v>32</v>
      </c>
      <c r="BI558" s="10">
        <f>SUMIFS('[1]2026'!$K:$K,'[1]2026'!$T:$T,$BD558,'[1]2026'!$S:$S,BI$3,'[1]2026'!$P:$P,$AU558)</f>
        <v>9000</v>
      </c>
      <c r="BJ558" s="10">
        <f>SUMIFS('[1]2026'!$K:$K,'[1]2026'!$T:$T,$BD558,'[1]2026'!$S:$S,BJ$3,'[1]2026'!$P:$P,$AU558)</f>
        <v>4564</v>
      </c>
      <c r="BK558" s="10">
        <f>SUMIFS('[1]2026'!$K:$K,'[1]2026'!$T:$T,$BD558,'[1]2026'!$S:$S,BK$3,'[1]2026'!$P:$P,$AU558)</f>
        <v>4629.71</v>
      </c>
      <c r="BL558" s="10">
        <f>SUMIFS('[1]2026'!$K:$K,'[1]2026'!$T:$T,$BD558,'[1]2026'!$S:$S,BL$3,'[1]2026'!$P:$P,$AU558)</f>
        <v>8485.92</v>
      </c>
      <c r="BM558" s="10">
        <f>SUMIFS('[1]2026'!$K:$K,'[1]2026'!$T:$T,$BD558,'[1]2026'!$S:$S,BM$3,'[1]2026'!$P:$P,$AU558)</f>
        <v>4693.09</v>
      </c>
      <c r="BN558" s="10">
        <f>SUMIFS('[1]2026'!$K:$K,'[1]2026'!$T:$T,$BD558,'[1]2026'!$S:$S,BN$3,'[1]2026'!$P:$P,$AU558)</f>
        <v>4500</v>
      </c>
      <c r="BO558" s="10">
        <f>SUMIFS('[1]2026'!$K:$K,'[1]2026'!$T:$T,$BD558,'[1]2026'!$S:$S,BO$3,'[1]2026'!$P:$P,$AU558)</f>
        <v>4792</v>
      </c>
      <c r="BP558" s="6">
        <v>5000</v>
      </c>
      <c r="BQ558" s="6">
        <v>5000</v>
      </c>
      <c r="BR558" s="6">
        <v>5000</v>
      </c>
      <c r="BS558" s="6">
        <v>5000</v>
      </c>
      <c r="BT558" s="6">
        <f t="shared" si="356"/>
        <v>60696.72</v>
      </c>
      <c r="BV558" s="6">
        <f t="shared" si="376"/>
        <v>-89968</v>
      </c>
      <c r="BW558" s="6">
        <f t="shared" si="377"/>
        <v>9000</v>
      </c>
      <c r="BX558" s="6">
        <f t="shared" si="378"/>
        <v>4564</v>
      </c>
      <c r="BY558" s="6">
        <f t="shared" si="379"/>
        <v>4629.71</v>
      </c>
      <c r="BZ558" s="6">
        <f t="shared" si="380"/>
        <v>8485.92</v>
      </c>
      <c r="CA558" s="6">
        <f t="shared" si="381"/>
        <v>4693.09</v>
      </c>
      <c r="CB558" s="6">
        <f t="shared" si="382"/>
        <v>4500</v>
      </c>
      <c r="CC558" s="6">
        <f t="shared" si="383"/>
        <v>4792</v>
      </c>
      <c r="CD558" s="6">
        <f t="shared" si="384"/>
        <v>5000</v>
      </c>
      <c r="CE558" s="6">
        <f t="shared" si="385"/>
        <v>5000</v>
      </c>
      <c r="CF558" s="6">
        <f t="shared" si="386"/>
        <v>5000</v>
      </c>
      <c r="CG558" s="6">
        <f t="shared" si="387"/>
        <v>5000</v>
      </c>
      <c r="CH558" s="6">
        <f t="shared" si="348"/>
        <v>-29303.279999999999</v>
      </c>
    </row>
    <row r="559" spans="1:87" hidden="1" x14ac:dyDescent="0.35">
      <c r="A559" s="3" t="s">
        <v>971</v>
      </c>
      <c r="B559" s="10">
        <v>20000</v>
      </c>
      <c r="N559" s="27">
        <f>SUM(B559:M559)</f>
        <v>20000</v>
      </c>
      <c r="AA559" s="27">
        <f>SUM(O559:Z559)</f>
        <v>0</v>
      </c>
      <c r="AB559" s="10">
        <f t="shared" si="391"/>
        <v>20000</v>
      </c>
      <c r="AC559" s="10">
        <f t="shared" si="391"/>
        <v>0</v>
      </c>
      <c r="AD559" s="10">
        <f t="shared" si="391"/>
        <v>0</v>
      </c>
      <c r="AE559" s="10">
        <f t="shared" si="391"/>
        <v>0</v>
      </c>
      <c r="AF559" s="10">
        <f t="shared" si="391"/>
        <v>0</v>
      </c>
      <c r="AG559" s="10">
        <f t="shared" si="391"/>
        <v>0</v>
      </c>
      <c r="AH559" s="10">
        <f t="shared" si="391"/>
        <v>0</v>
      </c>
      <c r="AI559" s="10">
        <f t="shared" si="391"/>
        <v>0</v>
      </c>
      <c r="AJ559" s="10">
        <f t="shared" si="391"/>
        <v>0</v>
      </c>
      <c r="AK559" s="10">
        <f t="shared" si="391"/>
        <v>0</v>
      </c>
      <c r="AL559" s="10">
        <f t="shared" si="391"/>
        <v>0</v>
      </c>
      <c r="AM559" s="10">
        <f t="shared" si="391"/>
        <v>0</v>
      </c>
      <c r="AN559" s="27">
        <f t="shared" si="391"/>
        <v>20000</v>
      </c>
      <c r="AO559" s="28">
        <v>0</v>
      </c>
      <c r="AS559" t="str">
        <f>_xlfn.XLOOKUP(AU559,[2]GAE!HZ:HZ,[2]GAE!IA:IA)</f>
        <v>LEGAL</v>
      </c>
      <c r="AT559" t="str">
        <f>_xlfn.XLOOKUP(AU559,[2]GAE!HZ:HZ,[2]GAE!IB:IB)</f>
        <v>GAE - Dues &amp; Fees</v>
      </c>
      <c r="AU559" t="s">
        <v>900</v>
      </c>
      <c r="AV559">
        <v>90123101</v>
      </c>
      <c r="AW559">
        <v>61711101</v>
      </c>
      <c r="AX559" t="str">
        <f>_xlfn.XLOOKUP(AU559,[2]GAE!HZ:HZ,[2]GAE!IF:IF)</f>
        <v>Others</v>
      </c>
      <c r="AY559" t="str">
        <f>_xlfn.XLOOKUP(AU559,[2]GAE!HZ:HZ,[2]GAE!IG:IG)</f>
        <v>Dues and Fees</v>
      </c>
      <c r="BC559" t="s">
        <v>159</v>
      </c>
      <c r="BD559" t="s">
        <v>972</v>
      </c>
      <c r="BF559" t="s">
        <v>124</v>
      </c>
      <c r="BG559" s="2" t="s">
        <v>159</v>
      </c>
      <c r="BH559" s="10">
        <f>SUMIFS('[1]2026'!$K:$K,'[1]2026'!$T:$T,BD559,'[1]2026'!$S:$S,BH$3,'[1]2026'!$P:$P,AU559)</f>
        <v>19000</v>
      </c>
      <c r="BI559" s="10">
        <f>SUMIFS('[1]2026'!$K:$K,'[1]2026'!$T:$T,$BD559,'[1]2026'!$S:$S,BI$3,'[1]2026'!$P:$P,$AU559)</f>
        <v>0</v>
      </c>
      <c r="BJ559" s="10">
        <f>SUMIFS('[1]2026'!$K:$K,'[1]2026'!$T:$T,$BD559,'[1]2026'!$S:$S,BJ$3,'[1]2026'!$P:$P,$AU559)</f>
        <v>0</v>
      </c>
      <c r="BK559" s="10">
        <f>SUMIFS('[1]2026'!$K:$K,'[1]2026'!$T:$T,$BD559,'[1]2026'!$S:$S,BK$3,'[1]2026'!$P:$P,$AU559)</f>
        <v>0</v>
      </c>
      <c r="BL559" s="10">
        <f>SUMIFS('[1]2026'!$K:$K,'[1]2026'!$T:$T,$BD559,'[1]2026'!$S:$S,BL$3,'[1]2026'!$P:$P,$AU559)</f>
        <v>0</v>
      </c>
      <c r="BM559" s="10">
        <f>SUMIFS('[1]2026'!$K:$K,'[1]2026'!$T:$T,$BD559,'[1]2026'!$S:$S,BM$3,'[1]2026'!$P:$P,$AU559)</f>
        <v>0</v>
      </c>
      <c r="BN559" s="10">
        <f>SUMIFS('[1]2026'!$K:$K,'[1]2026'!$T:$T,$BD559,'[1]2026'!$S:$S,BN$3,'[1]2026'!$P:$P,$AU559)</f>
        <v>0</v>
      </c>
      <c r="BO559" s="10">
        <f>SUMIFS('[1]2026'!$K:$K,'[1]2026'!$T:$T,$BD559,'[1]2026'!$S:$S,BO$3,'[1]2026'!$P:$P,$AU559)</f>
        <v>0</v>
      </c>
      <c r="BP559" s="6"/>
      <c r="BQ559" s="6"/>
      <c r="BR559" s="6"/>
      <c r="BS559" s="6"/>
      <c r="BT559" s="6">
        <f t="shared" si="356"/>
        <v>19000</v>
      </c>
      <c r="BV559" s="6">
        <f t="shared" si="376"/>
        <v>-1000</v>
      </c>
      <c r="BW559" s="6">
        <f t="shared" si="377"/>
        <v>0</v>
      </c>
      <c r="BX559" s="6">
        <f t="shared" si="378"/>
        <v>0</v>
      </c>
      <c r="BY559" s="6">
        <f t="shared" si="379"/>
        <v>0</v>
      </c>
      <c r="BZ559" s="6">
        <f t="shared" si="380"/>
        <v>0</v>
      </c>
      <c r="CA559" s="6">
        <f t="shared" si="381"/>
        <v>0</v>
      </c>
      <c r="CB559" s="6">
        <f t="shared" si="382"/>
        <v>0</v>
      </c>
      <c r="CC559" s="6">
        <f t="shared" si="383"/>
        <v>0</v>
      </c>
      <c r="CD559" s="6">
        <f t="shared" si="384"/>
        <v>0</v>
      </c>
      <c r="CE559" s="6">
        <f t="shared" si="385"/>
        <v>0</v>
      </c>
      <c r="CF559" s="6">
        <f t="shared" si="386"/>
        <v>0</v>
      </c>
      <c r="CG559" s="6">
        <f t="shared" si="387"/>
        <v>0</v>
      </c>
      <c r="CH559" s="6">
        <f t="shared" si="348"/>
        <v>-1000</v>
      </c>
    </row>
    <row r="560" spans="1:87" hidden="1" x14ac:dyDescent="0.35">
      <c r="A560" s="3" t="s">
        <v>973</v>
      </c>
      <c r="B560" s="10">
        <v>52000</v>
      </c>
      <c r="N560" s="27">
        <f>SUM(B560:M560)</f>
        <v>52000</v>
      </c>
      <c r="AA560" s="27">
        <f>SUM(O560:Z560)</f>
        <v>0</v>
      </c>
      <c r="AB560" s="10">
        <f t="shared" si="391"/>
        <v>52000</v>
      </c>
      <c r="AC560" s="10">
        <f t="shared" si="391"/>
        <v>0</v>
      </c>
      <c r="AD560" s="10">
        <f t="shared" si="391"/>
        <v>0</v>
      </c>
      <c r="AE560" s="10">
        <f t="shared" si="391"/>
        <v>0</v>
      </c>
      <c r="AF560" s="10">
        <f t="shared" si="391"/>
        <v>0</v>
      </c>
      <c r="AG560" s="10">
        <f t="shared" si="391"/>
        <v>0</v>
      </c>
      <c r="AH560" s="10">
        <f t="shared" si="391"/>
        <v>0</v>
      </c>
      <c r="AI560" s="10">
        <f t="shared" si="391"/>
        <v>0</v>
      </c>
      <c r="AJ560" s="10">
        <f t="shared" si="391"/>
        <v>0</v>
      </c>
      <c r="AK560" s="10">
        <f t="shared" si="391"/>
        <v>0</v>
      </c>
      <c r="AL560" s="10">
        <f t="shared" si="391"/>
        <v>0</v>
      </c>
      <c r="AM560" s="10">
        <f t="shared" si="391"/>
        <v>0</v>
      </c>
      <c r="AN560" s="27">
        <f t="shared" si="391"/>
        <v>52000</v>
      </c>
      <c r="AO560" s="28">
        <v>0</v>
      </c>
      <c r="AS560" t="str">
        <f>_xlfn.XLOOKUP(AU560,[2]GAE!HZ:HZ,[2]GAE!IA:IA)</f>
        <v>LEGAL</v>
      </c>
      <c r="AT560" t="str">
        <f>_xlfn.XLOOKUP(AU560,[2]GAE!HZ:HZ,[2]GAE!IB:IB)</f>
        <v>GAE - Dues &amp; Fees</v>
      </c>
      <c r="AU560" t="s">
        <v>900</v>
      </c>
      <c r="AV560">
        <v>90123101</v>
      </c>
      <c r="AW560">
        <v>61711101</v>
      </c>
      <c r="AX560" t="str">
        <f>_xlfn.XLOOKUP(AU560,[2]GAE!HZ:HZ,[2]GAE!IF:IF)</f>
        <v>Others</v>
      </c>
      <c r="AY560" t="str">
        <f>_xlfn.XLOOKUP(AU560,[2]GAE!HZ:HZ,[2]GAE!IG:IG)</f>
        <v>Dues and Fees</v>
      </c>
      <c r="BC560" t="s">
        <v>142</v>
      </c>
      <c r="BD560" t="s">
        <v>974</v>
      </c>
      <c r="BF560" t="s">
        <v>124</v>
      </c>
      <c r="BG560" s="2" t="s">
        <v>142</v>
      </c>
      <c r="BH560" s="10">
        <f>SUMIFS('[1]2026'!$K:$K,'[1]2026'!$T:$T,BD560,'[1]2026'!$S:$S,BH$3,'[1]2026'!$P:$P,AU560)</f>
        <v>0</v>
      </c>
      <c r="BI560" s="10">
        <f>SUMIFS('[1]2026'!$K:$K,'[1]2026'!$T:$T,$BD560,'[1]2026'!$S:$S,BI$3,'[1]2026'!$P:$P,$AU560)</f>
        <v>0</v>
      </c>
      <c r="BJ560" s="6"/>
      <c r="BK560" s="10">
        <f>SUMIFS('[1]2026'!$K:$K,'[1]2026'!$T:$T,$BD560,'[1]2026'!$S:$S,BK$3,'[1]2026'!$P:$P,$AU560)</f>
        <v>0</v>
      </c>
      <c r="BL560" s="10">
        <f>SUMIFS('[1]2026'!$K:$K,'[1]2026'!$T:$T,$BD560,'[1]2026'!$S:$S,BL$3,'[1]2026'!$P:$P,$AU560)</f>
        <v>0</v>
      </c>
      <c r="BM560" s="10">
        <f>SUMIFS('[1]2026'!$K:$K,'[1]2026'!$T:$T,$BD560,'[1]2026'!$S:$S,BM$3,'[1]2026'!$P:$P,$AU560)</f>
        <v>400</v>
      </c>
      <c r="BN560" s="10">
        <f>SUMIFS('[1]2026'!$K:$K,'[1]2026'!$T:$T,$BD560,'[1]2026'!$S:$S,BN$3,'[1]2026'!$P:$P,$AU560)</f>
        <v>0</v>
      </c>
      <c r="BO560" s="10">
        <f>SUMIFS('[1]2026'!$K:$K,'[1]2026'!$T:$T,$BD560,'[1]2026'!$S:$S,BO$3,'[1]2026'!$P:$P,$AU560)</f>
        <v>0</v>
      </c>
      <c r="BP560" s="6"/>
      <c r="BQ560" s="6"/>
      <c r="BR560" s="6"/>
      <c r="BS560" s="6"/>
      <c r="BT560" s="6">
        <f t="shared" si="356"/>
        <v>400</v>
      </c>
      <c r="BV560" s="6">
        <f t="shared" si="376"/>
        <v>-52000</v>
      </c>
      <c r="BW560" s="6">
        <f t="shared" si="377"/>
        <v>0</v>
      </c>
      <c r="BX560" s="6">
        <f t="shared" si="378"/>
        <v>0</v>
      </c>
      <c r="BY560" s="6">
        <f t="shared" si="379"/>
        <v>0</v>
      </c>
      <c r="BZ560" s="6">
        <f t="shared" si="380"/>
        <v>0</v>
      </c>
      <c r="CA560" s="6">
        <f t="shared" si="381"/>
        <v>400</v>
      </c>
      <c r="CB560" s="6">
        <f t="shared" si="382"/>
        <v>0</v>
      </c>
      <c r="CC560" s="6">
        <f t="shared" si="383"/>
        <v>0</v>
      </c>
      <c r="CD560" s="6">
        <f t="shared" si="384"/>
        <v>0</v>
      </c>
      <c r="CE560" s="6">
        <f t="shared" si="385"/>
        <v>0</v>
      </c>
      <c r="CF560" s="6">
        <f t="shared" si="386"/>
        <v>0</v>
      </c>
      <c r="CG560" s="6">
        <f t="shared" si="387"/>
        <v>0</v>
      </c>
      <c r="CH560" s="6">
        <f t="shared" si="348"/>
        <v>-51600</v>
      </c>
    </row>
    <row r="561" spans="1:86" hidden="1" x14ac:dyDescent="0.35">
      <c r="A561" s="3" t="s">
        <v>975</v>
      </c>
      <c r="B561" s="10">
        <v>3000</v>
      </c>
      <c r="N561" s="27">
        <f>SUM(B561:M561)</f>
        <v>3000</v>
      </c>
      <c r="AA561" s="27">
        <f>SUM(O561:Z561)</f>
        <v>0</v>
      </c>
      <c r="AB561" s="10">
        <f t="shared" si="391"/>
        <v>3000</v>
      </c>
      <c r="AC561" s="10">
        <f t="shared" si="391"/>
        <v>0</v>
      </c>
      <c r="AD561" s="10">
        <f t="shared" si="391"/>
        <v>0</v>
      </c>
      <c r="AE561" s="10">
        <f t="shared" si="391"/>
        <v>0</v>
      </c>
      <c r="AF561" s="10">
        <f t="shared" si="391"/>
        <v>0</v>
      </c>
      <c r="AG561" s="10">
        <f t="shared" si="391"/>
        <v>0</v>
      </c>
      <c r="AH561" s="10">
        <f t="shared" si="391"/>
        <v>0</v>
      </c>
      <c r="AI561" s="10">
        <f t="shared" si="391"/>
        <v>0</v>
      </c>
      <c r="AJ561" s="10">
        <f t="shared" si="391"/>
        <v>0</v>
      </c>
      <c r="AK561" s="10">
        <f t="shared" si="391"/>
        <v>0</v>
      </c>
      <c r="AL561" s="10">
        <f t="shared" si="391"/>
        <v>0</v>
      </c>
      <c r="AM561" s="10">
        <f t="shared" si="391"/>
        <v>0</v>
      </c>
      <c r="AN561" s="27">
        <f t="shared" si="391"/>
        <v>3000</v>
      </c>
      <c r="AO561" s="28">
        <v>0</v>
      </c>
      <c r="AS561" t="str">
        <f>_xlfn.XLOOKUP(AU561,[2]GAE!HZ:HZ,[2]GAE!IA:IA)</f>
        <v>LEGAL</v>
      </c>
      <c r="AT561" t="str">
        <f>_xlfn.XLOOKUP(AU561,[2]GAE!HZ:HZ,[2]GAE!IB:IB)</f>
        <v>GAE - Dues &amp; Fees</v>
      </c>
      <c r="AU561" t="s">
        <v>900</v>
      </c>
      <c r="AV561">
        <v>90123101</v>
      </c>
      <c r="AW561">
        <v>61711101</v>
      </c>
      <c r="AX561" t="str">
        <f>_xlfn.XLOOKUP(AU561,[2]GAE!HZ:HZ,[2]GAE!IF:IF)</f>
        <v>Others</v>
      </c>
      <c r="AY561" t="str">
        <f>_xlfn.XLOOKUP(AU561,[2]GAE!HZ:HZ,[2]GAE!IG:IG)</f>
        <v>Dues and Fees</v>
      </c>
      <c r="BF561" t="s">
        <v>7</v>
      </c>
      <c r="BG561" t="s">
        <v>1251</v>
      </c>
      <c r="BH561" s="10">
        <f>SUMIFS('[1]2026'!$K:$K,'[1]2026'!$T:$T,BD561,'[1]2026'!$S:$S,BH$3,'[1]2026'!$P:$P,AU561)</f>
        <v>0</v>
      </c>
      <c r="BI561" s="10">
        <f>SUMIFS('[1]2026'!$K:$K,'[1]2026'!$T:$T,$BD561,'[1]2026'!$S:$S,BI$3,'[1]2026'!$P:$P,$AU561)</f>
        <v>0</v>
      </c>
      <c r="BJ561" s="10">
        <f>SUMIFS('[1]2026'!$K:$K,'[1]2026'!$T:$T,$BD561,'[1]2026'!$S:$S,BJ$3,'[1]2026'!$P:$P,$AU561)</f>
        <v>0</v>
      </c>
      <c r="BK561" s="10">
        <f>SUMIFS('[1]2026'!$K:$K,'[1]2026'!$T:$T,$BD561,'[1]2026'!$S:$S,BK$3,'[1]2026'!$P:$P,$AU561)</f>
        <v>0</v>
      </c>
      <c r="BL561" s="10">
        <f>SUMIFS('[1]2026'!$K:$K,'[1]2026'!$T:$T,$BD561,'[1]2026'!$S:$S,BL$3,'[1]2026'!$P:$P,$AU561)</f>
        <v>0</v>
      </c>
      <c r="BM561" s="10">
        <f>SUMIFS('[1]2026'!$K:$K,'[1]2026'!$T:$T,$BD561,'[1]2026'!$S:$S,BM$3,'[1]2026'!$P:$P,$AU561)</f>
        <v>0</v>
      </c>
      <c r="BN561" s="10">
        <f>SUMIFS('[1]2026'!$K:$K,'[1]2026'!$T:$T,$BD561,'[1]2026'!$S:$S,BN$3,'[1]2026'!$P:$P,$AU561)</f>
        <v>0</v>
      </c>
      <c r="BO561" s="10">
        <f>SUMIFS('[1]2026'!$K:$K,'[1]2026'!$T:$T,$BD561,'[1]2026'!$S:$S,BO$3,'[1]2026'!$P:$P,$AU561)</f>
        <v>0</v>
      </c>
      <c r="BP561" s="6"/>
      <c r="BQ561" s="6"/>
      <c r="BR561" s="6"/>
      <c r="BS561" s="6"/>
      <c r="BT561" s="6">
        <f t="shared" si="356"/>
        <v>0</v>
      </c>
      <c r="BV561" s="6">
        <f t="shared" si="376"/>
        <v>-3000</v>
      </c>
      <c r="BW561" s="6">
        <f t="shared" si="377"/>
        <v>0</v>
      </c>
      <c r="BX561" s="6">
        <f t="shared" si="378"/>
        <v>0</v>
      </c>
      <c r="BY561" s="6">
        <f t="shared" si="379"/>
        <v>0</v>
      </c>
      <c r="BZ561" s="6">
        <f t="shared" si="380"/>
        <v>0</v>
      </c>
      <c r="CA561" s="6">
        <f t="shared" si="381"/>
        <v>0</v>
      </c>
      <c r="CB561" s="6">
        <f t="shared" si="382"/>
        <v>0</v>
      </c>
      <c r="CC561" s="6">
        <f t="shared" si="383"/>
        <v>0</v>
      </c>
      <c r="CD561" s="6">
        <f t="shared" si="384"/>
        <v>0</v>
      </c>
      <c r="CE561" s="6">
        <f t="shared" si="385"/>
        <v>0</v>
      </c>
      <c r="CF561" s="6">
        <f t="shared" si="386"/>
        <v>0</v>
      </c>
      <c r="CG561" s="6">
        <f t="shared" si="387"/>
        <v>0</v>
      </c>
      <c r="CH561" s="6">
        <f t="shared" si="348"/>
        <v>-3000</v>
      </c>
    </row>
    <row r="562" spans="1:86" hidden="1" x14ac:dyDescent="0.35">
      <c r="AN562" s="27">
        <f>N562-AA562</f>
        <v>0</v>
      </c>
      <c r="AS562" t="str">
        <f>_xlfn.XLOOKUP(AU562,[2]GAE!HZ:HZ,[2]GAE!IA:IA)</f>
        <v>HUMAN RESOURCES</v>
      </c>
      <c r="AT562" t="str">
        <f>_xlfn.XLOOKUP(AU562,[2]GAE!HZ:HZ,[2]GAE!IB:IB)</f>
        <v>GAE - Dues &amp; Fees</v>
      </c>
      <c r="AU562" t="s">
        <v>896</v>
      </c>
      <c r="AV562">
        <v>90122101</v>
      </c>
      <c r="AW562">
        <v>61711101</v>
      </c>
      <c r="AX562" t="str">
        <f>_xlfn.XLOOKUP(AU562,[2]GAE!HZ:HZ,[2]GAE!IF:IF)</f>
        <v>Others</v>
      </c>
      <c r="AY562" t="str">
        <f>_xlfn.XLOOKUP(AU562,[2]GAE!HZ:HZ,[2]GAE!IG:IG)</f>
        <v>Dues and Fees</v>
      </c>
      <c r="BC562" t="s">
        <v>160</v>
      </c>
      <c r="BD562" t="s">
        <v>976</v>
      </c>
      <c r="BF562" t="s">
        <v>124</v>
      </c>
      <c r="BG562" s="2" t="s">
        <v>160</v>
      </c>
      <c r="BH562" s="10">
        <f>SUMIFS('[1]2026'!$K:$K,'[1]2026'!$T:$T,BD562,'[1]2026'!$S:$S,BH$3,'[1]2026'!$P:$P,AU562)</f>
        <v>50000</v>
      </c>
      <c r="BI562" s="10">
        <f>SUMIFS('[1]2026'!$K:$K,'[1]2026'!$T:$T,$BD562,'[1]2026'!$S:$S,BI$3,'[1]2026'!$P:$P,$AU562)</f>
        <v>0</v>
      </c>
      <c r="BJ562" s="10">
        <f>SUMIFS('[1]2026'!$K:$K,'[1]2026'!$T:$T,$BD562,'[1]2026'!$S:$S,BJ$3,'[1]2026'!$P:$P,$AU562)</f>
        <v>0</v>
      </c>
      <c r="BK562" s="10">
        <f>SUMIFS('[1]2026'!$K:$K,'[1]2026'!$T:$T,$BD562,'[1]2026'!$S:$S,BK$3,'[1]2026'!$P:$P,$AU562)</f>
        <v>0</v>
      </c>
      <c r="BL562" s="10">
        <f>SUMIFS('[1]2026'!$K:$K,'[1]2026'!$T:$T,$BD562,'[1]2026'!$S:$S,BL$3,'[1]2026'!$P:$P,$AU562)</f>
        <v>0</v>
      </c>
      <c r="BM562" s="10">
        <f>SUMIFS('[1]2026'!$K:$K,'[1]2026'!$T:$T,$BD562,'[1]2026'!$S:$S,BM$3,'[1]2026'!$P:$P,$AU562)</f>
        <v>0</v>
      </c>
      <c r="BN562" s="10">
        <f>SUMIFS('[1]2026'!$K:$K,'[1]2026'!$T:$T,$BD562,'[1]2026'!$S:$S,BN$3,'[1]2026'!$P:$P,$AU562)</f>
        <v>0</v>
      </c>
      <c r="BO562" s="10">
        <f>SUMIFS('[1]2026'!$K:$K,'[1]2026'!$T:$T,$BD562,'[1]2026'!$S:$S,BO$3,'[1]2026'!$P:$P,$AU562)</f>
        <v>0</v>
      </c>
      <c r="BP562" s="6"/>
      <c r="BQ562" s="6"/>
      <c r="BR562" s="6"/>
      <c r="BS562" s="6"/>
      <c r="BT562" s="6">
        <f t="shared" si="356"/>
        <v>50000</v>
      </c>
      <c r="BV562" s="6">
        <f t="shared" si="376"/>
        <v>50000</v>
      </c>
      <c r="BW562" s="6">
        <f t="shared" si="377"/>
        <v>0</v>
      </c>
      <c r="BX562" s="6">
        <f t="shared" si="378"/>
        <v>0</v>
      </c>
      <c r="BY562" s="6">
        <f t="shared" si="379"/>
        <v>0</v>
      </c>
      <c r="BZ562" s="6">
        <f t="shared" si="380"/>
        <v>0</v>
      </c>
      <c r="CA562" s="6">
        <f t="shared" si="381"/>
        <v>0</v>
      </c>
      <c r="CB562" s="6">
        <f t="shared" si="382"/>
        <v>0</v>
      </c>
      <c r="CC562" s="6">
        <f t="shared" si="383"/>
        <v>0</v>
      </c>
      <c r="CD562" s="6">
        <f t="shared" si="384"/>
        <v>0</v>
      </c>
      <c r="CE562" s="6">
        <f t="shared" si="385"/>
        <v>0</v>
      </c>
      <c r="CF562" s="6">
        <f t="shared" si="386"/>
        <v>0</v>
      </c>
      <c r="CG562" s="6">
        <f t="shared" si="387"/>
        <v>0</v>
      </c>
      <c r="CH562" s="6">
        <f t="shared" si="348"/>
        <v>50000</v>
      </c>
    </row>
    <row r="563" spans="1:86" hidden="1" x14ac:dyDescent="0.35">
      <c r="A563" s="3" t="s">
        <v>977</v>
      </c>
      <c r="B563" s="10">
        <v>416666.66666666669</v>
      </c>
      <c r="C563" s="10">
        <v>416666.66666666669</v>
      </c>
      <c r="D563" s="10">
        <v>416666.66666666669</v>
      </c>
      <c r="E563" s="10">
        <v>416666.66666666669</v>
      </c>
      <c r="F563" s="10">
        <v>416666.66666666669</v>
      </c>
      <c r="G563" s="10">
        <v>416666.66666666669</v>
      </c>
      <c r="H563" s="10">
        <v>416666.66666666669</v>
      </c>
      <c r="I563" s="10">
        <v>416666.66666666669</v>
      </c>
      <c r="J563" s="10">
        <v>416666.66666666669</v>
      </c>
      <c r="K563" s="10">
        <v>416666.66666666669</v>
      </c>
      <c r="L563" s="10">
        <v>416666.66666666669</v>
      </c>
      <c r="M563" s="10">
        <v>416666.66666666669</v>
      </c>
      <c r="N563" s="27">
        <f t="shared" ref="N563:N609" si="392">SUM(B563:M563)</f>
        <v>5000000</v>
      </c>
      <c r="O563" s="10">
        <v>274754.91666666587</v>
      </c>
      <c r="P563" s="10">
        <v>274754.91666666587</v>
      </c>
      <c r="Q563" s="10">
        <v>274754.91666666587</v>
      </c>
      <c r="R563" s="10">
        <v>274754.91666666587</v>
      </c>
      <c r="S563" s="10">
        <v>274754.91666666587</v>
      </c>
      <c r="T563" s="10">
        <v>274754.91666666587</v>
      </c>
      <c r="U563" s="10">
        <v>274754.91666666587</v>
      </c>
      <c r="V563" s="10">
        <v>274754.91666666587</v>
      </c>
      <c r="W563" s="10">
        <v>274754.91666666587</v>
      </c>
      <c r="X563" s="10">
        <v>274754.91666666587</v>
      </c>
      <c r="Y563" s="10">
        <v>274754.91666666587</v>
      </c>
      <c r="Z563" s="10">
        <v>274754.91666666587</v>
      </c>
      <c r="AA563" s="27">
        <f t="shared" ref="AA563:AA609" si="393">SUM(O563:Z563)</f>
        <v>3297058.9999999912</v>
      </c>
      <c r="AB563" s="10">
        <f t="shared" ref="AB563:AN582" si="394">B563-O563</f>
        <v>141911.75000000081</v>
      </c>
      <c r="AC563" s="10">
        <f t="shared" si="394"/>
        <v>141911.75000000081</v>
      </c>
      <c r="AD563" s="10">
        <f t="shared" si="394"/>
        <v>141911.75000000081</v>
      </c>
      <c r="AE563" s="10">
        <f t="shared" si="394"/>
        <v>141911.75000000081</v>
      </c>
      <c r="AF563" s="10">
        <f t="shared" si="394"/>
        <v>141911.75000000081</v>
      </c>
      <c r="AG563" s="10">
        <f t="shared" si="394"/>
        <v>141911.75000000081</v>
      </c>
      <c r="AH563" s="10">
        <f t="shared" si="394"/>
        <v>141911.75000000081</v>
      </c>
      <c r="AI563" s="10">
        <f t="shared" si="394"/>
        <v>141911.75000000081</v>
      </c>
      <c r="AJ563" s="10">
        <f t="shared" si="394"/>
        <v>141911.75000000081</v>
      </c>
      <c r="AK563" s="10">
        <f t="shared" si="394"/>
        <v>141911.75000000081</v>
      </c>
      <c r="AL563" s="10">
        <f t="shared" si="394"/>
        <v>141911.75000000081</v>
      </c>
      <c r="AM563" s="10">
        <f t="shared" si="394"/>
        <v>141911.75000000081</v>
      </c>
      <c r="AN563" s="27">
        <f t="shared" si="394"/>
        <v>1702941.0000000088</v>
      </c>
      <c r="AO563" s="28">
        <v>5090420.0000000093</v>
      </c>
      <c r="AS563" t="str">
        <f>_xlfn.XLOOKUP(AU563,[2]GAE!HZ:HZ,[2]GAE!IA:IA)</f>
        <v>LEGAL</v>
      </c>
      <c r="AT563" t="str">
        <f>_xlfn.XLOOKUP(AU563,[2]GAE!HZ:HZ,[2]GAE!IB:IB)</f>
        <v>GAE - Prof. Fees - Legal</v>
      </c>
      <c r="AU563" t="s">
        <v>978</v>
      </c>
      <c r="AV563">
        <v>80123101</v>
      </c>
      <c r="AW563">
        <v>61071002</v>
      </c>
      <c r="AX563" t="str">
        <f>_xlfn.XLOOKUP(AU563,[2]GAE!HZ:HZ,[2]GAE!IF:IF)</f>
        <v>Professional fees</v>
      </c>
      <c r="AY563" t="str">
        <f>_xlfn.XLOOKUP(AU563,[2]GAE!HZ:HZ,[2]GAE!IG:IG)</f>
        <v>Open Cases</v>
      </c>
      <c r="BA563" t="s">
        <v>349</v>
      </c>
      <c r="BC563" t="s">
        <v>162</v>
      </c>
      <c r="BD563" t="s">
        <v>162</v>
      </c>
      <c r="BF563" t="s">
        <v>161</v>
      </c>
      <c r="BG563" s="2" t="s">
        <v>162</v>
      </c>
      <c r="BH563" s="10">
        <f>SUMIFS('[1]2026'!$K:$K,'[1]2026'!$T:$T,BD563,'[1]2026'!$S:$S,BH$3,'[1]2026'!$P:$P,AU563)</f>
        <v>3018048</v>
      </c>
      <c r="BI563" s="10">
        <f>SUMIFS('[1]2026'!$K:$K,'[1]2026'!$T:$T,$BD563,'[1]2026'!$S:$S,BI$3,'[1]2026'!$P:$P,$AU563)</f>
        <v>-1500</v>
      </c>
      <c r="BJ563" s="10">
        <f>SUMIFS('[1]2026'!$K:$K,'[1]2026'!$T:$T,$BD563,'[1]2026'!$S:$S,BJ$3,'[1]2026'!$P:$P,$AU563)</f>
        <v>68343.600000000093</v>
      </c>
      <c r="BK563" s="10">
        <f>SUMIFS('[1]2026'!$K:$K,'[1]2026'!$T:$T,$BD563,'[1]2026'!$S:$S,BK$3,'[1]2026'!$P:$P,$AU563)</f>
        <v>10898.610000000002</v>
      </c>
      <c r="BL563" s="10">
        <f>SUMIFS('[1]2026'!$K:$K,'[1]2026'!$T:$T,$BD563,'[1]2026'!$S:$S,BL$3,'[1]2026'!$P:$P,$AU563)</f>
        <v>6352</v>
      </c>
      <c r="BM563" s="10">
        <f>SUMIFS('[1]2026'!$K:$K,'[1]2026'!$T:$T,$BD563,'[1]2026'!$S:$S,BM$3,'[1]2026'!$P:$P,$AU563)</f>
        <v>307054.8</v>
      </c>
      <c r="BN563" s="10">
        <f>SUMIFS('[1]2026'!$K:$K,'[1]2026'!$T:$T,$BD563,'[1]2026'!$S:$S,BN$3,'[1]2026'!$P:$P,$AU563)</f>
        <v>14868.75</v>
      </c>
      <c r="BO563" s="10">
        <f>SUMIFS('[1]2026'!$K:$K,'[1]2026'!$T:$T,$BD563,'[1]2026'!$S:$S,BO$3,'[1]2026'!$P:$P,$AU563)</f>
        <v>41277.599999999999</v>
      </c>
      <c r="BP563" s="6">
        <f t="shared" ref="BP563:BS566" si="395">BO563</f>
        <v>41277.599999999999</v>
      </c>
      <c r="BQ563" s="6">
        <f t="shared" si="395"/>
        <v>41277.599999999999</v>
      </c>
      <c r="BR563" s="6">
        <f t="shared" si="395"/>
        <v>41277.599999999999</v>
      </c>
      <c r="BS563" s="6">
        <f t="shared" si="395"/>
        <v>41277.599999999999</v>
      </c>
      <c r="BT563" s="6">
        <f t="shared" si="356"/>
        <v>3630453.7600000002</v>
      </c>
      <c r="BV563" s="6">
        <f t="shared" si="376"/>
        <v>2876136.2499999991</v>
      </c>
      <c r="BW563" s="6">
        <f t="shared" si="377"/>
        <v>-143411.75000000081</v>
      </c>
      <c r="BX563" s="6">
        <f t="shared" si="378"/>
        <v>-73568.150000000722</v>
      </c>
      <c r="BY563" s="6">
        <f t="shared" si="379"/>
        <v>-131013.14000000081</v>
      </c>
      <c r="BZ563" s="6">
        <f t="shared" si="380"/>
        <v>-135559.75000000081</v>
      </c>
      <c r="CA563" s="6">
        <f t="shared" si="381"/>
        <v>165143.04999999917</v>
      </c>
      <c r="CB563" s="6">
        <f t="shared" si="382"/>
        <v>-127043.00000000081</v>
      </c>
      <c r="CC563" s="6">
        <f t="shared" si="383"/>
        <v>-100634.15000000081</v>
      </c>
      <c r="CD563" s="6">
        <f t="shared" si="384"/>
        <v>-100634.15000000081</v>
      </c>
      <c r="CE563" s="6">
        <f t="shared" si="385"/>
        <v>-100634.15000000081</v>
      </c>
      <c r="CF563" s="6">
        <f t="shared" si="386"/>
        <v>-100634.15000000081</v>
      </c>
      <c r="CG563" s="6">
        <f t="shared" si="387"/>
        <v>-100634.15000000081</v>
      </c>
      <c r="CH563" s="6">
        <f t="shared" si="348"/>
        <v>1927512.7599999914</v>
      </c>
    </row>
    <row r="564" spans="1:86" hidden="1" x14ac:dyDescent="0.35">
      <c r="A564" s="3" t="s">
        <v>979</v>
      </c>
      <c r="B564" s="10">
        <v>50000</v>
      </c>
      <c r="C564" s="10">
        <v>50000</v>
      </c>
      <c r="D564" s="10">
        <v>50000</v>
      </c>
      <c r="E564" s="10">
        <v>50000</v>
      </c>
      <c r="F564" s="10">
        <v>50000</v>
      </c>
      <c r="G564" s="10">
        <v>50000</v>
      </c>
      <c r="H564" s="10">
        <v>50000</v>
      </c>
      <c r="I564" s="10">
        <v>50000</v>
      </c>
      <c r="J564" s="10">
        <v>50000</v>
      </c>
      <c r="K564" s="10">
        <v>50000</v>
      </c>
      <c r="L564" s="10">
        <v>50000</v>
      </c>
      <c r="M564" s="10">
        <v>50000</v>
      </c>
      <c r="N564" s="27">
        <f t="shared" si="392"/>
        <v>600000</v>
      </c>
      <c r="AA564" s="27">
        <f t="shared" si="393"/>
        <v>0</v>
      </c>
      <c r="AB564" s="10">
        <f t="shared" si="394"/>
        <v>50000</v>
      </c>
      <c r="AC564" s="10">
        <f t="shared" si="394"/>
        <v>50000</v>
      </c>
      <c r="AD564" s="10">
        <f t="shared" si="394"/>
        <v>50000</v>
      </c>
      <c r="AE564" s="10">
        <f t="shared" si="394"/>
        <v>50000</v>
      </c>
      <c r="AF564" s="10">
        <f t="shared" si="394"/>
        <v>50000</v>
      </c>
      <c r="AG564" s="10">
        <f t="shared" si="394"/>
        <v>50000</v>
      </c>
      <c r="AH564" s="10">
        <f t="shared" si="394"/>
        <v>50000</v>
      </c>
      <c r="AI564" s="10">
        <f t="shared" si="394"/>
        <v>50000</v>
      </c>
      <c r="AJ564" s="10">
        <f t="shared" si="394"/>
        <v>50000</v>
      </c>
      <c r="AK564" s="10">
        <f t="shared" si="394"/>
        <v>50000</v>
      </c>
      <c r="AL564" s="10">
        <f t="shared" si="394"/>
        <v>50000</v>
      </c>
      <c r="AM564" s="10">
        <f t="shared" si="394"/>
        <v>50000</v>
      </c>
      <c r="AN564" s="27">
        <f t="shared" si="394"/>
        <v>600000</v>
      </c>
      <c r="AS564" t="str">
        <f>_xlfn.XLOOKUP(AU564,[2]GAE!HZ:HZ,[2]GAE!IA:IA)</f>
        <v>LEGAL</v>
      </c>
      <c r="AT564" t="str">
        <f>_xlfn.XLOOKUP(AU564,[2]GAE!HZ:HZ,[2]GAE!IB:IB)</f>
        <v>GAE - Prof. Fees - Legal</v>
      </c>
      <c r="AU564" t="s">
        <v>980</v>
      </c>
      <c r="AV564">
        <v>90123101</v>
      </c>
      <c r="AW564">
        <v>61071002</v>
      </c>
      <c r="AX564" t="str">
        <f>_xlfn.XLOOKUP(AU564,[2]GAE!HZ:HZ,[2]GAE!IF:IF)</f>
        <v>Professional fees</v>
      </c>
      <c r="AY564" t="str">
        <f>_xlfn.XLOOKUP(AU564,[2]GAE!HZ:HZ,[2]GAE!IG:IG)</f>
        <v>Open Cases</v>
      </c>
      <c r="BC564" t="s">
        <v>162</v>
      </c>
      <c r="BD564" t="s">
        <v>162</v>
      </c>
      <c r="BF564" t="s">
        <v>161</v>
      </c>
      <c r="BG564" s="2" t="s">
        <v>162</v>
      </c>
      <c r="BH564" s="10">
        <f>SUMIFS('[1]2026'!$K:$K,'[1]2026'!$T:$T,BD564,'[1]2026'!$S:$S,BH$3,'[1]2026'!$P:$P,AU564)</f>
        <v>265000</v>
      </c>
      <c r="BI564" s="10">
        <f>SUMIFS('[1]2026'!$K:$K,'[1]2026'!$T:$T,$BD564,'[1]2026'!$S:$S,BI$3,'[1]2026'!$P:$P,$AU564)</f>
        <v>107550</v>
      </c>
      <c r="BJ564" s="10">
        <f>SUMIFS('[1]2026'!$K:$K,'[1]2026'!$T:$T,$BD564,'[1]2026'!$S:$S,BJ$3,'[1]2026'!$P:$P,$AU564)</f>
        <v>0</v>
      </c>
      <c r="BK564" s="10">
        <f>SUMIFS('[1]2026'!$K:$K,'[1]2026'!$T:$T,$BD564,'[1]2026'!$S:$S,BK$3,'[1]2026'!$P:$P,$AU564)</f>
        <v>0</v>
      </c>
      <c r="BL564" s="10">
        <f>SUMIFS('[1]2026'!$K:$K,'[1]2026'!$T:$T,$BD564,'[1]2026'!$S:$S,BL$3,'[1]2026'!$P:$P,$AU564)</f>
        <v>0</v>
      </c>
      <c r="BM564" s="10">
        <f>SUMIFS('[1]2026'!$K:$K,'[1]2026'!$T:$T,$BD564,'[1]2026'!$S:$S,BM$3,'[1]2026'!$P:$P,$AU564)</f>
        <v>200000</v>
      </c>
      <c r="BN564" s="10">
        <f>SUMIFS('[1]2026'!$K:$K,'[1]2026'!$T:$T,$BD564,'[1]2026'!$S:$S,BN$3,'[1]2026'!$P:$P,$AU564)</f>
        <v>0</v>
      </c>
      <c r="BO564" s="10">
        <f>SUMIFS('[1]2026'!$K:$K,'[1]2026'!$T:$T,$BD564,'[1]2026'!$S:$S,BO$3,'[1]2026'!$P:$P,$AU564)</f>
        <v>0</v>
      </c>
      <c r="BP564" s="6">
        <f t="shared" si="395"/>
        <v>0</v>
      </c>
      <c r="BQ564" s="6">
        <f t="shared" si="395"/>
        <v>0</v>
      </c>
      <c r="BR564" s="6">
        <f t="shared" si="395"/>
        <v>0</v>
      </c>
      <c r="BS564" s="6">
        <f t="shared" si="395"/>
        <v>0</v>
      </c>
      <c r="BT564" s="6">
        <f t="shared" si="356"/>
        <v>572550</v>
      </c>
      <c r="BV564" s="6">
        <f t="shared" si="376"/>
        <v>215000</v>
      </c>
      <c r="BW564" s="6">
        <f t="shared" si="377"/>
        <v>57550</v>
      </c>
      <c r="BX564" s="6">
        <f t="shared" si="378"/>
        <v>-50000</v>
      </c>
      <c r="BY564" s="6">
        <f t="shared" si="379"/>
        <v>-50000</v>
      </c>
      <c r="BZ564" s="6">
        <f t="shared" si="380"/>
        <v>-50000</v>
      </c>
      <c r="CA564" s="6">
        <f t="shared" si="381"/>
        <v>150000</v>
      </c>
      <c r="CB564" s="6">
        <f t="shared" si="382"/>
        <v>-50000</v>
      </c>
      <c r="CC564" s="6">
        <f t="shared" si="383"/>
        <v>-50000</v>
      </c>
      <c r="CD564" s="6">
        <f t="shared" si="384"/>
        <v>-50000</v>
      </c>
      <c r="CE564" s="6">
        <f t="shared" si="385"/>
        <v>-50000</v>
      </c>
      <c r="CF564" s="6">
        <f t="shared" si="386"/>
        <v>-50000</v>
      </c>
      <c r="CG564" s="6">
        <f t="shared" si="387"/>
        <v>-50000</v>
      </c>
      <c r="CH564" s="6">
        <f t="shared" si="348"/>
        <v>-27450</v>
      </c>
    </row>
    <row r="565" spans="1:86" hidden="1" x14ac:dyDescent="0.35">
      <c r="A565" s="3" t="s">
        <v>979</v>
      </c>
      <c r="B565" s="10">
        <v>125000</v>
      </c>
      <c r="C565" s="10">
        <v>125000</v>
      </c>
      <c r="D565" s="10">
        <v>125000</v>
      </c>
      <c r="E565" s="10">
        <v>125000</v>
      </c>
      <c r="F565" s="10">
        <v>125000</v>
      </c>
      <c r="G565" s="10">
        <v>125000</v>
      </c>
      <c r="H565" s="10">
        <v>125000</v>
      </c>
      <c r="I565" s="10">
        <v>125000</v>
      </c>
      <c r="J565" s="10">
        <v>125000</v>
      </c>
      <c r="K565" s="10">
        <v>125000</v>
      </c>
      <c r="L565" s="10">
        <v>125000</v>
      </c>
      <c r="M565" s="10">
        <v>125000</v>
      </c>
      <c r="N565" s="27">
        <f t="shared" si="392"/>
        <v>1500000</v>
      </c>
      <c r="AA565" s="27">
        <f t="shared" si="393"/>
        <v>0</v>
      </c>
      <c r="AB565" s="10">
        <f t="shared" si="394"/>
        <v>125000</v>
      </c>
      <c r="AC565" s="10">
        <f t="shared" si="394"/>
        <v>125000</v>
      </c>
      <c r="AD565" s="10">
        <f t="shared" si="394"/>
        <v>125000</v>
      </c>
      <c r="AE565" s="10">
        <f t="shared" si="394"/>
        <v>125000</v>
      </c>
      <c r="AF565" s="10">
        <f t="shared" si="394"/>
        <v>125000</v>
      </c>
      <c r="AG565" s="10">
        <f t="shared" si="394"/>
        <v>125000</v>
      </c>
      <c r="AH565" s="10">
        <f t="shared" si="394"/>
        <v>125000</v>
      </c>
      <c r="AI565" s="10">
        <f t="shared" si="394"/>
        <v>125000</v>
      </c>
      <c r="AJ565" s="10">
        <f t="shared" si="394"/>
        <v>125000</v>
      </c>
      <c r="AK565" s="10">
        <f t="shared" si="394"/>
        <v>125000</v>
      </c>
      <c r="AL565" s="10">
        <f t="shared" si="394"/>
        <v>125000</v>
      </c>
      <c r="AM565" s="10">
        <f t="shared" si="394"/>
        <v>125000</v>
      </c>
      <c r="AN565" s="27">
        <f t="shared" si="394"/>
        <v>1500000</v>
      </c>
      <c r="AS565" t="str">
        <f>_xlfn.XLOOKUP(AU565,[2]GAE!HZ:HZ,[2]GAE!IA:IA)</f>
        <v>LEGAL</v>
      </c>
      <c r="AT565" t="str">
        <f>_xlfn.XLOOKUP(AU565,[2]GAE!HZ:HZ,[2]GAE!IB:IB)</f>
        <v>DOE - Prof. Fees - Legal</v>
      </c>
      <c r="AU565" t="s">
        <v>981</v>
      </c>
      <c r="AV565">
        <v>81123101</v>
      </c>
      <c r="AW565">
        <v>52071102</v>
      </c>
      <c r="AX565" t="str">
        <f>_xlfn.XLOOKUP(AU565,[2]GAE!HZ:HZ,[2]GAE!IF:IF)</f>
        <v>Professional fees</v>
      </c>
      <c r="AY565" t="str">
        <f>_xlfn.XLOOKUP(AU565,[2]GAE!HZ:HZ,[2]GAE!IG:IG)</f>
        <v>Open Cases</v>
      </c>
      <c r="BC565" t="s">
        <v>162</v>
      </c>
      <c r="BD565" t="s">
        <v>162</v>
      </c>
      <c r="BF565" t="s">
        <v>161</v>
      </c>
      <c r="BG565" s="2" t="s">
        <v>162</v>
      </c>
      <c r="BH565" s="10">
        <f>SUMIFS('[1]2026'!$K:$K,'[1]2026'!$T:$T,BD565,'[1]2026'!$S:$S,BH$3,'[1]2026'!$P:$P,AU565)</f>
        <v>0</v>
      </c>
      <c r="BI565" s="10">
        <f>SUMIFS('[1]2026'!$K:$K,'[1]2026'!$T:$T,$BD565,'[1]2026'!$S:$S,BI$3,'[1]2026'!$P:$P,$AU565)</f>
        <v>0</v>
      </c>
      <c r="BJ565" s="10">
        <f>SUMIFS('[1]2026'!$K:$K,'[1]2026'!$T:$T,$BD565,'[1]2026'!$S:$S,BJ$3,'[1]2026'!$P:$P,$AU565)</f>
        <v>529090</v>
      </c>
      <c r="BK565" s="10">
        <f>SUMIFS('[1]2026'!$K:$K,'[1]2026'!$T:$T,$BD565,'[1]2026'!$S:$S,BK$3,'[1]2026'!$P:$P,$AU565)</f>
        <v>75000</v>
      </c>
      <c r="BL565" s="10">
        <f>SUMIFS('[1]2026'!$K:$K,'[1]2026'!$T:$T,$BD565,'[1]2026'!$S:$S,BL$3,'[1]2026'!$P:$P,$AU565)</f>
        <v>85150</v>
      </c>
      <c r="BM565" s="10">
        <f>SUMIFS('[1]2026'!$K:$K,'[1]2026'!$T:$T,$BD565,'[1]2026'!$S:$S,BM$3,'[1]2026'!$P:$P,$AU565)</f>
        <v>6995</v>
      </c>
      <c r="BN565" s="10">
        <f>SUMIFS('[1]2026'!$K:$K,'[1]2026'!$T:$T,$BD565,'[1]2026'!$S:$S,BN$3,'[1]2026'!$P:$P,$AU565)</f>
        <v>10600</v>
      </c>
      <c r="BO565" s="10">
        <f>SUMIFS('[1]2026'!$K:$K,'[1]2026'!$T:$T,$BD565,'[1]2026'!$S:$S,BO$3,'[1]2026'!$P:$P,$AU565)</f>
        <v>0</v>
      </c>
      <c r="BP565" s="6">
        <f t="shared" si="395"/>
        <v>0</v>
      </c>
      <c r="BQ565" s="6">
        <f t="shared" si="395"/>
        <v>0</v>
      </c>
      <c r="BR565" s="6">
        <f t="shared" si="395"/>
        <v>0</v>
      </c>
      <c r="BS565" s="6">
        <f t="shared" si="395"/>
        <v>0</v>
      </c>
      <c r="BT565" s="6">
        <f t="shared" si="356"/>
        <v>706835</v>
      </c>
      <c r="BV565" s="6">
        <f t="shared" si="376"/>
        <v>-125000</v>
      </c>
      <c r="BW565" s="6">
        <f t="shared" si="377"/>
        <v>-125000</v>
      </c>
      <c r="BX565" s="6">
        <f t="shared" si="378"/>
        <v>404090</v>
      </c>
      <c r="BY565" s="6">
        <f t="shared" si="379"/>
        <v>-50000</v>
      </c>
      <c r="BZ565" s="6">
        <f t="shared" si="380"/>
        <v>-39850</v>
      </c>
      <c r="CA565" s="6">
        <f t="shared" si="381"/>
        <v>-118005</v>
      </c>
      <c r="CB565" s="6">
        <f t="shared" si="382"/>
        <v>-114400</v>
      </c>
      <c r="CC565" s="6">
        <f t="shared" si="383"/>
        <v>-125000</v>
      </c>
      <c r="CD565" s="6">
        <f t="shared" si="384"/>
        <v>-125000</v>
      </c>
      <c r="CE565" s="6">
        <f t="shared" si="385"/>
        <v>-125000</v>
      </c>
      <c r="CF565" s="6">
        <f t="shared" si="386"/>
        <v>-125000</v>
      </c>
      <c r="CG565" s="6">
        <f t="shared" si="387"/>
        <v>-125000</v>
      </c>
      <c r="CH565" s="6">
        <f t="shared" ref="CH565:CH628" si="396">BT565-AN565</f>
        <v>-793165</v>
      </c>
    </row>
    <row r="566" spans="1:86" hidden="1" x14ac:dyDescent="0.35">
      <c r="A566" s="3" t="s">
        <v>982</v>
      </c>
      <c r="B566" s="10">
        <v>79166.666666666672</v>
      </c>
      <c r="C566" s="10">
        <v>79166.666666666672</v>
      </c>
      <c r="D566" s="10">
        <v>79166.666666666672</v>
      </c>
      <c r="E566" s="10">
        <v>79166.666666666672</v>
      </c>
      <c r="F566" s="10">
        <v>79166.666666666672</v>
      </c>
      <c r="G566" s="10">
        <v>79166.666666666672</v>
      </c>
      <c r="H566" s="10">
        <v>79166.666666666672</v>
      </c>
      <c r="I566" s="10">
        <v>79166.666666666672</v>
      </c>
      <c r="J566" s="10">
        <v>79166.666666666672</v>
      </c>
      <c r="K566" s="10">
        <v>79166.666666666672</v>
      </c>
      <c r="L566" s="10">
        <v>79166.666666666672</v>
      </c>
      <c r="M566" s="10">
        <v>79166.666666666672</v>
      </c>
      <c r="N566" s="27">
        <f t="shared" si="392"/>
        <v>949999.99999999988</v>
      </c>
      <c r="AA566" s="27">
        <f t="shared" si="393"/>
        <v>0</v>
      </c>
      <c r="AB566" s="10">
        <f t="shared" si="394"/>
        <v>79166.666666666672</v>
      </c>
      <c r="AC566" s="10">
        <f t="shared" si="394"/>
        <v>79166.666666666672</v>
      </c>
      <c r="AD566" s="10">
        <f t="shared" si="394"/>
        <v>79166.666666666672</v>
      </c>
      <c r="AE566" s="10">
        <f t="shared" si="394"/>
        <v>79166.666666666672</v>
      </c>
      <c r="AF566" s="10">
        <f t="shared" si="394"/>
        <v>79166.666666666672</v>
      </c>
      <c r="AG566" s="10">
        <f t="shared" si="394"/>
        <v>79166.666666666672</v>
      </c>
      <c r="AH566" s="10">
        <f t="shared" si="394"/>
        <v>79166.666666666672</v>
      </c>
      <c r="AI566" s="10">
        <f t="shared" si="394"/>
        <v>79166.666666666672</v>
      </c>
      <c r="AJ566" s="10">
        <f t="shared" si="394"/>
        <v>79166.666666666672</v>
      </c>
      <c r="AK566" s="10">
        <f t="shared" si="394"/>
        <v>79166.666666666672</v>
      </c>
      <c r="AL566" s="10">
        <f t="shared" si="394"/>
        <v>79166.666666666672</v>
      </c>
      <c r="AM566" s="10">
        <f t="shared" si="394"/>
        <v>79166.666666666672</v>
      </c>
      <c r="AN566" s="27">
        <f t="shared" si="394"/>
        <v>949999.99999999988</v>
      </c>
      <c r="AS566" t="str">
        <f>_xlfn.XLOOKUP(AU566,[2]GAE!HZ:HZ,[2]GAE!IA:IA)</f>
        <v>LEGAL</v>
      </c>
      <c r="AT566" t="str">
        <f>_xlfn.XLOOKUP(AU566,[2]GAE!HZ:HZ,[2]GAE!IB:IB)</f>
        <v>GAE - Prof. Fees - Legal</v>
      </c>
      <c r="AU566" t="s">
        <v>978</v>
      </c>
      <c r="AV566">
        <v>80123101</v>
      </c>
      <c r="AW566">
        <v>61071002</v>
      </c>
      <c r="AX566" t="str">
        <f>_xlfn.XLOOKUP(AU566,[2]GAE!HZ:HZ,[2]GAE!IF:IF)</f>
        <v>Professional fees</v>
      </c>
      <c r="AY566" t="str">
        <f>_xlfn.XLOOKUP(AU566,[2]GAE!HZ:HZ,[2]GAE!IG:IG)</f>
        <v>Open Cases</v>
      </c>
      <c r="BF566" t="s">
        <v>161</v>
      </c>
      <c r="BG566" s="2" t="s">
        <v>162</v>
      </c>
      <c r="BH566" s="10">
        <f>SUMIFS('[1]2026'!$K:$K,'[1]2026'!$T:$T,BD566,'[1]2026'!$S:$S,BH$3,'[1]2026'!$P:$P,AU566)</f>
        <v>0</v>
      </c>
      <c r="BI566" s="10">
        <f>SUMIFS('[1]2026'!$K:$K,'[1]2026'!$T:$T,$BD566,'[1]2026'!$S:$S,BI$3,'[1]2026'!$P:$P,$AU566)</f>
        <v>0</v>
      </c>
      <c r="BJ566" s="10">
        <f>SUMIFS('[1]2026'!$K:$K,'[1]2026'!$T:$T,$BD566,'[1]2026'!$S:$S,BJ$3,'[1]2026'!$P:$P,$AU566)</f>
        <v>0</v>
      </c>
      <c r="BK566" s="10">
        <f>SUMIFS('[1]2026'!$K:$K,'[1]2026'!$T:$T,$BD566,'[1]2026'!$S:$S,BK$3,'[1]2026'!$P:$P,$AU566)</f>
        <v>0</v>
      </c>
      <c r="BL566" s="6"/>
      <c r="BM566" s="10">
        <f>SUMIFS('[1]2026'!$K:$K,'[1]2026'!$T:$T,$BD566,'[1]2026'!$S:$S,BM$3,'[1]2026'!$P:$P,$AU566)</f>
        <v>0</v>
      </c>
      <c r="BN566" s="10">
        <f>SUMIFS('[1]2026'!$K:$K,'[1]2026'!$T:$T,$BD566,'[1]2026'!$S:$S,BN$3,'[1]2026'!$P:$P,$AU566)</f>
        <v>0</v>
      </c>
      <c r="BO566" s="10">
        <f>SUMIFS('[1]2026'!$K:$K,'[1]2026'!$T:$T,$BD566,'[1]2026'!$S:$S,BO$3,'[1]2026'!$P:$P,$AU566)</f>
        <v>0</v>
      </c>
      <c r="BP566" s="6">
        <f t="shared" si="395"/>
        <v>0</v>
      </c>
      <c r="BQ566" s="6">
        <f t="shared" si="395"/>
        <v>0</v>
      </c>
      <c r="BR566" s="6">
        <f t="shared" si="395"/>
        <v>0</v>
      </c>
      <c r="BS566" s="6">
        <f t="shared" si="395"/>
        <v>0</v>
      </c>
      <c r="BT566" s="6">
        <f t="shared" si="356"/>
        <v>0</v>
      </c>
      <c r="BV566" s="6">
        <f t="shared" si="376"/>
        <v>-79166.666666666672</v>
      </c>
      <c r="BW566" s="6">
        <f t="shared" si="377"/>
        <v>-79166.666666666672</v>
      </c>
      <c r="BX566" s="6">
        <f t="shared" si="378"/>
        <v>-79166.666666666672</v>
      </c>
      <c r="BY566" s="6">
        <f t="shared" si="379"/>
        <v>-79166.666666666672</v>
      </c>
      <c r="BZ566" s="6">
        <f t="shared" si="380"/>
        <v>-79166.666666666672</v>
      </c>
      <c r="CA566" s="6">
        <f t="shared" si="381"/>
        <v>-79166.666666666672</v>
      </c>
      <c r="CB566" s="6">
        <f t="shared" si="382"/>
        <v>-79166.666666666672</v>
      </c>
      <c r="CC566" s="6">
        <f t="shared" si="383"/>
        <v>-79166.666666666672</v>
      </c>
      <c r="CD566" s="6">
        <f t="shared" si="384"/>
        <v>-79166.666666666672</v>
      </c>
      <c r="CE566" s="6">
        <f t="shared" si="385"/>
        <v>-79166.666666666672</v>
      </c>
      <c r="CF566" s="6">
        <f t="shared" si="386"/>
        <v>-79166.666666666672</v>
      </c>
      <c r="CG566" s="6">
        <f t="shared" si="387"/>
        <v>-79166.666666666672</v>
      </c>
      <c r="CH566" s="6">
        <f t="shared" si="396"/>
        <v>-949999.99999999988</v>
      </c>
    </row>
    <row r="567" spans="1:86" hidden="1" x14ac:dyDescent="0.35">
      <c r="A567" s="3" t="s">
        <v>983</v>
      </c>
      <c r="B567" s="10">
        <v>20833.333333333332</v>
      </c>
      <c r="C567" s="10">
        <v>20833.333333333332</v>
      </c>
      <c r="D567" s="10">
        <v>20833.333333333332</v>
      </c>
      <c r="E567" s="10">
        <v>20833.333333333332</v>
      </c>
      <c r="F567" s="10">
        <v>20833.333333333332</v>
      </c>
      <c r="G567" s="10">
        <v>20833.333333333332</v>
      </c>
      <c r="H567" s="10">
        <v>20833.333333333332</v>
      </c>
      <c r="I567" s="10">
        <v>20833.333333333332</v>
      </c>
      <c r="J567" s="10">
        <v>20833.333333333332</v>
      </c>
      <c r="K567" s="10">
        <v>20833.333333333332</v>
      </c>
      <c r="L567" s="10">
        <v>20833.333333333332</v>
      </c>
      <c r="M567" s="10">
        <v>20833.333333333332</v>
      </c>
      <c r="N567" s="27">
        <f t="shared" si="392"/>
        <v>250000.00000000003</v>
      </c>
      <c r="AA567" s="27">
        <f t="shared" si="393"/>
        <v>0</v>
      </c>
      <c r="AB567" s="10">
        <f t="shared" si="394"/>
        <v>20833.333333333332</v>
      </c>
      <c r="AC567" s="10">
        <f t="shared" si="394"/>
        <v>20833.333333333332</v>
      </c>
      <c r="AD567" s="10">
        <f t="shared" si="394"/>
        <v>20833.333333333332</v>
      </c>
      <c r="AE567" s="10">
        <f t="shared" si="394"/>
        <v>20833.333333333332</v>
      </c>
      <c r="AF567" s="10">
        <f t="shared" si="394"/>
        <v>20833.333333333332</v>
      </c>
      <c r="AG567" s="10">
        <f t="shared" si="394"/>
        <v>20833.333333333332</v>
      </c>
      <c r="AH567" s="10">
        <f t="shared" si="394"/>
        <v>20833.333333333332</v>
      </c>
      <c r="AI567" s="10">
        <f t="shared" si="394"/>
        <v>20833.333333333332</v>
      </c>
      <c r="AJ567" s="10">
        <f t="shared" si="394"/>
        <v>20833.333333333332</v>
      </c>
      <c r="AK567" s="10">
        <f t="shared" si="394"/>
        <v>20833.333333333332</v>
      </c>
      <c r="AL567" s="10">
        <f t="shared" si="394"/>
        <v>20833.333333333332</v>
      </c>
      <c r="AM567" s="10">
        <f t="shared" si="394"/>
        <v>20833.333333333332</v>
      </c>
      <c r="AN567" s="27">
        <f t="shared" si="394"/>
        <v>250000.00000000003</v>
      </c>
      <c r="AO567" s="28">
        <v>162000</v>
      </c>
      <c r="AS567" t="str">
        <f>_xlfn.XLOOKUP(AU567,[2]GAE!HZ:HZ,[2]GAE!IA:IA)</f>
        <v>LEGAL</v>
      </c>
      <c r="AT567" t="str">
        <f>_xlfn.XLOOKUP(AU567,[2]GAE!HZ:HZ,[2]GAE!IB:IB)</f>
        <v>GAE - Prof. Fees - Legal Retainers</v>
      </c>
      <c r="AU567" t="s">
        <v>984</v>
      </c>
      <c r="AV567">
        <v>80123101</v>
      </c>
      <c r="AW567">
        <v>61071005</v>
      </c>
      <c r="AX567" t="str">
        <f>_xlfn.XLOOKUP(AU567,[2]GAE!HZ:HZ,[2]GAE!IF:IF)</f>
        <v>Professional fees</v>
      </c>
      <c r="AY567" t="str">
        <f>_xlfn.XLOOKUP(AU567,[2]GAE!HZ:HZ,[2]GAE!IG:IG)</f>
        <v>Legal retainier fees</v>
      </c>
      <c r="BF567" t="s">
        <v>161</v>
      </c>
      <c r="BG567" t="s">
        <v>1252</v>
      </c>
      <c r="BH567" s="10">
        <f>SUMIFS('[1]2026'!$K:$K,'[1]2026'!$T:$T,BD567,'[1]2026'!$S:$S,BH$3,'[1]2026'!$P:$P,AU567)</f>
        <v>0</v>
      </c>
      <c r="BI567" s="10">
        <f>SUMIFS('[1]2026'!$K:$K,'[1]2026'!$T:$T,$BD567,'[1]2026'!$S:$S,BI$3,'[1]2026'!$P:$P,$AU567)</f>
        <v>0</v>
      </c>
      <c r="BJ567" s="10">
        <f>SUMIFS('[1]2026'!$K:$K,'[1]2026'!$T:$T,$BD567,'[1]2026'!$S:$S,BJ$3,'[1]2026'!$P:$P,$AU567)</f>
        <v>0</v>
      </c>
      <c r="BK567" s="10">
        <f>SUMIFS('[1]2026'!$K:$K,'[1]2026'!$T:$T,$BD567,'[1]2026'!$S:$S,BK$3,'[1]2026'!$P:$P,$AU567)</f>
        <v>0</v>
      </c>
      <c r="BL567" s="10">
        <f>SUMIFS('[1]2026'!$K:$K,'[1]2026'!$T:$T,$BD567,'[1]2026'!$S:$S,BL$3,'[1]2026'!$P:$P,$AU567)</f>
        <v>0</v>
      </c>
      <c r="BM567" s="10">
        <f>SUMIFS('[1]2026'!$K:$K,'[1]2026'!$T:$T,$BD567,'[1]2026'!$S:$S,BM$3,'[1]2026'!$P:$P,$AU567)</f>
        <v>0</v>
      </c>
      <c r="BN567" s="10">
        <f>SUMIFS('[1]2026'!$K:$K,'[1]2026'!$T:$T,$BD567,'[1]2026'!$S:$S,BN$3,'[1]2026'!$P:$P,$AU567)</f>
        <v>0</v>
      </c>
      <c r="BO567" s="10">
        <f>SUMIFS('[1]2026'!$K:$K,'[1]2026'!$T:$T,$BD567,'[1]2026'!$S:$S,BO$3,'[1]2026'!$P:$P,$AU567)</f>
        <v>0</v>
      </c>
      <c r="BP567" s="6"/>
      <c r="BQ567" s="6"/>
      <c r="BR567" s="6"/>
      <c r="BS567" s="6"/>
      <c r="BT567" s="6">
        <f t="shared" si="356"/>
        <v>0</v>
      </c>
      <c r="BV567" s="6">
        <f t="shared" si="376"/>
        <v>-20833.333333333332</v>
      </c>
      <c r="BW567" s="6">
        <f t="shared" si="377"/>
        <v>-20833.333333333332</v>
      </c>
      <c r="BX567" s="6">
        <f t="shared" si="378"/>
        <v>-20833.333333333332</v>
      </c>
      <c r="BY567" s="6">
        <f t="shared" si="379"/>
        <v>-20833.333333333332</v>
      </c>
      <c r="BZ567" s="6">
        <f t="shared" si="380"/>
        <v>-20833.333333333332</v>
      </c>
      <c r="CA567" s="6">
        <f t="shared" si="381"/>
        <v>-20833.333333333332</v>
      </c>
      <c r="CB567" s="6">
        <f t="shared" si="382"/>
        <v>-20833.333333333332</v>
      </c>
      <c r="CC567" s="6">
        <f t="shared" si="383"/>
        <v>-20833.333333333332</v>
      </c>
      <c r="CD567" s="6">
        <f t="shared" si="384"/>
        <v>-20833.333333333332</v>
      </c>
      <c r="CE567" s="6">
        <f t="shared" si="385"/>
        <v>-20833.333333333332</v>
      </c>
      <c r="CF567" s="6">
        <f t="shared" si="386"/>
        <v>-20833.333333333332</v>
      </c>
      <c r="CG567" s="6">
        <f t="shared" si="387"/>
        <v>-20833.333333333332</v>
      </c>
      <c r="CH567" s="6">
        <f t="shared" si="396"/>
        <v>-250000.00000000003</v>
      </c>
    </row>
    <row r="568" spans="1:86" hidden="1" x14ac:dyDescent="0.35">
      <c r="A568" s="3" t="s">
        <v>985</v>
      </c>
      <c r="B568" s="10">
        <v>12000</v>
      </c>
      <c r="C568" s="10">
        <v>12000</v>
      </c>
      <c r="D568" s="10">
        <v>12000</v>
      </c>
      <c r="E568" s="10">
        <v>12000</v>
      </c>
      <c r="F568" s="10">
        <v>12000</v>
      </c>
      <c r="G568" s="10">
        <v>12000</v>
      </c>
      <c r="H568" s="10">
        <v>12000</v>
      </c>
      <c r="I568" s="10">
        <v>12000</v>
      </c>
      <c r="J568" s="10">
        <v>12000</v>
      </c>
      <c r="K568" s="10">
        <v>12000</v>
      </c>
      <c r="L568" s="10">
        <v>12000</v>
      </c>
      <c r="M568" s="10">
        <v>12000</v>
      </c>
      <c r="N568" s="27">
        <f t="shared" si="392"/>
        <v>144000</v>
      </c>
      <c r="AA568" s="27">
        <f t="shared" si="393"/>
        <v>0</v>
      </c>
      <c r="AB568" s="10">
        <f t="shared" si="394"/>
        <v>12000</v>
      </c>
      <c r="AC568" s="10">
        <f t="shared" si="394"/>
        <v>12000</v>
      </c>
      <c r="AD568" s="10">
        <f t="shared" si="394"/>
        <v>12000</v>
      </c>
      <c r="AE568" s="10">
        <f t="shared" si="394"/>
        <v>12000</v>
      </c>
      <c r="AF568" s="10">
        <f t="shared" si="394"/>
        <v>12000</v>
      </c>
      <c r="AG568" s="10">
        <f t="shared" si="394"/>
        <v>12000</v>
      </c>
      <c r="AH568" s="10">
        <f t="shared" si="394"/>
        <v>12000</v>
      </c>
      <c r="AI568" s="10">
        <f t="shared" si="394"/>
        <v>12000</v>
      </c>
      <c r="AJ568" s="10">
        <f t="shared" si="394"/>
        <v>12000</v>
      </c>
      <c r="AK568" s="10">
        <f t="shared" si="394"/>
        <v>12000</v>
      </c>
      <c r="AL568" s="10">
        <f t="shared" si="394"/>
        <v>12000</v>
      </c>
      <c r="AM568" s="10">
        <f t="shared" si="394"/>
        <v>12000</v>
      </c>
      <c r="AN568" s="27">
        <f t="shared" si="394"/>
        <v>144000</v>
      </c>
      <c r="AO568" s="28">
        <f>12000*12</f>
        <v>144000</v>
      </c>
      <c r="AS568" t="str">
        <f>_xlfn.XLOOKUP(AU568,[2]GAE!HZ:HZ,[2]GAE!IA:IA)</f>
        <v>LEGAL</v>
      </c>
      <c r="AT568" t="str">
        <f>_xlfn.XLOOKUP(AU568,[2]GAE!HZ:HZ,[2]GAE!IB:IB)</f>
        <v>GAE - Prof. Fees - Legal Retainers</v>
      </c>
      <c r="AU568" t="s">
        <v>984</v>
      </c>
      <c r="AV568">
        <v>80123101</v>
      </c>
      <c r="AW568">
        <v>61071005</v>
      </c>
      <c r="AX568" t="str">
        <f>_xlfn.XLOOKUP(AU568,[2]GAE!HZ:HZ,[2]GAE!IF:IF)</f>
        <v>Professional fees</v>
      </c>
      <c r="AY568" t="str">
        <f>_xlfn.XLOOKUP(AU568,[2]GAE!HZ:HZ,[2]GAE!IG:IG)</f>
        <v>Legal retainier fees</v>
      </c>
      <c r="BC568" t="s">
        <v>163</v>
      </c>
      <c r="BD568" t="s">
        <v>986</v>
      </c>
      <c r="BF568" t="s">
        <v>161</v>
      </c>
      <c r="BG568" s="2" t="s">
        <v>163</v>
      </c>
      <c r="BH568" s="10">
        <f>SUMIFS('[1]2026'!$K:$K,'[1]2026'!$T:$T,BD568,'[1]2026'!$S:$S,BH$3,'[1]2026'!$P:$P,AU568)</f>
        <v>20000</v>
      </c>
      <c r="BI568" s="10">
        <f>SUMIFS('[1]2026'!$K:$K,'[1]2026'!$T:$T,$BD568,'[1]2026'!$S:$S,BI$3,'[1]2026'!$P:$P,$AU568)</f>
        <v>20000</v>
      </c>
      <c r="BJ568" s="10">
        <f>SUMIFS('[1]2026'!$K:$K,'[1]2026'!$T:$T,$BD568,'[1]2026'!$S:$S,BJ$3,'[1]2026'!$P:$P,$AU568)</f>
        <v>0</v>
      </c>
      <c r="BK568" s="10">
        <f>SUMIFS('[1]2026'!$K:$K,'[1]2026'!$T:$T,$BD568,'[1]2026'!$S:$S,BK$3,'[1]2026'!$P:$P,$AU568)</f>
        <v>40000</v>
      </c>
      <c r="BL568" s="10">
        <f>SUMIFS('[1]2026'!$K:$K,'[1]2026'!$T:$T,$BD568,'[1]2026'!$S:$S,BL$3,'[1]2026'!$P:$P,$AU568)</f>
        <v>20000</v>
      </c>
      <c r="BM568" s="10">
        <f>SUMIFS('[1]2026'!$K:$K,'[1]2026'!$T:$T,$BD568,'[1]2026'!$S:$S,BM$3,'[1]2026'!$P:$P,$AU568)</f>
        <v>20000</v>
      </c>
      <c r="BN568" s="10">
        <f>SUMIFS('[1]2026'!$K:$K,'[1]2026'!$T:$T,$BD568,'[1]2026'!$S:$S,BN$3,'[1]2026'!$P:$P,$AU568)</f>
        <v>20000</v>
      </c>
      <c r="BO568" s="10">
        <f>SUMIFS('[1]2026'!$K:$K,'[1]2026'!$T:$T,$BD568,'[1]2026'!$S:$S,BO$3,'[1]2026'!$P:$P,$AU568)</f>
        <v>20000</v>
      </c>
      <c r="BP568" s="6">
        <v>20000</v>
      </c>
      <c r="BQ568" s="6">
        <v>20000</v>
      </c>
      <c r="BR568" s="6">
        <v>20000</v>
      </c>
      <c r="BS568" s="6">
        <v>20000</v>
      </c>
      <c r="BT568" s="6">
        <f t="shared" si="356"/>
        <v>240000</v>
      </c>
      <c r="BV568" s="6">
        <f t="shared" si="376"/>
        <v>8000</v>
      </c>
      <c r="BW568" s="6">
        <f t="shared" si="377"/>
        <v>8000</v>
      </c>
      <c r="BX568" s="6">
        <f t="shared" si="378"/>
        <v>-12000</v>
      </c>
      <c r="BY568" s="6">
        <f t="shared" si="379"/>
        <v>28000</v>
      </c>
      <c r="BZ568" s="6">
        <f t="shared" si="380"/>
        <v>8000</v>
      </c>
      <c r="CA568" s="6">
        <f t="shared" si="381"/>
        <v>8000</v>
      </c>
      <c r="CB568" s="6">
        <f t="shared" si="382"/>
        <v>8000</v>
      </c>
      <c r="CC568" s="6">
        <f t="shared" si="383"/>
        <v>8000</v>
      </c>
      <c r="CD568" s="6">
        <f t="shared" si="384"/>
        <v>8000</v>
      </c>
      <c r="CE568" s="6">
        <f t="shared" si="385"/>
        <v>8000</v>
      </c>
      <c r="CF568" s="6">
        <f t="shared" si="386"/>
        <v>8000</v>
      </c>
      <c r="CG568" s="6">
        <f t="shared" si="387"/>
        <v>8000</v>
      </c>
      <c r="CH568" s="6">
        <f t="shared" si="396"/>
        <v>96000</v>
      </c>
    </row>
    <row r="569" spans="1:86" hidden="1" x14ac:dyDescent="0.35">
      <c r="A569" s="3" t="s">
        <v>987</v>
      </c>
      <c r="B569" s="10">
        <v>7000</v>
      </c>
      <c r="C569" s="10">
        <v>7000</v>
      </c>
      <c r="D569" s="10">
        <v>7000</v>
      </c>
      <c r="E569" s="10">
        <v>7000</v>
      </c>
      <c r="F569" s="10">
        <v>7000</v>
      </c>
      <c r="G569" s="10">
        <v>7000</v>
      </c>
      <c r="H569" s="10">
        <v>7000</v>
      </c>
      <c r="I569" s="10">
        <v>7000</v>
      </c>
      <c r="J569" s="10">
        <v>7000</v>
      </c>
      <c r="K569" s="10">
        <v>7000</v>
      </c>
      <c r="L569" s="10">
        <v>7000</v>
      </c>
      <c r="M569" s="10">
        <v>7000</v>
      </c>
      <c r="N569" s="27">
        <f t="shared" si="392"/>
        <v>84000</v>
      </c>
      <c r="AA569" s="27">
        <f t="shared" si="393"/>
        <v>0</v>
      </c>
      <c r="AB569" s="10">
        <f t="shared" si="394"/>
        <v>7000</v>
      </c>
      <c r="AC569" s="10">
        <f t="shared" si="394"/>
        <v>7000</v>
      </c>
      <c r="AD569" s="10">
        <f t="shared" si="394"/>
        <v>7000</v>
      </c>
      <c r="AE569" s="10">
        <f t="shared" si="394"/>
        <v>7000</v>
      </c>
      <c r="AF569" s="10">
        <f t="shared" si="394"/>
        <v>7000</v>
      </c>
      <c r="AG569" s="10">
        <f t="shared" si="394"/>
        <v>7000</v>
      </c>
      <c r="AH569" s="10">
        <f t="shared" si="394"/>
        <v>7000</v>
      </c>
      <c r="AI569" s="10">
        <f t="shared" si="394"/>
        <v>7000</v>
      </c>
      <c r="AJ569" s="10">
        <f t="shared" si="394"/>
        <v>7000</v>
      </c>
      <c r="AK569" s="10">
        <f t="shared" si="394"/>
        <v>7000</v>
      </c>
      <c r="AL569" s="10">
        <f t="shared" si="394"/>
        <v>7000</v>
      </c>
      <c r="AM569" s="10">
        <f t="shared" si="394"/>
        <v>7000</v>
      </c>
      <c r="AN569" s="27">
        <f t="shared" si="394"/>
        <v>84000</v>
      </c>
      <c r="AO569" s="28">
        <f>7000*12</f>
        <v>84000</v>
      </c>
      <c r="AS569" t="str">
        <f>_xlfn.XLOOKUP(AU569,[2]GAE!HZ:HZ,[2]GAE!IA:IA)</f>
        <v>LEGAL</v>
      </c>
      <c r="AT569" t="str">
        <f>_xlfn.XLOOKUP(AU569,[2]GAE!HZ:HZ,[2]GAE!IB:IB)</f>
        <v>GAE - Prof. Fees - Legal Retainers</v>
      </c>
      <c r="AU569" t="s">
        <v>984</v>
      </c>
      <c r="AV569">
        <v>80123101</v>
      </c>
      <c r="AW569">
        <v>61071005</v>
      </c>
      <c r="AX569" t="str">
        <f>_xlfn.XLOOKUP(AU569,[2]GAE!HZ:HZ,[2]GAE!IF:IF)</f>
        <v>Professional fees</v>
      </c>
      <c r="AY569" t="str">
        <f>_xlfn.XLOOKUP(AU569,[2]GAE!HZ:HZ,[2]GAE!IG:IG)</f>
        <v>Legal retainier fees</v>
      </c>
      <c r="BC569" t="s">
        <v>164</v>
      </c>
      <c r="BD569" t="s">
        <v>988</v>
      </c>
      <c r="BF569" t="s">
        <v>161</v>
      </c>
      <c r="BG569" s="2" t="s">
        <v>164</v>
      </c>
      <c r="BH569" s="10">
        <f>SUMIFS('[1]2026'!$K:$K,'[1]2026'!$T:$T,BD569,'[1]2026'!$S:$S,BH$3,'[1]2026'!$P:$P,AU569)</f>
        <v>7000</v>
      </c>
      <c r="BI569" s="10">
        <f>SUMIFS('[1]2026'!$K:$K,'[1]2026'!$T:$T,$BD569,'[1]2026'!$S:$S,BI$3,'[1]2026'!$P:$P,$AU569)</f>
        <v>7000</v>
      </c>
      <c r="BJ569" s="10">
        <f>SUMIFS('[1]2026'!$K:$K,'[1]2026'!$T:$T,$BD569,'[1]2026'!$S:$S,BJ$3,'[1]2026'!$P:$P,$AU569)</f>
        <v>7000</v>
      </c>
      <c r="BK569" s="10">
        <f>SUMIFS('[1]2026'!$K:$K,'[1]2026'!$T:$T,$BD569,'[1]2026'!$S:$S,BK$3,'[1]2026'!$P:$P,$AU569)</f>
        <v>7000</v>
      </c>
      <c r="BL569" s="10">
        <f>SUMIFS('[1]2026'!$K:$K,'[1]2026'!$T:$T,$BD569,'[1]2026'!$S:$S,BL$3,'[1]2026'!$P:$P,$AU569)</f>
        <v>7000</v>
      </c>
      <c r="BM569" s="10">
        <f>SUMIFS('[1]2026'!$K:$K,'[1]2026'!$T:$T,$BD569,'[1]2026'!$S:$S,BM$3,'[1]2026'!$P:$P,$AU569)</f>
        <v>7000</v>
      </c>
      <c r="BN569" s="10">
        <f>SUMIFS('[1]2026'!$K:$K,'[1]2026'!$T:$T,$BD569,'[1]2026'!$S:$S,BN$3,'[1]2026'!$P:$P,$AU569)</f>
        <v>7000</v>
      </c>
      <c r="BO569" s="10">
        <f>SUMIFS('[1]2026'!$K:$K,'[1]2026'!$T:$T,$BD569,'[1]2026'!$S:$S,BO$3,'[1]2026'!$P:$P,$AU569)</f>
        <v>7000</v>
      </c>
      <c r="BP569" s="6">
        <v>7000</v>
      </c>
      <c r="BQ569" s="6">
        <v>7000</v>
      </c>
      <c r="BR569" s="6">
        <v>7000</v>
      </c>
      <c r="BS569" s="6">
        <v>7000</v>
      </c>
      <c r="BT569" s="6">
        <f t="shared" si="356"/>
        <v>84000</v>
      </c>
      <c r="BV569" s="6">
        <f t="shared" si="376"/>
        <v>0</v>
      </c>
      <c r="BW569" s="6">
        <f t="shared" si="377"/>
        <v>0</v>
      </c>
      <c r="BX569" s="6">
        <f t="shared" si="378"/>
        <v>0</v>
      </c>
      <c r="BY569" s="6">
        <f t="shared" si="379"/>
        <v>0</v>
      </c>
      <c r="BZ569" s="6">
        <f t="shared" si="380"/>
        <v>0</v>
      </c>
      <c r="CA569" s="6">
        <f t="shared" si="381"/>
        <v>0</v>
      </c>
      <c r="CB569" s="6">
        <f t="shared" si="382"/>
        <v>0</v>
      </c>
      <c r="CC569" s="6">
        <f t="shared" si="383"/>
        <v>0</v>
      </c>
      <c r="CD569" s="6">
        <f t="shared" si="384"/>
        <v>0</v>
      </c>
      <c r="CE569" s="6">
        <f t="shared" si="385"/>
        <v>0</v>
      </c>
      <c r="CF569" s="6">
        <f t="shared" si="386"/>
        <v>0</v>
      </c>
      <c r="CG569" s="6">
        <f t="shared" si="387"/>
        <v>0</v>
      </c>
      <c r="CH569" s="6">
        <f t="shared" si="396"/>
        <v>0</v>
      </c>
    </row>
    <row r="570" spans="1:86" hidden="1" x14ac:dyDescent="0.35">
      <c r="A570" s="3" t="s">
        <v>989</v>
      </c>
      <c r="B570" s="10">
        <v>10000</v>
      </c>
      <c r="C570" s="10">
        <v>10000</v>
      </c>
      <c r="D570" s="10">
        <v>10000</v>
      </c>
      <c r="E570" s="10">
        <v>10000</v>
      </c>
      <c r="F570" s="10">
        <v>10000</v>
      </c>
      <c r="G570" s="10">
        <v>10000</v>
      </c>
      <c r="H570" s="10">
        <v>10000</v>
      </c>
      <c r="I570" s="10">
        <v>10000</v>
      </c>
      <c r="J570" s="10">
        <v>10000</v>
      </c>
      <c r="K570" s="10">
        <v>10000</v>
      </c>
      <c r="L570" s="10">
        <v>10000</v>
      </c>
      <c r="M570" s="10">
        <v>10000</v>
      </c>
      <c r="N570" s="27">
        <f t="shared" si="392"/>
        <v>120000</v>
      </c>
      <c r="AA570" s="27">
        <f t="shared" si="393"/>
        <v>0</v>
      </c>
      <c r="AB570" s="10">
        <f t="shared" si="394"/>
        <v>10000</v>
      </c>
      <c r="AC570" s="10">
        <f t="shared" si="394"/>
        <v>10000</v>
      </c>
      <c r="AD570" s="10">
        <f t="shared" si="394"/>
        <v>10000</v>
      </c>
      <c r="AE570" s="10">
        <f t="shared" si="394"/>
        <v>10000</v>
      </c>
      <c r="AF570" s="10">
        <f t="shared" si="394"/>
        <v>10000</v>
      </c>
      <c r="AG570" s="10">
        <f t="shared" si="394"/>
        <v>10000</v>
      </c>
      <c r="AH570" s="10">
        <f t="shared" si="394"/>
        <v>10000</v>
      </c>
      <c r="AI570" s="10">
        <f t="shared" si="394"/>
        <v>10000</v>
      </c>
      <c r="AJ570" s="10">
        <f t="shared" si="394"/>
        <v>10000</v>
      </c>
      <c r="AK570" s="10">
        <f t="shared" si="394"/>
        <v>10000</v>
      </c>
      <c r="AL570" s="10">
        <f t="shared" si="394"/>
        <v>10000</v>
      </c>
      <c r="AM570" s="10">
        <f t="shared" si="394"/>
        <v>10000</v>
      </c>
      <c r="AN570" s="27">
        <f t="shared" si="394"/>
        <v>120000</v>
      </c>
      <c r="AO570" s="28">
        <f>10000*12</f>
        <v>120000</v>
      </c>
      <c r="AS570" t="str">
        <f>_xlfn.XLOOKUP(AU570,[2]GAE!HZ:HZ,[2]GAE!IA:IA)</f>
        <v>LEGAL</v>
      </c>
      <c r="AT570" t="str">
        <f>_xlfn.XLOOKUP(AU570,[2]GAE!HZ:HZ,[2]GAE!IB:IB)</f>
        <v>GAE - Prof. Fees - Legal Retainers</v>
      </c>
      <c r="AU570" t="s">
        <v>984</v>
      </c>
      <c r="AV570">
        <v>80123101</v>
      </c>
      <c r="AW570">
        <v>61071005</v>
      </c>
      <c r="AX570" t="str">
        <f>_xlfn.XLOOKUP(AU570,[2]GAE!HZ:HZ,[2]GAE!IF:IF)</f>
        <v>Professional fees</v>
      </c>
      <c r="AY570" t="str">
        <f>_xlfn.XLOOKUP(AU570,[2]GAE!HZ:HZ,[2]GAE!IG:IG)</f>
        <v>Legal retainier fees</v>
      </c>
      <c r="BF570" t="s">
        <v>161</v>
      </c>
      <c r="BG570" t="s">
        <v>1252</v>
      </c>
      <c r="BH570" s="10">
        <f>SUMIFS('[1]2026'!$K:$K,'[1]2026'!$T:$T,BD570,'[1]2026'!$S:$S,BH$3,'[1]2026'!$P:$P,AU570)</f>
        <v>0</v>
      </c>
      <c r="BI570" s="10">
        <f>SUMIFS('[1]2026'!$K:$K,'[1]2026'!$T:$T,$BD570,'[1]2026'!$S:$S,BI$3,'[1]2026'!$P:$P,$AU570)</f>
        <v>0</v>
      </c>
      <c r="BJ570" s="6"/>
      <c r="BK570" s="10">
        <f>SUMIFS('[1]2026'!$K:$K,'[1]2026'!$T:$T,$BD570,'[1]2026'!$S:$S,BK$3,'[1]2026'!$P:$P,$AU570)</f>
        <v>0</v>
      </c>
      <c r="BL570" s="6"/>
      <c r="BM570" s="10">
        <f>SUMIFS('[1]2026'!$K:$K,'[1]2026'!$T:$T,$BD570,'[1]2026'!$S:$S,BM$3,'[1]2026'!$P:$P,$AU570)</f>
        <v>0</v>
      </c>
      <c r="BN570" s="10">
        <f>SUMIFS('[1]2026'!$K:$K,'[1]2026'!$T:$T,$BD570,'[1]2026'!$S:$S,BN$3,'[1]2026'!$P:$P,$AU570)</f>
        <v>0</v>
      </c>
      <c r="BO570" s="10">
        <f>SUMIFS('[1]2026'!$K:$K,'[1]2026'!$T:$T,$BD570,'[1]2026'!$S:$S,BO$3,'[1]2026'!$P:$P,$AU570)</f>
        <v>0</v>
      </c>
      <c r="BP570" s="6"/>
      <c r="BQ570" s="6"/>
      <c r="BR570" s="6"/>
      <c r="BS570" s="6"/>
      <c r="BT570" s="6">
        <f t="shared" si="356"/>
        <v>0</v>
      </c>
      <c r="BV570" s="6">
        <f t="shared" si="376"/>
        <v>-10000</v>
      </c>
      <c r="BW570" s="6">
        <f t="shared" si="377"/>
        <v>-10000</v>
      </c>
      <c r="BX570" s="6">
        <f t="shared" si="378"/>
        <v>-10000</v>
      </c>
      <c r="BY570" s="6">
        <f t="shared" si="379"/>
        <v>-10000</v>
      </c>
      <c r="BZ570" s="6">
        <f t="shared" si="380"/>
        <v>-10000</v>
      </c>
      <c r="CA570" s="6">
        <f t="shared" si="381"/>
        <v>-10000</v>
      </c>
      <c r="CB570" s="6">
        <f t="shared" si="382"/>
        <v>-10000</v>
      </c>
      <c r="CC570" s="6">
        <f t="shared" si="383"/>
        <v>-10000</v>
      </c>
      <c r="CD570" s="6">
        <f t="shared" si="384"/>
        <v>-10000</v>
      </c>
      <c r="CE570" s="6">
        <f t="shared" si="385"/>
        <v>-10000</v>
      </c>
      <c r="CF570" s="6">
        <f t="shared" si="386"/>
        <v>-10000</v>
      </c>
      <c r="CG570" s="6">
        <f t="shared" si="387"/>
        <v>-10000</v>
      </c>
      <c r="CH570" s="6">
        <f t="shared" si="396"/>
        <v>-120000</v>
      </c>
    </row>
    <row r="571" spans="1:86" hidden="1" x14ac:dyDescent="0.35">
      <c r="A571" s="3" t="s">
        <v>990</v>
      </c>
      <c r="B571" s="10">
        <v>20000</v>
      </c>
      <c r="C571" s="10">
        <v>20000</v>
      </c>
      <c r="D571" s="10">
        <v>20000</v>
      </c>
      <c r="E571" s="10">
        <v>20000</v>
      </c>
      <c r="F571" s="10">
        <v>20000</v>
      </c>
      <c r="G571" s="10">
        <v>20000</v>
      </c>
      <c r="H571" s="10">
        <v>20000</v>
      </c>
      <c r="I571" s="10">
        <v>20000</v>
      </c>
      <c r="J571" s="10">
        <v>20000</v>
      </c>
      <c r="K571" s="10">
        <v>20000</v>
      </c>
      <c r="L571" s="10">
        <v>20000</v>
      </c>
      <c r="M571" s="10">
        <v>20000</v>
      </c>
      <c r="N571" s="27">
        <f t="shared" si="392"/>
        <v>240000</v>
      </c>
      <c r="AA571" s="27">
        <f t="shared" si="393"/>
        <v>0</v>
      </c>
      <c r="AB571" s="10">
        <f t="shared" si="394"/>
        <v>20000</v>
      </c>
      <c r="AC571" s="10">
        <f t="shared" si="394"/>
        <v>20000</v>
      </c>
      <c r="AD571" s="10">
        <f t="shared" si="394"/>
        <v>20000</v>
      </c>
      <c r="AE571" s="10">
        <f t="shared" si="394"/>
        <v>20000</v>
      </c>
      <c r="AF571" s="10">
        <f t="shared" si="394"/>
        <v>20000</v>
      </c>
      <c r="AG571" s="10">
        <f t="shared" si="394"/>
        <v>20000</v>
      </c>
      <c r="AH571" s="10">
        <f t="shared" si="394"/>
        <v>20000</v>
      </c>
      <c r="AI571" s="10">
        <f t="shared" si="394"/>
        <v>20000</v>
      </c>
      <c r="AJ571" s="10">
        <f t="shared" si="394"/>
        <v>20000</v>
      </c>
      <c r="AK571" s="10">
        <f t="shared" si="394"/>
        <v>20000</v>
      </c>
      <c r="AL571" s="10">
        <f t="shared" si="394"/>
        <v>20000</v>
      </c>
      <c r="AM571" s="10">
        <f t="shared" si="394"/>
        <v>20000</v>
      </c>
      <c r="AN571" s="27">
        <f t="shared" si="394"/>
        <v>240000</v>
      </c>
      <c r="AO571" s="28">
        <f>20000*12</f>
        <v>240000</v>
      </c>
      <c r="AS571" t="str">
        <f>_xlfn.XLOOKUP(AU571,[2]GAE!HZ:HZ,[2]GAE!IA:IA)</f>
        <v>LEGAL</v>
      </c>
      <c r="AT571" t="str">
        <f>_xlfn.XLOOKUP(AU571,[2]GAE!HZ:HZ,[2]GAE!IB:IB)</f>
        <v>GAE - Prof. Fees - Legal Retainers</v>
      </c>
      <c r="AU571" t="s">
        <v>984</v>
      </c>
      <c r="AV571">
        <v>80123101</v>
      </c>
      <c r="AW571">
        <v>61071005</v>
      </c>
      <c r="AX571" t="str">
        <f>_xlfn.XLOOKUP(AU571,[2]GAE!HZ:HZ,[2]GAE!IF:IF)</f>
        <v>Professional fees</v>
      </c>
      <c r="AY571" t="str">
        <f>_xlfn.XLOOKUP(AU571,[2]GAE!HZ:HZ,[2]GAE!IG:IG)</f>
        <v>Legal retainier fees</v>
      </c>
      <c r="BC571" t="s">
        <v>165</v>
      </c>
      <c r="BD571" t="s">
        <v>991</v>
      </c>
      <c r="BF571" t="s">
        <v>161</v>
      </c>
      <c r="BG571" s="2" t="s">
        <v>165</v>
      </c>
      <c r="BH571" s="10">
        <f>SUMIFS('[1]2026'!$K:$K,'[1]2026'!$T:$T,BD571,'[1]2026'!$S:$S,BH$3,'[1]2026'!$P:$P,AU571)</f>
        <v>20000</v>
      </c>
      <c r="BI571" s="10">
        <f>SUMIFS('[1]2026'!$K:$K,'[1]2026'!$T:$T,$BD571,'[1]2026'!$S:$S,BI$3,'[1]2026'!$P:$P,$AU571)</f>
        <v>20000</v>
      </c>
      <c r="BJ571" s="10">
        <f>SUMIFS('[1]2026'!$K:$K,'[1]2026'!$T:$T,$BD571,'[1]2026'!$S:$S,BJ$3,'[1]2026'!$P:$P,$AU571)</f>
        <v>20000</v>
      </c>
      <c r="BK571" s="10">
        <f>SUMIFS('[1]2026'!$K:$K,'[1]2026'!$T:$T,$BD571,'[1]2026'!$S:$S,BK$3,'[1]2026'!$P:$P,$AU571)</f>
        <v>20000</v>
      </c>
      <c r="BL571" s="10">
        <f>SUMIFS('[1]2026'!$K:$K,'[1]2026'!$T:$T,$BD571,'[1]2026'!$S:$S,BL$3,'[1]2026'!$P:$P,$AU571)</f>
        <v>20000</v>
      </c>
      <c r="BM571" s="10">
        <f>SUMIFS('[1]2026'!$K:$K,'[1]2026'!$T:$T,$BD571,'[1]2026'!$S:$S,BM$3,'[1]2026'!$P:$P,$AU571)</f>
        <v>0</v>
      </c>
      <c r="BN571" s="10">
        <f>SUMIFS('[1]2026'!$K:$K,'[1]2026'!$T:$T,$BD571,'[1]2026'!$S:$S,BN$3,'[1]2026'!$P:$P,$AU571)</f>
        <v>40000</v>
      </c>
      <c r="BO571" s="10">
        <f>SUMIFS('[1]2026'!$K:$K,'[1]2026'!$T:$T,$BD571,'[1]2026'!$S:$S,BO$3,'[1]2026'!$P:$P,$AU571)</f>
        <v>20000</v>
      </c>
      <c r="BP571" s="6">
        <v>20000</v>
      </c>
      <c r="BQ571" s="6">
        <v>20000</v>
      </c>
      <c r="BR571" s="6">
        <v>20000</v>
      </c>
      <c r="BS571" s="6">
        <v>20000</v>
      </c>
      <c r="BT571" s="6">
        <f t="shared" si="356"/>
        <v>240000</v>
      </c>
      <c r="BV571" s="6">
        <f t="shared" si="376"/>
        <v>0</v>
      </c>
      <c r="BW571" s="6">
        <f t="shared" si="377"/>
        <v>0</v>
      </c>
      <c r="BX571" s="6">
        <f t="shared" si="378"/>
        <v>0</v>
      </c>
      <c r="BY571" s="6">
        <f t="shared" si="379"/>
        <v>0</v>
      </c>
      <c r="BZ571" s="6">
        <f t="shared" si="380"/>
        <v>0</v>
      </c>
      <c r="CA571" s="6">
        <f t="shared" si="381"/>
        <v>-20000</v>
      </c>
      <c r="CB571" s="6">
        <f t="shared" si="382"/>
        <v>20000</v>
      </c>
      <c r="CC571" s="6">
        <f t="shared" si="383"/>
        <v>0</v>
      </c>
      <c r="CD571" s="6">
        <f t="shared" si="384"/>
        <v>0</v>
      </c>
      <c r="CE571" s="6">
        <f t="shared" si="385"/>
        <v>0</v>
      </c>
      <c r="CF571" s="6">
        <f t="shared" si="386"/>
        <v>0</v>
      </c>
      <c r="CG571" s="6">
        <f t="shared" si="387"/>
        <v>0</v>
      </c>
      <c r="CH571" s="6">
        <f t="shared" si="396"/>
        <v>0</v>
      </c>
    </row>
    <row r="572" spans="1:86" hidden="1" x14ac:dyDescent="0.35">
      <c r="A572" s="3" t="s">
        <v>992</v>
      </c>
      <c r="B572" s="10">
        <v>10000</v>
      </c>
      <c r="C572" s="10">
        <v>10000</v>
      </c>
      <c r="D572" s="10">
        <v>10000</v>
      </c>
      <c r="E572" s="10">
        <v>10000</v>
      </c>
      <c r="F572" s="10">
        <v>10000</v>
      </c>
      <c r="G572" s="10">
        <v>10000</v>
      </c>
      <c r="H572" s="10">
        <v>10000</v>
      </c>
      <c r="I572" s="10">
        <v>10000</v>
      </c>
      <c r="J572" s="10">
        <v>10000</v>
      </c>
      <c r="K572" s="10">
        <v>10000</v>
      </c>
      <c r="L572" s="10">
        <v>10000</v>
      </c>
      <c r="M572" s="10">
        <v>10000</v>
      </c>
      <c r="N572" s="27">
        <f t="shared" si="392"/>
        <v>120000</v>
      </c>
      <c r="AA572" s="27">
        <f t="shared" si="393"/>
        <v>0</v>
      </c>
      <c r="AB572" s="10">
        <f t="shared" si="394"/>
        <v>10000</v>
      </c>
      <c r="AC572" s="10">
        <f t="shared" si="394"/>
        <v>10000</v>
      </c>
      <c r="AD572" s="10">
        <f t="shared" si="394"/>
        <v>10000</v>
      </c>
      <c r="AE572" s="10">
        <f t="shared" si="394"/>
        <v>10000</v>
      </c>
      <c r="AF572" s="10">
        <f t="shared" si="394"/>
        <v>10000</v>
      </c>
      <c r="AG572" s="10">
        <f t="shared" si="394"/>
        <v>10000</v>
      </c>
      <c r="AH572" s="10">
        <f t="shared" si="394"/>
        <v>10000</v>
      </c>
      <c r="AI572" s="10">
        <f t="shared" si="394"/>
        <v>10000</v>
      </c>
      <c r="AJ572" s="10">
        <f t="shared" si="394"/>
        <v>10000</v>
      </c>
      <c r="AK572" s="10">
        <f t="shared" si="394"/>
        <v>10000</v>
      </c>
      <c r="AL572" s="10">
        <f t="shared" si="394"/>
        <v>10000</v>
      </c>
      <c r="AM572" s="10">
        <f t="shared" si="394"/>
        <v>10000</v>
      </c>
      <c r="AN572" s="27">
        <f t="shared" si="394"/>
        <v>120000</v>
      </c>
      <c r="AO572" s="28">
        <f>10000*12</f>
        <v>120000</v>
      </c>
      <c r="AS572" t="str">
        <f>_xlfn.XLOOKUP(AU572,[2]GAE!HZ:HZ,[2]GAE!IA:IA)</f>
        <v>LEGAL</v>
      </c>
      <c r="AT572" t="str">
        <f>_xlfn.XLOOKUP(AU572,[2]GAE!HZ:HZ,[2]GAE!IB:IB)</f>
        <v>GAE - Prof. Fees - Legal Retainers</v>
      </c>
      <c r="AU572" t="s">
        <v>984</v>
      </c>
      <c r="AV572">
        <v>80123101</v>
      </c>
      <c r="AW572">
        <v>61071005</v>
      </c>
      <c r="AX572" t="str">
        <f>_xlfn.XLOOKUP(AU572,[2]GAE!HZ:HZ,[2]GAE!IF:IF)</f>
        <v>Professional fees</v>
      </c>
      <c r="AY572" t="str">
        <f>_xlfn.XLOOKUP(AU572,[2]GAE!HZ:HZ,[2]GAE!IG:IG)</f>
        <v>Legal retainier fees</v>
      </c>
      <c r="BC572" t="s">
        <v>166</v>
      </c>
      <c r="BD572" t="s">
        <v>993</v>
      </c>
      <c r="BF572" t="s">
        <v>161</v>
      </c>
      <c r="BG572" s="2" t="s">
        <v>166</v>
      </c>
      <c r="BH572" s="10">
        <f>SUMIFS('[1]2026'!$K:$K,'[1]2026'!$T:$T,BD572,'[1]2026'!$S:$S,BH$3,'[1]2026'!$P:$P,AU572)</f>
        <v>10000</v>
      </c>
      <c r="BI572" s="10">
        <f>SUMIFS('[1]2026'!$K:$K,'[1]2026'!$T:$T,$BD572,'[1]2026'!$S:$S,BI$3,'[1]2026'!$P:$P,$AU572)</f>
        <v>10000</v>
      </c>
      <c r="BJ572" s="10">
        <f>SUMIFS('[1]2026'!$K:$K,'[1]2026'!$T:$T,$BD572,'[1]2026'!$S:$S,BJ$3,'[1]2026'!$P:$P,$AU572)</f>
        <v>0</v>
      </c>
      <c r="BK572" s="10">
        <f>SUMIFS('[1]2026'!$K:$K,'[1]2026'!$T:$T,$BD572,'[1]2026'!$S:$S,BK$3,'[1]2026'!$P:$P,$AU572)</f>
        <v>20000</v>
      </c>
      <c r="BL572" s="10">
        <f>SUMIFS('[1]2026'!$K:$K,'[1]2026'!$T:$T,$BD572,'[1]2026'!$S:$S,BL$3,'[1]2026'!$P:$P,$AU572)</f>
        <v>10000</v>
      </c>
      <c r="BM572" s="10">
        <f>SUMIFS('[1]2026'!$K:$K,'[1]2026'!$T:$T,$BD572,'[1]2026'!$S:$S,BM$3,'[1]2026'!$P:$P,$AU572)</f>
        <v>0</v>
      </c>
      <c r="BN572" s="10">
        <f>SUMIFS('[1]2026'!$K:$K,'[1]2026'!$T:$T,$BD572,'[1]2026'!$S:$S,BN$3,'[1]2026'!$P:$P,$AU572)</f>
        <v>20000</v>
      </c>
      <c r="BO572" s="10">
        <f>SUMIFS('[1]2026'!$K:$K,'[1]2026'!$T:$T,$BD572,'[1]2026'!$S:$S,BO$3,'[1]2026'!$P:$P,$AU572)</f>
        <v>10000</v>
      </c>
      <c r="BP572" s="6">
        <v>10000</v>
      </c>
      <c r="BQ572" s="6">
        <v>10000</v>
      </c>
      <c r="BR572" s="6">
        <v>10000</v>
      </c>
      <c r="BS572" s="6">
        <v>10000</v>
      </c>
      <c r="BT572" s="6">
        <f t="shared" si="356"/>
        <v>120000</v>
      </c>
      <c r="BV572" s="6">
        <f t="shared" si="376"/>
        <v>0</v>
      </c>
      <c r="BW572" s="6">
        <f t="shared" si="377"/>
        <v>0</v>
      </c>
      <c r="BX572" s="6">
        <f t="shared" si="378"/>
        <v>-10000</v>
      </c>
      <c r="BY572" s="6">
        <f t="shared" si="379"/>
        <v>10000</v>
      </c>
      <c r="BZ572" s="6">
        <f t="shared" si="380"/>
        <v>0</v>
      </c>
      <c r="CA572" s="6">
        <f t="shared" si="381"/>
        <v>-10000</v>
      </c>
      <c r="CB572" s="6">
        <f t="shared" si="382"/>
        <v>10000</v>
      </c>
      <c r="CC572" s="6">
        <f t="shared" si="383"/>
        <v>0</v>
      </c>
      <c r="CD572" s="6">
        <f t="shared" si="384"/>
        <v>0</v>
      </c>
      <c r="CE572" s="6">
        <f t="shared" si="385"/>
        <v>0</v>
      </c>
      <c r="CF572" s="6">
        <f t="shared" si="386"/>
        <v>0</v>
      </c>
      <c r="CG572" s="6">
        <f t="shared" si="387"/>
        <v>0</v>
      </c>
      <c r="CH572" s="6">
        <f t="shared" si="396"/>
        <v>0</v>
      </c>
    </row>
    <row r="573" spans="1:86" hidden="1" x14ac:dyDescent="0.35">
      <c r="A573" s="3" t="s">
        <v>994</v>
      </c>
      <c r="B573" s="10">
        <v>10000</v>
      </c>
      <c r="C573" s="10">
        <v>10000</v>
      </c>
      <c r="D573" s="10">
        <v>10000</v>
      </c>
      <c r="E573" s="10">
        <v>10000</v>
      </c>
      <c r="F573" s="10">
        <v>10000</v>
      </c>
      <c r="G573" s="10">
        <v>10000</v>
      </c>
      <c r="H573" s="10">
        <v>10000</v>
      </c>
      <c r="I573" s="10">
        <v>10000</v>
      </c>
      <c r="J573" s="10">
        <v>10000</v>
      </c>
      <c r="K573" s="10">
        <v>10000</v>
      </c>
      <c r="L573" s="10">
        <v>10000</v>
      </c>
      <c r="M573" s="10">
        <v>10000</v>
      </c>
      <c r="N573" s="27">
        <f t="shared" si="392"/>
        <v>120000</v>
      </c>
      <c r="AA573" s="27">
        <f t="shared" si="393"/>
        <v>0</v>
      </c>
      <c r="AB573" s="10">
        <f t="shared" si="394"/>
        <v>10000</v>
      </c>
      <c r="AC573" s="10">
        <f t="shared" si="394"/>
        <v>10000</v>
      </c>
      <c r="AD573" s="10">
        <f t="shared" si="394"/>
        <v>10000</v>
      </c>
      <c r="AE573" s="10">
        <f t="shared" si="394"/>
        <v>10000</v>
      </c>
      <c r="AF573" s="10">
        <f t="shared" si="394"/>
        <v>10000</v>
      </c>
      <c r="AG573" s="10">
        <f t="shared" si="394"/>
        <v>10000</v>
      </c>
      <c r="AH573" s="10">
        <f t="shared" si="394"/>
        <v>10000</v>
      </c>
      <c r="AI573" s="10">
        <f t="shared" si="394"/>
        <v>10000</v>
      </c>
      <c r="AJ573" s="10">
        <f t="shared" si="394"/>
        <v>10000</v>
      </c>
      <c r="AK573" s="10">
        <f t="shared" si="394"/>
        <v>10000</v>
      </c>
      <c r="AL573" s="10">
        <f t="shared" si="394"/>
        <v>10000</v>
      </c>
      <c r="AM573" s="10">
        <f t="shared" si="394"/>
        <v>10000</v>
      </c>
      <c r="AN573" s="27">
        <f t="shared" si="394"/>
        <v>120000</v>
      </c>
      <c r="AO573" s="28">
        <f>10000*12</f>
        <v>120000</v>
      </c>
      <c r="AS573" t="str">
        <f>_xlfn.XLOOKUP(AU573,[2]GAE!HZ:HZ,[2]GAE!IA:IA)</f>
        <v>LEGAL</v>
      </c>
      <c r="AT573" t="str">
        <f>_xlfn.XLOOKUP(AU573,[2]GAE!HZ:HZ,[2]GAE!IB:IB)</f>
        <v>GAE - Prof. Fees - Legal Retainers</v>
      </c>
      <c r="AU573" t="s">
        <v>984</v>
      </c>
      <c r="AV573">
        <v>80123101</v>
      </c>
      <c r="AW573">
        <v>61071005</v>
      </c>
      <c r="AX573" t="str">
        <f>_xlfn.XLOOKUP(AU573,[2]GAE!HZ:HZ,[2]GAE!IF:IF)</f>
        <v>Professional fees</v>
      </c>
      <c r="AY573" t="str">
        <f>_xlfn.XLOOKUP(AU573,[2]GAE!HZ:HZ,[2]GAE!IG:IG)</f>
        <v>Legal retainier fees</v>
      </c>
      <c r="BC573" t="s">
        <v>167</v>
      </c>
      <c r="BD573" t="s">
        <v>995</v>
      </c>
      <c r="BF573" t="s">
        <v>161</v>
      </c>
      <c r="BG573" s="2" t="s">
        <v>167</v>
      </c>
      <c r="BH573" s="10">
        <f>SUMIFS('[1]2026'!$K:$K,'[1]2026'!$T:$T,BD573,'[1]2026'!$S:$S,BH$3,'[1]2026'!$P:$P,AU573)</f>
        <v>10000</v>
      </c>
      <c r="BI573" s="10">
        <f>SUMIFS('[1]2026'!$K:$K,'[1]2026'!$T:$T,$BD573,'[1]2026'!$S:$S,BI$3,'[1]2026'!$P:$P,$AU573)</f>
        <v>10000</v>
      </c>
      <c r="BJ573" s="10">
        <f>SUMIFS('[1]2026'!$K:$K,'[1]2026'!$T:$T,$BD573,'[1]2026'!$S:$S,BJ$3,'[1]2026'!$P:$P,$AU573)</f>
        <v>0</v>
      </c>
      <c r="BK573" s="10">
        <f>SUMIFS('[1]2026'!$K:$K,'[1]2026'!$T:$T,$BD573,'[1]2026'!$S:$S,BK$3,'[1]2026'!$P:$P,$AU573)</f>
        <v>20000</v>
      </c>
      <c r="BL573" s="10">
        <f>SUMIFS('[1]2026'!$K:$K,'[1]2026'!$T:$T,$BD573,'[1]2026'!$S:$S,BL$3,'[1]2026'!$P:$P,$AU573)</f>
        <v>10000</v>
      </c>
      <c r="BM573" s="10">
        <f>SUMIFS('[1]2026'!$K:$K,'[1]2026'!$T:$T,$BD573,'[1]2026'!$S:$S,BM$3,'[1]2026'!$P:$P,$AU573)</f>
        <v>10000</v>
      </c>
      <c r="BN573" s="10">
        <f>SUMIFS('[1]2026'!$K:$K,'[1]2026'!$T:$T,$BD573,'[1]2026'!$S:$S,BN$3,'[1]2026'!$P:$P,$AU573)</f>
        <v>10000</v>
      </c>
      <c r="BO573" s="10">
        <f>SUMIFS('[1]2026'!$K:$K,'[1]2026'!$T:$T,$BD573,'[1]2026'!$S:$S,BO$3,'[1]2026'!$P:$P,$AU573)</f>
        <v>10000</v>
      </c>
      <c r="BP573" s="6">
        <v>10000</v>
      </c>
      <c r="BQ573" s="6">
        <v>10000</v>
      </c>
      <c r="BR573" s="6">
        <v>10000</v>
      </c>
      <c r="BS573" s="6">
        <v>10000</v>
      </c>
      <c r="BT573" s="6">
        <f t="shared" si="356"/>
        <v>120000</v>
      </c>
      <c r="BV573" s="6">
        <f t="shared" si="376"/>
        <v>0</v>
      </c>
      <c r="BW573" s="6">
        <f t="shared" si="377"/>
        <v>0</v>
      </c>
      <c r="BX573" s="6">
        <f t="shared" si="378"/>
        <v>-10000</v>
      </c>
      <c r="BY573" s="6">
        <f t="shared" si="379"/>
        <v>10000</v>
      </c>
      <c r="BZ573" s="6">
        <f t="shared" si="380"/>
        <v>0</v>
      </c>
      <c r="CA573" s="6">
        <f t="shared" si="381"/>
        <v>0</v>
      </c>
      <c r="CB573" s="6">
        <f t="shared" si="382"/>
        <v>0</v>
      </c>
      <c r="CC573" s="6">
        <f t="shared" si="383"/>
        <v>0</v>
      </c>
      <c r="CD573" s="6">
        <f t="shared" si="384"/>
        <v>0</v>
      </c>
      <c r="CE573" s="6">
        <f t="shared" si="385"/>
        <v>0</v>
      </c>
      <c r="CF573" s="6">
        <f t="shared" si="386"/>
        <v>0</v>
      </c>
      <c r="CG573" s="6">
        <f t="shared" si="387"/>
        <v>0</v>
      </c>
      <c r="CH573" s="6">
        <f t="shared" si="396"/>
        <v>0</v>
      </c>
    </row>
    <row r="574" spans="1:86" hidden="1" x14ac:dyDescent="0.35">
      <c r="A574" s="3" t="s">
        <v>996</v>
      </c>
      <c r="B574" s="10">
        <v>5500</v>
      </c>
      <c r="C574" s="10">
        <v>5500</v>
      </c>
      <c r="D574" s="10">
        <v>5500</v>
      </c>
      <c r="E574" s="10">
        <v>5500</v>
      </c>
      <c r="F574" s="10">
        <v>5500</v>
      </c>
      <c r="G574" s="10">
        <v>5500</v>
      </c>
      <c r="H574" s="10">
        <v>5500</v>
      </c>
      <c r="I574" s="10">
        <v>5500</v>
      </c>
      <c r="J574" s="10">
        <v>5500</v>
      </c>
      <c r="K574" s="10">
        <v>5500</v>
      </c>
      <c r="L574" s="10">
        <v>5500</v>
      </c>
      <c r="M574" s="10">
        <v>5500</v>
      </c>
      <c r="N574" s="27">
        <f t="shared" si="392"/>
        <v>66000</v>
      </c>
      <c r="AA574" s="27">
        <f t="shared" si="393"/>
        <v>0</v>
      </c>
      <c r="AB574" s="10">
        <f t="shared" si="394"/>
        <v>5500</v>
      </c>
      <c r="AC574" s="10">
        <f t="shared" si="394"/>
        <v>5500</v>
      </c>
      <c r="AD574" s="10">
        <f t="shared" si="394"/>
        <v>5500</v>
      </c>
      <c r="AE574" s="10">
        <f t="shared" si="394"/>
        <v>5500</v>
      </c>
      <c r="AF574" s="10">
        <f t="shared" si="394"/>
        <v>5500</v>
      </c>
      <c r="AG574" s="10">
        <f t="shared" si="394"/>
        <v>5500</v>
      </c>
      <c r="AH574" s="10">
        <f t="shared" si="394"/>
        <v>5500</v>
      </c>
      <c r="AI574" s="10">
        <f t="shared" si="394"/>
        <v>5500</v>
      </c>
      <c r="AJ574" s="10">
        <f t="shared" si="394"/>
        <v>5500</v>
      </c>
      <c r="AK574" s="10">
        <f t="shared" si="394"/>
        <v>5500</v>
      </c>
      <c r="AL574" s="10">
        <f t="shared" si="394"/>
        <v>5500</v>
      </c>
      <c r="AM574" s="10">
        <f t="shared" si="394"/>
        <v>5500</v>
      </c>
      <c r="AN574" s="27">
        <f t="shared" si="394"/>
        <v>66000</v>
      </c>
      <c r="AS574" t="str">
        <f>_xlfn.XLOOKUP(AU574,[2]GAE!HZ:HZ,[2]GAE!IA:IA)</f>
        <v>LEGAL</v>
      </c>
      <c r="AT574" t="str">
        <f>_xlfn.XLOOKUP(AU574,[2]GAE!HZ:HZ,[2]GAE!IB:IB)</f>
        <v>GAE - Prof. Fees - Legal</v>
      </c>
      <c r="AU574" t="s">
        <v>978</v>
      </c>
      <c r="AV574">
        <v>80123101</v>
      </c>
      <c r="AW574">
        <v>61071002</v>
      </c>
      <c r="AX574" t="str">
        <f>_xlfn.XLOOKUP(AU574,[2]GAE!HZ:HZ,[2]GAE!IF:IF)</f>
        <v>Professional fees</v>
      </c>
      <c r="AY574" t="str">
        <f>_xlfn.XLOOKUP(AU574,[2]GAE!HZ:HZ,[2]GAE!IG:IG)</f>
        <v>Open Cases</v>
      </c>
      <c r="BF574" t="s">
        <v>161</v>
      </c>
      <c r="BG574" s="37" t="s">
        <v>162</v>
      </c>
      <c r="BH574" s="10">
        <f>SUMIFS('[1]2026'!$K:$K,'[1]2026'!$T:$T,BD574,'[1]2026'!$S:$S,BH$3,'[1]2026'!$P:$P,AU574)</f>
        <v>0</v>
      </c>
      <c r="BI574" s="10">
        <f>SUMIFS('[1]2026'!$K:$K,'[1]2026'!$T:$T,$BD574,'[1]2026'!$S:$S,BI$3,'[1]2026'!$P:$P,$AU574)</f>
        <v>0</v>
      </c>
      <c r="BJ574" s="10">
        <f>SUMIFS('[1]2026'!$K:$K,'[1]2026'!$T:$T,$BD574,'[1]2026'!$S:$S,BJ$3,'[1]2026'!$P:$P,$AU574)</f>
        <v>0</v>
      </c>
      <c r="BK574" s="10">
        <f>SUMIFS('[1]2026'!$K:$K,'[1]2026'!$T:$T,$BD574,'[1]2026'!$S:$S,BK$3,'[1]2026'!$P:$P,$AU574)</f>
        <v>0</v>
      </c>
      <c r="BL574" s="6"/>
      <c r="BM574" s="10">
        <f>SUMIFS('[1]2026'!$K:$K,'[1]2026'!$T:$T,$BD574,'[1]2026'!$S:$S,BM$3,'[1]2026'!$P:$P,$AU574)</f>
        <v>0</v>
      </c>
      <c r="BN574" s="10">
        <f>SUMIFS('[1]2026'!$K:$K,'[1]2026'!$T:$T,$BD574,'[1]2026'!$S:$S,BN$3,'[1]2026'!$P:$P,$AU574)</f>
        <v>0</v>
      </c>
      <c r="BO574" s="10">
        <f>SUMIFS('[1]2026'!$K:$K,'[1]2026'!$T:$T,$BD574,'[1]2026'!$S:$S,BO$3,'[1]2026'!$P:$P,$AU574)</f>
        <v>0</v>
      </c>
      <c r="BP574" s="6">
        <f t="shared" ref="BP574:BS580" si="397">BO574</f>
        <v>0</v>
      </c>
      <c r="BQ574" s="6">
        <f t="shared" si="397"/>
        <v>0</v>
      </c>
      <c r="BR574" s="6">
        <f t="shared" si="397"/>
        <v>0</v>
      </c>
      <c r="BS574" s="6">
        <f t="shared" si="397"/>
        <v>0</v>
      </c>
      <c r="BT574" s="6">
        <f t="shared" si="356"/>
        <v>0</v>
      </c>
      <c r="BV574" s="6">
        <f t="shared" si="376"/>
        <v>-5500</v>
      </c>
      <c r="BW574" s="6">
        <f t="shared" si="377"/>
        <v>-5500</v>
      </c>
      <c r="BX574" s="6">
        <f t="shared" si="378"/>
        <v>-5500</v>
      </c>
      <c r="BY574" s="6">
        <f t="shared" si="379"/>
        <v>-5500</v>
      </c>
      <c r="BZ574" s="6">
        <f t="shared" si="380"/>
        <v>-5500</v>
      </c>
      <c r="CA574" s="6">
        <f t="shared" si="381"/>
        <v>-5500</v>
      </c>
      <c r="CB574" s="6">
        <f t="shared" si="382"/>
        <v>-5500</v>
      </c>
      <c r="CC574" s="6">
        <f t="shared" si="383"/>
        <v>-5500</v>
      </c>
      <c r="CD574" s="6">
        <f t="shared" si="384"/>
        <v>-5500</v>
      </c>
      <c r="CE574" s="6">
        <f t="shared" si="385"/>
        <v>-5500</v>
      </c>
      <c r="CF574" s="6">
        <f t="shared" si="386"/>
        <v>-5500</v>
      </c>
      <c r="CG574" s="6">
        <f t="shared" si="387"/>
        <v>-5500</v>
      </c>
      <c r="CH574" s="6">
        <f t="shared" si="396"/>
        <v>-66000</v>
      </c>
    </row>
    <row r="575" spans="1:86" hidden="1" x14ac:dyDescent="0.35">
      <c r="A575" s="3" t="s">
        <v>996</v>
      </c>
      <c r="B575" s="10">
        <v>2500</v>
      </c>
      <c r="C575" s="10">
        <v>2500</v>
      </c>
      <c r="D575" s="10">
        <v>2500</v>
      </c>
      <c r="E575" s="10">
        <v>2500</v>
      </c>
      <c r="F575" s="10">
        <v>2500</v>
      </c>
      <c r="G575" s="10">
        <v>2500</v>
      </c>
      <c r="H575" s="10">
        <v>2500</v>
      </c>
      <c r="I575" s="10">
        <v>2500</v>
      </c>
      <c r="J575" s="10">
        <v>2500</v>
      </c>
      <c r="K575" s="10">
        <v>2500</v>
      </c>
      <c r="L575" s="10">
        <v>2500</v>
      </c>
      <c r="M575" s="10">
        <v>2500</v>
      </c>
      <c r="N575" s="27">
        <f t="shared" si="392"/>
        <v>30000</v>
      </c>
      <c r="AA575" s="27">
        <f t="shared" si="393"/>
        <v>0</v>
      </c>
      <c r="AB575" s="10">
        <f t="shared" si="394"/>
        <v>2500</v>
      </c>
      <c r="AC575" s="10">
        <f t="shared" si="394"/>
        <v>2500</v>
      </c>
      <c r="AD575" s="10">
        <f t="shared" si="394"/>
        <v>2500</v>
      </c>
      <c r="AE575" s="10">
        <f t="shared" si="394"/>
        <v>2500</v>
      </c>
      <c r="AF575" s="10">
        <f t="shared" si="394"/>
        <v>2500</v>
      </c>
      <c r="AG575" s="10">
        <f t="shared" si="394"/>
        <v>2500</v>
      </c>
      <c r="AH575" s="10">
        <f t="shared" si="394"/>
        <v>2500</v>
      </c>
      <c r="AI575" s="10">
        <f t="shared" si="394"/>
        <v>2500</v>
      </c>
      <c r="AJ575" s="10">
        <f t="shared" si="394"/>
        <v>2500</v>
      </c>
      <c r="AK575" s="10">
        <f t="shared" si="394"/>
        <v>2500</v>
      </c>
      <c r="AL575" s="10">
        <f t="shared" si="394"/>
        <v>2500</v>
      </c>
      <c r="AM575" s="10">
        <f t="shared" si="394"/>
        <v>2500</v>
      </c>
      <c r="AN575" s="27">
        <f t="shared" si="394"/>
        <v>30000</v>
      </c>
      <c r="AS575" t="str">
        <f>_xlfn.XLOOKUP(AU575,[2]GAE!HZ:HZ,[2]GAE!IA:IA)</f>
        <v>LEGAL</v>
      </c>
      <c r="AT575" t="str">
        <f>_xlfn.XLOOKUP(AU575,[2]GAE!HZ:HZ,[2]GAE!IB:IB)</f>
        <v>DOE - Prof. Fees - Legal</v>
      </c>
      <c r="AU575" t="s">
        <v>981</v>
      </c>
      <c r="AV575">
        <v>81123101</v>
      </c>
      <c r="AW575">
        <v>52071102</v>
      </c>
      <c r="AX575" t="str">
        <f>_xlfn.XLOOKUP(AU575,[2]GAE!HZ:HZ,[2]GAE!IF:IF)</f>
        <v>Professional fees</v>
      </c>
      <c r="AY575" t="str">
        <f>_xlfn.XLOOKUP(AU575,[2]GAE!HZ:HZ,[2]GAE!IG:IG)</f>
        <v>Open Cases</v>
      </c>
      <c r="BF575" t="s">
        <v>161</v>
      </c>
      <c r="BG575" s="37" t="s">
        <v>162</v>
      </c>
      <c r="BH575" s="10">
        <f>SUMIFS('[1]2026'!$K:$K,'[1]2026'!$T:$T,BD575,'[1]2026'!$S:$S,BH$3,'[1]2026'!$P:$P,AU575)</f>
        <v>0</v>
      </c>
      <c r="BI575" s="10">
        <f>SUMIFS('[1]2026'!$K:$K,'[1]2026'!$T:$T,$BD575,'[1]2026'!$S:$S,BI$3,'[1]2026'!$P:$P,$AU575)</f>
        <v>0</v>
      </c>
      <c r="BJ575" s="10">
        <f>SUMIFS('[1]2026'!$K:$K,'[1]2026'!$T:$T,$BD575,'[1]2026'!$S:$S,BJ$3,'[1]2026'!$P:$P,$AU575)</f>
        <v>0</v>
      </c>
      <c r="BK575" s="10">
        <f>SUMIFS('[1]2026'!$K:$K,'[1]2026'!$T:$T,$BD575,'[1]2026'!$S:$S,BK$3,'[1]2026'!$P:$P,$AU575)</f>
        <v>0</v>
      </c>
      <c r="BL575" s="10">
        <f>SUMIFS('[1]2026'!$K:$K,'[1]2026'!$T:$T,$BD575,'[1]2026'!$S:$S,BL$3,'[1]2026'!$P:$P,$AU575)</f>
        <v>0</v>
      </c>
      <c r="BM575" s="10">
        <f>SUMIFS('[1]2026'!$K:$K,'[1]2026'!$T:$T,$BD575,'[1]2026'!$S:$S,BM$3,'[1]2026'!$P:$P,$AU575)</f>
        <v>0</v>
      </c>
      <c r="BN575" s="10">
        <f>SUMIFS('[1]2026'!$K:$K,'[1]2026'!$T:$T,$BD575,'[1]2026'!$S:$S,BN$3,'[1]2026'!$P:$P,$AU575)</f>
        <v>0</v>
      </c>
      <c r="BO575" s="10">
        <f>SUMIFS('[1]2026'!$K:$K,'[1]2026'!$T:$T,$BD575,'[1]2026'!$S:$S,BO$3,'[1]2026'!$P:$P,$AU575)</f>
        <v>0</v>
      </c>
      <c r="BP575" s="6">
        <f t="shared" si="397"/>
        <v>0</v>
      </c>
      <c r="BQ575" s="6">
        <f t="shared" si="397"/>
        <v>0</v>
      </c>
      <c r="BR575" s="6">
        <f t="shared" si="397"/>
        <v>0</v>
      </c>
      <c r="BS575" s="6">
        <f t="shared" si="397"/>
        <v>0</v>
      </c>
      <c r="BT575" s="6">
        <f t="shared" si="356"/>
        <v>0</v>
      </c>
      <c r="BV575" s="6">
        <f t="shared" si="376"/>
        <v>-2500</v>
      </c>
      <c r="BW575" s="6">
        <f t="shared" si="377"/>
        <v>-2500</v>
      </c>
      <c r="BX575" s="6">
        <f t="shared" si="378"/>
        <v>-2500</v>
      </c>
      <c r="BY575" s="6">
        <f t="shared" si="379"/>
        <v>-2500</v>
      </c>
      <c r="BZ575" s="6">
        <f t="shared" si="380"/>
        <v>-2500</v>
      </c>
      <c r="CA575" s="6">
        <f t="shared" si="381"/>
        <v>-2500</v>
      </c>
      <c r="CB575" s="6">
        <f t="shared" si="382"/>
        <v>-2500</v>
      </c>
      <c r="CC575" s="6">
        <f t="shared" si="383"/>
        <v>-2500</v>
      </c>
      <c r="CD575" s="6">
        <f t="shared" si="384"/>
        <v>-2500</v>
      </c>
      <c r="CE575" s="6">
        <f t="shared" si="385"/>
        <v>-2500</v>
      </c>
      <c r="CF575" s="6">
        <f t="shared" si="386"/>
        <v>-2500</v>
      </c>
      <c r="CG575" s="6">
        <f t="shared" si="387"/>
        <v>-2500</v>
      </c>
      <c r="CH575" s="6">
        <f t="shared" si="396"/>
        <v>-30000</v>
      </c>
    </row>
    <row r="576" spans="1:86" hidden="1" x14ac:dyDescent="0.35">
      <c r="A576" s="3" t="s">
        <v>996</v>
      </c>
      <c r="B576" s="10">
        <v>2500</v>
      </c>
      <c r="C576" s="10">
        <v>2500</v>
      </c>
      <c r="D576" s="10">
        <v>2500</v>
      </c>
      <c r="E576" s="10">
        <v>2500</v>
      </c>
      <c r="F576" s="10">
        <v>2500</v>
      </c>
      <c r="G576" s="10">
        <v>2500</v>
      </c>
      <c r="H576" s="10">
        <v>2500</v>
      </c>
      <c r="I576" s="10">
        <v>2500</v>
      </c>
      <c r="J576" s="10">
        <v>2500</v>
      </c>
      <c r="K576" s="10">
        <v>2500</v>
      </c>
      <c r="L576" s="10">
        <v>2500</v>
      </c>
      <c r="M576" s="10">
        <v>2500</v>
      </c>
      <c r="N576" s="27">
        <f t="shared" si="392"/>
        <v>30000</v>
      </c>
      <c r="AA576" s="27">
        <f t="shared" si="393"/>
        <v>0</v>
      </c>
      <c r="AB576" s="10">
        <f t="shared" si="394"/>
        <v>2500</v>
      </c>
      <c r="AC576" s="10">
        <f t="shared" si="394"/>
        <v>2500</v>
      </c>
      <c r="AD576" s="10">
        <f t="shared" si="394"/>
        <v>2500</v>
      </c>
      <c r="AE576" s="10">
        <f t="shared" si="394"/>
        <v>2500</v>
      </c>
      <c r="AF576" s="10">
        <f t="shared" si="394"/>
        <v>2500</v>
      </c>
      <c r="AG576" s="10">
        <f t="shared" si="394"/>
        <v>2500</v>
      </c>
      <c r="AH576" s="10">
        <f t="shared" si="394"/>
        <v>2500</v>
      </c>
      <c r="AI576" s="10">
        <f t="shared" si="394"/>
        <v>2500</v>
      </c>
      <c r="AJ576" s="10">
        <f t="shared" si="394"/>
        <v>2500</v>
      </c>
      <c r="AK576" s="10">
        <f t="shared" si="394"/>
        <v>2500</v>
      </c>
      <c r="AL576" s="10">
        <f t="shared" si="394"/>
        <v>2500</v>
      </c>
      <c r="AM576" s="10">
        <f t="shared" si="394"/>
        <v>2500</v>
      </c>
      <c r="AN576" s="27">
        <f t="shared" si="394"/>
        <v>30000</v>
      </c>
      <c r="AS576" t="str">
        <f>_xlfn.XLOOKUP(AU576,[2]GAE!HZ:HZ,[2]GAE!IA:IA)</f>
        <v>LEGAL</v>
      </c>
      <c r="AT576" t="str">
        <f>_xlfn.XLOOKUP(AU576,[2]GAE!HZ:HZ,[2]GAE!IB:IB)</f>
        <v>GAE - Prof. Fees - Legal</v>
      </c>
      <c r="AU576" t="s">
        <v>980</v>
      </c>
      <c r="AV576">
        <v>90123101</v>
      </c>
      <c r="AW576">
        <v>61071002</v>
      </c>
      <c r="AX576" t="str">
        <f>_xlfn.XLOOKUP(AU576,[2]GAE!HZ:HZ,[2]GAE!IF:IF)</f>
        <v>Professional fees</v>
      </c>
      <c r="AY576" t="str">
        <f>_xlfn.XLOOKUP(AU576,[2]GAE!HZ:HZ,[2]GAE!IG:IG)</f>
        <v>Open Cases</v>
      </c>
      <c r="BC576" t="s">
        <v>294</v>
      </c>
      <c r="BD576" t="s">
        <v>997</v>
      </c>
      <c r="BF576" s="37" t="s">
        <v>1263</v>
      </c>
      <c r="BG576" s="37" t="s">
        <v>1263</v>
      </c>
      <c r="BH576" s="10">
        <f>SUMIFS('[1]2026'!$K:$K,'[1]2026'!$T:$T,BD576,'[1]2026'!$S:$S,BH$3,'[1]2026'!$P:$P,AU576)</f>
        <v>0</v>
      </c>
      <c r="BI576" s="10">
        <f>SUMIFS('[1]2026'!$K:$K,'[1]2026'!$T:$T,$BD576,'[1]2026'!$S:$S,BI$3,'[1]2026'!$P:$P,$AU576)</f>
        <v>8645</v>
      </c>
      <c r="BJ576" s="10">
        <f>SUMIFS('[1]2026'!$K:$K,'[1]2026'!$T:$T,$BD576,'[1]2026'!$S:$S,BJ$3,'[1]2026'!$P:$P,$AU576)</f>
        <v>0</v>
      </c>
      <c r="BK576" s="10">
        <f>SUMIFS('[1]2026'!$K:$K,'[1]2026'!$T:$T,$BD576,'[1]2026'!$S:$S,BK$3,'[1]2026'!$P:$P,$AU576)</f>
        <v>3040</v>
      </c>
      <c r="BL576" s="10">
        <f>SUMIFS('[1]2026'!$K:$K,'[1]2026'!$T:$T,$BD576,'[1]2026'!$S:$S,BL$3,'[1]2026'!$P:$P,$AU576)</f>
        <v>0</v>
      </c>
      <c r="BM576" s="10">
        <f>SUMIFS('[1]2026'!$K:$K,'[1]2026'!$T:$T,$BD576,'[1]2026'!$S:$S,BM$3,'[1]2026'!$P:$P,$AU576)</f>
        <v>0</v>
      </c>
      <c r="BN576" s="10">
        <f>SUMIFS('[1]2026'!$K:$K,'[1]2026'!$T:$T,$BD576,'[1]2026'!$S:$S,BN$3,'[1]2026'!$P:$P,$AU576)</f>
        <v>0</v>
      </c>
      <c r="BO576" s="10">
        <f>SUMIFS('[1]2026'!$K:$K,'[1]2026'!$T:$T,$BD576,'[1]2026'!$S:$S,BO$3,'[1]2026'!$P:$P,$AU576)</f>
        <v>0</v>
      </c>
      <c r="BP576" s="6">
        <f t="shared" si="397"/>
        <v>0</v>
      </c>
      <c r="BQ576" s="6">
        <f t="shared" si="397"/>
        <v>0</v>
      </c>
      <c r="BR576" s="6">
        <f t="shared" si="397"/>
        <v>0</v>
      </c>
      <c r="BS576" s="6">
        <f t="shared" si="397"/>
        <v>0</v>
      </c>
      <c r="BT576" s="6">
        <f t="shared" si="356"/>
        <v>11685</v>
      </c>
      <c r="BV576" s="6">
        <f t="shared" si="376"/>
        <v>-2500</v>
      </c>
      <c r="BW576" s="6">
        <f t="shared" si="377"/>
        <v>6145</v>
      </c>
      <c r="BX576" s="6">
        <f t="shared" si="378"/>
        <v>-2500</v>
      </c>
      <c r="BY576" s="6">
        <f t="shared" si="379"/>
        <v>540</v>
      </c>
      <c r="BZ576" s="6">
        <f t="shared" si="380"/>
        <v>-2500</v>
      </c>
      <c r="CA576" s="6">
        <f t="shared" si="381"/>
        <v>-2500</v>
      </c>
      <c r="CB576" s="6">
        <f t="shared" si="382"/>
        <v>-2500</v>
      </c>
      <c r="CC576" s="6">
        <f t="shared" si="383"/>
        <v>-2500</v>
      </c>
      <c r="CD576" s="6">
        <f t="shared" si="384"/>
        <v>-2500</v>
      </c>
      <c r="CE576" s="6">
        <f t="shared" si="385"/>
        <v>-2500</v>
      </c>
      <c r="CF576" s="6">
        <f t="shared" si="386"/>
        <v>-2500</v>
      </c>
      <c r="CG576" s="6">
        <f t="shared" si="387"/>
        <v>-2500</v>
      </c>
      <c r="CH576" s="6">
        <f t="shared" si="396"/>
        <v>-18315</v>
      </c>
    </row>
    <row r="577" spans="1:86" hidden="1" x14ac:dyDescent="0.35">
      <c r="A577" s="3" t="s">
        <v>998</v>
      </c>
      <c r="B577" s="10">
        <v>8333.3333333333339</v>
      </c>
      <c r="C577" s="10">
        <v>8333.3333333333339</v>
      </c>
      <c r="D577" s="10">
        <v>8333.3333333333339</v>
      </c>
      <c r="E577" s="10">
        <v>8333.3333333333339</v>
      </c>
      <c r="F577" s="10">
        <v>8333.3333333333339</v>
      </c>
      <c r="G577" s="10">
        <v>8333.3333333333339</v>
      </c>
      <c r="H577" s="10">
        <v>8333.3333333333339</v>
      </c>
      <c r="I577" s="10">
        <v>8333.3333333333339</v>
      </c>
      <c r="J577" s="10">
        <v>8333.3333333333339</v>
      </c>
      <c r="K577" s="10">
        <v>8333.3333333333339</v>
      </c>
      <c r="L577" s="10">
        <v>8333.3333333333339</v>
      </c>
      <c r="M577" s="10">
        <v>8333.3333333333339</v>
      </c>
      <c r="N577" s="27">
        <f t="shared" si="392"/>
        <v>99999.999999999985</v>
      </c>
      <c r="AA577" s="27">
        <f t="shared" si="393"/>
        <v>0</v>
      </c>
      <c r="AB577" s="10">
        <f t="shared" si="394"/>
        <v>8333.3333333333339</v>
      </c>
      <c r="AC577" s="10">
        <f t="shared" si="394"/>
        <v>8333.3333333333339</v>
      </c>
      <c r="AD577" s="10">
        <f t="shared" si="394"/>
        <v>8333.3333333333339</v>
      </c>
      <c r="AE577" s="10">
        <f t="shared" si="394"/>
        <v>8333.3333333333339</v>
      </c>
      <c r="AF577" s="10">
        <f t="shared" si="394"/>
        <v>8333.3333333333339</v>
      </c>
      <c r="AG577" s="10">
        <f t="shared" si="394"/>
        <v>8333.3333333333339</v>
      </c>
      <c r="AH577" s="10">
        <f t="shared" si="394"/>
        <v>8333.3333333333339</v>
      </c>
      <c r="AI577" s="10">
        <f t="shared" si="394"/>
        <v>8333.3333333333339</v>
      </c>
      <c r="AJ577" s="10">
        <f t="shared" si="394"/>
        <v>8333.3333333333339</v>
      </c>
      <c r="AK577" s="10">
        <f t="shared" si="394"/>
        <v>8333.3333333333339</v>
      </c>
      <c r="AL577" s="10">
        <f t="shared" si="394"/>
        <v>8333.3333333333339</v>
      </c>
      <c r="AM577" s="10">
        <f t="shared" si="394"/>
        <v>8333.3333333333339</v>
      </c>
      <c r="AN577" s="27">
        <f t="shared" si="394"/>
        <v>99999.999999999985</v>
      </c>
      <c r="AS577" t="str">
        <f>_xlfn.XLOOKUP(AU577,[2]GAE!HZ:HZ,[2]GAE!IA:IA)</f>
        <v>LEGAL</v>
      </c>
      <c r="AT577" t="str">
        <f>_xlfn.XLOOKUP(AU577,[2]GAE!HZ:HZ,[2]GAE!IB:IB)</f>
        <v>GAE - Prof. Fees - Legal</v>
      </c>
      <c r="AU577" t="s">
        <v>978</v>
      </c>
      <c r="AV577">
        <v>80123101</v>
      </c>
      <c r="AW577">
        <v>61071002</v>
      </c>
      <c r="AX577" t="str">
        <f>_xlfn.XLOOKUP(AU577,[2]GAE!HZ:HZ,[2]GAE!IF:IF)</f>
        <v>Professional fees</v>
      </c>
      <c r="AY577" t="str">
        <f>_xlfn.XLOOKUP(AU577,[2]GAE!HZ:HZ,[2]GAE!IG:IG)</f>
        <v>Open Cases</v>
      </c>
      <c r="BF577" t="s">
        <v>161</v>
      </c>
      <c r="BG577" s="37" t="s">
        <v>162</v>
      </c>
      <c r="BH577" s="10">
        <f>SUMIFS('[1]2026'!$K:$K,'[1]2026'!$T:$T,BD577,'[1]2026'!$S:$S,BH$3,'[1]2026'!$P:$P,AU577)</f>
        <v>0</v>
      </c>
      <c r="BI577" s="10">
        <f>SUMIFS('[1]2026'!$K:$K,'[1]2026'!$T:$T,$BD577,'[1]2026'!$S:$S,BI$3,'[1]2026'!$P:$P,$AU577)</f>
        <v>0</v>
      </c>
      <c r="BJ577" s="10">
        <f>SUMIFS('[1]2026'!$K:$K,'[1]2026'!$T:$T,$BD577,'[1]2026'!$S:$S,BJ$3,'[1]2026'!$P:$P,$AU577)</f>
        <v>0</v>
      </c>
      <c r="BK577" s="10">
        <f>SUMIFS('[1]2026'!$K:$K,'[1]2026'!$T:$T,$BD577,'[1]2026'!$S:$S,BK$3,'[1]2026'!$P:$P,$AU577)</f>
        <v>0</v>
      </c>
      <c r="BL577" s="6"/>
      <c r="BM577" s="10">
        <f>SUMIFS('[1]2026'!$K:$K,'[1]2026'!$T:$T,$BD577,'[1]2026'!$S:$S,BM$3,'[1]2026'!$P:$P,$AU577)</f>
        <v>0</v>
      </c>
      <c r="BN577" s="10">
        <f>SUMIFS('[1]2026'!$K:$K,'[1]2026'!$T:$T,$BD577,'[1]2026'!$S:$S,BN$3,'[1]2026'!$P:$P,$AU577)</f>
        <v>0</v>
      </c>
      <c r="BO577" s="10">
        <f>SUMIFS('[1]2026'!$K:$K,'[1]2026'!$T:$T,$BD577,'[1]2026'!$S:$S,BO$3,'[1]2026'!$P:$P,$AU577)</f>
        <v>0</v>
      </c>
      <c r="BP577" s="6">
        <f t="shared" si="397"/>
        <v>0</v>
      </c>
      <c r="BQ577" s="6">
        <f t="shared" si="397"/>
        <v>0</v>
      </c>
      <c r="BR577" s="6">
        <f t="shared" si="397"/>
        <v>0</v>
      </c>
      <c r="BS577" s="6">
        <f t="shared" si="397"/>
        <v>0</v>
      </c>
      <c r="BT577" s="6">
        <f t="shared" si="356"/>
        <v>0</v>
      </c>
      <c r="BV577" s="6">
        <f t="shared" si="376"/>
        <v>-8333.3333333333339</v>
      </c>
      <c r="BW577" s="6">
        <f t="shared" si="377"/>
        <v>-8333.3333333333339</v>
      </c>
      <c r="BX577" s="6">
        <f t="shared" si="378"/>
        <v>-8333.3333333333339</v>
      </c>
      <c r="BY577" s="6">
        <f t="shared" si="379"/>
        <v>-8333.3333333333339</v>
      </c>
      <c r="BZ577" s="6">
        <f t="shared" si="380"/>
        <v>-8333.3333333333339</v>
      </c>
      <c r="CA577" s="6">
        <f t="shared" si="381"/>
        <v>-8333.3333333333339</v>
      </c>
      <c r="CB577" s="6">
        <f t="shared" si="382"/>
        <v>-8333.3333333333339</v>
      </c>
      <c r="CC577" s="6">
        <f t="shared" si="383"/>
        <v>-8333.3333333333339</v>
      </c>
      <c r="CD577" s="6">
        <f t="shared" si="384"/>
        <v>-8333.3333333333339</v>
      </c>
      <c r="CE577" s="6">
        <f t="shared" si="385"/>
        <v>-8333.3333333333339</v>
      </c>
      <c r="CF577" s="6">
        <f t="shared" si="386"/>
        <v>-8333.3333333333339</v>
      </c>
      <c r="CG577" s="6">
        <f t="shared" si="387"/>
        <v>-8333.3333333333339</v>
      </c>
      <c r="CH577" s="6">
        <f t="shared" si="396"/>
        <v>-99999.999999999985</v>
      </c>
    </row>
    <row r="578" spans="1:86" hidden="1" x14ac:dyDescent="0.35">
      <c r="A578" s="3" t="s">
        <v>999</v>
      </c>
      <c r="B578" s="10">
        <v>4166.666666666667</v>
      </c>
      <c r="C578" s="10">
        <v>4166.666666666667</v>
      </c>
      <c r="D578" s="10">
        <v>4166.666666666667</v>
      </c>
      <c r="E578" s="10">
        <v>4166.666666666667</v>
      </c>
      <c r="F578" s="10">
        <v>4166.666666666667</v>
      </c>
      <c r="G578" s="10">
        <v>4166.666666666667</v>
      </c>
      <c r="H578" s="10">
        <v>4166.666666666667</v>
      </c>
      <c r="I578" s="10">
        <v>4166.666666666667</v>
      </c>
      <c r="J578" s="10">
        <v>4166.666666666667</v>
      </c>
      <c r="K578" s="10">
        <v>4166.666666666667</v>
      </c>
      <c r="L578" s="10">
        <v>4166.666666666667</v>
      </c>
      <c r="M578" s="10">
        <v>4166.666666666667</v>
      </c>
      <c r="N578" s="27">
        <f t="shared" si="392"/>
        <v>49999.999999999993</v>
      </c>
      <c r="AA578" s="27">
        <f t="shared" si="393"/>
        <v>0</v>
      </c>
      <c r="AB578" s="10">
        <f t="shared" si="394"/>
        <v>4166.666666666667</v>
      </c>
      <c r="AC578" s="10">
        <f t="shared" si="394"/>
        <v>4166.666666666667</v>
      </c>
      <c r="AD578" s="10">
        <f t="shared" si="394"/>
        <v>4166.666666666667</v>
      </c>
      <c r="AE578" s="10">
        <f t="shared" si="394"/>
        <v>4166.666666666667</v>
      </c>
      <c r="AF578" s="10">
        <f t="shared" si="394"/>
        <v>4166.666666666667</v>
      </c>
      <c r="AG578" s="10">
        <f t="shared" si="394"/>
        <v>4166.666666666667</v>
      </c>
      <c r="AH578" s="10">
        <f t="shared" si="394"/>
        <v>4166.666666666667</v>
      </c>
      <c r="AI578" s="10">
        <f t="shared" si="394"/>
        <v>4166.666666666667</v>
      </c>
      <c r="AJ578" s="10">
        <f t="shared" si="394"/>
        <v>4166.666666666667</v>
      </c>
      <c r="AK578" s="10">
        <f t="shared" si="394"/>
        <v>4166.666666666667</v>
      </c>
      <c r="AL578" s="10">
        <f t="shared" si="394"/>
        <v>4166.666666666667</v>
      </c>
      <c r="AM578" s="10">
        <f t="shared" si="394"/>
        <v>4166.666666666667</v>
      </c>
      <c r="AN578" s="27">
        <f t="shared" si="394"/>
        <v>49999.999999999993</v>
      </c>
      <c r="AS578" t="str">
        <f>_xlfn.XLOOKUP(AU578,[2]GAE!HZ:HZ,[2]GAE!IA:IA)</f>
        <v>LEGAL</v>
      </c>
      <c r="AT578" t="str">
        <f>_xlfn.XLOOKUP(AU578,[2]GAE!HZ:HZ,[2]GAE!IB:IB)</f>
        <v>GAE - Prof. Fees - Legal</v>
      </c>
      <c r="AU578" t="s">
        <v>980</v>
      </c>
      <c r="AV578">
        <v>90123101</v>
      </c>
      <c r="AW578">
        <v>61071002</v>
      </c>
      <c r="AX578" t="str">
        <f>_xlfn.XLOOKUP(AU578,[2]GAE!HZ:HZ,[2]GAE!IF:IF)</f>
        <v>Professional fees</v>
      </c>
      <c r="AY578" t="str">
        <f>_xlfn.XLOOKUP(AU578,[2]GAE!HZ:HZ,[2]GAE!IG:IG)</f>
        <v>Open Cases</v>
      </c>
      <c r="BD578" s="2"/>
      <c r="BE578" s="2"/>
      <c r="BF578" t="s">
        <v>161</v>
      </c>
      <c r="BG578" s="37" t="s">
        <v>162</v>
      </c>
      <c r="BH578" s="10">
        <f>SUMIFS('[1]2026'!$K:$K,'[1]2026'!$T:$T,BD578,'[1]2026'!$S:$S,BH$3,'[1]2026'!$P:$P,AU578)</f>
        <v>0</v>
      </c>
      <c r="BI578" s="10">
        <f>SUMIFS('[1]2026'!$K:$K,'[1]2026'!$T:$T,$BD578,'[1]2026'!$S:$S,BI$3,'[1]2026'!$P:$P,$AU578)</f>
        <v>0</v>
      </c>
      <c r="BJ578" s="10">
        <f>SUMIFS('[1]2026'!$K:$K,'[1]2026'!$T:$T,$BD578,'[1]2026'!$S:$S,BJ$3,'[1]2026'!$P:$P,$AU578)</f>
        <v>0</v>
      </c>
      <c r="BK578" s="10">
        <f>SUMIFS('[1]2026'!$K:$K,'[1]2026'!$T:$T,$BD578,'[1]2026'!$S:$S,BK$3,'[1]2026'!$P:$P,$AU578)</f>
        <v>0</v>
      </c>
      <c r="BL578" s="10">
        <f>SUMIFS('[1]2026'!$K:$K,'[1]2026'!$T:$T,$BD578,'[1]2026'!$S:$S,BL$3,'[1]2026'!$P:$P,$AU578)</f>
        <v>0</v>
      </c>
      <c r="BM578" s="10">
        <f>SUMIFS('[1]2026'!$K:$K,'[1]2026'!$T:$T,$BD578,'[1]2026'!$S:$S,BM$3,'[1]2026'!$P:$P,$AU578)</f>
        <v>0</v>
      </c>
      <c r="BN578" s="10">
        <f>SUMIFS('[1]2026'!$K:$K,'[1]2026'!$T:$T,$BD578,'[1]2026'!$S:$S,BN$3,'[1]2026'!$P:$P,$AU578)</f>
        <v>0</v>
      </c>
      <c r="BO578" s="10">
        <f>SUMIFS('[1]2026'!$K:$K,'[1]2026'!$T:$T,$BD578,'[1]2026'!$S:$S,BO$3,'[1]2026'!$P:$P,$AU578)</f>
        <v>0</v>
      </c>
      <c r="BP578" s="6">
        <f t="shared" si="397"/>
        <v>0</v>
      </c>
      <c r="BQ578" s="6">
        <f t="shared" si="397"/>
        <v>0</v>
      </c>
      <c r="BR578" s="6">
        <f t="shared" si="397"/>
        <v>0</v>
      </c>
      <c r="BS578" s="6">
        <f t="shared" si="397"/>
        <v>0</v>
      </c>
      <c r="BT578" s="6">
        <f t="shared" si="356"/>
        <v>0</v>
      </c>
      <c r="BV578" s="6">
        <f t="shared" si="376"/>
        <v>-4166.666666666667</v>
      </c>
      <c r="BW578" s="6">
        <f t="shared" si="377"/>
        <v>-4166.666666666667</v>
      </c>
      <c r="BX578" s="6">
        <f t="shared" si="378"/>
        <v>-4166.666666666667</v>
      </c>
      <c r="BY578" s="6">
        <f t="shared" si="379"/>
        <v>-4166.666666666667</v>
      </c>
      <c r="BZ578" s="6">
        <f t="shared" si="380"/>
        <v>-4166.666666666667</v>
      </c>
      <c r="CA578" s="6">
        <f t="shared" si="381"/>
        <v>-4166.666666666667</v>
      </c>
      <c r="CB578" s="6">
        <f t="shared" si="382"/>
        <v>-4166.666666666667</v>
      </c>
      <c r="CC578" s="6">
        <f t="shared" si="383"/>
        <v>-4166.666666666667</v>
      </c>
      <c r="CD578" s="6">
        <f t="shared" si="384"/>
        <v>-4166.666666666667</v>
      </c>
      <c r="CE578" s="6">
        <f t="shared" si="385"/>
        <v>-4166.666666666667</v>
      </c>
      <c r="CF578" s="6">
        <f t="shared" si="386"/>
        <v>-4166.666666666667</v>
      </c>
      <c r="CG578" s="6">
        <f t="shared" si="387"/>
        <v>-4166.666666666667</v>
      </c>
      <c r="CH578" s="6">
        <f t="shared" si="396"/>
        <v>-49999.999999999993</v>
      </c>
    </row>
    <row r="579" spans="1:86" hidden="1" x14ac:dyDescent="0.35">
      <c r="A579" s="3" t="s">
        <v>999</v>
      </c>
      <c r="B579" s="10">
        <v>8333.3333333333339</v>
      </c>
      <c r="C579" s="10">
        <v>8333.3333333333339</v>
      </c>
      <c r="D579" s="10">
        <v>8333.3333333333339</v>
      </c>
      <c r="E579" s="10">
        <v>8333.3333333333339</v>
      </c>
      <c r="F579" s="10">
        <v>8333.3333333333339</v>
      </c>
      <c r="G579" s="10">
        <v>8333.3333333333339</v>
      </c>
      <c r="H579" s="10">
        <v>8333.3333333333339</v>
      </c>
      <c r="I579" s="10">
        <v>8333.3333333333339</v>
      </c>
      <c r="J579" s="10">
        <v>8333.3333333333339</v>
      </c>
      <c r="K579" s="10">
        <v>8333.3333333333339</v>
      </c>
      <c r="L579" s="10">
        <v>8333.3333333333339</v>
      </c>
      <c r="M579" s="10">
        <v>8333.3333333333339</v>
      </c>
      <c r="N579" s="27">
        <f t="shared" si="392"/>
        <v>99999.999999999985</v>
      </c>
      <c r="AA579" s="27">
        <f t="shared" si="393"/>
        <v>0</v>
      </c>
      <c r="AB579" s="10">
        <f t="shared" si="394"/>
        <v>8333.3333333333339</v>
      </c>
      <c r="AC579" s="10">
        <f t="shared" si="394"/>
        <v>8333.3333333333339</v>
      </c>
      <c r="AD579" s="10">
        <f t="shared" si="394"/>
        <v>8333.3333333333339</v>
      </c>
      <c r="AE579" s="10">
        <f t="shared" si="394"/>
        <v>8333.3333333333339</v>
      </c>
      <c r="AF579" s="10">
        <f t="shared" si="394"/>
        <v>8333.3333333333339</v>
      </c>
      <c r="AG579" s="10">
        <f t="shared" si="394"/>
        <v>8333.3333333333339</v>
      </c>
      <c r="AH579" s="10">
        <f t="shared" si="394"/>
        <v>8333.3333333333339</v>
      </c>
      <c r="AI579" s="10">
        <f t="shared" si="394"/>
        <v>8333.3333333333339</v>
      </c>
      <c r="AJ579" s="10">
        <f t="shared" si="394"/>
        <v>8333.3333333333339</v>
      </c>
      <c r="AK579" s="10">
        <f t="shared" si="394"/>
        <v>8333.3333333333339</v>
      </c>
      <c r="AL579" s="10">
        <f t="shared" si="394"/>
        <v>8333.3333333333339</v>
      </c>
      <c r="AM579" s="10">
        <f t="shared" si="394"/>
        <v>8333.3333333333339</v>
      </c>
      <c r="AN579" s="27">
        <f t="shared" si="394"/>
        <v>99999.999999999985</v>
      </c>
      <c r="AS579" t="str">
        <f>_xlfn.XLOOKUP(AU579,[2]GAE!HZ:HZ,[2]GAE!IA:IA)</f>
        <v>LEGAL</v>
      </c>
      <c r="AT579" t="str">
        <f>_xlfn.XLOOKUP(AU579,[2]GAE!HZ:HZ,[2]GAE!IB:IB)</f>
        <v>DOE - Prof. Fees - Legal</v>
      </c>
      <c r="AU579" t="s">
        <v>981</v>
      </c>
      <c r="AV579">
        <v>81123101</v>
      </c>
      <c r="AW579">
        <v>52071102</v>
      </c>
      <c r="AX579" t="str">
        <f>_xlfn.XLOOKUP(AU579,[2]GAE!HZ:HZ,[2]GAE!IF:IF)</f>
        <v>Professional fees</v>
      </c>
      <c r="AY579" t="str">
        <f>_xlfn.XLOOKUP(AU579,[2]GAE!HZ:HZ,[2]GAE!IG:IG)</f>
        <v>Open Cases</v>
      </c>
      <c r="BF579" t="s">
        <v>161</v>
      </c>
      <c r="BG579" s="37" t="s">
        <v>162</v>
      </c>
      <c r="BH579" s="10">
        <f>SUMIFS('[1]2026'!$K:$K,'[1]2026'!$T:$T,BD579,'[1]2026'!$S:$S,BH$3,'[1]2026'!$P:$P,AU579)</f>
        <v>0</v>
      </c>
      <c r="BI579" s="10">
        <f>SUMIFS('[1]2026'!$K:$K,'[1]2026'!$T:$T,$BD579,'[1]2026'!$S:$S,BI$3,'[1]2026'!$P:$P,$AU579)</f>
        <v>0</v>
      </c>
      <c r="BJ579" s="10">
        <f>SUMIFS('[1]2026'!$K:$K,'[1]2026'!$T:$T,$BD579,'[1]2026'!$S:$S,BJ$3,'[1]2026'!$P:$P,$AU579)</f>
        <v>0</v>
      </c>
      <c r="BK579" s="10">
        <f>SUMIFS('[1]2026'!$K:$K,'[1]2026'!$T:$T,$BD579,'[1]2026'!$S:$S,BK$3,'[1]2026'!$P:$P,$AU579)</f>
        <v>0</v>
      </c>
      <c r="BL579" s="10">
        <f>SUMIFS('[1]2026'!$K:$K,'[1]2026'!$T:$T,$BD579,'[1]2026'!$S:$S,BL$3,'[1]2026'!$P:$P,$AU579)</f>
        <v>0</v>
      </c>
      <c r="BM579" s="10">
        <f>SUMIFS('[1]2026'!$K:$K,'[1]2026'!$T:$T,$BD579,'[1]2026'!$S:$S,BM$3,'[1]2026'!$P:$P,$AU579)</f>
        <v>0</v>
      </c>
      <c r="BN579" s="10">
        <f>SUMIFS('[1]2026'!$K:$K,'[1]2026'!$T:$T,$BD579,'[1]2026'!$S:$S,BN$3,'[1]2026'!$P:$P,$AU579)</f>
        <v>0</v>
      </c>
      <c r="BO579" s="10">
        <f>SUMIFS('[1]2026'!$K:$K,'[1]2026'!$T:$T,$BD579,'[1]2026'!$S:$S,BO$3,'[1]2026'!$P:$P,$AU579)</f>
        <v>0</v>
      </c>
      <c r="BP579" s="6">
        <f t="shared" si="397"/>
        <v>0</v>
      </c>
      <c r="BQ579" s="6">
        <f t="shared" si="397"/>
        <v>0</v>
      </c>
      <c r="BR579" s="6">
        <f t="shared" si="397"/>
        <v>0</v>
      </c>
      <c r="BS579" s="6">
        <f t="shared" si="397"/>
        <v>0</v>
      </c>
      <c r="BT579" s="6">
        <f t="shared" si="356"/>
        <v>0</v>
      </c>
      <c r="BV579" s="6">
        <f t="shared" si="376"/>
        <v>-8333.3333333333339</v>
      </c>
      <c r="BW579" s="6">
        <f t="shared" si="377"/>
        <v>-8333.3333333333339</v>
      </c>
      <c r="BX579" s="6">
        <f t="shared" si="378"/>
        <v>-8333.3333333333339</v>
      </c>
      <c r="BY579" s="6">
        <f t="shared" si="379"/>
        <v>-8333.3333333333339</v>
      </c>
      <c r="BZ579" s="6">
        <f t="shared" si="380"/>
        <v>-8333.3333333333339</v>
      </c>
      <c r="CA579" s="6">
        <f t="shared" si="381"/>
        <v>-8333.3333333333339</v>
      </c>
      <c r="CB579" s="6">
        <f t="shared" si="382"/>
        <v>-8333.3333333333339</v>
      </c>
      <c r="CC579" s="6">
        <f t="shared" si="383"/>
        <v>-8333.3333333333339</v>
      </c>
      <c r="CD579" s="6">
        <f t="shared" si="384"/>
        <v>-8333.3333333333339</v>
      </c>
      <c r="CE579" s="6">
        <f t="shared" si="385"/>
        <v>-8333.3333333333339</v>
      </c>
      <c r="CF579" s="6">
        <f t="shared" si="386"/>
        <v>-8333.3333333333339</v>
      </c>
      <c r="CG579" s="6">
        <f t="shared" si="387"/>
        <v>-8333.3333333333339</v>
      </c>
      <c r="CH579" s="6">
        <f t="shared" si="396"/>
        <v>-99999.999999999985</v>
      </c>
    </row>
    <row r="580" spans="1:86" hidden="1" x14ac:dyDescent="0.35">
      <c r="A580" s="3" t="s">
        <v>1000</v>
      </c>
      <c r="B580" s="10">
        <v>4166.666666666667</v>
      </c>
      <c r="C580" s="10">
        <v>4166.666666666667</v>
      </c>
      <c r="D580" s="10">
        <v>4166.666666666667</v>
      </c>
      <c r="E580" s="10">
        <v>4166.666666666667</v>
      </c>
      <c r="F580" s="10">
        <v>4166.666666666667</v>
      </c>
      <c r="G580" s="10">
        <v>4166.666666666667</v>
      </c>
      <c r="H580" s="10">
        <v>4166.666666666667</v>
      </c>
      <c r="I580" s="10">
        <v>4166.666666666667</v>
      </c>
      <c r="J580" s="10">
        <v>4166.666666666667</v>
      </c>
      <c r="K580" s="10">
        <v>4166.666666666667</v>
      </c>
      <c r="L580" s="10">
        <v>4166.666666666667</v>
      </c>
      <c r="M580" s="10">
        <v>4166.666666666667</v>
      </c>
      <c r="N580" s="27">
        <f t="shared" si="392"/>
        <v>49999.999999999993</v>
      </c>
      <c r="AA580" s="27">
        <f t="shared" si="393"/>
        <v>0</v>
      </c>
      <c r="AB580" s="10">
        <f t="shared" si="394"/>
        <v>4166.666666666667</v>
      </c>
      <c r="AC580" s="10">
        <f t="shared" si="394"/>
        <v>4166.666666666667</v>
      </c>
      <c r="AD580" s="10">
        <f t="shared" si="394"/>
        <v>4166.666666666667</v>
      </c>
      <c r="AE580" s="10">
        <f t="shared" si="394"/>
        <v>4166.666666666667</v>
      </c>
      <c r="AF580" s="10">
        <f t="shared" si="394"/>
        <v>4166.666666666667</v>
      </c>
      <c r="AG580" s="10">
        <f t="shared" si="394"/>
        <v>4166.666666666667</v>
      </c>
      <c r="AH580" s="10">
        <f t="shared" si="394"/>
        <v>4166.666666666667</v>
      </c>
      <c r="AI580" s="10">
        <f t="shared" si="394"/>
        <v>4166.666666666667</v>
      </c>
      <c r="AJ580" s="10">
        <f t="shared" si="394"/>
        <v>4166.666666666667</v>
      </c>
      <c r="AK580" s="10">
        <f t="shared" si="394"/>
        <v>4166.666666666667</v>
      </c>
      <c r="AL580" s="10">
        <f t="shared" si="394"/>
        <v>4166.666666666667</v>
      </c>
      <c r="AM580" s="10">
        <f t="shared" si="394"/>
        <v>4166.666666666667</v>
      </c>
      <c r="AN580" s="27">
        <f t="shared" si="394"/>
        <v>49999.999999999993</v>
      </c>
      <c r="AS580" t="str">
        <f>_xlfn.XLOOKUP(AU580,[2]GAE!HZ:HZ,[2]GAE!IA:IA)</f>
        <v>LEGAL</v>
      </c>
      <c r="AT580" t="str">
        <f>_xlfn.XLOOKUP(AU580,[2]GAE!HZ:HZ,[2]GAE!IB:IB)</f>
        <v>GAE - Prof. Fees - Legal</v>
      </c>
      <c r="AU580" t="s">
        <v>978</v>
      </c>
      <c r="AV580">
        <v>80123101</v>
      </c>
      <c r="AW580">
        <v>61071002</v>
      </c>
      <c r="AX580" t="str">
        <f>_xlfn.XLOOKUP(AU580,[2]GAE!HZ:HZ,[2]GAE!IF:IF)</f>
        <v>Professional fees</v>
      </c>
      <c r="AY580" t="str">
        <f>_xlfn.XLOOKUP(AU580,[2]GAE!HZ:HZ,[2]GAE!IG:IG)</f>
        <v>Open Cases</v>
      </c>
      <c r="BF580" t="s">
        <v>161</v>
      </c>
      <c r="BG580" s="37" t="s">
        <v>162</v>
      </c>
      <c r="BH580" s="10">
        <f>SUMIFS('[1]2026'!$K:$K,'[1]2026'!$T:$T,BD580,'[1]2026'!$S:$S,BH$3,'[1]2026'!$P:$P,AU580)</f>
        <v>0</v>
      </c>
      <c r="BI580" s="10">
        <f>SUMIFS('[1]2026'!$K:$K,'[1]2026'!$T:$T,$BD580,'[1]2026'!$S:$S,BI$3,'[1]2026'!$P:$P,$AU580)</f>
        <v>0</v>
      </c>
      <c r="BJ580" s="10">
        <f>SUMIFS('[1]2026'!$K:$K,'[1]2026'!$T:$T,$BD580,'[1]2026'!$S:$S,BJ$3,'[1]2026'!$P:$P,$AU580)</f>
        <v>0</v>
      </c>
      <c r="BK580" s="10">
        <f>SUMIFS('[1]2026'!$K:$K,'[1]2026'!$T:$T,$BD580,'[1]2026'!$S:$S,BK$3,'[1]2026'!$P:$P,$AU580)</f>
        <v>0</v>
      </c>
      <c r="BL580" s="6"/>
      <c r="BM580" s="10">
        <f>SUMIFS('[1]2026'!$K:$K,'[1]2026'!$T:$T,$BD580,'[1]2026'!$S:$S,BM$3,'[1]2026'!$P:$P,$AU580)</f>
        <v>0</v>
      </c>
      <c r="BN580" s="10">
        <f>SUMIFS('[1]2026'!$K:$K,'[1]2026'!$T:$T,$BD580,'[1]2026'!$S:$S,BN$3,'[1]2026'!$P:$P,$AU580)</f>
        <v>0</v>
      </c>
      <c r="BO580" s="10">
        <f>SUMIFS('[1]2026'!$K:$K,'[1]2026'!$T:$T,$BD580,'[1]2026'!$S:$S,BO$3,'[1]2026'!$P:$P,$AU580)</f>
        <v>0</v>
      </c>
      <c r="BP580" s="6">
        <f t="shared" si="397"/>
        <v>0</v>
      </c>
      <c r="BQ580" s="6">
        <f t="shared" si="397"/>
        <v>0</v>
      </c>
      <c r="BR580" s="6">
        <f t="shared" si="397"/>
        <v>0</v>
      </c>
      <c r="BS580" s="6">
        <f t="shared" si="397"/>
        <v>0</v>
      </c>
      <c r="BT580" s="6">
        <f t="shared" si="356"/>
        <v>0</v>
      </c>
      <c r="BV580" s="6">
        <f t="shared" si="376"/>
        <v>-4166.666666666667</v>
      </c>
      <c r="BW580" s="6">
        <f t="shared" si="377"/>
        <v>-4166.666666666667</v>
      </c>
      <c r="BX580" s="6">
        <f t="shared" si="378"/>
        <v>-4166.666666666667</v>
      </c>
      <c r="BY580" s="6">
        <f t="shared" si="379"/>
        <v>-4166.666666666667</v>
      </c>
      <c r="BZ580" s="6">
        <f t="shared" si="380"/>
        <v>-4166.666666666667</v>
      </c>
      <c r="CA580" s="6">
        <f t="shared" si="381"/>
        <v>-4166.666666666667</v>
      </c>
      <c r="CB580" s="6">
        <f t="shared" si="382"/>
        <v>-4166.666666666667</v>
      </c>
      <c r="CC580" s="6">
        <f t="shared" si="383"/>
        <v>-4166.666666666667</v>
      </c>
      <c r="CD580" s="6">
        <f t="shared" si="384"/>
        <v>-4166.666666666667</v>
      </c>
      <c r="CE580" s="6">
        <f t="shared" si="385"/>
        <v>-4166.666666666667</v>
      </c>
      <c r="CF580" s="6">
        <f t="shared" si="386"/>
        <v>-4166.666666666667</v>
      </c>
      <c r="CG580" s="6">
        <f t="shared" si="387"/>
        <v>-4166.666666666667</v>
      </c>
      <c r="CH580" s="6">
        <f t="shared" si="396"/>
        <v>-49999.999999999993</v>
      </c>
    </row>
    <row r="581" spans="1:86" hidden="1" x14ac:dyDescent="0.35">
      <c r="A581" s="3" t="s">
        <v>1001</v>
      </c>
      <c r="B581" s="10">
        <v>4166.666666666667</v>
      </c>
      <c r="C581" s="10">
        <v>4166.666666666667</v>
      </c>
      <c r="D581" s="10">
        <v>4166.666666666667</v>
      </c>
      <c r="E581" s="10">
        <v>4166.666666666667</v>
      </c>
      <c r="F581" s="10">
        <v>4166.666666666667</v>
      </c>
      <c r="G581" s="10">
        <v>4166.666666666667</v>
      </c>
      <c r="H581" s="10">
        <v>4166.666666666667</v>
      </c>
      <c r="I581" s="10">
        <v>4166.666666666667</v>
      </c>
      <c r="J581" s="10">
        <v>4166.666666666667</v>
      </c>
      <c r="K581" s="10">
        <v>4166.666666666667</v>
      </c>
      <c r="L581" s="10">
        <v>4166.666666666667</v>
      </c>
      <c r="M581" s="10">
        <v>4166.666666666667</v>
      </c>
      <c r="N581" s="27">
        <f t="shared" si="392"/>
        <v>49999.999999999993</v>
      </c>
      <c r="AA581" s="27">
        <f t="shared" si="393"/>
        <v>0</v>
      </c>
      <c r="AB581" s="10">
        <f t="shared" si="394"/>
        <v>4166.666666666667</v>
      </c>
      <c r="AC581" s="10">
        <f t="shared" si="394"/>
        <v>4166.666666666667</v>
      </c>
      <c r="AD581" s="10">
        <f t="shared" si="394"/>
        <v>4166.666666666667</v>
      </c>
      <c r="AE581" s="10">
        <f t="shared" si="394"/>
        <v>4166.666666666667</v>
      </c>
      <c r="AF581" s="10">
        <f t="shared" si="394"/>
        <v>4166.666666666667</v>
      </c>
      <c r="AG581" s="10">
        <f t="shared" si="394"/>
        <v>4166.666666666667</v>
      </c>
      <c r="AH581" s="10">
        <f t="shared" si="394"/>
        <v>4166.666666666667</v>
      </c>
      <c r="AI581" s="10">
        <f t="shared" si="394"/>
        <v>4166.666666666667</v>
      </c>
      <c r="AJ581" s="10">
        <f t="shared" si="394"/>
        <v>4166.666666666667</v>
      </c>
      <c r="AK581" s="10">
        <f t="shared" si="394"/>
        <v>4166.666666666667</v>
      </c>
      <c r="AL581" s="10">
        <f t="shared" si="394"/>
        <v>4166.666666666667</v>
      </c>
      <c r="AM581" s="10">
        <f t="shared" si="394"/>
        <v>4166.666666666667</v>
      </c>
      <c r="AN581" s="27">
        <f t="shared" si="394"/>
        <v>49999.999999999993</v>
      </c>
      <c r="AS581" t="str">
        <f>_xlfn.XLOOKUP(AU581,[2]GAE!HZ:HZ,[2]GAE!IA:IA)</f>
        <v>LEGAL</v>
      </c>
      <c r="AT581" t="str">
        <f>_xlfn.XLOOKUP(AU581,[2]GAE!HZ:HZ,[2]GAE!IB:IB)</f>
        <v>GAE - Prof. Fees - Legal Retainers</v>
      </c>
      <c r="AU581" t="s">
        <v>984</v>
      </c>
      <c r="AV581">
        <v>80123101</v>
      </c>
      <c r="AW581">
        <v>61071005</v>
      </c>
      <c r="AX581" t="str">
        <f>_xlfn.XLOOKUP(AU581,[2]GAE!HZ:HZ,[2]GAE!IF:IF)</f>
        <v>Professional fees</v>
      </c>
      <c r="AY581" t="str">
        <f>_xlfn.XLOOKUP(AU581,[2]GAE!HZ:HZ,[2]GAE!IG:IG)</f>
        <v>Legal retainier fees</v>
      </c>
      <c r="BF581" t="s">
        <v>161</v>
      </c>
      <c r="BG581" t="s">
        <v>1252</v>
      </c>
      <c r="BH581" s="10">
        <f>SUMIFS('[1]2026'!$K:$K,'[1]2026'!$T:$T,BD581,'[1]2026'!$S:$S,BH$3,'[1]2026'!$P:$P,AU581)</f>
        <v>0</v>
      </c>
      <c r="BI581" s="10">
        <f>SUMIFS('[1]2026'!$K:$K,'[1]2026'!$T:$T,$BD581,'[1]2026'!$S:$S,BI$3,'[1]2026'!$P:$P,$AU581)</f>
        <v>0</v>
      </c>
      <c r="BJ581" s="10">
        <f>SUMIFS('[1]2026'!$K:$K,'[1]2026'!$T:$T,$BD581,'[1]2026'!$S:$S,BJ$3,'[1]2026'!$P:$P,$AU581)</f>
        <v>0</v>
      </c>
      <c r="BK581" s="10">
        <f>SUMIFS('[1]2026'!$K:$K,'[1]2026'!$T:$T,$BD581,'[1]2026'!$S:$S,BK$3,'[1]2026'!$P:$P,$AU581)</f>
        <v>0</v>
      </c>
      <c r="BL581" s="10">
        <f>SUMIFS('[1]2026'!$K:$K,'[1]2026'!$T:$T,$BD581,'[1]2026'!$S:$S,BL$3,'[1]2026'!$P:$P,$AU581)</f>
        <v>0</v>
      </c>
      <c r="BM581" s="10">
        <f>SUMIFS('[1]2026'!$K:$K,'[1]2026'!$T:$T,$BD581,'[1]2026'!$S:$S,BM$3,'[1]2026'!$P:$P,$AU581)</f>
        <v>0</v>
      </c>
      <c r="BN581" s="10">
        <f>SUMIFS('[1]2026'!$K:$K,'[1]2026'!$T:$T,$BD581,'[1]2026'!$S:$S,BN$3,'[1]2026'!$P:$P,$AU581)</f>
        <v>0</v>
      </c>
      <c r="BO581" s="10">
        <f>SUMIFS('[1]2026'!$K:$K,'[1]2026'!$T:$T,$BD581,'[1]2026'!$S:$S,BO$3,'[1]2026'!$P:$P,$AU581)</f>
        <v>0</v>
      </c>
      <c r="BP581" s="6"/>
      <c r="BQ581" s="6"/>
      <c r="BR581" s="6"/>
      <c r="BS581" s="6"/>
      <c r="BT581" s="6">
        <f t="shared" si="356"/>
        <v>0</v>
      </c>
      <c r="BV581" s="6">
        <f t="shared" si="376"/>
        <v>-4166.666666666667</v>
      </c>
      <c r="BW581" s="6">
        <f t="shared" si="377"/>
        <v>-4166.666666666667</v>
      </c>
      <c r="BX581" s="6">
        <f t="shared" si="378"/>
        <v>-4166.666666666667</v>
      </c>
      <c r="BY581" s="6">
        <f t="shared" si="379"/>
        <v>-4166.666666666667</v>
      </c>
      <c r="BZ581" s="6">
        <f t="shared" si="380"/>
        <v>-4166.666666666667</v>
      </c>
      <c r="CA581" s="6">
        <f t="shared" si="381"/>
        <v>-4166.666666666667</v>
      </c>
      <c r="CB581" s="6">
        <f t="shared" si="382"/>
        <v>-4166.666666666667</v>
      </c>
      <c r="CC581" s="6">
        <f t="shared" si="383"/>
        <v>-4166.666666666667</v>
      </c>
      <c r="CD581" s="6">
        <f t="shared" si="384"/>
        <v>-4166.666666666667</v>
      </c>
      <c r="CE581" s="6">
        <f t="shared" si="385"/>
        <v>-4166.666666666667</v>
      </c>
      <c r="CF581" s="6">
        <f t="shared" si="386"/>
        <v>-4166.666666666667</v>
      </c>
      <c r="CG581" s="6">
        <f t="shared" si="387"/>
        <v>-4166.666666666667</v>
      </c>
      <c r="CH581" s="6">
        <f t="shared" si="396"/>
        <v>-49999.999999999993</v>
      </c>
    </row>
    <row r="582" spans="1:86" hidden="1" x14ac:dyDescent="0.35">
      <c r="A582" s="3" t="s">
        <v>1002</v>
      </c>
      <c r="B582" s="10">
        <v>1666.6666666666667</v>
      </c>
      <c r="C582" s="10">
        <v>1666.6666666666667</v>
      </c>
      <c r="D582" s="10">
        <v>1666.6666666666667</v>
      </c>
      <c r="E582" s="10">
        <v>1666.6666666666667</v>
      </c>
      <c r="F582" s="10">
        <v>1666.6666666666667</v>
      </c>
      <c r="G582" s="10">
        <v>1666.6666666666667</v>
      </c>
      <c r="H582" s="10">
        <v>1666.6666666666667</v>
      </c>
      <c r="I582" s="10">
        <v>1666.6666666666667</v>
      </c>
      <c r="J582" s="10">
        <v>1666.6666666666667</v>
      </c>
      <c r="K582" s="10">
        <v>1666.6666666666667</v>
      </c>
      <c r="L582" s="10">
        <v>1666.6666666666667</v>
      </c>
      <c r="M582" s="10">
        <v>1666.6666666666667</v>
      </c>
      <c r="N582" s="27">
        <f t="shared" si="392"/>
        <v>20000</v>
      </c>
      <c r="AA582" s="27">
        <f t="shared" si="393"/>
        <v>0</v>
      </c>
      <c r="AB582" s="10">
        <f t="shared" si="394"/>
        <v>1666.6666666666667</v>
      </c>
      <c r="AC582" s="10">
        <f t="shared" si="394"/>
        <v>1666.6666666666667</v>
      </c>
      <c r="AD582" s="10">
        <f t="shared" si="394"/>
        <v>1666.6666666666667</v>
      </c>
      <c r="AE582" s="10">
        <f t="shared" si="394"/>
        <v>1666.6666666666667</v>
      </c>
      <c r="AF582" s="10">
        <f t="shared" si="394"/>
        <v>1666.6666666666667</v>
      </c>
      <c r="AG582" s="10">
        <f t="shared" si="394"/>
        <v>1666.6666666666667</v>
      </c>
      <c r="AH582" s="10">
        <f t="shared" si="394"/>
        <v>1666.6666666666667</v>
      </c>
      <c r="AI582" s="10">
        <f t="shared" si="394"/>
        <v>1666.6666666666667</v>
      </c>
      <c r="AJ582" s="10">
        <f t="shared" ref="AJ582:AN628" si="398">J582-W582</f>
        <v>1666.6666666666667</v>
      </c>
      <c r="AK582" s="10">
        <f t="shared" si="398"/>
        <v>1666.6666666666667</v>
      </c>
      <c r="AL582" s="10">
        <f t="shared" si="398"/>
        <v>1666.6666666666667</v>
      </c>
      <c r="AM582" s="10">
        <f t="shared" si="398"/>
        <v>1666.6666666666667</v>
      </c>
      <c r="AN582" s="27">
        <f t="shared" si="398"/>
        <v>20000</v>
      </c>
      <c r="AS582" t="str">
        <f>_xlfn.XLOOKUP(AU582,[2]GAE!HZ:HZ,[2]GAE!IA:IA)</f>
        <v>LEGAL</v>
      </c>
      <c r="AT582" t="str">
        <f>_xlfn.XLOOKUP(AU582,[2]GAE!HZ:HZ,[2]GAE!IB:IB)</f>
        <v>GAE - Prof. Fees - Legal Retainers</v>
      </c>
      <c r="AU582" t="s">
        <v>984</v>
      </c>
      <c r="AV582">
        <v>80123101</v>
      </c>
      <c r="AW582">
        <v>61071005</v>
      </c>
      <c r="AX582" t="str">
        <f>_xlfn.XLOOKUP(AU582,[2]GAE!HZ:HZ,[2]GAE!IF:IF)</f>
        <v>Professional fees</v>
      </c>
      <c r="AY582" t="str">
        <f>_xlfn.XLOOKUP(AU582,[2]GAE!HZ:HZ,[2]GAE!IG:IG)</f>
        <v>Legal retainier fees</v>
      </c>
      <c r="BF582" t="s">
        <v>161</v>
      </c>
      <c r="BG582" t="s">
        <v>1252</v>
      </c>
      <c r="BH582" s="10">
        <f>SUMIFS('[1]2026'!$K:$K,'[1]2026'!$T:$T,BD582,'[1]2026'!$S:$S,BH$3,'[1]2026'!$P:$P,AU582)</f>
        <v>0</v>
      </c>
      <c r="BI582" s="10">
        <f>SUMIFS('[1]2026'!$K:$K,'[1]2026'!$T:$T,$BD582,'[1]2026'!$S:$S,BI$3,'[1]2026'!$P:$P,$AU582)</f>
        <v>0</v>
      </c>
      <c r="BJ582" s="10">
        <f>SUMIFS('[1]2026'!$K:$K,'[1]2026'!$T:$T,$BD582,'[1]2026'!$S:$S,BJ$3,'[1]2026'!$P:$P,$AU582)</f>
        <v>0</v>
      </c>
      <c r="BK582" s="10">
        <f>SUMIFS('[1]2026'!$K:$K,'[1]2026'!$T:$T,$BD582,'[1]2026'!$S:$S,BK$3,'[1]2026'!$P:$P,$AU582)</f>
        <v>0</v>
      </c>
      <c r="BL582" s="10">
        <f>SUMIFS('[1]2026'!$K:$K,'[1]2026'!$T:$T,$BD582,'[1]2026'!$S:$S,BL$3,'[1]2026'!$P:$P,$AU582)</f>
        <v>0</v>
      </c>
      <c r="BM582" s="10">
        <f>SUMIFS('[1]2026'!$K:$K,'[1]2026'!$T:$T,$BD582,'[1]2026'!$S:$S,BM$3,'[1]2026'!$P:$P,$AU582)</f>
        <v>0</v>
      </c>
      <c r="BN582" s="10">
        <f>SUMIFS('[1]2026'!$K:$K,'[1]2026'!$T:$T,$BD582,'[1]2026'!$S:$S,BN$3,'[1]2026'!$P:$P,$AU582)</f>
        <v>0</v>
      </c>
      <c r="BO582" s="10">
        <f>SUMIFS('[1]2026'!$K:$K,'[1]2026'!$T:$T,$BD582,'[1]2026'!$S:$S,BO$3,'[1]2026'!$P:$P,$AU582)</f>
        <v>0</v>
      </c>
      <c r="BP582" s="6"/>
      <c r="BQ582" s="6"/>
      <c r="BR582" s="6"/>
      <c r="BS582" s="6"/>
      <c r="BT582" s="6">
        <f t="shared" si="356"/>
        <v>0</v>
      </c>
      <c r="BV582" s="6">
        <f t="shared" si="376"/>
        <v>-1666.6666666666667</v>
      </c>
      <c r="BW582" s="6">
        <f t="shared" si="377"/>
        <v>-1666.6666666666667</v>
      </c>
      <c r="BX582" s="6">
        <f t="shared" si="378"/>
        <v>-1666.6666666666667</v>
      </c>
      <c r="BY582" s="6">
        <f t="shared" si="379"/>
        <v>-1666.6666666666667</v>
      </c>
      <c r="BZ582" s="6">
        <f t="shared" si="380"/>
        <v>-1666.6666666666667</v>
      </c>
      <c r="CA582" s="6">
        <f t="shared" si="381"/>
        <v>-1666.6666666666667</v>
      </c>
      <c r="CB582" s="6">
        <f t="shared" si="382"/>
        <v>-1666.6666666666667</v>
      </c>
      <c r="CC582" s="6">
        <f t="shared" si="383"/>
        <v>-1666.6666666666667</v>
      </c>
      <c r="CD582" s="6">
        <f t="shared" si="384"/>
        <v>-1666.6666666666667</v>
      </c>
      <c r="CE582" s="6">
        <f t="shared" si="385"/>
        <v>-1666.6666666666667</v>
      </c>
      <c r="CF582" s="6">
        <f t="shared" si="386"/>
        <v>-1666.6666666666667</v>
      </c>
      <c r="CG582" s="6">
        <f t="shared" si="387"/>
        <v>-1666.6666666666667</v>
      </c>
      <c r="CH582" s="6">
        <f t="shared" si="396"/>
        <v>-20000</v>
      </c>
    </row>
    <row r="583" spans="1:86" hidden="1" x14ac:dyDescent="0.35">
      <c r="A583" s="3" t="s">
        <v>1003</v>
      </c>
      <c r="M583" s="10">
        <v>1074276</v>
      </c>
      <c r="N583" s="27">
        <f t="shared" si="392"/>
        <v>1074276</v>
      </c>
      <c r="AA583" s="27">
        <f t="shared" si="393"/>
        <v>0</v>
      </c>
      <c r="AB583" s="10">
        <f t="shared" ref="AB583:AI609" si="399">B583-O583</f>
        <v>0</v>
      </c>
      <c r="AC583" s="10">
        <f t="shared" si="399"/>
        <v>0</v>
      </c>
      <c r="AD583" s="10">
        <f t="shared" si="399"/>
        <v>0</v>
      </c>
      <c r="AE583" s="10">
        <f t="shared" si="399"/>
        <v>0</v>
      </c>
      <c r="AF583" s="10">
        <f t="shared" si="399"/>
        <v>0</v>
      </c>
      <c r="AG583" s="10">
        <f t="shared" si="399"/>
        <v>0</v>
      </c>
      <c r="AH583" s="10">
        <f t="shared" si="399"/>
        <v>0</v>
      </c>
      <c r="AI583" s="10">
        <f t="shared" si="399"/>
        <v>0</v>
      </c>
      <c r="AJ583" s="10">
        <f t="shared" si="398"/>
        <v>0</v>
      </c>
      <c r="AK583" s="10">
        <f t="shared" si="398"/>
        <v>0</v>
      </c>
      <c r="AL583" s="10">
        <f t="shared" si="398"/>
        <v>0</v>
      </c>
      <c r="AM583" s="10">
        <f t="shared" si="398"/>
        <v>1074276</v>
      </c>
      <c r="AN583" s="27">
        <f t="shared" si="398"/>
        <v>1074276</v>
      </c>
      <c r="AO583" s="28">
        <v>1071840</v>
      </c>
      <c r="AP583" t="s">
        <v>1004</v>
      </c>
      <c r="AS583" t="str">
        <f>_xlfn.XLOOKUP(AU583,[2]GAE!HZ:HZ,[2]GAE!IA:IA)</f>
        <v>CORPORATE ACCOUNTING</v>
      </c>
      <c r="AT583" t="str">
        <f>_xlfn.XLOOKUP(AU583,[2]GAE!HZ:HZ,[2]GAE!IB:IB)</f>
        <v>GAE - Prof. Fees - Audit</v>
      </c>
      <c r="AU583" t="s">
        <v>1005</v>
      </c>
      <c r="AV583">
        <v>80134102</v>
      </c>
      <c r="AW583">
        <v>61071001</v>
      </c>
      <c r="AX583" t="str">
        <f>_xlfn.XLOOKUP(AU583,[2]GAE!HZ:HZ,[2]GAE!IF:IF)</f>
        <v>Professional fees</v>
      </c>
      <c r="AY583" t="str">
        <f>_xlfn.XLOOKUP(AU583,[2]GAE!HZ:HZ,[2]GAE!IG:IG)</f>
        <v>Internal and external consultants</v>
      </c>
      <c r="BC583" t="s">
        <v>168</v>
      </c>
      <c r="BD583" s="2" t="s">
        <v>171</v>
      </c>
      <c r="BE583" s="2"/>
      <c r="BF583" t="s">
        <v>93</v>
      </c>
      <c r="BG583" s="2" t="s">
        <v>168</v>
      </c>
      <c r="BH583" s="10">
        <f>SUMIFS('[1]2026'!$K:$K,'[1]2026'!$T:$T,BD583,'[1]2026'!$S:$S,BH$3,'[1]2026'!$P:$P,AU583)</f>
        <v>0</v>
      </c>
      <c r="BI583" s="10">
        <f>SUMIFS('[1]2026'!$K:$K,'[1]2026'!$T:$T,$BD583,'[1]2026'!$S:$S,BI$3,'[1]2026'!$P:$P,$AU583)</f>
        <v>0</v>
      </c>
      <c r="BJ583" s="10">
        <f>SUMIFS('[1]2026'!$K:$K,'[1]2026'!$T:$T,$BD583,'[1]2026'!$S:$S,BJ$3,'[1]2026'!$P:$P,$AU583)</f>
        <v>0</v>
      </c>
      <c r="BK583" s="10">
        <f>SUMIFS('[1]2026'!$K:$K,'[1]2026'!$T:$T,$BD583,'[1]2026'!$S:$S,BK$3,'[1]2026'!$P:$P,$AU583)</f>
        <v>487200</v>
      </c>
      <c r="BL583" s="10">
        <f>SUMIFS('[1]2026'!$K:$K,'[1]2026'!$T:$T,$BD583,'[1]2026'!$S:$S,BL$3,'[1]2026'!$P:$P,$AU583)</f>
        <v>0</v>
      </c>
      <c r="BM583" s="10">
        <f>SUMIFS('[1]2026'!$K:$K,'[1]2026'!$T:$T,$BD583,'[1]2026'!$S:$S,BM$3,'[1]2026'!$P:$P,$AU583)</f>
        <v>584640</v>
      </c>
      <c r="BN583" s="10">
        <f>SUMIFS('[1]2026'!$K:$K,'[1]2026'!$T:$T,$BD583,'[1]2026'!$S:$S,BN$3,'[1]2026'!$P:$P,$AU583)</f>
        <v>0</v>
      </c>
      <c r="BO583" s="10">
        <f>SUMIFS('[1]2026'!$K:$K,'[1]2026'!$T:$T,$BD583,'[1]2026'!$S:$S,BO$3,'[1]2026'!$P:$P,$AU583)</f>
        <v>0</v>
      </c>
      <c r="BP583" s="6"/>
      <c r="BQ583" s="6"/>
      <c r="BR583" s="6"/>
      <c r="BS583" s="6"/>
      <c r="BT583" s="6">
        <f t="shared" si="356"/>
        <v>1071840</v>
      </c>
      <c r="BV583" s="6">
        <f t="shared" si="376"/>
        <v>0</v>
      </c>
      <c r="BW583" s="6">
        <f t="shared" si="377"/>
        <v>0</v>
      </c>
      <c r="BX583" s="6">
        <f t="shared" si="378"/>
        <v>0</v>
      </c>
      <c r="BY583" s="6">
        <f t="shared" si="379"/>
        <v>487200</v>
      </c>
      <c r="BZ583" s="6">
        <f t="shared" si="380"/>
        <v>0</v>
      </c>
      <c r="CA583" s="6">
        <f t="shared" si="381"/>
        <v>584640</v>
      </c>
      <c r="CB583" s="6">
        <f t="shared" si="382"/>
        <v>0</v>
      </c>
      <c r="CC583" s="6">
        <f t="shared" si="383"/>
        <v>0</v>
      </c>
      <c r="CD583" s="6">
        <f t="shared" si="384"/>
        <v>0</v>
      </c>
      <c r="CE583" s="6">
        <f t="shared" si="385"/>
        <v>0</v>
      </c>
      <c r="CF583" s="6">
        <f t="shared" si="386"/>
        <v>0</v>
      </c>
      <c r="CG583" s="6">
        <f t="shared" si="387"/>
        <v>-1074276</v>
      </c>
      <c r="CH583" s="6">
        <f t="shared" si="396"/>
        <v>-2436</v>
      </c>
    </row>
    <row r="584" spans="1:86" hidden="1" x14ac:dyDescent="0.35">
      <c r="A584" s="3" t="s">
        <v>1003</v>
      </c>
      <c r="M584" s="10">
        <v>336042</v>
      </c>
      <c r="N584" s="27">
        <f t="shared" si="392"/>
        <v>336042</v>
      </c>
      <c r="AA584" s="27">
        <f t="shared" si="393"/>
        <v>0</v>
      </c>
      <c r="AB584" s="10">
        <f t="shared" si="399"/>
        <v>0</v>
      </c>
      <c r="AC584" s="10">
        <f t="shared" si="399"/>
        <v>0</v>
      </c>
      <c r="AD584" s="10">
        <f t="shared" si="399"/>
        <v>0</v>
      </c>
      <c r="AE584" s="10">
        <f t="shared" si="399"/>
        <v>0</v>
      </c>
      <c r="AF584" s="10">
        <f t="shared" si="399"/>
        <v>0</v>
      </c>
      <c r="AG584" s="10">
        <f t="shared" si="399"/>
        <v>0</v>
      </c>
      <c r="AH584" s="10">
        <f t="shared" si="399"/>
        <v>0</v>
      </c>
      <c r="AI584" s="10">
        <f t="shared" si="399"/>
        <v>0</v>
      </c>
      <c r="AJ584" s="10">
        <f t="shared" si="398"/>
        <v>0</v>
      </c>
      <c r="AK584" s="10">
        <f t="shared" si="398"/>
        <v>0</v>
      </c>
      <c r="AL584" s="10">
        <f t="shared" si="398"/>
        <v>0</v>
      </c>
      <c r="AM584" s="10">
        <f t="shared" si="398"/>
        <v>336042</v>
      </c>
      <c r="AN584" s="27">
        <f t="shared" si="398"/>
        <v>336042</v>
      </c>
      <c r="AO584" s="28">
        <v>335280</v>
      </c>
      <c r="AP584" t="s">
        <v>1004</v>
      </c>
      <c r="AS584" t="str">
        <f>_xlfn.XLOOKUP(AU584,[2]GAE!HZ:HZ,[2]GAE!IA:IA)</f>
        <v>CORPORATE ACCOUNTING</v>
      </c>
      <c r="AT584" t="str">
        <f>_xlfn.XLOOKUP(AU584,[2]GAE!HZ:HZ,[2]GAE!IB:IB)</f>
        <v>GAE - Prof. Fees - Audit</v>
      </c>
      <c r="AU584" t="s">
        <v>1006</v>
      </c>
      <c r="AV584">
        <v>81134102</v>
      </c>
      <c r="AW584">
        <v>61071001</v>
      </c>
      <c r="AX584" t="str">
        <f>_xlfn.XLOOKUP(AU584,[2]GAE!HZ:HZ,[2]GAE!IF:IF)</f>
        <v>Professional fees</v>
      </c>
      <c r="AY584" t="str">
        <f>_xlfn.XLOOKUP(AU584,[2]GAE!HZ:HZ,[2]GAE!IG:IG)</f>
        <v>Internal and external consultants</v>
      </c>
      <c r="BC584" t="s">
        <v>168</v>
      </c>
      <c r="BD584" s="2" t="s">
        <v>171</v>
      </c>
      <c r="BE584" s="2"/>
      <c r="BF584" t="s">
        <v>93</v>
      </c>
      <c r="BG584" s="2" t="s">
        <v>168</v>
      </c>
      <c r="BH584" s="10">
        <f>SUMIFS('[1]2026'!$K:$K,'[1]2026'!$T:$T,BD584,'[1]2026'!$S:$S,BH$3,'[1]2026'!$P:$P,AU584)</f>
        <v>0</v>
      </c>
      <c r="BI584" s="10">
        <f>SUMIFS('[1]2026'!$K:$K,'[1]2026'!$T:$T,$BD584,'[1]2026'!$S:$S,BI$3,'[1]2026'!$P:$P,$AU584)</f>
        <v>0</v>
      </c>
      <c r="BJ584" s="10">
        <f>SUMIFS('[1]2026'!$K:$K,'[1]2026'!$T:$T,$BD584,'[1]2026'!$S:$S,BJ$3,'[1]2026'!$P:$P,$AU584)</f>
        <v>0</v>
      </c>
      <c r="BK584" s="10">
        <f>SUMIFS('[1]2026'!$K:$K,'[1]2026'!$T:$T,$BD584,'[1]2026'!$S:$S,BK$3,'[1]2026'!$P:$P,$AU584)</f>
        <v>0</v>
      </c>
      <c r="BL584" s="10">
        <f>SUMIFS('[1]2026'!$K:$K,'[1]2026'!$T:$T,$BD584,'[1]2026'!$S:$S,BL$3,'[1]2026'!$P:$P,$AU584)</f>
        <v>341376</v>
      </c>
      <c r="BM584" s="10">
        <f>SUMIFS('[1]2026'!$K:$K,'[1]2026'!$T:$T,$BD584,'[1]2026'!$S:$S,BM$3,'[1]2026'!$P:$P,$AU584)</f>
        <v>0</v>
      </c>
      <c r="BN584" s="10">
        <f>SUMIFS('[1]2026'!$K:$K,'[1]2026'!$T:$T,$BD584,'[1]2026'!$S:$S,BN$3,'[1]2026'!$P:$P,$AU584)</f>
        <v>0</v>
      </c>
      <c r="BO584" s="10">
        <f>SUMIFS('[1]2026'!$K:$K,'[1]2026'!$T:$T,$BD584,'[1]2026'!$S:$S,BO$3,'[1]2026'!$P:$P,$AU584)</f>
        <v>0</v>
      </c>
      <c r="BP584" s="6"/>
      <c r="BQ584" s="6"/>
      <c r="BR584" s="6"/>
      <c r="BS584" s="6"/>
      <c r="BT584" s="6">
        <f t="shared" si="356"/>
        <v>341376</v>
      </c>
      <c r="BV584" s="6">
        <f t="shared" si="376"/>
        <v>0</v>
      </c>
      <c r="BW584" s="6">
        <f t="shared" si="377"/>
        <v>0</v>
      </c>
      <c r="BX584" s="6">
        <f t="shared" si="378"/>
        <v>0</v>
      </c>
      <c r="BY584" s="6">
        <f t="shared" si="379"/>
        <v>0</v>
      </c>
      <c r="BZ584" s="6">
        <f t="shared" si="380"/>
        <v>341376</v>
      </c>
      <c r="CA584" s="6">
        <f t="shared" si="381"/>
        <v>0</v>
      </c>
      <c r="CB584" s="6">
        <f t="shared" si="382"/>
        <v>0</v>
      </c>
      <c r="CC584" s="6">
        <f t="shared" si="383"/>
        <v>0</v>
      </c>
      <c r="CD584" s="6">
        <f t="shared" si="384"/>
        <v>0</v>
      </c>
      <c r="CE584" s="6">
        <f t="shared" si="385"/>
        <v>0</v>
      </c>
      <c r="CF584" s="6">
        <f t="shared" si="386"/>
        <v>0</v>
      </c>
      <c r="CG584" s="6">
        <f t="shared" si="387"/>
        <v>-336042</v>
      </c>
      <c r="CH584" s="6">
        <f t="shared" si="396"/>
        <v>5334</v>
      </c>
    </row>
    <row r="585" spans="1:86" hidden="1" x14ac:dyDescent="0.35">
      <c r="A585" s="3" t="s">
        <v>1003</v>
      </c>
      <c r="M585" s="10">
        <v>264600</v>
      </c>
      <c r="N585" s="27">
        <f t="shared" si="392"/>
        <v>264600</v>
      </c>
      <c r="AA585" s="27">
        <f t="shared" si="393"/>
        <v>0</v>
      </c>
      <c r="AB585" s="10">
        <f t="shared" si="399"/>
        <v>0</v>
      </c>
      <c r="AC585" s="10">
        <f t="shared" si="399"/>
        <v>0</v>
      </c>
      <c r="AD585" s="10">
        <f t="shared" si="399"/>
        <v>0</v>
      </c>
      <c r="AE585" s="10">
        <f t="shared" si="399"/>
        <v>0</v>
      </c>
      <c r="AF585" s="10">
        <f t="shared" si="399"/>
        <v>0</v>
      </c>
      <c r="AG585" s="10">
        <f t="shared" si="399"/>
        <v>0</v>
      </c>
      <c r="AH585" s="10">
        <f t="shared" si="399"/>
        <v>0</v>
      </c>
      <c r="AI585" s="10">
        <f t="shared" si="399"/>
        <v>0</v>
      </c>
      <c r="AJ585" s="10">
        <f t="shared" si="398"/>
        <v>0</v>
      </c>
      <c r="AK585" s="10">
        <f t="shared" si="398"/>
        <v>0</v>
      </c>
      <c r="AL585" s="10">
        <f t="shared" si="398"/>
        <v>0</v>
      </c>
      <c r="AM585" s="10">
        <f t="shared" si="398"/>
        <v>264600</v>
      </c>
      <c r="AN585" s="27">
        <f t="shared" si="398"/>
        <v>264600</v>
      </c>
      <c r="AO585" s="28">
        <v>264000</v>
      </c>
      <c r="AP585" t="s">
        <v>1004</v>
      </c>
      <c r="AS585" t="str">
        <f>_xlfn.XLOOKUP(AU585,[2]GAE!HZ:HZ,[2]GAE!IA:IA)</f>
        <v>CORPORATE ACCOUNTING</v>
      </c>
      <c r="AT585" t="str">
        <f>_xlfn.XLOOKUP(AU585,[2]GAE!HZ:HZ,[2]GAE!IB:IB)</f>
        <v>GAE - Prof. Fees - Audit</v>
      </c>
      <c r="AU585" t="s">
        <v>1007</v>
      </c>
      <c r="AV585">
        <v>90134102</v>
      </c>
      <c r="AW585">
        <v>61071001</v>
      </c>
      <c r="AX585" t="str">
        <f>_xlfn.XLOOKUP(AU585,[2]GAE!HZ:HZ,[2]GAE!IF:IF)</f>
        <v>Professional fees</v>
      </c>
      <c r="AY585" t="str">
        <f>_xlfn.XLOOKUP(AU585,[2]GAE!HZ:HZ,[2]GAE!IG:IG)</f>
        <v>Internal and external consultants</v>
      </c>
      <c r="BC585" t="s">
        <v>168</v>
      </c>
      <c r="BD585" s="2" t="s">
        <v>171</v>
      </c>
      <c r="BE585" s="2"/>
      <c r="BF585" t="s">
        <v>93</v>
      </c>
      <c r="BG585" s="2" t="s">
        <v>168</v>
      </c>
      <c r="BH585" s="10">
        <f>SUMIFS('[1]2026'!$K:$K,'[1]2026'!$T:$T,BD585,'[1]2026'!$S:$S,BH$3,'[1]2026'!$P:$P,AU585)</f>
        <v>0</v>
      </c>
      <c r="BI585" s="10">
        <f>SUMIFS('[1]2026'!$K:$K,'[1]2026'!$T:$T,$BD585,'[1]2026'!$S:$S,BI$3,'[1]2026'!$P:$P,$AU585)</f>
        <v>0</v>
      </c>
      <c r="BJ585" s="10">
        <f>SUMIFS('[1]2026'!$K:$K,'[1]2026'!$T:$T,$BD585,'[1]2026'!$S:$S,BJ$3,'[1]2026'!$P:$P,$AU585)</f>
        <v>0</v>
      </c>
      <c r="BK585" s="10">
        <f>SUMIFS('[1]2026'!$K:$K,'[1]2026'!$T:$T,$BD585,'[1]2026'!$S:$S,BK$3,'[1]2026'!$P:$P,$AU585)</f>
        <v>0</v>
      </c>
      <c r="BL585" s="10">
        <f>SUMIFS('[1]2026'!$K:$K,'[1]2026'!$T:$T,$BD585,'[1]2026'!$S:$S,BL$3,'[1]2026'!$P:$P,$AU585)</f>
        <v>240000</v>
      </c>
      <c r="BM585" s="10">
        <f>SUMIFS('[1]2026'!$K:$K,'[1]2026'!$T:$T,$BD585,'[1]2026'!$S:$S,BM$3,'[1]2026'!$P:$P,$AU585)</f>
        <v>0</v>
      </c>
      <c r="BN585" s="10">
        <f>SUMIFS('[1]2026'!$K:$K,'[1]2026'!$T:$T,$BD585,'[1]2026'!$S:$S,BN$3,'[1]2026'!$P:$P,$AU585)</f>
        <v>0</v>
      </c>
      <c r="BO585" s="10">
        <f>SUMIFS('[1]2026'!$K:$K,'[1]2026'!$T:$T,$BD585,'[1]2026'!$S:$S,BO$3,'[1]2026'!$P:$P,$AU585)</f>
        <v>0</v>
      </c>
      <c r="BP585" s="6"/>
      <c r="BQ585" s="6"/>
      <c r="BR585" s="6"/>
      <c r="BS585" s="6"/>
      <c r="BT585" s="6">
        <f t="shared" si="356"/>
        <v>240000</v>
      </c>
      <c r="BV585" s="6">
        <f t="shared" si="376"/>
        <v>0</v>
      </c>
      <c r="BW585" s="6">
        <f t="shared" si="377"/>
        <v>0</v>
      </c>
      <c r="BX585" s="6">
        <f t="shared" si="378"/>
        <v>0</v>
      </c>
      <c r="BY585" s="6">
        <f t="shared" si="379"/>
        <v>0</v>
      </c>
      <c r="BZ585" s="6">
        <f t="shared" si="380"/>
        <v>240000</v>
      </c>
      <c r="CA585" s="6">
        <f t="shared" si="381"/>
        <v>0</v>
      </c>
      <c r="CB585" s="6">
        <f t="shared" si="382"/>
        <v>0</v>
      </c>
      <c r="CC585" s="6">
        <f t="shared" si="383"/>
        <v>0</v>
      </c>
      <c r="CD585" s="6">
        <f t="shared" si="384"/>
        <v>0</v>
      </c>
      <c r="CE585" s="6">
        <f t="shared" si="385"/>
        <v>0</v>
      </c>
      <c r="CF585" s="6">
        <f t="shared" si="386"/>
        <v>0</v>
      </c>
      <c r="CG585" s="6">
        <f t="shared" si="387"/>
        <v>-264600</v>
      </c>
      <c r="CH585" s="6">
        <f t="shared" si="396"/>
        <v>-24600</v>
      </c>
    </row>
    <row r="586" spans="1:86" hidden="1" x14ac:dyDescent="0.35">
      <c r="A586" s="3" t="s">
        <v>1008</v>
      </c>
      <c r="M586" s="10">
        <v>107427.6</v>
      </c>
      <c r="N586" s="27">
        <f t="shared" si="392"/>
        <v>107427.6</v>
      </c>
      <c r="AA586" s="27">
        <f t="shared" si="393"/>
        <v>0</v>
      </c>
      <c r="AB586" s="10">
        <f t="shared" si="399"/>
        <v>0</v>
      </c>
      <c r="AC586" s="10">
        <f t="shared" si="399"/>
        <v>0</v>
      </c>
      <c r="AD586" s="10">
        <f t="shared" si="399"/>
        <v>0</v>
      </c>
      <c r="AE586" s="10">
        <f t="shared" si="399"/>
        <v>0</v>
      </c>
      <c r="AF586" s="10">
        <f t="shared" si="399"/>
        <v>0</v>
      </c>
      <c r="AG586" s="10">
        <f t="shared" si="399"/>
        <v>0</v>
      </c>
      <c r="AH586" s="10">
        <f t="shared" si="399"/>
        <v>0</v>
      </c>
      <c r="AI586" s="10">
        <f t="shared" si="399"/>
        <v>0</v>
      </c>
      <c r="AJ586" s="10">
        <f t="shared" si="398"/>
        <v>0</v>
      </c>
      <c r="AK586" s="10">
        <f t="shared" si="398"/>
        <v>0</v>
      </c>
      <c r="AL586" s="10">
        <f t="shared" si="398"/>
        <v>0</v>
      </c>
      <c r="AM586" s="10">
        <f t="shared" si="398"/>
        <v>107427.6</v>
      </c>
      <c r="AN586" s="27">
        <f t="shared" si="398"/>
        <v>107427.6</v>
      </c>
      <c r="AS586" t="str">
        <f>_xlfn.XLOOKUP(AU586,[2]GAE!HZ:HZ,[2]GAE!IA:IA)</f>
        <v>CORPORATE ACCOUNTING</v>
      </c>
      <c r="AT586" t="str">
        <f>_xlfn.XLOOKUP(AU586,[2]GAE!HZ:HZ,[2]GAE!IB:IB)</f>
        <v>GAE - Prof. Fees - OPE</v>
      </c>
      <c r="AU586" t="s">
        <v>1009</v>
      </c>
      <c r="AV586">
        <v>80134102</v>
      </c>
      <c r="AW586">
        <v>61071006</v>
      </c>
      <c r="AX586" t="str">
        <f>_xlfn.XLOOKUP(AU586,[2]GAE!HZ:HZ,[2]GAE!IF:IF)</f>
        <v>Professional fees</v>
      </c>
      <c r="AY586" t="str">
        <f>_xlfn.XLOOKUP(AU586,[2]GAE!HZ:HZ,[2]GAE!IG:IG)</f>
        <v>Internal and external consultants</v>
      </c>
      <c r="BC586" t="s">
        <v>170</v>
      </c>
      <c r="BD586" t="s">
        <v>170</v>
      </c>
      <c r="BF586" t="s">
        <v>93</v>
      </c>
      <c r="BG586" s="2" t="s">
        <v>169</v>
      </c>
      <c r="BH586" s="10">
        <f>SUMIFS('[1]2026'!$K:$K,'[1]2026'!$T:$T,BD586,'[1]2026'!$S:$S,BH$3,'[1]2026'!$P:$P,AU586)</f>
        <v>0</v>
      </c>
      <c r="BI586" s="10">
        <f>SUMIFS('[1]2026'!$K:$K,'[1]2026'!$T:$T,$BD586,'[1]2026'!$S:$S,BI$3,'[1]2026'!$P:$P,$AU586)</f>
        <v>0</v>
      </c>
      <c r="BJ586" s="10">
        <f>SUMIFS('[1]2026'!$K:$K,'[1]2026'!$T:$T,$BD586,'[1]2026'!$S:$S,BJ$3,'[1]2026'!$P:$P,$AU586)</f>
        <v>0</v>
      </c>
      <c r="BK586" s="10">
        <f>SUMIFS('[1]2026'!$K:$K,'[1]2026'!$T:$T,$BD586,'[1]2026'!$S:$S,BK$3,'[1]2026'!$P:$P,$AU586)</f>
        <v>0</v>
      </c>
      <c r="BL586" s="10">
        <f>SUMIFS('[1]2026'!$K:$K,'[1]2026'!$T:$T,$BD586,'[1]2026'!$S:$S,BL$3,'[1]2026'!$P:$P,$AU586)</f>
        <v>0</v>
      </c>
      <c r="BM586" s="10">
        <f>SUMIFS('[1]2026'!$K:$K,'[1]2026'!$T:$T,$BD586,'[1]2026'!$S:$S,BM$3,'[1]2026'!$P:$P,$AU586)</f>
        <v>107184</v>
      </c>
      <c r="BN586" s="10">
        <f>SUMIFS('[1]2026'!$K:$K,'[1]2026'!$T:$T,$BD586,'[1]2026'!$S:$S,BN$3,'[1]2026'!$P:$P,$AU586)</f>
        <v>0</v>
      </c>
      <c r="BO586" s="10">
        <f>SUMIFS('[1]2026'!$K:$K,'[1]2026'!$T:$T,$BD586,'[1]2026'!$S:$S,BO$3,'[1]2026'!$P:$P,$AU586)</f>
        <v>0</v>
      </c>
      <c r="BP586" s="6"/>
      <c r="BQ586" s="6"/>
      <c r="BR586" s="6"/>
      <c r="BS586" s="6"/>
      <c r="BT586" s="6">
        <f t="shared" si="356"/>
        <v>107184</v>
      </c>
      <c r="BV586" s="6">
        <f t="shared" si="376"/>
        <v>0</v>
      </c>
      <c r="BW586" s="6">
        <f t="shared" si="377"/>
        <v>0</v>
      </c>
      <c r="BX586" s="6">
        <f t="shared" si="378"/>
        <v>0</v>
      </c>
      <c r="BY586" s="6">
        <f t="shared" si="379"/>
        <v>0</v>
      </c>
      <c r="BZ586" s="6">
        <f t="shared" si="380"/>
        <v>0</v>
      </c>
      <c r="CA586" s="6">
        <f t="shared" si="381"/>
        <v>107184</v>
      </c>
      <c r="CB586" s="6">
        <f t="shared" si="382"/>
        <v>0</v>
      </c>
      <c r="CC586" s="6">
        <f t="shared" si="383"/>
        <v>0</v>
      </c>
      <c r="CD586" s="6">
        <f t="shared" si="384"/>
        <v>0</v>
      </c>
      <c r="CE586" s="6">
        <f t="shared" si="385"/>
        <v>0</v>
      </c>
      <c r="CF586" s="6">
        <f t="shared" si="386"/>
        <v>0</v>
      </c>
      <c r="CG586" s="6">
        <f t="shared" si="387"/>
        <v>-107427.6</v>
      </c>
      <c r="CH586" s="6">
        <f t="shared" si="396"/>
        <v>-243.60000000000582</v>
      </c>
    </row>
    <row r="587" spans="1:86" hidden="1" x14ac:dyDescent="0.35">
      <c r="A587" s="3" t="s">
        <v>1008</v>
      </c>
      <c r="M587" s="10">
        <v>33604.199999999997</v>
      </c>
      <c r="N587" s="27">
        <f t="shared" si="392"/>
        <v>33604.199999999997</v>
      </c>
      <c r="AA587" s="27">
        <f t="shared" si="393"/>
        <v>0</v>
      </c>
      <c r="AB587" s="10">
        <f t="shared" si="399"/>
        <v>0</v>
      </c>
      <c r="AC587" s="10">
        <f t="shared" si="399"/>
        <v>0</v>
      </c>
      <c r="AD587" s="10">
        <f t="shared" si="399"/>
        <v>0</v>
      </c>
      <c r="AE587" s="10">
        <f t="shared" si="399"/>
        <v>0</v>
      </c>
      <c r="AF587" s="10">
        <f t="shared" si="399"/>
        <v>0</v>
      </c>
      <c r="AG587" s="10">
        <f t="shared" si="399"/>
        <v>0</v>
      </c>
      <c r="AH587" s="10">
        <f t="shared" si="399"/>
        <v>0</v>
      </c>
      <c r="AI587" s="10">
        <f t="shared" si="399"/>
        <v>0</v>
      </c>
      <c r="AJ587" s="10">
        <f t="shared" si="398"/>
        <v>0</v>
      </c>
      <c r="AK587" s="10">
        <f t="shared" si="398"/>
        <v>0</v>
      </c>
      <c r="AL587" s="10">
        <f t="shared" si="398"/>
        <v>0</v>
      </c>
      <c r="AM587" s="10">
        <f t="shared" si="398"/>
        <v>33604.199999999997</v>
      </c>
      <c r="AN587" s="27">
        <f t="shared" si="398"/>
        <v>33604.199999999997</v>
      </c>
      <c r="AS587" t="str">
        <f>_xlfn.XLOOKUP(AU587,[2]GAE!HZ:HZ,[2]GAE!IA:IA)</f>
        <v>CORPORATE ACCOUNTING</v>
      </c>
      <c r="AT587" t="str">
        <f>_xlfn.XLOOKUP(AU587,[2]GAE!HZ:HZ,[2]GAE!IB:IB)</f>
        <v>GAE - Prof. Fees - OPE</v>
      </c>
      <c r="AU587" t="s">
        <v>1010</v>
      </c>
      <c r="AV587">
        <v>81134102</v>
      </c>
      <c r="AW587">
        <v>61071006</v>
      </c>
      <c r="AX587" t="str">
        <f>_xlfn.XLOOKUP(AU587,[2]GAE!HZ:HZ,[2]GAE!IF:IF)</f>
        <v>Professional fees</v>
      </c>
      <c r="AY587" t="str">
        <f>_xlfn.XLOOKUP(AU587,[2]GAE!HZ:HZ,[2]GAE!IG:IG)</f>
        <v>Internal and external consultants</v>
      </c>
      <c r="BC587" t="s">
        <v>171</v>
      </c>
      <c r="BD587" t="s">
        <v>171</v>
      </c>
      <c r="BF587" t="s">
        <v>93</v>
      </c>
      <c r="BG587" s="2" t="s">
        <v>168</v>
      </c>
      <c r="BH587" s="10">
        <f>SUMIFS('[1]2026'!$K:$K,'[1]2026'!$T:$T,BD587,'[1]2026'!$S:$S,BH$3,'[1]2026'!$P:$P,AU587)</f>
        <v>0</v>
      </c>
      <c r="BI587" s="10">
        <f>SUMIFS('[1]2026'!$K:$K,'[1]2026'!$T:$T,$BD587,'[1]2026'!$S:$S,BI$3,'[1]2026'!$P:$P,$AU587)</f>
        <v>0</v>
      </c>
      <c r="BJ587" s="10">
        <f>SUMIFS('[1]2026'!$K:$K,'[1]2026'!$T:$T,$BD587,'[1]2026'!$S:$S,BJ$3,'[1]2026'!$P:$P,$AU587)</f>
        <v>0</v>
      </c>
      <c r="BK587" s="10">
        <f>SUMIFS('[1]2026'!$K:$K,'[1]2026'!$T:$T,$BD587,'[1]2026'!$S:$S,BK$3,'[1]2026'!$P:$P,$AU587)</f>
        <v>0</v>
      </c>
      <c r="BL587" s="10">
        <f>SUMIFS('[1]2026'!$K:$K,'[1]2026'!$T:$T,$BD587,'[1]2026'!$S:$S,BL$3,'[1]2026'!$P:$P,$AU587)</f>
        <v>34137.599999999999</v>
      </c>
      <c r="BM587" s="10">
        <f>SUMIFS('[1]2026'!$K:$K,'[1]2026'!$T:$T,$BD587,'[1]2026'!$S:$S,BM$3,'[1]2026'!$P:$P,$AU587)</f>
        <v>0</v>
      </c>
      <c r="BN587" s="10">
        <f>SUMIFS('[1]2026'!$K:$K,'[1]2026'!$T:$T,$BD587,'[1]2026'!$S:$S,BN$3,'[1]2026'!$P:$P,$AU587)</f>
        <v>0</v>
      </c>
      <c r="BO587" s="10">
        <f>SUMIFS('[1]2026'!$K:$K,'[1]2026'!$T:$T,$BD587,'[1]2026'!$S:$S,BO$3,'[1]2026'!$P:$P,$AU587)</f>
        <v>0</v>
      </c>
      <c r="BP587" s="6"/>
      <c r="BQ587" s="6"/>
      <c r="BR587" s="6"/>
      <c r="BS587" s="6"/>
      <c r="BT587" s="6">
        <f t="shared" si="356"/>
        <v>34137.599999999999</v>
      </c>
      <c r="BV587" s="6">
        <f t="shared" si="376"/>
        <v>0</v>
      </c>
      <c r="BW587" s="6">
        <f t="shared" si="377"/>
        <v>0</v>
      </c>
      <c r="BX587" s="6">
        <f t="shared" si="378"/>
        <v>0</v>
      </c>
      <c r="BY587" s="6">
        <f t="shared" si="379"/>
        <v>0</v>
      </c>
      <c r="BZ587" s="6">
        <f t="shared" si="380"/>
        <v>34137.599999999999</v>
      </c>
      <c r="CA587" s="6">
        <f t="shared" si="381"/>
        <v>0</v>
      </c>
      <c r="CB587" s="6">
        <f t="shared" si="382"/>
        <v>0</v>
      </c>
      <c r="CC587" s="6">
        <f t="shared" si="383"/>
        <v>0</v>
      </c>
      <c r="CD587" s="6">
        <f t="shared" si="384"/>
        <v>0</v>
      </c>
      <c r="CE587" s="6">
        <f t="shared" si="385"/>
        <v>0</v>
      </c>
      <c r="CF587" s="6">
        <f t="shared" si="386"/>
        <v>0</v>
      </c>
      <c r="CG587" s="6">
        <f t="shared" si="387"/>
        <v>-33604.199999999997</v>
      </c>
      <c r="CH587" s="6">
        <f t="shared" si="396"/>
        <v>533.40000000000146</v>
      </c>
    </row>
    <row r="588" spans="1:86" hidden="1" x14ac:dyDescent="0.35">
      <c r="A588" s="3" t="s">
        <v>1008</v>
      </c>
      <c r="M588" s="10">
        <v>26460</v>
      </c>
      <c r="N588" s="27">
        <f t="shared" si="392"/>
        <v>26460</v>
      </c>
      <c r="AA588" s="27">
        <f t="shared" si="393"/>
        <v>0</v>
      </c>
      <c r="AB588" s="10">
        <f t="shared" si="399"/>
        <v>0</v>
      </c>
      <c r="AC588" s="10">
        <f t="shared" si="399"/>
        <v>0</v>
      </c>
      <c r="AD588" s="10">
        <f t="shared" si="399"/>
        <v>0</v>
      </c>
      <c r="AE588" s="10">
        <f t="shared" si="399"/>
        <v>0</v>
      </c>
      <c r="AF588" s="10">
        <f t="shared" si="399"/>
        <v>0</v>
      </c>
      <c r="AG588" s="10">
        <f t="shared" si="399"/>
        <v>0</v>
      </c>
      <c r="AH588" s="10">
        <f t="shared" si="399"/>
        <v>0</v>
      </c>
      <c r="AI588" s="10">
        <f t="shared" si="399"/>
        <v>0</v>
      </c>
      <c r="AJ588" s="10">
        <f t="shared" si="398"/>
        <v>0</v>
      </c>
      <c r="AK588" s="10">
        <f t="shared" si="398"/>
        <v>0</v>
      </c>
      <c r="AL588" s="10">
        <f t="shared" si="398"/>
        <v>0</v>
      </c>
      <c r="AM588" s="10">
        <f t="shared" si="398"/>
        <v>26460</v>
      </c>
      <c r="AN588" s="27">
        <f t="shared" si="398"/>
        <v>26460</v>
      </c>
      <c r="AS588" t="str">
        <f>_xlfn.XLOOKUP(AU588,[2]GAE!HZ:HZ,[2]GAE!IA:IA)</f>
        <v>CORPORATE ACCOUNTING</v>
      </c>
      <c r="AT588" t="str">
        <f>_xlfn.XLOOKUP(AU588,[2]GAE!HZ:HZ,[2]GAE!IB:IB)</f>
        <v>GAE - Prof. Fees - OPE</v>
      </c>
      <c r="AU588" t="s">
        <v>1011</v>
      </c>
      <c r="AV588">
        <v>90134102</v>
      </c>
      <c r="AW588">
        <v>61071006</v>
      </c>
      <c r="AX588" t="str">
        <f>_xlfn.XLOOKUP(AU588,[2]GAE!HZ:HZ,[2]GAE!IF:IF)</f>
        <v>Professional fees</v>
      </c>
      <c r="AY588" t="str">
        <f>_xlfn.XLOOKUP(AU588,[2]GAE!HZ:HZ,[2]GAE!IG:IG)</f>
        <v>Internal and external consultants</v>
      </c>
      <c r="BF588" t="s">
        <v>93</v>
      </c>
      <c r="BG588" s="2" t="s">
        <v>168</v>
      </c>
      <c r="BH588" s="10">
        <f>SUMIFS('[1]2026'!$K:$K,'[1]2026'!$T:$T,BD588,'[1]2026'!$S:$S,BH$3,'[1]2026'!$P:$P,AU588)</f>
        <v>0</v>
      </c>
      <c r="BI588" s="10">
        <f>SUMIFS('[1]2026'!$K:$K,'[1]2026'!$T:$T,$BD588,'[1]2026'!$S:$S,BI$3,'[1]2026'!$P:$P,$AU588)</f>
        <v>0</v>
      </c>
      <c r="BJ588" s="10">
        <f>SUMIFS('[1]2026'!$K:$K,'[1]2026'!$T:$T,$BD588,'[1]2026'!$S:$S,BJ$3,'[1]2026'!$P:$P,$AU588)</f>
        <v>0</v>
      </c>
      <c r="BK588" s="10">
        <f>SUMIFS('[1]2026'!$K:$K,'[1]2026'!$T:$T,$BD588,'[1]2026'!$S:$S,BK$3,'[1]2026'!$P:$P,$AU588)</f>
        <v>0</v>
      </c>
      <c r="BL588" s="10">
        <f>SUMIFS('[1]2026'!$K:$K,'[1]2026'!$T:$T,$BD588,'[1]2026'!$S:$S,BL$3,'[1]2026'!$P:$P,$AU588)</f>
        <v>0</v>
      </c>
      <c r="BM588" s="10">
        <f>SUMIFS('[1]2026'!$K:$K,'[1]2026'!$T:$T,$BD588,'[1]2026'!$S:$S,BM$3,'[1]2026'!$P:$P,$AU588)</f>
        <v>0</v>
      </c>
      <c r="BN588" s="10">
        <f>SUMIFS('[1]2026'!$K:$K,'[1]2026'!$T:$T,$BD588,'[1]2026'!$S:$S,BN$3,'[1]2026'!$P:$P,$AU588)</f>
        <v>0</v>
      </c>
      <c r="BO588" s="10">
        <f>SUMIFS('[1]2026'!$K:$K,'[1]2026'!$T:$T,$BD588,'[1]2026'!$S:$S,BO$3,'[1]2026'!$P:$P,$AU588)</f>
        <v>0</v>
      </c>
      <c r="BP588" s="6"/>
      <c r="BQ588" s="6"/>
      <c r="BR588" s="6"/>
      <c r="BS588" s="6"/>
      <c r="BT588" s="6">
        <f t="shared" si="356"/>
        <v>0</v>
      </c>
      <c r="BV588" s="6">
        <f t="shared" si="376"/>
        <v>0</v>
      </c>
      <c r="BW588" s="6">
        <f t="shared" si="377"/>
        <v>0</v>
      </c>
      <c r="BX588" s="6">
        <f t="shared" si="378"/>
        <v>0</v>
      </c>
      <c r="BY588" s="6">
        <f t="shared" si="379"/>
        <v>0</v>
      </c>
      <c r="BZ588" s="6">
        <f t="shared" si="380"/>
        <v>0</v>
      </c>
      <c r="CA588" s="6">
        <f t="shared" si="381"/>
        <v>0</v>
      </c>
      <c r="CB588" s="6">
        <f t="shared" si="382"/>
        <v>0</v>
      </c>
      <c r="CC588" s="6">
        <f t="shared" si="383"/>
        <v>0</v>
      </c>
      <c r="CD588" s="6">
        <f t="shared" si="384"/>
        <v>0</v>
      </c>
      <c r="CE588" s="6">
        <f t="shared" si="385"/>
        <v>0</v>
      </c>
      <c r="CF588" s="6">
        <f t="shared" si="386"/>
        <v>0</v>
      </c>
      <c r="CG588" s="6">
        <f t="shared" si="387"/>
        <v>-26460</v>
      </c>
      <c r="CH588" s="6">
        <f t="shared" si="396"/>
        <v>-26460</v>
      </c>
    </row>
    <row r="589" spans="1:86" hidden="1" x14ac:dyDescent="0.35">
      <c r="A589" s="3" t="s">
        <v>1012</v>
      </c>
      <c r="M589" s="10">
        <v>500000</v>
      </c>
      <c r="N589" s="27">
        <f t="shared" si="392"/>
        <v>500000</v>
      </c>
      <c r="AA589" s="27">
        <f t="shared" si="393"/>
        <v>0</v>
      </c>
      <c r="AB589" s="10">
        <f t="shared" si="399"/>
        <v>0</v>
      </c>
      <c r="AC589" s="10">
        <f t="shared" si="399"/>
        <v>0</v>
      </c>
      <c r="AD589" s="10">
        <f t="shared" si="399"/>
        <v>0</v>
      </c>
      <c r="AE589" s="10">
        <f t="shared" si="399"/>
        <v>0</v>
      </c>
      <c r="AF589" s="10">
        <f t="shared" si="399"/>
        <v>0</v>
      </c>
      <c r="AG589" s="10">
        <f t="shared" si="399"/>
        <v>0</v>
      </c>
      <c r="AH589" s="10">
        <f t="shared" si="399"/>
        <v>0</v>
      </c>
      <c r="AI589" s="10">
        <f t="shared" si="399"/>
        <v>0</v>
      </c>
      <c r="AJ589" s="10">
        <f t="shared" si="398"/>
        <v>0</v>
      </c>
      <c r="AK589" s="10">
        <f t="shared" si="398"/>
        <v>0</v>
      </c>
      <c r="AL589" s="10">
        <f t="shared" si="398"/>
        <v>0</v>
      </c>
      <c r="AM589" s="10">
        <f t="shared" si="398"/>
        <v>500000</v>
      </c>
      <c r="AN589" s="27">
        <f t="shared" si="398"/>
        <v>500000</v>
      </c>
      <c r="AO589" s="28">
        <v>712000</v>
      </c>
      <c r="AP589" t="s">
        <v>1013</v>
      </c>
      <c r="AR589">
        <v>2020</v>
      </c>
      <c r="AS589" t="str">
        <f>_xlfn.XLOOKUP(AU589,[2]GAE!HZ:HZ,[2]GAE!IA:IA)</f>
        <v>CORPORATE ACCOUNTING</v>
      </c>
      <c r="AT589" t="str">
        <f>_xlfn.XLOOKUP(AU589,[2]GAE!HZ:HZ,[2]GAE!IB:IB)</f>
        <v>GAE - Prof. Fees - Audit</v>
      </c>
      <c r="AU589" t="s">
        <v>1007</v>
      </c>
      <c r="AV589">
        <v>90134102</v>
      </c>
      <c r="AW589">
        <v>61071001</v>
      </c>
      <c r="AX589" t="str">
        <f>_xlfn.XLOOKUP(AU589,[2]GAE!HZ:HZ,[2]GAE!IF:IF)</f>
        <v>Professional fees</v>
      </c>
      <c r="AY589" t="str">
        <f>_xlfn.XLOOKUP(AU589,[2]GAE!HZ:HZ,[2]GAE!IG:IG)</f>
        <v>Internal and external consultants</v>
      </c>
      <c r="BF589" t="s">
        <v>93</v>
      </c>
      <c r="BG589" t="s">
        <v>172</v>
      </c>
      <c r="BH589" s="10">
        <f>SUMIFS('[1]2026'!$K:$K,'[1]2026'!$T:$T,BD589,'[1]2026'!$S:$S,BH$3,'[1]2026'!$P:$P,AU589)</f>
        <v>0</v>
      </c>
      <c r="BI589" s="10">
        <f>SUMIFS('[1]2026'!$K:$K,'[1]2026'!$T:$T,$BD589,'[1]2026'!$S:$S,BI$3,'[1]2026'!$P:$P,$AU589)</f>
        <v>0</v>
      </c>
      <c r="BJ589" s="10">
        <f>SUMIFS('[1]2026'!$K:$K,'[1]2026'!$T:$T,$BD589,'[1]2026'!$S:$S,BJ$3,'[1]2026'!$P:$P,$AU589)</f>
        <v>0</v>
      </c>
      <c r="BK589" s="10">
        <f>SUMIFS('[1]2026'!$K:$K,'[1]2026'!$T:$T,$BD589,'[1]2026'!$S:$S,BK$3,'[1]2026'!$P:$P,$AU589)</f>
        <v>0</v>
      </c>
      <c r="BL589" s="10">
        <f>SUMIFS('[1]2026'!$K:$K,'[1]2026'!$T:$T,$BD589,'[1]2026'!$S:$S,BL$3,'[1]2026'!$P:$P,$AU589)</f>
        <v>0</v>
      </c>
      <c r="BM589" s="10">
        <f>SUMIFS('[1]2026'!$K:$K,'[1]2026'!$T:$T,$BD589,'[1]2026'!$S:$S,BM$3,'[1]2026'!$P:$P,$AU589)</f>
        <v>0</v>
      </c>
      <c r="BN589" s="10">
        <f>SUMIFS('[1]2026'!$K:$K,'[1]2026'!$T:$T,$BD589,'[1]2026'!$S:$S,BN$3,'[1]2026'!$P:$P,$AU589)</f>
        <v>0</v>
      </c>
      <c r="BO589" s="10">
        <f>SUMIFS('[1]2026'!$K:$K,'[1]2026'!$T:$T,$BD589,'[1]2026'!$S:$S,BO$3,'[1]2026'!$P:$P,$AU589)</f>
        <v>0</v>
      </c>
      <c r="BP589" s="6">
        <f t="shared" ref="BP589:BS593" si="400">BO589</f>
        <v>0</v>
      </c>
      <c r="BQ589" s="6">
        <f t="shared" si="400"/>
        <v>0</v>
      </c>
      <c r="BR589" s="6">
        <f t="shared" si="400"/>
        <v>0</v>
      </c>
      <c r="BS589" s="6">
        <f t="shared" si="400"/>
        <v>0</v>
      </c>
      <c r="BT589" s="6">
        <f t="shared" si="356"/>
        <v>0</v>
      </c>
      <c r="BV589" s="6">
        <f t="shared" si="376"/>
        <v>0</v>
      </c>
      <c r="BW589" s="6">
        <f t="shared" si="377"/>
        <v>0</v>
      </c>
      <c r="BX589" s="6">
        <f t="shared" si="378"/>
        <v>0</v>
      </c>
      <c r="BY589" s="6">
        <f t="shared" si="379"/>
        <v>0</v>
      </c>
      <c r="BZ589" s="6">
        <f t="shared" si="380"/>
        <v>0</v>
      </c>
      <c r="CA589" s="6">
        <f t="shared" si="381"/>
        <v>0</v>
      </c>
      <c r="CB589" s="6">
        <f t="shared" si="382"/>
        <v>0</v>
      </c>
      <c r="CC589" s="6">
        <f t="shared" si="383"/>
        <v>0</v>
      </c>
      <c r="CD589" s="6">
        <f t="shared" si="384"/>
        <v>0</v>
      </c>
      <c r="CE589" s="6">
        <f t="shared" si="385"/>
        <v>0</v>
      </c>
      <c r="CF589" s="6">
        <f t="shared" si="386"/>
        <v>0</v>
      </c>
      <c r="CG589" s="6">
        <f t="shared" si="387"/>
        <v>-500000</v>
      </c>
      <c r="CH589" s="6">
        <f t="shared" si="396"/>
        <v>-500000</v>
      </c>
    </row>
    <row r="590" spans="1:86" hidden="1" x14ac:dyDescent="0.35">
      <c r="A590" s="3" t="s">
        <v>1014</v>
      </c>
      <c r="M590" s="10">
        <v>75000</v>
      </c>
      <c r="N590" s="27">
        <f t="shared" si="392"/>
        <v>75000</v>
      </c>
      <c r="AA590" s="27">
        <f t="shared" si="393"/>
        <v>0</v>
      </c>
      <c r="AB590" s="10">
        <f t="shared" si="399"/>
        <v>0</v>
      </c>
      <c r="AC590" s="10">
        <f t="shared" si="399"/>
        <v>0</v>
      </c>
      <c r="AD590" s="10">
        <f t="shared" si="399"/>
        <v>0</v>
      </c>
      <c r="AE590" s="10">
        <f t="shared" si="399"/>
        <v>0</v>
      </c>
      <c r="AF590" s="10">
        <f t="shared" si="399"/>
        <v>0</v>
      </c>
      <c r="AG590" s="10">
        <f t="shared" si="399"/>
        <v>0</v>
      </c>
      <c r="AH590" s="10">
        <f t="shared" si="399"/>
        <v>0</v>
      </c>
      <c r="AI590" s="10">
        <f t="shared" si="399"/>
        <v>0</v>
      </c>
      <c r="AJ590" s="10">
        <f t="shared" si="398"/>
        <v>0</v>
      </c>
      <c r="AK590" s="10">
        <f t="shared" si="398"/>
        <v>0</v>
      </c>
      <c r="AL590" s="10">
        <f t="shared" si="398"/>
        <v>0</v>
      </c>
      <c r="AM590" s="10">
        <f t="shared" si="398"/>
        <v>75000</v>
      </c>
      <c r="AN590" s="27">
        <f t="shared" si="398"/>
        <v>75000</v>
      </c>
      <c r="AP590" t="s">
        <v>1013</v>
      </c>
      <c r="AR590">
        <v>2020</v>
      </c>
      <c r="AS590" t="str">
        <f>_xlfn.XLOOKUP(AU590,[2]GAE!HZ:HZ,[2]GAE!IA:IA)</f>
        <v>CORPORATE ACCOUNTING</v>
      </c>
      <c r="AT590" t="str">
        <f>_xlfn.XLOOKUP(AU590,[2]GAE!HZ:HZ,[2]GAE!IB:IB)</f>
        <v>GAE - Prof. Fees - OPE</v>
      </c>
      <c r="AU590" t="s">
        <v>1011</v>
      </c>
      <c r="AV590">
        <v>90134102</v>
      </c>
      <c r="AW590">
        <v>61071006</v>
      </c>
      <c r="AX590" t="str">
        <f>_xlfn.XLOOKUP(AU590,[2]GAE!HZ:HZ,[2]GAE!IF:IF)</f>
        <v>Professional fees</v>
      </c>
      <c r="AY590" t="str">
        <f>_xlfn.XLOOKUP(AU590,[2]GAE!HZ:HZ,[2]GAE!IG:IG)</f>
        <v>Internal and external consultants</v>
      </c>
      <c r="BF590" t="s">
        <v>93</v>
      </c>
      <c r="BG590" t="s">
        <v>172</v>
      </c>
      <c r="BH590" s="10">
        <f>SUMIFS('[1]2026'!$K:$K,'[1]2026'!$T:$T,BD590,'[1]2026'!$S:$S,BH$3,'[1]2026'!$P:$P,AU590)</f>
        <v>0</v>
      </c>
      <c r="BI590" s="10">
        <f>SUMIFS('[1]2026'!$K:$K,'[1]2026'!$T:$T,$BD590,'[1]2026'!$S:$S,BI$3,'[1]2026'!$P:$P,$AU590)</f>
        <v>0</v>
      </c>
      <c r="BJ590" s="10">
        <f>SUMIFS('[1]2026'!$K:$K,'[1]2026'!$T:$T,$BD590,'[1]2026'!$S:$S,BJ$3,'[1]2026'!$P:$P,$AU590)</f>
        <v>0</v>
      </c>
      <c r="BK590" s="10">
        <f>SUMIFS('[1]2026'!$K:$K,'[1]2026'!$T:$T,$BD590,'[1]2026'!$S:$S,BK$3,'[1]2026'!$P:$P,$AU590)</f>
        <v>0</v>
      </c>
      <c r="BL590" s="10">
        <f>SUMIFS('[1]2026'!$K:$K,'[1]2026'!$T:$T,$BD590,'[1]2026'!$S:$S,BL$3,'[1]2026'!$P:$P,$AU590)</f>
        <v>0</v>
      </c>
      <c r="BM590" s="10">
        <f>SUMIFS('[1]2026'!$K:$K,'[1]2026'!$T:$T,$BD590,'[1]2026'!$S:$S,BM$3,'[1]2026'!$P:$P,$AU590)</f>
        <v>0</v>
      </c>
      <c r="BN590" s="10">
        <f>SUMIFS('[1]2026'!$K:$K,'[1]2026'!$T:$T,$BD590,'[1]2026'!$S:$S,BN$3,'[1]2026'!$P:$P,$AU590)</f>
        <v>0</v>
      </c>
      <c r="BO590" s="10">
        <f>SUMIFS('[1]2026'!$K:$K,'[1]2026'!$T:$T,$BD590,'[1]2026'!$S:$S,BO$3,'[1]2026'!$P:$P,$AU590)</f>
        <v>0</v>
      </c>
      <c r="BP590" s="6">
        <f t="shared" si="400"/>
        <v>0</v>
      </c>
      <c r="BQ590" s="6">
        <f t="shared" si="400"/>
        <v>0</v>
      </c>
      <c r="BR590" s="6">
        <f t="shared" si="400"/>
        <v>0</v>
      </c>
      <c r="BS590" s="6">
        <f t="shared" si="400"/>
        <v>0</v>
      </c>
      <c r="BT590" s="6">
        <f t="shared" si="356"/>
        <v>0</v>
      </c>
      <c r="BV590" s="6">
        <f t="shared" si="376"/>
        <v>0</v>
      </c>
      <c r="BW590" s="6">
        <f t="shared" si="377"/>
        <v>0</v>
      </c>
      <c r="BX590" s="6">
        <f t="shared" si="378"/>
        <v>0</v>
      </c>
      <c r="BY590" s="6">
        <f t="shared" si="379"/>
        <v>0</v>
      </c>
      <c r="BZ590" s="6">
        <f t="shared" si="380"/>
        <v>0</v>
      </c>
      <c r="CA590" s="6">
        <f t="shared" si="381"/>
        <v>0</v>
      </c>
      <c r="CB590" s="6">
        <f t="shared" si="382"/>
        <v>0</v>
      </c>
      <c r="CC590" s="6">
        <f t="shared" si="383"/>
        <v>0</v>
      </c>
      <c r="CD590" s="6">
        <f t="shared" si="384"/>
        <v>0</v>
      </c>
      <c r="CE590" s="6">
        <f t="shared" si="385"/>
        <v>0</v>
      </c>
      <c r="CF590" s="6">
        <f t="shared" si="386"/>
        <v>0</v>
      </c>
      <c r="CG590" s="6">
        <f t="shared" si="387"/>
        <v>-75000</v>
      </c>
      <c r="CH590" s="6">
        <f t="shared" si="396"/>
        <v>-75000</v>
      </c>
    </row>
    <row r="591" spans="1:86" hidden="1" x14ac:dyDescent="0.35">
      <c r="A591" s="3" t="s">
        <v>1015</v>
      </c>
      <c r="M591" s="10">
        <v>500000</v>
      </c>
      <c r="N591" s="27">
        <f t="shared" si="392"/>
        <v>500000</v>
      </c>
      <c r="AA591" s="27">
        <f t="shared" si="393"/>
        <v>0</v>
      </c>
      <c r="AB591" s="10">
        <f t="shared" si="399"/>
        <v>0</v>
      </c>
      <c r="AC591" s="10">
        <f t="shared" si="399"/>
        <v>0</v>
      </c>
      <c r="AD591" s="10">
        <f t="shared" si="399"/>
        <v>0</v>
      </c>
      <c r="AE591" s="10">
        <f t="shared" si="399"/>
        <v>0</v>
      </c>
      <c r="AF591" s="10">
        <f t="shared" si="399"/>
        <v>0</v>
      </c>
      <c r="AG591" s="10">
        <f t="shared" si="399"/>
        <v>0</v>
      </c>
      <c r="AH591" s="10">
        <f t="shared" si="399"/>
        <v>0</v>
      </c>
      <c r="AI591" s="10">
        <f t="shared" si="399"/>
        <v>0</v>
      </c>
      <c r="AJ591" s="10">
        <f t="shared" si="398"/>
        <v>0</v>
      </c>
      <c r="AK591" s="10">
        <f t="shared" si="398"/>
        <v>0</v>
      </c>
      <c r="AL591" s="10">
        <f t="shared" si="398"/>
        <v>0</v>
      </c>
      <c r="AM591" s="10">
        <f t="shared" si="398"/>
        <v>500000</v>
      </c>
      <c r="AN591" s="27">
        <f t="shared" si="398"/>
        <v>500000</v>
      </c>
      <c r="AP591" t="s">
        <v>1013</v>
      </c>
      <c r="AR591">
        <v>2020</v>
      </c>
      <c r="AS591" t="str">
        <f>_xlfn.XLOOKUP(AU591,[2]GAE!HZ:HZ,[2]GAE!IA:IA)</f>
        <v>CORPORATE ACCOUNTING</v>
      </c>
      <c r="AT591" t="str">
        <f>_xlfn.XLOOKUP(AU591,[2]GAE!HZ:HZ,[2]GAE!IB:IB)</f>
        <v>GAE - Prof. Fees - Audit</v>
      </c>
      <c r="AU591" t="s">
        <v>1005</v>
      </c>
      <c r="AV591">
        <v>80134102</v>
      </c>
      <c r="AW591">
        <v>61071001</v>
      </c>
      <c r="AX591" t="str">
        <f>_xlfn.XLOOKUP(AU591,[2]GAE!HZ:HZ,[2]GAE!IF:IF)</f>
        <v>Professional fees</v>
      </c>
      <c r="AY591" t="str">
        <f>_xlfn.XLOOKUP(AU591,[2]GAE!HZ:HZ,[2]GAE!IG:IG)</f>
        <v>Internal and external consultants</v>
      </c>
      <c r="BF591" t="s">
        <v>93</v>
      </c>
      <c r="BG591" t="s">
        <v>172</v>
      </c>
      <c r="BH591" s="10">
        <f>SUMIFS('[1]2026'!$K:$K,'[1]2026'!$T:$T,BD591,'[1]2026'!$S:$S,BH$3,'[1]2026'!$P:$P,AU591)</f>
        <v>0</v>
      </c>
      <c r="BI591" s="10">
        <f>SUMIFS('[1]2026'!$K:$K,'[1]2026'!$T:$T,$BD591,'[1]2026'!$S:$S,BI$3,'[1]2026'!$P:$P,$AU591)</f>
        <v>0</v>
      </c>
      <c r="BJ591" s="10">
        <f>SUMIFS('[1]2026'!$K:$K,'[1]2026'!$T:$T,$BD591,'[1]2026'!$S:$S,BJ$3,'[1]2026'!$P:$P,$AU591)</f>
        <v>0</v>
      </c>
      <c r="BK591" s="10">
        <f>SUMIFS('[1]2026'!$K:$K,'[1]2026'!$T:$T,$BD591,'[1]2026'!$S:$S,BK$3,'[1]2026'!$P:$P,$AU591)</f>
        <v>0</v>
      </c>
      <c r="BL591" s="10">
        <f>SUMIFS('[1]2026'!$K:$K,'[1]2026'!$T:$T,$BD591,'[1]2026'!$S:$S,BL$3,'[1]2026'!$P:$P,$AU591)</f>
        <v>0</v>
      </c>
      <c r="BM591" s="10">
        <f>SUMIFS('[1]2026'!$K:$K,'[1]2026'!$T:$T,$BD591,'[1]2026'!$S:$S,BM$3,'[1]2026'!$P:$P,$AU591)</f>
        <v>0</v>
      </c>
      <c r="BN591" s="10">
        <f>SUMIFS('[1]2026'!$K:$K,'[1]2026'!$T:$T,$BD591,'[1]2026'!$S:$S,BN$3,'[1]2026'!$P:$P,$AU591)</f>
        <v>0</v>
      </c>
      <c r="BO591" s="10">
        <f>SUMIFS('[1]2026'!$K:$K,'[1]2026'!$T:$T,$BD591,'[1]2026'!$S:$S,BO$3,'[1]2026'!$P:$P,$AU591)</f>
        <v>0</v>
      </c>
      <c r="BP591" s="6">
        <f t="shared" si="400"/>
        <v>0</v>
      </c>
      <c r="BQ591" s="6">
        <f t="shared" si="400"/>
        <v>0</v>
      </c>
      <c r="BR591" s="6">
        <f t="shared" si="400"/>
        <v>0</v>
      </c>
      <c r="BS591" s="6">
        <f t="shared" si="400"/>
        <v>0</v>
      </c>
      <c r="BT591" s="6">
        <f t="shared" si="356"/>
        <v>0</v>
      </c>
      <c r="BV591" s="6">
        <f t="shared" si="376"/>
        <v>0</v>
      </c>
      <c r="BW591" s="6">
        <f t="shared" si="377"/>
        <v>0</v>
      </c>
      <c r="BX591" s="6">
        <f t="shared" si="378"/>
        <v>0</v>
      </c>
      <c r="BY591" s="6">
        <f t="shared" si="379"/>
        <v>0</v>
      </c>
      <c r="BZ591" s="6">
        <f t="shared" si="380"/>
        <v>0</v>
      </c>
      <c r="CA591" s="6">
        <f t="shared" si="381"/>
        <v>0</v>
      </c>
      <c r="CB591" s="6">
        <f t="shared" si="382"/>
        <v>0</v>
      </c>
      <c r="CC591" s="6">
        <f t="shared" si="383"/>
        <v>0</v>
      </c>
      <c r="CD591" s="6">
        <f t="shared" si="384"/>
        <v>0</v>
      </c>
      <c r="CE591" s="6">
        <f t="shared" si="385"/>
        <v>0</v>
      </c>
      <c r="CF591" s="6">
        <f t="shared" si="386"/>
        <v>0</v>
      </c>
      <c r="CG591" s="6">
        <f t="shared" si="387"/>
        <v>-500000</v>
      </c>
      <c r="CH591" s="6">
        <f t="shared" si="396"/>
        <v>-500000</v>
      </c>
    </row>
    <row r="592" spans="1:86" hidden="1" x14ac:dyDescent="0.35">
      <c r="A592" s="3" t="s">
        <v>1016</v>
      </c>
      <c r="M592" s="10">
        <v>75000</v>
      </c>
      <c r="N592" s="27">
        <f t="shared" si="392"/>
        <v>75000</v>
      </c>
      <c r="AA592" s="27">
        <f t="shared" si="393"/>
        <v>0</v>
      </c>
      <c r="AB592" s="10">
        <f t="shared" si="399"/>
        <v>0</v>
      </c>
      <c r="AC592" s="10">
        <f t="shared" si="399"/>
        <v>0</v>
      </c>
      <c r="AD592" s="10">
        <f t="shared" si="399"/>
        <v>0</v>
      </c>
      <c r="AE592" s="10">
        <f t="shared" si="399"/>
        <v>0</v>
      </c>
      <c r="AF592" s="10">
        <f t="shared" si="399"/>
        <v>0</v>
      </c>
      <c r="AG592" s="10">
        <f t="shared" si="399"/>
        <v>0</v>
      </c>
      <c r="AH592" s="10">
        <f t="shared" si="399"/>
        <v>0</v>
      </c>
      <c r="AI592" s="10">
        <f t="shared" si="399"/>
        <v>0</v>
      </c>
      <c r="AJ592" s="10">
        <f t="shared" si="398"/>
        <v>0</v>
      </c>
      <c r="AK592" s="10">
        <f t="shared" si="398"/>
        <v>0</v>
      </c>
      <c r="AL592" s="10">
        <f t="shared" si="398"/>
        <v>0</v>
      </c>
      <c r="AM592" s="10">
        <f t="shared" si="398"/>
        <v>75000</v>
      </c>
      <c r="AN592" s="27">
        <f t="shared" si="398"/>
        <v>75000</v>
      </c>
      <c r="AP592" t="s">
        <v>1013</v>
      </c>
      <c r="AR592">
        <v>2020</v>
      </c>
      <c r="AS592" t="str">
        <f>_xlfn.XLOOKUP(AU592,[2]GAE!HZ:HZ,[2]GAE!IA:IA)</f>
        <v>CORPORATE ACCOUNTING</v>
      </c>
      <c r="AT592" t="str">
        <f>_xlfn.XLOOKUP(AU592,[2]GAE!HZ:HZ,[2]GAE!IB:IB)</f>
        <v>GAE - Prof. Fees - OPE</v>
      </c>
      <c r="AU592" t="s">
        <v>1009</v>
      </c>
      <c r="AV592">
        <v>80134102</v>
      </c>
      <c r="AW592">
        <v>61071006</v>
      </c>
      <c r="AX592" t="str">
        <f>_xlfn.XLOOKUP(AU592,[2]GAE!HZ:HZ,[2]GAE!IF:IF)</f>
        <v>Professional fees</v>
      </c>
      <c r="AY592" t="str">
        <f>_xlfn.XLOOKUP(AU592,[2]GAE!HZ:HZ,[2]GAE!IG:IG)</f>
        <v>Internal and external consultants</v>
      </c>
      <c r="BF592" t="s">
        <v>93</v>
      </c>
      <c r="BG592" t="s">
        <v>172</v>
      </c>
      <c r="BH592" s="10">
        <f>SUMIFS('[1]2026'!$K:$K,'[1]2026'!$T:$T,BD592,'[1]2026'!$S:$S,BH$3,'[1]2026'!$P:$P,AU592)</f>
        <v>0</v>
      </c>
      <c r="BI592" s="10">
        <f>SUMIFS('[1]2026'!$K:$K,'[1]2026'!$T:$T,$BD592,'[1]2026'!$S:$S,BI$3,'[1]2026'!$P:$P,$AU592)</f>
        <v>0</v>
      </c>
      <c r="BJ592" s="10">
        <f>SUMIFS('[1]2026'!$K:$K,'[1]2026'!$T:$T,$BD592,'[1]2026'!$S:$S,BJ$3,'[1]2026'!$P:$P,$AU592)</f>
        <v>0</v>
      </c>
      <c r="BK592" s="10">
        <f>SUMIFS('[1]2026'!$K:$K,'[1]2026'!$T:$T,$BD592,'[1]2026'!$S:$S,BK$3,'[1]2026'!$P:$P,$AU592)</f>
        <v>0</v>
      </c>
      <c r="BL592" s="10">
        <f>SUMIFS('[1]2026'!$K:$K,'[1]2026'!$T:$T,$BD592,'[1]2026'!$S:$S,BL$3,'[1]2026'!$P:$P,$AU592)</f>
        <v>0</v>
      </c>
      <c r="BM592" s="10">
        <f>SUMIFS('[1]2026'!$K:$K,'[1]2026'!$T:$T,$BD592,'[1]2026'!$S:$S,BM$3,'[1]2026'!$P:$P,$AU592)</f>
        <v>0</v>
      </c>
      <c r="BN592" s="10">
        <f>SUMIFS('[1]2026'!$K:$K,'[1]2026'!$T:$T,$BD592,'[1]2026'!$S:$S,BN$3,'[1]2026'!$P:$P,$AU592)</f>
        <v>0</v>
      </c>
      <c r="BO592" s="10">
        <f>SUMIFS('[1]2026'!$K:$K,'[1]2026'!$T:$T,$BD592,'[1]2026'!$S:$S,BO$3,'[1]2026'!$P:$P,$AU592)</f>
        <v>0</v>
      </c>
      <c r="BP592" s="6">
        <f t="shared" si="400"/>
        <v>0</v>
      </c>
      <c r="BQ592" s="6">
        <f t="shared" si="400"/>
        <v>0</v>
      </c>
      <c r="BR592" s="6">
        <f t="shared" si="400"/>
        <v>0</v>
      </c>
      <c r="BS592" s="6">
        <f t="shared" si="400"/>
        <v>0</v>
      </c>
      <c r="BT592" s="6">
        <f t="shared" si="356"/>
        <v>0</v>
      </c>
      <c r="BV592" s="6">
        <f t="shared" si="376"/>
        <v>0</v>
      </c>
      <c r="BW592" s="6">
        <f t="shared" si="377"/>
        <v>0</v>
      </c>
      <c r="BX592" s="6">
        <f t="shared" si="378"/>
        <v>0</v>
      </c>
      <c r="BY592" s="6">
        <f t="shared" si="379"/>
        <v>0</v>
      </c>
      <c r="BZ592" s="6">
        <f t="shared" si="380"/>
        <v>0</v>
      </c>
      <c r="CA592" s="6">
        <f t="shared" si="381"/>
        <v>0</v>
      </c>
      <c r="CB592" s="6">
        <f t="shared" si="382"/>
        <v>0</v>
      </c>
      <c r="CC592" s="6">
        <f t="shared" si="383"/>
        <v>0</v>
      </c>
      <c r="CD592" s="6">
        <f t="shared" si="384"/>
        <v>0</v>
      </c>
      <c r="CE592" s="6">
        <f t="shared" si="385"/>
        <v>0</v>
      </c>
      <c r="CF592" s="6">
        <f t="shared" si="386"/>
        <v>0</v>
      </c>
      <c r="CG592" s="6">
        <f t="shared" si="387"/>
        <v>-75000</v>
      </c>
      <c r="CH592" s="6">
        <f t="shared" si="396"/>
        <v>-75000</v>
      </c>
    </row>
    <row r="593" spans="1:86" hidden="1" x14ac:dyDescent="0.35">
      <c r="AN593" s="27">
        <f>N593-AA593</f>
        <v>0</v>
      </c>
      <c r="AS593" t="str">
        <f>_xlfn.XLOOKUP(AU593,[2]GAE!HZ:HZ,[2]GAE!IA:IA)</f>
        <v>CORPORATE ACCOUNTING</v>
      </c>
      <c r="AT593" t="str">
        <f>_xlfn.XLOOKUP(AU593,[2]GAE!HZ:HZ,[2]GAE!IB:IB)</f>
        <v>DOE - Prof. Fees - Consultants</v>
      </c>
      <c r="AU593" s="2" t="s">
        <v>1017</v>
      </c>
      <c r="AV593" s="2">
        <v>90134102</v>
      </c>
      <c r="AW593" s="2">
        <v>52071104</v>
      </c>
      <c r="AX593" t="str">
        <f>_xlfn.XLOOKUP(AU593,[2]GAE!HZ:HZ,[2]GAE!IF:IF)</f>
        <v>Professional fees</v>
      </c>
      <c r="AY593" t="str">
        <f>_xlfn.XLOOKUP(AU593,[2]GAE!HZ:HZ,[2]GAE!IG:IG)</f>
        <v>Internal and external consultants</v>
      </c>
      <c r="BD593" t="s">
        <v>1013</v>
      </c>
      <c r="BF593" t="s">
        <v>93</v>
      </c>
      <c r="BG593" s="2" t="s">
        <v>172</v>
      </c>
      <c r="BH593" s="10">
        <f>SUMIFS('[1]2026'!$K:$K,'[1]2026'!$T:$T,BD593,'[1]2026'!$S:$S,BH$3,'[1]2026'!$P:$P,AU593)</f>
        <v>0</v>
      </c>
      <c r="BI593" s="10">
        <f>SUMIFS('[1]2026'!$K:$K,'[1]2026'!$T:$T,$BD593,'[1]2026'!$S:$S,BI$3,'[1]2026'!$P:$P,$AU593)</f>
        <v>47000</v>
      </c>
      <c r="BJ593" s="10">
        <f>SUMIFS('[1]2026'!$K:$K,'[1]2026'!$T:$T,$BD593,'[1]2026'!$S:$S,BJ$3,'[1]2026'!$P:$P,$AU593)</f>
        <v>46000</v>
      </c>
      <c r="BK593" s="10">
        <f>SUMIFS('[1]2026'!$K:$K,'[1]2026'!$T:$T,$BD593,'[1]2026'!$S:$S,BK$3,'[1]2026'!$P:$P,$AU593)</f>
        <v>0</v>
      </c>
      <c r="BL593" s="10">
        <f>SUMIFS('[1]2026'!$K:$K,'[1]2026'!$T:$T,$BD593,'[1]2026'!$S:$S,BL$3,'[1]2026'!$P:$P,$AU593)</f>
        <v>0</v>
      </c>
      <c r="BM593" s="10">
        <f>SUMIFS('[1]2026'!$K:$K,'[1]2026'!$T:$T,$BD593,'[1]2026'!$S:$S,BM$3,'[1]2026'!$P:$P,$AU593)</f>
        <v>0</v>
      </c>
      <c r="BN593" s="10">
        <f>SUMIFS('[1]2026'!$K:$K,'[1]2026'!$T:$T,$BD593,'[1]2026'!$S:$S,BN$3,'[1]2026'!$P:$P,$AU593)</f>
        <v>0</v>
      </c>
      <c r="BO593" s="10">
        <f>SUMIFS('[1]2026'!$K:$K,'[1]2026'!$T:$T,$BD593,'[1]2026'!$S:$S,BO$3,'[1]2026'!$P:$P,$AU593)</f>
        <v>0</v>
      </c>
      <c r="BP593" s="6">
        <f t="shared" si="400"/>
        <v>0</v>
      </c>
      <c r="BQ593" s="6">
        <f t="shared" si="400"/>
        <v>0</v>
      </c>
      <c r="BR593" s="6">
        <f t="shared" si="400"/>
        <v>0</v>
      </c>
      <c r="BS593" s="6">
        <f t="shared" si="400"/>
        <v>0</v>
      </c>
      <c r="BT593" s="6">
        <f t="shared" si="356"/>
        <v>93000</v>
      </c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>
        <f t="shared" si="396"/>
        <v>93000</v>
      </c>
    </row>
    <row r="594" spans="1:86" hidden="1" x14ac:dyDescent="0.35">
      <c r="A594" s="3" t="s">
        <v>1018</v>
      </c>
      <c r="M594" s="10">
        <v>249999.99999999997</v>
      </c>
      <c r="N594" s="27">
        <f t="shared" si="392"/>
        <v>249999.99999999997</v>
      </c>
      <c r="AA594" s="27">
        <f t="shared" si="393"/>
        <v>0</v>
      </c>
      <c r="AB594" s="10">
        <f t="shared" si="399"/>
        <v>0</v>
      </c>
      <c r="AC594" s="10">
        <f t="shared" si="399"/>
        <v>0</v>
      </c>
      <c r="AD594" s="10">
        <f t="shared" si="399"/>
        <v>0</v>
      </c>
      <c r="AE594" s="10">
        <f t="shared" si="399"/>
        <v>0</v>
      </c>
      <c r="AF594" s="10">
        <f t="shared" si="399"/>
        <v>0</v>
      </c>
      <c r="AG594" s="10">
        <f t="shared" si="399"/>
        <v>0</v>
      </c>
      <c r="AH594" s="10">
        <f t="shared" si="399"/>
        <v>0</v>
      </c>
      <c r="AI594" s="10">
        <f t="shared" si="399"/>
        <v>0</v>
      </c>
      <c r="AJ594" s="10">
        <f t="shared" si="398"/>
        <v>0</v>
      </c>
      <c r="AK594" s="10">
        <f t="shared" si="398"/>
        <v>0</v>
      </c>
      <c r="AL594" s="10">
        <f t="shared" si="398"/>
        <v>0</v>
      </c>
      <c r="AM594" s="10">
        <f t="shared" si="398"/>
        <v>249999.99999999997</v>
      </c>
      <c r="AN594" s="27">
        <f t="shared" si="398"/>
        <v>249999.99999999997</v>
      </c>
      <c r="AO594" s="28">
        <v>2600000</v>
      </c>
      <c r="AP594" t="s">
        <v>173</v>
      </c>
      <c r="AS594" t="str">
        <f>_xlfn.XLOOKUP(AU594,[2]GAE!HZ:HZ,[2]GAE!IA:IA)</f>
        <v>TAX ACCOUNTING</v>
      </c>
      <c r="AT594" t="str">
        <f>_xlfn.XLOOKUP(AU594,[2]GAE!HZ:HZ,[2]GAE!IB:IB)</f>
        <v>GAE - Prof. Fees - Consultants</v>
      </c>
      <c r="AU594" t="s">
        <v>1019</v>
      </c>
      <c r="AV594">
        <v>80133102</v>
      </c>
      <c r="AW594">
        <v>61071004</v>
      </c>
      <c r="AX594" t="str">
        <f>_xlfn.XLOOKUP(AU594,[2]GAE!HZ:HZ,[2]GAE!IF:IF)</f>
        <v>Professional fees</v>
      </c>
      <c r="AY594" t="str">
        <f>_xlfn.XLOOKUP(AU594,[2]GAE!HZ:HZ,[2]GAE!IG:IG)</f>
        <v>Internal and external consultants</v>
      </c>
      <c r="BC594" t="s">
        <v>173</v>
      </c>
      <c r="BD594" s="30" t="s">
        <v>173</v>
      </c>
      <c r="BE594" s="30"/>
      <c r="BF594" t="s">
        <v>93</v>
      </c>
      <c r="BG594" s="2" t="s">
        <v>173</v>
      </c>
      <c r="BH594" s="10">
        <f>SUMIFS('[1]2026'!$K:$K,'[1]2026'!$T:$T,BD594,'[1]2026'!$S:$S,BH$3,'[1]2026'!$P:$P,AU594)</f>
        <v>0</v>
      </c>
      <c r="BI594" s="10">
        <f>SUMIFS('[1]2026'!$K:$K,'[1]2026'!$T:$T,$BD594,'[1]2026'!$S:$S,BI$3,'[1]2026'!$P:$P,$AU594)</f>
        <v>0</v>
      </c>
      <c r="BJ594" s="10">
        <f>SUMIFS('[1]2026'!$K:$K,'[1]2026'!$T:$T,$BD594,'[1]2026'!$S:$S,BJ$3,'[1]2026'!$P:$P,$AU594)</f>
        <v>0</v>
      </c>
      <c r="BK594" s="10">
        <f>SUMIFS('[1]2026'!$K:$K,'[1]2026'!$T:$T,$BD594,'[1]2026'!$S:$S,BK$3,'[1]2026'!$P:$P,$AU594)</f>
        <v>0</v>
      </c>
      <c r="BL594" s="10">
        <f>SUMIFS('[1]2026'!$K:$K,'[1]2026'!$T:$T,$BD594,'[1]2026'!$S:$S,BL$3,'[1]2026'!$P:$P,$AU594)</f>
        <v>250000</v>
      </c>
      <c r="BM594" s="10">
        <f>SUMIFS('[1]2026'!$K:$K,'[1]2026'!$T:$T,$BD594,'[1]2026'!$S:$S,BM$3,'[1]2026'!$P:$P,$AU594)</f>
        <v>250000</v>
      </c>
      <c r="BN594" s="10">
        <f>SUMIFS('[1]2026'!$K:$K,'[1]2026'!$T:$T,$BD594,'[1]2026'!$S:$S,BN$3,'[1]2026'!$P:$P,$AU594)</f>
        <v>0</v>
      </c>
      <c r="BO594" s="10">
        <f>SUMIFS('[1]2026'!$K:$K,'[1]2026'!$T:$T,$BD594,'[1]2026'!$S:$S,BO$3,'[1]2026'!$P:$P,$AU594)</f>
        <v>0</v>
      </c>
      <c r="BP594" s="6"/>
      <c r="BQ594" s="6"/>
      <c r="BR594" s="6"/>
      <c r="BS594" s="6"/>
      <c r="BT594" s="6">
        <f t="shared" si="356"/>
        <v>500000</v>
      </c>
      <c r="BV594" s="6">
        <f t="shared" ref="BV594:CG601" si="401">BH594-AB594</f>
        <v>0</v>
      </c>
      <c r="BW594" s="6">
        <f t="shared" si="401"/>
        <v>0</v>
      </c>
      <c r="BX594" s="6">
        <f t="shared" si="401"/>
        <v>0</v>
      </c>
      <c r="BY594" s="6">
        <f t="shared" si="401"/>
        <v>0</v>
      </c>
      <c r="BZ594" s="6">
        <f t="shared" si="401"/>
        <v>250000</v>
      </c>
      <c r="CA594" s="6">
        <f t="shared" si="401"/>
        <v>250000</v>
      </c>
      <c r="CB594" s="6">
        <f t="shared" si="401"/>
        <v>0</v>
      </c>
      <c r="CC594" s="6">
        <f t="shared" si="401"/>
        <v>0</v>
      </c>
      <c r="CD594" s="6">
        <f t="shared" si="401"/>
        <v>0</v>
      </c>
      <c r="CE594" s="6">
        <f t="shared" si="401"/>
        <v>0</v>
      </c>
      <c r="CF594" s="6">
        <f t="shared" si="401"/>
        <v>0</v>
      </c>
      <c r="CG594" s="6">
        <f t="shared" si="401"/>
        <v>-249999.99999999997</v>
      </c>
      <c r="CH594" s="6">
        <f t="shared" si="396"/>
        <v>250000.00000000003</v>
      </c>
    </row>
    <row r="595" spans="1:86" hidden="1" x14ac:dyDescent="0.35">
      <c r="A595" s="3" t="s">
        <v>1020</v>
      </c>
      <c r="M595" s="10">
        <v>249999.99999999997</v>
      </c>
      <c r="N595" s="27">
        <f t="shared" si="392"/>
        <v>249999.99999999997</v>
      </c>
      <c r="AA595" s="27">
        <f t="shared" si="393"/>
        <v>0</v>
      </c>
      <c r="AB595" s="10">
        <f t="shared" si="399"/>
        <v>0</v>
      </c>
      <c r="AC595" s="10">
        <f t="shared" si="399"/>
        <v>0</v>
      </c>
      <c r="AD595" s="10">
        <f t="shared" si="399"/>
        <v>0</v>
      </c>
      <c r="AE595" s="10">
        <f t="shared" si="399"/>
        <v>0</v>
      </c>
      <c r="AF595" s="10">
        <f t="shared" si="399"/>
        <v>0</v>
      </c>
      <c r="AG595" s="10">
        <f t="shared" si="399"/>
        <v>0</v>
      </c>
      <c r="AH595" s="10">
        <f t="shared" si="399"/>
        <v>0</v>
      </c>
      <c r="AI595" s="10">
        <f t="shared" si="399"/>
        <v>0</v>
      </c>
      <c r="AJ595" s="10">
        <f t="shared" si="398"/>
        <v>0</v>
      </c>
      <c r="AK595" s="10">
        <f t="shared" si="398"/>
        <v>0</v>
      </c>
      <c r="AL595" s="10">
        <f t="shared" si="398"/>
        <v>0</v>
      </c>
      <c r="AM595" s="10">
        <f t="shared" si="398"/>
        <v>249999.99999999997</v>
      </c>
      <c r="AN595" s="27">
        <f t="shared" si="398"/>
        <v>249999.99999999997</v>
      </c>
      <c r="AP595" t="s">
        <v>173</v>
      </c>
      <c r="AS595" t="str">
        <f>_xlfn.XLOOKUP(AU595,[2]GAE!HZ:HZ,[2]GAE!IA:IA)</f>
        <v>TAX ACCOUNTING</v>
      </c>
      <c r="AT595" t="str">
        <f>_xlfn.XLOOKUP(AU595,[2]GAE!HZ:HZ,[2]GAE!IB:IB)</f>
        <v>GAE - Prof. Fees - Consultants</v>
      </c>
      <c r="AU595" t="s">
        <v>1019</v>
      </c>
      <c r="AV595">
        <v>80133102</v>
      </c>
      <c r="AW595">
        <v>61071004</v>
      </c>
      <c r="AX595" t="str">
        <f>_xlfn.XLOOKUP(AU595,[2]GAE!HZ:HZ,[2]GAE!IF:IF)</f>
        <v>Professional fees</v>
      </c>
      <c r="AY595" t="str">
        <f>_xlfn.XLOOKUP(AU595,[2]GAE!HZ:HZ,[2]GAE!IG:IG)</f>
        <v>Internal and external consultants</v>
      </c>
      <c r="BF595" t="s">
        <v>93</v>
      </c>
      <c r="BG595" s="2" t="s">
        <v>173</v>
      </c>
      <c r="BH595" s="10">
        <f>SUMIFS('[1]2026'!$K:$K,'[1]2026'!$T:$T,BD595,'[1]2026'!$S:$S,BH$3,'[1]2026'!$P:$P,AU595)</f>
        <v>0</v>
      </c>
      <c r="BI595" s="10">
        <f>SUMIFS('[1]2026'!$K:$K,'[1]2026'!$T:$T,$BD595,'[1]2026'!$S:$S,BI$3,'[1]2026'!$P:$P,$AU595)</f>
        <v>0</v>
      </c>
      <c r="BJ595" s="10">
        <f>SUMIFS('[1]2026'!$K:$K,'[1]2026'!$T:$T,$BD595,'[1]2026'!$S:$S,BJ$3,'[1]2026'!$P:$P,$AU595)</f>
        <v>0</v>
      </c>
      <c r="BK595" s="10">
        <f>SUMIFS('[1]2026'!$K:$K,'[1]2026'!$T:$T,$BD595,'[1]2026'!$S:$S,BK$3,'[1]2026'!$P:$P,$AU595)</f>
        <v>0</v>
      </c>
      <c r="BL595" s="10">
        <f>SUMIFS('[1]2026'!$K:$K,'[1]2026'!$T:$T,$BD595,'[1]2026'!$S:$S,BL$3,'[1]2026'!$P:$P,$AU595)</f>
        <v>0</v>
      </c>
      <c r="BM595" s="10">
        <f>SUMIFS('[1]2026'!$K:$K,'[1]2026'!$T:$T,$BD595,'[1]2026'!$S:$S,BM$3,'[1]2026'!$P:$P,$AU595)</f>
        <v>0</v>
      </c>
      <c r="BN595" s="10">
        <f>SUMIFS('[1]2026'!$K:$K,'[1]2026'!$T:$T,$BD595,'[1]2026'!$S:$S,BN$3,'[1]2026'!$P:$P,$AU595)</f>
        <v>0</v>
      </c>
      <c r="BO595" s="10">
        <f>SUMIFS('[1]2026'!$K:$K,'[1]2026'!$T:$T,$BD595,'[1]2026'!$S:$S,BO$3,'[1]2026'!$P:$P,$AU595)</f>
        <v>0</v>
      </c>
      <c r="BP595" s="6">
        <f t="shared" ref="BP595:BS596" si="402">BO595</f>
        <v>0</v>
      </c>
      <c r="BQ595" s="6">
        <f t="shared" si="402"/>
        <v>0</v>
      </c>
      <c r="BR595" s="6">
        <f t="shared" si="402"/>
        <v>0</v>
      </c>
      <c r="BS595" s="6">
        <f t="shared" si="402"/>
        <v>0</v>
      </c>
      <c r="BT595" s="6">
        <f t="shared" si="356"/>
        <v>0</v>
      </c>
      <c r="BV595" s="6">
        <f t="shared" si="401"/>
        <v>0</v>
      </c>
      <c r="BW595" s="6">
        <f t="shared" si="401"/>
        <v>0</v>
      </c>
      <c r="BX595" s="6">
        <f t="shared" si="401"/>
        <v>0</v>
      </c>
      <c r="BY595" s="6">
        <f t="shared" si="401"/>
        <v>0</v>
      </c>
      <c r="BZ595" s="6">
        <f t="shared" si="401"/>
        <v>0</v>
      </c>
      <c r="CA595" s="6">
        <f t="shared" si="401"/>
        <v>0</v>
      </c>
      <c r="CB595" s="6">
        <f t="shared" si="401"/>
        <v>0</v>
      </c>
      <c r="CC595" s="6">
        <f t="shared" si="401"/>
        <v>0</v>
      </c>
      <c r="CD595" s="6">
        <f t="shared" si="401"/>
        <v>0</v>
      </c>
      <c r="CE595" s="6">
        <f t="shared" si="401"/>
        <v>0</v>
      </c>
      <c r="CF595" s="6">
        <f t="shared" si="401"/>
        <v>0</v>
      </c>
      <c r="CG595" s="6">
        <f t="shared" si="401"/>
        <v>-249999.99999999997</v>
      </c>
      <c r="CH595" s="6">
        <f t="shared" si="396"/>
        <v>-249999.99999999997</v>
      </c>
    </row>
    <row r="596" spans="1:86" hidden="1" x14ac:dyDescent="0.35">
      <c r="A596" s="3" t="s">
        <v>1021</v>
      </c>
      <c r="M596" s="10">
        <v>249999.99999999997</v>
      </c>
      <c r="N596" s="27">
        <f t="shared" si="392"/>
        <v>249999.99999999997</v>
      </c>
      <c r="AA596" s="27">
        <f t="shared" si="393"/>
        <v>0</v>
      </c>
      <c r="AB596" s="10">
        <f t="shared" si="399"/>
        <v>0</v>
      </c>
      <c r="AC596" s="10">
        <f t="shared" si="399"/>
        <v>0</v>
      </c>
      <c r="AD596" s="10">
        <f t="shared" si="399"/>
        <v>0</v>
      </c>
      <c r="AE596" s="10">
        <f t="shared" si="399"/>
        <v>0</v>
      </c>
      <c r="AF596" s="10">
        <f t="shared" si="399"/>
        <v>0</v>
      </c>
      <c r="AG596" s="10">
        <f t="shared" si="399"/>
        <v>0</v>
      </c>
      <c r="AH596" s="10">
        <f t="shared" si="399"/>
        <v>0</v>
      </c>
      <c r="AI596" s="10">
        <f t="shared" si="399"/>
        <v>0</v>
      </c>
      <c r="AJ596" s="10">
        <f t="shared" si="398"/>
        <v>0</v>
      </c>
      <c r="AK596" s="10">
        <f t="shared" si="398"/>
        <v>0</v>
      </c>
      <c r="AL596" s="10">
        <f t="shared" si="398"/>
        <v>0</v>
      </c>
      <c r="AM596" s="10">
        <f t="shared" si="398"/>
        <v>249999.99999999997</v>
      </c>
      <c r="AN596" s="27">
        <f t="shared" si="398"/>
        <v>249999.99999999997</v>
      </c>
      <c r="AP596" t="s">
        <v>173</v>
      </c>
      <c r="AS596" t="str">
        <f>_xlfn.XLOOKUP(AU596,[2]GAE!HZ:HZ,[2]GAE!IA:IA)</f>
        <v>TAX ACCOUNTING</v>
      </c>
      <c r="AT596" t="str">
        <f>_xlfn.XLOOKUP(AU596,[2]GAE!HZ:HZ,[2]GAE!IB:IB)</f>
        <v>DOE - Prof. Fees - Consultants</v>
      </c>
      <c r="AU596" t="s">
        <v>1022</v>
      </c>
      <c r="AV596">
        <v>81133102</v>
      </c>
      <c r="AW596">
        <v>52071104</v>
      </c>
      <c r="AX596" t="str">
        <f>_xlfn.XLOOKUP(AU596,[2]GAE!HZ:HZ,[2]GAE!IF:IF)</f>
        <v>Professional fees</v>
      </c>
      <c r="AY596" t="str">
        <f>_xlfn.XLOOKUP(AU596,[2]GAE!HZ:HZ,[2]GAE!IG:IG)</f>
        <v>Internal and external consultants</v>
      </c>
      <c r="BF596" t="s">
        <v>93</v>
      </c>
      <c r="BG596" s="2" t="s">
        <v>173</v>
      </c>
      <c r="BH596" s="10">
        <f>SUMIFS('[1]2026'!$K:$K,'[1]2026'!$T:$T,BD596,'[1]2026'!$S:$S,BH$3,'[1]2026'!$P:$P,AU596)</f>
        <v>0</v>
      </c>
      <c r="BI596" s="10">
        <f>SUMIFS('[1]2026'!$K:$K,'[1]2026'!$T:$T,$BD596,'[1]2026'!$S:$S,BI$3,'[1]2026'!$P:$P,$AU596)</f>
        <v>0</v>
      </c>
      <c r="BJ596" s="10">
        <f>SUMIFS('[1]2026'!$K:$K,'[1]2026'!$T:$T,$BD596,'[1]2026'!$S:$S,BJ$3,'[1]2026'!$P:$P,$AU596)</f>
        <v>0</v>
      </c>
      <c r="BK596" s="10">
        <f>SUMIFS('[1]2026'!$K:$K,'[1]2026'!$T:$T,$BD596,'[1]2026'!$S:$S,BK$3,'[1]2026'!$P:$P,$AU596)</f>
        <v>0</v>
      </c>
      <c r="BL596" s="10">
        <f>SUMIFS('[1]2026'!$K:$K,'[1]2026'!$T:$T,$BD596,'[1]2026'!$S:$S,BL$3,'[1]2026'!$P:$P,$AU596)</f>
        <v>0</v>
      </c>
      <c r="BM596" s="10">
        <f>SUMIFS('[1]2026'!$K:$K,'[1]2026'!$T:$T,$BD596,'[1]2026'!$S:$S,BM$3,'[1]2026'!$P:$P,$AU596)</f>
        <v>0</v>
      </c>
      <c r="BN596" s="10">
        <f>SUMIFS('[1]2026'!$K:$K,'[1]2026'!$T:$T,$BD596,'[1]2026'!$S:$S,BN$3,'[1]2026'!$P:$P,$AU596)</f>
        <v>0</v>
      </c>
      <c r="BO596" s="10">
        <f>SUMIFS('[1]2026'!$K:$K,'[1]2026'!$T:$T,$BD596,'[1]2026'!$S:$S,BO$3,'[1]2026'!$P:$P,$AU596)</f>
        <v>0</v>
      </c>
      <c r="BP596" s="6">
        <f t="shared" si="402"/>
        <v>0</v>
      </c>
      <c r="BQ596" s="6">
        <f t="shared" si="402"/>
        <v>0</v>
      </c>
      <c r="BR596" s="6">
        <f t="shared" si="402"/>
        <v>0</v>
      </c>
      <c r="BS596" s="6">
        <f t="shared" si="402"/>
        <v>0</v>
      </c>
      <c r="BT596" s="6">
        <f t="shared" si="356"/>
        <v>0</v>
      </c>
      <c r="BV596" s="6">
        <f t="shared" si="401"/>
        <v>0</v>
      </c>
      <c r="BW596" s="6">
        <f t="shared" si="401"/>
        <v>0</v>
      </c>
      <c r="BX596" s="6">
        <f t="shared" si="401"/>
        <v>0</v>
      </c>
      <c r="BY596" s="6">
        <f t="shared" si="401"/>
        <v>0</v>
      </c>
      <c r="BZ596" s="6">
        <f t="shared" si="401"/>
        <v>0</v>
      </c>
      <c r="CA596" s="6">
        <f t="shared" si="401"/>
        <v>0</v>
      </c>
      <c r="CB596" s="6">
        <f t="shared" si="401"/>
        <v>0</v>
      </c>
      <c r="CC596" s="6">
        <f t="shared" si="401"/>
        <v>0</v>
      </c>
      <c r="CD596" s="6">
        <f t="shared" si="401"/>
        <v>0</v>
      </c>
      <c r="CE596" s="6">
        <f t="shared" si="401"/>
        <v>0</v>
      </c>
      <c r="CF596" s="6">
        <f t="shared" si="401"/>
        <v>0</v>
      </c>
      <c r="CG596" s="6">
        <f t="shared" si="401"/>
        <v>-249999.99999999997</v>
      </c>
      <c r="CH596" s="6">
        <f t="shared" si="396"/>
        <v>-249999.99999999997</v>
      </c>
    </row>
    <row r="597" spans="1:86" hidden="1" x14ac:dyDescent="0.35">
      <c r="A597" s="3" t="s">
        <v>1023</v>
      </c>
      <c r="M597" s="10">
        <v>249999.99999999997</v>
      </c>
      <c r="N597" s="27">
        <f t="shared" si="392"/>
        <v>249999.99999999997</v>
      </c>
      <c r="AA597" s="27">
        <f t="shared" si="393"/>
        <v>0</v>
      </c>
      <c r="AB597" s="10">
        <f t="shared" si="399"/>
        <v>0</v>
      </c>
      <c r="AC597" s="10">
        <f t="shared" si="399"/>
        <v>0</v>
      </c>
      <c r="AD597" s="10">
        <f t="shared" si="399"/>
        <v>0</v>
      </c>
      <c r="AE597" s="10">
        <f t="shared" si="399"/>
        <v>0</v>
      </c>
      <c r="AF597" s="10">
        <f t="shared" si="399"/>
        <v>0</v>
      </c>
      <c r="AG597" s="10">
        <f t="shared" si="399"/>
        <v>0</v>
      </c>
      <c r="AH597" s="10">
        <f t="shared" si="399"/>
        <v>0</v>
      </c>
      <c r="AI597" s="10">
        <f t="shared" si="399"/>
        <v>0</v>
      </c>
      <c r="AJ597" s="10">
        <f t="shared" si="398"/>
        <v>0</v>
      </c>
      <c r="AK597" s="10">
        <f t="shared" si="398"/>
        <v>0</v>
      </c>
      <c r="AL597" s="10">
        <f t="shared" si="398"/>
        <v>0</v>
      </c>
      <c r="AM597" s="10">
        <f t="shared" si="398"/>
        <v>249999.99999999997</v>
      </c>
      <c r="AN597" s="27">
        <f t="shared" si="398"/>
        <v>249999.99999999997</v>
      </c>
      <c r="AP597" t="s">
        <v>173</v>
      </c>
      <c r="AS597" t="str">
        <f>_xlfn.XLOOKUP(AU597,[2]GAE!HZ:HZ,[2]GAE!IA:IA)</f>
        <v>TAX ACCOUNTING</v>
      </c>
      <c r="AT597" t="str">
        <f>_xlfn.XLOOKUP(AU597,[2]GAE!HZ:HZ,[2]GAE!IB:IB)</f>
        <v>DOE - Prof. Fees - Consultants</v>
      </c>
      <c r="AU597" t="s">
        <v>1022</v>
      </c>
      <c r="AV597">
        <v>81133102</v>
      </c>
      <c r="AW597">
        <v>52071104</v>
      </c>
      <c r="AX597" t="str">
        <f>_xlfn.XLOOKUP(AU597,[2]GAE!HZ:HZ,[2]GAE!IF:IF)</f>
        <v>Professional fees</v>
      </c>
      <c r="AY597" t="str">
        <f>_xlfn.XLOOKUP(AU597,[2]GAE!HZ:HZ,[2]GAE!IG:IG)</f>
        <v>Internal and external consultants</v>
      </c>
      <c r="BC597" t="s">
        <v>173</v>
      </c>
      <c r="BD597" s="2" t="s">
        <v>173</v>
      </c>
      <c r="BE597" s="2"/>
      <c r="BF597" t="s">
        <v>93</v>
      </c>
      <c r="BG597" s="2" t="s">
        <v>173</v>
      </c>
      <c r="BH597" s="10">
        <f>SUMIFS('[1]2026'!$K:$K,'[1]2026'!$T:$T,BD597,'[1]2026'!$S:$S,BH$3,'[1]2026'!$P:$P,AU597)</f>
        <v>0</v>
      </c>
      <c r="BI597" s="10">
        <f>SUMIFS('[1]2026'!$K:$K,'[1]2026'!$T:$T,$BD597,'[1]2026'!$S:$S,BI$3,'[1]2026'!$P:$P,$AU597)</f>
        <v>0</v>
      </c>
      <c r="BJ597" s="10">
        <f>SUMIFS('[1]2026'!$K:$K,'[1]2026'!$T:$T,$BD597,'[1]2026'!$S:$S,BJ$3,'[1]2026'!$P:$P,$AU597)</f>
        <v>0</v>
      </c>
      <c r="BK597" s="10">
        <f>SUMIFS('[1]2026'!$K:$K,'[1]2026'!$T:$T,$BD597,'[1]2026'!$S:$S,BK$3,'[1]2026'!$P:$P,$AU597)</f>
        <v>250000</v>
      </c>
      <c r="BL597" s="10">
        <f>SUMIFS('[1]2026'!$K:$K,'[1]2026'!$T:$T,$BD597,'[1]2026'!$S:$S,BL$3,'[1]2026'!$P:$P,$AU597)</f>
        <v>0</v>
      </c>
      <c r="BM597" s="10">
        <f>SUMIFS('[1]2026'!$K:$K,'[1]2026'!$T:$T,$BD597,'[1]2026'!$S:$S,BM$3,'[1]2026'!$P:$P,$AU597)</f>
        <v>250000</v>
      </c>
      <c r="BN597" s="10">
        <f>SUMIFS('[1]2026'!$K:$K,'[1]2026'!$T:$T,$BD597,'[1]2026'!$S:$S,BN$3,'[1]2026'!$P:$P,$AU597)</f>
        <v>0</v>
      </c>
      <c r="BO597" s="10">
        <f>SUMIFS('[1]2026'!$K:$K,'[1]2026'!$T:$T,$BD597,'[1]2026'!$S:$S,BO$3,'[1]2026'!$P:$P,$AU597)</f>
        <v>250000</v>
      </c>
      <c r="BP597" s="6"/>
      <c r="BQ597" s="6"/>
      <c r="BR597" s="6"/>
      <c r="BS597" s="6"/>
      <c r="BT597" s="6">
        <f t="shared" si="356"/>
        <v>750000</v>
      </c>
      <c r="BV597" s="6">
        <f t="shared" si="401"/>
        <v>0</v>
      </c>
      <c r="BW597" s="6">
        <f t="shared" si="401"/>
        <v>0</v>
      </c>
      <c r="BX597" s="6">
        <f t="shared" si="401"/>
        <v>0</v>
      </c>
      <c r="BY597" s="6">
        <f t="shared" si="401"/>
        <v>250000</v>
      </c>
      <c r="BZ597" s="6">
        <f t="shared" si="401"/>
        <v>0</v>
      </c>
      <c r="CA597" s="6">
        <f t="shared" si="401"/>
        <v>250000</v>
      </c>
      <c r="CB597" s="6">
        <f t="shared" si="401"/>
        <v>0</v>
      </c>
      <c r="CC597" s="6">
        <f t="shared" si="401"/>
        <v>250000</v>
      </c>
      <c r="CD597" s="6">
        <f t="shared" si="401"/>
        <v>0</v>
      </c>
      <c r="CE597" s="6">
        <f t="shared" si="401"/>
        <v>0</v>
      </c>
      <c r="CF597" s="6">
        <f t="shared" si="401"/>
        <v>0</v>
      </c>
      <c r="CG597" s="6">
        <f t="shared" si="401"/>
        <v>-249999.99999999997</v>
      </c>
      <c r="CH597" s="6">
        <f t="shared" si="396"/>
        <v>500000</v>
      </c>
    </row>
    <row r="598" spans="1:86" hidden="1" x14ac:dyDescent="0.35">
      <c r="A598" s="3" t="s">
        <v>1024</v>
      </c>
      <c r="M598" s="10">
        <v>225000</v>
      </c>
      <c r="N598" s="27">
        <f t="shared" si="392"/>
        <v>225000</v>
      </c>
      <c r="AA598" s="27">
        <f t="shared" si="393"/>
        <v>0</v>
      </c>
      <c r="AB598" s="10">
        <f t="shared" si="399"/>
        <v>0</v>
      </c>
      <c r="AC598" s="10">
        <f t="shared" si="399"/>
        <v>0</v>
      </c>
      <c r="AD598" s="10">
        <f t="shared" si="399"/>
        <v>0</v>
      </c>
      <c r="AE598" s="10">
        <f t="shared" si="399"/>
        <v>0</v>
      </c>
      <c r="AF598" s="10">
        <f t="shared" si="399"/>
        <v>0</v>
      </c>
      <c r="AG598" s="10">
        <f t="shared" si="399"/>
        <v>0</v>
      </c>
      <c r="AH598" s="10">
        <f t="shared" si="399"/>
        <v>0</v>
      </c>
      <c r="AI598" s="10">
        <f t="shared" si="399"/>
        <v>0</v>
      </c>
      <c r="AJ598" s="10">
        <f t="shared" si="398"/>
        <v>0</v>
      </c>
      <c r="AK598" s="10">
        <f t="shared" si="398"/>
        <v>0</v>
      </c>
      <c r="AL598" s="10">
        <f t="shared" si="398"/>
        <v>0</v>
      </c>
      <c r="AM598" s="10">
        <f t="shared" si="398"/>
        <v>225000</v>
      </c>
      <c r="AN598" s="27">
        <f t="shared" si="398"/>
        <v>225000</v>
      </c>
      <c r="AP598" t="s">
        <v>173</v>
      </c>
      <c r="AS598" t="str">
        <f>_xlfn.XLOOKUP(AU598,[2]GAE!HZ:HZ,[2]GAE!IA:IA)</f>
        <v>TAX ACCOUNTING</v>
      </c>
      <c r="AT598" t="str">
        <f>_xlfn.XLOOKUP(AU598,[2]GAE!HZ:HZ,[2]GAE!IB:IB)</f>
        <v>DOE - Prof. Fees - Consultants</v>
      </c>
      <c r="AU598" t="s">
        <v>1025</v>
      </c>
      <c r="AV598">
        <v>90133102</v>
      </c>
      <c r="AW598">
        <v>52071104</v>
      </c>
      <c r="AX598" t="str">
        <f>_xlfn.XLOOKUP(AU598,[2]GAE!HZ:HZ,[2]GAE!IF:IF)</f>
        <v>Professional fees</v>
      </c>
      <c r="AY598" t="str">
        <f>_xlfn.XLOOKUP(AU598,[2]GAE!HZ:HZ,[2]GAE!IG:IG)</f>
        <v>Internal and external consultants</v>
      </c>
      <c r="BC598" t="s">
        <v>173</v>
      </c>
      <c r="BD598" t="s">
        <v>173</v>
      </c>
      <c r="BF598" t="s">
        <v>93</v>
      </c>
      <c r="BG598" s="2" t="s">
        <v>173</v>
      </c>
      <c r="BH598" s="10">
        <f>SUMIFS('[1]2026'!$K:$K,'[1]2026'!$T:$T,BD598,'[1]2026'!$S:$S,BH$3,'[1]2026'!$P:$P,AU598)</f>
        <v>250000</v>
      </c>
      <c r="BI598" s="10">
        <f>SUMIFS('[1]2026'!$K:$K,'[1]2026'!$T:$T,$BD598,'[1]2026'!$S:$S,BI$3,'[1]2026'!$P:$P,$AU598)</f>
        <v>0</v>
      </c>
      <c r="BJ598" s="10">
        <f>SUMIFS('[1]2026'!$K:$K,'[1]2026'!$T:$T,$BD598,'[1]2026'!$S:$S,BJ$3,'[1]2026'!$P:$P,$AU598)</f>
        <v>0</v>
      </c>
      <c r="BK598" s="10">
        <f>SUMIFS('[1]2026'!$K:$K,'[1]2026'!$T:$T,$BD598,'[1]2026'!$S:$S,BK$3,'[1]2026'!$P:$P,$AU598)</f>
        <v>0</v>
      </c>
      <c r="BL598" s="10">
        <f>SUMIFS('[1]2026'!$K:$K,'[1]2026'!$T:$T,$BD598,'[1]2026'!$S:$S,BL$3,'[1]2026'!$P:$P,$AU598)</f>
        <v>0</v>
      </c>
      <c r="BM598" s="10">
        <f>SUMIFS('[1]2026'!$K:$K,'[1]2026'!$T:$T,$BD598,'[1]2026'!$S:$S,BM$3,'[1]2026'!$P:$P,$AU598)</f>
        <v>0</v>
      </c>
      <c r="BN598" s="10">
        <f>SUMIFS('[1]2026'!$K:$K,'[1]2026'!$T:$T,$BD598,'[1]2026'!$S:$S,BN$3,'[1]2026'!$P:$P,$AU598)</f>
        <v>0</v>
      </c>
      <c r="BO598" s="10">
        <f>SUMIFS('[1]2026'!$K:$K,'[1]2026'!$T:$T,$BD598,'[1]2026'!$S:$S,BO$3,'[1]2026'!$P:$P,$AU598)</f>
        <v>0</v>
      </c>
      <c r="BP598" s="6">
        <f t="shared" ref="BP598:BS609" si="403">BO598</f>
        <v>0</v>
      </c>
      <c r="BQ598" s="6">
        <f t="shared" si="403"/>
        <v>0</v>
      </c>
      <c r="BR598" s="6">
        <f t="shared" si="403"/>
        <v>0</v>
      </c>
      <c r="BS598" s="6">
        <f t="shared" si="403"/>
        <v>0</v>
      </c>
      <c r="BT598" s="6">
        <f t="shared" si="356"/>
        <v>250000</v>
      </c>
      <c r="BV598" s="6">
        <f t="shared" si="401"/>
        <v>250000</v>
      </c>
      <c r="BW598" s="6">
        <f t="shared" si="401"/>
        <v>0</v>
      </c>
      <c r="BX598" s="6">
        <f t="shared" si="401"/>
        <v>0</v>
      </c>
      <c r="BY598" s="6">
        <f t="shared" si="401"/>
        <v>0</v>
      </c>
      <c r="BZ598" s="6">
        <f t="shared" si="401"/>
        <v>0</v>
      </c>
      <c r="CA598" s="6">
        <f t="shared" si="401"/>
        <v>0</v>
      </c>
      <c r="CB598" s="6">
        <f t="shared" si="401"/>
        <v>0</v>
      </c>
      <c r="CC598" s="6">
        <f t="shared" si="401"/>
        <v>0</v>
      </c>
      <c r="CD598" s="6">
        <f t="shared" si="401"/>
        <v>0</v>
      </c>
      <c r="CE598" s="6">
        <f t="shared" si="401"/>
        <v>0</v>
      </c>
      <c r="CF598" s="6">
        <f t="shared" si="401"/>
        <v>0</v>
      </c>
      <c r="CG598" s="6">
        <f t="shared" si="401"/>
        <v>-225000</v>
      </c>
      <c r="CH598" s="6">
        <f t="shared" si="396"/>
        <v>25000</v>
      </c>
    </row>
    <row r="599" spans="1:86" hidden="1" x14ac:dyDescent="0.35">
      <c r="A599" s="3" t="s">
        <v>1026</v>
      </c>
      <c r="M599" s="10">
        <v>225000</v>
      </c>
      <c r="N599" s="27">
        <f t="shared" si="392"/>
        <v>225000</v>
      </c>
      <c r="AA599" s="27">
        <f t="shared" si="393"/>
        <v>0</v>
      </c>
      <c r="AB599" s="10">
        <f t="shared" si="399"/>
        <v>0</v>
      </c>
      <c r="AC599" s="10">
        <f t="shared" si="399"/>
        <v>0</v>
      </c>
      <c r="AD599" s="10">
        <f t="shared" si="399"/>
        <v>0</v>
      </c>
      <c r="AE599" s="10">
        <f t="shared" si="399"/>
        <v>0</v>
      </c>
      <c r="AF599" s="10">
        <f t="shared" si="399"/>
        <v>0</v>
      </c>
      <c r="AG599" s="10">
        <f t="shared" si="399"/>
        <v>0</v>
      </c>
      <c r="AH599" s="10">
        <f t="shared" si="399"/>
        <v>0</v>
      </c>
      <c r="AI599" s="10">
        <f t="shared" si="399"/>
        <v>0</v>
      </c>
      <c r="AJ599" s="10">
        <f t="shared" si="398"/>
        <v>0</v>
      </c>
      <c r="AK599" s="10">
        <f t="shared" si="398"/>
        <v>0</v>
      </c>
      <c r="AL599" s="10">
        <f t="shared" si="398"/>
        <v>0</v>
      </c>
      <c r="AM599" s="10">
        <f t="shared" si="398"/>
        <v>225000</v>
      </c>
      <c r="AN599" s="27">
        <f t="shared" si="398"/>
        <v>225000</v>
      </c>
      <c r="AP599" t="s">
        <v>173</v>
      </c>
      <c r="AS599" t="str">
        <f>_xlfn.XLOOKUP(AU599,[2]GAE!HZ:HZ,[2]GAE!IA:IA)</f>
        <v>TAX ACCOUNTING</v>
      </c>
      <c r="AT599" t="str">
        <f>_xlfn.XLOOKUP(AU599,[2]GAE!HZ:HZ,[2]GAE!IB:IB)</f>
        <v>DOE - Prof. Fees - Consultants</v>
      </c>
      <c r="AU599" t="s">
        <v>1025</v>
      </c>
      <c r="AV599">
        <v>90133102</v>
      </c>
      <c r="AW599">
        <v>52071104</v>
      </c>
      <c r="AX599" t="str">
        <f>_xlfn.XLOOKUP(AU599,[2]GAE!HZ:HZ,[2]GAE!IF:IF)</f>
        <v>Professional fees</v>
      </c>
      <c r="AY599" t="str">
        <f>_xlfn.XLOOKUP(AU599,[2]GAE!HZ:HZ,[2]GAE!IG:IG)</f>
        <v>Internal and external consultants</v>
      </c>
      <c r="BF599" t="s">
        <v>93</v>
      </c>
      <c r="BG599" s="2" t="s">
        <v>173</v>
      </c>
      <c r="BH599" s="10">
        <f>SUMIFS('[1]2026'!$K:$K,'[1]2026'!$T:$T,BD599,'[1]2026'!$S:$S,BH$3,'[1]2026'!$P:$P,AU599)</f>
        <v>0</v>
      </c>
      <c r="BI599" s="10">
        <f>SUMIFS('[1]2026'!$K:$K,'[1]2026'!$T:$T,$BD599,'[1]2026'!$S:$S,BI$3,'[1]2026'!$P:$P,$AU599)</f>
        <v>0</v>
      </c>
      <c r="BJ599" s="10">
        <f>SUMIFS('[1]2026'!$K:$K,'[1]2026'!$T:$T,$BD599,'[1]2026'!$S:$S,BJ$3,'[1]2026'!$P:$P,$AU599)</f>
        <v>0</v>
      </c>
      <c r="BK599" s="10">
        <f>SUMIFS('[1]2026'!$K:$K,'[1]2026'!$T:$T,$BD599,'[1]2026'!$S:$S,BK$3,'[1]2026'!$P:$P,$AU599)</f>
        <v>0</v>
      </c>
      <c r="BL599" s="10">
        <f>SUMIFS('[1]2026'!$K:$K,'[1]2026'!$T:$T,$BD599,'[1]2026'!$S:$S,BL$3,'[1]2026'!$P:$P,$AU599)</f>
        <v>0</v>
      </c>
      <c r="BM599" s="10">
        <f>SUMIFS('[1]2026'!$K:$K,'[1]2026'!$T:$T,$BD599,'[1]2026'!$S:$S,BM$3,'[1]2026'!$P:$P,$AU599)</f>
        <v>0</v>
      </c>
      <c r="BN599" s="10">
        <f>SUMIFS('[1]2026'!$K:$K,'[1]2026'!$T:$T,$BD599,'[1]2026'!$S:$S,BN$3,'[1]2026'!$P:$P,$AU599)</f>
        <v>0</v>
      </c>
      <c r="BO599" s="10">
        <f>SUMIFS('[1]2026'!$K:$K,'[1]2026'!$T:$T,$BD599,'[1]2026'!$S:$S,BO$3,'[1]2026'!$P:$P,$AU599)</f>
        <v>0</v>
      </c>
      <c r="BP599" s="6">
        <f t="shared" si="403"/>
        <v>0</v>
      </c>
      <c r="BQ599" s="6">
        <f t="shared" si="403"/>
        <v>0</v>
      </c>
      <c r="BR599" s="6">
        <f t="shared" si="403"/>
        <v>0</v>
      </c>
      <c r="BS599" s="6">
        <f t="shared" si="403"/>
        <v>0</v>
      </c>
      <c r="BT599" s="6">
        <f t="shared" ref="BT599:BT673" si="404">SUM(BH599:BS599)</f>
        <v>0</v>
      </c>
      <c r="BV599" s="6">
        <f t="shared" si="401"/>
        <v>0</v>
      </c>
      <c r="BW599" s="6">
        <f t="shared" si="401"/>
        <v>0</v>
      </c>
      <c r="BX599" s="6">
        <f t="shared" si="401"/>
        <v>0</v>
      </c>
      <c r="BY599" s="6">
        <f t="shared" si="401"/>
        <v>0</v>
      </c>
      <c r="BZ599" s="6">
        <f t="shared" si="401"/>
        <v>0</v>
      </c>
      <c r="CA599" s="6">
        <f t="shared" si="401"/>
        <v>0</v>
      </c>
      <c r="CB599" s="6">
        <f t="shared" si="401"/>
        <v>0</v>
      </c>
      <c r="CC599" s="6">
        <f t="shared" si="401"/>
        <v>0</v>
      </c>
      <c r="CD599" s="6">
        <f t="shared" si="401"/>
        <v>0</v>
      </c>
      <c r="CE599" s="6">
        <f t="shared" si="401"/>
        <v>0</v>
      </c>
      <c r="CF599" s="6">
        <f t="shared" si="401"/>
        <v>0</v>
      </c>
      <c r="CG599" s="6">
        <f t="shared" si="401"/>
        <v>-225000</v>
      </c>
      <c r="CH599" s="6">
        <f t="shared" si="396"/>
        <v>-225000</v>
      </c>
    </row>
    <row r="600" spans="1:86" hidden="1" x14ac:dyDescent="0.35">
      <c r="A600" s="3" t="s">
        <v>1027</v>
      </c>
      <c r="M600" s="10">
        <v>50000</v>
      </c>
      <c r="N600" s="27">
        <f t="shared" si="392"/>
        <v>50000</v>
      </c>
      <c r="AA600" s="27">
        <f t="shared" si="393"/>
        <v>0</v>
      </c>
      <c r="AB600" s="10">
        <f t="shared" si="399"/>
        <v>0</v>
      </c>
      <c r="AC600" s="10">
        <f t="shared" si="399"/>
        <v>0</v>
      </c>
      <c r="AD600" s="10">
        <f t="shared" si="399"/>
        <v>0</v>
      </c>
      <c r="AE600" s="10">
        <f t="shared" si="399"/>
        <v>0</v>
      </c>
      <c r="AF600" s="10">
        <f t="shared" si="399"/>
        <v>0</v>
      </c>
      <c r="AG600" s="10">
        <f t="shared" si="399"/>
        <v>0</v>
      </c>
      <c r="AH600" s="10">
        <f t="shared" si="399"/>
        <v>0</v>
      </c>
      <c r="AI600" s="10">
        <f t="shared" si="399"/>
        <v>0</v>
      </c>
      <c r="AJ600" s="10">
        <f t="shared" si="398"/>
        <v>0</v>
      </c>
      <c r="AK600" s="10">
        <f t="shared" si="398"/>
        <v>0</v>
      </c>
      <c r="AL600" s="10">
        <f t="shared" si="398"/>
        <v>0</v>
      </c>
      <c r="AM600" s="10">
        <f t="shared" si="398"/>
        <v>50000</v>
      </c>
      <c r="AN600" s="27">
        <f t="shared" si="398"/>
        <v>50000</v>
      </c>
      <c r="AP600" t="s">
        <v>173</v>
      </c>
      <c r="AS600" t="str">
        <f>_xlfn.XLOOKUP(AU600,[2]GAE!HZ:HZ,[2]GAE!IA:IA)</f>
        <v>TAX ACCOUNTING</v>
      </c>
      <c r="AT600" t="str">
        <f>_xlfn.XLOOKUP(AU600,[2]GAE!HZ:HZ,[2]GAE!IB:IB)</f>
        <v>GAE - Prof. Fees - OPE</v>
      </c>
      <c r="AU600" t="s">
        <v>1028</v>
      </c>
      <c r="AV600">
        <v>80133102</v>
      </c>
      <c r="AW600">
        <v>61071006</v>
      </c>
      <c r="AX600" t="str">
        <f>_xlfn.XLOOKUP(AU600,[2]GAE!HZ:HZ,[2]GAE!IF:IF)</f>
        <v>Professional fees</v>
      </c>
      <c r="AY600" t="str">
        <f>_xlfn.XLOOKUP(AU600,[2]GAE!HZ:HZ,[2]GAE!IG:IG)</f>
        <v>Internal and external consultants</v>
      </c>
      <c r="BF600" t="s">
        <v>93</v>
      </c>
      <c r="BG600" s="2" t="s">
        <v>173</v>
      </c>
      <c r="BH600" s="10">
        <f>SUMIFS('[1]2026'!$K:$K,'[1]2026'!$T:$T,BD600,'[1]2026'!$S:$S,BH$3,'[1]2026'!$P:$P,AU600)</f>
        <v>0</v>
      </c>
      <c r="BI600" s="10">
        <f>SUMIFS('[1]2026'!$K:$K,'[1]2026'!$T:$T,$BD600,'[1]2026'!$S:$S,BI$3,'[1]2026'!$P:$P,$AU600)</f>
        <v>0</v>
      </c>
      <c r="BJ600" s="10">
        <f>SUMIFS('[1]2026'!$K:$K,'[1]2026'!$T:$T,$BD600,'[1]2026'!$S:$S,BJ$3,'[1]2026'!$P:$P,$AU600)</f>
        <v>0</v>
      </c>
      <c r="BK600" s="10">
        <f>SUMIFS('[1]2026'!$K:$K,'[1]2026'!$T:$T,$BD600,'[1]2026'!$S:$S,BK$3,'[1]2026'!$P:$P,$AU600)</f>
        <v>0</v>
      </c>
      <c r="BL600" s="10">
        <f>SUMIFS('[1]2026'!$K:$K,'[1]2026'!$T:$T,$BD600,'[1]2026'!$S:$S,BL$3,'[1]2026'!$P:$P,$AU600)</f>
        <v>0</v>
      </c>
      <c r="BM600" s="10">
        <f>SUMIFS('[1]2026'!$K:$K,'[1]2026'!$T:$T,$BD600,'[1]2026'!$S:$S,BM$3,'[1]2026'!$P:$P,$AU600)</f>
        <v>0</v>
      </c>
      <c r="BN600" s="10">
        <f>SUMIFS('[1]2026'!$K:$K,'[1]2026'!$T:$T,$BD600,'[1]2026'!$S:$S,BN$3,'[1]2026'!$P:$P,$AU600)</f>
        <v>0</v>
      </c>
      <c r="BO600" s="10">
        <f>SUMIFS('[1]2026'!$K:$K,'[1]2026'!$T:$T,$BD600,'[1]2026'!$S:$S,BO$3,'[1]2026'!$P:$P,$AU600)</f>
        <v>0</v>
      </c>
      <c r="BP600" s="6">
        <f t="shared" si="403"/>
        <v>0</v>
      </c>
      <c r="BQ600" s="6">
        <f t="shared" si="403"/>
        <v>0</v>
      </c>
      <c r="BR600" s="6">
        <f t="shared" si="403"/>
        <v>0</v>
      </c>
      <c r="BS600" s="6">
        <f t="shared" si="403"/>
        <v>0</v>
      </c>
      <c r="BT600" s="6">
        <f t="shared" si="404"/>
        <v>0</v>
      </c>
      <c r="BV600" s="6">
        <f t="shared" si="401"/>
        <v>0</v>
      </c>
      <c r="BW600" s="6">
        <f t="shared" si="401"/>
        <v>0</v>
      </c>
      <c r="BX600" s="6">
        <f t="shared" si="401"/>
        <v>0</v>
      </c>
      <c r="BY600" s="6">
        <f t="shared" si="401"/>
        <v>0</v>
      </c>
      <c r="BZ600" s="6">
        <f t="shared" si="401"/>
        <v>0</v>
      </c>
      <c r="CA600" s="6">
        <f t="shared" si="401"/>
        <v>0</v>
      </c>
      <c r="CB600" s="6">
        <f t="shared" si="401"/>
        <v>0</v>
      </c>
      <c r="CC600" s="6">
        <f t="shared" si="401"/>
        <v>0</v>
      </c>
      <c r="CD600" s="6">
        <f t="shared" si="401"/>
        <v>0</v>
      </c>
      <c r="CE600" s="6">
        <f t="shared" si="401"/>
        <v>0</v>
      </c>
      <c r="CF600" s="6">
        <f t="shared" si="401"/>
        <v>0</v>
      </c>
      <c r="CG600" s="6">
        <f t="shared" si="401"/>
        <v>-50000</v>
      </c>
      <c r="CH600" s="6">
        <f t="shared" si="396"/>
        <v>-50000</v>
      </c>
    </row>
    <row r="601" spans="1:86" hidden="1" x14ac:dyDescent="0.35">
      <c r="A601" s="3" t="s">
        <v>1029</v>
      </c>
      <c r="M601" s="10">
        <v>50000</v>
      </c>
      <c r="N601" s="27">
        <f t="shared" si="392"/>
        <v>50000</v>
      </c>
      <c r="AA601" s="27">
        <f t="shared" si="393"/>
        <v>0</v>
      </c>
      <c r="AB601" s="10">
        <f t="shared" si="399"/>
        <v>0</v>
      </c>
      <c r="AC601" s="10">
        <f t="shared" si="399"/>
        <v>0</v>
      </c>
      <c r="AD601" s="10">
        <f t="shared" si="399"/>
        <v>0</v>
      </c>
      <c r="AE601" s="10">
        <f t="shared" si="399"/>
        <v>0</v>
      </c>
      <c r="AF601" s="10">
        <f t="shared" si="399"/>
        <v>0</v>
      </c>
      <c r="AG601" s="10">
        <f t="shared" si="399"/>
        <v>0</v>
      </c>
      <c r="AH601" s="10">
        <f t="shared" si="399"/>
        <v>0</v>
      </c>
      <c r="AI601" s="10">
        <f t="shared" si="399"/>
        <v>0</v>
      </c>
      <c r="AJ601" s="10">
        <f t="shared" si="398"/>
        <v>0</v>
      </c>
      <c r="AK601" s="10">
        <f t="shared" si="398"/>
        <v>0</v>
      </c>
      <c r="AL601" s="10">
        <f t="shared" si="398"/>
        <v>0</v>
      </c>
      <c r="AM601" s="10">
        <f t="shared" si="398"/>
        <v>50000</v>
      </c>
      <c r="AN601" s="27">
        <f t="shared" si="398"/>
        <v>50000</v>
      </c>
      <c r="AP601" t="s">
        <v>173</v>
      </c>
      <c r="AS601" t="str">
        <f>_xlfn.XLOOKUP(AU601,[2]GAE!HZ:HZ,[2]GAE!IA:IA)</f>
        <v>TAX ACCOUNTING</v>
      </c>
      <c r="AT601" t="str">
        <f>_xlfn.XLOOKUP(AU601,[2]GAE!HZ:HZ,[2]GAE!IB:IB)</f>
        <v>DOE - Prof. Fees - OPE</v>
      </c>
      <c r="AU601" t="s">
        <v>1030</v>
      </c>
      <c r="AV601">
        <v>90133102</v>
      </c>
      <c r="AW601">
        <v>52071106</v>
      </c>
      <c r="AX601" t="str">
        <f>_xlfn.XLOOKUP(AU601,[2]GAE!HZ:HZ,[2]GAE!IF:IF)</f>
        <v>Professional fees</v>
      </c>
      <c r="AY601" t="str">
        <f>_xlfn.XLOOKUP(AU601,[2]GAE!HZ:HZ,[2]GAE!IG:IG)</f>
        <v>Internal and external consultants</v>
      </c>
      <c r="BF601" t="s">
        <v>93</v>
      </c>
      <c r="BG601" s="2" t="s">
        <v>173</v>
      </c>
      <c r="BH601" s="10">
        <f>SUMIFS('[1]2026'!$K:$K,'[1]2026'!$T:$T,BD601,'[1]2026'!$S:$S,BH$3,'[1]2026'!$P:$P,AU601)</f>
        <v>0</v>
      </c>
      <c r="BI601" s="10">
        <f>SUMIFS('[1]2026'!$K:$K,'[1]2026'!$T:$T,$BD601,'[1]2026'!$S:$S,BI$3,'[1]2026'!$P:$P,$AU601)</f>
        <v>0</v>
      </c>
      <c r="BJ601" s="10">
        <f>SUMIFS('[1]2026'!$K:$K,'[1]2026'!$T:$T,$BD601,'[1]2026'!$S:$S,BJ$3,'[1]2026'!$P:$P,$AU601)</f>
        <v>0</v>
      </c>
      <c r="BK601" s="10">
        <f>SUMIFS('[1]2026'!$K:$K,'[1]2026'!$T:$T,$BD601,'[1]2026'!$S:$S,BK$3,'[1]2026'!$P:$P,$AU601)</f>
        <v>0</v>
      </c>
      <c r="BL601" s="10">
        <f>SUMIFS('[1]2026'!$K:$K,'[1]2026'!$T:$T,$BD601,'[1]2026'!$S:$S,BL$3,'[1]2026'!$P:$P,$AU601)</f>
        <v>0</v>
      </c>
      <c r="BM601" s="10">
        <f>SUMIFS('[1]2026'!$K:$K,'[1]2026'!$T:$T,$BD601,'[1]2026'!$S:$S,BM$3,'[1]2026'!$P:$P,$AU601)</f>
        <v>0</v>
      </c>
      <c r="BN601" s="10">
        <f>SUMIFS('[1]2026'!$K:$K,'[1]2026'!$T:$T,$BD601,'[1]2026'!$S:$S,BN$3,'[1]2026'!$P:$P,$AU601)</f>
        <v>0</v>
      </c>
      <c r="BO601" s="10">
        <f>SUMIFS('[1]2026'!$K:$K,'[1]2026'!$T:$T,$BD601,'[1]2026'!$S:$S,BO$3,'[1]2026'!$P:$P,$AU601)</f>
        <v>0</v>
      </c>
      <c r="BP601" s="6">
        <f t="shared" si="403"/>
        <v>0</v>
      </c>
      <c r="BQ601" s="6">
        <f t="shared" si="403"/>
        <v>0</v>
      </c>
      <c r="BR601" s="6">
        <f t="shared" si="403"/>
        <v>0</v>
      </c>
      <c r="BS601" s="6">
        <f t="shared" si="403"/>
        <v>0</v>
      </c>
      <c r="BT601" s="6">
        <f t="shared" si="404"/>
        <v>0</v>
      </c>
      <c r="BV601" s="6">
        <f t="shared" si="401"/>
        <v>0</v>
      </c>
      <c r="BW601" s="6">
        <f t="shared" si="401"/>
        <v>0</v>
      </c>
      <c r="BX601" s="6">
        <f t="shared" si="401"/>
        <v>0</v>
      </c>
      <c r="BY601" s="6">
        <f t="shared" si="401"/>
        <v>0</v>
      </c>
      <c r="BZ601" s="6">
        <f t="shared" si="401"/>
        <v>0</v>
      </c>
      <c r="CA601" s="6">
        <f t="shared" si="401"/>
        <v>0</v>
      </c>
      <c r="CB601" s="6">
        <f t="shared" si="401"/>
        <v>0</v>
      </c>
      <c r="CC601" s="6">
        <f t="shared" si="401"/>
        <v>0</v>
      </c>
      <c r="CD601" s="6">
        <f t="shared" si="401"/>
        <v>0</v>
      </c>
      <c r="CE601" s="6">
        <f t="shared" si="401"/>
        <v>0</v>
      </c>
      <c r="CF601" s="6">
        <f t="shared" si="401"/>
        <v>0</v>
      </c>
      <c r="CG601" s="6">
        <f t="shared" si="401"/>
        <v>-50000</v>
      </c>
      <c r="CH601" s="6">
        <f t="shared" si="396"/>
        <v>-50000</v>
      </c>
    </row>
    <row r="602" spans="1:86" hidden="1" x14ac:dyDescent="0.35">
      <c r="A602" t="s">
        <v>173</v>
      </c>
      <c r="AN602" s="27">
        <f>N602-AA602</f>
        <v>0</v>
      </c>
      <c r="AS602" t="str">
        <f>_xlfn.XLOOKUP(AU602,[2]GAE!HZ:HZ,[2]GAE!IA:IA)</f>
        <v>TAX ACCOUNTING</v>
      </c>
      <c r="AT602" t="str">
        <f>_xlfn.XLOOKUP(AU602,[2]GAE!HZ:HZ,[2]GAE!IB:IB)</f>
        <v>DOE - Prof. Fees - OPE</v>
      </c>
      <c r="AU602" s="2" t="s">
        <v>1031</v>
      </c>
      <c r="AV602" s="2">
        <v>81133102</v>
      </c>
      <c r="AW602" s="2">
        <v>52071106</v>
      </c>
      <c r="AX602" t="str">
        <f>_xlfn.XLOOKUP(AU602,[2]GAE!HZ:HZ,[2]GAE!IF:IF)</f>
        <v>Professional fees</v>
      </c>
      <c r="AY602" t="str">
        <f>_xlfn.XLOOKUP(AU602,[2]GAE!HZ:HZ,[2]GAE!IG:IG)</f>
        <v>Internal and external consultants</v>
      </c>
      <c r="BD602" t="s">
        <v>173</v>
      </c>
      <c r="BF602" t="s">
        <v>93</v>
      </c>
      <c r="BG602" s="2" t="s">
        <v>173</v>
      </c>
      <c r="BH602" s="10">
        <f>SUMIFS('[1]2026'!$K:$K,'[1]2026'!$T:$T,BD602,'[1]2026'!$S:$S,BH$3,'[1]2026'!$P:$P,AU602)</f>
        <v>0</v>
      </c>
      <c r="BI602" s="10">
        <f>SUMIFS('[1]2026'!$K:$K,'[1]2026'!$T:$T,$BD602,'[1]2026'!$S:$S,BI$3,'[1]2026'!$P:$P,$AU602)</f>
        <v>0</v>
      </c>
      <c r="BJ602" s="10">
        <f>SUMIFS('[1]2026'!$K:$K,'[1]2026'!$T:$T,$BD602,'[1]2026'!$S:$S,BJ$3,'[1]2026'!$P:$P,$AU602)</f>
        <v>0</v>
      </c>
      <c r="BK602" s="10">
        <f>SUMIFS('[1]2026'!$K:$K,'[1]2026'!$T:$T,$BD602,'[1]2026'!$S:$S,BK$3,'[1]2026'!$P:$P,$AU602)</f>
        <v>-42000</v>
      </c>
      <c r="BL602" s="6"/>
      <c r="BM602" s="10">
        <f>SUMIFS('[1]2026'!$K:$K,'[1]2026'!$T:$T,$BD602,'[1]2026'!$S:$S,BM$3,'[1]2026'!$P:$P,$AU602)</f>
        <v>0</v>
      </c>
      <c r="BN602" s="10">
        <f>SUMIFS('[1]2026'!$K:$K,'[1]2026'!$T:$T,$BD602,'[1]2026'!$S:$S,BN$3,'[1]2026'!$P:$P,$AU602)</f>
        <v>0</v>
      </c>
      <c r="BO602" s="10">
        <f>SUMIFS('[1]2026'!$K:$K,'[1]2026'!$T:$T,$BD602,'[1]2026'!$S:$S,BO$3,'[1]2026'!$P:$P,$AU602)</f>
        <v>0</v>
      </c>
      <c r="BP602" s="6">
        <f t="shared" si="403"/>
        <v>0</v>
      </c>
      <c r="BQ602" s="6">
        <f t="shared" si="403"/>
        <v>0</v>
      </c>
      <c r="BR602" s="6">
        <f t="shared" si="403"/>
        <v>0</v>
      </c>
      <c r="BS602" s="6">
        <f t="shared" si="403"/>
        <v>0</v>
      </c>
      <c r="BT602" s="6">
        <f>SUM(BH602:BS602)</f>
        <v>-42000</v>
      </c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>
        <f t="shared" si="396"/>
        <v>-42000</v>
      </c>
    </row>
    <row r="603" spans="1:86" hidden="1" x14ac:dyDescent="0.35">
      <c r="A603" s="3" t="s">
        <v>1032</v>
      </c>
      <c r="M603" s="10">
        <v>2500000</v>
      </c>
      <c r="N603" s="27">
        <f t="shared" si="392"/>
        <v>2500000</v>
      </c>
      <c r="Z603" s="10">
        <v>2500000</v>
      </c>
      <c r="AA603" s="27">
        <f t="shared" si="393"/>
        <v>2500000</v>
      </c>
      <c r="AB603" s="10">
        <f t="shared" si="399"/>
        <v>0</v>
      </c>
      <c r="AC603" s="10">
        <f t="shared" si="399"/>
        <v>0</v>
      </c>
      <c r="AD603" s="10">
        <f t="shared" si="399"/>
        <v>0</v>
      </c>
      <c r="AE603" s="10">
        <f t="shared" si="399"/>
        <v>0</v>
      </c>
      <c r="AF603" s="10">
        <f t="shared" si="399"/>
        <v>0</v>
      </c>
      <c r="AG603" s="10">
        <f t="shared" si="399"/>
        <v>0</v>
      </c>
      <c r="AH603" s="10">
        <f t="shared" si="399"/>
        <v>0</v>
      </c>
      <c r="AI603" s="10">
        <f t="shared" si="399"/>
        <v>0</v>
      </c>
      <c r="AJ603" s="10">
        <f t="shared" si="398"/>
        <v>0</v>
      </c>
      <c r="AK603" s="10">
        <f t="shared" si="398"/>
        <v>0</v>
      </c>
      <c r="AL603" s="10">
        <f t="shared" si="398"/>
        <v>0</v>
      </c>
      <c r="AM603" s="10">
        <f t="shared" si="398"/>
        <v>0</v>
      </c>
      <c r="AN603" s="27">
        <f t="shared" si="398"/>
        <v>0</v>
      </c>
      <c r="AR603" t="s">
        <v>1033</v>
      </c>
      <c r="AS603" t="str">
        <f>_xlfn.XLOOKUP(AU603,[2]GAE!HZ:HZ,[2]GAE!IA:IA)</f>
        <v>TECHNICAL SERVICES</v>
      </c>
      <c r="AT603" t="str">
        <f>_xlfn.XLOOKUP(AU603,[2]GAE!HZ:HZ,[2]GAE!IB:IB)</f>
        <v>GAE - Prof. Fees - Consultants</v>
      </c>
      <c r="AU603" t="s">
        <v>1034</v>
      </c>
      <c r="AV603">
        <v>80215106</v>
      </c>
      <c r="AW603">
        <v>61071004</v>
      </c>
      <c r="AX603" t="str">
        <f>_xlfn.XLOOKUP(AU603,[2]GAE!HZ:HZ,[2]GAE!IF:IF)</f>
        <v>Professional fees</v>
      </c>
      <c r="AY603" t="str">
        <f>_xlfn.XLOOKUP(AU603,[2]GAE!HZ:HZ,[2]GAE!IG:IG)</f>
        <v>Internal and external consultants</v>
      </c>
      <c r="BA603" t="s">
        <v>349</v>
      </c>
      <c r="BF603" s="37" t="s">
        <v>1263</v>
      </c>
      <c r="BG603" s="37" t="s">
        <v>1263</v>
      </c>
      <c r="BH603" s="10">
        <f>SUMIFS('[1]2026'!$K:$K,'[1]2026'!$T:$T,BD603,'[1]2026'!$S:$S,BH$3,'[1]2026'!$P:$P,AU603)</f>
        <v>0</v>
      </c>
      <c r="BI603" s="10">
        <f>SUMIFS('[1]2026'!$K:$K,'[1]2026'!$T:$T,$BD603,'[1]2026'!$S:$S,BI$3,'[1]2026'!$P:$P,$AU603)</f>
        <v>0</v>
      </c>
      <c r="BJ603" s="10">
        <f>SUMIFS('[1]2026'!$K:$K,'[1]2026'!$T:$T,$BD603,'[1]2026'!$S:$S,BJ$3,'[1]2026'!$P:$P,$AU603)</f>
        <v>0</v>
      </c>
      <c r="BK603" s="10">
        <f>SUMIFS('[1]2026'!$K:$K,'[1]2026'!$T:$T,$BD603,'[1]2026'!$S:$S,BK$3,'[1]2026'!$P:$P,$AU603)</f>
        <v>0</v>
      </c>
      <c r="BL603" s="10">
        <f>SUMIFS('[1]2026'!$K:$K,'[1]2026'!$T:$T,$BD603,'[1]2026'!$S:$S,BL$3,'[1]2026'!$P:$P,$AU603)</f>
        <v>0</v>
      </c>
      <c r="BM603" s="10">
        <f>SUMIFS('[1]2026'!$K:$K,'[1]2026'!$T:$T,$BD603,'[1]2026'!$S:$S,BM$3,'[1]2026'!$P:$P,$AU603)</f>
        <v>0</v>
      </c>
      <c r="BN603" s="10">
        <f>SUMIFS('[1]2026'!$K:$K,'[1]2026'!$T:$T,$BD603,'[1]2026'!$S:$S,BN$3,'[1]2026'!$P:$P,$AU603)</f>
        <v>0</v>
      </c>
      <c r="BO603" s="10">
        <f>SUMIFS('[1]2026'!$K:$K,'[1]2026'!$T:$T,$BD603,'[1]2026'!$S:$S,BO$3,'[1]2026'!$P:$P,$AU603)</f>
        <v>0</v>
      </c>
      <c r="BP603" s="6">
        <f t="shared" si="403"/>
        <v>0</v>
      </c>
      <c r="BQ603" s="6">
        <f t="shared" si="403"/>
        <v>0</v>
      </c>
      <c r="BR603" s="6">
        <f t="shared" si="403"/>
        <v>0</v>
      </c>
      <c r="BS603" s="6">
        <f t="shared" si="403"/>
        <v>0</v>
      </c>
      <c r="BT603" s="6">
        <f t="shared" si="404"/>
        <v>0</v>
      </c>
      <c r="BV603" s="6">
        <f t="shared" ref="BV603:BV629" si="405">BH603-AB603</f>
        <v>0</v>
      </c>
      <c r="BW603" s="6">
        <f t="shared" ref="BW603:BW629" si="406">BI603-AC603</f>
        <v>0</v>
      </c>
      <c r="BX603" s="6">
        <f t="shared" ref="BX603:BX629" si="407">BJ603-AD603</f>
        <v>0</v>
      </c>
      <c r="BY603" s="6">
        <f t="shared" ref="BY603:BY629" si="408">BK603-AE603</f>
        <v>0</v>
      </c>
      <c r="BZ603" s="6">
        <f t="shared" ref="BZ603:BZ629" si="409">BL603-AF603</f>
        <v>0</v>
      </c>
      <c r="CA603" s="6">
        <f t="shared" ref="CA603:CA629" si="410">BM603-AG603</f>
        <v>0</v>
      </c>
      <c r="CB603" s="6">
        <f t="shared" ref="CB603:CB629" si="411">BN603-AH603</f>
        <v>0</v>
      </c>
      <c r="CC603" s="6">
        <f t="shared" ref="CC603:CC629" si="412">BO603-AI603</f>
        <v>0</v>
      </c>
      <c r="CD603" s="6">
        <f t="shared" ref="CD603:CD629" si="413">BP603-AJ603</f>
        <v>0</v>
      </c>
      <c r="CE603" s="6">
        <f t="shared" ref="CE603:CE629" si="414">BQ603-AK603</f>
        <v>0</v>
      </c>
      <c r="CF603" s="6">
        <f t="shared" ref="CF603:CF629" si="415">BR603-AL603</f>
        <v>0</v>
      </c>
      <c r="CG603" s="6">
        <f t="shared" ref="CG603:CG629" si="416">BS603-AM603</f>
        <v>0</v>
      </c>
      <c r="CH603" s="6">
        <f t="shared" si="396"/>
        <v>0</v>
      </c>
    </row>
    <row r="604" spans="1:86" hidden="1" x14ac:dyDescent="0.35">
      <c r="A604" s="3" t="s">
        <v>1035</v>
      </c>
      <c r="M604" s="10">
        <v>200000</v>
      </c>
      <c r="N604" s="27">
        <f t="shared" si="392"/>
        <v>200000</v>
      </c>
      <c r="Z604" s="10">
        <v>200000</v>
      </c>
      <c r="AA604" s="27">
        <f t="shared" si="393"/>
        <v>200000</v>
      </c>
      <c r="AB604" s="10">
        <f t="shared" si="399"/>
        <v>0</v>
      </c>
      <c r="AC604" s="10">
        <f t="shared" si="399"/>
        <v>0</v>
      </c>
      <c r="AD604" s="10">
        <f t="shared" si="399"/>
        <v>0</v>
      </c>
      <c r="AE604" s="10">
        <f t="shared" si="399"/>
        <v>0</v>
      </c>
      <c r="AF604" s="10">
        <f t="shared" si="399"/>
        <v>0</v>
      </c>
      <c r="AG604" s="10">
        <f t="shared" si="399"/>
        <v>0</v>
      </c>
      <c r="AH604" s="10">
        <f t="shared" si="399"/>
        <v>0</v>
      </c>
      <c r="AI604" s="10">
        <f t="shared" si="399"/>
        <v>0</v>
      </c>
      <c r="AJ604" s="10">
        <f t="shared" si="398"/>
        <v>0</v>
      </c>
      <c r="AK604" s="10">
        <f t="shared" si="398"/>
        <v>0</v>
      </c>
      <c r="AL604" s="10">
        <f t="shared" si="398"/>
        <v>0</v>
      </c>
      <c r="AM604" s="10">
        <f t="shared" si="398"/>
        <v>0</v>
      </c>
      <c r="AN604" s="27">
        <f t="shared" si="398"/>
        <v>0</v>
      </c>
      <c r="AR604" t="s">
        <v>1033</v>
      </c>
      <c r="AS604" t="str">
        <f>_xlfn.XLOOKUP(AU604,[2]GAE!HZ:HZ,[2]GAE!IA:IA)</f>
        <v>TECHNICAL SERVICES</v>
      </c>
      <c r="AT604" t="str">
        <f>_xlfn.XLOOKUP(AU604,[2]GAE!HZ:HZ,[2]GAE!IB:IB)</f>
        <v>GAE - Prof. Fees - Consultants</v>
      </c>
      <c r="AU604" t="s">
        <v>1034</v>
      </c>
      <c r="AV604">
        <v>80215106</v>
      </c>
      <c r="AW604">
        <v>61071004</v>
      </c>
      <c r="AX604" t="str">
        <f>_xlfn.XLOOKUP(AU604,[2]GAE!HZ:HZ,[2]GAE!IF:IF)</f>
        <v>Professional fees</v>
      </c>
      <c r="AY604" t="str">
        <f>_xlfn.XLOOKUP(AU604,[2]GAE!HZ:HZ,[2]GAE!IG:IG)</f>
        <v>Internal and external consultants</v>
      </c>
      <c r="BA604" t="s">
        <v>349</v>
      </c>
      <c r="BF604" s="37" t="s">
        <v>1263</v>
      </c>
      <c r="BG604" s="37" t="s">
        <v>1263</v>
      </c>
      <c r="BH604" s="10">
        <f>SUMIFS('[1]2026'!$K:$K,'[1]2026'!$T:$T,BD604,'[1]2026'!$S:$S,BH$3,'[1]2026'!$P:$P,AU604)</f>
        <v>0</v>
      </c>
      <c r="BI604" s="10">
        <f>SUMIFS('[1]2026'!$K:$K,'[1]2026'!$T:$T,$BD604,'[1]2026'!$S:$S,BI$3,'[1]2026'!$P:$P,$AU604)</f>
        <v>0</v>
      </c>
      <c r="BJ604" s="10">
        <f>SUMIFS('[1]2026'!$K:$K,'[1]2026'!$T:$T,$BD604,'[1]2026'!$S:$S,BJ$3,'[1]2026'!$P:$P,$AU604)</f>
        <v>0</v>
      </c>
      <c r="BK604" s="10">
        <f>SUMIFS('[1]2026'!$K:$K,'[1]2026'!$T:$T,$BD604,'[1]2026'!$S:$S,BK$3,'[1]2026'!$P:$P,$AU604)</f>
        <v>0</v>
      </c>
      <c r="BL604" s="10">
        <f>SUMIFS('[1]2026'!$K:$K,'[1]2026'!$T:$T,$BD604,'[1]2026'!$S:$S,BL$3,'[1]2026'!$P:$P,$AU604)</f>
        <v>0</v>
      </c>
      <c r="BM604" s="10">
        <f>SUMIFS('[1]2026'!$K:$K,'[1]2026'!$T:$T,$BD604,'[1]2026'!$S:$S,BM$3,'[1]2026'!$P:$P,$AU604)</f>
        <v>0</v>
      </c>
      <c r="BN604" s="10">
        <f>SUMIFS('[1]2026'!$K:$K,'[1]2026'!$T:$T,$BD604,'[1]2026'!$S:$S,BN$3,'[1]2026'!$P:$P,$AU604)</f>
        <v>0</v>
      </c>
      <c r="BO604" s="10">
        <f>SUMIFS('[1]2026'!$K:$K,'[1]2026'!$T:$T,$BD604,'[1]2026'!$S:$S,BO$3,'[1]2026'!$P:$P,$AU604)</f>
        <v>0</v>
      </c>
      <c r="BP604" s="6">
        <f t="shared" si="403"/>
        <v>0</v>
      </c>
      <c r="BQ604" s="6">
        <f t="shared" si="403"/>
        <v>0</v>
      </c>
      <c r="BR604" s="6">
        <f t="shared" si="403"/>
        <v>0</v>
      </c>
      <c r="BS604" s="6">
        <f t="shared" si="403"/>
        <v>0</v>
      </c>
      <c r="BT604" s="6">
        <f t="shared" si="404"/>
        <v>0</v>
      </c>
      <c r="BV604" s="6">
        <f t="shared" si="405"/>
        <v>0</v>
      </c>
      <c r="BW604" s="6">
        <f t="shared" si="406"/>
        <v>0</v>
      </c>
      <c r="BX604" s="6">
        <f t="shared" si="407"/>
        <v>0</v>
      </c>
      <c r="BY604" s="6">
        <f t="shared" si="408"/>
        <v>0</v>
      </c>
      <c r="BZ604" s="6">
        <f t="shared" si="409"/>
        <v>0</v>
      </c>
      <c r="CA604" s="6">
        <f t="shared" si="410"/>
        <v>0</v>
      </c>
      <c r="CB604" s="6">
        <f t="shared" si="411"/>
        <v>0</v>
      </c>
      <c r="CC604" s="6">
        <f t="shared" si="412"/>
        <v>0</v>
      </c>
      <c r="CD604" s="6">
        <f t="shared" si="413"/>
        <v>0</v>
      </c>
      <c r="CE604" s="6">
        <f t="shared" si="414"/>
        <v>0</v>
      </c>
      <c r="CF604" s="6">
        <f t="shared" si="415"/>
        <v>0</v>
      </c>
      <c r="CG604" s="6">
        <f t="shared" si="416"/>
        <v>0</v>
      </c>
      <c r="CH604" s="6">
        <f t="shared" si="396"/>
        <v>0</v>
      </c>
    </row>
    <row r="605" spans="1:86" hidden="1" x14ac:dyDescent="0.35">
      <c r="A605" s="3" t="s">
        <v>1036</v>
      </c>
      <c r="M605" s="10">
        <v>200000</v>
      </c>
      <c r="N605" s="27">
        <f t="shared" si="392"/>
        <v>200000</v>
      </c>
      <c r="Z605" s="10">
        <v>200000</v>
      </c>
      <c r="AA605" s="27">
        <f t="shared" si="393"/>
        <v>200000</v>
      </c>
      <c r="AB605" s="10">
        <f t="shared" si="399"/>
        <v>0</v>
      </c>
      <c r="AC605" s="10">
        <f t="shared" si="399"/>
        <v>0</v>
      </c>
      <c r="AD605" s="10">
        <f t="shared" si="399"/>
        <v>0</v>
      </c>
      <c r="AE605" s="10">
        <f t="shared" si="399"/>
        <v>0</v>
      </c>
      <c r="AF605" s="10">
        <f t="shared" si="399"/>
        <v>0</v>
      </c>
      <c r="AG605" s="10">
        <f t="shared" si="399"/>
        <v>0</v>
      </c>
      <c r="AH605" s="10">
        <f t="shared" si="399"/>
        <v>0</v>
      </c>
      <c r="AI605" s="10">
        <f t="shared" si="399"/>
        <v>0</v>
      </c>
      <c r="AJ605" s="10">
        <f t="shared" si="398"/>
        <v>0</v>
      </c>
      <c r="AK605" s="10">
        <f t="shared" si="398"/>
        <v>0</v>
      </c>
      <c r="AL605" s="10">
        <f t="shared" si="398"/>
        <v>0</v>
      </c>
      <c r="AM605" s="10">
        <f t="shared" si="398"/>
        <v>0</v>
      </c>
      <c r="AN605" s="27">
        <f t="shared" si="398"/>
        <v>0</v>
      </c>
      <c r="AR605" t="s">
        <v>1033</v>
      </c>
      <c r="AS605" t="str">
        <f>_xlfn.XLOOKUP(AU605,[2]GAE!HZ:HZ,[2]GAE!IA:IA)</f>
        <v>TECHNICAL SERVICES</v>
      </c>
      <c r="AT605" t="str">
        <f>_xlfn.XLOOKUP(AU605,[2]GAE!HZ:HZ,[2]GAE!IB:IB)</f>
        <v>GAE - Prof. Fees - Consultants</v>
      </c>
      <c r="AU605" t="s">
        <v>1034</v>
      </c>
      <c r="AV605">
        <v>80215106</v>
      </c>
      <c r="AW605">
        <v>61071004</v>
      </c>
      <c r="AX605" t="str">
        <f>_xlfn.XLOOKUP(AU605,[2]GAE!HZ:HZ,[2]GAE!IF:IF)</f>
        <v>Professional fees</v>
      </c>
      <c r="AY605" t="str">
        <f>_xlfn.XLOOKUP(AU605,[2]GAE!HZ:HZ,[2]GAE!IG:IG)</f>
        <v>Internal and external consultants</v>
      </c>
      <c r="BA605" t="s">
        <v>349</v>
      </c>
      <c r="BF605" s="37" t="s">
        <v>1263</v>
      </c>
      <c r="BG605" s="37" t="s">
        <v>1263</v>
      </c>
      <c r="BH605" s="10">
        <f>SUMIFS('[1]2026'!$K:$K,'[1]2026'!$T:$T,BD605,'[1]2026'!$S:$S,BH$3,'[1]2026'!$P:$P,AU605)</f>
        <v>0</v>
      </c>
      <c r="BI605" s="10">
        <f>SUMIFS('[1]2026'!$K:$K,'[1]2026'!$T:$T,$BD605,'[1]2026'!$S:$S,BI$3,'[1]2026'!$P:$P,$AU605)</f>
        <v>0</v>
      </c>
      <c r="BJ605" s="10">
        <f>SUMIFS('[1]2026'!$K:$K,'[1]2026'!$T:$T,$BD605,'[1]2026'!$S:$S,BJ$3,'[1]2026'!$P:$P,$AU605)</f>
        <v>0</v>
      </c>
      <c r="BK605" s="10">
        <f>SUMIFS('[1]2026'!$K:$K,'[1]2026'!$T:$T,$BD605,'[1]2026'!$S:$S,BK$3,'[1]2026'!$P:$P,$AU605)</f>
        <v>0</v>
      </c>
      <c r="BL605" s="10">
        <f>SUMIFS('[1]2026'!$K:$K,'[1]2026'!$T:$T,$BD605,'[1]2026'!$S:$S,BL$3,'[1]2026'!$P:$P,$AU605)</f>
        <v>0</v>
      </c>
      <c r="BM605" s="10">
        <f>SUMIFS('[1]2026'!$K:$K,'[1]2026'!$T:$T,$BD605,'[1]2026'!$S:$S,BM$3,'[1]2026'!$P:$P,$AU605)</f>
        <v>0</v>
      </c>
      <c r="BN605" s="10">
        <f>SUMIFS('[1]2026'!$K:$K,'[1]2026'!$T:$T,$BD605,'[1]2026'!$S:$S,BN$3,'[1]2026'!$P:$P,$AU605)</f>
        <v>0</v>
      </c>
      <c r="BO605" s="10">
        <f>SUMIFS('[1]2026'!$K:$K,'[1]2026'!$T:$T,$BD605,'[1]2026'!$S:$S,BO$3,'[1]2026'!$P:$P,$AU605)</f>
        <v>0</v>
      </c>
      <c r="BP605" s="6">
        <f t="shared" si="403"/>
        <v>0</v>
      </c>
      <c r="BQ605" s="6">
        <f t="shared" si="403"/>
        <v>0</v>
      </c>
      <c r="BR605" s="6">
        <f t="shared" si="403"/>
        <v>0</v>
      </c>
      <c r="BS605" s="6">
        <f t="shared" si="403"/>
        <v>0</v>
      </c>
      <c r="BT605" s="6">
        <f t="shared" si="404"/>
        <v>0</v>
      </c>
      <c r="BV605" s="6">
        <f t="shared" si="405"/>
        <v>0</v>
      </c>
      <c r="BW605" s="6">
        <f t="shared" si="406"/>
        <v>0</v>
      </c>
      <c r="BX605" s="6">
        <f t="shared" si="407"/>
        <v>0</v>
      </c>
      <c r="BY605" s="6">
        <f t="shared" si="408"/>
        <v>0</v>
      </c>
      <c r="BZ605" s="6">
        <f t="shared" si="409"/>
        <v>0</v>
      </c>
      <c r="CA605" s="6">
        <f t="shared" si="410"/>
        <v>0</v>
      </c>
      <c r="CB605" s="6">
        <f t="shared" si="411"/>
        <v>0</v>
      </c>
      <c r="CC605" s="6">
        <f t="shared" si="412"/>
        <v>0</v>
      </c>
      <c r="CD605" s="6">
        <f t="shared" si="413"/>
        <v>0</v>
      </c>
      <c r="CE605" s="6">
        <f t="shared" si="414"/>
        <v>0</v>
      </c>
      <c r="CF605" s="6">
        <f t="shared" si="415"/>
        <v>0</v>
      </c>
      <c r="CG605" s="6">
        <f t="shared" si="416"/>
        <v>0</v>
      </c>
      <c r="CH605" s="6">
        <f t="shared" si="396"/>
        <v>0</v>
      </c>
    </row>
    <row r="606" spans="1:86" hidden="1" x14ac:dyDescent="0.35">
      <c r="A606" s="3" t="s">
        <v>1037</v>
      </c>
      <c r="M606" s="10">
        <v>200000</v>
      </c>
      <c r="N606" s="27">
        <f t="shared" si="392"/>
        <v>200000</v>
      </c>
      <c r="Z606" s="10">
        <v>200000</v>
      </c>
      <c r="AA606" s="27">
        <f t="shared" si="393"/>
        <v>200000</v>
      </c>
      <c r="AB606" s="10">
        <f t="shared" si="399"/>
        <v>0</v>
      </c>
      <c r="AC606" s="10">
        <f t="shared" si="399"/>
        <v>0</v>
      </c>
      <c r="AD606" s="10">
        <f t="shared" si="399"/>
        <v>0</v>
      </c>
      <c r="AE606" s="10">
        <f t="shared" si="399"/>
        <v>0</v>
      </c>
      <c r="AF606" s="10">
        <f t="shared" si="399"/>
        <v>0</v>
      </c>
      <c r="AG606" s="10">
        <f t="shared" si="399"/>
        <v>0</v>
      </c>
      <c r="AH606" s="10">
        <f t="shared" si="399"/>
        <v>0</v>
      </c>
      <c r="AI606" s="10">
        <f t="shared" si="399"/>
        <v>0</v>
      </c>
      <c r="AJ606" s="10">
        <f t="shared" si="398"/>
        <v>0</v>
      </c>
      <c r="AK606" s="10">
        <f t="shared" si="398"/>
        <v>0</v>
      </c>
      <c r="AL606" s="10">
        <f t="shared" si="398"/>
        <v>0</v>
      </c>
      <c r="AM606" s="10">
        <f t="shared" si="398"/>
        <v>0</v>
      </c>
      <c r="AN606" s="27">
        <f t="shared" si="398"/>
        <v>0</v>
      </c>
      <c r="AR606" t="s">
        <v>1033</v>
      </c>
      <c r="AS606" t="str">
        <f>_xlfn.XLOOKUP(AU606,[2]GAE!HZ:HZ,[2]GAE!IA:IA)</f>
        <v>TECHNICAL SERVICES</v>
      </c>
      <c r="AT606" t="str">
        <f>_xlfn.XLOOKUP(AU606,[2]GAE!HZ:HZ,[2]GAE!IB:IB)</f>
        <v>GAE - Prof. Fees - Consultants</v>
      </c>
      <c r="AU606" t="s">
        <v>1034</v>
      </c>
      <c r="AV606">
        <v>80215106</v>
      </c>
      <c r="AW606">
        <v>61071004</v>
      </c>
      <c r="AX606" t="str">
        <f>_xlfn.XLOOKUP(AU606,[2]GAE!HZ:HZ,[2]GAE!IF:IF)</f>
        <v>Professional fees</v>
      </c>
      <c r="AY606" t="str">
        <f>_xlfn.XLOOKUP(AU606,[2]GAE!HZ:HZ,[2]GAE!IG:IG)</f>
        <v>Internal and external consultants</v>
      </c>
      <c r="BA606" t="s">
        <v>349</v>
      </c>
      <c r="BF606" s="37" t="s">
        <v>1263</v>
      </c>
      <c r="BG606" s="37" t="s">
        <v>1263</v>
      </c>
      <c r="BH606" s="10">
        <f>SUMIFS('[1]2026'!$K:$K,'[1]2026'!$T:$T,BD606,'[1]2026'!$S:$S,BH$3,'[1]2026'!$P:$P,AU606)</f>
        <v>0</v>
      </c>
      <c r="BI606" s="10">
        <f>SUMIFS('[1]2026'!$K:$K,'[1]2026'!$T:$T,$BD606,'[1]2026'!$S:$S,BI$3,'[1]2026'!$P:$P,$AU606)</f>
        <v>0</v>
      </c>
      <c r="BJ606" s="10">
        <f>SUMIFS('[1]2026'!$K:$K,'[1]2026'!$T:$T,$BD606,'[1]2026'!$S:$S,BJ$3,'[1]2026'!$P:$P,$AU606)</f>
        <v>0</v>
      </c>
      <c r="BK606" s="10">
        <f>SUMIFS('[1]2026'!$K:$K,'[1]2026'!$T:$T,$BD606,'[1]2026'!$S:$S,BK$3,'[1]2026'!$P:$P,$AU606)</f>
        <v>0</v>
      </c>
      <c r="BL606" s="10">
        <f>SUMIFS('[1]2026'!$K:$K,'[1]2026'!$T:$T,$BD606,'[1]2026'!$S:$S,BL$3,'[1]2026'!$P:$P,$AU606)</f>
        <v>0</v>
      </c>
      <c r="BM606" s="10">
        <f>SUMIFS('[1]2026'!$K:$K,'[1]2026'!$T:$T,$BD606,'[1]2026'!$S:$S,BM$3,'[1]2026'!$P:$P,$AU606)</f>
        <v>0</v>
      </c>
      <c r="BN606" s="10">
        <f>SUMIFS('[1]2026'!$K:$K,'[1]2026'!$T:$T,$BD606,'[1]2026'!$S:$S,BN$3,'[1]2026'!$P:$P,$AU606)</f>
        <v>0</v>
      </c>
      <c r="BO606" s="10">
        <f>SUMIFS('[1]2026'!$K:$K,'[1]2026'!$T:$T,$BD606,'[1]2026'!$S:$S,BO$3,'[1]2026'!$P:$P,$AU606)</f>
        <v>0</v>
      </c>
      <c r="BP606" s="6">
        <f t="shared" si="403"/>
        <v>0</v>
      </c>
      <c r="BQ606" s="6">
        <f t="shared" si="403"/>
        <v>0</v>
      </c>
      <c r="BR606" s="6">
        <f t="shared" si="403"/>
        <v>0</v>
      </c>
      <c r="BS606" s="6">
        <f t="shared" si="403"/>
        <v>0</v>
      </c>
      <c r="BT606" s="6">
        <f t="shared" si="404"/>
        <v>0</v>
      </c>
      <c r="BV606" s="6">
        <f t="shared" si="405"/>
        <v>0</v>
      </c>
      <c r="BW606" s="6">
        <f t="shared" si="406"/>
        <v>0</v>
      </c>
      <c r="BX606" s="6">
        <f t="shared" si="407"/>
        <v>0</v>
      </c>
      <c r="BY606" s="6">
        <f t="shared" si="408"/>
        <v>0</v>
      </c>
      <c r="BZ606" s="6">
        <f t="shared" si="409"/>
        <v>0</v>
      </c>
      <c r="CA606" s="6">
        <f t="shared" si="410"/>
        <v>0</v>
      </c>
      <c r="CB606" s="6">
        <f t="shared" si="411"/>
        <v>0</v>
      </c>
      <c r="CC606" s="6">
        <f t="shared" si="412"/>
        <v>0</v>
      </c>
      <c r="CD606" s="6">
        <f t="shared" si="413"/>
        <v>0</v>
      </c>
      <c r="CE606" s="6">
        <f t="shared" si="414"/>
        <v>0</v>
      </c>
      <c r="CF606" s="6">
        <f t="shared" si="415"/>
        <v>0</v>
      </c>
      <c r="CG606" s="6">
        <f t="shared" si="416"/>
        <v>0</v>
      </c>
      <c r="CH606" s="6">
        <f t="shared" si="396"/>
        <v>0</v>
      </c>
    </row>
    <row r="607" spans="1:86" hidden="1" x14ac:dyDescent="0.35">
      <c r="A607" s="3" t="s">
        <v>1038</v>
      </c>
      <c r="M607" s="10">
        <v>200000</v>
      </c>
      <c r="N607" s="27">
        <f t="shared" si="392"/>
        <v>200000</v>
      </c>
      <c r="Z607" s="10">
        <v>200000</v>
      </c>
      <c r="AA607" s="27">
        <f t="shared" si="393"/>
        <v>200000</v>
      </c>
      <c r="AB607" s="10">
        <f t="shared" si="399"/>
        <v>0</v>
      </c>
      <c r="AC607" s="10">
        <f t="shared" si="399"/>
        <v>0</v>
      </c>
      <c r="AD607" s="10">
        <f t="shared" si="399"/>
        <v>0</v>
      </c>
      <c r="AE607" s="10">
        <f t="shared" si="399"/>
        <v>0</v>
      </c>
      <c r="AF607" s="10">
        <f t="shared" si="399"/>
        <v>0</v>
      </c>
      <c r="AG607" s="10">
        <f t="shared" si="399"/>
        <v>0</v>
      </c>
      <c r="AH607" s="10">
        <f t="shared" si="399"/>
        <v>0</v>
      </c>
      <c r="AI607" s="10">
        <f t="shared" si="399"/>
        <v>0</v>
      </c>
      <c r="AJ607" s="10">
        <f t="shared" si="398"/>
        <v>0</v>
      </c>
      <c r="AK607" s="10">
        <f t="shared" si="398"/>
        <v>0</v>
      </c>
      <c r="AL607" s="10">
        <f t="shared" si="398"/>
        <v>0</v>
      </c>
      <c r="AM607" s="10">
        <f t="shared" si="398"/>
        <v>0</v>
      </c>
      <c r="AN607" s="27">
        <f t="shared" si="398"/>
        <v>0</v>
      </c>
      <c r="AR607" t="s">
        <v>1033</v>
      </c>
      <c r="AS607" t="str">
        <f>_xlfn.XLOOKUP(AU607,[2]GAE!HZ:HZ,[2]GAE!IA:IA)</f>
        <v>TECHNICAL SERVICES</v>
      </c>
      <c r="AT607" t="str">
        <f>_xlfn.XLOOKUP(AU607,[2]GAE!HZ:HZ,[2]GAE!IB:IB)</f>
        <v>GAE - Prof. Fees - Consultants</v>
      </c>
      <c r="AU607" t="s">
        <v>1034</v>
      </c>
      <c r="AV607">
        <v>80215106</v>
      </c>
      <c r="AW607">
        <v>61071004</v>
      </c>
      <c r="AX607" t="str">
        <f>_xlfn.XLOOKUP(AU607,[2]GAE!HZ:HZ,[2]GAE!IF:IF)</f>
        <v>Professional fees</v>
      </c>
      <c r="AY607" t="str">
        <f>_xlfn.XLOOKUP(AU607,[2]GAE!HZ:HZ,[2]GAE!IG:IG)</f>
        <v>Internal and external consultants</v>
      </c>
      <c r="BA607" t="s">
        <v>349</v>
      </c>
      <c r="BF607" s="37" t="s">
        <v>1263</v>
      </c>
      <c r="BG607" s="37" t="s">
        <v>1263</v>
      </c>
      <c r="BH607" s="10">
        <f>SUMIFS('[1]2026'!$K:$K,'[1]2026'!$T:$T,BD607,'[1]2026'!$S:$S,BH$3,'[1]2026'!$P:$P,AU607)</f>
        <v>0</v>
      </c>
      <c r="BI607" s="10">
        <f>SUMIFS('[1]2026'!$K:$K,'[1]2026'!$T:$T,$BD607,'[1]2026'!$S:$S,BI$3,'[1]2026'!$P:$P,$AU607)</f>
        <v>0</v>
      </c>
      <c r="BJ607" s="10">
        <f>SUMIFS('[1]2026'!$K:$K,'[1]2026'!$T:$T,$BD607,'[1]2026'!$S:$S,BJ$3,'[1]2026'!$P:$P,$AU607)</f>
        <v>0</v>
      </c>
      <c r="BK607" s="10">
        <f>SUMIFS('[1]2026'!$K:$K,'[1]2026'!$T:$T,$BD607,'[1]2026'!$S:$S,BK$3,'[1]2026'!$P:$P,$AU607)</f>
        <v>0</v>
      </c>
      <c r="BL607" s="10">
        <f>SUMIFS('[1]2026'!$K:$K,'[1]2026'!$T:$T,$BD607,'[1]2026'!$S:$S,BL$3,'[1]2026'!$P:$P,$AU607)</f>
        <v>0</v>
      </c>
      <c r="BM607" s="10">
        <f>SUMIFS('[1]2026'!$K:$K,'[1]2026'!$T:$T,$BD607,'[1]2026'!$S:$S,BM$3,'[1]2026'!$P:$P,$AU607)</f>
        <v>0</v>
      </c>
      <c r="BN607" s="10">
        <f>SUMIFS('[1]2026'!$K:$K,'[1]2026'!$T:$T,$BD607,'[1]2026'!$S:$S,BN$3,'[1]2026'!$P:$P,$AU607)</f>
        <v>0</v>
      </c>
      <c r="BO607" s="10">
        <f>SUMIFS('[1]2026'!$K:$K,'[1]2026'!$T:$T,$BD607,'[1]2026'!$S:$S,BO$3,'[1]2026'!$P:$P,$AU607)</f>
        <v>0</v>
      </c>
      <c r="BP607" s="6">
        <f t="shared" si="403"/>
        <v>0</v>
      </c>
      <c r="BQ607" s="6">
        <f t="shared" si="403"/>
        <v>0</v>
      </c>
      <c r="BR607" s="6">
        <f t="shared" si="403"/>
        <v>0</v>
      </c>
      <c r="BS607" s="6">
        <f t="shared" si="403"/>
        <v>0</v>
      </c>
      <c r="BT607" s="6">
        <f t="shared" si="404"/>
        <v>0</v>
      </c>
      <c r="BV607" s="6">
        <f t="shared" si="405"/>
        <v>0</v>
      </c>
      <c r="BW607" s="6">
        <f t="shared" si="406"/>
        <v>0</v>
      </c>
      <c r="BX607" s="6">
        <f t="shared" si="407"/>
        <v>0</v>
      </c>
      <c r="BY607" s="6">
        <f t="shared" si="408"/>
        <v>0</v>
      </c>
      <c r="BZ607" s="6">
        <f t="shared" si="409"/>
        <v>0</v>
      </c>
      <c r="CA607" s="6">
        <f t="shared" si="410"/>
        <v>0</v>
      </c>
      <c r="CB607" s="6">
        <f t="shared" si="411"/>
        <v>0</v>
      </c>
      <c r="CC607" s="6">
        <f t="shared" si="412"/>
        <v>0</v>
      </c>
      <c r="CD607" s="6">
        <f t="shared" si="413"/>
        <v>0</v>
      </c>
      <c r="CE607" s="6">
        <f t="shared" si="414"/>
        <v>0</v>
      </c>
      <c r="CF607" s="6">
        <f t="shared" si="415"/>
        <v>0</v>
      </c>
      <c r="CG607" s="6">
        <f t="shared" si="416"/>
        <v>0</v>
      </c>
      <c r="CH607" s="6">
        <f t="shared" si="396"/>
        <v>0</v>
      </c>
    </row>
    <row r="608" spans="1:86" hidden="1" x14ac:dyDescent="0.35">
      <c r="A608" s="3" t="s">
        <v>1039</v>
      </c>
      <c r="M608" s="10">
        <v>200000</v>
      </c>
      <c r="N608" s="27">
        <f t="shared" si="392"/>
        <v>200000</v>
      </c>
      <c r="Z608" s="10">
        <v>200000</v>
      </c>
      <c r="AA608" s="27">
        <f t="shared" si="393"/>
        <v>200000</v>
      </c>
      <c r="AB608" s="10">
        <f t="shared" si="399"/>
        <v>0</v>
      </c>
      <c r="AC608" s="10">
        <f t="shared" si="399"/>
        <v>0</v>
      </c>
      <c r="AD608" s="10">
        <f t="shared" si="399"/>
        <v>0</v>
      </c>
      <c r="AE608" s="10">
        <f t="shared" si="399"/>
        <v>0</v>
      </c>
      <c r="AF608" s="10">
        <f t="shared" si="399"/>
        <v>0</v>
      </c>
      <c r="AG608" s="10">
        <f t="shared" si="399"/>
        <v>0</v>
      </c>
      <c r="AH608" s="10">
        <f t="shared" si="399"/>
        <v>0</v>
      </c>
      <c r="AI608" s="10">
        <f t="shared" si="399"/>
        <v>0</v>
      </c>
      <c r="AJ608" s="10">
        <f t="shared" si="398"/>
        <v>0</v>
      </c>
      <c r="AK608" s="10">
        <f t="shared" si="398"/>
        <v>0</v>
      </c>
      <c r="AL608" s="10">
        <f t="shared" si="398"/>
        <v>0</v>
      </c>
      <c r="AM608" s="10">
        <f t="shared" si="398"/>
        <v>0</v>
      </c>
      <c r="AN608" s="27">
        <f t="shared" si="398"/>
        <v>0</v>
      </c>
      <c r="AR608" t="s">
        <v>1033</v>
      </c>
      <c r="AS608" t="str">
        <f>_xlfn.XLOOKUP(AU608,[2]GAE!HZ:HZ,[2]GAE!IA:IA)</f>
        <v>TECHNICAL SERVICES</v>
      </c>
      <c r="AT608" t="str">
        <f>_xlfn.XLOOKUP(AU608,[2]GAE!HZ:HZ,[2]GAE!IB:IB)</f>
        <v>GAE - Prof. Fees - Consultants</v>
      </c>
      <c r="AU608" t="s">
        <v>1034</v>
      </c>
      <c r="AV608">
        <v>80215106</v>
      </c>
      <c r="AW608">
        <v>61071004</v>
      </c>
      <c r="AX608" t="str">
        <f>_xlfn.XLOOKUP(AU608,[2]GAE!HZ:HZ,[2]GAE!IF:IF)</f>
        <v>Professional fees</v>
      </c>
      <c r="AY608" t="str">
        <f>_xlfn.XLOOKUP(AU608,[2]GAE!HZ:HZ,[2]GAE!IG:IG)</f>
        <v>Internal and external consultants</v>
      </c>
      <c r="BA608" t="s">
        <v>349</v>
      </c>
      <c r="BF608" s="37" t="s">
        <v>1263</v>
      </c>
      <c r="BG608" s="37" t="s">
        <v>1263</v>
      </c>
      <c r="BH608" s="10">
        <f>SUMIFS('[1]2026'!$K:$K,'[1]2026'!$T:$T,BD608,'[1]2026'!$S:$S,BH$3,'[1]2026'!$P:$P,AU608)</f>
        <v>0</v>
      </c>
      <c r="BI608" s="10">
        <f>SUMIFS('[1]2026'!$K:$K,'[1]2026'!$T:$T,$BD608,'[1]2026'!$S:$S,BI$3,'[1]2026'!$P:$P,$AU608)</f>
        <v>0</v>
      </c>
      <c r="BJ608" s="10">
        <f>SUMIFS('[1]2026'!$K:$K,'[1]2026'!$T:$T,$BD608,'[1]2026'!$S:$S,BJ$3,'[1]2026'!$P:$P,$AU608)</f>
        <v>0</v>
      </c>
      <c r="BK608" s="10">
        <f>SUMIFS('[1]2026'!$K:$K,'[1]2026'!$T:$T,$BD608,'[1]2026'!$S:$S,BK$3,'[1]2026'!$P:$P,$AU608)</f>
        <v>0</v>
      </c>
      <c r="BL608" s="10">
        <f>SUMIFS('[1]2026'!$K:$K,'[1]2026'!$T:$T,$BD608,'[1]2026'!$S:$S,BL$3,'[1]2026'!$P:$P,$AU608)</f>
        <v>0</v>
      </c>
      <c r="BM608" s="10">
        <f>SUMIFS('[1]2026'!$K:$K,'[1]2026'!$T:$T,$BD608,'[1]2026'!$S:$S,BM$3,'[1]2026'!$P:$P,$AU608)</f>
        <v>0</v>
      </c>
      <c r="BN608" s="10">
        <f>SUMIFS('[1]2026'!$K:$K,'[1]2026'!$T:$T,$BD608,'[1]2026'!$S:$S,BN$3,'[1]2026'!$P:$P,$AU608)</f>
        <v>0</v>
      </c>
      <c r="BO608" s="10">
        <f>SUMIFS('[1]2026'!$K:$K,'[1]2026'!$T:$T,$BD608,'[1]2026'!$S:$S,BO$3,'[1]2026'!$P:$P,$AU608)</f>
        <v>0</v>
      </c>
      <c r="BP608" s="6">
        <f t="shared" si="403"/>
        <v>0</v>
      </c>
      <c r="BQ608" s="6">
        <f t="shared" si="403"/>
        <v>0</v>
      </c>
      <c r="BR608" s="6">
        <f t="shared" si="403"/>
        <v>0</v>
      </c>
      <c r="BS608" s="6">
        <f t="shared" si="403"/>
        <v>0</v>
      </c>
      <c r="BT608" s="6">
        <f t="shared" si="404"/>
        <v>0</v>
      </c>
      <c r="BV608" s="6">
        <f t="shared" si="405"/>
        <v>0</v>
      </c>
      <c r="BW608" s="6">
        <f t="shared" si="406"/>
        <v>0</v>
      </c>
      <c r="BX608" s="6">
        <f t="shared" si="407"/>
        <v>0</v>
      </c>
      <c r="BY608" s="6">
        <f t="shared" si="408"/>
        <v>0</v>
      </c>
      <c r="BZ608" s="6">
        <f t="shared" si="409"/>
        <v>0</v>
      </c>
      <c r="CA608" s="6">
        <f t="shared" si="410"/>
        <v>0</v>
      </c>
      <c r="CB608" s="6">
        <f t="shared" si="411"/>
        <v>0</v>
      </c>
      <c r="CC608" s="6">
        <f t="shared" si="412"/>
        <v>0</v>
      </c>
      <c r="CD608" s="6">
        <f t="shared" si="413"/>
        <v>0</v>
      </c>
      <c r="CE608" s="6">
        <f t="shared" si="414"/>
        <v>0</v>
      </c>
      <c r="CF608" s="6">
        <f t="shared" si="415"/>
        <v>0</v>
      </c>
      <c r="CG608" s="6">
        <f t="shared" si="416"/>
        <v>0</v>
      </c>
      <c r="CH608" s="6">
        <f t="shared" si="396"/>
        <v>0</v>
      </c>
    </row>
    <row r="609" spans="1:86" hidden="1" x14ac:dyDescent="0.35">
      <c r="A609" s="3" t="s">
        <v>1040</v>
      </c>
      <c r="M609" s="10">
        <v>2500000</v>
      </c>
      <c r="N609" s="27">
        <f t="shared" si="392"/>
        <v>2500000</v>
      </c>
      <c r="Z609" s="10">
        <v>1000000</v>
      </c>
      <c r="AA609" s="27">
        <f t="shared" si="393"/>
        <v>1000000</v>
      </c>
      <c r="AB609" s="10">
        <f t="shared" si="399"/>
        <v>0</v>
      </c>
      <c r="AC609" s="10">
        <f t="shared" si="399"/>
        <v>0</v>
      </c>
      <c r="AD609" s="10">
        <f t="shared" si="399"/>
        <v>0</v>
      </c>
      <c r="AE609" s="10">
        <f t="shared" si="399"/>
        <v>0</v>
      </c>
      <c r="AF609" s="10">
        <f t="shared" si="399"/>
        <v>0</v>
      </c>
      <c r="AG609" s="10">
        <f t="shared" si="399"/>
        <v>0</v>
      </c>
      <c r="AH609" s="10">
        <f t="shared" si="399"/>
        <v>0</v>
      </c>
      <c r="AI609" s="10">
        <f t="shared" si="399"/>
        <v>0</v>
      </c>
      <c r="AJ609" s="10">
        <f t="shared" si="398"/>
        <v>0</v>
      </c>
      <c r="AK609" s="10">
        <f t="shared" si="398"/>
        <v>0</v>
      </c>
      <c r="AL609" s="10">
        <f t="shared" si="398"/>
        <v>0</v>
      </c>
      <c r="AM609" s="10">
        <f t="shared" si="398"/>
        <v>1500000</v>
      </c>
      <c r="AN609" s="27">
        <f t="shared" si="398"/>
        <v>1500000</v>
      </c>
      <c r="AR609" t="s">
        <v>1033</v>
      </c>
      <c r="AS609" t="str">
        <f>_xlfn.XLOOKUP(AU609,[2]GAE!HZ:HZ,[2]GAE!IA:IA)</f>
        <v>TECHNICAL SERVICES</v>
      </c>
      <c r="AT609" t="str">
        <f>_xlfn.XLOOKUP(AU609,[2]GAE!HZ:HZ,[2]GAE!IB:IB)</f>
        <v>GAE - Prof. Fees - Consultants</v>
      </c>
      <c r="AU609" t="s">
        <v>1034</v>
      </c>
      <c r="AV609">
        <v>80215106</v>
      </c>
      <c r="AW609">
        <v>61071004</v>
      </c>
      <c r="AX609" t="str">
        <f>_xlfn.XLOOKUP(AU609,[2]GAE!HZ:HZ,[2]GAE!IF:IF)</f>
        <v>Professional fees</v>
      </c>
      <c r="AY609" t="str">
        <f>_xlfn.XLOOKUP(AU609,[2]GAE!HZ:HZ,[2]GAE!IG:IG)</f>
        <v>Internal and external consultants</v>
      </c>
      <c r="BA609" t="s">
        <v>349</v>
      </c>
      <c r="BC609" t="s">
        <v>294</v>
      </c>
      <c r="BD609" t="s">
        <v>1041</v>
      </c>
      <c r="BF609" t="s">
        <v>93</v>
      </c>
      <c r="BG609" t="s">
        <v>1041</v>
      </c>
      <c r="BH609" s="10">
        <f>SUMIFS('[1]2026'!$K:$K,'[1]2026'!$T:$T,BD609,'[1]2026'!$S:$S,BH$3,'[1]2026'!$P:$P,AU609)</f>
        <v>0</v>
      </c>
      <c r="BI609" s="10">
        <f>SUMIFS('[1]2026'!$K:$K,'[1]2026'!$T:$T,$BD609,'[1]2026'!$S:$S,BI$3,'[1]2026'!$P:$P,$AU609)</f>
        <v>0</v>
      </c>
      <c r="BJ609" s="10">
        <f>SUMIFS('[1]2026'!$K:$K,'[1]2026'!$T:$T,$BD609,'[1]2026'!$S:$S,BJ$3,'[1]2026'!$P:$P,$AU609)</f>
        <v>642857.14</v>
      </c>
      <c r="BK609" s="10">
        <f>SUMIFS('[1]2026'!$K:$K,'[1]2026'!$T:$T,$BD609,'[1]2026'!$S:$S,BK$3,'[1]2026'!$P:$P,$AU609)</f>
        <v>0</v>
      </c>
      <c r="BL609" s="10">
        <f>SUMIFS('[1]2026'!$K:$K,'[1]2026'!$T:$T,$BD609,'[1]2026'!$S:$S,BL$3,'[1]2026'!$P:$P,$AU609)</f>
        <v>160714.29</v>
      </c>
      <c r="BM609" s="10">
        <f>SUMIFS('[1]2026'!$K:$K,'[1]2026'!$T:$T,$BD609,'[1]2026'!$S:$S,BM$3,'[1]2026'!$P:$P,$AU609)</f>
        <v>0</v>
      </c>
      <c r="BN609" s="10">
        <f>SUMIFS('[1]2026'!$K:$K,'[1]2026'!$T:$T,$BD609,'[1]2026'!$S:$S,BN$3,'[1]2026'!$P:$P,$AU609)</f>
        <v>0</v>
      </c>
      <c r="BO609" s="10">
        <f>SUMIFS('[1]2026'!$K:$K,'[1]2026'!$T:$T,$BD609,'[1]2026'!$S:$S,BO$3,'[1]2026'!$P:$P,$AU609)</f>
        <v>0</v>
      </c>
      <c r="BP609" s="6">
        <f t="shared" si="403"/>
        <v>0</v>
      </c>
      <c r="BQ609" s="6">
        <f t="shared" si="403"/>
        <v>0</v>
      </c>
      <c r="BR609" s="6">
        <f t="shared" si="403"/>
        <v>0</v>
      </c>
      <c r="BS609" s="6">
        <f t="shared" si="403"/>
        <v>0</v>
      </c>
      <c r="BT609" s="6">
        <f t="shared" si="404"/>
        <v>803571.43</v>
      </c>
      <c r="BV609" s="6">
        <f t="shared" si="405"/>
        <v>0</v>
      </c>
      <c r="BW609" s="6">
        <f t="shared" si="406"/>
        <v>0</v>
      </c>
      <c r="BX609" s="6">
        <f t="shared" si="407"/>
        <v>642857.14</v>
      </c>
      <c r="BY609" s="6">
        <f t="shared" si="408"/>
        <v>0</v>
      </c>
      <c r="BZ609" s="6">
        <f t="shared" si="409"/>
        <v>160714.29</v>
      </c>
      <c r="CA609" s="6">
        <f t="shared" si="410"/>
        <v>0</v>
      </c>
      <c r="CB609" s="6">
        <f t="shared" si="411"/>
        <v>0</v>
      </c>
      <c r="CC609" s="6">
        <f t="shared" si="412"/>
        <v>0</v>
      </c>
      <c r="CD609" s="6">
        <f t="shared" si="413"/>
        <v>0</v>
      </c>
      <c r="CE609" s="6">
        <f t="shared" si="414"/>
        <v>0</v>
      </c>
      <c r="CF609" s="6">
        <f t="shared" si="415"/>
        <v>0</v>
      </c>
      <c r="CG609" s="6">
        <f t="shared" si="416"/>
        <v>-1500000</v>
      </c>
      <c r="CH609" s="6">
        <f t="shared" si="396"/>
        <v>-696428.57</v>
      </c>
    </row>
    <row r="610" spans="1:86" hidden="1" x14ac:dyDescent="0.35">
      <c r="A610" t="s">
        <v>1042</v>
      </c>
      <c r="AN610" s="27">
        <f t="shared" si="398"/>
        <v>0</v>
      </c>
      <c r="AS610" t="str">
        <f>_xlfn.XLOOKUP(AU610,[2]GAE!HZ:HZ,[2]GAE!IA:IA)</f>
        <v>GSC OLD BLDGS</v>
      </c>
      <c r="AT610" t="str">
        <f>_xlfn.XLOOKUP(AU610,[2]GAE!HZ:HZ,[2]GAE!IB:IB)</f>
        <v>GAE - Prof. Fees - Audit</v>
      </c>
      <c r="AU610" t="s">
        <v>1043</v>
      </c>
      <c r="AV610">
        <v>81221201</v>
      </c>
      <c r="AW610">
        <v>61071001</v>
      </c>
      <c r="AX610" t="str">
        <f>_xlfn.XLOOKUP(AU610,[2]GAE!HZ:HZ,[2]GAE!IF:IF)</f>
        <v>Professional fees</v>
      </c>
      <c r="AY610" t="str">
        <f>_xlfn.XLOOKUP(AU610,[2]GAE!HZ:HZ,[2]GAE!IG:IG)</f>
        <v>Internal and external consultants</v>
      </c>
      <c r="BC610" t="s">
        <v>294</v>
      </c>
      <c r="BD610" t="s">
        <v>1042</v>
      </c>
      <c r="BF610" s="37" t="s">
        <v>1263</v>
      </c>
      <c r="BG610" s="37" t="s">
        <v>1263</v>
      </c>
      <c r="BJ610" s="10">
        <f>SUMIFS('[1]2026'!$K:$K,'[1]2026'!$T:$T,$BD610,'[1]2026'!$S:$S,BJ$3,'[1]2026'!$P:$P,$AU610)</f>
        <v>53292.12</v>
      </c>
      <c r="BK610" s="10">
        <f>SUMIFS('[1]2026'!$K:$K,'[1]2026'!$T:$T,$BD610,'[1]2026'!$S:$S,BK$3,'[1]2026'!$P:$P,$AU610)</f>
        <v>0</v>
      </c>
      <c r="BL610" s="6"/>
      <c r="BM610" s="10">
        <f>SUMIFS('[1]2026'!$K:$K,'[1]2026'!$T:$T,$BD610,'[1]2026'!$S:$S,BM$3,'[1]2026'!$P:$P,$AU610)</f>
        <v>0</v>
      </c>
      <c r="BN610" s="10">
        <f>SUMIFS('[1]2026'!$K:$K,'[1]2026'!$T:$T,$BD610,'[1]2026'!$S:$S,BN$3,'[1]2026'!$P:$P,$AU610)</f>
        <v>0</v>
      </c>
      <c r="BO610" s="10">
        <f>SUMIFS('[1]2026'!$K:$K,'[1]2026'!$T:$T,$BD610,'[1]2026'!$S:$S,BO$3,'[1]2026'!$P:$P,$AU610)</f>
        <v>0</v>
      </c>
      <c r="BP610" s="6"/>
      <c r="BQ610" s="6"/>
      <c r="BR610" s="6"/>
      <c r="BS610" s="6"/>
      <c r="BT610" s="6">
        <f t="shared" si="404"/>
        <v>53292.12</v>
      </c>
      <c r="BV610" s="6">
        <f t="shared" si="405"/>
        <v>0</v>
      </c>
      <c r="BW610" s="6">
        <f t="shared" si="406"/>
        <v>0</v>
      </c>
      <c r="BX610" s="6">
        <f t="shared" si="407"/>
        <v>53292.12</v>
      </c>
      <c r="BY610" s="6">
        <f t="shared" si="408"/>
        <v>0</v>
      </c>
      <c r="BZ610" s="6">
        <f t="shared" si="409"/>
        <v>0</v>
      </c>
      <c r="CA610" s="6">
        <f t="shared" si="410"/>
        <v>0</v>
      </c>
      <c r="CB610" s="6">
        <f t="shared" si="411"/>
        <v>0</v>
      </c>
      <c r="CC610" s="6">
        <f t="shared" si="412"/>
        <v>0</v>
      </c>
      <c r="CD610" s="6">
        <f t="shared" si="413"/>
        <v>0</v>
      </c>
      <c r="CE610" s="6">
        <f t="shared" si="414"/>
        <v>0</v>
      </c>
      <c r="CF610" s="6">
        <f t="shared" si="415"/>
        <v>0</v>
      </c>
      <c r="CG610" s="6">
        <f t="shared" si="416"/>
        <v>0</v>
      </c>
      <c r="CH610" s="6">
        <f t="shared" si="396"/>
        <v>53292.12</v>
      </c>
    </row>
    <row r="611" spans="1:86" hidden="1" x14ac:dyDescent="0.35">
      <c r="A611" t="s">
        <v>1042</v>
      </c>
      <c r="AN611" s="27">
        <f t="shared" si="398"/>
        <v>0</v>
      </c>
      <c r="AS611" t="str">
        <f>_xlfn.XLOOKUP(AU611,[2]GAE!HZ:HZ,[2]GAE!IA:IA)</f>
        <v>ESTANCIA RETAIL</v>
      </c>
      <c r="AT611" t="str">
        <f>_xlfn.XLOOKUP(AU611,[2]GAE!HZ:HZ,[2]GAE!IB:IB)</f>
        <v>GAE - Prof. Fees - Audit</v>
      </c>
      <c r="AU611" t="s">
        <v>1044</v>
      </c>
      <c r="AV611">
        <v>81225101</v>
      </c>
      <c r="AW611">
        <v>61071001</v>
      </c>
      <c r="AX611" t="str">
        <f>_xlfn.XLOOKUP(AU611,[2]GAE!HZ:HZ,[2]GAE!IF:IF)</f>
        <v>Professional fees</v>
      </c>
      <c r="AY611" t="str">
        <f>_xlfn.XLOOKUP(AU611,[2]GAE!HZ:HZ,[2]GAE!IG:IG)</f>
        <v>Internal and external consultants</v>
      </c>
      <c r="BC611" t="s">
        <v>294</v>
      </c>
      <c r="BD611" t="s">
        <v>1042</v>
      </c>
      <c r="BF611" s="37" t="s">
        <v>1263</v>
      </c>
      <c r="BG611" s="37" t="s">
        <v>1263</v>
      </c>
      <c r="BJ611" s="10">
        <f>SUMIFS('[1]2026'!$K:$K,'[1]2026'!$T:$T,$BD611,'[1]2026'!$S:$S,BJ$3,'[1]2026'!$P:$P,$AU611)</f>
        <v>45892.12</v>
      </c>
      <c r="BK611" s="10">
        <f>SUMIFS('[1]2026'!$K:$K,'[1]2026'!$T:$T,$BD611,'[1]2026'!$S:$S,BK$3,'[1]2026'!$P:$P,$AU611)</f>
        <v>0</v>
      </c>
      <c r="BL611" s="6"/>
      <c r="BM611" s="10">
        <f>SUMIFS('[1]2026'!$K:$K,'[1]2026'!$T:$T,$BD611,'[1]2026'!$S:$S,BM$3,'[1]2026'!$P:$P,$AU611)</f>
        <v>0</v>
      </c>
      <c r="BN611" s="10">
        <f>SUMIFS('[1]2026'!$K:$K,'[1]2026'!$T:$T,$BD611,'[1]2026'!$S:$S,BN$3,'[1]2026'!$P:$P,$AU611)</f>
        <v>0</v>
      </c>
      <c r="BO611" s="10">
        <f>SUMIFS('[1]2026'!$K:$K,'[1]2026'!$T:$T,$BD611,'[1]2026'!$S:$S,BO$3,'[1]2026'!$P:$P,$AU611)</f>
        <v>0</v>
      </c>
      <c r="BP611" s="6"/>
      <c r="BQ611" s="6"/>
      <c r="BR611" s="6"/>
      <c r="BS611" s="6"/>
      <c r="BT611" s="6">
        <f t="shared" si="404"/>
        <v>45892.12</v>
      </c>
      <c r="BV611" s="6">
        <f t="shared" si="405"/>
        <v>0</v>
      </c>
      <c r="BW611" s="6">
        <f t="shared" si="406"/>
        <v>0</v>
      </c>
      <c r="BX611" s="6">
        <f t="shared" si="407"/>
        <v>45892.12</v>
      </c>
      <c r="BY611" s="6">
        <f t="shared" si="408"/>
        <v>0</v>
      </c>
      <c r="BZ611" s="6">
        <f t="shared" si="409"/>
        <v>0</v>
      </c>
      <c r="CA611" s="6">
        <f t="shared" si="410"/>
        <v>0</v>
      </c>
      <c r="CB611" s="6">
        <f t="shared" si="411"/>
        <v>0</v>
      </c>
      <c r="CC611" s="6">
        <f t="shared" si="412"/>
        <v>0</v>
      </c>
      <c r="CD611" s="6">
        <f t="shared" si="413"/>
        <v>0</v>
      </c>
      <c r="CE611" s="6">
        <f t="shared" si="414"/>
        <v>0</v>
      </c>
      <c r="CF611" s="6">
        <f t="shared" si="415"/>
        <v>0</v>
      </c>
      <c r="CG611" s="6">
        <f t="shared" si="416"/>
        <v>0</v>
      </c>
      <c r="CH611" s="6">
        <f t="shared" si="396"/>
        <v>45892.12</v>
      </c>
    </row>
    <row r="612" spans="1:86" hidden="1" x14ac:dyDescent="0.35">
      <c r="A612" t="s">
        <v>1045</v>
      </c>
      <c r="AN612" s="27">
        <f t="shared" si="398"/>
        <v>0</v>
      </c>
      <c r="AS612" t="str">
        <f>_xlfn.XLOOKUP(AU612,[2]GAE!HZ:HZ,[2]GAE!IA:IA)</f>
        <v>OHI-COMMON</v>
      </c>
      <c r="AT612" t="str">
        <f>_xlfn.XLOOKUP(AU612,[2]GAE!HZ:HZ,[2]GAE!IB:IB)</f>
        <v>DOE - Prof. Fees - Others</v>
      </c>
      <c r="AU612" t="s">
        <v>1046</v>
      </c>
      <c r="AV612">
        <v>90111101</v>
      </c>
      <c r="AW612">
        <v>52071199</v>
      </c>
      <c r="AX612" t="str">
        <f>_xlfn.XLOOKUP(AU612,[2]GAE!HZ:HZ,[2]GAE!IF:IF)</f>
        <v>Professional fees</v>
      </c>
      <c r="AY612" t="str">
        <f>_xlfn.XLOOKUP(AU612,[2]GAE!HZ:HZ,[2]GAE!IG:IG)</f>
        <v>Internal and external consultants</v>
      </c>
      <c r="BC612" t="s">
        <v>174</v>
      </c>
      <c r="BD612" t="s">
        <v>1045</v>
      </c>
      <c r="BF612" t="s">
        <v>93</v>
      </c>
      <c r="BG612" s="2" t="s">
        <v>174</v>
      </c>
      <c r="BH612" s="10">
        <f>SUMIFS('[1]2026'!$K:$K,'[1]2026'!$T:$T,BD612,'[1]2026'!$S:$S,BH$3,'[1]2026'!$P:$P,AU612)</f>
        <v>61588.54</v>
      </c>
      <c r="BI612" s="10">
        <f>SUMIFS('[1]2026'!$K:$K,'[1]2026'!$T:$T,$BD612,'[1]2026'!$S:$S,BI$3,'[1]2026'!$P:$P,$AU612)</f>
        <v>61588.54</v>
      </c>
      <c r="BJ612" s="10">
        <f>SUMIFS('[1]2026'!$K:$K,'[1]2026'!$T:$T,$BD612,'[1]2026'!$S:$S,BJ$3,'[1]2026'!$P:$P,$AU612)</f>
        <v>-123177.08</v>
      </c>
      <c r="BK612" s="10">
        <f>SUMIFS('[1]2026'!$K:$K,'[1]2026'!$T:$T,$BD612,'[1]2026'!$S:$S,BK$3,'[1]2026'!$P:$P,$AU612)</f>
        <v>246354.16</v>
      </c>
      <c r="BL612" s="10">
        <f>SUMIFS('[1]2026'!$K:$K,'[1]2026'!$T:$T,$BD612,'[1]2026'!$S:$S,BL$3,'[1]2026'!$P:$P,$AU612)</f>
        <v>-246354.16</v>
      </c>
      <c r="BM612" s="10">
        <f>SUMIFS('[1]2026'!$K:$K,'[1]2026'!$T:$T,$BD612,'[1]2026'!$S:$S,BM$3,'[1]2026'!$P:$P,$AU612)</f>
        <v>184765.62</v>
      </c>
      <c r="BN612" s="10">
        <f>SUMIFS('[1]2026'!$K:$K,'[1]2026'!$T:$T,$BD612,'[1]2026'!$S:$S,BN$3,'[1]2026'!$P:$P,$AU612)</f>
        <v>246354.15999999997</v>
      </c>
      <c r="BO612" s="10">
        <f>SUMIFS('[1]2026'!$K:$K,'[1]2026'!$T:$T,$BD612,'[1]2026'!$S:$S,BO$3,'[1]2026'!$P:$P,$AU612)</f>
        <v>61588.54</v>
      </c>
      <c r="BP612" s="6">
        <v>61588.54</v>
      </c>
      <c r="BQ612" s="6">
        <v>61588.54</v>
      </c>
      <c r="BR612" s="6">
        <v>61588.54</v>
      </c>
      <c r="BS612" s="6">
        <v>61588.54</v>
      </c>
      <c r="BT612" s="6">
        <f t="shared" si="404"/>
        <v>739062.4800000001</v>
      </c>
      <c r="BV612" s="6">
        <f t="shared" si="405"/>
        <v>61588.54</v>
      </c>
      <c r="BW612" s="6">
        <f t="shared" si="406"/>
        <v>61588.54</v>
      </c>
      <c r="BX612" s="6">
        <f t="shared" si="407"/>
        <v>-123177.08</v>
      </c>
      <c r="BY612" s="6">
        <f t="shared" si="408"/>
        <v>246354.16</v>
      </c>
      <c r="BZ612" s="6">
        <f t="shared" si="409"/>
        <v>-246354.16</v>
      </c>
      <c r="CA612" s="6">
        <f t="shared" si="410"/>
        <v>184765.62</v>
      </c>
      <c r="CB612" s="6">
        <f t="shared" si="411"/>
        <v>246354.15999999997</v>
      </c>
      <c r="CC612" s="6">
        <f t="shared" si="412"/>
        <v>61588.54</v>
      </c>
      <c r="CD612" s="6">
        <f t="shared" si="413"/>
        <v>61588.54</v>
      </c>
      <c r="CE612" s="6">
        <f t="shared" si="414"/>
        <v>61588.54</v>
      </c>
      <c r="CF612" s="6">
        <f t="shared" si="415"/>
        <v>61588.54</v>
      </c>
      <c r="CG612" s="6">
        <f t="shared" si="416"/>
        <v>61588.54</v>
      </c>
      <c r="CH612" s="6">
        <f t="shared" si="396"/>
        <v>739062.4800000001</v>
      </c>
    </row>
    <row r="613" spans="1:86" hidden="1" x14ac:dyDescent="0.35">
      <c r="A613" t="s">
        <v>1047</v>
      </c>
      <c r="AN613" s="27">
        <f t="shared" si="398"/>
        <v>0</v>
      </c>
      <c r="AS613" t="str">
        <f>_xlfn.XLOOKUP(AU613,[2]GAE!HZ:HZ,[2]GAE!IA:IA)</f>
        <v>HUMAN RESOURCES</v>
      </c>
      <c r="AT613" t="str">
        <f>_xlfn.XLOOKUP(AU613,[2]GAE!HZ:HZ,[2]GAE!IB:IB)</f>
        <v>GAE - Prof. Fees - Others</v>
      </c>
      <c r="AU613" t="s">
        <v>762</v>
      </c>
      <c r="AV613">
        <v>80122101</v>
      </c>
      <c r="AW613">
        <v>61071099</v>
      </c>
      <c r="AX613" t="str">
        <f>_xlfn.XLOOKUP(AU613,[2]GAE!HZ:HZ,[2]GAE!IF:IF)</f>
        <v>Professional fees</v>
      </c>
      <c r="AY613" t="str">
        <f>_xlfn.XLOOKUP(AU613,[2]GAE!HZ:HZ,[2]GAE!IG:IG)</f>
        <v>Internal and external consultants</v>
      </c>
      <c r="BC613" t="s">
        <v>294</v>
      </c>
      <c r="BD613" t="s">
        <v>1047</v>
      </c>
      <c r="BF613" s="37" t="s">
        <v>1263</v>
      </c>
      <c r="BG613" s="37" t="s">
        <v>1263</v>
      </c>
      <c r="BJ613" s="10">
        <f>SUMIFS('[1]2026'!$K:$K,'[1]2026'!$T:$T,$BD613,'[1]2026'!$S:$S,BJ$3,'[1]2026'!$P:$P,$AU613)</f>
        <v>10680</v>
      </c>
      <c r="BK613" s="10">
        <f>SUMIFS('[1]2026'!$K:$K,'[1]2026'!$T:$T,$BD613,'[1]2026'!$S:$S,BK$3,'[1]2026'!$P:$P,$AU613)</f>
        <v>0</v>
      </c>
      <c r="BL613" s="6"/>
      <c r="BM613" s="10">
        <f>SUMIFS('[1]2026'!$K:$K,'[1]2026'!$T:$T,$BD613,'[1]2026'!$S:$S,BM$3,'[1]2026'!$P:$P,$AU613)</f>
        <v>0</v>
      </c>
      <c r="BN613" s="10">
        <f>SUMIFS('[1]2026'!$K:$K,'[1]2026'!$T:$T,$BD613,'[1]2026'!$S:$S,BN$3,'[1]2026'!$P:$P,$AU613)</f>
        <v>0</v>
      </c>
      <c r="BO613" s="10">
        <f>SUMIFS('[1]2026'!$K:$K,'[1]2026'!$T:$T,$BD613,'[1]2026'!$S:$S,BO$3,'[1]2026'!$P:$P,$AU613)</f>
        <v>0</v>
      </c>
      <c r="BP613" s="6"/>
      <c r="BQ613" s="6"/>
      <c r="BR613" s="6"/>
      <c r="BS613" s="6"/>
      <c r="BT613" s="6">
        <f t="shared" si="404"/>
        <v>10680</v>
      </c>
      <c r="BV613" s="6">
        <f t="shared" si="405"/>
        <v>0</v>
      </c>
      <c r="BW613" s="6">
        <f t="shared" si="406"/>
        <v>0</v>
      </c>
      <c r="BX613" s="6">
        <f t="shared" si="407"/>
        <v>10680</v>
      </c>
      <c r="BY613" s="6">
        <f t="shared" si="408"/>
        <v>0</v>
      </c>
      <c r="BZ613" s="6">
        <f t="shared" si="409"/>
        <v>0</v>
      </c>
      <c r="CA613" s="6">
        <f t="shared" si="410"/>
        <v>0</v>
      </c>
      <c r="CB613" s="6">
        <f t="shared" si="411"/>
        <v>0</v>
      </c>
      <c r="CC613" s="6">
        <f t="shared" si="412"/>
        <v>0</v>
      </c>
      <c r="CD613" s="6">
        <f t="shared" si="413"/>
        <v>0</v>
      </c>
      <c r="CE613" s="6">
        <f t="shared" si="414"/>
        <v>0</v>
      </c>
      <c r="CF613" s="6">
        <f t="shared" si="415"/>
        <v>0</v>
      </c>
      <c r="CG613" s="6">
        <f t="shared" si="416"/>
        <v>0</v>
      </c>
      <c r="CH613" s="6">
        <f t="shared" si="396"/>
        <v>10680</v>
      </c>
    </row>
    <row r="614" spans="1:86" hidden="1" x14ac:dyDescent="0.35">
      <c r="A614" s="3" t="s">
        <v>1048</v>
      </c>
      <c r="B614" s="10">
        <v>55020</v>
      </c>
      <c r="C614" s="10">
        <v>55020</v>
      </c>
      <c r="D614" s="10">
        <v>55020</v>
      </c>
      <c r="E614" s="10">
        <v>55020</v>
      </c>
      <c r="F614" s="10">
        <v>55020</v>
      </c>
      <c r="G614" s="10">
        <v>55020</v>
      </c>
      <c r="H614" s="10">
        <v>55020</v>
      </c>
      <c r="I614" s="10">
        <v>55020</v>
      </c>
      <c r="J614" s="10">
        <v>55020</v>
      </c>
      <c r="K614" s="10">
        <v>55020</v>
      </c>
      <c r="L614" s="10">
        <v>55020</v>
      </c>
      <c r="M614" s="10">
        <v>55020</v>
      </c>
      <c r="N614" s="27">
        <f t="shared" ref="N614:N628" si="417">SUM(B614:M614)</f>
        <v>660240</v>
      </c>
      <c r="AA614" s="27">
        <f t="shared" ref="AA614:AA628" si="418">SUM(O614:Z614)</f>
        <v>0</v>
      </c>
      <c r="AB614" s="10">
        <f t="shared" ref="AB614:AM628" si="419">B614-O614</f>
        <v>55020</v>
      </c>
      <c r="AC614" s="10">
        <f t="shared" si="419"/>
        <v>55020</v>
      </c>
      <c r="AD614" s="10">
        <f t="shared" si="419"/>
        <v>55020</v>
      </c>
      <c r="AE614" s="10">
        <f t="shared" si="419"/>
        <v>55020</v>
      </c>
      <c r="AF614" s="10">
        <f t="shared" si="419"/>
        <v>55020</v>
      </c>
      <c r="AG614" s="10">
        <f t="shared" si="419"/>
        <v>55020</v>
      </c>
      <c r="AH614" s="10">
        <f t="shared" si="419"/>
        <v>55020</v>
      </c>
      <c r="AI614" s="10">
        <f t="shared" si="419"/>
        <v>55020</v>
      </c>
      <c r="AJ614" s="10">
        <f t="shared" si="419"/>
        <v>55020</v>
      </c>
      <c r="AK614" s="10">
        <f t="shared" si="419"/>
        <v>55020</v>
      </c>
      <c r="AL614" s="10">
        <f t="shared" si="419"/>
        <v>55020</v>
      </c>
      <c r="AM614" s="10">
        <f t="shared" si="419"/>
        <v>55020</v>
      </c>
      <c r="AN614" s="27">
        <f t="shared" si="398"/>
        <v>660240</v>
      </c>
      <c r="AS614" t="str">
        <f>_xlfn.XLOOKUP(AU614,[2]GAE!HZ:HZ,[2]GAE!IA:IA)</f>
        <v>OHI-COMMON</v>
      </c>
      <c r="AT614" t="str">
        <f>_xlfn.XLOOKUP(AU614,[2]GAE!HZ:HZ,[2]GAE!IB:IB)</f>
        <v>DOE - Contracted Services - Staff</v>
      </c>
      <c r="AU614" t="s">
        <v>1049</v>
      </c>
      <c r="AV614">
        <v>90111101</v>
      </c>
      <c r="AW614">
        <v>52041495</v>
      </c>
      <c r="AX614" t="str">
        <f>_xlfn.XLOOKUP(AU614,[2]GAE!HZ:HZ,[2]GAE!IF:IF)</f>
        <v>Salaries</v>
      </c>
      <c r="AY614" t="str">
        <f>_xlfn.XLOOKUP(AU614,[2]GAE!HZ:HZ,[2]GAE!IG:IG)</f>
        <v>Office Staff (BTs)</v>
      </c>
      <c r="BC614" t="s">
        <v>175</v>
      </c>
      <c r="BD614" s="2" t="s">
        <v>1050</v>
      </c>
      <c r="BE614" s="2"/>
      <c r="BF614" t="s">
        <v>36</v>
      </c>
      <c r="BG614" s="2" t="s">
        <v>175</v>
      </c>
      <c r="BH614" s="10">
        <f>SUMIFS('[1]2026'!$K:$K,'[1]2026'!$T:$T,BD614,'[1]2026'!$S:$S,BH$3,'[1]2026'!$P:$P,AU614)</f>
        <v>0</v>
      </c>
      <c r="BI614" s="10">
        <f>SUMIFS('[1]2026'!$K:$K,'[1]2026'!$T:$T,$BD614,'[1]2026'!$S:$S,BI$3,'[1]2026'!$P:$P,$AU614)</f>
        <v>90906.64</v>
      </c>
      <c r="BJ614" s="10">
        <f>SUMIFS('[1]2026'!$K:$K,'[1]2026'!$T:$T,$BD614,'[1]2026'!$S:$S,BJ$3,'[1]2026'!$P:$P,$AU614)</f>
        <v>11036.68</v>
      </c>
      <c r="BK614" s="10">
        <f>SUMIFS('[1]2026'!$K:$K,'[1]2026'!$T:$T,$BD614,'[1]2026'!$S:$S,BK$3,'[1]2026'!$P:$P,$AU614)</f>
        <v>56910</v>
      </c>
      <c r="BL614" s="10">
        <f>SUMIFS('[1]2026'!$K:$K,'[1]2026'!$T:$T,$BD614,'[1]2026'!$S:$S,BL$3,'[1]2026'!$P:$P,$AU614)</f>
        <v>113190</v>
      </c>
      <c r="BM614" s="10">
        <f>SUMIFS('[1]2026'!$K:$K,'[1]2026'!$T:$T,$BD614,'[1]2026'!$S:$S,BM$3,'[1]2026'!$P:$P,$AU614)</f>
        <v>50156.84</v>
      </c>
      <c r="BN614" s="10">
        <f>SUMIFS('[1]2026'!$K:$K,'[1]2026'!$T:$T,$BD614,'[1]2026'!$S:$S,BN$3,'[1]2026'!$P:$P,$AU614)</f>
        <v>51490.01</v>
      </c>
      <c r="BO614" s="10">
        <f>SUMIFS('[1]2026'!$K:$K,'[1]2026'!$T:$T,$BD614,'[1]2026'!$S:$S,BO$3,'[1]2026'!$P:$P,$AU614)</f>
        <v>52554.78</v>
      </c>
      <c r="BP614" s="6">
        <v>51490.01</v>
      </c>
      <c r="BQ614" s="6">
        <v>51490.01</v>
      </c>
      <c r="BR614" s="6">
        <v>51490.01</v>
      </c>
      <c r="BS614" s="6">
        <v>51490.01</v>
      </c>
      <c r="BT614" s="6">
        <f t="shared" si="404"/>
        <v>632204.99000000011</v>
      </c>
      <c r="BV614" s="6">
        <f t="shared" si="405"/>
        <v>-55020</v>
      </c>
      <c r="BW614" s="6">
        <f t="shared" si="406"/>
        <v>35886.639999999999</v>
      </c>
      <c r="BX614" s="6">
        <f t="shared" si="407"/>
        <v>-43983.32</v>
      </c>
      <c r="BY614" s="6">
        <f t="shared" si="408"/>
        <v>1890</v>
      </c>
      <c r="BZ614" s="6">
        <f t="shared" si="409"/>
        <v>58170</v>
      </c>
      <c r="CA614" s="6">
        <f t="shared" si="410"/>
        <v>-4863.1600000000035</v>
      </c>
      <c r="CB614" s="6">
        <f t="shared" si="411"/>
        <v>-3529.989999999998</v>
      </c>
      <c r="CC614" s="6">
        <f t="shared" si="412"/>
        <v>-2465.2200000000012</v>
      </c>
      <c r="CD614" s="6">
        <f t="shared" si="413"/>
        <v>-3529.989999999998</v>
      </c>
      <c r="CE614" s="6">
        <f t="shared" si="414"/>
        <v>-3529.989999999998</v>
      </c>
      <c r="CF614" s="6">
        <f t="shared" si="415"/>
        <v>-3529.989999999998</v>
      </c>
      <c r="CG614" s="6">
        <f t="shared" si="416"/>
        <v>-3529.989999999998</v>
      </c>
      <c r="CH614" s="6">
        <f t="shared" si="396"/>
        <v>-28035.009999999893</v>
      </c>
    </row>
    <row r="615" spans="1:86" hidden="1" x14ac:dyDescent="0.35">
      <c r="AN615" s="27">
        <f>N615-AA615</f>
        <v>0</v>
      </c>
      <c r="AS615" t="str">
        <f>_xlfn.XLOOKUP(AU615,[2]GAE!HZ:HZ,[2]GAE!IA:IA)</f>
        <v>OHI-COMMON</v>
      </c>
      <c r="AT615" t="str">
        <f>_xlfn.XLOOKUP(AU615,[2]GAE!HZ:HZ,[2]GAE!IB:IB)</f>
        <v>DOE - Contracted Services - Staff</v>
      </c>
      <c r="AU615" t="s">
        <v>1049</v>
      </c>
      <c r="AV615">
        <v>90111101</v>
      </c>
      <c r="AW615">
        <v>52041495</v>
      </c>
      <c r="AX615" t="str">
        <f>_xlfn.XLOOKUP(AU615,[2]GAE!HZ:HZ,[2]GAE!IF:IF)</f>
        <v>Salaries</v>
      </c>
      <c r="AY615" t="str">
        <f>_xlfn.XLOOKUP(AU615,[2]GAE!HZ:HZ,[2]GAE!IG:IG)</f>
        <v>Office Staff (BTs)</v>
      </c>
      <c r="BC615" t="s">
        <v>175</v>
      </c>
      <c r="BD615" s="2" t="s">
        <v>1051</v>
      </c>
      <c r="BE615" s="2"/>
      <c r="BF615" t="s">
        <v>36</v>
      </c>
      <c r="BG615" s="2" t="s">
        <v>175</v>
      </c>
      <c r="BH615" s="10">
        <f>SUMIFS('[1]2026'!$K:$K,'[1]2026'!$T:$T,BD615,'[1]2026'!$S:$S,BH$3,'[1]2026'!$P:$P,AU615)</f>
        <v>50037.27</v>
      </c>
      <c r="BI615" s="10">
        <f>SUMIFS('[1]2026'!$K:$K,'[1]2026'!$T:$T,$BD615,'[1]2026'!$S:$S,BI$3,'[1]2026'!$P:$P,$AU615)</f>
        <v>0</v>
      </c>
      <c r="BJ615" s="6"/>
      <c r="BK615" s="10">
        <f>SUMIFS('[1]2026'!$K:$K,'[1]2026'!$T:$T,$BD615,'[1]2026'!$S:$S,BK$3,'[1]2026'!$P:$P,$AU615)</f>
        <v>0</v>
      </c>
      <c r="BL615" s="6"/>
      <c r="BM615" s="10">
        <f>SUMIFS('[1]2026'!$K:$K,'[1]2026'!$T:$T,$BD615,'[1]2026'!$S:$S,BM$3,'[1]2026'!$P:$P,$AU615)</f>
        <v>0</v>
      </c>
      <c r="BN615" s="10">
        <f>SUMIFS('[1]2026'!$K:$K,'[1]2026'!$T:$T,$BD615,'[1]2026'!$S:$S,BN$3,'[1]2026'!$P:$P,$AU615)</f>
        <v>0</v>
      </c>
      <c r="BO615" s="10">
        <f>SUMIFS('[1]2026'!$K:$K,'[1]2026'!$T:$T,$BD615,'[1]2026'!$S:$S,BO$3,'[1]2026'!$P:$P,$AU615)</f>
        <v>0</v>
      </c>
      <c r="BP615" s="6"/>
      <c r="BQ615" s="6"/>
      <c r="BR615" s="6"/>
      <c r="BS615" s="6"/>
      <c r="BT615" s="6">
        <f t="shared" si="404"/>
        <v>50037.27</v>
      </c>
      <c r="BV615" s="6">
        <f t="shared" si="405"/>
        <v>50037.27</v>
      </c>
      <c r="BW615" s="6">
        <f t="shared" si="406"/>
        <v>0</v>
      </c>
      <c r="BX615" s="6">
        <f t="shared" si="407"/>
        <v>0</v>
      </c>
      <c r="BY615" s="6">
        <f t="shared" si="408"/>
        <v>0</v>
      </c>
      <c r="BZ615" s="6">
        <f t="shared" si="409"/>
        <v>0</v>
      </c>
      <c r="CA615" s="6">
        <f t="shared" si="410"/>
        <v>0</v>
      </c>
      <c r="CB615" s="6">
        <f t="shared" si="411"/>
        <v>0</v>
      </c>
      <c r="CC615" s="6">
        <f t="shared" si="412"/>
        <v>0</v>
      </c>
      <c r="CD615" s="6">
        <f t="shared" si="413"/>
        <v>0</v>
      </c>
      <c r="CE615" s="6">
        <f t="shared" si="414"/>
        <v>0</v>
      </c>
      <c r="CF615" s="6">
        <f t="shared" si="415"/>
        <v>0</v>
      </c>
      <c r="CG615" s="6">
        <f t="shared" si="416"/>
        <v>0</v>
      </c>
      <c r="CH615" s="6">
        <f t="shared" si="396"/>
        <v>50037.27</v>
      </c>
    </row>
    <row r="616" spans="1:86" hidden="1" x14ac:dyDescent="0.35">
      <c r="A616" s="3" t="s">
        <v>1052</v>
      </c>
      <c r="B616" s="10">
        <v>2083.3333333333335</v>
      </c>
      <c r="C616" s="10">
        <v>2083.3333333333335</v>
      </c>
      <c r="D616" s="10">
        <v>2083.3333333333335</v>
      </c>
      <c r="E616" s="10">
        <v>2083.3333333333335</v>
      </c>
      <c r="F616" s="10">
        <v>2083.3333333333335</v>
      </c>
      <c r="G616" s="10">
        <v>2083.3333333333335</v>
      </c>
      <c r="H616" s="10">
        <v>2083.3333333333335</v>
      </c>
      <c r="I616" s="10">
        <v>2083.3333333333335</v>
      </c>
      <c r="J616" s="10">
        <v>2083.3333333333335</v>
      </c>
      <c r="K616" s="10">
        <v>2083.3333333333335</v>
      </c>
      <c r="L616" s="10">
        <v>2083.3333333333335</v>
      </c>
      <c r="M616" s="10">
        <v>2083.3333333333335</v>
      </c>
      <c r="N616" s="27">
        <f t="shared" si="417"/>
        <v>24999.999999999996</v>
      </c>
      <c r="AA616" s="27">
        <f t="shared" si="418"/>
        <v>0</v>
      </c>
      <c r="AB616" s="10">
        <f t="shared" si="419"/>
        <v>2083.3333333333335</v>
      </c>
      <c r="AC616" s="10">
        <f t="shared" si="419"/>
        <v>2083.3333333333335</v>
      </c>
      <c r="AD616" s="10">
        <f t="shared" si="419"/>
        <v>2083.3333333333335</v>
      </c>
      <c r="AE616" s="10">
        <f t="shared" si="419"/>
        <v>2083.3333333333335</v>
      </c>
      <c r="AF616" s="10">
        <f t="shared" si="419"/>
        <v>2083.3333333333335</v>
      </c>
      <c r="AG616" s="10">
        <f t="shared" si="419"/>
        <v>2083.3333333333335</v>
      </c>
      <c r="AH616" s="10">
        <f t="shared" si="419"/>
        <v>2083.3333333333335</v>
      </c>
      <c r="AI616" s="10">
        <f t="shared" si="419"/>
        <v>2083.3333333333335</v>
      </c>
      <c r="AJ616" s="10">
        <f t="shared" si="419"/>
        <v>2083.3333333333335</v>
      </c>
      <c r="AK616" s="10">
        <f t="shared" si="419"/>
        <v>2083.3333333333335</v>
      </c>
      <c r="AL616" s="10">
        <f t="shared" si="419"/>
        <v>2083.3333333333335</v>
      </c>
      <c r="AM616" s="10">
        <f t="shared" si="419"/>
        <v>2083.3333333333335</v>
      </c>
      <c r="AN616" s="27">
        <f t="shared" si="398"/>
        <v>24999.999999999996</v>
      </c>
      <c r="AS616" t="str">
        <f>_xlfn.XLOOKUP(AU616,[2]GAE!HZ:HZ,[2]GAE!IA:IA)</f>
        <v>LEGAL</v>
      </c>
      <c r="AT616" t="str">
        <f>_xlfn.XLOOKUP(AU616,[2]GAE!HZ:HZ,[2]GAE!IB:IB)</f>
        <v>GAE - Prof. Fees - Legal</v>
      </c>
      <c r="AU616" t="s">
        <v>978</v>
      </c>
      <c r="AV616">
        <v>80123101</v>
      </c>
      <c r="AW616">
        <v>61071002</v>
      </c>
      <c r="AX616" t="str">
        <f>_xlfn.XLOOKUP(AU616,[2]GAE!HZ:HZ,[2]GAE!IF:IF)</f>
        <v>Professional fees</v>
      </c>
      <c r="AY616" t="str">
        <f>_xlfn.XLOOKUP(AU616,[2]GAE!HZ:HZ,[2]GAE!IG:IG)</f>
        <v>Open Cases</v>
      </c>
      <c r="BF616" t="s">
        <v>161</v>
      </c>
      <c r="BG616" t="s">
        <v>162</v>
      </c>
      <c r="BH616" s="10">
        <f>SUMIFS('[1]2026'!$K:$K,'[1]2026'!$T:$T,BD616,'[1]2026'!$S:$S,BH$3,'[1]2026'!$P:$P,AU616)</f>
        <v>0</v>
      </c>
      <c r="BI616" s="10">
        <f>SUMIFS('[1]2026'!$K:$K,'[1]2026'!$T:$T,$BD616,'[1]2026'!$S:$S,BI$3,'[1]2026'!$P:$P,$AU616)</f>
        <v>0</v>
      </c>
      <c r="BJ616" s="10">
        <f>SUMIFS('[1]2026'!$K:$K,'[1]2026'!$T:$T,$BD616,'[1]2026'!$S:$S,BJ$3,'[1]2026'!$P:$P,$AU616)</f>
        <v>0</v>
      </c>
      <c r="BK616" s="10">
        <f>SUMIFS('[1]2026'!$K:$K,'[1]2026'!$T:$T,$BD616,'[1]2026'!$S:$S,BK$3,'[1]2026'!$P:$P,$AU616)</f>
        <v>0</v>
      </c>
      <c r="BL616" s="6"/>
      <c r="BM616" s="10">
        <f>SUMIFS('[1]2026'!$K:$K,'[1]2026'!$T:$T,$BD616,'[1]2026'!$S:$S,BM$3,'[1]2026'!$P:$P,$AU616)</f>
        <v>0</v>
      </c>
      <c r="BN616" s="10">
        <f>SUMIFS('[1]2026'!$K:$K,'[1]2026'!$T:$T,$BD616,'[1]2026'!$S:$S,BN$3,'[1]2026'!$P:$P,$AU616)</f>
        <v>0</v>
      </c>
      <c r="BO616" s="10">
        <f>SUMIFS('[1]2026'!$K:$K,'[1]2026'!$T:$T,$BD616,'[1]2026'!$S:$S,BO$3,'[1]2026'!$P:$P,$AU616)</f>
        <v>0</v>
      </c>
      <c r="BP616" s="6">
        <f t="shared" ref="BP616:BS622" si="420">BO616</f>
        <v>0</v>
      </c>
      <c r="BQ616" s="6">
        <f t="shared" si="420"/>
        <v>0</v>
      </c>
      <c r="BR616" s="6">
        <f t="shared" si="420"/>
        <v>0</v>
      </c>
      <c r="BS616" s="6">
        <f t="shared" si="420"/>
        <v>0</v>
      </c>
      <c r="BT616" s="6">
        <f t="shared" si="404"/>
        <v>0</v>
      </c>
      <c r="BV616" s="6">
        <f t="shared" si="405"/>
        <v>-2083.3333333333335</v>
      </c>
      <c r="BW616" s="6">
        <f t="shared" si="406"/>
        <v>-2083.3333333333335</v>
      </c>
      <c r="BX616" s="6">
        <f t="shared" si="407"/>
        <v>-2083.3333333333335</v>
      </c>
      <c r="BY616" s="6">
        <f t="shared" si="408"/>
        <v>-2083.3333333333335</v>
      </c>
      <c r="BZ616" s="6">
        <f t="shared" si="409"/>
        <v>-2083.3333333333335</v>
      </c>
      <c r="CA616" s="6">
        <f t="shared" si="410"/>
        <v>-2083.3333333333335</v>
      </c>
      <c r="CB616" s="6">
        <f t="shared" si="411"/>
        <v>-2083.3333333333335</v>
      </c>
      <c r="CC616" s="6">
        <f t="shared" si="412"/>
        <v>-2083.3333333333335</v>
      </c>
      <c r="CD616" s="6">
        <f t="shared" si="413"/>
        <v>-2083.3333333333335</v>
      </c>
      <c r="CE616" s="6">
        <f t="shared" si="414"/>
        <v>-2083.3333333333335</v>
      </c>
      <c r="CF616" s="6">
        <f t="shared" si="415"/>
        <v>-2083.3333333333335</v>
      </c>
      <c r="CG616" s="6">
        <f t="shared" si="416"/>
        <v>-2083.3333333333335</v>
      </c>
      <c r="CH616" s="6">
        <f t="shared" si="396"/>
        <v>-24999.999999999996</v>
      </c>
    </row>
    <row r="617" spans="1:86" hidden="1" x14ac:dyDescent="0.35">
      <c r="A617" s="3" t="s">
        <v>1052</v>
      </c>
      <c r="B617" s="10">
        <v>1250</v>
      </c>
      <c r="C617" s="10">
        <v>1250</v>
      </c>
      <c r="D617" s="10">
        <v>1250</v>
      </c>
      <c r="E617" s="10">
        <v>1250</v>
      </c>
      <c r="F617" s="10">
        <v>1250</v>
      </c>
      <c r="G617" s="10">
        <v>1250</v>
      </c>
      <c r="H617" s="10">
        <v>1250</v>
      </c>
      <c r="I617" s="10">
        <v>1250</v>
      </c>
      <c r="J617" s="10">
        <v>1250</v>
      </c>
      <c r="K617" s="10">
        <v>1250</v>
      </c>
      <c r="L617" s="10">
        <v>1250</v>
      </c>
      <c r="M617" s="10">
        <v>1250</v>
      </c>
      <c r="N617" s="27">
        <f t="shared" si="417"/>
        <v>15000</v>
      </c>
      <c r="AA617" s="27">
        <f t="shared" si="418"/>
        <v>0</v>
      </c>
      <c r="AB617" s="10">
        <f t="shared" si="419"/>
        <v>1250</v>
      </c>
      <c r="AC617" s="10">
        <f t="shared" si="419"/>
        <v>1250</v>
      </c>
      <c r="AD617" s="10">
        <f t="shared" si="419"/>
        <v>1250</v>
      </c>
      <c r="AE617" s="10">
        <f t="shared" si="419"/>
        <v>1250</v>
      </c>
      <c r="AF617" s="10">
        <f t="shared" si="419"/>
        <v>1250</v>
      </c>
      <c r="AG617" s="10">
        <f t="shared" si="419"/>
        <v>1250</v>
      </c>
      <c r="AH617" s="10">
        <f t="shared" si="419"/>
        <v>1250</v>
      </c>
      <c r="AI617" s="10">
        <f t="shared" si="419"/>
        <v>1250</v>
      </c>
      <c r="AJ617" s="10">
        <f t="shared" si="419"/>
        <v>1250</v>
      </c>
      <c r="AK617" s="10">
        <f t="shared" si="419"/>
        <v>1250</v>
      </c>
      <c r="AL617" s="10">
        <f t="shared" si="419"/>
        <v>1250</v>
      </c>
      <c r="AM617" s="10">
        <f t="shared" si="419"/>
        <v>1250</v>
      </c>
      <c r="AN617" s="27">
        <f t="shared" si="398"/>
        <v>15000</v>
      </c>
      <c r="AS617" t="str">
        <f>_xlfn.XLOOKUP(AU617,[2]GAE!HZ:HZ,[2]GAE!IA:IA)</f>
        <v>LEGAL</v>
      </c>
      <c r="AT617" t="str">
        <f>_xlfn.XLOOKUP(AU617,[2]GAE!HZ:HZ,[2]GAE!IB:IB)</f>
        <v>DOE - Prof. Fees - Legal</v>
      </c>
      <c r="AU617" t="s">
        <v>981</v>
      </c>
      <c r="AV617">
        <v>81123101</v>
      </c>
      <c r="AW617">
        <v>52071102</v>
      </c>
      <c r="AX617" t="str">
        <f>_xlfn.XLOOKUP(AU617,[2]GAE!HZ:HZ,[2]GAE!IF:IF)</f>
        <v>Professional fees</v>
      </c>
      <c r="AY617" t="str">
        <f>_xlfn.XLOOKUP(AU617,[2]GAE!HZ:HZ,[2]GAE!IG:IG)</f>
        <v>Open Cases</v>
      </c>
      <c r="BF617" t="s">
        <v>161</v>
      </c>
      <c r="BG617" t="s">
        <v>162</v>
      </c>
      <c r="BH617" s="10">
        <f>SUMIFS('[1]2026'!$K:$K,'[1]2026'!$T:$T,BD617,'[1]2026'!$S:$S,BH$3,'[1]2026'!$P:$P,AU617)</f>
        <v>0</v>
      </c>
      <c r="BI617" s="10">
        <f>SUMIFS('[1]2026'!$K:$K,'[1]2026'!$T:$T,$BD617,'[1]2026'!$S:$S,BI$3,'[1]2026'!$P:$P,$AU617)</f>
        <v>0</v>
      </c>
      <c r="BJ617" s="10">
        <f>SUMIFS('[1]2026'!$K:$K,'[1]2026'!$T:$T,$BD617,'[1]2026'!$S:$S,BJ$3,'[1]2026'!$P:$P,$AU617)</f>
        <v>0</v>
      </c>
      <c r="BK617" s="10">
        <f>SUMIFS('[1]2026'!$K:$K,'[1]2026'!$T:$T,$BD617,'[1]2026'!$S:$S,BK$3,'[1]2026'!$P:$P,$AU617)</f>
        <v>0</v>
      </c>
      <c r="BL617" s="10">
        <f>SUMIFS('[1]2026'!$K:$K,'[1]2026'!$T:$T,$BD617,'[1]2026'!$S:$S,BL$3,'[1]2026'!$P:$P,$AU617)</f>
        <v>0</v>
      </c>
      <c r="BM617" s="10">
        <f>SUMIFS('[1]2026'!$K:$K,'[1]2026'!$T:$T,$BD617,'[1]2026'!$S:$S,BM$3,'[1]2026'!$P:$P,$AU617)</f>
        <v>0</v>
      </c>
      <c r="BN617" s="10">
        <f>SUMIFS('[1]2026'!$K:$K,'[1]2026'!$T:$T,$BD617,'[1]2026'!$S:$S,BN$3,'[1]2026'!$P:$P,$AU617)</f>
        <v>0</v>
      </c>
      <c r="BO617" s="10">
        <f>SUMIFS('[1]2026'!$K:$K,'[1]2026'!$T:$T,$BD617,'[1]2026'!$S:$S,BO$3,'[1]2026'!$P:$P,$AU617)</f>
        <v>0</v>
      </c>
      <c r="BP617" s="6">
        <f t="shared" si="420"/>
        <v>0</v>
      </c>
      <c r="BQ617" s="6">
        <f t="shared" si="420"/>
        <v>0</v>
      </c>
      <c r="BR617" s="6">
        <f t="shared" si="420"/>
        <v>0</v>
      </c>
      <c r="BS617" s="6">
        <f t="shared" si="420"/>
        <v>0</v>
      </c>
      <c r="BT617" s="6">
        <f t="shared" si="404"/>
        <v>0</v>
      </c>
      <c r="BV617" s="6">
        <f t="shared" si="405"/>
        <v>-1250</v>
      </c>
      <c r="BW617" s="6">
        <f t="shared" si="406"/>
        <v>-1250</v>
      </c>
      <c r="BX617" s="6">
        <f t="shared" si="407"/>
        <v>-1250</v>
      </c>
      <c r="BY617" s="6">
        <f t="shared" si="408"/>
        <v>-1250</v>
      </c>
      <c r="BZ617" s="6">
        <f t="shared" si="409"/>
        <v>-1250</v>
      </c>
      <c r="CA617" s="6">
        <f t="shared" si="410"/>
        <v>-1250</v>
      </c>
      <c r="CB617" s="6">
        <f t="shared" si="411"/>
        <v>-1250</v>
      </c>
      <c r="CC617" s="6">
        <f t="shared" si="412"/>
        <v>-1250</v>
      </c>
      <c r="CD617" s="6">
        <f t="shared" si="413"/>
        <v>-1250</v>
      </c>
      <c r="CE617" s="6">
        <f t="shared" si="414"/>
        <v>-1250</v>
      </c>
      <c r="CF617" s="6">
        <f t="shared" si="415"/>
        <v>-1250</v>
      </c>
      <c r="CG617" s="6">
        <f t="shared" si="416"/>
        <v>-1250</v>
      </c>
      <c r="CH617" s="6">
        <f t="shared" si="396"/>
        <v>-15000</v>
      </c>
    </row>
    <row r="618" spans="1:86" hidden="1" x14ac:dyDescent="0.35">
      <c r="A618" s="3" t="s">
        <v>1052</v>
      </c>
      <c r="B618" s="10">
        <v>1250</v>
      </c>
      <c r="C618" s="10">
        <v>1250</v>
      </c>
      <c r="D618" s="10">
        <v>1250</v>
      </c>
      <c r="E618" s="10">
        <v>1250</v>
      </c>
      <c r="F618" s="10">
        <v>1250</v>
      </c>
      <c r="G618" s="10">
        <v>1250</v>
      </c>
      <c r="H618" s="10">
        <v>1250</v>
      </c>
      <c r="I618" s="10">
        <v>1250</v>
      </c>
      <c r="J618" s="10">
        <v>1250</v>
      </c>
      <c r="K618" s="10">
        <v>1250</v>
      </c>
      <c r="L618" s="10">
        <v>1250</v>
      </c>
      <c r="M618" s="10">
        <v>1250</v>
      </c>
      <c r="N618" s="27">
        <f t="shared" si="417"/>
        <v>15000</v>
      </c>
      <c r="AA618" s="27">
        <f t="shared" si="418"/>
        <v>0</v>
      </c>
      <c r="AB618" s="10">
        <f t="shared" si="419"/>
        <v>1250</v>
      </c>
      <c r="AC618" s="10">
        <f t="shared" si="419"/>
        <v>1250</v>
      </c>
      <c r="AD618" s="10">
        <f t="shared" si="419"/>
        <v>1250</v>
      </c>
      <c r="AE618" s="10">
        <f t="shared" si="419"/>
        <v>1250</v>
      </c>
      <c r="AF618" s="10">
        <f t="shared" si="419"/>
        <v>1250</v>
      </c>
      <c r="AG618" s="10">
        <f t="shared" si="419"/>
        <v>1250</v>
      </c>
      <c r="AH618" s="10">
        <f t="shared" si="419"/>
        <v>1250</v>
      </c>
      <c r="AI618" s="10">
        <f t="shared" si="419"/>
        <v>1250</v>
      </c>
      <c r="AJ618" s="10">
        <f t="shared" si="419"/>
        <v>1250</v>
      </c>
      <c r="AK618" s="10">
        <f t="shared" si="419"/>
        <v>1250</v>
      </c>
      <c r="AL618" s="10">
        <f t="shared" si="419"/>
        <v>1250</v>
      </c>
      <c r="AM618" s="10">
        <f t="shared" si="419"/>
        <v>1250</v>
      </c>
      <c r="AN618" s="27">
        <f t="shared" si="398"/>
        <v>15000</v>
      </c>
      <c r="AS618" t="str">
        <f>_xlfn.XLOOKUP(AU618,[2]GAE!HZ:HZ,[2]GAE!IA:IA)</f>
        <v>LEGAL</v>
      </c>
      <c r="AT618" t="str">
        <f>_xlfn.XLOOKUP(AU618,[2]GAE!HZ:HZ,[2]GAE!IB:IB)</f>
        <v>GAE - Prof. Fees - Legal</v>
      </c>
      <c r="AU618" t="s">
        <v>980</v>
      </c>
      <c r="AV618">
        <v>90123101</v>
      </c>
      <c r="AW618">
        <v>61071002</v>
      </c>
      <c r="AX618" t="str">
        <f>_xlfn.XLOOKUP(AU618,[2]GAE!HZ:HZ,[2]GAE!IF:IF)</f>
        <v>Professional fees</v>
      </c>
      <c r="AY618" t="str">
        <f>_xlfn.XLOOKUP(AU618,[2]GAE!HZ:HZ,[2]GAE!IG:IG)</f>
        <v>Open Cases</v>
      </c>
      <c r="BD618" s="2"/>
      <c r="BE618" s="2"/>
      <c r="BF618" t="s">
        <v>161</v>
      </c>
      <c r="BG618" t="s">
        <v>162</v>
      </c>
      <c r="BH618" s="10">
        <f>SUMIFS('[1]2026'!$K:$K,'[1]2026'!$T:$T,BD618,'[1]2026'!$S:$S,BH$3,'[1]2026'!$P:$P,AU618)</f>
        <v>0</v>
      </c>
      <c r="BI618" s="10">
        <f>SUMIFS('[1]2026'!$K:$K,'[1]2026'!$T:$T,$BD618,'[1]2026'!$S:$S,BI$3,'[1]2026'!$P:$P,$AU618)</f>
        <v>0</v>
      </c>
      <c r="BJ618" s="10">
        <f>SUMIFS('[1]2026'!$K:$K,'[1]2026'!$T:$T,$BD618,'[1]2026'!$S:$S,BJ$3,'[1]2026'!$P:$P,$AU618)</f>
        <v>0</v>
      </c>
      <c r="BK618" s="10">
        <f>SUMIFS('[1]2026'!$K:$K,'[1]2026'!$T:$T,$BD618,'[1]2026'!$S:$S,BK$3,'[1]2026'!$P:$P,$AU618)</f>
        <v>0</v>
      </c>
      <c r="BL618" s="10">
        <f>SUMIFS('[1]2026'!$K:$K,'[1]2026'!$T:$T,$BD618,'[1]2026'!$S:$S,BL$3,'[1]2026'!$P:$P,$AU618)</f>
        <v>0</v>
      </c>
      <c r="BM618" s="10">
        <f>SUMIFS('[1]2026'!$K:$K,'[1]2026'!$T:$T,$BD618,'[1]2026'!$S:$S,BM$3,'[1]2026'!$P:$P,$AU618)</f>
        <v>0</v>
      </c>
      <c r="BN618" s="10">
        <f>SUMIFS('[1]2026'!$K:$K,'[1]2026'!$T:$T,$BD618,'[1]2026'!$S:$S,BN$3,'[1]2026'!$P:$P,$AU618)</f>
        <v>0</v>
      </c>
      <c r="BO618" s="10">
        <f>SUMIFS('[1]2026'!$K:$K,'[1]2026'!$T:$T,$BD618,'[1]2026'!$S:$S,BO$3,'[1]2026'!$P:$P,$AU618)</f>
        <v>0</v>
      </c>
      <c r="BP618" s="6">
        <f t="shared" si="420"/>
        <v>0</v>
      </c>
      <c r="BQ618" s="6">
        <f t="shared" si="420"/>
        <v>0</v>
      </c>
      <c r="BR618" s="6">
        <f t="shared" si="420"/>
        <v>0</v>
      </c>
      <c r="BS618" s="6">
        <f t="shared" si="420"/>
        <v>0</v>
      </c>
      <c r="BT618" s="6">
        <f t="shared" si="404"/>
        <v>0</v>
      </c>
      <c r="BV618" s="6">
        <f t="shared" si="405"/>
        <v>-1250</v>
      </c>
      <c r="BW618" s="6">
        <f t="shared" si="406"/>
        <v>-1250</v>
      </c>
      <c r="BX618" s="6">
        <f t="shared" si="407"/>
        <v>-1250</v>
      </c>
      <c r="BY618" s="6">
        <f t="shared" si="408"/>
        <v>-1250</v>
      </c>
      <c r="BZ618" s="6">
        <f t="shared" si="409"/>
        <v>-1250</v>
      </c>
      <c r="CA618" s="6">
        <f t="shared" si="410"/>
        <v>-1250</v>
      </c>
      <c r="CB618" s="6">
        <f t="shared" si="411"/>
        <v>-1250</v>
      </c>
      <c r="CC618" s="6">
        <f t="shared" si="412"/>
        <v>-1250</v>
      </c>
      <c r="CD618" s="6">
        <f t="shared" si="413"/>
        <v>-1250</v>
      </c>
      <c r="CE618" s="6">
        <f t="shared" si="414"/>
        <v>-1250</v>
      </c>
      <c r="CF618" s="6">
        <f t="shared" si="415"/>
        <v>-1250</v>
      </c>
      <c r="CG618" s="6">
        <f t="shared" si="416"/>
        <v>-1250</v>
      </c>
      <c r="CH618" s="6">
        <f t="shared" si="396"/>
        <v>-15000</v>
      </c>
    </row>
    <row r="619" spans="1:86" hidden="1" x14ac:dyDescent="0.35">
      <c r="A619" s="3" t="s">
        <v>1053</v>
      </c>
      <c r="B619" s="10">
        <v>3000</v>
      </c>
      <c r="C619" s="10">
        <v>3000</v>
      </c>
      <c r="D619" s="10">
        <v>3000</v>
      </c>
      <c r="E619" s="10">
        <v>3000</v>
      </c>
      <c r="F619" s="10">
        <v>3000</v>
      </c>
      <c r="G619" s="10">
        <v>3000</v>
      </c>
      <c r="H619" s="10">
        <v>3000</v>
      </c>
      <c r="I619" s="10">
        <v>3000</v>
      </c>
      <c r="J619" s="10">
        <v>3000</v>
      </c>
      <c r="K619" s="10">
        <v>3000</v>
      </c>
      <c r="L619" s="10">
        <v>3000</v>
      </c>
      <c r="M619" s="10">
        <v>3000</v>
      </c>
      <c r="N619" s="27">
        <f t="shared" si="417"/>
        <v>36000</v>
      </c>
      <c r="AA619" s="27">
        <f t="shared" si="418"/>
        <v>0</v>
      </c>
      <c r="AB619" s="10">
        <f t="shared" si="419"/>
        <v>3000</v>
      </c>
      <c r="AC619" s="10">
        <f t="shared" si="419"/>
        <v>3000</v>
      </c>
      <c r="AD619" s="10">
        <f t="shared" si="419"/>
        <v>3000</v>
      </c>
      <c r="AE619" s="10">
        <f t="shared" si="419"/>
        <v>3000</v>
      </c>
      <c r="AF619" s="10">
        <f t="shared" si="419"/>
        <v>3000</v>
      </c>
      <c r="AG619" s="10">
        <f t="shared" si="419"/>
        <v>3000</v>
      </c>
      <c r="AH619" s="10">
        <f t="shared" si="419"/>
        <v>3000</v>
      </c>
      <c r="AI619" s="10">
        <f t="shared" si="419"/>
        <v>3000</v>
      </c>
      <c r="AJ619" s="10">
        <f t="shared" si="419"/>
        <v>3000</v>
      </c>
      <c r="AK619" s="10">
        <f t="shared" si="419"/>
        <v>3000</v>
      </c>
      <c r="AL619" s="10">
        <f t="shared" si="419"/>
        <v>3000</v>
      </c>
      <c r="AM619" s="10">
        <f t="shared" si="419"/>
        <v>3000</v>
      </c>
      <c r="AN619" s="27">
        <f t="shared" si="398"/>
        <v>36000</v>
      </c>
      <c r="AS619" t="str">
        <f>_xlfn.XLOOKUP(AU619,[2]GAE!HZ:HZ,[2]GAE!IA:IA)</f>
        <v>LEGAL</v>
      </c>
      <c r="AT619" t="str">
        <f>_xlfn.XLOOKUP(AU619,[2]GAE!HZ:HZ,[2]GAE!IB:IB)</f>
        <v>GAE - Prof. Fees - Legal</v>
      </c>
      <c r="AU619" t="s">
        <v>978</v>
      </c>
      <c r="AV619">
        <v>80123101</v>
      </c>
      <c r="AW619">
        <v>61071002</v>
      </c>
      <c r="AX619" t="str">
        <f>_xlfn.XLOOKUP(AU619,[2]GAE!HZ:HZ,[2]GAE!IF:IF)</f>
        <v>Professional fees</v>
      </c>
      <c r="AY619" t="str">
        <f>_xlfn.XLOOKUP(AU619,[2]GAE!HZ:HZ,[2]GAE!IG:IG)</f>
        <v>Open Cases</v>
      </c>
      <c r="BF619" t="s">
        <v>161</v>
      </c>
      <c r="BG619" t="s">
        <v>162</v>
      </c>
      <c r="BH619" s="10">
        <f>SUMIFS('[1]2026'!$K:$K,'[1]2026'!$T:$T,BD619,'[1]2026'!$S:$S,BH$3,'[1]2026'!$P:$P,AU619)</f>
        <v>0</v>
      </c>
      <c r="BI619" s="10">
        <f>SUMIFS('[1]2026'!$K:$K,'[1]2026'!$T:$T,$BD619,'[1]2026'!$S:$S,BI$3,'[1]2026'!$P:$P,$AU619)</f>
        <v>0</v>
      </c>
      <c r="BJ619" s="10">
        <f>SUMIFS('[1]2026'!$K:$K,'[1]2026'!$T:$T,$BD619,'[1]2026'!$S:$S,BJ$3,'[1]2026'!$P:$P,$AU619)</f>
        <v>0</v>
      </c>
      <c r="BK619" s="10">
        <f>SUMIFS('[1]2026'!$K:$K,'[1]2026'!$T:$T,$BD619,'[1]2026'!$S:$S,BK$3,'[1]2026'!$P:$P,$AU619)</f>
        <v>0</v>
      </c>
      <c r="BL619" s="6"/>
      <c r="BM619" s="10">
        <f>SUMIFS('[1]2026'!$K:$K,'[1]2026'!$T:$T,$BD619,'[1]2026'!$S:$S,BM$3,'[1]2026'!$P:$P,$AU619)</f>
        <v>0</v>
      </c>
      <c r="BN619" s="10">
        <f>SUMIFS('[1]2026'!$K:$K,'[1]2026'!$T:$T,$BD619,'[1]2026'!$S:$S,BN$3,'[1]2026'!$P:$P,$AU619)</f>
        <v>0</v>
      </c>
      <c r="BO619" s="10">
        <f>SUMIFS('[1]2026'!$K:$K,'[1]2026'!$T:$T,$BD619,'[1]2026'!$S:$S,BO$3,'[1]2026'!$P:$P,$AU619)</f>
        <v>0</v>
      </c>
      <c r="BP619" s="6">
        <f t="shared" si="420"/>
        <v>0</v>
      </c>
      <c r="BQ619" s="6">
        <f t="shared" si="420"/>
        <v>0</v>
      </c>
      <c r="BR619" s="6">
        <f t="shared" si="420"/>
        <v>0</v>
      </c>
      <c r="BS619" s="6">
        <f t="shared" si="420"/>
        <v>0</v>
      </c>
      <c r="BT619" s="6">
        <f t="shared" si="404"/>
        <v>0</v>
      </c>
      <c r="BV619" s="6">
        <f t="shared" si="405"/>
        <v>-3000</v>
      </c>
      <c r="BW619" s="6">
        <f t="shared" si="406"/>
        <v>-3000</v>
      </c>
      <c r="BX619" s="6">
        <f t="shared" si="407"/>
        <v>-3000</v>
      </c>
      <c r="BY619" s="6">
        <f t="shared" si="408"/>
        <v>-3000</v>
      </c>
      <c r="BZ619" s="6">
        <f t="shared" si="409"/>
        <v>-3000</v>
      </c>
      <c r="CA619" s="6">
        <f t="shared" si="410"/>
        <v>-3000</v>
      </c>
      <c r="CB619" s="6">
        <f t="shared" si="411"/>
        <v>-3000</v>
      </c>
      <c r="CC619" s="6">
        <f t="shared" si="412"/>
        <v>-3000</v>
      </c>
      <c r="CD619" s="6">
        <f t="shared" si="413"/>
        <v>-3000</v>
      </c>
      <c r="CE619" s="6">
        <f t="shared" si="414"/>
        <v>-3000</v>
      </c>
      <c r="CF619" s="6">
        <f t="shared" si="415"/>
        <v>-3000</v>
      </c>
      <c r="CG619" s="6">
        <f t="shared" si="416"/>
        <v>-3000</v>
      </c>
      <c r="CH619" s="6">
        <f t="shared" si="396"/>
        <v>-36000</v>
      </c>
    </row>
    <row r="620" spans="1:86" hidden="1" x14ac:dyDescent="0.35">
      <c r="A620" s="3" t="s">
        <v>1054</v>
      </c>
      <c r="B620" s="10">
        <v>2083.3333333333335</v>
      </c>
      <c r="C620" s="10">
        <v>2083.3333333333335</v>
      </c>
      <c r="D620" s="10">
        <v>2083.3333333333335</v>
      </c>
      <c r="E620" s="10">
        <v>2083.3333333333335</v>
      </c>
      <c r="F620" s="10">
        <v>2083.3333333333335</v>
      </c>
      <c r="G620" s="10">
        <v>2083.3333333333335</v>
      </c>
      <c r="H620" s="10">
        <v>2083.3333333333335</v>
      </c>
      <c r="I620" s="10">
        <v>2083.3333333333335</v>
      </c>
      <c r="J620" s="10">
        <v>2083.3333333333335</v>
      </c>
      <c r="K620" s="10">
        <v>2083.3333333333335</v>
      </c>
      <c r="L620" s="10">
        <v>2083.3333333333335</v>
      </c>
      <c r="M620" s="10">
        <v>2083.3333333333335</v>
      </c>
      <c r="N620" s="27">
        <f t="shared" si="417"/>
        <v>24999.999999999996</v>
      </c>
      <c r="AA620" s="27">
        <f t="shared" si="418"/>
        <v>0</v>
      </c>
      <c r="AB620" s="10">
        <f t="shared" si="419"/>
        <v>2083.3333333333335</v>
      </c>
      <c r="AC620" s="10">
        <f t="shared" si="419"/>
        <v>2083.3333333333335</v>
      </c>
      <c r="AD620" s="10">
        <f t="shared" si="419"/>
        <v>2083.3333333333335</v>
      </c>
      <c r="AE620" s="10">
        <f t="shared" si="419"/>
        <v>2083.3333333333335</v>
      </c>
      <c r="AF620" s="10">
        <f t="shared" si="419"/>
        <v>2083.3333333333335</v>
      </c>
      <c r="AG620" s="10">
        <f t="shared" si="419"/>
        <v>2083.3333333333335</v>
      </c>
      <c r="AH620" s="10">
        <f t="shared" si="419"/>
        <v>2083.3333333333335</v>
      </c>
      <c r="AI620" s="10">
        <f t="shared" si="419"/>
        <v>2083.3333333333335</v>
      </c>
      <c r="AJ620" s="10">
        <f t="shared" si="419"/>
        <v>2083.3333333333335</v>
      </c>
      <c r="AK620" s="10">
        <f t="shared" si="419"/>
        <v>2083.3333333333335</v>
      </c>
      <c r="AL620" s="10">
        <f t="shared" si="419"/>
        <v>2083.3333333333335</v>
      </c>
      <c r="AM620" s="10">
        <f t="shared" si="419"/>
        <v>2083.3333333333335</v>
      </c>
      <c r="AN620" s="27">
        <f t="shared" si="398"/>
        <v>24999.999999999996</v>
      </c>
      <c r="AS620" t="str">
        <f>_xlfn.XLOOKUP(AU620,[2]GAE!HZ:HZ,[2]GAE!IA:IA)</f>
        <v>LEGAL</v>
      </c>
      <c r="AT620" t="str">
        <f>_xlfn.XLOOKUP(AU620,[2]GAE!HZ:HZ,[2]GAE!IB:IB)</f>
        <v>GAE - Prof. Fees - Legal</v>
      </c>
      <c r="AU620" t="s">
        <v>978</v>
      </c>
      <c r="AV620">
        <v>80123101</v>
      </c>
      <c r="AW620">
        <v>61071002</v>
      </c>
      <c r="AX620" t="str">
        <f>_xlfn.XLOOKUP(AU620,[2]GAE!HZ:HZ,[2]GAE!IF:IF)</f>
        <v>Professional fees</v>
      </c>
      <c r="AY620" t="str">
        <f>_xlfn.XLOOKUP(AU620,[2]GAE!HZ:HZ,[2]GAE!IG:IG)</f>
        <v>Open Cases</v>
      </c>
      <c r="BC620" t="s">
        <v>157</v>
      </c>
      <c r="BD620" s="2" t="s">
        <v>157</v>
      </c>
      <c r="BE620" s="2"/>
      <c r="BF620" t="s">
        <v>157</v>
      </c>
      <c r="BG620" s="2" t="s">
        <v>157</v>
      </c>
      <c r="BH620" s="10">
        <f>SUMIFS('[1]2026'!$K:$K,'[1]2026'!$T:$T,BD620,'[1]2026'!$S:$S,BH$3,'[1]2026'!$P:$P,AU620)</f>
        <v>0</v>
      </c>
      <c r="BI620" s="10">
        <f>SUMIFS('[1]2026'!$K:$K,'[1]2026'!$T:$T,$BD620,'[1]2026'!$S:$S,BI$3,'[1]2026'!$P:$P,$AU620)</f>
        <v>8200</v>
      </c>
      <c r="BJ620" s="10">
        <f>SUMIFS('[1]2026'!$K:$K,'[1]2026'!$T:$T,$BD620,'[1]2026'!$S:$S,BJ$3,'[1]2026'!$P:$P,$AU620)</f>
        <v>5900</v>
      </c>
      <c r="BK620" s="10">
        <f>SUMIFS('[1]2026'!$K:$K,'[1]2026'!$T:$T,$BD620,'[1]2026'!$S:$S,BK$3,'[1]2026'!$P:$P,$AU620)</f>
        <v>0</v>
      </c>
      <c r="BL620" s="10">
        <f>SUMIFS('[1]2026'!$K:$K,'[1]2026'!$T:$T,$BD620,'[1]2026'!$S:$S,BL$3,'[1]2026'!$P:$P,$AU620)</f>
        <v>0</v>
      </c>
      <c r="BM620" s="10">
        <f>SUMIFS('[1]2026'!$K:$K,'[1]2026'!$T:$T,$BD620,'[1]2026'!$S:$S,BM$3,'[1]2026'!$P:$P,$AU620)</f>
        <v>0</v>
      </c>
      <c r="BN620" s="10">
        <f>SUMIFS('[1]2026'!$K:$K,'[1]2026'!$T:$T,$BD620,'[1]2026'!$S:$S,BN$3,'[1]2026'!$P:$P,$AU620)</f>
        <v>0</v>
      </c>
      <c r="BO620" s="10">
        <f>SUMIFS('[1]2026'!$K:$K,'[1]2026'!$T:$T,$BD620,'[1]2026'!$S:$S,BO$3,'[1]2026'!$P:$P,$AU620)</f>
        <v>0</v>
      </c>
      <c r="BP620" s="6">
        <f t="shared" si="420"/>
        <v>0</v>
      </c>
      <c r="BQ620" s="6">
        <f t="shared" si="420"/>
        <v>0</v>
      </c>
      <c r="BR620" s="6">
        <f t="shared" si="420"/>
        <v>0</v>
      </c>
      <c r="BS620" s="6">
        <f t="shared" si="420"/>
        <v>0</v>
      </c>
      <c r="BT620" s="6">
        <f t="shared" si="404"/>
        <v>14100</v>
      </c>
      <c r="BV620" s="6">
        <f t="shared" si="405"/>
        <v>-2083.3333333333335</v>
      </c>
      <c r="BW620" s="6">
        <f t="shared" si="406"/>
        <v>6116.6666666666661</v>
      </c>
      <c r="BX620" s="6">
        <f t="shared" si="407"/>
        <v>3816.6666666666665</v>
      </c>
      <c r="BY620" s="6">
        <f t="shared" si="408"/>
        <v>-2083.3333333333335</v>
      </c>
      <c r="BZ620" s="6">
        <f t="shared" si="409"/>
        <v>-2083.3333333333335</v>
      </c>
      <c r="CA620" s="6">
        <f t="shared" si="410"/>
        <v>-2083.3333333333335</v>
      </c>
      <c r="CB620" s="6">
        <f t="shared" si="411"/>
        <v>-2083.3333333333335</v>
      </c>
      <c r="CC620" s="6">
        <f t="shared" si="412"/>
        <v>-2083.3333333333335</v>
      </c>
      <c r="CD620" s="6">
        <f t="shared" si="413"/>
        <v>-2083.3333333333335</v>
      </c>
      <c r="CE620" s="6">
        <f t="shared" si="414"/>
        <v>-2083.3333333333335</v>
      </c>
      <c r="CF620" s="6">
        <f t="shared" si="415"/>
        <v>-2083.3333333333335</v>
      </c>
      <c r="CG620" s="6">
        <f t="shared" si="416"/>
        <v>-2083.3333333333335</v>
      </c>
      <c r="CH620" s="6">
        <f t="shared" si="396"/>
        <v>-10899.999999999996</v>
      </c>
    </row>
    <row r="621" spans="1:86" hidden="1" x14ac:dyDescent="0.35">
      <c r="A621" s="3" t="s">
        <v>1054</v>
      </c>
      <c r="B621" s="10">
        <v>2083.3333333333335</v>
      </c>
      <c r="C621" s="10">
        <v>2083.3333333333335</v>
      </c>
      <c r="D621" s="10">
        <v>2083.3333333333335</v>
      </c>
      <c r="E621" s="10">
        <v>2083.3333333333335</v>
      </c>
      <c r="F621" s="10">
        <v>2083.3333333333335</v>
      </c>
      <c r="G621" s="10">
        <v>2083.3333333333335</v>
      </c>
      <c r="H621" s="10">
        <v>2083.3333333333335</v>
      </c>
      <c r="I621" s="10">
        <v>2083.3333333333335</v>
      </c>
      <c r="J621" s="10">
        <v>2083.3333333333335</v>
      </c>
      <c r="K621" s="10">
        <v>2083.3333333333335</v>
      </c>
      <c r="L621" s="10">
        <v>2083.3333333333335</v>
      </c>
      <c r="M621" s="10">
        <v>2083.3333333333335</v>
      </c>
      <c r="N621" s="27">
        <f t="shared" si="417"/>
        <v>24999.999999999996</v>
      </c>
      <c r="AA621" s="27">
        <f t="shared" si="418"/>
        <v>0</v>
      </c>
      <c r="AB621" s="10">
        <f t="shared" si="419"/>
        <v>2083.3333333333335</v>
      </c>
      <c r="AC621" s="10">
        <f t="shared" si="419"/>
        <v>2083.3333333333335</v>
      </c>
      <c r="AD621" s="10">
        <f t="shared" si="419"/>
        <v>2083.3333333333335</v>
      </c>
      <c r="AE621" s="10">
        <f t="shared" si="419"/>
        <v>2083.3333333333335</v>
      </c>
      <c r="AF621" s="10">
        <f t="shared" si="419"/>
        <v>2083.3333333333335</v>
      </c>
      <c r="AG621" s="10">
        <f t="shared" si="419"/>
        <v>2083.3333333333335</v>
      </c>
      <c r="AH621" s="10">
        <f t="shared" si="419"/>
        <v>2083.3333333333335</v>
      </c>
      <c r="AI621" s="10">
        <f t="shared" si="419"/>
        <v>2083.3333333333335</v>
      </c>
      <c r="AJ621" s="10">
        <f t="shared" si="419"/>
        <v>2083.3333333333335</v>
      </c>
      <c r="AK621" s="10">
        <f t="shared" si="419"/>
        <v>2083.3333333333335</v>
      </c>
      <c r="AL621" s="10">
        <f t="shared" si="419"/>
        <v>2083.3333333333335</v>
      </c>
      <c r="AM621" s="10">
        <f t="shared" si="419"/>
        <v>2083.3333333333335</v>
      </c>
      <c r="AN621" s="27">
        <f t="shared" si="398"/>
        <v>24999.999999999996</v>
      </c>
      <c r="AS621" t="str">
        <f>_xlfn.XLOOKUP(AU621,[2]GAE!HZ:HZ,[2]GAE!IA:IA)</f>
        <v>LEGAL</v>
      </c>
      <c r="AT621" t="str">
        <f>_xlfn.XLOOKUP(AU621,[2]GAE!HZ:HZ,[2]GAE!IB:IB)</f>
        <v>DOE - Prof. Fees - Legal</v>
      </c>
      <c r="AU621" t="s">
        <v>981</v>
      </c>
      <c r="AV621">
        <v>81123101</v>
      </c>
      <c r="AW621">
        <v>52071102</v>
      </c>
      <c r="AX621" t="str">
        <f>_xlfn.XLOOKUP(AU621,[2]GAE!HZ:HZ,[2]GAE!IF:IF)</f>
        <v>Professional fees</v>
      </c>
      <c r="AY621" t="str">
        <f>_xlfn.XLOOKUP(AU621,[2]GAE!HZ:HZ,[2]GAE!IG:IG)</f>
        <v>Open Cases</v>
      </c>
      <c r="BC621" t="s">
        <v>157</v>
      </c>
      <c r="BD621" t="s">
        <v>157</v>
      </c>
      <c r="BF621" t="s">
        <v>157</v>
      </c>
      <c r="BG621" s="2" t="s">
        <v>157</v>
      </c>
      <c r="BH621" s="10">
        <f>SUMIFS('[1]2026'!$K:$K,'[1]2026'!$T:$T,BD621,'[1]2026'!$S:$S,BH$3,'[1]2026'!$P:$P,AU621)</f>
        <v>0</v>
      </c>
      <c r="BI621" s="10">
        <f>SUMIFS('[1]2026'!$K:$K,'[1]2026'!$T:$T,$BD621,'[1]2026'!$S:$S,BI$3,'[1]2026'!$P:$P,$AU621)</f>
        <v>4200</v>
      </c>
      <c r="BJ621" s="10">
        <f>SUMIFS('[1]2026'!$K:$K,'[1]2026'!$T:$T,$BD621,'[1]2026'!$S:$S,BJ$3,'[1]2026'!$P:$P,$AU621)</f>
        <v>5500</v>
      </c>
      <c r="BK621" s="10">
        <f>SUMIFS('[1]2026'!$K:$K,'[1]2026'!$T:$T,$BD621,'[1]2026'!$S:$S,BK$3,'[1]2026'!$P:$P,$AU621)</f>
        <v>0</v>
      </c>
      <c r="BL621" s="10">
        <f>SUMIFS('[1]2026'!$K:$K,'[1]2026'!$T:$T,$BD621,'[1]2026'!$S:$S,BL$3,'[1]2026'!$P:$P,$AU621)</f>
        <v>4500</v>
      </c>
      <c r="BM621" s="10">
        <f>SUMIFS('[1]2026'!$K:$K,'[1]2026'!$T:$T,$BD621,'[1]2026'!$S:$S,BM$3,'[1]2026'!$P:$P,$AU621)</f>
        <v>0</v>
      </c>
      <c r="BN621" s="10">
        <f>SUMIFS('[1]2026'!$K:$K,'[1]2026'!$T:$T,$BD621,'[1]2026'!$S:$S,BN$3,'[1]2026'!$P:$P,$AU621)</f>
        <v>0</v>
      </c>
      <c r="BO621" s="10">
        <f>SUMIFS('[1]2026'!$K:$K,'[1]2026'!$T:$T,$BD621,'[1]2026'!$S:$S,BO$3,'[1]2026'!$P:$P,$AU621)</f>
        <v>0</v>
      </c>
      <c r="BP621" s="6">
        <f t="shared" si="420"/>
        <v>0</v>
      </c>
      <c r="BQ621" s="6">
        <f t="shared" si="420"/>
        <v>0</v>
      </c>
      <c r="BR621" s="6">
        <f t="shared" si="420"/>
        <v>0</v>
      </c>
      <c r="BS621" s="6">
        <f t="shared" si="420"/>
        <v>0</v>
      </c>
      <c r="BT621" s="6">
        <f t="shared" si="404"/>
        <v>14200</v>
      </c>
      <c r="BV621" s="6">
        <f t="shared" si="405"/>
        <v>-2083.3333333333335</v>
      </c>
      <c r="BW621" s="6">
        <f t="shared" si="406"/>
        <v>2116.6666666666665</v>
      </c>
      <c r="BX621" s="6">
        <f t="shared" si="407"/>
        <v>3416.6666666666665</v>
      </c>
      <c r="BY621" s="6">
        <f t="shared" si="408"/>
        <v>-2083.3333333333335</v>
      </c>
      <c r="BZ621" s="6">
        <f t="shared" si="409"/>
        <v>2416.6666666666665</v>
      </c>
      <c r="CA621" s="6">
        <f t="shared" si="410"/>
        <v>-2083.3333333333335</v>
      </c>
      <c r="CB621" s="6">
        <f t="shared" si="411"/>
        <v>-2083.3333333333335</v>
      </c>
      <c r="CC621" s="6">
        <f t="shared" si="412"/>
        <v>-2083.3333333333335</v>
      </c>
      <c r="CD621" s="6">
        <f t="shared" si="413"/>
        <v>-2083.3333333333335</v>
      </c>
      <c r="CE621" s="6">
        <f t="shared" si="414"/>
        <v>-2083.3333333333335</v>
      </c>
      <c r="CF621" s="6">
        <f t="shared" si="415"/>
        <v>-2083.3333333333335</v>
      </c>
      <c r="CG621" s="6">
        <f t="shared" si="416"/>
        <v>-2083.3333333333335</v>
      </c>
      <c r="CH621" s="6">
        <f t="shared" si="396"/>
        <v>-10799.999999999996</v>
      </c>
    </row>
    <row r="622" spans="1:86" hidden="1" x14ac:dyDescent="0.35">
      <c r="A622" s="3" t="s">
        <v>1054</v>
      </c>
      <c r="B622" s="10">
        <v>2083.3333333333335</v>
      </c>
      <c r="C622" s="10">
        <v>2083.3333333333335</v>
      </c>
      <c r="D622" s="10">
        <v>2083.3333333333335</v>
      </c>
      <c r="E622" s="10">
        <v>2083.3333333333335</v>
      </c>
      <c r="F622" s="10">
        <v>2083.3333333333335</v>
      </c>
      <c r="G622" s="10">
        <v>2083.3333333333335</v>
      </c>
      <c r="H622" s="10">
        <v>2083.3333333333335</v>
      </c>
      <c r="I622" s="10">
        <v>2083.3333333333335</v>
      </c>
      <c r="J622" s="10">
        <v>2083.3333333333335</v>
      </c>
      <c r="K622" s="10">
        <v>2083.3333333333335</v>
      </c>
      <c r="L622" s="10">
        <v>2083.3333333333335</v>
      </c>
      <c r="M622" s="10">
        <v>2083.3333333333335</v>
      </c>
      <c r="N622" s="27">
        <f t="shared" si="417"/>
        <v>24999.999999999996</v>
      </c>
      <c r="AA622" s="27">
        <f t="shared" si="418"/>
        <v>0</v>
      </c>
      <c r="AB622" s="10">
        <f t="shared" si="419"/>
        <v>2083.3333333333335</v>
      </c>
      <c r="AC622" s="10">
        <f t="shared" si="419"/>
        <v>2083.3333333333335</v>
      </c>
      <c r="AD622" s="10">
        <f t="shared" si="419"/>
        <v>2083.3333333333335</v>
      </c>
      <c r="AE622" s="10">
        <f t="shared" si="419"/>
        <v>2083.3333333333335</v>
      </c>
      <c r="AF622" s="10">
        <f t="shared" si="419"/>
        <v>2083.3333333333335</v>
      </c>
      <c r="AG622" s="10">
        <f t="shared" si="419"/>
        <v>2083.3333333333335</v>
      </c>
      <c r="AH622" s="10">
        <f t="shared" si="419"/>
        <v>2083.3333333333335</v>
      </c>
      <c r="AI622" s="10">
        <f t="shared" si="419"/>
        <v>2083.3333333333335</v>
      </c>
      <c r="AJ622" s="10">
        <f t="shared" si="419"/>
        <v>2083.3333333333335</v>
      </c>
      <c r="AK622" s="10">
        <f t="shared" si="419"/>
        <v>2083.3333333333335</v>
      </c>
      <c r="AL622" s="10">
        <f t="shared" si="419"/>
        <v>2083.3333333333335</v>
      </c>
      <c r="AM622" s="10">
        <f t="shared" si="419"/>
        <v>2083.3333333333335</v>
      </c>
      <c r="AN622" s="27">
        <f t="shared" si="398"/>
        <v>24999.999999999996</v>
      </c>
      <c r="AS622" t="str">
        <f>_xlfn.XLOOKUP(AU622,[2]GAE!HZ:HZ,[2]GAE!IA:IA)</f>
        <v>LEGAL</v>
      </c>
      <c r="AT622" t="str">
        <f>_xlfn.XLOOKUP(AU622,[2]GAE!HZ:HZ,[2]GAE!IB:IB)</f>
        <v>GAE - Prof. Fees - Legal</v>
      </c>
      <c r="AU622" t="s">
        <v>980</v>
      </c>
      <c r="AV622">
        <v>90123101</v>
      </c>
      <c r="AW622">
        <v>61071002</v>
      </c>
      <c r="AX622" t="str">
        <f>_xlfn.XLOOKUP(AU622,[2]GAE!HZ:HZ,[2]GAE!IF:IF)</f>
        <v>Professional fees</v>
      </c>
      <c r="AY622" t="str">
        <f>_xlfn.XLOOKUP(AU622,[2]GAE!HZ:HZ,[2]GAE!IG:IG)</f>
        <v>Open Cases</v>
      </c>
      <c r="BC622" t="s">
        <v>157</v>
      </c>
      <c r="BD622" t="s">
        <v>157</v>
      </c>
      <c r="BF622" t="s">
        <v>157</v>
      </c>
      <c r="BG622" s="2" t="s">
        <v>157</v>
      </c>
      <c r="BH622" s="10">
        <f>SUMIFS('[1]2026'!$K:$K,'[1]2026'!$T:$T,BD622,'[1]2026'!$S:$S,BH$3,'[1]2026'!$P:$P,AU622)</f>
        <v>0</v>
      </c>
      <c r="BI622" s="10">
        <f>SUMIFS('[1]2026'!$K:$K,'[1]2026'!$T:$T,$BD622,'[1]2026'!$S:$S,BI$3,'[1]2026'!$P:$P,$AU622)</f>
        <v>4150</v>
      </c>
      <c r="BJ622" s="10">
        <f>SUMIFS('[1]2026'!$K:$K,'[1]2026'!$T:$T,$BD622,'[1]2026'!$S:$S,BJ$3,'[1]2026'!$P:$P,$AU622)</f>
        <v>3000</v>
      </c>
      <c r="BK622" s="10">
        <f>SUMIFS('[1]2026'!$K:$K,'[1]2026'!$T:$T,$BD622,'[1]2026'!$S:$S,BK$3,'[1]2026'!$P:$P,$AU622)</f>
        <v>2500</v>
      </c>
      <c r="BL622" s="10">
        <f>SUMIFS('[1]2026'!$K:$K,'[1]2026'!$T:$T,$BD622,'[1]2026'!$S:$S,BL$3,'[1]2026'!$P:$P,$AU622)</f>
        <v>500</v>
      </c>
      <c r="BM622" s="10">
        <f>SUMIFS('[1]2026'!$K:$K,'[1]2026'!$T:$T,$BD622,'[1]2026'!$S:$S,BM$3,'[1]2026'!$P:$P,$AU622)</f>
        <v>1500</v>
      </c>
      <c r="BN622" s="10">
        <f>SUMIFS('[1]2026'!$K:$K,'[1]2026'!$T:$T,$BD622,'[1]2026'!$S:$S,BN$3,'[1]2026'!$P:$P,$AU622)</f>
        <v>250</v>
      </c>
      <c r="BO622" s="10">
        <f>SUMIFS('[1]2026'!$K:$K,'[1]2026'!$T:$T,$BD622,'[1]2026'!$S:$S,BO$3,'[1]2026'!$P:$P,$AU622)</f>
        <v>1250</v>
      </c>
      <c r="BP622" s="6">
        <f t="shared" si="420"/>
        <v>1250</v>
      </c>
      <c r="BQ622" s="6">
        <f t="shared" si="420"/>
        <v>1250</v>
      </c>
      <c r="BR622" s="6">
        <f t="shared" si="420"/>
        <v>1250</v>
      </c>
      <c r="BS622" s="6">
        <f t="shared" si="420"/>
        <v>1250</v>
      </c>
      <c r="BT622" s="6">
        <f t="shared" si="404"/>
        <v>18150</v>
      </c>
      <c r="BV622" s="6">
        <f t="shared" si="405"/>
        <v>-2083.3333333333335</v>
      </c>
      <c r="BW622" s="6">
        <f t="shared" si="406"/>
        <v>2066.6666666666665</v>
      </c>
      <c r="BX622" s="6">
        <f t="shared" si="407"/>
        <v>916.66666666666652</v>
      </c>
      <c r="BY622" s="6">
        <f t="shared" si="408"/>
        <v>416.66666666666652</v>
      </c>
      <c r="BZ622" s="6">
        <f t="shared" si="409"/>
        <v>-1583.3333333333335</v>
      </c>
      <c r="CA622" s="6">
        <f t="shared" si="410"/>
        <v>-583.33333333333348</v>
      </c>
      <c r="CB622" s="6">
        <f t="shared" si="411"/>
        <v>-1833.3333333333335</v>
      </c>
      <c r="CC622" s="6">
        <f t="shared" si="412"/>
        <v>-833.33333333333348</v>
      </c>
      <c r="CD622" s="6">
        <f t="shared" si="413"/>
        <v>-833.33333333333348</v>
      </c>
      <c r="CE622" s="6">
        <f t="shared" si="414"/>
        <v>-833.33333333333348</v>
      </c>
      <c r="CF622" s="6">
        <f t="shared" si="415"/>
        <v>-833.33333333333348</v>
      </c>
      <c r="CG622" s="6">
        <f t="shared" si="416"/>
        <v>-833.33333333333348</v>
      </c>
      <c r="CH622" s="6">
        <f t="shared" si="396"/>
        <v>-6849.9999999999964</v>
      </c>
    </row>
    <row r="623" spans="1:86" hidden="1" x14ac:dyDescent="0.35">
      <c r="A623" s="3" t="s">
        <v>176</v>
      </c>
      <c r="B623" s="10">
        <v>4885.7368006304177</v>
      </c>
      <c r="C623" s="10">
        <v>4885.7368006304177</v>
      </c>
      <c r="D623" s="10">
        <v>4885.7368006304177</v>
      </c>
      <c r="E623" s="10">
        <v>4885.7368006304177</v>
      </c>
      <c r="F623" s="10">
        <v>4885.7368006304177</v>
      </c>
      <c r="G623" s="10">
        <v>4885.7368006304177</v>
      </c>
      <c r="H623" s="10">
        <v>4885.7368006304177</v>
      </c>
      <c r="I623" s="10">
        <v>4885.7368006304177</v>
      </c>
      <c r="J623" s="10">
        <v>4885.7368006304177</v>
      </c>
      <c r="K623" s="10">
        <v>4885.7368006304177</v>
      </c>
      <c r="L623" s="10">
        <v>4885.7368006304177</v>
      </c>
      <c r="M623" s="10">
        <v>4885.7368006304177</v>
      </c>
      <c r="N623" s="27">
        <f t="shared" si="417"/>
        <v>58628.841607565009</v>
      </c>
      <c r="AA623" s="27">
        <f t="shared" si="418"/>
        <v>0</v>
      </c>
      <c r="AB623" s="10">
        <f t="shared" si="419"/>
        <v>4885.7368006304177</v>
      </c>
      <c r="AC623" s="10">
        <f t="shared" si="419"/>
        <v>4885.7368006304177</v>
      </c>
      <c r="AD623" s="10">
        <f t="shared" si="419"/>
        <v>4885.7368006304177</v>
      </c>
      <c r="AE623" s="10">
        <f t="shared" si="419"/>
        <v>4885.7368006304177</v>
      </c>
      <c r="AF623" s="10">
        <f t="shared" si="419"/>
        <v>4885.7368006304177</v>
      </c>
      <c r="AG623" s="10">
        <f t="shared" si="419"/>
        <v>4885.7368006304177</v>
      </c>
      <c r="AH623" s="10">
        <f t="shared" si="419"/>
        <v>4885.7368006304177</v>
      </c>
      <c r="AI623" s="10">
        <f t="shared" si="419"/>
        <v>4885.7368006304177</v>
      </c>
      <c r="AJ623" s="10">
        <f t="shared" si="419"/>
        <v>4885.7368006304177</v>
      </c>
      <c r="AK623" s="10">
        <f t="shared" si="419"/>
        <v>4885.7368006304177</v>
      </c>
      <c r="AL623" s="10">
        <f t="shared" si="419"/>
        <v>4885.7368006304177</v>
      </c>
      <c r="AM623" s="10">
        <f t="shared" si="419"/>
        <v>4885.7368006304177</v>
      </c>
      <c r="AN623" s="27">
        <f t="shared" si="398"/>
        <v>58628.841607565009</v>
      </c>
      <c r="AO623" s="28">
        <v>366523.62000000005</v>
      </c>
      <c r="AS623" t="str">
        <f>_xlfn.XLOOKUP(AU623,[2]GAE!HZ:HZ,[2]GAE!IA:IA)</f>
        <v>OFFICE OF THE CFO</v>
      </c>
      <c r="AT623" t="str">
        <f>_xlfn.XLOOKUP(AU623,[2]GAE!HZ:HZ,[2]GAE!IB:IB)</f>
        <v>DOE - Representation</v>
      </c>
      <c r="AU623" t="s">
        <v>1055</v>
      </c>
      <c r="AV623">
        <v>81111204</v>
      </c>
      <c r="AW623">
        <v>52091101</v>
      </c>
      <c r="AX623" t="str">
        <f>_xlfn.XLOOKUP(AU623,[2]GAE!HZ:HZ,[2]GAE!IF:IF)</f>
        <v>Others</v>
      </c>
      <c r="AY623" t="str">
        <f>_xlfn.XLOOKUP(AU623,[2]GAE!HZ:HZ,[2]GAE!IG:IG)</f>
        <v>Entertainment, Amusement &amp; Recreation</v>
      </c>
      <c r="BD623" t="s">
        <v>6</v>
      </c>
      <c r="BF623" t="s">
        <v>176</v>
      </c>
      <c r="BG623" s="2" t="s">
        <v>1250</v>
      </c>
      <c r="BH623" s="10">
        <f>SUMIFS('[1]2026'!$K:$K,'[1]2026'!$T:$T,BD623,'[1]2026'!$S:$S,BH$3,'[1]2026'!$P:$P,AU623)</f>
        <v>0</v>
      </c>
      <c r="BI623" s="10">
        <f>SUMIFS('[1]2026'!$K:$K,'[1]2026'!$T:$T,$BD623,'[1]2026'!$S:$S,BI$3,'[1]2026'!$P:$P,$AU623)</f>
        <v>0</v>
      </c>
      <c r="BJ623" s="10">
        <f>SUMIFS('[1]2026'!$K:$K,'[1]2026'!$T:$T,$BD623,'[1]2026'!$S:$S,BJ$3,'[1]2026'!$P:$P,$AU623)</f>
        <v>0</v>
      </c>
      <c r="BK623" s="10">
        <f>SUMIFS('[1]2026'!$K:$K,'[1]2026'!$T:$T,$BD623,'[1]2026'!$S:$S,BK$3,'[1]2026'!$P:$P,$AU623)</f>
        <v>0</v>
      </c>
      <c r="BL623" s="10">
        <f>SUMIFS('[1]2026'!$K:$K,'[1]2026'!$T:$T,$BD623,'[1]2026'!$S:$S,BL$3,'[1]2026'!$P:$P,$AU623)</f>
        <v>0</v>
      </c>
      <c r="BM623" s="10">
        <f>SUMIFS('[1]2026'!$K:$K,'[1]2026'!$T:$T,$BD623,'[1]2026'!$S:$S,BM$3,'[1]2026'!$P:$P,$AU623)</f>
        <v>0</v>
      </c>
      <c r="BN623" s="10">
        <f>SUMIFS('[1]2026'!$K:$K,'[1]2026'!$T:$T,$BD623,'[1]2026'!$S:$S,BN$3,'[1]2026'!$P:$P,$AU623)</f>
        <v>0</v>
      </c>
      <c r="BO623" s="10">
        <f>SUMIFS('[1]2026'!$K:$K,'[1]2026'!$T:$T,$BD623,'[1]2026'!$S:$S,BO$3,'[1]2026'!$P:$P,$AU623)</f>
        <v>1165</v>
      </c>
      <c r="BP623" s="6"/>
      <c r="BQ623" s="6"/>
      <c r="BR623" s="6"/>
      <c r="BS623" s="6"/>
      <c r="BT623" s="6">
        <f t="shared" si="404"/>
        <v>1165</v>
      </c>
      <c r="BV623" s="6">
        <f t="shared" si="405"/>
        <v>-4885.7368006304177</v>
      </c>
      <c r="BW623" s="6">
        <f t="shared" si="406"/>
        <v>-4885.7368006304177</v>
      </c>
      <c r="BX623" s="6">
        <f t="shared" si="407"/>
        <v>-4885.7368006304177</v>
      </c>
      <c r="BY623" s="6">
        <f t="shared" si="408"/>
        <v>-4885.7368006304177</v>
      </c>
      <c r="BZ623" s="6">
        <f t="shared" si="409"/>
        <v>-4885.7368006304177</v>
      </c>
      <c r="CA623" s="6">
        <f t="shared" si="410"/>
        <v>-4885.7368006304177</v>
      </c>
      <c r="CB623" s="6">
        <f t="shared" si="411"/>
        <v>-4885.7368006304177</v>
      </c>
      <c r="CC623" s="6">
        <f t="shared" si="412"/>
        <v>-3720.7368006304177</v>
      </c>
      <c r="CD623" s="6">
        <f t="shared" si="413"/>
        <v>-4885.7368006304177</v>
      </c>
      <c r="CE623" s="6">
        <f t="shared" si="414"/>
        <v>-4885.7368006304177</v>
      </c>
      <c r="CF623" s="6">
        <f t="shared" si="415"/>
        <v>-4885.7368006304177</v>
      </c>
      <c r="CG623" s="6">
        <f t="shared" si="416"/>
        <v>-4885.7368006304177</v>
      </c>
      <c r="CH623" s="6">
        <f t="shared" si="396"/>
        <v>-57463.841607565009</v>
      </c>
    </row>
    <row r="624" spans="1:86" hidden="1" x14ac:dyDescent="0.35">
      <c r="A624" s="3" t="s">
        <v>176</v>
      </c>
      <c r="B624" s="10">
        <v>9810.8747044917254</v>
      </c>
      <c r="C624" s="10">
        <v>9810.8747044917254</v>
      </c>
      <c r="D624" s="10">
        <v>9810.8747044917254</v>
      </c>
      <c r="E624" s="10">
        <v>9810.8747044917254</v>
      </c>
      <c r="F624" s="10">
        <v>9810.8747044917254</v>
      </c>
      <c r="G624" s="10">
        <v>9810.8747044917254</v>
      </c>
      <c r="H624" s="10">
        <v>9810.8747044917254</v>
      </c>
      <c r="I624" s="10">
        <v>9810.8747044917254</v>
      </c>
      <c r="J624" s="10">
        <v>9810.8747044917254</v>
      </c>
      <c r="K624" s="10">
        <v>9810.8747044917254</v>
      </c>
      <c r="L624" s="10">
        <v>9810.8747044917254</v>
      </c>
      <c r="M624" s="10">
        <v>9810.8747044917254</v>
      </c>
      <c r="N624" s="27">
        <f t="shared" si="417"/>
        <v>117730.49645390071</v>
      </c>
      <c r="AA624" s="27">
        <f t="shared" si="418"/>
        <v>0</v>
      </c>
      <c r="AB624" s="10">
        <f t="shared" si="419"/>
        <v>9810.8747044917254</v>
      </c>
      <c r="AC624" s="10">
        <f t="shared" si="419"/>
        <v>9810.8747044917254</v>
      </c>
      <c r="AD624" s="10">
        <f t="shared" si="419"/>
        <v>9810.8747044917254</v>
      </c>
      <c r="AE624" s="10">
        <f t="shared" si="419"/>
        <v>9810.8747044917254</v>
      </c>
      <c r="AF624" s="10">
        <f t="shared" si="419"/>
        <v>9810.8747044917254</v>
      </c>
      <c r="AG624" s="10">
        <f t="shared" si="419"/>
        <v>9810.8747044917254</v>
      </c>
      <c r="AH624" s="10">
        <f t="shared" si="419"/>
        <v>9810.8747044917254</v>
      </c>
      <c r="AI624" s="10">
        <f t="shared" si="419"/>
        <v>9810.8747044917254</v>
      </c>
      <c r="AJ624" s="10">
        <f t="shared" si="419"/>
        <v>9810.8747044917254</v>
      </c>
      <c r="AK624" s="10">
        <f t="shared" si="419"/>
        <v>9810.8747044917254</v>
      </c>
      <c r="AL624" s="10">
        <f t="shared" si="419"/>
        <v>9810.8747044917254</v>
      </c>
      <c r="AM624" s="10">
        <f t="shared" si="419"/>
        <v>9810.8747044917254</v>
      </c>
      <c r="AN624" s="27">
        <f t="shared" si="398"/>
        <v>117730.49645390071</v>
      </c>
      <c r="AS624" t="str">
        <f>_xlfn.XLOOKUP(AU624,[2]GAE!HZ:HZ,[2]GAE!IA:IA)</f>
        <v>OFFICE OF THE CFO</v>
      </c>
      <c r="AT624" t="str">
        <f>_xlfn.XLOOKUP(AU624,[2]GAE!HZ:HZ,[2]GAE!IB:IB)</f>
        <v>GAE - Representation</v>
      </c>
      <c r="AU624" t="s">
        <v>1056</v>
      </c>
      <c r="AV624">
        <v>90111204</v>
      </c>
      <c r="AW624">
        <v>61091101</v>
      </c>
      <c r="AX624" t="str">
        <f>_xlfn.XLOOKUP(AU624,[2]GAE!HZ:HZ,[2]GAE!IF:IF)</f>
        <v>Others</v>
      </c>
      <c r="AY624" t="str">
        <f>_xlfn.XLOOKUP(AU624,[2]GAE!HZ:HZ,[2]GAE!IG:IG)</f>
        <v>Entertainment, Amusement &amp; Recreation</v>
      </c>
      <c r="BC624" t="s">
        <v>176</v>
      </c>
      <c r="BD624" t="s">
        <v>156</v>
      </c>
      <c r="BF624" t="s">
        <v>176</v>
      </c>
      <c r="BG624" s="2" t="s">
        <v>1250</v>
      </c>
      <c r="BH624" s="10">
        <f>SUMIFS('[1]2026'!$K:$K,'[1]2026'!$T:$T,BD624,'[1]2026'!$S:$S,BH$3,'[1]2026'!$P:$P,AU624)</f>
        <v>5503.75</v>
      </c>
      <c r="BI624" s="10">
        <f>SUMIFS('[1]2026'!$K:$K,'[1]2026'!$T:$T,$BD624,'[1]2026'!$S:$S,BI$3,'[1]2026'!$P:$P,$AU624)</f>
        <v>0</v>
      </c>
      <c r="BJ624" s="10">
        <f>SUMIFS('[1]2026'!$K:$K,'[1]2026'!$T:$T,$BD624,'[1]2026'!$S:$S,BJ$3,'[1]2026'!$P:$P,$AU624)</f>
        <v>9324.91</v>
      </c>
      <c r="BK624" s="10">
        <f>SUMIFS('[1]2026'!$K:$K,'[1]2026'!$T:$T,$BD624,'[1]2026'!$S:$S,BK$3,'[1]2026'!$P:$P,$AU624)</f>
        <v>8707.75</v>
      </c>
      <c r="BL624" s="10">
        <f>SUMIFS('[1]2026'!$K:$K,'[1]2026'!$T:$T,$BD624,'[1]2026'!$S:$S,BL$3,'[1]2026'!$P:$P,$AU624)</f>
        <v>300</v>
      </c>
      <c r="BM624" s="10">
        <f>SUMIFS('[1]2026'!$K:$K,'[1]2026'!$T:$T,$BD624,'[1]2026'!$S:$S,BM$3,'[1]2026'!$P:$P,$AU624)</f>
        <v>0</v>
      </c>
      <c r="BN624" s="10">
        <f>SUMIFS('[1]2026'!$K:$K,'[1]2026'!$T:$T,$BD624,'[1]2026'!$S:$S,BN$3,'[1]2026'!$P:$P,$AU624)</f>
        <v>1605.8</v>
      </c>
      <c r="BO624" s="10">
        <f>SUMIFS('[1]2026'!$K:$K,'[1]2026'!$T:$T,$BD624,'[1]2026'!$S:$S,BO$3,'[1]2026'!$P:$P,$AU624)</f>
        <v>880</v>
      </c>
      <c r="BP624" s="6">
        <v>10000</v>
      </c>
      <c r="BQ624" s="6">
        <v>10000</v>
      </c>
      <c r="BR624" s="6">
        <v>10000</v>
      </c>
      <c r="BS624" s="6">
        <v>10000</v>
      </c>
      <c r="BT624" s="6">
        <f t="shared" si="404"/>
        <v>66322.209999999992</v>
      </c>
      <c r="BV624" s="6">
        <f t="shared" si="405"/>
        <v>-4307.1247044917254</v>
      </c>
      <c r="BW624" s="6">
        <f t="shared" si="406"/>
        <v>-9810.8747044917254</v>
      </c>
      <c r="BX624" s="6">
        <f t="shared" si="407"/>
        <v>-485.96470449172557</v>
      </c>
      <c r="BY624" s="6">
        <f t="shared" si="408"/>
        <v>-1103.1247044917254</v>
      </c>
      <c r="BZ624" s="6">
        <f t="shared" si="409"/>
        <v>-9510.8747044917254</v>
      </c>
      <c r="CA624" s="6">
        <f t="shared" si="410"/>
        <v>-9810.8747044917254</v>
      </c>
      <c r="CB624" s="6">
        <f t="shared" si="411"/>
        <v>-8205.0747044917262</v>
      </c>
      <c r="CC624" s="6">
        <f t="shared" si="412"/>
        <v>-8930.8747044917254</v>
      </c>
      <c r="CD624" s="6">
        <f t="shared" si="413"/>
        <v>189.12529550827458</v>
      </c>
      <c r="CE624" s="6">
        <f t="shared" si="414"/>
        <v>189.12529550827458</v>
      </c>
      <c r="CF624" s="6">
        <f t="shared" si="415"/>
        <v>189.12529550827458</v>
      </c>
      <c r="CG624" s="6">
        <f t="shared" si="416"/>
        <v>189.12529550827458</v>
      </c>
      <c r="CH624" s="6">
        <f t="shared" si="396"/>
        <v>-51408.286453900713</v>
      </c>
    </row>
    <row r="625" spans="1:86" hidden="1" x14ac:dyDescent="0.35">
      <c r="A625" s="3" t="s">
        <v>176</v>
      </c>
      <c r="B625" s="10">
        <v>1970.0551615445231</v>
      </c>
      <c r="C625" s="10">
        <v>1970.0551615445231</v>
      </c>
      <c r="D625" s="10">
        <v>1970.0551615445231</v>
      </c>
      <c r="E625" s="10">
        <v>1970.0551615445231</v>
      </c>
      <c r="F625" s="10">
        <v>1970.0551615445231</v>
      </c>
      <c r="G625" s="10">
        <v>1970.0551615445231</v>
      </c>
      <c r="H625" s="10">
        <v>1970.0551615445231</v>
      </c>
      <c r="I625" s="10">
        <v>1970.0551615445231</v>
      </c>
      <c r="J625" s="10">
        <v>1970.0551615445231</v>
      </c>
      <c r="K625" s="10">
        <v>1970.0551615445231</v>
      </c>
      <c r="L625" s="10">
        <v>1970.0551615445231</v>
      </c>
      <c r="M625" s="10">
        <v>1970.0551615445231</v>
      </c>
      <c r="N625" s="27">
        <f t="shared" si="417"/>
        <v>23640.661938534275</v>
      </c>
      <c r="AA625" s="27">
        <f t="shared" si="418"/>
        <v>0</v>
      </c>
      <c r="AB625" s="10">
        <f t="shared" si="419"/>
        <v>1970.0551615445231</v>
      </c>
      <c r="AC625" s="10">
        <f t="shared" si="419"/>
        <v>1970.0551615445231</v>
      </c>
      <c r="AD625" s="10">
        <f t="shared" si="419"/>
        <v>1970.0551615445231</v>
      </c>
      <c r="AE625" s="10">
        <f t="shared" si="419"/>
        <v>1970.0551615445231</v>
      </c>
      <c r="AF625" s="10">
        <f t="shared" si="419"/>
        <v>1970.0551615445231</v>
      </c>
      <c r="AG625" s="10">
        <f t="shared" si="419"/>
        <v>1970.0551615445231</v>
      </c>
      <c r="AH625" s="10">
        <f t="shared" si="419"/>
        <v>1970.0551615445231</v>
      </c>
      <c r="AI625" s="10">
        <f t="shared" si="419"/>
        <v>1970.0551615445231</v>
      </c>
      <c r="AJ625" s="10">
        <f t="shared" si="419"/>
        <v>1970.0551615445231</v>
      </c>
      <c r="AK625" s="10">
        <f t="shared" si="419"/>
        <v>1970.0551615445231</v>
      </c>
      <c r="AL625" s="10">
        <f t="shared" si="419"/>
        <v>1970.0551615445231</v>
      </c>
      <c r="AM625" s="10">
        <f t="shared" si="419"/>
        <v>1970.0551615445231</v>
      </c>
      <c r="AN625" s="27">
        <f t="shared" si="398"/>
        <v>23640.661938534275</v>
      </c>
      <c r="AS625" t="str">
        <f>_xlfn.XLOOKUP(AU625,[2]GAE!HZ:HZ,[2]GAE!IA:IA)</f>
        <v>OFFICE OF THE CFO</v>
      </c>
      <c r="AT625" t="str">
        <f>_xlfn.XLOOKUP(AU625,[2]GAE!HZ:HZ,[2]GAE!IB:IB)</f>
        <v>GAE - Representation</v>
      </c>
      <c r="AU625" t="s">
        <v>1057</v>
      </c>
      <c r="AV625">
        <v>80111204</v>
      </c>
      <c r="AW625">
        <v>61091101</v>
      </c>
      <c r="AX625" t="str">
        <f>_xlfn.XLOOKUP(AU625,[2]GAE!HZ:HZ,[2]GAE!IF:IF)</f>
        <v>Others</v>
      </c>
      <c r="AY625" t="str">
        <f>_xlfn.XLOOKUP(AU625,[2]GAE!HZ:HZ,[2]GAE!IG:IG)</f>
        <v>Entertainment, Amusement &amp; Recreation</v>
      </c>
      <c r="BC625" t="s">
        <v>176</v>
      </c>
      <c r="BD625" t="s">
        <v>156</v>
      </c>
      <c r="BF625" t="s">
        <v>176</v>
      </c>
      <c r="BG625" s="2" t="s">
        <v>1250</v>
      </c>
      <c r="BH625" s="10">
        <f>SUMIFS('[1]2026'!$K:$K,'[1]2026'!$T:$T,BD625,'[1]2026'!$S:$S,BH$3,'[1]2026'!$P:$P,AU625)</f>
        <v>0</v>
      </c>
      <c r="BI625" s="10">
        <f>SUMIFS('[1]2026'!$K:$K,'[1]2026'!$T:$T,$BD625,'[1]2026'!$S:$S,BI$3,'[1]2026'!$P:$P,$AU625)</f>
        <v>2036.98</v>
      </c>
      <c r="BJ625" s="10">
        <f>SUMIFS('[1]2026'!$K:$K,'[1]2026'!$T:$T,$BD625,'[1]2026'!$S:$S,BJ$3,'[1]2026'!$P:$P,$AU625)</f>
        <v>0</v>
      </c>
      <c r="BK625" s="10">
        <f>SUMIFS('[1]2026'!$K:$K,'[1]2026'!$T:$T,$BD625,'[1]2026'!$S:$S,BK$3,'[1]2026'!$P:$P,$AU625)</f>
        <v>0</v>
      </c>
      <c r="BL625" s="10">
        <f>SUMIFS('[1]2026'!$K:$K,'[1]2026'!$T:$T,$BD625,'[1]2026'!$S:$S,BL$3,'[1]2026'!$P:$P,$AU625)</f>
        <v>3718.29</v>
      </c>
      <c r="BM625" s="10">
        <f>SUMIFS('[1]2026'!$K:$K,'[1]2026'!$T:$T,$BD625,'[1]2026'!$S:$S,BM$3,'[1]2026'!$P:$P,$AU625)</f>
        <v>0</v>
      </c>
      <c r="BN625" s="10">
        <f>SUMIFS('[1]2026'!$K:$K,'[1]2026'!$T:$T,$BD625,'[1]2026'!$S:$S,BN$3,'[1]2026'!$P:$P,$AU625)</f>
        <v>0</v>
      </c>
      <c r="BO625" s="10">
        <f>SUMIFS('[1]2026'!$K:$K,'[1]2026'!$T:$T,$BD625,'[1]2026'!$S:$S,BO$3,'[1]2026'!$P:$P,$AU625)</f>
        <v>0</v>
      </c>
      <c r="BP625" s="6">
        <v>3000</v>
      </c>
      <c r="BQ625" s="6">
        <v>3000</v>
      </c>
      <c r="BR625" s="6">
        <v>3000</v>
      </c>
      <c r="BS625" s="6">
        <v>3000</v>
      </c>
      <c r="BT625" s="6">
        <f t="shared" si="404"/>
        <v>17755.27</v>
      </c>
      <c r="BV625" s="6">
        <f t="shared" si="405"/>
        <v>-1970.0551615445231</v>
      </c>
      <c r="BW625" s="6">
        <f t="shared" si="406"/>
        <v>66.924838455476902</v>
      </c>
      <c r="BX625" s="6">
        <f t="shared" si="407"/>
        <v>-1970.0551615445231</v>
      </c>
      <c r="BY625" s="6">
        <f t="shared" si="408"/>
        <v>-1970.0551615445231</v>
      </c>
      <c r="BZ625" s="6">
        <f t="shared" si="409"/>
        <v>1748.2348384554768</v>
      </c>
      <c r="CA625" s="6">
        <f t="shared" si="410"/>
        <v>-1970.0551615445231</v>
      </c>
      <c r="CB625" s="6">
        <f t="shared" si="411"/>
        <v>-1970.0551615445231</v>
      </c>
      <c r="CC625" s="6">
        <f t="shared" si="412"/>
        <v>-1970.0551615445231</v>
      </c>
      <c r="CD625" s="6">
        <f t="shared" si="413"/>
        <v>1029.9448384554769</v>
      </c>
      <c r="CE625" s="6">
        <f t="shared" si="414"/>
        <v>1029.9448384554769</v>
      </c>
      <c r="CF625" s="6">
        <f t="shared" si="415"/>
        <v>1029.9448384554769</v>
      </c>
      <c r="CG625" s="6">
        <f t="shared" si="416"/>
        <v>1029.9448384554769</v>
      </c>
      <c r="CH625" s="6">
        <f t="shared" si="396"/>
        <v>-5885.3919385342742</v>
      </c>
    </row>
    <row r="626" spans="1:86" hidden="1" x14ac:dyDescent="0.35">
      <c r="A626" s="3" t="s">
        <v>156</v>
      </c>
      <c r="B626" s="10">
        <v>7328.6052009456262</v>
      </c>
      <c r="C626" s="10">
        <v>7328.6052009456262</v>
      </c>
      <c r="D626" s="10">
        <v>7328.6052009456262</v>
      </c>
      <c r="E626" s="10">
        <v>7328.6052009456262</v>
      </c>
      <c r="F626" s="10">
        <v>7328.6052009456262</v>
      </c>
      <c r="G626" s="10">
        <v>7328.6052009456262</v>
      </c>
      <c r="H626" s="10">
        <v>7328.6052009456262</v>
      </c>
      <c r="I626" s="10">
        <v>7328.6052009456262</v>
      </c>
      <c r="J626" s="10">
        <v>7328.6052009456262</v>
      </c>
      <c r="K626" s="10">
        <v>7328.6052009456262</v>
      </c>
      <c r="L626" s="10">
        <v>7328.6052009456262</v>
      </c>
      <c r="M626" s="10">
        <v>7328.6052009456262</v>
      </c>
      <c r="N626" s="27">
        <f t="shared" si="417"/>
        <v>87943.262411347532</v>
      </c>
      <c r="AA626" s="27">
        <f t="shared" si="418"/>
        <v>0</v>
      </c>
      <c r="AB626" s="10">
        <f t="shared" si="419"/>
        <v>7328.6052009456262</v>
      </c>
      <c r="AC626" s="10">
        <f t="shared" si="419"/>
        <v>7328.6052009456262</v>
      </c>
      <c r="AD626" s="10">
        <f t="shared" si="419"/>
        <v>7328.6052009456262</v>
      </c>
      <c r="AE626" s="10">
        <f t="shared" si="419"/>
        <v>7328.6052009456262</v>
      </c>
      <c r="AF626" s="10">
        <f t="shared" si="419"/>
        <v>7328.6052009456262</v>
      </c>
      <c r="AG626" s="10">
        <f t="shared" si="419"/>
        <v>7328.6052009456262</v>
      </c>
      <c r="AH626" s="10">
        <f t="shared" si="419"/>
        <v>7328.6052009456262</v>
      </c>
      <c r="AI626" s="10">
        <f t="shared" si="419"/>
        <v>7328.6052009456262</v>
      </c>
      <c r="AJ626" s="10">
        <f t="shared" si="419"/>
        <v>7328.6052009456262</v>
      </c>
      <c r="AK626" s="10">
        <f t="shared" si="419"/>
        <v>7328.6052009456262</v>
      </c>
      <c r="AL626" s="10">
        <f t="shared" si="419"/>
        <v>7328.6052009456262</v>
      </c>
      <c r="AM626" s="10">
        <f t="shared" si="419"/>
        <v>7328.6052009456262</v>
      </c>
      <c r="AN626" s="27">
        <f t="shared" si="398"/>
        <v>87943.262411347532</v>
      </c>
      <c r="AS626" t="str">
        <f>_xlfn.XLOOKUP(AU626,[2]GAE!HZ:HZ,[2]GAE!IA:IA)</f>
        <v>OFFICE OF THE CFO</v>
      </c>
      <c r="AT626" t="str">
        <f>_xlfn.XLOOKUP(AU626,[2]GAE!HZ:HZ,[2]GAE!IB:IB)</f>
        <v>DOE - Meeting</v>
      </c>
      <c r="AU626" t="s">
        <v>1058</v>
      </c>
      <c r="AV626">
        <v>81111204</v>
      </c>
      <c r="AW626">
        <v>52091102</v>
      </c>
      <c r="AX626" t="str">
        <f>_xlfn.XLOOKUP(AU626,[2]GAE!HZ:HZ,[2]GAE!IF:IF)</f>
        <v>Others</v>
      </c>
      <c r="AY626" t="str">
        <f>_xlfn.XLOOKUP(AU626,[2]GAE!HZ:HZ,[2]GAE!IG:IG)</f>
        <v>Entertainment, Amusement &amp; Recreation</v>
      </c>
      <c r="BC626" t="s">
        <v>156</v>
      </c>
      <c r="BD626" t="s">
        <v>156</v>
      </c>
      <c r="BF626" t="s">
        <v>156</v>
      </c>
      <c r="BG626" s="2" t="s">
        <v>156</v>
      </c>
      <c r="BH626" s="10">
        <f>SUMIFS('[1]2026'!$K:$K,'[1]2026'!$T:$T,BD626,'[1]2026'!$S:$S,BH$3,'[1]2026'!$P:$P,AU626)</f>
        <v>598</v>
      </c>
      <c r="BI626" s="10">
        <f>SUMIFS('[1]2026'!$K:$K,'[1]2026'!$T:$T,$BD626,'[1]2026'!$S:$S,BI$3,'[1]2026'!$P:$P,$AU626)</f>
        <v>5555.64</v>
      </c>
      <c r="BJ626" s="10">
        <f>SUMIFS('[1]2026'!$K:$K,'[1]2026'!$T:$T,$BD626,'[1]2026'!$S:$S,BJ$3,'[1]2026'!$P:$P,$AU626)</f>
        <v>1382.15</v>
      </c>
      <c r="BK626" s="10">
        <f>SUMIFS('[1]2026'!$K:$K,'[1]2026'!$T:$T,$BD626,'[1]2026'!$S:$S,BK$3,'[1]2026'!$P:$P,$AU626)</f>
        <v>294</v>
      </c>
      <c r="BL626" s="10">
        <f>SUMIFS('[1]2026'!$K:$K,'[1]2026'!$T:$T,$BD626,'[1]2026'!$S:$S,BL$3,'[1]2026'!$P:$P,$AU626)</f>
        <v>1883.89</v>
      </c>
      <c r="BM626" s="10">
        <f>SUMIFS('[1]2026'!$K:$K,'[1]2026'!$T:$T,$BD626,'[1]2026'!$S:$S,BM$3,'[1]2026'!$P:$P,$AU626)</f>
        <v>3611.52</v>
      </c>
      <c r="BN626" s="10">
        <f>SUMIFS('[1]2026'!$K:$K,'[1]2026'!$T:$T,$BD626,'[1]2026'!$S:$S,BN$3,'[1]2026'!$P:$P,$AU626)</f>
        <v>0</v>
      </c>
      <c r="BO626" s="10">
        <f>SUMIFS('[1]2026'!$K:$K,'[1]2026'!$T:$T,$BD626,'[1]2026'!$S:$S,BO$3,'[1]2026'!$P:$P,$AU626)</f>
        <v>22133.37</v>
      </c>
      <c r="BP626" s="6">
        <v>5000</v>
      </c>
      <c r="BQ626" s="6">
        <v>25000</v>
      </c>
      <c r="BR626" s="6">
        <v>5000</v>
      </c>
      <c r="BS626" s="6">
        <v>5000</v>
      </c>
      <c r="BT626" s="6">
        <f t="shared" si="404"/>
        <v>75458.570000000007</v>
      </c>
      <c r="BV626" s="6">
        <f t="shared" si="405"/>
        <v>-6730.6052009456262</v>
      </c>
      <c r="BW626" s="6">
        <f t="shared" si="406"/>
        <v>-1772.9652009456258</v>
      </c>
      <c r="BX626" s="6">
        <f t="shared" si="407"/>
        <v>-5946.4552009456256</v>
      </c>
      <c r="BY626" s="6">
        <f t="shared" si="408"/>
        <v>-7034.6052009456262</v>
      </c>
      <c r="BZ626" s="6">
        <f t="shared" si="409"/>
        <v>-5444.7152009456258</v>
      </c>
      <c r="CA626" s="6">
        <f t="shared" si="410"/>
        <v>-3717.0852009456262</v>
      </c>
      <c r="CB626" s="6">
        <f t="shared" si="411"/>
        <v>-7328.6052009456262</v>
      </c>
      <c r="CC626" s="6">
        <f t="shared" si="412"/>
        <v>14804.764799054374</v>
      </c>
      <c r="CD626" s="6">
        <f t="shared" si="413"/>
        <v>-2328.6052009456262</v>
      </c>
      <c r="CE626" s="6">
        <f t="shared" si="414"/>
        <v>17671.394799054375</v>
      </c>
      <c r="CF626" s="6">
        <f t="shared" si="415"/>
        <v>-2328.6052009456262</v>
      </c>
      <c r="CG626" s="6">
        <f t="shared" si="416"/>
        <v>-2328.6052009456262</v>
      </c>
      <c r="CH626" s="6">
        <f t="shared" si="396"/>
        <v>-12484.692411347525</v>
      </c>
    </row>
    <row r="627" spans="1:86" hidden="1" x14ac:dyDescent="0.35">
      <c r="A627" s="3" t="s">
        <v>156</v>
      </c>
      <c r="B627" s="10">
        <v>2955.0827423167848</v>
      </c>
      <c r="C627" s="10">
        <v>2955.0827423167848</v>
      </c>
      <c r="D627" s="10">
        <v>2955.0827423167848</v>
      </c>
      <c r="E627" s="10">
        <v>2955.0827423167848</v>
      </c>
      <c r="F627" s="10">
        <v>2955.0827423167848</v>
      </c>
      <c r="G627" s="10">
        <v>2955.0827423167848</v>
      </c>
      <c r="H627" s="10">
        <v>2955.0827423167848</v>
      </c>
      <c r="I627" s="10">
        <v>2955.0827423167848</v>
      </c>
      <c r="J627" s="10">
        <v>2955.0827423167848</v>
      </c>
      <c r="K627" s="10">
        <v>2955.0827423167848</v>
      </c>
      <c r="L627" s="10">
        <v>2955.0827423167848</v>
      </c>
      <c r="M627" s="10">
        <v>2955.0827423167848</v>
      </c>
      <c r="N627" s="27">
        <f t="shared" si="417"/>
        <v>35460.992907801425</v>
      </c>
      <c r="AA627" s="27">
        <f t="shared" si="418"/>
        <v>0</v>
      </c>
      <c r="AB627" s="10">
        <f t="shared" si="419"/>
        <v>2955.0827423167848</v>
      </c>
      <c r="AC627" s="10">
        <f t="shared" si="419"/>
        <v>2955.0827423167848</v>
      </c>
      <c r="AD627" s="10">
        <f t="shared" si="419"/>
        <v>2955.0827423167848</v>
      </c>
      <c r="AE627" s="10">
        <f t="shared" si="419"/>
        <v>2955.0827423167848</v>
      </c>
      <c r="AF627" s="10">
        <f t="shared" si="419"/>
        <v>2955.0827423167848</v>
      </c>
      <c r="AG627" s="10">
        <f t="shared" si="419"/>
        <v>2955.0827423167848</v>
      </c>
      <c r="AH627" s="10">
        <f t="shared" si="419"/>
        <v>2955.0827423167848</v>
      </c>
      <c r="AI627" s="10">
        <f t="shared" si="419"/>
        <v>2955.0827423167848</v>
      </c>
      <c r="AJ627" s="10">
        <f t="shared" si="419"/>
        <v>2955.0827423167848</v>
      </c>
      <c r="AK627" s="10">
        <f t="shared" si="419"/>
        <v>2955.0827423167848</v>
      </c>
      <c r="AL627" s="10">
        <f t="shared" si="419"/>
        <v>2955.0827423167848</v>
      </c>
      <c r="AM627" s="10">
        <f t="shared" si="419"/>
        <v>2955.0827423167848</v>
      </c>
      <c r="AN627" s="27">
        <f t="shared" si="398"/>
        <v>35460.992907801425</v>
      </c>
      <c r="AS627" t="str">
        <f>_xlfn.XLOOKUP(AU627,[2]GAE!HZ:HZ,[2]GAE!IA:IA)</f>
        <v>OFFICE OF THE CFO</v>
      </c>
      <c r="AT627" t="str">
        <f>_xlfn.XLOOKUP(AU627,[2]GAE!HZ:HZ,[2]GAE!IB:IB)</f>
        <v>GAE - Meeting</v>
      </c>
      <c r="AU627" t="s">
        <v>1059</v>
      </c>
      <c r="AV627">
        <v>90111204</v>
      </c>
      <c r="AW627">
        <v>61091102</v>
      </c>
      <c r="AX627" t="str">
        <f>_xlfn.XLOOKUP(AU627,[2]GAE!HZ:HZ,[2]GAE!IF:IF)</f>
        <v>Others</v>
      </c>
      <c r="AY627" t="str">
        <f>_xlfn.XLOOKUP(AU627,[2]GAE!HZ:HZ,[2]GAE!IG:IG)</f>
        <v>Entertainment, Amusement &amp; Recreation</v>
      </c>
      <c r="BC627" t="s">
        <v>156</v>
      </c>
      <c r="BD627" t="s">
        <v>156</v>
      </c>
      <c r="BF627" t="s">
        <v>156</v>
      </c>
      <c r="BG627" s="2" t="s">
        <v>156</v>
      </c>
      <c r="BH627" s="10">
        <f>SUMIFS('[1]2026'!$K:$K,'[1]2026'!$T:$T,BD627,'[1]2026'!$S:$S,BH$3,'[1]2026'!$P:$P,AU627)</f>
        <v>5268</v>
      </c>
      <c r="BI627" s="10">
        <f>SUMIFS('[1]2026'!$K:$K,'[1]2026'!$T:$T,$BD627,'[1]2026'!$S:$S,BI$3,'[1]2026'!$P:$P,$AU627)</f>
        <v>4320</v>
      </c>
      <c r="BJ627" s="10">
        <f>SUMIFS('[1]2026'!$K:$K,'[1]2026'!$T:$T,$BD627,'[1]2026'!$S:$S,BJ$3,'[1]2026'!$P:$P,$AU627)</f>
        <v>17382.990000000002</v>
      </c>
      <c r="BK627" s="10">
        <f>SUMIFS('[1]2026'!$K:$K,'[1]2026'!$T:$T,$BD627,'[1]2026'!$S:$S,BK$3,'[1]2026'!$P:$P,$AU627)</f>
        <v>11106.71</v>
      </c>
      <c r="BL627" s="10">
        <f>SUMIFS('[1]2026'!$K:$K,'[1]2026'!$T:$T,$BD627,'[1]2026'!$S:$S,BL$3,'[1]2026'!$P:$P,$AU627)</f>
        <v>1220</v>
      </c>
      <c r="BM627" s="10">
        <f>SUMIFS('[1]2026'!$K:$K,'[1]2026'!$T:$T,$BD627,'[1]2026'!$S:$S,BM$3,'[1]2026'!$P:$P,$AU627)</f>
        <v>3335</v>
      </c>
      <c r="BN627" s="10">
        <f>SUMIFS('[1]2026'!$K:$K,'[1]2026'!$T:$T,$BD627,'[1]2026'!$S:$S,BN$3,'[1]2026'!$P:$P,$AU627)</f>
        <v>5993.2600000000011</v>
      </c>
      <c r="BO627" s="10">
        <f>SUMIFS('[1]2026'!$K:$K,'[1]2026'!$T:$T,$BD627,'[1]2026'!$S:$S,BO$3,'[1]2026'!$P:$P,$AU627)</f>
        <v>4229.05</v>
      </c>
      <c r="BP627" s="6"/>
      <c r="BQ627" s="6"/>
      <c r="BR627" s="6"/>
      <c r="BS627" s="6"/>
      <c r="BT627" s="6">
        <f t="shared" si="404"/>
        <v>52855.01</v>
      </c>
      <c r="BV627" s="6">
        <f t="shared" si="405"/>
        <v>2312.9172576832152</v>
      </c>
      <c r="BW627" s="6">
        <f t="shared" si="406"/>
        <v>1364.9172576832152</v>
      </c>
      <c r="BX627" s="6">
        <f t="shared" si="407"/>
        <v>14427.907257683217</v>
      </c>
      <c r="BY627" s="6">
        <f t="shared" si="408"/>
        <v>8151.6272576832143</v>
      </c>
      <c r="BZ627" s="6">
        <f t="shared" si="409"/>
        <v>-1735.0827423167848</v>
      </c>
      <c r="CA627" s="6">
        <f t="shared" si="410"/>
        <v>379.91725768321521</v>
      </c>
      <c r="CB627" s="6">
        <f t="shared" si="411"/>
        <v>3038.1772576832163</v>
      </c>
      <c r="CC627" s="6">
        <f t="shared" si="412"/>
        <v>1273.9672576832154</v>
      </c>
      <c r="CD627" s="6">
        <f t="shared" si="413"/>
        <v>-2955.0827423167848</v>
      </c>
      <c r="CE627" s="6">
        <f t="shared" si="414"/>
        <v>-2955.0827423167848</v>
      </c>
      <c r="CF627" s="6">
        <f t="shared" si="415"/>
        <v>-2955.0827423167848</v>
      </c>
      <c r="CG627" s="6">
        <f t="shared" si="416"/>
        <v>-2955.0827423167848</v>
      </c>
      <c r="CH627" s="6">
        <f t="shared" si="396"/>
        <v>17394.017092198577</v>
      </c>
    </row>
    <row r="628" spans="1:86" hidden="1" x14ac:dyDescent="0.35">
      <c r="A628" s="3" t="s">
        <v>156</v>
      </c>
      <c r="B628" s="10">
        <v>14716.312056737588</v>
      </c>
      <c r="C628" s="10">
        <v>14716.312056737588</v>
      </c>
      <c r="D628" s="10">
        <v>14716.312056737588</v>
      </c>
      <c r="E628" s="10">
        <v>14716.312056737588</v>
      </c>
      <c r="F628" s="10">
        <v>14716.312056737588</v>
      </c>
      <c r="G628" s="10">
        <v>14716.312056737588</v>
      </c>
      <c r="H628" s="10">
        <v>14716.312056737588</v>
      </c>
      <c r="I628" s="10">
        <v>14716.312056737588</v>
      </c>
      <c r="J628" s="10">
        <v>14716.312056737588</v>
      </c>
      <c r="K628" s="10">
        <v>14716.312056737588</v>
      </c>
      <c r="L628" s="10">
        <v>14716.312056737588</v>
      </c>
      <c r="M628" s="10">
        <v>14716.312056737588</v>
      </c>
      <c r="N628" s="27">
        <f t="shared" si="417"/>
        <v>176595.74468085112</v>
      </c>
      <c r="AA628" s="27">
        <f t="shared" si="418"/>
        <v>0</v>
      </c>
      <c r="AB628" s="10">
        <f t="shared" si="419"/>
        <v>14716.312056737588</v>
      </c>
      <c r="AC628" s="10">
        <f t="shared" si="419"/>
        <v>14716.312056737588</v>
      </c>
      <c r="AD628" s="10">
        <f t="shared" si="419"/>
        <v>14716.312056737588</v>
      </c>
      <c r="AE628" s="10">
        <f t="shared" si="419"/>
        <v>14716.312056737588</v>
      </c>
      <c r="AF628" s="10">
        <f t="shared" si="419"/>
        <v>14716.312056737588</v>
      </c>
      <c r="AG628" s="10">
        <f t="shared" si="419"/>
        <v>14716.312056737588</v>
      </c>
      <c r="AH628" s="10">
        <f t="shared" si="419"/>
        <v>14716.312056737588</v>
      </c>
      <c r="AI628" s="10">
        <f t="shared" si="419"/>
        <v>14716.312056737588</v>
      </c>
      <c r="AJ628" s="10">
        <f t="shared" si="419"/>
        <v>14716.312056737588</v>
      </c>
      <c r="AK628" s="10">
        <f t="shared" si="419"/>
        <v>14716.312056737588</v>
      </c>
      <c r="AL628" s="10">
        <f t="shared" si="419"/>
        <v>14716.312056737588</v>
      </c>
      <c r="AM628" s="10">
        <f t="shared" si="419"/>
        <v>14716.312056737588</v>
      </c>
      <c r="AN628" s="27">
        <f t="shared" si="398"/>
        <v>176595.74468085112</v>
      </c>
      <c r="AS628" t="str">
        <f>_xlfn.XLOOKUP(AU628,[2]GAE!HZ:HZ,[2]GAE!IA:IA)</f>
        <v>OFFICE OF THE CFO</v>
      </c>
      <c r="AT628" t="str">
        <f>_xlfn.XLOOKUP(AU628,[2]GAE!HZ:HZ,[2]GAE!IB:IB)</f>
        <v>GAE - Meeting</v>
      </c>
      <c r="AU628" t="s">
        <v>1060</v>
      </c>
      <c r="AV628">
        <v>80111204</v>
      </c>
      <c r="AW628">
        <v>61091102</v>
      </c>
      <c r="AX628" t="str">
        <f>_xlfn.XLOOKUP(AU628,[2]GAE!HZ:HZ,[2]GAE!IF:IF)</f>
        <v>Others</v>
      </c>
      <c r="AY628" t="str">
        <f>_xlfn.XLOOKUP(AU628,[2]GAE!HZ:HZ,[2]GAE!IG:IG)</f>
        <v>Entertainment, Amusement &amp; Recreation</v>
      </c>
      <c r="BC628" t="s">
        <v>156</v>
      </c>
      <c r="BD628" t="s">
        <v>156</v>
      </c>
      <c r="BF628" t="s">
        <v>156</v>
      </c>
      <c r="BG628" s="2" t="s">
        <v>156</v>
      </c>
      <c r="BH628" s="10">
        <f>SUMIFS('[1]2026'!$K:$K,'[1]2026'!$T:$T,BD628,'[1]2026'!$S:$S,BH$3,'[1]2026'!$P:$P,AU628)</f>
        <v>0</v>
      </c>
      <c r="BI628" s="10">
        <f>SUMIFS('[1]2026'!$K:$K,'[1]2026'!$T:$T,$BD628,'[1]2026'!$S:$S,BI$3,'[1]2026'!$P:$P,$AU628)</f>
        <v>3463.93</v>
      </c>
      <c r="BJ628" s="10">
        <f>SUMIFS('[1]2026'!$K:$K,'[1]2026'!$T:$T,$BD628,'[1]2026'!$S:$S,BJ$3,'[1]2026'!$P:$P,$AU628)</f>
        <v>6295.36</v>
      </c>
      <c r="BK628" s="10">
        <f>SUMIFS('[1]2026'!$K:$K,'[1]2026'!$T:$T,$BD628,'[1]2026'!$S:$S,BK$3,'[1]2026'!$P:$P,$AU628)</f>
        <v>0</v>
      </c>
      <c r="BL628" s="10">
        <f>SUMIFS('[1]2026'!$K:$K,'[1]2026'!$T:$T,$BD628,'[1]2026'!$S:$S,BL$3,'[1]2026'!$P:$P,$AU628)</f>
        <v>658.93</v>
      </c>
      <c r="BM628" s="10">
        <f>SUMIFS('[1]2026'!$K:$K,'[1]2026'!$T:$T,$BD628,'[1]2026'!$S:$S,BM$3,'[1]2026'!$P:$P,$AU628)</f>
        <v>4499</v>
      </c>
      <c r="BN628" s="10">
        <f>SUMIFS('[1]2026'!$K:$K,'[1]2026'!$T:$T,$BD628,'[1]2026'!$S:$S,BN$3,'[1]2026'!$P:$P,$AU628)</f>
        <v>0</v>
      </c>
      <c r="BO628" s="10">
        <f>SUMIFS('[1]2026'!$K:$K,'[1]2026'!$T:$T,$BD628,'[1]2026'!$S:$S,BO$3,'[1]2026'!$P:$P,$AU628)</f>
        <v>12826.82</v>
      </c>
      <c r="BP628" s="6">
        <v>12000</v>
      </c>
      <c r="BQ628" s="6">
        <v>12000</v>
      </c>
      <c r="BR628" s="6">
        <v>12000</v>
      </c>
      <c r="BS628" s="6">
        <v>12000</v>
      </c>
      <c r="BT628" s="6">
        <f t="shared" si="404"/>
        <v>75744.040000000008</v>
      </c>
      <c r="BV628" s="6">
        <f t="shared" si="405"/>
        <v>-14716.312056737588</v>
      </c>
      <c r="BW628" s="6">
        <f t="shared" si="406"/>
        <v>-11252.382056737588</v>
      </c>
      <c r="BX628" s="6">
        <f t="shared" si="407"/>
        <v>-8420.9520567375876</v>
      </c>
      <c r="BY628" s="6">
        <f t="shared" si="408"/>
        <v>-14716.312056737588</v>
      </c>
      <c r="BZ628" s="6">
        <f t="shared" si="409"/>
        <v>-14057.382056737588</v>
      </c>
      <c r="CA628" s="6">
        <f t="shared" si="410"/>
        <v>-10217.312056737588</v>
      </c>
      <c r="CB628" s="6">
        <f t="shared" si="411"/>
        <v>-14716.312056737588</v>
      </c>
      <c r="CC628" s="6">
        <f t="shared" si="412"/>
        <v>-1889.4920567375884</v>
      </c>
      <c r="CD628" s="6">
        <f t="shared" si="413"/>
        <v>-2716.3120567375881</v>
      </c>
      <c r="CE628" s="6">
        <f t="shared" si="414"/>
        <v>-2716.3120567375881</v>
      </c>
      <c r="CF628" s="6">
        <f t="shared" si="415"/>
        <v>-2716.3120567375881</v>
      </c>
      <c r="CG628" s="6">
        <f t="shared" si="416"/>
        <v>-2716.3120567375881</v>
      </c>
      <c r="CH628" s="6">
        <f t="shared" si="396"/>
        <v>-100851.70468085111</v>
      </c>
    </row>
    <row r="629" spans="1:86" hidden="1" x14ac:dyDescent="0.35">
      <c r="A629" s="3" t="s">
        <v>156</v>
      </c>
      <c r="AN629" s="27">
        <f t="shared" ref="AN629:AN655" si="421">N629-AA629</f>
        <v>0</v>
      </c>
      <c r="AS629" t="str">
        <f>_xlfn.XLOOKUP(AU629,[2]GAE!HZ:HZ,[2]GAE!IA:IA)</f>
        <v>LEGAL</v>
      </c>
      <c r="AT629" t="str">
        <f>_xlfn.XLOOKUP(AU629,[2]GAE!HZ:HZ,[2]GAE!IB:IB)</f>
        <v>GAE - Representation</v>
      </c>
      <c r="AU629" t="s">
        <v>1061</v>
      </c>
      <c r="AV629">
        <v>80123101</v>
      </c>
      <c r="AW629">
        <v>61091101</v>
      </c>
      <c r="AX629" t="str">
        <f>_xlfn.XLOOKUP(AU629,[2]GAE!HZ:HZ,[2]GAE!IF:IF)</f>
        <v>Others</v>
      </c>
      <c r="AY629" t="str">
        <f>_xlfn.XLOOKUP(AU629,[2]GAE!HZ:HZ,[2]GAE!IG:IG)</f>
        <v>Entertainment, Amusement &amp; Recreation</v>
      </c>
      <c r="BC629" t="s">
        <v>156</v>
      </c>
      <c r="BD629" t="s">
        <v>156</v>
      </c>
      <c r="BF629" t="s">
        <v>156</v>
      </c>
      <c r="BG629" s="2" t="s">
        <v>156</v>
      </c>
      <c r="BH629" s="10">
        <f>SUMIFS('[1]2026'!$K:$K,'[1]2026'!$T:$T,BD629,'[1]2026'!$S:$S,BH$3,'[1]2026'!$P:$P,AU629)</f>
        <v>484.73</v>
      </c>
      <c r="BI629" s="10">
        <f>SUMIFS('[1]2026'!$K:$K,'[1]2026'!$T:$T,$BD629,'[1]2026'!$S:$S,BI$3,'[1]2026'!$P:$P,$AU629)</f>
        <v>289.73</v>
      </c>
      <c r="BJ629" s="10">
        <f>SUMIFS('[1]2026'!$K:$K,'[1]2026'!$T:$T,$BD629,'[1]2026'!$S:$S,BJ$3,'[1]2026'!$P:$P,$AU629)</f>
        <v>4741.58</v>
      </c>
      <c r="BK629" s="10">
        <f>SUMIFS('[1]2026'!$K:$K,'[1]2026'!$T:$T,$BD629,'[1]2026'!$S:$S,BK$3,'[1]2026'!$P:$P,$AU629)</f>
        <v>10985.07</v>
      </c>
      <c r="BL629" s="10">
        <f>SUMIFS('[1]2026'!$K:$K,'[1]2026'!$T:$T,$BD629,'[1]2026'!$S:$S,BL$3,'[1]2026'!$P:$P,$AU629)</f>
        <v>5116.83</v>
      </c>
      <c r="BM629" s="10">
        <f>SUMIFS('[1]2026'!$K:$K,'[1]2026'!$T:$T,$BD629,'[1]2026'!$S:$S,BM$3,'[1]2026'!$P:$P,$AU629)</f>
        <v>5342.95</v>
      </c>
      <c r="BN629" s="10">
        <f>SUMIFS('[1]2026'!$K:$K,'[1]2026'!$T:$T,$BD629,'[1]2026'!$S:$S,BN$3,'[1]2026'!$P:$P,$AU629)</f>
        <v>2962.88</v>
      </c>
      <c r="BO629" s="10">
        <f>SUMIFS('[1]2026'!$K:$K,'[1]2026'!$T:$T,$BD629,'[1]2026'!$S:$S,BO$3,'[1]2026'!$P:$P,$AU629)</f>
        <v>780</v>
      </c>
      <c r="BP629" s="6"/>
      <c r="BQ629" s="6"/>
      <c r="BR629" s="6"/>
      <c r="BS629" s="6"/>
      <c r="BT629" s="6">
        <f t="shared" si="404"/>
        <v>30703.770000000004</v>
      </c>
      <c r="BV629" s="6">
        <f t="shared" si="405"/>
        <v>484.73</v>
      </c>
      <c r="BW629" s="6">
        <f t="shared" si="406"/>
        <v>289.73</v>
      </c>
      <c r="BX629" s="6">
        <f t="shared" si="407"/>
        <v>4741.58</v>
      </c>
      <c r="BY629" s="6">
        <f t="shared" si="408"/>
        <v>10985.07</v>
      </c>
      <c r="BZ629" s="6">
        <f t="shared" si="409"/>
        <v>5116.83</v>
      </c>
      <c r="CA629" s="6">
        <f t="shared" si="410"/>
        <v>5342.95</v>
      </c>
      <c r="CB629" s="6">
        <f t="shared" si="411"/>
        <v>2962.88</v>
      </c>
      <c r="CC629" s="6">
        <f t="shared" si="412"/>
        <v>780</v>
      </c>
      <c r="CD629" s="6">
        <f t="shared" si="413"/>
        <v>0</v>
      </c>
      <c r="CE629" s="6">
        <f t="shared" si="414"/>
        <v>0</v>
      </c>
      <c r="CF629" s="6">
        <f t="shared" si="415"/>
        <v>0</v>
      </c>
      <c r="CG629" s="6">
        <f t="shared" si="416"/>
        <v>0</v>
      </c>
      <c r="CH629" s="6">
        <f t="shared" ref="CH629:CH644" si="422">BT629-AN629</f>
        <v>30703.770000000004</v>
      </c>
    </row>
    <row r="630" spans="1:86" hidden="1" x14ac:dyDescent="0.35">
      <c r="A630" s="3" t="s">
        <v>156</v>
      </c>
      <c r="AN630" s="27">
        <f t="shared" si="421"/>
        <v>0</v>
      </c>
      <c r="AS630" t="str">
        <f>_xlfn.XLOOKUP(AU630,[2]GAE!HZ:HZ,[2]GAE!IA:IA)</f>
        <v>ADMIN SERVICES</v>
      </c>
      <c r="AT630" t="str">
        <f>_xlfn.XLOOKUP(AU630,[2]GAE!HZ:HZ,[2]GAE!IB:IB)</f>
        <v>DOE - Meeting</v>
      </c>
      <c r="AU630" t="s">
        <v>1062</v>
      </c>
      <c r="AV630">
        <v>81123102</v>
      </c>
      <c r="AW630">
        <v>52091102</v>
      </c>
      <c r="AX630" t="str">
        <f>_xlfn.XLOOKUP(AU630,[2]GAE!HZ:HZ,[2]GAE!IF:IF)</f>
        <v>Others</v>
      </c>
      <c r="AY630" t="str">
        <f>_xlfn.XLOOKUP(AU630,[2]GAE!HZ:HZ,[2]GAE!IG:IG)</f>
        <v>Entertainment, Amusement &amp; Recreation</v>
      </c>
      <c r="BC630" t="s">
        <v>156</v>
      </c>
      <c r="BD630" t="s">
        <v>156</v>
      </c>
      <c r="BF630" t="s">
        <v>156</v>
      </c>
      <c r="BG630" s="2" t="s">
        <v>156</v>
      </c>
      <c r="BH630" s="10">
        <f>SUMIFS('[1]2026'!$K:$K,'[1]2026'!$T:$T,BD630,'[1]2026'!$S:$S,BH$3,'[1]2026'!$P:$P,AU630)</f>
        <v>0</v>
      </c>
      <c r="BI630" s="10">
        <f>SUMIFS('[1]2026'!$K:$K,'[1]2026'!$T:$T,$BD630,'[1]2026'!$S:$S,BI$3,'[1]2026'!$P:$P,$AU630)</f>
        <v>0</v>
      </c>
      <c r="BJ630" s="10">
        <f>SUMIFS('[1]2026'!$K:$K,'[1]2026'!$T:$T,$BD630,'[1]2026'!$S:$S,BJ$3,'[1]2026'!$P:$P,$AU630)</f>
        <v>15612.41</v>
      </c>
      <c r="BK630" s="10">
        <f>SUMIFS('[1]2026'!$K:$K,'[1]2026'!$T:$T,$BD630,'[1]2026'!$S:$S,BK$3,'[1]2026'!$P:$P,$AU630)</f>
        <v>0</v>
      </c>
      <c r="BL630" s="10">
        <f>SUMIFS('[1]2026'!$K:$K,'[1]2026'!$T:$T,$BD630,'[1]2026'!$S:$S,BL$3,'[1]2026'!$P:$P,$AU630)</f>
        <v>0</v>
      </c>
      <c r="BM630" s="10">
        <f>SUMIFS('[1]2026'!$K:$K,'[1]2026'!$T:$T,$BD630,'[1]2026'!$S:$S,BM$3,'[1]2026'!$P:$P,$AU630)</f>
        <v>0</v>
      </c>
      <c r="BN630" s="10">
        <f>SUMIFS('[1]2026'!$K:$K,'[1]2026'!$T:$T,$BD630,'[1]2026'!$S:$S,BN$3,'[1]2026'!$P:$P,$AU630)</f>
        <v>0</v>
      </c>
      <c r="BO630" s="10">
        <f>SUMIFS('[1]2026'!$K:$K,'[1]2026'!$T:$T,$BD630,'[1]2026'!$S:$S,BO$3,'[1]2026'!$P:$P,$AU630)</f>
        <v>0</v>
      </c>
      <c r="BP630" s="6"/>
      <c r="BQ630" s="6"/>
      <c r="BR630" s="6"/>
      <c r="BS630" s="6"/>
      <c r="BT630" s="6">
        <f t="shared" si="404"/>
        <v>15612.41</v>
      </c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>
        <f t="shared" si="422"/>
        <v>15612.41</v>
      </c>
    </row>
    <row r="631" spans="1:86" hidden="1" x14ac:dyDescent="0.35">
      <c r="A631" s="3" t="s">
        <v>156</v>
      </c>
      <c r="AN631" s="27">
        <f t="shared" si="421"/>
        <v>0</v>
      </c>
      <c r="AS631" t="str">
        <f>_xlfn.XLOOKUP(AU631,[2]GAE!HZ:HZ,[2]GAE!IA:IA)</f>
        <v>OMD OPERATIONS</v>
      </c>
      <c r="AT631" t="str">
        <f>_xlfn.XLOOKUP(AU631,[2]GAE!HZ:HZ,[2]GAE!IB:IB)</f>
        <v>DOE - Meeting</v>
      </c>
      <c r="AU631" s="2" t="s">
        <v>1063</v>
      </c>
      <c r="AV631" s="2">
        <v>81319101</v>
      </c>
      <c r="AW631" s="2">
        <v>52091102</v>
      </c>
      <c r="AX631" t="str">
        <f>_xlfn.XLOOKUP(AU631,[2]GAE!HZ:HZ,[2]GAE!IF:IF)</f>
        <v>Others</v>
      </c>
      <c r="AY631" t="str">
        <f>_xlfn.XLOOKUP(AU631,[2]GAE!HZ:HZ,[2]GAE!IG:IG)</f>
        <v>Entertainment, Amusement &amp; Recreation</v>
      </c>
      <c r="BC631" t="s">
        <v>156</v>
      </c>
      <c r="BD631" t="s">
        <v>156</v>
      </c>
      <c r="BF631" t="s">
        <v>156</v>
      </c>
      <c r="BG631" s="2" t="s">
        <v>156</v>
      </c>
      <c r="BL631" s="10">
        <f>SUMIFS('[1]2026'!$K:$K,'[1]2026'!$T:$T,$BD631,'[1]2026'!$S:$S,BL$3,'[1]2026'!$P:$P,$AU631)</f>
        <v>1140</v>
      </c>
      <c r="BM631" s="10">
        <f>SUMIFS('[1]2026'!$K:$K,'[1]2026'!$T:$T,$BD631,'[1]2026'!$S:$S,BM$3,'[1]2026'!$P:$P,$AU631)</f>
        <v>0</v>
      </c>
      <c r="BN631" s="10">
        <f>SUMIFS('[1]2026'!$K:$K,'[1]2026'!$T:$T,$BD631,'[1]2026'!$S:$S,BN$3,'[1]2026'!$P:$P,$AU631)</f>
        <v>0</v>
      </c>
      <c r="BO631" s="10">
        <f>SUMIFS('[1]2026'!$K:$K,'[1]2026'!$T:$T,$BD631,'[1]2026'!$S:$S,BO$3,'[1]2026'!$P:$P,$AU631)</f>
        <v>0</v>
      </c>
      <c r="BP631" s="6"/>
      <c r="BQ631" s="6"/>
      <c r="BR631" s="6"/>
      <c r="BS631" s="6"/>
      <c r="BT631" s="6">
        <f t="shared" si="404"/>
        <v>1140</v>
      </c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>
        <f t="shared" si="422"/>
        <v>1140</v>
      </c>
    </row>
    <row r="632" spans="1:86" hidden="1" x14ac:dyDescent="0.35">
      <c r="A632" s="3" t="s">
        <v>1064</v>
      </c>
      <c r="B632" s="10">
        <v>250</v>
      </c>
      <c r="C632" s="10">
        <v>250</v>
      </c>
      <c r="D632" s="10">
        <v>250</v>
      </c>
      <c r="E632" s="10">
        <v>250</v>
      </c>
      <c r="F632" s="10">
        <v>250</v>
      </c>
      <c r="G632" s="10">
        <v>250</v>
      </c>
      <c r="H632" s="10">
        <v>250</v>
      </c>
      <c r="I632" s="10">
        <v>250</v>
      </c>
      <c r="J632" s="10">
        <v>250</v>
      </c>
      <c r="K632" s="10">
        <v>250</v>
      </c>
      <c r="L632" s="10">
        <v>250</v>
      </c>
      <c r="M632" s="10">
        <v>250</v>
      </c>
      <c r="N632" s="27">
        <f t="shared" ref="N632:N655" si="423">SUM(B632:M632)</f>
        <v>3000</v>
      </c>
      <c r="AA632" s="27">
        <f t="shared" ref="AA632:AA655" si="424">SUM(O632:Z632)</f>
        <v>0</v>
      </c>
      <c r="AB632" s="10">
        <f t="shared" ref="AB632:AM655" si="425">B632-O632</f>
        <v>250</v>
      </c>
      <c r="AC632" s="10">
        <f t="shared" si="425"/>
        <v>250</v>
      </c>
      <c r="AD632" s="10">
        <f t="shared" si="425"/>
        <v>250</v>
      </c>
      <c r="AE632" s="10">
        <f t="shared" si="425"/>
        <v>250</v>
      </c>
      <c r="AF632" s="10">
        <f t="shared" si="425"/>
        <v>250</v>
      </c>
      <c r="AG632" s="10">
        <f t="shared" si="425"/>
        <v>250</v>
      </c>
      <c r="AH632" s="10">
        <f t="shared" si="425"/>
        <v>250</v>
      </c>
      <c r="AI632" s="10">
        <f t="shared" si="425"/>
        <v>250</v>
      </c>
      <c r="AJ632" s="10">
        <f t="shared" si="425"/>
        <v>250</v>
      </c>
      <c r="AK632" s="10">
        <f t="shared" si="425"/>
        <v>250</v>
      </c>
      <c r="AL632" s="10">
        <f t="shared" si="425"/>
        <v>250</v>
      </c>
      <c r="AM632" s="10">
        <f t="shared" si="425"/>
        <v>250</v>
      </c>
      <c r="AN632" s="27">
        <f t="shared" si="421"/>
        <v>3000</v>
      </c>
      <c r="AO632" s="28">
        <v>34300</v>
      </c>
      <c r="AS632" t="str">
        <f>_xlfn.XLOOKUP(AU632,[2]GAE!HZ:HZ,[2]GAE!IA:IA)</f>
        <v>PROCUREMENT</v>
      </c>
      <c r="AT632" t="str">
        <f>_xlfn.XLOOKUP(AU632,[2]GAE!HZ:HZ,[2]GAE!IB:IB)</f>
        <v>DOE - Dues &amp; Fees</v>
      </c>
      <c r="AU632" t="s">
        <v>1065</v>
      </c>
      <c r="AV632">
        <v>81133103</v>
      </c>
      <c r="AW632">
        <v>52952101</v>
      </c>
      <c r="AX632" t="str">
        <f>_xlfn.XLOOKUP(AU632,[2]GAE!HZ:HZ,[2]GAE!IF:IF)</f>
        <v>Others</v>
      </c>
      <c r="AY632" t="str">
        <f>_xlfn.XLOOKUP(AU632,[2]GAE!HZ:HZ,[2]GAE!IG:IG)</f>
        <v>Dues and Fees</v>
      </c>
      <c r="BF632" t="s">
        <v>124</v>
      </c>
      <c r="BG632" t="s">
        <v>177</v>
      </c>
      <c r="BH632" s="10">
        <f>SUMIFS('[1]2026'!$K:$K,'[1]2026'!$T:$T,BD632,'[1]2026'!$S:$S,BH$3,'[1]2026'!$P:$P,AU632)</f>
        <v>0</v>
      </c>
      <c r="BI632" s="10">
        <f>SUMIFS('[1]2026'!$K:$K,'[1]2026'!$T:$T,$BD632,'[1]2026'!$S:$S,BI$3,'[1]2026'!$P:$P,$AU632)</f>
        <v>0</v>
      </c>
      <c r="BJ632" s="10">
        <f>SUMIFS('[1]2026'!$K:$K,'[1]2026'!$T:$T,$BD632,'[1]2026'!$S:$S,BJ$3,'[1]2026'!$P:$P,$AU632)</f>
        <v>0</v>
      </c>
      <c r="BK632" s="10">
        <f>SUMIFS('[1]2026'!$K:$K,'[1]2026'!$T:$T,$BD632,'[1]2026'!$S:$S,BK$3,'[1]2026'!$P:$P,$AU632)</f>
        <v>0</v>
      </c>
      <c r="BL632" s="10">
        <f>SUMIFS('[1]2026'!$K:$K,'[1]2026'!$T:$T,$BD632,'[1]2026'!$S:$S,BL$3,'[1]2026'!$P:$P,$AU632)</f>
        <v>0</v>
      </c>
      <c r="BM632" s="10">
        <f>SUMIFS('[1]2026'!$K:$K,'[1]2026'!$T:$T,$BD632,'[1]2026'!$S:$S,BM$3,'[1]2026'!$P:$P,$AU632)</f>
        <v>0</v>
      </c>
      <c r="BN632" s="10">
        <f>SUMIFS('[1]2026'!$K:$K,'[1]2026'!$T:$T,$BD632,'[1]2026'!$S:$S,BN$3,'[1]2026'!$P:$P,$AU632)</f>
        <v>0</v>
      </c>
      <c r="BO632" s="10">
        <f>SUMIFS('[1]2026'!$K:$K,'[1]2026'!$T:$T,$BD632,'[1]2026'!$S:$S,BO$3,'[1]2026'!$P:$P,$AU632)</f>
        <v>0</v>
      </c>
      <c r="BP632" s="6"/>
      <c r="BQ632" s="6"/>
      <c r="BR632" s="6"/>
      <c r="BS632" s="6"/>
      <c r="BT632" s="6">
        <f t="shared" si="404"/>
        <v>0</v>
      </c>
      <c r="BV632" s="6">
        <f t="shared" ref="BV632:BV660" si="426">BH632-AB632</f>
        <v>-250</v>
      </c>
      <c r="BW632" s="6">
        <f t="shared" ref="BW632:BW660" si="427">BI632-AC632</f>
        <v>-250</v>
      </c>
      <c r="BX632" s="6">
        <f t="shared" ref="BX632:BX660" si="428">BJ632-AD632</f>
        <v>-250</v>
      </c>
      <c r="BY632" s="6">
        <f t="shared" ref="BY632:BY660" si="429">BK632-AE632</f>
        <v>-250</v>
      </c>
      <c r="BZ632" s="6">
        <f t="shared" ref="BZ632:BZ660" si="430">BL632-AF632</f>
        <v>-250</v>
      </c>
      <c r="CA632" s="6">
        <f t="shared" ref="CA632:CA660" si="431">BM632-AG632</f>
        <v>-250</v>
      </c>
      <c r="CB632" s="6">
        <f t="shared" ref="CB632:CB660" si="432">BN632-AH632</f>
        <v>-250</v>
      </c>
      <c r="CC632" s="6">
        <f t="shared" ref="CC632:CC660" si="433">BO632-AI632</f>
        <v>-250</v>
      </c>
      <c r="CD632" s="6">
        <f t="shared" ref="CD632:CD660" si="434">BP632-AJ632</f>
        <v>-250</v>
      </c>
      <c r="CE632" s="6">
        <f t="shared" ref="CE632:CE660" si="435">BQ632-AK632</f>
        <v>-250</v>
      </c>
      <c r="CF632" s="6">
        <f t="shared" ref="CF632:CF660" si="436">BR632-AL632</f>
        <v>-250</v>
      </c>
      <c r="CG632" s="6">
        <f t="shared" ref="CG632:CG660" si="437">BS632-AM632</f>
        <v>-250</v>
      </c>
      <c r="CH632" s="6">
        <f t="shared" si="422"/>
        <v>-3000</v>
      </c>
    </row>
    <row r="633" spans="1:86" hidden="1" x14ac:dyDescent="0.35">
      <c r="A633" s="3" t="s">
        <v>1066</v>
      </c>
      <c r="B633" s="10">
        <v>1666.6666666666667</v>
      </c>
      <c r="C633" s="10">
        <v>1666.6666666666667</v>
      </c>
      <c r="D633" s="10">
        <v>1666.6666666666667</v>
      </c>
      <c r="E633" s="10">
        <v>1666.6666666666667</v>
      </c>
      <c r="F633" s="10">
        <v>1666.6666666666667</v>
      </c>
      <c r="G633" s="10">
        <v>1666.6666666666667</v>
      </c>
      <c r="H633" s="10">
        <v>1666.6666666666667</v>
      </c>
      <c r="I633" s="10">
        <v>1666.6666666666667</v>
      </c>
      <c r="J633" s="10">
        <v>1666.6666666666667</v>
      </c>
      <c r="K633" s="10">
        <v>1666.6666666666667</v>
      </c>
      <c r="L633" s="10">
        <v>1666.6666666666667</v>
      </c>
      <c r="M633" s="10">
        <v>1666.6666666666667</v>
      </c>
      <c r="N633" s="27">
        <f t="shared" si="423"/>
        <v>20000</v>
      </c>
      <c r="AA633" s="27">
        <f t="shared" si="424"/>
        <v>0</v>
      </c>
      <c r="AB633" s="10">
        <f t="shared" si="425"/>
        <v>1666.6666666666667</v>
      </c>
      <c r="AC633" s="10">
        <f t="shared" si="425"/>
        <v>1666.6666666666667</v>
      </c>
      <c r="AD633" s="10">
        <f t="shared" si="425"/>
        <v>1666.6666666666667</v>
      </c>
      <c r="AE633" s="10">
        <f t="shared" si="425"/>
        <v>1666.6666666666667</v>
      </c>
      <c r="AF633" s="10">
        <f t="shared" si="425"/>
        <v>1666.6666666666667</v>
      </c>
      <c r="AG633" s="10">
        <f t="shared" si="425"/>
        <v>1666.6666666666667</v>
      </c>
      <c r="AH633" s="10">
        <f t="shared" si="425"/>
        <v>1666.6666666666667</v>
      </c>
      <c r="AI633" s="10">
        <f t="shared" si="425"/>
        <v>1666.6666666666667</v>
      </c>
      <c r="AJ633" s="10">
        <f t="shared" si="425"/>
        <v>1666.6666666666667</v>
      </c>
      <c r="AK633" s="10">
        <f t="shared" si="425"/>
        <v>1666.6666666666667</v>
      </c>
      <c r="AL633" s="10">
        <f t="shared" si="425"/>
        <v>1666.6666666666667</v>
      </c>
      <c r="AM633" s="10">
        <f t="shared" si="425"/>
        <v>1666.6666666666667</v>
      </c>
      <c r="AN633" s="27">
        <f t="shared" si="421"/>
        <v>20000</v>
      </c>
      <c r="AS633" t="str">
        <f>_xlfn.XLOOKUP(AU633,[2]GAE!HZ:HZ,[2]GAE!IA:IA)</f>
        <v>PROCUREMENT</v>
      </c>
      <c r="AT633" t="str">
        <f>_xlfn.XLOOKUP(AU633,[2]GAE!HZ:HZ,[2]GAE!IB:IB)</f>
        <v>DOE - Dues &amp; Fees</v>
      </c>
      <c r="AU633" t="s">
        <v>1065</v>
      </c>
      <c r="AV633">
        <v>81133103</v>
      </c>
      <c r="AW633">
        <v>52952101</v>
      </c>
      <c r="AX633" t="str">
        <f>_xlfn.XLOOKUP(AU633,[2]GAE!HZ:HZ,[2]GAE!IF:IF)</f>
        <v>Others</v>
      </c>
      <c r="AY633" t="str">
        <f>_xlfn.XLOOKUP(AU633,[2]GAE!HZ:HZ,[2]GAE!IG:IG)</f>
        <v>Dues and Fees</v>
      </c>
      <c r="BC633" t="s">
        <v>177</v>
      </c>
      <c r="BD633" t="s">
        <v>1067</v>
      </c>
      <c r="BF633" t="s">
        <v>124</v>
      </c>
      <c r="BG633" s="2" t="s">
        <v>177</v>
      </c>
      <c r="BH633" s="10">
        <f>SUMIFS('[1]2026'!$K:$K,'[1]2026'!$T:$T,BD633,'[1]2026'!$S:$S,BH$3,'[1]2026'!$P:$P,AU633)</f>
        <v>0</v>
      </c>
      <c r="BI633" s="10">
        <f>SUMIFS('[1]2026'!$K:$K,'[1]2026'!$T:$T,$BD633,'[1]2026'!$S:$S,BI$3,'[1]2026'!$P:$P,$AU633)</f>
        <v>0</v>
      </c>
      <c r="BJ633" s="10">
        <f>SUMIFS('[1]2026'!$K:$K,'[1]2026'!$T:$T,$BD633,'[1]2026'!$S:$S,BJ$3,'[1]2026'!$P:$P,$AU633)</f>
        <v>0</v>
      </c>
      <c r="BK633" s="10">
        <f>SUMIFS('[1]2026'!$K:$K,'[1]2026'!$T:$T,$BD633,'[1]2026'!$S:$S,BK$3,'[1]2026'!$P:$P,$AU633)</f>
        <v>0</v>
      </c>
      <c r="BL633" s="10">
        <f>SUMIFS('[1]2026'!$K:$K,'[1]2026'!$T:$T,$BD633,'[1]2026'!$S:$S,BL$3,'[1]2026'!$P:$P,$AU633)</f>
        <v>17020</v>
      </c>
      <c r="BM633" s="10">
        <f>SUMIFS('[1]2026'!$K:$K,'[1]2026'!$T:$T,$BD633,'[1]2026'!$S:$S,BM$3,'[1]2026'!$P:$P,$AU633)</f>
        <v>0</v>
      </c>
      <c r="BN633" s="10">
        <f>SUMIFS('[1]2026'!$K:$K,'[1]2026'!$T:$T,$BD633,'[1]2026'!$S:$S,BN$3,'[1]2026'!$P:$P,$AU633)</f>
        <v>0</v>
      </c>
      <c r="BO633" s="10">
        <f>SUMIFS('[1]2026'!$K:$K,'[1]2026'!$T:$T,$BD633,'[1]2026'!$S:$S,BO$3,'[1]2026'!$P:$P,$AU633)</f>
        <v>0</v>
      </c>
      <c r="BP633" s="6"/>
      <c r="BQ633" s="6"/>
      <c r="BR633" s="6"/>
      <c r="BS633" s="6"/>
      <c r="BT633" s="6">
        <f t="shared" si="404"/>
        <v>17020</v>
      </c>
      <c r="BV633" s="6">
        <f t="shared" si="426"/>
        <v>-1666.6666666666667</v>
      </c>
      <c r="BW633" s="6">
        <f t="shared" si="427"/>
        <v>-1666.6666666666667</v>
      </c>
      <c r="BX633" s="6">
        <f t="shared" si="428"/>
        <v>-1666.6666666666667</v>
      </c>
      <c r="BY633" s="6">
        <f t="shared" si="429"/>
        <v>-1666.6666666666667</v>
      </c>
      <c r="BZ633" s="6">
        <f t="shared" si="430"/>
        <v>15353.333333333334</v>
      </c>
      <c r="CA633" s="6">
        <f t="shared" si="431"/>
        <v>-1666.6666666666667</v>
      </c>
      <c r="CB633" s="6">
        <f t="shared" si="432"/>
        <v>-1666.6666666666667</v>
      </c>
      <c r="CC633" s="6">
        <f t="shared" si="433"/>
        <v>-1666.6666666666667</v>
      </c>
      <c r="CD633" s="6">
        <f t="shared" si="434"/>
        <v>-1666.6666666666667</v>
      </c>
      <c r="CE633" s="6">
        <f t="shared" si="435"/>
        <v>-1666.6666666666667</v>
      </c>
      <c r="CF633" s="6">
        <f t="shared" si="436"/>
        <v>-1666.6666666666667</v>
      </c>
      <c r="CG633" s="6">
        <f t="shared" si="437"/>
        <v>-1666.6666666666667</v>
      </c>
      <c r="CH633" s="6">
        <f t="shared" si="422"/>
        <v>-2980</v>
      </c>
    </row>
    <row r="634" spans="1:86" hidden="1" x14ac:dyDescent="0.35">
      <c r="A634" s="3" t="s">
        <v>1068</v>
      </c>
      <c r="B634" s="10">
        <v>250</v>
      </c>
      <c r="C634" s="10">
        <v>250</v>
      </c>
      <c r="D634" s="10">
        <v>250</v>
      </c>
      <c r="E634" s="10">
        <v>250</v>
      </c>
      <c r="F634" s="10">
        <v>250</v>
      </c>
      <c r="G634" s="10">
        <v>250</v>
      </c>
      <c r="H634" s="10">
        <v>250</v>
      </c>
      <c r="I634" s="10">
        <v>250</v>
      </c>
      <c r="J634" s="10">
        <v>250</v>
      </c>
      <c r="K634" s="10">
        <v>250</v>
      </c>
      <c r="L634" s="10">
        <v>250</v>
      </c>
      <c r="M634" s="10">
        <v>250</v>
      </c>
      <c r="N634" s="27">
        <f t="shared" si="423"/>
        <v>3000</v>
      </c>
      <c r="AA634" s="27">
        <f t="shared" si="424"/>
        <v>0</v>
      </c>
      <c r="AB634" s="10">
        <f t="shared" si="425"/>
        <v>250</v>
      </c>
      <c r="AC634" s="10">
        <f t="shared" si="425"/>
        <v>250</v>
      </c>
      <c r="AD634" s="10">
        <f t="shared" si="425"/>
        <v>250</v>
      </c>
      <c r="AE634" s="10">
        <f t="shared" si="425"/>
        <v>250</v>
      </c>
      <c r="AF634" s="10">
        <f t="shared" si="425"/>
        <v>250</v>
      </c>
      <c r="AG634" s="10">
        <f t="shared" si="425"/>
        <v>250</v>
      </c>
      <c r="AH634" s="10">
        <f t="shared" si="425"/>
        <v>250</v>
      </c>
      <c r="AI634" s="10">
        <f t="shared" si="425"/>
        <v>250</v>
      </c>
      <c r="AJ634" s="10">
        <f t="shared" si="425"/>
        <v>250</v>
      </c>
      <c r="AK634" s="10">
        <f t="shared" si="425"/>
        <v>250</v>
      </c>
      <c r="AL634" s="10">
        <f t="shared" si="425"/>
        <v>250</v>
      </c>
      <c r="AM634" s="10">
        <f t="shared" si="425"/>
        <v>250</v>
      </c>
      <c r="AN634" s="27">
        <f t="shared" si="421"/>
        <v>3000</v>
      </c>
      <c r="AS634" t="str">
        <f>_xlfn.XLOOKUP(AU634,[2]GAE!HZ:HZ,[2]GAE!IA:IA)</f>
        <v>PROCUREMENT</v>
      </c>
      <c r="AT634" t="str">
        <f>_xlfn.XLOOKUP(AU634,[2]GAE!HZ:HZ,[2]GAE!IB:IB)</f>
        <v>GAE - Dues &amp; Fees</v>
      </c>
      <c r="AU634" t="s">
        <v>1069</v>
      </c>
      <c r="AV634">
        <v>80133103</v>
      </c>
      <c r="AW634">
        <v>61711101</v>
      </c>
      <c r="AX634" t="str">
        <f>_xlfn.XLOOKUP(AU634,[2]GAE!HZ:HZ,[2]GAE!IF:IF)</f>
        <v>Others</v>
      </c>
      <c r="AY634" t="str">
        <f>_xlfn.XLOOKUP(AU634,[2]GAE!HZ:HZ,[2]GAE!IG:IG)</f>
        <v>Dues and Fees</v>
      </c>
      <c r="BF634" t="s">
        <v>7</v>
      </c>
      <c r="BG634" s="2" t="s">
        <v>1253</v>
      </c>
      <c r="BH634" s="10">
        <f>SUMIFS('[1]2026'!$K:$K,'[1]2026'!$T:$T,BD634,'[1]2026'!$S:$S,BH$3,'[1]2026'!$P:$P,AU634)</f>
        <v>0</v>
      </c>
      <c r="BI634" s="10">
        <f>SUMIFS('[1]2026'!$K:$K,'[1]2026'!$T:$T,$BD634,'[1]2026'!$S:$S,BI$3,'[1]2026'!$P:$P,$AU634)</f>
        <v>0</v>
      </c>
      <c r="BJ634" s="10">
        <f>SUMIFS('[1]2026'!$K:$K,'[1]2026'!$T:$T,$BD634,'[1]2026'!$S:$S,BJ$3,'[1]2026'!$P:$P,$AU634)</f>
        <v>0</v>
      </c>
      <c r="BK634" s="10">
        <f>SUMIFS('[1]2026'!$K:$K,'[1]2026'!$T:$T,$BD634,'[1]2026'!$S:$S,BK$3,'[1]2026'!$P:$P,$AU634)</f>
        <v>0</v>
      </c>
      <c r="BL634" s="10">
        <f>SUMIFS('[1]2026'!$K:$K,'[1]2026'!$T:$T,$BD634,'[1]2026'!$S:$S,BL$3,'[1]2026'!$P:$P,$AU634)</f>
        <v>0</v>
      </c>
      <c r="BM634" s="10">
        <f>SUMIFS('[1]2026'!$K:$K,'[1]2026'!$T:$T,$BD634,'[1]2026'!$S:$S,BM$3,'[1]2026'!$P:$P,$AU634)</f>
        <v>0</v>
      </c>
      <c r="BN634" s="10">
        <f>SUMIFS('[1]2026'!$K:$K,'[1]2026'!$T:$T,$BD634,'[1]2026'!$S:$S,BN$3,'[1]2026'!$P:$P,$AU634)</f>
        <v>0</v>
      </c>
      <c r="BO634" s="10">
        <f>SUMIFS('[1]2026'!$K:$K,'[1]2026'!$T:$T,$BD634,'[1]2026'!$S:$S,BO$3,'[1]2026'!$P:$P,$AU634)</f>
        <v>0</v>
      </c>
      <c r="BP634" s="6"/>
      <c r="BQ634" s="6"/>
      <c r="BR634" s="6"/>
      <c r="BS634" s="6"/>
      <c r="BT634" s="6">
        <f t="shared" si="404"/>
        <v>0</v>
      </c>
      <c r="BV634" s="6">
        <f t="shared" si="426"/>
        <v>-250</v>
      </c>
      <c r="BW634" s="6">
        <f t="shared" si="427"/>
        <v>-250</v>
      </c>
      <c r="BX634" s="6">
        <f t="shared" si="428"/>
        <v>-250</v>
      </c>
      <c r="BY634" s="6">
        <f t="shared" si="429"/>
        <v>-250</v>
      </c>
      <c r="BZ634" s="6">
        <f t="shared" si="430"/>
        <v>-250</v>
      </c>
      <c r="CA634" s="6">
        <f t="shared" si="431"/>
        <v>-250</v>
      </c>
      <c r="CB634" s="6">
        <f t="shared" si="432"/>
        <v>-250</v>
      </c>
      <c r="CC634" s="6">
        <f t="shared" si="433"/>
        <v>-250</v>
      </c>
      <c r="CD634" s="6">
        <f t="shared" si="434"/>
        <v>-250</v>
      </c>
      <c r="CE634" s="6">
        <f t="shared" si="435"/>
        <v>-250</v>
      </c>
      <c r="CF634" s="6">
        <f t="shared" si="436"/>
        <v>-250</v>
      </c>
      <c r="CG634" s="6">
        <f t="shared" si="437"/>
        <v>-250</v>
      </c>
      <c r="CH634" s="6">
        <f t="shared" si="422"/>
        <v>-3000</v>
      </c>
    </row>
    <row r="635" spans="1:86" hidden="1" x14ac:dyDescent="0.35">
      <c r="A635" s="3" t="s">
        <v>1070</v>
      </c>
      <c r="B635" s="10">
        <v>1666.6666666666667</v>
      </c>
      <c r="C635" s="10">
        <v>1666.6666666666667</v>
      </c>
      <c r="D635" s="10">
        <v>1666.6666666666667</v>
      </c>
      <c r="E635" s="10">
        <v>1666.6666666666667</v>
      </c>
      <c r="F635" s="10">
        <v>1666.6666666666667</v>
      </c>
      <c r="G635" s="10">
        <v>1666.6666666666667</v>
      </c>
      <c r="H635" s="10">
        <v>1666.6666666666667</v>
      </c>
      <c r="I635" s="10">
        <v>1666.6666666666667</v>
      </c>
      <c r="J635" s="10">
        <v>1666.6666666666667</v>
      </c>
      <c r="K635" s="10">
        <v>1666.6666666666667</v>
      </c>
      <c r="L635" s="10">
        <v>1666.6666666666667</v>
      </c>
      <c r="M635" s="10">
        <v>1666.6666666666667</v>
      </c>
      <c r="N635" s="27">
        <f t="shared" si="423"/>
        <v>20000</v>
      </c>
      <c r="AA635" s="27">
        <f t="shared" si="424"/>
        <v>0</v>
      </c>
      <c r="AB635" s="10">
        <f t="shared" si="425"/>
        <v>1666.6666666666667</v>
      </c>
      <c r="AC635" s="10">
        <f t="shared" si="425"/>
        <v>1666.6666666666667</v>
      </c>
      <c r="AD635" s="10">
        <f t="shared" si="425"/>
        <v>1666.6666666666667</v>
      </c>
      <c r="AE635" s="10">
        <f t="shared" si="425"/>
        <v>1666.6666666666667</v>
      </c>
      <c r="AF635" s="10">
        <f t="shared" si="425"/>
        <v>1666.6666666666667</v>
      </c>
      <c r="AG635" s="10">
        <f t="shared" si="425"/>
        <v>1666.6666666666667</v>
      </c>
      <c r="AH635" s="10">
        <f t="shared" si="425"/>
        <v>1666.6666666666667</v>
      </c>
      <c r="AI635" s="10">
        <f t="shared" si="425"/>
        <v>1666.6666666666667</v>
      </c>
      <c r="AJ635" s="10">
        <f t="shared" si="425"/>
        <v>1666.6666666666667</v>
      </c>
      <c r="AK635" s="10">
        <f t="shared" si="425"/>
        <v>1666.6666666666667</v>
      </c>
      <c r="AL635" s="10">
        <f t="shared" si="425"/>
        <v>1666.6666666666667</v>
      </c>
      <c r="AM635" s="10">
        <f t="shared" si="425"/>
        <v>1666.6666666666667</v>
      </c>
      <c r="AN635" s="27">
        <f t="shared" si="421"/>
        <v>20000</v>
      </c>
      <c r="AS635" t="str">
        <f>_xlfn.XLOOKUP(AU635,[2]GAE!HZ:HZ,[2]GAE!IA:IA)</f>
        <v>PROCUREMENT</v>
      </c>
      <c r="AT635" t="str">
        <f>_xlfn.XLOOKUP(AU635,[2]GAE!HZ:HZ,[2]GAE!IB:IB)</f>
        <v>GAE - Dues &amp; Fees</v>
      </c>
      <c r="AU635" t="s">
        <v>1069</v>
      </c>
      <c r="AV635">
        <v>80133103</v>
      </c>
      <c r="AW635">
        <v>61711101</v>
      </c>
      <c r="AX635" t="str">
        <f>_xlfn.XLOOKUP(AU635,[2]GAE!HZ:HZ,[2]GAE!IF:IF)</f>
        <v>Others</v>
      </c>
      <c r="AY635" t="str">
        <f>_xlfn.XLOOKUP(AU635,[2]GAE!HZ:HZ,[2]GAE!IG:IG)</f>
        <v>Dues and Fees</v>
      </c>
      <c r="BC635" t="s">
        <v>177</v>
      </c>
      <c r="BD635" t="s">
        <v>1067</v>
      </c>
      <c r="BF635" t="s">
        <v>124</v>
      </c>
      <c r="BG635" s="2" t="s">
        <v>177</v>
      </c>
      <c r="BH635" s="10">
        <f>SUMIFS('[1]2026'!$K:$K,'[1]2026'!$T:$T,BD635,'[1]2026'!$S:$S,BH$3,'[1]2026'!$P:$P,AU635)</f>
        <v>0</v>
      </c>
      <c r="BI635" s="10">
        <f>SUMIFS('[1]2026'!$K:$K,'[1]2026'!$T:$T,$BD635,'[1]2026'!$S:$S,BI$3,'[1]2026'!$P:$P,$AU635)</f>
        <v>0</v>
      </c>
      <c r="BJ635" s="10">
        <f>SUMIFS('[1]2026'!$K:$K,'[1]2026'!$T:$T,$BD635,'[1]2026'!$S:$S,BJ$3,'[1]2026'!$P:$P,$AU635)</f>
        <v>0</v>
      </c>
      <c r="BK635" s="10">
        <f>SUMIFS('[1]2026'!$K:$K,'[1]2026'!$T:$T,$BD635,'[1]2026'!$S:$S,BK$3,'[1]2026'!$P:$P,$AU635)</f>
        <v>17020</v>
      </c>
      <c r="BL635" s="10">
        <f>SUMIFS('[1]2026'!$K:$K,'[1]2026'!$T:$T,$BD635,'[1]2026'!$S:$S,BL$3,'[1]2026'!$P:$P,$AU635)</f>
        <v>0</v>
      </c>
      <c r="BM635" s="10">
        <f>SUMIFS('[1]2026'!$K:$K,'[1]2026'!$T:$T,$BD635,'[1]2026'!$S:$S,BM$3,'[1]2026'!$P:$P,$AU635)</f>
        <v>0</v>
      </c>
      <c r="BN635" s="10">
        <f>SUMIFS('[1]2026'!$K:$K,'[1]2026'!$T:$T,$BD635,'[1]2026'!$S:$S,BN$3,'[1]2026'!$P:$P,$AU635)</f>
        <v>0</v>
      </c>
      <c r="BO635" s="10">
        <f>SUMIFS('[1]2026'!$K:$K,'[1]2026'!$T:$T,$BD635,'[1]2026'!$S:$S,BO$3,'[1]2026'!$P:$P,$AU635)</f>
        <v>0</v>
      </c>
      <c r="BP635" s="6"/>
      <c r="BQ635" s="6"/>
      <c r="BR635" s="6"/>
      <c r="BS635" s="6"/>
      <c r="BT635" s="6">
        <f t="shared" si="404"/>
        <v>17020</v>
      </c>
      <c r="BV635" s="6">
        <f t="shared" si="426"/>
        <v>-1666.6666666666667</v>
      </c>
      <c r="BW635" s="6">
        <f t="shared" si="427"/>
        <v>-1666.6666666666667</v>
      </c>
      <c r="BX635" s="6">
        <f t="shared" si="428"/>
        <v>-1666.6666666666667</v>
      </c>
      <c r="BY635" s="6">
        <f t="shared" si="429"/>
        <v>15353.333333333334</v>
      </c>
      <c r="BZ635" s="6">
        <f t="shared" si="430"/>
        <v>-1666.6666666666667</v>
      </c>
      <c r="CA635" s="6">
        <f t="shared" si="431"/>
        <v>-1666.6666666666667</v>
      </c>
      <c r="CB635" s="6">
        <f t="shared" si="432"/>
        <v>-1666.6666666666667</v>
      </c>
      <c r="CC635" s="6">
        <f t="shared" si="433"/>
        <v>-1666.6666666666667</v>
      </c>
      <c r="CD635" s="6">
        <f t="shared" si="434"/>
        <v>-1666.6666666666667</v>
      </c>
      <c r="CE635" s="6">
        <f t="shared" si="435"/>
        <v>-1666.6666666666667</v>
      </c>
      <c r="CF635" s="6">
        <f t="shared" si="436"/>
        <v>-1666.6666666666667</v>
      </c>
      <c r="CG635" s="6">
        <f t="shared" si="437"/>
        <v>-1666.6666666666667</v>
      </c>
      <c r="CH635" s="6">
        <f t="shared" si="422"/>
        <v>-2980</v>
      </c>
    </row>
    <row r="636" spans="1:86" hidden="1" x14ac:dyDescent="0.35">
      <c r="A636" s="3" t="s">
        <v>1071</v>
      </c>
      <c r="B636" s="10">
        <v>7227.073875</v>
      </c>
      <c r="C636" s="10">
        <v>7227.073875</v>
      </c>
      <c r="D636" s="10">
        <v>7227.073875</v>
      </c>
      <c r="E636" s="10">
        <v>7227.073875</v>
      </c>
      <c r="F636" s="10">
        <v>7227.073875</v>
      </c>
      <c r="G636" s="10">
        <v>7227.073875</v>
      </c>
      <c r="H636" s="10">
        <v>7227.073875</v>
      </c>
      <c r="I636" s="10">
        <v>7227.073875</v>
      </c>
      <c r="J636" s="10">
        <v>7227.073875</v>
      </c>
      <c r="K636" s="10">
        <v>7227.073875</v>
      </c>
      <c r="L636" s="10">
        <v>7227.073875</v>
      </c>
      <c r="M636" s="10">
        <v>7227.073875</v>
      </c>
      <c r="N636" s="27">
        <f t="shared" si="423"/>
        <v>86724.886500000008</v>
      </c>
      <c r="AA636" s="27">
        <f t="shared" si="424"/>
        <v>0</v>
      </c>
      <c r="AB636" s="10">
        <f t="shared" si="425"/>
        <v>7227.073875</v>
      </c>
      <c r="AC636" s="10">
        <f t="shared" si="425"/>
        <v>7227.073875</v>
      </c>
      <c r="AD636" s="10">
        <f t="shared" si="425"/>
        <v>7227.073875</v>
      </c>
      <c r="AE636" s="10">
        <f t="shared" si="425"/>
        <v>7227.073875</v>
      </c>
      <c r="AF636" s="10">
        <f t="shared" si="425"/>
        <v>7227.073875</v>
      </c>
      <c r="AG636" s="10">
        <f t="shared" si="425"/>
        <v>7227.073875</v>
      </c>
      <c r="AH636" s="10">
        <f t="shared" si="425"/>
        <v>7227.073875</v>
      </c>
      <c r="AI636" s="10">
        <f t="shared" si="425"/>
        <v>7227.073875</v>
      </c>
      <c r="AJ636" s="10">
        <f t="shared" si="425"/>
        <v>7227.073875</v>
      </c>
      <c r="AK636" s="10">
        <f t="shared" si="425"/>
        <v>7227.073875</v>
      </c>
      <c r="AL636" s="10">
        <f t="shared" si="425"/>
        <v>7227.073875</v>
      </c>
      <c r="AM636" s="10">
        <f t="shared" si="425"/>
        <v>7227.073875</v>
      </c>
      <c r="AN636" s="27">
        <f t="shared" si="421"/>
        <v>86724.886500000008</v>
      </c>
      <c r="AS636" t="str">
        <f>_xlfn.XLOOKUP(AU636,[2]GAE!HZ:HZ,[2]GAE!IA:IA)</f>
        <v>ADMIN SERVICES</v>
      </c>
      <c r="AT636" t="str">
        <f>_xlfn.XLOOKUP(AU636,[2]GAE!HZ:HZ,[2]GAE!IB:IB)</f>
        <v>DOE - Janitorial - Common</v>
      </c>
      <c r="AU636" t="s">
        <v>564</v>
      </c>
      <c r="AV636">
        <v>81123102</v>
      </c>
      <c r="AW636">
        <v>52041405</v>
      </c>
      <c r="AX636" t="str">
        <f>_xlfn.XLOOKUP(AU636,[2]GAE!HZ:HZ,[2]GAE!IF:IF)</f>
        <v>Contracted services</v>
      </c>
      <c r="AY636" t="str">
        <f>_xlfn.XLOOKUP(AU636,[2]GAE!HZ:HZ,[2]GAE!IG:IG)</f>
        <v>Janitorial</v>
      </c>
      <c r="BD636" s="35" t="s">
        <v>40</v>
      </c>
      <c r="BE636" s="35"/>
      <c r="BF636" t="s">
        <v>40</v>
      </c>
      <c r="BG636" t="s">
        <v>40</v>
      </c>
      <c r="BH636" s="10">
        <f>SUMIFS('[1]2026'!$K:$K,'[1]2026'!$T:$T,BD636,'[1]2026'!$S:$S,BH$3,'[1]2026'!$P:$P,AU636)</f>
        <v>0</v>
      </c>
      <c r="BI636" s="10">
        <f>SUMIFS('[1]2026'!$K:$K,'[1]2026'!$T:$T,$BD636,'[1]2026'!$S:$S,BI$3,'[1]2026'!$P:$P,$AU636)</f>
        <v>0</v>
      </c>
      <c r="BJ636" s="6"/>
      <c r="BK636" s="10">
        <f>SUMIFS('[1]2026'!$K:$K,'[1]2026'!$T:$T,$BD636,'[1]2026'!$S:$S,BK$3,'[1]2026'!$P:$P,$AU636)</f>
        <v>0</v>
      </c>
      <c r="BL636" s="6"/>
      <c r="BM636" s="10">
        <f>SUMIFS('[1]2026'!$K:$K,'[1]2026'!$T:$T,$BD636,'[1]2026'!$S:$S,BM$3,'[1]2026'!$P:$P,$AU636)</f>
        <v>0</v>
      </c>
      <c r="BN636" s="10">
        <f>SUMIFS('[1]2026'!$K:$K,'[1]2026'!$T:$T,$BD636,'[1]2026'!$S:$S,BN$3,'[1]2026'!$P:$P,$AU636)</f>
        <v>0</v>
      </c>
      <c r="BO636" s="10">
        <f>SUMIFS('[1]2026'!$K:$K,'[1]2026'!$T:$T,$BD636,'[1]2026'!$S:$S,BO$3,'[1]2026'!$P:$P,$AU636)</f>
        <v>0</v>
      </c>
      <c r="BP636" s="6"/>
      <c r="BQ636" s="6"/>
      <c r="BR636" s="6"/>
      <c r="BS636" s="6"/>
      <c r="BT636" s="6">
        <f t="shared" si="404"/>
        <v>0</v>
      </c>
      <c r="BV636" s="6">
        <f t="shared" si="426"/>
        <v>-7227.073875</v>
      </c>
      <c r="BW636" s="6">
        <f t="shared" si="427"/>
        <v>-7227.073875</v>
      </c>
      <c r="BX636" s="6">
        <f t="shared" si="428"/>
        <v>-7227.073875</v>
      </c>
      <c r="BY636" s="6">
        <f t="shared" si="429"/>
        <v>-7227.073875</v>
      </c>
      <c r="BZ636" s="6">
        <f t="shared" si="430"/>
        <v>-7227.073875</v>
      </c>
      <c r="CA636" s="6">
        <f t="shared" si="431"/>
        <v>-7227.073875</v>
      </c>
      <c r="CB636" s="6">
        <f t="shared" si="432"/>
        <v>-7227.073875</v>
      </c>
      <c r="CC636" s="6">
        <f t="shared" si="433"/>
        <v>-7227.073875</v>
      </c>
      <c r="CD636" s="6">
        <f t="shared" si="434"/>
        <v>-7227.073875</v>
      </c>
      <c r="CE636" s="6">
        <f t="shared" si="435"/>
        <v>-7227.073875</v>
      </c>
      <c r="CF636" s="6">
        <f t="shared" si="436"/>
        <v>-7227.073875</v>
      </c>
      <c r="CG636" s="6">
        <f t="shared" si="437"/>
        <v>-7227.073875</v>
      </c>
      <c r="CH636" s="6">
        <f t="shared" si="422"/>
        <v>-86724.886500000008</v>
      </c>
    </row>
    <row r="637" spans="1:86" hidden="1" x14ac:dyDescent="0.35">
      <c r="A637" s="3" t="s">
        <v>1072</v>
      </c>
      <c r="B637" s="10">
        <v>250</v>
      </c>
      <c r="C637" s="10">
        <v>250</v>
      </c>
      <c r="D637" s="10">
        <v>250</v>
      </c>
      <c r="E637" s="10">
        <v>250</v>
      </c>
      <c r="F637" s="10">
        <v>250</v>
      </c>
      <c r="G637" s="10">
        <v>250</v>
      </c>
      <c r="H637" s="10">
        <v>250</v>
      </c>
      <c r="I637" s="10">
        <v>250</v>
      </c>
      <c r="J637" s="10">
        <v>250</v>
      </c>
      <c r="K637" s="10">
        <v>250</v>
      </c>
      <c r="L637" s="10">
        <v>250</v>
      </c>
      <c r="M637" s="10">
        <v>250</v>
      </c>
      <c r="N637" s="27">
        <f t="shared" si="423"/>
        <v>3000</v>
      </c>
      <c r="AA637" s="27">
        <f t="shared" si="424"/>
        <v>0</v>
      </c>
      <c r="AB637" s="10">
        <f t="shared" si="425"/>
        <v>250</v>
      </c>
      <c r="AC637" s="10">
        <f t="shared" si="425"/>
        <v>250</v>
      </c>
      <c r="AD637" s="10">
        <f t="shared" si="425"/>
        <v>250</v>
      </c>
      <c r="AE637" s="10">
        <f t="shared" si="425"/>
        <v>250</v>
      </c>
      <c r="AF637" s="10">
        <f t="shared" si="425"/>
        <v>250</v>
      </c>
      <c r="AG637" s="10">
        <f t="shared" si="425"/>
        <v>250</v>
      </c>
      <c r="AH637" s="10">
        <f t="shared" si="425"/>
        <v>250</v>
      </c>
      <c r="AI637" s="10">
        <f t="shared" si="425"/>
        <v>250</v>
      </c>
      <c r="AJ637" s="10">
        <f t="shared" si="425"/>
        <v>250</v>
      </c>
      <c r="AK637" s="10">
        <f t="shared" si="425"/>
        <v>250</v>
      </c>
      <c r="AL637" s="10">
        <f t="shared" si="425"/>
        <v>250</v>
      </c>
      <c r="AM637" s="10">
        <f t="shared" si="425"/>
        <v>250</v>
      </c>
      <c r="AN637" s="27">
        <f t="shared" si="421"/>
        <v>3000</v>
      </c>
      <c r="AS637" t="str">
        <f>_xlfn.XLOOKUP(AU637,[2]GAE!HZ:HZ,[2]GAE!IA:IA)</f>
        <v>TAX ACCOUNTING</v>
      </c>
      <c r="AT637" t="str">
        <f>_xlfn.XLOOKUP(AU637,[2]GAE!HZ:HZ,[2]GAE!IB:IB)</f>
        <v>GAE - Miscellaneous Processing Fee</v>
      </c>
      <c r="AU637" t="s">
        <v>1073</v>
      </c>
      <c r="AV637">
        <v>80133102</v>
      </c>
      <c r="AW637">
        <v>61959201</v>
      </c>
      <c r="AX637" t="str">
        <f>_xlfn.XLOOKUP(AU637,[2]GAE!HZ:HZ,[2]GAE!IF:IF)</f>
        <v>Others</v>
      </c>
      <c r="AY637" t="str">
        <f>_xlfn.XLOOKUP(AU637,[2]GAE!HZ:HZ,[2]GAE!IG:IG)</f>
        <v>Donations, Contributions and Miscellaneous Expenses</v>
      </c>
      <c r="BF637" t="s">
        <v>38</v>
      </c>
      <c r="BG637" t="s">
        <v>1254</v>
      </c>
      <c r="BH637" s="10">
        <f>SUMIFS('[1]2026'!$K:$K,'[1]2026'!$T:$T,BD637,'[1]2026'!$S:$S,BH$3,'[1]2026'!$P:$P,AU637)</f>
        <v>0</v>
      </c>
      <c r="BI637" s="10">
        <f>SUMIFS('[1]2026'!$K:$K,'[1]2026'!$T:$T,$BD637,'[1]2026'!$S:$S,BI$3,'[1]2026'!$P:$P,$AU637)</f>
        <v>0</v>
      </c>
      <c r="BJ637" s="10">
        <f>SUMIFS('[1]2026'!$K:$K,'[1]2026'!$T:$T,$BD637,'[1]2026'!$S:$S,BJ$3,'[1]2026'!$P:$P,$AU637)</f>
        <v>0</v>
      </c>
      <c r="BK637" s="10">
        <f>SUMIFS('[1]2026'!$K:$K,'[1]2026'!$T:$T,$BD637,'[1]2026'!$S:$S,BK$3,'[1]2026'!$P:$P,$AU637)</f>
        <v>0</v>
      </c>
      <c r="BL637" s="10">
        <f>SUMIFS('[1]2026'!$K:$K,'[1]2026'!$T:$T,$BD637,'[1]2026'!$S:$S,BL$3,'[1]2026'!$P:$P,$AU637)</f>
        <v>0</v>
      </c>
      <c r="BM637" s="10">
        <f>SUMIFS('[1]2026'!$K:$K,'[1]2026'!$T:$T,$BD637,'[1]2026'!$S:$S,BM$3,'[1]2026'!$P:$P,$AU637)</f>
        <v>0</v>
      </c>
      <c r="BN637" s="10">
        <f>SUMIFS('[1]2026'!$K:$K,'[1]2026'!$T:$T,$BD637,'[1]2026'!$S:$S,BN$3,'[1]2026'!$P:$P,$AU637)</f>
        <v>0</v>
      </c>
      <c r="BO637" s="10">
        <f>SUMIFS('[1]2026'!$K:$K,'[1]2026'!$T:$T,$BD637,'[1]2026'!$S:$S,BO$3,'[1]2026'!$P:$P,$AU637)</f>
        <v>0</v>
      </c>
      <c r="BP637" s="6">
        <f t="shared" ref="BP637:BP639" si="438">($AN637-($BH637+$BI637+$BJ637+$BK637+$BL637+$BM637+$BN637+$BO637))/4</f>
        <v>750</v>
      </c>
      <c r="BQ637" s="6">
        <f t="shared" ref="BQ637:BS639" si="439">BP637</f>
        <v>750</v>
      </c>
      <c r="BR637" s="6">
        <f t="shared" si="439"/>
        <v>750</v>
      </c>
      <c r="BS637" s="6">
        <f t="shared" si="439"/>
        <v>750</v>
      </c>
      <c r="BT637" s="6">
        <f t="shared" si="404"/>
        <v>3000</v>
      </c>
      <c r="BV637" s="6">
        <f t="shared" si="426"/>
        <v>-250</v>
      </c>
      <c r="BW637" s="6">
        <f t="shared" si="427"/>
        <v>-250</v>
      </c>
      <c r="BX637" s="6">
        <f t="shared" si="428"/>
        <v>-250</v>
      </c>
      <c r="BY637" s="6">
        <f t="shared" si="429"/>
        <v>-250</v>
      </c>
      <c r="BZ637" s="6">
        <f t="shared" si="430"/>
        <v>-250</v>
      </c>
      <c r="CA637" s="6">
        <f t="shared" si="431"/>
        <v>-250</v>
      </c>
      <c r="CB637" s="6">
        <f t="shared" si="432"/>
        <v>-250</v>
      </c>
      <c r="CC637" s="6">
        <f t="shared" si="433"/>
        <v>-250</v>
      </c>
      <c r="CD637" s="6">
        <f t="shared" si="434"/>
        <v>500</v>
      </c>
      <c r="CE637" s="6">
        <f t="shared" si="435"/>
        <v>500</v>
      </c>
      <c r="CF637" s="6">
        <f t="shared" si="436"/>
        <v>500</v>
      </c>
      <c r="CG637" s="6">
        <f t="shared" si="437"/>
        <v>500</v>
      </c>
      <c r="CH637" s="6">
        <f t="shared" si="422"/>
        <v>0</v>
      </c>
    </row>
    <row r="638" spans="1:86" hidden="1" x14ac:dyDescent="0.35">
      <c r="A638" s="3" t="s">
        <v>1072</v>
      </c>
      <c r="B638" s="10">
        <v>250</v>
      </c>
      <c r="C638" s="10">
        <v>250</v>
      </c>
      <c r="D638" s="10">
        <v>250</v>
      </c>
      <c r="E638" s="10">
        <v>250</v>
      </c>
      <c r="F638" s="10">
        <v>250</v>
      </c>
      <c r="G638" s="10">
        <v>250</v>
      </c>
      <c r="H638" s="10">
        <v>250</v>
      </c>
      <c r="I638" s="10">
        <v>250</v>
      </c>
      <c r="J638" s="10">
        <v>250</v>
      </c>
      <c r="K638" s="10">
        <v>250</v>
      </c>
      <c r="L638" s="10">
        <v>250</v>
      </c>
      <c r="M638" s="10">
        <v>250</v>
      </c>
      <c r="N638" s="27">
        <f t="shared" si="423"/>
        <v>3000</v>
      </c>
      <c r="AA638" s="27">
        <f t="shared" si="424"/>
        <v>0</v>
      </c>
      <c r="AB638" s="10">
        <f t="shared" si="425"/>
        <v>250</v>
      </c>
      <c r="AC638" s="10">
        <f t="shared" si="425"/>
        <v>250</v>
      </c>
      <c r="AD638" s="10">
        <f t="shared" si="425"/>
        <v>250</v>
      </c>
      <c r="AE638" s="10">
        <f t="shared" si="425"/>
        <v>250</v>
      </c>
      <c r="AF638" s="10">
        <f t="shared" si="425"/>
        <v>250</v>
      </c>
      <c r="AG638" s="10">
        <f t="shared" si="425"/>
        <v>250</v>
      </c>
      <c r="AH638" s="10">
        <f t="shared" si="425"/>
        <v>250</v>
      </c>
      <c r="AI638" s="10">
        <f t="shared" si="425"/>
        <v>250</v>
      </c>
      <c r="AJ638" s="10">
        <f t="shared" si="425"/>
        <v>250</v>
      </c>
      <c r="AK638" s="10">
        <f t="shared" si="425"/>
        <v>250</v>
      </c>
      <c r="AL638" s="10">
        <f t="shared" si="425"/>
        <v>250</v>
      </c>
      <c r="AM638" s="10">
        <f t="shared" si="425"/>
        <v>250</v>
      </c>
      <c r="AN638" s="27">
        <f t="shared" si="421"/>
        <v>3000</v>
      </c>
      <c r="AS638" t="str">
        <f>_xlfn.XLOOKUP(AU638,[2]GAE!HZ:HZ,[2]GAE!IA:IA)</f>
        <v>TAX ACCOUNTING</v>
      </c>
      <c r="AT638" t="str">
        <f>_xlfn.XLOOKUP(AU638,[2]GAE!HZ:HZ,[2]GAE!IB:IB)</f>
        <v>GAE - Miscellaneous Processing Fee</v>
      </c>
      <c r="AU638" t="s">
        <v>1074</v>
      </c>
      <c r="AV638">
        <v>81133102</v>
      </c>
      <c r="AW638">
        <v>61959201</v>
      </c>
      <c r="AX638" t="str">
        <f>_xlfn.XLOOKUP(AU638,[2]GAE!HZ:HZ,[2]GAE!IF:IF)</f>
        <v>Others</v>
      </c>
      <c r="AY638" t="str">
        <f>_xlfn.XLOOKUP(AU638,[2]GAE!HZ:HZ,[2]GAE!IG:IG)</f>
        <v>Donations, Contributions and Miscellaneous Expenses</v>
      </c>
      <c r="BC638" t="s">
        <v>6</v>
      </c>
      <c r="BD638" t="s">
        <v>6</v>
      </c>
      <c r="BF638" t="s">
        <v>38</v>
      </c>
      <c r="BG638" t="s">
        <v>1254</v>
      </c>
      <c r="BH638" s="10">
        <f>SUMIFS('[1]2026'!$K:$K,'[1]2026'!$T:$T,BD638,'[1]2026'!$S:$S,BH$3,'[1]2026'!$P:$P,AU638)</f>
        <v>0</v>
      </c>
      <c r="BI638" s="10">
        <f>SUMIFS('[1]2026'!$K:$K,'[1]2026'!$T:$T,$BD638,'[1]2026'!$S:$S,BI$3,'[1]2026'!$P:$P,$AU638)</f>
        <v>0</v>
      </c>
      <c r="BJ638" s="10">
        <f>SUMIFS('[1]2026'!$K:$K,'[1]2026'!$T:$T,$BD638,'[1]2026'!$S:$S,BJ$3,'[1]2026'!$P:$P,$AU638)</f>
        <v>0</v>
      </c>
      <c r="BK638" s="10">
        <f>SUMIFS('[1]2026'!$K:$K,'[1]2026'!$T:$T,$BD638,'[1]2026'!$S:$S,BK$3,'[1]2026'!$P:$P,$AU638)</f>
        <v>0</v>
      </c>
      <c r="BL638" s="10">
        <f>SUMIFS('[1]2026'!$K:$K,'[1]2026'!$T:$T,$BD638,'[1]2026'!$S:$S,BL$3,'[1]2026'!$P:$P,$AU638)</f>
        <v>300</v>
      </c>
      <c r="BM638" s="10">
        <f>SUMIFS('[1]2026'!$K:$K,'[1]2026'!$T:$T,$BD638,'[1]2026'!$S:$S,BM$3,'[1]2026'!$P:$P,$AU638)</f>
        <v>0</v>
      </c>
      <c r="BN638" s="10">
        <f>SUMIFS('[1]2026'!$K:$K,'[1]2026'!$T:$T,$BD638,'[1]2026'!$S:$S,BN$3,'[1]2026'!$P:$P,$AU638)</f>
        <v>0</v>
      </c>
      <c r="BO638" s="10">
        <f>SUMIFS('[1]2026'!$K:$K,'[1]2026'!$T:$T,$BD638,'[1]2026'!$S:$S,BO$3,'[1]2026'!$P:$P,$AU638)</f>
        <v>0</v>
      </c>
      <c r="BP638" s="6">
        <f t="shared" si="438"/>
        <v>675</v>
      </c>
      <c r="BQ638" s="6">
        <f t="shared" si="439"/>
        <v>675</v>
      </c>
      <c r="BR638" s="6">
        <f t="shared" si="439"/>
        <v>675</v>
      </c>
      <c r="BS638" s="6">
        <f t="shared" si="439"/>
        <v>675</v>
      </c>
      <c r="BT638" s="6">
        <f t="shared" si="404"/>
        <v>3000</v>
      </c>
      <c r="BV638" s="6">
        <f t="shared" si="426"/>
        <v>-250</v>
      </c>
      <c r="BW638" s="6">
        <f t="shared" si="427"/>
        <v>-250</v>
      </c>
      <c r="BX638" s="6">
        <f t="shared" si="428"/>
        <v>-250</v>
      </c>
      <c r="BY638" s="6">
        <f t="shared" si="429"/>
        <v>-250</v>
      </c>
      <c r="BZ638" s="6">
        <f t="shared" si="430"/>
        <v>50</v>
      </c>
      <c r="CA638" s="6">
        <f t="shared" si="431"/>
        <v>-250</v>
      </c>
      <c r="CB638" s="6">
        <f t="shared" si="432"/>
        <v>-250</v>
      </c>
      <c r="CC638" s="6">
        <f t="shared" si="433"/>
        <v>-250</v>
      </c>
      <c r="CD638" s="6">
        <f t="shared" si="434"/>
        <v>425</v>
      </c>
      <c r="CE638" s="6">
        <f t="shared" si="435"/>
        <v>425</v>
      </c>
      <c r="CF638" s="6">
        <f t="shared" si="436"/>
        <v>425</v>
      </c>
      <c r="CG638" s="6">
        <f t="shared" si="437"/>
        <v>425</v>
      </c>
      <c r="CH638" s="6">
        <f t="shared" si="422"/>
        <v>0</v>
      </c>
    </row>
    <row r="639" spans="1:86" hidden="1" x14ac:dyDescent="0.35">
      <c r="A639" s="3" t="s">
        <v>1072</v>
      </c>
      <c r="B639" s="10">
        <v>250</v>
      </c>
      <c r="C639" s="10">
        <v>250</v>
      </c>
      <c r="D639" s="10">
        <v>250</v>
      </c>
      <c r="E639" s="10">
        <v>250</v>
      </c>
      <c r="F639" s="10">
        <v>250</v>
      </c>
      <c r="G639" s="10">
        <v>250</v>
      </c>
      <c r="H639" s="10">
        <v>250</v>
      </c>
      <c r="I639" s="10">
        <v>250</v>
      </c>
      <c r="J639" s="10">
        <v>250</v>
      </c>
      <c r="K639" s="10">
        <v>250</v>
      </c>
      <c r="L639" s="10">
        <v>250</v>
      </c>
      <c r="M639" s="10">
        <v>250</v>
      </c>
      <c r="N639" s="27">
        <f t="shared" si="423"/>
        <v>3000</v>
      </c>
      <c r="AA639" s="27">
        <f t="shared" si="424"/>
        <v>0</v>
      </c>
      <c r="AB639" s="10">
        <f t="shared" si="425"/>
        <v>250</v>
      </c>
      <c r="AC639" s="10">
        <f t="shared" si="425"/>
        <v>250</v>
      </c>
      <c r="AD639" s="10">
        <f t="shared" si="425"/>
        <v>250</v>
      </c>
      <c r="AE639" s="10">
        <f t="shared" si="425"/>
        <v>250</v>
      </c>
      <c r="AF639" s="10">
        <f t="shared" si="425"/>
        <v>250</v>
      </c>
      <c r="AG639" s="10">
        <f t="shared" si="425"/>
        <v>250</v>
      </c>
      <c r="AH639" s="10">
        <f t="shared" si="425"/>
        <v>250</v>
      </c>
      <c r="AI639" s="10">
        <f t="shared" si="425"/>
        <v>250</v>
      </c>
      <c r="AJ639" s="10">
        <f t="shared" si="425"/>
        <v>250</v>
      </c>
      <c r="AK639" s="10">
        <f t="shared" si="425"/>
        <v>250</v>
      </c>
      <c r="AL639" s="10">
        <f t="shared" si="425"/>
        <v>250</v>
      </c>
      <c r="AM639" s="10">
        <f t="shared" si="425"/>
        <v>250</v>
      </c>
      <c r="AN639" s="27">
        <f t="shared" si="421"/>
        <v>3000</v>
      </c>
      <c r="AS639" t="str">
        <f>_xlfn.XLOOKUP(AU639,[2]GAE!HZ:HZ,[2]GAE!IA:IA)</f>
        <v>TAX ACCOUNTING</v>
      </c>
      <c r="AT639" t="str">
        <f>_xlfn.XLOOKUP(AU639,[2]GAE!HZ:HZ,[2]GAE!IB:IB)</f>
        <v>GAE - Miscellaneous Processing Fee</v>
      </c>
      <c r="AU639" t="s">
        <v>1075</v>
      </c>
      <c r="AV639">
        <v>90133102</v>
      </c>
      <c r="AW639">
        <v>61959201</v>
      </c>
      <c r="AX639" t="str">
        <f>_xlfn.XLOOKUP(AU639,[2]GAE!HZ:HZ,[2]GAE!IF:IF)</f>
        <v>Others</v>
      </c>
      <c r="AY639" t="str">
        <f>_xlfn.XLOOKUP(AU639,[2]GAE!HZ:HZ,[2]GAE!IG:IG)</f>
        <v>Donations, Contributions and Miscellaneous Expenses</v>
      </c>
      <c r="BC639" t="s">
        <v>178</v>
      </c>
      <c r="BD639" t="s">
        <v>178</v>
      </c>
      <c r="BF639" t="s">
        <v>38</v>
      </c>
      <c r="BG639" t="s">
        <v>1254</v>
      </c>
      <c r="BH639" s="10">
        <f>SUMIFS('[1]2026'!$K:$K,'[1]2026'!$T:$T,BD639,'[1]2026'!$S:$S,BH$3,'[1]2026'!$P:$P,AU639)</f>
        <v>0</v>
      </c>
      <c r="BI639" s="10">
        <f>SUMIFS('[1]2026'!$K:$K,'[1]2026'!$T:$T,$BD639,'[1]2026'!$S:$S,BI$3,'[1]2026'!$P:$P,$AU639)</f>
        <v>0</v>
      </c>
      <c r="BJ639" s="10">
        <f>SUMIFS('[1]2026'!$K:$K,'[1]2026'!$T:$T,$BD639,'[1]2026'!$S:$S,BJ$3,'[1]2026'!$P:$P,$AU639)</f>
        <v>300</v>
      </c>
      <c r="BK639" s="10">
        <f>SUMIFS('[1]2026'!$K:$K,'[1]2026'!$T:$T,$BD639,'[1]2026'!$S:$S,BK$3,'[1]2026'!$P:$P,$AU639)</f>
        <v>0</v>
      </c>
      <c r="BL639" s="10">
        <f>SUMIFS('[1]2026'!$K:$K,'[1]2026'!$T:$T,$BD639,'[1]2026'!$S:$S,BL$3,'[1]2026'!$P:$P,$AU639)</f>
        <v>0</v>
      </c>
      <c r="BM639" s="10">
        <f>SUMIFS('[1]2026'!$K:$K,'[1]2026'!$T:$T,$BD639,'[1]2026'!$S:$S,BM$3,'[1]2026'!$P:$P,$AU639)</f>
        <v>0</v>
      </c>
      <c r="BN639" s="10">
        <f>SUMIFS('[1]2026'!$K:$K,'[1]2026'!$T:$T,$BD639,'[1]2026'!$S:$S,BN$3,'[1]2026'!$P:$P,$AU639)</f>
        <v>0</v>
      </c>
      <c r="BO639" s="10">
        <f>SUMIFS('[1]2026'!$K:$K,'[1]2026'!$T:$T,$BD639,'[1]2026'!$S:$S,BO$3,'[1]2026'!$P:$P,$AU639)</f>
        <v>0</v>
      </c>
      <c r="BP639" s="6">
        <f t="shared" si="438"/>
        <v>675</v>
      </c>
      <c r="BQ639" s="6">
        <f t="shared" si="439"/>
        <v>675</v>
      </c>
      <c r="BR639" s="6">
        <f t="shared" si="439"/>
        <v>675</v>
      </c>
      <c r="BS639" s="6">
        <f t="shared" si="439"/>
        <v>675</v>
      </c>
      <c r="BT639" s="6">
        <f t="shared" si="404"/>
        <v>3000</v>
      </c>
      <c r="BV639" s="6">
        <f t="shared" si="426"/>
        <v>-250</v>
      </c>
      <c r="BW639" s="6">
        <f t="shared" si="427"/>
        <v>-250</v>
      </c>
      <c r="BX639" s="6">
        <f t="shared" si="428"/>
        <v>50</v>
      </c>
      <c r="BY639" s="6">
        <f t="shared" si="429"/>
        <v>-250</v>
      </c>
      <c r="BZ639" s="6">
        <f t="shared" si="430"/>
        <v>-250</v>
      </c>
      <c r="CA639" s="6">
        <f t="shared" si="431"/>
        <v>-250</v>
      </c>
      <c r="CB639" s="6">
        <f t="shared" si="432"/>
        <v>-250</v>
      </c>
      <c r="CC639" s="6">
        <f t="shared" si="433"/>
        <v>-250</v>
      </c>
      <c r="CD639" s="6">
        <f t="shared" si="434"/>
        <v>425</v>
      </c>
      <c r="CE639" s="6">
        <f t="shared" si="435"/>
        <v>425</v>
      </c>
      <c r="CF639" s="6">
        <f t="shared" si="436"/>
        <v>425</v>
      </c>
      <c r="CG639" s="6">
        <f t="shared" si="437"/>
        <v>425</v>
      </c>
      <c r="CH639" s="6">
        <f t="shared" si="422"/>
        <v>0</v>
      </c>
    </row>
    <row r="640" spans="1:86" hidden="1" x14ac:dyDescent="0.35">
      <c r="A640" s="3" t="s">
        <v>1076</v>
      </c>
      <c r="B640" s="10">
        <v>100</v>
      </c>
      <c r="C640" s="10">
        <v>100</v>
      </c>
      <c r="D640" s="10">
        <v>100</v>
      </c>
      <c r="E640" s="10">
        <v>100</v>
      </c>
      <c r="F640" s="10">
        <v>100</v>
      </c>
      <c r="G640" s="10">
        <v>100</v>
      </c>
      <c r="H640" s="10">
        <v>100</v>
      </c>
      <c r="I640" s="10">
        <v>100</v>
      </c>
      <c r="J640" s="10">
        <v>100</v>
      </c>
      <c r="K640" s="10">
        <v>100</v>
      </c>
      <c r="L640" s="10">
        <v>100</v>
      </c>
      <c r="M640" s="10">
        <v>100</v>
      </c>
      <c r="N640" s="27">
        <f t="shared" si="423"/>
        <v>1200</v>
      </c>
      <c r="AA640" s="27">
        <f t="shared" si="424"/>
        <v>0</v>
      </c>
      <c r="AB640" s="10">
        <f t="shared" si="425"/>
        <v>100</v>
      </c>
      <c r="AC640" s="10">
        <f t="shared" si="425"/>
        <v>100</v>
      </c>
      <c r="AD640" s="10">
        <f t="shared" si="425"/>
        <v>100</v>
      </c>
      <c r="AE640" s="10">
        <f t="shared" si="425"/>
        <v>100</v>
      </c>
      <c r="AF640" s="10">
        <f t="shared" si="425"/>
        <v>100</v>
      </c>
      <c r="AG640" s="10">
        <f t="shared" si="425"/>
        <v>100</v>
      </c>
      <c r="AH640" s="10">
        <f t="shared" si="425"/>
        <v>100</v>
      </c>
      <c r="AI640" s="10">
        <f t="shared" si="425"/>
        <v>100</v>
      </c>
      <c r="AJ640" s="10">
        <f t="shared" si="425"/>
        <v>100</v>
      </c>
      <c r="AK640" s="10">
        <f t="shared" si="425"/>
        <v>100</v>
      </c>
      <c r="AL640" s="10">
        <f t="shared" si="425"/>
        <v>100</v>
      </c>
      <c r="AM640" s="10">
        <f t="shared" si="425"/>
        <v>100</v>
      </c>
      <c r="AN640" s="27">
        <f t="shared" si="421"/>
        <v>1200</v>
      </c>
      <c r="AO640" s="28">
        <v>0</v>
      </c>
      <c r="AS640" t="str">
        <f>_xlfn.XLOOKUP(AU640,[2]GAE!HZ:HZ,[2]GAE!IA:IA)</f>
        <v>TAX ACCOUNTING</v>
      </c>
      <c r="AT640" t="str">
        <f>_xlfn.XLOOKUP(AU640,[2]GAE!HZ:HZ,[2]GAE!IB:IB)</f>
        <v>DOE - Dues &amp; Fees</v>
      </c>
      <c r="AU640" t="s">
        <v>1077</v>
      </c>
      <c r="AV640">
        <v>90133102</v>
      </c>
      <c r="AW640">
        <v>52952101</v>
      </c>
      <c r="AX640" t="str">
        <f>_xlfn.XLOOKUP(AU640,[2]GAE!HZ:HZ,[2]GAE!IF:IF)</f>
        <v>Others</v>
      </c>
      <c r="AY640" t="str">
        <f>_xlfn.XLOOKUP(AU640,[2]GAE!HZ:HZ,[2]GAE!IG:IG)</f>
        <v>Dues and Fees</v>
      </c>
      <c r="BF640" t="s">
        <v>38</v>
      </c>
      <c r="BG640" t="s">
        <v>1255</v>
      </c>
      <c r="BH640" s="10">
        <f>SUMIFS('[1]2026'!$K:$K,'[1]2026'!$T:$T,BD640,'[1]2026'!$S:$S,BH$3,'[1]2026'!$P:$P,AU640)</f>
        <v>0</v>
      </c>
      <c r="BI640" s="10">
        <f>SUMIFS('[1]2026'!$K:$K,'[1]2026'!$T:$T,$BD640,'[1]2026'!$S:$S,BI$3,'[1]2026'!$P:$P,$AU640)</f>
        <v>0</v>
      </c>
      <c r="BJ640" s="10">
        <f>SUMIFS('[1]2026'!$K:$K,'[1]2026'!$T:$T,$BD640,'[1]2026'!$S:$S,BJ$3,'[1]2026'!$P:$P,$AU640)</f>
        <v>0</v>
      </c>
      <c r="BK640" s="10">
        <f>SUMIFS('[1]2026'!$K:$K,'[1]2026'!$T:$T,$BD640,'[1]2026'!$S:$S,BK$3,'[1]2026'!$P:$P,$AU640)</f>
        <v>0</v>
      </c>
      <c r="BL640" s="10">
        <f>SUMIFS('[1]2026'!$K:$K,'[1]2026'!$T:$T,$BD640,'[1]2026'!$S:$S,BL$3,'[1]2026'!$P:$P,$AU640)</f>
        <v>0</v>
      </c>
      <c r="BM640" s="10">
        <f>SUMIFS('[1]2026'!$K:$K,'[1]2026'!$T:$T,$BD640,'[1]2026'!$S:$S,BM$3,'[1]2026'!$P:$P,$AU640)</f>
        <v>0</v>
      </c>
      <c r="BN640" s="10">
        <f>SUMIFS('[1]2026'!$K:$K,'[1]2026'!$T:$T,$BD640,'[1]2026'!$S:$S,BN$3,'[1]2026'!$P:$P,$AU640)</f>
        <v>0</v>
      </c>
      <c r="BO640" s="10">
        <f>SUMIFS('[1]2026'!$K:$K,'[1]2026'!$T:$T,$BD640,'[1]2026'!$S:$S,BO$3,'[1]2026'!$P:$P,$AU640)</f>
        <v>0</v>
      </c>
      <c r="BP640" s="6"/>
      <c r="BQ640" s="6"/>
      <c r="BR640" s="6"/>
      <c r="BS640" s="6"/>
      <c r="BT640" s="6">
        <f t="shared" si="404"/>
        <v>0</v>
      </c>
      <c r="BV640" s="6">
        <f t="shared" si="426"/>
        <v>-100</v>
      </c>
      <c r="BW640" s="6">
        <f t="shared" si="427"/>
        <v>-100</v>
      </c>
      <c r="BX640" s="6">
        <f t="shared" si="428"/>
        <v>-100</v>
      </c>
      <c r="BY640" s="6">
        <f t="shared" si="429"/>
        <v>-100</v>
      </c>
      <c r="BZ640" s="6">
        <f t="shared" si="430"/>
        <v>-100</v>
      </c>
      <c r="CA640" s="6">
        <f t="shared" si="431"/>
        <v>-100</v>
      </c>
      <c r="CB640" s="6">
        <f t="shared" si="432"/>
        <v>-100</v>
      </c>
      <c r="CC640" s="6">
        <f t="shared" si="433"/>
        <v>-100</v>
      </c>
      <c r="CD640" s="6">
        <f t="shared" si="434"/>
        <v>-100</v>
      </c>
      <c r="CE640" s="6">
        <f t="shared" si="435"/>
        <v>-100</v>
      </c>
      <c r="CF640" s="6">
        <f t="shared" si="436"/>
        <v>-100</v>
      </c>
      <c r="CG640" s="6">
        <f t="shared" si="437"/>
        <v>-100</v>
      </c>
      <c r="CH640" s="6">
        <f t="shared" si="422"/>
        <v>-1200</v>
      </c>
    </row>
    <row r="641" spans="1:87" hidden="1" x14ac:dyDescent="0.35">
      <c r="A641" s="3" t="s">
        <v>1078</v>
      </c>
      <c r="B641" s="10">
        <v>18691.666666666668</v>
      </c>
      <c r="C641" s="10">
        <v>18691.666666666668</v>
      </c>
      <c r="D641" s="10">
        <v>18691.666666666668</v>
      </c>
      <c r="E641" s="10">
        <v>18691.666666666668</v>
      </c>
      <c r="F641" s="10">
        <v>18691.666666666668</v>
      </c>
      <c r="G641" s="10">
        <v>18691.666666666668</v>
      </c>
      <c r="H641" s="10">
        <v>18691.666666666668</v>
      </c>
      <c r="I641" s="10">
        <v>18691.666666666668</v>
      </c>
      <c r="J641" s="10">
        <v>18691.666666666668</v>
      </c>
      <c r="K641" s="10">
        <v>18691.666666666668</v>
      </c>
      <c r="L641" s="10">
        <v>18691.666666666668</v>
      </c>
      <c r="M641" s="10">
        <v>18691.666666666668</v>
      </c>
      <c r="N641" s="27">
        <f t="shared" si="423"/>
        <v>224299.99999999997</v>
      </c>
      <c r="O641" s="10">
        <v>9716.1817961291199</v>
      </c>
      <c r="P641" s="10">
        <v>9716.1817961291199</v>
      </c>
      <c r="Q641" s="10">
        <v>9716.1817961291199</v>
      </c>
      <c r="R641" s="10">
        <v>9716.1817961291199</v>
      </c>
      <c r="S641" s="10">
        <v>9716.1817961291199</v>
      </c>
      <c r="T641" s="10">
        <v>9716.1817961291199</v>
      </c>
      <c r="U641" s="10">
        <v>9716.1817961291199</v>
      </c>
      <c r="V641" s="10">
        <v>9716.1817961291199</v>
      </c>
      <c r="W641" s="10">
        <v>9716.1817961291199</v>
      </c>
      <c r="X641" s="10">
        <v>9716.1817961291199</v>
      </c>
      <c r="Y641" s="10">
        <v>9716.1817961291199</v>
      </c>
      <c r="Z641" s="10">
        <v>9716.1817961291199</v>
      </c>
      <c r="AA641" s="27">
        <f t="shared" si="424"/>
        <v>116594.18155354947</v>
      </c>
      <c r="AB641" s="10">
        <f t="shared" si="425"/>
        <v>8975.484870537548</v>
      </c>
      <c r="AC641" s="10">
        <f t="shared" si="425"/>
        <v>8975.484870537548</v>
      </c>
      <c r="AD641" s="10">
        <f t="shared" si="425"/>
        <v>8975.484870537548</v>
      </c>
      <c r="AE641" s="10">
        <f t="shared" si="425"/>
        <v>8975.484870537548</v>
      </c>
      <c r="AF641" s="10">
        <f t="shared" si="425"/>
        <v>8975.484870537548</v>
      </c>
      <c r="AG641" s="10">
        <f t="shared" si="425"/>
        <v>8975.484870537548</v>
      </c>
      <c r="AH641" s="10">
        <f t="shared" si="425"/>
        <v>8975.484870537548</v>
      </c>
      <c r="AI641" s="10">
        <f t="shared" si="425"/>
        <v>8975.484870537548</v>
      </c>
      <c r="AJ641" s="10">
        <f t="shared" si="425"/>
        <v>8975.484870537548</v>
      </c>
      <c r="AK641" s="10">
        <f t="shared" si="425"/>
        <v>8975.484870537548</v>
      </c>
      <c r="AL641" s="10">
        <f t="shared" si="425"/>
        <v>8975.484870537548</v>
      </c>
      <c r="AM641" s="10">
        <f t="shared" si="425"/>
        <v>8975.484870537548</v>
      </c>
      <c r="AN641" s="27">
        <f t="shared" si="421"/>
        <v>107705.8184464505</v>
      </c>
      <c r="AS641" t="str">
        <f>_xlfn.XLOOKUP(AU641,[2]GAE!HZ:HZ,[2]GAE!IA:IA)</f>
        <v>OMD OPERATIONS</v>
      </c>
      <c r="AT641" t="str">
        <f>_xlfn.XLOOKUP(AU641,[2]GAE!HZ:HZ,[2]GAE!IB:IB)</f>
        <v>DOE - Supplies</v>
      </c>
      <c r="AU641" t="s">
        <v>293</v>
      </c>
      <c r="AV641">
        <v>81319101</v>
      </c>
      <c r="AW641">
        <v>52111101</v>
      </c>
      <c r="AX641" t="str">
        <f>_xlfn.XLOOKUP(AU641,[2]GAE!HZ:HZ,[2]GAE!IF:IF)</f>
        <v>Others</v>
      </c>
      <c r="AY641" t="str">
        <f>_xlfn.XLOOKUP(AU641,[2]GAE!HZ:HZ,[2]GAE!IG:IG)</f>
        <v>Supplies</v>
      </c>
      <c r="BC641" t="s">
        <v>6</v>
      </c>
      <c r="BD641" t="s">
        <v>554</v>
      </c>
      <c r="BF641" t="s">
        <v>179</v>
      </c>
      <c r="BG641" s="2" t="s">
        <v>6</v>
      </c>
      <c r="BH641" s="10">
        <f>SUMIFS('[1]2026'!$K:$K,'[1]2026'!$T:$T,BD641,'[1]2026'!$S:$S,BH$3,'[1]2026'!$P:$P,AU641)</f>
        <v>17410.71</v>
      </c>
      <c r="BI641" s="10">
        <f>SUMIFS('[1]2026'!$K:$K,'[1]2026'!$T:$T,$BD641,'[1]2026'!$S:$S,BI$3,'[1]2026'!$P:$P,$AU641)</f>
        <v>8660.43</v>
      </c>
      <c r="BJ641" s="10">
        <f>SUMIFS('[1]2026'!$K:$K,'[1]2026'!$T:$T,$BD641,'[1]2026'!$S:$S,BJ$3,'[1]2026'!$P:$P,$AU641)</f>
        <v>0</v>
      </c>
      <c r="BK641" s="10">
        <f>SUMIFS('[1]2026'!$K:$K,'[1]2026'!$T:$T,$BD641,'[1]2026'!$S:$S,BK$3,'[1]2026'!$P:$P,$AU641)</f>
        <v>0</v>
      </c>
      <c r="BL641" s="10">
        <f>SUMIFS('[1]2026'!$K:$K,'[1]2026'!$T:$T,$BD641,'[1]2026'!$S:$S,BL$3,'[1]2026'!$P:$P,$AU641)</f>
        <v>0</v>
      </c>
      <c r="BM641" s="10">
        <f>SUMIFS('[1]2026'!$K:$K,'[1]2026'!$T:$T,$BD641,'[1]2026'!$S:$S,BM$3,'[1]2026'!$P:$P,$AU641)</f>
        <v>0</v>
      </c>
      <c r="BN641" s="10">
        <f>SUMIFS('[1]2026'!$K:$K,'[1]2026'!$T:$T,$BD641,'[1]2026'!$S:$S,BN$3,'[1]2026'!$P:$P,$AU641)</f>
        <v>0</v>
      </c>
      <c r="BO641" s="10">
        <f>SUMIFS('[1]2026'!$K:$K,'[1]2026'!$T:$T,$BD641,'[1]2026'!$S:$S,BO$3,'[1]2026'!$P:$P,$AU641)</f>
        <v>0</v>
      </c>
      <c r="BP641" s="6"/>
      <c r="BQ641" s="6"/>
      <c r="BR641" s="6"/>
      <c r="BS641" s="6"/>
      <c r="BT641" s="6">
        <f t="shared" si="404"/>
        <v>26071.14</v>
      </c>
      <c r="BV641" s="6">
        <f t="shared" si="426"/>
        <v>8435.2251294624512</v>
      </c>
      <c r="BW641" s="6">
        <f t="shared" si="427"/>
        <v>-315.05487053754769</v>
      </c>
      <c r="BX641" s="6">
        <f t="shared" si="428"/>
        <v>-8975.484870537548</v>
      </c>
      <c r="BY641" s="6">
        <f t="shared" si="429"/>
        <v>-8975.484870537548</v>
      </c>
      <c r="BZ641" s="6">
        <f t="shared" si="430"/>
        <v>-8975.484870537548</v>
      </c>
      <c r="CA641" s="6">
        <f t="shared" si="431"/>
        <v>-8975.484870537548</v>
      </c>
      <c r="CB641" s="6">
        <f t="shared" si="432"/>
        <v>-8975.484870537548</v>
      </c>
      <c r="CC641" s="6">
        <f t="shared" si="433"/>
        <v>-8975.484870537548</v>
      </c>
      <c r="CD641" s="6">
        <f t="shared" si="434"/>
        <v>-8975.484870537548</v>
      </c>
      <c r="CE641" s="6">
        <f t="shared" si="435"/>
        <v>-8975.484870537548</v>
      </c>
      <c r="CF641" s="6">
        <f t="shared" si="436"/>
        <v>-8975.484870537548</v>
      </c>
      <c r="CG641" s="6">
        <f t="shared" si="437"/>
        <v>-8975.484870537548</v>
      </c>
      <c r="CH641" s="6">
        <f t="shared" si="422"/>
        <v>-81634.678446450504</v>
      </c>
    </row>
    <row r="642" spans="1:87" hidden="1" x14ac:dyDescent="0.35">
      <c r="AN642" s="27">
        <f>N642-AA642</f>
        <v>0</v>
      </c>
      <c r="AS642" t="str">
        <f>_xlfn.XLOOKUP(AU642,[2]GAE!HZ:HZ,[2]GAE!IA:IA)</f>
        <v>ADMIN SERVICES</v>
      </c>
      <c r="AT642" t="str">
        <f>_xlfn.XLOOKUP(AU642,[2]GAE!HZ:HZ,[2]GAE!IB:IB)</f>
        <v>DOE - Janitorial - Common</v>
      </c>
      <c r="AU642" t="s">
        <v>564</v>
      </c>
      <c r="AV642">
        <v>81123102</v>
      </c>
      <c r="AW642">
        <v>52041405</v>
      </c>
      <c r="AX642" t="str">
        <f>_xlfn.XLOOKUP(AU642,[2]GAE!HZ:HZ,[2]GAE!IF:IF)</f>
        <v>Contracted services</v>
      </c>
      <c r="AY642" t="str">
        <f>_xlfn.XLOOKUP(AU642,[2]GAE!HZ:HZ,[2]GAE!IG:IG)</f>
        <v>Janitorial</v>
      </c>
      <c r="BC642" t="s">
        <v>40</v>
      </c>
      <c r="BD642" t="s">
        <v>1079</v>
      </c>
      <c r="BF642" t="s">
        <v>40</v>
      </c>
      <c r="BG642" t="s">
        <v>40</v>
      </c>
      <c r="BH642" s="10">
        <f>SUMIFS('[1]2026'!$K:$K,'[1]2026'!$T:$T,BD642,'[1]2026'!$S:$S,BH$3,'[1]2026'!$P:$P,AU642)</f>
        <v>0</v>
      </c>
      <c r="BI642" s="10">
        <f>SUMIFS('[1]2026'!$K:$K,'[1]2026'!$T:$T,$BD642,'[1]2026'!$S:$S,BI$3,'[1]2026'!$P:$P,$AU642)</f>
        <v>74615.570000000007</v>
      </c>
      <c r="BJ642" s="10">
        <f>SUMIFS('[1]2026'!$K:$K,'[1]2026'!$T:$T,$BD642,'[1]2026'!$S:$S,BJ$3,'[1]2026'!$P:$P,$AU642)</f>
        <v>-11816.85</v>
      </c>
      <c r="BK642" s="10">
        <f>SUMIFS('[1]2026'!$K:$K,'[1]2026'!$T:$T,$BD642,'[1]2026'!$S:$S,BK$3,'[1]2026'!$P:$P,$AU642)</f>
        <v>0</v>
      </c>
      <c r="BL642" s="6"/>
      <c r="BM642" s="10">
        <f>SUMIFS('[1]2026'!$K:$K,'[1]2026'!$T:$T,$BD642,'[1]2026'!$S:$S,BM$3,'[1]2026'!$P:$P,$AU642)</f>
        <v>0</v>
      </c>
      <c r="BN642" s="10">
        <f>SUMIFS('[1]2026'!$K:$K,'[1]2026'!$T:$T,$BD642,'[1]2026'!$S:$S,BN$3,'[1]2026'!$P:$P,$AU642)</f>
        <v>0</v>
      </c>
      <c r="BO642" s="10">
        <f>SUMIFS('[1]2026'!$K:$K,'[1]2026'!$T:$T,$BD642,'[1]2026'!$S:$S,BO$3,'[1]2026'!$P:$P,$AU642)</f>
        <v>0</v>
      </c>
      <c r="BP642" s="6"/>
      <c r="BQ642" s="6"/>
      <c r="BR642" s="6"/>
      <c r="BS642" s="6"/>
      <c r="BT642" s="6">
        <f t="shared" si="404"/>
        <v>62798.720000000008</v>
      </c>
      <c r="BV642" s="6">
        <f t="shared" si="426"/>
        <v>0</v>
      </c>
      <c r="BW642" s="6">
        <f t="shared" si="427"/>
        <v>74615.570000000007</v>
      </c>
      <c r="BX642" s="6">
        <f t="shared" si="428"/>
        <v>-11816.85</v>
      </c>
      <c r="BY642" s="6">
        <f t="shared" si="429"/>
        <v>0</v>
      </c>
      <c r="BZ642" s="6">
        <f t="shared" si="430"/>
        <v>0</v>
      </c>
      <c r="CA642" s="6">
        <f t="shared" si="431"/>
        <v>0</v>
      </c>
      <c r="CB642" s="6">
        <f t="shared" si="432"/>
        <v>0</v>
      </c>
      <c r="CC642" s="6">
        <f t="shared" si="433"/>
        <v>0</v>
      </c>
      <c r="CD642" s="6">
        <f t="shared" si="434"/>
        <v>0</v>
      </c>
      <c r="CE642" s="6">
        <f t="shared" si="435"/>
        <v>0</v>
      </c>
      <c r="CF642" s="6">
        <f t="shared" si="436"/>
        <v>0</v>
      </c>
      <c r="CG642" s="6">
        <f t="shared" si="437"/>
        <v>0</v>
      </c>
      <c r="CH642" s="6">
        <f t="shared" si="422"/>
        <v>62798.720000000008</v>
      </c>
    </row>
    <row r="643" spans="1:87" hidden="1" x14ac:dyDescent="0.35">
      <c r="A643" s="3" t="s">
        <v>1080</v>
      </c>
      <c r="B643" s="10">
        <v>7227.073875</v>
      </c>
      <c r="C643" s="10">
        <v>7227.073875</v>
      </c>
      <c r="D643" s="10">
        <v>7227.073875</v>
      </c>
      <c r="E643" s="10">
        <v>7227.073875</v>
      </c>
      <c r="F643" s="10">
        <v>7227.073875</v>
      </c>
      <c r="G643" s="10">
        <v>7227.073875</v>
      </c>
      <c r="H643" s="10">
        <v>7227.073875</v>
      </c>
      <c r="I643" s="10">
        <v>7227.073875</v>
      </c>
      <c r="J643" s="10">
        <v>7227.073875</v>
      </c>
      <c r="K643" s="10">
        <v>7227.073875</v>
      </c>
      <c r="L643" s="10">
        <v>7227.073875</v>
      </c>
      <c r="M643" s="10">
        <v>7227.073875</v>
      </c>
      <c r="N643" s="27">
        <f t="shared" si="423"/>
        <v>86724.886500000008</v>
      </c>
      <c r="AA643" s="27">
        <f t="shared" si="424"/>
        <v>0</v>
      </c>
      <c r="AB643" s="10">
        <f t="shared" si="425"/>
        <v>7227.073875</v>
      </c>
      <c r="AC643" s="10">
        <f t="shared" si="425"/>
        <v>7227.073875</v>
      </c>
      <c r="AD643" s="10">
        <f t="shared" si="425"/>
        <v>7227.073875</v>
      </c>
      <c r="AE643" s="10">
        <f t="shared" si="425"/>
        <v>7227.073875</v>
      </c>
      <c r="AF643" s="10">
        <f t="shared" si="425"/>
        <v>7227.073875</v>
      </c>
      <c r="AG643" s="10">
        <f t="shared" si="425"/>
        <v>7227.073875</v>
      </c>
      <c r="AH643" s="10">
        <f t="shared" si="425"/>
        <v>7227.073875</v>
      </c>
      <c r="AI643" s="10">
        <f t="shared" si="425"/>
        <v>7227.073875</v>
      </c>
      <c r="AJ643" s="10">
        <f t="shared" si="425"/>
        <v>7227.073875</v>
      </c>
      <c r="AK643" s="10">
        <f t="shared" si="425"/>
        <v>7227.073875</v>
      </c>
      <c r="AL643" s="10">
        <f t="shared" si="425"/>
        <v>7227.073875</v>
      </c>
      <c r="AM643" s="10">
        <f t="shared" si="425"/>
        <v>7227.073875</v>
      </c>
      <c r="AN643" s="27">
        <f t="shared" si="421"/>
        <v>86724.886500000008</v>
      </c>
      <c r="AS643" t="str">
        <f>_xlfn.XLOOKUP(AU643,[2]GAE!HZ:HZ,[2]GAE!IA:IA)</f>
        <v>ADMIN SERVICES</v>
      </c>
      <c r="AT643" t="str">
        <f>_xlfn.XLOOKUP(AU643,[2]GAE!HZ:HZ,[2]GAE!IB:IB)</f>
        <v>DOE - Janitorial - Common</v>
      </c>
      <c r="AU643" t="s">
        <v>564</v>
      </c>
      <c r="AV643">
        <v>81123102</v>
      </c>
      <c r="AW643">
        <v>52041405</v>
      </c>
      <c r="AX643" t="str">
        <f>_xlfn.XLOOKUP(AU643,[2]GAE!HZ:HZ,[2]GAE!IF:IF)</f>
        <v>Contracted services</v>
      </c>
      <c r="AY643" t="str">
        <f>_xlfn.XLOOKUP(AU643,[2]GAE!HZ:HZ,[2]GAE!IG:IG)</f>
        <v>Janitorial</v>
      </c>
      <c r="BD643" s="35" t="s">
        <v>40</v>
      </c>
      <c r="BE643" s="35"/>
      <c r="BF643" t="s">
        <v>40</v>
      </c>
      <c r="BG643" t="s">
        <v>40</v>
      </c>
      <c r="BH643" s="10">
        <f>SUMIFS('[1]2026'!$K:$K,'[1]2026'!$T:$T,BD643,'[1]2026'!$S:$S,BH$3,'[1]2026'!$P:$P,AU643)</f>
        <v>0</v>
      </c>
      <c r="BI643" s="10">
        <f>SUMIFS('[1]2026'!$K:$K,'[1]2026'!$T:$T,$BD643,'[1]2026'!$S:$S,BI$3,'[1]2026'!$P:$P,$AU643)</f>
        <v>0</v>
      </c>
      <c r="BJ643" s="6"/>
      <c r="BK643" s="10">
        <f>SUMIFS('[1]2026'!$K:$K,'[1]2026'!$T:$T,$BD643,'[1]2026'!$S:$S,BK$3,'[1]2026'!$P:$P,$AU643)</f>
        <v>0</v>
      </c>
      <c r="BL643" s="6"/>
      <c r="BM643" s="10">
        <f>SUMIFS('[1]2026'!$K:$K,'[1]2026'!$T:$T,$BD643,'[1]2026'!$S:$S,BM$3,'[1]2026'!$P:$P,$AU643)</f>
        <v>0</v>
      </c>
      <c r="BN643" s="10">
        <f>SUMIFS('[1]2026'!$K:$K,'[1]2026'!$T:$T,$BD643,'[1]2026'!$S:$S,BN$3,'[1]2026'!$P:$P,$AU643)</f>
        <v>0</v>
      </c>
      <c r="BO643" s="10">
        <f>SUMIFS('[1]2026'!$K:$K,'[1]2026'!$T:$T,$BD643,'[1]2026'!$S:$S,BO$3,'[1]2026'!$P:$P,$AU643)</f>
        <v>0</v>
      </c>
      <c r="BP643" s="6"/>
      <c r="BQ643" s="6"/>
      <c r="BR643" s="6"/>
      <c r="BS643" s="6"/>
      <c r="BT643" s="6">
        <f t="shared" si="404"/>
        <v>0</v>
      </c>
      <c r="BV643" s="6">
        <f t="shared" si="426"/>
        <v>-7227.073875</v>
      </c>
      <c r="BW643" s="6">
        <f t="shared" si="427"/>
        <v>-7227.073875</v>
      </c>
      <c r="BX643" s="6">
        <f t="shared" si="428"/>
        <v>-7227.073875</v>
      </c>
      <c r="BY643" s="6">
        <f t="shared" si="429"/>
        <v>-7227.073875</v>
      </c>
      <c r="BZ643" s="6">
        <f t="shared" si="430"/>
        <v>-7227.073875</v>
      </c>
      <c r="CA643" s="6">
        <f t="shared" si="431"/>
        <v>-7227.073875</v>
      </c>
      <c r="CB643" s="6">
        <f t="shared" si="432"/>
        <v>-7227.073875</v>
      </c>
      <c r="CC643" s="6">
        <f t="shared" si="433"/>
        <v>-7227.073875</v>
      </c>
      <c r="CD643" s="6">
        <f t="shared" si="434"/>
        <v>-7227.073875</v>
      </c>
      <c r="CE643" s="6">
        <f t="shared" si="435"/>
        <v>-7227.073875</v>
      </c>
      <c r="CF643" s="6">
        <f t="shared" si="436"/>
        <v>-7227.073875</v>
      </c>
      <c r="CG643" s="6">
        <f t="shared" si="437"/>
        <v>-7227.073875</v>
      </c>
      <c r="CH643" s="6">
        <f t="shared" si="422"/>
        <v>-86724.886500000008</v>
      </c>
    </row>
    <row r="644" spans="1:87" hidden="1" x14ac:dyDescent="0.35">
      <c r="A644" s="3" t="s">
        <v>1081</v>
      </c>
      <c r="B644" s="10">
        <v>57750</v>
      </c>
      <c r="C644" s="10">
        <v>57750</v>
      </c>
      <c r="D644" s="10">
        <v>57750</v>
      </c>
      <c r="E644" s="10">
        <v>57750</v>
      </c>
      <c r="F644" s="10">
        <v>57750</v>
      </c>
      <c r="G644" s="10">
        <v>57750</v>
      </c>
      <c r="H644" s="10">
        <v>57750</v>
      </c>
      <c r="I644" s="10">
        <v>57750</v>
      </c>
      <c r="J644" s="10">
        <v>57750</v>
      </c>
      <c r="K644" s="10">
        <v>57750</v>
      </c>
      <c r="L644" s="10">
        <v>57750</v>
      </c>
      <c r="M644" s="10">
        <v>57750</v>
      </c>
      <c r="N644" s="27">
        <f t="shared" si="423"/>
        <v>693000</v>
      </c>
      <c r="O644" s="10">
        <v>57750</v>
      </c>
      <c r="P644" s="10">
        <v>57750</v>
      </c>
      <c r="Q644" s="10">
        <v>57750</v>
      </c>
      <c r="R644" s="10">
        <v>57750</v>
      </c>
      <c r="S644" s="10">
        <v>57750</v>
      </c>
      <c r="T644" s="10">
        <v>57750</v>
      </c>
      <c r="U644" s="10">
        <v>57750</v>
      </c>
      <c r="V644" s="10">
        <v>57750</v>
      </c>
      <c r="W644" s="10">
        <v>57750</v>
      </c>
      <c r="X644" s="10">
        <v>57750</v>
      </c>
      <c r="Y644" s="10">
        <v>57750</v>
      </c>
      <c r="Z644" s="10">
        <v>57750</v>
      </c>
      <c r="AA644" s="27">
        <f t="shared" si="424"/>
        <v>693000</v>
      </c>
      <c r="AB644" s="10">
        <f t="shared" si="425"/>
        <v>0</v>
      </c>
      <c r="AC644" s="10">
        <f t="shared" si="425"/>
        <v>0</v>
      </c>
      <c r="AD644" s="10">
        <f t="shared" si="425"/>
        <v>0</v>
      </c>
      <c r="AE644" s="10">
        <f t="shared" si="425"/>
        <v>0</v>
      </c>
      <c r="AF644" s="10">
        <f t="shared" si="425"/>
        <v>0</v>
      </c>
      <c r="AG644" s="10">
        <f t="shared" si="425"/>
        <v>0</v>
      </c>
      <c r="AH644" s="10">
        <f t="shared" si="425"/>
        <v>0</v>
      </c>
      <c r="AI644" s="10">
        <f t="shared" si="425"/>
        <v>0</v>
      </c>
      <c r="AJ644" s="10">
        <f t="shared" si="425"/>
        <v>0</v>
      </c>
      <c r="AK644" s="10">
        <f t="shared" si="425"/>
        <v>0</v>
      </c>
      <c r="AL644" s="10">
        <f t="shared" si="425"/>
        <v>0</v>
      </c>
      <c r="AM644" s="10">
        <f t="shared" si="425"/>
        <v>0</v>
      </c>
      <c r="AN644" s="27">
        <f t="shared" si="421"/>
        <v>0</v>
      </c>
      <c r="AO644" s="28">
        <f>29802.1850347222*12</f>
        <v>357626.22041666636</v>
      </c>
      <c r="AP644" s="6"/>
      <c r="AR644" t="s">
        <v>1082</v>
      </c>
      <c r="AS644" t="str">
        <f>_xlfn.XLOOKUP(AU644,[2]GAE!HZ:HZ,[2]GAE!IA:IA)</f>
        <v>OMD OPERATIONS</v>
      </c>
      <c r="AT644" t="str">
        <f>_xlfn.XLOOKUP(AU644,[2]GAE!HZ:HZ,[2]GAE!IB:IB)</f>
        <v>DOE - Janitorial - Common</v>
      </c>
      <c r="AU644" t="s">
        <v>1083</v>
      </c>
      <c r="AV644">
        <v>81319101</v>
      </c>
      <c r="AW644">
        <v>52041405</v>
      </c>
      <c r="AX644" t="str">
        <f>_xlfn.XLOOKUP(AU644,[2]GAE!HZ:HZ,[2]GAE!IF:IF)</f>
        <v>Contracted services</v>
      </c>
      <c r="AY644" t="str">
        <f>_xlfn.XLOOKUP(AU644,[2]GAE!HZ:HZ,[2]GAE!IG:IG)</f>
        <v>Janitorial</v>
      </c>
      <c r="BA644" t="s">
        <v>547</v>
      </c>
      <c r="BC644" t="s">
        <v>40</v>
      </c>
      <c r="BD644" t="s">
        <v>548</v>
      </c>
      <c r="BF644" t="s">
        <v>40</v>
      </c>
      <c r="BG644" t="s">
        <v>40</v>
      </c>
      <c r="BH644" s="10">
        <f>SUMIFS('[1]2026'!$K:$K,'[1]2026'!$T:$T,BD644,'[1]2026'!$S:$S,BH$3,'[1]2026'!$P:$P,AU644)</f>
        <v>0</v>
      </c>
      <c r="BI644" s="10">
        <f>SUMIFS('[1]2026'!$K:$K,'[1]2026'!$T:$T,$BD644,'[1]2026'!$S:$S,BI$3,'[1]2026'!$P:$P,$AU644)</f>
        <v>0</v>
      </c>
      <c r="BJ644" s="10">
        <f>SUMIFS('[1]2026'!$K:$K,'[1]2026'!$T:$T,$BD644,'[1]2026'!$S:$S,BJ$3,'[1]2026'!$P:$P,$AU644)</f>
        <v>105718.83</v>
      </c>
      <c r="BK644" s="10">
        <f>SUMIFS('[1]2026'!$K:$K,'[1]2026'!$T:$T,$BD644,'[1]2026'!$S:$S,BK$3,'[1]2026'!$P:$P,$AU644)</f>
        <v>34488.36</v>
      </c>
      <c r="BL644" s="10">
        <f>SUMIFS('[1]2026'!$K:$K,'[1]2026'!$T:$T,$BD644,'[1]2026'!$S:$S,BL$3,'[1]2026'!$P:$P,$AU644)</f>
        <v>39261.07</v>
      </c>
      <c r="BM644" s="10">
        <f>SUMIFS('[1]2026'!$K:$K,'[1]2026'!$T:$T,$BD644,'[1]2026'!$S:$S,BM$3,'[1]2026'!$P:$P,$AU644)</f>
        <v>41513.54</v>
      </c>
      <c r="BN644" s="10">
        <f>SUMIFS('[1]2026'!$K:$K,'[1]2026'!$T:$T,$BD644,'[1]2026'!$S:$S,BN$3,'[1]2026'!$P:$P,$AU644)</f>
        <v>34221.040000000001</v>
      </c>
      <c r="BO644" s="10">
        <f>SUMIFS('[1]2026'!$K:$K,'[1]2026'!$T:$T,$BD644,'[1]2026'!$S:$S,BO$3,'[1]2026'!$P:$P,$AU644)</f>
        <v>35239.61</v>
      </c>
      <c r="BP644" s="6">
        <v>40000</v>
      </c>
      <c r="BQ644" s="6">
        <v>40000</v>
      </c>
      <c r="BR644" s="6">
        <v>40000</v>
      </c>
      <c r="BS644" s="6">
        <v>40000</v>
      </c>
      <c r="BT644" s="6">
        <f t="shared" si="404"/>
        <v>450442.45</v>
      </c>
      <c r="BV644" s="6">
        <f t="shared" si="426"/>
        <v>0</v>
      </c>
      <c r="BW644" s="6">
        <f t="shared" si="427"/>
        <v>0</v>
      </c>
      <c r="BX644" s="6">
        <f t="shared" si="428"/>
        <v>105718.83</v>
      </c>
      <c r="BY644" s="6">
        <f t="shared" si="429"/>
        <v>34488.36</v>
      </c>
      <c r="BZ644" s="6">
        <f t="shared" si="430"/>
        <v>39261.07</v>
      </c>
      <c r="CA644" s="6">
        <f t="shared" si="431"/>
        <v>41513.54</v>
      </c>
      <c r="CB644" s="6">
        <f t="shared" si="432"/>
        <v>34221.040000000001</v>
      </c>
      <c r="CC644" s="6">
        <f t="shared" si="433"/>
        <v>35239.61</v>
      </c>
      <c r="CD644" s="6">
        <f t="shared" si="434"/>
        <v>40000</v>
      </c>
      <c r="CE644" s="6">
        <f t="shared" si="435"/>
        <v>40000</v>
      </c>
      <c r="CF644" s="6">
        <f t="shared" si="436"/>
        <v>40000</v>
      </c>
      <c r="CG644" s="6">
        <f t="shared" si="437"/>
        <v>40000</v>
      </c>
      <c r="CH644" s="6">
        <f t="shared" si="422"/>
        <v>450442.45</v>
      </c>
      <c r="CI644" t="s">
        <v>1084</v>
      </c>
    </row>
    <row r="645" spans="1:87" hidden="1" x14ac:dyDescent="0.35">
      <c r="A645" s="3" t="s">
        <v>1085</v>
      </c>
      <c r="B645" s="10">
        <v>31500</v>
      </c>
      <c r="C645" s="10">
        <v>31500</v>
      </c>
      <c r="D645" s="10">
        <v>31500</v>
      </c>
      <c r="E645" s="10">
        <v>31500</v>
      </c>
      <c r="F645" s="10">
        <v>31500</v>
      </c>
      <c r="G645" s="10">
        <v>31500</v>
      </c>
      <c r="H645" s="10">
        <v>31500</v>
      </c>
      <c r="I645" s="10">
        <v>31500</v>
      </c>
      <c r="J645" s="10">
        <v>31500</v>
      </c>
      <c r="K645" s="10">
        <v>31500</v>
      </c>
      <c r="L645" s="10">
        <v>31500</v>
      </c>
      <c r="M645" s="10">
        <v>31500</v>
      </c>
      <c r="N645" s="27">
        <f t="shared" si="423"/>
        <v>378000</v>
      </c>
      <c r="O645" s="10">
        <v>31500</v>
      </c>
      <c r="P645" s="10">
        <v>31500</v>
      </c>
      <c r="Q645" s="10">
        <v>31500</v>
      </c>
      <c r="R645" s="10">
        <v>31500</v>
      </c>
      <c r="S645" s="10">
        <v>31500</v>
      </c>
      <c r="T645" s="10">
        <v>31500</v>
      </c>
      <c r="U645" s="10">
        <v>31500</v>
      </c>
      <c r="V645" s="10">
        <v>31500</v>
      </c>
      <c r="W645" s="10">
        <v>31500</v>
      </c>
      <c r="X645" s="10">
        <v>31500</v>
      </c>
      <c r="Y645" s="10">
        <v>31500</v>
      </c>
      <c r="Z645" s="10">
        <v>31500</v>
      </c>
      <c r="AA645" s="27">
        <f t="shared" si="424"/>
        <v>378000</v>
      </c>
      <c r="AB645" s="10">
        <f t="shared" si="425"/>
        <v>0</v>
      </c>
      <c r="AC645" s="10">
        <f t="shared" si="425"/>
        <v>0</v>
      </c>
      <c r="AD645" s="10">
        <f t="shared" si="425"/>
        <v>0</v>
      </c>
      <c r="AE645" s="10">
        <f t="shared" si="425"/>
        <v>0</v>
      </c>
      <c r="AF645" s="10">
        <f t="shared" si="425"/>
        <v>0</v>
      </c>
      <c r="AG645" s="10">
        <f t="shared" si="425"/>
        <v>0</v>
      </c>
      <c r="AH645" s="10">
        <f t="shared" si="425"/>
        <v>0</v>
      </c>
      <c r="AI645" s="10">
        <f t="shared" si="425"/>
        <v>0</v>
      </c>
      <c r="AJ645" s="10">
        <f t="shared" si="425"/>
        <v>0</v>
      </c>
      <c r="AK645" s="10">
        <f t="shared" si="425"/>
        <v>0</v>
      </c>
      <c r="AL645" s="10">
        <f t="shared" si="425"/>
        <v>0</v>
      </c>
      <c r="AM645" s="10">
        <f t="shared" si="425"/>
        <v>0</v>
      </c>
      <c r="AN645" s="27">
        <f t="shared" si="421"/>
        <v>0</v>
      </c>
      <c r="AO645" s="28">
        <f>25048.69*12</f>
        <v>300584.27999999997</v>
      </c>
      <c r="AP645" s="6"/>
      <c r="AS645" t="str">
        <f>_xlfn.XLOOKUP(AU645,[2]GAE!HZ:HZ,[2]GAE!IA:IA)</f>
        <v>OMD OPERATIONS</v>
      </c>
      <c r="AT645" t="str">
        <f>_xlfn.XLOOKUP(AU645,[2]GAE!HZ:HZ,[2]GAE!IB:IB)</f>
        <v>DOE - Janitorial - Common</v>
      </c>
      <c r="AU645" t="s">
        <v>1083</v>
      </c>
      <c r="AV645">
        <v>81319101</v>
      </c>
      <c r="AW645">
        <v>52041405</v>
      </c>
      <c r="AX645" t="str">
        <f>_xlfn.XLOOKUP(AU645,[2]GAE!HZ:HZ,[2]GAE!IF:IF)</f>
        <v>Contracted services</v>
      </c>
      <c r="AY645" t="str">
        <f>_xlfn.XLOOKUP(AU645,[2]GAE!HZ:HZ,[2]GAE!IG:IG)</f>
        <v>Janitorial</v>
      </c>
      <c r="BA645" t="s">
        <v>1086</v>
      </c>
      <c r="BC645" t="s">
        <v>40</v>
      </c>
      <c r="BD645" t="s">
        <v>554</v>
      </c>
      <c r="BF645" t="s">
        <v>40</v>
      </c>
      <c r="BG645" t="s">
        <v>40</v>
      </c>
      <c r="BH645" s="10">
        <f>SUMIFS('[1]2026'!$K:$K,'[1]2026'!$T:$T,BD645,'[1]2026'!$S:$S,BH$3,'[1]2026'!$P:$P,AU645)</f>
        <v>22090.58</v>
      </c>
      <c r="BI645" s="10">
        <f>SUMIFS('[1]2026'!$K:$K,'[1]2026'!$T:$T,$BD645,'[1]2026'!$S:$S,BI$3,'[1]2026'!$P:$P,$AU645)</f>
        <v>31378.760000000002</v>
      </c>
      <c r="BJ645" s="10">
        <f>SUMIFS('[1]2026'!$K:$K,'[1]2026'!$T:$T,$BD645,'[1]2026'!$S:$S,BJ$3,'[1]2026'!$P:$P,$AU645)</f>
        <v>28977.4</v>
      </c>
      <c r="BK645" s="10">
        <f>SUMIFS('[1]2026'!$K:$K,'[1]2026'!$T:$T,$BD645,'[1]2026'!$S:$S,BK$3,'[1]2026'!$P:$P,$AU645)</f>
        <v>31282.61</v>
      </c>
      <c r="BL645" s="10">
        <f>SUMIFS('[1]2026'!$K:$K,'[1]2026'!$T:$T,$BD645,'[1]2026'!$S:$S,BL$3,'[1]2026'!$P:$P,$AU645)</f>
        <v>24011.5</v>
      </c>
      <c r="BM645" s="10">
        <f>SUMIFS('[1]2026'!$K:$K,'[1]2026'!$T:$T,$BD645,'[1]2026'!$S:$S,BM$3,'[1]2026'!$P:$P,$AU645)</f>
        <v>41055.009999999995</v>
      </c>
      <c r="BN645" s="10">
        <f>SUMIFS('[1]2026'!$K:$K,'[1]2026'!$T:$T,$BD645,'[1]2026'!$S:$S,BN$3,'[1]2026'!$P:$P,$AU645)</f>
        <v>30206.89</v>
      </c>
      <c r="BO645" s="10">
        <f>SUMIFS('[1]2026'!$K:$K,'[1]2026'!$T:$T,$BD645,'[1]2026'!$S:$S,BO$3,'[1]2026'!$P:$P,$AU645)</f>
        <v>28621.71</v>
      </c>
      <c r="BP645" s="6">
        <v>30000</v>
      </c>
      <c r="BQ645" s="6">
        <v>30000</v>
      </c>
      <c r="BR645" s="6">
        <v>30000</v>
      </c>
      <c r="BS645" s="6">
        <v>30000</v>
      </c>
      <c r="BT645" s="6">
        <f t="shared" si="404"/>
        <v>357624.45999999996</v>
      </c>
      <c r="BV645" s="6">
        <f t="shared" si="426"/>
        <v>22090.58</v>
      </c>
      <c r="BW645" s="6">
        <f t="shared" si="427"/>
        <v>31378.760000000002</v>
      </c>
      <c r="BX645" s="6">
        <f t="shared" si="428"/>
        <v>28977.4</v>
      </c>
      <c r="BY645" s="6">
        <f t="shared" si="429"/>
        <v>31282.61</v>
      </c>
      <c r="BZ645" s="6">
        <f t="shared" si="430"/>
        <v>24011.5</v>
      </c>
      <c r="CA645" s="6">
        <f t="shared" si="431"/>
        <v>41055.009999999995</v>
      </c>
      <c r="CB645" s="6">
        <f t="shared" si="432"/>
        <v>30206.89</v>
      </c>
      <c r="CC645" s="6">
        <f t="shared" si="433"/>
        <v>28621.71</v>
      </c>
      <c r="CD645" s="6">
        <f t="shared" si="434"/>
        <v>30000</v>
      </c>
      <c r="CE645" s="6">
        <f t="shared" si="435"/>
        <v>30000</v>
      </c>
      <c r="CF645" s="6">
        <f t="shared" si="436"/>
        <v>30000</v>
      </c>
      <c r="CG645" s="6">
        <f t="shared" si="437"/>
        <v>30000</v>
      </c>
      <c r="CH645" s="6">
        <f t="shared" ref="CH645:CH708" si="440">BT645-AN645</f>
        <v>357624.45999999996</v>
      </c>
      <c r="CI645" t="s">
        <v>1084</v>
      </c>
    </row>
    <row r="646" spans="1:87" hidden="1" x14ac:dyDescent="0.35">
      <c r="A646" s="3" t="s">
        <v>1087</v>
      </c>
      <c r="B646" s="10">
        <v>98714.000000000015</v>
      </c>
      <c r="C646" s="10">
        <v>98714.000000000015</v>
      </c>
      <c r="D646" s="10">
        <v>98714.000000000015</v>
      </c>
      <c r="E646" s="10">
        <v>98714.000000000015</v>
      </c>
      <c r="F646" s="10">
        <v>98714.000000000015</v>
      </c>
      <c r="G646" s="10">
        <v>98714.000000000015</v>
      </c>
      <c r="H646" s="10">
        <v>98714.000000000015</v>
      </c>
      <c r="I646" s="10">
        <v>98714.000000000015</v>
      </c>
      <c r="J646" s="10">
        <v>98714.000000000015</v>
      </c>
      <c r="K646" s="10">
        <v>98714.000000000015</v>
      </c>
      <c r="L646" s="10">
        <v>98714.000000000015</v>
      </c>
      <c r="M646" s="10">
        <v>98714.000000000015</v>
      </c>
      <c r="N646" s="27">
        <f t="shared" si="423"/>
        <v>1184568.0000000002</v>
      </c>
      <c r="O646" s="10">
        <v>98714.000000000015</v>
      </c>
      <c r="P646" s="10">
        <v>98714.000000000015</v>
      </c>
      <c r="Q646" s="10">
        <v>98714.000000000015</v>
      </c>
      <c r="R646" s="10">
        <v>98714.000000000015</v>
      </c>
      <c r="S646" s="10">
        <v>98714.000000000015</v>
      </c>
      <c r="T646" s="10">
        <v>98714.000000000015</v>
      </c>
      <c r="U646" s="10">
        <v>98714.000000000015</v>
      </c>
      <c r="V646" s="10">
        <v>98714.000000000015</v>
      </c>
      <c r="W646" s="10">
        <v>98714.000000000015</v>
      </c>
      <c r="X646" s="10">
        <v>98714.000000000015</v>
      </c>
      <c r="Y646" s="10">
        <v>98714.000000000015</v>
      </c>
      <c r="Z646" s="10">
        <v>98714.000000000015</v>
      </c>
      <c r="AA646" s="27">
        <f t="shared" si="424"/>
        <v>1184568.0000000002</v>
      </c>
      <c r="AB646" s="10">
        <f t="shared" si="425"/>
        <v>0</v>
      </c>
      <c r="AC646" s="10">
        <f t="shared" si="425"/>
        <v>0</v>
      </c>
      <c r="AD646" s="10">
        <f t="shared" si="425"/>
        <v>0</v>
      </c>
      <c r="AE646" s="10">
        <f t="shared" si="425"/>
        <v>0</v>
      </c>
      <c r="AF646" s="10">
        <f t="shared" si="425"/>
        <v>0</v>
      </c>
      <c r="AG646" s="10">
        <f t="shared" si="425"/>
        <v>0</v>
      </c>
      <c r="AH646" s="10">
        <f t="shared" si="425"/>
        <v>0</v>
      </c>
      <c r="AI646" s="10">
        <f t="shared" si="425"/>
        <v>0</v>
      </c>
      <c r="AJ646" s="10">
        <f t="shared" si="425"/>
        <v>0</v>
      </c>
      <c r="AK646" s="10">
        <f t="shared" si="425"/>
        <v>0</v>
      </c>
      <c r="AL646" s="10">
        <f t="shared" si="425"/>
        <v>0</v>
      </c>
      <c r="AM646" s="10">
        <f t="shared" si="425"/>
        <v>0</v>
      </c>
      <c r="AN646" s="27">
        <f t="shared" si="421"/>
        <v>0</v>
      </c>
      <c r="AO646" s="28">
        <f>117381.256944444*12</f>
        <v>1408575.0833333279</v>
      </c>
      <c r="AS646" t="str">
        <f>_xlfn.XLOOKUP(AU646,[2]GAE!HZ:HZ,[2]GAE!IA:IA)</f>
        <v>OMD OPERATIONS</v>
      </c>
      <c r="AT646" t="str">
        <f>_xlfn.XLOOKUP(AU646,[2]GAE!HZ:HZ,[2]GAE!IB:IB)</f>
        <v>DOE - Janitorial - Common</v>
      </c>
      <c r="AU646" t="s">
        <v>1083</v>
      </c>
      <c r="AV646">
        <v>81319101</v>
      </c>
      <c r="AW646">
        <v>52041405</v>
      </c>
      <c r="AX646" t="str">
        <f>_xlfn.XLOOKUP(AU646,[2]GAE!HZ:HZ,[2]GAE!IF:IF)</f>
        <v>Contracted services</v>
      </c>
      <c r="AY646" t="str">
        <f>_xlfn.XLOOKUP(AU646,[2]GAE!HZ:HZ,[2]GAE!IG:IG)</f>
        <v>Janitorial</v>
      </c>
      <c r="BA646" t="s">
        <v>547</v>
      </c>
      <c r="BC646" t="s">
        <v>40</v>
      </c>
      <c r="BD646" t="s">
        <v>552</v>
      </c>
      <c r="BF646" t="s">
        <v>40</v>
      </c>
      <c r="BG646" t="s">
        <v>40</v>
      </c>
      <c r="BH646" s="10">
        <f>SUMIFS('[1]2026'!$K:$K,'[1]2026'!$T:$T,BD646,'[1]2026'!$S:$S,BH$3,'[1]2026'!$P:$P,AU646)</f>
        <v>106448.6</v>
      </c>
      <c r="BI646" s="10">
        <f>SUMIFS('[1]2026'!$K:$K,'[1]2026'!$T:$T,$BD646,'[1]2026'!$S:$S,BI$3,'[1]2026'!$P:$P,$AU646)</f>
        <v>103794.73</v>
      </c>
      <c r="BJ646" s="10">
        <f>SUMIFS('[1]2026'!$K:$K,'[1]2026'!$T:$T,$BD646,'[1]2026'!$S:$S,BJ$3,'[1]2026'!$P:$P,$AU646)</f>
        <v>109157.77</v>
      </c>
      <c r="BK646" s="10">
        <f>SUMIFS('[1]2026'!$K:$K,'[1]2026'!$T:$T,$BD646,'[1]2026'!$S:$S,BK$3,'[1]2026'!$P:$P,$AU646)</f>
        <v>109726.66</v>
      </c>
      <c r="BL646" s="10">
        <f>SUMIFS('[1]2026'!$K:$K,'[1]2026'!$T:$T,$BD646,'[1]2026'!$S:$S,BL$3,'[1]2026'!$P:$P,$AU646)</f>
        <v>0</v>
      </c>
      <c r="BM646" s="10">
        <f>SUMIFS('[1]2026'!$K:$K,'[1]2026'!$T:$T,$BD646,'[1]2026'!$S:$S,BM$3,'[1]2026'!$P:$P,$AU646)</f>
        <v>319345.8</v>
      </c>
      <c r="BN646" s="10">
        <f>SUMIFS('[1]2026'!$K:$K,'[1]2026'!$T:$T,$BD646,'[1]2026'!$S:$S,BN$3,'[1]2026'!$P:$P,$AU646)</f>
        <v>106448.6</v>
      </c>
      <c r="BO646" s="10">
        <f>SUMIFS('[1]2026'!$K:$K,'[1]2026'!$T:$T,$BD646,'[1]2026'!$S:$S,BO$3,'[1]2026'!$P:$P,$AU646)</f>
        <v>0</v>
      </c>
      <c r="BP646" s="6">
        <v>120000</v>
      </c>
      <c r="BQ646" s="6">
        <v>120000</v>
      </c>
      <c r="BR646" s="6">
        <v>120000</v>
      </c>
      <c r="BS646" s="6">
        <v>120000</v>
      </c>
      <c r="BT646" s="6">
        <f t="shared" si="404"/>
        <v>1334922.1600000001</v>
      </c>
      <c r="BV646" s="6">
        <f t="shared" si="426"/>
        <v>106448.6</v>
      </c>
      <c r="BW646" s="6">
        <f t="shared" si="427"/>
        <v>103794.73</v>
      </c>
      <c r="BX646" s="6">
        <f t="shared" si="428"/>
        <v>109157.77</v>
      </c>
      <c r="BY646" s="6">
        <f t="shared" si="429"/>
        <v>109726.66</v>
      </c>
      <c r="BZ646" s="6">
        <f t="shared" si="430"/>
        <v>0</v>
      </c>
      <c r="CA646" s="6">
        <f t="shared" si="431"/>
        <v>319345.8</v>
      </c>
      <c r="CB646" s="6">
        <f t="shared" si="432"/>
        <v>106448.6</v>
      </c>
      <c r="CC646" s="6">
        <f t="shared" si="433"/>
        <v>0</v>
      </c>
      <c r="CD646" s="6">
        <f t="shared" si="434"/>
        <v>120000</v>
      </c>
      <c r="CE646" s="6">
        <f t="shared" si="435"/>
        <v>120000</v>
      </c>
      <c r="CF646" s="6">
        <f t="shared" si="436"/>
        <v>120000</v>
      </c>
      <c r="CG646" s="6">
        <f t="shared" si="437"/>
        <v>120000</v>
      </c>
      <c r="CH646" s="6">
        <f t="shared" si="440"/>
        <v>1334922.1600000001</v>
      </c>
      <c r="CI646" t="s">
        <v>1088</v>
      </c>
    </row>
    <row r="647" spans="1:87" hidden="1" x14ac:dyDescent="0.35">
      <c r="AN647" s="27">
        <f>N647-AA647</f>
        <v>0</v>
      </c>
      <c r="AS647" t="str">
        <f>_xlfn.XLOOKUP(AU647,[2]GAE!HZ:HZ,[2]GAE!IA:IA)</f>
        <v>OMD OPERATIONS</v>
      </c>
      <c r="AT647" t="str">
        <f>_xlfn.XLOOKUP(AU647,[2]GAE!HZ:HZ,[2]GAE!IB:IB)</f>
        <v>DOE - Janitorial - Common</v>
      </c>
      <c r="AU647" t="s">
        <v>1083</v>
      </c>
      <c r="AV647">
        <v>81319101</v>
      </c>
      <c r="AW647">
        <v>52041405</v>
      </c>
      <c r="AX647" t="str">
        <f>_xlfn.XLOOKUP(AU647,[2]GAE!HZ:HZ,[2]GAE!IF:IF)</f>
        <v>Contracted services</v>
      </c>
      <c r="AY647" t="str">
        <f>_xlfn.XLOOKUP(AU647,[2]GAE!HZ:HZ,[2]GAE!IG:IG)</f>
        <v>Janitorial</v>
      </c>
      <c r="BC647" t="s">
        <v>40</v>
      </c>
      <c r="BD647" t="s">
        <v>1079</v>
      </c>
      <c r="BF647" t="s">
        <v>40</v>
      </c>
      <c r="BG647" t="s">
        <v>40</v>
      </c>
      <c r="BH647" s="10">
        <f>SUMIFS('[1]2026'!$K:$K,'[1]2026'!$T:$T,BD647,'[1]2026'!$S:$S,BH$3,'[1]2026'!$P:$P,AU647)</f>
        <v>-83341.95</v>
      </c>
      <c r="BI647" s="10">
        <f>SUMIFS('[1]2026'!$K:$K,'[1]2026'!$T:$T,$BD647,'[1]2026'!$S:$S,BI$3,'[1]2026'!$P:$P,$AU647)</f>
        <v>5330.77</v>
      </c>
      <c r="BJ647" s="10">
        <f>SUMIFS('[1]2026'!$K:$K,'[1]2026'!$T:$T,$BD647,'[1]2026'!$S:$S,BJ$3,'[1]2026'!$P:$P,$AU647)</f>
        <v>0</v>
      </c>
      <c r="BK647" s="10">
        <f>SUMIFS('[1]2026'!$K:$K,'[1]2026'!$T:$T,$BD647,'[1]2026'!$S:$S,BK$3,'[1]2026'!$P:$P,$AU647)</f>
        <v>0</v>
      </c>
      <c r="BL647" s="6"/>
      <c r="BM647" s="10">
        <f>SUMIFS('[1]2026'!$K:$K,'[1]2026'!$T:$T,$BD647,'[1]2026'!$S:$S,BM$3,'[1]2026'!$P:$P,$AU647)</f>
        <v>0</v>
      </c>
      <c r="BN647" s="10">
        <f>SUMIFS('[1]2026'!$K:$K,'[1]2026'!$T:$T,$BD647,'[1]2026'!$S:$S,BN$3,'[1]2026'!$P:$P,$AU647)</f>
        <v>0</v>
      </c>
      <c r="BO647" s="10">
        <f>SUMIFS('[1]2026'!$K:$K,'[1]2026'!$T:$T,$BD647,'[1]2026'!$S:$S,BO$3,'[1]2026'!$P:$P,$AU647)</f>
        <v>0</v>
      </c>
      <c r="BP647" s="6"/>
      <c r="BQ647" s="6"/>
      <c r="BR647" s="6"/>
      <c r="BS647" s="6"/>
      <c r="BT647" s="6">
        <f t="shared" si="404"/>
        <v>-78011.179999999993</v>
      </c>
      <c r="BV647" s="6">
        <f t="shared" si="426"/>
        <v>-83341.95</v>
      </c>
      <c r="BW647" s="6">
        <f t="shared" si="427"/>
        <v>5330.77</v>
      </c>
      <c r="BX647" s="6">
        <f t="shared" si="428"/>
        <v>0</v>
      </c>
      <c r="BY647" s="6">
        <f t="shared" si="429"/>
        <v>0</v>
      </c>
      <c r="BZ647" s="6">
        <f t="shared" si="430"/>
        <v>0</v>
      </c>
      <c r="CA647" s="6">
        <f t="shared" si="431"/>
        <v>0</v>
      </c>
      <c r="CB647" s="6">
        <f t="shared" si="432"/>
        <v>0</v>
      </c>
      <c r="CC647" s="6">
        <f t="shared" si="433"/>
        <v>0</v>
      </c>
      <c r="CD647" s="6">
        <f t="shared" si="434"/>
        <v>0</v>
      </c>
      <c r="CE647" s="6">
        <f t="shared" si="435"/>
        <v>0</v>
      </c>
      <c r="CF647" s="6">
        <f t="shared" si="436"/>
        <v>0</v>
      </c>
      <c r="CG647" s="6">
        <f t="shared" si="437"/>
        <v>0</v>
      </c>
      <c r="CH647" s="6">
        <f t="shared" si="440"/>
        <v>-78011.179999999993</v>
      </c>
    </row>
    <row r="648" spans="1:87" hidden="1" x14ac:dyDescent="0.35">
      <c r="A648" s="3" t="s">
        <v>1089</v>
      </c>
      <c r="B648" s="10">
        <v>285111.75</v>
      </c>
      <c r="C648" s="10">
        <v>285111.75</v>
      </c>
      <c r="D648" s="10">
        <v>285111.75</v>
      </c>
      <c r="E648" s="10">
        <v>285111.75</v>
      </c>
      <c r="F648" s="10">
        <v>285111.75</v>
      </c>
      <c r="G648" s="10">
        <v>285111.75</v>
      </c>
      <c r="H648" s="10">
        <v>285111.75</v>
      </c>
      <c r="I648" s="10">
        <v>285111.75</v>
      </c>
      <c r="J648" s="10">
        <v>285111.75</v>
      </c>
      <c r="K648" s="10">
        <v>285111.75</v>
      </c>
      <c r="L648" s="10">
        <v>285111.75</v>
      </c>
      <c r="M648" s="10">
        <v>285111.75</v>
      </c>
      <c r="N648" s="27">
        <f t="shared" si="423"/>
        <v>3421341</v>
      </c>
      <c r="O648" s="10">
        <v>121936.01974999999</v>
      </c>
      <c r="P648" s="10">
        <v>121936.01974999999</v>
      </c>
      <c r="Q648" s="10">
        <v>121936.01974999999</v>
      </c>
      <c r="R648" s="10">
        <v>121936.01974999999</v>
      </c>
      <c r="S648" s="10">
        <v>121936.01974999999</v>
      </c>
      <c r="T648" s="10">
        <v>121936.01974999999</v>
      </c>
      <c r="U648" s="10">
        <v>121936.01974999999</v>
      </c>
      <c r="V648" s="10">
        <v>121936.01974999999</v>
      </c>
      <c r="W648" s="10">
        <v>121936.01974999999</v>
      </c>
      <c r="X648" s="10">
        <v>121936.01974999999</v>
      </c>
      <c r="Y648" s="10">
        <v>121936.01974999999</v>
      </c>
      <c r="Z648" s="10">
        <v>121936.01974999999</v>
      </c>
      <c r="AA648" s="27">
        <f t="shared" si="424"/>
        <v>1463232.237</v>
      </c>
      <c r="AB648" s="10">
        <f t="shared" si="425"/>
        <v>163175.73025000002</v>
      </c>
      <c r="AC648" s="10">
        <f t="shared" si="425"/>
        <v>163175.73025000002</v>
      </c>
      <c r="AD648" s="10">
        <f t="shared" si="425"/>
        <v>163175.73025000002</v>
      </c>
      <c r="AE648" s="10">
        <f t="shared" si="425"/>
        <v>163175.73025000002</v>
      </c>
      <c r="AF648" s="10">
        <f t="shared" si="425"/>
        <v>163175.73025000002</v>
      </c>
      <c r="AG648" s="10">
        <f t="shared" si="425"/>
        <v>163175.73025000002</v>
      </c>
      <c r="AH648" s="10">
        <f t="shared" si="425"/>
        <v>163175.73025000002</v>
      </c>
      <c r="AI648" s="10">
        <f t="shared" si="425"/>
        <v>163175.73025000002</v>
      </c>
      <c r="AJ648" s="10">
        <f t="shared" si="425"/>
        <v>163175.73025000002</v>
      </c>
      <c r="AK648" s="10">
        <f t="shared" si="425"/>
        <v>163175.73025000002</v>
      </c>
      <c r="AL648" s="10">
        <f t="shared" si="425"/>
        <v>163175.73025000002</v>
      </c>
      <c r="AM648" s="10">
        <f t="shared" si="425"/>
        <v>163175.73025000002</v>
      </c>
      <c r="AN648" s="27">
        <f t="shared" si="421"/>
        <v>1958108.763</v>
      </c>
      <c r="AO648" s="28" t="e">
        <f>SUMIF('[3]2025B and 2025F Details'!$AU:$AU,AP648,'[3]2025B and 2025F Details'!$BH:$BH)</f>
        <v>#VALUE!</v>
      </c>
      <c r="AP648" t="s">
        <v>1090</v>
      </c>
      <c r="AR648" t="s">
        <v>1091</v>
      </c>
      <c r="AS648" t="str">
        <f>_xlfn.XLOOKUP(AU648,[2]GAE!HZ:HZ,[2]GAE!IA:IA)</f>
        <v>ADMIN SERVICES</v>
      </c>
      <c r="AT648" t="str">
        <f>_xlfn.XLOOKUP(AU648,[2]GAE!HZ:HZ,[2]GAE!IB:IB)</f>
        <v>DOE - Security - Common</v>
      </c>
      <c r="AU648" t="s">
        <v>1092</v>
      </c>
      <c r="AV648">
        <v>81123102</v>
      </c>
      <c r="AW648">
        <v>52041401</v>
      </c>
      <c r="AX648" t="str">
        <f>_xlfn.XLOOKUP(AU648,[2]GAE!HZ:HZ,[2]GAE!IF:IF)</f>
        <v>Contracted services</v>
      </c>
      <c r="AY648" t="str">
        <f>_xlfn.XLOOKUP(AU648,[2]GAE!HZ:HZ,[2]GAE!IG:IG)</f>
        <v>Security</v>
      </c>
      <c r="BC648" t="s">
        <v>180</v>
      </c>
      <c r="BD648" s="2" t="s">
        <v>1090</v>
      </c>
      <c r="BE648" s="2"/>
      <c r="BF648" t="s">
        <v>1262</v>
      </c>
      <c r="BG648" s="2" t="s">
        <v>1262</v>
      </c>
      <c r="BH648" s="10">
        <f>SUMIFS('[1]2026'!$K:$K,'[1]2026'!$T:$T,BD648,'[1]2026'!$S:$S,BH$3,'[1]2026'!$P:$P,AU648)</f>
        <v>0</v>
      </c>
      <c r="BI648" s="10">
        <f>SUMIFS('[1]2026'!$K:$K,'[1]2026'!$T:$T,$BD648,'[1]2026'!$S:$S,BI$3,'[1]2026'!$P:$P,$AU648)</f>
        <v>162252.37</v>
      </c>
      <c r="BJ648" s="10">
        <f>SUMIFS('[1]2026'!$K:$K,'[1]2026'!$T:$T,$BD648,'[1]2026'!$S:$S,BJ$3,'[1]2026'!$P:$P,$AU648)</f>
        <v>146550.53</v>
      </c>
      <c r="BK648" s="10">
        <f>SUMIFS('[1]2026'!$K:$K,'[1]2026'!$T:$T,$BD648,'[1]2026'!$S:$S,BK$3,'[1]2026'!$P:$P,$AU648)</f>
        <v>0</v>
      </c>
      <c r="BL648" s="10">
        <f>SUMIFS('[1]2026'!$K:$K,'[1]2026'!$T:$T,$BD648,'[1]2026'!$S:$S,BL$3,'[1]2026'!$P:$P,$AU648)</f>
        <v>501098.35000000003</v>
      </c>
      <c r="BM648" s="10">
        <f>SUMIFS('[1]2026'!$K:$K,'[1]2026'!$T:$T,$BD648,'[1]2026'!$S:$S,BM$3,'[1]2026'!$P:$P,$AU648)</f>
        <v>0</v>
      </c>
      <c r="BN648" s="10">
        <f>SUMIFS('[1]2026'!$K:$K,'[1]2026'!$T:$T,$BD648,'[1]2026'!$S:$S,BN$3,'[1]2026'!$P:$P,$AU648)</f>
        <v>361749.30000000005</v>
      </c>
      <c r="BO648" s="10">
        <f>SUMIFS('[1]2026'!$K:$K,'[1]2026'!$T:$T,$BD648,'[1]2026'!$S:$S,BO$3,'[1]2026'!$P:$P,$AU648)</f>
        <v>0</v>
      </c>
      <c r="BP648" s="6">
        <f t="shared" ref="BP648:BS648" si="441">BO648</f>
        <v>0</v>
      </c>
      <c r="BQ648" s="6">
        <f t="shared" si="441"/>
        <v>0</v>
      </c>
      <c r="BR648" s="6">
        <f t="shared" si="441"/>
        <v>0</v>
      </c>
      <c r="BS648" s="6">
        <f t="shared" si="441"/>
        <v>0</v>
      </c>
      <c r="BT648" s="6">
        <f t="shared" si="404"/>
        <v>1171650.55</v>
      </c>
      <c r="BV648" s="6">
        <f t="shared" si="426"/>
        <v>-163175.73025000002</v>
      </c>
      <c r="BW648" s="6">
        <f t="shared" si="427"/>
        <v>-923.36025000002701</v>
      </c>
      <c r="BX648" s="6">
        <f t="shared" si="428"/>
        <v>-16625.200250000024</v>
      </c>
      <c r="BY648" s="6">
        <f t="shared" si="429"/>
        <v>-163175.73025000002</v>
      </c>
      <c r="BZ648" s="6">
        <f t="shared" si="430"/>
        <v>337922.61975000001</v>
      </c>
      <c r="CA648" s="6">
        <f t="shared" si="431"/>
        <v>-163175.73025000002</v>
      </c>
      <c r="CB648" s="6">
        <f t="shared" si="432"/>
        <v>198573.56975000002</v>
      </c>
      <c r="CC648" s="6">
        <f t="shared" si="433"/>
        <v>-163175.73025000002</v>
      </c>
      <c r="CD648" s="6">
        <f t="shared" si="434"/>
        <v>-163175.73025000002</v>
      </c>
      <c r="CE648" s="6">
        <f t="shared" si="435"/>
        <v>-163175.73025000002</v>
      </c>
      <c r="CF648" s="6">
        <f t="shared" si="436"/>
        <v>-163175.73025000002</v>
      </c>
      <c r="CG648" s="6">
        <f t="shared" si="437"/>
        <v>-163175.73025000002</v>
      </c>
      <c r="CH648" s="6">
        <f t="shared" si="440"/>
        <v>-786458.21299999999</v>
      </c>
    </row>
    <row r="649" spans="1:87" hidden="1" x14ac:dyDescent="0.35">
      <c r="AN649" s="27">
        <f>N649-AA649</f>
        <v>0</v>
      </c>
      <c r="AS649" t="str">
        <f>_xlfn.XLOOKUP(AU649,[2]GAE!HZ:HZ,[2]GAE!IA:IA)</f>
        <v>CCC-COMMON</v>
      </c>
      <c r="AT649" t="str">
        <f>_xlfn.XLOOKUP(AU649,[2]GAE!HZ:HZ,[2]GAE!IB:IB)</f>
        <v>DOE - Security - Common</v>
      </c>
      <c r="AU649" t="s">
        <v>1093</v>
      </c>
      <c r="AV649">
        <v>81111101</v>
      </c>
      <c r="AW649">
        <v>52041401</v>
      </c>
      <c r="AX649" t="str">
        <f>_xlfn.XLOOKUP(AU649,[2]GAE!HZ:HZ,[2]GAE!IF:IF)</f>
        <v>Contracted services</v>
      </c>
      <c r="AY649" t="str">
        <f>_xlfn.XLOOKUP(AU649,[2]GAE!HZ:HZ,[2]GAE!IG:IG)</f>
        <v>Security</v>
      </c>
      <c r="BC649" t="s">
        <v>180</v>
      </c>
      <c r="BD649" s="2" t="s">
        <v>1090</v>
      </c>
      <c r="BE649" s="2"/>
      <c r="BF649" t="s">
        <v>1262</v>
      </c>
      <c r="BG649" s="2" t="s">
        <v>1262</v>
      </c>
      <c r="BH649" s="10">
        <f>SUMIFS('[1]2026'!$K:$K,'[1]2026'!$T:$T,BD649,'[1]2026'!$S:$S,BH$3,'[1]2026'!$P:$P,AU649)</f>
        <v>258000</v>
      </c>
      <c r="BI649" s="10">
        <f>SUMIFS('[1]2026'!$K:$K,'[1]2026'!$T:$T,$BD649,'[1]2026'!$S:$S,BI$3,'[1]2026'!$P:$P,$AU649)</f>
        <v>123500</v>
      </c>
      <c r="BJ649" s="10">
        <f>SUMIFS('[1]2026'!$K:$K,'[1]2026'!$T:$T,$BD649,'[1]2026'!$S:$S,BJ$3,'[1]2026'!$P:$P,$AU649)</f>
        <v>-59717.189999999951</v>
      </c>
      <c r="BK649" s="10">
        <f>SUMIFS('[1]2026'!$K:$K,'[1]2026'!$T:$T,$BD649,'[1]2026'!$S:$S,BK$3,'[1]2026'!$P:$P,$AU649)</f>
        <v>179315.49</v>
      </c>
      <c r="BL649" s="10">
        <f>SUMIFS('[1]2026'!$K:$K,'[1]2026'!$T:$T,$BD649,'[1]2026'!$S:$S,BL$3,'[1]2026'!$P:$P,$AU649)</f>
        <v>-103990.95000000007</v>
      </c>
      <c r="BM649" s="10">
        <f>SUMIFS('[1]2026'!$K:$K,'[1]2026'!$T:$T,$BD649,'[1]2026'!$S:$S,BM$3,'[1]2026'!$P:$P,$AU649)</f>
        <v>229132.72999999998</v>
      </c>
      <c r="BN649" s="10">
        <f>SUMIFS('[1]2026'!$K:$K,'[1]2026'!$T:$T,$BD649,'[1]2026'!$S:$S,BN$3,'[1]2026'!$P:$P,$AU649)</f>
        <v>-43576.680000000051</v>
      </c>
      <c r="BO649" s="10">
        <f>SUMIFS('[1]2026'!$K:$K,'[1]2026'!$T:$T,$BD649,'[1]2026'!$S:$S,BO$3,'[1]2026'!$P:$P,$AU649)</f>
        <v>159438.44</v>
      </c>
      <c r="BP649" s="6">
        <v>250000</v>
      </c>
      <c r="BQ649" s="6">
        <v>250000</v>
      </c>
      <c r="BR649" s="6">
        <v>250000</v>
      </c>
      <c r="BS649" s="6">
        <v>250000</v>
      </c>
      <c r="BT649" s="6">
        <f t="shared" si="404"/>
        <v>1742101.8399999999</v>
      </c>
      <c r="BV649" s="6">
        <f t="shared" si="426"/>
        <v>258000</v>
      </c>
      <c r="BW649" s="6">
        <f t="shared" si="427"/>
        <v>123500</v>
      </c>
      <c r="BX649" s="6">
        <f t="shared" si="428"/>
        <v>-59717.189999999951</v>
      </c>
      <c r="BY649" s="6">
        <f t="shared" si="429"/>
        <v>179315.49</v>
      </c>
      <c r="BZ649" s="6">
        <f t="shared" si="430"/>
        <v>-103990.95000000007</v>
      </c>
      <c r="CA649" s="6">
        <f t="shared" si="431"/>
        <v>229132.72999999998</v>
      </c>
      <c r="CB649" s="6">
        <f t="shared" si="432"/>
        <v>-43576.680000000051</v>
      </c>
      <c r="CC649" s="6">
        <f t="shared" si="433"/>
        <v>159438.44</v>
      </c>
      <c r="CD649" s="6">
        <f t="shared" si="434"/>
        <v>250000</v>
      </c>
      <c r="CE649" s="6">
        <f t="shared" si="435"/>
        <v>250000</v>
      </c>
      <c r="CF649" s="6">
        <f t="shared" si="436"/>
        <v>250000</v>
      </c>
      <c r="CG649" s="6">
        <f t="shared" si="437"/>
        <v>250000</v>
      </c>
      <c r="CH649" s="6">
        <f t="shared" si="440"/>
        <v>1742101.8399999999</v>
      </c>
    </row>
    <row r="650" spans="1:87" hidden="1" x14ac:dyDescent="0.35">
      <c r="A650" s="3" t="s">
        <v>1094</v>
      </c>
      <c r="B650" s="10">
        <v>104999.99999999999</v>
      </c>
      <c r="C650" s="10">
        <v>104999.99999999999</v>
      </c>
      <c r="D650" s="10">
        <v>104999.99999999999</v>
      </c>
      <c r="E650" s="10">
        <v>104999.99999999999</v>
      </c>
      <c r="F650" s="10">
        <v>104999.99999999999</v>
      </c>
      <c r="G650" s="10">
        <v>104999.99999999999</v>
      </c>
      <c r="H650" s="10">
        <v>104999.99999999999</v>
      </c>
      <c r="I650" s="10">
        <v>104999.99999999999</v>
      </c>
      <c r="J650" s="10">
        <v>104999.99999999999</v>
      </c>
      <c r="K650" s="10">
        <v>104999.99999999999</v>
      </c>
      <c r="L650" s="10">
        <v>104999.99999999999</v>
      </c>
      <c r="M650" s="10">
        <v>104999.99999999999</v>
      </c>
      <c r="N650" s="27">
        <f t="shared" si="423"/>
        <v>1259999.9999999998</v>
      </c>
      <c r="O650" s="10">
        <v>104999.99999999999</v>
      </c>
      <c r="P650" s="10">
        <v>104999.99999999999</v>
      </c>
      <c r="Q650" s="10">
        <v>104999.99999999999</v>
      </c>
      <c r="R650" s="10">
        <v>104999.99999999999</v>
      </c>
      <c r="S650" s="10">
        <v>104999.99999999999</v>
      </c>
      <c r="T650" s="10">
        <v>104999.99999999999</v>
      </c>
      <c r="U650" s="10">
        <v>104999.99999999999</v>
      </c>
      <c r="V650" s="10">
        <v>104999.99999999999</v>
      </c>
      <c r="W650" s="10">
        <v>104999.99999999999</v>
      </c>
      <c r="X650" s="10">
        <v>104999.99999999999</v>
      </c>
      <c r="Y650" s="10">
        <v>104999.99999999999</v>
      </c>
      <c r="Z650" s="10">
        <v>104999.99999999999</v>
      </c>
      <c r="AA650" s="27">
        <f t="shared" si="424"/>
        <v>1259999.9999999998</v>
      </c>
      <c r="AB650" s="10">
        <f t="shared" si="425"/>
        <v>0</v>
      </c>
      <c r="AC650" s="10">
        <f t="shared" si="425"/>
        <v>0</v>
      </c>
      <c r="AD650" s="10">
        <f t="shared" si="425"/>
        <v>0</v>
      </c>
      <c r="AE650" s="10">
        <f t="shared" si="425"/>
        <v>0</v>
      </c>
      <c r="AF650" s="10">
        <f t="shared" si="425"/>
        <v>0</v>
      </c>
      <c r="AG650" s="10">
        <f t="shared" si="425"/>
        <v>0</v>
      </c>
      <c r="AH650" s="10">
        <f t="shared" si="425"/>
        <v>0</v>
      </c>
      <c r="AI650" s="10">
        <f t="shared" si="425"/>
        <v>0</v>
      </c>
      <c r="AJ650" s="10">
        <f t="shared" si="425"/>
        <v>0</v>
      </c>
      <c r="AK650" s="10">
        <f t="shared" si="425"/>
        <v>0</v>
      </c>
      <c r="AL650" s="10">
        <f t="shared" si="425"/>
        <v>0</v>
      </c>
      <c r="AM650" s="10">
        <f t="shared" si="425"/>
        <v>0</v>
      </c>
      <c r="AN650" s="27">
        <f t="shared" si="421"/>
        <v>0</v>
      </c>
      <c r="AO650" s="28" t="e">
        <f>SUMIF('[3]2025B and 2025F Details'!$AU:$AU,AP650,'[3]2025B and 2025F Details'!$BH:$BH)</f>
        <v>#VALUE!</v>
      </c>
      <c r="AP650" t="s">
        <v>1095</v>
      </c>
      <c r="AS650" t="str">
        <f>_xlfn.XLOOKUP(AU650,[2]GAE!HZ:HZ,[2]GAE!IA:IA)</f>
        <v>OMD OPERATIONS</v>
      </c>
      <c r="AT650" t="str">
        <f>_xlfn.XLOOKUP(AU650,[2]GAE!HZ:HZ,[2]GAE!IB:IB)</f>
        <v>DOE - Security - Common</v>
      </c>
      <c r="AU650" t="s">
        <v>1096</v>
      </c>
      <c r="AV650">
        <v>81319101</v>
      </c>
      <c r="AW650">
        <v>52041401</v>
      </c>
      <c r="AX650" t="str">
        <f>_xlfn.XLOOKUP(AU650,[2]GAE!HZ:HZ,[2]GAE!IF:IF)</f>
        <v>Contracted services</v>
      </c>
      <c r="AY650" t="str">
        <f>_xlfn.XLOOKUP(AU650,[2]GAE!HZ:HZ,[2]GAE!IG:IG)</f>
        <v>Security</v>
      </c>
      <c r="BA650" t="s">
        <v>547</v>
      </c>
      <c r="BC650" t="s">
        <v>180</v>
      </c>
      <c r="BD650" t="s">
        <v>548</v>
      </c>
      <c r="BF650" t="s">
        <v>1262</v>
      </c>
      <c r="BG650" s="2" t="s">
        <v>1262</v>
      </c>
      <c r="BH650" s="10">
        <f>SUMIFS('[1]2026'!$K:$K,'[1]2026'!$T:$T,BD650,'[1]2026'!$S:$S,BH$3,'[1]2026'!$P:$P,AU650)</f>
        <v>109062.95999999999</v>
      </c>
      <c r="BI650" s="10">
        <f>SUMIFS('[1]2026'!$K:$K,'[1]2026'!$T:$T,$BD650,'[1]2026'!$S:$S,BI$3,'[1]2026'!$P:$P,$AU650)</f>
        <v>0</v>
      </c>
      <c r="BJ650" s="10">
        <f>SUMIFS('[1]2026'!$K:$K,'[1]2026'!$T:$T,$BD650,'[1]2026'!$S:$S,BJ$3,'[1]2026'!$P:$P,$AU650)</f>
        <v>207854.53999999998</v>
      </c>
      <c r="BK650" s="10">
        <f>SUMIFS('[1]2026'!$K:$K,'[1]2026'!$T:$T,$BD650,'[1]2026'!$S:$S,BK$3,'[1]2026'!$P:$P,$AU650)</f>
        <v>105258.84</v>
      </c>
      <c r="BL650" s="10">
        <f>SUMIFS('[1]2026'!$K:$K,'[1]2026'!$T:$T,$BD650,'[1]2026'!$S:$S,BL$3,'[1]2026'!$P:$P,$AU650)</f>
        <v>109062.95999999999</v>
      </c>
      <c r="BM650" s="10">
        <f>SUMIFS('[1]2026'!$K:$K,'[1]2026'!$T:$T,$BD650,'[1]2026'!$S:$S,BM$3,'[1]2026'!$P:$P,$AU650)</f>
        <v>105544.79999999999</v>
      </c>
      <c r="BN650" s="10">
        <f>SUMIFS('[1]2026'!$K:$K,'[1]2026'!$T:$T,$BD650,'[1]2026'!$S:$S,BN$3,'[1]2026'!$P:$P,$AU650)</f>
        <v>109062.95999999999</v>
      </c>
      <c r="BO650" s="10">
        <f>SUMIFS('[1]2026'!$K:$K,'[1]2026'!$T:$T,$BD650,'[1]2026'!$S:$S,BO$3,'[1]2026'!$P:$P,$AU650)</f>
        <v>109062.95999999999</v>
      </c>
      <c r="BP650" s="6">
        <v>110000</v>
      </c>
      <c r="BQ650" s="6">
        <v>110000</v>
      </c>
      <c r="BR650" s="6">
        <v>110000</v>
      </c>
      <c r="BS650" s="6">
        <v>110000</v>
      </c>
      <c r="BT650" s="6">
        <f t="shared" si="404"/>
        <v>1294910.0199999998</v>
      </c>
      <c r="BV650" s="6">
        <f t="shared" si="426"/>
        <v>109062.95999999999</v>
      </c>
      <c r="BW650" s="6">
        <f t="shared" si="427"/>
        <v>0</v>
      </c>
      <c r="BX650" s="6">
        <f t="shared" si="428"/>
        <v>207854.53999999998</v>
      </c>
      <c r="BY650" s="6">
        <f t="shared" si="429"/>
        <v>105258.84</v>
      </c>
      <c r="BZ650" s="6">
        <f t="shared" si="430"/>
        <v>109062.95999999999</v>
      </c>
      <c r="CA650" s="6">
        <f t="shared" si="431"/>
        <v>105544.79999999999</v>
      </c>
      <c r="CB650" s="6">
        <f t="shared" si="432"/>
        <v>109062.95999999999</v>
      </c>
      <c r="CC650" s="6">
        <f t="shared" si="433"/>
        <v>109062.95999999999</v>
      </c>
      <c r="CD650" s="6">
        <f t="shared" si="434"/>
        <v>110000</v>
      </c>
      <c r="CE650" s="6">
        <f t="shared" si="435"/>
        <v>110000</v>
      </c>
      <c r="CF650" s="6">
        <f t="shared" si="436"/>
        <v>110000</v>
      </c>
      <c r="CG650" s="6">
        <f t="shared" si="437"/>
        <v>110000</v>
      </c>
      <c r="CH650" s="6">
        <f t="shared" si="440"/>
        <v>1294910.0199999998</v>
      </c>
      <c r="CI650" t="s">
        <v>1097</v>
      </c>
    </row>
    <row r="651" spans="1:87" hidden="1" x14ac:dyDescent="0.35">
      <c r="A651" s="3" t="s">
        <v>1098</v>
      </c>
      <c r="B651" s="10">
        <v>52499.999999999993</v>
      </c>
      <c r="C651" s="10">
        <v>52499.999999999993</v>
      </c>
      <c r="D651" s="10">
        <v>52499.999999999993</v>
      </c>
      <c r="E651" s="10">
        <v>52499.999999999993</v>
      </c>
      <c r="F651" s="10">
        <v>52499.999999999993</v>
      </c>
      <c r="G651" s="10">
        <v>52499.999999999993</v>
      </c>
      <c r="H651" s="10">
        <v>52499.999999999993</v>
      </c>
      <c r="I651" s="10">
        <v>52499.999999999993</v>
      </c>
      <c r="J651" s="10">
        <v>52499.999999999993</v>
      </c>
      <c r="K651" s="10">
        <v>52499.999999999993</v>
      </c>
      <c r="L651" s="10">
        <v>52499.999999999993</v>
      </c>
      <c r="M651" s="10">
        <v>52499.999999999993</v>
      </c>
      <c r="N651" s="27">
        <f t="shared" si="423"/>
        <v>629999.99999999988</v>
      </c>
      <c r="O651" s="10">
        <v>52499.999999999993</v>
      </c>
      <c r="P651" s="10">
        <v>52499.999999999993</v>
      </c>
      <c r="Q651" s="10">
        <v>52499.999999999993</v>
      </c>
      <c r="R651" s="10">
        <v>52499.999999999993</v>
      </c>
      <c r="S651" s="10">
        <v>52499.999999999993</v>
      </c>
      <c r="T651" s="10">
        <v>52499.999999999993</v>
      </c>
      <c r="U651" s="10">
        <v>52499.999999999993</v>
      </c>
      <c r="V651" s="10">
        <v>52499.999999999993</v>
      </c>
      <c r="W651" s="10">
        <v>52499.999999999993</v>
      </c>
      <c r="X651" s="10">
        <v>52499.999999999993</v>
      </c>
      <c r="Y651" s="10">
        <v>52499.999999999993</v>
      </c>
      <c r="Z651" s="10">
        <v>52499.999999999993</v>
      </c>
      <c r="AA651" s="27">
        <f t="shared" si="424"/>
        <v>629999.99999999988</v>
      </c>
      <c r="AB651" s="10">
        <f t="shared" si="425"/>
        <v>0</v>
      </c>
      <c r="AC651" s="10">
        <f t="shared" si="425"/>
        <v>0</v>
      </c>
      <c r="AD651" s="10">
        <f t="shared" si="425"/>
        <v>0</v>
      </c>
      <c r="AE651" s="10">
        <f t="shared" si="425"/>
        <v>0</v>
      </c>
      <c r="AF651" s="10">
        <f t="shared" si="425"/>
        <v>0</v>
      </c>
      <c r="AG651" s="10">
        <f t="shared" si="425"/>
        <v>0</v>
      </c>
      <c r="AH651" s="10">
        <f t="shared" si="425"/>
        <v>0</v>
      </c>
      <c r="AI651" s="10">
        <f t="shared" si="425"/>
        <v>0</v>
      </c>
      <c r="AJ651" s="10">
        <f t="shared" si="425"/>
        <v>0</v>
      </c>
      <c r="AK651" s="10">
        <f t="shared" si="425"/>
        <v>0</v>
      </c>
      <c r="AL651" s="10">
        <f t="shared" si="425"/>
        <v>0</v>
      </c>
      <c r="AM651" s="10">
        <f t="shared" si="425"/>
        <v>0</v>
      </c>
      <c r="AN651" s="27">
        <f t="shared" si="421"/>
        <v>0</v>
      </c>
      <c r="AO651" s="28" t="e">
        <f>SUMIF('[3]2025B and 2025F Details'!$AU:$AU,AP651,'[3]2025B and 2025F Details'!$BH:$BH)</f>
        <v>#VALUE!</v>
      </c>
      <c r="AP651" t="s">
        <v>1099</v>
      </c>
      <c r="AS651" t="str">
        <f>_xlfn.XLOOKUP(AU651,[2]GAE!HZ:HZ,[2]GAE!IA:IA)</f>
        <v>OMD OPERATIONS</v>
      </c>
      <c r="AT651" t="str">
        <f>_xlfn.XLOOKUP(AU651,[2]GAE!HZ:HZ,[2]GAE!IB:IB)</f>
        <v>DOE - Security - Common</v>
      </c>
      <c r="AU651" t="s">
        <v>1096</v>
      </c>
      <c r="AV651">
        <v>81319101</v>
      </c>
      <c r="AW651">
        <v>52041401</v>
      </c>
      <c r="AX651" t="str">
        <f>_xlfn.XLOOKUP(AU651,[2]GAE!HZ:HZ,[2]GAE!IF:IF)</f>
        <v>Contracted services</v>
      </c>
      <c r="AY651" t="str">
        <f>_xlfn.XLOOKUP(AU651,[2]GAE!HZ:HZ,[2]GAE!IG:IG)</f>
        <v>Security</v>
      </c>
      <c r="BA651" t="s">
        <v>1086</v>
      </c>
      <c r="BC651" t="s">
        <v>180</v>
      </c>
      <c r="BD651" t="s">
        <v>554</v>
      </c>
      <c r="BF651" t="s">
        <v>1262</v>
      </c>
      <c r="BG651" s="2" t="s">
        <v>1262</v>
      </c>
      <c r="BH651" s="10">
        <f>SUMIFS('[1]2026'!$K:$K,'[1]2026'!$T:$T,BD651,'[1]2026'!$S:$S,BH$3,'[1]2026'!$P:$P,AU651)</f>
        <v>53188.189999999995</v>
      </c>
      <c r="BI651" s="10">
        <f>SUMIFS('[1]2026'!$K:$K,'[1]2026'!$T:$T,$BD651,'[1]2026'!$S:$S,BI$3,'[1]2026'!$P:$P,$AU651)</f>
        <v>0</v>
      </c>
      <c r="BJ651" s="10">
        <f>SUMIFS('[1]2026'!$K:$K,'[1]2026'!$T:$T,$BD651,'[1]2026'!$S:$S,BJ$3,'[1]2026'!$P:$P,$AU651)</f>
        <v>73777.16</v>
      </c>
      <c r="BK651" s="10">
        <f>SUMIFS('[1]2026'!$K:$K,'[1]2026'!$T:$T,$BD651,'[1]2026'!$S:$S,BK$3,'[1]2026'!$P:$P,$AU651)</f>
        <v>53872.070000000007</v>
      </c>
      <c r="BL651" s="10">
        <f>SUMIFS('[1]2026'!$K:$K,'[1]2026'!$T:$T,$BD651,'[1]2026'!$S:$S,BL$3,'[1]2026'!$P:$P,$AU651)</f>
        <v>25736.22</v>
      </c>
      <c r="BM651" s="10">
        <f>SUMIFS('[1]2026'!$K:$K,'[1]2026'!$T:$T,$BD651,'[1]2026'!$S:$S,BM$3,'[1]2026'!$P:$P,$AU651)</f>
        <v>75480.040000000008</v>
      </c>
      <c r="BN651" s="10">
        <f>SUMIFS('[1]2026'!$K:$K,'[1]2026'!$T:$T,$BD651,'[1]2026'!$S:$S,BN$3,'[1]2026'!$P:$P,$AU651)</f>
        <v>25736.22</v>
      </c>
      <c r="BO651" s="10">
        <f>SUMIFS('[1]2026'!$K:$K,'[1]2026'!$T:$T,$BD651,'[1]2026'!$S:$S,BO$3,'[1]2026'!$P:$P,$AU651)</f>
        <v>53181.039999999994</v>
      </c>
      <c r="BP651" s="6">
        <v>53000</v>
      </c>
      <c r="BQ651" s="6">
        <v>53000</v>
      </c>
      <c r="BR651" s="6">
        <v>53000</v>
      </c>
      <c r="BS651" s="6">
        <v>53000</v>
      </c>
      <c r="BT651" s="6">
        <f t="shared" si="404"/>
        <v>572970.93999999994</v>
      </c>
      <c r="BV651" s="6">
        <f t="shared" si="426"/>
        <v>53188.189999999995</v>
      </c>
      <c r="BW651" s="6">
        <f t="shared" si="427"/>
        <v>0</v>
      </c>
      <c r="BX651" s="6">
        <f t="shared" si="428"/>
        <v>73777.16</v>
      </c>
      <c r="BY651" s="6">
        <f t="shared" si="429"/>
        <v>53872.070000000007</v>
      </c>
      <c r="BZ651" s="6">
        <f t="shared" si="430"/>
        <v>25736.22</v>
      </c>
      <c r="CA651" s="6">
        <f t="shared" si="431"/>
        <v>75480.040000000008</v>
      </c>
      <c r="CB651" s="6">
        <f t="shared" si="432"/>
        <v>25736.22</v>
      </c>
      <c r="CC651" s="6">
        <f t="shared" si="433"/>
        <v>53181.039999999994</v>
      </c>
      <c r="CD651" s="6">
        <f t="shared" si="434"/>
        <v>53000</v>
      </c>
      <c r="CE651" s="6">
        <f t="shared" si="435"/>
        <v>53000</v>
      </c>
      <c r="CF651" s="6">
        <f t="shared" si="436"/>
        <v>53000</v>
      </c>
      <c r="CG651" s="6">
        <f t="shared" si="437"/>
        <v>53000</v>
      </c>
      <c r="CH651" s="6">
        <f t="shared" si="440"/>
        <v>572970.93999999994</v>
      </c>
      <c r="CI651" t="s">
        <v>1084</v>
      </c>
    </row>
    <row r="652" spans="1:87" hidden="1" x14ac:dyDescent="0.35">
      <c r="AN652" s="27">
        <f>N652-AA652</f>
        <v>0</v>
      </c>
      <c r="AS652" t="str">
        <f>_xlfn.XLOOKUP(AU652,[2]GAE!HZ:HZ,[2]GAE!IA:IA)</f>
        <v>OMD OPERATIONS</v>
      </c>
      <c r="AT652" t="str">
        <f>_xlfn.XLOOKUP(AU652,[2]GAE!HZ:HZ,[2]GAE!IB:IB)</f>
        <v>DOE - Security - Common</v>
      </c>
      <c r="AU652" s="2" t="s">
        <v>1096</v>
      </c>
      <c r="AV652" s="2">
        <v>81319101</v>
      </c>
      <c r="AW652" s="2">
        <v>52041401</v>
      </c>
      <c r="AX652" t="str">
        <f>_xlfn.XLOOKUP(AU652,[2]GAE!HZ:HZ,[2]GAE!IF:IF)</f>
        <v>Contracted services</v>
      </c>
      <c r="AY652" t="str">
        <f>_xlfn.XLOOKUP(AU652,[2]GAE!HZ:HZ,[2]GAE!IG:IG)</f>
        <v>Security</v>
      </c>
      <c r="BC652" t="s">
        <v>180</v>
      </c>
      <c r="BD652" s="30" t="s">
        <v>1100</v>
      </c>
      <c r="BE652" s="30"/>
      <c r="BF652" t="s">
        <v>1262</v>
      </c>
      <c r="BG652" s="2" t="s">
        <v>1262</v>
      </c>
      <c r="BH652" s="10">
        <f>SUMIFS('[1]2026'!$K:$K,'[1]2026'!$T:$T,BD652,'[1]2026'!$S:$S,BH$3,'[1]2026'!$P:$P,AU652)</f>
        <v>0</v>
      </c>
      <c r="BI652" s="10">
        <f>SUMIFS('[1]2026'!$K:$K,'[1]2026'!$T:$T,$BD652,'[1]2026'!$S:$S,BI$3,'[1]2026'!$P:$P,$AU652)</f>
        <v>214072.71000000002</v>
      </c>
      <c r="BJ652" s="10">
        <f>SUMIFS('[1]2026'!$K:$K,'[1]2026'!$T:$T,$BD652,'[1]2026'!$S:$S,BJ$3,'[1]2026'!$P:$P,$AU652)</f>
        <v>24857.9</v>
      </c>
      <c r="BK652" s="10">
        <f>SUMIFS('[1]2026'!$K:$K,'[1]2026'!$T:$T,$BD652,'[1]2026'!$S:$S,BK$3,'[1]2026'!$P:$P,$AU652)</f>
        <v>0</v>
      </c>
      <c r="BL652" s="10">
        <f>SUMIFS('[1]2026'!$K:$K,'[1]2026'!$T:$T,$BD652,'[1]2026'!$S:$S,BL$3,'[1]2026'!$P:$P,$AU652)</f>
        <v>0</v>
      </c>
      <c r="BM652" s="10">
        <f>SUMIFS('[1]2026'!$K:$K,'[1]2026'!$T:$T,$BD652,'[1]2026'!$S:$S,BM$3,'[1]2026'!$P:$P,$AU652)</f>
        <v>0</v>
      </c>
      <c r="BN652" s="10">
        <f>SUMIFS('[1]2026'!$K:$K,'[1]2026'!$T:$T,$BD652,'[1]2026'!$S:$S,BN$3,'[1]2026'!$P:$P,$AU652)</f>
        <v>0</v>
      </c>
      <c r="BO652" s="10">
        <f>SUMIFS('[1]2026'!$K:$K,'[1]2026'!$T:$T,$BD652,'[1]2026'!$S:$S,BO$3,'[1]2026'!$P:$P,$AU652)</f>
        <v>0</v>
      </c>
      <c r="BP652" s="6">
        <f t="shared" ref="BP652:BS652" si="442">BO652</f>
        <v>0</v>
      </c>
      <c r="BQ652" s="6">
        <f t="shared" si="442"/>
        <v>0</v>
      </c>
      <c r="BR652" s="6">
        <f t="shared" si="442"/>
        <v>0</v>
      </c>
      <c r="BS652" s="6">
        <f t="shared" si="442"/>
        <v>0</v>
      </c>
      <c r="BT652" s="6">
        <f t="shared" si="404"/>
        <v>238930.61000000002</v>
      </c>
      <c r="BV652" s="6">
        <f t="shared" si="426"/>
        <v>0</v>
      </c>
      <c r="BW652" s="6">
        <f t="shared" si="427"/>
        <v>214072.71000000002</v>
      </c>
      <c r="BX652" s="6">
        <f t="shared" si="428"/>
        <v>24857.9</v>
      </c>
      <c r="BY652" s="6">
        <f t="shared" si="429"/>
        <v>0</v>
      </c>
      <c r="BZ652" s="6">
        <f t="shared" si="430"/>
        <v>0</v>
      </c>
      <c r="CA652" s="6">
        <f t="shared" si="431"/>
        <v>0</v>
      </c>
      <c r="CB652" s="6">
        <f t="shared" si="432"/>
        <v>0</v>
      </c>
      <c r="CC652" s="6">
        <f t="shared" si="433"/>
        <v>0</v>
      </c>
      <c r="CD652" s="6">
        <f t="shared" si="434"/>
        <v>0</v>
      </c>
      <c r="CE652" s="6">
        <f t="shared" si="435"/>
        <v>0</v>
      </c>
      <c r="CF652" s="6">
        <f t="shared" si="436"/>
        <v>0</v>
      </c>
      <c r="CG652" s="6">
        <f t="shared" si="437"/>
        <v>0</v>
      </c>
      <c r="CH652" s="6">
        <f t="shared" si="440"/>
        <v>238930.61000000002</v>
      </c>
    </row>
    <row r="653" spans="1:87" hidden="1" x14ac:dyDescent="0.35">
      <c r="A653" s="3" t="s">
        <v>1101</v>
      </c>
      <c r="B653" s="10">
        <v>5791.666666666667</v>
      </c>
      <c r="C653" s="10">
        <v>5791.666666666667</v>
      </c>
      <c r="D653" s="10">
        <v>5791.666666666667</v>
      </c>
      <c r="E653" s="10">
        <v>5791.666666666667</v>
      </c>
      <c r="F653" s="10">
        <v>5791.666666666667</v>
      </c>
      <c r="G653" s="10">
        <v>5791.666666666667</v>
      </c>
      <c r="H653" s="10">
        <v>5791.666666666667</v>
      </c>
      <c r="I653" s="10">
        <v>5791.666666666667</v>
      </c>
      <c r="J653" s="10">
        <v>5791.666666666667</v>
      </c>
      <c r="K653" s="10">
        <v>5791.666666666667</v>
      </c>
      <c r="L653" s="10">
        <v>5791.666666666667</v>
      </c>
      <c r="M653" s="10">
        <v>5791.666666666667</v>
      </c>
      <c r="N653" s="27">
        <f t="shared" si="423"/>
        <v>69499.999999999985</v>
      </c>
      <c r="O653" s="10">
        <v>3010.5868695094687</v>
      </c>
      <c r="P653" s="10">
        <v>3010.5868695094687</v>
      </c>
      <c r="Q653" s="10">
        <v>3010.5868695094687</v>
      </c>
      <c r="R653" s="10">
        <v>3010.5868695094687</v>
      </c>
      <c r="S653" s="10">
        <v>3010.5868695094687</v>
      </c>
      <c r="T653" s="10">
        <v>3010.5868695094687</v>
      </c>
      <c r="U653" s="10">
        <v>3010.5868695094687</v>
      </c>
      <c r="V653" s="10">
        <v>3010.5868695094687</v>
      </c>
      <c r="W653" s="10">
        <v>3010.5868695094687</v>
      </c>
      <c r="X653" s="10">
        <v>3010.5868695094687</v>
      </c>
      <c r="Y653" s="10">
        <v>3010.5868695094687</v>
      </c>
      <c r="Z653" s="10">
        <v>3010.5868695094687</v>
      </c>
      <c r="AA653" s="27">
        <f t="shared" si="424"/>
        <v>36127.042434113624</v>
      </c>
      <c r="AB653" s="10">
        <f t="shared" si="425"/>
        <v>2781.0797971571983</v>
      </c>
      <c r="AC653" s="10">
        <f t="shared" si="425"/>
        <v>2781.0797971571983</v>
      </c>
      <c r="AD653" s="10">
        <f t="shared" si="425"/>
        <v>2781.0797971571983</v>
      </c>
      <c r="AE653" s="10">
        <f t="shared" si="425"/>
        <v>2781.0797971571983</v>
      </c>
      <c r="AF653" s="10">
        <f t="shared" si="425"/>
        <v>2781.0797971571983</v>
      </c>
      <c r="AG653" s="10">
        <f t="shared" si="425"/>
        <v>2781.0797971571983</v>
      </c>
      <c r="AH653" s="10">
        <f t="shared" si="425"/>
        <v>2781.0797971571983</v>
      </c>
      <c r="AI653" s="10">
        <f t="shared" si="425"/>
        <v>2781.0797971571983</v>
      </c>
      <c r="AJ653" s="10">
        <f t="shared" si="425"/>
        <v>2781.0797971571983</v>
      </c>
      <c r="AK653" s="10">
        <f t="shared" si="425"/>
        <v>2781.0797971571983</v>
      </c>
      <c r="AL653" s="10">
        <f t="shared" si="425"/>
        <v>2781.0797971571983</v>
      </c>
      <c r="AM653" s="10">
        <f t="shared" si="425"/>
        <v>2781.0797971571983</v>
      </c>
      <c r="AN653" s="27">
        <f t="shared" si="421"/>
        <v>33372.957565886361</v>
      </c>
      <c r="AS653" t="str">
        <f>_xlfn.XLOOKUP(AU653,[2]GAE!HZ:HZ,[2]GAE!IA:IA)</f>
        <v>OMD OPERATIONS</v>
      </c>
      <c r="AT653" t="str">
        <f>_xlfn.XLOOKUP(AU653,[2]GAE!HZ:HZ,[2]GAE!IB:IB)</f>
        <v>DOE - Supplies</v>
      </c>
      <c r="AU653" t="s">
        <v>293</v>
      </c>
      <c r="AV653">
        <v>81319101</v>
      </c>
      <c r="AW653">
        <v>52111101</v>
      </c>
      <c r="AX653" t="str">
        <f>_xlfn.XLOOKUP(AU653,[2]GAE!HZ:HZ,[2]GAE!IF:IF)</f>
        <v>Others</v>
      </c>
      <c r="AY653" t="str">
        <f>_xlfn.XLOOKUP(AU653,[2]GAE!HZ:HZ,[2]GAE!IG:IG)</f>
        <v>Supplies</v>
      </c>
      <c r="BC653" t="s">
        <v>6</v>
      </c>
      <c r="BD653" t="s">
        <v>1102</v>
      </c>
      <c r="BF653" t="s">
        <v>179</v>
      </c>
      <c r="BG653" s="2" t="s">
        <v>6</v>
      </c>
      <c r="BH653" s="10">
        <f>SUMIFS('[1]2026'!$K:$K,'[1]2026'!$T:$T,BD653,'[1]2026'!$S:$S,BH$3,'[1]2026'!$P:$P,AU653)</f>
        <v>6792.4900000000007</v>
      </c>
      <c r="BI653" s="10">
        <f>SUMIFS('[1]2026'!$K:$K,'[1]2026'!$T:$T,$BD653,'[1]2026'!$S:$S,BI$3,'[1]2026'!$P:$P,$AU653)</f>
        <v>0.01</v>
      </c>
      <c r="BJ653" s="10">
        <f>SUMIFS('[1]2026'!$K:$K,'[1]2026'!$T:$T,$BD653,'[1]2026'!$S:$S,BJ$3,'[1]2026'!$P:$P,$AU653)</f>
        <v>0</v>
      </c>
      <c r="BK653" s="10">
        <f>SUMIFS('[1]2026'!$K:$K,'[1]2026'!$T:$T,$BD653,'[1]2026'!$S:$S,BK$3,'[1]2026'!$P:$P,$AU653)</f>
        <v>0</v>
      </c>
      <c r="BL653" s="10">
        <f>SUMIFS('[1]2026'!$K:$K,'[1]2026'!$T:$T,$BD653,'[1]2026'!$S:$S,BL$3,'[1]2026'!$P:$P,$AU653)</f>
        <v>0</v>
      </c>
      <c r="BM653" s="10">
        <f>SUMIFS('[1]2026'!$K:$K,'[1]2026'!$T:$T,$BD653,'[1]2026'!$S:$S,BM$3,'[1]2026'!$P:$P,$AU653)</f>
        <v>0</v>
      </c>
      <c r="BN653" s="10">
        <f>SUMIFS('[1]2026'!$K:$K,'[1]2026'!$T:$T,$BD653,'[1]2026'!$S:$S,BN$3,'[1]2026'!$P:$P,$AU653)</f>
        <v>0</v>
      </c>
      <c r="BO653" s="10">
        <f>SUMIFS('[1]2026'!$K:$K,'[1]2026'!$T:$T,$BD653,'[1]2026'!$S:$S,BO$3,'[1]2026'!$P:$P,$AU653)</f>
        <v>0</v>
      </c>
      <c r="BP653" s="6"/>
      <c r="BQ653" s="6"/>
      <c r="BR653" s="6"/>
      <c r="BS653" s="6"/>
      <c r="BT653" s="6">
        <f t="shared" si="404"/>
        <v>6792.5000000000009</v>
      </c>
      <c r="BV653" s="6">
        <f t="shared" si="426"/>
        <v>4011.4102028428024</v>
      </c>
      <c r="BW653" s="6">
        <f t="shared" si="427"/>
        <v>-2781.0697971571981</v>
      </c>
      <c r="BX653" s="6">
        <f t="shared" si="428"/>
        <v>-2781.0797971571983</v>
      </c>
      <c r="BY653" s="6">
        <f t="shared" si="429"/>
        <v>-2781.0797971571983</v>
      </c>
      <c r="BZ653" s="6">
        <f t="shared" si="430"/>
        <v>-2781.0797971571983</v>
      </c>
      <c r="CA653" s="6">
        <f t="shared" si="431"/>
        <v>-2781.0797971571983</v>
      </c>
      <c r="CB653" s="6">
        <f t="shared" si="432"/>
        <v>-2781.0797971571983</v>
      </c>
      <c r="CC653" s="6">
        <f t="shared" si="433"/>
        <v>-2781.0797971571983</v>
      </c>
      <c r="CD653" s="6">
        <f t="shared" si="434"/>
        <v>-2781.0797971571983</v>
      </c>
      <c r="CE653" s="6">
        <f t="shared" si="435"/>
        <v>-2781.0797971571983</v>
      </c>
      <c r="CF653" s="6">
        <f t="shared" si="436"/>
        <v>-2781.0797971571983</v>
      </c>
      <c r="CG653" s="6">
        <f t="shared" si="437"/>
        <v>-2781.0797971571983</v>
      </c>
      <c r="CH653" s="6">
        <f t="shared" si="440"/>
        <v>-26580.457565886361</v>
      </c>
    </row>
    <row r="654" spans="1:87" hidden="1" x14ac:dyDescent="0.35">
      <c r="A654" s="3" t="s">
        <v>1103</v>
      </c>
      <c r="B654" s="10">
        <v>50615.680000000015</v>
      </c>
      <c r="C654" s="10">
        <v>50615.680000000015</v>
      </c>
      <c r="D654" s="10">
        <v>50615.680000000015</v>
      </c>
      <c r="E654" s="10">
        <v>50615.680000000015</v>
      </c>
      <c r="F654" s="10">
        <v>50615.680000000015</v>
      </c>
      <c r="G654" s="10">
        <v>50615.680000000015</v>
      </c>
      <c r="H654" s="10">
        <v>50615.680000000015</v>
      </c>
      <c r="I654" s="10">
        <v>50615.680000000015</v>
      </c>
      <c r="J654" s="10">
        <v>50615.680000000015</v>
      </c>
      <c r="K654" s="10">
        <v>50615.680000000015</v>
      </c>
      <c r="L654" s="10">
        <v>50615.680000000015</v>
      </c>
      <c r="M654" s="10">
        <v>50615.680000000015</v>
      </c>
      <c r="N654" s="27">
        <f t="shared" si="423"/>
        <v>607388.16000000015</v>
      </c>
      <c r="O654" s="10">
        <v>50615.680000000015</v>
      </c>
      <c r="P654" s="10">
        <v>50615.680000000015</v>
      </c>
      <c r="Q654" s="10">
        <v>50615.680000000015</v>
      </c>
      <c r="R654" s="10">
        <v>50615.680000000015</v>
      </c>
      <c r="S654" s="10">
        <v>50615.680000000015</v>
      </c>
      <c r="T654" s="10">
        <v>50615.680000000015</v>
      </c>
      <c r="U654" s="10">
        <v>50615.680000000015</v>
      </c>
      <c r="V654" s="10">
        <v>50615.680000000015</v>
      </c>
      <c r="W654" s="10">
        <v>50615.680000000015</v>
      </c>
      <c r="X654" s="10">
        <v>50615.680000000015</v>
      </c>
      <c r="Y654" s="10">
        <v>50615.680000000015</v>
      </c>
      <c r="Z654" s="10">
        <v>50615.680000000015</v>
      </c>
      <c r="AA654" s="27">
        <f t="shared" si="424"/>
        <v>607388.16000000015</v>
      </c>
      <c r="AB654" s="10">
        <f t="shared" si="425"/>
        <v>0</v>
      </c>
      <c r="AC654" s="10">
        <f t="shared" si="425"/>
        <v>0</v>
      </c>
      <c r="AD654" s="10">
        <f t="shared" si="425"/>
        <v>0</v>
      </c>
      <c r="AE654" s="10">
        <f t="shared" si="425"/>
        <v>0</v>
      </c>
      <c r="AF654" s="10">
        <f t="shared" si="425"/>
        <v>0</v>
      </c>
      <c r="AG654" s="10">
        <f t="shared" si="425"/>
        <v>0</v>
      </c>
      <c r="AH654" s="10">
        <f t="shared" si="425"/>
        <v>0</v>
      </c>
      <c r="AI654" s="10">
        <f t="shared" si="425"/>
        <v>0</v>
      </c>
      <c r="AJ654" s="10">
        <f t="shared" si="425"/>
        <v>0</v>
      </c>
      <c r="AK654" s="10">
        <f t="shared" si="425"/>
        <v>0</v>
      </c>
      <c r="AL654" s="10">
        <f t="shared" si="425"/>
        <v>0</v>
      </c>
      <c r="AM654" s="10">
        <f t="shared" si="425"/>
        <v>0</v>
      </c>
      <c r="AN654" s="27">
        <f t="shared" si="421"/>
        <v>0</v>
      </c>
      <c r="AO654" s="28" t="e">
        <f>SUMIF('[3]2025B and 2025F Details'!$AU:$AU,AP654,'[3]2025B and 2025F Details'!$BH:$BH)</f>
        <v>#VALUE!</v>
      </c>
      <c r="AP654" t="s">
        <v>1104</v>
      </c>
      <c r="AS654" t="str">
        <f>_xlfn.XLOOKUP(AU654,[2]GAE!HZ:HZ,[2]GAE!IA:IA)</f>
        <v>OMD OPERATIONS</v>
      </c>
      <c r="AT654" t="str">
        <f>_xlfn.XLOOKUP(AU654,[2]GAE!HZ:HZ,[2]GAE!IB:IB)</f>
        <v>DOE - Security - Common</v>
      </c>
      <c r="AU654" t="s">
        <v>1096</v>
      </c>
      <c r="AV654">
        <v>81319101</v>
      </c>
      <c r="AW654">
        <v>52041401</v>
      </c>
      <c r="AX654" t="str">
        <f>_xlfn.XLOOKUP(AU654,[2]GAE!HZ:HZ,[2]GAE!IF:IF)</f>
        <v>Contracted services</v>
      </c>
      <c r="AY654" t="str">
        <f>_xlfn.XLOOKUP(AU654,[2]GAE!HZ:HZ,[2]GAE!IG:IG)</f>
        <v>Security</v>
      </c>
      <c r="BA654" t="s">
        <v>1086</v>
      </c>
      <c r="BC654" t="s">
        <v>180</v>
      </c>
      <c r="BD654" s="2" t="s">
        <v>1102</v>
      </c>
      <c r="BE654" s="2"/>
      <c r="BF654" t="s">
        <v>1262</v>
      </c>
      <c r="BG654" s="2" t="s">
        <v>1262</v>
      </c>
      <c r="BH654" s="10">
        <f>SUMIFS('[1]2026'!$K:$K,'[1]2026'!$T:$T,BD654,'[1]2026'!$S:$S,BH$3,'[1]2026'!$P:$P,AU654)</f>
        <v>53188.189999999995</v>
      </c>
      <c r="BI654" s="10">
        <f>SUMIFS('[1]2026'!$K:$K,'[1]2026'!$T:$T,$BD654,'[1]2026'!$S:$S,BI$3,'[1]2026'!$P:$P,$AU654)</f>
        <v>48040.87</v>
      </c>
      <c r="BJ654" s="10">
        <f>SUMIFS('[1]2026'!$K:$K,'[1]2026'!$T:$T,$BD654,'[1]2026'!$S:$S,BJ$3,'[1]2026'!$P:$P,$AU654)</f>
        <v>51995.779999999992</v>
      </c>
      <c r="BK654" s="10">
        <f>SUMIFS('[1]2026'!$K:$K,'[1]2026'!$T:$T,$BD654,'[1]2026'!$S:$S,BK$3,'[1]2026'!$P:$P,$AU654)</f>
        <v>25736.22</v>
      </c>
      <c r="BL654" s="10">
        <f>SUMIFS('[1]2026'!$K:$K,'[1]2026'!$T:$T,$BD654,'[1]2026'!$S:$S,BL$3,'[1]2026'!$P:$P,$AU654)</f>
        <v>50811.880000000005</v>
      </c>
      <c r="BM654" s="10">
        <f>SUMIFS('[1]2026'!$K:$K,'[1]2026'!$T:$T,$BD654,'[1]2026'!$S:$S,BM$3,'[1]2026'!$P:$P,$AU654)</f>
        <v>51072.100000000006</v>
      </c>
      <c r="BN654" s="10">
        <f>SUMIFS('[1]2026'!$K:$K,'[1]2026'!$T:$T,$BD654,'[1]2026'!$S:$S,BN$3,'[1]2026'!$P:$P,$AU654)</f>
        <v>25736.22</v>
      </c>
      <c r="BO654" s="10">
        <f>SUMIFS('[1]2026'!$K:$K,'[1]2026'!$T:$T,$BD654,'[1]2026'!$S:$S,BO$3,'[1]2026'!$P:$P,$AU654)</f>
        <v>105677.22</v>
      </c>
      <c r="BP654" s="6">
        <v>52000</v>
      </c>
      <c r="BQ654" s="6">
        <v>52000</v>
      </c>
      <c r="BR654" s="6">
        <v>52000</v>
      </c>
      <c r="BS654" s="6">
        <v>52000</v>
      </c>
      <c r="BT654" s="6">
        <f t="shared" si="404"/>
        <v>620258.48</v>
      </c>
      <c r="BV654" s="6">
        <f t="shared" si="426"/>
        <v>53188.189999999995</v>
      </c>
      <c r="BW654" s="6">
        <f t="shared" si="427"/>
        <v>48040.87</v>
      </c>
      <c r="BX654" s="6">
        <f t="shared" si="428"/>
        <v>51995.779999999992</v>
      </c>
      <c r="BY654" s="6">
        <f t="shared" si="429"/>
        <v>25736.22</v>
      </c>
      <c r="BZ654" s="6">
        <f t="shared" si="430"/>
        <v>50811.880000000005</v>
      </c>
      <c r="CA654" s="6">
        <f t="shared" si="431"/>
        <v>51072.100000000006</v>
      </c>
      <c r="CB654" s="6">
        <f t="shared" si="432"/>
        <v>25736.22</v>
      </c>
      <c r="CC654" s="6">
        <f t="shared" si="433"/>
        <v>105677.22</v>
      </c>
      <c r="CD654" s="6">
        <f t="shared" si="434"/>
        <v>52000</v>
      </c>
      <c r="CE654" s="6">
        <f t="shared" si="435"/>
        <v>52000</v>
      </c>
      <c r="CF654" s="6">
        <f t="shared" si="436"/>
        <v>52000</v>
      </c>
      <c r="CG654" s="6">
        <f t="shared" si="437"/>
        <v>52000</v>
      </c>
      <c r="CH654" s="6">
        <f t="shared" si="440"/>
        <v>620258.48</v>
      </c>
      <c r="CI654" t="s">
        <v>1084</v>
      </c>
    </row>
    <row r="655" spans="1:87" hidden="1" x14ac:dyDescent="0.35">
      <c r="A655" s="3" t="s">
        <v>1105</v>
      </c>
      <c r="B655" s="10">
        <v>107362.17999999998</v>
      </c>
      <c r="C655" s="10">
        <v>107362.17999999998</v>
      </c>
      <c r="D655" s="10">
        <v>107362.17999999998</v>
      </c>
      <c r="E655" s="10">
        <v>107362.17999999998</v>
      </c>
      <c r="F655" s="10">
        <v>107362.17999999998</v>
      </c>
      <c r="G655" s="10">
        <v>107362.17999999998</v>
      </c>
      <c r="H655" s="10">
        <v>107362.17999999998</v>
      </c>
      <c r="I655" s="10">
        <v>107362.17999999998</v>
      </c>
      <c r="J655" s="10">
        <v>107362.17999999998</v>
      </c>
      <c r="K655" s="10">
        <v>107362.17999999998</v>
      </c>
      <c r="L655" s="10">
        <v>107362.17999999998</v>
      </c>
      <c r="M655" s="10">
        <v>107362.17999999998</v>
      </c>
      <c r="N655" s="27">
        <f t="shared" si="423"/>
        <v>1288346.1599999995</v>
      </c>
      <c r="O655" s="10">
        <v>107362.17999999995</v>
      </c>
      <c r="P655" s="10">
        <v>107362.17999999995</v>
      </c>
      <c r="Q655" s="10">
        <v>107362.17999999995</v>
      </c>
      <c r="R655" s="10">
        <v>107362.17999999995</v>
      </c>
      <c r="S655" s="10">
        <v>107362.17999999995</v>
      </c>
      <c r="T655" s="10">
        <v>107362.17999999995</v>
      </c>
      <c r="U655" s="10">
        <v>107362.17999999995</v>
      </c>
      <c r="V655" s="10">
        <v>107362.17999999995</v>
      </c>
      <c r="W655" s="10">
        <v>107362.17999999995</v>
      </c>
      <c r="X655" s="10">
        <v>107362.17999999995</v>
      </c>
      <c r="Y655" s="10">
        <v>107362.17999999995</v>
      </c>
      <c r="Z655" s="10">
        <v>107362.17999999995</v>
      </c>
      <c r="AA655" s="27">
        <f t="shared" si="424"/>
        <v>1288346.1599999995</v>
      </c>
      <c r="AB655" s="10">
        <f t="shared" si="425"/>
        <v>0</v>
      </c>
      <c r="AC655" s="10">
        <f t="shared" si="425"/>
        <v>0</v>
      </c>
      <c r="AD655" s="10">
        <f t="shared" si="425"/>
        <v>0</v>
      </c>
      <c r="AE655" s="10">
        <f t="shared" si="425"/>
        <v>0</v>
      </c>
      <c r="AF655" s="10">
        <f t="shared" si="425"/>
        <v>0</v>
      </c>
      <c r="AG655" s="10">
        <f t="shared" si="425"/>
        <v>0</v>
      </c>
      <c r="AH655" s="10">
        <f t="shared" si="425"/>
        <v>0</v>
      </c>
      <c r="AI655" s="10">
        <f t="shared" si="425"/>
        <v>0</v>
      </c>
      <c r="AJ655" s="10">
        <f t="shared" si="425"/>
        <v>0</v>
      </c>
      <c r="AK655" s="10">
        <f t="shared" si="425"/>
        <v>0</v>
      </c>
      <c r="AL655" s="10">
        <f t="shared" si="425"/>
        <v>0</v>
      </c>
      <c r="AM655" s="10">
        <f t="shared" si="425"/>
        <v>0</v>
      </c>
      <c r="AN655" s="27">
        <f t="shared" si="421"/>
        <v>0</v>
      </c>
      <c r="AO655" s="28">
        <f>159726*12</f>
        <v>1916712</v>
      </c>
      <c r="AP655" t="s">
        <v>1106</v>
      </c>
      <c r="AR655" s="42" t="s">
        <v>1107</v>
      </c>
      <c r="AS655" t="str">
        <f>_xlfn.XLOOKUP(AU655,[2]GAE!HZ:HZ,[2]GAE!IA:IA)</f>
        <v>OMD OPERATIONS</v>
      </c>
      <c r="AT655" t="str">
        <f>_xlfn.XLOOKUP(AU655,[2]GAE!HZ:HZ,[2]GAE!IB:IB)</f>
        <v>DOE - Security - Common</v>
      </c>
      <c r="AU655" t="s">
        <v>1096</v>
      </c>
      <c r="AV655">
        <v>81319101</v>
      </c>
      <c r="AW655">
        <v>52041401</v>
      </c>
      <c r="AX655" t="str">
        <f>_xlfn.XLOOKUP(AU655,[2]GAE!HZ:HZ,[2]GAE!IF:IF)</f>
        <v>Contracted services</v>
      </c>
      <c r="AY655" t="str">
        <f>_xlfn.XLOOKUP(AU655,[2]GAE!HZ:HZ,[2]GAE!IG:IG)</f>
        <v>Security</v>
      </c>
      <c r="BA655" t="s">
        <v>547</v>
      </c>
      <c r="BC655" t="s">
        <v>180</v>
      </c>
      <c r="BD655" t="s">
        <v>552</v>
      </c>
      <c r="BF655" t="s">
        <v>1262</v>
      </c>
      <c r="BG655" s="2" t="s">
        <v>1262</v>
      </c>
      <c r="BH655" s="10">
        <f>SUMIFS('[1]2026'!$K:$K,'[1]2026'!$T:$T,BD655,'[1]2026'!$S:$S,BH$3,'[1]2026'!$P:$P,AU655)</f>
        <v>159234.43</v>
      </c>
      <c r="BI655" s="10">
        <f>SUMIFS('[1]2026'!$K:$K,'[1]2026'!$T:$T,$BD655,'[1]2026'!$S:$S,BI$3,'[1]2026'!$P:$P,$AU655)</f>
        <v>159234.43</v>
      </c>
      <c r="BJ655" s="10">
        <f>SUMIFS('[1]2026'!$K:$K,'[1]2026'!$T:$T,$BD655,'[1]2026'!$S:$S,BJ$3,'[1]2026'!$P:$P,$AU655)</f>
        <v>159234.43</v>
      </c>
      <c r="BK655" s="10">
        <f>SUMIFS('[1]2026'!$K:$K,'[1]2026'!$T:$T,$BD655,'[1]2026'!$S:$S,BK$3,'[1]2026'!$P:$P,$AU655)</f>
        <v>159234.43</v>
      </c>
      <c r="BL655" s="10">
        <f>SUMIFS('[1]2026'!$K:$K,'[1]2026'!$T:$T,$BD655,'[1]2026'!$S:$S,BL$3,'[1]2026'!$P:$P,$AU655)</f>
        <v>159234.43</v>
      </c>
      <c r="BM655" s="10">
        <f>SUMIFS('[1]2026'!$K:$K,'[1]2026'!$T:$T,$BD655,'[1]2026'!$S:$S,BM$3,'[1]2026'!$P:$P,$AU655)</f>
        <v>159234.43</v>
      </c>
      <c r="BN655" s="10">
        <f>SUMIFS('[1]2026'!$K:$K,'[1]2026'!$T:$T,$BD655,'[1]2026'!$S:$S,BN$3,'[1]2026'!$P:$P,$AU655)</f>
        <v>146582.92000000001</v>
      </c>
      <c r="BO655" s="10">
        <f>SUMIFS('[1]2026'!$K:$K,'[1]2026'!$T:$T,$BD655,'[1]2026'!$S:$S,BO$3,'[1]2026'!$P:$P,$AU655)</f>
        <v>159234.4</v>
      </c>
      <c r="BP655" s="6">
        <v>160000</v>
      </c>
      <c r="BQ655" s="6">
        <v>160000</v>
      </c>
      <c r="BR655" s="6">
        <v>160000</v>
      </c>
      <c r="BS655" s="6">
        <v>160000</v>
      </c>
      <c r="BT655" s="6">
        <f t="shared" si="404"/>
        <v>1901223.8999999997</v>
      </c>
      <c r="BV655" s="6">
        <f t="shared" si="426"/>
        <v>159234.43</v>
      </c>
      <c r="BW655" s="6">
        <f t="shared" si="427"/>
        <v>159234.43</v>
      </c>
      <c r="BX655" s="6">
        <f t="shared" si="428"/>
        <v>159234.43</v>
      </c>
      <c r="BY655" s="6">
        <f t="shared" si="429"/>
        <v>159234.43</v>
      </c>
      <c r="BZ655" s="6">
        <f t="shared" si="430"/>
        <v>159234.43</v>
      </c>
      <c r="CA655" s="6">
        <f t="shared" si="431"/>
        <v>159234.43</v>
      </c>
      <c r="CB655" s="6">
        <f t="shared" si="432"/>
        <v>146582.92000000001</v>
      </c>
      <c r="CC655" s="6">
        <f t="shared" si="433"/>
        <v>159234.4</v>
      </c>
      <c r="CD655" s="6">
        <f t="shared" si="434"/>
        <v>160000</v>
      </c>
      <c r="CE655" s="6">
        <f t="shared" si="435"/>
        <v>160000</v>
      </c>
      <c r="CF655" s="6">
        <f t="shared" si="436"/>
        <v>160000</v>
      </c>
      <c r="CG655" s="6">
        <f t="shared" si="437"/>
        <v>160000</v>
      </c>
      <c r="CH655" s="6">
        <f t="shared" si="440"/>
        <v>1901223.8999999997</v>
      </c>
      <c r="CI655" t="s">
        <v>1108</v>
      </c>
    </row>
    <row r="656" spans="1:87" hidden="1" x14ac:dyDescent="0.35">
      <c r="AN656" s="27">
        <f>N656-AA656</f>
        <v>0</v>
      </c>
      <c r="AR656" s="42"/>
      <c r="AS656" t="str">
        <f>_xlfn.XLOOKUP(AU656,[2]GAE!HZ:HZ,[2]GAE!IA:IA)</f>
        <v>ADMIN SERVICES</v>
      </c>
      <c r="AT656" t="str">
        <f>_xlfn.XLOOKUP(AU656,[2]GAE!HZ:HZ,[2]GAE!IB:IB)</f>
        <v>DOE - Security - Common</v>
      </c>
      <c r="AU656" s="2" t="s">
        <v>1092</v>
      </c>
      <c r="AV656" s="2">
        <v>81123102</v>
      </c>
      <c r="AW656" s="2">
        <v>52041401</v>
      </c>
      <c r="AX656" t="str">
        <f>_xlfn.XLOOKUP(AU656,[2]GAE!HZ:HZ,[2]GAE!IF:IF)</f>
        <v>Contracted services</v>
      </c>
      <c r="AY656" t="str">
        <f>_xlfn.XLOOKUP(AU656,[2]GAE!HZ:HZ,[2]GAE!IG:IG)</f>
        <v>Security</v>
      </c>
      <c r="BC656" t="s">
        <v>180</v>
      </c>
      <c r="BD656" t="s">
        <v>1100</v>
      </c>
      <c r="BF656" t="s">
        <v>1262</v>
      </c>
      <c r="BG656" s="2" t="s">
        <v>1262</v>
      </c>
      <c r="BH656" s="10">
        <f>SUMIFS('[1]2026'!$K:$K,'[1]2026'!$T:$T,BD656,'[1]2026'!$S:$S,BH$3,'[1]2026'!$P:$P,AU656)</f>
        <v>0</v>
      </c>
      <c r="BI656" s="10">
        <f>SUMIFS('[1]2026'!$K:$K,'[1]2026'!$T:$T,$BD656,'[1]2026'!$S:$S,BI$3,'[1]2026'!$P:$P,$AU656)</f>
        <v>0</v>
      </c>
      <c r="BJ656" s="10">
        <f>SUMIFS('[1]2026'!$K:$K,'[1]2026'!$T:$T,$BD656,'[1]2026'!$S:$S,BJ$3,'[1]2026'!$P:$P,$AU656)</f>
        <v>-25736.219999999994</v>
      </c>
      <c r="BK656" s="10">
        <f>SUMIFS('[1]2026'!$K:$K,'[1]2026'!$T:$T,$BD656,'[1]2026'!$S:$S,BK$3,'[1]2026'!$P:$P,$AU656)</f>
        <v>0</v>
      </c>
      <c r="BL656" s="10">
        <f>SUMIFS('[1]2026'!$K:$K,'[1]2026'!$T:$T,$BD656,'[1]2026'!$S:$S,BL$3,'[1]2026'!$P:$P,$AU656)</f>
        <v>0</v>
      </c>
      <c r="BM656" s="10">
        <f>SUMIFS('[1]2026'!$K:$K,'[1]2026'!$T:$T,$BD656,'[1]2026'!$S:$S,BM$3,'[1]2026'!$P:$P,$AU656)</f>
        <v>0</v>
      </c>
      <c r="BN656" s="10">
        <f>SUMIFS('[1]2026'!$K:$K,'[1]2026'!$T:$T,$BD656,'[1]2026'!$S:$S,BN$3,'[1]2026'!$P:$P,$AU656)</f>
        <v>0</v>
      </c>
      <c r="BO656" s="10">
        <f>SUMIFS('[1]2026'!$K:$K,'[1]2026'!$T:$T,$BD656,'[1]2026'!$S:$S,BO$3,'[1]2026'!$P:$P,$AU656)</f>
        <v>0</v>
      </c>
      <c r="BP656" s="6">
        <f t="shared" ref="BP656:BS668" si="443">BO656</f>
        <v>0</v>
      </c>
      <c r="BQ656" s="6">
        <f t="shared" si="443"/>
        <v>0</v>
      </c>
      <c r="BR656" s="6">
        <f t="shared" si="443"/>
        <v>0</v>
      </c>
      <c r="BS656" s="6">
        <f t="shared" si="443"/>
        <v>0</v>
      </c>
      <c r="BT656" s="6">
        <f t="shared" si="404"/>
        <v>-25736.219999999994</v>
      </c>
      <c r="BV656" s="6">
        <f t="shared" si="426"/>
        <v>0</v>
      </c>
      <c r="BW656" s="6">
        <f t="shared" si="427"/>
        <v>0</v>
      </c>
      <c r="BX656" s="6">
        <f t="shared" si="428"/>
        <v>-25736.219999999994</v>
      </c>
      <c r="BY656" s="6">
        <f t="shared" si="429"/>
        <v>0</v>
      </c>
      <c r="BZ656" s="6">
        <f t="shared" si="430"/>
        <v>0</v>
      </c>
      <c r="CA656" s="6">
        <f t="shared" si="431"/>
        <v>0</v>
      </c>
      <c r="CB656" s="6">
        <f t="shared" si="432"/>
        <v>0</v>
      </c>
      <c r="CC656" s="6">
        <f t="shared" si="433"/>
        <v>0</v>
      </c>
      <c r="CD656" s="6">
        <f t="shared" si="434"/>
        <v>0</v>
      </c>
      <c r="CE656" s="6">
        <f t="shared" si="435"/>
        <v>0</v>
      </c>
      <c r="CF656" s="6">
        <f t="shared" si="436"/>
        <v>0</v>
      </c>
      <c r="CG656" s="6">
        <f t="shared" si="437"/>
        <v>0</v>
      </c>
      <c r="CH656" s="6">
        <f t="shared" si="440"/>
        <v>-25736.219999999994</v>
      </c>
    </row>
    <row r="657" spans="1:86" hidden="1" x14ac:dyDescent="0.35">
      <c r="A657" s="3" t="s">
        <v>1109</v>
      </c>
      <c r="B657" s="10">
        <v>78916.666666666672</v>
      </c>
      <c r="C657" s="10">
        <v>78916.666666666672</v>
      </c>
      <c r="D657" s="10">
        <v>78916.666666666672</v>
      </c>
      <c r="E657" s="10">
        <v>78916.666666666672</v>
      </c>
      <c r="F657" s="10">
        <v>78916.666666666672</v>
      </c>
      <c r="G657" s="10">
        <v>78916.666666666672</v>
      </c>
      <c r="H657" s="10">
        <v>78916.666666666672</v>
      </c>
      <c r="I657" s="10">
        <v>78916.666666666672</v>
      </c>
      <c r="J657" s="10">
        <v>78916.666666666672</v>
      </c>
      <c r="K657" s="10">
        <v>78916.666666666672</v>
      </c>
      <c r="L657" s="10">
        <v>78916.666666666672</v>
      </c>
      <c r="M657" s="10">
        <v>78916.666666666672</v>
      </c>
      <c r="N657" s="27">
        <f t="shared" ref="N657:N720" si="444">SUM(B657:M657)</f>
        <v>946999.99999999988</v>
      </c>
      <c r="O657" s="10">
        <v>41021.95345935924</v>
      </c>
      <c r="P657" s="10">
        <v>41021.95345935924</v>
      </c>
      <c r="Q657" s="10">
        <v>41021.95345935924</v>
      </c>
      <c r="R657" s="10">
        <v>41021.95345935924</v>
      </c>
      <c r="S657" s="10">
        <v>41021.95345935924</v>
      </c>
      <c r="T657" s="10">
        <v>41021.95345935924</v>
      </c>
      <c r="U657" s="10">
        <v>41021.95345935924</v>
      </c>
      <c r="V657" s="10">
        <v>41021.95345935924</v>
      </c>
      <c r="W657" s="10">
        <v>41021.95345935924</v>
      </c>
      <c r="X657" s="10">
        <v>41021.95345935924</v>
      </c>
      <c r="Y657" s="10">
        <v>41021.95345935924</v>
      </c>
      <c r="Z657" s="10">
        <v>41021.95345935924</v>
      </c>
      <c r="AA657" s="27">
        <f t="shared" ref="AA657:AA720" si="445">SUM(O657:Z657)</f>
        <v>492263.44151231088</v>
      </c>
      <c r="AB657" s="10">
        <f t="shared" ref="AB657:AN680" si="446">B657-O657</f>
        <v>37894.713207307432</v>
      </c>
      <c r="AC657" s="10">
        <f t="shared" si="446"/>
        <v>37894.713207307432</v>
      </c>
      <c r="AD657" s="10">
        <f t="shared" si="446"/>
        <v>37894.713207307432</v>
      </c>
      <c r="AE657" s="10">
        <f t="shared" si="446"/>
        <v>37894.713207307432</v>
      </c>
      <c r="AF657" s="10">
        <f t="shared" si="446"/>
        <v>37894.713207307432</v>
      </c>
      <c r="AG657" s="10">
        <f t="shared" si="446"/>
        <v>37894.713207307432</v>
      </c>
      <c r="AH657" s="10">
        <f t="shared" si="446"/>
        <v>37894.713207307432</v>
      </c>
      <c r="AI657" s="10">
        <f t="shared" si="446"/>
        <v>37894.713207307432</v>
      </c>
      <c r="AJ657" s="10">
        <f t="shared" si="446"/>
        <v>37894.713207307432</v>
      </c>
      <c r="AK657" s="10">
        <f t="shared" si="446"/>
        <v>37894.713207307432</v>
      </c>
      <c r="AL657" s="10">
        <f t="shared" si="446"/>
        <v>37894.713207307432</v>
      </c>
      <c r="AM657" s="10">
        <f t="shared" si="446"/>
        <v>37894.713207307432</v>
      </c>
      <c r="AN657" s="27">
        <f t="shared" si="446"/>
        <v>454736.55848768901</v>
      </c>
      <c r="AS657" t="str">
        <f>_xlfn.XLOOKUP(AU657,[2]GAE!HZ:HZ,[2]GAE!IA:IA)</f>
        <v>OMD OPERATIONS</v>
      </c>
      <c r="AT657" t="str">
        <f>_xlfn.XLOOKUP(AU657,[2]GAE!HZ:HZ,[2]GAE!IB:IB)</f>
        <v>DOE - Supplies</v>
      </c>
      <c r="AU657" t="s">
        <v>293</v>
      </c>
      <c r="AV657">
        <v>81319101</v>
      </c>
      <c r="AW657">
        <v>52111101</v>
      </c>
      <c r="AX657" t="str">
        <f>_xlfn.XLOOKUP(AU657,[2]GAE!HZ:HZ,[2]GAE!IF:IF)</f>
        <v>Others</v>
      </c>
      <c r="AY657" t="str">
        <f>_xlfn.XLOOKUP(AU657,[2]GAE!HZ:HZ,[2]GAE!IG:IG)</f>
        <v>Supplies</v>
      </c>
      <c r="BC657" t="s">
        <v>6</v>
      </c>
      <c r="BD657" t="s">
        <v>552</v>
      </c>
      <c r="BF657" t="s">
        <v>179</v>
      </c>
      <c r="BG657" s="2" t="s">
        <v>6</v>
      </c>
      <c r="BH657" s="10">
        <f>SUMIFS('[1]2026'!$K:$K,'[1]2026'!$T:$T,BD657,'[1]2026'!$S:$S,BH$3,'[1]2026'!$P:$P,AU657)</f>
        <v>11164.29</v>
      </c>
      <c r="BI657" s="10">
        <f>SUMIFS('[1]2026'!$K:$K,'[1]2026'!$T:$T,$BD657,'[1]2026'!$S:$S,BI$3,'[1]2026'!$P:$P,$AU657)</f>
        <v>9384.7099999999991</v>
      </c>
      <c r="BJ657" s="10">
        <f>SUMIFS('[1]2026'!$K:$K,'[1]2026'!$T:$T,$BD657,'[1]2026'!$S:$S,BJ$3,'[1]2026'!$P:$P,$AU657)</f>
        <v>25892.86</v>
      </c>
      <c r="BK657" s="10">
        <f>SUMIFS('[1]2026'!$K:$K,'[1]2026'!$T:$T,$BD657,'[1]2026'!$S:$S,BK$3,'[1]2026'!$P:$P,$AU657)</f>
        <v>26833.48</v>
      </c>
      <c r="BL657" s="10">
        <f>SUMIFS('[1]2026'!$K:$K,'[1]2026'!$T:$T,$BD657,'[1]2026'!$S:$S,BL$3,'[1]2026'!$P:$P,$AU657)</f>
        <v>6500</v>
      </c>
      <c r="BM657" s="10">
        <f>SUMIFS('[1]2026'!$K:$K,'[1]2026'!$T:$T,$BD657,'[1]2026'!$S:$S,BM$3,'[1]2026'!$P:$P,$AU657)</f>
        <v>57142.859999999993</v>
      </c>
      <c r="BN657" s="10">
        <f>SUMIFS('[1]2026'!$K:$K,'[1]2026'!$T:$T,$BD657,'[1]2026'!$S:$S,BN$3,'[1]2026'!$P:$P,$AU657)</f>
        <v>8839.2900000000009</v>
      </c>
      <c r="BO657" s="10">
        <f>SUMIFS('[1]2026'!$K:$K,'[1]2026'!$T:$T,$BD657,'[1]2026'!$S:$S,BO$3,'[1]2026'!$P:$P,$AU657)</f>
        <v>33529.920000000006</v>
      </c>
      <c r="BP657" s="6"/>
      <c r="BQ657" s="6"/>
      <c r="BR657" s="6"/>
      <c r="BS657" s="6"/>
      <c r="BT657" s="6">
        <f t="shared" si="404"/>
        <v>179287.41</v>
      </c>
      <c r="BV657" s="6">
        <f t="shared" si="426"/>
        <v>-26730.423207307431</v>
      </c>
      <c r="BW657" s="6">
        <f t="shared" si="427"/>
        <v>-28510.003207307433</v>
      </c>
      <c r="BX657" s="6">
        <f t="shared" si="428"/>
        <v>-12001.853207307431</v>
      </c>
      <c r="BY657" s="6">
        <f t="shared" si="429"/>
        <v>-11061.233207307432</v>
      </c>
      <c r="BZ657" s="6">
        <f t="shared" si="430"/>
        <v>-31394.713207307432</v>
      </c>
      <c r="CA657" s="6">
        <f t="shared" si="431"/>
        <v>19248.146792692562</v>
      </c>
      <c r="CB657" s="6">
        <f t="shared" si="432"/>
        <v>-29055.423207307431</v>
      </c>
      <c r="CC657" s="6">
        <f t="shared" si="433"/>
        <v>-4364.7932073074262</v>
      </c>
      <c r="CD657" s="6">
        <f t="shared" si="434"/>
        <v>-37894.713207307432</v>
      </c>
      <c r="CE657" s="6">
        <f t="shared" si="435"/>
        <v>-37894.713207307432</v>
      </c>
      <c r="CF657" s="6">
        <f t="shared" si="436"/>
        <v>-37894.713207307432</v>
      </c>
      <c r="CG657" s="6">
        <f t="shared" si="437"/>
        <v>-37894.713207307432</v>
      </c>
      <c r="CH657" s="6">
        <f t="shared" si="440"/>
        <v>-275449.14848768897</v>
      </c>
    </row>
    <row r="658" spans="1:86" hidden="1" x14ac:dyDescent="0.35">
      <c r="A658" s="3" t="s">
        <v>1110</v>
      </c>
      <c r="B658" s="10">
        <v>59041.666666666664</v>
      </c>
      <c r="C658" s="10">
        <v>59041.666666666664</v>
      </c>
      <c r="D658" s="10">
        <v>59041.666666666664</v>
      </c>
      <c r="E658" s="10">
        <v>59041.666666666664</v>
      </c>
      <c r="F658" s="10">
        <v>59041.666666666664</v>
      </c>
      <c r="G658" s="10">
        <v>59041.666666666664</v>
      </c>
      <c r="H658" s="10">
        <v>59041.666666666664</v>
      </c>
      <c r="I658" s="10">
        <v>59041.666666666664</v>
      </c>
      <c r="J658" s="10">
        <v>59041.666666666664</v>
      </c>
      <c r="K658" s="10">
        <v>59041.666666666664</v>
      </c>
      <c r="L658" s="10">
        <v>59041.666666666664</v>
      </c>
      <c r="M658" s="10">
        <v>59041.666666666664</v>
      </c>
      <c r="N658" s="27">
        <f t="shared" si="444"/>
        <v>708499.99999999988</v>
      </c>
      <c r="O658" s="10">
        <v>30690.658950323148</v>
      </c>
      <c r="P658" s="10">
        <v>30690.658950323148</v>
      </c>
      <c r="Q658" s="10">
        <v>30690.658950323148</v>
      </c>
      <c r="R658" s="10">
        <v>30690.658950323148</v>
      </c>
      <c r="S658" s="10">
        <v>30690.658950323148</v>
      </c>
      <c r="T658" s="10">
        <v>30690.658950323148</v>
      </c>
      <c r="U658" s="10">
        <v>30690.658950323148</v>
      </c>
      <c r="V658" s="10">
        <v>30690.658950323148</v>
      </c>
      <c r="W658" s="10">
        <v>30690.658950323148</v>
      </c>
      <c r="X658" s="10">
        <v>30690.658950323148</v>
      </c>
      <c r="Y658" s="10">
        <v>30690.658950323148</v>
      </c>
      <c r="Z658" s="10">
        <v>30690.658950323148</v>
      </c>
      <c r="AA658" s="27">
        <f t="shared" si="445"/>
        <v>368287.9074038777</v>
      </c>
      <c r="AB658" s="10">
        <f t="shared" si="446"/>
        <v>28351.007716343516</v>
      </c>
      <c r="AC658" s="10">
        <f t="shared" si="446"/>
        <v>28351.007716343516</v>
      </c>
      <c r="AD658" s="10">
        <f t="shared" si="446"/>
        <v>28351.007716343516</v>
      </c>
      <c r="AE658" s="10">
        <f t="shared" si="446"/>
        <v>28351.007716343516</v>
      </c>
      <c r="AF658" s="10">
        <f t="shared" si="446"/>
        <v>28351.007716343516</v>
      </c>
      <c r="AG658" s="10">
        <f t="shared" si="446"/>
        <v>28351.007716343516</v>
      </c>
      <c r="AH658" s="10">
        <f t="shared" si="446"/>
        <v>28351.007716343516</v>
      </c>
      <c r="AI658" s="10">
        <f t="shared" si="446"/>
        <v>28351.007716343516</v>
      </c>
      <c r="AJ658" s="10">
        <f t="shared" si="446"/>
        <v>28351.007716343516</v>
      </c>
      <c r="AK658" s="10">
        <f t="shared" si="446"/>
        <v>28351.007716343516</v>
      </c>
      <c r="AL658" s="10">
        <f t="shared" si="446"/>
        <v>28351.007716343516</v>
      </c>
      <c r="AM658" s="10">
        <f t="shared" si="446"/>
        <v>28351.007716343516</v>
      </c>
      <c r="AN658" s="27">
        <f t="shared" si="446"/>
        <v>340212.09259612218</v>
      </c>
      <c r="AS658" t="str">
        <f>_xlfn.XLOOKUP(AU658,[2]GAE!HZ:HZ,[2]GAE!IA:IA)</f>
        <v>OMD OPERATIONS</v>
      </c>
      <c r="AT658" t="str">
        <f>_xlfn.XLOOKUP(AU658,[2]GAE!HZ:HZ,[2]GAE!IB:IB)</f>
        <v>DOE - Supplies</v>
      </c>
      <c r="AU658" t="s">
        <v>293</v>
      </c>
      <c r="AV658">
        <v>81319101</v>
      </c>
      <c r="AW658">
        <v>52111101</v>
      </c>
      <c r="AX658" t="str">
        <f>_xlfn.XLOOKUP(AU658,[2]GAE!HZ:HZ,[2]GAE!IF:IF)</f>
        <v>Others</v>
      </c>
      <c r="AY658" t="str">
        <f>_xlfn.XLOOKUP(AU658,[2]GAE!HZ:HZ,[2]GAE!IG:IG)</f>
        <v>Supplies</v>
      </c>
      <c r="BC658" t="s">
        <v>6</v>
      </c>
      <c r="BD658" t="s">
        <v>548</v>
      </c>
      <c r="BF658" t="s">
        <v>179</v>
      </c>
      <c r="BG658" s="2" t="s">
        <v>6</v>
      </c>
      <c r="BH658" s="10">
        <f>SUMIFS('[1]2026'!$K:$K,'[1]2026'!$T:$T,BD658,'[1]2026'!$S:$S,BH$3,'[1]2026'!$P:$P,AU658)</f>
        <v>19420.47</v>
      </c>
      <c r="BI658" s="10">
        <f>SUMIFS('[1]2026'!$K:$K,'[1]2026'!$T:$T,$BD658,'[1]2026'!$S:$S,BI$3,'[1]2026'!$P:$P,$AU658)</f>
        <v>2142.86</v>
      </c>
      <c r="BJ658" s="10">
        <f>SUMIFS('[1]2026'!$K:$K,'[1]2026'!$T:$T,$BD658,'[1]2026'!$S:$S,BJ$3,'[1]2026'!$P:$P,$AU658)</f>
        <v>51431.970000000008</v>
      </c>
      <c r="BK658" s="10">
        <f>SUMIFS('[1]2026'!$K:$K,'[1]2026'!$T:$T,$BD658,'[1]2026'!$S:$S,BK$3,'[1]2026'!$P:$P,$AU658)</f>
        <v>48240.18</v>
      </c>
      <c r="BL658" s="10">
        <f>SUMIFS('[1]2026'!$K:$K,'[1]2026'!$T:$T,$BD658,'[1]2026'!$S:$S,BL$3,'[1]2026'!$P:$P,$AU658)</f>
        <v>295.31</v>
      </c>
      <c r="BM658" s="10">
        <f>SUMIFS('[1]2026'!$K:$K,'[1]2026'!$T:$T,$BD658,'[1]2026'!$S:$S,BM$3,'[1]2026'!$P:$P,$AU658)</f>
        <v>0</v>
      </c>
      <c r="BN658" s="10">
        <f>SUMIFS('[1]2026'!$K:$K,'[1]2026'!$T:$T,$BD658,'[1]2026'!$S:$S,BN$3,'[1]2026'!$P:$P,$AU658)</f>
        <v>53292.09</v>
      </c>
      <c r="BO658" s="10">
        <f>SUMIFS('[1]2026'!$K:$K,'[1]2026'!$T:$T,$BD658,'[1]2026'!$S:$S,BO$3,'[1]2026'!$P:$P,$AU658)</f>
        <v>3999.99</v>
      </c>
      <c r="BP658" s="6"/>
      <c r="BQ658" s="6"/>
      <c r="BR658" s="6"/>
      <c r="BS658" s="6"/>
      <c r="BT658" s="6">
        <f t="shared" si="404"/>
        <v>178822.87</v>
      </c>
      <c r="BV658" s="6">
        <f t="shared" si="426"/>
        <v>-8930.5377163435151</v>
      </c>
      <c r="BW658" s="6">
        <f t="shared" si="427"/>
        <v>-26208.147716343516</v>
      </c>
      <c r="BX658" s="6">
        <f t="shared" si="428"/>
        <v>23080.962283656492</v>
      </c>
      <c r="BY658" s="6">
        <f t="shared" si="429"/>
        <v>19889.172283656484</v>
      </c>
      <c r="BZ658" s="6">
        <f t="shared" si="430"/>
        <v>-28055.697716343515</v>
      </c>
      <c r="CA658" s="6">
        <f t="shared" si="431"/>
        <v>-28351.007716343516</v>
      </c>
      <c r="CB658" s="6">
        <f t="shared" si="432"/>
        <v>24941.08228365648</v>
      </c>
      <c r="CC658" s="6">
        <f t="shared" si="433"/>
        <v>-24351.017716343515</v>
      </c>
      <c r="CD658" s="6">
        <f t="shared" si="434"/>
        <v>-28351.007716343516</v>
      </c>
      <c r="CE658" s="6">
        <f t="shared" si="435"/>
        <v>-28351.007716343516</v>
      </c>
      <c r="CF658" s="6">
        <f t="shared" si="436"/>
        <v>-28351.007716343516</v>
      </c>
      <c r="CG658" s="6">
        <f t="shared" si="437"/>
        <v>-28351.007716343516</v>
      </c>
      <c r="CH658" s="6">
        <f t="shared" si="440"/>
        <v>-161389.22259612218</v>
      </c>
    </row>
    <row r="659" spans="1:86" hidden="1" x14ac:dyDescent="0.35">
      <c r="AN659" s="27">
        <f>N659-AA659</f>
        <v>0</v>
      </c>
      <c r="AS659" t="str">
        <f>_xlfn.XLOOKUP(AU659,[2]GAE!HZ:HZ,[2]GAE!IA:IA)</f>
        <v>OMD OPERATIONS</v>
      </c>
      <c r="AT659" t="str">
        <f>_xlfn.XLOOKUP(AU659,[2]GAE!HZ:HZ,[2]GAE!IB:IB)</f>
        <v>DOE - Low Value Assets</v>
      </c>
      <c r="AU659" t="s">
        <v>1111</v>
      </c>
      <c r="AV659">
        <v>81319101</v>
      </c>
      <c r="AW659">
        <v>52111102</v>
      </c>
      <c r="AX659" t="str">
        <f>_xlfn.XLOOKUP(AU659,[2]GAE!HZ:HZ,[2]GAE!IF:IF)</f>
        <v>Others</v>
      </c>
      <c r="AY659" t="str">
        <f>_xlfn.XLOOKUP(AU659,[2]GAE!HZ:HZ,[2]GAE!IG:IG)</f>
        <v>Supplies</v>
      </c>
      <c r="BC659" t="s">
        <v>9</v>
      </c>
      <c r="BD659" t="s">
        <v>548</v>
      </c>
      <c r="BF659" t="s">
        <v>8</v>
      </c>
      <c r="BG659" s="2" t="s">
        <v>9</v>
      </c>
      <c r="BJ659" s="10">
        <f>SUMIFS('[1]2026'!$K:$K,'[1]2026'!$T:$T,$BD659,'[1]2026'!$S:$S,BJ$3,'[1]2026'!$P:$P,$AU659)</f>
        <v>9821.43</v>
      </c>
      <c r="BK659" s="10">
        <f>SUMIFS('[1]2026'!$K:$K,'[1]2026'!$T:$T,$BD659,'[1]2026'!$S:$S,BK$3,'[1]2026'!$P:$P,$AU659)</f>
        <v>1694.64</v>
      </c>
      <c r="BL659" s="10">
        <f>SUMIFS('[1]2026'!$K:$K,'[1]2026'!$T:$T,$BD659,'[1]2026'!$S:$S,BL$3,'[1]2026'!$P:$P,$AU659)</f>
        <v>0</v>
      </c>
      <c r="BM659" s="10">
        <f>SUMIFS('[1]2026'!$K:$K,'[1]2026'!$T:$T,$BD659,'[1]2026'!$S:$S,BM$3,'[1]2026'!$P:$P,$AU659)</f>
        <v>0</v>
      </c>
      <c r="BN659" s="10">
        <f>SUMIFS('[1]2026'!$K:$K,'[1]2026'!$T:$T,$BD659,'[1]2026'!$S:$S,BN$3,'[1]2026'!$P:$P,$AU659)</f>
        <v>0</v>
      </c>
      <c r="BO659" s="10">
        <f>SUMIFS('[1]2026'!$K:$K,'[1]2026'!$T:$T,$BD659,'[1]2026'!$S:$S,BO$3,'[1]2026'!$P:$P,$AU659)</f>
        <v>0</v>
      </c>
      <c r="BP659" s="6"/>
      <c r="BQ659" s="6"/>
      <c r="BR659" s="6"/>
      <c r="BS659" s="6"/>
      <c r="BT659" s="6">
        <f t="shared" si="404"/>
        <v>11516.07</v>
      </c>
      <c r="BV659" s="6">
        <f t="shared" si="426"/>
        <v>0</v>
      </c>
      <c r="BW659" s="6">
        <f t="shared" si="427"/>
        <v>0</v>
      </c>
      <c r="BX659" s="6">
        <f t="shared" si="428"/>
        <v>9821.43</v>
      </c>
      <c r="BY659" s="6">
        <f t="shared" si="429"/>
        <v>1694.64</v>
      </c>
      <c r="BZ659" s="6">
        <f t="shared" si="430"/>
        <v>0</v>
      </c>
      <c r="CA659" s="6">
        <f t="shared" si="431"/>
        <v>0</v>
      </c>
      <c r="CB659" s="6">
        <f t="shared" si="432"/>
        <v>0</v>
      </c>
      <c r="CC659" s="6">
        <f t="shared" si="433"/>
        <v>0</v>
      </c>
      <c r="CD659" s="6">
        <f t="shared" si="434"/>
        <v>0</v>
      </c>
      <c r="CE659" s="6">
        <f t="shared" si="435"/>
        <v>0</v>
      </c>
      <c r="CF659" s="6">
        <f t="shared" si="436"/>
        <v>0</v>
      </c>
      <c r="CG659" s="6">
        <f t="shared" si="437"/>
        <v>0</v>
      </c>
      <c r="CH659" s="6">
        <f t="shared" si="440"/>
        <v>11516.07</v>
      </c>
    </row>
    <row r="660" spans="1:86" hidden="1" x14ac:dyDescent="0.35">
      <c r="A660" s="3" t="s">
        <v>1112</v>
      </c>
      <c r="B660" s="10">
        <v>3333.3333333333335</v>
      </c>
      <c r="C660" s="10">
        <v>3333.3333333333335</v>
      </c>
      <c r="D660" s="10">
        <v>3333.3333333333335</v>
      </c>
      <c r="E660" s="10">
        <v>3333.3333333333335</v>
      </c>
      <c r="F660" s="10">
        <v>3333.3333333333335</v>
      </c>
      <c r="G660" s="10">
        <v>3333.3333333333335</v>
      </c>
      <c r="H660" s="10">
        <v>3333.3333333333335</v>
      </c>
      <c r="I660" s="10">
        <v>3333.3333333333335</v>
      </c>
      <c r="J660" s="10">
        <v>3333.3333333333335</v>
      </c>
      <c r="K660" s="10">
        <v>3333.3333333333335</v>
      </c>
      <c r="L660" s="10">
        <v>3333.3333333333335</v>
      </c>
      <c r="M660" s="10">
        <v>3333.3333333333335</v>
      </c>
      <c r="N660" s="27">
        <f t="shared" si="444"/>
        <v>40000</v>
      </c>
      <c r="O660" s="10">
        <v>1732.7118673435796</v>
      </c>
      <c r="P660" s="10">
        <v>1732.7118673435796</v>
      </c>
      <c r="Q660" s="10">
        <v>1732.7118673435796</v>
      </c>
      <c r="R660" s="10">
        <v>1732.7118673435796</v>
      </c>
      <c r="S660" s="10">
        <v>1732.7118673435796</v>
      </c>
      <c r="T660" s="10">
        <v>1732.7118673435796</v>
      </c>
      <c r="U660" s="10">
        <v>1732.7118673435796</v>
      </c>
      <c r="V660" s="10">
        <v>1732.7118673435796</v>
      </c>
      <c r="W660" s="10">
        <v>1732.7118673435796</v>
      </c>
      <c r="X660" s="10">
        <v>1732.7118673435796</v>
      </c>
      <c r="Y660" s="10">
        <v>1732.7118673435796</v>
      </c>
      <c r="Z660" s="10">
        <v>1732.7118673435796</v>
      </c>
      <c r="AA660" s="27">
        <f t="shared" si="445"/>
        <v>20792.542408122954</v>
      </c>
      <c r="AB660" s="10">
        <f t="shared" si="446"/>
        <v>1600.6214659897539</v>
      </c>
      <c r="AC660" s="10">
        <f t="shared" si="446"/>
        <v>1600.6214659897539</v>
      </c>
      <c r="AD660" s="10">
        <f t="shared" si="446"/>
        <v>1600.6214659897539</v>
      </c>
      <c r="AE660" s="10">
        <f t="shared" si="446"/>
        <v>1600.6214659897539</v>
      </c>
      <c r="AF660" s="10">
        <f t="shared" si="446"/>
        <v>1600.6214659897539</v>
      </c>
      <c r="AG660" s="10">
        <f t="shared" si="446"/>
        <v>1600.6214659897539</v>
      </c>
      <c r="AH660" s="10">
        <f t="shared" si="446"/>
        <v>1600.6214659897539</v>
      </c>
      <c r="AI660" s="10">
        <f t="shared" si="446"/>
        <v>1600.6214659897539</v>
      </c>
      <c r="AJ660" s="10">
        <f t="shared" si="446"/>
        <v>1600.6214659897539</v>
      </c>
      <c r="AK660" s="10">
        <f t="shared" si="446"/>
        <v>1600.6214659897539</v>
      </c>
      <c r="AL660" s="10">
        <f t="shared" si="446"/>
        <v>1600.6214659897539</v>
      </c>
      <c r="AM660" s="10">
        <f t="shared" si="446"/>
        <v>1600.6214659897539</v>
      </c>
      <c r="AN660" s="27">
        <f t="shared" si="446"/>
        <v>19207.457591877046</v>
      </c>
      <c r="AS660" t="str">
        <f>_xlfn.XLOOKUP(AU660,[2]GAE!HZ:HZ,[2]GAE!IA:IA)</f>
        <v>OMD OPERATIONS</v>
      </c>
      <c r="AT660" t="str">
        <f>_xlfn.XLOOKUP(AU660,[2]GAE!HZ:HZ,[2]GAE!IB:IB)</f>
        <v>DOE - Supplies</v>
      </c>
      <c r="AU660" t="s">
        <v>293</v>
      </c>
      <c r="AV660">
        <v>81319101</v>
      </c>
      <c r="AW660">
        <v>52111101</v>
      </c>
      <c r="AX660" t="str">
        <f>_xlfn.XLOOKUP(AU660,[2]GAE!HZ:HZ,[2]GAE!IF:IF)</f>
        <v>Others</v>
      </c>
      <c r="AY660" t="str">
        <f>_xlfn.XLOOKUP(AU660,[2]GAE!HZ:HZ,[2]GAE!IG:IG)</f>
        <v>Supplies</v>
      </c>
      <c r="BD660" t="s">
        <v>1113</v>
      </c>
      <c r="BF660" t="s">
        <v>179</v>
      </c>
      <c r="BG660" s="2" t="s">
        <v>6</v>
      </c>
      <c r="BH660" s="10">
        <f>SUMIFS('[1]2026'!$K:$K,'[1]2026'!$T:$T,BD660,'[1]2026'!$S:$S,BH$3,'[1]2026'!$P:$P,AU660)</f>
        <v>0</v>
      </c>
      <c r="BI660" s="10">
        <f>SUMIFS('[1]2026'!$K:$K,'[1]2026'!$T:$T,$BD660,'[1]2026'!$S:$S,BI$3,'[1]2026'!$P:$P,$AU660)</f>
        <v>0</v>
      </c>
      <c r="BJ660" s="10">
        <f>SUMIFS('[1]2026'!$K:$K,'[1]2026'!$T:$T,$BD660,'[1]2026'!$S:$S,BJ$3,'[1]2026'!$P:$P,$AU660)</f>
        <v>0</v>
      </c>
      <c r="BK660" s="10">
        <f>SUMIFS('[1]2026'!$K:$K,'[1]2026'!$T:$T,$BD660,'[1]2026'!$S:$S,BK$3,'[1]2026'!$P:$P,$AU660)</f>
        <v>0</v>
      </c>
      <c r="BL660" s="10">
        <f>SUMIFS('[1]2026'!$K:$K,'[1]2026'!$T:$T,$BD660,'[1]2026'!$S:$S,BL$3,'[1]2026'!$P:$P,$AU660)</f>
        <v>0</v>
      </c>
      <c r="BM660" s="10">
        <f>SUMIFS('[1]2026'!$K:$K,'[1]2026'!$T:$T,$BD660,'[1]2026'!$S:$S,BM$3,'[1]2026'!$P:$P,$AU660)</f>
        <v>0</v>
      </c>
      <c r="BN660" s="10">
        <f>SUMIFS('[1]2026'!$K:$K,'[1]2026'!$T:$T,$BD660,'[1]2026'!$S:$S,BN$3,'[1]2026'!$P:$P,$AU660)</f>
        <v>0</v>
      </c>
      <c r="BO660" s="10">
        <f>SUMIFS('[1]2026'!$K:$K,'[1]2026'!$T:$T,$BD660,'[1]2026'!$S:$S,BO$3,'[1]2026'!$P:$P,$AU660)</f>
        <v>0</v>
      </c>
      <c r="BP660" s="6"/>
      <c r="BQ660" s="6"/>
      <c r="BR660" s="6"/>
      <c r="BS660" s="6"/>
      <c r="BT660" s="6">
        <f t="shared" si="404"/>
        <v>0</v>
      </c>
      <c r="BV660" s="6">
        <f t="shared" si="426"/>
        <v>-1600.6214659897539</v>
      </c>
      <c r="BW660" s="6">
        <f t="shared" si="427"/>
        <v>-1600.6214659897539</v>
      </c>
      <c r="BX660" s="6">
        <f t="shared" si="428"/>
        <v>-1600.6214659897539</v>
      </c>
      <c r="BY660" s="6">
        <f t="shared" si="429"/>
        <v>-1600.6214659897539</v>
      </c>
      <c r="BZ660" s="6">
        <f t="shared" si="430"/>
        <v>-1600.6214659897539</v>
      </c>
      <c r="CA660" s="6">
        <f t="shared" si="431"/>
        <v>-1600.6214659897539</v>
      </c>
      <c r="CB660" s="6">
        <f t="shared" si="432"/>
        <v>-1600.6214659897539</v>
      </c>
      <c r="CC660" s="6">
        <f t="shared" si="433"/>
        <v>-1600.6214659897539</v>
      </c>
      <c r="CD660" s="6">
        <f t="shared" si="434"/>
        <v>-1600.6214659897539</v>
      </c>
      <c r="CE660" s="6">
        <f t="shared" si="435"/>
        <v>-1600.6214659897539</v>
      </c>
      <c r="CF660" s="6">
        <f t="shared" si="436"/>
        <v>-1600.6214659897539</v>
      </c>
      <c r="CG660" s="6">
        <f t="shared" si="437"/>
        <v>-1600.6214659897539</v>
      </c>
      <c r="CH660" s="6">
        <f t="shared" si="440"/>
        <v>-19207.457591877046</v>
      </c>
    </row>
    <row r="661" spans="1:86" hidden="1" x14ac:dyDescent="0.35">
      <c r="A661" t="s">
        <v>354</v>
      </c>
      <c r="AN661" s="27">
        <f>N661-AA661</f>
        <v>0</v>
      </c>
      <c r="AS661" t="str">
        <f>_xlfn.XLOOKUP(AU661,[2]GAE!HZ:HZ,[2]GAE!IA:IA)</f>
        <v>OMD OPERATIONS</v>
      </c>
      <c r="AT661" t="str">
        <f>_xlfn.XLOOKUP(AU661,[2]GAE!HZ:HZ,[2]GAE!IB:IB)</f>
        <v>DOE - Repairs &amp; Maint. - Building</v>
      </c>
      <c r="AU661" t="s">
        <v>1114</v>
      </c>
      <c r="AV661">
        <v>81319101</v>
      </c>
      <c r="AW661">
        <v>52061103</v>
      </c>
      <c r="AX661" t="str">
        <f>_xlfn.XLOOKUP(AU661,[2]GAE!HZ:HZ,[2]GAE!IF:IF)</f>
        <v>Others</v>
      </c>
      <c r="AY661" t="str">
        <f>_xlfn.XLOOKUP(AU661,[2]GAE!HZ:HZ,[2]GAE!IG:IG)</f>
        <v>Repairs &amp; Maintenance</v>
      </c>
      <c r="BD661" t="s">
        <v>354</v>
      </c>
      <c r="BF661" t="s">
        <v>19</v>
      </c>
      <c r="BG661" s="2" t="s">
        <v>20</v>
      </c>
      <c r="BH661" s="10">
        <f>SUMIFS('[1]2026'!$K:$K,'[1]2026'!$T:$T,BD661,'[1]2026'!$S:$S,BH$3,'[1]2026'!$P:$P,AU661)</f>
        <v>22409.16</v>
      </c>
      <c r="BI661" s="10">
        <f>SUMIFS('[1]2026'!$K:$K,'[1]2026'!$T:$T,$BD661,'[1]2026'!$S:$S,BI$3,'[1]2026'!$P:$P,$AU661)</f>
        <v>0</v>
      </c>
      <c r="BJ661" s="10">
        <f>SUMIFS('[1]2026'!$K:$K,'[1]2026'!$T:$T,$BD661,'[1]2026'!$S:$S,BJ$3,'[1]2026'!$P:$P,$AU661)</f>
        <v>803.57</v>
      </c>
      <c r="BK661" s="10">
        <f>SUMIFS('[1]2026'!$K:$K,'[1]2026'!$T:$T,$BD661,'[1]2026'!$S:$S,BK$3,'[1]2026'!$P:$P,$AU661)</f>
        <v>6785.71</v>
      </c>
      <c r="BL661" s="10">
        <f>SUMIFS('[1]2026'!$K:$K,'[1]2026'!$T:$T,$BD661,'[1]2026'!$S:$S,BL$3,'[1]2026'!$P:$P,$AU661)</f>
        <v>0</v>
      </c>
      <c r="BM661" s="10">
        <f>SUMIFS('[1]2026'!$K:$K,'[1]2026'!$T:$T,$BD661,'[1]2026'!$S:$S,BM$3,'[1]2026'!$P:$P,$AU661)</f>
        <v>20153.57</v>
      </c>
      <c r="BN661" s="10">
        <f>SUMIFS('[1]2026'!$K:$K,'[1]2026'!$T:$T,$BD661,'[1]2026'!$S:$S,BN$3,'[1]2026'!$P:$P,$AU661)</f>
        <v>12500</v>
      </c>
      <c r="BO661" s="10">
        <f>SUMIFS('[1]2026'!$K:$K,'[1]2026'!$T:$T,$BD661,'[1]2026'!$S:$S,BO$3,'[1]2026'!$P:$P,$AU661)</f>
        <v>0</v>
      </c>
      <c r="BP661" s="6"/>
      <c r="BQ661" s="6"/>
      <c r="BR661" s="6"/>
      <c r="BS661" s="6"/>
      <c r="BT661" s="6">
        <f t="shared" si="404"/>
        <v>62652.009999999995</v>
      </c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>
        <f t="shared" si="440"/>
        <v>62652.009999999995</v>
      </c>
    </row>
    <row r="662" spans="1:86" hidden="1" x14ac:dyDescent="0.35">
      <c r="A662" s="3" t="s">
        <v>1115</v>
      </c>
      <c r="B662" s="10">
        <v>39750</v>
      </c>
      <c r="C662" s="10">
        <v>39750</v>
      </c>
      <c r="D662" s="10">
        <v>39750</v>
      </c>
      <c r="E662" s="10">
        <v>39750</v>
      </c>
      <c r="F662" s="10">
        <v>39750</v>
      </c>
      <c r="G662" s="10">
        <v>39750</v>
      </c>
      <c r="H662" s="10">
        <v>39750</v>
      </c>
      <c r="I662" s="10">
        <v>39750</v>
      </c>
      <c r="J662" s="10">
        <v>39750</v>
      </c>
      <c r="K662" s="10">
        <v>39750</v>
      </c>
      <c r="L662" s="10">
        <v>39750</v>
      </c>
      <c r="M662" s="10">
        <v>39750</v>
      </c>
      <c r="N662" s="27">
        <f t="shared" si="444"/>
        <v>477000</v>
      </c>
      <c r="AA662" s="27">
        <f t="shared" si="445"/>
        <v>0</v>
      </c>
      <c r="AB662" s="10">
        <f t="shared" si="446"/>
        <v>39750</v>
      </c>
      <c r="AC662" s="10">
        <f t="shared" si="446"/>
        <v>39750</v>
      </c>
      <c r="AD662" s="10">
        <f t="shared" si="446"/>
        <v>39750</v>
      </c>
      <c r="AE662" s="10">
        <f t="shared" si="446"/>
        <v>39750</v>
      </c>
      <c r="AF662" s="10">
        <f t="shared" si="446"/>
        <v>39750</v>
      </c>
      <c r="AG662" s="10">
        <f t="shared" si="446"/>
        <v>39750</v>
      </c>
      <c r="AH662" s="10">
        <f t="shared" si="446"/>
        <v>39750</v>
      </c>
      <c r="AI662" s="10">
        <f t="shared" si="446"/>
        <v>39750</v>
      </c>
      <c r="AJ662" s="10">
        <f t="shared" si="446"/>
        <v>39750</v>
      </c>
      <c r="AK662" s="10">
        <f t="shared" si="446"/>
        <v>39750</v>
      </c>
      <c r="AL662" s="10">
        <f t="shared" si="446"/>
        <v>39750</v>
      </c>
      <c r="AM662" s="10">
        <f t="shared" si="446"/>
        <v>39750</v>
      </c>
      <c r="AN662" s="27">
        <f t="shared" si="446"/>
        <v>477000</v>
      </c>
      <c r="AS662" t="str">
        <f>_xlfn.XLOOKUP(AU662,[2]GAE!HZ:HZ,[2]GAE!IA:IA)</f>
        <v>OMD OPERATIONS</v>
      </c>
      <c r="AT662" t="str">
        <f>_xlfn.XLOOKUP(AU662,[2]GAE!HZ:HZ,[2]GAE!IB:IB)</f>
        <v>DOE - Repairs &amp; Maint. - Furniture &amp; Fixtures</v>
      </c>
      <c r="AU662" t="s">
        <v>1116</v>
      </c>
      <c r="AV662">
        <v>81319101</v>
      </c>
      <c r="AW662">
        <v>52061101</v>
      </c>
      <c r="AX662" t="str">
        <f>_xlfn.XLOOKUP(AU662,[2]GAE!HZ:HZ,[2]GAE!IF:IF)</f>
        <v>Others</v>
      </c>
      <c r="AY662" t="str">
        <f>_xlfn.XLOOKUP(AU662,[2]GAE!HZ:HZ,[2]GAE!IG:IG)</f>
        <v>Repairs &amp; Maintenance</v>
      </c>
      <c r="BA662" t="s">
        <v>349</v>
      </c>
      <c r="BC662" t="s">
        <v>21</v>
      </c>
      <c r="BD662" s="30" t="s">
        <v>1115</v>
      </c>
      <c r="BE662" s="30"/>
      <c r="BF662" t="s">
        <v>19</v>
      </c>
      <c r="BG662" s="2" t="s">
        <v>21</v>
      </c>
      <c r="BH662" s="10">
        <f>SUMIFS('[1]2026'!$K:$K,'[1]2026'!$T:$T,BD662,'[1]2026'!$S:$S,BH$3,'[1]2026'!$P:$P,AU662)</f>
        <v>0</v>
      </c>
      <c r="BI662" s="10">
        <f>SUMIFS('[1]2026'!$K:$K,'[1]2026'!$T:$T,$BD662,'[1]2026'!$S:$S,BI$3,'[1]2026'!$P:$P,$AU662)</f>
        <v>0</v>
      </c>
      <c r="BJ662" s="10">
        <f>SUMIFS('[1]2026'!$K:$K,'[1]2026'!$T:$T,$BD662,'[1]2026'!$S:$S,BJ$3,'[1]2026'!$P:$P,$AU662)</f>
        <v>0</v>
      </c>
      <c r="BK662" s="10">
        <f>SUMIFS('[1]2026'!$K:$K,'[1]2026'!$T:$T,$BD662,'[1]2026'!$S:$S,BK$3,'[1]2026'!$P:$P,$AU662)</f>
        <v>5133.93</v>
      </c>
      <c r="BL662" s="10">
        <f>SUMIFS('[1]2026'!$K:$K,'[1]2026'!$T:$T,$BD662,'[1]2026'!$S:$S,BL$3,'[1]2026'!$P:$P,$AU662)</f>
        <v>0</v>
      </c>
      <c r="BM662" s="10">
        <f>SUMIFS('[1]2026'!$K:$K,'[1]2026'!$T:$T,$BD662,'[1]2026'!$S:$S,BM$3,'[1]2026'!$P:$P,$AU662)</f>
        <v>0</v>
      </c>
      <c r="BN662" s="10">
        <f>SUMIFS('[1]2026'!$K:$K,'[1]2026'!$T:$T,$BD662,'[1]2026'!$S:$S,BN$3,'[1]2026'!$P:$P,$AU662)</f>
        <v>0</v>
      </c>
      <c r="BO662" s="10">
        <f>SUMIFS('[1]2026'!$K:$K,'[1]2026'!$T:$T,$BD662,'[1]2026'!$S:$S,BO$3,'[1]2026'!$P:$P,$AU662)</f>
        <v>5996.43</v>
      </c>
      <c r="BP662" s="6"/>
      <c r="BQ662" s="6"/>
      <c r="BR662" s="6"/>
      <c r="BS662" s="6"/>
      <c r="BT662" s="6">
        <f t="shared" si="404"/>
        <v>11130.36</v>
      </c>
      <c r="BV662" s="6">
        <f t="shared" ref="BV662:CG664" si="447">BH662-AB662</f>
        <v>-39750</v>
      </c>
      <c r="BW662" s="6">
        <f t="shared" si="447"/>
        <v>-39750</v>
      </c>
      <c r="BX662" s="6">
        <f t="shared" si="447"/>
        <v>-39750</v>
      </c>
      <c r="BY662" s="6">
        <f t="shared" si="447"/>
        <v>-34616.07</v>
      </c>
      <c r="BZ662" s="6">
        <f t="shared" si="447"/>
        <v>-39750</v>
      </c>
      <c r="CA662" s="6">
        <f t="shared" si="447"/>
        <v>-39750</v>
      </c>
      <c r="CB662" s="6">
        <f t="shared" si="447"/>
        <v>-39750</v>
      </c>
      <c r="CC662" s="6">
        <f t="shared" si="447"/>
        <v>-33753.57</v>
      </c>
      <c r="CD662" s="6">
        <f t="shared" si="447"/>
        <v>-39750</v>
      </c>
      <c r="CE662" s="6">
        <f t="shared" si="447"/>
        <v>-39750</v>
      </c>
      <c r="CF662" s="6">
        <f t="shared" si="447"/>
        <v>-39750</v>
      </c>
      <c r="CG662" s="6">
        <f t="shared" si="447"/>
        <v>-39750</v>
      </c>
      <c r="CH662" s="6">
        <f t="shared" si="440"/>
        <v>-465869.64</v>
      </c>
    </row>
    <row r="663" spans="1:86" hidden="1" x14ac:dyDescent="0.35">
      <c r="A663" s="30" t="s">
        <v>1115</v>
      </c>
      <c r="AN663" s="27">
        <f>N663-AA663</f>
        <v>0</v>
      </c>
      <c r="AS663" t="str">
        <f>_xlfn.XLOOKUP(AU663,[2]GAE!HZ:HZ,[2]GAE!IA:IA)</f>
        <v>OMD OPERATIONS</v>
      </c>
      <c r="AT663" t="str">
        <f>_xlfn.XLOOKUP(AU663,[2]GAE!HZ:HZ,[2]GAE!IB:IB)</f>
        <v>DOE - Repairs &amp; Maint. - Transportation</v>
      </c>
      <c r="AU663" t="s">
        <v>1117</v>
      </c>
      <c r="AV663">
        <v>81319101</v>
      </c>
      <c r="AW663">
        <v>52061105</v>
      </c>
      <c r="AX663" t="str">
        <f>_xlfn.XLOOKUP(AU663,[2]GAE!HZ:HZ,[2]GAE!IF:IF)</f>
        <v>Others</v>
      </c>
      <c r="AY663" t="str">
        <f>_xlfn.XLOOKUP(AU663,[2]GAE!HZ:HZ,[2]GAE!IG:IG)</f>
        <v>Repairs &amp; Maintenance</v>
      </c>
      <c r="BD663" s="30" t="s">
        <v>1115</v>
      </c>
      <c r="BE663" s="30"/>
      <c r="BF663" t="s">
        <v>19</v>
      </c>
      <c r="BG663" s="2" t="s">
        <v>23</v>
      </c>
      <c r="BJ663" s="10">
        <f>SUMIFS('[1]2026'!$K:$K,'[1]2026'!$T:$T,$BD663,'[1]2026'!$S:$S,BJ$3,'[1]2026'!$P:$P,$AU663)</f>
        <v>28545.09</v>
      </c>
      <c r="BK663" s="10">
        <f>SUMIFS('[1]2026'!$K:$K,'[1]2026'!$T:$T,$BD663,'[1]2026'!$S:$S,BK$3,'[1]2026'!$P:$P,$AU663)</f>
        <v>0</v>
      </c>
      <c r="BL663" s="10">
        <f>SUMIFS('[1]2026'!$K:$K,'[1]2026'!$T:$T,$BD663,'[1]2026'!$S:$S,BL$3,'[1]2026'!$P:$P,$AU663)</f>
        <v>0</v>
      </c>
      <c r="BM663" s="10">
        <f>SUMIFS('[1]2026'!$K:$K,'[1]2026'!$T:$T,$BD663,'[1]2026'!$S:$S,BM$3,'[1]2026'!$P:$P,$AU663)</f>
        <v>10482.73</v>
      </c>
      <c r="BN663" s="10">
        <f>SUMIFS('[1]2026'!$K:$K,'[1]2026'!$T:$T,$BD663,'[1]2026'!$S:$S,BN$3,'[1]2026'!$P:$P,$AU663)</f>
        <v>0</v>
      </c>
      <c r="BO663" s="10">
        <f>SUMIFS('[1]2026'!$K:$K,'[1]2026'!$T:$T,$BD663,'[1]2026'!$S:$S,BO$3,'[1]2026'!$P:$P,$AU663)</f>
        <v>0</v>
      </c>
      <c r="BP663" s="6"/>
      <c r="BQ663" s="6"/>
      <c r="BR663" s="6"/>
      <c r="BS663" s="6"/>
      <c r="BT663" s="6">
        <f t="shared" si="404"/>
        <v>39027.82</v>
      </c>
      <c r="BV663" s="6">
        <f t="shared" si="447"/>
        <v>0</v>
      </c>
      <c r="BW663" s="6">
        <f t="shared" si="447"/>
        <v>0</v>
      </c>
      <c r="BX663" s="6">
        <f t="shared" si="447"/>
        <v>28545.09</v>
      </c>
      <c r="BY663" s="6">
        <f t="shared" si="447"/>
        <v>0</v>
      </c>
      <c r="BZ663" s="6">
        <f t="shared" si="447"/>
        <v>0</v>
      </c>
      <c r="CA663" s="6">
        <f t="shared" si="447"/>
        <v>10482.73</v>
      </c>
      <c r="CB663" s="6">
        <f t="shared" si="447"/>
        <v>0</v>
      </c>
      <c r="CC663" s="6">
        <f t="shared" si="447"/>
        <v>0</v>
      </c>
      <c r="CD663" s="6">
        <f t="shared" si="447"/>
        <v>0</v>
      </c>
      <c r="CE663" s="6">
        <f t="shared" si="447"/>
        <v>0</v>
      </c>
      <c r="CF663" s="6">
        <f t="shared" si="447"/>
        <v>0</v>
      </c>
      <c r="CG663" s="6">
        <f t="shared" si="447"/>
        <v>0</v>
      </c>
      <c r="CH663" s="6">
        <f t="shared" si="440"/>
        <v>39027.82</v>
      </c>
    </row>
    <row r="664" spans="1:86" hidden="1" x14ac:dyDescent="0.35">
      <c r="A664" s="3" t="s">
        <v>1118</v>
      </c>
      <c r="B664" s="10">
        <v>10833.333333333334</v>
      </c>
      <c r="C664" s="10">
        <v>10833.333333333334</v>
      </c>
      <c r="D664" s="10">
        <v>10833.333333333334</v>
      </c>
      <c r="E664" s="10">
        <v>10833.333333333334</v>
      </c>
      <c r="F664" s="10">
        <v>10833.333333333334</v>
      </c>
      <c r="G664" s="10">
        <v>10833.333333333334</v>
      </c>
      <c r="H664" s="10">
        <v>10833.333333333334</v>
      </c>
      <c r="I664" s="10">
        <v>10833.333333333334</v>
      </c>
      <c r="J664" s="10">
        <v>10833.333333333334</v>
      </c>
      <c r="K664" s="10">
        <v>10833.333333333334</v>
      </c>
      <c r="L664" s="10">
        <v>10833.333333333334</v>
      </c>
      <c r="M664" s="10">
        <v>10833.333333333334</v>
      </c>
      <c r="N664" s="27">
        <f t="shared" si="444"/>
        <v>129999.99999999999</v>
      </c>
      <c r="AA664" s="27">
        <f t="shared" si="445"/>
        <v>0</v>
      </c>
      <c r="AB664" s="10">
        <f t="shared" si="446"/>
        <v>10833.333333333334</v>
      </c>
      <c r="AC664" s="10">
        <f t="shared" si="446"/>
        <v>10833.333333333334</v>
      </c>
      <c r="AD664" s="10">
        <f t="shared" si="446"/>
        <v>10833.333333333334</v>
      </c>
      <c r="AE664" s="10">
        <f t="shared" si="446"/>
        <v>10833.333333333334</v>
      </c>
      <c r="AF664" s="10">
        <f t="shared" si="446"/>
        <v>10833.333333333334</v>
      </c>
      <c r="AG664" s="10">
        <f t="shared" si="446"/>
        <v>10833.333333333334</v>
      </c>
      <c r="AH664" s="10">
        <f t="shared" si="446"/>
        <v>10833.333333333334</v>
      </c>
      <c r="AI664" s="10">
        <f t="shared" si="446"/>
        <v>10833.333333333334</v>
      </c>
      <c r="AJ664" s="10">
        <f t="shared" si="446"/>
        <v>10833.333333333334</v>
      </c>
      <c r="AK664" s="10">
        <f t="shared" si="446"/>
        <v>10833.333333333334</v>
      </c>
      <c r="AL664" s="10">
        <f t="shared" si="446"/>
        <v>10833.333333333334</v>
      </c>
      <c r="AM664" s="10">
        <f t="shared" si="446"/>
        <v>10833.333333333334</v>
      </c>
      <c r="AN664" s="27">
        <f t="shared" si="446"/>
        <v>129999.99999999999</v>
      </c>
      <c r="AS664" t="str">
        <f>_xlfn.XLOOKUP(AU664,[2]GAE!HZ:HZ,[2]GAE!IA:IA)</f>
        <v>OMD OPERATIONS</v>
      </c>
      <c r="AT664" t="str">
        <f>_xlfn.XLOOKUP(AU664,[2]GAE!HZ:HZ,[2]GAE!IB:IB)</f>
        <v>DOE - Repairs &amp; Maint. - Furniture &amp; Fixtures</v>
      </c>
      <c r="AU664" t="s">
        <v>1116</v>
      </c>
      <c r="AV664">
        <v>81319101</v>
      </c>
      <c r="AW664">
        <v>52061101</v>
      </c>
      <c r="AX664" t="str">
        <f>_xlfn.XLOOKUP(AU664,[2]GAE!HZ:HZ,[2]GAE!IF:IF)</f>
        <v>Others</v>
      </c>
      <c r="AY664" t="str">
        <f>_xlfn.XLOOKUP(AU664,[2]GAE!HZ:HZ,[2]GAE!IG:IG)</f>
        <v>Repairs &amp; Maintenance</v>
      </c>
      <c r="BA664" t="s">
        <v>349</v>
      </c>
      <c r="BC664" t="s">
        <v>21</v>
      </c>
      <c r="BD664" s="30" t="s">
        <v>1119</v>
      </c>
      <c r="BE664" s="30"/>
      <c r="BF664" t="s">
        <v>19</v>
      </c>
      <c r="BG664" s="2" t="s">
        <v>21</v>
      </c>
      <c r="BH664" s="10">
        <f>SUMIFS('[1]2026'!$K:$K,'[1]2026'!$T:$T,BD664,'[1]2026'!$S:$S,BH$3,'[1]2026'!$P:$P,AU664)</f>
        <v>0</v>
      </c>
      <c r="BI664" s="10">
        <f>SUMIFS('[1]2026'!$K:$K,'[1]2026'!$T:$T,$BD664,'[1]2026'!$S:$S,BI$3,'[1]2026'!$P:$P,$AU664)</f>
        <v>-1061.94</v>
      </c>
      <c r="BJ664" s="10">
        <f>SUMIFS('[1]2026'!$K:$K,'[1]2026'!$T:$T,$BD664,'[1]2026'!$S:$S,BJ$3,'[1]2026'!$P:$P,$AU664)</f>
        <v>0</v>
      </c>
      <c r="BK664" s="10">
        <f>SUMIFS('[1]2026'!$K:$K,'[1]2026'!$T:$T,$BD664,'[1]2026'!$S:$S,BK$3,'[1]2026'!$P:$P,$AU664)</f>
        <v>0</v>
      </c>
      <c r="BL664" s="10">
        <f>SUMIFS('[1]2026'!$K:$K,'[1]2026'!$T:$T,$BD664,'[1]2026'!$S:$S,BL$3,'[1]2026'!$P:$P,$AU664)</f>
        <v>0</v>
      </c>
      <c r="BM664" s="10">
        <f>SUMIFS('[1]2026'!$K:$K,'[1]2026'!$T:$T,$BD664,'[1]2026'!$S:$S,BM$3,'[1]2026'!$P:$P,$AU664)</f>
        <v>0</v>
      </c>
      <c r="BN664" s="10">
        <f>SUMIFS('[1]2026'!$K:$K,'[1]2026'!$T:$T,$BD664,'[1]2026'!$S:$S,BN$3,'[1]2026'!$P:$P,$AU664)</f>
        <v>0</v>
      </c>
      <c r="BO664" s="10">
        <f>SUMIFS('[1]2026'!$K:$K,'[1]2026'!$T:$T,$BD664,'[1]2026'!$S:$S,BO$3,'[1]2026'!$P:$P,$AU664)</f>
        <v>0</v>
      </c>
      <c r="BP664" s="6"/>
      <c r="BQ664" s="6"/>
      <c r="BR664" s="6"/>
      <c r="BS664" s="6"/>
      <c r="BT664" s="6">
        <f t="shared" si="404"/>
        <v>-1061.94</v>
      </c>
      <c r="BV664" s="6">
        <f t="shared" si="447"/>
        <v>-10833.333333333334</v>
      </c>
      <c r="BW664" s="6">
        <f t="shared" si="447"/>
        <v>-11895.273333333334</v>
      </c>
      <c r="BX664" s="6">
        <f t="shared" si="447"/>
        <v>-10833.333333333334</v>
      </c>
      <c r="BY664" s="6">
        <f t="shared" si="447"/>
        <v>-10833.333333333334</v>
      </c>
      <c r="BZ664" s="6">
        <f t="shared" si="447"/>
        <v>-10833.333333333334</v>
      </c>
      <c r="CA664" s="6">
        <f t="shared" si="447"/>
        <v>-10833.333333333334</v>
      </c>
      <c r="CB664" s="6">
        <f t="shared" si="447"/>
        <v>-10833.333333333334</v>
      </c>
      <c r="CC664" s="6">
        <f t="shared" si="447"/>
        <v>-10833.333333333334</v>
      </c>
      <c r="CD664" s="6">
        <f t="shared" si="447"/>
        <v>-10833.333333333334</v>
      </c>
      <c r="CE664" s="6">
        <f t="shared" si="447"/>
        <v>-10833.333333333334</v>
      </c>
      <c r="CF664" s="6">
        <f t="shared" si="447"/>
        <v>-10833.333333333334</v>
      </c>
      <c r="CG664" s="6">
        <f t="shared" si="447"/>
        <v>-10833.333333333334</v>
      </c>
      <c r="CH664" s="6">
        <f t="shared" si="440"/>
        <v>-131061.93999999999</v>
      </c>
    </row>
    <row r="665" spans="1:86" hidden="1" x14ac:dyDescent="0.35">
      <c r="A665" s="30" t="s">
        <v>1119</v>
      </c>
      <c r="AN665" s="27">
        <f>N665-AA665</f>
        <v>0</v>
      </c>
      <c r="AS665" t="str">
        <f>_xlfn.XLOOKUP(AU665,[2]GAE!HZ:HZ,[2]GAE!IA:IA)</f>
        <v>OMD OPERATIONS</v>
      </c>
      <c r="AT665" t="str">
        <f>_xlfn.XLOOKUP(AU665,[2]GAE!HZ:HZ,[2]GAE!IB:IB)</f>
        <v>DOE - Repairs &amp; Maint. - Transportation</v>
      </c>
      <c r="AU665" t="s">
        <v>1117</v>
      </c>
      <c r="AV665">
        <v>81319101</v>
      </c>
      <c r="AW665">
        <v>52061105</v>
      </c>
      <c r="AX665" t="str">
        <f>_xlfn.XLOOKUP(AU665,[2]GAE!HZ:HZ,[2]GAE!IF:IF)</f>
        <v>Others</v>
      </c>
      <c r="AY665" t="str">
        <f>_xlfn.XLOOKUP(AU665,[2]GAE!HZ:HZ,[2]GAE!IG:IG)</f>
        <v>Repairs &amp; Maintenance</v>
      </c>
      <c r="BD665" s="30" t="s">
        <v>1119</v>
      </c>
      <c r="BE665" s="30"/>
      <c r="BF665" t="s">
        <v>19</v>
      </c>
      <c r="BG665" s="2" t="s">
        <v>23</v>
      </c>
      <c r="BH665" s="10">
        <f>SUMIFS('[1]2026'!$K:$K,'[1]2026'!$T:$T,BD665,'[1]2026'!$S:$S,BH$3,'[1]2026'!$P:$P,AU665)</f>
        <v>0</v>
      </c>
      <c r="BI665" s="10">
        <f>SUMIFS('[1]2026'!$K:$K,'[1]2026'!$T:$T,$BD665,'[1]2026'!$S:$S,BI$3,'[1]2026'!$P:$P,$AU665)</f>
        <v>6450</v>
      </c>
      <c r="BJ665" s="10">
        <f>SUMIFS('[1]2026'!$K:$K,'[1]2026'!$T:$T,$BD665,'[1]2026'!$S:$S,BJ$3,'[1]2026'!$P:$P,$AU665)</f>
        <v>12350</v>
      </c>
      <c r="BK665" s="10">
        <f>SUMIFS('[1]2026'!$K:$K,'[1]2026'!$T:$T,$BD665,'[1]2026'!$S:$S,BK$3,'[1]2026'!$P:$P,$AU665)</f>
        <v>0</v>
      </c>
      <c r="BL665" s="10">
        <f>SUMIFS('[1]2026'!$K:$K,'[1]2026'!$T:$T,$BD665,'[1]2026'!$S:$S,BL$3,'[1]2026'!$P:$P,$AU665)</f>
        <v>-2.9200000000000728</v>
      </c>
      <c r="BM665" s="10">
        <f>SUMIFS('[1]2026'!$K:$K,'[1]2026'!$T:$T,$BD665,'[1]2026'!$S:$S,BM$3,'[1]2026'!$P:$P,$AU665)</f>
        <v>0</v>
      </c>
      <c r="BN665" s="10">
        <f>SUMIFS('[1]2026'!$K:$K,'[1]2026'!$T:$T,$BD665,'[1]2026'!$S:$S,BN$3,'[1]2026'!$P:$P,$AU665)</f>
        <v>5250</v>
      </c>
      <c r="BO665" s="10">
        <f>SUMIFS('[1]2026'!$K:$K,'[1]2026'!$T:$T,$BD665,'[1]2026'!$S:$S,BO$3,'[1]2026'!$P:$P,$AU665)</f>
        <v>13500</v>
      </c>
      <c r="BP665" s="6"/>
      <c r="BQ665" s="6"/>
      <c r="BR665" s="6"/>
      <c r="BS665" s="6"/>
      <c r="BT665" s="6">
        <f t="shared" si="404"/>
        <v>37547.08</v>
      </c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>
        <f t="shared" si="440"/>
        <v>37547.08</v>
      </c>
    </row>
    <row r="666" spans="1:86" hidden="1" x14ac:dyDescent="0.35">
      <c r="A666" s="3" t="s">
        <v>1120</v>
      </c>
      <c r="B666" s="10">
        <v>17833.333333333332</v>
      </c>
      <c r="C666" s="10">
        <v>17833.333333333332</v>
      </c>
      <c r="D666" s="10">
        <v>17833.333333333332</v>
      </c>
      <c r="E666" s="10">
        <v>17833.333333333332</v>
      </c>
      <c r="F666" s="10">
        <v>17833.333333333332</v>
      </c>
      <c r="G666" s="10">
        <v>17833.333333333332</v>
      </c>
      <c r="H666" s="10">
        <v>17833.333333333332</v>
      </c>
      <c r="I666" s="10">
        <v>17833.333333333332</v>
      </c>
      <c r="J666" s="10">
        <v>17833.333333333332</v>
      </c>
      <c r="K666" s="10">
        <v>17833.333333333332</v>
      </c>
      <c r="L666" s="10">
        <v>17833.333333333332</v>
      </c>
      <c r="M666" s="10">
        <v>17833.333333333332</v>
      </c>
      <c r="N666" s="27">
        <f t="shared" si="444"/>
        <v>214000.00000000003</v>
      </c>
      <c r="AA666" s="27">
        <f t="shared" si="445"/>
        <v>0</v>
      </c>
      <c r="AB666" s="10">
        <f t="shared" si="446"/>
        <v>17833.333333333332</v>
      </c>
      <c r="AC666" s="10">
        <f t="shared" si="446"/>
        <v>17833.333333333332</v>
      </c>
      <c r="AD666" s="10">
        <f t="shared" si="446"/>
        <v>17833.333333333332</v>
      </c>
      <c r="AE666" s="10">
        <f t="shared" si="446"/>
        <v>17833.333333333332</v>
      </c>
      <c r="AF666" s="10">
        <f t="shared" si="446"/>
        <v>17833.333333333332</v>
      </c>
      <c r="AG666" s="10">
        <f t="shared" si="446"/>
        <v>17833.333333333332</v>
      </c>
      <c r="AH666" s="10">
        <f t="shared" si="446"/>
        <v>17833.333333333332</v>
      </c>
      <c r="AI666" s="10">
        <f t="shared" si="446"/>
        <v>17833.333333333332</v>
      </c>
      <c r="AJ666" s="10">
        <f t="shared" si="446"/>
        <v>17833.333333333332</v>
      </c>
      <c r="AK666" s="10">
        <f t="shared" si="446"/>
        <v>17833.333333333332</v>
      </c>
      <c r="AL666" s="10">
        <f t="shared" si="446"/>
        <v>17833.333333333332</v>
      </c>
      <c r="AM666" s="10">
        <f t="shared" si="446"/>
        <v>17833.333333333332</v>
      </c>
      <c r="AN666" s="27">
        <f t="shared" si="446"/>
        <v>214000.00000000003</v>
      </c>
      <c r="AS666" t="str">
        <f>_xlfn.XLOOKUP(AU666,[2]GAE!HZ:HZ,[2]GAE!IA:IA)</f>
        <v>OMD OPERATIONS</v>
      </c>
      <c r="AT666" t="str">
        <f>_xlfn.XLOOKUP(AU666,[2]GAE!HZ:HZ,[2]GAE!IB:IB)</f>
        <v>DOE - Repairs &amp; Maint. - Furniture &amp; Fixtures</v>
      </c>
      <c r="AU666" t="s">
        <v>1116</v>
      </c>
      <c r="AV666">
        <v>81319101</v>
      </c>
      <c r="AW666">
        <v>52061101</v>
      </c>
      <c r="AX666" t="str">
        <f>_xlfn.XLOOKUP(AU666,[2]GAE!HZ:HZ,[2]GAE!IF:IF)</f>
        <v>Others</v>
      </c>
      <c r="AY666" t="str">
        <f>_xlfn.XLOOKUP(AU666,[2]GAE!HZ:HZ,[2]GAE!IG:IG)</f>
        <v>Repairs &amp; Maintenance</v>
      </c>
      <c r="BA666" t="s">
        <v>349</v>
      </c>
      <c r="BC666" t="s">
        <v>21</v>
      </c>
      <c r="BD666" s="3" t="s">
        <v>1120</v>
      </c>
      <c r="BE666" s="3"/>
      <c r="BF666" t="s">
        <v>19</v>
      </c>
      <c r="BG666" s="2" t="s">
        <v>21</v>
      </c>
      <c r="BH666" s="10">
        <f>SUMIFS('[1]2026'!$K:$K,'[1]2026'!$T:$T,BD666,'[1]2026'!$S:$S,BH$3,'[1]2026'!$P:$P,AU666)</f>
        <v>0</v>
      </c>
      <c r="BI666" s="10">
        <f>SUMIFS('[1]2026'!$K:$K,'[1]2026'!$T:$T,$BD666,'[1]2026'!$S:$S,BI$3,'[1]2026'!$P:$P,$AU666)</f>
        <v>0</v>
      </c>
      <c r="BJ666" s="10">
        <f>SUMIFS('[1]2026'!$K:$K,'[1]2026'!$T:$T,$BD666,'[1]2026'!$S:$S,BJ$3,'[1]2026'!$P:$P,$AU666)</f>
        <v>0</v>
      </c>
      <c r="BK666" s="10">
        <f>SUMIFS('[1]2026'!$K:$K,'[1]2026'!$T:$T,$BD666,'[1]2026'!$S:$S,BK$3,'[1]2026'!$P:$P,$AU666)</f>
        <v>0</v>
      </c>
      <c r="BL666" s="10">
        <f>SUMIFS('[1]2026'!$K:$K,'[1]2026'!$T:$T,$BD666,'[1]2026'!$S:$S,BL$3,'[1]2026'!$P:$P,$AU666)</f>
        <v>0</v>
      </c>
      <c r="BM666" s="10">
        <f>SUMIFS('[1]2026'!$K:$K,'[1]2026'!$T:$T,$BD666,'[1]2026'!$S:$S,BM$3,'[1]2026'!$P:$P,$AU666)</f>
        <v>0</v>
      </c>
      <c r="BN666" s="10">
        <f>SUMIFS('[1]2026'!$K:$K,'[1]2026'!$T:$T,$BD666,'[1]2026'!$S:$S,BN$3,'[1]2026'!$P:$P,$AU666)</f>
        <v>0</v>
      </c>
      <c r="BO666" s="10">
        <f>SUMIFS('[1]2026'!$K:$K,'[1]2026'!$T:$T,$BD666,'[1]2026'!$S:$S,BO$3,'[1]2026'!$P:$P,$AU666)</f>
        <v>0</v>
      </c>
      <c r="BP666" s="6"/>
      <c r="BQ666" s="6"/>
      <c r="BR666" s="6"/>
      <c r="BS666" s="6"/>
      <c r="BT666" s="6">
        <f t="shared" si="404"/>
        <v>0</v>
      </c>
      <c r="BV666" s="6">
        <f t="shared" ref="BV666:BV685" si="448">BH666-AB666</f>
        <v>-17833.333333333332</v>
      </c>
      <c r="BW666" s="6">
        <f t="shared" ref="BW666:BW685" si="449">BI666-AC666</f>
        <v>-17833.333333333332</v>
      </c>
      <c r="BX666" s="6">
        <f t="shared" ref="BX666:BX685" si="450">BJ666-AD666</f>
        <v>-17833.333333333332</v>
      </c>
      <c r="BY666" s="6">
        <f t="shared" ref="BY666:BY685" si="451">BK666-AE666</f>
        <v>-17833.333333333332</v>
      </c>
      <c r="BZ666" s="6">
        <f t="shared" ref="BZ666:BZ685" si="452">BL666-AF666</f>
        <v>-17833.333333333332</v>
      </c>
      <c r="CA666" s="6">
        <f t="shared" ref="CA666:CA685" si="453">BM666-AG666</f>
        <v>-17833.333333333332</v>
      </c>
      <c r="CB666" s="6">
        <f t="shared" ref="CB666:CB685" si="454">BN666-AH666</f>
        <v>-17833.333333333332</v>
      </c>
      <c r="CC666" s="6">
        <f t="shared" ref="CC666:CC685" si="455">BO666-AI666</f>
        <v>-17833.333333333332</v>
      </c>
      <c r="CD666" s="6">
        <f t="shared" ref="CD666:CD685" si="456">BP666-AJ666</f>
        <v>-17833.333333333332</v>
      </c>
      <c r="CE666" s="6">
        <f t="shared" ref="CE666:CE685" si="457">BQ666-AK666</f>
        <v>-17833.333333333332</v>
      </c>
      <c r="CF666" s="6">
        <f t="shared" ref="CF666:CF685" si="458">BR666-AL666</f>
        <v>-17833.333333333332</v>
      </c>
      <c r="CG666" s="6">
        <f t="shared" ref="CG666:CG685" si="459">BS666-AM666</f>
        <v>-17833.333333333332</v>
      </c>
      <c r="CH666" s="6">
        <f t="shared" si="440"/>
        <v>-214000.00000000003</v>
      </c>
    </row>
    <row r="667" spans="1:86" hidden="1" x14ac:dyDescent="0.35">
      <c r="A667" s="3" t="s">
        <v>137</v>
      </c>
      <c r="B667" s="21">
        <v>10000</v>
      </c>
      <c r="C667" s="21">
        <v>10000</v>
      </c>
      <c r="D667" s="21">
        <v>10000</v>
      </c>
      <c r="E667" s="21">
        <v>10000</v>
      </c>
      <c r="F667" s="21">
        <v>10000</v>
      </c>
      <c r="G667" s="21">
        <v>10000</v>
      </c>
      <c r="H667" s="21">
        <v>10000</v>
      </c>
      <c r="I667" s="21">
        <v>10000</v>
      </c>
      <c r="J667" s="21">
        <v>10000</v>
      </c>
      <c r="K667" s="21">
        <v>10000</v>
      </c>
      <c r="L667" s="21">
        <v>10000</v>
      </c>
      <c r="M667" s="21">
        <v>10000</v>
      </c>
      <c r="N667" s="27">
        <f t="shared" si="444"/>
        <v>120000</v>
      </c>
      <c r="AA667" s="27">
        <f t="shared" si="445"/>
        <v>0</v>
      </c>
      <c r="AB667" s="10">
        <f t="shared" si="446"/>
        <v>10000</v>
      </c>
      <c r="AC667" s="10">
        <f t="shared" si="446"/>
        <v>10000</v>
      </c>
      <c r="AD667" s="10">
        <f t="shared" si="446"/>
        <v>10000</v>
      </c>
      <c r="AE667" s="10">
        <f t="shared" si="446"/>
        <v>10000</v>
      </c>
      <c r="AF667" s="10">
        <f t="shared" si="446"/>
        <v>10000</v>
      </c>
      <c r="AG667" s="10">
        <f t="shared" si="446"/>
        <v>10000</v>
      </c>
      <c r="AH667" s="10">
        <f t="shared" si="446"/>
        <v>10000</v>
      </c>
      <c r="AI667" s="10">
        <f t="shared" si="446"/>
        <v>10000</v>
      </c>
      <c r="AJ667" s="10">
        <f t="shared" si="446"/>
        <v>10000</v>
      </c>
      <c r="AK667" s="10">
        <f t="shared" si="446"/>
        <v>10000</v>
      </c>
      <c r="AL667" s="10">
        <f t="shared" si="446"/>
        <v>10000</v>
      </c>
      <c r="AM667" s="10">
        <f t="shared" si="446"/>
        <v>10000</v>
      </c>
      <c r="AN667" s="27">
        <f t="shared" si="446"/>
        <v>120000</v>
      </c>
      <c r="AO667" s="28">
        <f>5084561.56-AO671</f>
        <v>5049925.71</v>
      </c>
      <c r="AP667" t="s">
        <v>1121</v>
      </c>
      <c r="AR667" t="s">
        <v>1122</v>
      </c>
      <c r="AS667" t="str">
        <f>_xlfn.XLOOKUP(AU667,[2]GAE!HZ:HZ,[2]GAE!IA:IA)</f>
        <v>OCLP-COMMON</v>
      </c>
      <c r="AT667" t="str">
        <f>_xlfn.XLOOKUP(AU667,[2]GAE!HZ:HZ,[2]GAE!IB:IB)</f>
        <v>DOE - Taxes &amp; Licenses - LBT</v>
      </c>
      <c r="AU667" t="s">
        <v>1123</v>
      </c>
      <c r="AV667">
        <v>80111101</v>
      </c>
      <c r="AW667">
        <v>52031101</v>
      </c>
      <c r="AX667" t="str">
        <f>_xlfn.XLOOKUP(AU667,[2]GAE!HZ:HZ,[2]GAE!IF:IF)</f>
        <v>Taxes &amp; Licenses</v>
      </c>
      <c r="BA667" t="s">
        <v>1124</v>
      </c>
      <c r="BC667" t="s">
        <v>137</v>
      </c>
      <c r="BD667" t="s">
        <v>137</v>
      </c>
      <c r="BF667" t="s">
        <v>38</v>
      </c>
      <c r="BG667" s="2" t="s">
        <v>137</v>
      </c>
      <c r="BH667" s="10">
        <f>SUMIFS('[1]2026'!$K:$K,'[1]2026'!$T:$T,BD667,'[1]2026'!$S:$S,BH$3,'[1]2026'!$P:$P,AU667)</f>
        <v>26000</v>
      </c>
      <c r="BI667" s="10">
        <f>SUMIFS('[1]2026'!$K:$K,'[1]2026'!$T:$T,$BD667,'[1]2026'!$S:$S,BI$3,'[1]2026'!$P:$P,$AU667)</f>
        <v>0</v>
      </c>
      <c r="BJ667" s="10">
        <f>SUMIFS('[1]2026'!$K:$K,'[1]2026'!$T:$T,$BD667,'[1]2026'!$S:$S,BJ$3,'[1]2026'!$P:$P,$AU667)</f>
        <v>12282</v>
      </c>
      <c r="BK667" s="10">
        <f>SUMIFS('[1]2026'!$K:$K,'[1]2026'!$T:$T,$BD667,'[1]2026'!$S:$S,BK$3,'[1]2026'!$P:$P,$AU667)</f>
        <v>0</v>
      </c>
      <c r="BL667" s="10">
        <f>SUMIFS('[1]2026'!$K:$K,'[1]2026'!$T:$T,$BD667,'[1]2026'!$S:$S,BL$3,'[1]2026'!$P:$P,$AU667)</f>
        <v>0</v>
      </c>
      <c r="BM667" s="10">
        <f>SUMIFS('[1]2026'!$K:$K,'[1]2026'!$T:$T,$BD667,'[1]2026'!$S:$S,BM$3,'[1]2026'!$P:$P,$AU667)</f>
        <v>2300</v>
      </c>
      <c r="BN667" s="10">
        <f>SUMIFS('[1]2026'!$K:$K,'[1]2026'!$T:$T,$BD667,'[1]2026'!$S:$S,BN$3,'[1]2026'!$P:$P,$AU667)</f>
        <v>0</v>
      </c>
      <c r="BO667" s="10">
        <f>SUMIFS('[1]2026'!$K:$K,'[1]2026'!$T:$T,$BD667,'[1]2026'!$S:$S,BO$3,'[1]2026'!$P:$P,$AU667)</f>
        <v>0</v>
      </c>
      <c r="BP667" s="6">
        <f t="shared" si="443"/>
        <v>0</v>
      </c>
      <c r="BQ667" s="6">
        <f t="shared" si="443"/>
        <v>0</v>
      </c>
      <c r="BR667" s="6">
        <f t="shared" si="443"/>
        <v>0</v>
      </c>
      <c r="BS667" s="6">
        <f t="shared" si="443"/>
        <v>0</v>
      </c>
      <c r="BT667" s="6">
        <f t="shared" si="404"/>
        <v>40582</v>
      </c>
      <c r="BV667" s="6">
        <f t="shared" si="448"/>
        <v>16000</v>
      </c>
      <c r="BW667" s="6">
        <f t="shared" si="449"/>
        <v>-10000</v>
      </c>
      <c r="BX667" s="6">
        <f t="shared" si="450"/>
        <v>2282</v>
      </c>
      <c r="BY667" s="6">
        <f t="shared" si="451"/>
        <v>-10000</v>
      </c>
      <c r="BZ667" s="6">
        <f t="shared" si="452"/>
        <v>-10000</v>
      </c>
      <c r="CA667" s="6">
        <f t="shared" si="453"/>
        <v>-7700</v>
      </c>
      <c r="CB667" s="6">
        <f t="shared" si="454"/>
        <v>-10000</v>
      </c>
      <c r="CC667" s="6">
        <f t="shared" si="455"/>
        <v>-10000</v>
      </c>
      <c r="CD667" s="6">
        <f t="shared" si="456"/>
        <v>-10000</v>
      </c>
      <c r="CE667" s="6">
        <f t="shared" si="457"/>
        <v>-10000</v>
      </c>
      <c r="CF667" s="6">
        <f t="shared" si="458"/>
        <v>-10000</v>
      </c>
      <c r="CG667" s="6">
        <f t="shared" si="459"/>
        <v>-10000</v>
      </c>
      <c r="CH667" s="6">
        <f t="shared" si="440"/>
        <v>-79418</v>
      </c>
    </row>
    <row r="668" spans="1:86" hidden="1" x14ac:dyDescent="0.35">
      <c r="A668" s="3" t="s">
        <v>137</v>
      </c>
      <c r="B668" s="21">
        <v>10000</v>
      </c>
      <c r="C668" s="21">
        <v>10000</v>
      </c>
      <c r="D668" s="21">
        <v>10000</v>
      </c>
      <c r="E668" s="21">
        <v>10000</v>
      </c>
      <c r="F668" s="21">
        <v>10000</v>
      </c>
      <c r="G668" s="21">
        <v>10000</v>
      </c>
      <c r="H668" s="21">
        <v>10000</v>
      </c>
      <c r="I668" s="21">
        <v>10000</v>
      </c>
      <c r="J668" s="21">
        <v>10000</v>
      </c>
      <c r="K668" s="21">
        <v>10000</v>
      </c>
      <c r="L668" s="21">
        <v>10000</v>
      </c>
      <c r="M668" s="21">
        <v>10000</v>
      </c>
      <c r="N668" s="27">
        <f t="shared" si="444"/>
        <v>120000</v>
      </c>
      <c r="AA668" s="27">
        <f t="shared" si="445"/>
        <v>0</v>
      </c>
      <c r="AB668" s="10">
        <f t="shared" si="446"/>
        <v>10000</v>
      </c>
      <c r="AC668" s="10">
        <f t="shared" si="446"/>
        <v>10000</v>
      </c>
      <c r="AD668" s="10">
        <f t="shared" si="446"/>
        <v>10000</v>
      </c>
      <c r="AE668" s="10">
        <f t="shared" si="446"/>
        <v>10000</v>
      </c>
      <c r="AF668" s="10">
        <f t="shared" si="446"/>
        <v>10000</v>
      </c>
      <c r="AG668" s="10">
        <f t="shared" si="446"/>
        <v>10000</v>
      </c>
      <c r="AH668" s="10">
        <f t="shared" si="446"/>
        <v>10000</v>
      </c>
      <c r="AI668" s="10">
        <f t="shared" si="446"/>
        <v>10000</v>
      </c>
      <c r="AJ668" s="10">
        <f t="shared" si="446"/>
        <v>10000</v>
      </c>
      <c r="AK668" s="10">
        <f t="shared" si="446"/>
        <v>10000</v>
      </c>
      <c r="AL668" s="10">
        <f t="shared" si="446"/>
        <v>10000</v>
      </c>
      <c r="AM668" s="10">
        <f t="shared" si="446"/>
        <v>10000</v>
      </c>
      <c r="AN668" s="27">
        <f t="shared" si="446"/>
        <v>120000</v>
      </c>
      <c r="AP668" t="s">
        <v>1121</v>
      </c>
      <c r="AR668" t="s">
        <v>1122</v>
      </c>
      <c r="AS668" t="str">
        <f>_xlfn.XLOOKUP(AU668,[2]GAE!HZ:HZ,[2]GAE!IA:IA)</f>
        <v>CCC-COMMON</v>
      </c>
      <c r="AT668" t="str">
        <f>_xlfn.XLOOKUP(AU668,[2]GAE!HZ:HZ,[2]GAE!IB:IB)</f>
        <v>DOE - Taxes &amp; Licenses - LBT</v>
      </c>
      <c r="AU668" t="s">
        <v>1125</v>
      </c>
      <c r="AV668">
        <v>81111101</v>
      </c>
      <c r="AW668">
        <v>52031101</v>
      </c>
      <c r="AX668" t="str">
        <f>_xlfn.XLOOKUP(AU668,[2]GAE!HZ:HZ,[2]GAE!IF:IF)</f>
        <v>Taxes &amp; Licenses</v>
      </c>
      <c r="BA668" t="s">
        <v>1124</v>
      </c>
      <c r="BC668" t="s">
        <v>137</v>
      </c>
      <c r="BD668" t="s">
        <v>137</v>
      </c>
      <c r="BF668" t="s">
        <v>38</v>
      </c>
      <c r="BG668" s="2" t="s">
        <v>137</v>
      </c>
      <c r="BH668" s="10">
        <f>SUMIFS('[1]2026'!$K:$K,'[1]2026'!$T:$T,BD668,'[1]2026'!$S:$S,BH$3,'[1]2026'!$P:$P,AU668)</f>
        <v>30021.119999999999</v>
      </c>
      <c r="BI668" s="10">
        <f>SUMIFS('[1]2026'!$K:$K,'[1]2026'!$T:$T,$BD668,'[1]2026'!$S:$S,BI$3,'[1]2026'!$P:$P,$AU668)</f>
        <v>4021.12</v>
      </c>
      <c r="BJ668" s="10">
        <f>SUMIFS('[1]2026'!$K:$K,'[1]2026'!$T:$T,$BD668,'[1]2026'!$S:$S,BJ$3,'[1]2026'!$P:$P,$AU668)</f>
        <v>44371.12</v>
      </c>
      <c r="BK668" s="10">
        <f>SUMIFS('[1]2026'!$K:$K,'[1]2026'!$T:$T,$BD668,'[1]2026'!$S:$S,BK$3,'[1]2026'!$P:$P,$AU668)</f>
        <v>4021.12</v>
      </c>
      <c r="BL668" s="10">
        <f>SUMIFS('[1]2026'!$K:$K,'[1]2026'!$T:$T,$BD668,'[1]2026'!$S:$S,BL$3,'[1]2026'!$P:$P,$AU668)</f>
        <v>4021.12</v>
      </c>
      <c r="BM668" s="10">
        <f>SUMIFS('[1]2026'!$K:$K,'[1]2026'!$T:$T,$BD668,'[1]2026'!$S:$S,BM$3,'[1]2026'!$P:$P,$AU668)</f>
        <v>9321.119999999999</v>
      </c>
      <c r="BN668" s="10">
        <v>16000</v>
      </c>
      <c r="BO668" s="10">
        <f>SUMIFS('[1]2026'!$K:$K,'[1]2026'!$T:$T,$BD668,'[1]2026'!$S:$S,BO$3,'[1]2026'!$P:$P,$AU668)</f>
        <v>8042.24</v>
      </c>
      <c r="BP668" s="6">
        <f t="shared" si="443"/>
        <v>8042.24</v>
      </c>
      <c r="BQ668" s="6">
        <f t="shared" si="443"/>
        <v>8042.24</v>
      </c>
      <c r="BR668" s="6">
        <f t="shared" si="443"/>
        <v>8042.24</v>
      </c>
      <c r="BS668" s="6">
        <f t="shared" si="443"/>
        <v>8042.24</v>
      </c>
      <c r="BT668" s="6">
        <f t="shared" si="404"/>
        <v>151987.91999999998</v>
      </c>
      <c r="BV668" s="6">
        <f t="shared" si="448"/>
        <v>20021.12</v>
      </c>
      <c r="BW668" s="6">
        <f t="shared" si="449"/>
        <v>-5978.88</v>
      </c>
      <c r="BX668" s="6">
        <f t="shared" si="450"/>
        <v>34371.120000000003</v>
      </c>
      <c r="BY668" s="6">
        <f t="shared" si="451"/>
        <v>-5978.88</v>
      </c>
      <c r="BZ668" s="6">
        <f t="shared" si="452"/>
        <v>-5978.88</v>
      </c>
      <c r="CA668" s="6">
        <f t="shared" si="453"/>
        <v>-678.88000000000102</v>
      </c>
      <c r="CB668" s="6">
        <f t="shared" si="454"/>
        <v>6000</v>
      </c>
      <c r="CC668" s="6">
        <f t="shared" si="455"/>
        <v>-1957.7600000000002</v>
      </c>
      <c r="CD668" s="6">
        <f t="shared" si="456"/>
        <v>-1957.7600000000002</v>
      </c>
      <c r="CE668" s="6">
        <f t="shared" si="457"/>
        <v>-1957.7600000000002</v>
      </c>
      <c r="CF668" s="6">
        <f t="shared" si="458"/>
        <v>-1957.7600000000002</v>
      </c>
      <c r="CG668" s="6">
        <f t="shared" si="459"/>
        <v>-1957.7600000000002</v>
      </c>
      <c r="CH668" s="6">
        <f t="shared" si="440"/>
        <v>31987.919999999984</v>
      </c>
    </row>
    <row r="669" spans="1:86" hidden="1" x14ac:dyDescent="0.35">
      <c r="A669" s="3" t="s">
        <v>137</v>
      </c>
      <c r="B669" s="21">
        <v>10000</v>
      </c>
      <c r="C669" s="21">
        <v>10000</v>
      </c>
      <c r="D669" s="21">
        <v>10000</v>
      </c>
      <c r="E669" s="21">
        <v>10000</v>
      </c>
      <c r="F669" s="21">
        <v>10000</v>
      </c>
      <c r="G669" s="21">
        <v>10000</v>
      </c>
      <c r="H669" s="21">
        <v>10000</v>
      </c>
      <c r="I669" s="21">
        <v>10000</v>
      </c>
      <c r="J669" s="21">
        <v>10000</v>
      </c>
      <c r="K669" s="21">
        <v>10000</v>
      </c>
      <c r="L669" s="21">
        <v>10000</v>
      </c>
      <c r="M669" s="21">
        <v>10000</v>
      </c>
      <c r="N669" s="27">
        <f t="shared" si="444"/>
        <v>120000</v>
      </c>
      <c r="AA669" s="27">
        <f t="shared" si="445"/>
        <v>0</v>
      </c>
      <c r="AB669" s="10">
        <f t="shared" si="446"/>
        <v>10000</v>
      </c>
      <c r="AC669" s="10">
        <f t="shared" si="446"/>
        <v>10000</v>
      </c>
      <c r="AD669" s="10">
        <f t="shared" si="446"/>
        <v>10000</v>
      </c>
      <c r="AE669" s="10">
        <f t="shared" si="446"/>
        <v>10000</v>
      </c>
      <c r="AF669" s="10">
        <f t="shared" si="446"/>
        <v>10000</v>
      </c>
      <c r="AG669" s="10">
        <f t="shared" si="446"/>
        <v>10000</v>
      </c>
      <c r="AH669" s="10">
        <f t="shared" si="446"/>
        <v>10000</v>
      </c>
      <c r="AI669" s="10">
        <f t="shared" si="446"/>
        <v>10000</v>
      </c>
      <c r="AJ669" s="10">
        <f t="shared" si="446"/>
        <v>10000</v>
      </c>
      <c r="AK669" s="10">
        <f t="shared" si="446"/>
        <v>10000</v>
      </c>
      <c r="AL669" s="10">
        <f t="shared" si="446"/>
        <v>10000</v>
      </c>
      <c r="AM669" s="10">
        <f t="shared" si="446"/>
        <v>10000</v>
      </c>
      <c r="AN669" s="27">
        <f t="shared" si="446"/>
        <v>120000</v>
      </c>
      <c r="AP669" t="s">
        <v>1121</v>
      </c>
      <c r="AR669" t="s">
        <v>1122</v>
      </c>
      <c r="AS669" t="str">
        <f>_xlfn.XLOOKUP(AU669,[2]GAE!HZ:HZ,[2]GAE!IA:IA)</f>
        <v>OHI-COMMON</v>
      </c>
      <c r="AT669" t="str">
        <f>_xlfn.XLOOKUP(AU669,[2]GAE!HZ:HZ,[2]GAE!IB:IB)</f>
        <v>DOE - Taxes &amp; Licenses - LBT</v>
      </c>
      <c r="AU669" t="s">
        <v>1126</v>
      </c>
      <c r="AV669">
        <v>90111101</v>
      </c>
      <c r="AW669">
        <v>52031101</v>
      </c>
      <c r="AX669" t="str">
        <f>_xlfn.XLOOKUP(AU669,[2]GAE!HZ:HZ,[2]GAE!IF:IF)</f>
        <v>Taxes &amp; Licenses</v>
      </c>
      <c r="BA669" t="s">
        <v>1124</v>
      </c>
      <c r="BF669" t="s">
        <v>38</v>
      </c>
      <c r="BG669" s="2" t="s">
        <v>137</v>
      </c>
      <c r="BH669" s="10">
        <f>SUMIFS('[1]2026'!$K:$K,'[1]2026'!$T:$T,BD669,'[1]2026'!$S:$S,BH$3,'[1]2026'!$P:$P,AU669)</f>
        <v>0</v>
      </c>
      <c r="BI669" s="10">
        <f>SUMIFS('[1]2026'!$K:$K,'[1]2026'!$T:$T,$BD669,'[1]2026'!$S:$S,BI$3,'[1]2026'!$P:$P,$AU669)</f>
        <v>0</v>
      </c>
      <c r="BJ669" s="10">
        <f>SUMIFS('[1]2026'!$K:$K,'[1]2026'!$T:$T,$BD669,'[1]2026'!$S:$S,BJ$3,'[1]2026'!$P:$P,$AU669)</f>
        <v>0</v>
      </c>
      <c r="BK669" s="10">
        <f>SUMIFS('[1]2026'!$K:$K,'[1]2026'!$T:$T,$BD669,'[1]2026'!$S:$S,BK$3,'[1]2026'!$P:$P,$AU669)</f>
        <v>0</v>
      </c>
      <c r="BL669" s="6"/>
      <c r="BM669" s="10">
        <f>SUMIFS('[1]2026'!$K:$K,'[1]2026'!$T:$T,$BD669,'[1]2026'!$S:$S,BM$3,'[1]2026'!$P:$P,$AU669)</f>
        <v>0</v>
      </c>
      <c r="BN669" s="10">
        <f>SUMIFS('[1]2026'!$K:$K,'[1]2026'!$T:$T,$BD669,'[1]2026'!$S:$S,BN$3,'[1]2026'!$P:$P,$AU669)</f>
        <v>0</v>
      </c>
      <c r="BO669" s="10">
        <f>SUMIFS('[1]2026'!$K:$K,'[1]2026'!$T:$T,$BD669,'[1]2026'!$S:$S,BO$3,'[1]2026'!$P:$P,$AU669)</f>
        <v>0</v>
      </c>
      <c r="BP669" s="6"/>
      <c r="BQ669" s="6"/>
      <c r="BR669" s="6"/>
      <c r="BS669" s="6"/>
      <c r="BT669" s="6">
        <f t="shared" si="404"/>
        <v>0</v>
      </c>
      <c r="BV669" s="6">
        <f t="shared" si="448"/>
        <v>-10000</v>
      </c>
      <c r="BW669" s="6">
        <f t="shared" si="449"/>
        <v>-10000</v>
      </c>
      <c r="BX669" s="6">
        <f t="shared" si="450"/>
        <v>-10000</v>
      </c>
      <c r="BY669" s="6">
        <f t="shared" si="451"/>
        <v>-10000</v>
      </c>
      <c r="BZ669" s="6">
        <f t="shared" si="452"/>
        <v>-10000</v>
      </c>
      <c r="CA669" s="6">
        <f t="shared" si="453"/>
        <v>-10000</v>
      </c>
      <c r="CB669" s="6">
        <f t="shared" si="454"/>
        <v>-10000</v>
      </c>
      <c r="CC669" s="6">
        <f t="shared" si="455"/>
        <v>-10000</v>
      </c>
      <c r="CD669" s="6">
        <f t="shared" si="456"/>
        <v>-10000</v>
      </c>
      <c r="CE669" s="6">
        <f t="shared" si="457"/>
        <v>-10000</v>
      </c>
      <c r="CF669" s="6">
        <f t="shared" si="458"/>
        <v>-10000</v>
      </c>
      <c r="CG669" s="6">
        <f t="shared" si="459"/>
        <v>-10000</v>
      </c>
      <c r="CH669" s="6">
        <f t="shared" si="440"/>
        <v>-120000</v>
      </c>
    </row>
    <row r="670" spans="1:86" hidden="1" x14ac:dyDescent="0.35">
      <c r="A670" s="3" t="s">
        <v>137</v>
      </c>
      <c r="B670" s="21">
        <v>400000</v>
      </c>
      <c r="C670" s="21">
        <v>400000</v>
      </c>
      <c r="D670" s="21">
        <v>400000</v>
      </c>
      <c r="E670" s="21">
        <v>400000</v>
      </c>
      <c r="F670" s="21">
        <v>400000</v>
      </c>
      <c r="G670" s="21">
        <v>400000</v>
      </c>
      <c r="H670" s="21">
        <v>400000</v>
      </c>
      <c r="I670" s="21">
        <v>400000</v>
      </c>
      <c r="J670" s="21">
        <v>400000</v>
      </c>
      <c r="K670" s="21">
        <v>400000</v>
      </c>
      <c r="L670" s="21">
        <v>400000</v>
      </c>
      <c r="M670" s="21">
        <v>400000</v>
      </c>
      <c r="N670" s="27">
        <f t="shared" si="444"/>
        <v>4800000</v>
      </c>
      <c r="AA670" s="27">
        <f t="shared" si="445"/>
        <v>0</v>
      </c>
      <c r="AB670" s="10">
        <f t="shared" si="446"/>
        <v>400000</v>
      </c>
      <c r="AC670" s="10">
        <f t="shared" si="446"/>
        <v>400000</v>
      </c>
      <c r="AD670" s="10">
        <f t="shared" si="446"/>
        <v>400000</v>
      </c>
      <c r="AE670" s="10">
        <f t="shared" si="446"/>
        <v>400000</v>
      </c>
      <c r="AF670" s="10">
        <f t="shared" si="446"/>
        <v>400000</v>
      </c>
      <c r="AG670" s="10">
        <f t="shared" si="446"/>
        <v>400000</v>
      </c>
      <c r="AH670" s="10">
        <f t="shared" si="446"/>
        <v>400000</v>
      </c>
      <c r="AI670" s="10">
        <f t="shared" si="446"/>
        <v>400000</v>
      </c>
      <c r="AJ670" s="10">
        <f t="shared" si="446"/>
        <v>400000</v>
      </c>
      <c r="AK670" s="10">
        <f t="shared" si="446"/>
        <v>400000</v>
      </c>
      <c r="AL670" s="10">
        <f t="shared" si="446"/>
        <v>400000</v>
      </c>
      <c r="AM670" s="10">
        <f t="shared" si="446"/>
        <v>400000</v>
      </c>
      <c r="AN670" s="27">
        <f t="shared" si="446"/>
        <v>4800000</v>
      </c>
      <c r="AP670" t="s">
        <v>1121</v>
      </c>
      <c r="AR670" t="s">
        <v>1122</v>
      </c>
      <c r="AS670" t="str">
        <f>_xlfn.XLOOKUP(AU670,[2]GAE!HZ:HZ,[2]GAE!IA:IA)</f>
        <v>OHI-COMMON</v>
      </c>
      <c r="AT670" t="str">
        <f>_xlfn.XLOOKUP(AU670,[2]GAE!HZ:HZ,[2]GAE!IB:IB)</f>
        <v>DOE - Taxes &amp; Licenses - LBT</v>
      </c>
      <c r="AU670" t="s">
        <v>1126</v>
      </c>
      <c r="AV670">
        <v>90111101</v>
      </c>
      <c r="AW670">
        <v>52031101</v>
      </c>
      <c r="AX670" t="str">
        <f>_xlfn.XLOOKUP(AU670,[2]GAE!HZ:HZ,[2]GAE!IF:IF)</f>
        <v>Taxes &amp; Licenses</v>
      </c>
      <c r="BA670" t="s">
        <v>1124</v>
      </c>
      <c r="BC670" t="s">
        <v>137</v>
      </c>
      <c r="BD670" t="s">
        <v>137</v>
      </c>
      <c r="BF670" t="s">
        <v>38</v>
      </c>
      <c r="BG670" s="2" t="s">
        <v>137</v>
      </c>
      <c r="BH670" s="10">
        <f>SUMIFS('[1]2026'!$K:$K,'[1]2026'!$T:$T,BD670,'[1]2026'!$S:$S,BH$3,'[1]2026'!$P:$P,AU670)</f>
        <v>434700.47999999992</v>
      </c>
      <c r="BI670" s="10">
        <f>SUMIFS('[1]2026'!$K:$K,'[1]2026'!$T:$T,$BD670,'[1]2026'!$S:$S,BI$3,'[1]2026'!$P:$P,$AU670)</f>
        <v>374398.32999999996</v>
      </c>
      <c r="BJ670" s="10">
        <f>SUMIFS('[1]2026'!$K:$K,'[1]2026'!$T:$T,$BD670,'[1]2026'!$S:$S,BJ$3,'[1]2026'!$P:$P,$AU670)</f>
        <v>374398.32999999996</v>
      </c>
      <c r="BK670" s="10">
        <f>SUMIFS('[1]2026'!$K:$K,'[1]2026'!$T:$T,$BD670,'[1]2026'!$S:$S,BK$3,'[1]2026'!$P:$P,$AU670)</f>
        <v>374398.31999999995</v>
      </c>
      <c r="BL670" s="10">
        <f>SUMIFS('[1]2026'!$K:$K,'[1]2026'!$T:$T,$BD670,'[1]2026'!$S:$S,BL$3,'[1]2026'!$P:$P,$AU670)</f>
        <v>374398.32999999996</v>
      </c>
      <c r="BM670" s="10">
        <f>SUMIFS('[1]2026'!$K:$K,'[1]2026'!$T:$T,$BD670,'[1]2026'!$S:$S,BM$3,'[1]2026'!$P:$P,$AU670)</f>
        <v>374398.33000000007</v>
      </c>
      <c r="BN670" s="10">
        <f>SUMIFS('[1]2026'!$K:$K,'[1]2026'!$T:$T,$BD670,'[1]2026'!$S:$S,BN$3,'[1]2026'!$P:$P,$AU670)</f>
        <v>374398.32999999996</v>
      </c>
      <c r="BO670" s="10">
        <f>SUMIFS('[1]2026'!$K:$K,'[1]2026'!$T:$T,$BD670,'[1]2026'!$S:$S,BO$3,'[1]2026'!$P:$P,$AU670)</f>
        <v>374398.32999999996</v>
      </c>
      <c r="BP670" s="6">
        <v>374398.32999999996</v>
      </c>
      <c r="BQ670" s="6">
        <v>374398.32999999996</v>
      </c>
      <c r="BR670" s="6">
        <v>374398.32999999996</v>
      </c>
      <c r="BS670" s="6">
        <v>374398.32999999996</v>
      </c>
      <c r="BT670" s="6">
        <f t="shared" si="404"/>
        <v>4553082.0999999996</v>
      </c>
      <c r="BV670" s="6">
        <f t="shared" si="448"/>
        <v>34700.479999999923</v>
      </c>
      <c r="BW670" s="6">
        <f t="shared" si="449"/>
        <v>-25601.670000000042</v>
      </c>
      <c r="BX670" s="6">
        <f t="shared" si="450"/>
        <v>-25601.670000000042</v>
      </c>
      <c r="BY670" s="6">
        <f t="shared" si="451"/>
        <v>-25601.680000000051</v>
      </c>
      <c r="BZ670" s="6">
        <f t="shared" si="452"/>
        <v>-25601.670000000042</v>
      </c>
      <c r="CA670" s="6">
        <f t="shared" si="453"/>
        <v>-25601.669999999925</v>
      </c>
      <c r="CB670" s="6">
        <f t="shared" si="454"/>
        <v>-25601.670000000042</v>
      </c>
      <c r="CC670" s="6">
        <f t="shared" si="455"/>
        <v>-25601.670000000042</v>
      </c>
      <c r="CD670" s="6">
        <f t="shared" si="456"/>
        <v>-25601.670000000042</v>
      </c>
      <c r="CE670" s="6">
        <f t="shared" si="457"/>
        <v>-25601.670000000042</v>
      </c>
      <c r="CF670" s="6">
        <f t="shared" si="458"/>
        <v>-25601.670000000042</v>
      </c>
      <c r="CG670" s="6">
        <f t="shared" si="459"/>
        <v>-25601.670000000042</v>
      </c>
      <c r="CH670" s="6">
        <f t="shared" si="440"/>
        <v>-246917.90000000037</v>
      </c>
    </row>
    <row r="671" spans="1:86" hidden="1" x14ac:dyDescent="0.35">
      <c r="A671" s="3" t="s">
        <v>183</v>
      </c>
      <c r="B671" s="21">
        <v>1000</v>
      </c>
      <c r="C671" s="21">
        <v>1000</v>
      </c>
      <c r="D671" s="21">
        <v>1000</v>
      </c>
      <c r="E671" s="21">
        <v>1000</v>
      </c>
      <c r="F671" s="21">
        <v>1000</v>
      </c>
      <c r="G671" s="21">
        <v>1000</v>
      </c>
      <c r="H671" s="21">
        <v>1000</v>
      </c>
      <c r="I671" s="21">
        <v>1000</v>
      </c>
      <c r="J671" s="21">
        <v>1000</v>
      </c>
      <c r="K671" s="21">
        <v>1000</v>
      </c>
      <c r="L671" s="21">
        <v>1000</v>
      </c>
      <c r="M671" s="21">
        <v>1000</v>
      </c>
      <c r="N671" s="27">
        <f t="shared" si="444"/>
        <v>12000</v>
      </c>
      <c r="AA671" s="27">
        <f t="shared" si="445"/>
        <v>0</v>
      </c>
      <c r="AB671" s="10">
        <f t="shared" si="446"/>
        <v>1000</v>
      </c>
      <c r="AC671" s="10">
        <f t="shared" si="446"/>
        <v>1000</v>
      </c>
      <c r="AD671" s="10">
        <f t="shared" si="446"/>
        <v>1000</v>
      </c>
      <c r="AE671" s="10">
        <f t="shared" si="446"/>
        <v>1000</v>
      </c>
      <c r="AF671" s="10">
        <f t="shared" si="446"/>
        <v>1000</v>
      </c>
      <c r="AG671" s="10">
        <f t="shared" si="446"/>
        <v>1000</v>
      </c>
      <c r="AH671" s="10">
        <f t="shared" si="446"/>
        <v>1000</v>
      </c>
      <c r="AI671" s="10">
        <f t="shared" si="446"/>
        <v>1000</v>
      </c>
      <c r="AJ671" s="10">
        <f t="shared" si="446"/>
        <v>1000</v>
      </c>
      <c r="AK671" s="10">
        <f t="shared" si="446"/>
        <v>1000</v>
      </c>
      <c r="AL671" s="10">
        <f t="shared" si="446"/>
        <v>1000</v>
      </c>
      <c r="AM671" s="10">
        <f t="shared" si="446"/>
        <v>1000</v>
      </c>
      <c r="AN671" s="27">
        <f t="shared" si="446"/>
        <v>12000</v>
      </c>
      <c r="AO671" s="28">
        <v>34635.85</v>
      </c>
      <c r="AP671" t="s">
        <v>183</v>
      </c>
      <c r="AS671" t="str">
        <f>_xlfn.XLOOKUP(AU671,[2]GAE!HZ:HZ,[2]GAE!IA:IA)</f>
        <v>OCLP-COMMON</v>
      </c>
      <c r="AT671" t="str">
        <f>_xlfn.XLOOKUP(AU671,[2]GAE!HZ:HZ,[2]GAE!IB:IB)</f>
        <v>DOE - Taxes &amp; Licenses - DST</v>
      </c>
      <c r="AU671" t="s">
        <v>1127</v>
      </c>
      <c r="AV671">
        <v>80111101</v>
      </c>
      <c r="AW671">
        <v>52031103</v>
      </c>
      <c r="AX671" t="str">
        <f>_xlfn.XLOOKUP(AU671,[2]GAE!HZ:HZ,[2]GAE!IF:IF)</f>
        <v>Taxes &amp; Licenses</v>
      </c>
      <c r="BA671" t="s">
        <v>1124</v>
      </c>
      <c r="BC671" t="s">
        <v>183</v>
      </c>
      <c r="BD671" t="s">
        <v>183</v>
      </c>
      <c r="BF671" t="s">
        <v>38</v>
      </c>
      <c r="BG671" s="2" t="s">
        <v>183</v>
      </c>
      <c r="BH671" s="10">
        <f>SUMIFS('[1]2026'!$K:$K,'[1]2026'!$T:$T,BD671,'[1]2026'!$S:$S,BH$3,'[1]2026'!$P:$P,AU671)</f>
        <v>0</v>
      </c>
      <c r="BI671" s="10">
        <f>SUMIFS('[1]2026'!$K:$K,'[1]2026'!$T:$T,$BD671,'[1]2026'!$S:$S,BI$3,'[1]2026'!$P:$P,$AU671)</f>
        <v>0</v>
      </c>
      <c r="BJ671" s="10">
        <f>SUMIFS('[1]2026'!$K:$K,'[1]2026'!$T:$T,$BD671,'[1]2026'!$S:$S,BJ$3,'[1]2026'!$P:$P,$AU671)</f>
        <v>114417.41</v>
      </c>
      <c r="BK671" s="10">
        <f>SUMIFS('[1]2026'!$K:$K,'[1]2026'!$T:$T,$BD671,'[1]2026'!$S:$S,BK$3,'[1]2026'!$P:$P,$AU671)</f>
        <v>114351.49</v>
      </c>
      <c r="BL671" s="10">
        <f>SUMIFS('[1]2026'!$K:$K,'[1]2026'!$T:$T,$BD671,'[1]2026'!$S:$S,BL$3,'[1]2026'!$P:$P,$AU671)</f>
        <v>0</v>
      </c>
      <c r="BM671" s="10">
        <f>SUMIFS('[1]2026'!$K:$K,'[1]2026'!$T:$T,$BD671,'[1]2026'!$S:$S,BM$3,'[1]2026'!$P:$P,$AU671)</f>
        <v>0</v>
      </c>
      <c r="BN671" s="10">
        <f>SUMIFS('[1]2026'!$K:$K,'[1]2026'!$T:$T,$BD671,'[1]2026'!$S:$S,BN$3,'[1]2026'!$P:$P,$AU671)</f>
        <v>0</v>
      </c>
      <c r="BO671" s="10">
        <f>SUMIFS('[1]2026'!$K:$K,'[1]2026'!$T:$T,$BD671,'[1]2026'!$S:$S,BO$3,'[1]2026'!$P:$P,$AU671)</f>
        <v>3135.2</v>
      </c>
      <c r="BP671" s="6">
        <v>50000</v>
      </c>
      <c r="BQ671" s="6">
        <v>50000</v>
      </c>
      <c r="BR671" s="6">
        <v>50000</v>
      </c>
      <c r="BS671" s="6">
        <v>50000</v>
      </c>
      <c r="BT671" s="6">
        <f t="shared" si="404"/>
        <v>431904.10000000003</v>
      </c>
      <c r="BV671" s="6">
        <f t="shared" si="448"/>
        <v>-1000</v>
      </c>
      <c r="BW671" s="6">
        <f t="shared" si="449"/>
        <v>-1000</v>
      </c>
      <c r="BX671" s="6">
        <f t="shared" si="450"/>
        <v>113417.41</v>
      </c>
      <c r="BY671" s="6">
        <f t="shared" si="451"/>
        <v>113351.49</v>
      </c>
      <c r="BZ671" s="6">
        <f t="shared" si="452"/>
        <v>-1000</v>
      </c>
      <c r="CA671" s="6">
        <f t="shared" si="453"/>
        <v>-1000</v>
      </c>
      <c r="CB671" s="6">
        <f t="shared" si="454"/>
        <v>-1000</v>
      </c>
      <c r="CC671" s="6">
        <f t="shared" si="455"/>
        <v>2135.1999999999998</v>
      </c>
      <c r="CD671" s="6">
        <f t="shared" si="456"/>
        <v>49000</v>
      </c>
      <c r="CE671" s="6">
        <f t="shared" si="457"/>
        <v>49000</v>
      </c>
      <c r="CF671" s="6">
        <f t="shared" si="458"/>
        <v>49000</v>
      </c>
      <c r="CG671" s="6">
        <f t="shared" si="459"/>
        <v>49000</v>
      </c>
      <c r="CH671" s="6">
        <f t="shared" si="440"/>
        <v>419904.10000000003</v>
      </c>
    </row>
    <row r="672" spans="1:86" hidden="1" x14ac:dyDescent="0.35">
      <c r="A672" s="3" t="s">
        <v>183</v>
      </c>
      <c r="B672" s="21">
        <v>2500</v>
      </c>
      <c r="C672" s="21">
        <v>2500</v>
      </c>
      <c r="D672" s="21">
        <v>2500</v>
      </c>
      <c r="E672" s="21">
        <v>2500</v>
      </c>
      <c r="F672" s="21">
        <v>2500</v>
      </c>
      <c r="G672" s="21">
        <v>2500</v>
      </c>
      <c r="H672" s="21">
        <v>2500</v>
      </c>
      <c r="I672" s="21">
        <v>2500</v>
      </c>
      <c r="J672" s="21">
        <v>2500</v>
      </c>
      <c r="K672" s="21">
        <v>2500</v>
      </c>
      <c r="L672" s="21">
        <v>2500</v>
      </c>
      <c r="M672" s="21">
        <v>2500</v>
      </c>
      <c r="N672" s="27">
        <f t="shared" si="444"/>
        <v>30000</v>
      </c>
      <c r="AA672" s="27">
        <f t="shared" si="445"/>
        <v>0</v>
      </c>
      <c r="AB672" s="10">
        <f t="shared" si="446"/>
        <v>2500</v>
      </c>
      <c r="AC672" s="10">
        <f t="shared" si="446"/>
        <v>2500</v>
      </c>
      <c r="AD672" s="10">
        <f t="shared" si="446"/>
        <v>2500</v>
      </c>
      <c r="AE672" s="10">
        <f t="shared" si="446"/>
        <v>2500</v>
      </c>
      <c r="AF672" s="10">
        <f t="shared" si="446"/>
        <v>2500</v>
      </c>
      <c r="AG672" s="10">
        <f t="shared" si="446"/>
        <v>2500</v>
      </c>
      <c r="AH672" s="10">
        <f t="shared" si="446"/>
        <v>2500</v>
      </c>
      <c r="AI672" s="10">
        <f t="shared" si="446"/>
        <v>2500</v>
      </c>
      <c r="AJ672" s="10">
        <f t="shared" si="446"/>
        <v>2500</v>
      </c>
      <c r="AK672" s="10">
        <f t="shared" si="446"/>
        <v>2500</v>
      </c>
      <c r="AL672" s="10">
        <f t="shared" si="446"/>
        <v>2500</v>
      </c>
      <c r="AM672" s="10">
        <f t="shared" si="446"/>
        <v>2500</v>
      </c>
      <c r="AN672" s="27">
        <f t="shared" si="446"/>
        <v>30000</v>
      </c>
      <c r="AP672" t="s">
        <v>183</v>
      </c>
      <c r="AS672" t="str">
        <f>_xlfn.XLOOKUP(AU672,[2]GAE!HZ:HZ,[2]GAE!IA:IA)</f>
        <v>CCC-COMMON</v>
      </c>
      <c r="AT672" t="str">
        <f>_xlfn.XLOOKUP(AU672,[2]GAE!HZ:HZ,[2]GAE!IB:IB)</f>
        <v>DOE - Taxes &amp; Licenses - DST</v>
      </c>
      <c r="AU672" t="s">
        <v>1128</v>
      </c>
      <c r="AV672">
        <v>81111101</v>
      </c>
      <c r="AW672">
        <v>52031103</v>
      </c>
      <c r="AX672" t="str">
        <f>_xlfn.XLOOKUP(AU672,[2]GAE!HZ:HZ,[2]GAE!IF:IF)</f>
        <v>Taxes &amp; Licenses</v>
      </c>
      <c r="BA672" t="s">
        <v>1124</v>
      </c>
      <c r="BC672" t="s">
        <v>183</v>
      </c>
      <c r="BD672" t="s">
        <v>183</v>
      </c>
      <c r="BF672" t="s">
        <v>38</v>
      </c>
      <c r="BG672" s="2" t="s">
        <v>183</v>
      </c>
      <c r="BH672" s="10">
        <f>SUMIFS('[1]2026'!$K:$K,'[1]2026'!$T:$T,BD672,'[1]2026'!$S:$S,BH$3,'[1]2026'!$P:$P,AU672)</f>
        <v>0</v>
      </c>
      <c r="BI672" s="10">
        <f>SUMIFS('[1]2026'!$K:$K,'[1]2026'!$T:$T,$BD672,'[1]2026'!$S:$S,BI$3,'[1]2026'!$P:$P,$AU672)</f>
        <v>330</v>
      </c>
      <c r="BJ672" s="10">
        <f>SUMIFS('[1]2026'!$K:$K,'[1]2026'!$T:$T,$BD672,'[1]2026'!$S:$S,BJ$3,'[1]2026'!$P:$P,$AU672)</f>
        <v>330</v>
      </c>
      <c r="BK672" s="10">
        <f>SUMIFS('[1]2026'!$K:$K,'[1]2026'!$T:$T,$BD672,'[1]2026'!$S:$S,BK$3,'[1]2026'!$P:$P,$AU672)</f>
        <v>0</v>
      </c>
      <c r="BL672" s="10">
        <f>SUMIFS('[1]2026'!$K:$K,'[1]2026'!$T:$T,$BD672,'[1]2026'!$S:$S,BL$3,'[1]2026'!$P:$P,$AU672)</f>
        <v>0</v>
      </c>
      <c r="BM672" s="10">
        <f>SUMIFS('[1]2026'!$K:$K,'[1]2026'!$T:$T,$BD672,'[1]2026'!$S:$S,BM$3,'[1]2026'!$P:$P,$AU672)</f>
        <v>23401.9</v>
      </c>
      <c r="BN672" s="10">
        <f>SUMIFS('[1]2026'!$K:$K,'[1]2026'!$T:$T,$BD672,'[1]2026'!$S:$S,BN$3,'[1]2026'!$P:$P,$AU672)</f>
        <v>270</v>
      </c>
      <c r="BO672" s="10">
        <f>SUMIFS('[1]2026'!$K:$K,'[1]2026'!$T:$T,$BD672,'[1]2026'!$S:$S,BO$3,'[1]2026'!$P:$P,$AU672)</f>
        <v>0</v>
      </c>
      <c r="BP672" s="6">
        <v>1000</v>
      </c>
      <c r="BQ672" s="6">
        <v>1000</v>
      </c>
      <c r="BR672" s="6">
        <v>1000</v>
      </c>
      <c r="BS672" s="6">
        <v>1000</v>
      </c>
      <c r="BT672" s="6">
        <f t="shared" si="404"/>
        <v>28331.9</v>
      </c>
      <c r="BV672" s="6">
        <f t="shared" si="448"/>
        <v>-2500</v>
      </c>
      <c r="BW672" s="6">
        <f t="shared" si="449"/>
        <v>-2170</v>
      </c>
      <c r="BX672" s="6">
        <f t="shared" si="450"/>
        <v>-2170</v>
      </c>
      <c r="BY672" s="6">
        <f t="shared" si="451"/>
        <v>-2500</v>
      </c>
      <c r="BZ672" s="6">
        <f t="shared" si="452"/>
        <v>-2500</v>
      </c>
      <c r="CA672" s="6">
        <f t="shared" si="453"/>
        <v>20901.900000000001</v>
      </c>
      <c r="CB672" s="6">
        <f t="shared" si="454"/>
        <v>-2230</v>
      </c>
      <c r="CC672" s="6">
        <f t="shared" si="455"/>
        <v>-2500</v>
      </c>
      <c r="CD672" s="6">
        <f t="shared" si="456"/>
        <v>-1500</v>
      </c>
      <c r="CE672" s="6">
        <f t="shared" si="457"/>
        <v>-1500</v>
      </c>
      <c r="CF672" s="6">
        <f t="shared" si="458"/>
        <v>-1500</v>
      </c>
      <c r="CG672" s="6">
        <f t="shared" si="459"/>
        <v>-1500</v>
      </c>
      <c r="CH672" s="6">
        <f t="shared" si="440"/>
        <v>-1668.0999999999985</v>
      </c>
    </row>
    <row r="673" spans="1:86" hidden="1" x14ac:dyDescent="0.35">
      <c r="A673" s="3" t="s">
        <v>183</v>
      </c>
      <c r="B673" s="21">
        <v>250</v>
      </c>
      <c r="C673" s="21">
        <v>250</v>
      </c>
      <c r="D673" s="21">
        <v>250</v>
      </c>
      <c r="E673" s="21">
        <v>250</v>
      </c>
      <c r="F673" s="21">
        <v>250</v>
      </c>
      <c r="G673" s="21">
        <v>250</v>
      </c>
      <c r="H673" s="21">
        <v>250</v>
      </c>
      <c r="I673" s="21">
        <v>250</v>
      </c>
      <c r="J673" s="21">
        <v>250</v>
      </c>
      <c r="K673" s="21">
        <v>250</v>
      </c>
      <c r="L673" s="21">
        <v>250</v>
      </c>
      <c r="M673" s="21">
        <v>250</v>
      </c>
      <c r="N673" s="27">
        <f t="shared" si="444"/>
        <v>3000</v>
      </c>
      <c r="AA673" s="27">
        <f t="shared" si="445"/>
        <v>0</v>
      </c>
      <c r="AB673" s="10">
        <f t="shared" si="446"/>
        <v>250</v>
      </c>
      <c r="AC673" s="10">
        <f t="shared" si="446"/>
        <v>250</v>
      </c>
      <c r="AD673" s="10">
        <f t="shared" si="446"/>
        <v>250</v>
      </c>
      <c r="AE673" s="10">
        <f t="shared" si="446"/>
        <v>250</v>
      </c>
      <c r="AF673" s="10">
        <f t="shared" si="446"/>
        <v>250</v>
      </c>
      <c r="AG673" s="10">
        <f t="shared" si="446"/>
        <v>250</v>
      </c>
      <c r="AH673" s="10">
        <f t="shared" si="446"/>
        <v>250</v>
      </c>
      <c r="AI673" s="10">
        <f t="shared" si="446"/>
        <v>250</v>
      </c>
      <c r="AJ673" s="10">
        <f t="shared" si="446"/>
        <v>250</v>
      </c>
      <c r="AK673" s="10">
        <f t="shared" si="446"/>
        <v>250</v>
      </c>
      <c r="AL673" s="10">
        <f t="shared" si="446"/>
        <v>250</v>
      </c>
      <c r="AM673" s="10">
        <f t="shared" si="446"/>
        <v>250</v>
      </c>
      <c r="AN673" s="27">
        <f t="shared" si="446"/>
        <v>3000</v>
      </c>
      <c r="AP673" t="s">
        <v>183</v>
      </c>
      <c r="AS673" t="str">
        <f>_xlfn.XLOOKUP(AU673,[2]GAE!HZ:HZ,[2]GAE!IA:IA)</f>
        <v>OHI-COMMON</v>
      </c>
      <c r="AT673" t="str">
        <f>_xlfn.XLOOKUP(AU673,[2]GAE!HZ:HZ,[2]GAE!IB:IB)</f>
        <v>GAE - Taxes &amp; Licenses - DST</v>
      </c>
      <c r="AU673" t="s">
        <v>1129</v>
      </c>
      <c r="AV673">
        <v>90111101</v>
      </c>
      <c r="AW673">
        <v>61031101</v>
      </c>
      <c r="AX673" t="str">
        <f>_xlfn.XLOOKUP(AU673,[2]GAE!HZ:HZ,[2]GAE!IF:IF)</f>
        <v>Taxes &amp; Licenses</v>
      </c>
      <c r="BA673" t="s">
        <v>1124</v>
      </c>
      <c r="BC673" t="s">
        <v>183</v>
      </c>
      <c r="BD673" t="s">
        <v>183</v>
      </c>
      <c r="BF673" t="s">
        <v>38</v>
      </c>
      <c r="BG673" s="2" t="s">
        <v>183</v>
      </c>
      <c r="BH673" s="10">
        <f>SUMIFS('[1]2026'!$K:$K,'[1]2026'!$T:$T,BD673,'[1]2026'!$S:$S,BH$3,'[1]2026'!$P:$P,AU673)</f>
        <v>0</v>
      </c>
      <c r="BI673" s="10">
        <f>SUMIFS('[1]2026'!$K:$K,'[1]2026'!$T:$T,$BD673,'[1]2026'!$S:$S,BI$3,'[1]2026'!$P:$P,$AU673)</f>
        <v>0</v>
      </c>
      <c r="BJ673" s="10">
        <f>SUMIFS('[1]2026'!$K:$K,'[1]2026'!$T:$T,$BD673,'[1]2026'!$S:$S,BJ$3,'[1]2026'!$P:$P,$AU673)</f>
        <v>180</v>
      </c>
      <c r="BK673" s="10">
        <f>SUMIFS('[1]2026'!$K:$K,'[1]2026'!$T:$T,$BD673,'[1]2026'!$S:$S,BK$3,'[1]2026'!$P:$P,$AU673)</f>
        <v>90</v>
      </c>
      <c r="BL673" s="10">
        <f>SUMIFS('[1]2026'!$K:$K,'[1]2026'!$T:$T,$BD673,'[1]2026'!$S:$S,BL$3,'[1]2026'!$P:$P,$AU673)</f>
        <v>180</v>
      </c>
      <c r="BM673" s="10">
        <f>SUMIFS('[1]2026'!$K:$K,'[1]2026'!$T:$T,$BD673,'[1]2026'!$S:$S,BM$3,'[1]2026'!$P:$P,$AU673)</f>
        <v>120</v>
      </c>
      <c r="BN673" s="10">
        <f>SUMIFS('[1]2026'!$K:$K,'[1]2026'!$T:$T,$BD673,'[1]2026'!$S:$S,BN$3,'[1]2026'!$P:$P,$AU673)</f>
        <v>150</v>
      </c>
      <c r="BO673" s="10">
        <f>SUMIFS('[1]2026'!$K:$K,'[1]2026'!$T:$T,$BD673,'[1]2026'!$S:$S,BO$3,'[1]2026'!$P:$P,$AU673)</f>
        <v>150</v>
      </c>
      <c r="BP673" s="6">
        <v>200</v>
      </c>
      <c r="BQ673" s="6">
        <v>200</v>
      </c>
      <c r="BR673" s="6">
        <v>200</v>
      </c>
      <c r="BS673" s="6">
        <v>200</v>
      </c>
      <c r="BT673" s="6">
        <f t="shared" si="404"/>
        <v>1670</v>
      </c>
      <c r="BV673" s="6">
        <f t="shared" si="448"/>
        <v>-250</v>
      </c>
      <c r="BW673" s="6">
        <f t="shared" si="449"/>
        <v>-250</v>
      </c>
      <c r="BX673" s="6">
        <f t="shared" si="450"/>
        <v>-70</v>
      </c>
      <c r="BY673" s="6">
        <f t="shared" si="451"/>
        <v>-160</v>
      </c>
      <c r="BZ673" s="6">
        <f t="shared" si="452"/>
        <v>-70</v>
      </c>
      <c r="CA673" s="6">
        <f t="shared" si="453"/>
        <v>-130</v>
      </c>
      <c r="CB673" s="6">
        <f t="shared" si="454"/>
        <v>-100</v>
      </c>
      <c r="CC673" s="6">
        <f t="shared" si="455"/>
        <v>-100</v>
      </c>
      <c r="CD673" s="6">
        <f t="shared" si="456"/>
        <v>-50</v>
      </c>
      <c r="CE673" s="6">
        <f t="shared" si="457"/>
        <v>-50</v>
      </c>
      <c r="CF673" s="6">
        <f t="shared" si="458"/>
        <v>-50</v>
      </c>
      <c r="CG673" s="6">
        <f t="shared" si="459"/>
        <v>-50</v>
      </c>
      <c r="CH673" s="6">
        <f t="shared" si="440"/>
        <v>-1330</v>
      </c>
    </row>
    <row r="674" spans="1:86" hidden="1" x14ac:dyDescent="0.35">
      <c r="A674" s="3" t="s">
        <v>1130</v>
      </c>
      <c r="B674" s="10">
        <v>1407231.5325</v>
      </c>
      <c r="C674" s="10">
        <v>1407231.5325</v>
      </c>
      <c r="D674" s="10">
        <v>1563898.199166666</v>
      </c>
      <c r="E674" s="10">
        <v>1563898.199166666</v>
      </c>
      <c r="F674" s="10">
        <v>1563898.199166666</v>
      </c>
      <c r="G674" s="10">
        <v>1563898.199166666</v>
      </c>
      <c r="H674" s="10">
        <v>1563898.199166666</v>
      </c>
      <c r="I674" s="10">
        <v>1563898.199166666</v>
      </c>
      <c r="J674" s="10">
        <v>1733536.0924999996</v>
      </c>
      <c r="K674" s="10">
        <v>1733536.0924999996</v>
      </c>
      <c r="L674" s="10">
        <v>1733536.0924999996</v>
      </c>
      <c r="M674" s="10">
        <v>1733536.0924999996</v>
      </c>
      <c r="N674" s="27">
        <f t="shared" si="444"/>
        <v>19131996.629999999</v>
      </c>
      <c r="AA674" s="27">
        <f t="shared" si="445"/>
        <v>0</v>
      </c>
      <c r="AB674" s="10">
        <f t="shared" si="446"/>
        <v>1407231.5325</v>
      </c>
      <c r="AC674" s="10">
        <f t="shared" si="446"/>
        <v>1407231.5325</v>
      </c>
      <c r="AD674" s="10">
        <f t="shared" si="446"/>
        <v>1563898.199166666</v>
      </c>
      <c r="AE674" s="10">
        <f t="shared" si="446"/>
        <v>1563898.199166666</v>
      </c>
      <c r="AF674" s="10">
        <f t="shared" si="446"/>
        <v>1563898.199166666</v>
      </c>
      <c r="AG674" s="10">
        <f t="shared" si="446"/>
        <v>1563898.199166666</v>
      </c>
      <c r="AH674" s="10">
        <f t="shared" si="446"/>
        <v>1563898.199166666</v>
      </c>
      <c r="AI674" s="10">
        <f t="shared" si="446"/>
        <v>1563898.199166666</v>
      </c>
      <c r="AJ674" s="10">
        <f t="shared" si="446"/>
        <v>1733536.0924999996</v>
      </c>
      <c r="AK674" s="10">
        <f t="shared" si="446"/>
        <v>1733536.0924999996</v>
      </c>
      <c r="AL674" s="10">
        <f t="shared" si="446"/>
        <v>1733536.0924999996</v>
      </c>
      <c r="AM674" s="10">
        <f t="shared" si="446"/>
        <v>1733536.0924999996</v>
      </c>
      <c r="AN674" s="27">
        <f t="shared" si="446"/>
        <v>19131996.629999999</v>
      </c>
      <c r="AO674" s="28">
        <v>17513453.338000007</v>
      </c>
      <c r="AP674" t="s">
        <v>1130</v>
      </c>
      <c r="AS674" t="str">
        <f>_xlfn.XLOOKUP(AU674,[2]GAE!HZ:HZ,[2]GAE!IA:IA)</f>
        <v>BUDGET  C&amp;A</v>
      </c>
      <c r="AT674" t="str">
        <f>_xlfn.XLOOKUP(AU674,[2]GAE!HZ:HZ,[2]GAE!IB:IB)</f>
        <v>GAE - Depreciation &amp; Amort. - Transpo Equipment</v>
      </c>
      <c r="AU674" t="s">
        <v>1131</v>
      </c>
      <c r="AV674">
        <v>80134103</v>
      </c>
      <c r="AW674">
        <v>61901109</v>
      </c>
      <c r="AX674" t="str">
        <f>_xlfn.XLOOKUP(AU674,[2]GAE!HZ:HZ,[2]GAE!IF:IF)</f>
        <v>MTS</v>
      </c>
      <c r="BA674" t="s">
        <v>1132</v>
      </c>
      <c r="BC674" t="s">
        <v>294</v>
      </c>
      <c r="BD674" t="s">
        <v>1130</v>
      </c>
      <c r="BF674" t="s">
        <v>1130</v>
      </c>
      <c r="BG674" t="s">
        <v>1130</v>
      </c>
      <c r="BH674" s="10">
        <f>-[2]MTS!CZ159</f>
        <v>1407501.8601666668</v>
      </c>
      <c r="BI674" s="10">
        <f>-[2]MTS!DA159</f>
        <v>1407501.8601666668</v>
      </c>
      <c r="BJ674" s="10">
        <f>-[2]MTS!DB159</f>
        <v>1437978.0501666667</v>
      </c>
      <c r="BK674" s="10">
        <f>-[2]MTS!DC159</f>
        <v>1486351.0691666666</v>
      </c>
      <c r="BL674" s="10">
        <f>-[2]MTS!DD159</f>
        <v>1450071.3091666666</v>
      </c>
      <c r="BM674" s="10">
        <f>-[2]MTS!DE159</f>
        <v>1538984.0391666666</v>
      </c>
      <c r="BN674" s="10">
        <f>-[2]MTS!DF159</f>
        <v>1526067.3791666664</v>
      </c>
      <c r="BO674" s="10">
        <f>-[2]MTS!DG159</f>
        <v>1687297.5391666663</v>
      </c>
      <c r="BP674" s="10">
        <f>-[2]MTS!DH159</f>
        <v>1750648.2424999995</v>
      </c>
      <c r="BQ674" s="10">
        <f>-[2]MTS!DI159</f>
        <v>1750648.2424999995</v>
      </c>
      <c r="BR674" s="10">
        <f>-[2]MTS!DJ159</f>
        <v>1750648.2424999995</v>
      </c>
      <c r="BS674" s="10">
        <f>-[2]MTS!DK159</f>
        <v>1750648.2424999995</v>
      </c>
      <c r="BT674" s="6">
        <f>SUM(BH674:BS674)</f>
        <v>18944346.076333333</v>
      </c>
      <c r="BV674" s="6">
        <f t="shared" si="448"/>
        <v>270.32766666682437</v>
      </c>
      <c r="BW674" s="6">
        <f t="shared" si="449"/>
        <v>270.32766666682437</v>
      </c>
      <c r="BX674" s="6">
        <f t="shared" si="450"/>
        <v>-125920.14899999928</v>
      </c>
      <c r="BY674" s="6">
        <f t="shared" si="451"/>
        <v>-77547.129999999423</v>
      </c>
      <c r="BZ674" s="6">
        <f t="shared" si="452"/>
        <v>-113826.88999999943</v>
      </c>
      <c r="CA674" s="6">
        <f t="shared" si="453"/>
        <v>-24914.159999999451</v>
      </c>
      <c r="CB674" s="6">
        <f t="shared" si="454"/>
        <v>-37830.8199999996</v>
      </c>
      <c r="CC674" s="6">
        <f t="shared" si="455"/>
        <v>123399.34000000032</v>
      </c>
      <c r="CD674" s="6">
        <f t="shared" si="456"/>
        <v>17112.149999999907</v>
      </c>
      <c r="CE674" s="6">
        <f t="shared" si="457"/>
        <v>17112.149999999907</v>
      </c>
      <c r="CF674" s="6">
        <f t="shared" si="458"/>
        <v>17112.149999999907</v>
      </c>
      <c r="CG674" s="6">
        <f t="shared" si="459"/>
        <v>17112.149999999907</v>
      </c>
      <c r="CH674" s="6">
        <f t="shared" si="440"/>
        <v>-187650.55366666615</v>
      </c>
    </row>
    <row r="675" spans="1:86" hidden="1" x14ac:dyDescent="0.35">
      <c r="A675" s="3" t="s">
        <v>1133</v>
      </c>
      <c r="B675" s="10">
        <v>3923272</v>
      </c>
      <c r="C675" s="10">
        <v>3923272</v>
      </c>
      <c r="D675" s="10">
        <v>3923272</v>
      </c>
      <c r="E675" s="10">
        <v>3923272</v>
      </c>
      <c r="F675" s="10">
        <v>3923272</v>
      </c>
      <c r="G675" s="10">
        <v>3923272</v>
      </c>
      <c r="H675" s="10">
        <v>3923272</v>
      </c>
      <c r="I675" s="10">
        <v>3923272</v>
      </c>
      <c r="J675" s="10">
        <v>3923272</v>
      </c>
      <c r="K675" s="10">
        <v>3923272</v>
      </c>
      <c r="L675" s="10">
        <v>3923272</v>
      </c>
      <c r="M675" s="10">
        <v>3923272</v>
      </c>
      <c r="N675" s="27">
        <f t="shared" si="444"/>
        <v>47079264</v>
      </c>
      <c r="AA675" s="27">
        <f t="shared" si="445"/>
        <v>0</v>
      </c>
      <c r="AB675" s="10">
        <f t="shared" si="446"/>
        <v>3923272</v>
      </c>
      <c r="AC675" s="10">
        <f t="shared" si="446"/>
        <v>3923272</v>
      </c>
      <c r="AD675" s="10">
        <f t="shared" si="446"/>
        <v>3923272</v>
      </c>
      <c r="AE675" s="10">
        <f t="shared" si="446"/>
        <v>3923272</v>
      </c>
      <c r="AF675" s="10">
        <f t="shared" si="446"/>
        <v>3923272</v>
      </c>
      <c r="AG675" s="10">
        <f t="shared" si="446"/>
        <v>3923272</v>
      </c>
      <c r="AH675" s="10">
        <f t="shared" si="446"/>
        <v>3923272</v>
      </c>
      <c r="AI675" s="10">
        <f t="shared" si="446"/>
        <v>3923272</v>
      </c>
      <c r="AJ675" s="10">
        <f t="shared" si="446"/>
        <v>3923272</v>
      </c>
      <c r="AK675" s="10">
        <f t="shared" si="446"/>
        <v>3923272</v>
      </c>
      <c r="AL675" s="10">
        <f t="shared" si="446"/>
        <v>3923272</v>
      </c>
      <c r="AM675" s="10">
        <f t="shared" si="446"/>
        <v>3923272</v>
      </c>
      <c r="AN675" s="27">
        <f t="shared" si="446"/>
        <v>47079264</v>
      </c>
      <c r="AS675" t="str">
        <f>_xlfn.XLOOKUP(AU675,[2]GAE!HZ:HZ,[2]GAE!IA:IA)</f>
        <v>CCC-COMMON</v>
      </c>
      <c r="AT675" t="str">
        <f>_xlfn.XLOOKUP(AU675,[2]GAE!HZ:HZ,[2]GAE!IB:IB)</f>
        <v>DOE - Payroll - Regular - Basic</v>
      </c>
      <c r="AU675" t="s">
        <v>1134</v>
      </c>
      <c r="AV675">
        <v>81111101</v>
      </c>
      <c r="AW675">
        <v>52121101</v>
      </c>
      <c r="AX675" t="str">
        <f>_xlfn.XLOOKUP(AU675,[2]GAE!HZ:HZ,[2]GAE!IF:IF)</f>
        <v>Salaries</v>
      </c>
      <c r="AY675" t="str">
        <f>_xlfn.XLOOKUP(AU675,[2]GAE!HZ:HZ,[2]GAE!IG:IG)</f>
        <v>Regular Employee</v>
      </c>
      <c r="AZ675" t="s">
        <v>1133</v>
      </c>
      <c r="BC675" t="s">
        <v>185</v>
      </c>
      <c r="BD675" t="s">
        <v>1135</v>
      </c>
      <c r="BF675" t="s">
        <v>184</v>
      </c>
      <c r="BG675" s="2" t="s">
        <v>185</v>
      </c>
      <c r="BH675" s="10">
        <f>SUMIFS('[1]2026'!$K:$K,'[1]2026'!$T:$T,BD675,'[1]2026'!$S:$S,BH$3,'[1]2026'!$P:$P,AU675)</f>
        <v>3311803.4299999997</v>
      </c>
      <c r="BI675" s="10">
        <f>SUMIFS('[1]2026'!$K:$K,'[1]2026'!$T:$T,$BD675,'[1]2026'!$S:$S,BI$3,'[1]2026'!$P:$P,$AU675)</f>
        <v>3333124.5500000003</v>
      </c>
      <c r="BJ675" s="10">
        <f>SUMIFS('[1]2026'!$K:$K,'[1]2026'!$T:$T,$BD675,'[1]2026'!$S:$S,BJ$3,'[1]2026'!$P:$P,$AU675)</f>
        <v>3351038.2600000007</v>
      </c>
      <c r="BK675" s="10">
        <f>SUMIFS('[1]2026'!$K:$K,'[1]2026'!$T:$T,$BD675,'[1]2026'!$S:$S,BK$3,'[1]2026'!$P:$P,$AU675)</f>
        <v>4200905.1000000015</v>
      </c>
      <c r="BL675" s="10">
        <f>SUMIFS('[1]2026'!$K:$K,'[1]2026'!$T:$T,$BD675,'[1]2026'!$S:$S,BL$3,'[1]2026'!$P:$P,$AU675)</f>
        <v>3471452.9100000006</v>
      </c>
      <c r="BM675" s="10">
        <f>SUMIFS('[1]2026'!$K:$K,'[1]2026'!$T:$T,$BD675,'[1]2026'!$S:$S,BM$3,'[1]2026'!$P:$P,$AU675)</f>
        <v>3592320.3800000008</v>
      </c>
      <c r="BN675" s="10">
        <f>SUMIFS('[1]2026'!$K:$K,'[1]2026'!$T:$T,$BD675,'[1]2026'!$S:$S,BN$3,'[1]2026'!$P:$P,$AU675)</f>
        <v>3333240.12</v>
      </c>
      <c r="BO675" s="10">
        <f>SUMIFS('[1]2026'!$K:$K,'[1]2026'!$T:$T,$BD675,'[1]2026'!$S:$S,BO$3,'[1]2026'!$P:$P,$AU675)</f>
        <v>3290168.14</v>
      </c>
      <c r="BP675" s="6">
        <v>3400000</v>
      </c>
      <c r="BQ675" s="6">
        <v>3400000</v>
      </c>
      <c r="BR675" s="6">
        <v>3400000</v>
      </c>
      <c r="BS675" s="6">
        <v>3400000</v>
      </c>
      <c r="BT675" s="6">
        <f t="shared" ref="BT675:BT739" si="460">SUM(BH675:BS675)</f>
        <v>41484052.890000001</v>
      </c>
      <c r="BV675" s="6">
        <f t="shared" si="448"/>
        <v>-611468.5700000003</v>
      </c>
      <c r="BW675" s="6">
        <f t="shared" si="449"/>
        <v>-590147.44999999972</v>
      </c>
      <c r="BX675" s="6">
        <f t="shared" si="450"/>
        <v>-572233.73999999929</v>
      </c>
      <c r="BY675" s="6">
        <f t="shared" si="451"/>
        <v>277633.10000000149</v>
      </c>
      <c r="BZ675" s="6">
        <f t="shared" si="452"/>
        <v>-451819.08999999939</v>
      </c>
      <c r="CA675" s="6">
        <f t="shared" si="453"/>
        <v>-330951.61999999918</v>
      </c>
      <c r="CB675" s="6">
        <f t="shared" si="454"/>
        <v>-590031.87999999989</v>
      </c>
      <c r="CC675" s="6">
        <f t="shared" si="455"/>
        <v>-633103.85999999987</v>
      </c>
      <c r="CD675" s="6">
        <f t="shared" si="456"/>
        <v>-523272</v>
      </c>
      <c r="CE675" s="6">
        <f t="shared" si="457"/>
        <v>-523272</v>
      </c>
      <c r="CF675" s="6">
        <f t="shared" si="458"/>
        <v>-523272</v>
      </c>
      <c r="CG675" s="6">
        <f t="shared" si="459"/>
        <v>-523272</v>
      </c>
      <c r="CH675" s="6">
        <f t="shared" si="440"/>
        <v>-5595211.1099999994</v>
      </c>
    </row>
    <row r="676" spans="1:86" hidden="1" x14ac:dyDescent="0.35">
      <c r="A676" s="3" t="s">
        <v>186</v>
      </c>
      <c r="E676" s="10">
        <f>8287075.76/3</f>
        <v>2762358.5866666664</v>
      </c>
      <c r="I676" s="10">
        <f>8287075.76/3</f>
        <v>2762358.5866666664</v>
      </c>
      <c r="M676" s="10">
        <f>8287075.76/3</f>
        <v>2762358.5866666664</v>
      </c>
      <c r="N676" s="27">
        <f t="shared" si="444"/>
        <v>8287075.7599999998</v>
      </c>
      <c r="AA676" s="27">
        <f t="shared" si="445"/>
        <v>0</v>
      </c>
      <c r="AB676" s="10">
        <f t="shared" si="446"/>
        <v>0</v>
      </c>
      <c r="AC676" s="10">
        <f t="shared" si="446"/>
        <v>0</v>
      </c>
      <c r="AD676" s="10">
        <f t="shared" si="446"/>
        <v>0</v>
      </c>
      <c r="AE676" s="10">
        <f t="shared" si="446"/>
        <v>2762358.5866666664</v>
      </c>
      <c r="AF676" s="10">
        <f t="shared" si="446"/>
        <v>0</v>
      </c>
      <c r="AG676" s="10">
        <f t="shared" si="446"/>
        <v>0</v>
      </c>
      <c r="AH676" s="10">
        <f t="shared" si="446"/>
        <v>0</v>
      </c>
      <c r="AI676" s="10">
        <f t="shared" si="446"/>
        <v>2762358.5866666664</v>
      </c>
      <c r="AJ676" s="10">
        <f t="shared" si="446"/>
        <v>0</v>
      </c>
      <c r="AK676" s="10">
        <f t="shared" si="446"/>
        <v>0</v>
      </c>
      <c r="AL676" s="10">
        <f t="shared" si="446"/>
        <v>0</v>
      </c>
      <c r="AM676" s="10">
        <f t="shared" si="446"/>
        <v>2762358.5866666664</v>
      </c>
      <c r="AN676" s="27">
        <f t="shared" si="446"/>
        <v>8287075.7599999998</v>
      </c>
      <c r="AS676" t="str">
        <f>_xlfn.XLOOKUP(AU676,[2]GAE!HZ:HZ,[2]GAE!IA:IA)</f>
        <v>CCC-COMMON</v>
      </c>
      <c r="AT676" t="str">
        <f>_xlfn.XLOOKUP(AU676,[2]GAE!HZ:HZ,[2]GAE!IB:IB)</f>
        <v>DOE - Payroll - Regular - Guaranteed Bonus</v>
      </c>
      <c r="AU676" t="s">
        <v>1136</v>
      </c>
      <c r="AV676">
        <v>81111101</v>
      </c>
      <c r="AW676">
        <v>52121104</v>
      </c>
      <c r="AX676" t="str">
        <f>_xlfn.XLOOKUP(AU676,[2]GAE!HZ:HZ,[2]GAE!IF:IF)</f>
        <v>Salaries</v>
      </c>
      <c r="AY676" t="s">
        <v>186</v>
      </c>
      <c r="AZ676" t="s">
        <v>186</v>
      </c>
      <c r="BC676" t="s">
        <v>186</v>
      </c>
      <c r="BD676" t="s">
        <v>186</v>
      </c>
      <c r="BF676" t="s">
        <v>184</v>
      </c>
      <c r="BG676" s="2" t="s">
        <v>186</v>
      </c>
      <c r="BH676" s="10">
        <f>SUMIFS('[1]2026'!$K:$K,'[1]2026'!$T:$T,BD676,'[1]2026'!$S:$S,BH$3,'[1]2026'!$P:$P,AU676)</f>
        <v>0</v>
      </c>
      <c r="BI676" s="10">
        <f>SUMIFS('[1]2026'!$K:$K,'[1]2026'!$T:$T,$BD676,'[1]2026'!$S:$S,BI$3,'[1]2026'!$P:$P,$AU676)</f>
        <v>0</v>
      </c>
      <c r="BJ676" s="10">
        <f>SUMIFS('[1]2026'!$K:$K,'[1]2026'!$T:$T,$BD676,'[1]2026'!$S:$S,BJ$3,'[1]2026'!$P:$P,$AU676)</f>
        <v>5350</v>
      </c>
      <c r="BK676" s="10">
        <f>SUMIFS('[1]2026'!$K:$K,'[1]2026'!$T:$T,$BD676,'[1]2026'!$S:$S,BK$3,'[1]2026'!$P:$P,$AU676)</f>
        <v>2204516</v>
      </c>
      <c r="BL676" s="10">
        <f>SUMIFS('[1]2026'!$K:$K,'[1]2026'!$T:$T,$BD676,'[1]2026'!$S:$S,BL$3,'[1]2026'!$P:$P,$AU676)</f>
        <v>0</v>
      </c>
      <c r="BM676" s="10">
        <f>SUMIFS('[1]2026'!$K:$K,'[1]2026'!$T:$T,$BD676,'[1]2026'!$S:$S,BM$3,'[1]2026'!$P:$P,$AU676)</f>
        <v>53700</v>
      </c>
      <c r="BN676" s="10">
        <f>SUMIFS('[1]2026'!$K:$K,'[1]2026'!$T:$T,$BD676,'[1]2026'!$S:$S,BN$3,'[1]2026'!$P:$P,$AU676)</f>
        <v>0</v>
      </c>
      <c r="BO676" s="10">
        <f>SUMIFS('[1]2026'!$K:$K,'[1]2026'!$T:$T,$BD676,'[1]2026'!$S:$S,BO$3,'[1]2026'!$P:$P,$AU676)</f>
        <v>1104282.5</v>
      </c>
      <c r="BP676" s="6">
        <f>AJ676</f>
        <v>0</v>
      </c>
      <c r="BQ676" s="6">
        <f>AK676</f>
        <v>0</v>
      </c>
      <c r="BR676" s="6">
        <f>AL676</f>
        <v>0</v>
      </c>
      <c r="BS676" s="6">
        <f>BO676</f>
        <v>1104282.5</v>
      </c>
      <c r="BT676" s="6">
        <f t="shared" si="460"/>
        <v>4472131</v>
      </c>
      <c r="BV676" s="6">
        <f t="shared" si="448"/>
        <v>0</v>
      </c>
      <c r="BW676" s="6">
        <f t="shared" si="449"/>
        <v>0</v>
      </c>
      <c r="BX676" s="6">
        <f t="shared" si="450"/>
        <v>5350</v>
      </c>
      <c r="BY676" s="6">
        <f t="shared" si="451"/>
        <v>-557842.58666666644</v>
      </c>
      <c r="BZ676" s="6">
        <f t="shared" si="452"/>
        <v>0</v>
      </c>
      <c r="CA676" s="6">
        <f t="shared" si="453"/>
        <v>53700</v>
      </c>
      <c r="CB676" s="6">
        <f t="shared" si="454"/>
        <v>0</v>
      </c>
      <c r="CC676" s="6">
        <f t="shared" si="455"/>
        <v>-1658076.0866666664</v>
      </c>
      <c r="CD676" s="6">
        <f t="shared" si="456"/>
        <v>0</v>
      </c>
      <c r="CE676" s="6">
        <f t="shared" si="457"/>
        <v>0</v>
      </c>
      <c r="CF676" s="6">
        <f t="shared" si="458"/>
        <v>0</v>
      </c>
      <c r="CG676" s="6">
        <f t="shared" si="459"/>
        <v>-1658076.0866666664</v>
      </c>
      <c r="CH676" s="6">
        <f t="shared" si="440"/>
        <v>-3814944.76</v>
      </c>
    </row>
    <row r="677" spans="1:86" hidden="1" x14ac:dyDescent="0.35">
      <c r="A677" s="3" t="s">
        <v>187</v>
      </c>
      <c r="B677" s="10">
        <v>7083.333333333333</v>
      </c>
      <c r="C677" s="10">
        <v>7083.333333333333</v>
      </c>
      <c r="D677" s="10">
        <v>7083.333333333333</v>
      </c>
      <c r="E677" s="10">
        <v>7083.333333333333</v>
      </c>
      <c r="F677" s="10">
        <v>7083.333333333333</v>
      </c>
      <c r="G677" s="10">
        <v>7083.333333333333</v>
      </c>
      <c r="H677" s="10">
        <v>7083.333333333333</v>
      </c>
      <c r="I677" s="10">
        <v>7083.333333333333</v>
      </c>
      <c r="J677" s="10">
        <v>7083.333333333333</v>
      </c>
      <c r="K677" s="10">
        <v>7083.333333333333</v>
      </c>
      <c r="L677" s="10">
        <v>7083.333333333333</v>
      </c>
      <c r="M677" s="10">
        <v>7083.333333333333</v>
      </c>
      <c r="N677" s="27">
        <f t="shared" si="444"/>
        <v>85000</v>
      </c>
      <c r="AA677" s="27">
        <f t="shared" si="445"/>
        <v>0</v>
      </c>
      <c r="AB677" s="10">
        <f t="shared" si="446"/>
        <v>7083.333333333333</v>
      </c>
      <c r="AC677" s="10">
        <f t="shared" si="446"/>
        <v>7083.333333333333</v>
      </c>
      <c r="AD677" s="10">
        <f t="shared" si="446"/>
        <v>7083.333333333333</v>
      </c>
      <c r="AE677" s="10">
        <f t="shared" si="446"/>
        <v>7083.333333333333</v>
      </c>
      <c r="AF677" s="10">
        <f t="shared" si="446"/>
        <v>7083.333333333333</v>
      </c>
      <c r="AG677" s="10">
        <f t="shared" si="446"/>
        <v>7083.333333333333</v>
      </c>
      <c r="AH677" s="10">
        <f t="shared" si="446"/>
        <v>7083.333333333333</v>
      </c>
      <c r="AI677" s="10">
        <f t="shared" si="446"/>
        <v>7083.333333333333</v>
      </c>
      <c r="AJ677" s="10">
        <f t="shared" si="446"/>
        <v>7083.333333333333</v>
      </c>
      <c r="AK677" s="10">
        <f t="shared" si="446"/>
        <v>7083.333333333333</v>
      </c>
      <c r="AL677" s="10">
        <f t="shared" si="446"/>
        <v>7083.333333333333</v>
      </c>
      <c r="AM677" s="10">
        <f t="shared" si="446"/>
        <v>7083.333333333333</v>
      </c>
      <c r="AN677" s="27">
        <f t="shared" si="446"/>
        <v>85000</v>
      </c>
      <c r="AS677" t="str">
        <f>_xlfn.XLOOKUP(AU677,[2]GAE!HZ:HZ,[2]GAE!IA:IA)</f>
        <v>CCC-COMMON</v>
      </c>
      <c r="AT677" t="str">
        <f>_xlfn.XLOOKUP(AU677,[2]GAE!HZ:HZ,[2]GAE!IB:IB)</f>
        <v>DOE - Payroll - Regular - Leave Encashment</v>
      </c>
      <c r="AU677" t="s">
        <v>1137</v>
      </c>
      <c r="AV677">
        <v>81111101</v>
      </c>
      <c r="AW677">
        <v>52121106</v>
      </c>
      <c r="AX677" t="str">
        <f>_xlfn.XLOOKUP(AU677,[2]GAE!HZ:HZ,[2]GAE!IF:IF)</f>
        <v>Salaries</v>
      </c>
      <c r="AY677" t="str">
        <f>_xlfn.XLOOKUP(AU677,[2]GAE!HZ:HZ,[2]GAE!IG:IG)</f>
        <v>Leave Encashment</v>
      </c>
      <c r="AZ677" t="s">
        <v>187</v>
      </c>
      <c r="BC677" t="s">
        <v>187</v>
      </c>
      <c r="BD677" s="2" t="s">
        <v>1138</v>
      </c>
      <c r="BE677" s="2"/>
      <c r="BF677" t="s">
        <v>101</v>
      </c>
      <c r="BG677" s="2" t="s">
        <v>187</v>
      </c>
      <c r="BH677" s="10">
        <f>SUMIFS('[1]2026'!$K:$K,'[1]2026'!$T:$T,BD677,'[1]2026'!$S:$S,BH$3,'[1]2026'!$P:$P,AU677)</f>
        <v>0</v>
      </c>
      <c r="BI677" s="10">
        <f>SUMIFS('[1]2026'!$K:$K,'[1]2026'!$T:$T,$BD677,'[1]2026'!$S:$S,BI$3,'[1]2026'!$P:$P,$AU677)</f>
        <v>0</v>
      </c>
      <c r="BJ677" s="10">
        <f>SUMIFS('[1]2026'!$K:$K,'[1]2026'!$T:$T,$BD677,'[1]2026'!$S:$S,BJ$3,'[1]2026'!$P:$P,$AU677)</f>
        <v>0</v>
      </c>
      <c r="BK677" s="10">
        <f>SUMIFS('[1]2026'!$K:$K,'[1]2026'!$T:$T,$BD677,'[1]2026'!$S:$S,BK$3,'[1]2026'!$P:$P,$AU677)</f>
        <v>0</v>
      </c>
      <c r="BL677" s="10">
        <f>SUMIFS('[1]2026'!$K:$K,'[1]2026'!$T:$T,$BD677,'[1]2026'!$S:$S,BL$3,'[1]2026'!$P:$P,$AU677)</f>
        <v>0</v>
      </c>
      <c r="BM677" s="10">
        <f>SUMIFS('[1]2026'!$K:$K,'[1]2026'!$T:$T,$BD677,'[1]2026'!$S:$S,BM$3,'[1]2026'!$P:$P,$AU677)</f>
        <v>-10380.92</v>
      </c>
      <c r="BN677" s="10">
        <f>SUMIFS('[1]2026'!$K:$K,'[1]2026'!$T:$T,$BD677,'[1]2026'!$S:$S,BN$3,'[1]2026'!$P:$P,$AU677)</f>
        <v>0</v>
      </c>
      <c r="BO677" s="10">
        <f>SUMIFS('[1]2026'!$K:$K,'[1]2026'!$T:$T,$BD677,'[1]2026'!$S:$S,BO$3,'[1]2026'!$P:$P,$AU677)</f>
        <v>0</v>
      </c>
      <c r="BP677" s="6"/>
      <c r="BQ677" s="6"/>
      <c r="BR677" s="6"/>
      <c r="BS677" s="6"/>
      <c r="BT677" s="6">
        <f t="shared" si="460"/>
        <v>-10380.92</v>
      </c>
      <c r="BV677" s="6">
        <f t="shared" si="448"/>
        <v>-7083.333333333333</v>
      </c>
      <c r="BW677" s="6">
        <f t="shared" si="449"/>
        <v>-7083.333333333333</v>
      </c>
      <c r="BX677" s="6">
        <f t="shared" si="450"/>
        <v>-7083.333333333333</v>
      </c>
      <c r="BY677" s="6">
        <f t="shared" si="451"/>
        <v>-7083.333333333333</v>
      </c>
      <c r="BZ677" s="6">
        <f t="shared" si="452"/>
        <v>-7083.333333333333</v>
      </c>
      <c r="CA677" s="6">
        <f t="shared" si="453"/>
        <v>-17464.253333333334</v>
      </c>
      <c r="CB677" s="6">
        <f t="shared" si="454"/>
        <v>-7083.333333333333</v>
      </c>
      <c r="CC677" s="6">
        <f t="shared" si="455"/>
        <v>-7083.333333333333</v>
      </c>
      <c r="CD677" s="6">
        <f t="shared" si="456"/>
        <v>-7083.333333333333</v>
      </c>
      <c r="CE677" s="6">
        <f t="shared" si="457"/>
        <v>-7083.333333333333</v>
      </c>
      <c r="CF677" s="6">
        <f t="shared" si="458"/>
        <v>-7083.333333333333</v>
      </c>
      <c r="CG677" s="6">
        <f t="shared" si="459"/>
        <v>-7083.333333333333</v>
      </c>
      <c r="CH677" s="6">
        <f t="shared" si="440"/>
        <v>-95380.92</v>
      </c>
    </row>
    <row r="678" spans="1:86" hidden="1" x14ac:dyDescent="0.35">
      <c r="A678" s="3" t="s">
        <v>188</v>
      </c>
      <c r="B678" s="10">
        <v>77816.750739999945</v>
      </c>
      <c r="C678" s="10">
        <v>77816.750739999945</v>
      </c>
      <c r="D678" s="10">
        <v>77816.750739999945</v>
      </c>
      <c r="E678" s="10">
        <v>77816.750739999945</v>
      </c>
      <c r="F678" s="10">
        <v>77816.750739999945</v>
      </c>
      <c r="G678" s="10">
        <v>77816.750739999945</v>
      </c>
      <c r="H678" s="10">
        <v>77816.750739999945</v>
      </c>
      <c r="I678" s="10">
        <v>77816.750739999945</v>
      </c>
      <c r="J678" s="10">
        <v>77816.750739999945</v>
      </c>
      <c r="K678" s="10">
        <v>77816.750739999945</v>
      </c>
      <c r="L678" s="10">
        <v>77816.750739999945</v>
      </c>
      <c r="M678" s="10">
        <v>77816.750739999945</v>
      </c>
      <c r="N678" s="27">
        <f t="shared" si="444"/>
        <v>933801.00887999928</v>
      </c>
      <c r="AA678" s="27">
        <f t="shared" si="445"/>
        <v>0</v>
      </c>
      <c r="AB678" s="10">
        <f t="shared" si="446"/>
        <v>77816.750739999945</v>
      </c>
      <c r="AC678" s="10">
        <f t="shared" si="446"/>
        <v>77816.750739999945</v>
      </c>
      <c r="AD678" s="10">
        <f t="shared" si="446"/>
        <v>77816.750739999945</v>
      </c>
      <c r="AE678" s="10">
        <f t="shared" si="446"/>
        <v>77816.750739999945</v>
      </c>
      <c r="AF678" s="10">
        <f t="shared" si="446"/>
        <v>77816.750739999945</v>
      </c>
      <c r="AG678" s="10">
        <f t="shared" si="446"/>
        <v>77816.750739999945</v>
      </c>
      <c r="AH678" s="10">
        <f t="shared" si="446"/>
        <v>77816.750739999945</v>
      </c>
      <c r="AI678" s="10">
        <f t="shared" si="446"/>
        <v>77816.750739999945</v>
      </c>
      <c r="AJ678" s="10">
        <f t="shared" si="446"/>
        <v>77816.750739999945</v>
      </c>
      <c r="AK678" s="10">
        <f t="shared" si="446"/>
        <v>77816.750739999945</v>
      </c>
      <c r="AL678" s="10">
        <f t="shared" si="446"/>
        <v>77816.750739999945</v>
      </c>
      <c r="AM678" s="10">
        <f t="shared" si="446"/>
        <v>77816.750739999945</v>
      </c>
      <c r="AN678" s="27">
        <f t="shared" si="446"/>
        <v>933801.00887999928</v>
      </c>
      <c r="AS678" t="str">
        <f>_xlfn.XLOOKUP(AU678,[2]GAE!HZ:HZ,[2]GAE!IA:IA)</f>
        <v>CCC-COMMON</v>
      </c>
      <c r="AT678" t="str">
        <f>_xlfn.XLOOKUP(AU678,[2]GAE!HZ:HZ,[2]GAE!IB:IB)</f>
        <v>DOE - Payroll - Regular - OT</v>
      </c>
      <c r="AU678" t="s">
        <v>1139</v>
      </c>
      <c r="AV678">
        <v>81111101</v>
      </c>
      <c r="AW678">
        <v>52121102</v>
      </c>
      <c r="AX678" t="str">
        <f>_xlfn.XLOOKUP(AU678,[2]GAE!HZ:HZ,[2]GAE!IF:IF)</f>
        <v>Salaries</v>
      </c>
      <c r="AY678" t="str">
        <f>_xlfn.XLOOKUP(AU678,[2]GAE!HZ:HZ,[2]GAE!IG:IG)</f>
        <v>OT Pay</v>
      </c>
      <c r="AZ678" t="s">
        <v>188</v>
      </c>
      <c r="BC678" t="s">
        <v>188</v>
      </c>
      <c r="BD678" t="s">
        <v>188</v>
      </c>
      <c r="BF678" t="s">
        <v>101</v>
      </c>
      <c r="BG678" s="2" t="s">
        <v>188</v>
      </c>
      <c r="BH678" s="10">
        <f>SUMIFS('[1]2026'!$K:$K,'[1]2026'!$T:$T,BD678,'[1]2026'!$S:$S,BH$3,'[1]2026'!$P:$P,AU678)</f>
        <v>115912.66</v>
      </c>
      <c r="BI678" s="10">
        <f>SUMIFS('[1]2026'!$K:$K,'[1]2026'!$T:$T,$BD678,'[1]2026'!$S:$S,BI$3,'[1]2026'!$P:$P,$AU678)</f>
        <v>57523.67</v>
      </c>
      <c r="BJ678" s="10">
        <f>SUMIFS('[1]2026'!$K:$K,'[1]2026'!$T:$T,$BD678,'[1]2026'!$S:$S,BJ$3,'[1]2026'!$P:$P,$AU678)</f>
        <v>51297.390000000007</v>
      </c>
      <c r="BK678" s="10">
        <f>SUMIFS('[1]2026'!$K:$K,'[1]2026'!$T:$T,$BD678,'[1]2026'!$S:$S,BK$3,'[1]2026'!$P:$P,$AU678)</f>
        <v>205505.6</v>
      </c>
      <c r="BL678" s="10">
        <f>SUMIFS('[1]2026'!$K:$K,'[1]2026'!$T:$T,$BD678,'[1]2026'!$S:$S,BL$3,'[1]2026'!$P:$P,$AU678)</f>
        <v>49909.46</v>
      </c>
      <c r="BM678" s="10">
        <f>SUMIFS('[1]2026'!$K:$K,'[1]2026'!$T:$T,$BD678,'[1]2026'!$S:$S,BM$3,'[1]2026'!$P:$P,$AU678)</f>
        <v>92957.450000000012</v>
      </c>
      <c r="BN678" s="10">
        <f>SUMIFS('[1]2026'!$K:$K,'[1]2026'!$T:$T,$BD678,'[1]2026'!$S:$S,BN$3,'[1]2026'!$P:$P,$AU678)</f>
        <v>45481.29</v>
      </c>
      <c r="BO678" s="10">
        <f>SUMIFS('[1]2026'!$K:$K,'[1]2026'!$T:$T,$BD678,'[1]2026'!$S:$S,BO$3,'[1]2026'!$P:$P,$AU678)</f>
        <v>24554.809999999998</v>
      </c>
      <c r="BP678" s="6">
        <f t="shared" ref="BP678:BS679" si="461">BO678</f>
        <v>24554.809999999998</v>
      </c>
      <c r="BQ678" s="6">
        <f t="shared" si="461"/>
        <v>24554.809999999998</v>
      </c>
      <c r="BR678" s="6">
        <f t="shared" si="461"/>
        <v>24554.809999999998</v>
      </c>
      <c r="BS678" s="6">
        <f t="shared" si="461"/>
        <v>24554.809999999998</v>
      </c>
      <c r="BT678" s="6">
        <f t="shared" si="460"/>
        <v>741361.5700000003</v>
      </c>
      <c r="BV678" s="6">
        <f t="shared" si="448"/>
        <v>38095.909260000059</v>
      </c>
      <c r="BW678" s="6">
        <f t="shared" si="449"/>
        <v>-20293.080739999947</v>
      </c>
      <c r="BX678" s="6">
        <f t="shared" si="450"/>
        <v>-26519.360739999938</v>
      </c>
      <c r="BY678" s="6">
        <f t="shared" si="451"/>
        <v>127688.84926000006</v>
      </c>
      <c r="BZ678" s="6">
        <f t="shared" si="452"/>
        <v>-27907.290739999946</v>
      </c>
      <c r="CA678" s="6">
        <f t="shared" si="453"/>
        <v>15140.699260000067</v>
      </c>
      <c r="CB678" s="6">
        <f t="shared" si="454"/>
        <v>-32335.460739999944</v>
      </c>
      <c r="CC678" s="6">
        <f t="shared" si="455"/>
        <v>-53261.940739999947</v>
      </c>
      <c r="CD678" s="6">
        <f t="shared" si="456"/>
        <v>-53261.940739999947</v>
      </c>
      <c r="CE678" s="6">
        <f t="shared" si="457"/>
        <v>-53261.940739999947</v>
      </c>
      <c r="CF678" s="6">
        <f t="shared" si="458"/>
        <v>-53261.940739999947</v>
      </c>
      <c r="CG678" s="6">
        <f t="shared" si="459"/>
        <v>-53261.940739999947</v>
      </c>
      <c r="CH678" s="6">
        <f t="shared" si="440"/>
        <v>-192439.43887999898</v>
      </c>
    </row>
    <row r="679" spans="1:86" hidden="1" x14ac:dyDescent="0.35">
      <c r="A679" s="3" t="s">
        <v>1140</v>
      </c>
      <c r="B679" s="10">
        <v>47348.4</v>
      </c>
      <c r="C679" s="10">
        <v>47348.4</v>
      </c>
      <c r="D679" s="10">
        <v>47348.4</v>
      </c>
      <c r="E679" s="10">
        <v>47348.4</v>
      </c>
      <c r="F679" s="10">
        <v>47348.4</v>
      </c>
      <c r="G679" s="10">
        <v>47348.4</v>
      </c>
      <c r="H679" s="10">
        <v>47348.4</v>
      </c>
      <c r="I679" s="10">
        <v>47348.4</v>
      </c>
      <c r="J679" s="10">
        <v>47348.4</v>
      </c>
      <c r="K679" s="10">
        <v>47348.4</v>
      </c>
      <c r="L679" s="10">
        <v>47348.4</v>
      </c>
      <c r="M679" s="10">
        <v>47348.4</v>
      </c>
      <c r="N679" s="27">
        <f t="shared" si="444"/>
        <v>568180.80000000016</v>
      </c>
      <c r="AA679" s="27">
        <f t="shared" si="445"/>
        <v>0</v>
      </c>
      <c r="AB679" s="10">
        <f t="shared" si="446"/>
        <v>47348.4</v>
      </c>
      <c r="AC679" s="10">
        <f t="shared" si="446"/>
        <v>47348.4</v>
      </c>
      <c r="AD679" s="10">
        <f t="shared" si="446"/>
        <v>47348.4</v>
      </c>
      <c r="AE679" s="10">
        <f t="shared" si="446"/>
        <v>47348.4</v>
      </c>
      <c r="AF679" s="10">
        <f t="shared" si="446"/>
        <v>47348.4</v>
      </c>
      <c r="AG679" s="10">
        <f t="shared" si="446"/>
        <v>47348.4</v>
      </c>
      <c r="AH679" s="10">
        <f t="shared" si="446"/>
        <v>47348.4</v>
      </c>
      <c r="AI679" s="10">
        <f t="shared" si="446"/>
        <v>47348.4</v>
      </c>
      <c r="AJ679" s="10">
        <f t="shared" si="446"/>
        <v>47348.4</v>
      </c>
      <c r="AK679" s="10">
        <f t="shared" si="446"/>
        <v>47348.4</v>
      </c>
      <c r="AL679" s="10">
        <f t="shared" si="446"/>
        <v>47348.4</v>
      </c>
      <c r="AM679" s="10">
        <f t="shared" si="446"/>
        <v>47348.4</v>
      </c>
      <c r="AN679" s="27">
        <f t="shared" si="446"/>
        <v>568180.80000000016</v>
      </c>
      <c r="AS679" t="str">
        <f>_xlfn.XLOOKUP(AU679,[2]GAE!HZ:HZ,[2]GAE!IA:IA)</f>
        <v>CCC-COMMON</v>
      </c>
      <c r="AT679" t="str">
        <f>_xlfn.XLOOKUP(AU679,[2]GAE!HZ:HZ,[2]GAE!IB:IB)</f>
        <v>DOE - Regular - OT Allowance</v>
      </c>
      <c r="AU679" t="s">
        <v>1141</v>
      </c>
      <c r="AV679">
        <v>81111101</v>
      </c>
      <c r="AW679">
        <v>52121103</v>
      </c>
      <c r="AX679" t="str">
        <f>_xlfn.XLOOKUP(AU679,[2]GAE!HZ:HZ,[2]GAE!IF:IF)</f>
        <v>Salaries</v>
      </c>
      <c r="AY679" t="str">
        <f>_xlfn.XLOOKUP(AU679,[2]GAE!HZ:HZ,[2]GAE!IG:IG)</f>
        <v>OT Pay</v>
      </c>
      <c r="AZ679" t="s">
        <v>1140</v>
      </c>
      <c r="BC679" t="s">
        <v>188</v>
      </c>
      <c r="BD679" t="s">
        <v>188</v>
      </c>
      <c r="BF679" t="s">
        <v>101</v>
      </c>
      <c r="BG679" s="2" t="s">
        <v>188</v>
      </c>
      <c r="BH679" s="10">
        <f>SUMIFS('[1]2026'!$K:$K,'[1]2026'!$T:$T,BD679,'[1]2026'!$S:$S,BH$3,'[1]2026'!$P:$P,AU679)</f>
        <v>24200</v>
      </c>
      <c r="BI679" s="10">
        <f>SUMIFS('[1]2026'!$K:$K,'[1]2026'!$T:$T,$BD679,'[1]2026'!$S:$S,BI$3,'[1]2026'!$P:$P,$AU679)</f>
        <v>58200</v>
      </c>
      <c r="BJ679" s="10">
        <f>SUMIFS('[1]2026'!$K:$K,'[1]2026'!$T:$T,$BD679,'[1]2026'!$S:$S,BJ$3,'[1]2026'!$P:$P,$AU679)</f>
        <v>48200</v>
      </c>
      <c r="BK679" s="10">
        <f>SUMIFS('[1]2026'!$K:$K,'[1]2026'!$T:$T,$BD679,'[1]2026'!$S:$S,BK$3,'[1]2026'!$P:$P,$AU679)</f>
        <v>55400</v>
      </c>
      <c r="BL679" s="10">
        <f>SUMIFS('[1]2026'!$K:$K,'[1]2026'!$T:$T,$BD679,'[1]2026'!$S:$S,BL$3,'[1]2026'!$P:$P,$AU679)</f>
        <v>46400</v>
      </c>
      <c r="BM679" s="10">
        <f>SUMIFS('[1]2026'!$K:$K,'[1]2026'!$T:$T,$BD679,'[1]2026'!$S:$S,BM$3,'[1]2026'!$P:$P,$AU679)</f>
        <v>57400</v>
      </c>
      <c r="BN679" s="10">
        <f>SUMIFS('[1]2026'!$K:$K,'[1]2026'!$T:$T,$BD679,'[1]2026'!$S:$S,BN$3,'[1]2026'!$P:$P,$AU679)</f>
        <v>65800</v>
      </c>
      <c r="BO679" s="10">
        <f>SUMIFS('[1]2026'!$K:$K,'[1]2026'!$T:$T,$BD679,'[1]2026'!$S:$S,BO$3,'[1]2026'!$P:$P,$AU679)</f>
        <v>42600</v>
      </c>
      <c r="BP679" s="6">
        <f t="shared" si="461"/>
        <v>42600</v>
      </c>
      <c r="BQ679" s="6">
        <f t="shared" si="461"/>
        <v>42600</v>
      </c>
      <c r="BR679" s="6">
        <f t="shared" si="461"/>
        <v>42600</v>
      </c>
      <c r="BS679" s="6">
        <f t="shared" si="461"/>
        <v>42600</v>
      </c>
      <c r="BT679" s="6">
        <f t="shared" si="460"/>
        <v>568600</v>
      </c>
      <c r="BV679" s="6">
        <f t="shared" si="448"/>
        <v>-23148.400000000001</v>
      </c>
      <c r="BW679" s="6">
        <f t="shared" si="449"/>
        <v>10851.599999999999</v>
      </c>
      <c r="BX679" s="6">
        <f t="shared" si="450"/>
        <v>851.59999999999854</v>
      </c>
      <c r="BY679" s="6">
        <f t="shared" si="451"/>
        <v>8051.5999999999985</v>
      </c>
      <c r="BZ679" s="6">
        <f t="shared" si="452"/>
        <v>-948.40000000000146</v>
      </c>
      <c r="CA679" s="6">
        <f t="shared" si="453"/>
        <v>10051.599999999999</v>
      </c>
      <c r="CB679" s="6">
        <f t="shared" si="454"/>
        <v>18451.599999999999</v>
      </c>
      <c r="CC679" s="6">
        <f t="shared" si="455"/>
        <v>-4748.4000000000015</v>
      </c>
      <c r="CD679" s="6">
        <f t="shared" si="456"/>
        <v>-4748.4000000000015</v>
      </c>
      <c r="CE679" s="6">
        <f t="shared" si="457"/>
        <v>-4748.4000000000015</v>
      </c>
      <c r="CF679" s="6">
        <f t="shared" si="458"/>
        <v>-4748.4000000000015</v>
      </c>
      <c r="CG679" s="6">
        <f t="shared" si="459"/>
        <v>-4748.4000000000015</v>
      </c>
      <c r="CH679" s="6">
        <f t="shared" si="440"/>
        <v>419.19999999983702</v>
      </c>
    </row>
    <row r="680" spans="1:86" hidden="1" x14ac:dyDescent="0.35">
      <c r="A680" s="3" t="s">
        <v>189</v>
      </c>
      <c r="B680" s="10">
        <v>331820</v>
      </c>
      <c r="C680" s="10">
        <v>331820</v>
      </c>
      <c r="D680" s="10">
        <v>331820</v>
      </c>
      <c r="E680" s="10">
        <v>331820</v>
      </c>
      <c r="F680" s="10">
        <v>331820</v>
      </c>
      <c r="G680" s="10">
        <v>331820</v>
      </c>
      <c r="H680" s="10">
        <v>331820</v>
      </c>
      <c r="I680" s="10">
        <v>331820</v>
      </c>
      <c r="J680" s="10">
        <v>331820</v>
      </c>
      <c r="K680" s="10">
        <v>331820</v>
      </c>
      <c r="L680" s="10">
        <v>331820</v>
      </c>
      <c r="M680" s="10">
        <v>331820</v>
      </c>
      <c r="N680" s="27">
        <f t="shared" si="444"/>
        <v>3981840</v>
      </c>
      <c r="O680" s="10">
        <v>17618.760827699854</v>
      </c>
      <c r="P680" s="10">
        <v>17618.760827699854</v>
      </c>
      <c r="Q680" s="10">
        <v>17618.760827699854</v>
      </c>
      <c r="R680" s="10">
        <v>17618.760827699854</v>
      </c>
      <c r="S680" s="10">
        <v>17618.760827699854</v>
      </c>
      <c r="T680" s="10">
        <v>17618.760827699854</v>
      </c>
      <c r="U680" s="10">
        <v>17618.760827699854</v>
      </c>
      <c r="V680" s="10">
        <v>17618.760827699854</v>
      </c>
      <c r="W680" s="10">
        <v>17618.760827699854</v>
      </c>
      <c r="X680" s="10">
        <v>17618.760827699854</v>
      </c>
      <c r="Y680" s="10">
        <v>17618.760827699854</v>
      </c>
      <c r="Z680" s="10">
        <v>17618.760827699854</v>
      </c>
      <c r="AA680" s="27">
        <f t="shared" si="445"/>
        <v>211425.12993239824</v>
      </c>
      <c r="AB680" s="10">
        <f t="shared" si="446"/>
        <v>314201.23917230015</v>
      </c>
      <c r="AC680" s="10">
        <f t="shared" si="446"/>
        <v>314201.23917230015</v>
      </c>
      <c r="AD680" s="10">
        <f t="shared" si="446"/>
        <v>314201.23917230015</v>
      </c>
      <c r="AE680" s="10">
        <f t="shared" si="446"/>
        <v>314201.23917230015</v>
      </c>
      <c r="AF680" s="10">
        <f t="shared" si="446"/>
        <v>314201.23917230015</v>
      </c>
      <c r="AG680" s="10">
        <f t="shared" si="446"/>
        <v>314201.23917230015</v>
      </c>
      <c r="AH680" s="10">
        <f t="shared" si="446"/>
        <v>314201.23917230015</v>
      </c>
      <c r="AI680" s="10">
        <f t="shared" si="446"/>
        <v>314201.23917230015</v>
      </c>
      <c r="AJ680" s="10">
        <f t="shared" ref="AE680:AN713" si="462">J680-W680</f>
        <v>314201.23917230015</v>
      </c>
      <c r="AK680" s="10">
        <f t="shared" si="462"/>
        <v>314201.23917230015</v>
      </c>
      <c r="AL680" s="10">
        <f t="shared" si="462"/>
        <v>314201.23917230015</v>
      </c>
      <c r="AM680" s="10">
        <f t="shared" si="462"/>
        <v>314201.23917230015</v>
      </c>
      <c r="AN680" s="27">
        <f t="shared" si="462"/>
        <v>3770414.8700676016</v>
      </c>
      <c r="AO680" s="28">
        <v>3089070</v>
      </c>
      <c r="AS680" t="str">
        <f>_xlfn.XLOOKUP(AU680,[2]GAE!HZ:HZ,[2]GAE!IA:IA)</f>
        <v>CCC-COMMON</v>
      </c>
      <c r="AT680" t="str">
        <f>_xlfn.XLOOKUP(AU680,[2]GAE!HZ:HZ,[2]GAE!IB:IB)</f>
        <v>DOE - Employee Benefits - SSS,PHIC, HDMF</v>
      </c>
      <c r="AU680" t="s">
        <v>1142</v>
      </c>
      <c r="AV680">
        <v>81111101</v>
      </c>
      <c r="AW680">
        <v>52121305</v>
      </c>
      <c r="AX680" t="str">
        <f>_xlfn.XLOOKUP(AU680,[2]GAE!HZ:HZ,[2]GAE!IF:IF)</f>
        <v>Employee Benefits</v>
      </c>
      <c r="AY680" t="str">
        <f>_xlfn.XLOOKUP(AU680,[2]GAE!HZ:HZ,[2]GAE!IG:IG)</f>
        <v>Government Contributions</v>
      </c>
      <c r="AZ680" t="s">
        <v>189</v>
      </c>
      <c r="BC680" t="s">
        <v>190</v>
      </c>
      <c r="BD680" t="s">
        <v>190</v>
      </c>
      <c r="BF680" t="s">
        <v>184</v>
      </c>
      <c r="BG680" s="2" t="s">
        <v>189</v>
      </c>
      <c r="BH680" s="10">
        <f>SUMIFS('[1]2026'!$K:$K,'[1]2026'!$T:$T,BD680,'[1]2026'!$S:$S,BH$3,'[1]2026'!$P:$P,AU680)</f>
        <v>256630</v>
      </c>
      <c r="BI680" s="10">
        <f>SUMIFS('[1]2026'!$K:$K,'[1]2026'!$T:$T,$BD680,'[1]2026'!$S:$S,BI$3,'[1]2026'!$P:$P,$AU680)</f>
        <v>253400</v>
      </c>
      <c r="BJ680" s="10">
        <f>SUMIFS('[1]2026'!$K:$K,'[1]2026'!$T:$T,$BD680,'[1]2026'!$S:$S,BJ$3,'[1]2026'!$P:$P,$AU680)</f>
        <v>256010</v>
      </c>
      <c r="BK680" s="10">
        <f>SUMIFS('[1]2026'!$K:$K,'[1]2026'!$T:$T,$BD680,'[1]2026'!$S:$S,BK$3,'[1]2026'!$P:$P,$AU680)</f>
        <v>302030</v>
      </c>
      <c r="BL680" s="10">
        <f>SUMIFS('[1]2026'!$K:$K,'[1]2026'!$T:$T,$BD680,'[1]2026'!$S:$S,BL$3,'[1]2026'!$P:$P,$AU680)</f>
        <v>262280</v>
      </c>
      <c r="BM680" s="10">
        <f>SUMIFS('[1]2026'!$K:$K,'[1]2026'!$T:$T,$BD680,'[1]2026'!$S:$S,BM$3,'[1]2026'!$P:$P,$AU680)</f>
        <v>287110</v>
      </c>
      <c r="BN680" s="10">
        <f>SUMIFS('[1]2026'!$K:$K,'[1]2026'!$T:$T,$BD680,'[1]2026'!$S:$S,BN$3,'[1]2026'!$P:$P,$AU680)</f>
        <v>258330</v>
      </c>
      <c r="BO680" s="10">
        <f>SUMIFS('[1]2026'!$K:$K,'[1]2026'!$T:$T,$BD680,'[1]2026'!$S:$S,BO$3,'[1]2026'!$P:$P,$AU680)</f>
        <v>288380</v>
      </c>
      <c r="BP680" s="6">
        <v>288380</v>
      </c>
      <c r="BQ680" s="6">
        <v>288380</v>
      </c>
      <c r="BR680" s="6">
        <v>288380</v>
      </c>
      <c r="BS680" s="6">
        <v>288380</v>
      </c>
      <c r="BT680" s="6">
        <f t="shared" si="460"/>
        <v>3317690</v>
      </c>
      <c r="BV680" s="6">
        <f t="shared" si="448"/>
        <v>-57571.239172300149</v>
      </c>
      <c r="BW680" s="6">
        <f t="shared" si="449"/>
        <v>-60801.239172300149</v>
      </c>
      <c r="BX680" s="6">
        <f t="shared" si="450"/>
        <v>-58191.239172300149</v>
      </c>
      <c r="BY680" s="6">
        <f t="shared" si="451"/>
        <v>-12171.239172300149</v>
      </c>
      <c r="BZ680" s="6">
        <f t="shared" si="452"/>
        <v>-51921.239172300149</v>
      </c>
      <c r="CA680" s="6">
        <f t="shared" si="453"/>
        <v>-27091.239172300149</v>
      </c>
      <c r="CB680" s="6">
        <f t="shared" si="454"/>
        <v>-55871.239172300149</v>
      </c>
      <c r="CC680" s="6">
        <f t="shared" si="455"/>
        <v>-25821.239172300149</v>
      </c>
      <c r="CD680" s="6">
        <f t="shared" si="456"/>
        <v>-25821.239172300149</v>
      </c>
      <c r="CE680" s="6">
        <f t="shared" si="457"/>
        <v>-25821.239172300149</v>
      </c>
      <c r="CF680" s="6">
        <f t="shared" si="458"/>
        <v>-25821.239172300149</v>
      </c>
      <c r="CG680" s="6">
        <f t="shared" si="459"/>
        <v>-25821.239172300149</v>
      </c>
      <c r="CH680" s="6">
        <f t="shared" si="440"/>
        <v>-452724.87006760156</v>
      </c>
    </row>
    <row r="681" spans="1:86" hidden="1" x14ac:dyDescent="0.35">
      <c r="A681" s="3" t="s">
        <v>191</v>
      </c>
      <c r="B681" s="10">
        <v>18800</v>
      </c>
      <c r="C681" s="10">
        <v>18800</v>
      </c>
      <c r="D681" s="10">
        <v>18800</v>
      </c>
      <c r="E681" s="10">
        <v>18800</v>
      </c>
      <c r="F681" s="10">
        <v>18800</v>
      </c>
      <c r="G681" s="10">
        <v>18800</v>
      </c>
      <c r="H681" s="10">
        <v>18800</v>
      </c>
      <c r="I681" s="10">
        <v>18800</v>
      </c>
      <c r="J681" s="10">
        <v>18800</v>
      </c>
      <c r="K681" s="10">
        <v>18800</v>
      </c>
      <c r="L681" s="10">
        <v>18800</v>
      </c>
      <c r="M681" s="10">
        <v>18800</v>
      </c>
      <c r="N681" s="27">
        <f t="shared" si="444"/>
        <v>225600</v>
      </c>
      <c r="O681" s="10">
        <v>998.23007522378794</v>
      </c>
      <c r="P681" s="10">
        <v>998.23007522378794</v>
      </c>
      <c r="Q681" s="10">
        <v>998.23007522378794</v>
      </c>
      <c r="R681" s="10">
        <v>998.23007522378794</v>
      </c>
      <c r="S681" s="10">
        <v>998.23007522378794</v>
      </c>
      <c r="T681" s="10">
        <v>998.23007522378794</v>
      </c>
      <c r="U681" s="10">
        <v>998.23007522378794</v>
      </c>
      <c r="V681" s="10">
        <v>998.23007522378794</v>
      </c>
      <c r="W681" s="10">
        <v>998.23007522378794</v>
      </c>
      <c r="X681" s="10">
        <v>998.23007522378794</v>
      </c>
      <c r="Y681" s="10">
        <v>998.23007522378794</v>
      </c>
      <c r="Z681" s="10">
        <v>998.23007522378794</v>
      </c>
      <c r="AA681" s="27">
        <f t="shared" si="445"/>
        <v>11978.760902685455</v>
      </c>
      <c r="AB681" s="10">
        <f t="shared" ref="AB681:AN720" si="463">B681-O681</f>
        <v>17801.769924776214</v>
      </c>
      <c r="AC681" s="10">
        <f t="shared" si="463"/>
        <v>17801.769924776214</v>
      </c>
      <c r="AD681" s="10">
        <f t="shared" si="463"/>
        <v>17801.769924776214</v>
      </c>
      <c r="AE681" s="10">
        <f t="shared" si="462"/>
        <v>17801.769924776214</v>
      </c>
      <c r="AF681" s="10">
        <f t="shared" si="462"/>
        <v>17801.769924776214</v>
      </c>
      <c r="AG681" s="10">
        <f t="shared" si="462"/>
        <v>17801.769924776214</v>
      </c>
      <c r="AH681" s="10">
        <f t="shared" si="462"/>
        <v>17801.769924776214</v>
      </c>
      <c r="AI681" s="10">
        <f t="shared" si="462"/>
        <v>17801.769924776214</v>
      </c>
      <c r="AJ681" s="10">
        <f t="shared" si="462"/>
        <v>17801.769924776214</v>
      </c>
      <c r="AK681" s="10">
        <f t="shared" si="462"/>
        <v>17801.769924776214</v>
      </c>
      <c r="AL681" s="10">
        <f t="shared" si="462"/>
        <v>17801.769924776214</v>
      </c>
      <c r="AM681" s="10">
        <f t="shared" si="462"/>
        <v>17801.769924776214</v>
      </c>
      <c r="AN681" s="27">
        <f t="shared" si="462"/>
        <v>213621.23909731454</v>
      </c>
      <c r="AO681" s="28">
        <v>211200</v>
      </c>
      <c r="AS681" t="str">
        <f>_xlfn.XLOOKUP(AU681,[2]GAE!HZ:HZ,[2]GAE!IA:IA)</f>
        <v>CCC-COMMON</v>
      </c>
      <c r="AT681" t="str">
        <f>_xlfn.XLOOKUP(AU681,[2]GAE!HZ:HZ,[2]GAE!IB:IB)</f>
        <v>DOE - Employee Benefits - SSS,PHIC, HDMF</v>
      </c>
      <c r="AU681" t="s">
        <v>1142</v>
      </c>
      <c r="AV681">
        <v>81111101</v>
      </c>
      <c r="AW681">
        <v>52121305</v>
      </c>
      <c r="AX681" t="str">
        <f>_xlfn.XLOOKUP(AU681,[2]GAE!HZ:HZ,[2]GAE!IF:IF)</f>
        <v>Employee Benefits</v>
      </c>
      <c r="AY681" t="str">
        <f>_xlfn.XLOOKUP(AU681,[2]GAE!HZ:HZ,[2]GAE!IG:IG)</f>
        <v>Government Contributions</v>
      </c>
      <c r="AZ681" t="s">
        <v>191</v>
      </c>
      <c r="BC681" t="s">
        <v>192</v>
      </c>
      <c r="BD681" t="s">
        <v>192</v>
      </c>
      <c r="BF681" t="s">
        <v>184</v>
      </c>
      <c r="BG681" s="2" t="s">
        <v>191</v>
      </c>
      <c r="BH681" s="10">
        <f>SUMIFS('[1]2026'!$K:$K,'[1]2026'!$T:$T,BD681,'[1]2026'!$S:$S,BH$3,'[1]2026'!$P:$P,AU681)</f>
        <v>17200</v>
      </c>
      <c r="BI681" s="10">
        <f>SUMIFS('[1]2026'!$K:$K,'[1]2026'!$T:$T,$BD681,'[1]2026'!$S:$S,BI$3,'[1]2026'!$P:$P,$AU681)</f>
        <v>17000</v>
      </c>
      <c r="BJ681" s="10">
        <f>SUMIFS('[1]2026'!$K:$K,'[1]2026'!$T:$T,$BD681,'[1]2026'!$S:$S,BJ$3,'[1]2026'!$P:$P,$AU681)</f>
        <v>17200</v>
      </c>
      <c r="BK681" s="10">
        <f>SUMIFS('[1]2026'!$K:$K,'[1]2026'!$T:$T,$BD681,'[1]2026'!$S:$S,BK$3,'[1]2026'!$P:$P,$AU681)</f>
        <v>17200</v>
      </c>
      <c r="BL681" s="10">
        <f>SUMIFS('[1]2026'!$K:$K,'[1]2026'!$T:$T,$BD681,'[1]2026'!$S:$S,BL$3,'[1]2026'!$P:$P,$AU681)</f>
        <v>17400</v>
      </c>
      <c r="BM681" s="10">
        <f>SUMIFS('[1]2026'!$K:$K,'[1]2026'!$T:$T,$BD681,'[1]2026'!$S:$S,BM$3,'[1]2026'!$P:$P,$AU681)</f>
        <v>17400</v>
      </c>
      <c r="BN681" s="10">
        <f>SUMIFS('[1]2026'!$K:$K,'[1]2026'!$T:$T,$BD681,'[1]2026'!$S:$S,BN$3,'[1]2026'!$P:$P,$AU681)</f>
        <v>17000</v>
      </c>
      <c r="BO681" s="10">
        <f>SUMIFS('[1]2026'!$K:$K,'[1]2026'!$T:$T,$BD681,'[1]2026'!$S:$S,BO$3,'[1]2026'!$P:$P,$AU681)</f>
        <v>17000</v>
      </c>
      <c r="BP681" s="6">
        <v>17400</v>
      </c>
      <c r="BQ681" s="6">
        <v>17400</v>
      </c>
      <c r="BR681" s="6">
        <v>17400</v>
      </c>
      <c r="BS681" s="6">
        <v>17400</v>
      </c>
      <c r="BT681" s="6">
        <f t="shared" si="460"/>
        <v>207000</v>
      </c>
      <c r="BV681" s="6">
        <f t="shared" si="448"/>
        <v>-601.76992477621388</v>
      </c>
      <c r="BW681" s="6">
        <f t="shared" si="449"/>
        <v>-801.76992477621388</v>
      </c>
      <c r="BX681" s="6">
        <f t="shared" si="450"/>
        <v>-601.76992477621388</v>
      </c>
      <c r="BY681" s="6">
        <f t="shared" si="451"/>
        <v>-601.76992477621388</v>
      </c>
      <c r="BZ681" s="6">
        <f t="shared" si="452"/>
        <v>-401.76992477621388</v>
      </c>
      <c r="CA681" s="6">
        <f t="shared" si="453"/>
        <v>-401.76992477621388</v>
      </c>
      <c r="CB681" s="6">
        <f t="shared" si="454"/>
        <v>-801.76992477621388</v>
      </c>
      <c r="CC681" s="6">
        <f t="shared" si="455"/>
        <v>-801.76992477621388</v>
      </c>
      <c r="CD681" s="6">
        <f t="shared" si="456"/>
        <v>-401.76992477621388</v>
      </c>
      <c r="CE681" s="6">
        <f t="shared" si="457"/>
        <v>-401.76992477621388</v>
      </c>
      <c r="CF681" s="6">
        <f t="shared" si="458"/>
        <v>-401.76992477621388</v>
      </c>
      <c r="CG681" s="6">
        <f t="shared" si="459"/>
        <v>-401.76992477621388</v>
      </c>
      <c r="CH681" s="6">
        <f t="shared" si="440"/>
        <v>-6621.2390973145375</v>
      </c>
    </row>
    <row r="682" spans="1:86" hidden="1" x14ac:dyDescent="0.35">
      <c r="A682" s="3" t="s">
        <v>193</v>
      </c>
      <c r="B682" s="10">
        <v>94816.8</v>
      </c>
      <c r="C682" s="10">
        <v>94816.8</v>
      </c>
      <c r="D682" s="10">
        <v>94816.8</v>
      </c>
      <c r="E682" s="10">
        <v>94816.8</v>
      </c>
      <c r="F682" s="10">
        <v>94816.8</v>
      </c>
      <c r="G682" s="10">
        <v>94816.8</v>
      </c>
      <c r="H682" s="10">
        <v>94816.8</v>
      </c>
      <c r="I682" s="10">
        <v>94816.8</v>
      </c>
      <c r="J682" s="10">
        <v>94816.8</v>
      </c>
      <c r="K682" s="10">
        <v>94816.8</v>
      </c>
      <c r="L682" s="10">
        <v>94816.8</v>
      </c>
      <c r="M682" s="10">
        <v>94816.8</v>
      </c>
      <c r="N682" s="27">
        <f t="shared" si="444"/>
        <v>1137801.6000000003</v>
      </c>
      <c r="O682" s="10">
        <v>5034.5202870467483</v>
      </c>
      <c r="P682" s="10">
        <v>5034.5202870467483</v>
      </c>
      <c r="Q682" s="10">
        <v>5034.5202870467483</v>
      </c>
      <c r="R682" s="10">
        <v>5034.5202870467483</v>
      </c>
      <c r="S682" s="10">
        <v>5034.5202870467483</v>
      </c>
      <c r="T682" s="10">
        <v>5034.5202870467483</v>
      </c>
      <c r="U682" s="10">
        <v>5034.5202870467483</v>
      </c>
      <c r="V682" s="10">
        <v>5034.5202870467483</v>
      </c>
      <c r="W682" s="10">
        <v>5034.5202870467483</v>
      </c>
      <c r="X682" s="10">
        <v>5034.5202870467483</v>
      </c>
      <c r="Y682" s="10">
        <v>5034.5202870467483</v>
      </c>
      <c r="Z682" s="10">
        <v>5034.5202870467483</v>
      </c>
      <c r="AA682" s="27">
        <f t="shared" si="445"/>
        <v>60414.243444560976</v>
      </c>
      <c r="AB682" s="10">
        <f t="shared" si="463"/>
        <v>89782.279712953256</v>
      </c>
      <c r="AC682" s="10">
        <f t="shared" si="463"/>
        <v>89782.279712953256</v>
      </c>
      <c r="AD682" s="10">
        <f t="shared" si="463"/>
        <v>89782.279712953256</v>
      </c>
      <c r="AE682" s="10">
        <f t="shared" si="462"/>
        <v>89782.279712953256</v>
      </c>
      <c r="AF682" s="10">
        <f t="shared" si="462"/>
        <v>89782.279712953256</v>
      </c>
      <c r="AG682" s="10">
        <f t="shared" si="462"/>
        <v>89782.279712953256</v>
      </c>
      <c r="AH682" s="10">
        <f t="shared" si="462"/>
        <v>89782.279712953256</v>
      </c>
      <c r="AI682" s="10">
        <f t="shared" si="462"/>
        <v>89782.279712953256</v>
      </c>
      <c r="AJ682" s="10">
        <f t="shared" si="462"/>
        <v>89782.279712953256</v>
      </c>
      <c r="AK682" s="10">
        <f t="shared" si="462"/>
        <v>89782.279712953256</v>
      </c>
      <c r="AL682" s="10">
        <f t="shared" si="462"/>
        <v>89782.279712953256</v>
      </c>
      <c r="AM682" s="10">
        <f t="shared" si="462"/>
        <v>89782.279712953256</v>
      </c>
      <c r="AN682" s="27">
        <f t="shared" si="462"/>
        <v>1077387.3565554393</v>
      </c>
      <c r="AO682" s="28">
        <v>953310</v>
      </c>
      <c r="AS682" t="str">
        <f>_xlfn.XLOOKUP(AU682,[2]GAE!HZ:HZ,[2]GAE!IA:IA)</f>
        <v>CCC-COMMON</v>
      </c>
      <c r="AT682" t="str">
        <f>_xlfn.XLOOKUP(AU682,[2]GAE!HZ:HZ,[2]GAE!IB:IB)</f>
        <v>DOE - Employee Benefits - SSS,PHIC, HDMF</v>
      </c>
      <c r="AU682" t="s">
        <v>1142</v>
      </c>
      <c r="AV682">
        <v>81111101</v>
      </c>
      <c r="AW682">
        <v>52121305</v>
      </c>
      <c r="AX682" t="str">
        <f>_xlfn.XLOOKUP(AU682,[2]GAE!HZ:HZ,[2]GAE!IF:IF)</f>
        <v>Employee Benefits</v>
      </c>
      <c r="AY682" t="str">
        <f>_xlfn.XLOOKUP(AU682,[2]GAE!HZ:HZ,[2]GAE!IG:IG)</f>
        <v>Government Contributions</v>
      </c>
      <c r="AZ682" t="s">
        <v>193</v>
      </c>
      <c r="BC682" t="s">
        <v>194</v>
      </c>
      <c r="BD682" t="s">
        <v>194</v>
      </c>
      <c r="BF682" t="s">
        <v>184</v>
      </c>
      <c r="BG682" s="2" t="s">
        <v>193</v>
      </c>
      <c r="BH682" s="10">
        <f>SUMIFS('[1]2026'!$K:$K,'[1]2026'!$T:$T,BD682,'[1]2026'!$S:$S,BH$3,'[1]2026'!$P:$P,AU682)</f>
        <v>81785</v>
      </c>
      <c r="BI682" s="10">
        <f>SUMIFS('[1]2026'!$K:$K,'[1]2026'!$T:$T,$BD682,'[1]2026'!$S:$S,BI$3,'[1]2026'!$P:$P,$AU682)</f>
        <v>80982.5</v>
      </c>
      <c r="BJ682" s="10">
        <f>SUMIFS('[1]2026'!$K:$K,'[1]2026'!$T:$T,$BD682,'[1]2026'!$S:$S,BJ$3,'[1]2026'!$P:$P,$AU682)</f>
        <v>81457.5</v>
      </c>
      <c r="BK682" s="10">
        <f>SUMIFS('[1]2026'!$K:$K,'[1]2026'!$T:$T,$BD682,'[1]2026'!$S:$S,BK$3,'[1]2026'!$P:$P,$AU682)</f>
        <v>86610</v>
      </c>
      <c r="BL682" s="10">
        <f>SUMIFS('[1]2026'!$K:$K,'[1]2026'!$T:$T,$BD682,'[1]2026'!$S:$S,BL$3,'[1]2026'!$P:$P,$AU682)</f>
        <v>86810</v>
      </c>
      <c r="BM682" s="10">
        <f>SUMIFS('[1]2026'!$K:$K,'[1]2026'!$T:$T,$BD682,'[1]2026'!$S:$S,BM$3,'[1]2026'!$P:$P,$AU682)</f>
        <v>86810</v>
      </c>
      <c r="BN682" s="10">
        <f>SUMIFS('[1]2026'!$K:$K,'[1]2026'!$T:$T,$BD682,'[1]2026'!$S:$S,BN$3,'[1]2026'!$P:$P,$AU682)</f>
        <v>82705</v>
      </c>
      <c r="BO682" s="10">
        <f>SUMIFS('[1]2026'!$K:$K,'[1]2026'!$T:$T,$BD682,'[1]2026'!$S:$S,BO$3,'[1]2026'!$P:$P,$AU682)</f>
        <v>82502.5</v>
      </c>
      <c r="BP682" s="6">
        <v>86810</v>
      </c>
      <c r="BQ682" s="6">
        <v>86810</v>
      </c>
      <c r="BR682" s="6">
        <v>86810</v>
      </c>
      <c r="BS682" s="6">
        <v>86810</v>
      </c>
      <c r="BT682" s="6">
        <f t="shared" si="460"/>
        <v>1016902.5</v>
      </c>
      <c r="BV682" s="6">
        <f t="shared" si="448"/>
        <v>-7997.2797129532555</v>
      </c>
      <c r="BW682" s="6">
        <f t="shared" si="449"/>
        <v>-8799.7797129532555</v>
      </c>
      <c r="BX682" s="6">
        <f t="shared" si="450"/>
        <v>-8324.7797129532555</v>
      </c>
      <c r="BY682" s="6">
        <f t="shared" si="451"/>
        <v>-3172.2797129532555</v>
      </c>
      <c r="BZ682" s="6">
        <f t="shared" si="452"/>
        <v>-2972.2797129532555</v>
      </c>
      <c r="CA682" s="6">
        <f t="shared" si="453"/>
        <v>-2972.2797129532555</v>
      </c>
      <c r="CB682" s="6">
        <f t="shared" si="454"/>
        <v>-7077.2797129532555</v>
      </c>
      <c r="CC682" s="6">
        <f t="shared" si="455"/>
        <v>-7279.7797129532555</v>
      </c>
      <c r="CD682" s="6">
        <f t="shared" si="456"/>
        <v>-2972.2797129532555</v>
      </c>
      <c r="CE682" s="6">
        <f t="shared" si="457"/>
        <v>-2972.2797129532555</v>
      </c>
      <c r="CF682" s="6">
        <f t="shared" si="458"/>
        <v>-2972.2797129532555</v>
      </c>
      <c r="CG682" s="6">
        <f t="shared" si="459"/>
        <v>-2972.2797129532555</v>
      </c>
      <c r="CH682" s="6">
        <f t="shared" si="440"/>
        <v>-60484.856555439299</v>
      </c>
    </row>
    <row r="683" spans="1:86" hidden="1" x14ac:dyDescent="0.35">
      <c r="A683" s="3" t="s">
        <v>195</v>
      </c>
      <c r="B683" s="10">
        <v>79166.666666666672</v>
      </c>
      <c r="C683" s="10">
        <v>79166.666666666672</v>
      </c>
      <c r="D683" s="10">
        <v>79166.666666666672</v>
      </c>
      <c r="E683" s="10">
        <v>79166.666666666672</v>
      </c>
      <c r="F683" s="10">
        <v>79166.666666666672</v>
      </c>
      <c r="G683" s="10">
        <v>79166.666666666672</v>
      </c>
      <c r="H683" s="10">
        <v>79166.666666666672</v>
      </c>
      <c r="I683" s="10">
        <v>79166.666666666672</v>
      </c>
      <c r="J683" s="10">
        <v>79166.666666666672</v>
      </c>
      <c r="K683" s="10">
        <v>79166.666666666672</v>
      </c>
      <c r="L683" s="10">
        <v>79166.666666666672</v>
      </c>
      <c r="M683" s="10">
        <v>79166.666666666672</v>
      </c>
      <c r="N683" s="27">
        <f t="shared" si="444"/>
        <v>949999.99999999988</v>
      </c>
      <c r="O683" s="10">
        <v>5041.172403554071</v>
      </c>
      <c r="P683" s="10">
        <v>5041.172403554071</v>
      </c>
      <c r="Q683" s="10">
        <v>5041.172403554071</v>
      </c>
      <c r="R683" s="10">
        <v>5041.172403554071</v>
      </c>
      <c r="S683" s="10">
        <v>5041.172403554071</v>
      </c>
      <c r="T683" s="10">
        <v>5041.172403554071</v>
      </c>
      <c r="U683" s="10">
        <v>5041.172403554071</v>
      </c>
      <c r="V683" s="10">
        <v>5041.172403554071</v>
      </c>
      <c r="W683" s="10">
        <v>5041.172403554071</v>
      </c>
      <c r="X683" s="10">
        <v>5041.172403554071</v>
      </c>
      <c r="Y683" s="10">
        <v>5041.172403554071</v>
      </c>
      <c r="Z683" s="10">
        <v>5041.172403554071</v>
      </c>
      <c r="AA683" s="27">
        <f t="shared" si="445"/>
        <v>60494.068842648841</v>
      </c>
      <c r="AB683" s="10">
        <f t="shared" si="463"/>
        <v>74125.494263112603</v>
      </c>
      <c r="AC683" s="10">
        <f t="shared" si="463"/>
        <v>74125.494263112603</v>
      </c>
      <c r="AD683" s="10">
        <f t="shared" si="463"/>
        <v>74125.494263112603</v>
      </c>
      <c r="AE683" s="10">
        <f t="shared" si="462"/>
        <v>74125.494263112603</v>
      </c>
      <c r="AF683" s="10">
        <f t="shared" si="462"/>
        <v>74125.494263112603</v>
      </c>
      <c r="AG683" s="10">
        <f t="shared" si="462"/>
        <v>74125.494263112603</v>
      </c>
      <c r="AH683" s="10">
        <f t="shared" si="462"/>
        <v>74125.494263112603</v>
      </c>
      <c r="AI683" s="10">
        <f t="shared" si="462"/>
        <v>74125.494263112603</v>
      </c>
      <c r="AJ683" s="10">
        <f t="shared" si="462"/>
        <v>74125.494263112603</v>
      </c>
      <c r="AK683" s="10">
        <f t="shared" si="462"/>
        <v>74125.494263112603</v>
      </c>
      <c r="AL683" s="10">
        <f t="shared" si="462"/>
        <v>74125.494263112603</v>
      </c>
      <c r="AM683" s="10">
        <f t="shared" si="462"/>
        <v>74125.494263112603</v>
      </c>
      <c r="AN683" s="27">
        <f t="shared" si="462"/>
        <v>889505.93115735101</v>
      </c>
      <c r="AO683" s="28">
        <f>30000*12</f>
        <v>360000</v>
      </c>
      <c r="AS683" t="str">
        <f>_xlfn.XLOOKUP(AU683,[2]GAE!HZ:HZ,[2]GAE!IA:IA)</f>
        <v>CCC-COMMON</v>
      </c>
      <c r="AT683" t="str">
        <f>_xlfn.XLOOKUP(AU683,[2]GAE!HZ:HZ,[2]GAE!IB:IB)</f>
        <v>DOE - Employee Benefits - Gas Allowance</v>
      </c>
      <c r="AU683" t="s">
        <v>1143</v>
      </c>
      <c r="AV683">
        <v>81111101</v>
      </c>
      <c r="AW683">
        <v>52121308</v>
      </c>
      <c r="AX683" t="str">
        <f>_xlfn.XLOOKUP(AU683,[2]GAE!HZ:HZ,[2]GAE!IF:IF)</f>
        <v>Employee Benefits</v>
      </c>
      <c r="AY683" t="str">
        <f>_xlfn.XLOOKUP(AU683,[2]GAE!HZ:HZ,[2]GAE!IG:IG)</f>
        <v>Gas Allowance</v>
      </c>
      <c r="AZ683" t="s">
        <v>195</v>
      </c>
      <c r="BC683" t="s">
        <v>195</v>
      </c>
      <c r="BD683" t="s">
        <v>195</v>
      </c>
      <c r="BF683" t="s">
        <v>101</v>
      </c>
      <c r="BG683" s="2" t="s">
        <v>195</v>
      </c>
      <c r="BH683" s="10">
        <f>SUMIFS('[1]2026'!$K:$K,'[1]2026'!$T:$T,BD683,'[1]2026'!$S:$S,BH$3,'[1]2026'!$P:$P,AU683)</f>
        <v>30000</v>
      </c>
      <c r="BI683" s="10">
        <f>SUMIFS('[1]2026'!$K:$K,'[1]2026'!$T:$T,$BD683,'[1]2026'!$S:$S,BI$3,'[1]2026'!$P:$P,$AU683)</f>
        <v>30000</v>
      </c>
      <c r="BJ683" s="10">
        <f>SUMIFS('[1]2026'!$K:$K,'[1]2026'!$T:$T,$BD683,'[1]2026'!$S:$S,BJ$3,'[1]2026'!$P:$P,$AU683)</f>
        <v>30000</v>
      </c>
      <c r="BK683" s="10">
        <f>SUMIFS('[1]2026'!$K:$K,'[1]2026'!$T:$T,$BD683,'[1]2026'!$S:$S,BK$3,'[1]2026'!$P:$P,$AU683)</f>
        <v>50000</v>
      </c>
      <c r="BL683" s="10">
        <f>SUMIFS('[1]2026'!$K:$K,'[1]2026'!$T:$T,$BD683,'[1]2026'!$S:$S,BL$3,'[1]2026'!$P:$P,$AU683)</f>
        <v>35000</v>
      </c>
      <c r="BM683" s="10">
        <f>SUMIFS('[1]2026'!$K:$K,'[1]2026'!$T:$T,$BD683,'[1]2026'!$S:$S,BM$3,'[1]2026'!$P:$P,$AU683)</f>
        <v>35000</v>
      </c>
      <c r="BN683" s="10">
        <f>SUMIFS('[1]2026'!$K:$K,'[1]2026'!$T:$T,$BD683,'[1]2026'!$S:$S,BN$3,'[1]2026'!$P:$P,$AU683)</f>
        <v>35000</v>
      </c>
      <c r="BO683" s="10">
        <f>SUMIFS('[1]2026'!$K:$K,'[1]2026'!$T:$T,$BD683,'[1]2026'!$S:$S,BO$3,'[1]2026'!$P:$P,$AU683)</f>
        <v>35000</v>
      </c>
      <c r="BP683" s="6">
        <v>35000</v>
      </c>
      <c r="BQ683" s="6">
        <v>35000</v>
      </c>
      <c r="BR683" s="6">
        <v>35000</v>
      </c>
      <c r="BS683" s="6">
        <v>35000</v>
      </c>
      <c r="BT683" s="6">
        <f t="shared" si="460"/>
        <v>420000</v>
      </c>
      <c r="BV683" s="6">
        <f t="shared" si="448"/>
        <v>-44125.494263112603</v>
      </c>
      <c r="BW683" s="6">
        <f t="shared" si="449"/>
        <v>-44125.494263112603</v>
      </c>
      <c r="BX683" s="6">
        <f t="shared" si="450"/>
        <v>-44125.494263112603</v>
      </c>
      <c r="BY683" s="6">
        <f t="shared" si="451"/>
        <v>-24125.494263112603</v>
      </c>
      <c r="BZ683" s="6">
        <f t="shared" si="452"/>
        <v>-39125.494263112603</v>
      </c>
      <c r="CA683" s="6">
        <f t="shared" si="453"/>
        <v>-39125.494263112603</v>
      </c>
      <c r="CB683" s="6">
        <f t="shared" si="454"/>
        <v>-39125.494263112603</v>
      </c>
      <c r="CC683" s="6">
        <f t="shared" si="455"/>
        <v>-39125.494263112603</v>
      </c>
      <c r="CD683" s="6">
        <f t="shared" si="456"/>
        <v>-39125.494263112603</v>
      </c>
      <c r="CE683" s="6">
        <f t="shared" si="457"/>
        <v>-39125.494263112603</v>
      </c>
      <c r="CF683" s="6">
        <f t="shared" si="458"/>
        <v>-39125.494263112603</v>
      </c>
      <c r="CG683" s="6">
        <f t="shared" si="459"/>
        <v>-39125.494263112603</v>
      </c>
      <c r="CH683" s="6">
        <f t="shared" si="440"/>
        <v>-469505.93115735101</v>
      </c>
    </row>
    <row r="684" spans="1:86" hidden="1" x14ac:dyDescent="0.35">
      <c r="A684" s="3" t="s">
        <v>196</v>
      </c>
      <c r="J684" s="10">
        <v>470000.00000000006</v>
      </c>
      <c r="N684" s="27">
        <f t="shared" si="444"/>
        <v>470000.00000000006</v>
      </c>
      <c r="AA684" s="27">
        <f t="shared" si="445"/>
        <v>0</v>
      </c>
      <c r="AB684" s="10">
        <f t="shared" si="463"/>
        <v>0</v>
      </c>
      <c r="AC684" s="10">
        <f t="shared" si="463"/>
        <v>0</v>
      </c>
      <c r="AD684" s="10">
        <f t="shared" si="463"/>
        <v>0</v>
      </c>
      <c r="AE684" s="10">
        <f t="shared" si="462"/>
        <v>0</v>
      </c>
      <c r="AF684" s="10">
        <f t="shared" si="462"/>
        <v>0</v>
      </c>
      <c r="AG684" s="10">
        <f t="shared" si="462"/>
        <v>0</v>
      </c>
      <c r="AH684" s="10">
        <f t="shared" si="462"/>
        <v>0</v>
      </c>
      <c r="AI684" s="10">
        <f t="shared" si="462"/>
        <v>0</v>
      </c>
      <c r="AJ684" s="10">
        <f t="shared" si="462"/>
        <v>470000.00000000006</v>
      </c>
      <c r="AK684" s="10">
        <f t="shared" si="462"/>
        <v>0</v>
      </c>
      <c r="AL684" s="10">
        <f t="shared" si="462"/>
        <v>0</v>
      </c>
      <c r="AM684" s="10">
        <f t="shared" si="462"/>
        <v>0</v>
      </c>
      <c r="AN684" s="27">
        <f t="shared" si="462"/>
        <v>470000.00000000006</v>
      </c>
      <c r="AS684" t="str">
        <f>_xlfn.XLOOKUP(AU684,[2]GAE!HZ:HZ,[2]GAE!IA:IA)</f>
        <v>CCC-COMMON</v>
      </c>
      <c r="AT684" t="str">
        <f>_xlfn.XLOOKUP(AU684,[2]GAE!HZ:HZ,[2]GAE!IB:IB)</f>
        <v>DOE - Employee Benefits - Medical Allowance</v>
      </c>
      <c r="AU684" t="s">
        <v>1144</v>
      </c>
      <c r="AV684">
        <v>81111101</v>
      </c>
      <c r="AW684">
        <v>52121302</v>
      </c>
      <c r="AX684" t="str">
        <f>_xlfn.XLOOKUP(AU684,[2]GAE!HZ:HZ,[2]GAE!IF:IF)</f>
        <v>Employee Benefits</v>
      </c>
      <c r="AY684" t="str">
        <f>_xlfn.XLOOKUP(AU684,[2]GAE!HZ:HZ,[2]GAE!IG:IG)</f>
        <v>Medical/Insurance</v>
      </c>
      <c r="AZ684" t="s">
        <v>196</v>
      </c>
      <c r="BC684" t="s">
        <v>196</v>
      </c>
      <c r="BD684" t="s">
        <v>196</v>
      </c>
      <c r="BF684" t="s">
        <v>101</v>
      </c>
      <c r="BG684" s="2" t="s">
        <v>196</v>
      </c>
      <c r="BH684" s="10">
        <f>SUMIFS('[1]2026'!$K:$K,'[1]2026'!$T:$T,BD684,'[1]2026'!$S:$S,BH$3,'[1]2026'!$P:$P,AU684)</f>
        <v>0</v>
      </c>
      <c r="BI684" s="10">
        <f>SUMIFS('[1]2026'!$K:$K,'[1]2026'!$T:$T,$BD684,'[1]2026'!$S:$S,BI$3,'[1]2026'!$P:$P,$AU684)</f>
        <v>0</v>
      </c>
      <c r="BJ684" s="6"/>
      <c r="BK684" s="10">
        <f>SUMIFS('[1]2026'!$K:$K,'[1]2026'!$T:$T,$BD684,'[1]2026'!$S:$S,BK$3,'[1]2026'!$P:$P,$AU684)</f>
        <v>0</v>
      </c>
      <c r="BL684" s="6"/>
      <c r="BM684" s="10">
        <f>SUMIFS('[1]2026'!$K:$K,'[1]2026'!$T:$T,$BD684,'[1]2026'!$S:$S,BM$3,'[1]2026'!$P:$P,$AU684)</f>
        <v>0</v>
      </c>
      <c r="BN684" s="10">
        <f>SUMIFS('[1]2026'!$K:$K,'[1]2026'!$T:$T,$BD684,'[1]2026'!$S:$S,BN$3,'[1]2026'!$P:$P,$AU684)</f>
        <v>0</v>
      </c>
      <c r="BO684" s="10">
        <f>SUMIFS('[1]2026'!$K:$K,'[1]2026'!$T:$T,$BD684,'[1]2026'!$S:$S,BO$3,'[1]2026'!$P:$P,$AU684)</f>
        <v>0</v>
      </c>
      <c r="BP684" s="6">
        <f>AN684</f>
        <v>470000.00000000006</v>
      </c>
      <c r="BQ684" s="6"/>
      <c r="BR684" s="6"/>
      <c r="BS684" s="6"/>
      <c r="BT684" s="6">
        <f t="shared" si="460"/>
        <v>470000.00000000006</v>
      </c>
      <c r="BV684" s="6">
        <f t="shared" si="448"/>
        <v>0</v>
      </c>
      <c r="BW684" s="6">
        <f t="shared" si="449"/>
        <v>0</v>
      </c>
      <c r="BX684" s="6">
        <f t="shared" si="450"/>
        <v>0</v>
      </c>
      <c r="BY684" s="6">
        <f t="shared" si="451"/>
        <v>0</v>
      </c>
      <c r="BZ684" s="6">
        <f t="shared" si="452"/>
        <v>0</v>
      </c>
      <c r="CA684" s="6">
        <f t="shared" si="453"/>
        <v>0</v>
      </c>
      <c r="CB684" s="6">
        <f t="shared" si="454"/>
        <v>0</v>
      </c>
      <c r="CC684" s="6">
        <f t="shared" si="455"/>
        <v>0</v>
      </c>
      <c r="CD684" s="6">
        <f t="shared" si="456"/>
        <v>0</v>
      </c>
      <c r="CE684" s="6">
        <f t="shared" si="457"/>
        <v>0</v>
      </c>
      <c r="CF684" s="6">
        <f t="shared" si="458"/>
        <v>0</v>
      </c>
      <c r="CG684" s="6">
        <f t="shared" si="459"/>
        <v>0</v>
      </c>
      <c r="CH684" s="6">
        <f t="shared" si="440"/>
        <v>0</v>
      </c>
    </row>
    <row r="685" spans="1:86" hidden="1" x14ac:dyDescent="0.35">
      <c r="A685" s="3" t="s">
        <v>197</v>
      </c>
      <c r="B685" s="10">
        <v>36250</v>
      </c>
      <c r="C685" s="10">
        <v>36250</v>
      </c>
      <c r="D685" s="10">
        <v>36250</v>
      </c>
      <c r="E685" s="10">
        <v>36250</v>
      </c>
      <c r="F685" s="10">
        <v>36250</v>
      </c>
      <c r="G685" s="10">
        <v>36250</v>
      </c>
      <c r="H685" s="10">
        <v>36250</v>
      </c>
      <c r="I685" s="10">
        <v>36250</v>
      </c>
      <c r="J685" s="10">
        <v>36250</v>
      </c>
      <c r="K685" s="10">
        <v>36250</v>
      </c>
      <c r="L685" s="10">
        <v>36250</v>
      </c>
      <c r="M685" s="10">
        <v>36250</v>
      </c>
      <c r="N685" s="27">
        <f t="shared" si="444"/>
        <v>435000</v>
      </c>
      <c r="O685" s="10">
        <v>7608.8408735319899</v>
      </c>
      <c r="P685" s="10">
        <v>7608.8408735319899</v>
      </c>
      <c r="Q685" s="10">
        <v>7608.8408735319899</v>
      </c>
      <c r="R685" s="10">
        <v>7608.8408735319899</v>
      </c>
      <c r="S685" s="10">
        <v>7608.8408735319899</v>
      </c>
      <c r="T685" s="10">
        <v>7608.8408735319899</v>
      </c>
      <c r="U685" s="10">
        <v>7608.8408735319899</v>
      </c>
      <c r="V685" s="10">
        <v>7608.8408735319899</v>
      </c>
      <c r="W685" s="10">
        <v>7608.8408735319899</v>
      </c>
      <c r="X685" s="10">
        <v>7608.8408735319899</v>
      </c>
      <c r="Y685" s="10">
        <v>7608.8408735319899</v>
      </c>
      <c r="Z685" s="10">
        <v>7608.8408735319899</v>
      </c>
      <c r="AA685" s="27">
        <f t="shared" si="445"/>
        <v>91306.090482383908</v>
      </c>
      <c r="AB685" s="10">
        <f t="shared" si="463"/>
        <v>28641.15912646801</v>
      </c>
      <c r="AC685" s="10">
        <f t="shared" si="463"/>
        <v>28641.15912646801</v>
      </c>
      <c r="AD685" s="10">
        <f t="shared" si="463"/>
        <v>28641.15912646801</v>
      </c>
      <c r="AE685" s="10">
        <f t="shared" si="462"/>
        <v>28641.15912646801</v>
      </c>
      <c r="AF685" s="10">
        <f t="shared" si="462"/>
        <v>28641.15912646801</v>
      </c>
      <c r="AG685" s="10">
        <f t="shared" si="462"/>
        <v>28641.15912646801</v>
      </c>
      <c r="AH685" s="10">
        <f t="shared" si="462"/>
        <v>28641.15912646801</v>
      </c>
      <c r="AI685" s="10">
        <f t="shared" si="462"/>
        <v>28641.15912646801</v>
      </c>
      <c r="AJ685" s="10">
        <f t="shared" si="462"/>
        <v>28641.15912646801</v>
      </c>
      <c r="AK685" s="10">
        <f t="shared" si="462"/>
        <v>28641.15912646801</v>
      </c>
      <c r="AL685" s="10">
        <f t="shared" si="462"/>
        <v>28641.15912646801</v>
      </c>
      <c r="AM685" s="10">
        <f t="shared" si="462"/>
        <v>28641.15912646801</v>
      </c>
      <c r="AN685" s="27">
        <f t="shared" si="462"/>
        <v>343693.90951761609</v>
      </c>
      <c r="AO685" s="28">
        <v>1628000</v>
      </c>
      <c r="AS685" t="str">
        <f>_xlfn.XLOOKUP(AU685,[2]GAE!HZ:HZ,[2]GAE!IA:IA)</f>
        <v>CCC-COMMON</v>
      </c>
      <c r="AT685" t="str">
        <f>_xlfn.XLOOKUP(AU685,[2]GAE!HZ:HZ,[2]GAE!IB:IB)</f>
        <v>DOE - Employee Benefits - Uniform</v>
      </c>
      <c r="AU685" t="s">
        <v>1145</v>
      </c>
      <c r="AV685">
        <v>81111101</v>
      </c>
      <c r="AW685">
        <v>52121306</v>
      </c>
      <c r="AX685" t="str">
        <f>_xlfn.XLOOKUP(AU685,[2]GAE!HZ:HZ,[2]GAE!IF:IF)</f>
        <v>Employee Benefits</v>
      </c>
      <c r="AY685" t="str">
        <f>_xlfn.XLOOKUP(AU685,[2]GAE!HZ:HZ,[2]GAE!IG:IG)</f>
        <v>Uniform</v>
      </c>
      <c r="AZ685" t="s">
        <v>197</v>
      </c>
      <c r="BC685" t="s">
        <v>197</v>
      </c>
      <c r="BD685" s="2" t="s">
        <v>1146</v>
      </c>
      <c r="BE685" s="2"/>
      <c r="BF685" t="s">
        <v>101</v>
      </c>
      <c r="BG685" s="2" t="s">
        <v>197</v>
      </c>
      <c r="BH685" s="10">
        <f>SUMIFS('[1]2026'!$K:$K,'[1]2026'!$T:$T,BD685,'[1]2026'!$S:$S,BH$3,'[1]2026'!$P:$P,AU685)</f>
        <v>0</v>
      </c>
      <c r="BI685" s="10">
        <f>SUMIFS('[1]2026'!$K:$K,'[1]2026'!$T:$T,$BD685,'[1]2026'!$S:$S,BI$3,'[1]2026'!$P:$P,$AU685)</f>
        <v>0</v>
      </c>
      <c r="BJ685" s="10">
        <f>SUMIFS('[1]2026'!$K:$K,'[1]2026'!$T:$T,$BD685,'[1]2026'!$S:$S,BJ$3,'[1]2026'!$P:$P,$AU685)</f>
        <v>0</v>
      </c>
      <c r="BK685" s="10">
        <f>SUMIFS('[1]2026'!$K:$K,'[1]2026'!$T:$T,$BD685,'[1]2026'!$S:$S,BK$3,'[1]2026'!$P:$P,$AU685)</f>
        <v>0</v>
      </c>
      <c r="BL685" s="6"/>
      <c r="BM685" s="10">
        <f>SUMIFS('[1]2026'!$K:$K,'[1]2026'!$T:$T,$BD685,'[1]2026'!$S:$S,BM$3,'[1]2026'!$P:$P,$AU685)</f>
        <v>293540</v>
      </c>
      <c r="BN685" s="10">
        <f>SUMIFS('[1]2026'!$K:$K,'[1]2026'!$T:$T,$BD685,'[1]2026'!$S:$S,BN$3,'[1]2026'!$P:$P,$AU685)</f>
        <v>0</v>
      </c>
      <c r="BO685" s="10">
        <f>SUMIFS('[1]2026'!$K:$K,'[1]2026'!$T:$T,$BD685,'[1]2026'!$S:$S,BO$3,'[1]2026'!$P:$P,$AU685)</f>
        <v>0</v>
      </c>
      <c r="BP685" s="6"/>
      <c r="BQ685" s="6"/>
      <c r="BR685" s="6"/>
      <c r="BS685" s="6"/>
      <c r="BT685" s="6">
        <f t="shared" si="460"/>
        <v>293540</v>
      </c>
      <c r="BV685" s="6">
        <f t="shared" si="448"/>
        <v>-28641.15912646801</v>
      </c>
      <c r="BW685" s="6">
        <f t="shared" si="449"/>
        <v>-28641.15912646801</v>
      </c>
      <c r="BX685" s="6">
        <f t="shared" si="450"/>
        <v>-28641.15912646801</v>
      </c>
      <c r="BY685" s="6">
        <f t="shared" si="451"/>
        <v>-28641.15912646801</v>
      </c>
      <c r="BZ685" s="6">
        <f t="shared" si="452"/>
        <v>-28641.15912646801</v>
      </c>
      <c r="CA685" s="6">
        <f t="shared" si="453"/>
        <v>264898.840873532</v>
      </c>
      <c r="CB685" s="6">
        <f t="shared" si="454"/>
        <v>-28641.15912646801</v>
      </c>
      <c r="CC685" s="6">
        <f t="shared" si="455"/>
        <v>-28641.15912646801</v>
      </c>
      <c r="CD685" s="6">
        <f t="shared" si="456"/>
        <v>-28641.15912646801</v>
      </c>
      <c r="CE685" s="6">
        <f t="shared" si="457"/>
        <v>-28641.15912646801</v>
      </c>
      <c r="CF685" s="6">
        <f t="shared" si="458"/>
        <v>-28641.15912646801</v>
      </c>
      <c r="CG685" s="6">
        <f t="shared" si="459"/>
        <v>-28641.15912646801</v>
      </c>
      <c r="CH685" s="6">
        <f t="shared" si="440"/>
        <v>-50153.909517616092</v>
      </c>
    </row>
    <row r="686" spans="1:86" hidden="1" x14ac:dyDescent="0.35">
      <c r="AS686" t="str">
        <f>_xlfn.XLOOKUP(AU686,[2]GAE!HZ:HZ,[2]GAE!IA:IA)</f>
        <v>CCC-COMMON</v>
      </c>
      <c r="AT686" t="str">
        <f>_xlfn.XLOOKUP(AU686,[2]GAE!HZ:HZ,[2]GAE!IB:IB)</f>
        <v>DOE - Employee Benefits - Rice Subsidy</v>
      </c>
      <c r="AU686" s="2" t="s">
        <v>1147</v>
      </c>
      <c r="AV686" s="2">
        <v>81111101</v>
      </c>
      <c r="AW686" s="2">
        <v>52121309</v>
      </c>
      <c r="AX686" t="str">
        <f>_xlfn.XLOOKUP(AU686,[2]GAE!HZ:HZ,[2]GAE!IF:IF)</f>
        <v>Employee Benefits</v>
      </c>
      <c r="AY686" t="str">
        <f>_xlfn.XLOOKUP(AU686,[2]GAE!HZ:HZ,[2]GAE!IG:IG)</f>
        <v>Uniform</v>
      </c>
      <c r="BD686" s="2" t="s">
        <v>1146</v>
      </c>
      <c r="BE686" s="2"/>
      <c r="BF686" t="s">
        <v>101</v>
      </c>
      <c r="BG686" s="2" t="s">
        <v>197</v>
      </c>
      <c r="BL686" s="6"/>
      <c r="BO686" s="10">
        <f>SUMIFS('[1]2026'!$K:$K,'[1]2026'!$T:$T,$BD686,'[1]2026'!$S:$S,BO$3,'[1]2026'!$P:$P,$AU686)</f>
        <v>1300000</v>
      </c>
      <c r="BP686" s="6"/>
      <c r="BQ686" s="6"/>
      <c r="BR686" s="6"/>
      <c r="BS686" s="6"/>
      <c r="BT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>
        <f t="shared" si="440"/>
        <v>0</v>
      </c>
    </row>
    <row r="687" spans="1:86" hidden="1" x14ac:dyDescent="0.35">
      <c r="A687" s="3" t="s">
        <v>198</v>
      </c>
      <c r="B687" s="10">
        <v>4800</v>
      </c>
      <c r="C687" s="10">
        <v>4800</v>
      </c>
      <c r="D687" s="10">
        <v>4800</v>
      </c>
      <c r="E687" s="10">
        <v>4800</v>
      </c>
      <c r="F687" s="10">
        <v>4800</v>
      </c>
      <c r="G687" s="10">
        <v>4800</v>
      </c>
      <c r="H687" s="10">
        <v>4800</v>
      </c>
      <c r="I687" s="10">
        <v>4800</v>
      </c>
      <c r="J687" s="10">
        <v>4800</v>
      </c>
      <c r="K687" s="10">
        <v>4800</v>
      </c>
      <c r="L687" s="10">
        <v>4800</v>
      </c>
      <c r="M687" s="10">
        <v>4800</v>
      </c>
      <c r="N687" s="27">
        <f t="shared" si="444"/>
        <v>57600</v>
      </c>
      <c r="AA687" s="27">
        <f t="shared" si="445"/>
        <v>0</v>
      </c>
      <c r="AB687" s="10">
        <f t="shared" si="463"/>
        <v>4800</v>
      </c>
      <c r="AC687" s="10">
        <f t="shared" si="463"/>
        <v>4800</v>
      </c>
      <c r="AD687" s="10">
        <f t="shared" si="463"/>
        <v>4800</v>
      </c>
      <c r="AE687" s="10">
        <f t="shared" si="462"/>
        <v>4800</v>
      </c>
      <c r="AF687" s="10">
        <f t="shared" si="462"/>
        <v>4800</v>
      </c>
      <c r="AG687" s="10">
        <f t="shared" si="462"/>
        <v>4800</v>
      </c>
      <c r="AH687" s="10">
        <f t="shared" si="462"/>
        <v>4800</v>
      </c>
      <c r="AI687" s="10">
        <f t="shared" si="462"/>
        <v>4800</v>
      </c>
      <c r="AJ687" s="10">
        <f t="shared" si="462"/>
        <v>4800</v>
      </c>
      <c r="AK687" s="10">
        <f t="shared" si="462"/>
        <v>4800</v>
      </c>
      <c r="AL687" s="10">
        <f t="shared" si="462"/>
        <v>4800</v>
      </c>
      <c r="AM687" s="10">
        <f t="shared" si="462"/>
        <v>4800</v>
      </c>
      <c r="AN687" s="27">
        <f t="shared" si="462"/>
        <v>57600</v>
      </c>
      <c r="AS687" t="str">
        <f>_xlfn.XLOOKUP(AU687,[2]GAE!HZ:HZ,[2]GAE!IA:IA)</f>
        <v>CCC-COMMON</v>
      </c>
      <c r="AT687" t="str">
        <f>_xlfn.XLOOKUP(AU687,[2]GAE!HZ:HZ,[2]GAE!IB:IB)</f>
        <v>DOE - Employee Life Insurance</v>
      </c>
      <c r="AU687" t="s">
        <v>1148</v>
      </c>
      <c r="AV687">
        <v>81111101</v>
      </c>
      <c r="AW687">
        <v>52121301</v>
      </c>
      <c r="AX687" t="str">
        <f>_xlfn.XLOOKUP(AU687,[2]GAE!HZ:HZ,[2]GAE!IF:IF)</f>
        <v>Employee Benefits</v>
      </c>
      <c r="AY687" t="str">
        <f>_xlfn.XLOOKUP(AU687,[2]GAE!HZ:HZ,[2]GAE!IG:IG)</f>
        <v>Medical/Insurance</v>
      </c>
      <c r="AZ687" t="s">
        <v>198</v>
      </c>
      <c r="BA687" t="s">
        <v>1132</v>
      </c>
      <c r="BC687" t="s">
        <v>198</v>
      </c>
      <c r="BD687" t="s">
        <v>198</v>
      </c>
      <c r="BF687" t="s">
        <v>101</v>
      </c>
      <c r="BG687" s="2" t="s">
        <v>198</v>
      </c>
      <c r="BH687" s="10">
        <f>SUMIFS('[1]2026'!$K:$K,'[1]2026'!$T:$T,BD687,'[1]2026'!$S:$S,BH$3,'[1]2026'!$P:$P,AU687)</f>
        <v>12604.3</v>
      </c>
      <c r="BI687" s="10">
        <f>SUMIFS('[1]2026'!$K:$K,'[1]2026'!$T:$T,$BD687,'[1]2026'!$S:$S,BI$3,'[1]2026'!$P:$P,$AU687)</f>
        <v>0</v>
      </c>
      <c r="BJ687" s="10">
        <f>SUMIFS('[1]2026'!$K:$K,'[1]2026'!$T:$T,$BD687,'[1]2026'!$S:$S,BJ$3,'[1]2026'!$P:$P,$AU687)</f>
        <v>0</v>
      </c>
      <c r="BK687" s="10">
        <f>SUMIFS('[1]2026'!$K:$K,'[1]2026'!$T:$T,$BD687,'[1]2026'!$S:$S,BK$3,'[1]2026'!$P:$P,$AU687)</f>
        <v>0</v>
      </c>
      <c r="BL687" s="10">
        <f>SUMIFS('[1]2026'!$K:$K,'[1]2026'!$T:$T,$BD687,'[1]2026'!$S:$S,BL$3,'[1]2026'!$P:$P,$AU687)</f>
        <v>0</v>
      </c>
      <c r="BM687" s="10">
        <f>SUMIFS('[1]2026'!$K:$K,'[1]2026'!$T:$T,$BD687,'[1]2026'!$S:$S,BM$3,'[1]2026'!$P:$P,$AU687)</f>
        <v>0</v>
      </c>
      <c r="BN687" s="10">
        <f>SUMIFS('[1]2026'!$K:$K,'[1]2026'!$T:$T,$BD687,'[1]2026'!$S:$S,BN$3,'[1]2026'!$P:$P,$AU687)</f>
        <v>0</v>
      </c>
      <c r="BO687" s="10">
        <f>SUMIFS('[1]2026'!$K:$K,'[1]2026'!$T:$T,$BD687,'[1]2026'!$S:$S,BO$3,'[1]2026'!$P:$P,$AU687)</f>
        <v>0</v>
      </c>
      <c r="BP687" s="6">
        <f t="shared" ref="BP687:BS687" si="464">BO687</f>
        <v>0</v>
      </c>
      <c r="BQ687" s="6">
        <f t="shared" si="464"/>
        <v>0</v>
      </c>
      <c r="BR687" s="6">
        <f t="shared" si="464"/>
        <v>0</v>
      </c>
      <c r="BS687" s="6">
        <f t="shared" si="464"/>
        <v>0</v>
      </c>
      <c r="BT687" s="6">
        <f t="shared" si="460"/>
        <v>12604.3</v>
      </c>
      <c r="BV687" s="6">
        <f t="shared" ref="BV687:CG692" si="465">BH687-AB687</f>
        <v>7804.2999999999993</v>
      </c>
      <c r="BW687" s="6">
        <f t="shared" si="465"/>
        <v>-4800</v>
      </c>
      <c r="BX687" s="6">
        <f t="shared" si="465"/>
        <v>-4800</v>
      </c>
      <c r="BY687" s="6">
        <f t="shared" si="465"/>
        <v>-4800</v>
      </c>
      <c r="BZ687" s="6">
        <f t="shared" si="465"/>
        <v>-4800</v>
      </c>
      <c r="CA687" s="6">
        <f t="shared" si="465"/>
        <v>-4800</v>
      </c>
      <c r="CB687" s="6">
        <f t="shared" si="465"/>
        <v>-4800</v>
      </c>
      <c r="CC687" s="6">
        <f t="shared" si="465"/>
        <v>-4800</v>
      </c>
      <c r="CD687" s="6">
        <f t="shared" si="465"/>
        <v>-4800</v>
      </c>
      <c r="CE687" s="6">
        <f t="shared" si="465"/>
        <v>-4800</v>
      </c>
      <c r="CF687" s="6">
        <f t="shared" si="465"/>
        <v>-4800</v>
      </c>
      <c r="CG687" s="6">
        <f t="shared" si="465"/>
        <v>-4800</v>
      </c>
      <c r="CH687" s="6">
        <f t="shared" si="440"/>
        <v>-44995.7</v>
      </c>
    </row>
    <row r="688" spans="1:86" hidden="1" x14ac:dyDescent="0.35">
      <c r="A688" s="3" t="s">
        <v>199</v>
      </c>
      <c r="B688" s="10">
        <v>39849.791666666664</v>
      </c>
      <c r="C688" s="10">
        <v>39849.791666666664</v>
      </c>
      <c r="D688" s="10">
        <v>39849.791666666664</v>
      </c>
      <c r="E688" s="10">
        <v>39849.791666666664</v>
      </c>
      <c r="F688" s="10">
        <v>39849.791666666664</v>
      </c>
      <c r="G688" s="10">
        <v>39849.791666666664</v>
      </c>
      <c r="H688" s="10">
        <v>39849.791666666664</v>
      </c>
      <c r="I688" s="10">
        <v>39849.791666666664</v>
      </c>
      <c r="J688" s="10">
        <v>39849.791666666664</v>
      </c>
      <c r="K688" s="10">
        <v>39849.791666666664</v>
      </c>
      <c r="L688" s="10">
        <v>39849.791666666664</v>
      </c>
      <c r="M688" s="10">
        <v>39849.791666666664</v>
      </c>
      <c r="N688" s="27">
        <f t="shared" si="444"/>
        <v>478197.50000000006</v>
      </c>
      <c r="AA688" s="27">
        <f t="shared" si="445"/>
        <v>0</v>
      </c>
      <c r="AB688" s="10">
        <f t="shared" si="463"/>
        <v>39849.791666666664</v>
      </c>
      <c r="AC688" s="10">
        <f t="shared" si="463"/>
        <v>39849.791666666664</v>
      </c>
      <c r="AD688" s="10">
        <f t="shared" si="463"/>
        <v>39849.791666666664</v>
      </c>
      <c r="AE688" s="10">
        <f t="shared" si="462"/>
        <v>39849.791666666664</v>
      </c>
      <c r="AF688" s="10">
        <f t="shared" si="462"/>
        <v>39849.791666666664</v>
      </c>
      <c r="AG688" s="10">
        <f t="shared" si="462"/>
        <v>39849.791666666664</v>
      </c>
      <c r="AH688" s="10">
        <f t="shared" si="462"/>
        <v>39849.791666666664</v>
      </c>
      <c r="AI688" s="10">
        <f t="shared" si="462"/>
        <v>39849.791666666664</v>
      </c>
      <c r="AJ688" s="10">
        <f t="shared" si="462"/>
        <v>39849.791666666664</v>
      </c>
      <c r="AK688" s="10">
        <f t="shared" si="462"/>
        <v>39849.791666666664</v>
      </c>
      <c r="AL688" s="10">
        <f t="shared" si="462"/>
        <v>39849.791666666664</v>
      </c>
      <c r="AM688" s="10">
        <f t="shared" si="462"/>
        <v>39849.791666666664</v>
      </c>
      <c r="AN688" s="27">
        <f t="shared" si="462"/>
        <v>478197.50000000006</v>
      </c>
      <c r="AS688" t="str">
        <f>_xlfn.XLOOKUP(AU688,[2]GAE!HZ:HZ,[2]GAE!IA:IA)</f>
        <v>CCC-COMMON</v>
      </c>
      <c r="AT688" t="str">
        <f>_xlfn.XLOOKUP(AU688,[2]GAE!HZ:HZ,[2]GAE!IB:IB)</f>
        <v>DOE - Employee Life Insurance</v>
      </c>
      <c r="AU688" t="s">
        <v>1148</v>
      </c>
      <c r="AV688">
        <v>81111101</v>
      </c>
      <c r="AW688">
        <v>52121301</v>
      </c>
      <c r="AX688" t="str">
        <f>_xlfn.XLOOKUP(AU688,[2]GAE!HZ:HZ,[2]GAE!IF:IF)</f>
        <v>Employee Benefits</v>
      </c>
      <c r="AY688" t="str">
        <f>_xlfn.XLOOKUP(AU688,[2]GAE!HZ:HZ,[2]GAE!IG:IG)</f>
        <v>Medical/Insurance</v>
      </c>
      <c r="AZ688" t="s">
        <v>199</v>
      </c>
      <c r="BC688" t="s">
        <v>199</v>
      </c>
      <c r="BD688" t="s">
        <v>199</v>
      </c>
      <c r="BF688" t="s">
        <v>101</v>
      </c>
      <c r="BG688" s="2" t="s">
        <v>199</v>
      </c>
      <c r="BH688" s="10">
        <f>SUMIFS('[1]2026'!$K:$K,'[1]2026'!$T:$T,BD688,'[1]2026'!$S:$S,BH$3,'[1]2026'!$P:$P,AU688)</f>
        <v>6240</v>
      </c>
      <c r="BI688" s="10">
        <f>SUMIFS('[1]2026'!$K:$K,'[1]2026'!$T:$T,$BD688,'[1]2026'!$S:$S,BI$3,'[1]2026'!$P:$P,$AU688)</f>
        <v>6240</v>
      </c>
      <c r="BJ688" s="10">
        <f>SUMIFS('[1]2026'!$K:$K,'[1]2026'!$T:$T,$BD688,'[1]2026'!$S:$S,BJ$3,'[1]2026'!$P:$P,$AU688)</f>
        <v>12337.5</v>
      </c>
      <c r="BK688" s="10">
        <f>SUMIFS('[1]2026'!$K:$K,'[1]2026'!$T:$T,$BD688,'[1]2026'!$S:$S,BK$3,'[1]2026'!$P:$P,$AU688)</f>
        <v>8272.5</v>
      </c>
      <c r="BL688" s="10">
        <f>SUMIFS('[1]2026'!$K:$K,'[1]2026'!$T:$T,$BD688,'[1]2026'!$S:$S,BL$3,'[1]2026'!$P:$P,$AU688)</f>
        <v>8272.5</v>
      </c>
      <c r="BM688" s="10">
        <f>SUMIFS('[1]2026'!$K:$K,'[1]2026'!$T:$T,$BD688,'[1]2026'!$S:$S,BM$3,'[1]2026'!$P:$P,$AU688)</f>
        <v>8272.5</v>
      </c>
      <c r="BN688" s="10">
        <f>SUMIFS('[1]2026'!$K:$K,'[1]2026'!$T:$T,$BD688,'[1]2026'!$S:$S,BN$3,'[1]2026'!$P:$P,$AU688)</f>
        <v>8272.5</v>
      </c>
      <c r="BO688" s="10">
        <f>SUMIFS('[1]2026'!$K:$K,'[1]2026'!$T:$T,$BD688,'[1]2026'!$S:$S,BO$3,'[1]2026'!$P:$P,$AU688)</f>
        <v>8272.5</v>
      </c>
      <c r="BP688" s="6">
        <v>8272.5</v>
      </c>
      <c r="BQ688" s="6">
        <v>8272.5</v>
      </c>
      <c r="BR688" s="6">
        <v>8272.5</v>
      </c>
      <c r="BS688" s="6">
        <v>8272.5</v>
      </c>
      <c r="BT688" s="6">
        <f t="shared" si="460"/>
        <v>99270</v>
      </c>
      <c r="BV688" s="6">
        <f t="shared" si="465"/>
        <v>-33609.791666666664</v>
      </c>
      <c r="BW688" s="6">
        <f t="shared" si="465"/>
        <v>-33609.791666666664</v>
      </c>
      <c r="BX688" s="6">
        <f t="shared" si="465"/>
        <v>-27512.291666666664</v>
      </c>
      <c r="BY688" s="6">
        <f t="shared" si="465"/>
        <v>-31577.291666666664</v>
      </c>
      <c r="BZ688" s="6">
        <f t="shared" si="465"/>
        <v>-31577.291666666664</v>
      </c>
      <c r="CA688" s="6">
        <f t="shared" si="465"/>
        <v>-31577.291666666664</v>
      </c>
      <c r="CB688" s="6">
        <f t="shared" si="465"/>
        <v>-31577.291666666664</v>
      </c>
      <c r="CC688" s="6">
        <f t="shared" si="465"/>
        <v>-31577.291666666664</v>
      </c>
      <c r="CD688" s="6">
        <f t="shared" si="465"/>
        <v>-31577.291666666664</v>
      </c>
      <c r="CE688" s="6">
        <f t="shared" si="465"/>
        <v>-31577.291666666664</v>
      </c>
      <c r="CF688" s="6">
        <f t="shared" si="465"/>
        <v>-31577.291666666664</v>
      </c>
      <c r="CG688" s="6">
        <f t="shared" si="465"/>
        <v>-31577.291666666664</v>
      </c>
      <c r="CH688" s="6">
        <f t="shared" si="440"/>
        <v>-378927.50000000006</v>
      </c>
    </row>
    <row r="689" spans="1:87" hidden="1" x14ac:dyDescent="0.35">
      <c r="A689" s="3" t="s">
        <v>200</v>
      </c>
      <c r="B689" s="10">
        <v>64433.416666666664</v>
      </c>
      <c r="C689" s="10">
        <v>64433.416666666664</v>
      </c>
      <c r="D689" s="10">
        <v>64433.416666666664</v>
      </c>
      <c r="E689" s="10">
        <v>64433.416666666664</v>
      </c>
      <c r="F689" s="10">
        <v>64433.416666666664</v>
      </c>
      <c r="G689" s="10">
        <v>64433.416666666664</v>
      </c>
      <c r="H689" s="10">
        <v>64433.416666666664</v>
      </c>
      <c r="I689" s="10">
        <v>64433.416666666664</v>
      </c>
      <c r="J689" s="10">
        <v>64433.416666666664</v>
      </c>
      <c r="K689" s="10">
        <v>64433.416666666664</v>
      </c>
      <c r="L689" s="10">
        <v>64433.416666666664</v>
      </c>
      <c r="M689" s="10">
        <v>64433.416666666664</v>
      </c>
      <c r="N689" s="27">
        <f t="shared" si="444"/>
        <v>773200.99999999988</v>
      </c>
      <c r="O689" s="10">
        <v>11310.350673326751</v>
      </c>
      <c r="P689" s="10">
        <v>11310.350673326751</v>
      </c>
      <c r="Q689" s="10">
        <v>11310.350673326751</v>
      </c>
      <c r="R689" s="10">
        <v>11310.350673326751</v>
      </c>
      <c r="S689" s="10">
        <v>11310.350673326751</v>
      </c>
      <c r="T689" s="10">
        <v>11310.350673326751</v>
      </c>
      <c r="U689" s="10">
        <v>11310.350673326751</v>
      </c>
      <c r="V689" s="10">
        <v>11310.350673326751</v>
      </c>
      <c r="W689" s="10">
        <v>11310.350673326751</v>
      </c>
      <c r="X689" s="10">
        <v>11310.350673326751</v>
      </c>
      <c r="Y689" s="10">
        <v>11310.350673326751</v>
      </c>
      <c r="Z689" s="10">
        <v>11310.350673326751</v>
      </c>
      <c r="AA689" s="27">
        <f t="shared" si="445"/>
        <v>135724.20807992105</v>
      </c>
      <c r="AB689" s="10">
        <f t="shared" si="463"/>
        <v>53123.065993339915</v>
      </c>
      <c r="AC689" s="10">
        <f t="shared" si="463"/>
        <v>53123.065993339915</v>
      </c>
      <c r="AD689" s="10">
        <f t="shared" si="463"/>
        <v>53123.065993339915</v>
      </c>
      <c r="AE689" s="10">
        <f t="shared" si="462"/>
        <v>53123.065993339915</v>
      </c>
      <c r="AF689" s="10">
        <f t="shared" si="462"/>
        <v>53123.065993339915</v>
      </c>
      <c r="AG689" s="10">
        <f t="shared" si="462"/>
        <v>53123.065993339915</v>
      </c>
      <c r="AH689" s="10">
        <f t="shared" si="462"/>
        <v>53123.065993339915</v>
      </c>
      <c r="AI689" s="10">
        <f t="shared" si="462"/>
        <v>53123.065993339915</v>
      </c>
      <c r="AJ689" s="10">
        <f t="shared" si="462"/>
        <v>53123.065993339915</v>
      </c>
      <c r="AK689" s="10">
        <f t="shared" si="462"/>
        <v>53123.065993339915</v>
      </c>
      <c r="AL689" s="10">
        <f t="shared" si="462"/>
        <v>53123.065993339915</v>
      </c>
      <c r="AM689" s="10">
        <f t="shared" si="462"/>
        <v>53123.065993339915</v>
      </c>
      <c r="AN689" s="27">
        <f t="shared" si="462"/>
        <v>637476.7919200788</v>
      </c>
      <c r="AS689" t="str">
        <f>_xlfn.XLOOKUP(AU689,[2]GAE!HZ:HZ,[2]GAE!IA:IA)</f>
        <v>CCC-COMMON</v>
      </c>
      <c r="AT689" t="str">
        <f>_xlfn.XLOOKUP(AU689,[2]GAE!HZ:HZ,[2]GAE!IB:IB)</f>
        <v>DOE - Health Premium / APE</v>
      </c>
      <c r="AU689" t="s">
        <v>1149</v>
      </c>
      <c r="AV689">
        <v>81111101</v>
      </c>
      <c r="AW689">
        <v>52121303</v>
      </c>
      <c r="AX689" t="str">
        <f>_xlfn.XLOOKUP(AU689,[2]GAE!HZ:HZ,[2]GAE!IF:IF)</f>
        <v>Employee Benefits</v>
      </c>
      <c r="AY689" t="str">
        <f>_xlfn.XLOOKUP(AU689,[2]GAE!HZ:HZ,[2]GAE!IG:IG)</f>
        <v>Medical/Insurance</v>
      </c>
      <c r="AZ689" t="s">
        <v>200</v>
      </c>
      <c r="BC689" t="s">
        <v>200</v>
      </c>
      <c r="BD689" t="s">
        <v>1150</v>
      </c>
      <c r="BF689" t="s">
        <v>101</v>
      </c>
      <c r="BG689" s="2" t="s">
        <v>200</v>
      </c>
      <c r="BK689" s="10">
        <f>SUMIFS('[1]2026'!$K:$K,'[1]2026'!$T:$T,$BD689,'[1]2026'!$S:$S,BK$3,'[1]2026'!$P:$P,$AU689)</f>
        <v>0</v>
      </c>
      <c r="BL689" s="6"/>
      <c r="BM689" s="10">
        <f>SUMIFS('[1]2026'!$K:$K,'[1]2026'!$T:$T,$BD689,'[1]2026'!$S:$S,BM$3,'[1]2026'!$P:$P,$AU689)</f>
        <v>0</v>
      </c>
      <c r="BN689" s="10">
        <f>SUMIFS('[1]2026'!$K:$K,'[1]2026'!$T:$T,$BD689,'[1]2026'!$S:$S,BN$3,'[1]2026'!$P:$P,$AU689)</f>
        <v>0</v>
      </c>
      <c r="BO689" s="10">
        <f>SUMIFS('[1]2026'!$K:$K,'[1]2026'!$T:$T,$BD689,'[1]2026'!$S:$S,BO$3,'[1]2026'!$P:$P,$AU689)</f>
        <v>0</v>
      </c>
      <c r="BP689" s="6"/>
      <c r="BQ689" s="6"/>
      <c r="BR689" s="6"/>
      <c r="BS689" s="6">
        <v>100000</v>
      </c>
      <c r="BT689" s="6">
        <f t="shared" si="460"/>
        <v>100000</v>
      </c>
      <c r="BV689" s="6">
        <f t="shared" si="465"/>
        <v>-53123.065993339915</v>
      </c>
      <c r="BW689" s="6">
        <f t="shared" si="465"/>
        <v>-53123.065993339915</v>
      </c>
      <c r="BX689" s="6">
        <f t="shared" si="465"/>
        <v>-53123.065993339915</v>
      </c>
      <c r="BY689" s="6">
        <f t="shared" si="465"/>
        <v>-53123.065993339915</v>
      </c>
      <c r="BZ689" s="6">
        <f t="shared" si="465"/>
        <v>-53123.065993339915</v>
      </c>
      <c r="CA689" s="6">
        <f t="shared" si="465"/>
        <v>-53123.065993339915</v>
      </c>
      <c r="CB689" s="6">
        <f t="shared" si="465"/>
        <v>-53123.065993339915</v>
      </c>
      <c r="CC689" s="6">
        <f t="shared" si="465"/>
        <v>-53123.065993339915</v>
      </c>
      <c r="CD689" s="6">
        <f t="shared" si="465"/>
        <v>-53123.065993339915</v>
      </c>
      <c r="CE689" s="6">
        <f t="shared" si="465"/>
        <v>-53123.065993339915</v>
      </c>
      <c r="CF689" s="6">
        <f t="shared" si="465"/>
        <v>-53123.065993339915</v>
      </c>
      <c r="CG689" s="6">
        <f t="shared" si="465"/>
        <v>46876.934006660085</v>
      </c>
      <c r="CH689" s="6">
        <f t="shared" si="440"/>
        <v>-537476.7919200788</v>
      </c>
    </row>
    <row r="690" spans="1:87" ht="29" hidden="1" x14ac:dyDescent="0.35">
      <c r="A690" s="3" t="s">
        <v>201</v>
      </c>
      <c r="B690" s="10">
        <v>463665.08576666674</v>
      </c>
      <c r="C690" s="10">
        <v>463665.08576666674</v>
      </c>
      <c r="D690" s="10">
        <v>463665.08576666674</v>
      </c>
      <c r="E690" s="10">
        <v>463665.08576666674</v>
      </c>
      <c r="F690" s="10">
        <v>463665.08576666674</v>
      </c>
      <c r="G690" s="10">
        <v>463665.08576666674</v>
      </c>
      <c r="H690" s="10">
        <v>463665.08576666674</v>
      </c>
      <c r="I690" s="10">
        <v>463665.08576666674</v>
      </c>
      <c r="J690" s="10">
        <v>463665.08576666674</v>
      </c>
      <c r="K690" s="10">
        <v>463665.08576666674</v>
      </c>
      <c r="L690" s="10">
        <v>463665.08576666674</v>
      </c>
      <c r="M690" s="10">
        <v>463665.08576666674</v>
      </c>
      <c r="N690" s="27">
        <f t="shared" si="444"/>
        <v>5563981.0291999998</v>
      </c>
      <c r="O690" s="10">
        <v>81389.67303455311</v>
      </c>
      <c r="P690" s="10">
        <v>81389.67303455311</v>
      </c>
      <c r="Q690" s="10">
        <v>81389.67303455311</v>
      </c>
      <c r="R690" s="10">
        <v>81389.67303455311</v>
      </c>
      <c r="S690" s="10">
        <v>81389.67303455311</v>
      </c>
      <c r="T690" s="10">
        <v>81389.67303455311</v>
      </c>
      <c r="U690" s="10">
        <v>81389.67303455311</v>
      </c>
      <c r="V690" s="10">
        <v>81389.67303455311</v>
      </c>
      <c r="W690" s="10">
        <v>81389.67303455311</v>
      </c>
      <c r="X690" s="10">
        <v>81389.67303455311</v>
      </c>
      <c r="Y690" s="10">
        <v>81389.67303455311</v>
      </c>
      <c r="Z690" s="10">
        <v>81389.67303455311</v>
      </c>
      <c r="AA690" s="27">
        <f t="shared" si="445"/>
        <v>976676.07641463715</v>
      </c>
      <c r="AB690" s="10">
        <f t="shared" si="463"/>
        <v>382275.41273211362</v>
      </c>
      <c r="AC690" s="10">
        <f t="shared" si="463"/>
        <v>382275.41273211362</v>
      </c>
      <c r="AD690" s="10">
        <f t="shared" si="463"/>
        <v>382275.41273211362</v>
      </c>
      <c r="AE690" s="10">
        <f t="shared" si="462"/>
        <v>382275.41273211362</v>
      </c>
      <c r="AF690" s="10">
        <f t="shared" si="462"/>
        <v>382275.41273211362</v>
      </c>
      <c r="AG690" s="10">
        <f t="shared" si="462"/>
        <v>382275.41273211362</v>
      </c>
      <c r="AH690" s="10">
        <f t="shared" si="462"/>
        <v>382275.41273211362</v>
      </c>
      <c r="AI690" s="10">
        <f t="shared" si="462"/>
        <v>382275.41273211362</v>
      </c>
      <c r="AJ690" s="10">
        <f t="shared" si="462"/>
        <v>382275.41273211362</v>
      </c>
      <c r="AK690" s="10">
        <f t="shared" si="462"/>
        <v>382275.41273211362</v>
      </c>
      <c r="AL690" s="10">
        <f t="shared" si="462"/>
        <v>382275.41273211362</v>
      </c>
      <c r="AM690" s="10">
        <f t="shared" si="462"/>
        <v>382275.41273211362</v>
      </c>
      <c r="AN690" s="27">
        <f t="shared" si="462"/>
        <v>4587304.9527853625</v>
      </c>
      <c r="AS690" t="str">
        <f>_xlfn.XLOOKUP(AU690,[2]GAE!HZ:HZ,[2]GAE!IA:IA)</f>
        <v>CCC-COMMON</v>
      </c>
      <c r="AT690" t="str">
        <f>_xlfn.XLOOKUP(AU690,[2]GAE!HZ:HZ,[2]GAE!IB:IB)</f>
        <v>DOE - Health Premium / APE</v>
      </c>
      <c r="AU690" t="s">
        <v>1149</v>
      </c>
      <c r="AV690">
        <v>81111101</v>
      </c>
      <c r="AW690">
        <v>52121303</v>
      </c>
      <c r="AX690" t="str">
        <f>_xlfn.XLOOKUP(AU690,[2]GAE!HZ:HZ,[2]GAE!IF:IF)</f>
        <v>Employee Benefits</v>
      </c>
      <c r="AY690" t="str">
        <f>_xlfn.XLOOKUP(AU690,[2]GAE!HZ:HZ,[2]GAE!IG:IG)</f>
        <v>Medical/Insurance</v>
      </c>
      <c r="AZ690" t="s">
        <v>201</v>
      </c>
      <c r="BC690" t="s">
        <v>201</v>
      </c>
      <c r="BD690" t="s">
        <v>1151</v>
      </c>
      <c r="BF690" t="s">
        <v>101</v>
      </c>
      <c r="BG690" s="2" t="s">
        <v>201</v>
      </c>
      <c r="BH690" s="10">
        <f>SUMIFS('[1]2026'!$K:$K,'[1]2026'!$T:$T,BD690,'[1]2026'!$S:$S,BH$3,'[1]2026'!$P:$P,AU690)</f>
        <v>185998.25</v>
      </c>
      <c r="BI690" s="10">
        <f>SUMIFS('[1]2026'!$K:$K,'[1]2026'!$T:$T,$BD690,'[1]2026'!$S:$S,BI$3,'[1]2026'!$P:$P,$AU690)</f>
        <v>185998.25</v>
      </c>
      <c r="BJ690" s="10">
        <f>SUMIFS('[1]2026'!$K:$K,'[1]2026'!$T:$T,$BD690,'[1]2026'!$S:$S,BJ$3,'[1]2026'!$P:$P,$AU690)</f>
        <v>185998.25</v>
      </c>
      <c r="BK690" s="10">
        <f>SUMIFS('[1]2026'!$K:$K,'[1]2026'!$T:$T,$BD690,'[1]2026'!$S:$S,BK$3,'[1]2026'!$P:$P,$AU690)</f>
        <v>185998.25</v>
      </c>
      <c r="BL690" s="10">
        <f>SUMIFS('[1]2026'!$K:$K,'[1]2026'!$T:$T,$BD690,'[1]2026'!$S:$S,BL$3,'[1]2026'!$P:$P,$AU690)</f>
        <v>546585.11999999988</v>
      </c>
      <c r="BM690" s="10">
        <f>SUMIFS('[1]2026'!$K:$K,'[1]2026'!$T:$T,$BD690,'[1]2026'!$S:$S,BM$3,'[1]2026'!$P:$P,$AU690)</f>
        <v>282386.47999999992</v>
      </c>
      <c r="BN690" s="10">
        <f>SUMIFS('[1]2026'!$K:$K,'[1]2026'!$T:$T,$BD690,'[1]2026'!$S:$S,BN$3,'[1]2026'!$P:$P,$AU690)</f>
        <v>259209.38</v>
      </c>
      <c r="BO690" s="10">
        <f>SUMIFS('[1]2026'!$K:$K,'[1]2026'!$T:$T,$BD690,'[1]2026'!$S:$S,BO$3,'[1]2026'!$P:$P,$AU690)</f>
        <v>259209.38</v>
      </c>
      <c r="BP690" s="6">
        <v>259209.38</v>
      </c>
      <c r="BQ690" s="6">
        <v>259209.38</v>
      </c>
      <c r="BR690" s="6">
        <v>259209.38</v>
      </c>
      <c r="BS690" s="6">
        <v>259209.38</v>
      </c>
      <c r="BT690" s="6">
        <f t="shared" si="460"/>
        <v>3128220.8799999994</v>
      </c>
      <c r="BV690" s="6">
        <f t="shared" si="465"/>
        <v>-196277.16273211362</v>
      </c>
      <c r="BW690" s="6">
        <f t="shared" si="465"/>
        <v>-196277.16273211362</v>
      </c>
      <c r="BX690" s="6">
        <f t="shared" si="465"/>
        <v>-196277.16273211362</v>
      </c>
      <c r="BY690" s="6">
        <f t="shared" si="465"/>
        <v>-196277.16273211362</v>
      </c>
      <c r="BZ690" s="6">
        <f t="shared" si="465"/>
        <v>164309.70726788626</v>
      </c>
      <c r="CA690" s="6">
        <f t="shared" si="465"/>
        <v>-99888.932732113695</v>
      </c>
      <c r="CB690" s="6">
        <f t="shared" si="465"/>
        <v>-123066.03273211361</v>
      </c>
      <c r="CC690" s="6">
        <f t="shared" si="465"/>
        <v>-123066.03273211361</v>
      </c>
      <c r="CD690" s="6">
        <f t="shared" si="465"/>
        <v>-123066.03273211361</v>
      </c>
      <c r="CE690" s="6">
        <f t="shared" si="465"/>
        <v>-123066.03273211361</v>
      </c>
      <c r="CF690" s="6">
        <f t="shared" si="465"/>
        <v>-123066.03273211361</v>
      </c>
      <c r="CG690" s="6">
        <f t="shared" si="465"/>
        <v>-123066.03273211361</v>
      </c>
      <c r="CH690" s="6">
        <f t="shared" si="440"/>
        <v>-1459084.0727853631</v>
      </c>
      <c r="CI690" s="37" t="s">
        <v>1152</v>
      </c>
    </row>
    <row r="691" spans="1:87" hidden="1" x14ac:dyDescent="0.35">
      <c r="A691" s="3" t="s">
        <v>1133</v>
      </c>
      <c r="B691" s="10">
        <v>2264054</v>
      </c>
      <c r="C691" s="10">
        <v>2264054</v>
      </c>
      <c r="D691" s="10">
        <v>2264054</v>
      </c>
      <c r="E691" s="10">
        <v>2264054</v>
      </c>
      <c r="F691" s="10">
        <v>2264054</v>
      </c>
      <c r="G691" s="10">
        <v>2264054</v>
      </c>
      <c r="H691" s="10">
        <v>2264054</v>
      </c>
      <c r="I691" s="10">
        <v>2264054</v>
      </c>
      <c r="J691" s="10">
        <v>2264054</v>
      </c>
      <c r="K691" s="10">
        <v>2264054</v>
      </c>
      <c r="L691" s="10">
        <v>2264054</v>
      </c>
      <c r="M691" s="10">
        <v>2264054</v>
      </c>
      <c r="N691" s="27">
        <f t="shared" si="444"/>
        <v>27168648</v>
      </c>
      <c r="AA691" s="27">
        <f t="shared" si="445"/>
        <v>0</v>
      </c>
      <c r="AB691" s="10">
        <f t="shared" si="463"/>
        <v>2264054</v>
      </c>
      <c r="AC691" s="10">
        <f t="shared" si="463"/>
        <v>2264054</v>
      </c>
      <c r="AD691" s="10">
        <f t="shared" si="463"/>
        <v>2264054</v>
      </c>
      <c r="AE691" s="10">
        <f t="shared" si="463"/>
        <v>2264054</v>
      </c>
      <c r="AF691" s="10">
        <f t="shared" si="463"/>
        <v>2264054</v>
      </c>
      <c r="AG691" s="10">
        <f t="shared" si="463"/>
        <v>2264054</v>
      </c>
      <c r="AH691" s="10">
        <f t="shared" si="463"/>
        <v>2264054</v>
      </c>
      <c r="AI691" s="10">
        <f t="shared" si="463"/>
        <v>2264054</v>
      </c>
      <c r="AJ691" s="10">
        <f t="shared" si="462"/>
        <v>2264054</v>
      </c>
      <c r="AK691" s="10">
        <f t="shared" si="462"/>
        <v>2264054</v>
      </c>
      <c r="AL691" s="10">
        <f t="shared" si="462"/>
        <v>2264054</v>
      </c>
      <c r="AM691" s="10">
        <f t="shared" si="462"/>
        <v>2264054</v>
      </c>
      <c r="AN691" s="27">
        <f t="shared" si="462"/>
        <v>27168648</v>
      </c>
      <c r="AS691" t="str">
        <f>_xlfn.XLOOKUP(AU691,[2]GAE!HZ:HZ,[2]GAE!IA:IA)</f>
        <v>OCLP-COMMON</v>
      </c>
      <c r="AT691" t="str">
        <f>_xlfn.XLOOKUP(AU691,[2]GAE!HZ:HZ,[2]GAE!IB:IB)</f>
        <v>GAE - Payroll - Regular Employee - Basic</v>
      </c>
      <c r="AU691" t="s">
        <v>1153</v>
      </c>
      <c r="AV691">
        <v>80111101</v>
      </c>
      <c r="AW691">
        <v>61021102</v>
      </c>
      <c r="AX691" t="str">
        <f>_xlfn.XLOOKUP(AU691,[2]GAE!HZ:HZ,[2]GAE!IF:IF)</f>
        <v>Salaries</v>
      </c>
      <c r="AY691" t="str">
        <f>_xlfn.XLOOKUP(AU691,[2]GAE!HZ:HZ,[2]GAE!IG:IG)</f>
        <v>Regular Employee</v>
      </c>
      <c r="AZ691" t="s">
        <v>1133</v>
      </c>
      <c r="BC691" t="s">
        <v>185</v>
      </c>
      <c r="BD691" t="s">
        <v>1135</v>
      </c>
      <c r="BF691" t="s">
        <v>184</v>
      </c>
      <c r="BG691" s="2" t="s">
        <v>185</v>
      </c>
      <c r="BH691" s="10">
        <f>SUMIFS('[1]2026'!$K:$K,'[1]2026'!$T:$T,BD691,'[1]2026'!$S:$S,BH$3,'[1]2026'!$P:$P,AU691)</f>
        <v>1945568.18</v>
      </c>
      <c r="BI691" s="10">
        <f>SUMIFS('[1]2026'!$K:$K,'[1]2026'!$T:$T,$BD691,'[1]2026'!$S:$S,BI$3,'[1]2026'!$P:$P,$AU691)</f>
        <v>1967943.2300000002</v>
      </c>
      <c r="BJ691" s="10">
        <f>SUMIFS('[1]2026'!$K:$K,'[1]2026'!$T:$T,$BD691,'[1]2026'!$S:$S,BJ$3,'[1]2026'!$P:$P,$AU691)</f>
        <v>1989801.22</v>
      </c>
      <c r="BK691" s="10">
        <f>SUMIFS('[1]2026'!$K:$K,'[1]2026'!$T:$T,$BD691,'[1]2026'!$S:$S,BK$3,'[1]2026'!$P:$P,$AU691)</f>
        <v>2462455.04</v>
      </c>
      <c r="BL691" s="10">
        <f>SUMIFS('[1]2026'!$K:$K,'[1]2026'!$T:$T,$BD691,'[1]2026'!$S:$S,BL$3,'[1]2026'!$P:$P,$AU691)</f>
        <v>2102319.79</v>
      </c>
      <c r="BM691" s="10">
        <f>SUMIFS('[1]2026'!$K:$K,'[1]2026'!$T:$T,$BD691,'[1]2026'!$S:$S,BM$3,'[1]2026'!$P:$P,$AU691)</f>
        <v>2137206.2999999993</v>
      </c>
      <c r="BN691" s="10">
        <f>SUMIFS('[1]2026'!$K:$K,'[1]2026'!$T:$T,$BD691,'[1]2026'!$S:$S,BN$3,'[1]2026'!$P:$P,$AU691)</f>
        <v>2061033.5</v>
      </c>
      <c r="BO691" s="10">
        <f>SUMIFS('[1]2026'!$K:$K,'[1]2026'!$T:$T,$BD691,'[1]2026'!$S:$S,BO$3,'[1]2026'!$P:$P,$AU691)</f>
        <v>2099734.1300000004</v>
      </c>
      <c r="BP691" s="6">
        <v>2100000</v>
      </c>
      <c r="BQ691" s="6">
        <v>2100000</v>
      </c>
      <c r="BR691" s="6">
        <v>2100000</v>
      </c>
      <c r="BS691" s="6">
        <v>2100000</v>
      </c>
      <c r="BT691" s="6">
        <f t="shared" si="460"/>
        <v>25166061.390000001</v>
      </c>
      <c r="BV691" s="6">
        <f t="shared" si="465"/>
        <v>-318485.82000000007</v>
      </c>
      <c r="BW691" s="6">
        <f t="shared" si="465"/>
        <v>-296110.76999999979</v>
      </c>
      <c r="BX691" s="6">
        <f t="shared" si="465"/>
        <v>-274252.78000000003</v>
      </c>
      <c r="BY691" s="6">
        <f t="shared" si="465"/>
        <v>198401.04000000004</v>
      </c>
      <c r="BZ691" s="6">
        <f t="shared" si="465"/>
        <v>-161734.20999999996</v>
      </c>
      <c r="CA691" s="6">
        <f t="shared" si="465"/>
        <v>-126847.70000000065</v>
      </c>
      <c r="CB691" s="6">
        <f t="shared" si="465"/>
        <v>-203020.5</v>
      </c>
      <c r="CC691" s="6">
        <f t="shared" si="465"/>
        <v>-164319.86999999965</v>
      </c>
      <c r="CD691" s="6">
        <f t="shared" si="465"/>
        <v>-164054</v>
      </c>
      <c r="CE691" s="6">
        <f t="shared" si="465"/>
        <v>-164054</v>
      </c>
      <c r="CF691" s="6">
        <f t="shared" si="465"/>
        <v>-164054</v>
      </c>
      <c r="CG691" s="6">
        <f t="shared" si="465"/>
        <v>-164054</v>
      </c>
      <c r="CH691" s="6">
        <f t="shared" si="440"/>
        <v>-2002586.6099999994</v>
      </c>
    </row>
    <row r="692" spans="1:87" hidden="1" x14ac:dyDescent="0.35">
      <c r="A692" s="3" t="s">
        <v>186</v>
      </c>
      <c r="E692" s="10">
        <f>4788193.84/3</f>
        <v>1596064.6133333333</v>
      </c>
      <c r="I692" s="10">
        <f>4788193.84/3</f>
        <v>1596064.6133333333</v>
      </c>
      <c r="M692" s="10">
        <f>4788193.84/3</f>
        <v>1596064.6133333333</v>
      </c>
      <c r="N692" s="27">
        <f t="shared" si="444"/>
        <v>4788193.84</v>
      </c>
      <c r="AA692" s="27">
        <f t="shared" si="445"/>
        <v>0</v>
      </c>
      <c r="AB692" s="10">
        <f t="shared" si="463"/>
        <v>0</v>
      </c>
      <c r="AC692" s="10">
        <f t="shared" si="463"/>
        <v>0</v>
      </c>
      <c r="AD692" s="10">
        <f t="shared" si="463"/>
        <v>0</v>
      </c>
      <c r="AE692" s="10">
        <f t="shared" si="463"/>
        <v>1596064.6133333333</v>
      </c>
      <c r="AF692" s="10">
        <f t="shared" si="463"/>
        <v>0</v>
      </c>
      <c r="AG692" s="10">
        <f t="shared" si="463"/>
        <v>0</v>
      </c>
      <c r="AH692" s="10">
        <f t="shared" si="463"/>
        <v>0</v>
      </c>
      <c r="AI692" s="10">
        <f t="shared" si="463"/>
        <v>1596064.6133333333</v>
      </c>
      <c r="AJ692" s="10">
        <f t="shared" si="462"/>
        <v>0</v>
      </c>
      <c r="AK692" s="10">
        <f t="shared" si="462"/>
        <v>0</v>
      </c>
      <c r="AL692" s="10">
        <f t="shared" si="462"/>
        <v>0</v>
      </c>
      <c r="AM692" s="10">
        <f t="shared" si="462"/>
        <v>1596064.6133333333</v>
      </c>
      <c r="AN692" s="27">
        <f t="shared" si="462"/>
        <v>4788193.84</v>
      </c>
      <c r="AS692" t="str">
        <f>_xlfn.XLOOKUP(AU692,[2]GAE!HZ:HZ,[2]GAE!IA:IA)</f>
        <v>OCLP-COMMON</v>
      </c>
      <c r="AT692" t="str">
        <f>_xlfn.XLOOKUP(AU692,[2]GAE!HZ:HZ,[2]GAE!IB:IB)</f>
        <v>GAE - Payroll - Regular Employee - Bonus</v>
      </c>
      <c r="AU692" t="s">
        <v>1154</v>
      </c>
      <c r="AV692">
        <v>80111101</v>
      </c>
      <c r="AW692">
        <v>61021105</v>
      </c>
      <c r="AX692" t="str">
        <f>_xlfn.XLOOKUP(AU692,[2]GAE!HZ:HZ,[2]GAE!IF:IF)</f>
        <v>Salaries</v>
      </c>
      <c r="AY692" t="str">
        <f>_xlfn.XLOOKUP(AU692,[2]GAE!HZ:HZ,[2]GAE!IG:IG)</f>
        <v>Guaranteed Bonus</v>
      </c>
      <c r="AZ692" t="s">
        <v>186</v>
      </c>
      <c r="BC692" t="s">
        <v>186</v>
      </c>
      <c r="BD692" t="s">
        <v>186</v>
      </c>
      <c r="BF692" t="s">
        <v>184</v>
      </c>
      <c r="BG692" s="2" t="s">
        <v>186</v>
      </c>
      <c r="BH692" s="10">
        <f>SUMIFS('[1]2026'!$K:$K,'[1]2026'!$T:$T,BD692,'[1]2026'!$S:$S,BH$3,'[1]2026'!$P:$P,AU692)</f>
        <v>0</v>
      </c>
      <c r="BI692" s="10">
        <f>SUMIFS('[1]2026'!$K:$K,'[1]2026'!$T:$T,$BD692,'[1]2026'!$S:$S,BI$3,'[1]2026'!$P:$P,$AU692)</f>
        <v>0</v>
      </c>
      <c r="BJ692" s="10">
        <f>SUMIFS('[1]2026'!$K:$K,'[1]2026'!$T:$T,$BD692,'[1]2026'!$S:$S,BJ$3,'[1]2026'!$P:$P,$AU692)</f>
        <v>0</v>
      </c>
      <c r="BK692" s="10">
        <f>SUMIFS('[1]2026'!$K:$K,'[1]2026'!$T:$T,$BD692,'[1]2026'!$S:$S,BK$3,'[1]2026'!$P:$P,$AU692)</f>
        <v>1320203</v>
      </c>
      <c r="BL692" s="10">
        <f>SUMIFS('[1]2026'!$K:$K,'[1]2026'!$T:$T,$BD692,'[1]2026'!$S:$S,BL$3,'[1]2026'!$P:$P,$AU692)</f>
        <v>0</v>
      </c>
      <c r="BM692" s="10">
        <f>SUMIFS('[1]2026'!$K:$K,'[1]2026'!$T:$T,$BD692,'[1]2026'!$S:$S,BM$3,'[1]2026'!$P:$P,$AU692)</f>
        <v>6666.67</v>
      </c>
      <c r="BN692" s="10">
        <f>SUMIFS('[1]2026'!$K:$K,'[1]2026'!$T:$T,$BD692,'[1]2026'!$S:$S,BN$3,'[1]2026'!$P:$P,$AU692)</f>
        <v>0</v>
      </c>
      <c r="BO692" s="10">
        <f>SUMIFS('[1]2026'!$K:$K,'[1]2026'!$T:$T,$BD692,'[1]2026'!$S:$S,BO$3,'[1]2026'!$P:$P,$AU692)</f>
        <v>716038.05000000016</v>
      </c>
      <c r="BP692" s="6">
        <f t="shared" ref="BP692:BR693" si="466">AJ692</f>
        <v>0</v>
      </c>
      <c r="BQ692" s="6">
        <f t="shared" si="466"/>
        <v>0</v>
      </c>
      <c r="BR692" s="6">
        <f t="shared" si="466"/>
        <v>0</v>
      </c>
      <c r="BS692" s="6">
        <f>BO692</f>
        <v>716038.05000000016</v>
      </c>
      <c r="BT692" s="6">
        <f t="shared" si="460"/>
        <v>2758945.7700000005</v>
      </c>
      <c r="BV692" s="6">
        <f t="shared" si="465"/>
        <v>0</v>
      </c>
      <c r="BW692" s="6">
        <f t="shared" si="465"/>
        <v>0</v>
      </c>
      <c r="BX692" s="6">
        <f t="shared" si="465"/>
        <v>0</v>
      </c>
      <c r="BY692" s="6">
        <f t="shared" si="465"/>
        <v>-275861.61333333328</v>
      </c>
      <c r="BZ692" s="6">
        <f t="shared" si="465"/>
        <v>0</v>
      </c>
      <c r="CA692" s="6">
        <f t="shared" si="465"/>
        <v>6666.67</v>
      </c>
      <c r="CB692" s="6">
        <f t="shared" si="465"/>
        <v>0</v>
      </c>
      <c r="CC692" s="6">
        <f t="shared" si="465"/>
        <v>-880026.56333333312</v>
      </c>
      <c r="CD692" s="6">
        <f t="shared" si="465"/>
        <v>0</v>
      </c>
      <c r="CE692" s="6">
        <f t="shared" si="465"/>
        <v>0</v>
      </c>
      <c r="CF692" s="6">
        <f t="shared" si="465"/>
        <v>0</v>
      </c>
      <c r="CG692" s="6">
        <f t="shared" si="465"/>
        <v>-880026.56333333312</v>
      </c>
      <c r="CH692" s="6">
        <f t="shared" si="440"/>
        <v>-2029248.0699999994</v>
      </c>
    </row>
    <row r="693" spans="1:87" hidden="1" x14ac:dyDescent="0.35">
      <c r="AN693" s="27">
        <f>N693-AA693</f>
        <v>0</v>
      </c>
      <c r="AS693" t="str">
        <f>_xlfn.XLOOKUP(AU693,[2]GAE!HZ:HZ,[2]GAE!IA:IA)</f>
        <v>RED-COMMON</v>
      </c>
      <c r="AT693" t="str">
        <f>_xlfn.XLOOKUP(AU693,[2]GAE!HZ:HZ,[2]GAE!IB:IB)</f>
        <v>GAE - Employee Benefits - Bonus</v>
      </c>
      <c r="AU693" s="2" t="s">
        <v>1155</v>
      </c>
      <c r="AV693" s="2">
        <v>80311101</v>
      </c>
      <c r="AW693" s="2">
        <v>61021317</v>
      </c>
      <c r="AX693" t="str">
        <f>_xlfn.XLOOKUP(AU693,[2]GAE!HZ:HZ,[2]GAE!IF:IF)</f>
        <v>Salaries</v>
      </c>
      <c r="AY693" t="str">
        <f>_xlfn.XLOOKUP(AU693,[2]GAE!HZ:HZ,[2]GAE!IG:IG)</f>
        <v>Guaranteed Bonus</v>
      </c>
      <c r="BC693" t="s">
        <v>294</v>
      </c>
      <c r="BD693" t="s">
        <v>186</v>
      </c>
      <c r="BF693" s="37" t="s">
        <v>1263</v>
      </c>
      <c r="BG693" s="37" t="s">
        <v>1263</v>
      </c>
      <c r="BH693" s="10">
        <f>SUMIFS('[1]2026'!$K:$K,'[1]2026'!$T:$T,BD693,'[1]2026'!$S:$S,BH$3,'[1]2026'!$P:$P,AU693)</f>
        <v>0</v>
      </c>
      <c r="BI693" s="10">
        <f>SUMIFS('[1]2026'!$K:$K,'[1]2026'!$T:$T,$BD693,'[1]2026'!$S:$S,BI$3,'[1]2026'!$P:$P,$AU693)</f>
        <v>0</v>
      </c>
      <c r="BJ693" s="10">
        <f>SUMIFS('[1]2026'!$K:$K,'[1]2026'!$T:$T,$BD693,'[1]2026'!$S:$S,BJ$3,'[1]2026'!$P:$P,$AU693)</f>
        <v>0</v>
      </c>
      <c r="BK693" s="10">
        <f>SUMIFS('[1]2026'!$K:$K,'[1]2026'!$T:$T,$BD693,'[1]2026'!$S:$S,BK$3,'[1]2026'!$P:$P,$AU693)</f>
        <v>107895.83</v>
      </c>
      <c r="BL693" s="10">
        <f>SUMIFS('[1]2026'!$K:$K,'[1]2026'!$T:$T,$BD693,'[1]2026'!$S:$S,BL$3,'[1]2026'!$P:$P,$AU693)</f>
        <v>0</v>
      </c>
      <c r="BM693" s="10">
        <f>SUMIFS('[1]2026'!$K:$K,'[1]2026'!$T:$T,$BD693,'[1]2026'!$S:$S,BM$3,'[1]2026'!$P:$P,$AU693)</f>
        <v>0</v>
      </c>
      <c r="BN693" s="10">
        <f>SUMIFS('[1]2026'!$K:$K,'[1]2026'!$T:$T,$BD693,'[1]2026'!$S:$S,BN$3,'[1]2026'!$P:$P,$AU693)</f>
        <v>0</v>
      </c>
      <c r="BO693" s="10">
        <f>SUMIFS('[1]2026'!$K:$K,'[1]2026'!$T:$T,$BD693,'[1]2026'!$S:$S,BO$3,'[1]2026'!$P:$P,$AU693)</f>
        <v>0</v>
      </c>
      <c r="BP693" s="6">
        <f t="shared" si="466"/>
        <v>0</v>
      </c>
      <c r="BQ693" s="6">
        <f t="shared" si="466"/>
        <v>0</v>
      </c>
      <c r="BR693" s="6">
        <f t="shared" si="466"/>
        <v>0</v>
      </c>
      <c r="BS693" s="6">
        <f>BO693</f>
        <v>0</v>
      </c>
      <c r="BT693" s="6">
        <f t="shared" si="460"/>
        <v>107895.83</v>
      </c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>
        <f t="shared" si="440"/>
        <v>107895.83</v>
      </c>
    </row>
    <row r="694" spans="1:87" hidden="1" x14ac:dyDescent="0.35">
      <c r="A694" s="3" t="s">
        <v>187</v>
      </c>
      <c r="B694" s="10">
        <v>8166.666666666667</v>
      </c>
      <c r="C694" s="10">
        <v>8166.666666666667</v>
      </c>
      <c r="D694" s="10">
        <v>8166.666666666667</v>
      </c>
      <c r="E694" s="10">
        <v>8166.666666666667</v>
      </c>
      <c r="F694" s="10">
        <v>8166.666666666667</v>
      </c>
      <c r="G694" s="10">
        <v>8166.666666666667</v>
      </c>
      <c r="H694" s="10">
        <v>8166.666666666667</v>
      </c>
      <c r="I694" s="10">
        <v>8166.666666666667</v>
      </c>
      <c r="J694" s="10">
        <v>8166.666666666667</v>
      </c>
      <c r="K694" s="10">
        <v>8166.666666666667</v>
      </c>
      <c r="L694" s="10">
        <v>8166.666666666667</v>
      </c>
      <c r="M694" s="10">
        <v>8166.666666666667</v>
      </c>
      <c r="N694" s="27">
        <f t="shared" si="444"/>
        <v>98000.000000000015</v>
      </c>
      <c r="AA694" s="27">
        <f t="shared" si="445"/>
        <v>0</v>
      </c>
      <c r="AB694" s="10">
        <f t="shared" si="463"/>
        <v>8166.666666666667</v>
      </c>
      <c r="AC694" s="10">
        <f t="shared" si="463"/>
        <v>8166.666666666667</v>
      </c>
      <c r="AD694" s="10">
        <f t="shared" si="463"/>
        <v>8166.666666666667</v>
      </c>
      <c r="AE694" s="10">
        <f t="shared" si="463"/>
        <v>8166.666666666667</v>
      </c>
      <c r="AF694" s="10">
        <f t="shared" si="463"/>
        <v>8166.666666666667</v>
      </c>
      <c r="AG694" s="10">
        <f t="shared" si="463"/>
        <v>8166.666666666667</v>
      </c>
      <c r="AH694" s="10">
        <f t="shared" si="463"/>
        <v>8166.666666666667</v>
      </c>
      <c r="AI694" s="10">
        <f t="shared" si="463"/>
        <v>8166.666666666667</v>
      </c>
      <c r="AJ694" s="10">
        <f t="shared" si="462"/>
        <v>8166.666666666667</v>
      </c>
      <c r="AK694" s="10">
        <f t="shared" si="462"/>
        <v>8166.666666666667</v>
      </c>
      <c r="AL694" s="10">
        <f t="shared" si="462"/>
        <v>8166.666666666667</v>
      </c>
      <c r="AM694" s="10">
        <f t="shared" si="462"/>
        <v>8166.666666666667</v>
      </c>
      <c r="AN694" s="27">
        <f t="shared" si="462"/>
        <v>98000.000000000015</v>
      </c>
      <c r="AS694" t="str">
        <f>_xlfn.XLOOKUP(AU694,[2]GAE!HZ:HZ,[2]GAE!IA:IA)</f>
        <v>OCLP-COMMON</v>
      </c>
      <c r="AT694" t="str">
        <f>_xlfn.XLOOKUP(AU694,[2]GAE!HZ:HZ,[2]GAE!IB:IB)</f>
        <v>GAE - Payroll-Regular Employee-Leave Encashment</v>
      </c>
      <c r="AU694" t="s">
        <v>1156</v>
      </c>
      <c r="AV694">
        <v>80111101</v>
      </c>
      <c r="AW694">
        <v>61021107</v>
      </c>
      <c r="AX694" t="str">
        <f>_xlfn.XLOOKUP(AU694,[2]GAE!HZ:HZ,[2]GAE!IF:IF)</f>
        <v>Salaries</v>
      </c>
      <c r="AY694" t="str">
        <f>_xlfn.XLOOKUP(AU694,[2]GAE!HZ:HZ,[2]GAE!IG:IG)</f>
        <v>Leave Encashment</v>
      </c>
      <c r="AZ694" t="s">
        <v>187</v>
      </c>
      <c r="BD694" t="s">
        <v>1138</v>
      </c>
      <c r="BF694" t="s">
        <v>101</v>
      </c>
      <c r="BG694" t="s">
        <v>187</v>
      </c>
      <c r="BH694" s="10">
        <f>SUMIFS('[1]2026'!$K:$K,'[1]2026'!$T:$T,BD694,'[1]2026'!$S:$S,BH$3,'[1]2026'!$P:$P,AU694)</f>
        <v>0</v>
      </c>
      <c r="BI694" s="10">
        <f>SUMIFS('[1]2026'!$K:$K,'[1]2026'!$T:$T,$BD694,'[1]2026'!$S:$S,BI$3,'[1]2026'!$P:$P,$AU694)</f>
        <v>0</v>
      </c>
      <c r="BJ694" s="10">
        <f>SUMIFS('[1]2026'!$K:$K,'[1]2026'!$T:$T,$BD694,'[1]2026'!$S:$S,BJ$3,'[1]2026'!$P:$P,$AU694)</f>
        <v>0</v>
      </c>
      <c r="BK694" s="10">
        <f>SUMIFS('[1]2026'!$K:$K,'[1]2026'!$T:$T,$BD694,'[1]2026'!$S:$S,BK$3,'[1]2026'!$P:$P,$AU694)</f>
        <v>0</v>
      </c>
      <c r="BL694" s="10">
        <f>SUMIFS('[1]2026'!$K:$K,'[1]2026'!$T:$T,$BD694,'[1]2026'!$S:$S,BL$3,'[1]2026'!$P:$P,$AU694)</f>
        <v>0</v>
      </c>
      <c r="BM694" s="10">
        <f>SUMIFS('[1]2026'!$K:$K,'[1]2026'!$T:$T,$BD694,'[1]2026'!$S:$S,BM$3,'[1]2026'!$P:$P,$AU694)</f>
        <v>0</v>
      </c>
      <c r="BN694" s="10">
        <f>SUMIFS('[1]2026'!$K:$K,'[1]2026'!$T:$T,$BD694,'[1]2026'!$S:$S,BN$3,'[1]2026'!$P:$P,$AU694)</f>
        <v>0</v>
      </c>
      <c r="BO694" s="10">
        <f>SUMIFS('[1]2026'!$K:$K,'[1]2026'!$T:$T,$BD694,'[1]2026'!$S:$S,BO$3,'[1]2026'!$P:$P,$AU694)</f>
        <v>-549.61999999999989</v>
      </c>
      <c r="BP694" s="6"/>
      <c r="BQ694" s="6"/>
      <c r="BR694" s="6"/>
      <c r="BS694" s="6"/>
      <c r="BT694" s="6">
        <f t="shared" si="460"/>
        <v>-549.61999999999989</v>
      </c>
      <c r="BV694" s="6">
        <f t="shared" ref="BV694:BV702" si="467">BH694-AB694</f>
        <v>-8166.666666666667</v>
      </c>
      <c r="BW694" s="6">
        <f t="shared" ref="BW694:BW702" si="468">BI694-AC694</f>
        <v>-8166.666666666667</v>
      </c>
      <c r="BX694" s="6">
        <f t="shared" ref="BX694:BX702" si="469">BJ694-AD694</f>
        <v>-8166.666666666667</v>
      </c>
      <c r="BY694" s="6">
        <f t="shared" ref="BY694:BY702" si="470">BK694-AE694</f>
        <v>-8166.666666666667</v>
      </c>
      <c r="BZ694" s="6">
        <f t="shared" ref="BZ694:BZ702" si="471">BL694-AF694</f>
        <v>-8166.666666666667</v>
      </c>
      <c r="CA694" s="6">
        <f t="shared" ref="CA694:CA702" si="472">BM694-AG694</f>
        <v>-8166.666666666667</v>
      </c>
      <c r="CB694" s="6">
        <f t="shared" ref="CB694:CB702" si="473">BN694-AH694</f>
        <v>-8166.666666666667</v>
      </c>
      <c r="CC694" s="6">
        <f t="shared" ref="CC694:CC702" si="474">BO694-AI694</f>
        <v>-8716.2866666666669</v>
      </c>
      <c r="CD694" s="6">
        <f t="shared" ref="CD694:CD702" si="475">BP694-AJ694</f>
        <v>-8166.666666666667</v>
      </c>
      <c r="CE694" s="6">
        <f t="shared" ref="CE694:CE702" si="476">BQ694-AK694</f>
        <v>-8166.666666666667</v>
      </c>
      <c r="CF694" s="6">
        <f t="shared" ref="CF694:CF702" si="477">BR694-AL694</f>
        <v>-8166.666666666667</v>
      </c>
      <c r="CG694" s="6">
        <f t="shared" ref="CG694:CG702" si="478">BS694-AM694</f>
        <v>-8166.666666666667</v>
      </c>
      <c r="CH694" s="6">
        <f t="shared" si="440"/>
        <v>-98549.62000000001</v>
      </c>
    </row>
    <row r="695" spans="1:87" hidden="1" x14ac:dyDescent="0.35">
      <c r="A695" s="3" t="s">
        <v>188</v>
      </c>
      <c r="B695" s="10">
        <v>33014.248020000006</v>
      </c>
      <c r="C695" s="10">
        <v>33014.248020000006</v>
      </c>
      <c r="D695" s="10">
        <v>33014.248020000006</v>
      </c>
      <c r="E695" s="10">
        <v>33014.248020000006</v>
      </c>
      <c r="F695" s="10">
        <v>33014.248020000006</v>
      </c>
      <c r="G695" s="10">
        <v>33014.248020000006</v>
      </c>
      <c r="H695" s="10">
        <v>33014.248020000006</v>
      </c>
      <c r="I695" s="10">
        <v>33014.248020000006</v>
      </c>
      <c r="J695" s="10">
        <v>33014.248020000006</v>
      </c>
      <c r="K695" s="10">
        <v>33014.248020000006</v>
      </c>
      <c r="L695" s="10">
        <v>33014.248020000006</v>
      </c>
      <c r="M695" s="10">
        <v>33014.248020000006</v>
      </c>
      <c r="N695" s="27">
        <f t="shared" si="444"/>
        <v>396170.97624000005</v>
      </c>
      <c r="AA695" s="27">
        <f t="shared" si="445"/>
        <v>0</v>
      </c>
      <c r="AB695" s="10">
        <f t="shared" si="463"/>
        <v>33014.248020000006</v>
      </c>
      <c r="AC695" s="10">
        <f t="shared" si="463"/>
        <v>33014.248020000006</v>
      </c>
      <c r="AD695" s="10">
        <f t="shared" si="463"/>
        <v>33014.248020000006</v>
      </c>
      <c r="AE695" s="10">
        <f t="shared" si="463"/>
        <v>33014.248020000006</v>
      </c>
      <c r="AF695" s="10">
        <f t="shared" si="463"/>
        <v>33014.248020000006</v>
      </c>
      <c r="AG695" s="10">
        <f t="shared" si="463"/>
        <v>33014.248020000006</v>
      </c>
      <c r="AH695" s="10">
        <f t="shared" si="463"/>
        <v>33014.248020000006</v>
      </c>
      <c r="AI695" s="10">
        <f t="shared" si="463"/>
        <v>33014.248020000006</v>
      </c>
      <c r="AJ695" s="10">
        <f t="shared" si="462"/>
        <v>33014.248020000006</v>
      </c>
      <c r="AK695" s="10">
        <f t="shared" si="462"/>
        <v>33014.248020000006</v>
      </c>
      <c r="AL695" s="10">
        <f t="shared" si="462"/>
        <v>33014.248020000006</v>
      </c>
      <c r="AM695" s="10">
        <f t="shared" si="462"/>
        <v>33014.248020000006</v>
      </c>
      <c r="AN695" s="27">
        <f t="shared" si="462"/>
        <v>396170.97624000005</v>
      </c>
      <c r="AS695" t="str">
        <f>_xlfn.XLOOKUP(AU695,[2]GAE!HZ:HZ,[2]GAE!IA:IA)</f>
        <v>OCLP-COMMON</v>
      </c>
      <c r="AT695" t="str">
        <f>_xlfn.XLOOKUP(AU695,[2]GAE!HZ:HZ,[2]GAE!IB:IB)</f>
        <v>GAE - Payroll - Regular Employee - OT</v>
      </c>
      <c r="AU695" t="s">
        <v>1157</v>
      </c>
      <c r="AV695">
        <v>80111101</v>
      </c>
      <c r="AW695">
        <v>61021103</v>
      </c>
      <c r="AX695" t="str">
        <f>_xlfn.XLOOKUP(AU695,[2]GAE!HZ:HZ,[2]GAE!IF:IF)</f>
        <v>Salaries</v>
      </c>
      <c r="AY695" t="str">
        <f>_xlfn.XLOOKUP(AU695,[2]GAE!HZ:HZ,[2]GAE!IG:IG)</f>
        <v>OT Pay</v>
      </c>
      <c r="AZ695" t="s">
        <v>188</v>
      </c>
      <c r="BC695" t="s">
        <v>188</v>
      </c>
      <c r="BD695" t="s">
        <v>188</v>
      </c>
      <c r="BF695" t="s">
        <v>101</v>
      </c>
      <c r="BG695" s="2" t="s">
        <v>188</v>
      </c>
      <c r="BH695" s="10">
        <f>SUMIFS('[1]2026'!$K:$K,'[1]2026'!$T:$T,BD695,'[1]2026'!$S:$S,BH$3,'[1]2026'!$P:$P,AU695)</f>
        <v>45082.909999999996</v>
      </c>
      <c r="BI695" s="10">
        <f>SUMIFS('[1]2026'!$K:$K,'[1]2026'!$T:$T,$BD695,'[1]2026'!$S:$S,BI$3,'[1]2026'!$P:$P,$AU695)</f>
        <v>37057.440000000002</v>
      </c>
      <c r="BJ695" s="10">
        <f>SUMIFS('[1]2026'!$K:$K,'[1]2026'!$T:$T,$BD695,'[1]2026'!$S:$S,BJ$3,'[1]2026'!$P:$P,$AU695)</f>
        <v>40365.96</v>
      </c>
      <c r="BK695" s="10">
        <f>SUMIFS('[1]2026'!$K:$K,'[1]2026'!$T:$T,$BD695,'[1]2026'!$S:$S,BK$3,'[1]2026'!$P:$P,$AU695)</f>
        <v>40416.379999999997</v>
      </c>
      <c r="BL695" s="10">
        <f>SUMIFS('[1]2026'!$K:$K,'[1]2026'!$T:$T,$BD695,'[1]2026'!$S:$S,BL$3,'[1]2026'!$P:$P,$AU695)</f>
        <v>18507.22</v>
      </c>
      <c r="BM695" s="10">
        <f>SUMIFS('[1]2026'!$K:$K,'[1]2026'!$T:$T,$BD695,'[1]2026'!$S:$S,BM$3,'[1]2026'!$P:$P,$AU695)</f>
        <v>28178.28</v>
      </c>
      <c r="BN695" s="10">
        <f>SUMIFS('[1]2026'!$K:$K,'[1]2026'!$T:$T,$BD695,'[1]2026'!$S:$S,BN$3,'[1]2026'!$P:$P,$AU695)</f>
        <v>37074.490000000005</v>
      </c>
      <c r="BO695" s="10">
        <f>SUMIFS('[1]2026'!$K:$K,'[1]2026'!$T:$T,$BD695,'[1]2026'!$S:$S,BO$3,'[1]2026'!$P:$P,$AU695)</f>
        <v>29949.82</v>
      </c>
      <c r="BP695" s="6">
        <f t="shared" ref="BP695:BS696" si="479">BO695</f>
        <v>29949.82</v>
      </c>
      <c r="BQ695" s="6">
        <f t="shared" si="479"/>
        <v>29949.82</v>
      </c>
      <c r="BR695" s="6">
        <f t="shared" si="479"/>
        <v>29949.82</v>
      </c>
      <c r="BS695" s="6">
        <f t="shared" si="479"/>
        <v>29949.82</v>
      </c>
      <c r="BT695" s="6">
        <f t="shared" si="460"/>
        <v>396431.78</v>
      </c>
      <c r="BV695" s="6">
        <f t="shared" si="467"/>
        <v>12068.66197999999</v>
      </c>
      <c r="BW695" s="6">
        <f t="shared" si="468"/>
        <v>4043.191979999996</v>
      </c>
      <c r="BX695" s="6">
        <f t="shared" si="469"/>
        <v>7351.7119799999928</v>
      </c>
      <c r="BY695" s="6">
        <f t="shared" si="470"/>
        <v>7402.131979999991</v>
      </c>
      <c r="BZ695" s="6">
        <f t="shared" si="471"/>
        <v>-14507.028020000005</v>
      </c>
      <c r="CA695" s="6">
        <f t="shared" si="472"/>
        <v>-4835.9680200000075</v>
      </c>
      <c r="CB695" s="6">
        <f t="shared" si="473"/>
        <v>4060.2419799999989</v>
      </c>
      <c r="CC695" s="6">
        <f t="shared" si="474"/>
        <v>-3064.4280200000067</v>
      </c>
      <c r="CD695" s="6">
        <f t="shared" si="475"/>
        <v>-3064.4280200000067</v>
      </c>
      <c r="CE695" s="6">
        <f t="shared" si="476"/>
        <v>-3064.4280200000067</v>
      </c>
      <c r="CF695" s="6">
        <f t="shared" si="477"/>
        <v>-3064.4280200000067</v>
      </c>
      <c r="CG695" s="6">
        <f t="shared" si="478"/>
        <v>-3064.4280200000067</v>
      </c>
      <c r="CH695" s="6">
        <f t="shared" si="440"/>
        <v>260.80375999998068</v>
      </c>
    </row>
    <row r="696" spans="1:87" hidden="1" x14ac:dyDescent="0.35">
      <c r="A696" s="3" t="s">
        <v>1140</v>
      </c>
      <c r="B696" s="10">
        <v>24999.200000000001</v>
      </c>
      <c r="C696" s="10">
        <v>24999.200000000001</v>
      </c>
      <c r="D696" s="10">
        <v>24999.200000000001</v>
      </c>
      <c r="E696" s="10">
        <v>24999.200000000001</v>
      </c>
      <c r="F696" s="10">
        <v>24999.200000000001</v>
      </c>
      <c r="G696" s="10">
        <v>24999.200000000001</v>
      </c>
      <c r="H696" s="10">
        <v>24999.200000000001</v>
      </c>
      <c r="I696" s="10">
        <v>24999.200000000001</v>
      </c>
      <c r="J696" s="10">
        <v>24999.200000000001</v>
      </c>
      <c r="K696" s="10">
        <v>24999.200000000001</v>
      </c>
      <c r="L696" s="10">
        <v>24999.200000000001</v>
      </c>
      <c r="M696" s="10">
        <v>24999.200000000001</v>
      </c>
      <c r="N696" s="27">
        <f t="shared" si="444"/>
        <v>299990.40000000008</v>
      </c>
      <c r="AA696" s="27">
        <f t="shared" si="445"/>
        <v>0</v>
      </c>
      <c r="AB696" s="10">
        <f t="shared" si="463"/>
        <v>24999.200000000001</v>
      </c>
      <c r="AC696" s="10">
        <f t="shared" si="463"/>
        <v>24999.200000000001</v>
      </c>
      <c r="AD696" s="10">
        <f t="shared" si="463"/>
        <v>24999.200000000001</v>
      </c>
      <c r="AE696" s="10">
        <f t="shared" si="463"/>
        <v>24999.200000000001</v>
      </c>
      <c r="AF696" s="10">
        <f t="shared" si="463"/>
        <v>24999.200000000001</v>
      </c>
      <c r="AG696" s="10">
        <f t="shared" si="463"/>
        <v>24999.200000000001</v>
      </c>
      <c r="AH696" s="10">
        <f t="shared" si="463"/>
        <v>24999.200000000001</v>
      </c>
      <c r="AI696" s="10">
        <f t="shared" si="463"/>
        <v>24999.200000000001</v>
      </c>
      <c r="AJ696" s="10">
        <f t="shared" si="462"/>
        <v>24999.200000000001</v>
      </c>
      <c r="AK696" s="10">
        <f t="shared" si="462"/>
        <v>24999.200000000001</v>
      </c>
      <c r="AL696" s="10">
        <f t="shared" si="462"/>
        <v>24999.200000000001</v>
      </c>
      <c r="AM696" s="10">
        <f t="shared" si="462"/>
        <v>24999.200000000001</v>
      </c>
      <c r="AN696" s="27">
        <f t="shared" si="462"/>
        <v>299990.40000000008</v>
      </c>
      <c r="AS696" t="str">
        <f>_xlfn.XLOOKUP(AU696,[2]GAE!HZ:HZ,[2]GAE!IA:IA)</f>
        <v>OCLP-COMMON</v>
      </c>
      <c r="AT696" t="str">
        <f>_xlfn.XLOOKUP(AU696,[2]GAE!HZ:HZ,[2]GAE!IB:IB)</f>
        <v>GAE - Regular Employee - OT Allowance</v>
      </c>
      <c r="AU696" t="s">
        <v>1158</v>
      </c>
      <c r="AV696">
        <v>80111101</v>
      </c>
      <c r="AW696">
        <v>61021104</v>
      </c>
      <c r="AX696" t="str">
        <f>_xlfn.XLOOKUP(AU696,[2]GAE!HZ:HZ,[2]GAE!IF:IF)</f>
        <v>Salaries</v>
      </c>
      <c r="AY696" t="str">
        <f>_xlfn.XLOOKUP(AU696,[2]GAE!HZ:HZ,[2]GAE!IG:IG)</f>
        <v>OT Pay</v>
      </c>
      <c r="AZ696" t="s">
        <v>1140</v>
      </c>
      <c r="BC696" t="s">
        <v>188</v>
      </c>
      <c r="BD696" t="s">
        <v>188</v>
      </c>
      <c r="BF696" t="s">
        <v>101</v>
      </c>
      <c r="BG696" s="2" t="s">
        <v>188</v>
      </c>
      <c r="BH696" s="10">
        <f>SUMIFS('[1]2026'!$K:$K,'[1]2026'!$T:$T,BD696,'[1]2026'!$S:$S,BH$3,'[1]2026'!$P:$P,AU696)</f>
        <v>23400</v>
      </c>
      <c r="BI696" s="10">
        <f>SUMIFS('[1]2026'!$K:$K,'[1]2026'!$T:$T,$BD696,'[1]2026'!$S:$S,BI$3,'[1]2026'!$P:$P,$AU696)</f>
        <v>12600</v>
      </c>
      <c r="BJ696" s="10">
        <f>SUMIFS('[1]2026'!$K:$K,'[1]2026'!$T:$T,$BD696,'[1]2026'!$S:$S,BJ$3,'[1]2026'!$P:$P,$AU696)</f>
        <v>13800</v>
      </c>
      <c r="BK696" s="10">
        <f>SUMIFS('[1]2026'!$K:$K,'[1]2026'!$T:$T,$BD696,'[1]2026'!$S:$S,BK$3,'[1]2026'!$P:$P,$AU696)</f>
        <v>8200</v>
      </c>
      <c r="BL696" s="10">
        <f>SUMIFS('[1]2026'!$K:$K,'[1]2026'!$T:$T,$BD696,'[1]2026'!$S:$S,BL$3,'[1]2026'!$P:$P,$AU696)</f>
        <v>10968</v>
      </c>
      <c r="BM696" s="10">
        <f>SUMIFS('[1]2026'!$K:$K,'[1]2026'!$T:$T,$BD696,'[1]2026'!$S:$S,BM$3,'[1]2026'!$P:$P,$AU696)</f>
        <v>13200</v>
      </c>
      <c r="BN696" s="10">
        <f>SUMIFS('[1]2026'!$K:$K,'[1]2026'!$T:$T,$BD696,'[1]2026'!$S:$S,BN$3,'[1]2026'!$P:$P,$AU696)</f>
        <v>23400</v>
      </c>
      <c r="BO696" s="10">
        <f>SUMIFS('[1]2026'!$K:$K,'[1]2026'!$T:$T,$BD696,'[1]2026'!$S:$S,BO$3,'[1]2026'!$P:$P,$AU696)</f>
        <v>15600</v>
      </c>
      <c r="BP696" s="6">
        <f t="shared" si="479"/>
        <v>15600</v>
      </c>
      <c r="BQ696" s="6">
        <f t="shared" si="479"/>
        <v>15600</v>
      </c>
      <c r="BR696" s="6">
        <f t="shared" si="479"/>
        <v>15600</v>
      </c>
      <c r="BS696" s="6">
        <f t="shared" si="479"/>
        <v>15600</v>
      </c>
      <c r="BT696" s="6">
        <f t="shared" si="460"/>
        <v>183568</v>
      </c>
      <c r="BV696" s="6">
        <f t="shared" si="467"/>
        <v>-1599.2000000000007</v>
      </c>
      <c r="BW696" s="6">
        <f t="shared" si="468"/>
        <v>-12399.2</v>
      </c>
      <c r="BX696" s="6">
        <f t="shared" si="469"/>
        <v>-11199.2</v>
      </c>
      <c r="BY696" s="6">
        <f t="shared" si="470"/>
        <v>-16799.2</v>
      </c>
      <c r="BZ696" s="6">
        <f t="shared" si="471"/>
        <v>-14031.2</v>
      </c>
      <c r="CA696" s="6">
        <f t="shared" si="472"/>
        <v>-11799.2</v>
      </c>
      <c r="CB696" s="6">
        <f t="shared" si="473"/>
        <v>-1599.2000000000007</v>
      </c>
      <c r="CC696" s="6">
        <f t="shared" si="474"/>
        <v>-9399.2000000000007</v>
      </c>
      <c r="CD696" s="6">
        <f t="shared" si="475"/>
        <v>-9399.2000000000007</v>
      </c>
      <c r="CE696" s="6">
        <f t="shared" si="476"/>
        <v>-9399.2000000000007</v>
      </c>
      <c r="CF696" s="6">
        <f t="shared" si="477"/>
        <v>-9399.2000000000007</v>
      </c>
      <c r="CG696" s="6">
        <f t="shared" si="478"/>
        <v>-9399.2000000000007</v>
      </c>
      <c r="CH696" s="6">
        <f t="shared" si="440"/>
        <v>-116422.40000000008</v>
      </c>
    </row>
    <row r="697" spans="1:87" hidden="1" x14ac:dyDescent="0.35">
      <c r="A697" s="3" t="s">
        <v>189</v>
      </c>
      <c r="B697" s="10">
        <v>180030</v>
      </c>
      <c r="C697" s="10">
        <v>180030</v>
      </c>
      <c r="D697" s="10">
        <v>180030</v>
      </c>
      <c r="E697" s="10">
        <v>180030</v>
      </c>
      <c r="F697" s="10">
        <v>180030</v>
      </c>
      <c r="G697" s="10">
        <v>180030</v>
      </c>
      <c r="H697" s="10">
        <v>180030</v>
      </c>
      <c r="I697" s="10">
        <v>180030</v>
      </c>
      <c r="J697" s="10">
        <v>180030</v>
      </c>
      <c r="K697" s="10">
        <v>180030</v>
      </c>
      <c r="L697" s="10">
        <v>180030</v>
      </c>
      <c r="M697" s="10">
        <v>180030</v>
      </c>
      <c r="N697" s="27">
        <f t="shared" si="444"/>
        <v>2160360</v>
      </c>
      <c r="O697" s="10">
        <v>9559.1149171563047</v>
      </c>
      <c r="P697" s="10">
        <v>9559.1149171563047</v>
      </c>
      <c r="Q697" s="10">
        <v>9559.1149171563047</v>
      </c>
      <c r="R697" s="10">
        <v>9559.1149171563047</v>
      </c>
      <c r="S697" s="10">
        <v>9559.1149171563047</v>
      </c>
      <c r="T697" s="10">
        <v>9559.1149171563047</v>
      </c>
      <c r="U697" s="10">
        <v>9559.1149171563047</v>
      </c>
      <c r="V697" s="10">
        <v>9559.1149171563047</v>
      </c>
      <c r="W697" s="10">
        <v>9559.1149171563047</v>
      </c>
      <c r="X697" s="10">
        <v>9559.1149171563047</v>
      </c>
      <c r="Y697" s="10">
        <v>9559.1149171563047</v>
      </c>
      <c r="Z697" s="10">
        <v>9559.1149171563047</v>
      </c>
      <c r="AA697" s="27">
        <f t="shared" si="445"/>
        <v>114709.37900587563</v>
      </c>
      <c r="AB697" s="10">
        <f t="shared" si="463"/>
        <v>170470.88508284368</v>
      </c>
      <c r="AC697" s="10">
        <f t="shared" si="463"/>
        <v>170470.88508284368</v>
      </c>
      <c r="AD697" s="10">
        <f t="shared" si="463"/>
        <v>170470.88508284368</v>
      </c>
      <c r="AE697" s="10">
        <f t="shared" si="463"/>
        <v>170470.88508284368</v>
      </c>
      <c r="AF697" s="10">
        <f t="shared" si="463"/>
        <v>170470.88508284368</v>
      </c>
      <c r="AG697" s="10">
        <f t="shared" si="463"/>
        <v>170470.88508284368</v>
      </c>
      <c r="AH697" s="10">
        <f t="shared" si="463"/>
        <v>170470.88508284368</v>
      </c>
      <c r="AI697" s="10">
        <f t="shared" si="463"/>
        <v>170470.88508284368</v>
      </c>
      <c r="AJ697" s="10">
        <f t="shared" si="462"/>
        <v>170470.88508284368</v>
      </c>
      <c r="AK697" s="10">
        <f t="shared" si="462"/>
        <v>170470.88508284368</v>
      </c>
      <c r="AL697" s="10">
        <f t="shared" si="462"/>
        <v>170470.88508284368</v>
      </c>
      <c r="AM697" s="10">
        <f t="shared" si="462"/>
        <v>170470.88508284368</v>
      </c>
      <c r="AN697" s="27">
        <f t="shared" si="462"/>
        <v>2045650.6209941243</v>
      </c>
      <c r="AO697" s="28">
        <v>2094670</v>
      </c>
      <c r="AS697" t="str">
        <f>_xlfn.XLOOKUP(AU697,[2]GAE!HZ:HZ,[2]GAE!IA:IA)</f>
        <v>OCLP-COMMON</v>
      </c>
      <c r="AT697" t="str">
        <f>_xlfn.XLOOKUP(AU697,[2]GAE!HZ:HZ,[2]GAE!IB:IB)</f>
        <v>GAE - Employee Benefits - SSS,PHIC, HDMF</v>
      </c>
      <c r="AU697" t="s">
        <v>1159</v>
      </c>
      <c r="AV697">
        <v>80111101</v>
      </c>
      <c r="AW697">
        <v>61021306</v>
      </c>
      <c r="AX697" t="str">
        <f>_xlfn.XLOOKUP(AU697,[2]GAE!HZ:HZ,[2]GAE!IF:IF)</f>
        <v>Employee Benefits</v>
      </c>
      <c r="AY697" t="str">
        <f>_xlfn.XLOOKUP(AU697,[2]GAE!HZ:HZ,[2]GAE!IG:IG)</f>
        <v>Government Contributions</v>
      </c>
      <c r="AZ697" t="s">
        <v>189</v>
      </c>
      <c r="BC697" t="s">
        <v>190</v>
      </c>
      <c r="BD697" t="s">
        <v>190</v>
      </c>
      <c r="BF697" t="s">
        <v>184</v>
      </c>
      <c r="BG697" s="2" t="s">
        <v>189</v>
      </c>
      <c r="BH697" s="10">
        <f>SUMIFS('[1]2026'!$K:$K,'[1]2026'!$T:$T,BD697,'[1]2026'!$S:$S,BH$3,'[1]2026'!$P:$P,AU697)</f>
        <v>171560</v>
      </c>
      <c r="BI697" s="10">
        <f>SUMIFS('[1]2026'!$K:$K,'[1]2026'!$T:$T,$BD697,'[1]2026'!$S:$S,BI$3,'[1]2026'!$P:$P,$AU697)</f>
        <v>179710</v>
      </c>
      <c r="BJ697" s="10">
        <f>SUMIFS('[1]2026'!$K:$K,'[1]2026'!$T:$T,$BD697,'[1]2026'!$S:$S,BJ$3,'[1]2026'!$P:$P,$AU697)</f>
        <v>188490</v>
      </c>
      <c r="BK697" s="10">
        <f>SUMIFS('[1]2026'!$K:$K,'[1]2026'!$T:$T,$BD697,'[1]2026'!$S:$S,BK$3,'[1]2026'!$P:$P,$AU697)</f>
        <v>215960</v>
      </c>
      <c r="BL697" s="10">
        <f>SUMIFS('[1]2026'!$K:$K,'[1]2026'!$T:$T,$BD697,'[1]2026'!$S:$S,BL$3,'[1]2026'!$P:$P,$AU697)</f>
        <v>192670</v>
      </c>
      <c r="BM697" s="10">
        <f>SUMIFS('[1]2026'!$K:$K,'[1]2026'!$T:$T,$BD697,'[1]2026'!$S:$S,BM$3,'[1]2026'!$P:$P,$AU697)</f>
        <v>204040</v>
      </c>
      <c r="BN697" s="10">
        <f>SUMIFS('[1]2026'!$K:$K,'[1]2026'!$T:$T,$BD697,'[1]2026'!$S:$S,BN$3,'[1]2026'!$P:$P,$AU697)</f>
        <v>188190</v>
      </c>
      <c r="BO697" s="10">
        <f>SUMIFS('[1]2026'!$K:$K,'[1]2026'!$T:$T,$BD697,'[1]2026'!$S:$S,BO$3,'[1]2026'!$P:$P,$AU697)</f>
        <v>204630</v>
      </c>
      <c r="BP697" s="6">
        <v>204630</v>
      </c>
      <c r="BQ697" s="6">
        <v>204630</v>
      </c>
      <c r="BR697" s="6">
        <v>204630</v>
      </c>
      <c r="BS697" s="6">
        <v>204630</v>
      </c>
      <c r="BT697" s="6">
        <f t="shared" si="460"/>
        <v>2363770</v>
      </c>
      <c r="BV697" s="6">
        <f t="shared" si="467"/>
        <v>1089.1149171563156</v>
      </c>
      <c r="BW697" s="6">
        <f t="shared" si="468"/>
        <v>9239.1149171563156</v>
      </c>
      <c r="BX697" s="6">
        <f t="shared" si="469"/>
        <v>18019.114917156316</v>
      </c>
      <c r="BY697" s="6">
        <f t="shared" si="470"/>
        <v>45489.114917156316</v>
      </c>
      <c r="BZ697" s="6">
        <f t="shared" si="471"/>
        <v>22199.114917156316</v>
      </c>
      <c r="CA697" s="6">
        <f t="shared" si="472"/>
        <v>33569.114917156316</v>
      </c>
      <c r="CB697" s="6">
        <f t="shared" si="473"/>
        <v>17719.114917156316</v>
      </c>
      <c r="CC697" s="6">
        <f t="shared" si="474"/>
        <v>34159.114917156316</v>
      </c>
      <c r="CD697" s="6">
        <f t="shared" si="475"/>
        <v>34159.114917156316</v>
      </c>
      <c r="CE697" s="6">
        <f t="shared" si="476"/>
        <v>34159.114917156316</v>
      </c>
      <c r="CF697" s="6">
        <f t="shared" si="477"/>
        <v>34159.114917156316</v>
      </c>
      <c r="CG697" s="6">
        <f t="shared" si="478"/>
        <v>34159.114917156316</v>
      </c>
      <c r="CH697" s="6">
        <f t="shared" si="440"/>
        <v>318119.37900587567</v>
      </c>
    </row>
    <row r="698" spans="1:87" hidden="1" x14ac:dyDescent="0.35">
      <c r="A698" s="3" t="s">
        <v>191</v>
      </c>
      <c r="B698" s="10">
        <v>10200</v>
      </c>
      <c r="C698" s="10">
        <v>10200</v>
      </c>
      <c r="D698" s="10">
        <v>10200</v>
      </c>
      <c r="E698" s="10">
        <v>10200</v>
      </c>
      <c r="F698" s="10">
        <v>10200</v>
      </c>
      <c r="G698" s="10">
        <v>10200</v>
      </c>
      <c r="H698" s="10">
        <v>10200</v>
      </c>
      <c r="I698" s="10">
        <v>10200</v>
      </c>
      <c r="J698" s="10">
        <v>10200</v>
      </c>
      <c r="K698" s="10">
        <v>10200</v>
      </c>
      <c r="L698" s="10">
        <v>10200</v>
      </c>
      <c r="M698" s="10">
        <v>10200</v>
      </c>
      <c r="N698" s="27">
        <f t="shared" si="444"/>
        <v>122400</v>
      </c>
      <c r="O698" s="10">
        <v>541.59291315333166</v>
      </c>
      <c r="P698" s="10">
        <v>541.59291315333166</v>
      </c>
      <c r="Q698" s="10">
        <v>541.59291315333166</v>
      </c>
      <c r="R698" s="10">
        <v>541.59291315333166</v>
      </c>
      <c r="S698" s="10">
        <v>541.59291315333166</v>
      </c>
      <c r="T698" s="10">
        <v>541.59291315333166</v>
      </c>
      <c r="U698" s="10">
        <v>541.59291315333166</v>
      </c>
      <c r="V698" s="10">
        <v>541.59291315333166</v>
      </c>
      <c r="W698" s="10">
        <v>541.59291315333166</v>
      </c>
      <c r="X698" s="10">
        <v>541.59291315333166</v>
      </c>
      <c r="Y698" s="10">
        <v>541.59291315333166</v>
      </c>
      <c r="Z698" s="10">
        <v>541.59291315333166</v>
      </c>
      <c r="AA698" s="27">
        <f t="shared" si="445"/>
        <v>6499.1149578399818</v>
      </c>
      <c r="AB698" s="10">
        <f t="shared" si="463"/>
        <v>9658.4070868466679</v>
      </c>
      <c r="AC698" s="10">
        <f t="shared" si="463"/>
        <v>9658.4070868466679</v>
      </c>
      <c r="AD698" s="10">
        <f t="shared" si="463"/>
        <v>9658.4070868466679</v>
      </c>
      <c r="AE698" s="10">
        <f t="shared" si="463"/>
        <v>9658.4070868466679</v>
      </c>
      <c r="AF698" s="10">
        <f t="shared" si="463"/>
        <v>9658.4070868466679</v>
      </c>
      <c r="AG698" s="10">
        <f t="shared" si="463"/>
        <v>9658.4070868466679</v>
      </c>
      <c r="AH698" s="10">
        <f t="shared" si="463"/>
        <v>9658.4070868466679</v>
      </c>
      <c r="AI698" s="10">
        <f t="shared" si="463"/>
        <v>9658.4070868466679</v>
      </c>
      <c r="AJ698" s="10">
        <f t="shared" si="462"/>
        <v>9658.4070868466679</v>
      </c>
      <c r="AK698" s="10">
        <f t="shared" si="462"/>
        <v>9658.4070868466679</v>
      </c>
      <c r="AL698" s="10">
        <f t="shared" si="462"/>
        <v>9658.4070868466679</v>
      </c>
      <c r="AM698" s="10">
        <f t="shared" si="462"/>
        <v>9658.4070868466679</v>
      </c>
      <c r="AN698" s="27">
        <f t="shared" si="462"/>
        <v>115900.88504216002</v>
      </c>
      <c r="AO698" s="28">
        <v>148000</v>
      </c>
      <c r="AS698" t="str">
        <f>_xlfn.XLOOKUP(AU698,[2]GAE!HZ:HZ,[2]GAE!IA:IA)</f>
        <v>OCLP-COMMON</v>
      </c>
      <c r="AT698" t="str">
        <f>_xlfn.XLOOKUP(AU698,[2]GAE!HZ:HZ,[2]GAE!IB:IB)</f>
        <v>GAE - Employee Benefits - SSS,PHIC, HDMF</v>
      </c>
      <c r="AU698" t="s">
        <v>1159</v>
      </c>
      <c r="AV698">
        <v>80111101</v>
      </c>
      <c r="AW698">
        <v>61021306</v>
      </c>
      <c r="AX698" t="str">
        <f>_xlfn.XLOOKUP(AU698,[2]GAE!HZ:HZ,[2]GAE!IF:IF)</f>
        <v>Employee Benefits</v>
      </c>
      <c r="AY698" t="str">
        <f>_xlfn.XLOOKUP(AU698,[2]GAE!HZ:HZ,[2]GAE!IG:IG)</f>
        <v>Government Contributions</v>
      </c>
      <c r="AZ698" t="s">
        <v>191</v>
      </c>
      <c r="BC698" t="s">
        <v>192</v>
      </c>
      <c r="BD698" t="s">
        <v>192</v>
      </c>
      <c r="BF698" t="s">
        <v>184</v>
      </c>
      <c r="BG698" s="2" t="s">
        <v>191</v>
      </c>
      <c r="BH698" s="10">
        <f>SUMIFS('[1]2026'!$K:$K,'[1]2026'!$T:$T,BD698,'[1]2026'!$S:$S,BH$3,'[1]2026'!$P:$P,AU698)</f>
        <v>12000</v>
      </c>
      <c r="BI698" s="10">
        <f>SUMIFS('[1]2026'!$K:$K,'[1]2026'!$T:$T,$BD698,'[1]2026'!$S:$S,BI$3,'[1]2026'!$P:$P,$AU698)</f>
        <v>12200</v>
      </c>
      <c r="BJ698" s="10">
        <f>SUMIFS('[1]2026'!$K:$K,'[1]2026'!$T:$T,$BD698,'[1]2026'!$S:$S,BJ$3,'[1]2026'!$P:$P,$AU698)</f>
        <v>12600</v>
      </c>
      <c r="BK698" s="10">
        <f>SUMIFS('[1]2026'!$K:$K,'[1]2026'!$T:$T,$BD698,'[1]2026'!$S:$S,BK$3,'[1]2026'!$P:$P,$AU698)</f>
        <v>12400</v>
      </c>
      <c r="BL698" s="10">
        <f>SUMIFS('[1]2026'!$K:$K,'[1]2026'!$T:$T,$BD698,'[1]2026'!$S:$S,BL$3,'[1]2026'!$P:$P,$AU698)</f>
        <v>12600</v>
      </c>
      <c r="BM698" s="10">
        <f>SUMIFS('[1]2026'!$K:$K,'[1]2026'!$T:$T,$BD698,'[1]2026'!$S:$S,BM$3,'[1]2026'!$P:$P,$AU698)</f>
        <v>12600</v>
      </c>
      <c r="BN698" s="10">
        <f>SUMIFS('[1]2026'!$K:$K,'[1]2026'!$T:$T,$BD698,'[1]2026'!$S:$S,BN$3,'[1]2026'!$P:$P,$AU698)</f>
        <v>12800</v>
      </c>
      <c r="BO698" s="10">
        <f>SUMIFS('[1]2026'!$K:$K,'[1]2026'!$T:$T,$BD698,'[1]2026'!$S:$S,BO$3,'[1]2026'!$P:$P,$AU698)</f>
        <v>12200</v>
      </c>
      <c r="BP698" s="6">
        <v>12600</v>
      </c>
      <c r="BQ698" s="6">
        <v>12600</v>
      </c>
      <c r="BR698" s="6">
        <v>12600</v>
      </c>
      <c r="BS698" s="6">
        <v>12600</v>
      </c>
      <c r="BT698" s="6">
        <f t="shared" si="460"/>
        <v>149800</v>
      </c>
      <c r="BV698" s="6">
        <f t="shared" si="467"/>
        <v>2341.5929131533321</v>
      </c>
      <c r="BW698" s="6">
        <f t="shared" si="468"/>
        <v>2541.5929131533321</v>
      </c>
      <c r="BX698" s="6">
        <f t="shared" si="469"/>
        <v>2941.5929131533321</v>
      </c>
      <c r="BY698" s="6">
        <f t="shared" si="470"/>
        <v>2741.5929131533321</v>
      </c>
      <c r="BZ698" s="6">
        <f t="shared" si="471"/>
        <v>2941.5929131533321</v>
      </c>
      <c r="CA698" s="6">
        <f t="shared" si="472"/>
        <v>2941.5929131533321</v>
      </c>
      <c r="CB698" s="6">
        <f t="shared" si="473"/>
        <v>3141.5929131533321</v>
      </c>
      <c r="CC698" s="6">
        <f t="shared" si="474"/>
        <v>2541.5929131533321</v>
      </c>
      <c r="CD698" s="6">
        <f t="shared" si="475"/>
        <v>2941.5929131533321</v>
      </c>
      <c r="CE698" s="6">
        <f t="shared" si="476"/>
        <v>2941.5929131533321</v>
      </c>
      <c r="CF698" s="6">
        <f t="shared" si="477"/>
        <v>2941.5929131533321</v>
      </c>
      <c r="CG698" s="6">
        <f t="shared" si="478"/>
        <v>2941.5929131533321</v>
      </c>
      <c r="CH698" s="6">
        <f t="shared" si="440"/>
        <v>33899.114957839978</v>
      </c>
    </row>
    <row r="699" spans="1:87" hidden="1" x14ac:dyDescent="0.35">
      <c r="A699" s="3" t="s">
        <v>193</v>
      </c>
      <c r="B699" s="10">
        <v>52933.850000000006</v>
      </c>
      <c r="C699" s="10">
        <v>52933.850000000006</v>
      </c>
      <c r="D699" s="10">
        <v>52933.850000000006</v>
      </c>
      <c r="E699" s="10">
        <v>52933.850000000006</v>
      </c>
      <c r="F699" s="10">
        <v>52933.850000000006</v>
      </c>
      <c r="G699" s="10">
        <v>52933.850000000006</v>
      </c>
      <c r="H699" s="10">
        <v>52933.850000000006</v>
      </c>
      <c r="I699" s="10">
        <v>52933.850000000006</v>
      </c>
      <c r="J699" s="10">
        <v>52933.850000000006</v>
      </c>
      <c r="K699" s="10">
        <v>52933.850000000006</v>
      </c>
      <c r="L699" s="10">
        <v>52933.850000000006</v>
      </c>
      <c r="M699" s="10">
        <v>52933.850000000006</v>
      </c>
      <c r="N699" s="27">
        <f t="shared" si="444"/>
        <v>635206.19999999984</v>
      </c>
      <c r="O699" s="10">
        <v>2810.6468652864191</v>
      </c>
      <c r="P699" s="10">
        <v>2810.6468652864191</v>
      </c>
      <c r="Q699" s="10">
        <v>2810.6468652864191</v>
      </c>
      <c r="R699" s="10">
        <v>2810.6468652864191</v>
      </c>
      <c r="S699" s="10">
        <v>2810.6468652864191</v>
      </c>
      <c r="T699" s="10">
        <v>2810.6468652864191</v>
      </c>
      <c r="U699" s="10">
        <v>2810.6468652864191</v>
      </c>
      <c r="V699" s="10">
        <v>2810.6468652864191</v>
      </c>
      <c r="W699" s="10">
        <v>2810.6468652864191</v>
      </c>
      <c r="X699" s="10">
        <v>2810.6468652864191</v>
      </c>
      <c r="Y699" s="10">
        <v>2810.6468652864191</v>
      </c>
      <c r="Z699" s="10">
        <v>2810.6468652864191</v>
      </c>
      <c r="AA699" s="27">
        <f t="shared" si="445"/>
        <v>33727.762383437039</v>
      </c>
      <c r="AB699" s="10">
        <f t="shared" si="463"/>
        <v>50123.203134713585</v>
      </c>
      <c r="AC699" s="10">
        <f t="shared" si="463"/>
        <v>50123.203134713585</v>
      </c>
      <c r="AD699" s="10">
        <f t="shared" si="463"/>
        <v>50123.203134713585</v>
      </c>
      <c r="AE699" s="10">
        <f t="shared" si="463"/>
        <v>50123.203134713585</v>
      </c>
      <c r="AF699" s="10">
        <f t="shared" si="463"/>
        <v>50123.203134713585</v>
      </c>
      <c r="AG699" s="10">
        <f t="shared" si="463"/>
        <v>50123.203134713585</v>
      </c>
      <c r="AH699" s="10">
        <f t="shared" si="463"/>
        <v>50123.203134713585</v>
      </c>
      <c r="AI699" s="10">
        <f t="shared" si="463"/>
        <v>50123.203134713585</v>
      </c>
      <c r="AJ699" s="10">
        <f t="shared" si="462"/>
        <v>50123.203134713585</v>
      </c>
      <c r="AK699" s="10">
        <f t="shared" si="462"/>
        <v>50123.203134713585</v>
      </c>
      <c r="AL699" s="10">
        <f t="shared" si="462"/>
        <v>50123.203134713585</v>
      </c>
      <c r="AM699" s="10">
        <f t="shared" si="462"/>
        <v>50123.203134713585</v>
      </c>
      <c r="AN699" s="27">
        <f t="shared" si="462"/>
        <v>601478.43761656282</v>
      </c>
      <c r="AO699" s="28">
        <v>601095</v>
      </c>
      <c r="AS699" t="str">
        <f>_xlfn.XLOOKUP(AU699,[2]GAE!HZ:HZ,[2]GAE!IA:IA)</f>
        <v>OCLP-COMMON</v>
      </c>
      <c r="AT699" t="str">
        <f>_xlfn.XLOOKUP(AU699,[2]GAE!HZ:HZ,[2]GAE!IB:IB)</f>
        <v>GAE - Employee Benefits - SSS,PHIC, HDMF</v>
      </c>
      <c r="AU699" t="s">
        <v>1159</v>
      </c>
      <c r="AV699">
        <v>80111101</v>
      </c>
      <c r="AW699">
        <v>61021306</v>
      </c>
      <c r="AX699" t="str">
        <f>_xlfn.XLOOKUP(AU699,[2]GAE!HZ:HZ,[2]GAE!IF:IF)</f>
        <v>Employee Benefits</v>
      </c>
      <c r="AY699" t="str">
        <f>_xlfn.XLOOKUP(AU699,[2]GAE!HZ:HZ,[2]GAE!IG:IG)</f>
        <v>Government Contributions</v>
      </c>
      <c r="AZ699" t="s">
        <v>193</v>
      </c>
      <c r="BC699" t="s">
        <v>194</v>
      </c>
      <c r="BD699" t="s">
        <v>194</v>
      </c>
      <c r="BF699" t="s">
        <v>184</v>
      </c>
      <c r="BG699" s="2" t="s">
        <v>193</v>
      </c>
      <c r="BH699" s="10">
        <f>SUMIFS('[1]2026'!$K:$K,'[1]2026'!$T:$T,BD699,'[1]2026'!$S:$S,BH$3,'[1]2026'!$P:$P,AU699)</f>
        <v>55002.5</v>
      </c>
      <c r="BI699" s="10">
        <f>SUMIFS('[1]2026'!$K:$K,'[1]2026'!$T:$T,$BD699,'[1]2026'!$S:$S,BI$3,'[1]2026'!$P:$P,$AU699)</f>
        <v>55802.5</v>
      </c>
      <c r="BJ699" s="10">
        <f>SUMIFS('[1]2026'!$K:$K,'[1]2026'!$T:$T,$BD699,'[1]2026'!$S:$S,BJ$3,'[1]2026'!$P:$P,$AU699)</f>
        <v>57202.5</v>
      </c>
      <c r="BK699" s="10">
        <f>SUMIFS('[1]2026'!$K:$K,'[1]2026'!$T:$T,$BD699,'[1]2026'!$S:$S,BK$3,'[1]2026'!$P:$P,$AU699)</f>
        <v>59257.5</v>
      </c>
      <c r="BL699" s="10">
        <f>SUMIFS('[1]2026'!$K:$K,'[1]2026'!$T:$T,$BD699,'[1]2026'!$S:$S,BL$3,'[1]2026'!$P:$P,$AU699)</f>
        <v>59707.5</v>
      </c>
      <c r="BM699" s="10">
        <f>SUMIFS('[1]2026'!$K:$K,'[1]2026'!$T:$T,$BD699,'[1]2026'!$S:$S,BM$3,'[1]2026'!$P:$P,$AU699)</f>
        <v>59707.5</v>
      </c>
      <c r="BN699" s="10">
        <f>SUMIFS('[1]2026'!$K:$K,'[1]2026'!$T:$T,$BD699,'[1]2026'!$S:$S,BN$3,'[1]2026'!$P:$P,$AU699)</f>
        <v>60407.5</v>
      </c>
      <c r="BO699" s="10">
        <f>SUMIFS('[1]2026'!$K:$K,'[1]2026'!$T:$T,$BD699,'[1]2026'!$S:$S,BO$3,'[1]2026'!$P:$P,$AU699)</f>
        <v>58527.5</v>
      </c>
      <c r="BP699" s="6">
        <v>59707.5</v>
      </c>
      <c r="BQ699" s="6">
        <v>59707.5</v>
      </c>
      <c r="BR699" s="6">
        <v>59707.5</v>
      </c>
      <c r="BS699" s="6">
        <v>59707.5</v>
      </c>
      <c r="BT699" s="6">
        <f t="shared" si="460"/>
        <v>704445</v>
      </c>
      <c r="BV699" s="6">
        <f t="shared" si="467"/>
        <v>4879.2968652864147</v>
      </c>
      <c r="BW699" s="6">
        <f t="shared" si="468"/>
        <v>5679.2968652864147</v>
      </c>
      <c r="BX699" s="6">
        <f t="shared" si="469"/>
        <v>7079.2968652864147</v>
      </c>
      <c r="BY699" s="6">
        <f t="shared" si="470"/>
        <v>9134.2968652864147</v>
      </c>
      <c r="BZ699" s="6">
        <f t="shared" si="471"/>
        <v>9584.2968652864147</v>
      </c>
      <c r="CA699" s="6">
        <f t="shared" si="472"/>
        <v>9584.2968652864147</v>
      </c>
      <c r="CB699" s="6">
        <f t="shared" si="473"/>
        <v>10284.296865286415</v>
      </c>
      <c r="CC699" s="6">
        <f t="shared" si="474"/>
        <v>8404.2968652864147</v>
      </c>
      <c r="CD699" s="6">
        <f t="shared" si="475"/>
        <v>9584.2968652864147</v>
      </c>
      <c r="CE699" s="6">
        <f t="shared" si="476"/>
        <v>9584.2968652864147</v>
      </c>
      <c r="CF699" s="6">
        <f t="shared" si="477"/>
        <v>9584.2968652864147</v>
      </c>
      <c r="CG699" s="6">
        <f t="shared" si="478"/>
        <v>9584.2968652864147</v>
      </c>
      <c r="CH699" s="6">
        <f t="shared" si="440"/>
        <v>102966.56238343718</v>
      </c>
    </row>
    <row r="700" spans="1:87" hidden="1" x14ac:dyDescent="0.35">
      <c r="A700" s="3" t="s">
        <v>195</v>
      </c>
      <c r="B700" s="10">
        <v>57916.666666666664</v>
      </c>
      <c r="C700" s="10">
        <v>57916.666666666664</v>
      </c>
      <c r="D700" s="10">
        <v>57916.666666666664</v>
      </c>
      <c r="E700" s="10">
        <v>57916.666666666664</v>
      </c>
      <c r="F700" s="10">
        <v>57916.666666666664</v>
      </c>
      <c r="G700" s="10">
        <v>57916.666666666664</v>
      </c>
      <c r="H700" s="10">
        <v>57916.666666666664</v>
      </c>
      <c r="I700" s="10">
        <v>57916.666666666664</v>
      </c>
      <c r="J700" s="10">
        <v>57916.666666666664</v>
      </c>
      <c r="K700" s="10">
        <v>57916.666666666664</v>
      </c>
      <c r="L700" s="10">
        <v>57916.666666666664</v>
      </c>
      <c r="M700" s="10">
        <v>57916.666666666664</v>
      </c>
      <c r="N700" s="27">
        <f t="shared" si="444"/>
        <v>695000</v>
      </c>
      <c r="O700" s="10">
        <v>3688.0156004948208</v>
      </c>
      <c r="P700" s="10">
        <v>3688.0156004948208</v>
      </c>
      <c r="Q700" s="10">
        <v>3688.0156004948208</v>
      </c>
      <c r="R700" s="10">
        <v>3688.0156004948208</v>
      </c>
      <c r="S700" s="10">
        <v>3688.0156004948208</v>
      </c>
      <c r="T700" s="10">
        <v>3688.0156004948208</v>
      </c>
      <c r="U700" s="10">
        <v>3688.0156004948208</v>
      </c>
      <c r="V700" s="10">
        <v>3688.0156004948208</v>
      </c>
      <c r="W700" s="10">
        <v>3688.0156004948208</v>
      </c>
      <c r="X700" s="10">
        <v>3688.0156004948208</v>
      </c>
      <c r="Y700" s="10">
        <v>3688.0156004948208</v>
      </c>
      <c r="Z700" s="10">
        <v>3688.0156004948208</v>
      </c>
      <c r="AA700" s="27">
        <f t="shared" si="445"/>
        <v>44256.187205937858</v>
      </c>
      <c r="AB700" s="10">
        <f t="shared" si="463"/>
        <v>54228.651066171842</v>
      </c>
      <c r="AC700" s="10">
        <f t="shared" si="463"/>
        <v>54228.651066171842</v>
      </c>
      <c r="AD700" s="10">
        <f t="shared" si="463"/>
        <v>54228.651066171842</v>
      </c>
      <c r="AE700" s="10">
        <f t="shared" si="463"/>
        <v>54228.651066171842</v>
      </c>
      <c r="AF700" s="10">
        <f t="shared" si="463"/>
        <v>54228.651066171842</v>
      </c>
      <c r="AG700" s="10">
        <f t="shared" si="463"/>
        <v>54228.651066171842</v>
      </c>
      <c r="AH700" s="10">
        <f t="shared" si="463"/>
        <v>54228.651066171842</v>
      </c>
      <c r="AI700" s="10">
        <f t="shared" si="463"/>
        <v>54228.651066171842</v>
      </c>
      <c r="AJ700" s="10">
        <f t="shared" si="462"/>
        <v>54228.651066171842</v>
      </c>
      <c r="AK700" s="10">
        <f t="shared" si="462"/>
        <v>54228.651066171842</v>
      </c>
      <c r="AL700" s="10">
        <f t="shared" si="462"/>
        <v>54228.651066171842</v>
      </c>
      <c r="AM700" s="10">
        <f t="shared" si="462"/>
        <v>54228.651066171842</v>
      </c>
      <c r="AN700" s="27">
        <f t="shared" si="462"/>
        <v>650743.81279406219</v>
      </c>
      <c r="AO700" s="28">
        <v>360000</v>
      </c>
      <c r="AS700" t="str">
        <f>_xlfn.XLOOKUP(AU700,[2]GAE!HZ:HZ,[2]GAE!IA:IA)</f>
        <v>OCLP-COMMON</v>
      </c>
      <c r="AT700" t="str">
        <f>_xlfn.XLOOKUP(AU700,[2]GAE!HZ:HZ,[2]GAE!IB:IB)</f>
        <v>GAE - Employee Benefits - Gas Allowance</v>
      </c>
      <c r="AU700" t="s">
        <v>1160</v>
      </c>
      <c r="AV700">
        <v>80111101</v>
      </c>
      <c r="AW700">
        <v>61021309</v>
      </c>
      <c r="AX700" t="str">
        <f>_xlfn.XLOOKUP(AU700,[2]GAE!HZ:HZ,[2]GAE!IF:IF)</f>
        <v>Employee Benefits</v>
      </c>
      <c r="AY700" t="str">
        <f>_xlfn.XLOOKUP(AU700,[2]GAE!HZ:HZ,[2]GAE!IG:IG)</f>
        <v>Gas Allowance</v>
      </c>
      <c r="AZ700" t="s">
        <v>195</v>
      </c>
      <c r="BC700" t="s">
        <v>195</v>
      </c>
      <c r="BD700" t="s">
        <v>195</v>
      </c>
      <c r="BF700" t="s">
        <v>101</v>
      </c>
      <c r="BG700" s="2" t="s">
        <v>195</v>
      </c>
      <c r="BH700" s="10">
        <f>SUMIFS('[1]2026'!$K:$K,'[1]2026'!$T:$T,BD700,'[1]2026'!$S:$S,BH$3,'[1]2026'!$P:$P,AU700)</f>
        <v>30000</v>
      </c>
      <c r="BI700" s="10">
        <f>SUMIFS('[1]2026'!$K:$K,'[1]2026'!$T:$T,$BD700,'[1]2026'!$S:$S,BI$3,'[1]2026'!$P:$P,$AU700)</f>
        <v>30000</v>
      </c>
      <c r="BJ700" s="10">
        <f>SUMIFS('[1]2026'!$K:$K,'[1]2026'!$T:$T,$BD700,'[1]2026'!$S:$S,BJ$3,'[1]2026'!$P:$P,$AU700)</f>
        <v>30000</v>
      </c>
      <c r="BK700" s="10">
        <f>SUMIFS('[1]2026'!$K:$K,'[1]2026'!$T:$T,$BD700,'[1]2026'!$S:$S,BK$3,'[1]2026'!$P:$P,$AU700)</f>
        <v>50000</v>
      </c>
      <c r="BL700" s="10">
        <f>SUMIFS('[1]2026'!$K:$K,'[1]2026'!$T:$T,$BD700,'[1]2026'!$S:$S,BL$3,'[1]2026'!$P:$P,$AU700)</f>
        <v>35000</v>
      </c>
      <c r="BM700" s="10">
        <f>SUMIFS('[1]2026'!$K:$K,'[1]2026'!$T:$T,$BD700,'[1]2026'!$S:$S,BM$3,'[1]2026'!$P:$P,$AU700)</f>
        <v>35000</v>
      </c>
      <c r="BN700" s="10">
        <f>SUMIFS('[1]2026'!$K:$K,'[1]2026'!$T:$T,$BD700,'[1]2026'!$S:$S,BN$3,'[1]2026'!$P:$P,$AU700)</f>
        <v>35000</v>
      </c>
      <c r="BO700" s="10">
        <f>SUMIFS('[1]2026'!$K:$K,'[1]2026'!$T:$T,$BD700,'[1]2026'!$S:$S,BO$3,'[1]2026'!$P:$P,$AU700)</f>
        <v>35000</v>
      </c>
      <c r="BP700" s="6">
        <v>35000</v>
      </c>
      <c r="BQ700" s="6">
        <v>35000</v>
      </c>
      <c r="BR700" s="6">
        <v>35000</v>
      </c>
      <c r="BS700" s="6">
        <v>35000</v>
      </c>
      <c r="BT700" s="6">
        <f t="shared" si="460"/>
        <v>420000</v>
      </c>
      <c r="BV700" s="6">
        <f t="shared" si="467"/>
        <v>-24228.651066171842</v>
      </c>
      <c r="BW700" s="6">
        <f t="shared" si="468"/>
        <v>-24228.651066171842</v>
      </c>
      <c r="BX700" s="6">
        <f t="shared" si="469"/>
        <v>-24228.651066171842</v>
      </c>
      <c r="BY700" s="6">
        <f t="shared" si="470"/>
        <v>-4228.6510661718421</v>
      </c>
      <c r="BZ700" s="6">
        <f t="shared" si="471"/>
        <v>-19228.651066171842</v>
      </c>
      <c r="CA700" s="6">
        <f t="shared" si="472"/>
        <v>-19228.651066171842</v>
      </c>
      <c r="CB700" s="6">
        <f t="shared" si="473"/>
        <v>-19228.651066171842</v>
      </c>
      <c r="CC700" s="6">
        <f t="shared" si="474"/>
        <v>-19228.651066171842</v>
      </c>
      <c r="CD700" s="6">
        <f t="shared" si="475"/>
        <v>-19228.651066171842</v>
      </c>
      <c r="CE700" s="6">
        <f t="shared" si="476"/>
        <v>-19228.651066171842</v>
      </c>
      <c r="CF700" s="6">
        <f t="shared" si="477"/>
        <v>-19228.651066171842</v>
      </c>
      <c r="CG700" s="6">
        <f t="shared" si="478"/>
        <v>-19228.651066171842</v>
      </c>
      <c r="CH700" s="6">
        <f t="shared" si="440"/>
        <v>-230743.81279406219</v>
      </c>
    </row>
    <row r="701" spans="1:87" hidden="1" x14ac:dyDescent="0.35">
      <c r="A701" s="3" t="s">
        <v>196</v>
      </c>
      <c r="J701" s="10">
        <v>255000</v>
      </c>
      <c r="N701" s="27">
        <f t="shared" si="444"/>
        <v>255000</v>
      </c>
      <c r="AA701" s="27">
        <f t="shared" si="445"/>
        <v>0</v>
      </c>
      <c r="AB701" s="10">
        <f t="shared" si="463"/>
        <v>0</v>
      </c>
      <c r="AC701" s="10">
        <f t="shared" si="463"/>
        <v>0</v>
      </c>
      <c r="AD701" s="10">
        <f t="shared" si="463"/>
        <v>0</v>
      </c>
      <c r="AE701" s="10">
        <f t="shared" si="463"/>
        <v>0</v>
      </c>
      <c r="AF701" s="10">
        <f t="shared" si="463"/>
        <v>0</v>
      </c>
      <c r="AG701" s="10">
        <f t="shared" si="463"/>
        <v>0</v>
      </c>
      <c r="AH701" s="10">
        <f t="shared" si="463"/>
        <v>0</v>
      </c>
      <c r="AI701" s="10">
        <f t="shared" si="463"/>
        <v>0</v>
      </c>
      <c r="AJ701" s="10">
        <f t="shared" si="462"/>
        <v>255000</v>
      </c>
      <c r="AK701" s="10">
        <f t="shared" si="462"/>
        <v>0</v>
      </c>
      <c r="AL701" s="10">
        <f t="shared" si="462"/>
        <v>0</v>
      </c>
      <c r="AM701" s="10">
        <f t="shared" si="462"/>
        <v>0</v>
      </c>
      <c r="AN701" s="27">
        <f t="shared" si="462"/>
        <v>255000</v>
      </c>
      <c r="AS701" t="str">
        <f>_xlfn.XLOOKUP(AU701,[2]GAE!HZ:HZ,[2]GAE!IA:IA)</f>
        <v>OCLP-COMMON</v>
      </c>
      <c r="AT701" t="str">
        <f>_xlfn.XLOOKUP(AU701,[2]GAE!HZ:HZ,[2]GAE!IB:IB)</f>
        <v>GAE - Employee Benefits - Medical Allowance</v>
      </c>
      <c r="AU701" t="s">
        <v>1161</v>
      </c>
      <c r="AV701">
        <v>80111101</v>
      </c>
      <c r="AW701">
        <v>61021302</v>
      </c>
      <c r="AX701" t="str">
        <f>_xlfn.XLOOKUP(AU701,[2]GAE!HZ:HZ,[2]GAE!IF:IF)</f>
        <v>Employee Benefits</v>
      </c>
      <c r="AY701" t="str">
        <f>_xlfn.XLOOKUP(AU701,[2]GAE!HZ:HZ,[2]GAE!IG:IG)</f>
        <v>Medical/Insurance</v>
      </c>
      <c r="AZ701" t="s">
        <v>196</v>
      </c>
      <c r="BC701" t="s">
        <v>196</v>
      </c>
      <c r="BD701" t="s">
        <v>196</v>
      </c>
      <c r="BF701" t="s">
        <v>101</v>
      </c>
      <c r="BG701" s="2" t="s">
        <v>196</v>
      </c>
      <c r="BH701" s="10">
        <f>SUMIFS('[1]2026'!$K:$K,'[1]2026'!$T:$T,BD701,'[1]2026'!$S:$S,BH$3,'[1]2026'!$P:$P,AU701)</f>
        <v>0</v>
      </c>
      <c r="BI701" s="10">
        <f>SUMIFS('[1]2026'!$K:$K,'[1]2026'!$T:$T,$BD701,'[1]2026'!$S:$S,BI$3,'[1]2026'!$P:$P,$AU701)</f>
        <v>0</v>
      </c>
      <c r="BJ701" s="6"/>
      <c r="BK701" s="10">
        <f>SUMIFS('[1]2026'!$K:$K,'[1]2026'!$T:$T,$BD701,'[1]2026'!$S:$S,BK$3,'[1]2026'!$P:$P,$AU701)</f>
        <v>0</v>
      </c>
      <c r="BL701" s="6"/>
      <c r="BM701" s="10">
        <f>SUMIFS('[1]2026'!$K:$K,'[1]2026'!$T:$T,$BD701,'[1]2026'!$S:$S,BM$3,'[1]2026'!$P:$P,$AU701)</f>
        <v>0</v>
      </c>
      <c r="BN701" s="10">
        <f>SUMIFS('[1]2026'!$K:$K,'[1]2026'!$T:$T,$BD701,'[1]2026'!$S:$S,BN$3,'[1]2026'!$P:$P,$AU701)</f>
        <v>0</v>
      </c>
      <c r="BO701" s="10">
        <f>SUMIFS('[1]2026'!$K:$K,'[1]2026'!$T:$T,$BD701,'[1]2026'!$S:$S,BO$3,'[1]2026'!$P:$P,$AU701)</f>
        <v>0</v>
      </c>
      <c r="BP701" s="6">
        <f>AN701</f>
        <v>255000</v>
      </c>
      <c r="BQ701" s="6"/>
      <c r="BR701" s="6"/>
      <c r="BS701" s="6"/>
      <c r="BT701" s="6">
        <f t="shared" si="460"/>
        <v>255000</v>
      </c>
      <c r="BV701" s="6">
        <f t="shared" si="467"/>
        <v>0</v>
      </c>
      <c r="BW701" s="6">
        <f t="shared" si="468"/>
        <v>0</v>
      </c>
      <c r="BX701" s="6">
        <f t="shared" si="469"/>
        <v>0</v>
      </c>
      <c r="BY701" s="6">
        <f t="shared" si="470"/>
        <v>0</v>
      </c>
      <c r="BZ701" s="6">
        <f t="shared" si="471"/>
        <v>0</v>
      </c>
      <c r="CA701" s="6">
        <f t="shared" si="472"/>
        <v>0</v>
      </c>
      <c r="CB701" s="6">
        <f t="shared" si="473"/>
        <v>0</v>
      </c>
      <c r="CC701" s="6">
        <f t="shared" si="474"/>
        <v>0</v>
      </c>
      <c r="CD701" s="6">
        <f t="shared" si="475"/>
        <v>0</v>
      </c>
      <c r="CE701" s="6">
        <f t="shared" si="476"/>
        <v>0</v>
      </c>
      <c r="CF701" s="6">
        <f t="shared" si="477"/>
        <v>0</v>
      </c>
      <c r="CG701" s="6">
        <f t="shared" si="478"/>
        <v>0</v>
      </c>
      <c r="CH701" s="6">
        <f t="shared" si="440"/>
        <v>0</v>
      </c>
    </row>
    <row r="702" spans="1:87" hidden="1" x14ac:dyDescent="0.35">
      <c r="A702" s="3" t="s">
        <v>197</v>
      </c>
      <c r="B702" s="10">
        <v>18750</v>
      </c>
      <c r="C702" s="10">
        <v>18750</v>
      </c>
      <c r="D702" s="10">
        <v>18750</v>
      </c>
      <c r="E702" s="10">
        <v>18750</v>
      </c>
      <c r="F702" s="10">
        <v>18750</v>
      </c>
      <c r="G702" s="10">
        <v>18750</v>
      </c>
      <c r="H702" s="10">
        <v>18750</v>
      </c>
      <c r="I702" s="10">
        <v>18750</v>
      </c>
      <c r="J702" s="10">
        <v>18750</v>
      </c>
      <c r="K702" s="10">
        <v>18750</v>
      </c>
      <c r="L702" s="10">
        <v>18750</v>
      </c>
      <c r="M702" s="10">
        <v>18750</v>
      </c>
      <c r="N702" s="27">
        <f t="shared" si="444"/>
        <v>225000</v>
      </c>
      <c r="O702" s="10">
        <v>3935.6073483786163</v>
      </c>
      <c r="P702" s="10">
        <v>3935.6073483786163</v>
      </c>
      <c r="Q702" s="10">
        <v>3935.6073483786163</v>
      </c>
      <c r="R702" s="10">
        <v>3935.6073483786163</v>
      </c>
      <c r="S702" s="10">
        <v>3935.6073483786163</v>
      </c>
      <c r="T702" s="10">
        <v>3935.6073483786163</v>
      </c>
      <c r="U702" s="10">
        <v>3935.6073483786163</v>
      </c>
      <c r="V702" s="10">
        <v>3935.6073483786163</v>
      </c>
      <c r="W702" s="10">
        <v>3935.6073483786163</v>
      </c>
      <c r="X702" s="10">
        <v>3935.6073483786163</v>
      </c>
      <c r="Y702" s="10">
        <v>3935.6073483786163</v>
      </c>
      <c r="Z702" s="10">
        <v>3935.6073483786163</v>
      </c>
      <c r="AA702" s="27">
        <f t="shared" si="445"/>
        <v>47227.288180543394</v>
      </c>
      <c r="AB702" s="10">
        <f t="shared" si="463"/>
        <v>14814.392651621383</v>
      </c>
      <c r="AC702" s="10">
        <f t="shared" si="463"/>
        <v>14814.392651621383</v>
      </c>
      <c r="AD702" s="10">
        <f t="shared" si="463"/>
        <v>14814.392651621383</v>
      </c>
      <c r="AE702" s="10">
        <f t="shared" si="463"/>
        <v>14814.392651621383</v>
      </c>
      <c r="AF702" s="10">
        <f t="shared" si="463"/>
        <v>14814.392651621383</v>
      </c>
      <c r="AG702" s="10">
        <f t="shared" si="463"/>
        <v>14814.392651621383</v>
      </c>
      <c r="AH702" s="10">
        <f t="shared" si="463"/>
        <v>14814.392651621383</v>
      </c>
      <c r="AI702" s="10">
        <f t="shared" si="463"/>
        <v>14814.392651621383</v>
      </c>
      <c r="AJ702" s="10">
        <f t="shared" si="462"/>
        <v>14814.392651621383</v>
      </c>
      <c r="AK702" s="10">
        <f t="shared" si="462"/>
        <v>14814.392651621383</v>
      </c>
      <c r="AL702" s="10">
        <f t="shared" si="462"/>
        <v>14814.392651621383</v>
      </c>
      <c r="AM702" s="10">
        <f t="shared" si="462"/>
        <v>14814.392651621383</v>
      </c>
      <c r="AN702" s="27">
        <f t="shared" si="462"/>
        <v>177772.7118194566</v>
      </c>
      <c r="AS702" t="str">
        <f>_xlfn.XLOOKUP(AU702,[2]GAE!HZ:HZ,[2]GAE!IA:IA)</f>
        <v>OCLP-COMMON</v>
      </c>
      <c r="AT702" t="str">
        <f>_xlfn.XLOOKUP(AU702,[2]GAE!HZ:HZ,[2]GAE!IB:IB)</f>
        <v>GAE - Employee Benefits - Uniform</v>
      </c>
      <c r="AU702" t="s">
        <v>1162</v>
      </c>
      <c r="AV702">
        <v>80111101</v>
      </c>
      <c r="AW702">
        <v>61021307</v>
      </c>
      <c r="AX702" t="str">
        <f>_xlfn.XLOOKUP(AU702,[2]GAE!HZ:HZ,[2]GAE!IF:IF)</f>
        <v>Employee Benefits</v>
      </c>
      <c r="AY702" t="str">
        <f>_xlfn.XLOOKUP(AU702,[2]GAE!HZ:HZ,[2]GAE!IG:IG)</f>
        <v>Uniform</v>
      </c>
      <c r="AZ702" t="s">
        <v>197</v>
      </c>
      <c r="BC702" t="s">
        <v>197</v>
      </c>
      <c r="BD702" s="2" t="s">
        <v>1146</v>
      </c>
      <c r="BE702" s="2"/>
      <c r="BF702" t="s">
        <v>101</v>
      </c>
      <c r="BG702" s="2" t="s">
        <v>197</v>
      </c>
      <c r="BH702" s="10">
        <f>SUMIFS('[1]2026'!$K:$K,'[1]2026'!$T:$T,BD702,'[1]2026'!$S:$S,BH$3,'[1]2026'!$P:$P,AU702)</f>
        <v>0</v>
      </c>
      <c r="BI702" s="10">
        <f>SUMIFS('[1]2026'!$K:$K,'[1]2026'!$T:$T,$BD702,'[1]2026'!$S:$S,BI$3,'[1]2026'!$P:$P,$AU702)</f>
        <v>0</v>
      </c>
      <c r="BJ702" s="10">
        <f>SUMIFS('[1]2026'!$K:$K,'[1]2026'!$T:$T,$BD702,'[1]2026'!$S:$S,BJ$3,'[1]2026'!$P:$P,$AU702)</f>
        <v>0</v>
      </c>
      <c r="BK702" s="10">
        <f>SUMIFS('[1]2026'!$K:$K,'[1]2026'!$T:$T,$BD702,'[1]2026'!$S:$S,BK$3,'[1]2026'!$P:$P,$AU702)</f>
        <v>0</v>
      </c>
      <c r="BL702" s="6"/>
      <c r="BM702" s="10">
        <f>SUMIFS('[1]2026'!$K:$K,'[1]2026'!$T:$T,$BD702,'[1]2026'!$S:$S,BM$3,'[1]2026'!$P:$P,$AU702)</f>
        <v>190000</v>
      </c>
      <c r="BN702" s="10">
        <f>SUMIFS('[1]2026'!$K:$K,'[1]2026'!$T:$T,$BD702,'[1]2026'!$S:$S,BN$3,'[1]2026'!$P:$P,$AU702)</f>
        <v>0</v>
      </c>
      <c r="BO702" s="10">
        <f>SUMIFS('[1]2026'!$K:$K,'[1]2026'!$T:$T,$BD702,'[1]2026'!$S:$S,BO$3,'[1]2026'!$P:$P,$AU702)</f>
        <v>0</v>
      </c>
      <c r="BP702" s="6"/>
      <c r="BQ702" s="6"/>
      <c r="BR702" s="6"/>
      <c r="BS702" s="6"/>
      <c r="BT702" s="6">
        <f t="shared" si="460"/>
        <v>190000</v>
      </c>
      <c r="BV702" s="6">
        <f t="shared" si="467"/>
        <v>-14814.392651621383</v>
      </c>
      <c r="BW702" s="6">
        <f t="shared" si="468"/>
        <v>-14814.392651621383</v>
      </c>
      <c r="BX702" s="6">
        <f t="shared" si="469"/>
        <v>-14814.392651621383</v>
      </c>
      <c r="BY702" s="6">
        <f t="shared" si="470"/>
        <v>-14814.392651621383</v>
      </c>
      <c r="BZ702" s="6">
        <f t="shared" si="471"/>
        <v>-14814.392651621383</v>
      </c>
      <c r="CA702" s="6">
        <f t="shared" si="472"/>
        <v>175185.60734837863</v>
      </c>
      <c r="CB702" s="6">
        <f t="shared" si="473"/>
        <v>-14814.392651621383</v>
      </c>
      <c r="CC702" s="6">
        <f t="shared" si="474"/>
        <v>-14814.392651621383</v>
      </c>
      <c r="CD702" s="6">
        <f t="shared" si="475"/>
        <v>-14814.392651621383</v>
      </c>
      <c r="CE702" s="6">
        <f t="shared" si="476"/>
        <v>-14814.392651621383</v>
      </c>
      <c r="CF702" s="6">
        <f t="shared" si="477"/>
        <v>-14814.392651621383</v>
      </c>
      <c r="CG702" s="6">
        <f t="shared" si="478"/>
        <v>-14814.392651621383</v>
      </c>
      <c r="CH702" s="6">
        <f t="shared" si="440"/>
        <v>12227.288180543401</v>
      </c>
    </row>
    <row r="703" spans="1:87" hidden="1" x14ac:dyDescent="0.35">
      <c r="AS703" t="str">
        <f>_xlfn.XLOOKUP(AU703,[2]GAE!HZ:HZ,[2]GAE!IA:IA)</f>
        <v>OCLP-COMMON</v>
      </c>
      <c r="AT703" t="str">
        <f>_xlfn.XLOOKUP(AU703,[2]GAE!HZ:HZ,[2]GAE!IB:IB)</f>
        <v>GAE - Employee Benefits - Rice Subsidy</v>
      </c>
      <c r="AU703" s="2" t="s">
        <v>1163</v>
      </c>
      <c r="AV703" s="2">
        <v>80111101</v>
      </c>
      <c r="AW703" s="2">
        <v>61021310</v>
      </c>
      <c r="AX703" t="str">
        <f>_xlfn.XLOOKUP(AU703,[2]GAE!HZ:HZ,[2]GAE!IF:IF)</f>
        <v>Employee Benefits</v>
      </c>
      <c r="AY703" t="str">
        <f>_xlfn.XLOOKUP(AU703,[2]GAE!HZ:HZ,[2]GAE!IG:IG)</f>
        <v>Uniform</v>
      </c>
      <c r="BD703" s="2" t="s">
        <v>1146</v>
      </c>
      <c r="BE703" s="2"/>
      <c r="BF703" t="s">
        <v>101</v>
      </c>
      <c r="BG703" s="2" t="s">
        <v>197</v>
      </c>
      <c r="BL703" s="6"/>
      <c r="BO703" s="10">
        <f>SUMIFS('[1]2026'!$K:$K,'[1]2026'!$T:$T,$BD703,'[1]2026'!$S:$S,BO$3,'[1]2026'!$P:$P,$AU703)</f>
        <v>770000</v>
      </c>
      <c r="BP703" s="6"/>
      <c r="BQ703" s="6"/>
      <c r="BR703" s="6"/>
      <c r="BS703" s="6"/>
      <c r="BT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>
        <f t="shared" si="440"/>
        <v>0</v>
      </c>
    </row>
    <row r="704" spans="1:87" hidden="1" x14ac:dyDescent="0.35">
      <c r="A704" s="3" t="s">
        <v>1164</v>
      </c>
      <c r="B704" s="10">
        <v>4166.666666666667</v>
      </c>
      <c r="C704" s="10">
        <v>4166.666666666667</v>
      </c>
      <c r="D704" s="10">
        <v>4166.666666666667</v>
      </c>
      <c r="E704" s="10">
        <v>4166.666666666667</v>
      </c>
      <c r="F704" s="10">
        <v>4166.666666666667</v>
      </c>
      <c r="G704" s="10">
        <v>4166.666666666667</v>
      </c>
      <c r="H704" s="10">
        <v>4166.666666666667</v>
      </c>
      <c r="I704" s="10">
        <v>4166.666666666667</v>
      </c>
      <c r="J704" s="10">
        <v>4166.666666666667</v>
      </c>
      <c r="K704" s="10">
        <v>4166.666666666667</v>
      </c>
      <c r="L704" s="10">
        <v>4166.666666666667</v>
      </c>
      <c r="M704" s="10">
        <v>4166.666666666667</v>
      </c>
      <c r="N704" s="27">
        <f t="shared" si="444"/>
        <v>49999.999999999993</v>
      </c>
      <c r="AA704" s="27">
        <f t="shared" si="445"/>
        <v>0</v>
      </c>
      <c r="AB704" s="10">
        <f t="shared" si="463"/>
        <v>4166.666666666667</v>
      </c>
      <c r="AC704" s="10">
        <f t="shared" si="463"/>
        <v>4166.666666666667</v>
      </c>
      <c r="AD704" s="10">
        <f t="shared" si="463"/>
        <v>4166.666666666667</v>
      </c>
      <c r="AE704" s="10">
        <f t="shared" si="463"/>
        <v>4166.666666666667</v>
      </c>
      <c r="AF704" s="10">
        <f t="shared" si="463"/>
        <v>4166.666666666667</v>
      </c>
      <c r="AG704" s="10">
        <f t="shared" si="463"/>
        <v>4166.666666666667</v>
      </c>
      <c r="AH704" s="10">
        <f t="shared" si="463"/>
        <v>4166.666666666667</v>
      </c>
      <c r="AI704" s="10">
        <f t="shared" si="463"/>
        <v>4166.666666666667</v>
      </c>
      <c r="AJ704" s="10">
        <f t="shared" si="462"/>
        <v>4166.666666666667</v>
      </c>
      <c r="AK704" s="10">
        <f t="shared" si="462"/>
        <v>4166.666666666667</v>
      </c>
      <c r="AL704" s="10">
        <f t="shared" si="462"/>
        <v>4166.666666666667</v>
      </c>
      <c r="AM704" s="10">
        <f t="shared" si="462"/>
        <v>4166.666666666667</v>
      </c>
      <c r="AN704" s="27">
        <f t="shared" si="462"/>
        <v>49999.999999999993</v>
      </c>
      <c r="AS704" t="str">
        <f>_xlfn.XLOOKUP(AU704,[2]GAE!HZ:HZ,[2]GAE!IA:IA)</f>
        <v>OCLP-COMMON</v>
      </c>
      <c r="AT704" t="str">
        <f>_xlfn.XLOOKUP(AU704,[2]GAE!HZ:HZ,[2]GAE!IB:IB)</f>
        <v>GAE - Regular Employee - OT Allowance</v>
      </c>
      <c r="AU704" t="s">
        <v>1158</v>
      </c>
      <c r="AV704">
        <v>80111101</v>
      </c>
      <c r="AW704">
        <v>61021104</v>
      </c>
      <c r="AX704" t="str">
        <f>_xlfn.XLOOKUP(AU704,[2]GAE!HZ:HZ,[2]GAE!IF:IF)</f>
        <v>Salaries</v>
      </c>
      <c r="AY704" t="str">
        <f>_xlfn.XLOOKUP(AU704,[2]GAE!HZ:HZ,[2]GAE!IG:IG)</f>
        <v>OT Pay</v>
      </c>
      <c r="AZ704" t="s">
        <v>1164</v>
      </c>
      <c r="BA704" t="s">
        <v>1132</v>
      </c>
      <c r="BF704" t="s">
        <v>101</v>
      </c>
      <c r="BG704" t="s">
        <v>188</v>
      </c>
      <c r="BH704" s="10">
        <f>SUMIFS('[1]2026'!$K:$K,'[1]2026'!$T:$T,BD704,'[1]2026'!$S:$S,BH$3,'[1]2026'!$P:$P,AU704)</f>
        <v>0</v>
      </c>
      <c r="BI704" s="10">
        <f>SUMIFS('[1]2026'!$K:$K,'[1]2026'!$T:$T,$BD704,'[1]2026'!$S:$S,BI$3,'[1]2026'!$P:$P,$AU704)</f>
        <v>0</v>
      </c>
      <c r="BJ704" s="10">
        <f>SUMIFS('[1]2026'!$K:$K,'[1]2026'!$T:$T,$BD704,'[1]2026'!$S:$S,BJ$3,'[1]2026'!$P:$P,$AU704)</f>
        <v>0</v>
      </c>
      <c r="BK704" s="10">
        <f>SUMIFS('[1]2026'!$K:$K,'[1]2026'!$T:$T,$BD704,'[1]2026'!$S:$S,BK$3,'[1]2026'!$P:$P,$AU704)</f>
        <v>0</v>
      </c>
      <c r="BL704" s="10">
        <f>SUMIFS('[1]2026'!$K:$K,'[1]2026'!$T:$T,$BD704,'[1]2026'!$S:$S,BL$3,'[1]2026'!$P:$P,$AU704)</f>
        <v>0</v>
      </c>
      <c r="BM704" s="10">
        <f>SUMIFS('[1]2026'!$K:$K,'[1]2026'!$T:$T,$BD704,'[1]2026'!$S:$S,BM$3,'[1]2026'!$P:$P,$AU704)</f>
        <v>0</v>
      </c>
      <c r="BN704" s="10">
        <f>SUMIFS('[1]2026'!$K:$K,'[1]2026'!$T:$T,$BD704,'[1]2026'!$S:$S,BN$3,'[1]2026'!$P:$P,$AU704)</f>
        <v>0</v>
      </c>
      <c r="BO704" s="10">
        <f>SUMIFS('[1]2026'!$K:$K,'[1]2026'!$T:$T,$BD704,'[1]2026'!$S:$S,BO$3,'[1]2026'!$P:$P,$AU704)</f>
        <v>0</v>
      </c>
      <c r="BP704" s="6">
        <f t="shared" ref="BP704:BS706" si="480">BO704</f>
        <v>0</v>
      </c>
      <c r="BQ704" s="6">
        <f t="shared" si="480"/>
        <v>0</v>
      </c>
      <c r="BR704" s="6">
        <f t="shared" si="480"/>
        <v>0</v>
      </c>
      <c r="BS704" s="6">
        <f t="shared" si="480"/>
        <v>0</v>
      </c>
      <c r="BT704" s="6">
        <f t="shared" si="460"/>
        <v>0</v>
      </c>
      <c r="BV704" s="6">
        <f t="shared" ref="BV704:BV735" si="481">BH704-AB704</f>
        <v>-4166.666666666667</v>
      </c>
      <c r="BW704" s="6">
        <f t="shared" ref="BW704:BW735" si="482">BI704-AC704</f>
        <v>-4166.666666666667</v>
      </c>
      <c r="BX704" s="6">
        <f t="shared" ref="BX704:BX735" si="483">BJ704-AD704</f>
        <v>-4166.666666666667</v>
      </c>
      <c r="BY704" s="6">
        <f t="shared" ref="BY704:BY735" si="484">BK704-AE704</f>
        <v>-4166.666666666667</v>
      </c>
      <c r="BZ704" s="6">
        <f t="shared" ref="BZ704:BZ735" si="485">BL704-AF704</f>
        <v>-4166.666666666667</v>
      </c>
      <c r="CA704" s="6">
        <f t="shared" ref="CA704:CA735" si="486">BM704-AG704</f>
        <v>-4166.666666666667</v>
      </c>
      <c r="CB704" s="6">
        <f t="shared" ref="CB704:CB735" si="487">BN704-AH704</f>
        <v>-4166.666666666667</v>
      </c>
      <c r="CC704" s="6">
        <f t="shared" ref="CC704:CC735" si="488">BO704-AI704</f>
        <v>-4166.666666666667</v>
      </c>
      <c r="CD704" s="6">
        <f t="shared" ref="CD704:CD735" si="489">BP704-AJ704</f>
        <v>-4166.666666666667</v>
      </c>
      <c r="CE704" s="6">
        <f t="shared" ref="CE704:CE735" si="490">BQ704-AK704</f>
        <v>-4166.666666666667</v>
      </c>
      <c r="CF704" s="6">
        <f t="shared" ref="CF704:CF735" si="491">BR704-AL704</f>
        <v>-4166.666666666667</v>
      </c>
      <c r="CG704" s="6">
        <f t="shared" ref="CG704:CG735" si="492">BS704-AM704</f>
        <v>-4166.666666666667</v>
      </c>
      <c r="CH704" s="6">
        <f t="shared" si="440"/>
        <v>-49999.999999999993</v>
      </c>
    </row>
    <row r="705" spans="1:87" hidden="1" x14ac:dyDescent="0.35">
      <c r="A705" s="3" t="s">
        <v>1165</v>
      </c>
      <c r="B705" s="10">
        <v>1666.6666666666667</v>
      </c>
      <c r="C705" s="10">
        <v>1666.6666666666667</v>
      </c>
      <c r="D705" s="10">
        <v>1666.6666666666667</v>
      </c>
      <c r="E705" s="10">
        <v>1666.6666666666667</v>
      </c>
      <c r="F705" s="10">
        <v>1666.6666666666667</v>
      </c>
      <c r="G705" s="10">
        <v>1666.6666666666667</v>
      </c>
      <c r="H705" s="10">
        <v>1666.6666666666667</v>
      </c>
      <c r="I705" s="10">
        <v>1666.6666666666667</v>
      </c>
      <c r="J705" s="10">
        <v>1666.6666666666667</v>
      </c>
      <c r="K705" s="10">
        <v>1666.6666666666667</v>
      </c>
      <c r="L705" s="10">
        <v>1666.6666666666667</v>
      </c>
      <c r="M705" s="10">
        <v>1666.6666666666667</v>
      </c>
      <c r="N705" s="27">
        <f t="shared" si="444"/>
        <v>20000</v>
      </c>
      <c r="AA705" s="27">
        <f t="shared" si="445"/>
        <v>0</v>
      </c>
      <c r="AB705" s="10">
        <f t="shared" si="463"/>
        <v>1666.6666666666667</v>
      </c>
      <c r="AC705" s="10">
        <f t="shared" si="463"/>
        <v>1666.6666666666667</v>
      </c>
      <c r="AD705" s="10">
        <f t="shared" si="463"/>
        <v>1666.6666666666667</v>
      </c>
      <c r="AE705" s="10">
        <f t="shared" si="463"/>
        <v>1666.6666666666667</v>
      </c>
      <c r="AF705" s="10">
        <f t="shared" si="463"/>
        <v>1666.6666666666667</v>
      </c>
      <c r="AG705" s="10">
        <f t="shared" si="463"/>
        <v>1666.6666666666667</v>
      </c>
      <c r="AH705" s="10">
        <f t="shared" si="463"/>
        <v>1666.6666666666667</v>
      </c>
      <c r="AI705" s="10">
        <f t="shared" si="463"/>
        <v>1666.6666666666667</v>
      </c>
      <c r="AJ705" s="10">
        <f t="shared" si="462"/>
        <v>1666.6666666666667</v>
      </c>
      <c r="AK705" s="10">
        <f t="shared" si="462"/>
        <v>1666.6666666666667</v>
      </c>
      <c r="AL705" s="10">
        <f t="shared" si="462"/>
        <v>1666.6666666666667</v>
      </c>
      <c r="AM705" s="10">
        <f t="shared" si="462"/>
        <v>1666.6666666666667</v>
      </c>
      <c r="AN705" s="27">
        <f t="shared" si="462"/>
        <v>20000</v>
      </c>
      <c r="AS705" t="str">
        <f>_xlfn.XLOOKUP(AU705,[2]GAE!HZ:HZ,[2]GAE!IA:IA)</f>
        <v>OCLP-COMMON</v>
      </c>
      <c r="AT705" t="str">
        <f>_xlfn.XLOOKUP(AU705,[2]GAE!HZ:HZ,[2]GAE!IB:IB)</f>
        <v>GAE - Regular Employee - OT Allowance</v>
      </c>
      <c r="AU705" t="s">
        <v>1158</v>
      </c>
      <c r="AV705">
        <v>80111101</v>
      </c>
      <c r="AW705">
        <v>61021104</v>
      </c>
      <c r="AX705" t="str">
        <f>_xlfn.XLOOKUP(AU705,[2]GAE!HZ:HZ,[2]GAE!IF:IF)</f>
        <v>Salaries</v>
      </c>
      <c r="AY705" t="str">
        <f>_xlfn.XLOOKUP(AU705,[2]GAE!HZ:HZ,[2]GAE!IG:IG)</f>
        <v>OT Pay</v>
      </c>
      <c r="AZ705" t="s">
        <v>1165</v>
      </c>
      <c r="BA705" t="s">
        <v>1132</v>
      </c>
      <c r="BF705" t="s">
        <v>101</v>
      </c>
      <c r="BG705" t="s">
        <v>188</v>
      </c>
      <c r="BH705" s="10">
        <f>SUMIFS('[1]2026'!$K:$K,'[1]2026'!$T:$T,BD705,'[1]2026'!$S:$S,BH$3,'[1]2026'!$P:$P,AU705)</f>
        <v>0</v>
      </c>
      <c r="BI705" s="10">
        <f>SUMIFS('[1]2026'!$K:$K,'[1]2026'!$T:$T,$BD705,'[1]2026'!$S:$S,BI$3,'[1]2026'!$P:$P,$AU705)</f>
        <v>0</v>
      </c>
      <c r="BJ705" s="10">
        <f>SUMIFS('[1]2026'!$K:$K,'[1]2026'!$T:$T,$BD705,'[1]2026'!$S:$S,BJ$3,'[1]2026'!$P:$P,$AU705)</f>
        <v>0</v>
      </c>
      <c r="BK705" s="10">
        <f>SUMIFS('[1]2026'!$K:$K,'[1]2026'!$T:$T,$BD705,'[1]2026'!$S:$S,BK$3,'[1]2026'!$P:$P,$AU705)</f>
        <v>0</v>
      </c>
      <c r="BL705" s="10">
        <f>SUMIFS('[1]2026'!$K:$K,'[1]2026'!$T:$T,$BD705,'[1]2026'!$S:$S,BL$3,'[1]2026'!$P:$P,$AU705)</f>
        <v>0</v>
      </c>
      <c r="BM705" s="10">
        <f>SUMIFS('[1]2026'!$K:$K,'[1]2026'!$T:$T,$BD705,'[1]2026'!$S:$S,BM$3,'[1]2026'!$P:$P,$AU705)</f>
        <v>0</v>
      </c>
      <c r="BN705" s="10">
        <f>SUMIFS('[1]2026'!$K:$K,'[1]2026'!$T:$T,$BD705,'[1]2026'!$S:$S,BN$3,'[1]2026'!$P:$P,$AU705)</f>
        <v>0</v>
      </c>
      <c r="BO705" s="10">
        <f>SUMIFS('[1]2026'!$K:$K,'[1]2026'!$T:$T,$BD705,'[1]2026'!$S:$S,BO$3,'[1]2026'!$P:$P,$AU705)</f>
        <v>0</v>
      </c>
      <c r="BP705" s="6">
        <f t="shared" si="480"/>
        <v>0</v>
      </c>
      <c r="BQ705" s="6">
        <f t="shared" si="480"/>
        <v>0</v>
      </c>
      <c r="BR705" s="6">
        <f t="shared" si="480"/>
        <v>0</v>
      </c>
      <c r="BS705" s="6">
        <f t="shared" si="480"/>
        <v>0</v>
      </c>
      <c r="BT705" s="6">
        <f t="shared" si="460"/>
        <v>0</v>
      </c>
      <c r="BV705" s="6">
        <f t="shared" si="481"/>
        <v>-1666.6666666666667</v>
      </c>
      <c r="BW705" s="6">
        <f t="shared" si="482"/>
        <v>-1666.6666666666667</v>
      </c>
      <c r="BX705" s="6">
        <f t="shared" si="483"/>
        <v>-1666.6666666666667</v>
      </c>
      <c r="BY705" s="6">
        <f t="shared" si="484"/>
        <v>-1666.6666666666667</v>
      </c>
      <c r="BZ705" s="6">
        <f t="shared" si="485"/>
        <v>-1666.6666666666667</v>
      </c>
      <c r="CA705" s="6">
        <f t="shared" si="486"/>
        <v>-1666.6666666666667</v>
      </c>
      <c r="CB705" s="6">
        <f t="shared" si="487"/>
        <v>-1666.6666666666667</v>
      </c>
      <c r="CC705" s="6">
        <f t="shared" si="488"/>
        <v>-1666.6666666666667</v>
      </c>
      <c r="CD705" s="6">
        <f t="shared" si="489"/>
        <v>-1666.6666666666667</v>
      </c>
      <c r="CE705" s="6">
        <f t="shared" si="490"/>
        <v>-1666.6666666666667</v>
      </c>
      <c r="CF705" s="6">
        <f t="shared" si="491"/>
        <v>-1666.6666666666667</v>
      </c>
      <c r="CG705" s="6">
        <f t="shared" si="492"/>
        <v>-1666.6666666666667</v>
      </c>
      <c r="CH705" s="6">
        <f t="shared" si="440"/>
        <v>-20000</v>
      </c>
    </row>
    <row r="706" spans="1:87" hidden="1" x14ac:dyDescent="0.35">
      <c r="A706" s="3" t="s">
        <v>198</v>
      </c>
      <c r="B706" s="10">
        <v>2530</v>
      </c>
      <c r="C706" s="10">
        <v>2530</v>
      </c>
      <c r="D706" s="10">
        <v>2530</v>
      </c>
      <c r="E706" s="10">
        <v>2530</v>
      </c>
      <c r="F706" s="10">
        <v>2530</v>
      </c>
      <c r="G706" s="10">
        <v>2530</v>
      </c>
      <c r="H706" s="10">
        <v>2530</v>
      </c>
      <c r="I706" s="10">
        <v>2530</v>
      </c>
      <c r="J706" s="10">
        <v>2530</v>
      </c>
      <c r="K706" s="10">
        <v>2530</v>
      </c>
      <c r="L706" s="10">
        <v>2530</v>
      </c>
      <c r="M706" s="10">
        <v>2530</v>
      </c>
      <c r="N706" s="27">
        <f t="shared" si="444"/>
        <v>30360</v>
      </c>
      <c r="AA706" s="27">
        <f t="shared" si="445"/>
        <v>0</v>
      </c>
      <c r="AB706" s="10">
        <f t="shared" si="463"/>
        <v>2530</v>
      </c>
      <c r="AC706" s="10">
        <f t="shared" si="463"/>
        <v>2530</v>
      </c>
      <c r="AD706" s="10">
        <f t="shared" si="463"/>
        <v>2530</v>
      </c>
      <c r="AE706" s="10">
        <f t="shared" si="463"/>
        <v>2530</v>
      </c>
      <c r="AF706" s="10">
        <f t="shared" si="463"/>
        <v>2530</v>
      </c>
      <c r="AG706" s="10">
        <f t="shared" si="463"/>
        <v>2530</v>
      </c>
      <c r="AH706" s="10">
        <f t="shared" si="463"/>
        <v>2530</v>
      </c>
      <c r="AI706" s="10">
        <f t="shared" si="463"/>
        <v>2530</v>
      </c>
      <c r="AJ706" s="10">
        <f t="shared" si="462"/>
        <v>2530</v>
      </c>
      <c r="AK706" s="10">
        <f t="shared" si="462"/>
        <v>2530</v>
      </c>
      <c r="AL706" s="10">
        <f t="shared" si="462"/>
        <v>2530</v>
      </c>
      <c r="AM706" s="10">
        <f t="shared" si="462"/>
        <v>2530</v>
      </c>
      <c r="AN706" s="27">
        <f t="shared" si="462"/>
        <v>30360</v>
      </c>
      <c r="AS706" t="str">
        <f>_xlfn.XLOOKUP(AU706,[2]GAE!HZ:HZ,[2]GAE!IA:IA)</f>
        <v>OCLP-COMMON</v>
      </c>
      <c r="AT706" t="str">
        <f>_xlfn.XLOOKUP(AU706,[2]GAE!HZ:HZ,[2]GAE!IB:IB)</f>
        <v>GAE - Employee Benefits - Life Insurance</v>
      </c>
      <c r="AU706" t="s">
        <v>1166</v>
      </c>
      <c r="AV706">
        <v>80111101</v>
      </c>
      <c r="AW706">
        <v>61021301</v>
      </c>
      <c r="AX706" t="str">
        <f>_xlfn.XLOOKUP(AU706,[2]GAE!HZ:HZ,[2]GAE!IF:IF)</f>
        <v>Employee Benefits</v>
      </c>
      <c r="AY706" t="str">
        <f>_xlfn.XLOOKUP(AU706,[2]GAE!HZ:HZ,[2]GAE!IG:IG)</f>
        <v>Medical/Insurance</v>
      </c>
      <c r="AZ706" t="s">
        <v>198</v>
      </c>
      <c r="BC706" t="s">
        <v>198</v>
      </c>
      <c r="BD706" t="s">
        <v>198</v>
      </c>
      <c r="BF706" t="s">
        <v>101</v>
      </c>
      <c r="BG706" s="2" t="s">
        <v>198</v>
      </c>
      <c r="BH706" s="10">
        <f>SUMIFS('[1]2026'!$K:$K,'[1]2026'!$T:$T,BD706,'[1]2026'!$S:$S,BH$3,'[1]2026'!$P:$P,AU706)</f>
        <v>7632.5700000000006</v>
      </c>
      <c r="BI706" s="10">
        <f>SUMIFS('[1]2026'!$K:$K,'[1]2026'!$T:$T,$BD706,'[1]2026'!$S:$S,BI$3,'[1]2026'!$P:$P,$AU706)</f>
        <v>0</v>
      </c>
      <c r="BJ706" s="10">
        <f>SUMIFS('[1]2026'!$K:$K,'[1]2026'!$T:$T,$BD706,'[1]2026'!$S:$S,BJ$3,'[1]2026'!$P:$P,$AU706)</f>
        <v>0</v>
      </c>
      <c r="BK706" s="10">
        <f>SUMIFS('[1]2026'!$K:$K,'[1]2026'!$T:$T,$BD706,'[1]2026'!$S:$S,BK$3,'[1]2026'!$P:$P,$AU706)</f>
        <v>0</v>
      </c>
      <c r="BL706" s="10">
        <f>SUMIFS('[1]2026'!$K:$K,'[1]2026'!$T:$T,$BD706,'[1]2026'!$S:$S,BL$3,'[1]2026'!$P:$P,$AU706)</f>
        <v>-674.61000000000013</v>
      </c>
      <c r="BM706" s="10">
        <f>SUMIFS('[1]2026'!$K:$K,'[1]2026'!$T:$T,$BD706,'[1]2026'!$S:$S,BM$3,'[1]2026'!$P:$P,$AU706)</f>
        <v>0</v>
      </c>
      <c r="BN706" s="10">
        <f>SUMIFS('[1]2026'!$K:$K,'[1]2026'!$T:$T,$BD706,'[1]2026'!$S:$S,BN$3,'[1]2026'!$P:$P,$AU706)</f>
        <v>0</v>
      </c>
      <c r="BO706" s="10">
        <f>SUMIFS('[1]2026'!$K:$K,'[1]2026'!$T:$T,$BD706,'[1]2026'!$S:$S,BO$3,'[1]2026'!$P:$P,$AU706)</f>
        <v>0</v>
      </c>
      <c r="BP706" s="6">
        <f t="shared" si="480"/>
        <v>0</v>
      </c>
      <c r="BQ706" s="6">
        <f t="shared" si="480"/>
        <v>0</v>
      </c>
      <c r="BR706" s="6">
        <f t="shared" si="480"/>
        <v>0</v>
      </c>
      <c r="BS706" s="6">
        <f t="shared" si="480"/>
        <v>0</v>
      </c>
      <c r="BT706" s="6">
        <f t="shared" si="460"/>
        <v>6957.9600000000009</v>
      </c>
      <c r="BV706" s="6">
        <f t="shared" si="481"/>
        <v>5102.5700000000006</v>
      </c>
      <c r="BW706" s="6">
        <f t="shared" si="482"/>
        <v>-2530</v>
      </c>
      <c r="BX706" s="6">
        <f t="shared" si="483"/>
        <v>-2530</v>
      </c>
      <c r="BY706" s="6">
        <f t="shared" si="484"/>
        <v>-2530</v>
      </c>
      <c r="BZ706" s="6">
        <f t="shared" si="485"/>
        <v>-3204.61</v>
      </c>
      <c r="CA706" s="6">
        <f t="shared" si="486"/>
        <v>-2530</v>
      </c>
      <c r="CB706" s="6">
        <f t="shared" si="487"/>
        <v>-2530</v>
      </c>
      <c r="CC706" s="6">
        <f t="shared" si="488"/>
        <v>-2530</v>
      </c>
      <c r="CD706" s="6">
        <f t="shared" si="489"/>
        <v>-2530</v>
      </c>
      <c r="CE706" s="6">
        <f t="shared" si="490"/>
        <v>-2530</v>
      </c>
      <c r="CF706" s="6">
        <f t="shared" si="491"/>
        <v>-2530</v>
      </c>
      <c r="CG706" s="6">
        <f t="shared" si="492"/>
        <v>-2530</v>
      </c>
      <c r="CH706" s="6">
        <f t="shared" si="440"/>
        <v>-23402.04</v>
      </c>
    </row>
    <row r="707" spans="1:87" hidden="1" x14ac:dyDescent="0.35">
      <c r="A707" s="3" t="s">
        <v>199</v>
      </c>
      <c r="B707" s="10">
        <v>21230</v>
      </c>
      <c r="C707" s="10">
        <v>21230</v>
      </c>
      <c r="D707" s="10">
        <v>21230</v>
      </c>
      <c r="E707" s="10">
        <v>21230</v>
      </c>
      <c r="F707" s="10">
        <v>21230</v>
      </c>
      <c r="G707" s="10">
        <v>21230</v>
      </c>
      <c r="H707" s="10">
        <v>21230</v>
      </c>
      <c r="I707" s="10">
        <v>21230</v>
      </c>
      <c r="J707" s="10">
        <v>21230</v>
      </c>
      <c r="K707" s="10">
        <v>21230</v>
      </c>
      <c r="L707" s="10">
        <v>21230</v>
      </c>
      <c r="M707" s="10">
        <v>21230</v>
      </c>
      <c r="N707" s="27">
        <f t="shared" si="444"/>
        <v>254760</v>
      </c>
      <c r="AA707" s="27">
        <f t="shared" si="445"/>
        <v>0</v>
      </c>
      <c r="AB707" s="10">
        <f t="shared" si="463"/>
        <v>21230</v>
      </c>
      <c r="AC707" s="10">
        <f t="shared" si="463"/>
        <v>21230</v>
      </c>
      <c r="AD707" s="10">
        <f t="shared" si="463"/>
        <v>21230</v>
      </c>
      <c r="AE707" s="10">
        <f t="shared" si="463"/>
        <v>21230</v>
      </c>
      <c r="AF707" s="10">
        <f t="shared" si="463"/>
        <v>21230</v>
      </c>
      <c r="AG707" s="10">
        <f t="shared" si="463"/>
        <v>21230</v>
      </c>
      <c r="AH707" s="10">
        <f t="shared" si="463"/>
        <v>21230</v>
      </c>
      <c r="AI707" s="10">
        <f t="shared" si="463"/>
        <v>21230</v>
      </c>
      <c r="AJ707" s="10">
        <f t="shared" si="462"/>
        <v>21230</v>
      </c>
      <c r="AK707" s="10">
        <f t="shared" si="462"/>
        <v>21230</v>
      </c>
      <c r="AL707" s="10">
        <f t="shared" si="462"/>
        <v>21230</v>
      </c>
      <c r="AM707" s="10">
        <f t="shared" si="462"/>
        <v>21230</v>
      </c>
      <c r="AN707" s="27">
        <f t="shared" si="462"/>
        <v>254760</v>
      </c>
      <c r="AS707" t="str">
        <f>_xlfn.XLOOKUP(AU707,[2]GAE!HZ:HZ,[2]GAE!IA:IA)</f>
        <v>OCLP-COMMON</v>
      </c>
      <c r="AT707" t="str">
        <f>_xlfn.XLOOKUP(AU707,[2]GAE!HZ:HZ,[2]GAE!IB:IB)</f>
        <v>GAE - Employee Benefits - Life Insurance</v>
      </c>
      <c r="AU707" t="s">
        <v>1166</v>
      </c>
      <c r="AV707">
        <v>80111101</v>
      </c>
      <c r="AW707">
        <v>61021301</v>
      </c>
      <c r="AX707" t="str">
        <f>_xlfn.XLOOKUP(AU707,[2]GAE!HZ:HZ,[2]GAE!IF:IF)</f>
        <v>Employee Benefits</v>
      </c>
      <c r="AY707" t="str">
        <f>_xlfn.XLOOKUP(AU707,[2]GAE!HZ:HZ,[2]GAE!IG:IG)</f>
        <v>Medical/Insurance</v>
      </c>
      <c r="AZ707" t="s">
        <v>199</v>
      </c>
      <c r="BC707" t="s">
        <v>199</v>
      </c>
      <c r="BD707" t="s">
        <v>199</v>
      </c>
      <c r="BF707" t="s">
        <v>101</v>
      </c>
      <c r="BG707" s="2" t="s">
        <v>199</v>
      </c>
      <c r="BH707" s="10">
        <f>SUMIFS('[1]2026'!$K:$K,'[1]2026'!$T:$T,BD707,'[1]2026'!$S:$S,BH$3,'[1]2026'!$P:$P,AU707)</f>
        <v>0</v>
      </c>
      <c r="BI707" s="10">
        <f>SUMIFS('[1]2026'!$K:$K,'[1]2026'!$T:$T,$BD707,'[1]2026'!$S:$S,BI$3,'[1]2026'!$P:$P,$AU707)</f>
        <v>0</v>
      </c>
      <c r="BJ707" s="10">
        <f>SUMIFS('[1]2026'!$K:$K,'[1]2026'!$T:$T,$BD707,'[1]2026'!$S:$S,BJ$3,'[1]2026'!$P:$P,$AU707)</f>
        <v>14445</v>
      </c>
      <c r="BK707" s="10">
        <v>8000</v>
      </c>
      <c r="BL707" s="10">
        <f>SUMIFS('[1]2026'!$K:$K,'[1]2026'!$T:$T,$BD707,'[1]2026'!$S:$S,BL$3,'[1]2026'!$P:$P,$AU707)</f>
        <v>4815</v>
      </c>
      <c r="BM707" s="10">
        <f>SUMIFS('[1]2026'!$K:$K,'[1]2026'!$T:$T,$BD707,'[1]2026'!$S:$S,BM$3,'[1]2026'!$P:$P,$AU707)</f>
        <v>4815</v>
      </c>
      <c r="BN707" s="10">
        <f>SUMIFS('[1]2026'!$K:$K,'[1]2026'!$T:$T,$BD707,'[1]2026'!$S:$S,BN$3,'[1]2026'!$P:$P,$AU707)</f>
        <v>4815</v>
      </c>
      <c r="BO707" s="10">
        <f>SUMIFS('[1]2026'!$K:$K,'[1]2026'!$T:$T,$BD707,'[1]2026'!$S:$S,BO$3,'[1]2026'!$P:$P,$AU707)</f>
        <v>4815</v>
      </c>
      <c r="BP707" s="10">
        <v>4815</v>
      </c>
      <c r="BQ707" s="10">
        <v>4815</v>
      </c>
      <c r="BR707" s="10">
        <v>4815</v>
      </c>
      <c r="BS707" s="10">
        <v>4815</v>
      </c>
      <c r="BT707" s="6">
        <f t="shared" si="460"/>
        <v>60965</v>
      </c>
      <c r="BV707" s="6">
        <f t="shared" si="481"/>
        <v>-21230</v>
      </c>
      <c r="BW707" s="6">
        <f t="shared" si="482"/>
        <v>-21230</v>
      </c>
      <c r="BX707" s="6">
        <f t="shared" si="483"/>
        <v>-6785</v>
      </c>
      <c r="BY707" s="6">
        <f t="shared" si="484"/>
        <v>-13230</v>
      </c>
      <c r="BZ707" s="6">
        <f t="shared" si="485"/>
        <v>-16415</v>
      </c>
      <c r="CA707" s="6">
        <f t="shared" si="486"/>
        <v>-16415</v>
      </c>
      <c r="CB707" s="6">
        <f t="shared" si="487"/>
        <v>-16415</v>
      </c>
      <c r="CC707" s="6">
        <f t="shared" si="488"/>
        <v>-16415</v>
      </c>
      <c r="CD707" s="6">
        <f t="shared" si="489"/>
        <v>-16415</v>
      </c>
      <c r="CE707" s="6">
        <f t="shared" si="490"/>
        <v>-16415</v>
      </c>
      <c r="CF707" s="6">
        <f t="shared" si="491"/>
        <v>-16415</v>
      </c>
      <c r="CG707" s="6">
        <f t="shared" si="492"/>
        <v>-16415</v>
      </c>
      <c r="CH707" s="6">
        <f t="shared" si="440"/>
        <v>-193795</v>
      </c>
    </row>
    <row r="708" spans="1:87" hidden="1" x14ac:dyDescent="0.35">
      <c r="A708" s="3" t="s">
        <v>200</v>
      </c>
      <c r="B708" s="10">
        <v>45533.583333333336</v>
      </c>
      <c r="C708" s="10">
        <v>45533.583333333336</v>
      </c>
      <c r="D708" s="10">
        <v>45533.583333333336</v>
      </c>
      <c r="E708" s="10">
        <v>45533.583333333336</v>
      </c>
      <c r="F708" s="10">
        <v>45533.583333333336</v>
      </c>
      <c r="G708" s="10">
        <v>45533.583333333336</v>
      </c>
      <c r="H708" s="10">
        <v>45533.583333333336</v>
      </c>
      <c r="I708" s="10">
        <v>45533.583333333336</v>
      </c>
      <c r="J708" s="10">
        <v>45533.583333333336</v>
      </c>
      <c r="K708" s="10">
        <v>45533.583333333336</v>
      </c>
      <c r="L708" s="10">
        <v>45533.583333333336</v>
      </c>
      <c r="M708" s="10">
        <v>45533.583333333336</v>
      </c>
      <c r="N708" s="27">
        <f t="shared" si="444"/>
        <v>546402.99999999988</v>
      </c>
      <c r="O708" s="10">
        <v>7992.7593716999281</v>
      </c>
      <c r="P708" s="10">
        <v>7992.7593716999281</v>
      </c>
      <c r="Q708" s="10">
        <v>7992.7593716999281</v>
      </c>
      <c r="R708" s="10">
        <v>7992.7593716999281</v>
      </c>
      <c r="S708" s="10">
        <v>7992.7593716999281</v>
      </c>
      <c r="T708" s="10">
        <v>7992.7593716999281</v>
      </c>
      <c r="U708" s="10">
        <v>7992.7593716999281</v>
      </c>
      <c r="V708" s="10">
        <v>7992.7593716999281</v>
      </c>
      <c r="W708" s="10">
        <v>7992.7593716999281</v>
      </c>
      <c r="X708" s="10">
        <v>7992.7593716999281</v>
      </c>
      <c r="Y708" s="10">
        <v>7992.7593716999281</v>
      </c>
      <c r="Z708" s="10">
        <v>7992.7593716999281</v>
      </c>
      <c r="AA708" s="27">
        <f t="shared" si="445"/>
        <v>95913.112460399119</v>
      </c>
      <c r="AB708" s="10">
        <f t="shared" si="463"/>
        <v>37540.82396163341</v>
      </c>
      <c r="AC708" s="10">
        <f t="shared" si="463"/>
        <v>37540.82396163341</v>
      </c>
      <c r="AD708" s="10">
        <f t="shared" si="463"/>
        <v>37540.82396163341</v>
      </c>
      <c r="AE708" s="10">
        <f t="shared" si="463"/>
        <v>37540.82396163341</v>
      </c>
      <c r="AF708" s="10">
        <f t="shared" si="463"/>
        <v>37540.82396163341</v>
      </c>
      <c r="AG708" s="10">
        <f t="shared" si="463"/>
        <v>37540.82396163341</v>
      </c>
      <c r="AH708" s="10">
        <f t="shared" si="463"/>
        <v>37540.82396163341</v>
      </c>
      <c r="AI708" s="10">
        <f t="shared" si="463"/>
        <v>37540.82396163341</v>
      </c>
      <c r="AJ708" s="10">
        <f t="shared" si="462"/>
        <v>37540.82396163341</v>
      </c>
      <c r="AK708" s="10">
        <f t="shared" si="462"/>
        <v>37540.82396163341</v>
      </c>
      <c r="AL708" s="10">
        <f t="shared" si="462"/>
        <v>37540.82396163341</v>
      </c>
      <c r="AM708" s="10">
        <f t="shared" si="462"/>
        <v>37540.82396163341</v>
      </c>
      <c r="AN708" s="27">
        <f t="shared" si="462"/>
        <v>450489.88753960078</v>
      </c>
      <c r="AS708" t="str">
        <f>_xlfn.XLOOKUP(AU708,[2]GAE!HZ:HZ,[2]GAE!IA:IA)</f>
        <v>OCLP-COMMON</v>
      </c>
      <c r="AT708" t="str">
        <f>_xlfn.XLOOKUP(AU708,[2]GAE!HZ:HZ,[2]GAE!IB:IB)</f>
        <v>GAE - Health Premium / APE</v>
      </c>
      <c r="AU708" t="s">
        <v>1167</v>
      </c>
      <c r="AV708">
        <v>80111101</v>
      </c>
      <c r="AW708">
        <v>61021303</v>
      </c>
      <c r="AX708" t="str">
        <f>_xlfn.XLOOKUP(AU708,[2]GAE!HZ:HZ,[2]GAE!IF:IF)</f>
        <v>Employee Benefits</v>
      </c>
      <c r="AY708" t="str">
        <f>_xlfn.XLOOKUP(AU708,[2]GAE!HZ:HZ,[2]GAE!IG:IG)</f>
        <v>Medical/Insurance</v>
      </c>
      <c r="AZ708" t="s">
        <v>200</v>
      </c>
      <c r="BC708" t="s">
        <v>200</v>
      </c>
      <c r="BD708" t="s">
        <v>1150</v>
      </c>
      <c r="BF708" t="s">
        <v>101</v>
      </c>
      <c r="BG708" s="2" t="s">
        <v>200</v>
      </c>
      <c r="BH708" s="10">
        <f>SUMIFS('[1]2026'!$K:$K,'[1]2026'!$T:$T,BD708,'[1]2026'!$S:$S,BH$3,'[1]2026'!$P:$P,AU708)</f>
        <v>0</v>
      </c>
      <c r="BI708" s="10">
        <f>SUMIFS('[1]2026'!$K:$K,'[1]2026'!$T:$T,$BD708,'[1]2026'!$S:$S,BI$3,'[1]2026'!$P:$P,$AU708)</f>
        <v>0</v>
      </c>
      <c r="BK708" s="10">
        <f>SUMIFS('[1]2026'!$K:$K,'[1]2026'!$T:$T,$BD708,'[1]2026'!$S:$S,BK$3,'[1]2026'!$P:$P,$AU708)</f>
        <v>0</v>
      </c>
      <c r="BL708" s="6"/>
      <c r="BM708" s="10">
        <f>SUMIFS('[1]2026'!$K:$K,'[1]2026'!$T:$T,$BD708,'[1]2026'!$S:$S,BM$3,'[1]2026'!$P:$P,$AU708)</f>
        <v>0</v>
      </c>
      <c r="BN708" s="10">
        <f>SUMIFS('[1]2026'!$K:$K,'[1]2026'!$T:$T,$BD708,'[1]2026'!$S:$S,BN$3,'[1]2026'!$P:$P,$AU708)</f>
        <v>0</v>
      </c>
      <c r="BO708" s="10">
        <f>SUMIFS('[1]2026'!$K:$K,'[1]2026'!$T:$T,$BD708,'[1]2026'!$S:$S,BO$3,'[1]2026'!$P:$P,$AU708)</f>
        <v>0</v>
      </c>
      <c r="BP708" s="6"/>
      <c r="BQ708" s="6"/>
      <c r="BR708" s="6"/>
      <c r="BS708" s="6">
        <v>100000</v>
      </c>
      <c r="BT708" s="6">
        <f t="shared" si="460"/>
        <v>100000</v>
      </c>
      <c r="BV708" s="6">
        <f t="shared" si="481"/>
        <v>-37540.82396163341</v>
      </c>
      <c r="BW708" s="6">
        <f t="shared" si="482"/>
        <v>-37540.82396163341</v>
      </c>
      <c r="BX708" s="6">
        <f t="shared" si="483"/>
        <v>-37540.82396163341</v>
      </c>
      <c r="BY708" s="6">
        <f t="shared" si="484"/>
        <v>-37540.82396163341</v>
      </c>
      <c r="BZ708" s="6">
        <f t="shared" si="485"/>
        <v>-37540.82396163341</v>
      </c>
      <c r="CA708" s="6">
        <f t="shared" si="486"/>
        <v>-37540.82396163341</v>
      </c>
      <c r="CB708" s="6">
        <f t="shared" si="487"/>
        <v>-37540.82396163341</v>
      </c>
      <c r="CC708" s="6">
        <f t="shared" si="488"/>
        <v>-37540.82396163341</v>
      </c>
      <c r="CD708" s="6">
        <f t="shared" si="489"/>
        <v>-37540.82396163341</v>
      </c>
      <c r="CE708" s="6">
        <f t="shared" si="490"/>
        <v>-37540.82396163341</v>
      </c>
      <c r="CF708" s="6">
        <f t="shared" si="491"/>
        <v>-37540.82396163341</v>
      </c>
      <c r="CG708" s="6">
        <f t="shared" si="492"/>
        <v>62459.17603836659</v>
      </c>
      <c r="CH708" s="6">
        <f t="shared" si="440"/>
        <v>-350489.88753960078</v>
      </c>
    </row>
    <row r="709" spans="1:87" hidden="1" x14ac:dyDescent="0.35">
      <c r="A709" s="3" t="s">
        <v>201</v>
      </c>
      <c r="B709" s="10">
        <v>250339.82379999993</v>
      </c>
      <c r="C709" s="10">
        <v>250339.82379999993</v>
      </c>
      <c r="D709" s="10">
        <v>250339.82379999993</v>
      </c>
      <c r="E709" s="10">
        <v>250339.82379999993</v>
      </c>
      <c r="F709" s="10">
        <v>250339.82379999993</v>
      </c>
      <c r="G709" s="10">
        <v>250339.82379999993</v>
      </c>
      <c r="H709" s="10">
        <v>250339.82379999993</v>
      </c>
      <c r="I709" s="10">
        <v>250339.82379999993</v>
      </c>
      <c r="J709" s="10">
        <v>250339.82379999993</v>
      </c>
      <c r="K709" s="10">
        <v>250339.82379999993</v>
      </c>
      <c r="L709" s="10">
        <v>250339.82379999993</v>
      </c>
      <c r="M709" s="10">
        <v>250339.82379999993</v>
      </c>
      <c r="N709" s="27">
        <f t="shared" si="444"/>
        <v>3004077.8855999992</v>
      </c>
      <c r="O709" s="10">
        <v>43943.520942318959</v>
      </c>
      <c r="P709" s="10">
        <v>43943.520942318959</v>
      </c>
      <c r="Q709" s="10">
        <v>43943.520942318959</v>
      </c>
      <c r="R709" s="10">
        <v>43943.520942318959</v>
      </c>
      <c r="S709" s="10">
        <v>43943.520942318959</v>
      </c>
      <c r="T709" s="10">
        <v>43943.520942318959</v>
      </c>
      <c r="U709" s="10">
        <v>43943.520942318959</v>
      </c>
      <c r="V709" s="10">
        <v>43943.520942318959</v>
      </c>
      <c r="W709" s="10">
        <v>43943.520942318959</v>
      </c>
      <c r="X709" s="10">
        <v>43943.520942318959</v>
      </c>
      <c r="Y709" s="10">
        <v>43943.520942318959</v>
      </c>
      <c r="Z709" s="10">
        <v>43943.520942318959</v>
      </c>
      <c r="AA709" s="27">
        <f t="shared" si="445"/>
        <v>527322.25130782754</v>
      </c>
      <c r="AB709" s="10">
        <f t="shared" si="463"/>
        <v>206396.30285768097</v>
      </c>
      <c r="AC709" s="10">
        <f t="shared" si="463"/>
        <v>206396.30285768097</v>
      </c>
      <c r="AD709" s="10">
        <f t="shared" si="463"/>
        <v>206396.30285768097</v>
      </c>
      <c r="AE709" s="10">
        <f t="shared" si="463"/>
        <v>206396.30285768097</v>
      </c>
      <c r="AF709" s="10">
        <f t="shared" si="463"/>
        <v>206396.30285768097</v>
      </c>
      <c r="AG709" s="10">
        <f t="shared" si="463"/>
        <v>206396.30285768097</v>
      </c>
      <c r="AH709" s="10">
        <f t="shared" si="463"/>
        <v>206396.30285768097</v>
      </c>
      <c r="AI709" s="10">
        <f t="shared" si="463"/>
        <v>206396.30285768097</v>
      </c>
      <c r="AJ709" s="10">
        <f t="shared" si="462"/>
        <v>206396.30285768097</v>
      </c>
      <c r="AK709" s="10">
        <f t="shared" si="462"/>
        <v>206396.30285768097</v>
      </c>
      <c r="AL709" s="10">
        <f t="shared" si="462"/>
        <v>206396.30285768097</v>
      </c>
      <c r="AM709" s="10">
        <f t="shared" si="462"/>
        <v>206396.30285768097</v>
      </c>
      <c r="AN709" s="27">
        <f t="shared" si="462"/>
        <v>2476755.6342921718</v>
      </c>
      <c r="AS709" t="str">
        <f>_xlfn.XLOOKUP(AU709,[2]GAE!HZ:HZ,[2]GAE!IA:IA)</f>
        <v>OCLP-COMMON</v>
      </c>
      <c r="AT709" t="str">
        <f>_xlfn.XLOOKUP(AU709,[2]GAE!HZ:HZ,[2]GAE!IB:IB)</f>
        <v>GAE - Health Premium / APE</v>
      </c>
      <c r="AU709" t="s">
        <v>1167</v>
      </c>
      <c r="AV709">
        <v>80111101</v>
      </c>
      <c r="AW709">
        <v>61021303</v>
      </c>
      <c r="AX709" t="str">
        <f>_xlfn.XLOOKUP(AU709,[2]GAE!HZ:HZ,[2]GAE!IF:IF)</f>
        <v>Employee Benefits</v>
      </c>
      <c r="AY709" t="str">
        <f>_xlfn.XLOOKUP(AU709,[2]GAE!HZ:HZ,[2]GAE!IG:IG)</f>
        <v>Medical/Insurance</v>
      </c>
      <c r="AZ709" t="s">
        <v>201</v>
      </c>
      <c r="BC709" t="s">
        <v>201</v>
      </c>
      <c r="BD709" s="2" t="s">
        <v>1151</v>
      </c>
      <c r="BE709" s="2"/>
      <c r="BF709" t="s">
        <v>101</v>
      </c>
      <c r="BG709" s="2" t="s">
        <v>201</v>
      </c>
      <c r="BH709" s="10">
        <f>SUMIFS('[1]2026'!$K:$K,'[1]2026'!$T:$T,BD709,'[1]2026'!$S:$S,BH$3,'[1]2026'!$P:$P,AU709)</f>
        <v>138149.38</v>
      </c>
      <c r="BI709" s="10">
        <f>SUMIFS('[1]2026'!$K:$K,'[1]2026'!$T:$T,$BD709,'[1]2026'!$S:$S,BI$3,'[1]2026'!$P:$P,$AU709)</f>
        <v>138149.39000000001</v>
      </c>
      <c r="BJ709" s="10">
        <f>SUMIFS('[1]2026'!$K:$K,'[1]2026'!$T:$T,$BD709,'[1]2026'!$S:$S,BJ$3,'[1]2026'!$P:$P,$AU709)</f>
        <v>131914.25</v>
      </c>
      <c r="BK709" s="10">
        <f>SUMIFS('[1]2026'!$K:$K,'[1]2026'!$T:$T,$BD709,'[1]2026'!$S:$S,BK$3,'[1]2026'!$P:$P,$AU709)</f>
        <v>138149.39000000001</v>
      </c>
      <c r="BL709" s="10">
        <f>SUMIFS('[1]2026'!$K:$K,'[1]2026'!$T:$T,$BD709,'[1]2026'!$S:$S,BL$3,'[1]2026'!$P:$P,$AU709)</f>
        <v>138149.38</v>
      </c>
      <c r="BM709" s="10">
        <f>SUMIFS('[1]2026'!$K:$K,'[1]2026'!$T:$T,$BD709,'[1]2026'!$S:$S,BM$3,'[1]2026'!$P:$P,$AU709)</f>
        <v>138149.40999999992</v>
      </c>
      <c r="BN709" s="10">
        <f>SUMIFS('[1]2026'!$K:$K,'[1]2026'!$T:$T,$BD709,'[1]2026'!$S:$S,BN$3,'[1]2026'!$P:$P,$AU709)</f>
        <v>138149.38</v>
      </c>
      <c r="BO709" s="10">
        <f>SUMIFS('[1]2026'!$K:$K,'[1]2026'!$T:$T,$BD709,'[1]2026'!$S:$S,BO$3,'[1]2026'!$P:$P,$AU709)</f>
        <v>138149.38</v>
      </c>
      <c r="BP709" s="6">
        <v>138149.40999999992</v>
      </c>
      <c r="BQ709" s="6">
        <v>138149.40999999992</v>
      </c>
      <c r="BR709" s="6">
        <v>138149.40999999992</v>
      </c>
      <c r="BS709" s="6">
        <v>138149.40999999992</v>
      </c>
      <c r="BT709" s="6">
        <f t="shared" si="460"/>
        <v>1651557.5999999996</v>
      </c>
      <c r="BV709" s="6">
        <f t="shared" si="481"/>
        <v>-68246.922857680969</v>
      </c>
      <c r="BW709" s="6">
        <f t="shared" si="482"/>
        <v>-68246.91285768096</v>
      </c>
      <c r="BX709" s="6">
        <f t="shared" si="483"/>
        <v>-74482.052857680974</v>
      </c>
      <c r="BY709" s="6">
        <f t="shared" si="484"/>
        <v>-68246.91285768096</v>
      </c>
      <c r="BZ709" s="6">
        <f t="shared" si="485"/>
        <v>-68246.922857680969</v>
      </c>
      <c r="CA709" s="6">
        <f t="shared" si="486"/>
        <v>-68246.892857681058</v>
      </c>
      <c r="CB709" s="6">
        <f t="shared" si="487"/>
        <v>-68246.922857680969</v>
      </c>
      <c r="CC709" s="6">
        <f t="shared" si="488"/>
        <v>-68246.922857680969</v>
      </c>
      <c r="CD709" s="6">
        <f t="shared" si="489"/>
        <v>-68246.892857681058</v>
      </c>
      <c r="CE709" s="6">
        <f t="shared" si="490"/>
        <v>-68246.892857681058</v>
      </c>
      <c r="CF709" s="6">
        <f t="shared" si="491"/>
        <v>-68246.892857681058</v>
      </c>
      <c r="CG709" s="6">
        <f t="shared" si="492"/>
        <v>-68246.892857681058</v>
      </c>
      <c r="CH709" s="6">
        <f t="shared" ref="CH709:CH716" si="493">BT709-AN709</f>
        <v>-825198.03429217217</v>
      </c>
      <c r="CI709" s="43" t="s">
        <v>1168</v>
      </c>
    </row>
    <row r="710" spans="1:87" hidden="1" x14ac:dyDescent="0.35">
      <c r="A710" s="3" t="s">
        <v>1133</v>
      </c>
      <c r="B710" s="10">
        <v>16031581.333333334</v>
      </c>
      <c r="C710" s="10">
        <v>16031581.333333334</v>
      </c>
      <c r="D710" s="10">
        <v>16031581.333333334</v>
      </c>
      <c r="E710" s="10">
        <v>16031581.333333334</v>
      </c>
      <c r="F710" s="10">
        <v>16031581.333333334</v>
      </c>
      <c r="G710" s="10">
        <v>16031581.333333334</v>
      </c>
      <c r="H710" s="10">
        <v>16031581.333333334</v>
      </c>
      <c r="I710" s="10">
        <v>16031581.333333334</v>
      </c>
      <c r="J710" s="10">
        <v>16031581.333333334</v>
      </c>
      <c r="K710" s="10">
        <v>16031581.333333334</v>
      </c>
      <c r="L710" s="10">
        <v>16031581.333333334</v>
      </c>
      <c r="M710" s="10">
        <v>16031581.333333334</v>
      </c>
      <c r="N710" s="27">
        <f t="shared" si="444"/>
        <v>192378976.00000003</v>
      </c>
      <c r="AA710" s="27">
        <f t="shared" si="445"/>
        <v>0</v>
      </c>
      <c r="AB710" s="10">
        <f t="shared" si="463"/>
        <v>16031581.333333334</v>
      </c>
      <c r="AC710" s="10">
        <f t="shared" si="463"/>
        <v>16031581.333333334</v>
      </c>
      <c r="AD710" s="10">
        <f t="shared" si="463"/>
        <v>16031581.333333334</v>
      </c>
      <c r="AE710" s="10">
        <f t="shared" si="463"/>
        <v>16031581.333333334</v>
      </c>
      <c r="AF710" s="10">
        <f t="shared" si="463"/>
        <v>16031581.333333334</v>
      </c>
      <c r="AG710" s="10">
        <f t="shared" si="463"/>
        <v>16031581.333333334</v>
      </c>
      <c r="AH710" s="10">
        <f t="shared" si="463"/>
        <v>16031581.333333334</v>
      </c>
      <c r="AI710" s="10">
        <f t="shared" si="463"/>
        <v>16031581.333333334</v>
      </c>
      <c r="AJ710" s="10">
        <f t="shared" si="462"/>
        <v>16031581.333333334</v>
      </c>
      <c r="AK710" s="10">
        <f t="shared" si="462"/>
        <v>16031581.333333334</v>
      </c>
      <c r="AL710" s="10">
        <f t="shared" si="462"/>
        <v>16031581.333333334</v>
      </c>
      <c r="AM710" s="10">
        <f t="shared" si="462"/>
        <v>16031581.333333334</v>
      </c>
      <c r="AN710" s="27">
        <f t="shared" si="462"/>
        <v>192378976.00000003</v>
      </c>
      <c r="AS710" t="str">
        <f>_xlfn.XLOOKUP(AU710,[2]GAE!HZ:HZ,[2]GAE!IA:IA)</f>
        <v>RED-COMMON</v>
      </c>
      <c r="AT710" t="str">
        <f>_xlfn.XLOOKUP(AU710,[2]GAE!HZ:HZ,[2]GAE!IB:IB)</f>
        <v>DOE - Payroll - Regular - Basic</v>
      </c>
      <c r="AU710" t="s">
        <v>1169</v>
      </c>
      <c r="AV710">
        <v>90311101</v>
      </c>
      <c r="AW710">
        <v>52121101</v>
      </c>
      <c r="AX710" t="str">
        <f>_xlfn.XLOOKUP(AU710,[2]GAE!HZ:HZ,[2]GAE!IF:IF)</f>
        <v>Salaries</v>
      </c>
      <c r="AY710" t="str">
        <f>_xlfn.XLOOKUP(AU710,[2]GAE!HZ:HZ,[2]GAE!IG:IG)</f>
        <v>Regular Employee</v>
      </c>
      <c r="AZ710" t="s">
        <v>1133</v>
      </c>
      <c r="BD710" t="s">
        <v>1135</v>
      </c>
      <c r="BF710" s="37" t="s">
        <v>1263</v>
      </c>
      <c r="BG710" s="37" t="s">
        <v>1263</v>
      </c>
      <c r="BH710" s="10">
        <f>SUMIFS('[1]2026'!$K:$K,'[1]2026'!$T:$T,BD710,'[1]2026'!$S:$S,BH$3,'[1]2026'!$P:$P,AU710)</f>
        <v>0</v>
      </c>
      <c r="BI710" s="10">
        <f>SUMIFS('[1]2026'!$K:$K,'[1]2026'!$T:$T,$BD710,'[1]2026'!$S:$S,BI$3,'[1]2026'!$P:$P,$AU710)</f>
        <v>0</v>
      </c>
      <c r="BJ710" s="6"/>
      <c r="BK710" s="10">
        <f>SUMIFS('[1]2026'!$K:$K,'[1]2026'!$T:$T,$BD710,'[1]2026'!$S:$S,BK$3,'[1]2026'!$P:$P,$AU710)</f>
        <v>0</v>
      </c>
      <c r="BL710" s="6"/>
      <c r="BM710" s="10">
        <f>SUMIFS('[1]2026'!$K:$K,'[1]2026'!$T:$T,$BD710,'[1]2026'!$S:$S,BM$3,'[1]2026'!$P:$P,$AU710)</f>
        <v>0</v>
      </c>
      <c r="BN710" s="10">
        <f>SUMIFS('[1]2026'!$K:$K,'[1]2026'!$T:$T,$BD710,'[1]2026'!$S:$S,BN$3,'[1]2026'!$P:$P,$AU710)</f>
        <v>0</v>
      </c>
      <c r="BO710" s="10">
        <f>SUMIFS('[1]2026'!$K:$K,'[1]2026'!$T:$T,$BD710,'[1]2026'!$S:$S,BO$3,'[1]2026'!$P:$P,$AU710)</f>
        <v>0</v>
      </c>
      <c r="BP710" s="6"/>
      <c r="BQ710" s="6"/>
      <c r="BR710" s="6"/>
      <c r="BS710" s="6"/>
      <c r="BT710" s="6">
        <f t="shared" si="460"/>
        <v>0</v>
      </c>
      <c r="BV710" s="6">
        <f t="shared" si="481"/>
        <v>-16031581.333333334</v>
      </c>
      <c r="BW710" s="6">
        <f t="shared" si="482"/>
        <v>-16031581.333333334</v>
      </c>
      <c r="BX710" s="6">
        <f t="shared" si="483"/>
        <v>-16031581.333333334</v>
      </c>
      <c r="BY710" s="6">
        <f t="shared" si="484"/>
        <v>-16031581.333333334</v>
      </c>
      <c r="BZ710" s="6">
        <f t="shared" si="485"/>
        <v>-16031581.333333334</v>
      </c>
      <c r="CA710" s="6">
        <f t="shared" si="486"/>
        <v>-16031581.333333334</v>
      </c>
      <c r="CB710" s="6">
        <f t="shared" si="487"/>
        <v>-16031581.333333334</v>
      </c>
      <c r="CC710" s="6">
        <f t="shared" si="488"/>
        <v>-16031581.333333334</v>
      </c>
      <c r="CD710" s="6">
        <f t="shared" si="489"/>
        <v>-16031581.333333334</v>
      </c>
      <c r="CE710" s="6">
        <f t="shared" si="490"/>
        <v>-16031581.333333334</v>
      </c>
      <c r="CF710" s="6">
        <f t="shared" si="491"/>
        <v>-16031581.333333334</v>
      </c>
      <c r="CG710" s="6">
        <f t="shared" si="492"/>
        <v>-16031581.333333334</v>
      </c>
      <c r="CH710" s="6">
        <f t="shared" si="493"/>
        <v>-192378976.00000003</v>
      </c>
      <c r="CI710" t="s">
        <v>1170</v>
      </c>
    </row>
    <row r="711" spans="1:87" hidden="1" x14ac:dyDescent="0.35">
      <c r="AN711" s="27">
        <f>N711-AA711</f>
        <v>0</v>
      </c>
      <c r="AS711" t="str">
        <f>_xlfn.XLOOKUP(AU711,[2]GAE!HZ:HZ,[2]GAE!IA:IA)</f>
        <v>OHI-COMMON</v>
      </c>
      <c r="AT711" t="str">
        <f>_xlfn.XLOOKUP(AU711,[2]GAE!HZ:HZ,[2]GAE!IB:IB)</f>
        <v>DOE - Payroll - Regular - Basic</v>
      </c>
      <c r="AU711" t="s">
        <v>1171</v>
      </c>
      <c r="AV711">
        <v>90111101</v>
      </c>
      <c r="AW711">
        <v>52121101</v>
      </c>
      <c r="AX711" t="str">
        <f>_xlfn.XLOOKUP(AU711,[2]GAE!HZ:HZ,[2]GAE!IF:IF)</f>
        <v>Salaries</v>
      </c>
      <c r="AY711" t="str">
        <f>_xlfn.XLOOKUP(AU711,[2]GAE!HZ:HZ,[2]GAE!IG:IG)</f>
        <v>Regular Employee</v>
      </c>
      <c r="BC711" t="s">
        <v>185</v>
      </c>
      <c r="BD711" t="s">
        <v>1135</v>
      </c>
      <c r="BF711" t="s">
        <v>184</v>
      </c>
      <c r="BG711" s="2" t="s">
        <v>185</v>
      </c>
      <c r="BH711" s="10">
        <f>SUMIFS('[1]2026'!$K:$K,'[1]2026'!$T:$T,BD711,'[1]2026'!$S:$S,BH$3,'[1]2026'!$P:$P,AU711)</f>
        <v>16087334.160000004</v>
      </c>
      <c r="BI711" s="10">
        <f>SUMIFS('[1]2026'!$K:$K,'[1]2026'!$T:$T,$BD711,'[1]2026'!$S:$S,BI$3,'[1]2026'!$P:$P,$AU711)</f>
        <v>16619519.539999999</v>
      </c>
      <c r="BJ711" s="10">
        <f>SUMIFS('[1]2026'!$K:$K,'[1]2026'!$T:$T,$BD711,'[1]2026'!$S:$S,BJ$3,'[1]2026'!$P:$P,$AU711)</f>
        <v>16663458.709999997</v>
      </c>
      <c r="BK711" s="10">
        <f>SUMIFS('[1]2026'!$K:$K,'[1]2026'!$T:$T,$BD711,'[1]2026'!$S:$S,BK$3,'[1]2026'!$P:$P,$AU711)</f>
        <v>19851815.429999992</v>
      </c>
      <c r="BL711" s="10">
        <f>SUMIFS('[1]2026'!$K:$K,'[1]2026'!$T:$T,$BD711,'[1]2026'!$S:$S,BL$3,'[1]2026'!$P:$P,$AU711)</f>
        <v>17364548.219999995</v>
      </c>
      <c r="BM711" s="10">
        <f>SUMIFS('[1]2026'!$K:$K,'[1]2026'!$T:$T,$BD711,'[1]2026'!$S:$S,BM$3,'[1]2026'!$P:$P,$AU711)</f>
        <v>17451570.93</v>
      </c>
      <c r="BN711" s="10">
        <f>SUMIFS('[1]2026'!$K:$K,'[1]2026'!$T:$T,$BD711,'[1]2026'!$S:$S,BN$3,'[1]2026'!$P:$P,$AU711)</f>
        <v>16900831.199999992</v>
      </c>
      <c r="BO711" s="10">
        <f>SUMIFS('[1]2026'!$K:$K,'[1]2026'!$T:$T,$BD711,'[1]2026'!$S:$S,BO$3,'[1]2026'!$P:$P,$AU711)</f>
        <v>16991394.810000006</v>
      </c>
      <c r="BP711" s="6">
        <v>17000000</v>
      </c>
      <c r="BQ711" s="6">
        <v>17000000</v>
      </c>
      <c r="BR711" s="6">
        <v>17000000</v>
      </c>
      <c r="BS711" s="6">
        <v>17000000</v>
      </c>
      <c r="BT711" s="6">
        <f t="shared" si="460"/>
        <v>205930472.99999997</v>
      </c>
      <c r="BV711" s="6">
        <f t="shared" si="481"/>
        <v>16087334.160000004</v>
      </c>
      <c r="BW711" s="6">
        <f t="shared" si="482"/>
        <v>16619519.539999999</v>
      </c>
      <c r="BX711" s="6">
        <f t="shared" si="483"/>
        <v>16663458.709999997</v>
      </c>
      <c r="BY711" s="6">
        <f t="shared" si="484"/>
        <v>19851815.429999992</v>
      </c>
      <c r="BZ711" s="6">
        <f t="shared" si="485"/>
        <v>17364548.219999995</v>
      </c>
      <c r="CA711" s="6">
        <f t="shared" si="486"/>
        <v>17451570.93</v>
      </c>
      <c r="CB711" s="6">
        <f t="shared" si="487"/>
        <v>16900831.199999992</v>
      </c>
      <c r="CC711" s="6">
        <f t="shared" si="488"/>
        <v>16991394.810000006</v>
      </c>
      <c r="CD711" s="6">
        <f t="shared" si="489"/>
        <v>17000000</v>
      </c>
      <c r="CE711" s="6">
        <f t="shared" si="490"/>
        <v>17000000</v>
      </c>
      <c r="CF711" s="6">
        <f t="shared" si="491"/>
        <v>17000000</v>
      </c>
      <c r="CG711" s="6">
        <f t="shared" si="492"/>
        <v>17000000</v>
      </c>
      <c r="CH711" s="6">
        <f t="shared" si="493"/>
        <v>205930472.99999997</v>
      </c>
    </row>
    <row r="712" spans="1:87" hidden="1" x14ac:dyDescent="0.35">
      <c r="A712" s="3" t="s">
        <v>186</v>
      </c>
      <c r="E712" s="10">
        <f>45998547.36/3</f>
        <v>15332849.119999999</v>
      </c>
      <c r="I712" s="10">
        <f>45998547.36/3</f>
        <v>15332849.119999999</v>
      </c>
      <c r="M712" s="10">
        <f>45998547.36/3</f>
        <v>15332849.119999999</v>
      </c>
      <c r="N712" s="27">
        <f t="shared" si="444"/>
        <v>45998547.359999999</v>
      </c>
      <c r="AA712" s="27">
        <f t="shared" si="445"/>
        <v>0</v>
      </c>
      <c r="AB712" s="10">
        <f t="shared" ref="AB712:AN748" si="494">B712-O712</f>
        <v>0</v>
      </c>
      <c r="AC712" s="10">
        <f t="shared" si="494"/>
        <v>0</v>
      </c>
      <c r="AD712" s="10">
        <f t="shared" si="463"/>
        <v>0</v>
      </c>
      <c r="AE712" s="10">
        <f t="shared" si="463"/>
        <v>15332849.119999999</v>
      </c>
      <c r="AF712" s="10">
        <f t="shared" si="463"/>
        <v>0</v>
      </c>
      <c r="AG712" s="10">
        <f t="shared" si="463"/>
        <v>0</v>
      </c>
      <c r="AH712" s="10">
        <f t="shared" si="463"/>
        <v>0</v>
      </c>
      <c r="AI712" s="10">
        <f t="shared" si="463"/>
        <v>15332849.119999999</v>
      </c>
      <c r="AJ712" s="10">
        <f t="shared" si="462"/>
        <v>0</v>
      </c>
      <c r="AK712" s="10">
        <f t="shared" si="462"/>
        <v>0</v>
      </c>
      <c r="AL712" s="10">
        <f t="shared" si="462"/>
        <v>0</v>
      </c>
      <c r="AM712" s="10">
        <f t="shared" si="462"/>
        <v>15332849.119999999</v>
      </c>
      <c r="AN712" s="27">
        <f t="shared" si="462"/>
        <v>45998547.359999999</v>
      </c>
      <c r="AS712" t="str">
        <f>_xlfn.XLOOKUP(AU712,[2]GAE!HZ:HZ,[2]GAE!IA:IA)</f>
        <v>OHI-COMMON</v>
      </c>
      <c r="AT712" t="str">
        <f>_xlfn.XLOOKUP(AU712,[2]GAE!HZ:HZ,[2]GAE!IB:IB)</f>
        <v>DOE - Payroll - Regular - Guaranteed Bonus</v>
      </c>
      <c r="AU712" t="s">
        <v>1172</v>
      </c>
      <c r="AV712">
        <v>90111101</v>
      </c>
      <c r="AW712">
        <v>52121104</v>
      </c>
      <c r="AX712" t="str">
        <f>_xlfn.XLOOKUP(AU712,[2]GAE!HZ:HZ,[2]GAE!IF:IF)</f>
        <v>Salaries</v>
      </c>
      <c r="AY712" t="str">
        <f>_xlfn.XLOOKUP(AU712,[2]GAE!HZ:HZ,[2]GAE!IG:IG)</f>
        <v>Guaranteed Bonus</v>
      </c>
      <c r="AZ712" t="s">
        <v>186</v>
      </c>
      <c r="BC712" t="s">
        <v>186</v>
      </c>
      <c r="BD712" t="s">
        <v>186</v>
      </c>
      <c r="BF712" t="s">
        <v>184</v>
      </c>
      <c r="BG712" s="2" t="s">
        <v>186</v>
      </c>
      <c r="BH712" s="10">
        <f>SUMIFS('[1]2026'!$K:$K,'[1]2026'!$T:$T,BD712,'[1]2026'!$S:$S,BH$3,'[1]2026'!$P:$P,AU712)</f>
        <v>0</v>
      </c>
      <c r="BI712" s="10">
        <f>SUMIFS('[1]2026'!$K:$K,'[1]2026'!$T:$T,$BD712,'[1]2026'!$S:$S,BI$3,'[1]2026'!$P:$P,$AU712)</f>
        <v>0</v>
      </c>
      <c r="BJ712" s="10">
        <f>SUMIFS('[1]2026'!$K:$K,'[1]2026'!$T:$T,$BD712,'[1]2026'!$S:$S,BJ$3,'[1]2026'!$P:$P,$AU712)</f>
        <v>14550</v>
      </c>
      <c r="BK712" s="10">
        <f>SUMIFS('[1]2026'!$K:$K,'[1]2026'!$T:$T,$BD712,'[1]2026'!$S:$S,BK$3,'[1]2026'!$P:$P,$AU712)</f>
        <v>14096582.33</v>
      </c>
      <c r="BL712" s="10">
        <f>SUMIFS('[1]2026'!$K:$K,'[1]2026'!$T:$T,$BD712,'[1]2026'!$S:$S,BL$3,'[1]2026'!$P:$P,$AU712)</f>
        <v>11750</v>
      </c>
      <c r="BM712" s="10">
        <f>SUMIFS('[1]2026'!$K:$K,'[1]2026'!$T:$T,$BD712,'[1]2026'!$S:$S,BM$3,'[1]2026'!$P:$P,$AU712)</f>
        <v>29116</v>
      </c>
      <c r="BN712" s="10">
        <f>SUMIFS('[1]2026'!$K:$K,'[1]2026'!$T:$T,$BD712,'[1]2026'!$S:$S,BN$3,'[1]2026'!$P:$P,$AU712)</f>
        <v>0</v>
      </c>
      <c r="BO712" s="10">
        <f>SUMIFS('[1]2026'!$K:$K,'[1]2026'!$T:$T,$BD712,'[1]2026'!$S:$S,BO$3,'[1]2026'!$P:$P,$AU712)</f>
        <v>11713786.699999999</v>
      </c>
      <c r="BP712" s="6">
        <f>AJ712</f>
        <v>0</v>
      </c>
      <c r="BQ712" s="6">
        <f>AK712</f>
        <v>0</v>
      </c>
      <c r="BR712" s="6"/>
      <c r="BS712" s="6">
        <f>BO712</f>
        <v>11713786.699999999</v>
      </c>
      <c r="BT712" s="6">
        <f t="shared" si="460"/>
        <v>37579571.730000004</v>
      </c>
      <c r="BV712" s="6">
        <f t="shared" si="481"/>
        <v>0</v>
      </c>
      <c r="BW712" s="6">
        <f t="shared" si="482"/>
        <v>0</v>
      </c>
      <c r="BX712" s="6">
        <f t="shared" si="483"/>
        <v>14550</v>
      </c>
      <c r="BY712" s="6">
        <f t="shared" si="484"/>
        <v>-1236266.7899999991</v>
      </c>
      <c r="BZ712" s="6">
        <f t="shared" si="485"/>
        <v>11750</v>
      </c>
      <c r="CA712" s="6">
        <f t="shared" si="486"/>
        <v>29116</v>
      </c>
      <c r="CB712" s="6">
        <f t="shared" si="487"/>
        <v>0</v>
      </c>
      <c r="CC712" s="6">
        <f t="shared" si="488"/>
        <v>-3619062.42</v>
      </c>
      <c r="CD712" s="6">
        <f t="shared" si="489"/>
        <v>0</v>
      </c>
      <c r="CE712" s="6">
        <f t="shared" si="490"/>
        <v>0</v>
      </c>
      <c r="CF712" s="6">
        <f t="shared" si="491"/>
        <v>0</v>
      </c>
      <c r="CG712" s="6">
        <f t="shared" si="492"/>
        <v>-3619062.42</v>
      </c>
      <c r="CH712" s="6">
        <f t="shared" si="493"/>
        <v>-8418975.6299999952</v>
      </c>
    </row>
    <row r="713" spans="1:87" hidden="1" x14ac:dyDescent="0.35">
      <c r="A713" s="3" t="s">
        <v>202</v>
      </c>
      <c r="C713" s="10">
        <v>4970983.9849999994</v>
      </c>
      <c r="N713" s="27">
        <f t="shared" si="444"/>
        <v>4970983.9849999994</v>
      </c>
      <c r="AA713" s="27">
        <f t="shared" si="445"/>
        <v>0</v>
      </c>
      <c r="AB713" s="10">
        <f t="shared" si="494"/>
        <v>0</v>
      </c>
      <c r="AC713" s="10">
        <f t="shared" si="494"/>
        <v>4970983.9849999994</v>
      </c>
      <c r="AD713" s="10">
        <f t="shared" si="463"/>
        <v>0</v>
      </c>
      <c r="AE713" s="10">
        <f t="shared" si="463"/>
        <v>0</v>
      </c>
      <c r="AF713" s="10">
        <f t="shared" si="463"/>
        <v>0</v>
      </c>
      <c r="AG713" s="10">
        <f t="shared" si="463"/>
        <v>0</v>
      </c>
      <c r="AH713" s="10">
        <f t="shared" si="463"/>
        <v>0</v>
      </c>
      <c r="AI713" s="10">
        <f t="shared" si="463"/>
        <v>0</v>
      </c>
      <c r="AJ713" s="10">
        <f t="shared" si="462"/>
        <v>0</v>
      </c>
      <c r="AK713" s="10">
        <f t="shared" si="462"/>
        <v>0</v>
      </c>
      <c r="AL713" s="10">
        <f t="shared" si="462"/>
        <v>0</v>
      </c>
      <c r="AM713" s="10">
        <f t="shared" si="462"/>
        <v>0</v>
      </c>
      <c r="AN713" s="27">
        <f t="shared" si="462"/>
        <v>4970983.9849999994</v>
      </c>
      <c r="AS713" t="str">
        <f>_xlfn.XLOOKUP(AU713,[2]GAE!HZ:HZ,[2]GAE!IA:IA)</f>
        <v>OHI-COMMON</v>
      </c>
      <c r="AT713" t="str">
        <f>_xlfn.XLOOKUP(AU713,[2]GAE!HZ:HZ,[2]GAE!IB:IB)</f>
        <v>DOE - Payroll - Regular - Leave Encashment</v>
      </c>
      <c r="AU713" t="s">
        <v>1173</v>
      </c>
      <c r="AV713">
        <v>90111101</v>
      </c>
      <c r="AW713">
        <v>52121106</v>
      </c>
      <c r="AX713" t="str">
        <f>_xlfn.XLOOKUP(AU713,[2]GAE!HZ:HZ,[2]GAE!IF:IF)</f>
        <v>Salaries</v>
      </c>
      <c r="AY713" t="str">
        <f>_xlfn.XLOOKUP(AU713,[2]GAE!HZ:HZ,[2]GAE!IG:IG)</f>
        <v>Leave Encashment</v>
      </c>
      <c r="AZ713" t="s">
        <v>202</v>
      </c>
      <c r="BC713" t="s">
        <v>202</v>
      </c>
      <c r="BD713" t="s">
        <v>1174</v>
      </c>
      <c r="BF713" t="s">
        <v>101</v>
      </c>
      <c r="BG713" s="2" t="s">
        <v>202</v>
      </c>
      <c r="BH713" s="10">
        <f>SUMIFS('[1]2026'!$K:$K,'[1]2026'!$T:$T,BD713,'[1]2026'!$S:$S,BH$3,'[1]2026'!$P:$P,AU713)</f>
        <v>0</v>
      </c>
      <c r="BI713" s="10">
        <f>SUMIFS('[1]2026'!$K:$K,'[1]2026'!$T:$T,$BD713,'[1]2026'!$S:$S,BI$3,'[1]2026'!$P:$P,$AU713)</f>
        <v>4828922.51</v>
      </c>
      <c r="BJ713" s="6"/>
      <c r="BK713" s="10">
        <f>SUMIFS('[1]2026'!$K:$K,'[1]2026'!$T:$T,$BD713,'[1]2026'!$S:$S,BK$3,'[1]2026'!$P:$P,$AU713)</f>
        <v>0</v>
      </c>
      <c r="BL713" s="10">
        <f>SUMIFS('[1]2026'!$K:$K,'[1]2026'!$T:$T,$BD713,'[1]2026'!$S:$S,BL$3,'[1]2026'!$P:$P,$AU713)</f>
        <v>3551.91</v>
      </c>
      <c r="BM713" s="10">
        <f>SUMIFS('[1]2026'!$K:$K,'[1]2026'!$T:$T,$BD713,'[1]2026'!$S:$S,BM$3,'[1]2026'!$P:$P,$AU713)</f>
        <v>-39068.720000000001</v>
      </c>
      <c r="BN713" s="10">
        <f>SUMIFS('[1]2026'!$K:$K,'[1]2026'!$T:$T,$BD713,'[1]2026'!$S:$S,BN$3,'[1]2026'!$P:$P,$AU713)</f>
        <v>0</v>
      </c>
      <c r="BO713" s="10">
        <f>SUMIFS('[1]2026'!$K:$K,'[1]2026'!$T:$T,$BD713,'[1]2026'!$S:$S,BO$3,'[1]2026'!$P:$P,$AU713)</f>
        <v>0</v>
      </c>
      <c r="BP713" s="6"/>
      <c r="BQ713" s="6"/>
      <c r="BR713" s="6"/>
      <c r="BS713" s="6"/>
      <c r="BT713" s="6">
        <f t="shared" si="460"/>
        <v>4793405.7</v>
      </c>
      <c r="BV713" s="6">
        <f t="shared" si="481"/>
        <v>0</v>
      </c>
      <c r="BW713" s="6">
        <f t="shared" si="482"/>
        <v>-142061.47499999963</v>
      </c>
      <c r="BX713" s="6">
        <f t="shared" si="483"/>
        <v>0</v>
      </c>
      <c r="BY713" s="6">
        <f t="shared" si="484"/>
        <v>0</v>
      </c>
      <c r="BZ713" s="6">
        <f t="shared" si="485"/>
        <v>3551.91</v>
      </c>
      <c r="CA713" s="6">
        <f t="shared" si="486"/>
        <v>-39068.720000000001</v>
      </c>
      <c r="CB713" s="6">
        <f t="shared" si="487"/>
        <v>0</v>
      </c>
      <c r="CC713" s="6">
        <f t="shared" si="488"/>
        <v>0</v>
      </c>
      <c r="CD713" s="6">
        <f t="shared" si="489"/>
        <v>0</v>
      </c>
      <c r="CE713" s="6">
        <f t="shared" si="490"/>
        <v>0</v>
      </c>
      <c r="CF713" s="6">
        <f t="shared" si="491"/>
        <v>0</v>
      </c>
      <c r="CG713" s="6">
        <f t="shared" si="492"/>
        <v>0</v>
      </c>
      <c r="CH713" s="6">
        <f t="shared" si="493"/>
        <v>-177578.28499999922</v>
      </c>
    </row>
    <row r="714" spans="1:87" hidden="1" x14ac:dyDescent="0.35">
      <c r="A714" s="3" t="s">
        <v>187</v>
      </c>
      <c r="B714" s="10">
        <v>29166.666666666668</v>
      </c>
      <c r="C714" s="10">
        <v>29166.666666666668</v>
      </c>
      <c r="D714" s="10">
        <v>29166.666666666668</v>
      </c>
      <c r="E714" s="10">
        <v>29166.666666666668</v>
      </c>
      <c r="F714" s="10">
        <v>29166.666666666668</v>
      </c>
      <c r="G714" s="10">
        <v>29166.666666666668</v>
      </c>
      <c r="H714" s="10">
        <v>29166.666666666668</v>
      </c>
      <c r="I714" s="10">
        <v>29166.666666666668</v>
      </c>
      <c r="J714" s="10">
        <v>29166.666666666668</v>
      </c>
      <c r="K714" s="10">
        <v>29166.666666666668</v>
      </c>
      <c r="L714" s="10">
        <v>29166.666666666668</v>
      </c>
      <c r="M714" s="10">
        <v>29166.666666666668</v>
      </c>
      <c r="N714" s="27">
        <f t="shared" si="444"/>
        <v>350000.00000000006</v>
      </c>
      <c r="AA714" s="27">
        <f t="shared" si="445"/>
        <v>0</v>
      </c>
      <c r="AB714" s="10">
        <f t="shared" si="494"/>
        <v>29166.666666666668</v>
      </c>
      <c r="AC714" s="10">
        <f t="shared" si="494"/>
        <v>29166.666666666668</v>
      </c>
      <c r="AD714" s="10">
        <f t="shared" si="463"/>
        <v>29166.666666666668</v>
      </c>
      <c r="AE714" s="10">
        <f t="shared" si="463"/>
        <v>29166.666666666668</v>
      </c>
      <c r="AF714" s="10">
        <f t="shared" si="463"/>
        <v>29166.666666666668</v>
      </c>
      <c r="AG714" s="10">
        <f t="shared" si="463"/>
        <v>29166.666666666668</v>
      </c>
      <c r="AH714" s="10">
        <f t="shared" si="463"/>
        <v>29166.666666666668</v>
      </c>
      <c r="AI714" s="10">
        <f t="shared" si="463"/>
        <v>29166.666666666668</v>
      </c>
      <c r="AJ714" s="10">
        <f t="shared" si="463"/>
        <v>29166.666666666668</v>
      </c>
      <c r="AK714" s="10">
        <f t="shared" si="463"/>
        <v>29166.666666666668</v>
      </c>
      <c r="AL714" s="10">
        <f t="shared" si="463"/>
        <v>29166.666666666668</v>
      </c>
      <c r="AM714" s="10">
        <f t="shared" si="463"/>
        <v>29166.666666666668</v>
      </c>
      <c r="AN714" s="27">
        <f t="shared" si="463"/>
        <v>350000.00000000006</v>
      </c>
      <c r="AS714" t="str">
        <f>_xlfn.XLOOKUP(AU714,[2]GAE!HZ:HZ,[2]GAE!IA:IA)</f>
        <v>OHI-COMMON</v>
      </c>
      <c r="AT714" t="str">
        <f>_xlfn.XLOOKUP(AU714,[2]GAE!HZ:HZ,[2]GAE!IB:IB)</f>
        <v>DOE - Payroll - Regular - Leave Encashment</v>
      </c>
      <c r="AU714" t="s">
        <v>1173</v>
      </c>
      <c r="AV714">
        <v>90111101</v>
      </c>
      <c r="AW714">
        <v>52121106</v>
      </c>
      <c r="AX714" t="str">
        <f>_xlfn.XLOOKUP(AU714,[2]GAE!HZ:HZ,[2]GAE!IF:IF)</f>
        <v>Salaries</v>
      </c>
      <c r="AY714" t="str">
        <f>_xlfn.XLOOKUP(AU714,[2]GAE!HZ:HZ,[2]GAE!IG:IG)</f>
        <v>Leave Encashment</v>
      </c>
      <c r="AZ714" t="s">
        <v>187</v>
      </c>
      <c r="BF714" t="s">
        <v>101</v>
      </c>
      <c r="BG714" t="s">
        <v>187</v>
      </c>
      <c r="BH714" s="10">
        <f>SUMIFS('[1]2026'!$K:$K,'[1]2026'!$T:$T,BD714,'[1]2026'!$S:$S,BH$3,'[1]2026'!$P:$P,AU714)</f>
        <v>0</v>
      </c>
      <c r="BI714" s="10">
        <f>SUMIFS('[1]2026'!$K:$K,'[1]2026'!$T:$T,$BD714,'[1]2026'!$S:$S,BI$3,'[1]2026'!$P:$P,$AU714)</f>
        <v>0</v>
      </c>
      <c r="BJ714" s="10">
        <f>SUMIFS('[1]2026'!$K:$K,'[1]2026'!$T:$T,$BD714,'[1]2026'!$S:$S,BJ$3,'[1]2026'!$P:$P,$AU714)</f>
        <v>0</v>
      </c>
      <c r="BK714" s="10">
        <f>SUMIFS('[1]2026'!$K:$K,'[1]2026'!$T:$T,$BD714,'[1]2026'!$S:$S,BK$3,'[1]2026'!$P:$P,$AU714)</f>
        <v>0</v>
      </c>
      <c r="BL714" s="10">
        <f>SUMIFS('[1]2026'!$K:$K,'[1]2026'!$T:$T,$BD714,'[1]2026'!$S:$S,BL$3,'[1]2026'!$P:$P,$AU714)</f>
        <v>0</v>
      </c>
      <c r="BM714" s="10">
        <f>SUMIFS('[1]2026'!$K:$K,'[1]2026'!$T:$T,$BD714,'[1]2026'!$S:$S,BM$3,'[1]2026'!$P:$P,$AU714)</f>
        <v>0</v>
      </c>
      <c r="BN714" s="10">
        <f>SUMIFS('[1]2026'!$K:$K,'[1]2026'!$T:$T,$BD714,'[1]2026'!$S:$S,BN$3,'[1]2026'!$P:$P,$AU714)</f>
        <v>0</v>
      </c>
      <c r="BO714" s="10">
        <f>SUMIFS('[1]2026'!$K:$K,'[1]2026'!$T:$T,$BD714,'[1]2026'!$S:$S,BO$3,'[1]2026'!$P:$P,$AU714)</f>
        <v>0</v>
      </c>
      <c r="BP714" s="6"/>
      <c r="BQ714" s="6"/>
      <c r="BR714" s="6"/>
      <c r="BS714" s="6"/>
      <c r="BT714" s="6">
        <f t="shared" si="460"/>
        <v>0</v>
      </c>
      <c r="BV714" s="6">
        <f t="shared" si="481"/>
        <v>-29166.666666666668</v>
      </c>
      <c r="BW714" s="6">
        <f t="shared" si="482"/>
        <v>-29166.666666666668</v>
      </c>
      <c r="BX714" s="6">
        <f t="shared" si="483"/>
        <v>-29166.666666666668</v>
      </c>
      <c r="BY714" s="6">
        <f t="shared" si="484"/>
        <v>-29166.666666666668</v>
      </c>
      <c r="BZ714" s="6">
        <f t="shared" si="485"/>
        <v>-29166.666666666668</v>
      </c>
      <c r="CA714" s="6">
        <f t="shared" si="486"/>
        <v>-29166.666666666668</v>
      </c>
      <c r="CB714" s="6">
        <f t="shared" si="487"/>
        <v>-29166.666666666668</v>
      </c>
      <c r="CC714" s="6">
        <f t="shared" si="488"/>
        <v>-29166.666666666668</v>
      </c>
      <c r="CD714" s="6">
        <f t="shared" si="489"/>
        <v>-29166.666666666668</v>
      </c>
      <c r="CE714" s="6">
        <f t="shared" si="490"/>
        <v>-29166.666666666668</v>
      </c>
      <c r="CF714" s="6">
        <f t="shared" si="491"/>
        <v>-29166.666666666668</v>
      </c>
      <c r="CG714" s="6">
        <f t="shared" si="492"/>
        <v>-29166.666666666668</v>
      </c>
      <c r="CH714" s="6">
        <f t="shared" si="493"/>
        <v>-350000.00000000006</v>
      </c>
    </row>
    <row r="715" spans="1:87" hidden="1" x14ac:dyDescent="0.35">
      <c r="A715" s="3" t="s">
        <v>188</v>
      </c>
      <c r="B715" s="10">
        <v>57329.543499999992</v>
      </c>
      <c r="C715" s="10">
        <v>57329.543499999992</v>
      </c>
      <c r="D715" s="10">
        <v>57329.543499999992</v>
      </c>
      <c r="E715" s="10">
        <v>57329.543499999992</v>
      </c>
      <c r="F715" s="10">
        <v>57329.543499999992</v>
      </c>
      <c r="G715" s="10">
        <v>57329.543499999992</v>
      </c>
      <c r="H715" s="10">
        <v>57329.543499999992</v>
      </c>
      <c r="I715" s="10">
        <v>57329.543499999992</v>
      </c>
      <c r="J715" s="10">
        <v>57329.543499999992</v>
      </c>
      <c r="K715" s="10">
        <v>57329.543499999992</v>
      </c>
      <c r="L715" s="10">
        <v>57329.543499999992</v>
      </c>
      <c r="M715" s="10">
        <v>57329.543499999992</v>
      </c>
      <c r="N715" s="27">
        <f t="shared" si="444"/>
        <v>687954.52199999988</v>
      </c>
      <c r="AA715" s="27">
        <f t="shared" si="445"/>
        <v>0</v>
      </c>
      <c r="AB715" s="10">
        <f t="shared" si="494"/>
        <v>57329.543499999992</v>
      </c>
      <c r="AC715" s="10">
        <f t="shared" si="494"/>
        <v>57329.543499999992</v>
      </c>
      <c r="AD715" s="10">
        <f t="shared" si="463"/>
        <v>57329.543499999992</v>
      </c>
      <c r="AE715" s="10">
        <f t="shared" si="463"/>
        <v>57329.543499999992</v>
      </c>
      <c r="AF715" s="10">
        <f t="shared" si="463"/>
        <v>57329.543499999992</v>
      </c>
      <c r="AG715" s="10">
        <f t="shared" si="463"/>
        <v>57329.543499999992</v>
      </c>
      <c r="AH715" s="10">
        <f t="shared" si="463"/>
        <v>57329.543499999992</v>
      </c>
      <c r="AI715" s="10">
        <f t="shared" si="463"/>
        <v>57329.543499999992</v>
      </c>
      <c r="AJ715" s="10">
        <f t="shared" si="463"/>
        <v>57329.543499999992</v>
      </c>
      <c r="AK715" s="10">
        <f t="shared" si="463"/>
        <v>57329.543499999992</v>
      </c>
      <c r="AL715" s="10">
        <f t="shared" si="463"/>
        <v>57329.543499999992</v>
      </c>
      <c r="AM715" s="10">
        <f t="shared" si="463"/>
        <v>57329.543499999992</v>
      </c>
      <c r="AN715" s="27">
        <f t="shared" si="463"/>
        <v>687954.52199999988</v>
      </c>
      <c r="AS715" t="str">
        <f>_xlfn.XLOOKUP(AU715,[2]GAE!HZ:HZ,[2]GAE!IA:IA)</f>
        <v>OHI-COMMON</v>
      </c>
      <c r="AT715" t="str">
        <f>_xlfn.XLOOKUP(AU715,[2]GAE!HZ:HZ,[2]GAE!IB:IB)</f>
        <v>DOE - Payroll - Regular - OT</v>
      </c>
      <c r="AU715" t="s">
        <v>1175</v>
      </c>
      <c r="AV715">
        <v>90111101</v>
      </c>
      <c r="AW715">
        <v>52121102</v>
      </c>
      <c r="AX715" t="str">
        <f>_xlfn.XLOOKUP(AU715,[2]GAE!HZ:HZ,[2]GAE!IF:IF)</f>
        <v>Salaries</v>
      </c>
      <c r="AY715" t="str">
        <f>_xlfn.XLOOKUP(AU715,[2]GAE!HZ:HZ,[2]GAE!IG:IG)</f>
        <v>OT Pay</v>
      </c>
      <c r="AZ715" t="s">
        <v>188</v>
      </c>
      <c r="BC715" t="s">
        <v>188</v>
      </c>
      <c r="BD715" t="s">
        <v>188</v>
      </c>
      <c r="BF715" t="s">
        <v>101</v>
      </c>
      <c r="BG715" s="2" t="s">
        <v>188</v>
      </c>
      <c r="BH715" s="10">
        <f>SUMIFS('[1]2026'!$K:$K,'[1]2026'!$T:$T,BD715,'[1]2026'!$S:$S,BH$3,'[1]2026'!$P:$P,AU715)</f>
        <v>57068.439999999995</v>
      </c>
      <c r="BI715" s="10">
        <f>SUMIFS('[1]2026'!$K:$K,'[1]2026'!$T:$T,$BD715,'[1]2026'!$S:$S,BI$3,'[1]2026'!$P:$P,$AU715)</f>
        <v>71288.73</v>
      </c>
      <c r="BJ715" s="10">
        <f>SUMIFS('[1]2026'!$K:$K,'[1]2026'!$T:$T,$BD715,'[1]2026'!$S:$S,BJ$3,'[1]2026'!$P:$P,$AU715)</f>
        <v>73475.430000000008</v>
      </c>
      <c r="BK715" s="10">
        <f>SUMIFS('[1]2026'!$K:$K,'[1]2026'!$T:$T,$BD715,'[1]2026'!$S:$S,BK$3,'[1]2026'!$P:$P,$AU715)</f>
        <v>139058.74</v>
      </c>
      <c r="BL715" s="10">
        <f>SUMIFS('[1]2026'!$K:$K,'[1]2026'!$T:$T,$BD715,'[1]2026'!$S:$S,BL$3,'[1]2026'!$P:$P,$AU715)</f>
        <v>71173.759999999995</v>
      </c>
      <c r="BM715" s="10">
        <f>SUMIFS('[1]2026'!$K:$K,'[1]2026'!$T:$T,$BD715,'[1]2026'!$S:$S,BM$3,'[1]2026'!$P:$P,$AU715)</f>
        <v>83233.059999999983</v>
      </c>
      <c r="BN715" s="10">
        <f>SUMIFS('[1]2026'!$K:$K,'[1]2026'!$T:$T,$BD715,'[1]2026'!$S:$S,BN$3,'[1]2026'!$P:$P,$AU715)</f>
        <v>83146.570000000007</v>
      </c>
      <c r="BO715" s="10">
        <f>SUMIFS('[1]2026'!$K:$K,'[1]2026'!$T:$T,$BD715,'[1]2026'!$S:$S,BO$3,'[1]2026'!$P:$P,$AU715)</f>
        <v>74751.77</v>
      </c>
      <c r="BP715" s="6">
        <f t="shared" ref="BP715:BS716" si="495">BO715</f>
        <v>74751.77</v>
      </c>
      <c r="BQ715" s="6">
        <f t="shared" si="495"/>
        <v>74751.77</v>
      </c>
      <c r="BR715" s="6">
        <f t="shared" si="495"/>
        <v>74751.77</v>
      </c>
      <c r="BS715" s="6">
        <f t="shared" si="495"/>
        <v>74751.77</v>
      </c>
      <c r="BT715" s="6">
        <f t="shared" si="460"/>
        <v>952203.58000000007</v>
      </c>
      <c r="BV715" s="6">
        <f t="shared" si="481"/>
        <v>-261.10349999999744</v>
      </c>
      <c r="BW715" s="6">
        <f t="shared" si="482"/>
        <v>13959.186500000003</v>
      </c>
      <c r="BX715" s="6">
        <f t="shared" si="483"/>
        <v>16145.886500000015</v>
      </c>
      <c r="BY715" s="6">
        <f t="shared" si="484"/>
        <v>81729.196499999991</v>
      </c>
      <c r="BZ715" s="6">
        <f t="shared" si="485"/>
        <v>13844.216500000002</v>
      </c>
      <c r="CA715" s="6">
        <f t="shared" si="486"/>
        <v>25903.516499999991</v>
      </c>
      <c r="CB715" s="6">
        <f t="shared" si="487"/>
        <v>25817.026500000014</v>
      </c>
      <c r="CC715" s="6">
        <f t="shared" si="488"/>
        <v>17422.226500000012</v>
      </c>
      <c r="CD715" s="6">
        <f t="shared" si="489"/>
        <v>17422.226500000012</v>
      </c>
      <c r="CE715" s="6">
        <f t="shared" si="490"/>
        <v>17422.226500000012</v>
      </c>
      <c r="CF715" s="6">
        <f t="shared" si="491"/>
        <v>17422.226500000012</v>
      </c>
      <c r="CG715" s="6">
        <f t="shared" si="492"/>
        <v>17422.226500000012</v>
      </c>
      <c r="CH715" s="6">
        <f t="shared" si="493"/>
        <v>264249.05800000019</v>
      </c>
    </row>
    <row r="716" spans="1:87" hidden="1" x14ac:dyDescent="0.35">
      <c r="A716" s="3" t="s">
        <v>1140</v>
      </c>
      <c r="B716" s="10">
        <v>20097.494000000002</v>
      </c>
      <c r="C716" s="10">
        <v>20097.494000000002</v>
      </c>
      <c r="D716" s="10">
        <v>20097.494000000002</v>
      </c>
      <c r="E716" s="10">
        <v>20097.494000000002</v>
      </c>
      <c r="F716" s="10">
        <v>20097.494000000002</v>
      </c>
      <c r="G716" s="10">
        <v>20097.494000000002</v>
      </c>
      <c r="H716" s="10">
        <v>20097.494000000002</v>
      </c>
      <c r="I716" s="10">
        <v>20097.494000000002</v>
      </c>
      <c r="J716" s="10">
        <v>20097.494000000002</v>
      </c>
      <c r="K716" s="10">
        <v>20097.494000000002</v>
      </c>
      <c r="L716" s="10">
        <v>20097.494000000002</v>
      </c>
      <c r="M716" s="10">
        <v>20097.494000000002</v>
      </c>
      <c r="N716" s="27">
        <f t="shared" si="444"/>
        <v>241169.92800000004</v>
      </c>
      <c r="AA716" s="27">
        <f t="shared" si="445"/>
        <v>0</v>
      </c>
      <c r="AB716" s="10">
        <f t="shared" si="494"/>
        <v>20097.494000000002</v>
      </c>
      <c r="AC716" s="10">
        <f t="shared" si="494"/>
        <v>20097.494000000002</v>
      </c>
      <c r="AD716" s="10">
        <f t="shared" si="463"/>
        <v>20097.494000000002</v>
      </c>
      <c r="AE716" s="10">
        <f t="shared" si="463"/>
        <v>20097.494000000002</v>
      </c>
      <c r="AF716" s="10">
        <f t="shared" si="463"/>
        <v>20097.494000000002</v>
      </c>
      <c r="AG716" s="10">
        <f t="shared" si="463"/>
        <v>20097.494000000002</v>
      </c>
      <c r="AH716" s="10">
        <f t="shared" si="463"/>
        <v>20097.494000000002</v>
      </c>
      <c r="AI716" s="10">
        <f t="shared" si="463"/>
        <v>20097.494000000002</v>
      </c>
      <c r="AJ716" s="10">
        <f t="shared" si="463"/>
        <v>20097.494000000002</v>
      </c>
      <c r="AK716" s="10">
        <f t="shared" si="463"/>
        <v>20097.494000000002</v>
      </c>
      <c r="AL716" s="10">
        <f t="shared" si="463"/>
        <v>20097.494000000002</v>
      </c>
      <c r="AM716" s="10">
        <f t="shared" si="463"/>
        <v>20097.494000000002</v>
      </c>
      <c r="AN716" s="27">
        <f t="shared" si="463"/>
        <v>241169.92800000004</v>
      </c>
      <c r="AS716" t="str">
        <f>_xlfn.XLOOKUP(AU716,[2]GAE!HZ:HZ,[2]GAE!IA:IA)</f>
        <v>OHI-COMMON</v>
      </c>
      <c r="AT716" t="str">
        <f>_xlfn.XLOOKUP(AU716,[2]GAE!HZ:HZ,[2]GAE!IB:IB)</f>
        <v>DOE - Regular - OT Allowance</v>
      </c>
      <c r="AU716" t="s">
        <v>1176</v>
      </c>
      <c r="AV716">
        <v>90111101</v>
      </c>
      <c r="AW716">
        <v>52121103</v>
      </c>
      <c r="AX716" t="str">
        <f>_xlfn.XLOOKUP(AU716,[2]GAE!HZ:HZ,[2]GAE!IF:IF)</f>
        <v>Salaries</v>
      </c>
      <c r="AY716" t="str">
        <f>_xlfn.XLOOKUP(AU716,[2]GAE!HZ:HZ,[2]GAE!IG:IG)</f>
        <v>OT Pay</v>
      </c>
      <c r="AZ716" t="s">
        <v>1140</v>
      </c>
      <c r="BC716" t="s">
        <v>188</v>
      </c>
      <c r="BD716" t="s">
        <v>188</v>
      </c>
      <c r="BF716" t="s">
        <v>101</v>
      </c>
      <c r="BG716" s="2" t="s">
        <v>188</v>
      </c>
      <c r="BH716" s="10">
        <f>SUMIFS('[1]2026'!$K:$K,'[1]2026'!$T:$T,BD716,'[1]2026'!$S:$S,BH$3,'[1]2026'!$P:$P,AU716)</f>
        <v>17200</v>
      </c>
      <c r="BI716" s="10">
        <f>SUMIFS('[1]2026'!$K:$K,'[1]2026'!$T:$T,$BD716,'[1]2026'!$S:$S,BI$3,'[1]2026'!$P:$P,$AU716)</f>
        <v>800</v>
      </c>
      <c r="BJ716" s="10">
        <f>SUMIFS('[1]2026'!$K:$K,'[1]2026'!$T:$T,$BD716,'[1]2026'!$S:$S,BJ$3,'[1]2026'!$P:$P,$AU716)</f>
        <v>7200</v>
      </c>
      <c r="BK716" s="10">
        <f>SUMIFS('[1]2026'!$K:$K,'[1]2026'!$T:$T,$BD716,'[1]2026'!$S:$S,BK$3,'[1]2026'!$P:$P,$AU716)</f>
        <v>4800</v>
      </c>
      <c r="BL716" s="10">
        <f>SUMIFS('[1]2026'!$K:$K,'[1]2026'!$T:$T,$BD716,'[1]2026'!$S:$S,BL$3,'[1]2026'!$P:$P,$AU716)</f>
        <v>1400</v>
      </c>
      <c r="BM716" s="10">
        <f>SUMIFS('[1]2026'!$K:$K,'[1]2026'!$T:$T,$BD716,'[1]2026'!$S:$S,BM$3,'[1]2026'!$P:$P,$AU716)</f>
        <v>15200</v>
      </c>
      <c r="BN716" s="10">
        <f>SUMIFS('[1]2026'!$K:$K,'[1]2026'!$T:$T,$BD716,'[1]2026'!$S:$S,BN$3,'[1]2026'!$P:$P,$AU716)</f>
        <v>15600</v>
      </c>
      <c r="BO716" s="10">
        <f>SUMIFS('[1]2026'!$K:$K,'[1]2026'!$T:$T,$BD716,'[1]2026'!$S:$S,BO$3,'[1]2026'!$P:$P,$AU716)</f>
        <v>32400</v>
      </c>
      <c r="BP716" s="6">
        <f t="shared" si="495"/>
        <v>32400</v>
      </c>
      <c r="BQ716" s="6">
        <f t="shared" si="495"/>
        <v>32400</v>
      </c>
      <c r="BR716" s="6">
        <f t="shared" si="495"/>
        <v>32400</v>
      </c>
      <c r="BS716" s="6">
        <f t="shared" si="495"/>
        <v>32400</v>
      </c>
      <c r="BT716" s="6">
        <f t="shared" si="460"/>
        <v>224200</v>
      </c>
      <c r="BV716" s="6">
        <f t="shared" si="481"/>
        <v>-2897.4940000000024</v>
      </c>
      <c r="BW716" s="6">
        <f t="shared" si="482"/>
        <v>-19297.494000000002</v>
      </c>
      <c r="BX716" s="6">
        <f t="shared" si="483"/>
        <v>-12897.494000000002</v>
      </c>
      <c r="BY716" s="6">
        <f t="shared" si="484"/>
        <v>-15297.494000000002</v>
      </c>
      <c r="BZ716" s="6">
        <f t="shared" si="485"/>
        <v>-18697.494000000002</v>
      </c>
      <c r="CA716" s="6">
        <f t="shared" si="486"/>
        <v>-4897.4940000000024</v>
      </c>
      <c r="CB716" s="6">
        <f t="shared" si="487"/>
        <v>-4497.4940000000024</v>
      </c>
      <c r="CC716" s="6">
        <f t="shared" si="488"/>
        <v>12302.505999999998</v>
      </c>
      <c r="CD716" s="6">
        <f t="shared" si="489"/>
        <v>12302.505999999998</v>
      </c>
      <c r="CE716" s="6">
        <f t="shared" si="490"/>
        <v>12302.505999999998</v>
      </c>
      <c r="CF716" s="6">
        <f t="shared" si="491"/>
        <v>12302.505999999998</v>
      </c>
      <c r="CG716" s="6">
        <f t="shared" si="492"/>
        <v>12302.505999999998</v>
      </c>
      <c r="CH716" s="6">
        <f t="shared" si="493"/>
        <v>-16969.928000000044</v>
      </c>
    </row>
    <row r="717" spans="1:87" hidden="1" x14ac:dyDescent="0.35">
      <c r="A717" s="3" t="s">
        <v>189</v>
      </c>
      <c r="B717" s="10">
        <v>645990</v>
      </c>
      <c r="C717" s="10">
        <v>645990</v>
      </c>
      <c r="D717" s="10">
        <v>645990</v>
      </c>
      <c r="E717" s="10">
        <v>645990</v>
      </c>
      <c r="F717" s="10">
        <v>645990</v>
      </c>
      <c r="G717" s="10">
        <v>645990</v>
      </c>
      <c r="H717" s="10">
        <v>645990</v>
      </c>
      <c r="I717" s="10">
        <v>645990</v>
      </c>
      <c r="J717" s="10">
        <v>645990</v>
      </c>
      <c r="K717" s="10">
        <v>645990</v>
      </c>
      <c r="L717" s="10">
        <v>645990</v>
      </c>
      <c r="M717" s="10">
        <v>645990</v>
      </c>
      <c r="N717" s="27">
        <f t="shared" si="444"/>
        <v>7751880</v>
      </c>
      <c r="O717" s="10">
        <v>34300.353526266736</v>
      </c>
      <c r="P717" s="10">
        <v>34300.353526266736</v>
      </c>
      <c r="Q717" s="10">
        <v>34300.353526266736</v>
      </c>
      <c r="R717" s="10">
        <v>34300.353526266736</v>
      </c>
      <c r="S717" s="10">
        <v>34300.353526266736</v>
      </c>
      <c r="T717" s="10">
        <v>34300.353526266736</v>
      </c>
      <c r="U717" s="10">
        <v>34300.353526266736</v>
      </c>
      <c r="V717" s="10">
        <v>34300.353526266736</v>
      </c>
      <c r="W717" s="10">
        <v>34300.353526266736</v>
      </c>
      <c r="X717" s="10">
        <v>34300.353526266736</v>
      </c>
      <c r="Y717" s="10">
        <v>34300.353526266736</v>
      </c>
      <c r="Z717" s="10">
        <v>34300.353526266736</v>
      </c>
      <c r="AA717" s="27">
        <f t="shared" si="445"/>
        <v>411604.24231520091</v>
      </c>
      <c r="AB717" s="10">
        <f t="shared" si="494"/>
        <v>611689.64647373324</v>
      </c>
      <c r="AC717" s="10">
        <f t="shared" si="494"/>
        <v>611689.64647373324</v>
      </c>
      <c r="AD717" s="10">
        <f t="shared" si="463"/>
        <v>611689.64647373324</v>
      </c>
      <c r="AE717" s="10">
        <f t="shared" si="463"/>
        <v>611689.64647373324</v>
      </c>
      <c r="AF717" s="10">
        <f t="shared" si="463"/>
        <v>611689.64647373324</v>
      </c>
      <c r="AG717" s="10">
        <f t="shared" si="463"/>
        <v>611689.64647373324</v>
      </c>
      <c r="AH717" s="10">
        <f t="shared" si="463"/>
        <v>611689.64647373324</v>
      </c>
      <c r="AI717" s="10">
        <f t="shared" si="463"/>
        <v>611689.64647373324</v>
      </c>
      <c r="AJ717" s="10">
        <f t="shared" si="463"/>
        <v>611689.64647373324</v>
      </c>
      <c r="AK717" s="10">
        <f t="shared" si="463"/>
        <v>611689.64647373324</v>
      </c>
      <c r="AL717" s="10">
        <f t="shared" si="463"/>
        <v>611689.64647373324</v>
      </c>
      <c r="AM717" s="10">
        <f t="shared" si="463"/>
        <v>611689.64647373324</v>
      </c>
      <c r="AN717" s="27">
        <f t="shared" si="463"/>
        <v>7340275.7576847989</v>
      </c>
      <c r="AO717" s="28">
        <v>7338870</v>
      </c>
      <c r="AS717" t="str">
        <f>_xlfn.XLOOKUP(AU717,[2]GAE!HZ:HZ,[2]GAE!IA:IA)</f>
        <v>OHI-COMMON</v>
      </c>
      <c r="AT717" t="str">
        <f>_xlfn.XLOOKUP(AU717,[2]GAE!HZ:HZ,[2]GAE!IB:IB)</f>
        <v>DOE - Employee Benefits - SSS,PHIC, HDMF</v>
      </c>
      <c r="AU717" t="s">
        <v>1177</v>
      </c>
      <c r="AV717">
        <v>90111101</v>
      </c>
      <c r="AW717">
        <v>52121305</v>
      </c>
      <c r="AX717" t="str">
        <f>_xlfn.XLOOKUP(AU717,[2]GAE!HZ:HZ,[2]GAE!IF:IF)</f>
        <v>Employee Benefits</v>
      </c>
      <c r="AY717" t="str">
        <f>_xlfn.XLOOKUP(AU717,[2]GAE!HZ:HZ,[2]GAE!IG:IG)</f>
        <v>Government Contributions</v>
      </c>
      <c r="AZ717" t="s">
        <v>189</v>
      </c>
      <c r="BC717" t="s">
        <v>190</v>
      </c>
      <c r="BD717" t="s">
        <v>190</v>
      </c>
      <c r="BF717" t="s">
        <v>184</v>
      </c>
      <c r="BG717" s="2" t="s">
        <v>189</v>
      </c>
      <c r="BH717" s="10">
        <f>SUMIFS('[1]2026'!$K:$K,'[1]2026'!$T:$T,BD717,'[1]2026'!$S:$S,BH$3,'[1]2026'!$P:$P,AU717)</f>
        <v>583390</v>
      </c>
      <c r="BI717" s="10">
        <f>SUMIFS('[1]2026'!$K:$K,'[1]2026'!$T:$T,$BD717,'[1]2026'!$S:$S,BI$3,'[1]2026'!$P:$P,$AU717)</f>
        <v>583940</v>
      </c>
      <c r="BJ717" s="10">
        <f>SUMIFS('[1]2026'!$K:$K,'[1]2026'!$T:$T,$BD717,'[1]2026'!$S:$S,BJ$3,'[1]2026'!$P:$P,$AU717)</f>
        <v>579820</v>
      </c>
      <c r="BK717" s="10">
        <f>SUMIFS('[1]2026'!$K:$K,'[1]2026'!$T:$T,$BD717,'[1]2026'!$S:$S,BK$3,'[1]2026'!$P:$P,$AU717)</f>
        <v>614220</v>
      </c>
      <c r="BL717" s="10">
        <f>SUMIFS('[1]2026'!$K:$K,'[1]2026'!$T:$T,$BD717,'[1]2026'!$S:$S,BL$3,'[1]2026'!$P:$P,$AU717)</f>
        <v>582630</v>
      </c>
      <c r="BM717" s="10">
        <f>SUMIFS('[1]2026'!$K:$K,'[1]2026'!$T:$T,$BD717,'[1]2026'!$S:$S,BM$3,'[1]2026'!$P:$P,$AU717)</f>
        <v>598350</v>
      </c>
      <c r="BN717" s="10">
        <f>SUMIFS('[1]2026'!$K:$K,'[1]2026'!$T:$T,$BD717,'[1]2026'!$S:$S,BN$3,'[1]2026'!$P:$P,$AU717)</f>
        <v>585290</v>
      </c>
      <c r="BO717" s="10">
        <f>SUMIFS('[1]2026'!$K:$K,'[1]2026'!$T:$T,$BD717,'[1]2026'!$S:$S,BO$3,'[1]2026'!$P:$P,$AU717)</f>
        <v>608680</v>
      </c>
      <c r="BP717" s="6">
        <v>608680</v>
      </c>
      <c r="BQ717" s="6">
        <v>608680</v>
      </c>
      <c r="BR717" s="6">
        <v>608680</v>
      </c>
      <c r="BS717" s="6">
        <v>608680</v>
      </c>
      <c r="BT717" s="6">
        <f t="shared" si="460"/>
        <v>7171040</v>
      </c>
      <c r="BV717" s="6">
        <f t="shared" si="481"/>
        <v>-28299.646473733243</v>
      </c>
      <c r="BW717" s="6">
        <f t="shared" si="482"/>
        <v>-27749.646473733243</v>
      </c>
      <c r="BX717" s="6">
        <f t="shared" si="483"/>
        <v>-31869.646473733243</v>
      </c>
      <c r="BY717" s="6">
        <f t="shared" si="484"/>
        <v>2530.3535262667574</v>
      </c>
      <c r="BZ717" s="6">
        <f t="shared" si="485"/>
        <v>-29059.646473733243</v>
      </c>
      <c r="CA717" s="6">
        <f t="shared" si="486"/>
        <v>-13339.646473733243</v>
      </c>
      <c r="CB717" s="6">
        <f t="shared" si="487"/>
        <v>-26399.646473733243</v>
      </c>
      <c r="CC717" s="6">
        <f t="shared" si="488"/>
        <v>-3009.6464737332426</v>
      </c>
      <c r="CD717" s="6">
        <f t="shared" si="489"/>
        <v>-3009.6464737332426</v>
      </c>
      <c r="CE717" s="6">
        <f t="shared" si="490"/>
        <v>-3009.6464737332426</v>
      </c>
      <c r="CF717" s="6">
        <f t="shared" si="491"/>
        <v>-3009.6464737332426</v>
      </c>
      <c r="CG717" s="6">
        <f t="shared" si="492"/>
        <v>-3009.6464737332426</v>
      </c>
      <c r="CH717" s="6">
        <f t="shared" ref="CH717:CH780" si="496">BT717-AN717</f>
        <v>-169235.75768479891</v>
      </c>
    </row>
    <row r="718" spans="1:87" hidden="1" x14ac:dyDescent="0.35">
      <c r="A718" s="3" t="s">
        <v>191</v>
      </c>
      <c r="B718" s="10">
        <v>36600</v>
      </c>
      <c r="C718" s="10">
        <v>36600</v>
      </c>
      <c r="D718" s="10">
        <v>36600</v>
      </c>
      <c r="E718" s="10">
        <v>36600</v>
      </c>
      <c r="F718" s="10">
        <v>36600</v>
      </c>
      <c r="G718" s="10">
        <v>36600</v>
      </c>
      <c r="H718" s="10">
        <v>36600</v>
      </c>
      <c r="I718" s="10">
        <v>36600</v>
      </c>
      <c r="J718" s="10">
        <v>36600</v>
      </c>
      <c r="K718" s="10">
        <v>36600</v>
      </c>
      <c r="L718" s="10">
        <v>36600</v>
      </c>
      <c r="M718" s="10">
        <v>36600</v>
      </c>
      <c r="N718" s="27">
        <f t="shared" si="444"/>
        <v>439200</v>
      </c>
      <c r="O718" s="10">
        <v>1943.3628060207784</v>
      </c>
      <c r="P718" s="10">
        <v>1943.3628060207784</v>
      </c>
      <c r="Q718" s="10">
        <v>1943.3628060207784</v>
      </c>
      <c r="R718" s="10">
        <v>1943.3628060207784</v>
      </c>
      <c r="S718" s="10">
        <v>1943.3628060207784</v>
      </c>
      <c r="T718" s="10">
        <v>1943.3628060207784</v>
      </c>
      <c r="U718" s="10">
        <v>1943.3628060207784</v>
      </c>
      <c r="V718" s="10">
        <v>1943.3628060207784</v>
      </c>
      <c r="W718" s="10">
        <v>1943.3628060207784</v>
      </c>
      <c r="X718" s="10">
        <v>1943.3628060207784</v>
      </c>
      <c r="Y718" s="10">
        <v>1943.3628060207784</v>
      </c>
      <c r="Z718" s="10">
        <v>1943.3628060207784</v>
      </c>
      <c r="AA718" s="27">
        <f t="shared" si="445"/>
        <v>23320.353672249334</v>
      </c>
      <c r="AB718" s="10">
        <f t="shared" si="494"/>
        <v>34656.637193979223</v>
      </c>
      <c r="AC718" s="10">
        <f t="shared" si="494"/>
        <v>34656.637193979223</v>
      </c>
      <c r="AD718" s="10">
        <f t="shared" si="463"/>
        <v>34656.637193979223</v>
      </c>
      <c r="AE718" s="10">
        <f t="shared" si="463"/>
        <v>34656.637193979223</v>
      </c>
      <c r="AF718" s="10">
        <f t="shared" si="463"/>
        <v>34656.637193979223</v>
      </c>
      <c r="AG718" s="10">
        <f t="shared" si="463"/>
        <v>34656.637193979223</v>
      </c>
      <c r="AH718" s="10">
        <f t="shared" si="463"/>
        <v>34656.637193979223</v>
      </c>
      <c r="AI718" s="10">
        <f t="shared" si="463"/>
        <v>34656.637193979223</v>
      </c>
      <c r="AJ718" s="10">
        <f t="shared" si="463"/>
        <v>34656.637193979223</v>
      </c>
      <c r="AK718" s="10">
        <f t="shared" si="463"/>
        <v>34656.637193979223</v>
      </c>
      <c r="AL718" s="10">
        <f t="shared" si="463"/>
        <v>34656.637193979223</v>
      </c>
      <c r="AM718" s="10">
        <f t="shared" si="463"/>
        <v>34656.637193979223</v>
      </c>
      <c r="AN718" s="27">
        <f t="shared" si="463"/>
        <v>415879.64632775064</v>
      </c>
      <c r="AO718" s="28">
        <v>455750</v>
      </c>
      <c r="AS718" t="str">
        <f>_xlfn.XLOOKUP(AU718,[2]GAE!HZ:HZ,[2]GAE!IA:IA)</f>
        <v>OHI-COMMON</v>
      </c>
      <c r="AT718" t="str">
        <f>_xlfn.XLOOKUP(AU718,[2]GAE!HZ:HZ,[2]GAE!IB:IB)</f>
        <v>DOE - Employee Benefits - SSS,PHIC, HDMF</v>
      </c>
      <c r="AU718" t="s">
        <v>1177</v>
      </c>
      <c r="AV718">
        <v>90111101</v>
      </c>
      <c r="AW718">
        <v>52121305</v>
      </c>
      <c r="AX718" t="str">
        <f>_xlfn.XLOOKUP(AU718,[2]GAE!HZ:HZ,[2]GAE!IF:IF)</f>
        <v>Employee Benefits</v>
      </c>
      <c r="AY718" t="str">
        <f>_xlfn.XLOOKUP(AU718,[2]GAE!HZ:HZ,[2]GAE!IG:IG)</f>
        <v>Government Contributions</v>
      </c>
      <c r="AZ718" t="s">
        <v>191</v>
      </c>
      <c r="BC718" t="s">
        <v>192</v>
      </c>
      <c r="BD718" t="s">
        <v>192</v>
      </c>
      <c r="BF718" t="s">
        <v>184</v>
      </c>
      <c r="BG718" s="2" t="s">
        <v>191</v>
      </c>
      <c r="BH718" s="10">
        <f>SUMIFS('[1]2026'!$K:$K,'[1]2026'!$T:$T,BD718,'[1]2026'!$S:$S,BH$3,'[1]2026'!$P:$P,AU718)</f>
        <v>35400</v>
      </c>
      <c r="BI718" s="10">
        <f>SUMIFS('[1]2026'!$K:$K,'[1]2026'!$T:$T,$BD718,'[1]2026'!$S:$S,BI$3,'[1]2026'!$P:$P,$AU718)</f>
        <v>35200</v>
      </c>
      <c r="BJ718" s="10">
        <f>SUMIFS('[1]2026'!$K:$K,'[1]2026'!$T:$T,$BD718,'[1]2026'!$S:$S,BJ$3,'[1]2026'!$P:$P,$AU718)</f>
        <v>34800</v>
      </c>
      <c r="BK718" s="10">
        <f>SUMIFS('[1]2026'!$K:$K,'[1]2026'!$T:$T,$BD718,'[1]2026'!$S:$S,BK$3,'[1]2026'!$P:$P,$AU718)</f>
        <v>34800</v>
      </c>
      <c r="BL718" s="10">
        <f>SUMIFS('[1]2026'!$K:$K,'[1]2026'!$T:$T,$BD718,'[1]2026'!$S:$S,BL$3,'[1]2026'!$P:$P,$AU718)</f>
        <v>35200</v>
      </c>
      <c r="BM718" s="10">
        <f>SUMIFS('[1]2026'!$K:$K,'[1]2026'!$T:$T,$BD718,'[1]2026'!$S:$S,BM$3,'[1]2026'!$P:$P,$AU718)</f>
        <v>35000</v>
      </c>
      <c r="BN718" s="10">
        <f>SUMIFS('[1]2026'!$K:$K,'[1]2026'!$T:$T,$BD718,'[1]2026'!$S:$S,BN$3,'[1]2026'!$P:$P,$AU718)</f>
        <v>35200</v>
      </c>
      <c r="BO718" s="10">
        <f>SUMIFS('[1]2026'!$K:$K,'[1]2026'!$T:$T,$BD718,'[1]2026'!$S:$S,BO$3,'[1]2026'!$P:$P,$AU718)</f>
        <v>35000</v>
      </c>
      <c r="BP718" s="6">
        <v>35200</v>
      </c>
      <c r="BQ718" s="6">
        <v>35200</v>
      </c>
      <c r="BR718" s="6">
        <v>35200</v>
      </c>
      <c r="BS718" s="6">
        <v>35200</v>
      </c>
      <c r="BT718" s="6">
        <f t="shared" si="460"/>
        <v>421400</v>
      </c>
      <c r="BV718" s="6">
        <f t="shared" si="481"/>
        <v>743.3628060207775</v>
      </c>
      <c r="BW718" s="6">
        <f t="shared" si="482"/>
        <v>543.3628060207775</v>
      </c>
      <c r="BX718" s="6">
        <f t="shared" si="483"/>
        <v>143.3628060207775</v>
      </c>
      <c r="BY718" s="6">
        <f t="shared" si="484"/>
        <v>143.3628060207775</v>
      </c>
      <c r="BZ718" s="6">
        <f t="shared" si="485"/>
        <v>543.3628060207775</v>
      </c>
      <c r="CA718" s="6">
        <f t="shared" si="486"/>
        <v>343.3628060207775</v>
      </c>
      <c r="CB718" s="6">
        <f t="shared" si="487"/>
        <v>543.3628060207775</v>
      </c>
      <c r="CC718" s="6">
        <f t="shared" si="488"/>
        <v>343.3628060207775</v>
      </c>
      <c r="CD718" s="6">
        <f t="shared" si="489"/>
        <v>543.3628060207775</v>
      </c>
      <c r="CE718" s="6">
        <f t="shared" si="490"/>
        <v>543.3628060207775</v>
      </c>
      <c r="CF718" s="6">
        <f t="shared" si="491"/>
        <v>543.3628060207775</v>
      </c>
      <c r="CG718" s="6">
        <f t="shared" si="492"/>
        <v>543.3628060207775</v>
      </c>
      <c r="CH718" s="6">
        <f t="shared" si="496"/>
        <v>5520.3536722493591</v>
      </c>
    </row>
    <row r="719" spans="1:87" hidden="1" x14ac:dyDescent="0.35">
      <c r="A719" s="3" t="s">
        <v>193</v>
      </c>
      <c r="B719" s="10">
        <v>283631.2</v>
      </c>
      <c r="C719" s="10">
        <v>283631.2</v>
      </c>
      <c r="D719" s="10">
        <v>283631.2</v>
      </c>
      <c r="E719" s="10">
        <v>283631.2</v>
      </c>
      <c r="F719" s="10">
        <v>283631.2</v>
      </c>
      <c r="G719" s="10">
        <v>283631.2</v>
      </c>
      <c r="H719" s="10">
        <v>283631.2</v>
      </c>
      <c r="I719" s="10">
        <v>283631.2</v>
      </c>
      <c r="J719" s="10">
        <v>283631.2</v>
      </c>
      <c r="K719" s="10">
        <v>283631.2</v>
      </c>
      <c r="L719" s="10">
        <v>283631.2</v>
      </c>
      <c r="M719" s="10">
        <v>283631.2</v>
      </c>
      <c r="N719" s="27">
        <f t="shared" si="444"/>
        <v>3403574.4000000008</v>
      </c>
      <c r="O719" s="10">
        <v>15060.063516585811</v>
      </c>
      <c r="P719" s="10">
        <v>15060.063516585811</v>
      </c>
      <c r="Q719" s="10">
        <v>15060.063516585811</v>
      </c>
      <c r="R719" s="10">
        <v>15060.063516585811</v>
      </c>
      <c r="S719" s="10">
        <v>15060.063516585811</v>
      </c>
      <c r="T719" s="10">
        <v>15060.063516585811</v>
      </c>
      <c r="U719" s="10">
        <v>15060.063516585811</v>
      </c>
      <c r="V719" s="10">
        <v>15060.063516585811</v>
      </c>
      <c r="W719" s="10">
        <v>15060.063516585811</v>
      </c>
      <c r="X719" s="10">
        <v>15060.063516585811</v>
      </c>
      <c r="Y719" s="10">
        <v>15060.063516585811</v>
      </c>
      <c r="Z719" s="10">
        <v>15060.063516585811</v>
      </c>
      <c r="AA719" s="27">
        <f t="shared" si="445"/>
        <v>180720.76219902968</v>
      </c>
      <c r="AB719" s="10">
        <f t="shared" si="494"/>
        <v>268571.13648341422</v>
      </c>
      <c r="AC719" s="10">
        <f t="shared" si="494"/>
        <v>268571.13648341422</v>
      </c>
      <c r="AD719" s="10">
        <f t="shared" si="463"/>
        <v>268571.13648341422</v>
      </c>
      <c r="AE719" s="10">
        <f t="shared" si="463"/>
        <v>268571.13648341422</v>
      </c>
      <c r="AF719" s="10">
        <f t="shared" si="463"/>
        <v>268571.13648341422</v>
      </c>
      <c r="AG719" s="10">
        <f t="shared" si="463"/>
        <v>268571.13648341422</v>
      </c>
      <c r="AH719" s="10">
        <f t="shared" si="463"/>
        <v>268571.13648341422</v>
      </c>
      <c r="AI719" s="10">
        <f t="shared" si="463"/>
        <v>268571.13648341422</v>
      </c>
      <c r="AJ719" s="10">
        <f t="shared" si="463"/>
        <v>268571.13648341422</v>
      </c>
      <c r="AK719" s="10">
        <f t="shared" si="463"/>
        <v>268571.13648341422</v>
      </c>
      <c r="AL719" s="10">
        <f t="shared" si="463"/>
        <v>268571.13648341422</v>
      </c>
      <c r="AM719" s="10">
        <f t="shared" si="463"/>
        <v>268571.13648341422</v>
      </c>
      <c r="AN719" s="27">
        <f t="shared" si="463"/>
        <v>3222853.637800971</v>
      </c>
      <c r="AO719" s="28">
        <v>3191607.5</v>
      </c>
      <c r="AS719" t="str">
        <f>_xlfn.XLOOKUP(AU719,[2]GAE!HZ:HZ,[2]GAE!IA:IA)</f>
        <v>OHI-COMMON</v>
      </c>
      <c r="AT719" t="str">
        <f>_xlfn.XLOOKUP(AU719,[2]GAE!HZ:HZ,[2]GAE!IB:IB)</f>
        <v>DOE - Employee Benefits - SSS,PHIC, HDMF</v>
      </c>
      <c r="AU719" t="s">
        <v>1177</v>
      </c>
      <c r="AV719">
        <v>90111101</v>
      </c>
      <c r="AW719">
        <v>52121305</v>
      </c>
      <c r="AX719" t="str">
        <f>_xlfn.XLOOKUP(AU719,[2]GAE!HZ:HZ,[2]GAE!IF:IF)</f>
        <v>Employee Benefits</v>
      </c>
      <c r="AY719" t="str">
        <f>_xlfn.XLOOKUP(AU719,[2]GAE!HZ:HZ,[2]GAE!IG:IG)</f>
        <v>Government Contributions</v>
      </c>
      <c r="AZ719" t="s">
        <v>193</v>
      </c>
      <c r="BC719" t="s">
        <v>194</v>
      </c>
      <c r="BD719" t="s">
        <v>194</v>
      </c>
      <c r="BF719" t="s">
        <v>184</v>
      </c>
      <c r="BG719" s="2" t="s">
        <v>193</v>
      </c>
      <c r="BH719" s="10">
        <f>SUMIFS('[1]2026'!$K:$K,'[1]2026'!$T:$T,BD719,'[1]2026'!$S:$S,BH$3,'[1]2026'!$P:$P,AU719)</f>
        <v>258472.5</v>
      </c>
      <c r="BI719" s="10">
        <f>SUMIFS('[1]2026'!$K:$K,'[1]2026'!$T:$T,$BD719,'[1]2026'!$S:$S,BI$3,'[1]2026'!$P:$P,$AU719)</f>
        <v>257627.5</v>
      </c>
      <c r="BJ719" s="10">
        <f>SUMIFS('[1]2026'!$K:$K,'[1]2026'!$T:$T,$BD719,'[1]2026'!$S:$S,BJ$3,'[1]2026'!$P:$P,$AU719)</f>
        <v>256090</v>
      </c>
      <c r="BK719" s="10">
        <f>SUMIFS('[1]2026'!$K:$K,'[1]2026'!$T:$T,$BD719,'[1]2026'!$S:$S,BK$3,'[1]2026'!$P:$P,$AU719)</f>
        <v>265360</v>
      </c>
      <c r="BL719" s="10">
        <f>SUMIFS('[1]2026'!$K:$K,'[1]2026'!$T:$T,$BD719,'[1]2026'!$S:$S,BL$3,'[1]2026'!$P:$P,$AU719)</f>
        <v>265870</v>
      </c>
      <c r="BM719" s="10">
        <f>SUMIFS('[1]2026'!$K:$K,'[1]2026'!$T:$T,$BD719,'[1]2026'!$S:$S,BM$3,'[1]2026'!$P:$P,$AU719)</f>
        <v>265417.5</v>
      </c>
      <c r="BN719" s="10">
        <f>SUMIFS('[1]2026'!$K:$K,'[1]2026'!$T:$T,$BD719,'[1]2026'!$S:$S,BN$3,'[1]2026'!$P:$P,$AU719)</f>
        <v>264017.5</v>
      </c>
      <c r="BO719" s="10">
        <f>SUMIFS('[1]2026'!$K:$K,'[1]2026'!$T:$T,$BD719,'[1]2026'!$S:$S,BO$3,'[1]2026'!$P:$P,$AU719)</f>
        <v>263492.5</v>
      </c>
      <c r="BP719" s="6">
        <v>265870</v>
      </c>
      <c r="BQ719" s="6">
        <v>265870</v>
      </c>
      <c r="BR719" s="6">
        <v>265870</v>
      </c>
      <c r="BS719" s="6">
        <v>265870</v>
      </c>
      <c r="BT719" s="6">
        <f t="shared" si="460"/>
        <v>3159827.5</v>
      </c>
      <c r="BV719" s="6">
        <f t="shared" si="481"/>
        <v>-10098.636483414215</v>
      </c>
      <c r="BW719" s="6">
        <f t="shared" si="482"/>
        <v>-10943.636483414215</v>
      </c>
      <c r="BX719" s="6">
        <f t="shared" si="483"/>
        <v>-12481.136483414215</v>
      </c>
      <c r="BY719" s="6">
        <f t="shared" si="484"/>
        <v>-3211.136483414215</v>
      </c>
      <c r="BZ719" s="6">
        <f t="shared" si="485"/>
        <v>-2701.136483414215</v>
      </c>
      <c r="CA719" s="6">
        <f t="shared" si="486"/>
        <v>-3153.636483414215</v>
      </c>
      <c r="CB719" s="6">
        <f t="shared" si="487"/>
        <v>-4553.636483414215</v>
      </c>
      <c r="CC719" s="6">
        <f t="shared" si="488"/>
        <v>-5078.636483414215</v>
      </c>
      <c r="CD719" s="6">
        <f t="shared" si="489"/>
        <v>-2701.136483414215</v>
      </c>
      <c r="CE719" s="6">
        <f t="shared" si="490"/>
        <v>-2701.136483414215</v>
      </c>
      <c r="CF719" s="6">
        <f t="shared" si="491"/>
        <v>-2701.136483414215</v>
      </c>
      <c r="CG719" s="6">
        <f t="shared" si="492"/>
        <v>-2701.136483414215</v>
      </c>
      <c r="CH719" s="6">
        <f t="shared" si="496"/>
        <v>-63026.137800971046</v>
      </c>
    </row>
    <row r="720" spans="1:87" hidden="1" x14ac:dyDescent="0.35">
      <c r="A720" s="3" t="s">
        <v>195</v>
      </c>
      <c r="B720" s="10">
        <v>610750</v>
      </c>
      <c r="C720" s="10">
        <v>610750</v>
      </c>
      <c r="D720" s="10">
        <v>610750</v>
      </c>
      <c r="E720" s="10">
        <v>610750</v>
      </c>
      <c r="F720" s="10">
        <v>610750</v>
      </c>
      <c r="G720" s="10">
        <v>610750</v>
      </c>
      <c r="H720" s="10">
        <v>610750</v>
      </c>
      <c r="I720" s="10">
        <v>610750</v>
      </c>
      <c r="J720" s="10">
        <v>610750</v>
      </c>
      <c r="K720" s="10">
        <v>610750</v>
      </c>
      <c r="L720" s="10">
        <v>610750</v>
      </c>
      <c r="M720" s="10">
        <v>610750</v>
      </c>
      <c r="N720" s="27">
        <f t="shared" si="444"/>
        <v>7329000</v>
      </c>
      <c r="O720" s="10">
        <v>38891.318469102938</v>
      </c>
      <c r="P720" s="10">
        <v>38891.318469102938</v>
      </c>
      <c r="Q720" s="10">
        <v>38891.318469102938</v>
      </c>
      <c r="R720" s="10">
        <v>38891.318469102938</v>
      </c>
      <c r="S720" s="10">
        <v>38891.318469102938</v>
      </c>
      <c r="T720" s="10">
        <v>38891.318469102938</v>
      </c>
      <c r="U720" s="10">
        <v>38891.318469102938</v>
      </c>
      <c r="V720" s="10">
        <v>38891.318469102938</v>
      </c>
      <c r="W720" s="10">
        <v>38891.318469102938</v>
      </c>
      <c r="X720" s="10">
        <v>38891.318469102938</v>
      </c>
      <c r="Y720" s="10">
        <v>38891.318469102938</v>
      </c>
      <c r="Z720" s="10">
        <v>38891.318469102938</v>
      </c>
      <c r="AA720" s="27">
        <f t="shared" si="445"/>
        <v>466695.82162923535</v>
      </c>
      <c r="AB720" s="10">
        <f t="shared" si="494"/>
        <v>571858.68153089704</v>
      </c>
      <c r="AC720" s="10">
        <f t="shared" si="494"/>
        <v>571858.68153089704</v>
      </c>
      <c r="AD720" s="10">
        <f t="shared" si="463"/>
        <v>571858.68153089704</v>
      </c>
      <c r="AE720" s="10">
        <f t="shared" si="463"/>
        <v>571858.68153089704</v>
      </c>
      <c r="AF720" s="10">
        <f t="shared" si="463"/>
        <v>571858.68153089704</v>
      </c>
      <c r="AG720" s="10">
        <f t="shared" si="463"/>
        <v>571858.68153089704</v>
      </c>
      <c r="AH720" s="10">
        <f t="shared" si="463"/>
        <v>571858.68153089704</v>
      </c>
      <c r="AI720" s="10">
        <f t="shared" si="463"/>
        <v>571858.68153089704</v>
      </c>
      <c r="AJ720" s="10">
        <f t="shared" ref="AJ720:AN743" si="497">J720-W720</f>
        <v>571858.68153089704</v>
      </c>
      <c r="AK720" s="10">
        <f t="shared" si="497"/>
        <v>571858.68153089704</v>
      </c>
      <c r="AL720" s="10">
        <f t="shared" si="497"/>
        <v>571858.68153089704</v>
      </c>
      <c r="AM720" s="10">
        <f t="shared" si="497"/>
        <v>571858.68153089704</v>
      </c>
      <c r="AN720" s="27">
        <f t="shared" si="497"/>
        <v>6862304.1783707645</v>
      </c>
      <c r="AO720" s="28">
        <v>6800602.0999999996</v>
      </c>
      <c r="AS720" t="str">
        <f>_xlfn.XLOOKUP(AU720,[2]GAE!HZ:HZ,[2]GAE!IA:IA)</f>
        <v>OHI-COMMON</v>
      </c>
      <c r="AT720" t="str">
        <f>_xlfn.XLOOKUP(AU720,[2]GAE!HZ:HZ,[2]GAE!IB:IB)</f>
        <v>DOE - Employee Benefits - Gas Allowance</v>
      </c>
      <c r="AU720" t="s">
        <v>1178</v>
      </c>
      <c r="AV720">
        <v>90111101</v>
      </c>
      <c r="AW720">
        <v>52121308</v>
      </c>
      <c r="AX720" t="str">
        <f>_xlfn.XLOOKUP(AU720,[2]GAE!HZ:HZ,[2]GAE!IF:IF)</f>
        <v>Employee Benefits</v>
      </c>
      <c r="AY720" t="str">
        <f>_xlfn.XLOOKUP(AU720,[2]GAE!HZ:HZ,[2]GAE!IG:IG)</f>
        <v>Gas Allowance</v>
      </c>
      <c r="AZ720" t="s">
        <v>195</v>
      </c>
      <c r="BC720" t="s">
        <v>195</v>
      </c>
      <c r="BD720" t="s">
        <v>195</v>
      </c>
      <c r="BF720" t="s">
        <v>101</v>
      </c>
      <c r="BG720" s="2" t="s">
        <v>195</v>
      </c>
      <c r="BH720" s="10">
        <f>SUMIFS('[1]2026'!$K:$K,'[1]2026'!$T:$T,BD720,'[1]2026'!$S:$S,BH$3,'[1]2026'!$P:$P,AU720)</f>
        <v>562750</v>
      </c>
      <c r="BI720" s="10">
        <f>SUMIFS('[1]2026'!$K:$K,'[1]2026'!$T:$T,$BD720,'[1]2026'!$S:$S,BI$3,'[1]2026'!$P:$P,$AU720)</f>
        <v>566750</v>
      </c>
      <c r="BJ720" s="10">
        <f>SUMIFS('[1]2026'!$K:$K,'[1]2026'!$T:$T,$BD720,'[1]2026'!$S:$S,BJ$3,'[1]2026'!$P:$P,$AU720)</f>
        <v>566750</v>
      </c>
      <c r="BK720" s="10">
        <f>SUMIFS('[1]2026'!$K:$K,'[1]2026'!$T:$T,$BD720,'[1]2026'!$S:$S,BK$3,'[1]2026'!$P:$P,$AU720)</f>
        <v>670000</v>
      </c>
      <c r="BL720" s="10">
        <f>SUMIFS('[1]2026'!$K:$K,'[1]2026'!$T:$T,$BD720,'[1]2026'!$S:$S,BL$3,'[1]2026'!$P:$P,$AU720)</f>
        <v>603500</v>
      </c>
      <c r="BM720" s="10">
        <f>SUMIFS('[1]2026'!$K:$K,'[1]2026'!$T:$T,$BD720,'[1]2026'!$S:$S,BM$3,'[1]2026'!$P:$P,$AU720)</f>
        <v>594750</v>
      </c>
      <c r="BN720" s="10">
        <f>SUMIFS('[1]2026'!$K:$K,'[1]2026'!$T:$T,$BD720,'[1]2026'!$S:$S,BN$3,'[1]2026'!$P:$P,$AU720)</f>
        <v>586750</v>
      </c>
      <c r="BO720" s="10">
        <f>SUMIFS('[1]2026'!$K:$K,'[1]2026'!$T:$T,$BD720,'[1]2026'!$S:$S,BO$3,'[1]2026'!$P:$P,$AU720)</f>
        <v>586750</v>
      </c>
      <c r="BP720" s="6">
        <v>600000</v>
      </c>
      <c r="BQ720" s="6">
        <v>600000</v>
      </c>
      <c r="BR720" s="6">
        <v>600000</v>
      </c>
      <c r="BS720" s="6">
        <v>600000</v>
      </c>
      <c r="BT720" s="6">
        <f t="shared" si="460"/>
        <v>7138000</v>
      </c>
      <c r="BV720" s="6">
        <f t="shared" si="481"/>
        <v>-9108.6815308970399</v>
      </c>
      <c r="BW720" s="6">
        <f t="shared" si="482"/>
        <v>-5108.6815308970399</v>
      </c>
      <c r="BX720" s="6">
        <f t="shared" si="483"/>
        <v>-5108.6815308970399</v>
      </c>
      <c r="BY720" s="6">
        <f t="shared" si="484"/>
        <v>98141.31846910296</v>
      </c>
      <c r="BZ720" s="6">
        <f t="shared" si="485"/>
        <v>31641.31846910296</v>
      </c>
      <c r="CA720" s="6">
        <f t="shared" si="486"/>
        <v>22891.31846910296</v>
      </c>
      <c r="CB720" s="6">
        <f t="shared" si="487"/>
        <v>14891.31846910296</v>
      </c>
      <c r="CC720" s="6">
        <f t="shared" si="488"/>
        <v>14891.31846910296</v>
      </c>
      <c r="CD720" s="6">
        <f t="shared" si="489"/>
        <v>28141.31846910296</v>
      </c>
      <c r="CE720" s="6">
        <f t="shared" si="490"/>
        <v>28141.31846910296</v>
      </c>
      <c r="CF720" s="6">
        <f t="shared" si="491"/>
        <v>28141.31846910296</v>
      </c>
      <c r="CG720" s="6">
        <f t="shared" si="492"/>
        <v>28141.31846910296</v>
      </c>
      <c r="CH720" s="6">
        <f t="shared" si="496"/>
        <v>275695.82162923552</v>
      </c>
    </row>
    <row r="721" spans="1:89" hidden="1" x14ac:dyDescent="0.35">
      <c r="A721" s="3" t="s">
        <v>196</v>
      </c>
      <c r="J721" s="10">
        <v>1310000</v>
      </c>
      <c r="N721" s="27">
        <f t="shared" ref="N721:N767" si="498">SUM(B721:M721)</f>
        <v>1310000</v>
      </c>
      <c r="AA721" s="27">
        <f t="shared" ref="AA721:AA767" si="499">SUM(O721:Z721)</f>
        <v>0</v>
      </c>
      <c r="AB721" s="10">
        <f t="shared" si="494"/>
        <v>0</v>
      </c>
      <c r="AC721" s="10">
        <f t="shared" si="494"/>
        <v>0</v>
      </c>
      <c r="AD721" s="10">
        <f t="shared" si="494"/>
        <v>0</v>
      </c>
      <c r="AE721" s="10">
        <f t="shared" si="494"/>
        <v>0</v>
      </c>
      <c r="AF721" s="10">
        <f t="shared" si="494"/>
        <v>0</v>
      </c>
      <c r="AG721" s="10">
        <f t="shared" si="494"/>
        <v>0</v>
      </c>
      <c r="AH721" s="10">
        <f t="shared" si="494"/>
        <v>0</v>
      </c>
      <c r="AI721" s="10">
        <f t="shared" si="494"/>
        <v>0</v>
      </c>
      <c r="AJ721" s="10">
        <f t="shared" si="497"/>
        <v>1310000</v>
      </c>
      <c r="AK721" s="10">
        <f t="shared" si="497"/>
        <v>0</v>
      </c>
      <c r="AL721" s="10">
        <f t="shared" si="497"/>
        <v>0</v>
      </c>
      <c r="AM721" s="10">
        <f t="shared" si="497"/>
        <v>0</v>
      </c>
      <c r="AN721" s="27">
        <f t="shared" si="497"/>
        <v>1310000</v>
      </c>
      <c r="AS721" t="str">
        <f>_xlfn.XLOOKUP(AU721,[2]GAE!HZ:HZ,[2]GAE!IA:IA)</f>
        <v>OHI-COMMON</v>
      </c>
      <c r="AT721" t="str">
        <f>_xlfn.XLOOKUP(AU721,[2]GAE!HZ:HZ,[2]GAE!IB:IB)</f>
        <v>DOE - Employee Benefits - Medical Allowance</v>
      </c>
      <c r="AU721" t="s">
        <v>1179</v>
      </c>
      <c r="AV721">
        <v>90111101</v>
      </c>
      <c r="AW721">
        <v>52121302</v>
      </c>
      <c r="AX721" t="str">
        <f>_xlfn.XLOOKUP(AU721,[2]GAE!HZ:HZ,[2]GAE!IF:IF)</f>
        <v>Employee Benefits</v>
      </c>
      <c r="AY721" t="str">
        <f>_xlfn.XLOOKUP(AU721,[2]GAE!HZ:HZ,[2]GAE!IG:IG)</f>
        <v>Medical/Insurance</v>
      </c>
      <c r="AZ721" t="s">
        <v>196</v>
      </c>
      <c r="BC721" t="s">
        <v>196</v>
      </c>
      <c r="BD721" t="s">
        <v>196</v>
      </c>
      <c r="BF721" t="s">
        <v>101</v>
      </c>
      <c r="BG721" s="2" t="s">
        <v>196</v>
      </c>
      <c r="BH721" s="10">
        <f>SUMIFS('[1]2026'!$K:$K,'[1]2026'!$T:$T,BD721,'[1]2026'!$S:$S,BH$3,'[1]2026'!$P:$P,AU721)</f>
        <v>0</v>
      </c>
      <c r="BI721" s="10">
        <f>SUMIFS('[1]2026'!$K:$K,'[1]2026'!$T:$T,$BD721,'[1]2026'!$S:$S,BI$3,'[1]2026'!$P:$P,$AU721)</f>
        <v>0</v>
      </c>
      <c r="BJ721" s="6"/>
      <c r="BK721" s="10">
        <f>SUMIFS('[1]2026'!$K:$K,'[1]2026'!$T:$T,$BD721,'[1]2026'!$S:$S,BK$3,'[1]2026'!$P:$P,$AU721)</f>
        <v>0</v>
      </c>
      <c r="BL721" s="6"/>
      <c r="BM721" s="10">
        <f>SUMIFS('[1]2026'!$K:$K,'[1]2026'!$T:$T,$BD721,'[1]2026'!$S:$S,BM$3,'[1]2026'!$P:$P,$AU721)</f>
        <v>0</v>
      </c>
      <c r="BN721" s="10">
        <f>SUMIFS('[1]2026'!$K:$K,'[1]2026'!$T:$T,$BD721,'[1]2026'!$S:$S,BN$3,'[1]2026'!$P:$P,$AU721)</f>
        <v>0</v>
      </c>
      <c r="BO721" s="10">
        <f>SUMIFS('[1]2026'!$K:$K,'[1]2026'!$T:$T,$BD721,'[1]2026'!$S:$S,BO$3,'[1]2026'!$P:$P,$AU721)</f>
        <v>0</v>
      </c>
      <c r="BP721" s="6">
        <f>AN721</f>
        <v>1310000</v>
      </c>
      <c r="BQ721" s="6"/>
      <c r="BR721" s="6"/>
      <c r="BS721" s="6"/>
      <c r="BT721" s="6">
        <f t="shared" si="460"/>
        <v>1310000</v>
      </c>
      <c r="BV721" s="6">
        <f t="shared" si="481"/>
        <v>0</v>
      </c>
      <c r="BW721" s="6">
        <f t="shared" si="482"/>
        <v>0</v>
      </c>
      <c r="BX721" s="6">
        <f t="shared" si="483"/>
        <v>0</v>
      </c>
      <c r="BY721" s="6">
        <f t="shared" si="484"/>
        <v>0</v>
      </c>
      <c r="BZ721" s="6">
        <f t="shared" si="485"/>
        <v>0</v>
      </c>
      <c r="CA721" s="6">
        <f t="shared" si="486"/>
        <v>0</v>
      </c>
      <c r="CB721" s="6">
        <f t="shared" si="487"/>
        <v>0</v>
      </c>
      <c r="CC721" s="6">
        <f t="shared" si="488"/>
        <v>0</v>
      </c>
      <c r="CD721" s="6">
        <f t="shared" si="489"/>
        <v>0</v>
      </c>
      <c r="CE721" s="6">
        <f t="shared" si="490"/>
        <v>0</v>
      </c>
      <c r="CF721" s="6">
        <f t="shared" si="491"/>
        <v>0</v>
      </c>
      <c r="CG721" s="6">
        <f t="shared" si="492"/>
        <v>0</v>
      </c>
      <c r="CH721" s="6">
        <f t="shared" si="496"/>
        <v>0</v>
      </c>
    </row>
    <row r="722" spans="1:89" hidden="1" x14ac:dyDescent="0.35">
      <c r="A722" s="3" t="s">
        <v>197</v>
      </c>
      <c r="B722" s="10">
        <v>77500</v>
      </c>
      <c r="C722" s="10">
        <v>77500</v>
      </c>
      <c r="D722" s="10">
        <v>77500</v>
      </c>
      <c r="E722" s="10">
        <v>77500</v>
      </c>
      <c r="F722" s="10">
        <v>77500</v>
      </c>
      <c r="G722" s="10">
        <v>77500</v>
      </c>
      <c r="H722" s="10">
        <v>77500</v>
      </c>
      <c r="I722" s="10">
        <v>77500</v>
      </c>
      <c r="J722" s="10">
        <v>77500</v>
      </c>
      <c r="K722" s="10">
        <v>77500</v>
      </c>
      <c r="L722" s="10">
        <v>77500</v>
      </c>
      <c r="M722" s="10">
        <v>77500</v>
      </c>
      <c r="N722" s="27">
        <f t="shared" si="498"/>
        <v>930000</v>
      </c>
      <c r="O722" s="10">
        <v>16267.177039964947</v>
      </c>
      <c r="P722" s="10">
        <v>16267.177039964947</v>
      </c>
      <c r="Q722" s="10">
        <v>16267.177039964947</v>
      </c>
      <c r="R722" s="10">
        <v>16267.177039964947</v>
      </c>
      <c r="S722" s="10">
        <v>16267.177039964947</v>
      </c>
      <c r="T722" s="10">
        <v>16267.177039964947</v>
      </c>
      <c r="U722" s="10">
        <v>16267.177039964947</v>
      </c>
      <c r="V722" s="10">
        <v>16267.177039964947</v>
      </c>
      <c r="W722" s="10">
        <v>16267.177039964947</v>
      </c>
      <c r="X722" s="10">
        <v>16267.177039964947</v>
      </c>
      <c r="Y722" s="10">
        <v>16267.177039964947</v>
      </c>
      <c r="Z722" s="10">
        <v>16267.177039964947</v>
      </c>
      <c r="AA722" s="27">
        <f t="shared" si="499"/>
        <v>195206.1244795793</v>
      </c>
      <c r="AB722" s="10">
        <f t="shared" si="494"/>
        <v>61232.822960035053</v>
      </c>
      <c r="AC722" s="10">
        <f t="shared" si="494"/>
        <v>61232.822960035053</v>
      </c>
      <c r="AD722" s="10">
        <f t="shared" si="494"/>
        <v>61232.822960035053</v>
      </c>
      <c r="AE722" s="10">
        <f t="shared" si="494"/>
        <v>61232.822960035053</v>
      </c>
      <c r="AF722" s="10">
        <f t="shared" si="494"/>
        <v>61232.822960035053</v>
      </c>
      <c r="AG722" s="10">
        <f t="shared" si="494"/>
        <v>61232.822960035053</v>
      </c>
      <c r="AH722" s="10">
        <f t="shared" si="494"/>
        <v>61232.822960035053</v>
      </c>
      <c r="AI722" s="10">
        <f t="shared" si="494"/>
        <v>61232.822960035053</v>
      </c>
      <c r="AJ722" s="10">
        <f t="shared" si="497"/>
        <v>61232.822960035053</v>
      </c>
      <c r="AK722" s="10">
        <f t="shared" si="497"/>
        <v>61232.822960035053</v>
      </c>
      <c r="AL722" s="10">
        <f t="shared" si="497"/>
        <v>61232.822960035053</v>
      </c>
      <c r="AM722" s="10">
        <f t="shared" si="497"/>
        <v>61232.822960035053</v>
      </c>
      <c r="AN722" s="27">
        <f t="shared" si="497"/>
        <v>734793.87552042073</v>
      </c>
      <c r="AS722" t="str">
        <f>_xlfn.XLOOKUP(AU722,[2]GAE!HZ:HZ,[2]GAE!IA:IA)</f>
        <v>OHI-COMMON</v>
      </c>
      <c r="AT722" t="str">
        <f>_xlfn.XLOOKUP(AU722,[2]GAE!HZ:HZ,[2]GAE!IB:IB)</f>
        <v>DOE - Employee Benefits - Uniform</v>
      </c>
      <c r="AU722" t="s">
        <v>1180</v>
      </c>
      <c r="AV722">
        <v>90111101</v>
      </c>
      <c r="AW722">
        <v>52121306</v>
      </c>
      <c r="AX722" t="str">
        <f>_xlfn.XLOOKUP(AU722,[2]GAE!HZ:HZ,[2]GAE!IF:IF)</f>
        <v>Employee Benefits</v>
      </c>
      <c r="AY722" t="str">
        <f>_xlfn.XLOOKUP(AU722,[2]GAE!HZ:HZ,[2]GAE!IG:IG)</f>
        <v>Uniform</v>
      </c>
      <c r="AZ722" t="s">
        <v>197</v>
      </c>
      <c r="BC722" t="s">
        <v>197</v>
      </c>
      <c r="BD722" t="s">
        <v>1146</v>
      </c>
      <c r="BF722" t="s">
        <v>101</v>
      </c>
      <c r="BG722" s="2" t="s">
        <v>197</v>
      </c>
      <c r="BH722" s="10">
        <f>SUMIFS('[1]2026'!$K:$K,'[1]2026'!$T:$T,BD722,'[1]2026'!$S:$S,BH$3,'[1]2026'!$P:$P,AU722)</f>
        <v>152000</v>
      </c>
      <c r="BI722" s="10">
        <f>SUMIFS('[1]2026'!$K:$K,'[1]2026'!$T:$T,$BD722,'[1]2026'!$S:$S,BI$3,'[1]2026'!$P:$P,$AU722)</f>
        <v>0</v>
      </c>
      <c r="BJ722" s="10">
        <f>SUMIFS('[1]2026'!$K:$K,'[1]2026'!$T:$T,$BD722,'[1]2026'!$S:$S,BJ$3,'[1]2026'!$P:$P,$AU722)</f>
        <v>0</v>
      </c>
      <c r="BK722" s="10">
        <f>SUMIFS('[1]2026'!$K:$K,'[1]2026'!$T:$T,$BD722,'[1]2026'!$S:$S,BK$3,'[1]2026'!$P:$P,$AU722)</f>
        <v>0</v>
      </c>
      <c r="BL722" s="6"/>
      <c r="BM722" s="10">
        <f>SUMIFS('[1]2026'!$K:$K,'[1]2026'!$T:$T,$BD722,'[1]2026'!$S:$S,BM$3,'[1]2026'!$P:$P,$AU722)</f>
        <v>716560</v>
      </c>
      <c r="BN722" s="10">
        <f>SUMIFS('[1]2026'!$K:$K,'[1]2026'!$T:$T,$BD722,'[1]2026'!$S:$S,BN$3,'[1]2026'!$P:$P,$AU722)</f>
        <v>0</v>
      </c>
      <c r="BO722" s="10">
        <f>SUMIFS('[1]2026'!$K:$K,'[1]2026'!$T:$T,$BD722,'[1]2026'!$S:$S,BO$3,'[1]2026'!$P:$P,$AU722)</f>
        <v>0</v>
      </c>
      <c r="BP722" s="6"/>
      <c r="BQ722" s="6"/>
      <c r="BR722" s="6"/>
      <c r="BS722" s="6"/>
      <c r="BT722" s="6">
        <f t="shared" si="460"/>
        <v>868560</v>
      </c>
      <c r="BV722" s="6">
        <f t="shared" si="481"/>
        <v>90767.177039964939</v>
      </c>
      <c r="BW722" s="6">
        <f t="shared" si="482"/>
        <v>-61232.822960035053</v>
      </c>
      <c r="BX722" s="6">
        <f t="shared" si="483"/>
        <v>-61232.822960035053</v>
      </c>
      <c r="BY722" s="6">
        <f t="shared" si="484"/>
        <v>-61232.822960035053</v>
      </c>
      <c r="BZ722" s="6">
        <f t="shared" si="485"/>
        <v>-61232.822960035053</v>
      </c>
      <c r="CA722" s="6">
        <f t="shared" si="486"/>
        <v>655327.17703996494</v>
      </c>
      <c r="CB722" s="6">
        <f t="shared" si="487"/>
        <v>-61232.822960035053</v>
      </c>
      <c r="CC722" s="6">
        <f t="shared" si="488"/>
        <v>-61232.822960035053</v>
      </c>
      <c r="CD722" s="6">
        <f t="shared" si="489"/>
        <v>-61232.822960035053</v>
      </c>
      <c r="CE722" s="6">
        <f t="shared" si="490"/>
        <v>-61232.822960035053</v>
      </c>
      <c r="CF722" s="6">
        <f t="shared" si="491"/>
        <v>-61232.822960035053</v>
      </c>
      <c r="CG722" s="6">
        <f t="shared" si="492"/>
        <v>-61232.822960035053</v>
      </c>
      <c r="CH722" s="6">
        <f t="shared" si="496"/>
        <v>133766.12447957927</v>
      </c>
    </row>
    <row r="723" spans="1:89" hidden="1" x14ac:dyDescent="0.35">
      <c r="A723" s="3" t="s">
        <v>1181</v>
      </c>
      <c r="B723" s="10">
        <v>73687.225526384413</v>
      </c>
      <c r="C723" s="10">
        <v>73687.225526384413</v>
      </c>
      <c r="D723" s="10">
        <v>73687.225526384413</v>
      </c>
      <c r="E723" s="10">
        <v>73687.225526384413</v>
      </c>
      <c r="F723" s="10">
        <v>73687.225526384413</v>
      </c>
      <c r="G723" s="10">
        <v>73687.225526384413</v>
      </c>
      <c r="H723" s="10">
        <v>73687.225526384413</v>
      </c>
      <c r="I723" s="10">
        <v>73687.225526384413</v>
      </c>
      <c r="J723" s="10">
        <v>73687.225526384413</v>
      </c>
      <c r="K723" s="10">
        <v>73687.225526384413</v>
      </c>
      <c r="L723" s="10">
        <v>73687.225526384413</v>
      </c>
      <c r="M723" s="10">
        <v>73687.225526384413</v>
      </c>
      <c r="N723" s="27">
        <f t="shared" si="498"/>
        <v>884246.70631661301</v>
      </c>
      <c r="O723" s="10">
        <v>12783.611291940915</v>
      </c>
      <c r="P723" s="10">
        <v>12783.611291940915</v>
      </c>
      <c r="Q723" s="10">
        <v>12783.611291940915</v>
      </c>
      <c r="R723" s="10">
        <v>12783.611291940915</v>
      </c>
      <c r="S723" s="10">
        <v>12783.611291940915</v>
      </c>
      <c r="T723" s="10">
        <v>12783.611291940915</v>
      </c>
      <c r="U723" s="10">
        <v>12783.611291940915</v>
      </c>
      <c r="V723" s="10">
        <v>12783.611291940915</v>
      </c>
      <c r="W723" s="10">
        <v>12783.611291940915</v>
      </c>
      <c r="X723" s="10">
        <v>12783.611291940915</v>
      </c>
      <c r="Y723" s="10">
        <v>12783.611291940915</v>
      </c>
      <c r="Z723" s="10">
        <v>12783.611291940915</v>
      </c>
      <c r="AA723" s="27">
        <f t="shared" si="499"/>
        <v>153403.33550329099</v>
      </c>
      <c r="AB723" s="10">
        <f t="shared" si="494"/>
        <v>60903.614234443499</v>
      </c>
      <c r="AC723" s="10">
        <f t="shared" si="494"/>
        <v>60903.614234443499</v>
      </c>
      <c r="AD723" s="10">
        <f t="shared" si="494"/>
        <v>60903.614234443499</v>
      </c>
      <c r="AE723" s="10">
        <f t="shared" si="494"/>
        <v>60903.614234443499</v>
      </c>
      <c r="AF723" s="10">
        <f t="shared" si="494"/>
        <v>60903.614234443499</v>
      </c>
      <c r="AG723" s="10">
        <f t="shared" si="494"/>
        <v>60903.614234443499</v>
      </c>
      <c r="AH723" s="10">
        <f t="shared" si="494"/>
        <v>60903.614234443499</v>
      </c>
      <c r="AI723" s="10">
        <f t="shared" si="494"/>
        <v>60903.614234443499</v>
      </c>
      <c r="AJ723" s="10">
        <f t="shared" si="497"/>
        <v>60903.614234443499</v>
      </c>
      <c r="AK723" s="10">
        <f t="shared" si="497"/>
        <v>60903.614234443499</v>
      </c>
      <c r="AL723" s="10">
        <f t="shared" si="497"/>
        <v>60903.614234443499</v>
      </c>
      <c r="AM723" s="10">
        <f t="shared" si="497"/>
        <v>60903.614234443499</v>
      </c>
      <c r="AN723" s="27">
        <f t="shared" si="497"/>
        <v>730843.37081332202</v>
      </c>
      <c r="AS723" t="str">
        <f>_xlfn.XLOOKUP(AU723,[2]GAE!HZ:HZ,[2]GAE!IA:IA)</f>
        <v>OHI-COMMON</v>
      </c>
      <c r="AT723" t="str">
        <f>_xlfn.XLOOKUP(AU723,[2]GAE!HZ:HZ,[2]GAE!IB:IB)</f>
        <v>DOE - Employee Benefits - Rice Subsidy</v>
      </c>
      <c r="AU723" t="s">
        <v>1182</v>
      </c>
      <c r="AV723">
        <v>90111101</v>
      </c>
      <c r="AW723">
        <v>52121309</v>
      </c>
      <c r="AX723" t="str">
        <f>_xlfn.XLOOKUP(AU723,[2]GAE!HZ:HZ,[2]GAE!IF:IF)</f>
        <v>Employee Benefits</v>
      </c>
      <c r="AY723" t="str">
        <f>_xlfn.XLOOKUP(AU723,[2]GAE!HZ:HZ,[2]GAE!IG:IG)</f>
        <v>Uniform</v>
      </c>
      <c r="AZ723" t="s">
        <v>1181</v>
      </c>
      <c r="BA723" t="s">
        <v>1132</v>
      </c>
      <c r="BC723" t="s">
        <v>197</v>
      </c>
      <c r="BD723" t="s">
        <v>1146</v>
      </c>
      <c r="BF723" t="s">
        <v>101</v>
      </c>
      <c r="BG723" s="2" t="s">
        <v>197</v>
      </c>
      <c r="BH723" s="10">
        <f>SUMIFS('[1]2026'!$K:$K,'[1]2026'!$T:$T,BD723,'[1]2026'!$S:$S,BH$3,'[1]2026'!$P:$P,AU723)</f>
        <v>38000</v>
      </c>
      <c r="BI723" s="10">
        <f>SUMIFS('[1]2026'!$K:$K,'[1]2026'!$T:$T,$BD723,'[1]2026'!$S:$S,BI$3,'[1]2026'!$P:$P,$AU723)</f>
        <v>0</v>
      </c>
      <c r="BJ723" s="10">
        <f>SUMIFS('[1]2026'!$K:$K,'[1]2026'!$T:$T,$BD723,'[1]2026'!$S:$S,BJ$3,'[1]2026'!$P:$P,$AU723)</f>
        <v>0</v>
      </c>
      <c r="BK723" s="10">
        <f>SUMIFS('[1]2026'!$K:$K,'[1]2026'!$T:$T,$BD723,'[1]2026'!$S:$S,BK$3,'[1]2026'!$P:$P,$AU723)</f>
        <v>0</v>
      </c>
      <c r="BL723" s="6"/>
      <c r="BM723" s="10">
        <f>SUMIFS('[1]2026'!$K:$K,'[1]2026'!$T:$T,$BD723,'[1]2026'!$S:$S,BM$3,'[1]2026'!$P:$P,$AU723)</f>
        <v>0</v>
      </c>
      <c r="BN723" s="10">
        <f>SUMIFS('[1]2026'!$K:$K,'[1]2026'!$T:$T,$BD723,'[1]2026'!$S:$S,BN$3,'[1]2026'!$P:$P,$AU723)</f>
        <v>0</v>
      </c>
      <c r="BO723" s="10">
        <f>SUMIFS('[1]2026'!$K:$K,'[1]2026'!$T:$T,$BD723,'[1]2026'!$S:$S,BO$3,'[1]2026'!$P:$P,$AU723)</f>
        <v>3440000</v>
      </c>
      <c r="BP723" s="6"/>
      <c r="BQ723" s="6"/>
      <c r="BR723" s="6"/>
      <c r="BS723" s="6"/>
      <c r="BT723" s="6">
        <f t="shared" si="460"/>
        <v>3478000</v>
      </c>
      <c r="BV723" s="6">
        <f t="shared" si="481"/>
        <v>-22903.614234443499</v>
      </c>
      <c r="BW723" s="6">
        <f t="shared" si="482"/>
        <v>-60903.614234443499</v>
      </c>
      <c r="BX723" s="6">
        <f t="shared" si="483"/>
        <v>-60903.614234443499</v>
      </c>
      <c r="BY723" s="6">
        <f t="shared" si="484"/>
        <v>-60903.614234443499</v>
      </c>
      <c r="BZ723" s="6">
        <f t="shared" si="485"/>
        <v>-60903.614234443499</v>
      </c>
      <c r="CA723" s="6">
        <f t="shared" si="486"/>
        <v>-60903.614234443499</v>
      </c>
      <c r="CB723" s="6">
        <f t="shared" si="487"/>
        <v>-60903.614234443499</v>
      </c>
      <c r="CC723" s="6">
        <f t="shared" si="488"/>
        <v>3379096.3857655567</v>
      </c>
      <c r="CD723" s="6">
        <f t="shared" si="489"/>
        <v>-60903.614234443499</v>
      </c>
      <c r="CE723" s="6">
        <f t="shared" si="490"/>
        <v>-60903.614234443499</v>
      </c>
      <c r="CF723" s="6">
        <f t="shared" si="491"/>
        <v>-60903.614234443499</v>
      </c>
      <c r="CG723" s="6">
        <f t="shared" si="492"/>
        <v>-60903.614234443499</v>
      </c>
      <c r="CH723" s="6">
        <f t="shared" si="496"/>
        <v>2747156.6291866777</v>
      </c>
    </row>
    <row r="724" spans="1:89" hidden="1" x14ac:dyDescent="0.35">
      <c r="A724" s="3" t="s">
        <v>1164</v>
      </c>
      <c r="B724" s="10">
        <v>5000</v>
      </c>
      <c r="C724" s="10">
        <v>5000</v>
      </c>
      <c r="D724" s="10">
        <v>5000</v>
      </c>
      <c r="E724" s="10">
        <v>5000</v>
      </c>
      <c r="F724" s="10">
        <v>5000</v>
      </c>
      <c r="G724" s="10">
        <v>5000</v>
      </c>
      <c r="H724" s="10">
        <v>5000</v>
      </c>
      <c r="I724" s="10">
        <v>5000</v>
      </c>
      <c r="J724" s="10">
        <v>5000</v>
      </c>
      <c r="K724" s="10">
        <v>5000</v>
      </c>
      <c r="L724" s="10">
        <v>5000</v>
      </c>
      <c r="M724" s="10">
        <v>5000</v>
      </c>
      <c r="N724" s="27">
        <f t="shared" si="498"/>
        <v>60000</v>
      </c>
      <c r="AA724" s="27">
        <f t="shared" si="499"/>
        <v>0</v>
      </c>
      <c r="AB724" s="10">
        <f t="shared" si="494"/>
        <v>5000</v>
      </c>
      <c r="AC724" s="10">
        <f t="shared" si="494"/>
        <v>5000</v>
      </c>
      <c r="AD724" s="10">
        <f t="shared" si="494"/>
        <v>5000</v>
      </c>
      <c r="AE724" s="10">
        <f t="shared" si="494"/>
        <v>5000</v>
      </c>
      <c r="AF724" s="10">
        <f t="shared" si="494"/>
        <v>5000</v>
      </c>
      <c r="AG724" s="10">
        <f t="shared" si="494"/>
        <v>5000</v>
      </c>
      <c r="AH724" s="10">
        <f t="shared" si="494"/>
        <v>5000</v>
      </c>
      <c r="AI724" s="10">
        <f t="shared" si="494"/>
        <v>5000</v>
      </c>
      <c r="AJ724" s="10">
        <f t="shared" si="497"/>
        <v>5000</v>
      </c>
      <c r="AK724" s="10">
        <f t="shared" si="497"/>
        <v>5000</v>
      </c>
      <c r="AL724" s="10">
        <f t="shared" si="497"/>
        <v>5000</v>
      </c>
      <c r="AM724" s="10">
        <f t="shared" si="497"/>
        <v>5000</v>
      </c>
      <c r="AN724" s="27">
        <f t="shared" si="497"/>
        <v>60000</v>
      </c>
      <c r="AS724" t="str">
        <f>_xlfn.XLOOKUP(AU724,[2]GAE!HZ:HZ,[2]GAE!IA:IA)</f>
        <v>OHI-COMMON</v>
      </c>
      <c r="AT724" t="str">
        <f>_xlfn.XLOOKUP(AU724,[2]GAE!HZ:HZ,[2]GAE!IB:IB)</f>
        <v>DOE - Regular - OT Allowance</v>
      </c>
      <c r="AU724" t="s">
        <v>1176</v>
      </c>
      <c r="AV724">
        <v>90111101</v>
      </c>
      <c r="AW724">
        <v>52121103</v>
      </c>
      <c r="AX724" t="str">
        <f>_xlfn.XLOOKUP(AU724,[2]GAE!HZ:HZ,[2]GAE!IF:IF)</f>
        <v>Salaries</v>
      </c>
      <c r="AY724" t="str">
        <f>_xlfn.XLOOKUP(AU724,[2]GAE!HZ:HZ,[2]GAE!IG:IG)</f>
        <v>OT Pay</v>
      </c>
      <c r="AZ724" t="s">
        <v>1164</v>
      </c>
      <c r="BA724" t="s">
        <v>1132</v>
      </c>
      <c r="BF724" t="s">
        <v>101</v>
      </c>
      <c r="BG724" t="s">
        <v>188</v>
      </c>
      <c r="BH724" s="10">
        <f>SUMIFS('[1]2026'!$K:$K,'[1]2026'!$T:$T,BD724,'[1]2026'!$S:$S,BH$3,'[1]2026'!$P:$P,AU724)</f>
        <v>0</v>
      </c>
      <c r="BI724" s="10">
        <f>SUMIFS('[1]2026'!$K:$K,'[1]2026'!$T:$T,$BD724,'[1]2026'!$S:$S,BI$3,'[1]2026'!$P:$P,$AU724)</f>
        <v>0</v>
      </c>
      <c r="BJ724" s="10">
        <f>SUMIFS('[1]2026'!$K:$K,'[1]2026'!$T:$T,$BD724,'[1]2026'!$S:$S,BJ$3,'[1]2026'!$P:$P,$AU724)</f>
        <v>0</v>
      </c>
      <c r="BK724" s="10">
        <f>SUMIFS('[1]2026'!$K:$K,'[1]2026'!$T:$T,$BD724,'[1]2026'!$S:$S,BK$3,'[1]2026'!$P:$P,$AU724)</f>
        <v>0</v>
      </c>
      <c r="BL724" s="10">
        <f>SUMIFS('[1]2026'!$K:$K,'[1]2026'!$T:$T,$BD724,'[1]2026'!$S:$S,BL$3,'[1]2026'!$P:$P,$AU724)</f>
        <v>0</v>
      </c>
      <c r="BM724" s="10">
        <f>SUMIFS('[1]2026'!$K:$K,'[1]2026'!$T:$T,$BD724,'[1]2026'!$S:$S,BM$3,'[1]2026'!$P:$P,$AU724)</f>
        <v>0</v>
      </c>
      <c r="BN724" s="10">
        <f>SUMIFS('[1]2026'!$K:$K,'[1]2026'!$T:$T,$BD724,'[1]2026'!$S:$S,BN$3,'[1]2026'!$P:$P,$AU724)</f>
        <v>0</v>
      </c>
      <c r="BO724" s="10">
        <f>SUMIFS('[1]2026'!$K:$K,'[1]2026'!$T:$T,$BD724,'[1]2026'!$S:$S,BO$3,'[1]2026'!$P:$P,$AU724)</f>
        <v>0</v>
      </c>
      <c r="BP724" s="6">
        <f t="shared" ref="BP724:BS726" si="500">BO724</f>
        <v>0</v>
      </c>
      <c r="BQ724" s="6">
        <f t="shared" si="500"/>
        <v>0</v>
      </c>
      <c r="BR724" s="6">
        <f t="shared" si="500"/>
        <v>0</v>
      </c>
      <c r="BS724" s="6">
        <f t="shared" si="500"/>
        <v>0</v>
      </c>
      <c r="BT724" s="6">
        <f t="shared" si="460"/>
        <v>0</v>
      </c>
      <c r="BV724" s="6">
        <f t="shared" si="481"/>
        <v>-5000</v>
      </c>
      <c r="BW724" s="6">
        <f t="shared" si="482"/>
        <v>-5000</v>
      </c>
      <c r="BX724" s="6">
        <f t="shared" si="483"/>
        <v>-5000</v>
      </c>
      <c r="BY724" s="6">
        <f t="shared" si="484"/>
        <v>-5000</v>
      </c>
      <c r="BZ724" s="6">
        <f t="shared" si="485"/>
        <v>-5000</v>
      </c>
      <c r="CA724" s="6">
        <f t="shared" si="486"/>
        <v>-5000</v>
      </c>
      <c r="CB724" s="6">
        <f t="shared" si="487"/>
        <v>-5000</v>
      </c>
      <c r="CC724" s="6">
        <f t="shared" si="488"/>
        <v>-5000</v>
      </c>
      <c r="CD724" s="6">
        <f t="shared" si="489"/>
        <v>-5000</v>
      </c>
      <c r="CE724" s="6">
        <f t="shared" si="490"/>
        <v>-5000</v>
      </c>
      <c r="CF724" s="6">
        <f t="shared" si="491"/>
        <v>-5000</v>
      </c>
      <c r="CG724" s="6">
        <f t="shared" si="492"/>
        <v>-5000</v>
      </c>
      <c r="CH724" s="6">
        <f t="shared" si="496"/>
        <v>-60000</v>
      </c>
    </row>
    <row r="725" spans="1:89" hidden="1" x14ac:dyDescent="0.35">
      <c r="A725" s="3" t="s">
        <v>1165</v>
      </c>
      <c r="B725" s="10">
        <v>8000</v>
      </c>
      <c r="C725" s="10">
        <v>8000</v>
      </c>
      <c r="D725" s="10">
        <v>8000</v>
      </c>
      <c r="E725" s="10">
        <v>8000</v>
      </c>
      <c r="F725" s="10">
        <v>8000</v>
      </c>
      <c r="G725" s="10">
        <v>8000</v>
      </c>
      <c r="H725" s="10">
        <v>8000</v>
      </c>
      <c r="I725" s="10">
        <v>8000</v>
      </c>
      <c r="J725" s="10">
        <v>8000</v>
      </c>
      <c r="K725" s="10">
        <v>8000</v>
      </c>
      <c r="L725" s="10">
        <v>8000</v>
      </c>
      <c r="M725" s="10">
        <v>8000</v>
      </c>
      <c r="N725" s="27">
        <f t="shared" si="498"/>
        <v>96000</v>
      </c>
      <c r="AA725" s="27">
        <f t="shared" si="499"/>
        <v>0</v>
      </c>
      <c r="AB725" s="10">
        <f t="shared" si="494"/>
        <v>8000</v>
      </c>
      <c r="AC725" s="10">
        <f t="shared" si="494"/>
        <v>8000</v>
      </c>
      <c r="AD725" s="10">
        <f t="shared" si="494"/>
        <v>8000</v>
      </c>
      <c r="AE725" s="10">
        <f t="shared" si="494"/>
        <v>8000</v>
      </c>
      <c r="AF725" s="10">
        <f t="shared" si="494"/>
        <v>8000</v>
      </c>
      <c r="AG725" s="10">
        <f t="shared" si="494"/>
        <v>8000</v>
      </c>
      <c r="AH725" s="10">
        <f t="shared" si="494"/>
        <v>8000</v>
      </c>
      <c r="AI725" s="10">
        <f t="shared" si="494"/>
        <v>8000</v>
      </c>
      <c r="AJ725" s="10">
        <f t="shared" si="497"/>
        <v>8000</v>
      </c>
      <c r="AK725" s="10">
        <f t="shared" si="497"/>
        <v>8000</v>
      </c>
      <c r="AL725" s="10">
        <f t="shared" si="497"/>
        <v>8000</v>
      </c>
      <c r="AM725" s="10">
        <f t="shared" si="497"/>
        <v>8000</v>
      </c>
      <c r="AN725" s="27">
        <f t="shared" si="497"/>
        <v>96000</v>
      </c>
      <c r="AS725" t="str">
        <f>_xlfn.XLOOKUP(AU725,[2]GAE!HZ:HZ,[2]GAE!IA:IA)</f>
        <v>OHI-COMMON</v>
      </c>
      <c r="AT725" t="str">
        <f>_xlfn.XLOOKUP(AU725,[2]GAE!HZ:HZ,[2]GAE!IB:IB)</f>
        <v>DOE - Regular - OT Allowance</v>
      </c>
      <c r="AU725" t="s">
        <v>1176</v>
      </c>
      <c r="AV725">
        <v>90111101</v>
      </c>
      <c r="AW725">
        <v>52121103</v>
      </c>
      <c r="AX725" t="str">
        <f>_xlfn.XLOOKUP(AU725,[2]GAE!HZ:HZ,[2]GAE!IF:IF)</f>
        <v>Salaries</v>
      </c>
      <c r="AY725" t="str">
        <f>_xlfn.XLOOKUP(AU725,[2]GAE!HZ:HZ,[2]GAE!IG:IG)</f>
        <v>OT Pay</v>
      </c>
      <c r="AZ725" t="s">
        <v>1165</v>
      </c>
      <c r="BA725" t="s">
        <v>1132</v>
      </c>
      <c r="BF725" t="s">
        <v>101</v>
      </c>
      <c r="BG725" t="s">
        <v>188</v>
      </c>
      <c r="BH725" s="10">
        <f>SUMIFS('[1]2026'!$K:$K,'[1]2026'!$T:$T,BD725,'[1]2026'!$S:$S,BH$3,'[1]2026'!$P:$P,AU725)</f>
        <v>0</v>
      </c>
      <c r="BI725" s="10">
        <f>SUMIFS('[1]2026'!$K:$K,'[1]2026'!$T:$T,$BD725,'[1]2026'!$S:$S,BI$3,'[1]2026'!$P:$P,$AU725)</f>
        <v>0</v>
      </c>
      <c r="BJ725" s="10">
        <f>SUMIFS('[1]2026'!$K:$K,'[1]2026'!$T:$T,$BD725,'[1]2026'!$S:$S,BJ$3,'[1]2026'!$P:$P,$AU725)</f>
        <v>0</v>
      </c>
      <c r="BK725" s="10">
        <f>SUMIFS('[1]2026'!$K:$K,'[1]2026'!$T:$T,$BD725,'[1]2026'!$S:$S,BK$3,'[1]2026'!$P:$P,$AU725)</f>
        <v>0</v>
      </c>
      <c r="BL725" s="10">
        <f>SUMIFS('[1]2026'!$K:$K,'[1]2026'!$T:$T,$BD725,'[1]2026'!$S:$S,BL$3,'[1]2026'!$P:$P,$AU725)</f>
        <v>0</v>
      </c>
      <c r="BM725" s="10">
        <f>SUMIFS('[1]2026'!$K:$K,'[1]2026'!$T:$T,$BD725,'[1]2026'!$S:$S,BM$3,'[1]2026'!$P:$P,$AU725)</f>
        <v>0</v>
      </c>
      <c r="BN725" s="10">
        <f>SUMIFS('[1]2026'!$K:$K,'[1]2026'!$T:$T,$BD725,'[1]2026'!$S:$S,BN$3,'[1]2026'!$P:$P,$AU725)</f>
        <v>0</v>
      </c>
      <c r="BO725" s="10">
        <f>SUMIFS('[1]2026'!$K:$K,'[1]2026'!$T:$T,$BD725,'[1]2026'!$S:$S,BO$3,'[1]2026'!$P:$P,$AU725)</f>
        <v>0</v>
      </c>
      <c r="BP725" s="6">
        <f t="shared" si="500"/>
        <v>0</v>
      </c>
      <c r="BQ725" s="6">
        <f t="shared" si="500"/>
        <v>0</v>
      </c>
      <c r="BR725" s="6">
        <f t="shared" si="500"/>
        <v>0</v>
      </c>
      <c r="BS725" s="6">
        <f t="shared" si="500"/>
        <v>0</v>
      </c>
      <c r="BT725" s="6">
        <f t="shared" si="460"/>
        <v>0</v>
      </c>
      <c r="BV725" s="6">
        <f t="shared" si="481"/>
        <v>-8000</v>
      </c>
      <c r="BW725" s="6">
        <f t="shared" si="482"/>
        <v>-8000</v>
      </c>
      <c r="BX725" s="6">
        <f t="shared" si="483"/>
        <v>-8000</v>
      </c>
      <c r="BY725" s="6">
        <f t="shared" si="484"/>
        <v>-8000</v>
      </c>
      <c r="BZ725" s="6">
        <f t="shared" si="485"/>
        <v>-8000</v>
      </c>
      <c r="CA725" s="6">
        <f t="shared" si="486"/>
        <v>-8000</v>
      </c>
      <c r="CB725" s="6">
        <f t="shared" si="487"/>
        <v>-8000</v>
      </c>
      <c r="CC725" s="6">
        <f t="shared" si="488"/>
        <v>-8000</v>
      </c>
      <c r="CD725" s="6">
        <f t="shared" si="489"/>
        <v>-8000</v>
      </c>
      <c r="CE725" s="6">
        <f t="shared" si="490"/>
        <v>-8000</v>
      </c>
      <c r="CF725" s="6">
        <f t="shared" si="491"/>
        <v>-8000</v>
      </c>
      <c r="CG725" s="6">
        <f t="shared" si="492"/>
        <v>-8000</v>
      </c>
      <c r="CH725" s="6">
        <f t="shared" si="496"/>
        <v>-96000</v>
      </c>
    </row>
    <row r="726" spans="1:89" hidden="1" x14ac:dyDescent="0.35">
      <c r="A726" s="3" t="s">
        <v>198</v>
      </c>
      <c r="B726" s="10">
        <v>13507.5</v>
      </c>
      <c r="C726" s="10">
        <v>13507.5</v>
      </c>
      <c r="D726" s="10">
        <v>13507.5</v>
      </c>
      <c r="E726" s="10">
        <v>13507.5</v>
      </c>
      <c r="F726" s="10">
        <v>13507.5</v>
      </c>
      <c r="G726" s="10">
        <v>13507.5</v>
      </c>
      <c r="H726" s="10">
        <v>13507.5</v>
      </c>
      <c r="I726" s="10">
        <v>13507.5</v>
      </c>
      <c r="J726" s="10">
        <v>13507.5</v>
      </c>
      <c r="K726" s="10">
        <v>13507.5</v>
      </c>
      <c r="L726" s="10">
        <v>13507.5</v>
      </c>
      <c r="M726" s="10">
        <v>13507.5</v>
      </c>
      <c r="N726" s="27">
        <f t="shared" si="498"/>
        <v>162090</v>
      </c>
      <c r="AA726" s="27">
        <f t="shared" si="499"/>
        <v>0</v>
      </c>
      <c r="AB726" s="10">
        <f t="shared" si="494"/>
        <v>13507.5</v>
      </c>
      <c r="AC726" s="10">
        <f t="shared" si="494"/>
        <v>13507.5</v>
      </c>
      <c r="AD726" s="10">
        <f t="shared" si="494"/>
        <v>13507.5</v>
      </c>
      <c r="AE726" s="10">
        <f t="shared" si="494"/>
        <v>13507.5</v>
      </c>
      <c r="AF726" s="10">
        <f t="shared" si="494"/>
        <v>13507.5</v>
      </c>
      <c r="AG726" s="10">
        <f t="shared" si="494"/>
        <v>13507.5</v>
      </c>
      <c r="AH726" s="10">
        <f t="shared" si="494"/>
        <v>13507.5</v>
      </c>
      <c r="AI726" s="10">
        <f t="shared" si="494"/>
        <v>13507.5</v>
      </c>
      <c r="AJ726" s="10">
        <f t="shared" si="497"/>
        <v>13507.5</v>
      </c>
      <c r="AK726" s="10">
        <f t="shared" si="497"/>
        <v>13507.5</v>
      </c>
      <c r="AL726" s="10">
        <f t="shared" si="497"/>
        <v>13507.5</v>
      </c>
      <c r="AM726" s="10">
        <f t="shared" si="497"/>
        <v>13507.5</v>
      </c>
      <c r="AN726" s="27">
        <f t="shared" si="497"/>
        <v>162090</v>
      </c>
      <c r="AS726" t="str">
        <f>_xlfn.XLOOKUP(AU726,[2]GAE!HZ:HZ,[2]GAE!IA:IA)</f>
        <v>OHI-COMMON</v>
      </c>
      <c r="AT726" t="str">
        <f>_xlfn.XLOOKUP(AU726,[2]GAE!HZ:HZ,[2]GAE!IB:IB)</f>
        <v>DOE - Employee Life Insurance</v>
      </c>
      <c r="AU726" t="s">
        <v>913</v>
      </c>
      <c r="AV726">
        <v>90111101</v>
      </c>
      <c r="AW726">
        <v>52121301</v>
      </c>
      <c r="AX726" t="str">
        <f>_xlfn.XLOOKUP(AU726,[2]GAE!HZ:HZ,[2]GAE!IF:IF)</f>
        <v>Employee Benefits</v>
      </c>
      <c r="AY726" t="str">
        <f>_xlfn.XLOOKUP(AU726,[2]GAE!HZ:HZ,[2]GAE!IG:IG)</f>
        <v>Medical/Insurance</v>
      </c>
      <c r="AZ726" t="s">
        <v>198</v>
      </c>
      <c r="BA726" t="s">
        <v>1132</v>
      </c>
      <c r="BC726" t="s">
        <v>198</v>
      </c>
      <c r="BD726" t="s">
        <v>198</v>
      </c>
      <c r="BF726" t="s">
        <v>101</v>
      </c>
      <c r="BG726" s="2" t="s">
        <v>198</v>
      </c>
      <c r="BH726" s="10">
        <f>SUMIFS('[1]2026'!$K:$K,'[1]2026'!$T:$T,BD726,'[1]2026'!$S:$S,BH$3,'[1]2026'!$P:$P,AU726)</f>
        <v>37546.26</v>
      </c>
      <c r="BI726" s="10">
        <f>SUMIFS('[1]2026'!$K:$K,'[1]2026'!$T:$T,$BD726,'[1]2026'!$S:$S,BI$3,'[1]2026'!$P:$P,$AU726)</f>
        <v>0</v>
      </c>
      <c r="BJ726" s="10">
        <f>SUMIFS('[1]2026'!$K:$K,'[1]2026'!$T:$T,$BD726,'[1]2026'!$S:$S,BJ$3,'[1]2026'!$P:$P,$AU726)</f>
        <v>0</v>
      </c>
      <c r="BK726" s="10">
        <f>SUMIFS('[1]2026'!$K:$K,'[1]2026'!$T:$T,$BD726,'[1]2026'!$S:$S,BK$3,'[1]2026'!$P:$P,$AU726)</f>
        <v>0</v>
      </c>
      <c r="BL726" s="10">
        <f>SUMIFS('[1]2026'!$K:$K,'[1]2026'!$T:$T,$BD726,'[1]2026'!$S:$S,BL$3,'[1]2026'!$P:$P,$AU726)</f>
        <v>0</v>
      </c>
      <c r="BM726" s="10">
        <f>SUMIFS('[1]2026'!$K:$K,'[1]2026'!$T:$T,$BD726,'[1]2026'!$S:$S,BM$3,'[1]2026'!$P:$P,$AU726)</f>
        <v>0</v>
      </c>
      <c r="BN726" s="10">
        <f>SUMIFS('[1]2026'!$K:$K,'[1]2026'!$T:$T,$BD726,'[1]2026'!$S:$S,BN$3,'[1]2026'!$P:$P,$AU726)</f>
        <v>0</v>
      </c>
      <c r="BO726" s="10">
        <f>SUMIFS('[1]2026'!$K:$K,'[1]2026'!$T:$T,$BD726,'[1]2026'!$S:$S,BO$3,'[1]2026'!$P:$P,$AU726)</f>
        <v>0</v>
      </c>
      <c r="BP726" s="6">
        <f t="shared" si="500"/>
        <v>0</v>
      </c>
      <c r="BQ726" s="6">
        <f t="shared" si="500"/>
        <v>0</v>
      </c>
      <c r="BR726" s="6">
        <f t="shared" si="500"/>
        <v>0</v>
      </c>
      <c r="BS726" s="6">
        <f t="shared" si="500"/>
        <v>0</v>
      </c>
      <c r="BT726" s="6">
        <f t="shared" si="460"/>
        <v>37546.26</v>
      </c>
      <c r="BV726" s="6">
        <f t="shared" si="481"/>
        <v>24038.760000000002</v>
      </c>
      <c r="BW726" s="6">
        <f t="shared" si="482"/>
        <v>-13507.5</v>
      </c>
      <c r="BX726" s="6">
        <f t="shared" si="483"/>
        <v>-13507.5</v>
      </c>
      <c r="BY726" s="6">
        <f t="shared" si="484"/>
        <v>-13507.5</v>
      </c>
      <c r="BZ726" s="6">
        <f t="shared" si="485"/>
        <v>-13507.5</v>
      </c>
      <c r="CA726" s="6">
        <f t="shared" si="486"/>
        <v>-13507.5</v>
      </c>
      <c r="CB726" s="6">
        <f t="shared" si="487"/>
        <v>-13507.5</v>
      </c>
      <c r="CC726" s="6">
        <f t="shared" si="488"/>
        <v>-13507.5</v>
      </c>
      <c r="CD726" s="6">
        <f t="shared" si="489"/>
        <v>-13507.5</v>
      </c>
      <c r="CE726" s="6">
        <f t="shared" si="490"/>
        <v>-13507.5</v>
      </c>
      <c r="CF726" s="6">
        <f t="shared" si="491"/>
        <v>-13507.5</v>
      </c>
      <c r="CG726" s="6">
        <f t="shared" si="492"/>
        <v>-13507.5</v>
      </c>
      <c r="CH726" s="6">
        <f t="shared" si="496"/>
        <v>-124543.73999999999</v>
      </c>
    </row>
    <row r="727" spans="1:89" hidden="1" x14ac:dyDescent="0.35">
      <c r="A727" s="3" t="s">
        <v>199</v>
      </c>
      <c r="B727" s="10">
        <v>346115</v>
      </c>
      <c r="C727" s="10">
        <v>346115</v>
      </c>
      <c r="D727" s="10">
        <v>346115</v>
      </c>
      <c r="E727" s="10">
        <v>346115</v>
      </c>
      <c r="F727" s="10">
        <v>346115</v>
      </c>
      <c r="G727" s="10">
        <v>346115</v>
      </c>
      <c r="H727" s="10">
        <v>346115</v>
      </c>
      <c r="I727" s="10">
        <v>346115</v>
      </c>
      <c r="J727" s="10">
        <v>346115</v>
      </c>
      <c r="K727" s="10">
        <v>346115</v>
      </c>
      <c r="L727" s="10">
        <v>346115</v>
      </c>
      <c r="M727" s="10">
        <v>346115</v>
      </c>
      <c r="N727" s="27">
        <f t="shared" si="498"/>
        <v>4153380</v>
      </c>
      <c r="AA727" s="27">
        <f t="shared" si="499"/>
        <v>0</v>
      </c>
      <c r="AB727" s="10">
        <f t="shared" si="494"/>
        <v>346115</v>
      </c>
      <c r="AC727" s="10">
        <f t="shared" si="494"/>
        <v>346115</v>
      </c>
      <c r="AD727" s="10">
        <f t="shared" si="494"/>
        <v>346115</v>
      </c>
      <c r="AE727" s="10">
        <f t="shared" si="494"/>
        <v>346115</v>
      </c>
      <c r="AF727" s="10">
        <f t="shared" si="494"/>
        <v>346115</v>
      </c>
      <c r="AG727" s="10">
        <f t="shared" si="494"/>
        <v>346115</v>
      </c>
      <c r="AH727" s="10">
        <f t="shared" si="494"/>
        <v>346115</v>
      </c>
      <c r="AI727" s="10">
        <f t="shared" si="494"/>
        <v>346115</v>
      </c>
      <c r="AJ727" s="10">
        <f t="shared" si="497"/>
        <v>346115</v>
      </c>
      <c r="AK727" s="10">
        <f t="shared" si="497"/>
        <v>346115</v>
      </c>
      <c r="AL727" s="10">
        <f t="shared" si="497"/>
        <v>346115</v>
      </c>
      <c r="AM727" s="10">
        <f t="shared" si="497"/>
        <v>346115</v>
      </c>
      <c r="AN727" s="27">
        <f t="shared" si="497"/>
        <v>4153380</v>
      </c>
      <c r="AS727" t="str">
        <f>_xlfn.XLOOKUP(AU727,[2]GAE!HZ:HZ,[2]GAE!IA:IA)</f>
        <v>OHI-COMMON</v>
      </c>
      <c r="AT727" t="str">
        <f>_xlfn.XLOOKUP(AU727,[2]GAE!HZ:HZ,[2]GAE!IB:IB)</f>
        <v>DOE - Employee Life Insurance</v>
      </c>
      <c r="AU727" t="s">
        <v>913</v>
      </c>
      <c r="AV727">
        <v>90111101</v>
      </c>
      <c r="AW727">
        <v>52121301</v>
      </c>
      <c r="AX727" t="str">
        <f>_xlfn.XLOOKUP(AU727,[2]GAE!HZ:HZ,[2]GAE!IF:IF)</f>
        <v>Employee Benefits</v>
      </c>
      <c r="AY727" t="str">
        <f>_xlfn.XLOOKUP(AU727,[2]GAE!HZ:HZ,[2]GAE!IG:IG)</f>
        <v>Medical/Insurance</v>
      </c>
      <c r="AZ727" t="s">
        <v>199</v>
      </c>
      <c r="BC727" t="s">
        <v>199</v>
      </c>
      <c r="BD727" t="s">
        <v>199</v>
      </c>
      <c r="BF727" t="s">
        <v>101</v>
      </c>
      <c r="BG727" s="2" t="s">
        <v>199</v>
      </c>
      <c r="BH727" s="10">
        <f>SUMIFS('[1]2026'!$K:$K,'[1]2026'!$T:$T,BD727,'[1]2026'!$S:$S,BH$3,'[1]2026'!$P:$P,AU727)</f>
        <v>0</v>
      </c>
      <c r="BI727" s="10">
        <f>SUMIFS('[1]2026'!$K:$K,'[1]2026'!$T:$T,$BD727,'[1]2026'!$S:$S,BI$3,'[1]2026'!$P:$P,$AU727)</f>
        <v>0</v>
      </c>
      <c r="BJ727" s="10">
        <f>SUMIFS('[1]2026'!$K:$K,'[1]2026'!$T:$T,$BD727,'[1]2026'!$S:$S,BJ$3,'[1]2026'!$P:$P,$AU727)</f>
        <v>78232.5</v>
      </c>
      <c r="BK727" s="10">
        <f>SUMIFS('[1]2026'!$K:$K,'[1]2026'!$T:$T,$BD727,'[1]2026'!$S:$S,BK$3,'[1]2026'!$P:$P,$AU727)</f>
        <v>29961.06</v>
      </c>
      <c r="BL727" s="10">
        <f>SUMIFS('[1]2026'!$K:$K,'[1]2026'!$T:$T,$BD727,'[1]2026'!$S:$S,BL$3,'[1]2026'!$P:$P,$AU727)</f>
        <v>26077.5</v>
      </c>
      <c r="BM727" s="10">
        <f>SUMIFS('[1]2026'!$K:$K,'[1]2026'!$T:$T,$BD727,'[1]2026'!$S:$S,BM$3,'[1]2026'!$P:$P,$AU727)</f>
        <v>26077.5</v>
      </c>
      <c r="BN727" s="10">
        <f>SUMIFS('[1]2026'!$K:$K,'[1]2026'!$T:$T,$BD727,'[1]2026'!$S:$S,BN$3,'[1]2026'!$P:$P,$AU727)</f>
        <v>26077.5</v>
      </c>
      <c r="BO727" s="10">
        <f>SUMIFS('[1]2026'!$K:$K,'[1]2026'!$T:$T,$BD727,'[1]2026'!$S:$S,BO$3,'[1]2026'!$P:$P,$AU727)</f>
        <v>26077.5</v>
      </c>
      <c r="BP727" s="6">
        <v>26077.5</v>
      </c>
      <c r="BQ727" s="6">
        <v>26077.5</v>
      </c>
      <c r="BR727" s="6">
        <v>26077.5</v>
      </c>
      <c r="BS727" s="6">
        <v>26077.5</v>
      </c>
      <c r="BT727" s="6">
        <f t="shared" si="460"/>
        <v>316813.56</v>
      </c>
      <c r="BV727" s="6">
        <f t="shared" si="481"/>
        <v>-346115</v>
      </c>
      <c r="BW727" s="6">
        <f t="shared" si="482"/>
        <v>-346115</v>
      </c>
      <c r="BX727" s="6">
        <f t="shared" si="483"/>
        <v>-267882.5</v>
      </c>
      <c r="BY727" s="6">
        <f t="shared" si="484"/>
        <v>-316153.94</v>
      </c>
      <c r="BZ727" s="6">
        <f t="shared" si="485"/>
        <v>-320037.5</v>
      </c>
      <c r="CA727" s="6">
        <f t="shared" si="486"/>
        <v>-320037.5</v>
      </c>
      <c r="CB727" s="6">
        <f t="shared" si="487"/>
        <v>-320037.5</v>
      </c>
      <c r="CC727" s="6">
        <f t="shared" si="488"/>
        <v>-320037.5</v>
      </c>
      <c r="CD727" s="6">
        <f t="shared" si="489"/>
        <v>-320037.5</v>
      </c>
      <c r="CE727" s="6">
        <f t="shared" si="490"/>
        <v>-320037.5</v>
      </c>
      <c r="CF727" s="6">
        <f t="shared" si="491"/>
        <v>-320037.5</v>
      </c>
      <c r="CG727" s="6">
        <f t="shared" si="492"/>
        <v>-320037.5</v>
      </c>
      <c r="CH727" s="6">
        <f t="shared" si="496"/>
        <v>-3836566.44</v>
      </c>
    </row>
    <row r="728" spans="1:89" hidden="1" x14ac:dyDescent="0.35">
      <c r="A728" s="3" t="s">
        <v>200</v>
      </c>
      <c r="B728" s="10">
        <v>280399.16666666669</v>
      </c>
      <c r="C728" s="10">
        <v>280399.16666666669</v>
      </c>
      <c r="D728" s="10">
        <v>280399.16666666669</v>
      </c>
      <c r="E728" s="10">
        <v>280399.16666666669</v>
      </c>
      <c r="F728" s="10">
        <v>280399.16666666669</v>
      </c>
      <c r="G728" s="10">
        <v>280399.16666666669</v>
      </c>
      <c r="H728" s="10">
        <v>280399.16666666669</v>
      </c>
      <c r="I728" s="10">
        <v>280399.16666666669</v>
      </c>
      <c r="J728" s="10">
        <v>280399.16666666669</v>
      </c>
      <c r="K728" s="10">
        <v>280399.16666666669</v>
      </c>
      <c r="L728" s="10">
        <v>280399.16666666669</v>
      </c>
      <c r="M728" s="10">
        <v>280399.16666666669</v>
      </c>
      <c r="N728" s="27">
        <f t="shared" si="498"/>
        <v>3364789.9999999995</v>
      </c>
      <c r="O728" s="10">
        <v>49220.002097906137</v>
      </c>
      <c r="P728" s="10">
        <v>49220.002097906137</v>
      </c>
      <c r="Q728" s="10">
        <v>49220.002097906137</v>
      </c>
      <c r="R728" s="10">
        <v>49220.002097906137</v>
      </c>
      <c r="S728" s="10">
        <v>49220.002097906137</v>
      </c>
      <c r="T728" s="10">
        <v>49220.002097906137</v>
      </c>
      <c r="U728" s="10">
        <v>49220.002097906137</v>
      </c>
      <c r="V728" s="10">
        <v>49220.002097906137</v>
      </c>
      <c r="W728" s="10">
        <v>49220.002097906137</v>
      </c>
      <c r="X728" s="10">
        <v>49220.002097906137</v>
      </c>
      <c r="Y728" s="10">
        <v>49220.002097906137</v>
      </c>
      <c r="Z728" s="10">
        <v>49220.002097906137</v>
      </c>
      <c r="AA728" s="27">
        <f t="shared" si="499"/>
        <v>590640.02517487365</v>
      </c>
      <c r="AB728" s="10">
        <f t="shared" si="494"/>
        <v>231179.16456876055</v>
      </c>
      <c r="AC728" s="10">
        <f t="shared" si="494"/>
        <v>231179.16456876055</v>
      </c>
      <c r="AD728" s="10">
        <f t="shared" si="494"/>
        <v>231179.16456876055</v>
      </c>
      <c r="AE728" s="10">
        <f t="shared" si="494"/>
        <v>231179.16456876055</v>
      </c>
      <c r="AF728" s="10">
        <f t="shared" si="494"/>
        <v>231179.16456876055</v>
      </c>
      <c r="AG728" s="10">
        <f t="shared" si="494"/>
        <v>231179.16456876055</v>
      </c>
      <c r="AH728" s="10">
        <f t="shared" si="494"/>
        <v>231179.16456876055</v>
      </c>
      <c r="AI728" s="10">
        <f t="shared" si="494"/>
        <v>231179.16456876055</v>
      </c>
      <c r="AJ728" s="10">
        <f t="shared" si="497"/>
        <v>231179.16456876055</v>
      </c>
      <c r="AK728" s="10">
        <f t="shared" si="497"/>
        <v>231179.16456876055</v>
      </c>
      <c r="AL728" s="10">
        <f t="shared" si="497"/>
        <v>231179.16456876055</v>
      </c>
      <c r="AM728" s="10">
        <f t="shared" si="497"/>
        <v>231179.16456876055</v>
      </c>
      <c r="AN728" s="27">
        <f t="shared" si="497"/>
        <v>2774149.9748251261</v>
      </c>
      <c r="AS728" t="str">
        <f>_xlfn.XLOOKUP(AU728,[2]GAE!HZ:HZ,[2]GAE!IA:IA)</f>
        <v>OHI-COMMON</v>
      </c>
      <c r="AT728" t="str">
        <f>_xlfn.XLOOKUP(AU728,[2]GAE!HZ:HZ,[2]GAE!IB:IB)</f>
        <v>DOE - Health Premium / APE</v>
      </c>
      <c r="AU728" t="s">
        <v>912</v>
      </c>
      <c r="AV728">
        <v>90111101</v>
      </c>
      <c r="AW728">
        <v>52121303</v>
      </c>
      <c r="AX728" t="str">
        <f>_xlfn.XLOOKUP(AU728,[2]GAE!HZ:HZ,[2]GAE!IF:IF)</f>
        <v>Employee Benefits</v>
      </c>
      <c r="AY728" t="str">
        <f>_xlfn.XLOOKUP(AU728,[2]GAE!HZ:HZ,[2]GAE!IG:IG)</f>
        <v>Medical/Insurance</v>
      </c>
      <c r="AZ728" t="s">
        <v>200</v>
      </c>
      <c r="BC728" t="s">
        <v>200</v>
      </c>
      <c r="BD728" t="s">
        <v>1150</v>
      </c>
      <c r="BF728" t="s">
        <v>101</v>
      </c>
      <c r="BG728" s="2" t="s">
        <v>200</v>
      </c>
      <c r="BH728" s="10">
        <f>SUMIFS('[1]2026'!$K:$K,'[1]2026'!$T:$T,BD728,'[1]2026'!$S:$S,BH$3,'[1]2026'!$P:$P,AU728)</f>
        <v>0</v>
      </c>
      <c r="BI728" s="10">
        <f>SUMIFS('[1]2026'!$K:$K,'[1]2026'!$T:$T,$BD728,'[1]2026'!$S:$S,BI$3,'[1]2026'!$P:$P,$AU728)</f>
        <v>0</v>
      </c>
      <c r="BK728" s="10">
        <f>SUMIFS('[1]2026'!$K:$K,'[1]2026'!$T:$T,$BD728,'[1]2026'!$S:$S,BK$3,'[1]2026'!$P:$P,$AU728)</f>
        <v>0</v>
      </c>
      <c r="BL728" s="6"/>
      <c r="BM728" s="10">
        <f>SUMIFS('[1]2026'!$K:$K,'[1]2026'!$T:$T,$BD728,'[1]2026'!$S:$S,BM$3,'[1]2026'!$P:$P,$AU728)</f>
        <v>0</v>
      </c>
      <c r="BN728" s="10">
        <f>SUMIFS('[1]2026'!$K:$K,'[1]2026'!$T:$T,$BD728,'[1]2026'!$S:$S,BN$3,'[1]2026'!$P:$P,$AU728)</f>
        <v>0</v>
      </c>
      <c r="BO728" s="10">
        <f>SUMIFS('[1]2026'!$K:$K,'[1]2026'!$T:$T,$BD728,'[1]2026'!$S:$S,BO$3,'[1]2026'!$P:$P,$AU728)</f>
        <v>0</v>
      </c>
      <c r="BP728" s="6"/>
      <c r="BQ728" s="6"/>
      <c r="BR728" s="6"/>
      <c r="BS728" s="6">
        <v>500000</v>
      </c>
      <c r="BT728" s="6">
        <f t="shared" si="460"/>
        <v>500000</v>
      </c>
      <c r="BV728" s="6">
        <f t="shared" si="481"/>
        <v>-231179.16456876055</v>
      </c>
      <c r="BW728" s="6">
        <f t="shared" si="482"/>
        <v>-231179.16456876055</v>
      </c>
      <c r="BX728" s="6">
        <f t="shared" si="483"/>
        <v>-231179.16456876055</v>
      </c>
      <c r="BY728" s="6">
        <f t="shared" si="484"/>
        <v>-231179.16456876055</v>
      </c>
      <c r="BZ728" s="6">
        <f t="shared" si="485"/>
        <v>-231179.16456876055</v>
      </c>
      <c r="CA728" s="6">
        <f t="shared" si="486"/>
        <v>-231179.16456876055</v>
      </c>
      <c r="CB728" s="6">
        <f t="shared" si="487"/>
        <v>-231179.16456876055</v>
      </c>
      <c r="CC728" s="6">
        <f t="shared" si="488"/>
        <v>-231179.16456876055</v>
      </c>
      <c r="CD728" s="6">
        <f t="shared" si="489"/>
        <v>-231179.16456876055</v>
      </c>
      <c r="CE728" s="6">
        <f t="shared" si="490"/>
        <v>-231179.16456876055</v>
      </c>
      <c r="CF728" s="6">
        <f t="shared" si="491"/>
        <v>-231179.16456876055</v>
      </c>
      <c r="CG728" s="6">
        <f t="shared" si="492"/>
        <v>268820.83543123945</v>
      </c>
      <c r="CH728" s="6">
        <f t="shared" si="496"/>
        <v>-2274149.9748251261</v>
      </c>
    </row>
    <row r="729" spans="1:89" hidden="1" x14ac:dyDescent="0.35">
      <c r="A729" s="3" t="s">
        <v>201</v>
      </c>
      <c r="B729" s="10">
        <v>1047628.9552666697</v>
      </c>
      <c r="C729" s="10">
        <v>1047628.9552666697</v>
      </c>
      <c r="D729" s="10">
        <v>1047628.9552666697</v>
      </c>
      <c r="E729" s="10">
        <v>1047628.9552666697</v>
      </c>
      <c r="F729" s="10">
        <v>1047628.9552666697</v>
      </c>
      <c r="G729" s="10">
        <v>1047628.9552666697</v>
      </c>
      <c r="H729" s="10">
        <v>1047628.9552666697</v>
      </c>
      <c r="I729" s="10">
        <v>1047628.9552666697</v>
      </c>
      <c r="J729" s="10">
        <v>1047628.9552666697</v>
      </c>
      <c r="K729" s="10">
        <v>1047628.9552666697</v>
      </c>
      <c r="L729" s="10">
        <v>1047628.9552666697</v>
      </c>
      <c r="M729" s="10">
        <v>1047628.9552666697</v>
      </c>
      <c r="N729" s="27">
        <f t="shared" si="498"/>
        <v>12571547.463200035</v>
      </c>
      <c r="O729" s="10">
        <v>183896.05072311565</v>
      </c>
      <c r="P729" s="10">
        <v>183896.05072311565</v>
      </c>
      <c r="Q729" s="10">
        <v>183896.05072311565</v>
      </c>
      <c r="R729" s="10">
        <v>183896.05072311565</v>
      </c>
      <c r="S729" s="10">
        <v>183896.05072311565</v>
      </c>
      <c r="T729" s="10">
        <v>183896.05072311565</v>
      </c>
      <c r="U729" s="10">
        <v>183896.05072311565</v>
      </c>
      <c r="V729" s="10">
        <v>183896.05072311565</v>
      </c>
      <c r="W729" s="10">
        <v>183896.05072311565</v>
      </c>
      <c r="X729" s="10">
        <v>183896.05072311565</v>
      </c>
      <c r="Y729" s="10">
        <v>183896.05072311565</v>
      </c>
      <c r="Z729" s="10">
        <v>183896.05072311565</v>
      </c>
      <c r="AA729" s="27">
        <f t="shared" si="499"/>
        <v>2206752.6086773877</v>
      </c>
      <c r="AB729" s="10">
        <f t="shared" si="494"/>
        <v>863732.90454355406</v>
      </c>
      <c r="AC729" s="10">
        <f t="shared" si="494"/>
        <v>863732.90454355406</v>
      </c>
      <c r="AD729" s="10">
        <f t="shared" si="494"/>
        <v>863732.90454355406</v>
      </c>
      <c r="AE729" s="10">
        <f t="shared" si="494"/>
        <v>863732.90454355406</v>
      </c>
      <c r="AF729" s="10">
        <f t="shared" si="494"/>
        <v>863732.90454355406</v>
      </c>
      <c r="AG729" s="10">
        <f t="shared" si="494"/>
        <v>863732.90454355406</v>
      </c>
      <c r="AH729" s="10">
        <f t="shared" si="494"/>
        <v>863732.90454355406</v>
      </c>
      <c r="AI729" s="10">
        <f t="shared" si="494"/>
        <v>863732.90454355406</v>
      </c>
      <c r="AJ729" s="10">
        <f t="shared" si="497"/>
        <v>863732.90454355406</v>
      </c>
      <c r="AK729" s="10">
        <f t="shared" si="497"/>
        <v>863732.90454355406</v>
      </c>
      <c r="AL729" s="10">
        <f t="shared" si="497"/>
        <v>863732.90454355406</v>
      </c>
      <c r="AM729" s="10">
        <f t="shared" si="497"/>
        <v>863732.90454355406</v>
      </c>
      <c r="AN729" s="27">
        <f t="shared" si="497"/>
        <v>10364794.854522647</v>
      </c>
      <c r="AS729" t="str">
        <f>_xlfn.XLOOKUP(AU729,[2]GAE!HZ:HZ,[2]GAE!IA:IA)</f>
        <v>OHI-COMMON</v>
      </c>
      <c r="AT729" t="str">
        <f>_xlfn.XLOOKUP(AU729,[2]GAE!HZ:HZ,[2]GAE!IB:IB)</f>
        <v>DOE - Health Premium / APE</v>
      </c>
      <c r="AU729" t="s">
        <v>912</v>
      </c>
      <c r="AV729">
        <v>90111101</v>
      </c>
      <c r="AW729">
        <v>52121303</v>
      </c>
      <c r="AX729" t="str">
        <f>_xlfn.XLOOKUP(AU729,[2]GAE!HZ:HZ,[2]GAE!IF:IF)</f>
        <v>Employee Benefits</v>
      </c>
      <c r="AY729" t="str">
        <f>_xlfn.XLOOKUP(AU729,[2]GAE!HZ:HZ,[2]GAE!IG:IG)</f>
        <v>Medical/Insurance</v>
      </c>
      <c r="AZ729" t="s">
        <v>201</v>
      </c>
      <c r="BC729" t="s">
        <v>201</v>
      </c>
      <c r="BD729" t="s">
        <v>1151</v>
      </c>
      <c r="BF729" t="s">
        <v>101</v>
      </c>
      <c r="BG729" s="2" t="s">
        <v>201</v>
      </c>
      <c r="BH729" s="10">
        <f>SUMIFS('[1]2026'!$K:$K,'[1]2026'!$T:$T,BD729,'[1]2026'!$S:$S,BH$3,'[1]2026'!$P:$P,AU729)</f>
        <v>860276.7</v>
      </c>
      <c r="BI729" s="10">
        <f>SUMIFS('[1]2026'!$K:$K,'[1]2026'!$T:$T,$BD729,'[1]2026'!$S:$S,BI$3,'[1]2026'!$P:$P,$AU729)</f>
        <v>1023819.4500000001</v>
      </c>
      <c r="BJ729" s="10">
        <f>SUMIFS('[1]2026'!$K:$K,'[1]2026'!$T:$T,$BD729,'[1]2026'!$S:$S,BJ$3,'[1]2026'!$P:$P,$AU729)</f>
        <v>-965764.41999999993</v>
      </c>
      <c r="BK729" s="10">
        <f>SUMIFS('[1]2026'!$K:$K,'[1]2026'!$T:$T,$BD729,'[1]2026'!$S:$S,BK$3,'[1]2026'!$P:$P,$AU729)</f>
        <v>273932.28000000014</v>
      </c>
      <c r="BL729" s="10">
        <f>SUMIFS('[1]2026'!$K:$K,'[1]2026'!$T:$T,$BD729,'[1]2026'!$S:$S,BL$3,'[1]2026'!$P:$P,$AU729)</f>
        <v>306110.5299999998</v>
      </c>
      <c r="BM729" s="10">
        <f>SUMIFS('[1]2026'!$K:$K,'[1]2026'!$T:$T,$BD729,'[1]2026'!$S:$S,BM$3,'[1]2026'!$P:$P,$AU729)</f>
        <v>2213923.08</v>
      </c>
      <c r="BN729" s="10">
        <f>SUMIFS('[1]2026'!$K:$K,'[1]2026'!$T:$T,$BD729,'[1]2026'!$S:$S,BN$3,'[1]2026'!$P:$P,$AU729)</f>
        <v>2849860.58</v>
      </c>
      <c r="BO729" s="10">
        <f>SUMIFS('[1]2026'!$K:$K,'[1]2026'!$T:$T,$BD729,'[1]2026'!$S:$S,BO$3,'[1]2026'!$P:$P,$AU729)</f>
        <v>942048.08</v>
      </c>
      <c r="BP729" s="6">
        <v>942048.08000000007</v>
      </c>
      <c r="BQ729" s="6">
        <v>942048.08000000007</v>
      </c>
      <c r="BR729" s="6">
        <v>942048.08000000007</v>
      </c>
      <c r="BS729" s="6">
        <v>942048.08000000007</v>
      </c>
      <c r="BT729" s="6">
        <f t="shared" si="460"/>
        <v>11272398.6</v>
      </c>
      <c r="BV729" s="6">
        <f t="shared" si="481"/>
        <v>-3456.2045435541077</v>
      </c>
      <c r="BW729" s="6">
        <f t="shared" si="482"/>
        <v>160086.54545644601</v>
      </c>
      <c r="BX729" s="6">
        <f t="shared" si="483"/>
        <v>-1829497.3245435539</v>
      </c>
      <c r="BY729" s="6">
        <f t="shared" si="484"/>
        <v>-589800.62454355392</v>
      </c>
      <c r="BZ729" s="6">
        <f t="shared" si="485"/>
        <v>-557622.37454355427</v>
      </c>
      <c r="CA729" s="6">
        <f t="shared" si="486"/>
        <v>1350190.1754564461</v>
      </c>
      <c r="CB729" s="6">
        <f t="shared" si="487"/>
        <v>1986127.6754564461</v>
      </c>
      <c r="CC729" s="6">
        <f t="shared" si="488"/>
        <v>78315.175456445897</v>
      </c>
      <c r="CD729" s="6">
        <f t="shared" si="489"/>
        <v>78315.175456446013</v>
      </c>
      <c r="CE729" s="6">
        <f t="shared" si="490"/>
        <v>78315.175456446013</v>
      </c>
      <c r="CF729" s="6">
        <f t="shared" si="491"/>
        <v>78315.175456446013</v>
      </c>
      <c r="CG729" s="6">
        <f t="shared" si="492"/>
        <v>78315.175456446013</v>
      </c>
      <c r="CH729" s="6">
        <f t="shared" si="496"/>
        <v>907603.74547735229</v>
      </c>
      <c r="CI729" s="37" t="s">
        <v>1183</v>
      </c>
      <c r="CJ729" s="7">
        <f>148437.5+487500</f>
        <v>635937.5</v>
      </c>
      <c r="CK729" s="10">
        <f>CJ729*3</f>
        <v>1907812.5</v>
      </c>
    </row>
    <row r="730" spans="1:89" hidden="1" x14ac:dyDescent="0.35">
      <c r="A730" s="3" t="s">
        <v>1184</v>
      </c>
      <c r="B730" s="10">
        <v>455800</v>
      </c>
      <c r="C730" s="10">
        <v>455800</v>
      </c>
      <c r="D730" s="10">
        <v>455800</v>
      </c>
      <c r="E730" s="10">
        <v>455800</v>
      </c>
      <c r="F730" s="10">
        <v>455800</v>
      </c>
      <c r="G730" s="10">
        <v>455800</v>
      </c>
      <c r="H730" s="10">
        <v>455800</v>
      </c>
      <c r="I730" s="10">
        <v>455800</v>
      </c>
      <c r="J730" s="10">
        <v>455800</v>
      </c>
      <c r="K730" s="10">
        <v>455800</v>
      </c>
      <c r="L730" s="10">
        <v>455800</v>
      </c>
      <c r="M730" s="10">
        <v>455800</v>
      </c>
      <c r="N730" s="27">
        <f t="shared" si="498"/>
        <v>5469600</v>
      </c>
      <c r="AA730" s="27">
        <f t="shared" si="499"/>
        <v>0</v>
      </c>
      <c r="AB730" s="10">
        <f t="shared" si="494"/>
        <v>455800</v>
      </c>
      <c r="AC730" s="10">
        <f t="shared" si="494"/>
        <v>455800</v>
      </c>
      <c r="AD730" s="10">
        <f t="shared" si="494"/>
        <v>455800</v>
      </c>
      <c r="AE730" s="10">
        <f t="shared" si="494"/>
        <v>455800</v>
      </c>
      <c r="AF730" s="10">
        <f t="shared" si="494"/>
        <v>455800</v>
      </c>
      <c r="AG730" s="10">
        <f t="shared" si="494"/>
        <v>455800</v>
      </c>
      <c r="AH730" s="10">
        <f t="shared" si="494"/>
        <v>455800</v>
      </c>
      <c r="AI730" s="10">
        <f t="shared" si="494"/>
        <v>455800</v>
      </c>
      <c r="AJ730" s="10">
        <f t="shared" si="497"/>
        <v>455800</v>
      </c>
      <c r="AK730" s="10">
        <f t="shared" si="497"/>
        <v>455800</v>
      </c>
      <c r="AL730" s="10">
        <f t="shared" si="497"/>
        <v>455800</v>
      </c>
      <c r="AM730" s="10">
        <f t="shared" si="497"/>
        <v>455800</v>
      </c>
      <c r="AN730" s="27">
        <f t="shared" si="497"/>
        <v>5469600</v>
      </c>
      <c r="AS730" t="str">
        <f>_xlfn.XLOOKUP(AU730,[2]GAE!HZ:HZ,[2]GAE!IA:IA)</f>
        <v>OCLP-COMMON</v>
      </c>
      <c r="AT730" t="str">
        <f>_xlfn.XLOOKUP(AU730,[2]GAE!HZ:HZ,[2]GAE!IB:IB)</f>
        <v>GAE - Payroll - Project Employee - Basic</v>
      </c>
      <c r="AU730" t="s">
        <v>1185</v>
      </c>
      <c r="AV730">
        <v>80111101</v>
      </c>
      <c r="AW730">
        <v>61021201</v>
      </c>
      <c r="AX730" t="str">
        <f>_xlfn.XLOOKUP(AU730,[2]GAE!HZ:HZ,[2]GAE!IF:IF)</f>
        <v>Salaries</v>
      </c>
      <c r="AY730" t="str">
        <f>_xlfn.XLOOKUP(AU730,[2]GAE!HZ:HZ,[2]GAE!IG:IG)</f>
        <v>Project Employee</v>
      </c>
      <c r="AZ730" t="s">
        <v>1133</v>
      </c>
      <c r="BC730" t="s">
        <v>203</v>
      </c>
      <c r="BD730" t="s">
        <v>203</v>
      </c>
      <c r="BF730" t="s">
        <v>184</v>
      </c>
      <c r="BG730" s="2" t="s">
        <v>203</v>
      </c>
      <c r="BH730" s="10">
        <f>SUMIFS('[1]2026'!$K:$K,'[1]2026'!$T:$T,BD730,'[1]2026'!$S:$S,BH$3,'[1]2026'!$P:$P,AU730)</f>
        <v>305871.74000000005</v>
      </c>
      <c r="BI730" s="10">
        <f>SUMIFS('[1]2026'!$K:$K,'[1]2026'!$T:$T,$BD730,'[1]2026'!$S:$S,BI$3,'[1]2026'!$P:$P,$AU730)</f>
        <v>390000.60000000003</v>
      </c>
      <c r="BJ730" s="10">
        <f>SUMIFS('[1]2026'!$K:$K,'[1]2026'!$T:$T,$BD730,'[1]2026'!$S:$S,BJ$3,'[1]2026'!$P:$P,$AU730)</f>
        <v>410120.24</v>
      </c>
      <c r="BK730" s="10">
        <f>SUMIFS('[1]2026'!$K:$K,'[1]2026'!$T:$T,$BD730,'[1]2026'!$S:$S,BK$3,'[1]2026'!$P:$P,$AU730)</f>
        <v>417061.46</v>
      </c>
      <c r="BL730" s="10">
        <f>SUMIFS('[1]2026'!$K:$K,'[1]2026'!$T:$T,$BD730,'[1]2026'!$S:$S,BL$3,'[1]2026'!$P:$P,$AU730)</f>
        <v>423803.51</v>
      </c>
      <c r="BM730" s="10">
        <f>SUMIFS('[1]2026'!$K:$K,'[1]2026'!$T:$T,$BD730,'[1]2026'!$S:$S,BM$3,'[1]2026'!$P:$P,$AU730)</f>
        <v>417320.03000000009</v>
      </c>
      <c r="BN730" s="10">
        <f>SUMIFS('[1]2026'!$K:$K,'[1]2026'!$T:$T,$BD730,'[1]2026'!$S:$S,BN$3,'[1]2026'!$P:$P,$AU730)</f>
        <v>403783.27</v>
      </c>
      <c r="BO730" s="10">
        <f>SUMIFS('[1]2026'!$K:$K,'[1]2026'!$T:$T,$BD730,'[1]2026'!$S:$S,BO$3,'[1]2026'!$P:$P,$AU730)</f>
        <v>380672.98000000004</v>
      </c>
      <c r="BP730" s="6">
        <v>430000</v>
      </c>
      <c r="BQ730" s="6">
        <v>430000</v>
      </c>
      <c r="BR730" s="6">
        <v>430000</v>
      </c>
      <c r="BS730" s="6">
        <v>430000</v>
      </c>
      <c r="BT730" s="6">
        <f t="shared" si="460"/>
        <v>4868633.83</v>
      </c>
      <c r="BV730" s="6">
        <f t="shared" si="481"/>
        <v>-149928.25999999995</v>
      </c>
      <c r="BW730" s="6">
        <f t="shared" si="482"/>
        <v>-65799.399999999965</v>
      </c>
      <c r="BX730" s="6">
        <f t="shared" si="483"/>
        <v>-45679.760000000009</v>
      </c>
      <c r="BY730" s="6">
        <f t="shared" si="484"/>
        <v>-38738.539999999979</v>
      </c>
      <c r="BZ730" s="6">
        <f t="shared" si="485"/>
        <v>-31996.489999999991</v>
      </c>
      <c r="CA730" s="6">
        <f t="shared" si="486"/>
        <v>-38479.969999999914</v>
      </c>
      <c r="CB730" s="6">
        <f t="shared" si="487"/>
        <v>-52016.729999999981</v>
      </c>
      <c r="CC730" s="6">
        <f t="shared" si="488"/>
        <v>-75127.01999999996</v>
      </c>
      <c r="CD730" s="6">
        <f t="shared" si="489"/>
        <v>-25800</v>
      </c>
      <c r="CE730" s="6">
        <f t="shared" si="490"/>
        <v>-25800</v>
      </c>
      <c r="CF730" s="6">
        <f t="shared" si="491"/>
        <v>-25800</v>
      </c>
      <c r="CG730" s="6">
        <f t="shared" si="492"/>
        <v>-25800</v>
      </c>
      <c r="CH730" s="6">
        <f t="shared" si="496"/>
        <v>-600966.16999999993</v>
      </c>
    </row>
    <row r="731" spans="1:89" hidden="1" x14ac:dyDescent="0.35">
      <c r="A731" s="3" t="s">
        <v>1186</v>
      </c>
      <c r="B731" s="10">
        <v>39520.333333333336</v>
      </c>
      <c r="C731" s="10">
        <v>39520.333333333336</v>
      </c>
      <c r="D731" s="10">
        <v>39520.333333333336</v>
      </c>
      <c r="E731" s="10">
        <v>39520.333333333336</v>
      </c>
      <c r="F731" s="10">
        <v>39520.333333333336</v>
      </c>
      <c r="G731" s="10">
        <v>39520.333333333336</v>
      </c>
      <c r="H731" s="10">
        <v>39520.333333333336</v>
      </c>
      <c r="I731" s="10">
        <v>39520.333333333336</v>
      </c>
      <c r="J731" s="10">
        <v>39520.333333333336</v>
      </c>
      <c r="K731" s="10">
        <v>39520.333333333336</v>
      </c>
      <c r="L731" s="10">
        <v>39520.333333333336</v>
      </c>
      <c r="M731" s="10">
        <v>39520.333333333336</v>
      </c>
      <c r="N731" s="27">
        <f t="shared" si="498"/>
        <v>474243.99999999994</v>
      </c>
      <c r="AA731" s="27">
        <f t="shared" si="499"/>
        <v>0</v>
      </c>
      <c r="AB731" s="10">
        <f t="shared" si="494"/>
        <v>39520.333333333336</v>
      </c>
      <c r="AC731" s="10">
        <f t="shared" si="494"/>
        <v>39520.333333333336</v>
      </c>
      <c r="AD731" s="10">
        <f t="shared" si="494"/>
        <v>39520.333333333336</v>
      </c>
      <c r="AE731" s="10">
        <f t="shared" si="494"/>
        <v>39520.333333333336</v>
      </c>
      <c r="AF731" s="10">
        <f t="shared" si="494"/>
        <v>39520.333333333336</v>
      </c>
      <c r="AG731" s="10">
        <f t="shared" si="494"/>
        <v>39520.333333333336</v>
      </c>
      <c r="AH731" s="10">
        <f t="shared" si="494"/>
        <v>39520.333333333336</v>
      </c>
      <c r="AI731" s="10">
        <f t="shared" si="494"/>
        <v>39520.333333333336</v>
      </c>
      <c r="AJ731" s="10">
        <f t="shared" si="497"/>
        <v>39520.333333333336</v>
      </c>
      <c r="AK731" s="10">
        <f t="shared" si="497"/>
        <v>39520.333333333336</v>
      </c>
      <c r="AL731" s="10">
        <f t="shared" si="497"/>
        <v>39520.333333333336</v>
      </c>
      <c r="AM731" s="10">
        <f t="shared" si="497"/>
        <v>39520.333333333336</v>
      </c>
      <c r="AN731" s="27">
        <f t="shared" si="497"/>
        <v>474243.99999999994</v>
      </c>
      <c r="AS731" t="str">
        <f>_xlfn.XLOOKUP(AU731,[2]GAE!HZ:HZ,[2]GAE!IA:IA)</f>
        <v>OCLP-COMMON</v>
      </c>
      <c r="AT731" t="str">
        <f>_xlfn.XLOOKUP(AU731,[2]GAE!HZ:HZ,[2]GAE!IB:IB)</f>
        <v>GAE - Payroll - Project Employee - Bonus</v>
      </c>
      <c r="AU731" t="s">
        <v>1187</v>
      </c>
      <c r="AV731">
        <v>80111101</v>
      </c>
      <c r="AW731">
        <v>61021203</v>
      </c>
      <c r="AX731" t="str">
        <f>_xlfn.XLOOKUP(AU731,[2]GAE!HZ:HZ,[2]GAE!IF:IF)</f>
        <v>Salaries</v>
      </c>
      <c r="AY731" t="str">
        <f>_xlfn.XLOOKUP(AU731,[2]GAE!HZ:HZ,[2]GAE!IG:IG)</f>
        <v>Project Employee</v>
      </c>
      <c r="AZ731" t="s">
        <v>186</v>
      </c>
      <c r="BD731" t="s">
        <v>203</v>
      </c>
      <c r="BF731" t="s">
        <v>184</v>
      </c>
      <c r="BG731" t="s">
        <v>186</v>
      </c>
      <c r="BH731" s="10">
        <f>SUMIFS('[1]2026'!$K:$K,'[1]2026'!$T:$T,BD731,'[1]2026'!$S:$S,BH$3,'[1]2026'!$P:$P,AU731)</f>
        <v>0</v>
      </c>
      <c r="BI731" s="10">
        <f>SUMIFS('[1]2026'!$K:$K,'[1]2026'!$T:$T,$BD731,'[1]2026'!$S:$S,BI$3,'[1]2026'!$P:$P,$AU731)</f>
        <v>0</v>
      </c>
      <c r="BJ731" s="10">
        <f>SUMIFS('[1]2026'!$K:$K,'[1]2026'!$T:$T,$BD731,'[1]2026'!$S:$S,BJ$3,'[1]2026'!$P:$P,$AU731)</f>
        <v>0</v>
      </c>
      <c r="BK731" s="10">
        <f>SUMIFS('[1]2026'!$K:$K,'[1]2026'!$T:$T,$BD731,'[1]2026'!$S:$S,BK$3,'[1]2026'!$P:$P,$AU731)</f>
        <v>0</v>
      </c>
      <c r="BL731" s="10">
        <f>SUMIFS('[1]2026'!$K:$K,'[1]2026'!$T:$T,$BD731,'[1]2026'!$S:$S,BL$3,'[1]2026'!$P:$P,$AU731)</f>
        <v>0</v>
      </c>
      <c r="BM731" s="10">
        <f>SUMIFS('[1]2026'!$K:$K,'[1]2026'!$T:$T,$BD731,'[1]2026'!$S:$S,BM$3,'[1]2026'!$P:$P,$AU731)</f>
        <v>0</v>
      </c>
      <c r="BN731" s="10">
        <f>SUMIFS('[1]2026'!$K:$K,'[1]2026'!$T:$T,$BD731,'[1]2026'!$S:$S,BN$3,'[1]2026'!$P:$P,$AU731)</f>
        <v>0</v>
      </c>
      <c r="BO731" s="10">
        <f>SUMIFS('[1]2026'!$K:$K,'[1]2026'!$T:$T,$BD731,'[1]2026'!$S:$S,BO$3,'[1]2026'!$P:$P,$AU731)</f>
        <v>31500</v>
      </c>
      <c r="BP731" s="6"/>
      <c r="BQ731" s="6"/>
      <c r="BR731" s="6"/>
      <c r="BS731" s="6"/>
      <c r="BT731" s="6">
        <f t="shared" si="460"/>
        <v>31500</v>
      </c>
      <c r="BV731" s="6">
        <f t="shared" si="481"/>
        <v>-39520.333333333336</v>
      </c>
      <c r="BW731" s="6">
        <f t="shared" si="482"/>
        <v>-39520.333333333336</v>
      </c>
      <c r="BX731" s="6">
        <f t="shared" si="483"/>
        <v>-39520.333333333336</v>
      </c>
      <c r="BY731" s="6">
        <f t="shared" si="484"/>
        <v>-39520.333333333336</v>
      </c>
      <c r="BZ731" s="6">
        <f t="shared" si="485"/>
        <v>-39520.333333333336</v>
      </c>
      <c r="CA731" s="6">
        <f t="shared" si="486"/>
        <v>-39520.333333333336</v>
      </c>
      <c r="CB731" s="6">
        <f t="shared" si="487"/>
        <v>-39520.333333333336</v>
      </c>
      <c r="CC731" s="6">
        <f t="shared" si="488"/>
        <v>-8020.3333333333358</v>
      </c>
      <c r="CD731" s="6">
        <f t="shared" si="489"/>
        <v>-39520.333333333336</v>
      </c>
      <c r="CE731" s="6">
        <f t="shared" si="490"/>
        <v>-39520.333333333336</v>
      </c>
      <c r="CF731" s="6">
        <f t="shared" si="491"/>
        <v>-39520.333333333336</v>
      </c>
      <c r="CG731" s="6">
        <f t="shared" si="492"/>
        <v>-39520.333333333336</v>
      </c>
      <c r="CH731" s="6">
        <f t="shared" si="496"/>
        <v>-442743.99999999994</v>
      </c>
    </row>
    <row r="732" spans="1:89" hidden="1" x14ac:dyDescent="0.35">
      <c r="A732" s="3" t="s">
        <v>1188</v>
      </c>
      <c r="B732" s="10">
        <v>1000</v>
      </c>
      <c r="C732" s="10">
        <v>1000</v>
      </c>
      <c r="D732" s="10">
        <v>1000</v>
      </c>
      <c r="E732" s="10">
        <v>1000</v>
      </c>
      <c r="F732" s="10">
        <v>1000</v>
      </c>
      <c r="G732" s="10">
        <v>1000</v>
      </c>
      <c r="H732" s="10">
        <v>1000</v>
      </c>
      <c r="I732" s="10">
        <v>1000</v>
      </c>
      <c r="J732" s="10">
        <v>1000</v>
      </c>
      <c r="K732" s="10">
        <v>1000</v>
      </c>
      <c r="L732" s="10">
        <v>1000</v>
      </c>
      <c r="M732" s="10">
        <v>1000</v>
      </c>
      <c r="N732" s="27">
        <f t="shared" si="498"/>
        <v>12000</v>
      </c>
      <c r="AA732" s="27">
        <f t="shared" si="499"/>
        <v>0</v>
      </c>
      <c r="AB732" s="10">
        <f t="shared" si="494"/>
        <v>1000</v>
      </c>
      <c r="AC732" s="10">
        <f t="shared" si="494"/>
        <v>1000</v>
      </c>
      <c r="AD732" s="10">
        <f t="shared" si="494"/>
        <v>1000</v>
      </c>
      <c r="AE732" s="10">
        <f t="shared" si="494"/>
        <v>1000</v>
      </c>
      <c r="AF732" s="10">
        <f t="shared" si="494"/>
        <v>1000</v>
      </c>
      <c r="AG732" s="10">
        <f t="shared" si="494"/>
        <v>1000</v>
      </c>
      <c r="AH732" s="10">
        <f t="shared" si="494"/>
        <v>1000</v>
      </c>
      <c r="AI732" s="10">
        <f t="shared" si="494"/>
        <v>1000</v>
      </c>
      <c r="AJ732" s="10">
        <f t="shared" si="497"/>
        <v>1000</v>
      </c>
      <c r="AK732" s="10">
        <f t="shared" si="497"/>
        <v>1000</v>
      </c>
      <c r="AL732" s="10">
        <f t="shared" si="497"/>
        <v>1000</v>
      </c>
      <c r="AM732" s="10">
        <f t="shared" si="497"/>
        <v>1000</v>
      </c>
      <c r="AN732" s="27">
        <f t="shared" si="497"/>
        <v>12000</v>
      </c>
      <c r="AS732" t="str">
        <f>_xlfn.XLOOKUP(AU732,[2]GAE!HZ:HZ,[2]GAE!IA:IA)</f>
        <v>OCLP-COMMON</v>
      </c>
      <c r="AT732" t="str">
        <f>_xlfn.XLOOKUP(AU732,[2]GAE!HZ:HZ,[2]GAE!IB:IB)</f>
        <v>GAE - Payroll-Regular Employee-Leave Encashment</v>
      </c>
      <c r="AU732" t="s">
        <v>1156</v>
      </c>
      <c r="AV732">
        <v>80111101</v>
      </c>
      <c r="AW732">
        <v>61021107</v>
      </c>
      <c r="AX732" t="str">
        <f>_xlfn.XLOOKUP(AU732,[2]GAE!HZ:HZ,[2]GAE!IF:IF)</f>
        <v>Salaries</v>
      </c>
      <c r="AY732" t="str">
        <f>_xlfn.XLOOKUP(AU732,[2]GAE!HZ:HZ,[2]GAE!IG:IG)</f>
        <v>Leave Encashment</v>
      </c>
      <c r="AZ732" t="s">
        <v>187</v>
      </c>
      <c r="BF732" t="s">
        <v>101</v>
      </c>
      <c r="BG732" t="s">
        <v>187</v>
      </c>
      <c r="BH732" s="10">
        <f>SUMIFS('[1]2026'!$K:$K,'[1]2026'!$T:$T,BD732,'[1]2026'!$S:$S,BH$3,'[1]2026'!$P:$P,AU732)</f>
        <v>0</v>
      </c>
      <c r="BI732" s="10">
        <f>SUMIFS('[1]2026'!$K:$K,'[1]2026'!$T:$T,$BD732,'[1]2026'!$S:$S,BI$3,'[1]2026'!$P:$P,$AU732)</f>
        <v>0</v>
      </c>
      <c r="BJ732" s="10">
        <f>SUMIFS('[1]2026'!$K:$K,'[1]2026'!$T:$T,$BD732,'[1]2026'!$S:$S,BJ$3,'[1]2026'!$P:$P,$AU732)</f>
        <v>0</v>
      </c>
      <c r="BK732" s="10">
        <f>SUMIFS('[1]2026'!$K:$K,'[1]2026'!$T:$T,$BD732,'[1]2026'!$S:$S,BK$3,'[1]2026'!$P:$P,$AU732)</f>
        <v>0</v>
      </c>
      <c r="BL732" s="10">
        <f>SUMIFS('[1]2026'!$K:$K,'[1]2026'!$T:$T,$BD732,'[1]2026'!$S:$S,BL$3,'[1]2026'!$P:$P,$AU732)</f>
        <v>0</v>
      </c>
      <c r="BM732" s="10">
        <f>SUMIFS('[1]2026'!$K:$K,'[1]2026'!$T:$T,$BD732,'[1]2026'!$S:$S,BM$3,'[1]2026'!$P:$P,$AU732)</f>
        <v>0</v>
      </c>
      <c r="BN732" s="10">
        <f>SUMIFS('[1]2026'!$K:$K,'[1]2026'!$T:$T,$BD732,'[1]2026'!$S:$S,BN$3,'[1]2026'!$P:$P,$AU732)</f>
        <v>0</v>
      </c>
      <c r="BO732" s="10">
        <f>SUMIFS('[1]2026'!$K:$K,'[1]2026'!$T:$T,$BD732,'[1]2026'!$S:$S,BO$3,'[1]2026'!$P:$P,$AU732)</f>
        <v>0</v>
      </c>
      <c r="BP732" s="6">
        <f t="shared" ref="BP732:BS732" si="501">BO732</f>
        <v>0</v>
      </c>
      <c r="BQ732" s="6">
        <f t="shared" si="501"/>
        <v>0</v>
      </c>
      <c r="BR732" s="6">
        <f t="shared" si="501"/>
        <v>0</v>
      </c>
      <c r="BS732" s="6">
        <f t="shared" si="501"/>
        <v>0</v>
      </c>
      <c r="BT732" s="6">
        <f t="shared" si="460"/>
        <v>0</v>
      </c>
      <c r="BV732" s="6">
        <f t="shared" si="481"/>
        <v>-1000</v>
      </c>
      <c r="BW732" s="6">
        <f t="shared" si="482"/>
        <v>-1000</v>
      </c>
      <c r="BX732" s="6">
        <f t="shared" si="483"/>
        <v>-1000</v>
      </c>
      <c r="BY732" s="6">
        <f t="shared" si="484"/>
        <v>-1000</v>
      </c>
      <c r="BZ732" s="6">
        <f t="shared" si="485"/>
        <v>-1000</v>
      </c>
      <c r="CA732" s="6">
        <f t="shared" si="486"/>
        <v>-1000</v>
      </c>
      <c r="CB732" s="6">
        <f t="shared" si="487"/>
        <v>-1000</v>
      </c>
      <c r="CC732" s="6">
        <f t="shared" si="488"/>
        <v>-1000</v>
      </c>
      <c r="CD732" s="6">
        <f t="shared" si="489"/>
        <v>-1000</v>
      </c>
      <c r="CE732" s="6">
        <f t="shared" si="490"/>
        <v>-1000</v>
      </c>
      <c r="CF732" s="6">
        <f t="shared" si="491"/>
        <v>-1000</v>
      </c>
      <c r="CG732" s="6">
        <f t="shared" si="492"/>
        <v>-1000</v>
      </c>
      <c r="CH732" s="6">
        <f t="shared" si="496"/>
        <v>-12000</v>
      </c>
    </row>
    <row r="733" spans="1:89" hidden="1" x14ac:dyDescent="0.35">
      <c r="A733" s="3" t="s">
        <v>204</v>
      </c>
      <c r="B733" s="10">
        <v>4558</v>
      </c>
      <c r="C733" s="10">
        <v>4558</v>
      </c>
      <c r="D733" s="10">
        <v>4558</v>
      </c>
      <c r="E733" s="10">
        <v>4558</v>
      </c>
      <c r="F733" s="10">
        <v>4558</v>
      </c>
      <c r="G733" s="10">
        <v>4558</v>
      </c>
      <c r="H733" s="10">
        <v>4558</v>
      </c>
      <c r="I733" s="10">
        <v>4558</v>
      </c>
      <c r="J733" s="10">
        <v>4558</v>
      </c>
      <c r="K733" s="10">
        <v>4558</v>
      </c>
      <c r="L733" s="10">
        <v>4558</v>
      </c>
      <c r="M733" s="10">
        <v>4558</v>
      </c>
      <c r="N733" s="27">
        <f t="shared" si="498"/>
        <v>54696</v>
      </c>
      <c r="AA733" s="27">
        <f t="shared" si="499"/>
        <v>0</v>
      </c>
      <c r="AB733" s="10">
        <f t="shared" si="494"/>
        <v>4558</v>
      </c>
      <c r="AC733" s="10">
        <f t="shared" si="494"/>
        <v>4558</v>
      </c>
      <c r="AD733" s="10">
        <f t="shared" si="494"/>
        <v>4558</v>
      </c>
      <c r="AE733" s="10">
        <f t="shared" si="494"/>
        <v>4558</v>
      </c>
      <c r="AF733" s="10">
        <f t="shared" si="494"/>
        <v>4558</v>
      </c>
      <c r="AG733" s="10">
        <f t="shared" si="494"/>
        <v>4558</v>
      </c>
      <c r="AH733" s="10">
        <f t="shared" si="494"/>
        <v>4558</v>
      </c>
      <c r="AI733" s="10">
        <f t="shared" si="494"/>
        <v>4558</v>
      </c>
      <c r="AJ733" s="10">
        <f t="shared" si="497"/>
        <v>4558</v>
      </c>
      <c r="AK733" s="10">
        <f t="shared" si="497"/>
        <v>4558</v>
      </c>
      <c r="AL733" s="10">
        <f t="shared" si="497"/>
        <v>4558</v>
      </c>
      <c r="AM733" s="10">
        <f t="shared" si="497"/>
        <v>4558</v>
      </c>
      <c r="AN733" s="27">
        <f t="shared" si="497"/>
        <v>54696</v>
      </c>
      <c r="AS733" t="str">
        <f>_xlfn.XLOOKUP(AU733,[2]GAE!HZ:HZ,[2]GAE!IA:IA)</f>
        <v>OCLP-COMMON</v>
      </c>
      <c r="AT733" t="str">
        <f>_xlfn.XLOOKUP(AU733,[2]GAE!HZ:HZ,[2]GAE!IB:IB)</f>
        <v>GAE - Payroll - Project Employee - Overtime</v>
      </c>
      <c r="AU733" t="s">
        <v>1189</v>
      </c>
      <c r="AV733">
        <v>80111101</v>
      </c>
      <c r="AW733">
        <v>61021202</v>
      </c>
      <c r="AX733" t="str">
        <f>_xlfn.XLOOKUP(AU733,[2]GAE!HZ:HZ,[2]GAE!IF:IF)</f>
        <v>Salaries</v>
      </c>
      <c r="AY733" t="str">
        <f>_xlfn.XLOOKUP(AU733,[2]GAE!HZ:HZ,[2]GAE!IG:IG)</f>
        <v>Project Employee</v>
      </c>
      <c r="AZ733" t="s">
        <v>188</v>
      </c>
      <c r="BC733" t="s">
        <v>204</v>
      </c>
      <c r="BD733" t="s">
        <v>203</v>
      </c>
      <c r="BF733" t="s">
        <v>101</v>
      </c>
      <c r="BG733" s="2" t="s">
        <v>204</v>
      </c>
      <c r="BH733" s="10">
        <f>SUMIFS('[1]2026'!$K:$K,'[1]2026'!$T:$T,BD733,'[1]2026'!$S:$S,BH$3,'[1]2026'!$P:$P,AU733)</f>
        <v>87876.9</v>
      </c>
      <c r="BI733" s="10">
        <f>SUMIFS('[1]2026'!$K:$K,'[1]2026'!$T:$T,$BD733,'[1]2026'!$S:$S,BI$3,'[1]2026'!$P:$P,$AU733)</f>
        <v>67623.67</v>
      </c>
      <c r="BJ733" s="10">
        <f>SUMIFS('[1]2026'!$K:$K,'[1]2026'!$T:$T,$BD733,'[1]2026'!$S:$S,BJ$3,'[1]2026'!$P:$P,$AU733)</f>
        <v>100118.54000000001</v>
      </c>
      <c r="BK733" s="10">
        <f>SUMIFS('[1]2026'!$K:$K,'[1]2026'!$T:$T,$BD733,'[1]2026'!$S:$S,BK$3,'[1]2026'!$P:$P,$AU733)</f>
        <v>117163.56</v>
      </c>
      <c r="BL733" s="10">
        <f>SUMIFS('[1]2026'!$K:$K,'[1]2026'!$T:$T,$BD733,'[1]2026'!$S:$S,BL$3,'[1]2026'!$P:$P,$AU733)</f>
        <v>89812.260000000009</v>
      </c>
      <c r="BM733" s="10">
        <f>SUMIFS('[1]2026'!$K:$K,'[1]2026'!$T:$T,$BD733,'[1]2026'!$S:$S,BM$3,'[1]2026'!$P:$P,$AU733)</f>
        <v>92193.159999999989</v>
      </c>
      <c r="BN733" s="10">
        <f>SUMIFS('[1]2026'!$K:$K,'[1]2026'!$T:$T,$BD733,'[1]2026'!$S:$S,BN$3,'[1]2026'!$P:$P,$AU733)</f>
        <v>85649.700000000012</v>
      </c>
      <c r="BO733" s="10">
        <f>SUMIFS('[1]2026'!$K:$K,'[1]2026'!$T:$T,$BD733,'[1]2026'!$S:$S,BO$3,'[1]2026'!$P:$P,$AU733)</f>
        <v>94388.35</v>
      </c>
      <c r="BP733" s="6">
        <v>100000</v>
      </c>
      <c r="BQ733" s="6">
        <v>100000</v>
      </c>
      <c r="BR733" s="6">
        <v>100000</v>
      </c>
      <c r="BS733" s="6">
        <v>100000</v>
      </c>
      <c r="BT733" s="6">
        <f t="shared" si="460"/>
        <v>1134826.1400000001</v>
      </c>
      <c r="BV733" s="6">
        <f t="shared" si="481"/>
        <v>83318.899999999994</v>
      </c>
      <c r="BW733" s="6">
        <f t="shared" si="482"/>
        <v>63065.67</v>
      </c>
      <c r="BX733" s="6">
        <f t="shared" si="483"/>
        <v>95560.540000000008</v>
      </c>
      <c r="BY733" s="6">
        <f t="shared" si="484"/>
        <v>112605.56</v>
      </c>
      <c r="BZ733" s="6">
        <f t="shared" si="485"/>
        <v>85254.260000000009</v>
      </c>
      <c r="CA733" s="6">
        <f t="shared" si="486"/>
        <v>87635.159999999989</v>
      </c>
      <c r="CB733" s="6">
        <f t="shared" si="487"/>
        <v>81091.700000000012</v>
      </c>
      <c r="CC733" s="6">
        <f t="shared" si="488"/>
        <v>89830.35</v>
      </c>
      <c r="CD733" s="6">
        <f t="shared" si="489"/>
        <v>95442</v>
      </c>
      <c r="CE733" s="6">
        <f t="shared" si="490"/>
        <v>95442</v>
      </c>
      <c r="CF733" s="6">
        <f t="shared" si="491"/>
        <v>95442</v>
      </c>
      <c r="CG733" s="6">
        <f t="shared" si="492"/>
        <v>95442</v>
      </c>
      <c r="CH733" s="6">
        <f t="shared" si="496"/>
        <v>1080130.1400000001</v>
      </c>
    </row>
    <row r="734" spans="1:89" hidden="1" x14ac:dyDescent="0.35">
      <c r="A734" s="3" t="s">
        <v>1190</v>
      </c>
      <c r="B734" s="10">
        <v>51300</v>
      </c>
      <c r="C734" s="10">
        <v>51300</v>
      </c>
      <c r="D734" s="10">
        <v>51300</v>
      </c>
      <c r="E734" s="10">
        <v>51300</v>
      </c>
      <c r="F734" s="10">
        <v>51300</v>
      </c>
      <c r="G734" s="10">
        <v>51300</v>
      </c>
      <c r="H734" s="10">
        <v>51300</v>
      </c>
      <c r="I734" s="10">
        <v>51300</v>
      </c>
      <c r="J734" s="10">
        <v>51300</v>
      </c>
      <c r="K734" s="10">
        <v>51300</v>
      </c>
      <c r="L734" s="10">
        <v>51300</v>
      </c>
      <c r="M734" s="10">
        <v>51300</v>
      </c>
      <c r="N734" s="27">
        <f t="shared" si="498"/>
        <v>615600</v>
      </c>
      <c r="O734" s="10">
        <v>2723.8937690946973</v>
      </c>
      <c r="P734" s="10">
        <v>2723.8937690946973</v>
      </c>
      <c r="Q734" s="10">
        <v>2723.8937690946973</v>
      </c>
      <c r="R734" s="10">
        <v>2723.8937690946973</v>
      </c>
      <c r="S734" s="10">
        <v>2723.8937690946973</v>
      </c>
      <c r="T734" s="10">
        <v>2723.8937690946973</v>
      </c>
      <c r="U734" s="10">
        <v>2723.8937690946973</v>
      </c>
      <c r="V734" s="10">
        <v>2723.8937690946973</v>
      </c>
      <c r="W734" s="10">
        <v>2723.8937690946973</v>
      </c>
      <c r="X734" s="10">
        <v>2723.8937690946973</v>
      </c>
      <c r="Y734" s="10">
        <v>2723.8937690946973</v>
      </c>
      <c r="Z734" s="10">
        <v>2723.8937690946973</v>
      </c>
      <c r="AA734" s="27">
        <f t="shared" si="499"/>
        <v>32686.725229136373</v>
      </c>
      <c r="AB734" s="10">
        <f t="shared" si="494"/>
        <v>48576.106230905301</v>
      </c>
      <c r="AC734" s="10">
        <f t="shared" si="494"/>
        <v>48576.106230905301</v>
      </c>
      <c r="AD734" s="10">
        <f t="shared" si="494"/>
        <v>48576.106230905301</v>
      </c>
      <c r="AE734" s="10">
        <f t="shared" si="494"/>
        <v>48576.106230905301</v>
      </c>
      <c r="AF734" s="10">
        <f t="shared" si="494"/>
        <v>48576.106230905301</v>
      </c>
      <c r="AG734" s="10">
        <f t="shared" si="494"/>
        <v>48576.106230905301</v>
      </c>
      <c r="AH734" s="10">
        <f t="shared" si="494"/>
        <v>48576.106230905301</v>
      </c>
      <c r="AI734" s="10">
        <f t="shared" si="494"/>
        <v>48576.106230905301</v>
      </c>
      <c r="AJ734" s="10">
        <f t="shared" si="497"/>
        <v>48576.106230905301</v>
      </c>
      <c r="AK734" s="10">
        <f t="shared" si="497"/>
        <v>48576.106230905301</v>
      </c>
      <c r="AL734" s="10">
        <f t="shared" si="497"/>
        <v>48576.106230905301</v>
      </c>
      <c r="AM734" s="10">
        <f t="shared" si="497"/>
        <v>48576.106230905301</v>
      </c>
      <c r="AN734" s="27">
        <f t="shared" si="497"/>
        <v>582913.27477086359</v>
      </c>
      <c r="AO734" s="28">
        <v>81420</v>
      </c>
      <c r="AS734" t="str">
        <f>_xlfn.XLOOKUP(AU734,[2]GAE!HZ:HZ,[2]GAE!IA:IA)</f>
        <v>OHI-COMMON</v>
      </c>
      <c r="AT734" t="str">
        <f>_xlfn.XLOOKUP(AU734,[2]GAE!HZ:HZ,[2]GAE!IB:IB)</f>
        <v>DOE - Employee Benefits - SSS,PHIC, HDMF</v>
      </c>
      <c r="AU734" t="s">
        <v>1177</v>
      </c>
      <c r="AV734">
        <v>90111101</v>
      </c>
      <c r="AW734">
        <v>52121305</v>
      </c>
      <c r="AX734" t="str">
        <f>_xlfn.XLOOKUP(AU734,[2]GAE!HZ:HZ,[2]GAE!IF:IF)</f>
        <v>Employee Benefits</v>
      </c>
      <c r="AY734" t="str">
        <f>_xlfn.XLOOKUP(AU734,[2]GAE!HZ:HZ,[2]GAE!IG:IG)</f>
        <v>Government Contributions</v>
      </c>
      <c r="AZ734" t="s">
        <v>189</v>
      </c>
      <c r="BF734" t="s">
        <v>184</v>
      </c>
      <c r="BG734" t="s">
        <v>189</v>
      </c>
      <c r="BH734" s="10">
        <f>SUMIFS('[1]2026'!$K:$K,'[1]2026'!$T:$T,BD734,'[1]2026'!$S:$S,BH$3,'[1]2026'!$P:$P,AU734)</f>
        <v>0</v>
      </c>
      <c r="BI734" s="10">
        <f>SUMIFS('[1]2026'!$K:$K,'[1]2026'!$T:$T,$BD734,'[1]2026'!$S:$S,BI$3,'[1]2026'!$P:$P,$AU734)</f>
        <v>0</v>
      </c>
      <c r="BJ734" s="10">
        <f>SUMIFS('[1]2026'!$K:$K,'[1]2026'!$T:$T,$BD734,'[1]2026'!$S:$S,BJ$3,'[1]2026'!$P:$P,$AU734)</f>
        <v>0</v>
      </c>
      <c r="BK734" s="10">
        <f>SUMIFS('[1]2026'!$K:$K,'[1]2026'!$T:$T,$BD734,'[1]2026'!$S:$S,BK$3,'[1]2026'!$P:$P,$AU734)</f>
        <v>0</v>
      </c>
      <c r="BL734" s="10">
        <f>SUMIFS('[1]2026'!$K:$K,'[1]2026'!$T:$T,$BD734,'[1]2026'!$S:$S,BL$3,'[1]2026'!$P:$P,$AU734)</f>
        <v>0</v>
      </c>
      <c r="BM734" s="10">
        <f>SUMIFS('[1]2026'!$K:$K,'[1]2026'!$T:$T,$BD734,'[1]2026'!$S:$S,BM$3,'[1]2026'!$P:$P,$AU734)</f>
        <v>0</v>
      </c>
      <c r="BN734" s="10">
        <f>SUMIFS('[1]2026'!$K:$K,'[1]2026'!$T:$T,$BD734,'[1]2026'!$S:$S,BN$3,'[1]2026'!$P:$P,$AU734)</f>
        <v>0</v>
      </c>
      <c r="BO734" s="10">
        <f>SUMIFS('[1]2026'!$K:$K,'[1]2026'!$T:$T,$BD734,'[1]2026'!$S:$S,BO$3,'[1]2026'!$P:$P,$AU734)</f>
        <v>0</v>
      </c>
      <c r="BP734" s="6">
        <f t="shared" ref="BP734:BS736" si="502">BO734</f>
        <v>0</v>
      </c>
      <c r="BQ734" s="6">
        <f t="shared" si="502"/>
        <v>0</v>
      </c>
      <c r="BR734" s="6">
        <f t="shared" si="502"/>
        <v>0</v>
      </c>
      <c r="BS734" s="6">
        <f t="shared" si="502"/>
        <v>0</v>
      </c>
      <c r="BT734" s="6">
        <f t="shared" si="460"/>
        <v>0</v>
      </c>
      <c r="BV734" s="6">
        <f t="shared" si="481"/>
        <v>-48576.106230905301</v>
      </c>
      <c r="BW734" s="6">
        <f t="shared" si="482"/>
        <v>-48576.106230905301</v>
      </c>
      <c r="BX734" s="6">
        <f t="shared" si="483"/>
        <v>-48576.106230905301</v>
      </c>
      <c r="BY734" s="6">
        <f t="shared" si="484"/>
        <v>-48576.106230905301</v>
      </c>
      <c r="BZ734" s="6">
        <f t="shared" si="485"/>
        <v>-48576.106230905301</v>
      </c>
      <c r="CA734" s="6">
        <f t="shared" si="486"/>
        <v>-48576.106230905301</v>
      </c>
      <c r="CB734" s="6">
        <f t="shared" si="487"/>
        <v>-48576.106230905301</v>
      </c>
      <c r="CC734" s="6">
        <f t="shared" si="488"/>
        <v>-48576.106230905301</v>
      </c>
      <c r="CD734" s="6">
        <f t="shared" si="489"/>
        <v>-48576.106230905301</v>
      </c>
      <c r="CE734" s="6">
        <f t="shared" si="490"/>
        <v>-48576.106230905301</v>
      </c>
      <c r="CF734" s="6">
        <f t="shared" si="491"/>
        <v>-48576.106230905301</v>
      </c>
      <c r="CG734" s="6">
        <f t="shared" si="492"/>
        <v>-48576.106230905301</v>
      </c>
      <c r="CH734" s="6">
        <f t="shared" si="496"/>
        <v>-582913.27477086359</v>
      </c>
    </row>
    <row r="735" spans="1:89" hidden="1" x14ac:dyDescent="0.35">
      <c r="A735" s="3" t="s">
        <v>1191</v>
      </c>
      <c r="B735" s="10">
        <v>1800</v>
      </c>
      <c r="C735" s="10">
        <v>1800</v>
      </c>
      <c r="D735" s="10">
        <v>1800</v>
      </c>
      <c r="E735" s="10">
        <v>1800</v>
      </c>
      <c r="F735" s="10">
        <v>1800</v>
      </c>
      <c r="G735" s="10">
        <v>1800</v>
      </c>
      <c r="H735" s="10">
        <v>1800</v>
      </c>
      <c r="I735" s="10">
        <v>1800</v>
      </c>
      <c r="J735" s="10">
        <v>1800</v>
      </c>
      <c r="K735" s="10">
        <v>1800</v>
      </c>
      <c r="L735" s="10">
        <v>1800</v>
      </c>
      <c r="M735" s="10">
        <v>1800</v>
      </c>
      <c r="N735" s="27">
        <f t="shared" si="498"/>
        <v>21600</v>
      </c>
      <c r="O735" s="10">
        <v>95.57521996823499</v>
      </c>
      <c r="P735" s="10">
        <v>95.57521996823499</v>
      </c>
      <c r="Q735" s="10">
        <v>95.57521996823499</v>
      </c>
      <c r="R735" s="10">
        <v>95.57521996823499</v>
      </c>
      <c r="S735" s="10">
        <v>95.57521996823499</v>
      </c>
      <c r="T735" s="10">
        <v>95.57521996823499</v>
      </c>
      <c r="U735" s="10">
        <v>95.57521996823499</v>
      </c>
      <c r="V735" s="10">
        <v>95.57521996823499</v>
      </c>
      <c r="W735" s="10">
        <v>95.57521996823499</v>
      </c>
      <c r="X735" s="10">
        <v>95.57521996823499</v>
      </c>
      <c r="Y735" s="10">
        <v>95.57521996823499</v>
      </c>
      <c r="Z735" s="10">
        <v>95.57521996823499</v>
      </c>
      <c r="AA735" s="27">
        <f t="shared" si="499"/>
        <v>1146.9026396188196</v>
      </c>
      <c r="AB735" s="10">
        <f t="shared" si="494"/>
        <v>1704.4247800317651</v>
      </c>
      <c r="AC735" s="10">
        <f t="shared" si="494"/>
        <v>1704.4247800317651</v>
      </c>
      <c r="AD735" s="10">
        <f t="shared" si="494"/>
        <v>1704.4247800317651</v>
      </c>
      <c r="AE735" s="10">
        <f t="shared" si="494"/>
        <v>1704.4247800317651</v>
      </c>
      <c r="AF735" s="10">
        <f t="shared" si="494"/>
        <v>1704.4247800317651</v>
      </c>
      <c r="AG735" s="10">
        <f t="shared" si="494"/>
        <v>1704.4247800317651</v>
      </c>
      <c r="AH735" s="10">
        <f t="shared" si="494"/>
        <v>1704.4247800317651</v>
      </c>
      <c r="AI735" s="10">
        <f t="shared" si="494"/>
        <v>1704.4247800317651</v>
      </c>
      <c r="AJ735" s="10">
        <f t="shared" si="497"/>
        <v>1704.4247800317651</v>
      </c>
      <c r="AK735" s="10">
        <f t="shared" si="497"/>
        <v>1704.4247800317651</v>
      </c>
      <c r="AL735" s="10">
        <f t="shared" si="497"/>
        <v>1704.4247800317651</v>
      </c>
      <c r="AM735" s="10">
        <f t="shared" si="497"/>
        <v>1704.4247800317651</v>
      </c>
      <c r="AN735" s="27">
        <f t="shared" si="497"/>
        <v>20453.09736038118</v>
      </c>
      <c r="AO735" s="28">
        <v>4800</v>
      </c>
      <c r="AS735" t="str">
        <f>_xlfn.XLOOKUP(AU735,[2]GAE!HZ:HZ,[2]GAE!IA:IA)</f>
        <v>OHI-COMMON</v>
      </c>
      <c r="AT735" t="str">
        <f>_xlfn.XLOOKUP(AU735,[2]GAE!HZ:HZ,[2]GAE!IB:IB)</f>
        <v>DOE - Employee Benefits - SSS,PHIC, HDMF</v>
      </c>
      <c r="AU735" t="s">
        <v>1177</v>
      </c>
      <c r="AV735">
        <v>90111101</v>
      </c>
      <c r="AW735">
        <v>52121305</v>
      </c>
      <c r="AX735" t="str">
        <f>_xlfn.XLOOKUP(AU735,[2]GAE!HZ:HZ,[2]GAE!IF:IF)</f>
        <v>Employee Benefits</v>
      </c>
      <c r="AY735" t="str">
        <f>_xlfn.XLOOKUP(AU735,[2]GAE!HZ:HZ,[2]GAE!IG:IG)</f>
        <v>Government Contributions</v>
      </c>
      <c r="AZ735" t="s">
        <v>191</v>
      </c>
      <c r="BF735" t="s">
        <v>184</v>
      </c>
      <c r="BG735" t="s">
        <v>191</v>
      </c>
      <c r="BH735" s="10">
        <f>SUMIFS('[1]2026'!$K:$K,'[1]2026'!$T:$T,BD735,'[1]2026'!$S:$S,BH$3,'[1]2026'!$P:$P,AU735)</f>
        <v>0</v>
      </c>
      <c r="BI735" s="10">
        <f>SUMIFS('[1]2026'!$K:$K,'[1]2026'!$T:$T,$BD735,'[1]2026'!$S:$S,BI$3,'[1]2026'!$P:$P,$AU735)</f>
        <v>0</v>
      </c>
      <c r="BJ735" s="10">
        <f>SUMIFS('[1]2026'!$K:$K,'[1]2026'!$T:$T,$BD735,'[1]2026'!$S:$S,BJ$3,'[1]2026'!$P:$P,$AU735)</f>
        <v>0</v>
      </c>
      <c r="BK735" s="10">
        <f>SUMIFS('[1]2026'!$K:$K,'[1]2026'!$T:$T,$BD735,'[1]2026'!$S:$S,BK$3,'[1]2026'!$P:$P,$AU735)</f>
        <v>0</v>
      </c>
      <c r="BL735" s="10">
        <f>SUMIFS('[1]2026'!$K:$K,'[1]2026'!$T:$T,$BD735,'[1]2026'!$S:$S,BL$3,'[1]2026'!$P:$P,$AU735)</f>
        <v>0</v>
      </c>
      <c r="BM735" s="10">
        <f>SUMIFS('[1]2026'!$K:$K,'[1]2026'!$T:$T,$BD735,'[1]2026'!$S:$S,BM$3,'[1]2026'!$P:$P,$AU735)</f>
        <v>0</v>
      </c>
      <c r="BN735" s="10">
        <f>SUMIFS('[1]2026'!$K:$K,'[1]2026'!$T:$T,$BD735,'[1]2026'!$S:$S,BN$3,'[1]2026'!$P:$P,$AU735)</f>
        <v>0</v>
      </c>
      <c r="BO735" s="10">
        <f>SUMIFS('[1]2026'!$K:$K,'[1]2026'!$T:$T,$BD735,'[1]2026'!$S:$S,BO$3,'[1]2026'!$P:$P,$AU735)</f>
        <v>0</v>
      </c>
      <c r="BP735" s="6">
        <f t="shared" si="502"/>
        <v>0</v>
      </c>
      <c r="BQ735" s="6">
        <f t="shared" si="502"/>
        <v>0</v>
      </c>
      <c r="BR735" s="6">
        <f t="shared" si="502"/>
        <v>0</v>
      </c>
      <c r="BS735" s="6">
        <f t="shared" si="502"/>
        <v>0</v>
      </c>
      <c r="BT735" s="6">
        <f t="shared" si="460"/>
        <v>0</v>
      </c>
      <c r="BV735" s="6">
        <f t="shared" si="481"/>
        <v>-1704.4247800317651</v>
      </c>
      <c r="BW735" s="6">
        <f t="shared" si="482"/>
        <v>-1704.4247800317651</v>
      </c>
      <c r="BX735" s="6">
        <f t="shared" si="483"/>
        <v>-1704.4247800317651</v>
      </c>
      <c r="BY735" s="6">
        <f t="shared" si="484"/>
        <v>-1704.4247800317651</v>
      </c>
      <c r="BZ735" s="6">
        <f t="shared" si="485"/>
        <v>-1704.4247800317651</v>
      </c>
      <c r="CA735" s="6">
        <f t="shared" si="486"/>
        <v>-1704.4247800317651</v>
      </c>
      <c r="CB735" s="6">
        <f t="shared" si="487"/>
        <v>-1704.4247800317651</v>
      </c>
      <c r="CC735" s="6">
        <f t="shared" si="488"/>
        <v>-1704.4247800317651</v>
      </c>
      <c r="CD735" s="6">
        <f t="shared" si="489"/>
        <v>-1704.4247800317651</v>
      </c>
      <c r="CE735" s="6">
        <f t="shared" si="490"/>
        <v>-1704.4247800317651</v>
      </c>
      <c r="CF735" s="6">
        <f t="shared" si="491"/>
        <v>-1704.4247800317651</v>
      </c>
      <c r="CG735" s="6">
        <f t="shared" si="492"/>
        <v>-1704.4247800317651</v>
      </c>
      <c r="CH735" s="6">
        <f t="shared" si="496"/>
        <v>-20453.09736038118</v>
      </c>
    </row>
    <row r="736" spans="1:89" hidden="1" x14ac:dyDescent="0.35">
      <c r="A736" s="3" t="s">
        <v>1192</v>
      </c>
      <c r="B736" s="10">
        <v>13753.5</v>
      </c>
      <c r="C736" s="10">
        <v>13753.5</v>
      </c>
      <c r="D736" s="10">
        <v>13753.5</v>
      </c>
      <c r="E736" s="10">
        <v>13753.5</v>
      </c>
      <c r="F736" s="10">
        <v>13753.5</v>
      </c>
      <c r="G736" s="10">
        <v>13753.5</v>
      </c>
      <c r="H736" s="10">
        <v>13753.5</v>
      </c>
      <c r="I736" s="10">
        <v>13753.5</v>
      </c>
      <c r="J736" s="10">
        <v>13753.5</v>
      </c>
      <c r="K736" s="10">
        <v>13753.5</v>
      </c>
      <c r="L736" s="10">
        <v>13753.5</v>
      </c>
      <c r="M736" s="10">
        <v>13753.5</v>
      </c>
      <c r="N736" s="27">
        <f t="shared" si="498"/>
        <v>165042</v>
      </c>
      <c r="O736" s="10">
        <v>730.27432657395559</v>
      </c>
      <c r="P736" s="10">
        <v>730.27432657395559</v>
      </c>
      <c r="Q736" s="10">
        <v>730.27432657395559</v>
      </c>
      <c r="R736" s="10">
        <v>730.27432657395559</v>
      </c>
      <c r="S736" s="10">
        <v>730.27432657395559</v>
      </c>
      <c r="T736" s="10">
        <v>730.27432657395559</v>
      </c>
      <c r="U736" s="10">
        <v>730.27432657395559</v>
      </c>
      <c r="V736" s="10">
        <v>730.27432657395559</v>
      </c>
      <c r="W736" s="10">
        <v>730.27432657395559</v>
      </c>
      <c r="X736" s="10">
        <v>730.27432657395559</v>
      </c>
      <c r="Y736" s="10">
        <v>730.27432657395559</v>
      </c>
      <c r="Z736" s="10">
        <v>730.27432657395559</v>
      </c>
      <c r="AA736" s="27">
        <f t="shared" si="499"/>
        <v>8763.2919188874675</v>
      </c>
      <c r="AB736" s="10">
        <f t="shared" si="494"/>
        <v>13023.225673426045</v>
      </c>
      <c r="AC736" s="10">
        <f t="shared" si="494"/>
        <v>13023.225673426045</v>
      </c>
      <c r="AD736" s="10">
        <f t="shared" si="494"/>
        <v>13023.225673426045</v>
      </c>
      <c r="AE736" s="10">
        <f t="shared" si="494"/>
        <v>13023.225673426045</v>
      </c>
      <c r="AF736" s="10">
        <f t="shared" si="494"/>
        <v>13023.225673426045</v>
      </c>
      <c r="AG736" s="10">
        <f t="shared" si="494"/>
        <v>13023.225673426045</v>
      </c>
      <c r="AH736" s="10">
        <f t="shared" si="494"/>
        <v>13023.225673426045</v>
      </c>
      <c r="AI736" s="10">
        <f t="shared" si="494"/>
        <v>13023.225673426045</v>
      </c>
      <c r="AJ736" s="10">
        <f t="shared" si="497"/>
        <v>13023.225673426045</v>
      </c>
      <c r="AK736" s="10">
        <f t="shared" si="497"/>
        <v>13023.225673426045</v>
      </c>
      <c r="AL736" s="10">
        <f t="shared" si="497"/>
        <v>13023.225673426045</v>
      </c>
      <c r="AM736" s="10">
        <f t="shared" si="497"/>
        <v>13023.225673426045</v>
      </c>
      <c r="AN736" s="27">
        <f t="shared" si="497"/>
        <v>156278.70808111253</v>
      </c>
      <c r="AO736" s="28">
        <v>28925</v>
      </c>
      <c r="AS736" t="str">
        <f>_xlfn.XLOOKUP(AU736,[2]GAE!HZ:HZ,[2]GAE!IA:IA)</f>
        <v>OHI-COMMON</v>
      </c>
      <c r="AT736" t="str">
        <f>_xlfn.XLOOKUP(AU736,[2]GAE!HZ:HZ,[2]GAE!IB:IB)</f>
        <v>DOE - Employee Benefits - SSS,PHIC, HDMF</v>
      </c>
      <c r="AU736" t="s">
        <v>1177</v>
      </c>
      <c r="AV736">
        <v>90111101</v>
      </c>
      <c r="AW736">
        <v>52121305</v>
      </c>
      <c r="AX736" t="str">
        <f>_xlfn.XLOOKUP(AU736,[2]GAE!HZ:HZ,[2]GAE!IF:IF)</f>
        <v>Employee Benefits</v>
      </c>
      <c r="AY736" t="str">
        <f>_xlfn.XLOOKUP(AU736,[2]GAE!HZ:HZ,[2]GAE!IG:IG)</f>
        <v>Government Contributions</v>
      </c>
      <c r="AZ736" t="s">
        <v>193</v>
      </c>
      <c r="BF736" t="s">
        <v>184</v>
      </c>
      <c r="BG736" t="s">
        <v>193</v>
      </c>
      <c r="BH736" s="10">
        <f>SUMIFS('[1]2026'!$K:$K,'[1]2026'!$T:$T,BD736,'[1]2026'!$S:$S,BH$3,'[1]2026'!$P:$P,AU736)</f>
        <v>0</v>
      </c>
      <c r="BI736" s="10">
        <f>SUMIFS('[1]2026'!$K:$K,'[1]2026'!$T:$T,$BD736,'[1]2026'!$S:$S,BI$3,'[1]2026'!$P:$P,$AU736)</f>
        <v>0</v>
      </c>
      <c r="BJ736" s="10">
        <f>SUMIFS('[1]2026'!$K:$K,'[1]2026'!$T:$T,$BD736,'[1]2026'!$S:$S,BJ$3,'[1]2026'!$P:$P,$AU736)</f>
        <v>0</v>
      </c>
      <c r="BK736" s="10">
        <f>SUMIFS('[1]2026'!$K:$K,'[1]2026'!$T:$T,$BD736,'[1]2026'!$S:$S,BK$3,'[1]2026'!$P:$P,$AU736)</f>
        <v>0</v>
      </c>
      <c r="BL736" s="10">
        <f>SUMIFS('[1]2026'!$K:$K,'[1]2026'!$T:$T,$BD736,'[1]2026'!$S:$S,BL$3,'[1]2026'!$P:$P,$AU736)</f>
        <v>0</v>
      </c>
      <c r="BM736" s="10">
        <f>SUMIFS('[1]2026'!$K:$K,'[1]2026'!$T:$T,$BD736,'[1]2026'!$S:$S,BM$3,'[1]2026'!$P:$P,$AU736)</f>
        <v>0</v>
      </c>
      <c r="BN736" s="10">
        <f>SUMIFS('[1]2026'!$K:$K,'[1]2026'!$T:$T,$BD736,'[1]2026'!$S:$S,BN$3,'[1]2026'!$P:$P,$AU736)</f>
        <v>0</v>
      </c>
      <c r="BO736" s="10">
        <f>SUMIFS('[1]2026'!$K:$K,'[1]2026'!$T:$T,$BD736,'[1]2026'!$S:$S,BO$3,'[1]2026'!$P:$P,$AU736)</f>
        <v>0</v>
      </c>
      <c r="BP736" s="6">
        <f t="shared" si="502"/>
        <v>0</v>
      </c>
      <c r="BQ736" s="6">
        <f t="shared" si="502"/>
        <v>0</v>
      </c>
      <c r="BR736" s="6">
        <f t="shared" si="502"/>
        <v>0</v>
      </c>
      <c r="BS736" s="6">
        <f t="shared" si="502"/>
        <v>0</v>
      </c>
      <c r="BT736" s="6">
        <f t="shared" si="460"/>
        <v>0</v>
      </c>
      <c r="BV736" s="6">
        <f t="shared" ref="BV736:BV761" si="503">BH736-AB736</f>
        <v>-13023.225673426045</v>
      </c>
      <c r="BW736" s="6">
        <f t="shared" ref="BW736:BW761" si="504">BI736-AC736</f>
        <v>-13023.225673426045</v>
      </c>
      <c r="BX736" s="6">
        <f t="shared" ref="BX736:BX761" si="505">BJ736-AD736</f>
        <v>-13023.225673426045</v>
      </c>
      <c r="BY736" s="6">
        <f t="shared" ref="BY736:BY761" si="506">BK736-AE736</f>
        <v>-13023.225673426045</v>
      </c>
      <c r="BZ736" s="6">
        <f t="shared" ref="BZ736:BZ761" si="507">BL736-AF736</f>
        <v>-13023.225673426045</v>
      </c>
      <c r="CA736" s="6">
        <f t="shared" ref="CA736:CA761" si="508">BM736-AG736</f>
        <v>-13023.225673426045</v>
      </c>
      <c r="CB736" s="6">
        <f t="shared" ref="CB736:CB761" si="509">BN736-AH736</f>
        <v>-13023.225673426045</v>
      </c>
      <c r="CC736" s="6">
        <f t="shared" ref="CC736:CC761" si="510">BO736-AI736</f>
        <v>-13023.225673426045</v>
      </c>
      <c r="CD736" s="6">
        <f t="shared" ref="CD736:CD761" si="511">BP736-AJ736</f>
        <v>-13023.225673426045</v>
      </c>
      <c r="CE736" s="6">
        <f t="shared" ref="CE736:CE761" si="512">BQ736-AK736</f>
        <v>-13023.225673426045</v>
      </c>
      <c r="CF736" s="6">
        <f t="shared" ref="CF736:CF761" si="513">BR736-AL736</f>
        <v>-13023.225673426045</v>
      </c>
      <c r="CG736" s="6">
        <f t="shared" ref="CG736:CG761" si="514">BS736-AM736</f>
        <v>-13023.225673426045</v>
      </c>
      <c r="CH736" s="6">
        <f t="shared" si="496"/>
        <v>-156278.70808111253</v>
      </c>
    </row>
    <row r="737" spans="1:86" hidden="1" x14ac:dyDescent="0.35">
      <c r="A737" s="3" t="s">
        <v>1193</v>
      </c>
      <c r="B737" s="10">
        <v>960</v>
      </c>
      <c r="C737" s="10">
        <v>960</v>
      </c>
      <c r="D737" s="10">
        <v>960</v>
      </c>
      <c r="E737" s="10">
        <v>960</v>
      </c>
      <c r="F737" s="10">
        <v>960</v>
      </c>
      <c r="G737" s="10">
        <v>960</v>
      </c>
      <c r="H737" s="10">
        <v>960</v>
      </c>
      <c r="I737" s="10">
        <v>960</v>
      </c>
      <c r="J737" s="10">
        <v>960</v>
      </c>
      <c r="K737" s="10">
        <v>960</v>
      </c>
      <c r="L737" s="10">
        <v>960</v>
      </c>
      <c r="M737" s="10">
        <v>960</v>
      </c>
      <c r="N737" s="27">
        <f t="shared" si="498"/>
        <v>11520</v>
      </c>
      <c r="AA737" s="27">
        <f t="shared" si="499"/>
        <v>0</v>
      </c>
      <c r="AB737" s="10">
        <f t="shared" si="494"/>
        <v>960</v>
      </c>
      <c r="AC737" s="10">
        <f t="shared" si="494"/>
        <v>960</v>
      </c>
      <c r="AD737" s="10">
        <f t="shared" si="494"/>
        <v>960</v>
      </c>
      <c r="AE737" s="10">
        <f t="shared" si="494"/>
        <v>960</v>
      </c>
      <c r="AF737" s="10">
        <f t="shared" si="494"/>
        <v>960</v>
      </c>
      <c r="AG737" s="10">
        <f t="shared" si="494"/>
        <v>960</v>
      </c>
      <c r="AH737" s="10">
        <f t="shared" si="494"/>
        <v>960</v>
      </c>
      <c r="AI737" s="10">
        <f t="shared" si="494"/>
        <v>960</v>
      </c>
      <c r="AJ737" s="10">
        <f t="shared" si="497"/>
        <v>960</v>
      </c>
      <c r="AK737" s="10">
        <f t="shared" si="497"/>
        <v>960</v>
      </c>
      <c r="AL737" s="10">
        <f t="shared" si="497"/>
        <v>960</v>
      </c>
      <c r="AM737" s="10">
        <f t="shared" si="497"/>
        <v>960</v>
      </c>
      <c r="AN737" s="27">
        <f t="shared" si="497"/>
        <v>11520</v>
      </c>
      <c r="AS737" t="str">
        <f>_xlfn.XLOOKUP(AU737,[2]GAE!HZ:HZ,[2]GAE!IA:IA)</f>
        <v>OCLP-COMMON</v>
      </c>
      <c r="AT737" t="str">
        <f>_xlfn.XLOOKUP(AU737,[2]GAE!HZ:HZ,[2]GAE!IB:IB)</f>
        <v>GAE - Employee Benefits - Life Insurance</v>
      </c>
      <c r="AU737" t="s">
        <v>1166</v>
      </c>
      <c r="AV737">
        <v>80111101</v>
      </c>
      <c r="AW737">
        <v>61021301</v>
      </c>
      <c r="AX737" t="str">
        <f>_xlfn.XLOOKUP(AU737,[2]GAE!HZ:HZ,[2]GAE!IF:IF)</f>
        <v>Employee Benefits</v>
      </c>
      <c r="AY737" t="str">
        <f>_xlfn.XLOOKUP(AU737,[2]GAE!HZ:HZ,[2]GAE!IG:IG)</f>
        <v>Medical/Insurance</v>
      </c>
      <c r="AZ737" t="s">
        <v>198</v>
      </c>
      <c r="BD737" t="s">
        <v>198</v>
      </c>
      <c r="BF737" t="s">
        <v>101</v>
      </c>
      <c r="BG737" s="2" t="s">
        <v>198</v>
      </c>
      <c r="BJ737" s="6"/>
      <c r="BL737" s="6"/>
      <c r="BO737" s="6"/>
      <c r="BP737" s="6"/>
      <c r="BQ737" s="6"/>
      <c r="BR737" s="6"/>
      <c r="BS737" s="6"/>
      <c r="BT737" s="6">
        <f t="shared" si="460"/>
        <v>0</v>
      </c>
      <c r="BV737" s="6">
        <f t="shared" si="503"/>
        <v>-960</v>
      </c>
      <c r="BW737" s="6">
        <f t="shared" si="504"/>
        <v>-960</v>
      </c>
      <c r="BX737" s="6">
        <f t="shared" si="505"/>
        <v>-960</v>
      </c>
      <c r="BY737" s="6">
        <f t="shared" si="506"/>
        <v>-960</v>
      </c>
      <c r="BZ737" s="6">
        <f t="shared" si="507"/>
        <v>-960</v>
      </c>
      <c r="CA737" s="6">
        <f t="shared" si="508"/>
        <v>-960</v>
      </c>
      <c r="CB737" s="6">
        <f t="shared" si="509"/>
        <v>-960</v>
      </c>
      <c r="CC737" s="6">
        <f t="shared" si="510"/>
        <v>-960</v>
      </c>
      <c r="CD737" s="6">
        <f t="shared" si="511"/>
        <v>-960</v>
      </c>
      <c r="CE737" s="6">
        <f t="shared" si="512"/>
        <v>-960</v>
      </c>
      <c r="CF737" s="6">
        <f t="shared" si="513"/>
        <v>-960</v>
      </c>
      <c r="CG737" s="6">
        <f t="shared" si="514"/>
        <v>-960</v>
      </c>
      <c r="CH737" s="6">
        <f t="shared" si="496"/>
        <v>-11520</v>
      </c>
    </row>
    <row r="738" spans="1:86" hidden="1" x14ac:dyDescent="0.35">
      <c r="A738" s="3" t="s">
        <v>1194</v>
      </c>
      <c r="B738" s="10">
        <v>3080</v>
      </c>
      <c r="C738" s="10">
        <v>3080</v>
      </c>
      <c r="D738" s="10">
        <v>3080</v>
      </c>
      <c r="E738" s="10">
        <v>3080</v>
      </c>
      <c r="F738" s="10">
        <v>3080</v>
      </c>
      <c r="G738" s="10">
        <v>3080</v>
      </c>
      <c r="H738" s="10">
        <v>3080</v>
      </c>
      <c r="I738" s="10">
        <v>3080</v>
      </c>
      <c r="J738" s="10">
        <v>3080</v>
      </c>
      <c r="K738" s="10">
        <v>3080</v>
      </c>
      <c r="L738" s="10">
        <v>3080</v>
      </c>
      <c r="M738" s="10">
        <v>3080</v>
      </c>
      <c r="N738" s="27">
        <f t="shared" si="498"/>
        <v>36960</v>
      </c>
      <c r="AA738" s="27">
        <f t="shared" si="499"/>
        <v>0</v>
      </c>
      <c r="AB738" s="10">
        <f t="shared" si="494"/>
        <v>3080</v>
      </c>
      <c r="AC738" s="10">
        <f t="shared" si="494"/>
        <v>3080</v>
      </c>
      <c r="AD738" s="10">
        <f t="shared" si="494"/>
        <v>3080</v>
      </c>
      <c r="AE738" s="10">
        <f t="shared" si="494"/>
        <v>3080</v>
      </c>
      <c r="AF738" s="10">
        <f t="shared" si="494"/>
        <v>3080</v>
      </c>
      <c r="AG738" s="10">
        <f t="shared" si="494"/>
        <v>3080</v>
      </c>
      <c r="AH738" s="10">
        <f t="shared" si="494"/>
        <v>3080</v>
      </c>
      <c r="AI738" s="10">
        <f t="shared" si="494"/>
        <v>3080</v>
      </c>
      <c r="AJ738" s="10">
        <f t="shared" si="497"/>
        <v>3080</v>
      </c>
      <c r="AK738" s="10">
        <f t="shared" si="497"/>
        <v>3080</v>
      </c>
      <c r="AL738" s="10">
        <f t="shared" si="497"/>
        <v>3080</v>
      </c>
      <c r="AM738" s="10">
        <f t="shared" si="497"/>
        <v>3080</v>
      </c>
      <c r="AN738" s="27">
        <f t="shared" si="497"/>
        <v>36960</v>
      </c>
      <c r="AS738" t="str">
        <f>_xlfn.XLOOKUP(AU738,[2]GAE!HZ:HZ,[2]GAE!IA:IA)</f>
        <v>OCLP-COMMON</v>
      </c>
      <c r="AT738" t="str">
        <f>_xlfn.XLOOKUP(AU738,[2]GAE!HZ:HZ,[2]GAE!IB:IB)</f>
        <v>GAE - Employee Benefits - Life Insurance</v>
      </c>
      <c r="AU738" t="s">
        <v>1166</v>
      </c>
      <c r="AV738">
        <v>80111101</v>
      </c>
      <c r="AW738">
        <v>61021301</v>
      </c>
      <c r="AX738" t="str">
        <f>_xlfn.XLOOKUP(AU738,[2]GAE!HZ:HZ,[2]GAE!IF:IF)</f>
        <v>Employee Benefits</v>
      </c>
      <c r="AY738" t="str">
        <f>_xlfn.XLOOKUP(AU738,[2]GAE!HZ:HZ,[2]GAE!IG:IG)</f>
        <v>Medical/Insurance</v>
      </c>
      <c r="AZ738" t="s">
        <v>199</v>
      </c>
      <c r="BD738" t="s">
        <v>199</v>
      </c>
      <c r="BF738" t="s">
        <v>101</v>
      </c>
      <c r="BG738" s="2" t="s">
        <v>199</v>
      </c>
      <c r="BJ738" s="6"/>
      <c r="BL738" s="6"/>
      <c r="BO738" s="6"/>
      <c r="BP738" s="6"/>
      <c r="BQ738" s="6"/>
      <c r="BR738" s="6"/>
      <c r="BS738" s="6"/>
      <c r="BT738" s="6">
        <f t="shared" si="460"/>
        <v>0</v>
      </c>
      <c r="BV738" s="6">
        <f t="shared" si="503"/>
        <v>-3080</v>
      </c>
      <c r="BW738" s="6">
        <f t="shared" si="504"/>
        <v>-3080</v>
      </c>
      <c r="BX738" s="6">
        <f t="shared" si="505"/>
        <v>-3080</v>
      </c>
      <c r="BY738" s="6">
        <f t="shared" si="506"/>
        <v>-3080</v>
      </c>
      <c r="BZ738" s="6">
        <f t="shared" si="507"/>
        <v>-3080</v>
      </c>
      <c r="CA738" s="6">
        <f t="shared" si="508"/>
        <v>-3080</v>
      </c>
      <c r="CB738" s="6">
        <f t="shared" si="509"/>
        <v>-3080</v>
      </c>
      <c r="CC738" s="6">
        <f t="shared" si="510"/>
        <v>-3080</v>
      </c>
      <c r="CD738" s="6">
        <f t="shared" si="511"/>
        <v>-3080</v>
      </c>
      <c r="CE738" s="6">
        <f t="shared" si="512"/>
        <v>-3080</v>
      </c>
      <c r="CF738" s="6">
        <f t="shared" si="513"/>
        <v>-3080</v>
      </c>
      <c r="CG738" s="6">
        <f t="shared" si="514"/>
        <v>-3080</v>
      </c>
      <c r="CH738" s="6">
        <f t="shared" si="496"/>
        <v>-36960</v>
      </c>
    </row>
    <row r="739" spans="1:86" hidden="1" x14ac:dyDescent="0.35">
      <c r="A739" s="3" t="s">
        <v>1195</v>
      </c>
      <c r="B739" s="10">
        <v>3666.6666666666665</v>
      </c>
      <c r="C739" s="10">
        <v>3666.6666666666665</v>
      </c>
      <c r="D739" s="10">
        <v>3666.6666666666665</v>
      </c>
      <c r="E739" s="10">
        <v>3666.6666666666665</v>
      </c>
      <c r="F739" s="10">
        <v>3666.6666666666665</v>
      </c>
      <c r="G739" s="10">
        <v>3666.6666666666665</v>
      </c>
      <c r="H739" s="10">
        <v>3666.6666666666665</v>
      </c>
      <c r="I739" s="10">
        <v>3666.6666666666665</v>
      </c>
      <c r="J739" s="10">
        <v>3666.6666666666665</v>
      </c>
      <c r="K739" s="10">
        <v>3666.6666666666665</v>
      </c>
      <c r="L739" s="10">
        <v>3666.6666666666665</v>
      </c>
      <c r="M739" s="10">
        <v>3666.6666666666665</v>
      </c>
      <c r="N739" s="27">
        <f t="shared" si="498"/>
        <v>43999.999999999993</v>
      </c>
      <c r="AA739" s="27">
        <f t="shared" si="499"/>
        <v>0</v>
      </c>
      <c r="AB739" s="10">
        <f t="shared" si="494"/>
        <v>3666.6666666666665</v>
      </c>
      <c r="AC739" s="10">
        <f t="shared" si="494"/>
        <v>3666.6666666666665</v>
      </c>
      <c r="AD739" s="10">
        <f t="shared" si="494"/>
        <v>3666.6666666666665</v>
      </c>
      <c r="AE739" s="10">
        <f t="shared" si="494"/>
        <v>3666.6666666666665</v>
      </c>
      <c r="AF739" s="10">
        <f t="shared" si="494"/>
        <v>3666.6666666666665</v>
      </c>
      <c r="AG739" s="10">
        <f t="shared" si="494"/>
        <v>3666.6666666666665</v>
      </c>
      <c r="AH739" s="10">
        <f t="shared" si="494"/>
        <v>3666.6666666666665</v>
      </c>
      <c r="AI739" s="10">
        <f t="shared" si="494"/>
        <v>3666.6666666666665</v>
      </c>
      <c r="AJ739" s="10">
        <f t="shared" si="497"/>
        <v>3666.6666666666665</v>
      </c>
      <c r="AK739" s="10">
        <f t="shared" si="497"/>
        <v>3666.6666666666665</v>
      </c>
      <c r="AL739" s="10">
        <f t="shared" si="497"/>
        <v>3666.6666666666665</v>
      </c>
      <c r="AM739" s="10">
        <f t="shared" si="497"/>
        <v>3666.6666666666665</v>
      </c>
      <c r="AN739" s="27">
        <f t="shared" si="497"/>
        <v>43999.999999999993</v>
      </c>
      <c r="AS739" t="str">
        <f>_xlfn.XLOOKUP(AU739,[2]GAE!HZ:HZ,[2]GAE!IA:IA)</f>
        <v>OCLP-COMMON</v>
      </c>
      <c r="AT739" t="str">
        <f>_xlfn.XLOOKUP(AU739,[2]GAE!HZ:HZ,[2]GAE!IB:IB)</f>
        <v>GAE - Health Premium / APE</v>
      </c>
      <c r="AU739" t="s">
        <v>1167</v>
      </c>
      <c r="AV739">
        <v>80111101</v>
      </c>
      <c r="AW739">
        <v>61021303</v>
      </c>
      <c r="AX739" t="str">
        <f>_xlfn.XLOOKUP(AU739,[2]GAE!HZ:HZ,[2]GAE!IF:IF)</f>
        <v>Employee Benefits</v>
      </c>
      <c r="AY739" t="str">
        <f>_xlfn.XLOOKUP(AU739,[2]GAE!HZ:HZ,[2]GAE!IG:IG)</f>
        <v>Medical/Insurance</v>
      </c>
      <c r="AZ739" t="s">
        <v>200</v>
      </c>
      <c r="BD739" t="s">
        <v>1151</v>
      </c>
      <c r="BF739" t="s">
        <v>101</v>
      </c>
      <c r="BG739" s="2" t="s">
        <v>201</v>
      </c>
      <c r="BJ739" s="6"/>
      <c r="BL739" s="6"/>
      <c r="BO739" s="6"/>
      <c r="BP739" s="6"/>
      <c r="BQ739" s="6"/>
      <c r="BR739" s="6"/>
      <c r="BS739" s="6"/>
      <c r="BT739" s="6">
        <f t="shared" si="460"/>
        <v>0</v>
      </c>
      <c r="BV739" s="6">
        <f t="shared" si="503"/>
        <v>-3666.6666666666665</v>
      </c>
      <c r="BW739" s="6">
        <f t="shared" si="504"/>
        <v>-3666.6666666666665</v>
      </c>
      <c r="BX739" s="6">
        <f t="shared" si="505"/>
        <v>-3666.6666666666665</v>
      </c>
      <c r="BY739" s="6">
        <f t="shared" si="506"/>
        <v>-3666.6666666666665</v>
      </c>
      <c r="BZ739" s="6">
        <f t="shared" si="507"/>
        <v>-3666.6666666666665</v>
      </c>
      <c r="CA739" s="6">
        <f t="shared" si="508"/>
        <v>-3666.6666666666665</v>
      </c>
      <c r="CB739" s="6">
        <f t="shared" si="509"/>
        <v>-3666.6666666666665</v>
      </c>
      <c r="CC739" s="6">
        <f t="shared" si="510"/>
        <v>-3666.6666666666665</v>
      </c>
      <c r="CD739" s="6">
        <f t="shared" si="511"/>
        <v>-3666.6666666666665</v>
      </c>
      <c r="CE739" s="6">
        <f t="shared" si="512"/>
        <v>-3666.6666666666665</v>
      </c>
      <c r="CF739" s="6">
        <f t="shared" si="513"/>
        <v>-3666.6666666666665</v>
      </c>
      <c r="CG739" s="6">
        <f t="shared" si="514"/>
        <v>-3666.6666666666665</v>
      </c>
      <c r="CH739" s="6">
        <f t="shared" si="496"/>
        <v>-43999.999999999993</v>
      </c>
    </row>
    <row r="740" spans="1:86" hidden="1" x14ac:dyDescent="0.35">
      <c r="A740" s="3" t="s">
        <v>1196</v>
      </c>
      <c r="B740" s="10">
        <v>67245.42</v>
      </c>
      <c r="C740" s="10">
        <v>67245.42</v>
      </c>
      <c r="D740" s="10">
        <v>67245.42</v>
      </c>
      <c r="E740" s="10">
        <v>67245.42</v>
      </c>
      <c r="F740" s="10">
        <v>67245.42</v>
      </c>
      <c r="G740" s="10">
        <v>67245.42</v>
      </c>
      <c r="H740" s="10">
        <v>67245.42</v>
      </c>
      <c r="I740" s="10">
        <v>67245.42</v>
      </c>
      <c r="J740" s="10">
        <v>67245.42</v>
      </c>
      <c r="K740" s="10">
        <v>67245.42</v>
      </c>
      <c r="L740" s="10">
        <v>67245.42</v>
      </c>
      <c r="M740" s="10">
        <v>67245.42</v>
      </c>
      <c r="N740" s="27">
        <f t="shared" si="498"/>
        <v>806945.04000000015</v>
      </c>
      <c r="AA740" s="27">
        <f t="shared" si="499"/>
        <v>0</v>
      </c>
      <c r="AB740" s="10">
        <f t="shared" si="494"/>
        <v>67245.42</v>
      </c>
      <c r="AC740" s="10">
        <f t="shared" si="494"/>
        <v>67245.42</v>
      </c>
      <c r="AD740" s="10">
        <f t="shared" si="494"/>
        <v>67245.42</v>
      </c>
      <c r="AE740" s="10">
        <f t="shared" si="494"/>
        <v>67245.42</v>
      </c>
      <c r="AF740" s="10">
        <f t="shared" si="494"/>
        <v>67245.42</v>
      </c>
      <c r="AG740" s="10">
        <f t="shared" si="494"/>
        <v>67245.42</v>
      </c>
      <c r="AH740" s="10">
        <f t="shared" si="494"/>
        <v>67245.42</v>
      </c>
      <c r="AI740" s="10">
        <f t="shared" si="494"/>
        <v>67245.42</v>
      </c>
      <c r="AJ740" s="10">
        <f t="shared" si="497"/>
        <v>67245.42</v>
      </c>
      <c r="AK740" s="10">
        <f t="shared" si="497"/>
        <v>67245.42</v>
      </c>
      <c r="AL740" s="10">
        <f t="shared" si="497"/>
        <v>67245.42</v>
      </c>
      <c r="AM740" s="10">
        <f t="shared" si="497"/>
        <v>67245.42</v>
      </c>
      <c r="AN740" s="27">
        <f t="shared" si="497"/>
        <v>806945.04000000015</v>
      </c>
      <c r="AS740" t="str">
        <f>_xlfn.XLOOKUP(AU740,[2]GAE!HZ:HZ,[2]GAE!IA:IA)</f>
        <v>OCLP-COMMON</v>
      </c>
      <c r="AT740" t="str">
        <f>_xlfn.XLOOKUP(AU740,[2]GAE!HZ:HZ,[2]GAE!IB:IB)</f>
        <v>GAE - Health Premium / APE</v>
      </c>
      <c r="AU740" t="s">
        <v>1167</v>
      </c>
      <c r="AV740">
        <v>80111101</v>
      </c>
      <c r="AW740">
        <v>61021303</v>
      </c>
      <c r="AX740" t="str">
        <f>_xlfn.XLOOKUP(AU740,[2]GAE!HZ:HZ,[2]GAE!IF:IF)</f>
        <v>Employee Benefits</v>
      </c>
      <c r="AY740" t="str">
        <f>_xlfn.XLOOKUP(AU740,[2]GAE!HZ:HZ,[2]GAE!IG:IG)</f>
        <v>Medical/Insurance</v>
      </c>
      <c r="AZ740" t="s">
        <v>201</v>
      </c>
      <c r="BD740" t="s">
        <v>1151</v>
      </c>
      <c r="BF740" t="s">
        <v>101</v>
      </c>
      <c r="BG740" s="2" t="s">
        <v>201</v>
      </c>
      <c r="BJ740" s="6"/>
      <c r="BL740" s="6"/>
      <c r="BO740" s="6"/>
      <c r="BP740" s="6"/>
      <c r="BQ740" s="6"/>
      <c r="BR740" s="6"/>
      <c r="BS740" s="6"/>
      <c r="BT740" s="6">
        <f t="shared" ref="BT740:BT781" si="515">SUM(BH740:BS740)</f>
        <v>0</v>
      </c>
      <c r="BV740" s="6">
        <f t="shared" si="503"/>
        <v>-67245.42</v>
      </c>
      <c r="BW740" s="6">
        <f t="shared" si="504"/>
        <v>-67245.42</v>
      </c>
      <c r="BX740" s="6">
        <f t="shared" si="505"/>
        <v>-67245.42</v>
      </c>
      <c r="BY740" s="6">
        <f t="shared" si="506"/>
        <v>-67245.42</v>
      </c>
      <c r="BZ740" s="6">
        <f t="shared" si="507"/>
        <v>-67245.42</v>
      </c>
      <c r="CA740" s="6">
        <f t="shared" si="508"/>
        <v>-67245.42</v>
      </c>
      <c r="CB740" s="6">
        <f t="shared" si="509"/>
        <v>-67245.42</v>
      </c>
      <c r="CC740" s="6">
        <f t="shared" si="510"/>
        <v>-67245.42</v>
      </c>
      <c r="CD740" s="6">
        <f t="shared" si="511"/>
        <v>-67245.42</v>
      </c>
      <c r="CE740" s="6">
        <f t="shared" si="512"/>
        <v>-67245.42</v>
      </c>
      <c r="CF740" s="6">
        <f t="shared" si="513"/>
        <v>-67245.42</v>
      </c>
      <c r="CG740" s="6">
        <f t="shared" si="514"/>
        <v>-67245.42</v>
      </c>
      <c r="CH740" s="6">
        <f t="shared" si="496"/>
        <v>-806945.04000000015</v>
      </c>
    </row>
    <row r="741" spans="1:86" hidden="1" x14ac:dyDescent="0.35">
      <c r="A741" s="3" t="s">
        <v>1184</v>
      </c>
      <c r="B741" s="10">
        <v>109180</v>
      </c>
      <c r="C741" s="10">
        <v>109180</v>
      </c>
      <c r="D741" s="10">
        <v>109180</v>
      </c>
      <c r="E741" s="10">
        <v>109180</v>
      </c>
      <c r="F741" s="10">
        <v>109180</v>
      </c>
      <c r="G741" s="10">
        <v>109180</v>
      </c>
      <c r="H741" s="10">
        <v>109180</v>
      </c>
      <c r="I741" s="10">
        <v>109180</v>
      </c>
      <c r="J741" s="10">
        <v>109180</v>
      </c>
      <c r="K741" s="10">
        <v>109180</v>
      </c>
      <c r="L741" s="10">
        <v>109180</v>
      </c>
      <c r="M741" s="10">
        <v>109180</v>
      </c>
      <c r="N741" s="27">
        <f t="shared" si="498"/>
        <v>1310160</v>
      </c>
      <c r="AA741" s="27">
        <f t="shared" si="499"/>
        <v>0</v>
      </c>
      <c r="AB741" s="10">
        <f t="shared" si="494"/>
        <v>109180</v>
      </c>
      <c r="AC741" s="10">
        <f t="shared" si="494"/>
        <v>109180</v>
      </c>
      <c r="AD741" s="10">
        <f t="shared" si="494"/>
        <v>109180</v>
      </c>
      <c r="AE741" s="10">
        <f t="shared" si="494"/>
        <v>109180</v>
      </c>
      <c r="AF741" s="10">
        <f t="shared" si="494"/>
        <v>109180</v>
      </c>
      <c r="AG741" s="10">
        <f t="shared" si="494"/>
        <v>109180</v>
      </c>
      <c r="AH741" s="10">
        <f t="shared" si="494"/>
        <v>109180</v>
      </c>
      <c r="AI741" s="10">
        <f t="shared" si="494"/>
        <v>109180</v>
      </c>
      <c r="AJ741" s="10">
        <f t="shared" si="497"/>
        <v>109180</v>
      </c>
      <c r="AK741" s="10">
        <f t="shared" si="497"/>
        <v>109180</v>
      </c>
      <c r="AL741" s="10">
        <f t="shared" si="497"/>
        <v>109180</v>
      </c>
      <c r="AM741" s="10">
        <f t="shared" si="497"/>
        <v>109180</v>
      </c>
      <c r="AN741" s="27">
        <f t="shared" si="497"/>
        <v>1310160</v>
      </c>
      <c r="AS741" t="str">
        <f>_xlfn.XLOOKUP(AU741,[2]GAE!HZ:HZ,[2]GAE!IA:IA)</f>
        <v>OHI-COMMON</v>
      </c>
      <c r="AT741" t="str">
        <f>_xlfn.XLOOKUP(AU741,[2]GAE!HZ:HZ,[2]GAE!IB:IB)</f>
        <v>DOE - Payroll - Project - Basic</v>
      </c>
      <c r="AU741" t="s">
        <v>1197</v>
      </c>
      <c r="AV741">
        <v>90111101</v>
      </c>
      <c r="AW741">
        <v>52121201</v>
      </c>
      <c r="AX741" t="str">
        <f>_xlfn.XLOOKUP(AU741,[2]GAE!HZ:HZ,[2]GAE!IF:IF)</f>
        <v>Salaries</v>
      </c>
      <c r="AY741" t="str">
        <f>_xlfn.XLOOKUP(AU741,[2]GAE!HZ:HZ,[2]GAE!IG:IG)</f>
        <v>Project Employee</v>
      </c>
      <c r="AZ741" t="s">
        <v>1133</v>
      </c>
      <c r="BF741" t="s">
        <v>184</v>
      </c>
      <c r="BG741" t="s">
        <v>203</v>
      </c>
      <c r="BH741" s="10">
        <f>SUMIFS('[1]2026'!$K:$K,'[1]2026'!$T:$T,BD741,'[1]2026'!$S:$S,BH$3,'[1]2026'!$P:$P,AU741)</f>
        <v>0</v>
      </c>
      <c r="BI741" s="10">
        <f>SUMIFS('[1]2026'!$K:$K,'[1]2026'!$T:$T,$BD741,'[1]2026'!$S:$S,BI$3,'[1]2026'!$P:$P,$AU741)</f>
        <v>0</v>
      </c>
      <c r="BJ741" s="10">
        <f>SUMIFS('[1]2026'!$K:$K,'[1]2026'!$T:$T,$BD741,'[1]2026'!$S:$S,BJ$3,'[1]2026'!$P:$P,$AU741)</f>
        <v>0</v>
      </c>
      <c r="BK741" s="10">
        <f>SUMIFS('[1]2026'!$K:$K,'[1]2026'!$T:$T,$BD741,'[1]2026'!$S:$S,BK$3,'[1]2026'!$P:$P,$AU741)</f>
        <v>0</v>
      </c>
      <c r="BL741" s="6"/>
      <c r="BM741" s="10">
        <f>SUMIFS('[1]2026'!$K:$K,'[1]2026'!$T:$T,$BD741,'[1]2026'!$S:$S,BM$3,'[1]2026'!$P:$P,$AU741)</f>
        <v>0</v>
      </c>
      <c r="BN741" s="10">
        <f>SUMIFS('[1]2026'!$K:$K,'[1]2026'!$T:$T,$BD741,'[1]2026'!$S:$S,BN$3,'[1]2026'!$P:$P,$AU741)</f>
        <v>0</v>
      </c>
      <c r="BO741" s="10">
        <f>SUMIFS('[1]2026'!$K:$K,'[1]2026'!$T:$T,$BD741,'[1]2026'!$S:$S,BO$3,'[1]2026'!$P:$P,$AU741)</f>
        <v>0</v>
      </c>
      <c r="BP741" s="6"/>
      <c r="BQ741" s="6"/>
      <c r="BR741" s="6"/>
      <c r="BS741" s="6"/>
      <c r="BT741" s="6">
        <f t="shared" si="515"/>
        <v>0</v>
      </c>
      <c r="BV741" s="6">
        <f t="shared" si="503"/>
        <v>-109180</v>
      </c>
      <c r="BW741" s="6">
        <f t="shared" si="504"/>
        <v>-109180</v>
      </c>
      <c r="BX741" s="6">
        <f t="shared" si="505"/>
        <v>-109180</v>
      </c>
      <c r="BY741" s="6">
        <f t="shared" si="506"/>
        <v>-109180</v>
      </c>
      <c r="BZ741" s="6">
        <f t="shared" si="507"/>
        <v>-109180</v>
      </c>
      <c r="CA741" s="6">
        <f t="shared" si="508"/>
        <v>-109180</v>
      </c>
      <c r="CB741" s="6">
        <f t="shared" si="509"/>
        <v>-109180</v>
      </c>
      <c r="CC741" s="6">
        <f t="shared" si="510"/>
        <v>-109180</v>
      </c>
      <c r="CD741" s="6">
        <f t="shared" si="511"/>
        <v>-109180</v>
      </c>
      <c r="CE741" s="6">
        <f t="shared" si="512"/>
        <v>-109180</v>
      </c>
      <c r="CF741" s="6">
        <f t="shared" si="513"/>
        <v>-109180</v>
      </c>
      <c r="CG741" s="6">
        <f t="shared" si="514"/>
        <v>-109180</v>
      </c>
      <c r="CH741" s="6">
        <f t="shared" si="496"/>
        <v>-1310160</v>
      </c>
    </row>
    <row r="742" spans="1:86" hidden="1" x14ac:dyDescent="0.35">
      <c r="A742" s="3" t="s">
        <v>1186</v>
      </c>
      <c r="B742" s="10">
        <v>9644.2333333333336</v>
      </c>
      <c r="C742" s="10">
        <v>9644.2333333333336</v>
      </c>
      <c r="D742" s="10">
        <v>9644.2333333333336</v>
      </c>
      <c r="E742" s="10">
        <v>9644.2333333333336</v>
      </c>
      <c r="F742" s="10">
        <v>9644.2333333333336</v>
      </c>
      <c r="G742" s="10">
        <v>9644.2333333333336</v>
      </c>
      <c r="H742" s="10">
        <v>9644.2333333333336</v>
      </c>
      <c r="I742" s="10">
        <v>9644.2333333333336</v>
      </c>
      <c r="J742" s="10">
        <v>9644.2333333333336</v>
      </c>
      <c r="K742" s="10">
        <v>9644.2333333333336</v>
      </c>
      <c r="L742" s="10">
        <v>9644.2333333333336</v>
      </c>
      <c r="M742" s="10">
        <v>9644.2333333333336</v>
      </c>
      <c r="N742" s="27">
        <f t="shared" si="498"/>
        <v>115730.80000000003</v>
      </c>
      <c r="AA742" s="27">
        <f t="shared" si="499"/>
        <v>0</v>
      </c>
      <c r="AB742" s="10">
        <f t="shared" si="494"/>
        <v>9644.2333333333336</v>
      </c>
      <c r="AC742" s="10">
        <f t="shared" si="494"/>
        <v>9644.2333333333336</v>
      </c>
      <c r="AD742" s="10">
        <f t="shared" si="494"/>
        <v>9644.2333333333336</v>
      </c>
      <c r="AE742" s="10">
        <f t="shared" si="494"/>
        <v>9644.2333333333336</v>
      </c>
      <c r="AF742" s="10">
        <f t="shared" si="494"/>
        <v>9644.2333333333336</v>
      </c>
      <c r="AG742" s="10">
        <f t="shared" si="494"/>
        <v>9644.2333333333336</v>
      </c>
      <c r="AH742" s="10">
        <f t="shared" si="494"/>
        <v>9644.2333333333336</v>
      </c>
      <c r="AI742" s="10">
        <f t="shared" si="494"/>
        <v>9644.2333333333336</v>
      </c>
      <c r="AJ742" s="10">
        <f t="shared" si="497"/>
        <v>9644.2333333333336</v>
      </c>
      <c r="AK742" s="10">
        <f t="shared" si="497"/>
        <v>9644.2333333333336</v>
      </c>
      <c r="AL742" s="10">
        <f t="shared" si="497"/>
        <v>9644.2333333333336</v>
      </c>
      <c r="AM742" s="10">
        <f t="shared" si="497"/>
        <v>9644.2333333333336</v>
      </c>
      <c r="AN742" s="27">
        <f t="shared" si="497"/>
        <v>115730.80000000003</v>
      </c>
      <c r="AS742" t="str">
        <f>_xlfn.XLOOKUP(AU742,[2]GAE!HZ:HZ,[2]GAE!IA:IA)</f>
        <v>OHI-COMMON</v>
      </c>
      <c r="AT742" t="str">
        <f>_xlfn.XLOOKUP(AU742,[2]GAE!HZ:HZ,[2]GAE!IB:IB)</f>
        <v>DOE - Payroll - Project - Bonus</v>
      </c>
      <c r="AU742" t="s">
        <v>1198</v>
      </c>
      <c r="AV742">
        <v>90111101</v>
      </c>
      <c r="AW742">
        <v>52121203</v>
      </c>
      <c r="AX742" t="str">
        <f>_xlfn.XLOOKUP(AU742,[2]GAE!HZ:HZ,[2]GAE!IF:IF)</f>
        <v>Salaries</v>
      </c>
      <c r="AY742" t="str">
        <f>_xlfn.XLOOKUP(AU742,[2]GAE!HZ:HZ,[2]GAE!IG:IG)</f>
        <v>Project Employee</v>
      </c>
      <c r="AZ742" t="s">
        <v>186</v>
      </c>
      <c r="BF742" t="s">
        <v>184</v>
      </c>
      <c r="BG742" t="s">
        <v>1186</v>
      </c>
      <c r="BH742" s="10">
        <f>SUMIFS('[1]2026'!$K:$K,'[1]2026'!$T:$T,BD742,'[1]2026'!$S:$S,BH$3,'[1]2026'!$P:$P,AU742)</f>
        <v>0</v>
      </c>
      <c r="BI742" s="10">
        <f>SUMIFS('[1]2026'!$K:$K,'[1]2026'!$T:$T,$BD742,'[1]2026'!$S:$S,BI$3,'[1]2026'!$P:$P,$AU742)</f>
        <v>0</v>
      </c>
      <c r="BJ742" s="10">
        <f>SUMIFS('[1]2026'!$K:$K,'[1]2026'!$T:$T,$BD742,'[1]2026'!$S:$S,BJ$3,'[1]2026'!$P:$P,$AU742)</f>
        <v>0</v>
      </c>
      <c r="BK742" s="10">
        <f>SUMIFS('[1]2026'!$K:$K,'[1]2026'!$T:$T,$BD742,'[1]2026'!$S:$S,BK$3,'[1]2026'!$P:$P,$AU742)</f>
        <v>0</v>
      </c>
      <c r="BL742" s="6"/>
      <c r="BM742" s="10">
        <f>SUMIFS('[1]2026'!$K:$K,'[1]2026'!$T:$T,$BD742,'[1]2026'!$S:$S,BM$3,'[1]2026'!$P:$P,$AU742)</f>
        <v>0</v>
      </c>
      <c r="BN742" s="10">
        <f>SUMIFS('[1]2026'!$K:$K,'[1]2026'!$T:$T,$BD742,'[1]2026'!$S:$S,BN$3,'[1]2026'!$P:$P,$AU742)</f>
        <v>0</v>
      </c>
      <c r="BO742" s="10">
        <f>SUMIFS('[1]2026'!$K:$K,'[1]2026'!$T:$T,$BD742,'[1]2026'!$S:$S,BO$3,'[1]2026'!$P:$P,$AU742)</f>
        <v>0</v>
      </c>
      <c r="BP742" s="6"/>
      <c r="BQ742" s="6"/>
      <c r="BR742" s="6"/>
      <c r="BS742" s="6"/>
      <c r="BT742" s="6">
        <f t="shared" si="515"/>
        <v>0</v>
      </c>
      <c r="BV742" s="6">
        <f t="shared" si="503"/>
        <v>-9644.2333333333336</v>
      </c>
      <c r="BW742" s="6">
        <f t="shared" si="504"/>
        <v>-9644.2333333333336</v>
      </c>
      <c r="BX742" s="6">
        <f t="shared" si="505"/>
        <v>-9644.2333333333336</v>
      </c>
      <c r="BY742" s="6">
        <f t="shared" si="506"/>
        <v>-9644.2333333333336</v>
      </c>
      <c r="BZ742" s="6">
        <f t="shared" si="507"/>
        <v>-9644.2333333333336</v>
      </c>
      <c r="CA742" s="6">
        <f t="shared" si="508"/>
        <v>-9644.2333333333336</v>
      </c>
      <c r="CB742" s="6">
        <f t="shared" si="509"/>
        <v>-9644.2333333333336</v>
      </c>
      <c r="CC742" s="6">
        <f t="shared" si="510"/>
        <v>-9644.2333333333336</v>
      </c>
      <c r="CD742" s="6">
        <f t="shared" si="511"/>
        <v>-9644.2333333333336</v>
      </c>
      <c r="CE742" s="6">
        <f t="shared" si="512"/>
        <v>-9644.2333333333336</v>
      </c>
      <c r="CF742" s="6">
        <f t="shared" si="513"/>
        <v>-9644.2333333333336</v>
      </c>
      <c r="CG742" s="6">
        <f t="shared" si="514"/>
        <v>-9644.2333333333336</v>
      </c>
      <c r="CH742" s="6">
        <f t="shared" si="496"/>
        <v>-115730.80000000003</v>
      </c>
    </row>
    <row r="743" spans="1:86" hidden="1" x14ac:dyDescent="0.35">
      <c r="A743" s="3" t="s">
        <v>1188</v>
      </c>
      <c r="B743" s="10">
        <v>833.33333333333337</v>
      </c>
      <c r="C743" s="10">
        <v>833.33333333333337</v>
      </c>
      <c r="D743" s="10">
        <v>833.33333333333337</v>
      </c>
      <c r="E743" s="10">
        <v>833.33333333333337</v>
      </c>
      <c r="F743" s="10">
        <v>833.33333333333337</v>
      </c>
      <c r="G743" s="10">
        <v>833.33333333333337</v>
      </c>
      <c r="H743" s="10">
        <v>833.33333333333337</v>
      </c>
      <c r="I743" s="10">
        <v>833.33333333333337</v>
      </c>
      <c r="J743" s="10">
        <v>833.33333333333337</v>
      </c>
      <c r="K743" s="10">
        <v>833.33333333333337</v>
      </c>
      <c r="L743" s="10">
        <v>833.33333333333337</v>
      </c>
      <c r="M743" s="10">
        <v>833.33333333333337</v>
      </c>
      <c r="N743" s="27">
        <f t="shared" si="498"/>
        <v>10000</v>
      </c>
      <c r="AA743" s="27">
        <f t="shared" si="499"/>
        <v>0</v>
      </c>
      <c r="AB743" s="10">
        <f t="shared" si="494"/>
        <v>833.33333333333337</v>
      </c>
      <c r="AC743" s="10">
        <f t="shared" si="494"/>
        <v>833.33333333333337</v>
      </c>
      <c r="AD743" s="10">
        <f t="shared" si="494"/>
        <v>833.33333333333337</v>
      </c>
      <c r="AE743" s="10">
        <f t="shared" si="494"/>
        <v>833.33333333333337</v>
      </c>
      <c r="AF743" s="10">
        <f t="shared" si="494"/>
        <v>833.33333333333337</v>
      </c>
      <c r="AG743" s="10">
        <f t="shared" si="494"/>
        <v>833.33333333333337</v>
      </c>
      <c r="AH743" s="10">
        <f t="shared" si="494"/>
        <v>833.33333333333337</v>
      </c>
      <c r="AI743" s="10">
        <f t="shared" si="494"/>
        <v>833.33333333333337</v>
      </c>
      <c r="AJ743" s="10">
        <f t="shared" si="497"/>
        <v>833.33333333333337</v>
      </c>
      <c r="AK743" s="10">
        <f t="shared" si="497"/>
        <v>833.33333333333337</v>
      </c>
      <c r="AL743" s="10">
        <f t="shared" si="497"/>
        <v>833.33333333333337</v>
      </c>
      <c r="AM743" s="10">
        <f t="shared" si="497"/>
        <v>833.33333333333337</v>
      </c>
      <c r="AN743" s="27">
        <f t="shared" si="497"/>
        <v>10000</v>
      </c>
      <c r="AS743" t="str">
        <f>_xlfn.XLOOKUP(AU743,[2]GAE!HZ:HZ,[2]GAE!IA:IA)</f>
        <v>OHI-COMMON</v>
      </c>
      <c r="AT743" t="str">
        <f>_xlfn.XLOOKUP(AU743,[2]GAE!HZ:HZ,[2]GAE!IB:IB)</f>
        <v>DOE - Payroll - Regular - Leave Encashment</v>
      </c>
      <c r="AU743" t="s">
        <v>1173</v>
      </c>
      <c r="AV743">
        <v>90111101</v>
      </c>
      <c r="AW743">
        <v>52121106</v>
      </c>
      <c r="AX743" t="str">
        <f>_xlfn.XLOOKUP(AU743,[2]GAE!HZ:HZ,[2]GAE!IF:IF)</f>
        <v>Salaries</v>
      </c>
      <c r="AY743" t="str">
        <f>_xlfn.XLOOKUP(AU743,[2]GAE!HZ:HZ,[2]GAE!IG:IG)</f>
        <v>Leave Encashment</v>
      </c>
      <c r="AZ743" t="s">
        <v>187</v>
      </c>
      <c r="BF743" t="s">
        <v>101</v>
      </c>
      <c r="BG743" t="s">
        <v>187</v>
      </c>
      <c r="BH743" s="10">
        <f>SUMIFS('[1]2026'!$K:$K,'[1]2026'!$T:$T,BD743,'[1]2026'!$S:$S,BH$3,'[1]2026'!$P:$P,AU743)</f>
        <v>0</v>
      </c>
      <c r="BI743" s="10">
        <f>SUMIFS('[1]2026'!$K:$K,'[1]2026'!$T:$T,$BD743,'[1]2026'!$S:$S,BI$3,'[1]2026'!$P:$P,$AU743)</f>
        <v>0</v>
      </c>
      <c r="BJ743" s="10">
        <f>SUMIFS('[1]2026'!$K:$K,'[1]2026'!$T:$T,$BD743,'[1]2026'!$S:$S,BJ$3,'[1]2026'!$P:$P,$AU743)</f>
        <v>0</v>
      </c>
      <c r="BK743" s="10">
        <f>SUMIFS('[1]2026'!$K:$K,'[1]2026'!$T:$T,$BD743,'[1]2026'!$S:$S,BK$3,'[1]2026'!$P:$P,$AU743)</f>
        <v>0</v>
      </c>
      <c r="BL743" s="10">
        <f>SUMIFS('[1]2026'!$K:$K,'[1]2026'!$T:$T,$BD743,'[1]2026'!$S:$S,BL$3,'[1]2026'!$P:$P,$AU743)</f>
        <v>0</v>
      </c>
      <c r="BM743" s="10">
        <f>SUMIFS('[1]2026'!$K:$K,'[1]2026'!$T:$T,$BD743,'[1]2026'!$S:$S,BM$3,'[1]2026'!$P:$P,$AU743)</f>
        <v>0</v>
      </c>
      <c r="BN743" s="10">
        <f>SUMIFS('[1]2026'!$K:$K,'[1]2026'!$T:$T,$BD743,'[1]2026'!$S:$S,BN$3,'[1]2026'!$P:$P,$AU743)</f>
        <v>0</v>
      </c>
      <c r="BO743" s="10">
        <f>SUMIFS('[1]2026'!$K:$K,'[1]2026'!$T:$T,$BD743,'[1]2026'!$S:$S,BO$3,'[1]2026'!$P:$P,$AU743)</f>
        <v>0</v>
      </c>
      <c r="BP743" s="6"/>
      <c r="BQ743" s="6"/>
      <c r="BR743" s="6"/>
      <c r="BS743" s="6"/>
      <c r="BT743" s="6">
        <f t="shared" si="515"/>
        <v>0</v>
      </c>
      <c r="BV743" s="6">
        <f t="shared" si="503"/>
        <v>-833.33333333333337</v>
      </c>
      <c r="BW743" s="6">
        <f t="shared" si="504"/>
        <v>-833.33333333333337</v>
      </c>
      <c r="BX743" s="6">
        <f t="shared" si="505"/>
        <v>-833.33333333333337</v>
      </c>
      <c r="BY743" s="6">
        <f t="shared" si="506"/>
        <v>-833.33333333333337</v>
      </c>
      <c r="BZ743" s="6">
        <f t="shared" si="507"/>
        <v>-833.33333333333337</v>
      </c>
      <c r="CA743" s="6">
        <f t="shared" si="508"/>
        <v>-833.33333333333337</v>
      </c>
      <c r="CB743" s="6">
        <f t="shared" si="509"/>
        <v>-833.33333333333337</v>
      </c>
      <c r="CC743" s="6">
        <f t="shared" si="510"/>
        <v>-833.33333333333337</v>
      </c>
      <c r="CD743" s="6">
        <f t="shared" si="511"/>
        <v>-833.33333333333337</v>
      </c>
      <c r="CE743" s="6">
        <f t="shared" si="512"/>
        <v>-833.33333333333337</v>
      </c>
      <c r="CF743" s="6">
        <f t="shared" si="513"/>
        <v>-833.33333333333337</v>
      </c>
      <c r="CG743" s="6">
        <f t="shared" si="514"/>
        <v>-833.33333333333337</v>
      </c>
      <c r="CH743" s="6">
        <f t="shared" si="496"/>
        <v>-10000</v>
      </c>
    </row>
    <row r="744" spans="1:86" hidden="1" x14ac:dyDescent="0.35">
      <c r="A744" s="3" t="s">
        <v>204</v>
      </c>
      <c r="B744" s="10">
        <v>1091.8</v>
      </c>
      <c r="C744" s="10">
        <v>1091.8</v>
      </c>
      <c r="D744" s="10">
        <v>1091.8</v>
      </c>
      <c r="E744" s="10">
        <v>1091.8</v>
      </c>
      <c r="F744" s="10">
        <v>1091.8</v>
      </c>
      <c r="G744" s="10">
        <v>1091.8</v>
      </c>
      <c r="H744" s="10">
        <v>1091.8</v>
      </c>
      <c r="I744" s="10">
        <v>1091.8</v>
      </c>
      <c r="J744" s="10">
        <v>1091.8</v>
      </c>
      <c r="K744" s="10">
        <v>1091.8</v>
      </c>
      <c r="L744" s="10">
        <v>1091.8</v>
      </c>
      <c r="M744" s="10">
        <v>1091.8</v>
      </c>
      <c r="N744" s="27">
        <f t="shared" si="498"/>
        <v>13101.599999999997</v>
      </c>
      <c r="AA744" s="27">
        <f t="shared" si="499"/>
        <v>0</v>
      </c>
      <c r="AB744" s="10">
        <f t="shared" si="494"/>
        <v>1091.8</v>
      </c>
      <c r="AC744" s="10">
        <f t="shared" si="494"/>
        <v>1091.8</v>
      </c>
      <c r="AD744" s="10">
        <f t="shared" si="494"/>
        <v>1091.8</v>
      </c>
      <c r="AE744" s="10">
        <f t="shared" si="494"/>
        <v>1091.8</v>
      </c>
      <c r="AF744" s="10">
        <f t="shared" si="494"/>
        <v>1091.8</v>
      </c>
      <c r="AG744" s="10">
        <f t="shared" si="494"/>
        <v>1091.8</v>
      </c>
      <c r="AH744" s="10">
        <f t="shared" si="494"/>
        <v>1091.8</v>
      </c>
      <c r="AI744" s="10">
        <f t="shared" si="494"/>
        <v>1091.8</v>
      </c>
      <c r="AJ744" s="10">
        <f t="shared" si="494"/>
        <v>1091.8</v>
      </c>
      <c r="AK744" s="10">
        <f t="shared" si="494"/>
        <v>1091.8</v>
      </c>
      <c r="AL744" s="10">
        <f t="shared" si="494"/>
        <v>1091.8</v>
      </c>
      <c r="AM744" s="10">
        <f t="shared" si="494"/>
        <v>1091.8</v>
      </c>
      <c r="AN744" s="27">
        <f t="shared" si="494"/>
        <v>13101.599999999997</v>
      </c>
      <c r="AS744" t="str">
        <f>_xlfn.XLOOKUP(AU744,[2]GAE!HZ:HZ,[2]GAE!IA:IA)</f>
        <v>OHI-COMMON</v>
      </c>
      <c r="AT744" t="str">
        <f>_xlfn.XLOOKUP(AU744,[2]GAE!HZ:HZ,[2]GAE!IB:IB)</f>
        <v>DOE - Payroll - Project - Overtime</v>
      </c>
      <c r="AU744" t="s">
        <v>1199</v>
      </c>
      <c r="AV744">
        <v>90111101</v>
      </c>
      <c r="AW744">
        <v>52121202</v>
      </c>
      <c r="AX744" t="str">
        <f>_xlfn.XLOOKUP(AU744,[2]GAE!HZ:HZ,[2]GAE!IF:IF)</f>
        <v>Salaries</v>
      </c>
      <c r="AY744" t="str">
        <f>_xlfn.XLOOKUP(AU744,[2]GAE!HZ:HZ,[2]GAE!IG:IG)</f>
        <v>Project Employee</v>
      </c>
      <c r="AZ744" t="s">
        <v>188</v>
      </c>
      <c r="BF744" t="s">
        <v>101</v>
      </c>
      <c r="BG744" t="s">
        <v>204</v>
      </c>
      <c r="BH744" s="10">
        <f>SUMIFS('[1]2026'!$K:$K,'[1]2026'!$T:$T,BD744,'[1]2026'!$S:$S,BH$3,'[1]2026'!$P:$P,AU744)</f>
        <v>0</v>
      </c>
      <c r="BI744" s="10">
        <f>SUMIFS('[1]2026'!$K:$K,'[1]2026'!$T:$T,$BD744,'[1]2026'!$S:$S,BI$3,'[1]2026'!$P:$P,$AU744)</f>
        <v>0</v>
      </c>
      <c r="BJ744" s="10">
        <f>SUMIFS('[1]2026'!$K:$K,'[1]2026'!$T:$T,$BD744,'[1]2026'!$S:$S,BJ$3,'[1]2026'!$P:$P,$AU744)</f>
        <v>0</v>
      </c>
      <c r="BK744" s="10">
        <f>SUMIFS('[1]2026'!$K:$K,'[1]2026'!$T:$T,$BD744,'[1]2026'!$S:$S,BK$3,'[1]2026'!$P:$P,$AU744)</f>
        <v>0</v>
      </c>
      <c r="BL744" s="6"/>
      <c r="BM744" s="10">
        <f>SUMIFS('[1]2026'!$K:$K,'[1]2026'!$T:$T,$BD744,'[1]2026'!$S:$S,BM$3,'[1]2026'!$P:$P,$AU744)</f>
        <v>0</v>
      </c>
      <c r="BN744" s="10">
        <f>SUMIFS('[1]2026'!$K:$K,'[1]2026'!$T:$T,$BD744,'[1]2026'!$S:$S,BN$3,'[1]2026'!$P:$P,$AU744)</f>
        <v>0</v>
      </c>
      <c r="BO744" s="10">
        <f>SUMIFS('[1]2026'!$K:$K,'[1]2026'!$T:$T,$BD744,'[1]2026'!$S:$S,BO$3,'[1]2026'!$P:$P,$AU744)</f>
        <v>0</v>
      </c>
      <c r="BP744" s="6"/>
      <c r="BQ744" s="6"/>
      <c r="BR744" s="6"/>
      <c r="BS744" s="6"/>
      <c r="BT744" s="6">
        <f t="shared" si="515"/>
        <v>0</v>
      </c>
      <c r="BV744" s="6">
        <f t="shared" si="503"/>
        <v>-1091.8</v>
      </c>
      <c r="BW744" s="6">
        <f t="shared" si="504"/>
        <v>-1091.8</v>
      </c>
      <c r="BX744" s="6">
        <f t="shared" si="505"/>
        <v>-1091.8</v>
      </c>
      <c r="BY744" s="6">
        <f t="shared" si="506"/>
        <v>-1091.8</v>
      </c>
      <c r="BZ744" s="6">
        <f t="shared" si="507"/>
        <v>-1091.8</v>
      </c>
      <c r="CA744" s="6">
        <f t="shared" si="508"/>
        <v>-1091.8</v>
      </c>
      <c r="CB744" s="6">
        <f t="shared" si="509"/>
        <v>-1091.8</v>
      </c>
      <c r="CC744" s="6">
        <f t="shared" si="510"/>
        <v>-1091.8</v>
      </c>
      <c r="CD744" s="6">
        <f t="shared" si="511"/>
        <v>-1091.8</v>
      </c>
      <c r="CE744" s="6">
        <f t="shared" si="512"/>
        <v>-1091.8</v>
      </c>
      <c r="CF744" s="6">
        <f t="shared" si="513"/>
        <v>-1091.8</v>
      </c>
      <c r="CG744" s="6">
        <f t="shared" si="514"/>
        <v>-1091.8</v>
      </c>
      <c r="CH744" s="6">
        <f t="shared" si="496"/>
        <v>-13101.599999999997</v>
      </c>
    </row>
    <row r="745" spans="1:86" hidden="1" x14ac:dyDescent="0.35">
      <c r="A745" s="3" t="s">
        <v>1193</v>
      </c>
      <c r="B745" s="10">
        <v>120</v>
      </c>
      <c r="C745" s="10">
        <v>120</v>
      </c>
      <c r="D745" s="10">
        <v>120</v>
      </c>
      <c r="E745" s="10">
        <v>120</v>
      </c>
      <c r="F745" s="10">
        <v>120</v>
      </c>
      <c r="G745" s="10">
        <v>120</v>
      </c>
      <c r="H745" s="10">
        <v>120</v>
      </c>
      <c r="I745" s="10">
        <v>120</v>
      </c>
      <c r="J745" s="10">
        <v>120</v>
      </c>
      <c r="K745" s="10">
        <v>120</v>
      </c>
      <c r="L745" s="10">
        <v>120</v>
      </c>
      <c r="M745" s="10">
        <v>120</v>
      </c>
      <c r="N745" s="27">
        <f t="shared" si="498"/>
        <v>1440</v>
      </c>
      <c r="AA745" s="27">
        <f t="shared" si="499"/>
        <v>0</v>
      </c>
      <c r="AB745" s="10">
        <f t="shared" si="494"/>
        <v>120</v>
      </c>
      <c r="AC745" s="10">
        <f t="shared" si="494"/>
        <v>120</v>
      </c>
      <c r="AD745" s="10">
        <f t="shared" si="494"/>
        <v>120</v>
      </c>
      <c r="AE745" s="10">
        <f t="shared" si="494"/>
        <v>120</v>
      </c>
      <c r="AF745" s="10">
        <f t="shared" si="494"/>
        <v>120</v>
      </c>
      <c r="AG745" s="10">
        <f t="shared" si="494"/>
        <v>120</v>
      </c>
      <c r="AH745" s="10">
        <f t="shared" si="494"/>
        <v>120</v>
      </c>
      <c r="AI745" s="10">
        <f t="shared" si="494"/>
        <v>120</v>
      </c>
      <c r="AJ745" s="10">
        <f t="shared" si="494"/>
        <v>120</v>
      </c>
      <c r="AK745" s="10">
        <f t="shared" si="494"/>
        <v>120</v>
      </c>
      <c r="AL745" s="10">
        <f t="shared" si="494"/>
        <v>120</v>
      </c>
      <c r="AM745" s="10">
        <f t="shared" si="494"/>
        <v>120</v>
      </c>
      <c r="AN745" s="27">
        <f t="shared" si="494"/>
        <v>1440</v>
      </c>
      <c r="AS745" t="str">
        <f>_xlfn.XLOOKUP(AU745,[2]GAE!HZ:HZ,[2]GAE!IA:IA)</f>
        <v>OHI-COMMON</v>
      </c>
      <c r="AT745" t="str">
        <f>_xlfn.XLOOKUP(AU745,[2]GAE!HZ:HZ,[2]GAE!IB:IB)</f>
        <v>DOE - Employee Life Insurance</v>
      </c>
      <c r="AU745" t="s">
        <v>913</v>
      </c>
      <c r="AV745">
        <v>90111101</v>
      </c>
      <c r="AW745">
        <v>52121301</v>
      </c>
      <c r="AX745" t="str">
        <f>_xlfn.XLOOKUP(AU745,[2]GAE!HZ:HZ,[2]GAE!IF:IF)</f>
        <v>Employee Benefits</v>
      </c>
      <c r="AY745" t="str">
        <f>_xlfn.XLOOKUP(AU745,[2]GAE!HZ:HZ,[2]GAE!IG:IG)</f>
        <v>Medical/Insurance</v>
      </c>
      <c r="AZ745" t="s">
        <v>198</v>
      </c>
      <c r="BA745" t="s">
        <v>1132</v>
      </c>
      <c r="BD745" t="s">
        <v>198</v>
      </c>
      <c r="BF745" t="s">
        <v>101</v>
      </c>
      <c r="BG745" s="2" t="s">
        <v>198</v>
      </c>
      <c r="BJ745" s="6"/>
      <c r="BL745" s="6"/>
      <c r="BO745" s="6"/>
      <c r="BP745" s="6"/>
      <c r="BQ745" s="6"/>
      <c r="BR745" s="6"/>
      <c r="BS745" s="6"/>
      <c r="BT745" s="6">
        <f t="shared" si="515"/>
        <v>0</v>
      </c>
      <c r="BV745" s="6">
        <f t="shared" si="503"/>
        <v>-120</v>
      </c>
      <c r="BW745" s="6">
        <f t="shared" si="504"/>
        <v>-120</v>
      </c>
      <c r="BX745" s="6">
        <f t="shared" si="505"/>
        <v>-120</v>
      </c>
      <c r="BY745" s="6">
        <f t="shared" si="506"/>
        <v>-120</v>
      </c>
      <c r="BZ745" s="6">
        <f t="shared" si="507"/>
        <v>-120</v>
      </c>
      <c r="CA745" s="6">
        <f t="shared" si="508"/>
        <v>-120</v>
      </c>
      <c r="CB745" s="6">
        <f t="shared" si="509"/>
        <v>-120</v>
      </c>
      <c r="CC745" s="6">
        <f t="shared" si="510"/>
        <v>-120</v>
      </c>
      <c r="CD745" s="6">
        <f t="shared" si="511"/>
        <v>-120</v>
      </c>
      <c r="CE745" s="6">
        <f t="shared" si="512"/>
        <v>-120</v>
      </c>
      <c r="CF745" s="6">
        <f t="shared" si="513"/>
        <v>-120</v>
      </c>
      <c r="CG745" s="6">
        <f t="shared" si="514"/>
        <v>-120</v>
      </c>
      <c r="CH745" s="6">
        <f t="shared" si="496"/>
        <v>-1440</v>
      </c>
    </row>
    <row r="746" spans="1:86" hidden="1" x14ac:dyDescent="0.35">
      <c r="A746" s="3" t="s">
        <v>1194</v>
      </c>
      <c r="B746" s="10">
        <v>385</v>
      </c>
      <c r="C746" s="10">
        <v>385</v>
      </c>
      <c r="D746" s="10">
        <v>385</v>
      </c>
      <c r="E746" s="10">
        <v>385</v>
      </c>
      <c r="F746" s="10">
        <v>385</v>
      </c>
      <c r="G746" s="10">
        <v>385</v>
      </c>
      <c r="H746" s="10">
        <v>385</v>
      </c>
      <c r="I746" s="10">
        <v>385</v>
      </c>
      <c r="J746" s="10">
        <v>385</v>
      </c>
      <c r="K746" s="10">
        <v>385</v>
      </c>
      <c r="L746" s="10">
        <v>385</v>
      </c>
      <c r="M746" s="10">
        <v>385</v>
      </c>
      <c r="N746" s="27">
        <f t="shared" si="498"/>
        <v>4620</v>
      </c>
      <c r="AA746" s="27">
        <f t="shared" si="499"/>
        <v>0</v>
      </c>
      <c r="AB746" s="10">
        <f t="shared" si="494"/>
        <v>385</v>
      </c>
      <c r="AC746" s="10">
        <f t="shared" si="494"/>
        <v>385</v>
      </c>
      <c r="AD746" s="10">
        <f t="shared" si="494"/>
        <v>385</v>
      </c>
      <c r="AE746" s="10">
        <f t="shared" si="494"/>
        <v>385</v>
      </c>
      <c r="AF746" s="10">
        <f t="shared" si="494"/>
        <v>385</v>
      </c>
      <c r="AG746" s="10">
        <f t="shared" si="494"/>
        <v>385</v>
      </c>
      <c r="AH746" s="10">
        <f t="shared" si="494"/>
        <v>385</v>
      </c>
      <c r="AI746" s="10">
        <f t="shared" si="494"/>
        <v>385</v>
      </c>
      <c r="AJ746" s="10">
        <f t="shared" si="494"/>
        <v>385</v>
      </c>
      <c r="AK746" s="10">
        <f t="shared" si="494"/>
        <v>385</v>
      </c>
      <c r="AL746" s="10">
        <f t="shared" si="494"/>
        <v>385</v>
      </c>
      <c r="AM746" s="10">
        <f t="shared" si="494"/>
        <v>385</v>
      </c>
      <c r="AN746" s="27">
        <f t="shared" si="494"/>
        <v>4620</v>
      </c>
      <c r="AS746" t="str">
        <f>_xlfn.XLOOKUP(AU746,[2]GAE!HZ:HZ,[2]GAE!IA:IA)</f>
        <v>OHI-COMMON</v>
      </c>
      <c r="AT746" t="str">
        <f>_xlfn.XLOOKUP(AU746,[2]GAE!HZ:HZ,[2]GAE!IB:IB)</f>
        <v>DOE - Employee Life Insurance</v>
      </c>
      <c r="AU746" t="s">
        <v>913</v>
      </c>
      <c r="AV746">
        <v>90111101</v>
      </c>
      <c r="AW746">
        <v>52121301</v>
      </c>
      <c r="AX746" t="str">
        <f>_xlfn.XLOOKUP(AU746,[2]GAE!HZ:HZ,[2]GAE!IF:IF)</f>
        <v>Employee Benefits</v>
      </c>
      <c r="AY746" t="str">
        <f>_xlfn.XLOOKUP(AU746,[2]GAE!HZ:HZ,[2]GAE!IG:IG)</f>
        <v>Medical/Insurance</v>
      </c>
      <c r="AZ746" t="s">
        <v>199</v>
      </c>
      <c r="BD746" t="s">
        <v>199</v>
      </c>
      <c r="BF746" t="s">
        <v>101</v>
      </c>
      <c r="BG746" s="2" t="s">
        <v>199</v>
      </c>
      <c r="BJ746" s="6"/>
      <c r="BL746" s="6"/>
      <c r="BO746" s="6"/>
      <c r="BP746" s="6"/>
      <c r="BQ746" s="6"/>
      <c r="BR746" s="6"/>
      <c r="BS746" s="6"/>
      <c r="BT746" s="6">
        <f t="shared" si="515"/>
        <v>0</v>
      </c>
      <c r="BV746" s="6">
        <f t="shared" si="503"/>
        <v>-385</v>
      </c>
      <c r="BW746" s="6">
        <f t="shared" si="504"/>
        <v>-385</v>
      </c>
      <c r="BX746" s="6">
        <f t="shared" si="505"/>
        <v>-385</v>
      </c>
      <c r="BY746" s="6">
        <f t="shared" si="506"/>
        <v>-385</v>
      </c>
      <c r="BZ746" s="6">
        <f t="shared" si="507"/>
        <v>-385</v>
      </c>
      <c r="CA746" s="6">
        <f t="shared" si="508"/>
        <v>-385</v>
      </c>
      <c r="CB746" s="6">
        <f t="shared" si="509"/>
        <v>-385</v>
      </c>
      <c r="CC746" s="6">
        <f t="shared" si="510"/>
        <v>-385</v>
      </c>
      <c r="CD746" s="6">
        <f t="shared" si="511"/>
        <v>-385</v>
      </c>
      <c r="CE746" s="6">
        <f t="shared" si="512"/>
        <v>-385</v>
      </c>
      <c r="CF746" s="6">
        <f t="shared" si="513"/>
        <v>-385</v>
      </c>
      <c r="CG746" s="6">
        <f t="shared" si="514"/>
        <v>-385</v>
      </c>
      <c r="CH746" s="6">
        <f t="shared" si="496"/>
        <v>-4620</v>
      </c>
    </row>
    <row r="747" spans="1:86" hidden="1" x14ac:dyDescent="0.35">
      <c r="A747" s="3" t="s">
        <v>1195</v>
      </c>
      <c r="B747" s="10">
        <v>458.33333333333331</v>
      </c>
      <c r="C747" s="10">
        <v>458.33333333333331</v>
      </c>
      <c r="D747" s="10">
        <v>458.33333333333331</v>
      </c>
      <c r="E747" s="10">
        <v>458.33333333333331</v>
      </c>
      <c r="F747" s="10">
        <v>458.33333333333331</v>
      </c>
      <c r="G747" s="10">
        <v>458.33333333333331</v>
      </c>
      <c r="H747" s="10">
        <v>458.33333333333331</v>
      </c>
      <c r="I747" s="10">
        <v>458.33333333333331</v>
      </c>
      <c r="J747" s="10">
        <v>458.33333333333331</v>
      </c>
      <c r="K747" s="10">
        <v>458.33333333333331</v>
      </c>
      <c r="L747" s="10">
        <v>458.33333333333331</v>
      </c>
      <c r="M747" s="10">
        <v>458.33333333333331</v>
      </c>
      <c r="N747" s="27">
        <f t="shared" si="498"/>
        <v>5499.9999999999991</v>
      </c>
      <c r="AA747" s="27">
        <f t="shared" si="499"/>
        <v>0</v>
      </c>
      <c r="AB747" s="10">
        <f t="shared" si="494"/>
        <v>458.33333333333331</v>
      </c>
      <c r="AC747" s="10">
        <f t="shared" si="494"/>
        <v>458.33333333333331</v>
      </c>
      <c r="AD747" s="10">
        <f t="shared" si="494"/>
        <v>458.33333333333331</v>
      </c>
      <c r="AE747" s="10">
        <f t="shared" si="494"/>
        <v>458.33333333333331</v>
      </c>
      <c r="AF747" s="10">
        <f t="shared" si="494"/>
        <v>458.33333333333331</v>
      </c>
      <c r="AG747" s="10">
        <f t="shared" si="494"/>
        <v>458.33333333333331</v>
      </c>
      <c r="AH747" s="10">
        <f t="shared" si="494"/>
        <v>458.33333333333331</v>
      </c>
      <c r="AI747" s="10">
        <f t="shared" si="494"/>
        <v>458.33333333333331</v>
      </c>
      <c r="AJ747" s="10">
        <f t="shared" si="494"/>
        <v>458.33333333333331</v>
      </c>
      <c r="AK747" s="10">
        <f t="shared" si="494"/>
        <v>458.33333333333331</v>
      </c>
      <c r="AL747" s="10">
        <f t="shared" si="494"/>
        <v>458.33333333333331</v>
      </c>
      <c r="AM747" s="10">
        <f t="shared" si="494"/>
        <v>458.33333333333331</v>
      </c>
      <c r="AN747" s="27">
        <f t="shared" si="494"/>
        <v>5499.9999999999991</v>
      </c>
      <c r="AS747" t="str">
        <f>_xlfn.XLOOKUP(AU747,[2]GAE!HZ:HZ,[2]GAE!IA:IA)</f>
        <v>OHI-COMMON</v>
      </c>
      <c r="AT747" t="str">
        <f>_xlfn.XLOOKUP(AU747,[2]GAE!HZ:HZ,[2]GAE!IB:IB)</f>
        <v>DOE - Health Premium / APE</v>
      </c>
      <c r="AU747" t="s">
        <v>912</v>
      </c>
      <c r="AV747">
        <v>90111101</v>
      </c>
      <c r="AW747">
        <v>52121303</v>
      </c>
      <c r="AX747" t="str">
        <f>_xlfn.XLOOKUP(AU747,[2]GAE!HZ:HZ,[2]GAE!IF:IF)</f>
        <v>Employee Benefits</v>
      </c>
      <c r="AY747" t="str">
        <f>_xlfn.XLOOKUP(AU747,[2]GAE!HZ:HZ,[2]GAE!IG:IG)</f>
        <v>Medical/Insurance</v>
      </c>
      <c r="AZ747" t="s">
        <v>200</v>
      </c>
      <c r="BD747" t="s">
        <v>1151</v>
      </c>
      <c r="BF747" t="s">
        <v>101</v>
      </c>
      <c r="BG747" s="2" t="s">
        <v>201</v>
      </c>
      <c r="BJ747" s="6"/>
      <c r="BL747" s="6"/>
      <c r="BO747" s="6"/>
      <c r="BP747" s="6"/>
      <c r="BQ747" s="6"/>
      <c r="BR747" s="6"/>
      <c r="BS747" s="6"/>
      <c r="BT747" s="6">
        <f t="shared" si="515"/>
        <v>0</v>
      </c>
      <c r="BV747" s="6">
        <f t="shared" si="503"/>
        <v>-458.33333333333331</v>
      </c>
      <c r="BW747" s="6">
        <f t="shared" si="504"/>
        <v>-458.33333333333331</v>
      </c>
      <c r="BX747" s="6">
        <f t="shared" si="505"/>
        <v>-458.33333333333331</v>
      </c>
      <c r="BY747" s="6">
        <f t="shared" si="506"/>
        <v>-458.33333333333331</v>
      </c>
      <c r="BZ747" s="6">
        <f t="shared" si="507"/>
        <v>-458.33333333333331</v>
      </c>
      <c r="CA747" s="6">
        <f t="shared" si="508"/>
        <v>-458.33333333333331</v>
      </c>
      <c r="CB747" s="6">
        <f t="shared" si="509"/>
        <v>-458.33333333333331</v>
      </c>
      <c r="CC747" s="6">
        <f t="shared" si="510"/>
        <v>-458.33333333333331</v>
      </c>
      <c r="CD747" s="6">
        <f t="shared" si="511"/>
        <v>-458.33333333333331</v>
      </c>
      <c r="CE747" s="6">
        <f t="shared" si="512"/>
        <v>-458.33333333333331</v>
      </c>
      <c r="CF747" s="6">
        <f t="shared" si="513"/>
        <v>-458.33333333333331</v>
      </c>
      <c r="CG747" s="6">
        <f t="shared" si="514"/>
        <v>-458.33333333333331</v>
      </c>
      <c r="CH747" s="6">
        <f t="shared" si="496"/>
        <v>-5499.9999999999991</v>
      </c>
    </row>
    <row r="748" spans="1:86" hidden="1" x14ac:dyDescent="0.35">
      <c r="A748" s="3" t="s">
        <v>1196</v>
      </c>
      <c r="B748" s="10">
        <v>8405.6774999999998</v>
      </c>
      <c r="C748" s="10">
        <v>8405.6774999999998</v>
      </c>
      <c r="D748" s="10">
        <v>8405.6774999999998</v>
      </c>
      <c r="E748" s="10">
        <v>8405.6774999999998</v>
      </c>
      <c r="F748" s="10">
        <v>8405.6774999999998</v>
      </c>
      <c r="G748" s="10">
        <v>8405.6774999999998</v>
      </c>
      <c r="H748" s="10">
        <v>8405.6774999999998</v>
      </c>
      <c r="I748" s="10">
        <v>8405.6774999999998</v>
      </c>
      <c r="J748" s="10">
        <v>8405.6774999999998</v>
      </c>
      <c r="K748" s="10">
        <v>8405.6774999999998</v>
      </c>
      <c r="L748" s="10">
        <v>8405.6774999999998</v>
      </c>
      <c r="M748" s="10">
        <v>8405.6774999999998</v>
      </c>
      <c r="N748" s="27">
        <f t="shared" si="498"/>
        <v>100868.13000000002</v>
      </c>
      <c r="AA748" s="27">
        <f t="shared" si="499"/>
        <v>0</v>
      </c>
      <c r="AB748" s="10">
        <f t="shared" si="494"/>
        <v>8405.6774999999998</v>
      </c>
      <c r="AC748" s="10">
        <f t="shared" ref="AB748:AN781" si="516">C748-P748</f>
        <v>8405.6774999999998</v>
      </c>
      <c r="AD748" s="10">
        <f t="shared" si="516"/>
        <v>8405.6774999999998</v>
      </c>
      <c r="AE748" s="10">
        <f t="shared" si="516"/>
        <v>8405.6774999999998</v>
      </c>
      <c r="AF748" s="10">
        <f t="shared" si="516"/>
        <v>8405.6774999999998</v>
      </c>
      <c r="AG748" s="10">
        <f t="shared" si="516"/>
        <v>8405.6774999999998</v>
      </c>
      <c r="AH748" s="10">
        <f t="shared" si="516"/>
        <v>8405.6774999999998</v>
      </c>
      <c r="AI748" s="10">
        <f t="shared" si="516"/>
        <v>8405.6774999999998</v>
      </c>
      <c r="AJ748" s="10">
        <f t="shared" si="516"/>
        <v>8405.6774999999998</v>
      </c>
      <c r="AK748" s="10">
        <f t="shared" si="516"/>
        <v>8405.6774999999998</v>
      </c>
      <c r="AL748" s="10">
        <f t="shared" si="516"/>
        <v>8405.6774999999998</v>
      </c>
      <c r="AM748" s="10">
        <f t="shared" si="516"/>
        <v>8405.6774999999998</v>
      </c>
      <c r="AN748" s="27">
        <f t="shared" si="516"/>
        <v>100868.13000000002</v>
      </c>
      <c r="AS748" t="str">
        <f>_xlfn.XLOOKUP(AU748,[2]GAE!HZ:HZ,[2]GAE!IA:IA)</f>
        <v>OHI-COMMON</v>
      </c>
      <c r="AT748" t="str">
        <f>_xlfn.XLOOKUP(AU748,[2]GAE!HZ:HZ,[2]GAE!IB:IB)</f>
        <v>DOE - Health Premium / APE</v>
      </c>
      <c r="AU748" t="s">
        <v>912</v>
      </c>
      <c r="AV748">
        <v>90111101</v>
      </c>
      <c r="AW748">
        <v>52121303</v>
      </c>
      <c r="AX748" t="str">
        <f>_xlfn.XLOOKUP(AU748,[2]GAE!HZ:HZ,[2]GAE!IF:IF)</f>
        <v>Employee Benefits</v>
      </c>
      <c r="AY748" t="str">
        <f>_xlfn.XLOOKUP(AU748,[2]GAE!HZ:HZ,[2]GAE!IG:IG)</f>
        <v>Medical/Insurance</v>
      </c>
      <c r="AZ748" t="s">
        <v>201</v>
      </c>
      <c r="BD748" t="s">
        <v>1151</v>
      </c>
      <c r="BF748" t="s">
        <v>101</v>
      </c>
      <c r="BG748" s="2" t="s">
        <v>201</v>
      </c>
      <c r="BJ748" s="6"/>
      <c r="BL748" s="6"/>
      <c r="BO748" s="6"/>
      <c r="BP748" s="6"/>
      <c r="BQ748" s="6"/>
      <c r="BR748" s="6"/>
      <c r="BS748" s="6"/>
      <c r="BT748" s="6">
        <f t="shared" si="515"/>
        <v>0</v>
      </c>
      <c r="BV748" s="6">
        <f t="shared" si="503"/>
        <v>-8405.6774999999998</v>
      </c>
      <c r="BW748" s="6">
        <f t="shared" si="504"/>
        <v>-8405.6774999999998</v>
      </c>
      <c r="BX748" s="6">
        <f t="shared" si="505"/>
        <v>-8405.6774999999998</v>
      </c>
      <c r="BY748" s="6">
        <f t="shared" si="506"/>
        <v>-8405.6774999999998</v>
      </c>
      <c r="BZ748" s="6">
        <f t="shared" si="507"/>
        <v>-8405.6774999999998</v>
      </c>
      <c r="CA748" s="6">
        <f t="shared" si="508"/>
        <v>-8405.6774999999998</v>
      </c>
      <c r="CB748" s="6">
        <f t="shared" si="509"/>
        <v>-8405.6774999999998</v>
      </c>
      <c r="CC748" s="6">
        <f t="shared" si="510"/>
        <v>-8405.6774999999998</v>
      </c>
      <c r="CD748" s="6">
        <f t="shared" si="511"/>
        <v>-8405.6774999999998</v>
      </c>
      <c r="CE748" s="6">
        <f t="shared" si="512"/>
        <v>-8405.6774999999998</v>
      </c>
      <c r="CF748" s="6">
        <f t="shared" si="513"/>
        <v>-8405.6774999999998</v>
      </c>
      <c r="CG748" s="6">
        <f t="shared" si="514"/>
        <v>-8405.6774999999998</v>
      </c>
      <c r="CH748" s="6">
        <f t="shared" si="496"/>
        <v>-100868.13000000002</v>
      </c>
    </row>
    <row r="749" spans="1:86" hidden="1" x14ac:dyDescent="0.35">
      <c r="A749" s="3" t="s">
        <v>1200</v>
      </c>
      <c r="B749" s="10">
        <v>840333.33333333337</v>
      </c>
      <c r="C749" s="10">
        <v>840333.33333333337</v>
      </c>
      <c r="D749" s="10">
        <v>840333.33333333337</v>
      </c>
      <c r="E749" s="10">
        <v>840333.33333333337</v>
      </c>
      <c r="F749" s="10">
        <v>840333.33333333337</v>
      </c>
      <c r="G749" s="10">
        <v>840333.33333333337</v>
      </c>
      <c r="H749" s="10">
        <v>840333.33333333337</v>
      </c>
      <c r="I749" s="10">
        <v>840333.33333333337</v>
      </c>
      <c r="J749" s="10">
        <v>840333.33333333337</v>
      </c>
      <c r="K749" s="10">
        <v>840333.33333333337</v>
      </c>
      <c r="L749" s="10">
        <v>840333.33333333337</v>
      </c>
      <c r="M749" s="10">
        <v>840333.33333333337</v>
      </c>
      <c r="N749" s="27">
        <f t="shared" si="498"/>
        <v>10084000</v>
      </c>
      <c r="AA749" s="27">
        <f t="shared" si="499"/>
        <v>0</v>
      </c>
      <c r="AB749" s="10">
        <f t="shared" si="516"/>
        <v>840333.33333333337</v>
      </c>
      <c r="AC749" s="10">
        <f t="shared" si="516"/>
        <v>840333.33333333337</v>
      </c>
      <c r="AD749" s="10">
        <f t="shared" si="516"/>
        <v>840333.33333333337</v>
      </c>
      <c r="AE749" s="10">
        <f t="shared" si="516"/>
        <v>840333.33333333337</v>
      </c>
      <c r="AF749" s="10">
        <f t="shared" si="516"/>
        <v>840333.33333333337</v>
      </c>
      <c r="AG749" s="10">
        <f t="shared" si="516"/>
        <v>840333.33333333337</v>
      </c>
      <c r="AH749" s="10">
        <f t="shared" si="516"/>
        <v>840333.33333333337</v>
      </c>
      <c r="AI749" s="10">
        <f t="shared" si="516"/>
        <v>840333.33333333337</v>
      </c>
      <c r="AJ749" s="10">
        <f t="shared" si="516"/>
        <v>840333.33333333337</v>
      </c>
      <c r="AK749" s="10">
        <f t="shared" si="516"/>
        <v>840333.33333333337</v>
      </c>
      <c r="AL749" s="10">
        <f t="shared" si="516"/>
        <v>840333.33333333337</v>
      </c>
      <c r="AM749" s="10">
        <f t="shared" si="516"/>
        <v>840333.33333333337</v>
      </c>
      <c r="AN749" s="27">
        <f t="shared" si="516"/>
        <v>10084000</v>
      </c>
      <c r="AS749" t="str">
        <f>_xlfn.XLOOKUP(AU749,[2]GAE!HZ:HZ,[2]GAE!IA:IA)</f>
        <v>CCC-COMMON</v>
      </c>
      <c r="AT749" t="str">
        <f>_xlfn.XLOOKUP(AU749,[2]GAE!HZ:HZ,[2]GAE!IB:IB)</f>
        <v>DOE - Contracted Services - Staff</v>
      </c>
      <c r="AU749" t="s">
        <v>1201</v>
      </c>
      <c r="AV749">
        <v>81111101</v>
      </c>
      <c r="AW749">
        <v>52041495</v>
      </c>
      <c r="AX749" t="str">
        <f>_xlfn.XLOOKUP(AU749,[2]GAE!HZ:HZ,[2]GAE!IF:IF)</f>
        <v>Salaries</v>
      </c>
      <c r="AY749" t="str">
        <f>_xlfn.XLOOKUP(AU749,[2]GAE!HZ:HZ,[2]GAE!IG:IG)</f>
        <v>Office Staff (BTs)</v>
      </c>
      <c r="AZ749" t="s">
        <v>1133</v>
      </c>
      <c r="BA749" t="s">
        <v>1202</v>
      </c>
      <c r="BC749" t="s">
        <v>205</v>
      </c>
      <c r="BD749" t="s">
        <v>1203</v>
      </c>
      <c r="BF749" t="s">
        <v>184</v>
      </c>
      <c r="BG749" s="2" t="s">
        <v>205</v>
      </c>
      <c r="BH749" s="10">
        <f>SUMIFS('[1]2026'!$K:$K,'[1]2026'!$T:$T,BD749,'[1]2026'!$S:$S,BH$3,'[1]2026'!$P:$P,AU749)</f>
        <v>540593.93999999994</v>
      </c>
      <c r="BI749" s="10">
        <f>SUMIFS('[1]2026'!$K:$K,'[1]2026'!$T:$T,$BD749,'[1]2026'!$S:$S,BI$3,'[1]2026'!$P:$P,$AU749)</f>
        <v>509422.96</v>
      </c>
      <c r="BJ749" s="10">
        <f>SUMIFS('[1]2026'!$K:$K,'[1]2026'!$T:$T,$BD749,'[1]2026'!$S:$S,BJ$3,'[1]2026'!$P:$P,$AU749)</f>
        <v>107926.67000000006</v>
      </c>
      <c r="BK749" s="10">
        <f>SUMIFS('[1]2026'!$K:$K,'[1]2026'!$T:$T,$BD749,'[1]2026'!$S:$S,BK$3,'[1]2026'!$P:$P,$AU749)</f>
        <v>575387.94000000006</v>
      </c>
      <c r="BL749" s="10">
        <f>SUMIFS('[1]2026'!$K:$K,'[1]2026'!$T:$T,$BD749,'[1]2026'!$S:$S,BL$3,'[1]2026'!$P:$P,$AU749)</f>
        <v>652257.68999999994</v>
      </c>
      <c r="BM749" s="10">
        <f>SUMIFS('[1]2026'!$K:$K,'[1]2026'!$T:$T,$BD749,'[1]2026'!$S:$S,BM$3,'[1]2026'!$P:$P,$AU749)</f>
        <v>780427.74</v>
      </c>
      <c r="BN749" s="10">
        <f>SUMIFS('[1]2026'!$K:$K,'[1]2026'!$T:$T,$BD749,'[1]2026'!$S:$S,BN$3,'[1]2026'!$P:$P,$AU749)</f>
        <v>-302921.68</v>
      </c>
      <c r="BO749" s="10">
        <f>SUMIFS('[1]2026'!$K:$K,'[1]2026'!$T:$T,$BD749,'[1]2026'!$S:$S,BO$3,'[1]2026'!$P:$P,$AU749)</f>
        <v>581320.79</v>
      </c>
      <c r="BP749" s="6">
        <v>600000</v>
      </c>
      <c r="BQ749" s="6">
        <v>600000</v>
      </c>
      <c r="BR749" s="6">
        <v>600000</v>
      </c>
      <c r="BS749" s="6">
        <v>600000</v>
      </c>
      <c r="BT749" s="6">
        <f t="shared" si="515"/>
        <v>5844416.0500000007</v>
      </c>
      <c r="BV749" s="6">
        <f t="shared" si="503"/>
        <v>-299739.39333333343</v>
      </c>
      <c r="BW749" s="6">
        <f t="shared" si="504"/>
        <v>-330910.37333333335</v>
      </c>
      <c r="BX749" s="6">
        <f t="shared" si="505"/>
        <v>-732406.66333333333</v>
      </c>
      <c r="BY749" s="6">
        <f t="shared" si="506"/>
        <v>-264945.39333333331</v>
      </c>
      <c r="BZ749" s="6">
        <f t="shared" si="507"/>
        <v>-188075.64333333343</v>
      </c>
      <c r="CA749" s="6">
        <f t="shared" si="508"/>
        <v>-59905.593333333381</v>
      </c>
      <c r="CB749" s="6">
        <f t="shared" si="509"/>
        <v>-1143255.0133333334</v>
      </c>
      <c r="CC749" s="6">
        <f t="shared" si="510"/>
        <v>-259012.54333333333</v>
      </c>
      <c r="CD749" s="6">
        <f t="shared" si="511"/>
        <v>-240333.33333333337</v>
      </c>
      <c r="CE749" s="6">
        <f t="shared" si="512"/>
        <v>-240333.33333333337</v>
      </c>
      <c r="CF749" s="6">
        <f t="shared" si="513"/>
        <v>-240333.33333333337</v>
      </c>
      <c r="CG749" s="6">
        <f t="shared" si="514"/>
        <v>-240333.33333333337</v>
      </c>
      <c r="CH749" s="6">
        <f t="shared" si="496"/>
        <v>-4239583.9499999993</v>
      </c>
    </row>
    <row r="750" spans="1:86" hidden="1" x14ac:dyDescent="0.35">
      <c r="A750" s="3" t="s">
        <v>1204</v>
      </c>
      <c r="B750" s="10">
        <v>54000</v>
      </c>
      <c r="C750" s="10">
        <v>54000</v>
      </c>
      <c r="D750" s="10">
        <v>54000</v>
      </c>
      <c r="E750" s="10">
        <v>54000</v>
      </c>
      <c r="F750" s="10">
        <v>54000</v>
      </c>
      <c r="G750" s="10">
        <v>54000</v>
      </c>
      <c r="H750" s="10">
        <v>54000</v>
      </c>
      <c r="I750" s="10">
        <v>54000</v>
      </c>
      <c r="J750" s="10">
        <v>54000</v>
      </c>
      <c r="K750" s="10">
        <v>54000</v>
      </c>
      <c r="L750" s="10">
        <v>54000</v>
      </c>
      <c r="M750" s="10">
        <v>54000</v>
      </c>
      <c r="N750" s="27">
        <f t="shared" si="498"/>
        <v>648000</v>
      </c>
      <c r="AA750" s="27">
        <f t="shared" si="499"/>
        <v>0</v>
      </c>
      <c r="AB750" s="10">
        <f t="shared" si="516"/>
        <v>54000</v>
      </c>
      <c r="AC750" s="10">
        <f t="shared" si="516"/>
        <v>54000</v>
      </c>
      <c r="AD750" s="10">
        <f t="shared" si="516"/>
        <v>54000</v>
      </c>
      <c r="AE750" s="10">
        <f t="shared" si="516"/>
        <v>54000</v>
      </c>
      <c r="AF750" s="10">
        <f t="shared" si="516"/>
        <v>54000</v>
      </c>
      <c r="AG750" s="10">
        <f t="shared" si="516"/>
        <v>54000</v>
      </c>
      <c r="AH750" s="10">
        <f t="shared" si="516"/>
        <v>54000</v>
      </c>
      <c r="AI750" s="10">
        <f t="shared" si="516"/>
        <v>54000</v>
      </c>
      <c r="AJ750" s="10">
        <f t="shared" si="516"/>
        <v>54000</v>
      </c>
      <c r="AK750" s="10">
        <f t="shared" si="516"/>
        <v>54000</v>
      </c>
      <c r="AL750" s="10">
        <f t="shared" si="516"/>
        <v>54000</v>
      </c>
      <c r="AM750" s="10">
        <f t="shared" si="516"/>
        <v>54000</v>
      </c>
      <c r="AN750" s="27">
        <f t="shared" si="516"/>
        <v>648000</v>
      </c>
      <c r="AS750" t="str">
        <f>_xlfn.XLOOKUP(AU750,[2]GAE!HZ:HZ,[2]GAE!IA:IA)</f>
        <v>CCC-COMMON</v>
      </c>
      <c r="AT750" t="str">
        <f>_xlfn.XLOOKUP(AU750,[2]GAE!HZ:HZ,[2]GAE!IB:IB)</f>
        <v>DOE - Contracted Services - Staff</v>
      </c>
      <c r="AU750" t="s">
        <v>1201</v>
      </c>
      <c r="AV750">
        <v>81111101</v>
      </c>
      <c r="AW750">
        <v>52041495</v>
      </c>
      <c r="AX750" t="str">
        <f>_xlfn.XLOOKUP(AU750,[2]GAE!HZ:HZ,[2]GAE!IF:IF)</f>
        <v>Salaries</v>
      </c>
      <c r="AY750" t="str">
        <f>_xlfn.XLOOKUP(AU750,[2]GAE!HZ:HZ,[2]GAE!IG:IG)</f>
        <v>Office Staff (BTs)</v>
      </c>
      <c r="AZ750" t="s">
        <v>201</v>
      </c>
      <c r="BA750" t="s">
        <v>1202</v>
      </c>
      <c r="BF750" t="s">
        <v>184</v>
      </c>
      <c r="BG750" s="2" t="s">
        <v>205</v>
      </c>
      <c r="BH750" s="10">
        <f>SUMIFS('[1]2026'!$K:$K,'[1]2026'!$T:$T,BD750,'[1]2026'!$S:$S,BH$3,'[1]2026'!$P:$P,AU750)</f>
        <v>0</v>
      </c>
      <c r="BI750" s="10">
        <f>SUMIFS('[1]2026'!$K:$K,'[1]2026'!$T:$T,$BD750,'[1]2026'!$S:$S,BI$3,'[1]2026'!$P:$P,$AU750)</f>
        <v>0</v>
      </c>
      <c r="BJ750" s="6"/>
      <c r="BK750" s="10">
        <f>SUMIFS('[1]2026'!$K:$K,'[1]2026'!$T:$T,$BD750,'[1]2026'!$S:$S,BK$3,'[1]2026'!$P:$P,$AU750)</f>
        <v>0</v>
      </c>
      <c r="BL750" s="6"/>
      <c r="BM750" s="10">
        <f>SUMIFS('[1]2026'!$K:$K,'[1]2026'!$T:$T,$BD750,'[1]2026'!$S:$S,BM$3,'[1]2026'!$P:$P,$AU750)</f>
        <v>0</v>
      </c>
      <c r="BN750" s="10">
        <f>SUMIFS('[1]2026'!$K:$K,'[1]2026'!$T:$T,$BD750,'[1]2026'!$S:$S,BN$3,'[1]2026'!$P:$P,$AU750)</f>
        <v>0</v>
      </c>
      <c r="BO750" s="10">
        <f>SUMIFS('[1]2026'!$K:$K,'[1]2026'!$T:$T,$BD750,'[1]2026'!$S:$S,BO$3,'[1]2026'!$P:$P,$AU750)</f>
        <v>0</v>
      </c>
      <c r="BP750" s="6"/>
      <c r="BQ750" s="6"/>
      <c r="BR750" s="6"/>
      <c r="BS750" s="6"/>
      <c r="BT750" s="6">
        <f t="shared" si="515"/>
        <v>0</v>
      </c>
      <c r="BV750" s="6">
        <f t="shared" si="503"/>
        <v>-54000</v>
      </c>
      <c r="BW750" s="6">
        <f t="shared" si="504"/>
        <v>-54000</v>
      </c>
      <c r="BX750" s="6">
        <f t="shared" si="505"/>
        <v>-54000</v>
      </c>
      <c r="BY750" s="6">
        <f t="shared" si="506"/>
        <v>-54000</v>
      </c>
      <c r="BZ750" s="6">
        <f t="shared" si="507"/>
        <v>-54000</v>
      </c>
      <c r="CA750" s="6">
        <f t="shared" si="508"/>
        <v>-54000</v>
      </c>
      <c r="CB750" s="6">
        <f t="shared" si="509"/>
        <v>-54000</v>
      </c>
      <c r="CC750" s="6">
        <f t="shared" si="510"/>
        <v>-54000</v>
      </c>
      <c r="CD750" s="6">
        <f t="shared" si="511"/>
        <v>-54000</v>
      </c>
      <c r="CE750" s="6">
        <f t="shared" si="512"/>
        <v>-54000</v>
      </c>
      <c r="CF750" s="6">
        <f t="shared" si="513"/>
        <v>-54000</v>
      </c>
      <c r="CG750" s="6">
        <f t="shared" si="514"/>
        <v>-54000</v>
      </c>
      <c r="CH750" s="6">
        <f t="shared" si="496"/>
        <v>-648000</v>
      </c>
    </row>
    <row r="751" spans="1:86" hidden="1" x14ac:dyDescent="0.35">
      <c r="AN751" s="27">
        <f>N751-AA751</f>
        <v>0</v>
      </c>
      <c r="AS751" t="str">
        <f>_xlfn.XLOOKUP(AU751,[2]GAE!HZ:HZ,[2]GAE!IA:IA)</f>
        <v>CCC-COMMON</v>
      </c>
      <c r="AT751" t="str">
        <f>_xlfn.XLOOKUP(AU751,[2]GAE!HZ:HZ,[2]GAE!IB:IB)</f>
        <v>DOE - Contracted Services - Staff</v>
      </c>
      <c r="AU751" t="s">
        <v>1201</v>
      </c>
      <c r="AV751">
        <v>81111101</v>
      </c>
      <c r="AW751">
        <v>52041495</v>
      </c>
      <c r="AX751" t="str">
        <f>_xlfn.XLOOKUP(AU751,[2]GAE!HZ:HZ,[2]GAE!IF:IF)</f>
        <v>Salaries</v>
      </c>
      <c r="AY751" t="str">
        <f>_xlfn.XLOOKUP(AU751,[2]GAE!HZ:HZ,[2]GAE!IG:IG)</f>
        <v>Office Staff (BTs)</v>
      </c>
      <c r="BC751" t="s">
        <v>205</v>
      </c>
      <c r="BD751" t="s">
        <v>1205</v>
      </c>
      <c r="BF751" t="s">
        <v>184</v>
      </c>
      <c r="BG751" s="2" t="s">
        <v>205</v>
      </c>
      <c r="BI751" s="10">
        <f>SUMIFS('[1]2026'!$K:$K,'[1]2026'!$T:$T,$BD751,'[1]2026'!$S:$S,BI$3,'[1]2026'!$P:$P,$AU751)</f>
        <v>358611.4</v>
      </c>
      <c r="BJ751" s="6"/>
      <c r="BK751" s="10">
        <f>SUMIFS('[1]2026'!$K:$K,'[1]2026'!$T:$T,$BD751,'[1]2026'!$S:$S,BK$3,'[1]2026'!$P:$P,$AU751)</f>
        <v>0</v>
      </c>
      <c r="BL751" s="6"/>
      <c r="BM751" s="10">
        <f>SUMIFS('[1]2026'!$K:$K,'[1]2026'!$T:$T,$BD751,'[1]2026'!$S:$S,BM$3,'[1]2026'!$P:$P,$AU751)</f>
        <v>0</v>
      </c>
      <c r="BN751" s="10">
        <f>SUMIFS('[1]2026'!$K:$K,'[1]2026'!$T:$T,$BD751,'[1]2026'!$S:$S,BN$3,'[1]2026'!$P:$P,$AU751)</f>
        <v>0</v>
      </c>
      <c r="BO751" s="10">
        <f>SUMIFS('[1]2026'!$K:$K,'[1]2026'!$T:$T,$BD751,'[1]2026'!$S:$S,BO$3,'[1]2026'!$P:$P,$AU751)</f>
        <v>0</v>
      </c>
      <c r="BP751" s="6"/>
      <c r="BQ751" s="6"/>
      <c r="BR751" s="6"/>
      <c r="BS751" s="6"/>
      <c r="BT751" s="6">
        <f t="shared" si="515"/>
        <v>358611.4</v>
      </c>
      <c r="BV751" s="6">
        <f t="shared" si="503"/>
        <v>0</v>
      </c>
      <c r="BW751" s="6">
        <f t="shared" si="504"/>
        <v>358611.4</v>
      </c>
      <c r="BX751" s="6">
        <f t="shared" si="505"/>
        <v>0</v>
      </c>
      <c r="BY751" s="6">
        <f t="shared" si="506"/>
        <v>0</v>
      </c>
      <c r="BZ751" s="6">
        <f t="shared" si="507"/>
        <v>0</v>
      </c>
      <c r="CA751" s="6">
        <f t="shared" si="508"/>
        <v>0</v>
      </c>
      <c r="CB751" s="6">
        <f t="shared" si="509"/>
        <v>0</v>
      </c>
      <c r="CC751" s="6">
        <f t="shared" si="510"/>
        <v>0</v>
      </c>
      <c r="CD751" s="6">
        <f t="shared" si="511"/>
        <v>0</v>
      </c>
      <c r="CE751" s="6">
        <f t="shared" si="512"/>
        <v>0</v>
      </c>
      <c r="CF751" s="6">
        <f t="shared" si="513"/>
        <v>0</v>
      </c>
      <c r="CG751" s="6">
        <f t="shared" si="514"/>
        <v>0</v>
      </c>
      <c r="CH751" s="6">
        <f t="shared" si="496"/>
        <v>358611.4</v>
      </c>
    </row>
    <row r="752" spans="1:86" hidden="1" x14ac:dyDescent="0.35">
      <c r="A752" s="3" t="s">
        <v>1206</v>
      </c>
      <c r="E752" s="10">
        <v>68065200</v>
      </c>
      <c r="N752" s="27">
        <f t="shared" si="498"/>
        <v>68065200</v>
      </c>
      <c r="R752" s="10">
        <v>3679200</v>
      </c>
      <c r="AA752" s="27">
        <f t="shared" si="499"/>
        <v>3679200</v>
      </c>
      <c r="AB752" s="10">
        <f t="shared" ref="AB752:AM752" si="517">B752-O752</f>
        <v>0</v>
      </c>
      <c r="AC752" s="10">
        <f t="shared" si="517"/>
        <v>0</v>
      </c>
      <c r="AD752" s="10">
        <f t="shared" si="517"/>
        <v>0</v>
      </c>
      <c r="AE752" s="10">
        <f t="shared" si="517"/>
        <v>64386000</v>
      </c>
      <c r="AF752" s="10">
        <f t="shared" si="517"/>
        <v>0</v>
      </c>
      <c r="AG752" s="10">
        <f t="shared" si="517"/>
        <v>0</v>
      </c>
      <c r="AH752" s="10">
        <f t="shared" si="517"/>
        <v>0</v>
      </c>
      <c r="AI752" s="10">
        <f t="shared" si="517"/>
        <v>0</v>
      </c>
      <c r="AJ752" s="10">
        <f t="shared" si="517"/>
        <v>0</v>
      </c>
      <c r="AK752" s="10">
        <f t="shared" si="517"/>
        <v>0</v>
      </c>
      <c r="AL752" s="10">
        <f t="shared" si="517"/>
        <v>0</v>
      </c>
      <c r="AM752" s="10">
        <f t="shared" si="517"/>
        <v>0</v>
      </c>
      <c r="AN752" s="27">
        <f t="shared" si="516"/>
        <v>64386000</v>
      </c>
      <c r="AR752" s="34">
        <v>0.73268797095869309</v>
      </c>
      <c r="AS752" t="str">
        <f>_xlfn.XLOOKUP(AU752,[2]GAE!HZ:HZ,[2]GAE!IA:IA)</f>
        <v>OCLP-COMMON</v>
      </c>
      <c r="AT752" t="str">
        <f>_xlfn.XLOOKUP(AU752,[2]GAE!HZ:HZ,[2]GAE!IB:IB)</f>
        <v>GAE - Employee Benefits - Bonus</v>
      </c>
      <c r="AU752" t="s">
        <v>1207</v>
      </c>
      <c r="AV752">
        <v>80111101</v>
      </c>
      <c r="AW752">
        <v>61021317</v>
      </c>
      <c r="AX752" t="str">
        <f>_xlfn.XLOOKUP(AU752,[2]GAE!HZ:HZ,[2]GAE!IF:IF)</f>
        <v>PB</v>
      </c>
      <c r="BA752" t="s">
        <v>1208</v>
      </c>
      <c r="BF752" t="s">
        <v>1206</v>
      </c>
      <c r="BG752" t="s">
        <v>1206</v>
      </c>
      <c r="BH752" s="10">
        <f>SUMIFS('[1]2026'!$K:$K,'[1]2026'!$T:$T,BD752,'[1]2026'!$S:$S,BH$3,'[1]2026'!$P:$P,AU752)</f>
        <v>0</v>
      </c>
      <c r="BI752" s="10">
        <f>SUMIFS('[1]2026'!$K:$K,'[1]2026'!$T:$T,$BD752,'[1]2026'!$S:$S,BI$3,'[1]2026'!$P:$P,$AU752)</f>
        <v>0</v>
      </c>
      <c r="BJ752" s="10">
        <f>SUMIFS('[1]2026'!$K:$K,'[1]2026'!$T:$T,$BD752,'[1]2026'!$S:$S,BJ$3,'[1]2026'!$P:$P,$AU752)</f>
        <v>0</v>
      </c>
      <c r="BK752" s="10">
        <f>SUMIFS('[1]2026'!$K:$K,'[1]2026'!$T:$T,$BD752,'[1]2026'!$S:$S,BK$3,'[1]2026'!$P:$P,$AU752)</f>
        <v>0</v>
      </c>
      <c r="BL752" s="6"/>
      <c r="BM752" s="10">
        <f>SUMIFS('[1]2026'!$K:$K,'[1]2026'!$T:$T,$BD752,'[1]2026'!$S:$S,BM$3,'[1]2026'!$P:$P,$AU752)</f>
        <v>0</v>
      </c>
      <c r="BN752" s="10">
        <f>SUMIFS('[1]2026'!$K:$K,'[1]2026'!$T:$T,$BD752,'[1]2026'!$S:$S,BN$3,'[1]2026'!$P:$P,$AU752)</f>
        <v>0</v>
      </c>
      <c r="BO752" s="10">
        <f>SUMIFS('[1]2026'!$K:$K,'[1]2026'!$T:$T,$BD752,'[1]2026'!$S:$S,BO$3,'[1]2026'!$P:$P,$AU752)</f>
        <v>0</v>
      </c>
      <c r="BP752" s="6"/>
      <c r="BQ752" s="6"/>
      <c r="BR752" s="6"/>
      <c r="BS752" s="6"/>
      <c r="BT752" s="6">
        <f t="shared" si="515"/>
        <v>0</v>
      </c>
      <c r="BV752" s="6">
        <f t="shared" si="503"/>
        <v>0</v>
      </c>
      <c r="BW752" s="6">
        <f t="shared" si="504"/>
        <v>0</v>
      </c>
      <c r="BX752" s="6">
        <f t="shared" si="505"/>
        <v>0</v>
      </c>
      <c r="BY752" s="6">
        <f t="shared" si="506"/>
        <v>-64386000</v>
      </c>
      <c r="BZ752" s="6">
        <f t="shared" si="507"/>
        <v>0</v>
      </c>
      <c r="CA752" s="6">
        <f t="shared" si="508"/>
        <v>0</v>
      </c>
      <c r="CB752" s="6">
        <f t="shared" si="509"/>
        <v>0</v>
      </c>
      <c r="CC752" s="6">
        <f t="shared" si="510"/>
        <v>0</v>
      </c>
      <c r="CD752" s="6">
        <f t="shared" si="511"/>
        <v>0</v>
      </c>
      <c r="CE752" s="6">
        <f t="shared" si="512"/>
        <v>0</v>
      </c>
      <c r="CF752" s="6">
        <f t="shared" si="513"/>
        <v>0</v>
      </c>
      <c r="CG752" s="6">
        <f t="shared" si="514"/>
        <v>0</v>
      </c>
      <c r="CH752" s="6">
        <f t="shared" si="496"/>
        <v>-64386000</v>
      </c>
    </row>
    <row r="753" spans="1:86" hidden="1" x14ac:dyDescent="0.35">
      <c r="A753" s="3" t="s">
        <v>1206</v>
      </c>
      <c r="E753" s="10">
        <v>15850800.000000002</v>
      </c>
      <c r="N753" s="27">
        <f t="shared" si="498"/>
        <v>15850800.000000002</v>
      </c>
      <c r="R753" s="10">
        <v>856800.00000000012</v>
      </c>
      <c r="AA753" s="27">
        <f t="shared" si="499"/>
        <v>856800.00000000012</v>
      </c>
      <c r="AB753" s="10">
        <f t="shared" si="516"/>
        <v>0</v>
      </c>
      <c r="AC753" s="10">
        <f t="shared" si="516"/>
        <v>0</v>
      </c>
      <c r="AD753" s="10">
        <f t="shared" si="516"/>
        <v>0</v>
      </c>
      <c r="AE753" s="10">
        <f t="shared" si="516"/>
        <v>14994000.000000002</v>
      </c>
      <c r="AF753" s="10">
        <f t="shared" si="516"/>
        <v>0</v>
      </c>
      <c r="AG753" s="10">
        <f t="shared" si="516"/>
        <v>0</v>
      </c>
      <c r="AH753" s="10">
        <f t="shared" si="516"/>
        <v>0</v>
      </c>
      <c r="AI753" s="10">
        <f t="shared" si="516"/>
        <v>0</v>
      </c>
      <c r="AJ753" s="10">
        <f t="shared" si="516"/>
        <v>0</v>
      </c>
      <c r="AK753" s="10">
        <f t="shared" si="516"/>
        <v>0</v>
      </c>
      <c r="AL753" s="10">
        <f t="shared" si="516"/>
        <v>0</v>
      </c>
      <c r="AM753" s="10">
        <f t="shared" si="516"/>
        <v>0</v>
      </c>
      <c r="AN753" s="27">
        <f t="shared" si="516"/>
        <v>14994000.000000002</v>
      </c>
      <c r="AR753" s="34">
        <v>0.16807947534109624</v>
      </c>
      <c r="AS753" t="str">
        <f>_xlfn.XLOOKUP(AU753,[2]GAE!HZ:HZ,[2]GAE!IA:IA)</f>
        <v>CCC-COMMON</v>
      </c>
      <c r="AT753" t="str">
        <f>_xlfn.XLOOKUP(AU753,[2]GAE!HZ:HZ,[2]GAE!IB:IB)</f>
        <v>DOE - Performance-based Bonus</v>
      </c>
      <c r="AU753" t="s">
        <v>1209</v>
      </c>
      <c r="AV753">
        <v>81111101</v>
      </c>
      <c r="AW753">
        <v>52121316</v>
      </c>
      <c r="AX753" t="str">
        <f>_xlfn.XLOOKUP(AU753,[2]GAE!HZ:HZ,[2]GAE!IF:IF)</f>
        <v>PB</v>
      </c>
      <c r="BA753" t="s">
        <v>1208</v>
      </c>
      <c r="BF753" t="s">
        <v>1206</v>
      </c>
      <c r="BG753" t="s">
        <v>1206</v>
      </c>
      <c r="BH753" s="10">
        <f>SUMIFS('[1]2026'!$K:$K,'[1]2026'!$T:$T,BD753,'[1]2026'!$S:$S,BH$3,'[1]2026'!$P:$P,AU753)</f>
        <v>0</v>
      </c>
      <c r="BI753" s="10">
        <f>SUMIFS('[1]2026'!$K:$K,'[1]2026'!$T:$T,$BD753,'[1]2026'!$S:$S,BI$3,'[1]2026'!$P:$P,$AU753)</f>
        <v>0</v>
      </c>
      <c r="BJ753" s="10">
        <f>SUMIFS('[1]2026'!$K:$K,'[1]2026'!$T:$T,$BD753,'[1]2026'!$S:$S,BJ$3,'[1]2026'!$P:$P,$AU753)</f>
        <v>0</v>
      </c>
      <c r="BK753" s="10">
        <f>SUMIFS('[1]2026'!$K:$K,'[1]2026'!$T:$T,$BD753,'[1]2026'!$S:$S,BK$3,'[1]2026'!$P:$P,$AU753)</f>
        <v>0</v>
      </c>
      <c r="BL753" s="6"/>
      <c r="BM753" s="10">
        <f>SUMIFS('[1]2026'!$K:$K,'[1]2026'!$T:$T,$BD753,'[1]2026'!$S:$S,BM$3,'[1]2026'!$P:$P,$AU753)</f>
        <v>0</v>
      </c>
      <c r="BN753" s="10">
        <f>SUMIFS('[1]2026'!$K:$K,'[1]2026'!$T:$T,$BD753,'[1]2026'!$S:$S,BN$3,'[1]2026'!$P:$P,$AU753)</f>
        <v>0</v>
      </c>
      <c r="BO753" s="10">
        <f>SUMIFS('[1]2026'!$K:$K,'[1]2026'!$T:$T,$BD753,'[1]2026'!$S:$S,BO$3,'[1]2026'!$P:$P,$AU753)</f>
        <v>0</v>
      </c>
      <c r="BP753" s="6"/>
      <c r="BQ753" s="6"/>
      <c r="BR753" s="6"/>
      <c r="BS753" s="6"/>
      <c r="BT753" s="6">
        <f t="shared" si="515"/>
        <v>0</v>
      </c>
      <c r="BV753" s="6">
        <f t="shared" si="503"/>
        <v>0</v>
      </c>
      <c r="BW753" s="6">
        <f t="shared" si="504"/>
        <v>0</v>
      </c>
      <c r="BX753" s="6">
        <f t="shared" si="505"/>
        <v>0</v>
      </c>
      <c r="BY753" s="6">
        <f t="shared" si="506"/>
        <v>-14994000.000000002</v>
      </c>
      <c r="BZ753" s="6">
        <f t="shared" si="507"/>
        <v>0</v>
      </c>
      <c r="CA753" s="6">
        <f t="shared" si="508"/>
        <v>0</v>
      </c>
      <c r="CB753" s="6">
        <f t="shared" si="509"/>
        <v>0</v>
      </c>
      <c r="CC753" s="6">
        <f t="shared" si="510"/>
        <v>0</v>
      </c>
      <c r="CD753" s="6">
        <f t="shared" si="511"/>
        <v>0</v>
      </c>
      <c r="CE753" s="6">
        <f t="shared" si="512"/>
        <v>0</v>
      </c>
      <c r="CF753" s="6">
        <f t="shared" si="513"/>
        <v>0</v>
      </c>
      <c r="CG753" s="6">
        <f t="shared" si="514"/>
        <v>0</v>
      </c>
      <c r="CH753" s="6">
        <f t="shared" si="496"/>
        <v>-14994000.000000002</v>
      </c>
    </row>
    <row r="754" spans="1:86" hidden="1" x14ac:dyDescent="0.35">
      <c r="A754" s="3" t="s">
        <v>1206</v>
      </c>
      <c r="E754" s="10">
        <v>9324000</v>
      </c>
      <c r="N754" s="27">
        <f t="shared" si="498"/>
        <v>9324000</v>
      </c>
      <c r="R754" s="10">
        <v>504000</v>
      </c>
      <c r="AA754" s="27">
        <f t="shared" si="499"/>
        <v>504000</v>
      </c>
      <c r="AB754" s="10">
        <f t="shared" si="516"/>
        <v>0</v>
      </c>
      <c r="AC754" s="10">
        <f t="shared" si="516"/>
        <v>0</v>
      </c>
      <c r="AD754" s="10">
        <f t="shared" si="516"/>
        <v>0</v>
      </c>
      <c r="AE754" s="10">
        <f t="shared" si="516"/>
        <v>8820000</v>
      </c>
      <c r="AF754" s="10">
        <f t="shared" si="516"/>
        <v>0</v>
      </c>
      <c r="AG754" s="10">
        <f t="shared" si="516"/>
        <v>0</v>
      </c>
      <c r="AH754" s="10">
        <f t="shared" si="516"/>
        <v>0</v>
      </c>
      <c r="AI754" s="10">
        <f t="shared" si="516"/>
        <v>0</v>
      </c>
      <c r="AJ754" s="10">
        <f t="shared" si="516"/>
        <v>0</v>
      </c>
      <c r="AK754" s="10">
        <f t="shared" si="516"/>
        <v>0</v>
      </c>
      <c r="AL754" s="10">
        <f t="shared" si="516"/>
        <v>0</v>
      </c>
      <c r="AM754" s="10">
        <f t="shared" si="516"/>
        <v>0</v>
      </c>
      <c r="AN754" s="27">
        <f t="shared" si="516"/>
        <v>8820000</v>
      </c>
      <c r="AR754" s="34">
        <v>9.9232553700210627E-2</v>
      </c>
      <c r="AS754" t="str">
        <f>_xlfn.XLOOKUP(AU754,[2]GAE!HZ:HZ,[2]GAE!IA:IA)</f>
        <v>OHI-COMMON</v>
      </c>
      <c r="AT754" t="str">
        <f>_xlfn.XLOOKUP(AU754,[2]GAE!HZ:HZ,[2]GAE!IB:IB)</f>
        <v>DOE - Performance-based Bonus</v>
      </c>
      <c r="AU754" t="s">
        <v>1210</v>
      </c>
      <c r="AV754">
        <v>90111101</v>
      </c>
      <c r="AW754">
        <v>52121316</v>
      </c>
      <c r="AX754" t="str">
        <f>_xlfn.XLOOKUP(AU754,[2]GAE!HZ:HZ,[2]GAE!IF:IF)</f>
        <v>PB</v>
      </c>
      <c r="BA754" t="s">
        <v>1208</v>
      </c>
      <c r="BF754" t="s">
        <v>1206</v>
      </c>
      <c r="BG754" t="s">
        <v>1206</v>
      </c>
      <c r="BH754" s="10">
        <f>SUMIFS('[1]2026'!$K:$K,'[1]2026'!$T:$T,BD754,'[1]2026'!$S:$S,BH$3,'[1]2026'!$P:$P,AU754)</f>
        <v>0</v>
      </c>
      <c r="BI754" s="10">
        <f>SUMIFS('[1]2026'!$K:$K,'[1]2026'!$T:$T,$BD754,'[1]2026'!$S:$S,BI$3,'[1]2026'!$P:$P,$AU754)</f>
        <v>0</v>
      </c>
      <c r="BJ754" s="10">
        <f>SUMIFS('[1]2026'!$K:$K,'[1]2026'!$T:$T,$BD754,'[1]2026'!$S:$S,BJ$3,'[1]2026'!$P:$P,$AU754)</f>
        <v>0</v>
      </c>
      <c r="BK754" s="10">
        <f>SUMIFS('[1]2026'!$K:$K,'[1]2026'!$T:$T,$BD754,'[1]2026'!$S:$S,BK$3,'[1]2026'!$P:$P,$AU754)</f>
        <v>0</v>
      </c>
      <c r="BL754" s="6"/>
      <c r="BM754" s="10">
        <f>SUMIFS('[1]2026'!$K:$K,'[1]2026'!$T:$T,$BD754,'[1]2026'!$S:$S,BM$3,'[1]2026'!$P:$P,$AU754)</f>
        <v>0</v>
      </c>
      <c r="BN754" s="10">
        <f>SUMIFS('[1]2026'!$K:$K,'[1]2026'!$T:$T,$BD754,'[1]2026'!$S:$S,BN$3,'[1]2026'!$P:$P,$AU754)</f>
        <v>0</v>
      </c>
      <c r="BO754" s="10">
        <f>SUMIFS('[1]2026'!$K:$K,'[1]2026'!$T:$T,$BD754,'[1]2026'!$S:$S,BO$3,'[1]2026'!$P:$P,$AU754)</f>
        <v>0</v>
      </c>
      <c r="BP754" s="6"/>
      <c r="BQ754" s="6"/>
      <c r="BR754" s="6"/>
      <c r="BS754" s="6"/>
      <c r="BT754" s="6">
        <f t="shared" si="515"/>
        <v>0</v>
      </c>
      <c r="BV754" s="6">
        <f t="shared" si="503"/>
        <v>0</v>
      </c>
      <c r="BW754" s="6">
        <f t="shared" si="504"/>
        <v>0</v>
      </c>
      <c r="BX754" s="6">
        <f t="shared" si="505"/>
        <v>0</v>
      </c>
      <c r="BY754" s="6">
        <f t="shared" si="506"/>
        <v>-8820000</v>
      </c>
      <c r="BZ754" s="6">
        <f t="shared" si="507"/>
        <v>0</v>
      </c>
      <c r="CA754" s="6">
        <f t="shared" si="508"/>
        <v>0</v>
      </c>
      <c r="CB754" s="6">
        <f t="shared" si="509"/>
        <v>0</v>
      </c>
      <c r="CC754" s="6">
        <f t="shared" si="510"/>
        <v>0</v>
      </c>
      <c r="CD754" s="6">
        <f t="shared" si="511"/>
        <v>0</v>
      </c>
      <c r="CE754" s="6">
        <f t="shared" si="512"/>
        <v>0</v>
      </c>
      <c r="CF754" s="6">
        <f t="shared" si="513"/>
        <v>0</v>
      </c>
      <c r="CG754" s="6">
        <f t="shared" si="514"/>
        <v>0</v>
      </c>
      <c r="CH754" s="6">
        <f t="shared" si="496"/>
        <v>-8820000</v>
      </c>
    </row>
    <row r="755" spans="1:86" hidden="1" x14ac:dyDescent="0.35">
      <c r="A755" s="3" t="s">
        <v>206</v>
      </c>
      <c r="B755" s="10">
        <v>231789.67</v>
      </c>
      <c r="C755" s="10">
        <v>231789.67</v>
      </c>
      <c r="D755" s="10">
        <v>231789.67</v>
      </c>
      <c r="E755" s="10">
        <v>231789.67</v>
      </c>
      <c r="F755" s="10">
        <v>231789.67</v>
      </c>
      <c r="G755" s="10">
        <v>231789.67</v>
      </c>
      <c r="H755" s="10">
        <v>231789.67</v>
      </c>
      <c r="I755" s="10">
        <v>231789.67</v>
      </c>
      <c r="J755" s="10">
        <v>231789.67</v>
      </c>
      <c r="K755" s="10">
        <v>231789.67</v>
      </c>
      <c r="L755" s="10">
        <v>231789.67</v>
      </c>
      <c r="M755" s="10">
        <v>231789.67</v>
      </c>
      <c r="N755" s="27">
        <f t="shared" si="498"/>
        <v>2781476.0399999996</v>
      </c>
      <c r="AA755" s="27">
        <f t="shared" si="499"/>
        <v>0</v>
      </c>
      <c r="AB755" s="10">
        <f t="shared" si="516"/>
        <v>231789.67</v>
      </c>
      <c r="AC755" s="10">
        <f t="shared" si="516"/>
        <v>231789.67</v>
      </c>
      <c r="AD755" s="10">
        <f t="shared" si="516"/>
        <v>231789.67</v>
      </c>
      <c r="AE755" s="10">
        <f t="shared" si="516"/>
        <v>231789.67</v>
      </c>
      <c r="AF755" s="10">
        <f t="shared" si="516"/>
        <v>231789.67</v>
      </c>
      <c r="AG755" s="10">
        <f t="shared" si="516"/>
        <v>231789.67</v>
      </c>
      <c r="AH755" s="10">
        <f t="shared" si="516"/>
        <v>231789.67</v>
      </c>
      <c r="AI755" s="10">
        <f t="shared" si="516"/>
        <v>231789.67</v>
      </c>
      <c r="AJ755" s="10">
        <f t="shared" si="516"/>
        <v>231789.67</v>
      </c>
      <c r="AK755" s="10">
        <f t="shared" si="516"/>
        <v>231789.67</v>
      </c>
      <c r="AL755" s="10">
        <f t="shared" si="516"/>
        <v>231789.67</v>
      </c>
      <c r="AM755" s="10">
        <f t="shared" si="516"/>
        <v>231789.67</v>
      </c>
      <c r="AN755" s="27">
        <f t="shared" si="516"/>
        <v>2781476.0399999996</v>
      </c>
      <c r="AO755" s="28">
        <v>2781476.0399999996</v>
      </c>
      <c r="AS755" t="str">
        <f>_xlfn.XLOOKUP(AU755,[2]GAE!HZ:HZ,[2]GAE!IA:IA)</f>
        <v>OCLP-COMMON</v>
      </c>
      <c r="AT755" t="str">
        <f>_xlfn.XLOOKUP(AU755,[2]GAE!HZ:HZ,[2]GAE!IB:IB)</f>
        <v>GAE - Employee Benefits - Retirement Gratuity</v>
      </c>
      <c r="AU755" t="s">
        <v>1211</v>
      </c>
      <c r="AV755">
        <v>80111101</v>
      </c>
      <c r="AW755">
        <v>61021304</v>
      </c>
      <c r="AX755" t="str">
        <f>_xlfn.XLOOKUP(AU755,[2]GAE!HZ:HZ,[2]GAE!IF:IF)</f>
        <v>Retirement</v>
      </c>
      <c r="BA755" t="s">
        <v>1212</v>
      </c>
      <c r="BC755" t="s">
        <v>206</v>
      </c>
      <c r="BD755" t="s">
        <v>206</v>
      </c>
      <c r="BF755" t="s">
        <v>101</v>
      </c>
      <c r="BG755" s="2" t="s">
        <v>206</v>
      </c>
      <c r="BH755" s="10">
        <f>SUMIFS('[1]2026'!$K:$K,'[1]2026'!$T:$T,BD755,'[1]2026'!$S:$S,BH$3,'[1]2026'!$P:$P,AU755)</f>
        <v>231789.67</v>
      </c>
      <c r="BI755" s="10">
        <f>SUMIFS('[1]2026'!$K:$K,'[1]2026'!$T:$T,$BD755,'[1]2026'!$S:$S,BI$3,'[1]2026'!$P:$P,$AU755)</f>
        <v>231789.67</v>
      </c>
      <c r="BJ755" s="10">
        <f>SUMIFS('[1]2026'!$K:$K,'[1]2026'!$T:$T,$BD755,'[1]2026'!$S:$S,BJ$3,'[1]2026'!$P:$P,$AU755)</f>
        <v>231789.67</v>
      </c>
      <c r="BK755" s="10">
        <f>SUMIFS('[1]2026'!$K:$K,'[1]2026'!$T:$T,$BD755,'[1]2026'!$S:$S,BK$3,'[1]2026'!$P:$P,$AU755)</f>
        <v>231789.67</v>
      </c>
      <c r="BL755" s="10">
        <f>SUMIFS('[1]2026'!$K:$K,'[1]2026'!$T:$T,$BD755,'[1]2026'!$S:$S,BL$3,'[1]2026'!$P:$P,$AU755)</f>
        <v>231789.67</v>
      </c>
      <c r="BM755" s="10">
        <f>SUMIFS('[1]2026'!$K:$K,'[1]2026'!$T:$T,$BD755,'[1]2026'!$S:$S,BM$3,'[1]2026'!$P:$P,$AU755)</f>
        <v>231789.67</v>
      </c>
      <c r="BN755" s="10">
        <f>SUMIFS('[1]2026'!$K:$K,'[1]2026'!$T:$T,$BD755,'[1]2026'!$S:$S,BN$3,'[1]2026'!$P:$P,$AU755)</f>
        <v>231789.67</v>
      </c>
      <c r="BO755" s="10">
        <f>SUMIFS('[1]2026'!$K:$K,'[1]2026'!$T:$T,$BD755,'[1]2026'!$S:$S,BO$3,'[1]2026'!$P:$P,$AU755)</f>
        <v>231789.67</v>
      </c>
      <c r="BP755" s="6">
        <f t="shared" ref="BP755:BS757" si="518">BO755</f>
        <v>231789.67</v>
      </c>
      <c r="BQ755" s="6">
        <f t="shared" si="518"/>
        <v>231789.67</v>
      </c>
      <c r="BR755" s="6">
        <f t="shared" si="518"/>
        <v>231789.67</v>
      </c>
      <c r="BS755" s="6">
        <f t="shared" si="518"/>
        <v>231789.67</v>
      </c>
      <c r="BT755" s="6">
        <f t="shared" si="515"/>
        <v>2781476.0399999996</v>
      </c>
      <c r="BV755" s="6">
        <f t="shared" si="503"/>
        <v>0</v>
      </c>
      <c r="BW755" s="6">
        <f t="shared" si="504"/>
        <v>0</v>
      </c>
      <c r="BX755" s="6">
        <f t="shared" si="505"/>
        <v>0</v>
      </c>
      <c r="BY755" s="6">
        <f t="shared" si="506"/>
        <v>0</v>
      </c>
      <c r="BZ755" s="6">
        <f t="shared" si="507"/>
        <v>0</v>
      </c>
      <c r="CA755" s="6">
        <f t="shared" si="508"/>
        <v>0</v>
      </c>
      <c r="CB755" s="6">
        <f t="shared" si="509"/>
        <v>0</v>
      </c>
      <c r="CC755" s="6">
        <f t="shared" si="510"/>
        <v>0</v>
      </c>
      <c r="CD755" s="6">
        <f t="shared" si="511"/>
        <v>0</v>
      </c>
      <c r="CE755" s="6">
        <f t="shared" si="512"/>
        <v>0</v>
      </c>
      <c r="CF755" s="6">
        <f t="shared" si="513"/>
        <v>0</v>
      </c>
      <c r="CG755" s="6">
        <f t="shared" si="514"/>
        <v>0</v>
      </c>
      <c r="CH755" s="6">
        <f t="shared" si="496"/>
        <v>0</v>
      </c>
    </row>
    <row r="756" spans="1:86" hidden="1" x14ac:dyDescent="0.35">
      <c r="A756" s="3" t="s">
        <v>206</v>
      </c>
      <c r="B756" s="10">
        <v>303089.17</v>
      </c>
      <c r="C756" s="10">
        <v>303089.17</v>
      </c>
      <c r="D756" s="10">
        <v>303089.17</v>
      </c>
      <c r="E756" s="10">
        <v>303089.17</v>
      </c>
      <c r="F756" s="10">
        <v>303089.17</v>
      </c>
      <c r="G756" s="10">
        <v>303089.17</v>
      </c>
      <c r="H756" s="10">
        <v>303089.17</v>
      </c>
      <c r="I756" s="10">
        <v>303089.17</v>
      </c>
      <c r="J756" s="10">
        <v>303089.17</v>
      </c>
      <c r="K756" s="10">
        <v>303089.17</v>
      </c>
      <c r="L756" s="10">
        <v>303089.17</v>
      </c>
      <c r="M756" s="10">
        <v>303089.17</v>
      </c>
      <c r="N756" s="27">
        <f t="shared" si="498"/>
        <v>3637070.0399999996</v>
      </c>
      <c r="AA756" s="27">
        <f t="shared" si="499"/>
        <v>0</v>
      </c>
      <c r="AB756" s="10">
        <f t="shared" si="516"/>
        <v>303089.17</v>
      </c>
      <c r="AC756" s="10">
        <f t="shared" si="516"/>
        <v>303089.17</v>
      </c>
      <c r="AD756" s="10">
        <f t="shared" si="516"/>
        <v>303089.17</v>
      </c>
      <c r="AE756" s="10">
        <f t="shared" si="516"/>
        <v>303089.17</v>
      </c>
      <c r="AF756" s="10">
        <f t="shared" si="516"/>
        <v>303089.17</v>
      </c>
      <c r="AG756" s="10">
        <f t="shared" si="516"/>
        <v>303089.17</v>
      </c>
      <c r="AH756" s="10">
        <f t="shared" si="516"/>
        <v>303089.17</v>
      </c>
      <c r="AI756" s="10">
        <f t="shared" si="516"/>
        <v>303089.17</v>
      </c>
      <c r="AJ756" s="10">
        <f t="shared" si="516"/>
        <v>303089.17</v>
      </c>
      <c r="AK756" s="10">
        <f t="shared" si="516"/>
        <v>303089.17</v>
      </c>
      <c r="AL756" s="10">
        <f t="shared" si="516"/>
        <v>303089.17</v>
      </c>
      <c r="AM756" s="10">
        <f t="shared" si="516"/>
        <v>303089.17</v>
      </c>
      <c r="AN756" s="27">
        <f t="shared" si="516"/>
        <v>3637070.0399999996</v>
      </c>
      <c r="AO756" s="28">
        <v>3637070.0399999996</v>
      </c>
      <c r="AS756" t="str">
        <f>_xlfn.XLOOKUP(AU756,[2]GAE!HZ:HZ,[2]GAE!IA:IA)</f>
        <v>CCC-COMMON</v>
      </c>
      <c r="AT756" t="str">
        <f>_xlfn.XLOOKUP(AU756,[2]GAE!HZ:HZ,[2]GAE!IB:IB)</f>
        <v>DOE - Employee Benefits - Retirement Gratuity</v>
      </c>
      <c r="AU756" t="s">
        <v>1213</v>
      </c>
      <c r="AV756">
        <v>81111101</v>
      </c>
      <c r="AW756">
        <v>52121304</v>
      </c>
      <c r="AX756" t="str">
        <f>_xlfn.XLOOKUP(AU756,[2]GAE!HZ:HZ,[2]GAE!IF:IF)</f>
        <v>Retirement</v>
      </c>
      <c r="BA756" t="s">
        <v>1212</v>
      </c>
      <c r="BC756" t="s">
        <v>206</v>
      </c>
      <c r="BD756" t="s">
        <v>206</v>
      </c>
      <c r="BF756" t="s">
        <v>101</v>
      </c>
      <c r="BG756" s="2" t="s">
        <v>206</v>
      </c>
      <c r="BH756" s="10">
        <f>SUMIFS('[1]2026'!$K:$K,'[1]2026'!$T:$T,BD756,'[1]2026'!$S:$S,BH$3,'[1]2026'!$P:$P,AU756)</f>
        <v>303089.17</v>
      </c>
      <c r="BI756" s="10">
        <f>SUMIFS('[1]2026'!$K:$K,'[1]2026'!$T:$T,$BD756,'[1]2026'!$S:$S,BI$3,'[1]2026'!$P:$P,$AU756)</f>
        <v>303089.17</v>
      </c>
      <c r="BJ756" s="10">
        <f>SUMIFS('[1]2026'!$K:$K,'[1]2026'!$T:$T,$BD756,'[1]2026'!$S:$S,BJ$3,'[1]2026'!$P:$P,$AU756)</f>
        <v>303089.17</v>
      </c>
      <c r="BK756" s="10">
        <f>SUMIFS('[1]2026'!$K:$K,'[1]2026'!$T:$T,$BD756,'[1]2026'!$S:$S,BK$3,'[1]2026'!$P:$P,$AU756)</f>
        <v>303089.17</v>
      </c>
      <c r="BL756" s="10">
        <f>SUMIFS('[1]2026'!$K:$K,'[1]2026'!$T:$T,$BD756,'[1]2026'!$S:$S,BL$3,'[1]2026'!$P:$P,$AU756)</f>
        <v>303089.17</v>
      </c>
      <c r="BM756" s="10">
        <f>SUMIFS('[1]2026'!$K:$K,'[1]2026'!$T:$T,$BD756,'[1]2026'!$S:$S,BM$3,'[1]2026'!$P:$P,$AU756)</f>
        <v>303089.17</v>
      </c>
      <c r="BN756" s="10">
        <f>SUMIFS('[1]2026'!$K:$K,'[1]2026'!$T:$T,$BD756,'[1]2026'!$S:$S,BN$3,'[1]2026'!$P:$P,$AU756)</f>
        <v>303089.17</v>
      </c>
      <c r="BO756" s="10">
        <f>SUMIFS('[1]2026'!$K:$K,'[1]2026'!$T:$T,$BD756,'[1]2026'!$S:$S,BO$3,'[1]2026'!$P:$P,$AU756)</f>
        <v>303089.17</v>
      </c>
      <c r="BP756" s="6">
        <f t="shared" si="518"/>
        <v>303089.17</v>
      </c>
      <c r="BQ756" s="6">
        <f t="shared" si="518"/>
        <v>303089.17</v>
      </c>
      <c r="BR756" s="6">
        <f t="shared" si="518"/>
        <v>303089.17</v>
      </c>
      <c r="BS756" s="6">
        <f t="shared" si="518"/>
        <v>303089.17</v>
      </c>
      <c r="BT756" s="6">
        <f t="shared" si="515"/>
        <v>3637070.0399999996</v>
      </c>
      <c r="BV756" s="6">
        <f t="shared" si="503"/>
        <v>0</v>
      </c>
      <c r="BW756" s="6">
        <f t="shared" si="504"/>
        <v>0</v>
      </c>
      <c r="BX756" s="6">
        <f t="shared" si="505"/>
        <v>0</v>
      </c>
      <c r="BY756" s="6">
        <f t="shared" si="506"/>
        <v>0</v>
      </c>
      <c r="BZ756" s="6">
        <f t="shared" si="507"/>
        <v>0</v>
      </c>
      <c r="CA756" s="6">
        <f t="shared" si="508"/>
        <v>0</v>
      </c>
      <c r="CB756" s="6">
        <f t="shared" si="509"/>
        <v>0</v>
      </c>
      <c r="CC756" s="6">
        <f t="shared" si="510"/>
        <v>0</v>
      </c>
      <c r="CD756" s="6">
        <f t="shared" si="511"/>
        <v>0</v>
      </c>
      <c r="CE756" s="6">
        <f t="shared" si="512"/>
        <v>0</v>
      </c>
      <c r="CF756" s="6">
        <f t="shared" si="513"/>
        <v>0</v>
      </c>
      <c r="CG756" s="6">
        <f t="shared" si="514"/>
        <v>0</v>
      </c>
      <c r="CH756" s="6">
        <f t="shared" si="496"/>
        <v>0</v>
      </c>
    </row>
    <row r="757" spans="1:86" hidden="1" x14ac:dyDescent="0.35">
      <c r="A757" s="3" t="s">
        <v>206</v>
      </c>
      <c r="B757" s="10">
        <v>3234356.33</v>
      </c>
      <c r="C757" s="10">
        <v>3234356.33</v>
      </c>
      <c r="D757" s="10">
        <v>3234356.33</v>
      </c>
      <c r="E757" s="10">
        <v>3234356.33</v>
      </c>
      <c r="F757" s="10">
        <v>3234356.33</v>
      </c>
      <c r="G757" s="10">
        <v>3234356.33</v>
      </c>
      <c r="H757" s="10">
        <v>3234356.33</v>
      </c>
      <c r="I757" s="10">
        <v>3234356.33</v>
      </c>
      <c r="J757" s="10">
        <v>3234356.33</v>
      </c>
      <c r="K757" s="10">
        <v>3234356.33</v>
      </c>
      <c r="L757" s="10">
        <v>3234356.33</v>
      </c>
      <c r="M757" s="10">
        <v>3234356.33</v>
      </c>
      <c r="N757" s="27">
        <f t="shared" si="498"/>
        <v>38812275.959999993</v>
      </c>
      <c r="AA757" s="27">
        <f t="shared" si="499"/>
        <v>0</v>
      </c>
      <c r="AB757" s="10">
        <f t="shared" si="516"/>
        <v>3234356.33</v>
      </c>
      <c r="AC757" s="10">
        <f t="shared" si="516"/>
        <v>3234356.33</v>
      </c>
      <c r="AD757" s="10">
        <f t="shared" si="516"/>
        <v>3234356.33</v>
      </c>
      <c r="AE757" s="10">
        <f t="shared" si="516"/>
        <v>3234356.33</v>
      </c>
      <c r="AF757" s="10">
        <f t="shared" si="516"/>
        <v>3234356.33</v>
      </c>
      <c r="AG757" s="10">
        <f t="shared" si="516"/>
        <v>3234356.33</v>
      </c>
      <c r="AH757" s="10">
        <f t="shared" si="516"/>
        <v>3234356.33</v>
      </c>
      <c r="AI757" s="10">
        <f t="shared" si="516"/>
        <v>3234356.33</v>
      </c>
      <c r="AJ757" s="10">
        <f t="shared" si="516"/>
        <v>3234356.33</v>
      </c>
      <c r="AK757" s="10">
        <f t="shared" si="516"/>
        <v>3234356.33</v>
      </c>
      <c r="AL757" s="10">
        <f t="shared" si="516"/>
        <v>3234356.33</v>
      </c>
      <c r="AM757" s="10">
        <f t="shared" si="516"/>
        <v>3234356.33</v>
      </c>
      <c r="AN757" s="27">
        <f t="shared" si="516"/>
        <v>38812275.959999993</v>
      </c>
      <c r="AO757" s="28">
        <v>38812275.959999993</v>
      </c>
      <c r="AS757" t="str">
        <f>_xlfn.XLOOKUP(AU757,[2]GAE!HZ:HZ,[2]GAE!IA:IA)</f>
        <v>OHI-COMMON</v>
      </c>
      <c r="AT757" t="str">
        <f>_xlfn.XLOOKUP(AU757,[2]GAE!HZ:HZ,[2]GAE!IB:IB)</f>
        <v>DOE - Employee Benefits - Retirement Gratuity</v>
      </c>
      <c r="AU757" t="s">
        <v>1214</v>
      </c>
      <c r="AV757">
        <v>90111101</v>
      </c>
      <c r="AW757">
        <v>52121304</v>
      </c>
      <c r="AX757" t="str">
        <f>_xlfn.XLOOKUP(AU757,[2]GAE!HZ:HZ,[2]GAE!IF:IF)</f>
        <v>Retirement</v>
      </c>
      <c r="BA757" t="s">
        <v>1212</v>
      </c>
      <c r="BC757" t="s">
        <v>206</v>
      </c>
      <c r="BD757" t="s">
        <v>206</v>
      </c>
      <c r="BF757" t="s">
        <v>101</v>
      </c>
      <c r="BG757" s="2" t="s">
        <v>206</v>
      </c>
      <c r="BH757" s="10">
        <f>SUMIFS('[1]2026'!$K:$K,'[1]2026'!$T:$T,BD757,'[1]2026'!$S:$S,BH$3,'[1]2026'!$P:$P,AU757)</f>
        <v>3234356.33</v>
      </c>
      <c r="BI757" s="10">
        <f>SUMIFS('[1]2026'!$K:$K,'[1]2026'!$T:$T,$BD757,'[1]2026'!$S:$S,BI$3,'[1]2026'!$P:$P,$AU757)</f>
        <v>3234356.33</v>
      </c>
      <c r="BJ757" s="10">
        <f>SUMIFS('[1]2026'!$K:$K,'[1]2026'!$T:$T,$BD757,'[1]2026'!$S:$S,BJ$3,'[1]2026'!$P:$P,$AU757)</f>
        <v>3234356.33</v>
      </c>
      <c r="BK757" s="10">
        <f>SUMIFS('[1]2026'!$K:$K,'[1]2026'!$T:$T,$BD757,'[1]2026'!$S:$S,BK$3,'[1]2026'!$P:$P,$AU757)</f>
        <v>4023631.0100000002</v>
      </c>
      <c r="BL757" s="10">
        <f>SUMIFS('[1]2026'!$K:$K,'[1]2026'!$T:$T,$BD757,'[1]2026'!$S:$S,BL$3,'[1]2026'!$P:$P,$AU757)</f>
        <v>3431675</v>
      </c>
      <c r="BM757" s="10">
        <f>SUMIFS('[1]2026'!$K:$K,'[1]2026'!$T:$T,$BD757,'[1]2026'!$S:$S,BM$3,'[1]2026'!$P:$P,$AU757)</f>
        <v>3431675</v>
      </c>
      <c r="BN757" s="10">
        <f>SUMIFS('[1]2026'!$K:$K,'[1]2026'!$T:$T,$BD757,'[1]2026'!$S:$S,BN$3,'[1]2026'!$P:$P,$AU757)</f>
        <v>3431675</v>
      </c>
      <c r="BO757" s="10">
        <f>SUMIFS('[1]2026'!$K:$K,'[1]2026'!$T:$T,$BD757,'[1]2026'!$S:$S,BO$3,'[1]2026'!$P:$P,$AU757)</f>
        <v>3431675</v>
      </c>
      <c r="BP757" s="6">
        <f t="shared" si="518"/>
        <v>3431675</v>
      </c>
      <c r="BQ757" s="6">
        <f t="shared" si="518"/>
        <v>3431675</v>
      </c>
      <c r="BR757" s="6">
        <f t="shared" si="518"/>
        <v>3431675</v>
      </c>
      <c r="BS757" s="6">
        <f t="shared" si="518"/>
        <v>3431675</v>
      </c>
      <c r="BT757" s="6">
        <f t="shared" si="515"/>
        <v>41180100</v>
      </c>
      <c r="BV757" s="6">
        <f t="shared" si="503"/>
        <v>0</v>
      </c>
      <c r="BW757" s="6">
        <f t="shared" si="504"/>
        <v>0</v>
      </c>
      <c r="BX757" s="6">
        <f t="shared" si="505"/>
        <v>0</v>
      </c>
      <c r="BY757" s="6">
        <f t="shared" si="506"/>
        <v>789274.68000000017</v>
      </c>
      <c r="BZ757" s="6">
        <f t="shared" si="507"/>
        <v>197318.66999999993</v>
      </c>
      <c r="CA757" s="6">
        <f t="shared" si="508"/>
        <v>197318.66999999993</v>
      </c>
      <c r="CB757" s="6">
        <f t="shared" si="509"/>
        <v>197318.66999999993</v>
      </c>
      <c r="CC757" s="6">
        <f t="shared" si="510"/>
        <v>197318.66999999993</v>
      </c>
      <c r="CD757" s="6">
        <f t="shared" si="511"/>
        <v>197318.66999999993</v>
      </c>
      <c r="CE757" s="6">
        <f t="shared" si="512"/>
        <v>197318.66999999993</v>
      </c>
      <c r="CF757" s="6">
        <f t="shared" si="513"/>
        <v>197318.66999999993</v>
      </c>
      <c r="CG757" s="6">
        <f t="shared" si="514"/>
        <v>197318.66999999993</v>
      </c>
      <c r="CH757" s="6">
        <f t="shared" si="496"/>
        <v>2367824.0400000066</v>
      </c>
    </row>
    <row r="758" spans="1:86" hidden="1" x14ac:dyDescent="0.35">
      <c r="A758" s="3" t="s">
        <v>1215</v>
      </c>
      <c r="B758" s="10">
        <f>5500000-950000-1000000</f>
        <v>3550000</v>
      </c>
      <c r="N758" s="27">
        <f t="shared" si="498"/>
        <v>3550000</v>
      </c>
      <c r="AA758" s="27">
        <f t="shared" si="499"/>
        <v>0</v>
      </c>
      <c r="AB758" s="10">
        <f t="shared" si="516"/>
        <v>3550000</v>
      </c>
      <c r="AC758" s="10">
        <f t="shared" si="516"/>
        <v>0</v>
      </c>
      <c r="AD758" s="10">
        <f t="shared" si="516"/>
        <v>0</v>
      </c>
      <c r="AE758" s="10">
        <f t="shared" si="516"/>
        <v>0</v>
      </c>
      <c r="AF758" s="10">
        <f t="shared" si="516"/>
        <v>0</v>
      </c>
      <c r="AG758" s="10">
        <f t="shared" si="516"/>
        <v>0</v>
      </c>
      <c r="AH758" s="10">
        <f t="shared" si="516"/>
        <v>0</v>
      </c>
      <c r="AI758" s="10">
        <f t="shared" si="516"/>
        <v>0</v>
      </c>
      <c r="AJ758" s="10">
        <f t="shared" si="516"/>
        <v>0</v>
      </c>
      <c r="AK758" s="10">
        <f t="shared" si="516"/>
        <v>0</v>
      </c>
      <c r="AL758" s="10">
        <f t="shared" si="516"/>
        <v>0</v>
      </c>
      <c r="AM758" s="10">
        <f t="shared" si="516"/>
        <v>0</v>
      </c>
      <c r="AN758" s="27">
        <f t="shared" si="516"/>
        <v>3550000</v>
      </c>
      <c r="AO758" s="28">
        <v>5557509.8199999994</v>
      </c>
      <c r="AS758" t="str">
        <f>_xlfn.XLOOKUP(AU758,[2]GAE!HZ:HZ,[2]GAE!IA:IA)</f>
        <v>SBU BS - ESTATES (CO</v>
      </c>
      <c r="AT758" t="str">
        <f>_xlfn.XLOOKUP(AU758,[2]GAE!HZ:HZ,[2]GAE!IB:IB)</f>
        <v>GAE - Research &amp; Development</v>
      </c>
      <c r="AU758" t="s">
        <v>1216</v>
      </c>
      <c r="AV758">
        <v>80349101</v>
      </c>
      <c r="AW758">
        <v>61959994</v>
      </c>
      <c r="AX758" t="str">
        <f>_xlfn.XLOOKUP(AU758,[2]GAE!HZ:HZ,[2]GAE!IF:IF)</f>
        <v>Others</v>
      </c>
      <c r="AY758" t="str">
        <f>_xlfn.XLOOKUP(AU758,[2]GAE!HZ:HZ,[2]GAE!IG:IG)</f>
        <v>Research and Development</v>
      </c>
      <c r="BC758" t="s">
        <v>208</v>
      </c>
      <c r="BD758" t="s">
        <v>208</v>
      </c>
      <c r="BF758" t="s">
        <v>207</v>
      </c>
      <c r="BG758" s="2" t="s">
        <v>208</v>
      </c>
      <c r="BH758" s="10">
        <f>SUMIFS('[1]2026'!$K:$K,'[1]2026'!$T:$T,BD758,'[1]2026'!$S:$S,BH$3,'[1]2026'!$P:$P,AU758)</f>
        <v>0</v>
      </c>
      <c r="BI758" s="10">
        <f>SUMIFS('[1]2026'!$K:$K,'[1]2026'!$T:$T,$BD758,'[1]2026'!$S:$S,BI$3,'[1]2026'!$P:$P,$AU758)</f>
        <v>1490425.02</v>
      </c>
      <c r="BJ758" s="10">
        <f>SUMIFS('[1]2026'!$K:$K,'[1]2026'!$T:$T,$BD758,'[1]2026'!$S:$S,BJ$3,'[1]2026'!$P:$P,$AU758)</f>
        <v>101785.71</v>
      </c>
      <c r="BK758" s="10">
        <f>SUMIFS('[1]2026'!$K:$K,'[1]2026'!$T:$T,$BD758,'[1]2026'!$S:$S,BK$3,'[1]2026'!$P:$P,$AU758)</f>
        <v>401785.71</v>
      </c>
      <c r="BL758" s="10">
        <f>SUMIFS('[1]2026'!$K:$K,'[1]2026'!$T:$T,$BD758,'[1]2026'!$S:$S,BL$3,'[1]2026'!$P:$P,$AU758)</f>
        <v>0</v>
      </c>
      <c r="BM758" s="10">
        <f>SUMIFS('[1]2026'!$K:$K,'[1]2026'!$T:$T,$BD758,'[1]2026'!$S:$S,BM$3,'[1]2026'!$P:$P,$AU758)</f>
        <v>0</v>
      </c>
      <c r="BN758" s="10">
        <f>SUMIFS('[1]2026'!$K:$K,'[1]2026'!$T:$T,$BD758,'[1]2026'!$S:$S,BN$3,'[1]2026'!$P:$P,$AU758)</f>
        <v>641639.29</v>
      </c>
      <c r="BO758" s="10">
        <f>SUMIFS('[1]2026'!$K:$K,'[1]2026'!$T:$T,$BD758,'[1]2026'!$S:$S,BO$3,'[1]2026'!$P:$P,$AU758)</f>
        <v>0</v>
      </c>
      <c r="BP758" s="6"/>
      <c r="BQ758" s="6"/>
      <c r="BR758" s="6"/>
      <c r="BS758" s="6">
        <v>1249236.3899999987</v>
      </c>
      <c r="BT758" s="6">
        <f t="shared" si="515"/>
        <v>3884872.1199999987</v>
      </c>
      <c r="BV758" s="6">
        <f t="shared" si="503"/>
        <v>-3550000</v>
      </c>
      <c r="BW758" s="6">
        <f t="shared" si="504"/>
        <v>1490425.02</v>
      </c>
      <c r="BX758" s="6">
        <f t="shared" si="505"/>
        <v>101785.71</v>
      </c>
      <c r="BY758" s="6">
        <f t="shared" si="506"/>
        <v>401785.71</v>
      </c>
      <c r="BZ758" s="6">
        <f t="shared" si="507"/>
        <v>0</v>
      </c>
      <c r="CA758" s="6">
        <f t="shared" si="508"/>
        <v>0</v>
      </c>
      <c r="CB758" s="6">
        <f t="shared" si="509"/>
        <v>641639.29</v>
      </c>
      <c r="CC758" s="6">
        <f t="shared" si="510"/>
        <v>0</v>
      </c>
      <c r="CD758" s="6">
        <f t="shared" si="511"/>
        <v>0</v>
      </c>
      <c r="CE758" s="6">
        <f t="shared" si="512"/>
        <v>0</v>
      </c>
      <c r="CF758" s="6">
        <f t="shared" si="513"/>
        <v>0</v>
      </c>
      <c r="CG758" s="6">
        <f t="shared" si="514"/>
        <v>1249236.3899999987</v>
      </c>
      <c r="CH758" s="6">
        <f t="shared" si="496"/>
        <v>334872.11999999871</v>
      </c>
    </row>
    <row r="759" spans="1:86" hidden="1" x14ac:dyDescent="0.35">
      <c r="A759" s="3" t="s">
        <v>1217</v>
      </c>
      <c r="B759" s="10">
        <f>8000000-3000000-2875185.01</f>
        <v>2124814.9900000002</v>
      </c>
      <c r="N759" s="27">
        <f t="shared" si="498"/>
        <v>2124814.9900000002</v>
      </c>
      <c r="AA759" s="27">
        <f t="shared" si="499"/>
        <v>0</v>
      </c>
      <c r="AB759" s="10">
        <f t="shared" si="516"/>
        <v>2124814.9900000002</v>
      </c>
      <c r="AC759" s="10">
        <f t="shared" si="516"/>
        <v>0</v>
      </c>
      <c r="AD759" s="10">
        <f t="shared" si="516"/>
        <v>0</v>
      </c>
      <c r="AE759" s="10">
        <f t="shared" si="516"/>
        <v>0</v>
      </c>
      <c r="AF759" s="10">
        <f t="shared" si="516"/>
        <v>0</v>
      </c>
      <c r="AG759" s="10">
        <f t="shared" si="516"/>
        <v>0</v>
      </c>
      <c r="AH759" s="10">
        <f t="shared" si="516"/>
        <v>0</v>
      </c>
      <c r="AI759" s="10">
        <f t="shared" si="516"/>
        <v>0</v>
      </c>
      <c r="AJ759" s="10">
        <f t="shared" si="516"/>
        <v>0</v>
      </c>
      <c r="AK759" s="10">
        <f t="shared" si="516"/>
        <v>0</v>
      </c>
      <c r="AL759" s="10">
        <f t="shared" si="516"/>
        <v>0</v>
      </c>
      <c r="AM759" s="10">
        <f t="shared" si="516"/>
        <v>0</v>
      </c>
      <c r="AN759" s="27">
        <f t="shared" si="516"/>
        <v>2124814.9900000002</v>
      </c>
      <c r="AO759" s="28">
        <v>5557509.8199999994</v>
      </c>
      <c r="AS759" t="str">
        <f>_xlfn.XLOOKUP(AU759,[2]GAE!HZ:HZ,[2]GAE!IA:IA)</f>
        <v>SBU BS - ESTATES (CO</v>
      </c>
      <c r="AT759" t="str">
        <f>_xlfn.XLOOKUP(AU759,[2]GAE!HZ:HZ,[2]GAE!IB:IB)</f>
        <v>GAE - Research &amp; Development</v>
      </c>
      <c r="AU759" s="39" t="s">
        <v>1216</v>
      </c>
      <c r="AV759" s="39">
        <v>80349101</v>
      </c>
      <c r="AW759" s="39">
        <v>61959994</v>
      </c>
      <c r="AX759" t="str">
        <f>_xlfn.XLOOKUP(AU759,[2]GAE!HZ:HZ,[2]GAE!IF:IF)</f>
        <v>Others</v>
      </c>
      <c r="AY759" t="str">
        <f>_xlfn.XLOOKUP(AU759,[2]GAE!HZ:HZ,[2]GAE!IG:IG)</f>
        <v>Research and Development</v>
      </c>
      <c r="BF759" t="s">
        <v>207</v>
      </c>
      <c r="BG759" s="2" t="s">
        <v>1217</v>
      </c>
      <c r="BH759" s="10">
        <f>SUMIFS('[1]2026'!$K:$K,'[1]2026'!$T:$T,BD759,'[1]2026'!$S:$S,BH$3,'[1]2026'!$P:$P,AU759)</f>
        <v>0</v>
      </c>
      <c r="BI759" s="10">
        <f>SUMIFS('[1]2026'!$K:$K,'[1]2026'!$T:$T,$BD759,'[1]2026'!$S:$S,BI$3,'[1]2026'!$P:$P,$AU759)</f>
        <v>0</v>
      </c>
      <c r="BJ759" s="10">
        <f>SUMIFS('[1]2026'!$K:$K,'[1]2026'!$T:$T,$BD759,'[1]2026'!$S:$S,BJ$3,'[1]2026'!$P:$P,$AU759)</f>
        <v>0</v>
      </c>
      <c r="BK759" s="10">
        <f>SUMIFS('[1]2026'!$K:$K,'[1]2026'!$T:$T,$BD759,'[1]2026'!$S:$S,BK$3,'[1]2026'!$P:$P,$AU759)</f>
        <v>0</v>
      </c>
      <c r="BL759" s="10">
        <f>SUMIFS('[1]2026'!$K:$K,'[1]2026'!$T:$T,$BD759,'[1]2026'!$S:$S,BL$3,'[1]2026'!$P:$P,$AU759)</f>
        <v>0</v>
      </c>
      <c r="BM759" s="10">
        <f>SUMIFS('[1]2026'!$K:$K,'[1]2026'!$T:$T,$BD759,'[1]2026'!$S:$S,BM$3,'[1]2026'!$P:$P,$AU759)</f>
        <v>0</v>
      </c>
      <c r="BN759" s="10">
        <f>SUMIFS('[1]2026'!$K:$K,'[1]2026'!$T:$T,$BD759,'[1]2026'!$S:$S,BN$3,'[1]2026'!$P:$P,$AU759)</f>
        <v>0</v>
      </c>
      <c r="BO759" s="10">
        <f>SUMIFS('[1]2026'!$K:$K,'[1]2026'!$T:$T,$BD759,'[1]2026'!$S:$S,BO$3,'[1]2026'!$P:$P,$AU759)</f>
        <v>0</v>
      </c>
      <c r="BP759" s="6"/>
      <c r="BQ759" s="6"/>
      <c r="BR759" s="6"/>
      <c r="BS759" s="6">
        <f>AN759</f>
        <v>2124814.9900000002</v>
      </c>
      <c r="BT759" s="6">
        <f t="shared" si="515"/>
        <v>2124814.9900000002</v>
      </c>
      <c r="BV759" s="6">
        <f t="shared" si="503"/>
        <v>-2124814.9900000002</v>
      </c>
      <c r="BW759" s="6">
        <f t="shared" si="504"/>
        <v>0</v>
      </c>
      <c r="BX759" s="6">
        <f t="shared" si="505"/>
        <v>0</v>
      </c>
      <c r="BY759" s="6">
        <f t="shared" si="506"/>
        <v>0</v>
      </c>
      <c r="BZ759" s="6">
        <f t="shared" si="507"/>
        <v>0</v>
      </c>
      <c r="CA759" s="6">
        <f t="shared" si="508"/>
        <v>0</v>
      </c>
      <c r="CB759" s="6">
        <f t="shared" si="509"/>
        <v>0</v>
      </c>
      <c r="CC759" s="6">
        <f t="shared" si="510"/>
        <v>0</v>
      </c>
      <c r="CD759" s="6">
        <f t="shared" si="511"/>
        <v>0</v>
      </c>
      <c r="CE759" s="6">
        <f t="shared" si="512"/>
        <v>0</v>
      </c>
      <c r="CF759" s="6">
        <f t="shared" si="513"/>
        <v>0</v>
      </c>
      <c r="CG759" s="6">
        <f t="shared" si="514"/>
        <v>2124814.9900000002</v>
      </c>
      <c r="CH759" s="6">
        <f t="shared" si="496"/>
        <v>0</v>
      </c>
    </row>
    <row r="760" spans="1:86" hidden="1" x14ac:dyDescent="0.35">
      <c r="A760" s="3" t="s">
        <v>1218</v>
      </c>
      <c r="B760" s="10">
        <v>4000000</v>
      </c>
      <c r="N760" s="27">
        <f t="shared" si="498"/>
        <v>4000000</v>
      </c>
      <c r="AA760" s="27">
        <f t="shared" si="499"/>
        <v>0</v>
      </c>
      <c r="AB760" s="10">
        <f t="shared" si="516"/>
        <v>4000000</v>
      </c>
      <c r="AC760" s="10">
        <f t="shared" si="516"/>
        <v>0</v>
      </c>
      <c r="AD760" s="10">
        <f t="shared" si="516"/>
        <v>0</v>
      </c>
      <c r="AE760" s="10">
        <f t="shared" si="516"/>
        <v>0</v>
      </c>
      <c r="AF760" s="10">
        <f t="shared" si="516"/>
        <v>0</v>
      </c>
      <c r="AG760" s="10">
        <f t="shared" si="516"/>
        <v>0</v>
      </c>
      <c r="AH760" s="10">
        <f t="shared" si="516"/>
        <v>0</v>
      </c>
      <c r="AI760" s="10">
        <f t="shared" si="516"/>
        <v>0</v>
      </c>
      <c r="AJ760" s="10">
        <f t="shared" si="516"/>
        <v>0</v>
      </c>
      <c r="AK760" s="10">
        <f t="shared" si="516"/>
        <v>0</v>
      </c>
      <c r="AL760" s="10">
        <f t="shared" si="516"/>
        <v>0</v>
      </c>
      <c r="AM760" s="10">
        <f t="shared" si="516"/>
        <v>0</v>
      </c>
      <c r="AN760" s="27">
        <f t="shared" si="516"/>
        <v>4000000</v>
      </c>
      <c r="AS760" t="str">
        <f>_xlfn.XLOOKUP(AU760,[2]GAE!HZ:HZ,[2]GAE!IA:IA)</f>
        <v>SBU BS - ESTATES (CO</v>
      </c>
      <c r="AT760" t="str">
        <f>_xlfn.XLOOKUP(AU760,[2]GAE!HZ:HZ,[2]GAE!IB:IB)</f>
        <v>DOE - Research and Development</v>
      </c>
      <c r="AU760" t="s">
        <v>1219</v>
      </c>
      <c r="AV760">
        <v>81349101</v>
      </c>
      <c r="AW760">
        <v>52959901</v>
      </c>
      <c r="AX760" t="str">
        <f>_xlfn.XLOOKUP(AU760,[2]GAE!HZ:HZ,[2]GAE!IF:IF)</f>
        <v>Others</v>
      </c>
      <c r="AY760" t="str">
        <f>_xlfn.XLOOKUP(AU760,[2]GAE!HZ:HZ,[2]GAE!IG:IG)</f>
        <v>Research and Development</v>
      </c>
      <c r="BC760" t="s">
        <v>209</v>
      </c>
      <c r="BD760" t="s">
        <v>209</v>
      </c>
      <c r="BF760" t="s">
        <v>207</v>
      </c>
      <c r="BG760" s="2" t="s">
        <v>209</v>
      </c>
      <c r="BH760" s="10">
        <f>SUMIFS('[1]2026'!$K:$K,'[1]2026'!$T:$T,BD760,'[1]2026'!$S:$S,BH$3,'[1]2026'!$P:$P,AU760)</f>
        <v>-460808.4</v>
      </c>
      <c r="BI760" s="10">
        <f>SUMIFS('[1]2026'!$K:$K,'[1]2026'!$T:$T,$BD760,'[1]2026'!$S:$S,BI$3,'[1]2026'!$P:$P,$AU760)</f>
        <v>0</v>
      </c>
      <c r="BJ760" s="10">
        <f>SUMIFS('[1]2026'!$K:$K,'[1]2026'!$T:$T,$BD760,'[1]2026'!$S:$S,BJ$3,'[1]2026'!$P:$P,$AU760)</f>
        <v>459022.2</v>
      </c>
      <c r="BK760" s="10">
        <f>SUMIFS('[1]2026'!$K:$K,'[1]2026'!$T:$T,$BD760,'[1]2026'!$S:$S,BK$3,'[1]2026'!$P:$P,$AU760)</f>
        <v>0</v>
      </c>
      <c r="BL760" s="10">
        <f>SUMIFS('[1]2026'!$K:$K,'[1]2026'!$T:$T,$BD760,'[1]2026'!$S:$S,BL$3,'[1]2026'!$P:$P,$AU760)</f>
        <v>0</v>
      </c>
      <c r="BM760" s="10">
        <f>SUMIFS('[1]2026'!$K:$K,'[1]2026'!$T:$T,$BD760,'[1]2026'!$S:$S,BM$3,'[1]2026'!$P:$P,$AU760)</f>
        <v>1606577.7</v>
      </c>
      <c r="BN760" s="10">
        <f>SUMIFS('[1]2026'!$K:$K,'[1]2026'!$T:$T,$BD760,'[1]2026'!$S:$S,BN$3,'[1]2026'!$P:$P,$AU760)</f>
        <v>0</v>
      </c>
      <c r="BO760" s="10">
        <f>SUMIFS('[1]2026'!$K:$K,'[1]2026'!$T:$T,$BD760,'[1]2026'!$S:$S,BO$3,'[1]2026'!$P:$P,$AU760)</f>
        <v>0</v>
      </c>
      <c r="BP760" s="6"/>
      <c r="BQ760" s="6"/>
      <c r="BR760" s="6"/>
      <c r="BS760" s="6"/>
      <c r="BT760" s="6">
        <f t="shared" si="515"/>
        <v>1604791.5</v>
      </c>
      <c r="BV760" s="6">
        <f t="shared" si="503"/>
        <v>-4460808.4000000004</v>
      </c>
      <c r="BW760" s="6">
        <f t="shared" si="504"/>
        <v>0</v>
      </c>
      <c r="BX760" s="6">
        <f t="shared" si="505"/>
        <v>459022.2</v>
      </c>
      <c r="BY760" s="6">
        <f t="shared" si="506"/>
        <v>0</v>
      </c>
      <c r="BZ760" s="6">
        <f t="shared" si="507"/>
        <v>0</v>
      </c>
      <c r="CA760" s="6">
        <f t="shared" si="508"/>
        <v>1606577.7</v>
      </c>
      <c r="CB760" s="6">
        <f t="shared" si="509"/>
        <v>0</v>
      </c>
      <c r="CC760" s="6">
        <f t="shared" si="510"/>
        <v>0</v>
      </c>
      <c r="CD760" s="6">
        <f t="shared" si="511"/>
        <v>0</v>
      </c>
      <c r="CE760" s="6">
        <f t="shared" si="512"/>
        <v>0</v>
      </c>
      <c r="CF760" s="6">
        <f t="shared" si="513"/>
        <v>0</v>
      </c>
      <c r="CG760" s="6">
        <f t="shared" si="514"/>
        <v>0</v>
      </c>
      <c r="CH760" s="6">
        <f t="shared" si="496"/>
        <v>-2395208.5</v>
      </c>
    </row>
    <row r="761" spans="1:86" hidden="1" x14ac:dyDescent="0.35">
      <c r="A761" s="3" t="s">
        <v>1218</v>
      </c>
      <c r="B761" s="10">
        <v>500000</v>
      </c>
      <c r="N761" s="27">
        <f t="shared" si="498"/>
        <v>500000</v>
      </c>
      <c r="AA761" s="27">
        <f t="shared" si="499"/>
        <v>0</v>
      </c>
      <c r="AB761" s="10">
        <f t="shared" si="516"/>
        <v>500000</v>
      </c>
      <c r="AC761" s="10">
        <f t="shared" si="516"/>
        <v>0</v>
      </c>
      <c r="AD761" s="10">
        <f t="shared" si="516"/>
        <v>0</v>
      </c>
      <c r="AE761" s="10">
        <f t="shared" si="516"/>
        <v>0</v>
      </c>
      <c r="AF761" s="10">
        <f t="shared" si="516"/>
        <v>0</v>
      </c>
      <c r="AG761" s="10">
        <f t="shared" si="516"/>
        <v>0</v>
      </c>
      <c r="AH761" s="10">
        <f t="shared" si="516"/>
        <v>0</v>
      </c>
      <c r="AI761" s="10">
        <f t="shared" si="516"/>
        <v>0</v>
      </c>
      <c r="AJ761" s="10">
        <f t="shared" si="516"/>
        <v>0</v>
      </c>
      <c r="AK761" s="10">
        <f t="shared" si="516"/>
        <v>0</v>
      </c>
      <c r="AL761" s="10">
        <f t="shared" si="516"/>
        <v>0</v>
      </c>
      <c r="AM761" s="10">
        <f t="shared" si="516"/>
        <v>0</v>
      </c>
      <c r="AN761" s="27">
        <f t="shared" si="516"/>
        <v>500000</v>
      </c>
      <c r="AS761" t="str">
        <f>_xlfn.XLOOKUP(AU761,[2]GAE!HZ:HZ,[2]GAE!IA:IA)</f>
        <v>GSC OLD BLDGS</v>
      </c>
      <c r="AT761" t="str">
        <f>_xlfn.XLOOKUP(AU761,[2]GAE!HZ:HZ,[2]GAE!IB:IB)</f>
        <v>GAE - Others</v>
      </c>
      <c r="AU761" t="s">
        <v>1220</v>
      </c>
      <c r="AV761">
        <v>81221201</v>
      </c>
      <c r="AW761">
        <v>61959999</v>
      </c>
      <c r="AX761" t="str">
        <f>_xlfn.XLOOKUP(AU761,[2]GAE!HZ:HZ,[2]GAE!IF:IF)</f>
        <v>Others</v>
      </c>
      <c r="AY761" t="str">
        <f>_xlfn.XLOOKUP(AU761,[2]GAE!HZ:HZ,[2]GAE!IG:IG)</f>
        <v>Others</v>
      </c>
      <c r="BC761" t="s">
        <v>294</v>
      </c>
      <c r="BD761" t="s">
        <v>209</v>
      </c>
      <c r="BF761" t="s">
        <v>207</v>
      </c>
      <c r="BG761" s="2" t="s">
        <v>209</v>
      </c>
      <c r="BH761" s="10">
        <f>SUMIFS('[1]2026'!$K:$K,'[1]2026'!$T:$T,BD761,'[1]2026'!$S:$S,BH$3,'[1]2026'!$P:$P,AU761)</f>
        <v>0</v>
      </c>
      <c r="BI761" s="10">
        <f>SUMIFS('[1]2026'!$K:$K,'[1]2026'!$T:$T,$BD761,'[1]2026'!$S:$S,BI$3,'[1]2026'!$P:$P,$AU761)</f>
        <v>459022.2</v>
      </c>
      <c r="BJ761" s="10">
        <f>SUMIFS('[1]2026'!$K:$K,'[1]2026'!$T:$T,$BD761,'[1]2026'!$S:$S,BJ$3,'[1]2026'!$P:$P,$AU761)</f>
        <v>-459022.2</v>
      </c>
      <c r="BK761" s="10">
        <f>SUMIFS('[1]2026'!$K:$K,'[1]2026'!$T:$T,$BD761,'[1]2026'!$S:$S,BK$3,'[1]2026'!$P:$P,$AU761)</f>
        <v>918044.4</v>
      </c>
      <c r="BL761" s="10">
        <f>SUMIFS('[1]2026'!$K:$K,'[1]2026'!$T:$T,$BD761,'[1]2026'!$S:$S,BL$3,'[1]2026'!$P:$P,$AU761)</f>
        <v>0</v>
      </c>
      <c r="BM761" s="10">
        <f>SUMIFS('[1]2026'!$K:$K,'[1]2026'!$T:$T,$BD761,'[1]2026'!$S:$S,BM$3,'[1]2026'!$P:$P,$AU761)</f>
        <v>-918044.39999999991</v>
      </c>
      <c r="BN761" s="10">
        <f>SUMIFS('[1]2026'!$K:$K,'[1]2026'!$T:$T,$BD761,'[1]2026'!$S:$S,BN$3,'[1]2026'!$P:$P,$AU761)</f>
        <v>0</v>
      </c>
      <c r="BO761" s="10">
        <f>SUMIFS('[1]2026'!$K:$K,'[1]2026'!$T:$T,$BD761,'[1]2026'!$S:$S,BO$3,'[1]2026'!$P:$P,$AU761)</f>
        <v>0</v>
      </c>
      <c r="BP761" s="6"/>
      <c r="BQ761" s="6"/>
      <c r="BR761" s="6"/>
      <c r="BS761" s="6"/>
      <c r="BT761" s="6">
        <f t="shared" si="515"/>
        <v>1.1641532182693481E-10</v>
      </c>
      <c r="BV761" s="6">
        <f t="shared" si="503"/>
        <v>-500000</v>
      </c>
      <c r="BW761" s="6">
        <f t="shared" si="504"/>
        <v>459022.2</v>
      </c>
      <c r="BX761" s="6">
        <f t="shared" si="505"/>
        <v>-459022.2</v>
      </c>
      <c r="BY761" s="6">
        <f t="shared" si="506"/>
        <v>918044.4</v>
      </c>
      <c r="BZ761" s="6">
        <f t="shared" si="507"/>
        <v>0</v>
      </c>
      <c r="CA761" s="6">
        <f t="shared" si="508"/>
        <v>-918044.39999999991</v>
      </c>
      <c r="CB761" s="6">
        <f t="shared" si="509"/>
        <v>0</v>
      </c>
      <c r="CC761" s="6">
        <f t="shared" si="510"/>
        <v>0</v>
      </c>
      <c r="CD761" s="6">
        <f t="shared" si="511"/>
        <v>0</v>
      </c>
      <c r="CE761" s="6">
        <f t="shared" si="512"/>
        <v>0</v>
      </c>
      <c r="CF761" s="6">
        <f t="shared" si="513"/>
        <v>0</v>
      </c>
      <c r="CG761" s="6">
        <f t="shared" si="514"/>
        <v>0</v>
      </c>
      <c r="CH761" s="6">
        <f t="shared" si="496"/>
        <v>-499999.99999999988</v>
      </c>
    </row>
    <row r="762" spans="1:86" hidden="1" x14ac:dyDescent="0.35">
      <c r="A762" s="3" t="s">
        <v>1221</v>
      </c>
      <c r="B762" s="10">
        <v>1000000</v>
      </c>
      <c r="N762" s="27">
        <f t="shared" si="498"/>
        <v>1000000</v>
      </c>
      <c r="AA762" s="27">
        <f t="shared" si="499"/>
        <v>0</v>
      </c>
      <c r="AN762" s="27">
        <f t="shared" si="516"/>
        <v>1000000</v>
      </c>
      <c r="AS762" t="str">
        <f>_xlfn.XLOOKUP(AU762,[2]GAE!HZ:HZ,[2]GAE!IA:IA)</f>
        <v>SBU BS - ESTATES (CO</v>
      </c>
      <c r="AT762" t="str">
        <f>_xlfn.XLOOKUP(AU762,[2]GAE!HZ:HZ,[2]GAE!IB:IB)</f>
        <v>DOE - Research and Development</v>
      </c>
      <c r="AU762" s="2" t="s">
        <v>1219</v>
      </c>
      <c r="AV762" s="2">
        <v>81349101</v>
      </c>
      <c r="AW762" s="2">
        <v>52959901</v>
      </c>
      <c r="AX762" t="str">
        <f>_xlfn.XLOOKUP(AU762,[2]GAE!HZ:HZ,[2]GAE!IF:IF)</f>
        <v>Others</v>
      </c>
      <c r="AY762" t="str">
        <f>_xlfn.XLOOKUP(AU762,[2]GAE!HZ:HZ,[2]GAE!IG:IG)</f>
        <v>Research and Development</v>
      </c>
      <c r="BC762" t="s">
        <v>210</v>
      </c>
      <c r="BD762" t="s">
        <v>210</v>
      </c>
      <c r="BF762" t="s">
        <v>207</v>
      </c>
      <c r="BG762" s="2" t="s">
        <v>210</v>
      </c>
      <c r="BH762" s="10">
        <f>SUMIFS('[1]2026'!$K:$K,'[1]2026'!$T:$T,BD762,'[1]2026'!$S:$S,BH$3,'[1]2026'!$P:$P,AU762)</f>
        <v>0</v>
      </c>
      <c r="BI762" s="10">
        <f>SUMIFS('[1]2026'!$K:$K,'[1]2026'!$T:$T,$BD762,'[1]2026'!$S:$S,BI$3,'[1]2026'!$P:$P,$AU762)</f>
        <v>0</v>
      </c>
      <c r="BJ762" s="10">
        <f>SUMIFS('[1]2026'!$K:$K,'[1]2026'!$T:$T,$BD762,'[1]2026'!$S:$S,BJ$3,'[1]2026'!$P:$P,$AU762)</f>
        <v>0</v>
      </c>
      <c r="BK762" s="10">
        <f>SUMIFS('[1]2026'!$K:$K,'[1]2026'!$T:$T,$BD762,'[1]2026'!$S:$S,BK$3,'[1]2026'!$P:$P,$AU762)</f>
        <v>0</v>
      </c>
      <c r="BL762" s="10">
        <f>SUMIFS('[1]2026'!$K:$K,'[1]2026'!$T:$T,$BD762,'[1]2026'!$S:$S,BL$3,'[1]2026'!$P:$P,$AU762)</f>
        <v>0</v>
      </c>
      <c r="BM762" s="10">
        <f>SUMIFS('[1]2026'!$K:$K,'[1]2026'!$T:$T,$BD762,'[1]2026'!$S:$S,BM$3,'[1]2026'!$P:$P,$AU762)</f>
        <v>892857.14</v>
      </c>
      <c r="BN762" s="10">
        <f>SUMIFS('[1]2026'!$K:$K,'[1]2026'!$T:$T,$BD762,'[1]2026'!$S:$S,BN$3,'[1]2026'!$P:$P,$AU762)</f>
        <v>0</v>
      </c>
      <c r="BO762" s="10">
        <f>SUMIFS('[1]2026'!$K:$K,'[1]2026'!$T:$T,$BD762,'[1]2026'!$S:$S,BO$3,'[1]2026'!$P:$P,$AU762)</f>
        <v>0</v>
      </c>
      <c r="BP762" s="6"/>
      <c r="BQ762" s="6"/>
      <c r="BR762" s="6"/>
      <c r="BS762" s="6"/>
      <c r="BT762" s="6">
        <f t="shared" si="515"/>
        <v>892857.14</v>
      </c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>
        <f t="shared" si="496"/>
        <v>-107142.85999999999</v>
      </c>
    </row>
    <row r="763" spans="1:86" hidden="1" x14ac:dyDescent="0.35">
      <c r="A763" s="3" t="s">
        <v>1222</v>
      </c>
      <c r="B763" s="10">
        <v>3000000</v>
      </c>
      <c r="N763" s="27">
        <f t="shared" si="498"/>
        <v>3000000</v>
      </c>
      <c r="AA763" s="27">
        <f t="shared" si="499"/>
        <v>0</v>
      </c>
      <c r="AN763" s="27">
        <f t="shared" si="516"/>
        <v>3000000</v>
      </c>
      <c r="AS763" t="str">
        <f>_xlfn.XLOOKUP(AU763,[2]GAE!HZ:HZ,[2]GAE!IA:IA)</f>
        <v>SBU BS - ESTATES (CO</v>
      </c>
      <c r="AT763" t="str">
        <f>_xlfn.XLOOKUP(AU763,[2]GAE!HZ:HZ,[2]GAE!IB:IB)</f>
        <v>GAE - Research &amp; Development</v>
      </c>
      <c r="AU763" s="2" t="s">
        <v>1216</v>
      </c>
      <c r="AV763" s="2">
        <v>80349101</v>
      </c>
      <c r="AW763" s="2">
        <v>61959994</v>
      </c>
      <c r="AX763" t="str">
        <f>_xlfn.XLOOKUP(AU763,[2]GAE!HZ:HZ,[2]GAE!IF:IF)</f>
        <v>Others</v>
      </c>
      <c r="AY763" t="str">
        <f>_xlfn.XLOOKUP(AU763,[2]GAE!HZ:HZ,[2]GAE!IG:IG)</f>
        <v>Research and Development</v>
      </c>
      <c r="BC763" t="s">
        <v>211</v>
      </c>
      <c r="BD763" t="s">
        <v>211</v>
      </c>
      <c r="BF763" t="s">
        <v>207</v>
      </c>
      <c r="BG763" s="2" t="s">
        <v>211</v>
      </c>
      <c r="BH763" s="10">
        <f>SUMIFS('[1]2026'!$K:$K,'[1]2026'!$T:$T,BD763,'[1]2026'!$S:$S,BH$3,'[1]2026'!$P:$P,AU763)</f>
        <v>0</v>
      </c>
      <c r="BI763" s="10">
        <f>SUMIFS('[1]2026'!$K:$K,'[1]2026'!$T:$T,$BD763,'[1]2026'!$S:$S,BI$3,'[1]2026'!$P:$P,$AU763)</f>
        <v>0</v>
      </c>
      <c r="BJ763" s="10">
        <f>SUMIFS('[1]2026'!$K:$K,'[1]2026'!$T:$T,$BD763,'[1]2026'!$S:$S,BJ$3,'[1]2026'!$P:$P,$AU763)</f>
        <v>0</v>
      </c>
      <c r="BK763" s="10">
        <f>SUMIFS('[1]2026'!$K:$K,'[1]2026'!$T:$T,$BD763,'[1]2026'!$S:$S,BK$3,'[1]2026'!$P:$P,$AU763)</f>
        <v>0</v>
      </c>
      <c r="BL763" s="10">
        <f>SUMIFS('[1]2026'!$K:$K,'[1]2026'!$T:$T,$BD763,'[1]2026'!$S:$S,BL$3,'[1]2026'!$P:$P,$AU763)</f>
        <v>0</v>
      </c>
      <c r="BM763" s="10">
        <f>SUMIFS('[1]2026'!$K:$K,'[1]2026'!$T:$T,$BD763,'[1]2026'!$S:$S,BM$3,'[1]2026'!$P:$P,$AU763)</f>
        <v>0</v>
      </c>
      <c r="BN763" s="10">
        <f>SUMIFS('[1]2026'!$K:$K,'[1]2026'!$T:$T,$BD763,'[1]2026'!$S:$S,BN$3,'[1]2026'!$P:$P,$AU763)</f>
        <v>0</v>
      </c>
      <c r="BO763" s="10">
        <f>SUMIFS('[1]2026'!$K:$K,'[1]2026'!$T:$T,$BD763,'[1]2026'!$S:$S,BO$3,'[1]2026'!$P:$P,$AU763)</f>
        <v>0</v>
      </c>
      <c r="BP763" s="6"/>
      <c r="BQ763" s="6"/>
      <c r="BR763" s="6"/>
      <c r="BS763" s="6"/>
      <c r="BT763" s="6">
        <f t="shared" si="515"/>
        <v>0</v>
      </c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>
        <f t="shared" si="496"/>
        <v>-3000000</v>
      </c>
    </row>
    <row r="764" spans="1:86" hidden="1" x14ac:dyDescent="0.35">
      <c r="A764" s="3" t="s">
        <v>1223</v>
      </c>
      <c r="B764" s="10">
        <v>0</v>
      </c>
      <c r="N764" s="27">
        <f t="shared" si="498"/>
        <v>0</v>
      </c>
      <c r="AA764" s="27">
        <f t="shared" si="499"/>
        <v>0</v>
      </c>
      <c r="AN764" s="27">
        <f t="shared" si="516"/>
        <v>0</v>
      </c>
      <c r="AS764" t="str">
        <f>_xlfn.XLOOKUP(AU764,[2]GAE!HZ:HZ,[2]GAE!IA:IA)</f>
        <v>SBU BS - ESTATES (CO</v>
      </c>
      <c r="AT764" t="str">
        <f>_xlfn.XLOOKUP(AU764,[2]GAE!HZ:HZ,[2]GAE!IB:IB)</f>
        <v>DOE - Research and Development</v>
      </c>
      <c r="AU764" s="2" t="s">
        <v>1219</v>
      </c>
      <c r="AV764" s="2">
        <v>81349101</v>
      </c>
      <c r="AW764" s="2">
        <v>52959901</v>
      </c>
      <c r="AX764" t="str">
        <f>_xlfn.XLOOKUP(AU764,[2]GAE!HZ:HZ,[2]GAE!IF:IF)</f>
        <v>Others</v>
      </c>
      <c r="AY764" t="str">
        <f>_xlfn.XLOOKUP(AU764,[2]GAE!HZ:HZ,[2]GAE!IG:IG)</f>
        <v>Research and Development</v>
      </c>
      <c r="BC764" t="s">
        <v>212</v>
      </c>
      <c r="BD764" t="s">
        <v>212</v>
      </c>
      <c r="BF764" t="s">
        <v>207</v>
      </c>
      <c r="BG764" s="2" t="s">
        <v>212</v>
      </c>
      <c r="BM764" s="10">
        <f>SUMIFS('[1]2026'!$K:$K,'[1]2026'!$T:$T,$BD764,'[1]2026'!$S:$S,BM$3,'[1]2026'!$P:$P,$AU764)</f>
        <v>0</v>
      </c>
      <c r="BN764" s="10">
        <f>SUMIFS('[1]2026'!$K:$K,'[1]2026'!$T:$T,$BD764,'[1]2026'!$S:$S,BN$3,'[1]2026'!$P:$P,$AU764)</f>
        <v>0</v>
      </c>
      <c r="BO764" s="10">
        <f>SUMIFS('[1]2026'!$K:$K,'[1]2026'!$T:$T,$BD764,'[1]2026'!$S:$S,BO$3,'[1]2026'!$P:$P,$AU764)</f>
        <v>0</v>
      </c>
      <c r="BP764" s="6"/>
      <c r="BQ764" s="6"/>
      <c r="BR764" s="6"/>
      <c r="BS764" s="6"/>
      <c r="BT764" s="6">
        <f t="shared" si="515"/>
        <v>0</v>
      </c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>
        <f t="shared" si="496"/>
        <v>0</v>
      </c>
    </row>
    <row r="765" spans="1:86" hidden="1" x14ac:dyDescent="0.35">
      <c r="A765" s="3" t="s">
        <v>1224</v>
      </c>
      <c r="B765" s="10">
        <f>950000+2875185.01</f>
        <v>3825185.01</v>
      </c>
      <c r="N765" s="27">
        <f t="shared" si="498"/>
        <v>3825185.01</v>
      </c>
      <c r="AA765" s="27">
        <f t="shared" si="499"/>
        <v>0</v>
      </c>
      <c r="AN765" s="27">
        <f t="shared" si="516"/>
        <v>3825185.01</v>
      </c>
      <c r="AS765" t="str">
        <f>_xlfn.XLOOKUP(AU765,[2]GAE!HZ:HZ,[2]GAE!IA:IA)</f>
        <v>TIENDESITAS</v>
      </c>
      <c r="AT765" t="str">
        <f>_xlfn.XLOOKUP(AU765,[2]GAE!HZ:HZ,[2]GAE!IB:IB)</f>
        <v>GAE - Research &amp; Development</v>
      </c>
      <c r="AU765" t="s">
        <v>1225</v>
      </c>
      <c r="AV765">
        <v>81222101</v>
      </c>
      <c r="AW765">
        <v>61959994</v>
      </c>
      <c r="AX765" t="str">
        <f>_xlfn.XLOOKUP(AU765,[2]GAE!HZ:HZ,[2]GAE!IF:IF)</f>
        <v>Others</v>
      </c>
      <c r="AY765" t="str">
        <f>_xlfn.XLOOKUP(AU765,[2]GAE!HZ:HZ,[2]GAE!IG:IG)</f>
        <v>Research and Development</v>
      </c>
      <c r="BC765" t="s">
        <v>213</v>
      </c>
      <c r="BD765" t="s">
        <v>213</v>
      </c>
      <c r="BF765" t="s">
        <v>207</v>
      </c>
      <c r="BG765" s="2" t="s">
        <v>213</v>
      </c>
      <c r="BH765" s="10">
        <f>SUMIFS('[1]2026'!$K:$K,'[1]2026'!$T:$T,BD765,'[1]2026'!$S:$S,BH$3,'[1]2026'!$P:$P,AU765)</f>
        <v>0</v>
      </c>
      <c r="BI765" s="10">
        <f>SUMIFS('[1]2026'!$K:$K,'[1]2026'!$T:$T,$BD765,'[1]2026'!$S:$S,BI$3,'[1]2026'!$P:$P,$AU765)</f>
        <v>0</v>
      </c>
      <c r="BJ765" s="10">
        <f>SUMIFS('[1]2026'!$K:$K,'[1]2026'!$T:$T,$BD765,'[1]2026'!$S:$S,BJ$3,'[1]2026'!$P:$P,$AU765)</f>
        <v>0</v>
      </c>
      <c r="BK765" s="10">
        <f>SUMIFS('[1]2026'!$K:$K,'[1]2026'!$T:$T,$BD765,'[1]2026'!$S:$S,BK$3,'[1]2026'!$P:$P,$AU765)</f>
        <v>0</v>
      </c>
      <c r="BL765" s="10">
        <f>SUMIFS('[1]2026'!$K:$K,'[1]2026'!$T:$T,$BD765,'[1]2026'!$S:$S,BL$3,'[1]2026'!$P:$P,$AU765)</f>
        <v>0</v>
      </c>
      <c r="BM765" s="10">
        <f>SUMIFS('[1]2026'!$K:$K,'[1]2026'!$T:$T,$BD765,'[1]2026'!$S:$S,BM$3,'[1]2026'!$P:$P,$AU765)</f>
        <v>0</v>
      </c>
      <c r="BN765" s="10">
        <f>SUMIFS('[1]2026'!$K:$K,'[1]2026'!$T:$T,$BD765,'[1]2026'!$S:$S,BN$3,'[1]2026'!$P:$P,$AU765)</f>
        <v>1721333.26</v>
      </c>
      <c r="BO765" s="10">
        <f>SUMIFS('[1]2026'!$K:$K,'[1]2026'!$T:$T,$BD765,'[1]2026'!$S:$S,BO$3,'[1]2026'!$P:$P,$AU765)</f>
        <v>-898918.48</v>
      </c>
      <c r="BP765" s="6">
        <f>-SUM(BN765:BO765,BN766:BO766)</f>
        <v>-822414.78</v>
      </c>
      <c r="BQ765" s="6"/>
      <c r="BR765" s="6"/>
      <c r="BS765" s="6"/>
      <c r="BT765" s="6">
        <f t="shared" si="515"/>
        <v>0</v>
      </c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>
        <f t="shared" si="496"/>
        <v>-3825185.01</v>
      </c>
    </row>
    <row r="766" spans="1:86" hidden="1" x14ac:dyDescent="0.35">
      <c r="AN766" s="27">
        <f t="shared" si="516"/>
        <v>0</v>
      </c>
      <c r="AS766" t="str">
        <f>_xlfn.XLOOKUP(AU766,[2]GAE!HZ:HZ,[2]GAE!IA:IA)</f>
        <v>SBU BS - ESTATES (CO</v>
      </c>
      <c r="AT766" t="str">
        <f>_xlfn.XLOOKUP(AU766,[2]GAE!HZ:HZ,[2]GAE!IB:IB)</f>
        <v>DOE - Research and Development</v>
      </c>
      <c r="AU766" t="s">
        <v>1219</v>
      </c>
      <c r="AV766">
        <v>81349101</v>
      </c>
      <c r="AW766">
        <v>52959901</v>
      </c>
      <c r="AX766" t="str">
        <f>_xlfn.XLOOKUP(AU766,[2]GAE!HZ:HZ,[2]GAE!IF:IF)</f>
        <v>Others</v>
      </c>
      <c r="AY766" t="str">
        <f>_xlfn.XLOOKUP(AU766,[2]GAE!HZ:HZ,[2]GAE!IG:IG)</f>
        <v>Research and Development</v>
      </c>
      <c r="BC766" t="s">
        <v>213</v>
      </c>
      <c r="BD766" t="s">
        <v>213</v>
      </c>
      <c r="BF766" t="s">
        <v>207</v>
      </c>
      <c r="BG766" s="2" t="s">
        <v>213</v>
      </c>
      <c r="BN766" s="10">
        <f>SUMIFS('[1]2026'!$K:$K,'[1]2026'!$T:$T,$BD766,'[1]2026'!$S:$S,BN$3,'[1]2026'!$P:$P,$AU766)</f>
        <v>-898918.48</v>
      </c>
      <c r="BO766" s="10">
        <f>SUMIFS('[1]2026'!$K:$K,'[1]2026'!$T:$T,$BD766,'[1]2026'!$S:$S,BO$3,'[1]2026'!$P:$P,$AU766)</f>
        <v>898918.48</v>
      </c>
      <c r="BP766" s="6"/>
      <c r="BQ766" s="6"/>
      <c r="BR766" s="6"/>
      <c r="BS766" s="6">
        <f>5987501.62+700000</f>
        <v>6687501.6200000001</v>
      </c>
      <c r="BT766" s="6">
        <f t="shared" si="515"/>
        <v>6687501.6200000001</v>
      </c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>
        <f t="shared" si="496"/>
        <v>6687501.6200000001</v>
      </c>
    </row>
    <row r="767" spans="1:86" hidden="1" x14ac:dyDescent="0.35">
      <c r="A767" s="3" t="s">
        <v>1226</v>
      </c>
      <c r="M767" s="10">
        <v>7692377.0800000001</v>
      </c>
      <c r="N767" s="27">
        <f t="shared" si="498"/>
        <v>7692377.0800000001</v>
      </c>
      <c r="AA767" s="27">
        <f t="shared" si="499"/>
        <v>0</v>
      </c>
      <c r="AB767" s="10">
        <f t="shared" si="516"/>
        <v>0</v>
      </c>
      <c r="AC767" s="10">
        <f t="shared" si="516"/>
        <v>0</v>
      </c>
      <c r="AD767" s="10">
        <f t="shared" si="516"/>
        <v>0</v>
      </c>
      <c r="AE767" s="10">
        <f t="shared" si="516"/>
        <v>0</v>
      </c>
      <c r="AF767" s="10">
        <f t="shared" si="516"/>
        <v>0</v>
      </c>
      <c r="AG767" s="10">
        <f t="shared" si="516"/>
        <v>0</v>
      </c>
      <c r="AH767" s="10">
        <f t="shared" si="516"/>
        <v>0</v>
      </c>
      <c r="AI767" s="10">
        <f t="shared" si="516"/>
        <v>0</v>
      </c>
      <c r="AJ767" s="10">
        <f t="shared" si="516"/>
        <v>0</v>
      </c>
      <c r="AK767" s="10">
        <f t="shared" si="516"/>
        <v>0</v>
      </c>
      <c r="AL767" s="10">
        <f t="shared" si="516"/>
        <v>0</v>
      </c>
      <c r="AM767" s="10">
        <f t="shared" si="516"/>
        <v>7692377.0800000001</v>
      </c>
      <c r="AN767" s="27">
        <f t="shared" si="516"/>
        <v>7692377.0800000001</v>
      </c>
      <c r="AS767" t="str">
        <f>_xlfn.XLOOKUP(AU767,[2]GAE!HZ:HZ,[2]GAE!IA:IA)</f>
        <v>BUDGET  C&amp;A</v>
      </c>
      <c r="AT767" t="str">
        <f>_xlfn.XLOOKUP(AU767,[2]GAE!HZ:HZ,[2]GAE!IB:IB)</f>
        <v>GAE - Dues &amp; Fees</v>
      </c>
      <c r="AU767" t="s">
        <v>1227</v>
      </c>
      <c r="AV767">
        <v>80134103</v>
      </c>
      <c r="AW767">
        <v>61711101</v>
      </c>
      <c r="AX767" t="str">
        <f>_xlfn.XLOOKUP(AU767,[2]GAE!HZ:HZ,[2]GAE!IF:IF)</f>
        <v>Others</v>
      </c>
      <c r="AY767" t="str">
        <f>_xlfn.XLOOKUP(AU767,[2]GAE!HZ:HZ,[2]GAE!IG:IG)</f>
        <v>Dues and Fees</v>
      </c>
      <c r="BF767" t="s">
        <v>7</v>
      </c>
      <c r="BG767" s="2" t="s">
        <v>1226</v>
      </c>
      <c r="BH767" s="10">
        <f>SUMIFS('[1]2026'!$K:$K,'[1]2026'!$T:$T,BD767,'[1]2026'!$S:$S,BH$3,'[1]2026'!$P:$P,AU767)</f>
        <v>0</v>
      </c>
      <c r="BI767" s="10">
        <f>SUMIFS('[1]2026'!$K:$K,'[1]2026'!$T:$T,$BD767,'[1]2026'!$S:$S,BI$3,'[1]2026'!$P:$P,$AU767)</f>
        <v>0</v>
      </c>
      <c r="BJ767" s="10">
        <f>SUMIFS('[1]2026'!$K:$K,'[1]2026'!$T:$T,$BD767,'[1]2026'!$S:$S,BJ$3,'[1]2026'!$P:$P,$AU767)</f>
        <v>0</v>
      </c>
      <c r="BK767" s="10">
        <f>SUMIFS('[1]2026'!$K:$K,'[1]2026'!$T:$T,$BD767,'[1]2026'!$S:$S,BK$3,'[1]2026'!$P:$P,$AU767)</f>
        <v>0</v>
      </c>
      <c r="BL767" s="6"/>
      <c r="BM767" s="10">
        <f>SUMIFS('[1]2026'!$K:$K,'[1]2026'!$T:$T,$BD767,'[1]2026'!$S:$S,BM$3,'[1]2026'!$P:$P,$AU767)</f>
        <v>0</v>
      </c>
      <c r="BN767" s="10">
        <f>SUMIFS('[1]2026'!$K:$K,'[1]2026'!$T:$T,$BD767,'[1]2026'!$S:$S,BN$3,'[1]2026'!$P:$P,$AU767)</f>
        <v>0</v>
      </c>
      <c r="BO767" s="10">
        <f>SUMIFS('[1]2026'!$K:$K,'[1]2026'!$T:$T,$BD767,'[1]2026'!$S:$S,BO$3,'[1]2026'!$P:$P,$AU767)</f>
        <v>0</v>
      </c>
      <c r="BP767" s="6"/>
      <c r="BQ767" s="6"/>
      <c r="BR767" s="6"/>
      <c r="BS767" s="6"/>
      <c r="BT767" s="6">
        <f t="shared" si="515"/>
        <v>0</v>
      </c>
      <c r="BV767" s="6">
        <f t="shared" ref="BV767:CG771" si="519">BH767-AB767</f>
        <v>0</v>
      </c>
      <c r="BW767" s="6">
        <f t="shared" si="519"/>
        <v>0</v>
      </c>
      <c r="BX767" s="6">
        <f t="shared" si="519"/>
        <v>0</v>
      </c>
      <c r="BY767" s="6">
        <f t="shared" si="519"/>
        <v>0</v>
      </c>
      <c r="BZ767" s="6">
        <f t="shared" si="519"/>
        <v>0</v>
      </c>
      <c r="CA767" s="6">
        <f t="shared" si="519"/>
        <v>0</v>
      </c>
      <c r="CB767" s="6">
        <f t="shared" si="519"/>
        <v>0</v>
      </c>
      <c r="CC767" s="6">
        <f t="shared" si="519"/>
        <v>0</v>
      </c>
      <c r="CD767" s="6">
        <f t="shared" si="519"/>
        <v>0</v>
      </c>
      <c r="CE767" s="6">
        <f t="shared" si="519"/>
        <v>0</v>
      </c>
      <c r="CF767" s="6">
        <f t="shared" si="519"/>
        <v>0</v>
      </c>
      <c r="CG767" s="6">
        <f t="shared" si="519"/>
        <v>-7692377.0800000001</v>
      </c>
      <c r="CH767" s="6">
        <f t="shared" si="496"/>
        <v>-7692377.0800000001</v>
      </c>
    </row>
    <row r="768" spans="1:86" hidden="1" x14ac:dyDescent="0.35">
      <c r="AN768" s="27">
        <f t="shared" si="516"/>
        <v>0</v>
      </c>
      <c r="AS768" t="str">
        <f>_xlfn.XLOOKUP(AU768,[2]GAE!HZ:HZ,[2]GAE!IA:IA)</f>
        <v>IS &amp; IT</v>
      </c>
      <c r="AT768" t="str">
        <f>_xlfn.XLOOKUP(AU768,[2]GAE!HZ:HZ,[2]GAE!IB:IB)</f>
        <v>GAE - Repairs&amp; Maint. - IT System &amp; Equipment</v>
      </c>
      <c r="AU768" t="s">
        <v>1228</v>
      </c>
      <c r="AV768">
        <v>80124101</v>
      </c>
      <c r="AW768">
        <v>61061105</v>
      </c>
      <c r="AX768" t="str">
        <f>_xlfn.XLOOKUP(AU768,[2]GAE!HZ:HZ,[2]GAE!IF:IF)</f>
        <v>Systems &amp; Applications</v>
      </c>
      <c r="BC768" t="s">
        <v>6</v>
      </c>
      <c r="BD768" t="s">
        <v>6</v>
      </c>
      <c r="BF768" t="s">
        <v>7</v>
      </c>
      <c r="BG768" s="2" t="s">
        <v>6</v>
      </c>
      <c r="BH768" s="10">
        <f>SUMIFS('[1]2026'!$K:$K,'[1]2026'!$T:$T,BD768,'[1]2026'!$S:$S,BH$3,'[1]2026'!$P:$P,AU768)</f>
        <v>12000</v>
      </c>
      <c r="BI768" s="10">
        <f>SUMIFS('[1]2026'!$K:$K,'[1]2026'!$T:$T,$BD768,'[1]2026'!$S:$S,BI$3,'[1]2026'!$P:$P,$AU768)</f>
        <v>0</v>
      </c>
      <c r="BJ768" s="10">
        <f>SUMIFS('[1]2026'!$K:$K,'[1]2026'!$T:$T,$BD768,'[1]2026'!$S:$S,BJ$3,'[1]2026'!$P:$P,$AU768)</f>
        <v>0</v>
      </c>
      <c r="BK768" s="10">
        <f>SUMIFS('[1]2026'!$K:$K,'[1]2026'!$T:$T,$BD768,'[1]2026'!$S:$S,BK$3,'[1]2026'!$P:$P,$AU768)</f>
        <v>0</v>
      </c>
      <c r="BL768" s="10">
        <f>SUMIFS('[1]2026'!$K:$K,'[1]2026'!$T:$T,$BD768,'[1]2026'!$S:$S,BL$3,'[1]2026'!$P:$P,$AU768)</f>
        <v>0</v>
      </c>
      <c r="BM768" s="10">
        <f>SUMIFS('[1]2026'!$K:$K,'[1]2026'!$T:$T,$BD768,'[1]2026'!$S:$S,BM$3,'[1]2026'!$P:$P,$AU768)</f>
        <v>0</v>
      </c>
      <c r="BN768" s="10">
        <f>SUMIFS('[1]2026'!$K:$K,'[1]2026'!$T:$T,$BD768,'[1]2026'!$S:$S,BN$3,'[1]2026'!$P:$P,$AU768)</f>
        <v>0</v>
      </c>
      <c r="BO768" s="10">
        <f>SUMIFS('[1]2026'!$K:$K,'[1]2026'!$T:$T,$BD768,'[1]2026'!$S:$S,BO$3,'[1]2026'!$P:$P,$AU768)</f>
        <v>0</v>
      </c>
      <c r="BP768" s="6">
        <f t="shared" ref="BP768:BS768" si="520">BO768</f>
        <v>0</v>
      </c>
      <c r="BQ768" s="6">
        <f t="shared" si="520"/>
        <v>0</v>
      </c>
      <c r="BR768" s="6">
        <f t="shared" si="520"/>
        <v>0</v>
      </c>
      <c r="BS768" s="6">
        <f t="shared" si="520"/>
        <v>0</v>
      </c>
      <c r="BT768" s="6">
        <f t="shared" si="515"/>
        <v>12000</v>
      </c>
      <c r="BV768" s="6">
        <f t="shared" si="519"/>
        <v>12000</v>
      </c>
      <c r="BW768" s="6">
        <f t="shared" si="519"/>
        <v>0</v>
      </c>
      <c r="BX768" s="6">
        <f t="shared" si="519"/>
        <v>0</v>
      </c>
      <c r="BY768" s="6">
        <f t="shared" si="519"/>
        <v>0</v>
      </c>
      <c r="BZ768" s="6">
        <f t="shared" si="519"/>
        <v>0</v>
      </c>
      <c r="CA768" s="6">
        <f t="shared" si="519"/>
        <v>0</v>
      </c>
      <c r="CB768" s="6">
        <f t="shared" si="519"/>
        <v>0</v>
      </c>
      <c r="CC768" s="6">
        <f t="shared" si="519"/>
        <v>0</v>
      </c>
      <c r="CD768" s="6">
        <f t="shared" si="519"/>
        <v>0</v>
      </c>
      <c r="CE768" s="6">
        <f t="shared" si="519"/>
        <v>0</v>
      </c>
      <c r="CF768" s="6">
        <f t="shared" si="519"/>
        <v>0</v>
      </c>
      <c r="CG768" s="6">
        <f t="shared" si="519"/>
        <v>0</v>
      </c>
      <c r="CH768" s="6">
        <f t="shared" si="496"/>
        <v>12000</v>
      </c>
    </row>
    <row r="769" spans="1:86" hidden="1" x14ac:dyDescent="0.35">
      <c r="A769" s="3" t="s">
        <v>1229</v>
      </c>
      <c r="AN769" s="27">
        <f t="shared" si="516"/>
        <v>0</v>
      </c>
      <c r="AS769" t="str">
        <f>_xlfn.XLOOKUP(AU769,[2]GAE!HZ:HZ,[2]GAE!IA:IA)</f>
        <v>IS &amp; IT</v>
      </c>
      <c r="AT769" t="str">
        <f>_xlfn.XLOOKUP(AU769,[2]GAE!HZ:HZ,[2]GAE!IB:IB)</f>
        <v>DOE - Systems and Applications</v>
      </c>
      <c r="AU769" t="s">
        <v>594</v>
      </c>
      <c r="AV769">
        <v>81124101</v>
      </c>
      <c r="AW769">
        <v>52952103</v>
      </c>
      <c r="AX769" t="str">
        <f>_xlfn.XLOOKUP(AU769,[2]GAE!HZ:HZ,[2]GAE!IF:IF)</f>
        <v>Systems &amp; Applications</v>
      </c>
      <c r="BC769" t="s">
        <v>45</v>
      </c>
      <c r="BD769" t="s">
        <v>1230</v>
      </c>
      <c r="BF769" t="s">
        <v>609</v>
      </c>
      <c r="BG769" s="2" t="s">
        <v>45</v>
      </c>
      <c r="BH769" s="10">
        <f>SUMIFS('[1]2026'!$K:$K,'[1]2026'!$T:$T,BD769,'[1]2026'!$S:$S,BH$3,'[1]2026'!$P:$P,AU769)</f>
        <v>50994.16</v>
      </c>
      <c r="BI769" s="10">
        <f>SUMIFS('[1]2026'!$K:$K,'[1]2026'!$T:$T,$BD769,'[1]2026'!$S:$S,BI$3,'[1]2026'!$P:$P,$AU769)</f>
        <v>39684.639999999999</v>
      </c>
      <c r="BJ769" s="10">
        <f>SUMIFS('[1]2026'!$K:$K,'[1]2026'!$T:$T,$BD769,'[1]2026'!$S:$S,BJ$3,'[1]2026'!$P:$P,$AU769)</f>
        <v>19223.330000000002</v>
      </c>
      <c r="BK769" s="10">
        <f>SUMIFS('[1]2026'!$K:$K,'[1]2026'!$T:$T,$BD769,'[1]2026'!$S:$S,BK$3,'[1]2026'!$P:$P,$AU769)</f>
        <v>19223.330000000002</v>
      </c>
      <c r="BL769" s="10">
        <f>SUMIFS('[1]2026'!$K:$K,'[1]2026'!$T:$T,$BD769,'[1]2026'!$S:$S,BL$3,'[1]2026'!$P:$P,$AU769)</f>
        <v>19223.330000000002</v>
      </c>
      <c r="BM769" s="10">
        <f>SUMIFS('[1]2026'!$K:$K,'[1]2026'!$T:$T,$BD769,'[1]2026'!$S:$S,BM$3,'[1]2026'!$P:$P,$AU769)</f>
        <v>36187.61</v>
      </c>
      <c r="BN769" s="10">
        <f>SUMIFS('[1]2026'!$K:$K,'[1]2026'!$T:$T,$BD769,'[1]2026'!$S:$S,BN$3,'[1]2026'!$P:$P,$AU769)</f>
        <v>276068.56</v>
      </c>
      <c r="BO769" s="10">
        <f>SUMIFS('[1]2026'!$K:$K,'[1]2026'!$T:$T,$BD769,'[1]2026'!$S:$S,BO$3,'[1]2026'!$P:$P,$AU769)</f>
        <v>24878.090000000004</v>
      </c>
      <c r="BP769" s="6">
        <v>50994.16</v>
      </c>
      <c r="BQ769" s="6">
        <v>50994.16</v>
      </c>
      <c r="BR769" s="6">
        <v>50994.16</v>
      </c>
      <c r="BS769" s="6">
        <v>50994.16</v>
      </c>
      <c r="BT769" s="6">
        <f t="shared" si="515"/>
        <v>689459.69000000018</v>
      </c>
      <c r="BV769" s="6">
        <f t="shared" si="519"/>
        <v>50994.16</v>
      </c>
      <c r="BW769" s="6">
        <f t="shared" si="519"/>
        <v>39684.639999999999</v>
      </c>
      <c r="BX769" s="6">
        <f t="shared" si="519"/>
        <v>19223.330000000002</v>
      </c>
      <c r="BY769" s="6">
        <f t="shared" si="519"/>
        <v>19223.330000000002</v>
      </c>
      <c r="BZ769" s="6">
        <f t="shared" si="519"/>
        <v>19223.330000000002</v>
      </c>
      <c r="CA769" s="6">
        <f t="shared" si="519"/>
        <v>36187.61</v>
      </c>
      <c r="CB769" s="6">
        <f t="shared" si="519"/>
        <v>276068.56</v>
      </c>
      <c r="CC769" s="6">
        <f t="shared" si="519"/>
        <v>24878.090000000004</v>
      </c>
      <c r="CD769" s="6">
        <f t="shared" si="519"/>
        <v>50994.16</v>
      </c>
      <c r="CE769" s="6">
        <f t="shared" si="519"/>
        <v>50994.16</v>
      </c>
      <c r="CF769" s="6">
        <f t="shared" si="519"/>
        <v>50994.16</v>
      </c>
      <c r="CG769" s="6">
        <f t="shared" si="519"/>
        <v>50994.16</v>
      </c>
      <c r="CH769" s="6">
        <f t="shared" si="496"/>
        <v>689459.69000000018</v>
      </c>
    </row>
    <row r="770" spans="1:86" hidden="1" x14ac:dyDescent="0.35">
      <c r="AN770" s="27">
        <f t="shared" si="516"/>
        <v>0</v>
      </c>
      <c r="AS770" t="str">
        <f>_xlfn.XLOOKUP(AU770,[2]GAE!HZ:HZ,[2]GAE!IA:IA)</f>
        <v>IS &amp; IT</v>
      </c>
      <c r="AT770" t="str">
        <f>_xlfn.XLOOKUP(AU770,[2]GAE!HZ:HZ,[2]GAE!IB:IB)</f>
        <v>DOE - Systems and Applications</v>
      </c>
      <c r="AU770" s="2" t="s">
        <v>594</v>
      </c>
      <c r="AV770" s="2">
        <v>81124101</v>
      </c>
      <c r="AW770" s="2">
        <v>52952103</v>
      </c>
      <c r="AX770" t="str">
        <f>_xlfn.XLOOKUP(AU770,[2]GAE!HZ:HZ,[2]GAE!IF:IF)</f>
        <v>Systems &amp; Applications</v>
      </c>
      <c r="BC770" t="s">
        <v>214</v>
      </c>
      <c r="BD770" s="2" t="s">
        <v>214</v>
      </c>
      <c r="BE770" s="2"/>
      <c r="BF770" t="s">
        <v>612</v>
      </c>
      <c r="BG770" s="2" t="s">
        <v>214</v>
      </c>
      <c r="BI770" s="10">
        <f>SUMIFS('[1]2026'!$K:$K,'[1]2026'!$T:$T,$BD770,'[1]2026'!$S:$S,BI$3,'[1]2026'!$P:$P,$AU770)</f>
        <v>8852.61</v>
      </c>
      <c r="BJ770" s="10">
        <f>SUMIFS('[1]2026'!$K:$K,'[1]2026'!$T:$T,$BD770,'[1]2026'!$S:$S,BJ$3,'[1]2026'!$P:$P,$AU770)</f>
        <v>12201.68</v>
      </c>
      <c r="BK770" s="10">
        <f>SUMIFS('[1]2026'!$K:$K,'[1]2026'!$T:$T,$BD770,'[1]2026'!$S:$S,BK$3,'[1]2026'!$P:$P,$AU770)</f>
        <v>11939.24</v>
      </c>
      <c r="BL770" s="10">
        <f>SUMIFS('[1]2026'!$K:$K,'[1]2026'!$T:$T,$BD770,'[1]2026'!$S:$S,BL$3,'[1]2026'!$P:$P,$AU770)</f>
        <v>12573.43</v>
      </c>
      <c r="BM770" s="10">
        <f>SUMIFS('[1]2026'!$K:$K,'[1]2026'!$T:$T,$BD770,'[1]2026'!$S:$S,BM$3,'[1]2026'!$P:$P,$AU770)</f>
        <v>12769.73</v>
      </c>
      <c r="BN770" s="10">
        <f>SUMIFS('[1]2026'!$K:$K,'[1]2026'!$T:$T,$BD770,'[1]2026'!$S:$S,BN$3,'[1]2026'!$P:$P,$AU770)</f>
        <v>10948.15</v>
      </c>
      <c r="BO770" s="10">
        <f>SUMIFS('[1]2026'!$K:$K,'[1]2026'!$T:$T,$BD770,'[1]2026'!$S:$S,BO$3,'[1]2026'!$P:$P,$AU770)</f>
        <v>9805.7099999999991</v>
      </c>
      <c r="BP770" s="6">
        <v>10948.15</v>
      </c>
      <c r="BQ770" s="6">
        <v>10948.15</v>
      </c>
      <c r="BR770" s="6">
        <v>10948.15</v>
      </c>
      <c r="BS770" s="6">
        <v>10948.15</v>
      </c>
      <c r="BT770" s="6">
        <f t="shared" si="515"/>
        <v>122883.14999999997</v>
      </c>
      <c r="BV770" s="6">
        <f t="shared" si="519"/>
        <v>0</v>
      </c>
      <c r="BW770" s="6">
        <f t="shared" si="519"/>
        <v>8852.61</v>
      </c>
      <c r="BX770" s="6">
        <f t="shared" si="519"/>
        <v>12201.68</v>
      </c>
      <c r="BY770" s="6">
        <f t="shared" si="519"/>
        <v>11939.24</v>
      </c>
      <c r="BZ770" s="6">
        <f t="shared" si="519"/>
        <v>12573.43</v>
      </c>
      <c r="CA770" s="6">
        <f t="shared" si="519"/>
        <v>12769.73</v>
      </c>
      <c r="CB770" s="6">
        <f t="shared" si="519"/>
        <v>10948.15</v>
      </c>
      <c r="CC770" s="6">
        <f t="shared" si="519"/>
        <v>9805.7099999999991</v>
      </c>
      <c r="CD770" s="6">
        <f t="shared" si="519"/>
        <v>10948.15</v>
      </c>
      <c r="CE770" s="6">
        <f t="shared" si="519"/>
        <v>10948.15</v>
      </c>
      <c r="CF770" s="6">
        <f t="shared" si="519"/>
        <v>10948.15</v>
      </c>
      <c r="CG770" s="6">
        <f t="shared" si="519"/>
        <v>10948.15</v>
      </c>
      <c r="CH770" s="6">
        <f t="shared" si="496"/>
        <v>122883.14999999997</v>
      </c>
    </row>
    <row r="771" spans="1:86" hidden="1" x14ac:dyDescent="0.35">
      <c r="AN771" s="27">
        <f t="shared" si="516"/>
        <v>0</v>
      </c>
      <c r="AS771" t="str">
        <f>_xlfn.XLOOKUP(AU771,[2]GAE!HZ:HZ,[2]GAE!IA:IA)</f>
        <v>IS &amp; IT</v>
      </c>
      <c r="AT771" t="str">
        <f>_xlfn.XLOOKUP(AU771,[2]GAE!HZ:HZ,[2]GAE!IB:IB)</f>
        <v>GAE - Repairs&amp; Maint. - IT System &amp; Equipment</v>
      </c>
      <c r="AU771" s="2" t="s">
        <v>1228</v>
      </c>
      <c r="AV771" s="2">
        <v>80124101</v>
      </c>
      <c r="AW771" s="2">
        <v>61061105</v>
      </c>
      <c r="AX771" t="str">
        <f>_xlfn.XLOOKUP(AU771,[2]GAE!HZ:HZ,[2]GAE!IF:IF)</f>
        <v>Systems &amp; Applications</v>
      </c>
      <c r="BC771" t="s">
        <v>215</v>
      </c>
      <c r="BD771" s="2" t="s">
        <v>215</v>
      </c>
      <c r="BE771" s="2"/>
      <c r="BF771" t="s">
        <v>609</v>
      </c>
      <c r="BG771" s="2" t="s">
        <v>215</v>
      </c>
      <c r="BI771" s="10">
        <f>SUMIFS('[1]2026'!$K:$K,'[1]2026'!$T:$T,$BD771,'[1]2026'!$S:$S,BI$3,'[1]2026'!$P:$P,$AU771)</f>
        <v>62500</v>
      </c>
      <c r="BJ771" s="10">
        <f>SUMIFS('[1]2026'!$K:$K,'[1]2026'!$T:$T,$BD771,'[1]2026'!$S:$S,BJ$3,'[1]2026'!$P:$P,$AU771)</f>
        <v>0</v>
      </c>
      <c r="BK771" s="10">
        <f>SUMIFS('[1]2026'!$K:$K,'[1]2026'!$T:$T,$BD771,'[1]2026'!$S:$S,BK$3,'[1]2026'!$P:$P,$AU771)</f>
        <v>0</v>
      </c>
      <c r="BL771" s="10">
        <f>SUMIFS('[1]2026'!$K:$K,'[1]2026'!$T:$T,$BD771,'[1]2026'!$S:$S,BL$3,'[1]2026'!$P:$P,$AU771)</f>
        <v>0</v>
      </c>
      <c r="BM771" s="10">
        <f>SUMIFS('[1]2026'!$K:$K,'[1]2026'!$T:$T,$BD771,'[1]2026'!$S:$S,BM$3,'[1]2026'!$P:$P,$AU771)</f>
        <v>0</v>
      </c>
      <c r="BN771" s="10">
        <f>SUMIFS('[1]2026'!$K:$K,'[1]2026'!$T:$T,$BD771,'[1]2026'!$S:$S,BN$3,'[1]2026'!$P:$P,$AU771)</f>
        <v>0</v>
      </c>
      <c r="BO771" s="10">
        <f>SUMIFS('[1]2026'!$K:$K,'[1]2026'!$T:$T,$BD771,'[1]2026'!$S:$S,BO$3,'[1]2026'!$P:$P,$AU771)</f>
        <v>0</v>
      </c>
      <c r="BP771" s="6">
        <f t="shared" ref="BP771:BS775" si="521">BO771</f>
        <v>0</v>
      </c>
      <c r="BQ771" s="6">
        <f t="shared" si="521"/>
        <v>0</v>
      </c>
      <c r="BR771" s="6">
        <f t="shared" si="521"/>
        <v>0</v>
      </c>
      <c r="BS771" s="6">
        <f t="shared" si="521"/>
        <v>0</v>
      </c>
      <c r="BT771" s="6">
        <f t="shared" si="515"/>
        <v>62500</v>
      </c>
      <c r="BV771" s="6">
        <f t="shared" si="519"/>
        <v>0</v>
      </c>
      <c r="BW771" s="6">
        <f t="shared" si="519"/>
        <v>62500</v>
      </c>
      <c r="BX771" s="6">
        <f t="shared" si="519"/>
        <v>0</v>
      </c>
      <c r="BY771" s="6">
        <f t="shared" si="519"/>
        <v>0</v>
      </c>
      <c r="BZ771" s="6">
        <f t="shared" si="519"/>
        <v>0</v>
      </c>
      <c r="CA771" s="6">
        <f t="shared" si="519"/>
        <v>0</v>
      </c>
      <c r="CB771" s="6">
        <f t="shared" si="519"/>
        <v>0</v>
      </c>
      <c r="CC771" s="6">
        <f t="shared" si="519"/>
        <v>0</v>
      </c>
      <c r="CD771" s="6">
        <f t="shared" si="519"/>
        <v>0</v>
      </c>
      <c r="CE771" s="6">
        <f t="shared" si="519"/>
        <v>0</v>
      </c>
      <c r="CF771" s="6">
        <f t="shared" si="519"/>
        <v>0</v>
      </c>
      <c r="CG771" s="6">
        <f t="shared" si="519"/>
        <v>0</v>
      </c>
      <c r="CH771" s="6">
        <f t="shared" si="496"/>
        <v>62500</v>
      </c>
    </row>
    <row r="772" spans="1:86" x14ac:dyDescent="0.35">
      <c r="AN772" s="27">
        <f t="shared" si="516"/>
        <v>0</v>
      </c>
      <c r="AS772" t="str">
        <f>_xlfn.XLOOKUP(AU772,[2]GAE!HZ:HZ,[2]GAE!IA:IA)</f>
        <v>IS &amp; IT</v>
      </c>
      <c r="AT772" t="str">
        <f>_xlfn.XLOOKUP(AU772,[2]GAE!HZ:HZ,[2]GAE!IB:IB)</f>
        <v>GAE- Systems &amp; Applications</v>
      </c>
      <c r="AU772" s="2" t="s">
        <v>593</v>
      </c>
      <c r="AV772" s="2">
        <v>80124101</v>
      </c>
      <c r="AW772" s="2">
        <v>61711102</v>
      </c>
      <c r="AX772" t="str">
        <f>_xlfn.XLOOKUP(AU772,[2]GAE!HZ:HZ,[2]GAE!IF:IF)</f>
        <v>Systems &amp; Applications</v>
      </c>
      <c r="BC772" t="s">
        <v>216</v>
      </c>
      <c r="BD772" s="2" t="s">
        <v>216</v>
      </c>
      <c r="BE772" s="2"/>
      <c r="BF772" t="s">
        <v>612</v>
      </c>
      <c r="BG772" s="2" t="s">
        <v>216</v>
      </c>
      <c r="BK772" s="10">
        <f>SUMIFS('[1]2026'!$K:$K,'[1]2026'!$T:$T,$BD772,'[1]2026'!$S:$S,BK$3,'[1]2026'!$P:$P,$AU772)</f>
        <v>19975.97</v>
      </c>
      <c r="BL772" s="10">
        <f>SUMIFS('[1]2026'!$K:$K,'[1]2026'!$T:$T,$BD772,'[1]2026'!$S:$S,BL$3,'[1]2026'!$P:$P,$AU772)</f>
        <v>0</v>
      </c>
      <c r="BM772" s="10">
        <f>SUMIFS('[1]2026'!$K:$K,'[1]2026'!$T:$T,$BD772,'[1]2026'!$S:$S,BM$3,'[1]2026'!$P:$P,$AU772)</f>
        <v>0</v>
      </c>
      <c r="BN772" s="10">
        <f>SUMIFS('[1]2026'!$K:$K,'[1]2026'!$T:$T,$BD772,'[1]2026'!$S:$S,BN$3,'[1]2026'!$P:$P,$AU772)</f>
        <v>0</v>
      </c>
      <c r="BO772" s="10">
        <f>SUMIFS('[1]2026'!$K:$K,'[1]2026'!$T:$T,$BD772,'[1]2026'!$S:$S,BO$3,'[1]2026'!$P:$P,$AU772)</f>
        <v>0</v>
      </c>
      <c r="BP772" s="6"/>
      <c r="BQ772" s="6"/>
      <c r="BR772" s="6"/>
      <c r="BS772" s="6"/>
      <c r="BT772" s="6">
        <f t="shared" si="515"/>
        <v>19975.97</v>
      </c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>
        <f t="shared" si="496"/>
        <v>19975.97</v>
      </c>
    </row>
    <row r="773" spans="1:86" hidden="1" x14ac:dyDescent="0.35">
      <c r="AN773" s="27">
        <f t="shared" si="516"/>
        <v>0</v>
      </c>
      <c r="AS773" t="str">
        <f>_xlfn.XLOOKUP(AU773,[2]GAE!HZ:HZ,[2]GAE!IA:IA)</f>
        <v>IS &amp; IT</v>
      </c>
      <c r="AT773" t="str">
        <f>_xlfn.XLOOKUP(AU773,[2]GAE!HZ:HZ,[2]GAE!IB:IB)</f>
        <v>DOE - Systems and Applications</v>
      </c>
      <c r="AU773" s="2" t="s">
        <v>594</v>
      </c>
      <c r="AV773" s="2">
        <v>81124101</v>
      </c>
      <c r="AW773" s="2">
        <v>52952103</v>
      </c>
      <c r="AX773" t="str">
        <f>_xlfn.XLOOKUP(AU773,[2]GAE!HZ:HZ,[2]GAE!IF:IF)</f>
        <v>Systems &amp; Applications</v>
      </c>
      <c r="BC773" t="s">
        <v>217</v>
      </c>
      <c r="BD773" s="2" t="s">
        <v>217</v>
      </c>
      <c r="BE773" s="2"/>
      <c r="BF773" t="s">
        <v>612</v>
      </c>
      <c r="BG773" s="2" t="s">
        <v>217</v>
      </c>
      <c r="BK773" s="10">
        <f>SUMIFS('[1]2026'!$K:$K,'[1]2026'!$T:$T,$BD773,'[1]2026'!$S:$S,BK$3,'[1]2026'!$P:$P,$AU773)</f>
        <v>38839.29</v>
      </c>
      <c r="BL773" s="6"/>
      <c r="BM773" s="10">
        <f>SUMIFS('[1]2026'!$K:$K,'[1]2026'!$T:$T,$BD773,'[1]2026'!$S:$S,BM$3,'[1]2026'!$P:$P,$AU773)</f>
        <v>0</v>
      </c>
      <c r="BN773" s="10">
        <f>SUMIFS('[1]2026'!$K:$K,'[1]2026'!$T:$T,$BD773,'[1]2026'!$S:$S,BN$3,'[1]2026'!$P:$P,$AU773)</f>
        <v>0</v>
      </c>
      <c r="BO773" s="10">
        <f>SUMIFS('[1]2026'!$K:$K,'[1]2026'!$T:$T,$BD773,'[1]2026'!$S:$S,BO$3,'[1]2026'!$P:$P,$AU773)</f>
        <v>0</v>
      </c>
      <c r="BP773" s="6"/>
      <c r="BQ773" s="6"/>
      <c r="BR773" s="6"/>
      <c r="BS773" s="6"/>
      <c r="BT773" s="6">
        <f t="shared" si="515"/>
        <v>38839.29</v>
      </c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>
        <f t="shared" si="496"/>
        <v>38839.29</v>
      </c>
    </row>
    <row r="774" spans="1:86" x14ac:dyDescent="0.35">
      <c r="AN774" s="27">
        <f t="shared" si="516"/>
        <v>0</v>
      </c>
      <c r="AS774" t="str">
        <f>_xlfn.XLOOKUP(AU774,[2]GAE!HZ:HZ,[2]GAE!IA:IA)</f>
        <v>IS &amp; IT</v>
      </c>
      <c r="AT774" t="str">
        <f>_xlfn.XLOOKUP(AU774,[2]GAE!HZ:HZ,[2]GAE!IB:IB)</f>
        <v>GAE- Systems &amp; Applications</v>
      </c>
      <c r="AU774" s="2" t="s">
        <v>593</v>
      </c>
      <c r="AV774" s="2">
        <v>80124101</v>
      </c>
      <c r="AW774" s="2">
        <v>61711102</v>
      </c>
      <c r="AX774" t="str">
        <f>_xlfn.XLOOKUP(AU774,[2]GAE!HZ:HZ,[2]GAE!IF:IF)</f>
        <v>Systems &amp; Applications</v>
      </c>
      <c r="BC774" t="s">
        <v>294</v>
      </c>
      <c r="BD774" s="2" t="s">
        <v>1231</v>
      </c>
      <c r="BE774" s="2"/>
      <c r="BF774" s="37" t="s">
        <v>1263</v>
      </c>
      <c r="BG774" s="37" t="s">
        <v>1263</v>
      </c>
      <c r="BL774" s="6"/>
      <c r="BN774" s="10">
        <f>SUMIFS('[1]2026'!$K:$K,'[1]2026'!$T:$T,$BD774,'[1]2026'!$S:$S,BN$3,'[1]2026'!$P:$P,$AU774)</f>
        <v>502.23</v>
      </c>
      <c r="BO774" s="10">
        <f>SUMIFS('[1]2026'!$K:$K,'[1]2026'!$T:$T,$BD774,'[1]2026'!$S:$S,BO$3,'[1]2026'!$P:$P,$AU774)</f>
        <v>596.15</v>
      </c>
      <c r="BP774" s="6"/>
      <c r="BQ774" s="6"/>
      <c r="BR774" s="6"/>
      <c r="BS774" s="6"/>
      <c r="BT774" s="6">
        <f t="shared" si="515"/>
        <v>1098.3800000000001</v>
      </c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>
        <f t="shared" si="496"/>
        <v>1098.3800000000001</v>
      </c>
    </row>
    <row r="775" spans="1:86" s="10" customFormat="1" hidden="1" x14ac:dyDescent="0.35">
      <c r="A775" s="3"/>
      <c r="B775" s="44"/>
      <c r="N775" s="27"/>
      <c r="AA775" s="27"/>
      <c r="AN775" s="27">
        <f t="shared" si="516"/>
        <v>0</v>
      </c>
      <c r="AO775" s="28"/>
      <c r="AP775"/>
      <c r="AQ775"/>
      <c r="AR775"/>
      <c r="AS775" t="str">
        <f>_xlfn.XLOOKUP(AU775,[2]GAE!HZ:HZ,[2]GAE!IA:IA)</f>
        <v>ADMIN SERVICES</v>
      </c>
      <c r="AT775" t="str">
        <f>_xlfn.XLOOKUP(AU775,[2]GAE!HZ:HZ,[2]GAE!IB:IB)</f>
        <v>GAE - CAPEX Recoveries</v>
      </c>
      <c r="AU775" s="2" t="s">
        <v>1232</v>
      </c>
      <c r="AV775" s="2">
        <v>81123102</v>
      </c>
      <c r="AW775" s="2">
        <v>61961302</v>
      </c>
      <c r="AX775" t="str">
        <f>_xlfn.XLOOKUP(AU775,[2]GAE!HZ:HZ,[2]GAE!IF:IF)</f>
        <v>MTS</v>
      </c>
      <c r="AY775"/>
      <c r="AZ775"/>
      <c r="BA775"/>
      <c r="BB775"/>
      <c r="BC775"/>
      <c r="BD775" s="2" t="s">
        <v>1233</v>
      </c>
      <c r="BE775" s="2"/>
      <c r="BF775" t="s">
        <v>1263</v>
      </c>
      <c r="BG775" t="s">
        <v>1263</v>
      </c>
      <c r="BH775" s="10">
        <f>SUMIFS('[1]2026'!$K:$K,'[1]2026'!$T:$T,BD775,'[1]2026'!$S:$S,BH$3,'[1]2026'!$P:$P,AU775)</f>
        <v>0</v>
      </c>
      <c r="BI775" s="10">
        <f>SUMIFS('[1]2026'!$K:$K,'[1]2026'!$T:$T,$BD775,'[1]2026'!$S:$S,BI$3,'[1]2026'!$P:$P,$AU775)</f>
        <v>0</v>
      </c>
      <c r="BJ775" s="10">
        <f>SUMIFS('[1]2026'!$K:$K,'[1]2026'!$T:$T,$BD775,'[1]2026'!$S:$S,BJ$3,'[1]2026'!$P:$P,$AU775)</f>
        <v>0</v>
      </c>
      <c r="BK775" s="10">
        <f>SUMIFS('[1]2026'!$K:$K,'[1]2026'!$T:$T,$BD775,'[1]2026'!$S:$S,BK$3,'[1]2026'!$P:$P,$AU775)</f>
        <v>0</v>
      </c>
      <c r="BL775" s="10">
        <f>SUMIFS('[1]2026'!$K:$K,'[1]2026'!$T:$T,$BD775,'[1]2026'!$S:$S,BL$3,'[1]2026'!$P:$P,$AU775)</f>
        <v>0</v>
      </c>
      <c r="BM775" s="10">
        <f>SUMIFS('[1]2026'!$K:$K,'[1]2026'!$T:$T,$BD775,'[1]2026'!$S:$S,BM$3,'[1]2026'!$P:$P,$AU775)</f>
        <v>0</v>
      </c>
      <c r="BN775" s="10">
        <f>SUMIFS('[1]2026'!$K:$K,'[1]2026'!$T:$T,$BD775,'[1]2026'!$S:$S,BN$3,'[1]2026'!$P:$P,$AU775)</f>
        <v>0</v>
      </c>
      <c r="BO775" s="10">
        <f>SUMIFS('[1]2026'!$K:$K,'[1]2026'!$T:$T,$BD775,'[1]2026'!$S:$S,BO$3,'[1]2026'!$P:$P,$AU775)</f>
        <v>0</v>
      </c>
      <c r="BP775" s="6">
        <f t="shared" si="521"/>
        <v>0</v>
      </c>
      <c r="BQ775" s="6">
        <f t="shared" si="521"/>
        <v>0</v>
      </c>
      <c r="BR775" s="6">
        <f t="shared" si="521"/>
        <v>0</v>
      </c>
      <c r="BS775" s="6">
        <f t="shared" si="521"/>
        <v>0</v>
      </c>
      <c r="BT775" s="6">
        <f t="shared" si="515"/>
        <v>0</v>
      </c>
      <c r="BU775"/>
      <c r="BV775" s="6">
        <f t="shared" ref="BV775:CG776" si="522">BH775-AB775</f>
        <v>0</v>
      </c>
      <c r="BW775" s="6">
        <f t="shared" si="522"/>
        <v>0</v>
      </c>
      <c r="BX775" s="6">
        <f t="shared" si="522"/>
        <v>0</v>
      </c>
      <c r="BY775" s="6">
        <f t="shared" si="522"/>
        <v>0</v>
      </c>
      <c r="BZ775" s="6">
        <f t="shared" si="522"/>
        <v>0</v>
      </c>
      <c r="CA775" s="6">
        <f t="shared" si="522"/>
        <v>0</v>
      </c>
      <c r="CB775" s="6">
        <f t="shared" si="522"/>
        <v>0</v>
      </c>
      <c r="CC775" s="6">
        <f t="shared" si="522"/>
        <v>0</v>
      </c>
      <c r="CD775" s="6">
        <f t="shared" si="522"/>
        <v>0</v>
      </c>
      <c r="CE775" s="6">
        <f t="shared" si="522"/>
        <v>0</v>
      </c>
      <c r="CF775" s="6">
        <f t="shared" si="522"/>
        <v>0</v>
      </c>
      <c r="CG775" s="6">
        <f t="shared" si="522"/>
        <v>0</v>
      </c>
      <c r="CH775" s="6">
        <f t="shared" si="496"/>
        <v>0</v>
      </c>
    </row>
    <row r="776" spans="1:86" hidden="1" x14ac:dyDescent="0.35">
      <c r="AN776" s="27">
        <f t="shared" si="516"/>
        <v>0</v>
      </c>
      <c r="AS776" t="str">
        <f>_xlfn.XLOOKUP(AU776,[2]GAE!HZ:HZ,[2]GAE!IA:IA)</f>
        <v>ADMIN SERVICES</v>
      </c>
      <c r="AT776" t="str">
        <f>_xlfn.XLOOKUP(AU776,[2]GAE!HZ:HZ,[2]GAE!IB:IB)</f>
        <v>DOE - CAPEX - Recovery</v>
      </c>
      <c r="AU776" s="2" t="s">
        <v>1234</v>
      </c>
      <c r="AV776" s="2">
        <v>81123102</v>
      </c>
      <c r="AW776" s="2">
        <v>52041502</v>
      </c>
      <c r="AX776" t="str">
        <f>_xlfn.XLOOKUP(AU776,[2]GAE!HZ:HZ,[2]GAE!IF:IF)</f>
        <v>MTS</v>
      </c>
      <c r="BC776" t="s">
        <v>294</v>
      </c>
      <c r="BD776" s="2" t="s">
        <v>1233</v>
      </c>
      <c r="BE776" s="2"/>
      <c r="BF776" t="s">
        <v>1130</v>
      </c>
      <c r="BG776" t="s">
        <v>1233</v>
      </c>
      <c r="BH776" s="10">
        <f>SUMIFS('[1]2026'!$K:$K,'[1]2026'!$T:$T,BD776,'[1]2026'!$S:$S,BH$3,'[1]2026'!$P:$P,AU776)</f>
        <v>0</v>
      </c>
      <c r="BI776" s="10">
        <f>SUMIFS('[1]2026'!$K:$K,'[1]2026'!$T:$T,$BD776,'[1]2026'!$S:$S,BI$3,'[1]2026'!$P:$P,$AU776)</f>
        <v>-400000</v>
      </c>
      <c r="BJ776" s="10">
        <f>SUMIFS('[1]2026'!$K:$K,'[1]2026'!$T:$T,$BD776,'[1]2026'!$S:$S,BJ$3,'[1]2026'!$P:$P,$AU776)</f>
        <v>0</v>
      </c>
      <c r="BK776" s="10">
        <f>SUMIFS('[1]2026'!$K:$K,'[1]2026'!$T:$T,$BD776,'[1]2026'!$S:$S,BK$3,'[1]2026'!$P:$P,$AU776)</f>
        <v>-416071.43</v>
      </c>
      <c r="BL776" s="10">
        <f>SUMIFS('[1]2026'!$K:$K,'[1]2026'!$T:$T,$BD776,'[1]2026'!$S:$S,BL$3,'[1]2026'!$P:$P,$AU776)</f>
        <v>0</v>
      </c>
      <c r="BM776" s="10">
        <f>SUMIFS('[1]2026'!$K:$K,'[1]2026'!$T:$T,$BD776,'[1]2026'!$S:$S,BM$3,'[1]2026'!$P:$P,$AU776)</f>
        <v>0</v>
      </c>
      <c r="BN776" s="10">
        <f>SUMIFS('[1]2026'!$K:$K,'[1]2026'!$T:$T,$BD776,'[1]2026'!$S:$S,BN$3,'[1]2026'!$P:$P,$AU776)</f>
        <v>-319642.86</v>
      </c>
      <c r="BO776" s="10">
        <f>SUMIFS('[1]2026'!$K:$K,'[1]2026'!$T:$T,$BD776,'[1]2026'!$S:$S,BO$3,'[1]2026'!$P:$P,$AU776)</f>
        <v>0</v>
      </c>
      <c r="BP776" s="6"/>
      <c r="BQ776" s="6"/>
      <c r="BR776" s="6"/>
      <c r="BS776" s="6"/>
      <c r="BT776" s="6">
        <f t="shared" si="515"/>
        <v>-1135714.29</v>
      </c>
      <c r="BV776" s="6">
        <f t="shared" si="522"/>
        <v>0</v>
      </c>
      <c r="BW776" s="6">
        <f t="shared" si="522"/>
        <v>-400000</v>
      </c>
      <c r="BX776" s="6">
        <f t="shared" si="522"/>
        <v>0</v>
      </c>
      <c r="BY776" s="6">
        <f t="shared" si="522"/>
        <v>-416071.43</v>
      </c>
      <c r="BZ776" s="6">
        <f t="shared" si="522"/>
        <v>0</v>
      </c>
      <c r="CA776" s="6">
        <f t="shared" si="522"/>
        <v>0</v>
      </c>
      <c r="CB776" s="6">
        <f t="shared" si="522"/>
        <v>-319642.86</v>
      </c>
      <c r="CC776" s="6">
        <f t="shared" si="522"/>
        <v>0</v>
      </c>
      <c r="CD776" s="6">
        <f t="shared" si="522"/>
        <v>0</v>
      </c>
      <c r="CE776" s="6">
        <f t="shared" si="522"/>
        <v>0</v>
      </c>
      <c r="CF776" s="6">
        <f t="shared" si="522"/>
        <v>0</v>
      </c>
      <c r="CG776" s="6">
        <f t="shared" si="522"/>
        <v>0</v>
      </c>
      <c r="CH776" s="6">
        <f t="shared" si="496"/>
        <v>-1135714.29</v>
      </c>
    </row>
    <row r="777" spans="1:86" hidden="1" x14ac:dyDescent="0.35">
      <c r="AN777" s="27">
        <f t="shared" si="516"/>
        <v>0</v>
      </c>
      <c r="AS777" t="str">
        <f>_xlfn.XLOOKUP(AU777,[2]GAE!HZ:HZ,[2]GAE!IA:IA)</f>
        <v>ADMIN SERVICES</v>
      </c>
      <c r="AT777" t="str">
        <f>_xlfn.XLOOKUP(AU777,[2]GAE!HZ:HZ,[2]GAE!IB:IB)</f>
        <v>GAE - CAPEX Recoveries</v>
      </c>
      <c r="AU777" s="2" t="s">
        <v>1235</v>
      </c>
      <c r="AV777" s="2">
        <v>80123102</v>
      </c>
      <c r="AW777" s="2">
        <v>61961302</v>
      </c>
      <c r="AX777" t="str">
        <f>_xlfn.XLOOKUP(AU777,[2]GAE!HZ:HZ,[2]GAE!IF:IF)</f>
        <v>MTS</v>
      </c>
      <c r="BC777" t="s">
        <v>294</v>
      </c>
      <c r="BD777" s="2" t="s">
        <v>1233</v>
      </c>
      <c r="BE777" s="2"/>
      <c r="BF777" t="s">
        <v>1130</v>
      </c>
      <c r="BG777" t="s">
        <v>1233</v>
      </c>
      <c r="BL777" s="10">
        <f>SUMIFS('[1]2026'!$K:$K,'[1]2026'!$T:$T,$BD777,'[1]2026'!$S:$S,BL$3,'[1]2026'!$P:$P,$AU777)</f>
        <v>-685714.29</v>
      </c>
      <c r="BM777" s="10">
        <f>SUMIFS('[1]2026'!$K:$K,'[1]2026'!$T:$T,$BD777,'[1]2026'!$S:$S,BM$3,'[1]2026'!$P:$P,$AU777)</f>
        <v>0</v>
      </c>
      <c r="BN777" s="10">
        <f>SUMIFS('[1]2026'!$K:$K,'[1]2026'!$T:$T,$BD777,'[1]2026'!$S:$S,BN$3,'[1]2026'!$P:$P,$AU777)</f>
        <v>0</v>
      </c>
      <c r="BO777" s="10">
        <f>SUMIFS('[1]2026'!$K:$K,'[1]2026'!$T:$T,$BD777,'[1]2026'!$S:$S,BO$3,'[1]2026'!$P:$P,$AU777)</f>
        <v>0</v>
      </c>
      <c r="BP777" s="6"/>
      <c r="BQ777" s="6"/>
      <c r="BR777" s="6"/>
      <c r="BS777" s="6"/>
      <c r="BT777" s="6">
        <f t="shared" si="515"/>
        <v>-685714.29</v>
      </c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>
        <f t="shared" si="496"/>
        <v>-685714.29</v>
      </c>
    </row>
    <row r="778" spans="1:86" hidden="1" x14ac:dyDescent="0.35">
      <c r="AN778" s="27">
        <f t="shared" si="516"/>
        <v>0</v>
      </c>
      <c r="AS778" t="str">
        <f>_xlfn.XLOOKUP(AU778,[2]GAE!HZ:HZ,[2]GAE!IA:IA)</f>
        <v>CCC-COMMON</v>
      </c>
      <c r="AT778" t="str">
        <f>_xlfn.XLOOKUP(AU778,[2]GAE!HZ:HZ,[2]GAE!IB:IB)</f>
        <v>GAE - Interest &amp; Penalty</v>
      </c>
      <c r="AU778" s="4" t="s">
        <v>1236</v>
      </c>
      <c r="AV778" s="4">
        <v>81111101</v>
      </c>
      <c r="AW778" s="4">
        <v>61959202</v>
      </c>
      <c r="AX778" t="str">
        <f>_xlfn.XLOOKUP(AU778,[2]GAE!HZ:HZ,[2]GAE!IF:IF)</f>
        <v>Others</v>
      </c>
      <c r="AY778" t="str">
        <f>_xlfn.XLOOKUP(AU778,[2]GAE!HZ:HZ,[2]GAE!IG:IG)</f>
        <v>Others</v>
      </c>
      <c r="BD778" s="2" t="s">
        <v>1237</v>
      </c>
      <c r="BE778" s="2"/>
      <c r="BF778" t="s">
        <v>218</v>
      </c>
      <c r="BG778" s="2" t="s">
        <v>219</v>
      </c>
      <c r="BK778" s="10">
        <f>SUMIFS('[1]2026'!$K:$K,'[1]2026'!$T:$T,$BD778,'[1]2026'!$S:$S,BK$3,'[1]2026'!$P:$P,$AU778)</f>
        <v>400499.99</v>
      </c>
      <c r="BL778" s="10">
        <f>SUMIFS('[1]2026'!$K:$K,'[1]2026'!$T:$T,$BD778,'[1]2026'!$S:$S,BL$3,'[1]2026'!$P:$P,$AU778)</f>
        <v>-400499.99</v>
      </c>
      <c r="BM778" s="10">
        <f>SUMIFS('[1]2026'!$K:$K,'[1]2026'!$T:$T,$BD778,'[1]2026'!$S:$S,BM$3,'[1]2026'!$P:$P,$AU778)</f>
        <v>0</v>
      </c>
      <c r="BN778" s="10">
        <f>SUMIFS('[1]2026'!$K:$K,'[1]2026'!$T:$T,$BD778,'[1]2026'!$S:$S,BN$3,'[1]2026'!$P:$P,$AU778)</f>
        <v>0</v>
      </c>
      <c r="BO778" s="10">
        <f>SUMIFS('[1]2026'!$K:$K,'[1]2026'!$T:$T,$BD778,'[1]2026'!$S:$S,BO$3,'[1]2026'!$P:$P,$AU778)</f>
        <v>0</v>
      </c>
      <c r="BT778" s="6">
        <f t="shared" si="515"/>
        <v>0</v>
      </c>
      <c r="CH778" s="6">
        <f t="shared" si="496"/>
        <v>0</v>
      </c>
    </row>
    <row r="779" spans="1:86" hidden="1" x14ac:dyDescent="0.35">
      <c r="AN779" s="27">
        <f t="shared" si="516"/>
        <v>0</v>
      </c>
      <c r="AS779" t="str">
        <f>_xlfn.XLOOKUP(AU779,[2]GAE!HZ:HZ,[2]GAE!IA:IA)</f>
        <v>OCLP-COMMON</v>
      </c>
      <c r="AT779" t="str">
        <f>_xlfn.XLOOKUP(AU779,[2]GAE!HZ:HZ,[2]GAE!IB:IB)</f>
        <v>GAE - Employee Benefits - Bonus</v>
      </c>
      <c r="AU779" s="2" t="s">
        <v>1207</v>
      </c>
      <c r="AV779" s="2">
        <v>80111101</v>
      </c>
      <c r="AW779" s="2">
        <v>61021317</v>
      </c>
      <c r="AX779" t="str">
        <f>_xlfn.XLOOKUP(AU779,[2]GAE!HZ:HZ,[2]GAE!IF:IF)</f>
        <v>PB</v>
      </c>
      <c r="AY779">
        <f>_xlfn.XLOOKUP(AU779,[2]GAE!HZ:HZ,[2]GAE!IG:IG)</f>
        <v>0</v>
      </c>
      <c r="BC779" t="s">
        <v>294</v>
      </c>
      <c r="BD779" s="2" t="s">
        <v>1238</v>
      </c>
      <c r="BE779" s="2"/>
      <c r="BF779" s="37" t="s">
        <v>1263</v>
      </c>
      <c r="BG779" s="37" t="s">
        <v>1263</v>
      </c>
      <c r="BH779" s="10">
        <f>SUMIFS('[1]2026'!$K:$K,'[1]2026'!$T:$T,BD779,'[1]2026'!$S:$S,BH$3,'[1]2026'!$P:$P,AU779)</f>
        <v>0</v>
      </c>
      <c r="BI779" s="10">
        <f>SUMIFS('[1]2026'!$K:$K,'[1]2026'!$T:$T,$BD779,'[1]2026'!$S:$S,BI$3,'[1]2026'!$P:$P,$AU779)</f>
        <v>0</v>
      </c>
      <c r="BJ779" s="10">
        <f>SUMIFS('[1]2026'!$K:$K,'[1]2026'!$T:$T,$BD779,'[1]2026'!$S:$S,BJ$3,'[1]2026'!$P:$P,$AU779)</f>
        <v>0</v>
      </c>
      <c r="BK779" s="10">
        <f>SUMIFS('[1]2026'!$K:$K,'[1]2026'!$T:$T,$BD779,'[1]2026'!$S:$S,BK$3,'[1]2026'!$P:$P,$AU779)</f>
        <v>-107895.83</v>
      </c>
      <c r="BM779" s="10">
        <f>SUMIFS('[1]2026'!$K:$K,'[1]2026'!$T:$T,$BD779,'[1]2026'!$S:$S,BM$3,'[1]2026'!$P:$P,$AU779)</f>
        <v>0</v>
      </c>
      <c r="BN779" s="10">
        <f>SUMIFS('[1]2026'!$K:$K,'[1]2026'!$T:$T,$BD779,'[1]2026'!$S:$S,BN$3,'[1]2026'!$P:$P,$AU779)</f>
        <v>0</v>
      </c>
      <c r="BO779" s="10">
        <f>SUMIFS('[1]2026'!$K:$K,'[1]2026'!$T:$T,$BD779,'[1]2026'!$S:$S,BO$3,'[1]2026'!$P:$P,$AU779)</f>
        <v>0</v>
      </c>
      <c r="BT779" s="6">
        <f t="shared" si="515"/>
        <v>-107895.83</v>
      </c>
      <c r="CH779" s="6">
        <f t="shared" si="496"/>
        <v>-107895.83</v>
      </c>
    </row>
    <row r="780" spans="1:86" x14ac:dyDescent="0.35">
      <c r="AN780" s="27">
        <f t="shared" si="516"/>
        <v>0</v>
      </c>
      <c r="AS780" t="str">
        <f>_xlfn.XLOOKUP(AU780,[2]GAE!HZ:HZ,[2]GAE!IA:IA)</f>
        <v>IS &amp; IT</v>
      </c>
      <c r="AT780" t="str">
        <f>_xlfn.XLOOKUP(AU780,[2]GAE!HZ:HZ,[2]GAE!IB:IB)</f>
        <v>GAE- Systems &amp; Applications</v>
      </c>
      <c r="AU780" s="2" t="s">
        <v>593</v>
      </c>
      <c r="AV780" s="2">
        <v>80124101</v>
      </c>
      <c r="AW780" s="2">
        <v>61711102</v>
      </c>
      <c r="AX780" t="str">
        <f>_xlfn.XLOOKUP(AU780,[2]GAE!HZ:HZ,[2]GAE!IF:IF)</f>
        <v>Systems &amp; Applications</v>
      </c>
      <c r="AY780">
        <f>_xlfn.XLOOKUP(AU780,[2]GAE!HZ:HZ,[2]GAE!IG:IG)</f>
        <v>0</v>
      </c>
      <c r="BD780" s="2" t="s">
        <v>1239</v>
      </c>
      <c r="BE780" s="2"/>
      <c r="BF780" t="s">
        <v>1256</v>
      </c>
      <c r="BG780" t="s">
        <v>1239</v>
      </c>
      <c r="BO780" s="10">
        <f>SUMIFS('[1]2026'!$K:$K,'[1]2026'!$T:$T,$BD780,'[1]2026'!$S:$S,BO$3,'[1]2026'!$P:$P,$AU780)</f>
        <v>6540.28</v>
      </c>
      <c r="BT780" s="6">
        <f t="shared" si="515"/>
        <v>6540.28</v>
      </c>
      <c r="CH780" s="6">
        <f t="shared" si="496"/>
        <v>6540.28</v>
      </c>
    </row>
    <row r="781" spans="1:86" x14ac:dyDescent="0.35">
      <c r="AN781" s="27">
        <f t="shared" si="516"/>
        <v>0</v>
      </c>
      <c r="AS781" t="str">
        <f>_xlfn.XLOOKUP(AU781,[2]GAE!HZ:HZ,[2]GAE!IA:IA)</f>
        <v>IS &amp; IT</v>
      </c>
      <c r="AT781" t="str">
        <f>_xlfn.XLOOKUP(AU781,[2]GAE!HZ:HZ,[2]GAE!IB:IB)</f>
        <v>GAE- Systems &amp; Applications</v>
      </c>
      <c r="AU781" t="s">
        <v>593</v>
      </c>
      <c r="AV781">
        <v>80124101</v>
      </c>
      <c r="AW781">
        <v>61711102</v>
      </c>
      <c r="AX781" t="str">
        <f>_xlfn.XLOOKUP(AU781,[2]GAE!HZ:HZ,[2]GAE!IF:IF)</f>
        <v>Systems &amp; Applications</v>
      </c>
      <c r="AY781">
        <f>_xlfn.XLOOKUP(AU781,[2]GAE!HZ:HZ,[2]GAE!IG:IG)</f>
        <v>0</v>
      </c>
      <c r="BD781" s="2" t="s">
        <v>1240</v>
      </c>
      <c r="BE781" s="2"/>
      <c r="BF781" t="s">
        <v>609</v>
      </c>
      <c r="BG781" t="s">
        <v>1240</v>
      </c>
      <c r="BO781" s="10">
        <f>SUMIFS('[1]2026'!$K:$K,'[1]2026'!$T:$T,$BD781,'[1]2026'!$S:$S,BO$3,'[1]2026'!$P:$P,$AU781)</f>
        <v>7815.5</v>
      </c>
      <c r="BT781" s="6">
        <f t="shared" si="515"/>
        <v>7815.5</v>
      </c>
      <c r="CH781" s="6">
        <f t="shared" ref="CH781" si="523">BT781-AN781</f>
        <v>7815.5</v>
      </c>
    </row>
    <row r="782" spans="1:86" x14ac:dyDescent="0.35">
      <c r="AU782" s="2"/>
      <c r="AV782" s="2"/>
      <c r="AW782" s="2"/>
    </row>
    <row r="786" spans="51:86" x14ac:dyDescent="0.35">
      <c r="AY786" s="2"/>
      <c r="CH786" s="10"/>
    </row>
    <row r="787" spans="51:86" x14ac:dyDescent="0.35">
      <c r="AY787" s="2"/>
    </row>
    <row r="788" spans="51:86" x14ac:dyDescent="0.35">
      <c r="AY788" s="2"/>
    </row>
    <row r="789" spans="51:86" x14ac:dyDescent="0.35">
      <c r="AY789" s="2"/>
    </row>
    <row r="791" spans="51:86" x14ac:dyDescent="0.35">
      <c r="BO791" s="12"/>
    </row>
  </sheetData>
  <autoFilter ref="A3:CK781" xr:uid="{05649014-F3C0-4A25-AD45-623978C500A7}">
    <filterColumn colId="47">
      <filters>
        <filter val="80124101"/>
      </filters>
    </filterColumn>
    <filterColumn colId="48">
      <filters>
        <filter val="61711102"/>
      </filters>
    </filterColumn>
  </autoFilter>
  <conditionalFormatting sqref="AU765:AW766">
    <cfRule type="duplicateValues" dxfId="1" priority="1"/>
    <cfRule type="duplicateValues" dxfId="0" priority="2"/>
  </conditionalFormatting>
  <hyperlinks>
    <hyperlink ref="AQ4" location="'Electricity &amp; Water'!A1" display="Electricity &amp; Water" xr:uid="{78508DF8-8743-420B-84CE-8AFBA5E6363C}"/>
    <hyperlink ref="AQ5" location="'Electricity &amp; Water'!A1" display="Electricity &amp; Water" xr:uid="{EE98B51A-EE56-4386-9928-A38AAB53FD0D}"/>
    <hyperlink ref="AQ262" location="Mobile!A1" display="Mobile" xr:uid="{B2D2BD46-2114-4A03-82B8-CA9448C42B4E}"/>
  </hyperlink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Upload Template</vt:lpstr>
      <vt:lpstr>2026B and 2026F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2026-08-13T06:51:39Z</dcterms:created>
  <dcterms:modified xsi:type="dcterms:W3CDTF">2026-10-21T07:02:06Z</dcterms:modified>
</cp:coreProperties>
</file>